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06bca25dc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ner清单" sheetId="1" r:id="Ra714f1c2c30b41f4"/>
    <x:sheet xmlns:r="http://schemas.openxmlformats.org/officeDocument/2006/relationships" name="容量状态" sheetId="2" r:id="R06086298210b4b84"/>
    <x:sheet xmlns:r="http://schemas.openxmlformats.org/officeDocument/2006/relationships" name="容量转换" sheetId="3" r:id="R1a983f3d20bc4612"/>
    <x:sheet xmlns:r="http://schemas.openxmlformats.org/officeDocument/2006/relationships" name="逐拍场景" sheetId="4" r:id="Ra10c82bb5bb34f28"/>
    <x:sheet xmlns:r="http://schemas.openxmlformats.org/officeDocument/2006/relationships" name="并发事件" sheetId="5" r:id="R761a493b3b004e3d"/>
    <x:sheet xmlns:r="http://schemas.openxmlformats.org/officeDocument/2006/relationships" name="规则与证据" sheetId="6" r:id="R8f9ee4604331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00"/>
    <x:numFmt numFmtId="202" formatCode="#,##0"/>
  </x:numFmts>
  <x:fonts count="6">
    <x:font>
      <x:sz val="11"/>
      <x:name val="Carlito"/>
    </x:font>
    <x:font>
      <x:sz val="10"/>
      <x:color rgb="FF20314D"/>
      <x:name val="Arial"/>
    </x:font>
    <x:font>
      <x:b/>
      <x:sz val="15"/>
      <x:color rgb="FF20314D"/>
      <x:name val="Arial"/>
    </x:font>
    <x:font>
      <x:sz val="10"/>
      <x:color rgb="FF596779"/>
      <x:name val="Arial"/>
    </x:font>
    <x:font>
      <x:b/>
      <x:sz val="10"/>
      <x:color rgb="FFFFFFFF"/>
      <x:name val="Arial"/>
    </x:font>
    <x:font>
      <x:b/>
      <x:sz val="13"/>
      <x:color rgb="FF2031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66"/>
      </x:patternFill>
    </x:fill>
    <x:fill>
      <x:patternFill patternType="solid">
        <x:fgColor rgb="FFFFF5D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FD8E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CFD8E3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201" fontId="1" fillId="0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2222"/>
      </x:font>
      <x:fill>
        <x:patternFill patternType="solid">
          <x:bgColor rgb="FFFBE4E4"/>
        </x:patternFill>
      </x:fill>
    </x:dxf>
    <x:dxf>
      <x:font>
        <x:color rgb="FF844D00"/>
      </x:font>
      <x:fill>
        <x:patternFill patternType="solid">
          <x:bgColor rgb="FFFFE7BC"/>
        </x:patternFill>
      </x:fill>
    </x:dxf>
    <x:dxf>
      <x:font>
        <x:color rgb="FF7A8592"/>
      </x:font>
    </x:dxf>
    <x:dxf>
      <x:font>
        <x:color rgb="FF9C2222"/>
      </x:font>
      <x:fill>
        <x:patternFill patternType="solid">
          <x:bgColor rgb="FFFBE4E4"/>
        </x:patternFill>
      </x:fill>
    </x:dxf>
    <x:dxf>
      <x:font>
        <x:b/>
        <x:color rgb="FF9C2222"/>
      </x:font>
      <x:fill>
        <x:patternFill patternType="solid">
          <x:bgColor rgb="FFFBE4E4"/>
        </x:patternFill>
      </x:fill>
    </x:dxf>
    <x:dxf>
      <x:font>
        <x:b/>
        <x:color rgb="FF9C2222"/>
      </x:font>
      <x:fill>
        <x:patternFill patternType="solid">
          <x:bgColor rgb="FFFBE4E4"/>
        </x:patternFill>
      </x:fill>
    </x:dxf>
    <x:dxf>
      <x:font>
        <x:color rgb="FF844D00"/>
      </x:font>
      <x:fill>
        <x:patternFill patternType="solid">
          <x:bgColor rgb="FFFFE7B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96138deb440a7" /><Relationship Type="http://schemas.openxmlformats.org/officeDocument/2006/relationships/theme" Target="/xl/theme/theme1.xml" Id="R56c1f50185274765" /><Relationship Type="http://schemas.openxmlformats.org/officeDocument/2006/relationships/sharedStrings" Target="/xl/sharedStrings.xml" Id="R2acae23136e743f4" /><Relationship Type="http://schemas.openxmlformats.org/officeDocument/2006/relationships/worksheet" Target="/xl/worksheets/sheet1.xml" Id="Ra714f1c2c30b41f4" /><Relationship Type="http://schemas.openxmlformats.org/officeDocument/2006/relationships/worksheet" Target="/xl/worksheets/sheet2.xml" Id="R06086298210b4b84" /><Relationship Type="http://schemas.openxmlformats.org/officeDocument/2006/relationships/worksheet" Target="/xl/worksheets/sheet3.xml" Id="R1a983f3d20bc4612" /><Relationship Type="http://schemas.openxmlformats.org/officeDocument/2006/relationships/worksheet" Target="/xl/worksheets/sheet4.xml" Id="Ra10c82bb5bb34f28" /><Relationship Type="http://schemas.openxmlformats.org/officeDocument/2006/relationships/worksheet" Target="/xl/worksheets/sheet5.xml" Id="R761a493b3b004e3d" /><Relationship Type="http://schemas.openxmlformats.org/officeDocument/2006/relationships/worksheet" Target="/xl/worksheets/sheet6.xml" Id="R8f9ee460433140f4" /></Relationships>
</file>

<file path=xl/tables/table1.xml><?xml version="1.0" encoding="utf-8"?>
<x:table xmlns:x="http://schemas.openxmlformats.org/spreadsheetml/2006/main" id="1" name="CornerCases" displayName="CornerCases" ref="A7:L163" headerRowCount="1" totalsRowCount="0" totalsRowShown="0">
  <x:autoFilter ref="A7:L163"/>
  <x:tableColumns count="12">
    <x:tableColumn id="1" name="场景编号"/>
    <x:tableColumn id="2" name="类别"/>
    <x:tableColumn id="3" name="场景名称"/>
    <x:tableColumn id="4" name="性质"/>
    <x:tableColumn id="5" name="前置条件"/>
    <x:tableColumn id="6" name="触发 / 逐拍过程"/>
    <x:tableColumn id="7" name="预期结果"/>
    <x:tableColumn id="8" name="检查 / 注错重点"/>
    <x:tableColumn id="9" name="建议验证方式"/>
    <x:tableColumn id="10" name="关联 SVA（不代表已覆盖）"/>
    <x:tableColumn id="11" name="关联明细 / 备注"/>
    <x:tableColumn id="12" name="本清单执行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States" displayName="CapacityStates" ref="A7:O197" headerRowCount="1" totalsRowCount="0" totalsRowShown="0">
  <x:autoFilter ref="A7:O197"/>
  <x:tableColumns count="15">
    <x:tableColumn id="1" name="状态编号"/>
    <x:tableColumn id="2" name="N0"/>
    <x:tableColumn id="3" name="N1"/>
    <x:tableColumn id="4" name="N2"/>
    <x:tableColumn id="5" name="总占用 N"/>
    <x:tableColumn id="6" name="非空源数"/>
    <x:tableColumn id="7" name="共享占用"/>
    <x:tableColumn id="8" name="保留后总量"/>
    <x:tableColumn id="9" name="无 R ready"/>
    <x:tableColumn id="10" name="R0 后 ready"/>
    <x:tableColumn id="11" name="R1 后 ready"/>
    <x:tableColumn id="12" name="R2 后 ready"/>
    <x:tableColumn id="13" name="N/R 组合数"/>
    <x:tableColumn id="14" name="AR/R 转换数"/>
    <x:tableColumn id="15" name="合法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cityTransitions" displayName="CapacityTransitions" ref="A7:Z2447" headerRowCount="1" totalsRowCount="0" totalsRowShown="0">
  <x:autoFilter ref="A7:Z2447"/>
  <x:tableColumns count="26">
    <x:tableColumn id="1" name="转换编号"/>
    <x:tableColumn id="2" name="原状态编号"/>
    <x:tableColumn id="3" name="动作分类"/>
    <x:tableColumn id="4" name="N0"/>
    <x:tableColumn id="5" name="N1"/>
    <x:tableColumn id="6" name="N2"/>
    <x:tableColumn id="7" name="N 总量"/>
    <x:tableColumn id="8" name="R 来源"/>
    <x:tableColumn id="9" name="arvalid"/>
    <x:tableColumn id="10" name="src"/>
    <x:tableColumn id="11" name="M0"/>
    <x:tableColumn id="12" name="M1"/>
    <x:tableColumn id="13" name="M2"/>
    <x:tableColumn id="14" name="R 后共享量"/>
    <x:tableColumn id="15" name="ready[2]"/>
    <x:tableColumn id="16" name="ready[1]"/>
    <x:tableColumn id="17" name="ready[0]"/>
    <x:tableColumn id="18" name="arready[2:0]"/>
    <x:tableColumn id="19" name="AR 接收 A"/>
    <x:tableColumn id="20" name="下一 N0"/>
    <x:tableColumn id="21" name="下一 N1"/>
    <x:tableColumn id="22" name="下一 N2"/>
    <x:tableColumn id="23" name="下一总量"/>
    <x:tableColumn id="24" name="总量变化"/>
    <x:tableColumn id="25" name="下一保留量"/>
    <x:tableColumn id="26" name="输入/容量规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mingTraces" displayName="TimingTraces" ref="A7:S44" headerRowCount="1" totalsRowCount="0" totalsRowShown="0">
  <x:autoFilter ref="A7:S44"/>
  <x:tableColumns count="19">
    <x:tableColumn id="1" name="时序编号"/>
    <x:tableColumn id="2" name="场景"/>
    <x:tableColumn id="3" name="周期"/>
    <x:tableColumn id="4" name="拍初 N0"/>
    <x:tableColumn id="5" name="拍初 N1"/>
    <x:tableColumn id="6" name="拍初 N2"/>
    <x:tableColumn id="7" name="拍初总量"/>
    <x:tableColumn id="8" name="R 来源"/>
    <x:tableColumn id="9" name="arvalid"/>
    <x:tableColumn id="10" name="src"/>
    <x:tableColumn id="11" name="arready[2:0]"/>
    <x:tableColumn id="12" name="AR 接收 A"/>
    <x:tableColumn id="13" name="边沿后 N0"/>
    <x:tableColumn id="14" name="边沿后 N1"/>
    <x:tableColumn id="15" name="边沿后 N2"/>
    <x:tableColumn id="16" name="边沿后总量"/>
    <x:tableColumn id="17" name="I 成功"/>
    <x:tableColumn id="18" name="M 捕获"/>
    <x:tableColumn id="19" name="本拍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currentEvents" displayName="ConcurrentEvents" ref="A7:M23" headerRowCount="1" totalsRowCount="0" totalsRowShown="0">
  <x:autoFilter ref="A7:M23"/>
  <x:tableColumns count="13">
    <x:tableColumn id="1" name="事件编号"/>
    <x:tableColumn id="2" name="A"/>
    <x:tableColumn id="3" name="I"/>
    <x:tableColumn id="4" name="M"/>
    <x:tableColumn id="5" name="R"/>
    <x:tableColumn id="6" name="Δ总占用 N"/>
    <x:tableColumn id="7" name="Δ待发 P"/>
    <x:tableColumn id="8" name="Δ已完成 D"/>
    <x:tableColumn id="9" name="前置条件"/>
    <x:tableColumn id="10" name="同拍处理与预期"/>
    <x:tableColumn id="11" name="事务 / 槽位关系"/>
    <x:tableColumn id="12" name="可达性说明"/>
    <x:tableColumn id="13" name="本清单执行结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tryAliasRules" displayName="EntryAliasRules" ref="I27:L33" headerRowCount="1" totalsRowCount="0" totalsRowShown="0">
  <x:autoFilter ref="I27:L33"/>
  <x:tableColumns count="4">
    <x:tableColumn id="1" name="事件对"/>
    <x:tableColumn id="2" name="同槽是否允许"/>
    <x:tableColumn id="3" name="原因"/>
    <x:tableColumn id="4" name="必须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lesAndEvidence" displayName="RulesAndEvidence" ref="A7:E32" headerRowCount="1" totalsRowCount="0" totalsRowShown="0">
  <x:autoFilter ref="A7:E32"/>
  <x:tableColumns count="5">
    <x:tableColumn id="1" name="规则编号"/>
    <x:tableColumn id="2" name="主题"/>
    <x:tableColumn id="3" name="定义 / 已知事实"/>
    <x:tableColumn id="4" name="适用边界 / 注意事项"/>
    <x:tableColumn id="5" name="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Sources" displayName="EvidenceSources" ref="A38:E47" headerRowCount="1" totalsRowCount="0" totalsRowShown="0">
  <x:autoFilter ref="A38:E47"/>
  <x:tableColumns count="5">
    <x:tableColumn id="1" name="来源编号"/>
    <x:tableColumn id="2" name="类型"/>
    <x:tableColumn id="3" name="文件（相对仓库根目录）"/>
    <x:tableColumn id="4" name="SHA256"/>
    <x:tableColumn id="5" name="字节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tegorySummary" displayName="CategorySummary" ref="G7:I19" headerRowCount="1" totalsRowCount="0" totalsRowShown="0">
  <x:autoFilter ref="G7:I19"/>
  <x:tableColumns count="3">
    <x:tableColumn id="1" name="场景分类"/>
    <x:tableColumn id="2" name="条目数"/>
    <x:tableColumn id="3" name="已通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708a20fc545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bba16aba9c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2e78e9725f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ea9b2f55de4d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355a8e902e4986" /><Relationship Type="http://schemas.openxmlformats.org/officeDocument/2006/relationships/table" Target="/xl/tables/table6.xml" Id="R35b3deae8b7b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b9bc4b9c60e4674" /><Relationship Type="http://schemas.openxmlformats.org/officeDocument/2006/relationships/table" Target="/xl/tables/table8.xml" Id="R1ff236ee98464c5e" /><Relationship Type="http://schemas.openxmlformats.org/officeDocument/2006/relationships/table" Target="/xl/tables/table9.xml" Id="R3ec28b246e9541e4" /></Relationships>
</file>

<file path=xl/worksheets/sheet1.xml><?xml version="1.0" encoding="utf-8"?>
<x:worksheet xmlns:x="http://schemas.openxmlformats.org/spreadsheetml/2006/main">
  <x:sheetPr>
    <x:tabColor rgb="FF24446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18.75" hidden="0" customWidth="1"/>
    <x:col min="3" max="3" width="25.6299991607666" hidden="0" customWidth="1"/>
    <x:col min="4" max="4" width="13.130000114440918" hidden="0" customWidth="1"/>
    <x:col min="5" max="5" width="33.130001068115234" hidden="0" customWidth="1"/>
    <x:col min="6" max="6" width="34.380001068115234" hidden="0" customWidth="1"/>
    <x:col min="7" max="7" width="42.5" hidden="0" customWidth="1"/>
    <x:col min="8" max="8" width="34.380001068115234" hidden="0" customWidth="1"/>
    <x:col min="9" max="9" width="31.25" hidden="0" customWidth="1"/>
    <x:col min="10" max="10" width="37.5" hidden="0" customWidth="1"/>
    <x:col min="11" max="11" width="28.75" hidden="0" customWidth="1"/>
    <x:col min="12" max="12" width="15.630000114440918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cmdbuf_rd Corner 场景清单</x:v>
      </x:c>
      <x:c r="B2" s="8"/>
      <x:c r="C2" s="8"/>
      <x:c r="D2" s="8"/>
      <x:c r="E2" s="8"/>
      <x:c r="F2" s="8"/>
      <x:c r="G2" s="8"/>
      <x:c r="H2" s="6"/>
      <x:c r="I2" s="6"/>
      <x:c r="J2" s="6"/>
      <x:c r="K2" s="6"/>
      <x:c r="L2" s="6"/>
    </x:row>
    <x:row r="3" ht="23" customHeight="1">
      <x:c r="A3" s="9" t="str">
        <x:v>2026-10-21 · 仅分析 rst_n=1、信号各位取 0/1 的正常运行阶段；不考虑复位及 X/Z。可按类别/性质筛选。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23" customHeight="1">
      <x:c r="A4" s="9" t="str">
        <x:f>"场景 "&amp;COUNTA(A8:A163)&amp;" 项；通过 "&amp;COUNTIF(L8:L163,"通过")&amp;" 项；失败 "&amp;COUNTIF(L8:L163,"失败")&amp;" 项；未逐项执行 "&amp;COUNTIF(L8:L163,"未逐项执行")&amp;" 项。"</x:f>
        <x:v>场景 156 项；通过 0 项；失败 0 项；未逐项执行 156 项。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23" customHeight="1">
      <x:c r="A5" s="9" t="str">
        <x:v>关联 SVA 是检查入口，不等于该场景已命中。黄色执行结果可更新；容量明细是规则枚举，不是新增 RTL 验证。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8" customHeight="1">
      <x:c r="A7" s="13" t="str">
        <x:v>场景编号</x:v>
      </x:c>
      <x:c r="B7" s="14" t="str">
        <x:v>类别</x:v>
      </x:c>
      <x:c r="C7" s="14" t="str">
        <x:v>场景名称</x:v>
      </x:c>
      <x:c r="D7" s="14" t="str">
        <x:v>性质</x:v>
      </x:c>
      <x:c r="E7" s="14" t="str">
        <x:v>前置条件</x:v>
      </x:c>
      <x:c r="F7" s="14" t="str">
        <x:v>触发 / 逐拍过程</x:v>
      </x:c>
      <x:c r="G7" s="14" t="str">
        <x:v>预期结果</x:v>
      </x:c>
      <x:c r="H7" s="14" t="str">
        <x:v>检查 / 注错重点</x:v>
      </x:c>
      <x:c r="I7" s="14" t="str">
        <x:v>建议验证方式</x:v>
      </x:c>
      <x:c r="J7" s="14" t="str">
        <x:v>关联 SVA（不代表已覆盖）</x:v>
      </x:c>
      <x:c r="K7" s="14" t="str">
        <x:v>关联明细 / 备注</x:v>
      </x:c>
      <x:c r="L7" s="15" t="str">
        <x:v>本清单执行结果</x:v>
      </x:c>
    </x:row>
    <x:row r="8" ht="58" customHeight="1">
      <x:c r="A8" s="16" t="str">
        <x:v>AR-01</x:v>
      </x:c>
      <x:c r="B8" s="16" t="str">
        <x:v>AR 接收与 src</x:v>
      </x:c>
      <x:c r="C8" s="16" t="str">
        <x:v>空表首次接收</x:v>
      </x:c>
      <x:c r="D8" s="16" t="str">
        <x:v>合法业务</x:v>
      </x:c>
      <x:c r="E8" s="16" t="str">
        <x:v>N=(0,0,0)，rst_n=1，无 R</x:v>
      </x:c>
      <x:c r="F8" s="16" t="str">
        <x:v>arvalid=1，依次覆盖 src=0/1/2</x:v>
      </x:c>
      <x:c r="G8" s="16" t="str">
        <x:v>arready=111；仅 src 对应计数加 1；一次只分配一项</x:v>
      </x:c>
      <x:c r="H8" s="16" t="str">
        <x:v>把 ready 三位当成三个并行 AR；一次分配多项</x:v>
      </x:c>
      <x:c r="I8" s="16" t="str">
        <x:v>assert 检查结果；cover 见证前提与事件；按需仿真</x:v>
      </x:c>
      <x:c r="J8" s="16" t="str">
        <x:v>A_READY
M_ALLOC
M_RANGE</x:v>
      </x:c>
      <x:c r="K8" s="16" t="str">
        <x:v>容量状态；容量转换</x:v>
      </x:c>
      <x:c r="L8" s="17" t="str">
        <x:v>未逐项执行</x:v>
      </x:c>
    </x:row>
    <x:row r="9" ht="58" customHeight="1">
      <x:c r="A9" s="16" t="str">
        <x:v>AR-02</x:v>
      </x:c>
      <x:c r="B9" s="16" t="str">
        <x:v>AR 接收与 src</x:v>
      </x:c>
      <x:c r="C9" s="16" t="str">
        <x:v>无请求时切换 src</x:v>
      </x:c>
      <x:c r="D9" s="16" t="str">
        <x:v>合法业务</x:v>
      </x:c>
      <x:c r="E9" s="16" t="str">
        <x:v>任一合法占用，无 R</x:v>
      </x:c>
      <x:c r="F9" s="16" t="str">
        <x:v>arvalid=0；src 在 0/1/2/3 之间切换</x:v>
      </x:c>
      <x:c r="G9" s="16" t="str">
        <x:v>不接收命令；占用不变；ready 不应由 src 变化而变化</x:v>
      </x:c>
      <x:c r="H9" s="16" t="str">
        <x:v>未以 arvalid 门控分配；src=3 越界索引</x:v>
      </x:c>
      <x:c r="I9" s="16" t="str">
        <x:v>assert 检查结果；cover 见证前提与事件；按需仿真</x:v>
      </x:c>
      <x:c r="J9" s="16" t="str">
        <x:v>A_READY
A_PENDING
M_RANGE</x:v>
      </x:c>
      <x:c r="K9" s="16" t="str">
        <x:v>容量转换中 arvalid=0 合并为一类</x:v>
      </x:c>
      <x:c r="L9" s="17" t="str">
        <x:v>未逐项执行</x:v>
      </x:c>
    </x:row>
    <x:row r="10" ht="58" customHeight="1">
      <x:c r="A10" s="16" t="str">
        <x:v>AR-03</x:v>
      </x:c>
      <x:c r="B10" s="16" t="str">
        <x:v>AR 接收与 src</x:v>
      </x:c>
      <x:c r="C10" s="16" t="str">
        <x:v>选中可接收来源</x:v>
      </x:c>
      <x:c r="D10" s="16" t="str">
        <x:v>合法业务</x:v>
      </x:c>
      <x:c r="E10" s="16" t="str">
        <x:v>arready 非零，所选 src 的位为 1</x:v>
      </x:c>
      <x:c r="F10" s="16" t="str">
        <x:v>arvalid=1，src=0/1/2</x:v>
      </x:c>
      <x:c r="G10" s="16" t="str">
        <x:v>A=1；只采样该拍共享负载并归属 src</x:v>
      </x:c>
      <x:c r="H10" s="16" t="str">
        <x:v>只检查 ready 非零，未检查对应 bit</x:v>
      </x:c>
      <x:c r="I10" s="16" t="str">
        <x:v>assert 检查结果；cover 见证前提与事件；按需仿真</x:v>
      </x:c>
      <x:c r="J10" s="16" t="str">
        <x:v>A_READY
M_ALLOC
A_XAU_R_ID_ORDER</x:v>
      </x:c>
      <x:c r="K10" s="16" t="str">
        <x:v>容量转换</x:v>
      </x:c>
      <x:c r="L10" s="17" t="str">
        <x:v>未逐项执行</x:v>
      </x:c>
    </x:row>
    <x:row r="11" ht="58" customHeight="1">
      <x:c r="A11" s="16" t="str">
        <x:v>AR-04</x:v>
      </x:c>
      <x:c r="B11" s="16" t="str">
        <x:v>AR 接收与 src</x:v>
      </x:c>
      <x:c r="C11" s="16" t="str">
        <x:v>选中被阻塞来源</x:v>
      </x:c>
      <x:c r="D11" s="16" t="str">
        <x:v>合法业务</x:v>
      </x:c>
      <x:c r="E11" s="16" t="str">
        <x:v>例如 N=(7,0,0)，无 R，ready=110</x:v>
      </x:c>
      <x:c r="F11" s="16" t="str">
        <x:v>arvalid=1，src=0</x:v>
      </x:c>
      <x:c r="G11" s="16" t="str">
        <x:v>A=0；不分配、不增加占用、不把请求加入年龄序列</x:v>
      </x:c>
      <x:c r="H11" s="16" t="str">
        <x:v>以任意 ready=1 错收请求</x:v>
      </x:c>
      <x:c r="I11" s="16" t="str">
        <x:v>assert 检查结果；cover 见证前提与事件；按需仿真</x:v>
      </x:c>
      <x:c r="J11" s="16" t="str">
        <x:v>A_READY
M_RANGE
A_PENDING</x:v>
      </x:c>
      <x:c r="K11" s="16" t="str">
        <x:v>W01 C2</x:v>
      </x:c>
      <x:c r="L11" s="17" t="str">
        <x:v>未逐项执行</x:v>
      </x:c>
    </x:row>
    <x:row r="12" ht="58" customHeight="1">
      <x:c r="A12" s="16" t="str">
        <x:v>AR-05</x:v>
      </x:c>
      <x:c r="B12" s="16" t="str">
        <x:v>AR 接收与 src</x:v>
      </x:c>
      <x:c r="C12" s="16" t="str">
        <x:v>被阻塞后切换来源</x:v>
      </x:c>
      <x:c r="D12" s="16" t="str">
        <x:v>合法业务</x:v>
      </x:c>
      <x:c r="E12" s="16" t="str">
        <x:v>N=(7,0,0)，src0 未被接收</x:v>
      </x:c>
      <x:c r="F12" s="16" t="str">
        <x:v>下一拍换 src1；可同时更换地址、ID 和 port_id</x:v>
      </x:c>
      <x:c r="G12" s="16" t="str">
        <x:v>新拍若 ready[1]=1 则只接收新请求；前一拍不形成事务</x:v>
      </x:c>
      <x:c r="H12" s="16" t="str">
        <x:v>把未握手请求锁住；错误加入 AXI hold 约束</x:v>
      </x:c>
      <x:c r="I12" s="16" t="str">
        <x:v>assert 检查结果；cover 见证前提与事件；按需仿真</x:v>
      </x:c>
      <x:c r="J12" s="16" t="str">
        <x:v>A_READY
A_R_METADATA</x:v>
      </x:c>
      <x:c r="K12" s="16" t="str">
        <x:v>W01 C2→C3</x:v>
      </x:c>
      <x:c r="L12" s="17" t="str">
        <x:v>未逐项执行</x:v>
      </x:c>
    </x:row>
    <x:row r="13" ht="58" customHeight="1">
      <x:c r="A13" s="16" t="str">
        <x:v>AR-06</x:v>
      </x:c>
      <x:c r="B13" s="16" t="str">
        <x:v>AR 接收与 src</x:v>
      </x:c>
      <x:c r="C13" s="16" t="str">
        <x:v>同源连续接收</x:v>
      </x:c>
      <x:c r="D13" s="16" t="str">
        <x:v>合法业务</x:v>
      </x:c>
      <x:c r="E13" s="16" t="str">
        <x:v>有容量且每拍所选 ready=1</x:v>
      </x:c>
      <x:c r="F13" s="16" t="str">
        <x:v>连续数拍 arvalid=1、src 相同，负载每拍变化</x:v>
      </x:c>
      <x:c r="G13" s="16" t="str">
        <x:v>每拍独立接收；年龄按握手拍排序；无 valid 下降沿要求</x:v>
      </x:c>
      <x:c r="H13" s="16" t="str">
        <x:v>只识别 valid 上升沿导致漏单</x:v>
      </x:c>
      <x:c r="I13" s="16" t="str">
        <x:v>assert 检查结果；cover 见证前提与事件；按需仿真</x:v>
      </x:c>
      <x:c r="J13" s="16" t="str">
        <x:v>A_XAU_R_ID_ORDER
A_XAU_R_PORT_ORDER</x:v>
      </x:c>
      <x:c r="K13" s="16" t="str">
        <x:v>容量转换</x:v>
      </x:c>
      <x:c r="L13" s="17" t="str">
        <x:v>未逐项执行</x:v>
      </x:c>
    </x:row>
    <x:row r="14" ht="58" customHeight="1">
      <x:c r="A14" s="16" t="str">
        <x:v>AR-07</x:v>
      </x:c>
      <x:c r="B14" s="16" t="str">
        <x:v>AR 接收与 src</x:v>
      </x:c>
      <x:c r="C14" s="16" t="str">
        <x:v>不同源连续切换</x:v>
      </x:c>
      <x:c r="D14" s="16" t="str">
        <x:v>合法业务</x:v>
      </x:c>
      <x:c r="E14" s="16" t="str">
        <x:v>有容量</x:v>
      </x:c>
      <x:c r="F14" s="16" t="str">
        <x:v>src 按 0→2→1→0 切换，每拍实际握手</x:v>
      </x:c>
      <x:c r="G14" s="16" t="str">
        <x:v>三路分别计数与保序；共享 AR 每拍仍最多一单</x:v>
      </x:c>
      <x:c r="H14" s="16" t="str">
        <x:v>以固定轮询顺序代替实际 src 归属</x:v>
      </x:c>
      <x:c r="I14" s="16" t="str">
        <x:v>assert 检查结果；cover 见证前提与事件；按需仿真</x:v>
      </x:c>
      <x:c r="J14" s="16" t="str">
        <x:v>A_READY
A_XAU_R_ID_ORDER</x:v>
      </x:c>
      <x:c r="K14" s="16" t="str">
        <x:v>逐拍场景可扩展此激励</x:v>
      </x:c>
      <x:c r="L14" s="17" t="str">
        <x:v>未逐项执行</x:v>
      </x:c>
    </x:row>
    <x:row r="15" ht="58" customHeight="1">
      <x:c r="A15" s="16" t="str">
        <x:v>AR-08</x:v>
      </x:c>
      <x:c r="B15" s="16" t="str">
        <x:v>AR 接收与 src</x:v>
      </x:c>
      <x:c r="C15" s="16" t="str">
        <x:v>全不 ready 时空拍</x:v>
      </x:c>
      <x:c r="D15" s="16" t="str">
        <x:v>合法业务</x:v>
      </x:c>
      <x:c r="E15" s="16" t="str">
        <x:v>N=9 且无 R</x:v>
      </x:c>
      <x:c r="F15" s="16" t="str">
        <x:v>arready=000，环境令 arvalid=0，src 任意</x:v>
      </x:c>
      <x:c r="G15" s="16" t="str">
        <x:v>不接收；src 不决定何时恢复 ready；恢复取决于实际 R</x:v>
      </x:c>
      <x:c r="H15" s="16" t="str">
        <x:v>误要求 src 变化能解除满载</x:v>
      </x:c>
      <x:c r="I15" s="16" t="str">
        <x:v>assert 检查结果；cover 见证前提与事件；按需仿真</x:v>
      </x:c>
      <x:c r="J15" s="16" t="str">
        <x:v>E05_ZERO_READY
A_READY</x:v>
      </x:c>
      <x:c r="K15" s="16" t="str">
        <x:v>容量状态 N=9</x:v>
      </x:c>
      <x:c r="L15" s="17" t="str">
        <x:v>未逐项执行</x:v>
      </x:c>
    </x:row>
    <x:row r="16" ht="58" customHeight="1">
      <x:c r="A16" s="16" t="str">
        <x:v>AR-09</x:v>
      </x:c>
      <x:c r="B16" s="16" t="str">
        <x:v>AR 接收与 src</x:v>
      </x:c>
      <x:c r="C16" s="16" t="str">
        <x:v>全不 ready 仍拉 valid</x:v>
      </x:c>
      <x:c r="D16" s="16" t="str">
        <x:v>环境违约</x:v>
      </x:c>
      <x:c r="E16" s="16" t="str">
        <x:v>arready=000</x:v>
      </x:c>
      <x:c r="F16" s="16" t="str">
        <x:v>注入 arvalid=1</x:v>
      </x:c>
      <x:c r="G16" s="16" t="str">
        <x:v>违反输入约束 E05；不能作为合法业务反例；单独检查约束监测</x:v>
      </x:c>
      <x:c r="H16" s="16" t="str">
        <x:v>在保留 E05 时求该 cover，导致不可达</x:v>
      </x:c>
      <x:c r="I16" s="16" t="str">
        <x:v>独立负向仿真/约束审计；不可保留冲突 assume 后再求 cover</x:v>
      </x:c>
      <x:c r="J16" s="16" t="str">
        <x:v>E05_ZERO_READY</x:v>
      </x:c>
      <x:c r="K16" s="16" t="str">
        <x:v>规则与证据 ENV</x:v>
      </x:c>
      <x:c r="L16" s="17" t="str">
        <x:v>未逐项执行</x:v>
      </x:c>
    </x:row>
    <x:row r="17" ht="58" customHeight="1">
      <x:c r="A17" s="16" t="str">
        <x:v>AR-10</x:v>
      </x:c>
      <x:c r="B17" s="16" t="str">
        <x:v>AR 接收与 src</x:v>
      </x:c>
      <x:c r="C17" s="16" t="str">
        <x:v>有效请求 src=3</x:v>
      </x:c>
      <x:c r="D17" s="16" t="str">
        <x:v>环境违约</x:v>
      </x:c>
      <x:c r="E17" s="16" t="str">
        <x:v>arvalid=1</x:v>
      </x:c>
      <x:c r="F17" s="16" t="str">
        <x:v>src=2'b11</x:v>
      </x:c>
      <x:c r="G17" s="16" t="str">
        <x:v>违反 E03；不能分配给不存在的第四路；无合法业务承诺</x:v>
      </x:c>
      <x:c r="H17" s="16" t="str">
        <x:v>无效索引导致误分配或污染计数</x:v>
      </x:c>
      <x:c r="I17" s="16" t="str">
        <x:v>独立负向仿真/约束审计；不可保留冲突 assume 后再求 cover</x:v>
      </x:c>
      <x:c r="J17" s="16" t="str">
        <x:v>E03_SRC</x:v>
      </x:c>
      <x:c r="K17" s="16" t="str">
        <x:v>规则与证据 ENV</x:v>
      </x:c>
      <x:c r="L17" s="17" t="str">
        <x:v>未逐项执行</x:v>
      </x:c>
    </x:row>
    <x:row r="18" ht="58" customHeight="1">
      <x:c r="A18" s="16" t="str">
        <x:v>AR-11</x:v>
      </x:c>
      <x:c r="B18" s="16" t="str">
        <x:v>AR 接收与 src</x:v>
      </x:c>
      <x:c r="C18" s="16" t="str">
        <x:v>AR 无效负载任意变化</x:v>
      </x:c>
      <x:c r="D18" s="16" t="str">
        <x:v>合法业务</x:v>
      </x:c>
      <x:c r="E18" s="16" t="str">
        <x:v>arvalid=0</x:v>
      </x:c>
      <x:c r="F18" s="16" t="str">
        <x:v>地址、arid、port_id、arresp 改变</x:v>
      </x:c>
      <x:c r="G18" s="16" t="str">
        <x:v>不采样这些字段；不得改变当前事务内容</x:v>
      </x:c>
      <x:c r="H18" s="16" t="str">
        <x:v>无 arvalid 时刷新已有 entry</x:v>
      </x:c>
      <x:c r="I18" s="16" t="str">
        <x:v>assert 检查结果；cover 见证前提与事件；按需仿真</x:v>
      </x:c>
      <x:c r="J18" s="16" t="str">
        <x:v>A_R_METADATA
A_XAU_R_DATA_ORDER</x:v>
      </x:c>
      <x:c r="K18" s="16" t="str">
        <x:v>规则与证据 VALID</x:v>
      </x:c>
      <x:c r="L18" s="17" t="str">
        <x:v>未逐项执行</x:v>
      </x:c>
    </x:row>
    <x:row r="19" ht="58" customHeight="1">
      <x:c r="A19" s="16" t="str">
        <x:v>AR-12</x:v>
      </x:c>
      <x:c r="B19" s="16" t="str">
        <x:v>AR 接收与 src</x:v>
      </x:c>
      <x:c r="C19" s="16" t="str">
        <x:v>相同负载重复握手</x:v>
      </x:c>
      <x:c r="D19" s="16" t="str">
        <x:v>合法业务</x:v>
      </x:c>
      <x:c r="E19" s="16" t="str">
        <x:v>两次 AR 地址、ID、port_id 完全相同</x:v>
      </x:c>
      <x:c r="F19" s="16" t="str">
        <x:v>两拍分别 A=1</x:v>
      </x:c>
      <x:c r="G19" s="16" t="str">
        <x:v>是两条不同事务；占两项；每条分别发射和响应</x:v>
      </x:c>
      <x:c r="H19" s="16" t="str">
        <x:v>以地址/ID 去重；用 arid 代替年龄</x:v>
      </x:c>
      <x:c r="I19" s="16" t="str">
        <x:v>assert 检查结果；cover 见证前提与事件；按需仿真</x:v>
      </x:c>
      <x:c r="J19" s="16" t="str">
        <x:v>A_XAU_R_HAS_PENDING
A_XAU_R_ID_ORDER</x:v>
      </x:c>
      <x:c r="K19" s="16" t="str">
        <x:v>不要求 arid 唯一</x:v>
      </x:c>
      <x:c r="L19" s="17" t="str">
        <x:v>未逐项执行</x:v>
      </x:c>
    </x:row>
    <x:row r="20" ht="58" customHeight="1">
      <x:c r="A20" s="16" t="str">
        <x:v>AR-13</x:v>
      </x:c>
      <x:c r="B20" s="16" t="str">
        <x:v>AR 接收与 src</x:v>
      </x:c>
      <x:c r="C20" s="16" t="str">
        <x:v>本拍 src 不直接决定 ready</x:v>
      </x:c>
      <x:c r="D20" s="16" t="str">
        <x:v>合法业务</x:v>
      </x:c>
      <x:c r="E20" s="16" t="str">
        <x:v>固定 N、R，选择不同合法 src</x:v>
      </x:c>
      <x:c r="F20" s="16" t="str">
        <x:v>仅切换 src，保持 rready 与完成状态不变</x:v>
      </x:c>
      <x:c r="G20" s="16" t="str">
        <x:v>ready 三位保持相同；只有 A 的来源和下一拍占用可变</x:v>
      </x:c>
      <x:c r="H20" s="16" t="str">
        <x:v>把 src 编入 ready 的组合反馈</x:v>
      </x:c>
      <x:c r="I20" s="16" t="str">
        <x:v>assert 检查结果；cover 见证前提与事件；按需仿真</x:v>
      </x:c>
      <x:c r="J20" s="16" t="str">
        <x:v>A_READY</x:v>
      </x:c>
      <x:c r="K20" s="16" t="str">
        <x:v>容量转换，同一 N/R 分组</x:v>
      </x:c>
      <x:c r="L20" s="17" t="str">
        <x:v>未逐项执行</x:v>
      </x:c>
    </x:row>
    <x:row r="21" ht="58" customHeight="1">
      <x:c r="A21" s="16" t="str">
        <x:v>AR-14</x:v>
      </x:c>
      <x:c r="B21" s="16" t="str">
        <x:v>AR 接收与 src</x:v>
      </x:c>
      <x:c r="C21" s="16" t="str">
        <x:v>本拍 valid 不直接决定 ready</x:v>
      </x:c>
      <x:c r="D21" s="16" t="str">
        <x:v>合法业务</x:v>
      </x:c>
      <x:c r="E21" s="16" t="str">
        <x:v>固定 N 与 R</x:v>
      </x:c>
      <x:c r="F21" s="16" t="str">
        <x:v>arvalid 在 0/1 间改变，遵守全零 ready 约束</x:v>
      </x:c>
      <x:c r="G21" s="16" t="str">
        <x:v>ready 本拍不变；不允许由 A 反推 ready 构成环路</x:v>
      </x:c>
      <x:c r="H21" s="16" t="str">
        <x:v>使用加上本拍 A 的占用计算本拍 ready</x:v>
      </x:c>
      <x:c r="I21" s="16" t="str">
        <x:v>assert 检查结果；cover 见证前提与事件；按需仿真</x:v>
      </x:c>
      <x:c r="J21" s="16" t="str">
        <x:v>A_READY</x:v>
      </x:c>
      <x:c r="K21" s="16" t="str">
        <x:v>容量转换，同一 N/R 分组</x:v>
      </x:c>
      <x:c r="L21" s="17" t="str">
        <x:v>未逐项执行</x:v>
      </x:c>
    </x:row>
    <x:row r="22" ht="58" customHeight="1">
      <x:c r="A22" s="16" t="str">
        <x:v>AR-15</x:v>
      </x:c>
      <x:c r="B22" s="16" t="str">
        <x:v>AR 接收与 src</x:v>
      </x:c>
      <x:c r="C22" s="16" t="str">
        <x:v>非采样瞬间的组合变化</x:v>
      </x:c>
      <x:c r="D22" s="16" t="str">
        <x:v>集成边界</x:v>
      </x:c>
      <x:c r="E22" s="16" t="str">
        <x:v>时钟边沿前后分别观察</x:v>
      </x:c>
      <x:c r="F22" s="16" t="str">
        <x:v>rready 变化使 R 胜者改变，再观察 ready 与 AR 握手</x:v>
      </x:c>
      <x:c r="G22" s="16" t="str">
        <x:v>用上升沿稳定值定义 A/R；ready 是组合输出，不要求整拍恒定</x:v>
      </x:c>
      <x:c r="H22" s="16" t="str">
        <x:v>用波形毛刺当成多次接收；误按注册 ready 采样</x:v>
      </x:c>
      <x:c r="I22" s="16" t="str">
        <x:v>集成定向测试；先明确边界条件，再设断言</x:v>
      </x:c>
      <x:c r="J22" s="16" t="str">
        <x:v>A_READY
A_R_READY</x:v>
      </x:c>
      <x:c r="K22" s="16" t="str">
        <x:v>规则与证据 TIME</x:v>
      </x:c>
      <x:c r="L22" s="17" t="str">
        <x:v>未逐项执行</x:v>
      </x:c>
    </x:row>
    <x:row r="23" ht="58" customHeight="1">
      <x:c r="A23" s="16" t="str">
        <x:v>AR-16</x:v>
      </x:c>
      <x:c r="B23" s="16" t="str">
        <x:v>AR 接收与 src</x:v>
      </x:c>
      <x:c r="C23" s="16" t="str">
        <x:v>有效时字段的边界值</x:v>
      </x:c>
      <x:c r="D23" s="16" t="str">
        <x:v>合法业务</x:v>
      </x:c>
      <x:c r="E23" s="16" t="str">
        <x:v>每个 src 有容量</x:v>
      </x:c>
      <x:c r="F23" s="16" t="str">
        <x:v>araddr=0/18'h3ffff，arid=0/255，port_id=0/31，并遍历 raddr 0..7</x:v>
      </x:c>
      <x:c r="G23" s="16" t="str">
        <x:v>有效负载位宽不截断；返回所属事务字段；地址越界由 arresp 指示</x:v>
      </x:c>
      <x:c r="H23" s="16" t="str">
        <x:v>有符号扩展、位切片错误；仅凭地址自行判越界</x:v>
      </x:c>
      <x:c r="I23" s="16" t="str">
        <x:v>assert 检查结果；cover 见证前提与事件；按需仿真</x:v>
      </x:c>
      <x:c r="J23" s="16" t="str">
        <x:v>A_ARB_ADDR
A_R_METADATA
A_XAU_R_ADDR_ORDER</x:v>
      </x:c>
      <x:c r="K23" s="16" t="str">
        <x:v>ERR；ARB 边界</x:v>
      </x:c>
      <x:c r="L23" s="17" t="str">
        <x:v>未逐项执行</x:v>
      </x:c>
    </x:row>
    <x:row r="24" ht="58" customHeight="1">
      <x:c r="A24" s="16" t="str">
        <x:v>AR-17</x:v>
      </x:c>
      <x:c r="B24" s="16" t="str">
        <x:v>AR 接收与 src</x:v>
      </x:c>
      <x:c r="C24" s="16" t="str">
        <x:v>AR 与 R 来源相同</x:v>
      </x:c>
      <x:c r="D24" s="16" t="str">
        <x:v>合法业务</x:v>
      </x:c>
      <x:c r="E24" s="16" t="str">
        <x:v>该源旧队头可响应，当前有容量或可回收</x:v>
      </x:c>
      <x:c r="F24" s="16" t="str">
        <x:v>同拍 R_s=1、A_s=1</x:v>
      </x:c>
      <x:c r="G24" s="16" t="str">
        <x:v>N_s 不变；旧头弹出，新命令放到该源末尾</x:v>
      </x:c>
      <x:c r="H24" s="16" t="str">
        <x:v>把同拍新 AR 当作刚返回的旧命令</x:v>
      </x:c>
      <x:c r="I24" s="16" t="str">
        <x:v>assert 检查结果；cover 见证前提与事件；按需仿真</x:v>
      </x:c>
      <x:c r="J24" s="16" t="str">
        <x:v>C_XAU_SAME_CYCLE_POP_PUSH
A_XAU_R_ID_ORDER</x:v>
      </x:c>
      <x:c r="K24" s="16" t="str">
        <x:v>W02；并发事件 A/R</x:v>
      </x:c>
      <x:c r="L24" s="17" t="str">
        <x:v>未逐项执行</x:v>
      </x:c>
    </x:row>
    <x:row r="25" ht="58" customHeight="1">
      <x:c r="A25" s="16" t="str">
        <x:v>AR-18</x:v>
      </x:c>
      <x:c r="B25" s="16" t="str">
        <x:v>AR 接收与 src</x:v>
      </x:c>
      <x:c r="C25" s="16" t="str">
        <x:v>AR 与 R 来源不同</x:v>
      </x:c>
      <x:c r="D25" s="16" t="str">
        <x:v>合法业务</x:v>
      </x:c>
      <x:c r="E25" s="16" t="str">
        <x:v>源 s 响应，源 t 的 ready[t]=1</x:v>
      </x:c>
      <x:c r="F25" s="16" t="str">
        <x:v>同拍 R_s=1、A_t=1，s≠t</x:v>
      </x:c>
      <x:c r="G25" s="16" t="str">
        <x:v>总 N 不变；N_s 减 1、N_t 加 1；逐源顺序不串扰</x:v>
      </x:c>
      <x:c r="H25" s="16" t="str">
        <x:v>总量正确但分路计数错</x:v>
      </x:c>
      <x:c r="I25" s="16" t="str">
        <x:v>assert 检查结果；cover 见证前提与事件；按需仿真</x:v>
      </x:c>
      <x:c r="J25" s="16" t="str">
        <x:v>A_READY
M_RANGE
A_XAU_R_ID_ORDER</x:v>
      </x:c>
      <x:c r="K25" s="16" t="str">
        <x:v>W02/W04</x:v>
      </x:c>
      <x:c r="L25" s="17" t="str">
        <x:v>未逐项执行</x:v>
      </x:c>
    </x:row>
    <x:row r="26" ht="58" customHeight="1">
      <x:c r="A26" s="16" t="str">
        <x:v>AR-19</x:v>
      </x:c>
      <x:c r="B26" s="16" t="str">
        <x:v>AR 接收与 src</x:v>
      </x:c>
      <x:c r="C26" s="16" t="str">
        <x:v>R 已发生但所选源不能接收</x:v>
      </x:c>
      <x:c r="D26" s="16" t="str">
        <x:v>合法业务</x:v>
      </x:c>
      <x:c r="E26" s="16" t="str">
        <x:v>例如 (4,4,1) 本拍 R2，ready=100</x:v>
      </x:c>
      <x:c r="F26" s="16" t="str">
        <x:v>arvalid=1、src0 或 src1</x:v>
      </x:c>
      <x:c r="G26" s="16" t="str">
        <x:v>R 仍正常回收，AR 不接收，总占用由 9 降到 8</x:v>
      </x:c>
      <x:c r="H26" s="16" t="str">
        <x:v>因 AR 阻塞取消 R；认为有 R 则任何源可接收</x:v>
      </x:c>
      <x:c r="I26" s="16" t="str">
        <x:v>assert 检查结果；cover 见证前提与事件；按需仿真</x:v>
      </x:c>
      <x:c r="J26" s="16" t="str">
        <x:v>A_READY
A_R_READY</x:v>
      </x:c>
      <x:c r="K26" s="16" t="str">
        <x:v>W03 C2</x:v>
      </x:c>
      <x:c r="L26" s="17" t="str">
        <x:v>未逐项执行</x:v>
      </x:c>
    </x:row>
    <x:row r="27" ht="58" customHeight="1">
      <x:c r="A27" s="16" t="str">
        <x:v>AR-20</x:v>
      </x:c>
      <x:c r="B27" s="16" t="str">
        <x:v>AR 接收与 src</x:v>
      </x:c>
      <x:c r="C27" s="16" t="str">
        <x:v>没有上游公平保证</x:v>
      </x:c>
      <x:c r="D27" s="16" t="str">
        <x:v>集成边界</x:v>
      </x:c>
      <x:c r="E27" s="16" t="str">
        <x:v>ready 至少一位有效，某一路持续有需求</x:v>
      </x:c>
      <x:c r="F27" s="16" t="str">
        <x:v>上游长期只选另一路或被阻塞的 src</x:v>
      </x:c>
      <x:c r="G27" s="16" t="str">
        <x:v>DUT 保留容量许可，但不能保证未被送到共享 AR 的请求最终接收</x:v>
      </x:c>
      <x:c r="H27" s="16" t="str">
        <x:v>把容量保护误写成无条件接收活性</x:v>
      </x:c>
      <x:c r="I27" s="16" t="str">
        <x:v>集成定向测试；先明确边界条件，再设断言</x:v>
      </x:c>
      <x:c r="J27" s="16" t="str">
        <x:v>A_READY</x:v>
      </x:c>
      <x:c r="K27" s="16" t="str">
        <x:v>规则与证据 LIVE</x:v>
      </x:c>
      <x:c r="L27" s="17" t="str">
        <x:v>未逐项执行</x:v>
      </x:c>
    </x:row>
    <x:row r="28" ht="58" customHeight="1">
      <x:c r="A28" s="16" t="str">
        <x:v>CAP-01</x:v>
      </x:c>
      <x:c r="B28" s="16" t="str">
        <x:v>容量与来源保护</x:v>
      </x:c>
      <x:c r="C28" s="16" t="str">
        <x:v>总量 0 到 6</x:v>
      </x:c>
      <x:c r="D28" s="16" t="str">
        <x:v>合法业务</x:v>
      </x:c>
      <x:c r="E28" s="16" t="str">
        <x:v>任意合法分配，N≤6</x:v>
      </x:c>
      <x:c r="F28" s="16" t="str">
        <x:v>无 R，查询三个 ready</x:v>
      </x:c>
      <x:c r="G28" s="16" t="str">
        <x:v>ready=111；所有来源均可再收一项</x:v>
      </x:c>
      <x:c r="H28" s="16" t="str">
        <x:v>错设每源固定三项额度</x:v>
      </x:c>
      <x:c r="I28" s="16" t="str">
        <x:v>assert 检查结果；cover 见证前提与事件；按需仿真</x:v>
      </x:c>
      <x:c r="J28" s="16" t="str">
        <x:v>A_READY</x:v>
      </x:c>
      <x:c r="K28" s="16" t="str">
        <x:v>容量状态 N=0..6</x:v>
      </x:c>
      <x:c r="L28" s="17" t="str">
        <x:v>未逐项执行</x:v>
      </x:c>
    </x:row>
    <x:row r="29" ht="58" customHeight="1">
      <x:c r="A29" s="16" t="str">
        <x:v>CAP-02</x:v>
      </x:c>
      <x:c r="B29" s="16" t="str">
        <x:v>容量与来源保护</x:v>
      </x:c>
      <x:c r="C29" s="16" t="str">
        <x:v>单源从 6 到 7</x:v>
      </x:c>
      <x:c r="D29" s="16" t="str">
        <x:v>合法业务</x:v>
      </x:c>
      <x:c r="E29" s="16" t="str">
        <x:v>N=(6,0,0)，无 R</x:v>
      </x:c>
      <x:c r="F29" s="16" t="str">
        <x:v>src0 握手一次</x:v>
      </x:c>
      <x:c r="G29" s="16" t="str">
        <x:v>本拍 ready=111；下一拍 (7,0,0)、ready=110</x:v>
      </x:c>
      <x:c r="H29" s="16" t="str">
        <x:v>提前一拍阻塞；延后一拍允许第 8 项</x:v>
      </x:c>
      <x:c r="I29" s="16" t="str">
        <x:v>assert 检查结果；cover 见证前提与事件；按需仿真</x:v>
      </x:c>
      <x:c r="J29" s="16" t="str">
        <x:v>A_READY
C_CAPACITY700</x:v>
      </x:c>
      <x:c r="K29" s="16" t="str">
        <x:v>W01 C1→C2</x:v>
      </x:c>
      <x:c r="L29" s="17" t="str">
        <x:v>未逐项执行</x:v>
      </x:c>
    </x:row>
    <x:row r="30" ht="58" customHeight="1">
      <x:c r="A30" s="16" t="str">
        <x:v>CAP-03</x:v>
      </x:c>
      <x:c r="B30" s="16" t="str">
        <x:v>容量与来源保护</x:v>
      </x:c>
      <x:c r="C30" s="16" t="str">
        <x:v>单源七项被限制</x:v>
      </x:c>
      <x:c r="D30" s="16" t="str">
        <x:v>合法业务</x:v>
      </x:c>
      <x:c r="E30" s="16" t="str">
        <x:v>N=(7,0,0)，无 R</x:v>
      </x:c>
      <x:c r="F30" s="16" t="str">
        <x:v>持续向 src0 请求</x:v>
      </x:c>
      <x:c r="G30" s="16" t="str">
        <x:v>不得接收第 8 项；src1/2 仍各可接收首项</x:v>
      </x:c>
      <x:c r="H30" s="16" t="str">
        <x:v>只检查总数&lt;9 导致一源占满</x:v>
      </x:c>
      <x:c r="I30" s="16" t="str">
        <x:v>assert 检查结果；cover 见证前提与事件；按需仿真</x:v>
      </x:c>
      <x:c r="J30" s="16" t="str">
        <x:v>A_READY
M_QUOTA</x:v>
      </x:c>
      <x:c r="K30" s="16" t="str">
        <x:v>W01</x:v>
      </x:c>
      <x:c r="L30" s="17" t="str">
        <x:v>未逐项执行</x:v>
      </x:c>
    </x:row>
    <x:row r="31" ht="58" customHeight="1">
      <x:c r="A31" s="16" t="str">
        <x:v>CAP-04</x:v>
      </x:c>
      <x:c r="B31" s="16" t="str">
        <x:v>容量与来源保护</x:v>
      </x:c>
      <x:c r="C31" s="16" t="str">
        <x:v>总量七项但多源有数据</x:v>
      </x:c>
      <x:c r="D31" s="16" t="str">
        <x:v>合法业务</x:v>
      </x:c>
      <x:c r="E31" s="16" t="str">
        <x:v>例如 (6,1,0)、(5,1,1)</x:v>
      </x:c>
      <x:c r="F31" s="16" t="str">
        <x:v>无 R</x:v>
      </x:c>
      <x:c r="G31" s="16" t="str">
        <x:v>ready=111；不能把所有 N=7 都按单源七项处理</x:v>
      </x:c>
      <x:c r="H31" s="16" t="str">
        <x:v>只依总量判断额度</x:v>
      </x:c>
      <x:c r="I31" s="16" t="str">
        <x:v>assert 检查结果；cover 见证前提与事件；按需仿真</x:v>
      </x:c>
      <x:c r="J31" s="16" t="str">
        <x:v>A_READY</x:v>
      </x:c>
      <x:c r="K31" s="16" t="str">
        <x:v>容量状态 N=7</x:v>
      </x:c>
      <x:c r="L31" s="17" t="str">
        <x:v>未逐项执行</x:v>
      </x:c>
    </x:row>
    <x:row r="32" ht="58" customHeight="1">
      <x:c r="A32" s="16" t="str">
        <x:v>CAP-05</x:v>
      </x:c>
      <x:c r="B32" s="16" t="str">
        <x:v>容量与来源保护</x:v>
      </x:c>
      <x:c r="C32" s="16" t="str">
        <x:v>总量八项且一源为空</x:v>
      </x:c>
      <x:c r="D32" s="16" t="str">
        <x:v>合法业务</x:v>
      </x:c>
      <x:c r="E32" s="16" t="str">
        <x:v>例如 (7,1,0)、(4,4,0)</x:v>
      </x:c>
      <x:c r="F32" s="16" t="str">
        <x:v>无 R，各 src 尝试</x:v>
      </x:c>
      <x:c r="G32" s="16" t="str">
        <x:v>ready=100；空源的保留首项可接收，已有源不可增长</x:v>
      </x:c>
      <x:c r="H32" s="16" t="str">
        <x:v>只做每源≤7；误接 (5,4,0)</x:v>
      </x:c>
      <x:c r="I32" s="16" t="str">
        <x:v>assert 检查结果；cover 见证前提与事件；按需仿真</x:v>
      </x:c>
      <x:c r="J32" s="16" t="str">
        <x:v>A_READY
C_CAPACITY440</x:v>
      </x:c>
      <x:c r="K32" s="16" t="str">
        <x:v>W01 C4/C5</x:v>
      </x:c>
      <x:c r="L32" s="17" t="str">
        <x:v>未逐项执行</x:v>
      </x:c>
    </x:row>
    <x:row r="33" ht="58" customHeight="1">
      <x:c r="A33" s="16" t="str">
        <x:v>CAP-06</x:v>
      </x:c>
      <x:c r="B33" s="16" t="str">
        <x:v>容量与来源保护</x:v>
      </x:c>
      <x:c r="C33" s="16" t="str">
        <x:v>总量八项且三源非空</x:v>
      </x:c>
      <x:c r="D33" s="16" t="str">
        <x:v>合法业务</x:v>
      </x:c>
      <x:c r="E33" s="16" t="str">
        <x:v>例如 (6,1,1)、(3,3,2)</x:v>
      </x:c>
      <x:c r="F33" s="16" t="str">
        <x:v>无 R</x:v>
      </x:c>
      <x:c r="G33" s="16" t="str">
        <x:v>ready=111；任何一源可使用最后一项</x:v>
      </x:c>
      <x:c r="H33" s="16" t="str">
        <x:v>把 N=8 一律只开放某个源</x:v>
      </x:c>
      <x:c r="I33" s="16" t="str">
        <x:v>assert 检查结果；cover 见证前提与事件；按需仿真</x:v>
      </x:c>
      <x:c r="J33" s="16" t="str">
        <x:v>A_READY</x:v>
      </x:c>
      <x:c r="K33" s="16" t="str">
        <x:v>W04 C1</x:v>
      </x:c>
      <x:c r="L33" s="17" t="str">
        <x:v>未逐项执行</x:v>
      </x:c>
    </x:row>
    <x:row r="34" ht="58" customHeight="1">
      <x:c r="A34" s="16" t="str">
        <x:v>CAP-07</x:v>
      </x:c>
      <x:c r="B34" s="16" t="str">
        <x:v>容量与来源保护</x:v>
      </x:c>
      <x:c r="C34" s="16" t="str">
        <x:v>总量九项无回收</x:v>
      </x:c>
      <x:c r="D34" s="16" t="str">
        <x:v>合法业务</x:v>
      </x:c>
      <x:c r="E34" s="16" t="str">
        <x:v>任意合法满载分布，三源均非空</x:v>
      </x:c>
      <x:c r="F34" s="16" t="str">
        <x:v>R=0</x:v>
      </x:c>
      <x:c r="G34" s="16" t="str">
        <x:v>ready=000；arvalid 必须为 0</x:v>
      </x:c>
      <x:c r="H34" s="16" t="str">
        <x:v>满表仍接受；超出 9 项</x:v>
      </x:c>
      <x:c r="I34" s="16" t="str">
        <x:v>assert 检查结果；cover 见证前提与事件；按需仿真</x:v>
      </x:c>
      <x:c r="J34" s="16" t="str">
        <x:v>A_READY
E05_ZERO_READY
M_RANGE</x:v>
      </x:c>
      <x:c r="K34" s="16" t="str">
        <x:v>容量状态 N=9</x:v>
      </x:c>
      <x:c r="L34" s="17" t="str">
        <x:v>未逐项执行</x:v>
      </x:c>
    </x:row>
    <x:row r="35" ht="58" customHeight="1">
      <x:c r="A35" s="16" t="str">
        <x:v>CAP-08</x:v>
      </x:c>
      <x:c r="B35" s="16" t="str">
        <x:v>容量与来源保护</x:v>
      </x:c>
      <x:c r="C35" s="16" t="str">
        <x:v>满表回收多项源</x:v>
      </x:c>
      <x:c r="D35" s="16" t="str">
        <x:v>合法业务</x:v>
      </x:c>
      <x:c r="E35" s="16" t="str">
        <x:v>(7,1,1) 中 R0，或 (4,4,1) 中 R0/R1</x:v>
      </x:c>
      <x:c r="F35" s="16" t="str">
        <x:v>本拍 R=1</x:v>
      </x:c>
      <x:c r="G35" s="16" t="str">
        <x:v>回收后共享额度减少 1，本拍 ready=111</x:v>
      </x:c>
      <x:c r="H35" s="16" t="str">
        <x:v>等待下一拍才释放 ready，造成气泡</x:v>
      </x:c>
      <x:c r="I35" s="16" t="str">
        <x:v>assert 检查结果；cover 见证前提与事件；按需仿真</x:v>
      </x:c>
      <x:c r="J35" s="16" t="str">
        <x:v>A_READY
C_FULL_REUSE</x:v>
      </x:c>
      <x:c r="K35" s="16" t="str">
        <x:v>W02 C2；W03 对照</x:v>
      </x:c>
      <x:c r="L35" s="17" t="str">
        <x:v>未逐项执行</x:v>
      </x:c>
    </x:row>
    <x:row r="36" ht="58" customHeight="1">
      <x:c r="A36" s="16" t="str">
        <x:v>CAP-09</x:v>
      </x:c>
      <x:c r="B36" s="16" t="str">
        <x:v>容量与来源保护</x:v>
      </x:c>
      <x:c r="C36" s="16" t="str">
        <x:v>满表回收唯一项源</x:v>
      </x:c>
      <x:c r="D36" s="16" t="str">
        <x:v>合法业务</x:v>
      </x:c>
      <x:c r="E36" s="16" t="str">
        <x:v>(4,4,1) 中 R2</x:v>
      </x:c>
      <x:c r="F36" s="16" t="str">
        <x:v>本拍尝试三种 src</x:v>
      </x:c>
      <x:c r="G36" s="16" t="str">
        <x:v>ready=100；仅回收源可重填，不可借走其首项名额</x:v>
      </x:c>
      <x:c r="H36" s="16" t="str">
        <x:v>按物理空闲数接收 src0/1</x:v>
      </x:c>
      <x:c r="I36" s="16" t="str">
        <x:v>assert 检查结果；cover 见证前提与事件；按需仿真</x:v>
      </x:c>
      <x:c r="J36" s="16" t="str">
        <x:v>A_READY
M_QUOTA</x:v>
      </x:c>
      <x:c r="K36" s="16" t="str">
        <x:v>W03</x:v>
      </x:c>
      <x:c r="L36" s="17" t="str">
        <x:v>未逐项执行</x:v>
      </x:c>
    </x:row>
    <x:row r="37" ht="58" customHeight="1">
      <x:c r="A37" s="16" t="str">
        <x:v>CAP-10</x:v>
      </x:c>
      <x:c r="B37" s="16" t="str">
        <x:v>容量与来源保护</x:v>
      </x:c>
      <x:c r="C37" s="16" t="str">
        <x:v>满表同源出入保持九项</x:v>
      </x:c>
      <x:c r="D37" s="16" t="str">
        <x:v>合法业务</x:v>
      </x:c>
      <x:c r="E37" s="16" t="str">
        <x:v>有效 R 且 AR 选择 ready 源</x:v>
      </x:c>
      <x:c r="F37" s="16" t="str">
        <x:v>R 与 AR 同拍</x:v>
      </x:c>
      <x:c r="G37" s="16" t="str">
        <x:v>N_next=9；满表必须复用刚退役物理项，旧响应仍正确</x:v>
      </x:c>
      <x:c r="H37" s="16" t="str">
        <x:v>先写新字段污染旧 R；先清空覆盖新写入</x:v>
      </x:c>
      <x:c r="I37" s="16" t="str">
        <x:v>assert 检查结果；cover 见证前提与事件；按需仿真</x:v>
      </x:c>
      <x:c r="J37" s="16" t="str">
        <x:v>C_FULL_REUSE
A_R_METADATA
A_R_DATA</x:v>
      </x:c>
      <x:c r="K37" s="16" t="str">
        <x:v>W02/W06</x:v>
      </x:c>
      <x:c r="L37" s="17" t="str">
        <x:v>未逐项执行</x:v>
      </x:c>
    </x:row>
    <x:row r="38" ht="58" customHeight="1">
      <x:c r="A38" s="16" t="str">
        <x:v>CAP-11</x:v>
      </x:c>
      <x:c r="B38" s="16" t="str">
        <x:v>容量与来源保护</x:v>
      </x:c>
      <x:c r="C38" s="16" t="str">
        <x:v>单源七项回收并重填</x:v>
      </x:c>
      <x:c r="D38" s="16" t="str">
        <x:v>合法业务</x:v>
      </x:c>
      <x:c r="E38" s="16" t="str">
        <x:v>N=(7,0,0)，本拍 R0</x:v>
      </x:c>
      <x:c r="F38" s="16" t="str">
        <x:v>同拍 AR src0</x:v>
      </x:c>
      <x:c r="G38" s="16" t="str">
        <x:v>ready=111；N_next=(7,0,0)，下一拍无 R 时回到 110</x:v>
      </x:c>
      <x:c r="H38" s="16" t="str">
        <x:v>忽略 R 的前瞻释放</x:v>
      </x:c>
      <x:c r="I38" s="16" t="str">
        <x:v>assert 检查结果；cover 见证前提与事件；按需仿真</x:v>
      </x:c>
      <x:c r="J38" s="16" t="str">
        <x:v>A_READY</x:v>
      </x:c>
      <x:c r="K38" s="16" t="str">
        <x:v>容量转换</x:v>
      </x:c>
      <x:c r="L38" s="17" t="str">
        <x:v>未逐项执行</x:v>
      </x:c>
    </x:row>
    <x:row r="39" ht="58" customHeight="1">
      <x:c r="A39" s="16" t="str">
        <x:v>CAP-12</x:v>
      </x:c>
      <x:c r="B39" s="16" t="str">
        <x:v>容量与来源保护</x:v>
      </x:c>
      <x:c r="C39" s="16" t="str">
        <x:v>八项两源回收多项源</x:v>
      </x:c>
      <x:c r="D39" s="16" t="str">
        <x:v>合法业务</x:v>
      </x:c>
      <x:c r="E39" s="16" t="str">
        <x:v>N=(7,1,0)，本拍 R0</x:v>
      </x:c>
      <x:c r="F39" s="16" t="str">
        <x:v>三种 src 分别尝试</x:v>
      </x:c>
      <x:c r="G39" s="16" t="str">
        <x:v>ready=111；释放一个共享名额，可由任一源使用</x:v>
      </x:c>
      <x:c r="H39" s="16" t="str">
        <x:v>继续只允许原空源</x:v>
      </x:c>
      <x:c r="I39" s="16" t="str">
        <x:v>assert 检查结果；cover 见证前提与事件；按需仿真</x:v>
      </x:c>
      <x:c r="J39" s="16" t="str">
        <x:v>A_READY</x:v>
      </x:c>
      <x:c r="K39" s="16" t="str">
        <x:v>容量转换</x:v>
      </x:c>
      <x:c r="L39" s="17" t="str">
        <x:v>未逐项执行</x:v>
      </x:c>
    </x:row>
    <x:row r="40" ht="58" customHeight="1">
      <x:c r="A40" s="16" t="str">
        <x:v>CAP-13</x:v>
      </x:c>
      <x:c r="B40" s="16" t="str">
        <x:v>容量与来源保护</x:v>
      </x:c>
      <x:c r="C40" s="16" t="str">
        <x:v>八项两源回收单项源</x:v>
      </x:c>
      <x:c r="D40" s="16" t="str">
        <x:v>合法业务</x:v>
      </x:c>
      <x:c r="E40" s="16" t="str">
        <x:v>N=(7,1,0)，本拍 R1</x:v>
      </x:c>
      <x:c r="F40" s="16" t="str">
        <x:v>三种 src 分别尝试</x:v>
      </x:c>
      <x:c r="G40" s="16" t="str">
        <x:v>回收后 (7,0,0)，ready=110；src0 仍不可加项</x:v>
      </x:c>
      <x:c r="H40" s="16" t="str">
        <x:v>任意 R 都将 ready 设成 111</x:v>
      </x:c>
      <x:c r="I40" s="16" t="str">
        <x:v>assert 检查结果；cover 见证前提与事件；按需仿真</x:v>
      </x:c>
      <x:c r="J40" s="16" t="str">
        <x:v>A_READY</x:v>
      </x:c>
      <x:c r="K40" s="16" t="str">
        <x:v>W05 C1</x:v>
      </x:c>
      <x:c r="L40" s="17" t="str">
        <x:v>未逐项执行</x:v>
      </x:c>
    </x:row>
    <x:row r="41" ht="58" customHeight="1">
      <x:c r="A41" s="16" t="str">
        <x:v>CAP-14</x:v>
      </x:c>
      <x:c r="B41" s="16" t="str">
        <x:v>容量与来源保护</x:v>
      </x:c>
      <x:c r="C41" s="16" t="str">
        <x:v>总量不变但 ready 改变</x:v>
      </x:c>
      <x:c r="D41" s="16" t="str">
        <x:v>合法业务</x:v>
      </x:c>
      <x:c r="E41" s="16" t="str">
        <x:v>N=(6,1,1)，R1 与 AR0 同拍</x:v>
      </x:c>
      <x:c r="F41" s="16" t="str">
        <x:v>从 (6,1,1) 变为 (7,0,1)</x:v>
      </x:c>
      <x:c r="G41" s="16" t="str">
        <x:v>两拍总量均为 8；下一拍无 R 时 ready 从 111 变 010</x:v>
      </x:c>
      <x:c r="H41" s="16" t="str">
        <x:v>用总计数缓存 ready，忽略来源分布</x:v>
      </x:c>
      <x:c r="I41" s="16" t="str">
        <x:v>assert 检查结果；cover 见证前提与事件；按需仿真</x:v>
      </x:c>
      <x:c r="J41" s="16" t="str">
        <x:v>A_READY</x:v>
      </x:c>
      <x:c r="K41" s="16" t="str">
        <x:v>W04 C1→C2</x:v>
      </x:c>
      <x:c r="L41" s="17" t="str">
        <x:v>未逐项执行</x:v>
      </x:c>
    </x:row>
    <x:row r="42" ht="58" customHeight="1">
      <x:c r="A42" s="16" t="str">
        <x:v>CAP-15</x:v>
      </x:c>
      <x:c r="B42" s="16" t="str">
        <x:v>容量与来源保护</x:v>
      </x:c>
      <x:c r="C42" s="16" t="str">
        <x:v>总量下降但原源仍被挡</x:v>
      </x:c>
      <x:c r="D42" s="16" t="str">
        <x:v>合法业务</x:v>
      </x:c>
      <x:c r="E42" s="16" t="str">
        <x:v>N=(7,1,0)，R1，AR0 未接收</x:v>
      </x:c>
      <x:c r="F42" s="16" t="str">
        <x:v>下一拍继续 src0 请求</x:v>
      </x:c>
      <x:c r="G42" s="16" t="str">
        <x:v>总量从 8 降到 7，src0 ready 仍为 0</x:v>
      </x:c>
      <x:c r="H42" s="16" t="str">
        <x:v>认为总量下降就全部解除阻塞</x:v>
      </x:c>
      <x:c r="I42" s="16" t="str">
        <x:v>assert 检查结果；cover 见证前提与事件；按需仿真</x:v>
      </x:c>
      <x:c r="J42" s="16" t="str">
        <x:v>A_READY</x:v>
      </x:c>
      <x:c r="K42" s="16" t="str">
        <x:v>W05 C1→C2</x:v>
      </x:c>
      <x:c r="L42" s="17" t="str">
        <x:v>未逐项执行</x:v>
      </x:c>
    </x:row>
    <x:row r="43" ht="58" customHeight="1">
      <x:c r="A43" s="16" t="str">
        <x:v>CAP-16</x:v>
      </x:c>
      <x:c r="B43" s="16" t="str">
        <x:v>容量与来源保护</x:v>
      </x:c>
      <x:c r="C43" s="16" t="str">
        <x:v>最后一项回收后可换源</x:v>
      </x:c>
      <x:c r="D43" s="16" t="str">
        <x:v>合法业务</x:v>
      </x:c>
      <x:c r="E43" s="16" t="str">
        <x:v>N=(1,0,0)，R0</x:v>
      </x:c>
      <x:c r="F43" s="16" t="str">
        <x:v>同拍接收 src1 或 src2</x:v>
      </x:c>
      <x:c r="G43" s="16" t="str">
        <x:v>ready=111；旧源归零，新源一项，总量保持 1</x:v>
      </x:c>
      <x:c r="H43" s="16" t="str">
        <x:v>清空时误拒新来源</x:v>
      </x:c>
      <x:c r="I43" s="16" t="str">
        <x:v>assert 检查结果；cover 见证前提与事件；按需仿真</x:v>
      </x:c>
      <x:c r="J43" s="16" t="str">
        <x:v>A_READY
A_XAU_R_ID_ORDER</x:v>
      </x:c>
      <x:c r="K43" s="16" t="str">
        <x:v>容量转换</x:v>
      </x:c>
      <x:c r="L43" s="17" t="str">
        <x:v>未逐项执行</x:v>
      </x:c>
    </x:row>
    <x:row r="44" ht="58" customHeight="1">
      <x:c r="A44" s="16" t="str">
        <x:v>CAP-17</x:v>
      </x:c>
      <x:c r="B44" s="16" t="str">
        <x:v>容量与来源保护</x:v>
      </x:c>
      <x:c r="C44" s="16" t="str">
        <x:v>排空到零</x:v>
      </x:c>
      <x:c r="D44" s="16" t="str">
        <x:v>合法业务</x:v>
      </x:c>
      <x:c r="E44" s="16" t="str">
        <x:v>N=1，有效 R，无 AR</x:v>
      </x:c>
      <x:c r="F44" s="16" t="str">
        <x:v>R 完成后观察下一拍</x:v>
      </x:c>
      <x:c r="G44" s="16" t="str">
        <x:v>N_next=0，各源占用全零；释放后 ready=111</x:v>
      </x:c>
      <x:c r="H44" s="16" t="str">
        <x:v>计数下溢或有幽灵 entry</x:v>
      </x:c>
      <x:c r="I44" s="16" t="str">
        <x:v>assert 检查结果；cover 见证前提与事件；按需仿真</x:v>
      </x:c>
      <x:c r="J44" s="16" t="str">
        <x:v>M_RANGE
A_READY
A_XAU_R_HAS_PENDING</x:v>
      </x:c>
      <x:c r="K44" s="16" t="str">
        <x:v>容量转换</x:v>
      </x:c>
      <x:c r="L44" s="17" t="str">
        <x:v>未逐项执行</x:v>
      </x:c>
    </x:row>
    <x:row r="45" ht="58" customHeight="1">
      <x:c r="A45" s="16" t="str">
        <x:v>CAP-18</x:v>
      </x:c>
      <x:c r="B45" s="16" t="str">
        <x:v>容量与来源保护</x:v>
      </x:c>
      <x:c r="C45" s="16" t="str">
        <x:v>八种 ready 码全部出现</x:v>
      </x:c>
      <x:c r="D45" s="16" t="str">
        <x:v>合法业务</x:v>
      </x:c>
      <x:c r="E45" s="16" t="str">
        <x:v>合法 Ni，允许有效 R</x:v>
      </x:c>
      <x:c r="F45" s="16" t="str">
        <x:v>遍历容量状态与 R 来源</x:v>
      </x:c>
      <x:c r="G45" s="16" t="str">
        <x:v>000、001、010、011、100、101、110、111 均有合法容量实例；bit 顺序为 [2:0]</x:v>
      </x:c>
      <x:c r="H45" s="16" t="str">
        <x:v>错把 110 解释为 XAU0/1 ready</x:v>
      </x:c>
      <x:c r="I45" s="16" t="str">
        <x:v>assert 检查结果；cover 见证前提与事件；按需仿真</x:v>
      </x:c>
      <x:c r="J45" s="16" t="str">
        <x:v>A_READY</x:v>
      </x:c>
      <x:c r="K45" s="16" t="str">
        <x:v>容量状态；容量转换</x:v>
      </x:c>
      <x:c r="L45" s="17" t="str">
        <x:v>未逐项执行</x:v>
      </x:c>
    </x:row>
    <x:row r="46" ht="58" customHeight="1">
      <x:c r="A46" s="16" t="str">
        <x:v>CAP-19</x:v>
      </x:c>
      <x:c r="B46" s="16" t="str">
        <x:v>容量与来源保护</x:v>
      </x:c>
      <x:c r="C46" s="16" t="str">
        <x:v>来源对称性</x:v>
      </x:c>
      <x:c r="D46" s="16" t="str">
        <x:v>合法业务</x:v>
      </x:c>
      <x:c r="E46" s="16" t="str">
        <x:v>任一合法场景</x:v>
      </x:c>
      <x:c r="F46" s="16" t="str">
        <x:v>把 0/1/2 的计数、AR 与 R 来源一起置换</x:v>
      </x:c>
      <x:c r="G46" s="16" t="str">
        <x:v>ready 置换后一致；容量规则不偏袒编号；R 轮询顺序另受指针影响</x:v>
      </x:c>
      <x:c r="H46" s="16" t="str">
        <x:v>硬编码某一路额度与别路不同</x:v>
      </x:c>
      <x:c r="I46" s="16" t="str">
        <x:v>assert 检查结果；cover 见证前提与事件；按需仿真</x:v>
      </x:c>
      <x:c r="J46" s="16" t="str">
        <x:v>A_READY</x:v>
      </x:c>
      <x:c r="K46" s="16" t="str">
        <x:v>全 190 个带来源编号状态</x:v>
      </x:c>
      <x:c r="L46" s="17" t="str">
        <x:v>未逐项执行</x:v>
      </x:c>
    </x:row>
    <x:row r="47" ht="58" customHeight="1">
      <x:c r="A47" s="16" t="str">
        <x:v>CAP-20</x:v>
      </x:c>
      <x:c r="B47" s="16" t="str">
        <x:v>容量与来源保护</x:v>
      </x:c>
      <x:c r="C47" s="16" t="str">
        <x:v>不合法分布 5/4/0</x:v>
      </x:c>
      <x:c r="D47" s="16" t="str">
        <x:v>内部注错</x:v>
      </x:c>
      <x:c r="E47" s="16" t="str">
        <x:v>总数 9，各源都不超过 7，但空源无首项余量</x:v>
      </x:c>
      <x:c r="F47" s="16" t="str">
        <x:v>内部状态强制为 (5,4,0)，或注错让 (4,4,0) 再收 src0</x:v>
      </x:c>
      <x:c r="G47" s="16" t="str">
        <x:v>违反 sum(max(Ni,1))≤9；正常 admission 应阻止形成</x:v>
      </x:c>
      <x:c r="H47" s="16" t="str">
        <x:v>只校验总量≤9 和单源≤7</x:v>
      </x:c>
      <x:c r="I47" s="16" t="str">
        <x:v>白盒注错 + 端口断言；物理结构另做内部检查</x:v>
      </x:c>
      <x:c r="J47" s="16" t="str">
        <x:v>M_QUOTA
A_READY</x:v>
      </x:c>
      <x:c r="K47" s="16" t="str">
        <x:v>不纳入合法 190 状态</x:v>
      </x:c>
      <x:c r="L47" s="17" t="str">
        <x:v>未逐项执行</x:v>
      </x:c>
    </x:row>
    <x:row r="48" ht="58" customHeight="1">
      <x:c r="A48" s="16" t="str">
        <x:v>CAP-21</x:v>
      </x:c>
      <x:c r="B48" s="16" t="str">
        <x:v>容量与来源保护</x:v>
      </x:c>
      <x:c r="C48" s="16" t="str">
        <x:v>不合法单源八项</x:v>
      </x:c>
      <x:c r="D48" s="16" t="str">
        <x:v>内部注错</x:v>
      </x:c>
      <x:c r="E48" s="16" t="str">
        <x:v>强制 N=(8,0,0) 或错误接收第八条同源命令</x:v>
      </x:c>
      <x:c r="F48" s="16" t="str">
        <x:v>检查容量及响应记账</x:v>
      </x:c>
      <x:c r="G48" s="16" t="str">
        <x:v>正常协议下不可达；需捕获超额或异常接收</x:v>
      </x:c>
      <x:c r="H48" s="16" t="str">
        <x:v>门限比较使用≤7而非允许后的合法性</x:v>
      </x:c>
      <x:c r="I48" s="16" t="str">
        <x:v>白盒注错 + 端口断言；物理结构另做内部检查</x:v>
      </x:c>
      <x:c r="J48" s="16" t="str">
        <x:v>M_QUOTA
A_READY</x:v>
      </x:c>
      <x:c r="K48" s="16" t="str">
        <x:v>不纳入合法状态</x:v>
      </x:c>
      <x:c r="L48" s="17" t="str">
        <x:v>未逐项执行</x:v>
      </x:c>
    </x:row>
    <x:row r="49" ht="58" customHeight="1">
      <x:c r="A49" s="16" t="str">
        <x:v>CAP-22</x:v>
      </x:c>
      <x:c r="B49" s="16" t="str">
        <x:v>容量与来源保护</x:v>
      </x:c>
      <x:c r="C49" s="16" t="str">
        <x:v>非空并不代表可回收</x:v>
      </x:c>
      <x:c r="D49" s="16" t="str">
        <x:v>合法业务</x:v>
      </x:c>
      <x:c r="E49" s="16" t="str">
        <x:v>容量表某源 Ni&gt;0，但队头未完成或 rready=0</x:v>
      </x:c>
      <x:c r="F49" s="16" t="str">
        <x:v>试图选该源作为 R</x:v>
      </x:c>
      <x:c r="G49" s="16" t="str">
        <x:v>实际 RTL 不得 R；枚举里的 R 选择仅在队头完成且 ready 时成立</x:v>
      </x:c>
      <x:c r="H49" s="16" t="str">
        <x:v>将容量枚举的抽象 R 选择当成任意可达时刻</x:v>
      </x:c>
      <x:c r="I49" s="16" t="str">
        <x:v>assert 检查结果；cover 见证前提与事件；按需仿真</x:v>
      </x:c>
      <x:c r="J49" s="16" t="str">
        <x:v>A_XAU_R_HEAD_COMPLETE
A_R_READY</x:v>
      </x:c>
      <x:c r="K49" s="16" t="str">
        <x:v>规则与证据 ENUM</x:v>
      </x:c>
      <x:c r="L49" s="17" t="str">
        <x:v>未逐项执行</x:v>
      </x:c>
    </x:row>
    <x:row r="50" ht="58" customHeight="1">
      <x:c r="A50" s="16" t="str">
        <x:v>CAP-23</x:v>
      </x:c>
      <x:c r="B50" s="16" t="str">
        <x:v>容量与来源保护</x:v>
      </x:c>
      <x:c r="C50" s="16" t="str">
        <x:v>发射不释放 entry</x:v>
      </x:c>
      <x:c r="D50" s="16" t="str">
        <x:v>合法业务</x:v>
      </x:c>
      <x:c r="E50" s="16" t="str">
        <x:v>达到容量限制；待发命令仲裁成功</x:v>
      </x:c>
      <x:c r="F50" s="16" t="str">
        <x:v>无 R，可有 req_success</x:v>
      </x:c>
      <x:c r="G50" s="16" t="str">
        <x:v>N 不变，容量不会因 issued 而释放</x:v>
      </x:c>
      <x:c r="H50" s="16" t="str">
        <x:v>在发射成功时减占用或归还 entry</x:v>
      </x:c>
      <x:c r="I50" s="16" t="str">
        <x:v>assert 检查结果；cover 见证前提与事件；按需仿真</x:v>
      </x:c>
      <x:c r="J50" s="16" t="str">
        <x:v>A_READY
M_STATE</x:v>
      </x:c>
      <x:c r="K50" s="16" t="str">
        <x:v>并发事件 I</x:v>
      </x:c>
      <x:c r="L50" s="17" t="str">
        <x:v>未逐项执行</x:v>
      </x:c>
    </x:row>
    <x:row r="51" ht="58" customHeight="1">
      <x:c r="A51" s="16" t="str">
        <x:v>CAP-24</x:v>
      </x:c>
      <x:c r="B51" s="16" t="str">
        <x:v>容量与来源保护</x:v>
      </x:c>
      <x:c r="C51" s="16" t="str">
        <x:v>MEM 返回不释放 entry</x:v>
      </x:c>
      <x:c r="D51" s="16" t="str">
        <x:v>合法业务</x:v>
      </x:c>
      <x:c r="E51" s="16" t="str">
        <x:v>达到容量限制；本拍 MEM 返回</x:v>
      </x:c>
      <x:c r="F51" s="16" t="str">
        <x:v>无 R，允许 pc_err 任意</x:v>
      </x:c>
      <x:c r="G51" s="16" t="str">
        <x:v>N 不变；最早下一拍才可能 R 并释放</x:v>
      </x:c>
      <x:c r="H51" s="16" t="str">
        <x:v>在 MEM 返回拍清 valid 或开放容量</x:v>
      </x:c>
      <x:c r="I51" s="16" t="str">
        <x:v>assert 检查结果；cover 见证前提与事件；按需仿真</x:v>
      </x:c>
      <x:c r="J51" s="16" t="str">
        <x:v>A_READY
A_XAU_R_NO_EARLY_BYPASS</x:v>
      </x:c>
      <x:c r="K51" s="16" t="str">
        <x:v>W06 C7→C8</x:v>
      </x:c>
      <x:c r="L51" s="17" t="str">
        <x:v>未逐项执行</x:v>
      </x:c>
    </x:row>
    <x:row r="52" ht="58" customHeight="1">
      <x:c r="A52" s="16" t="str">
        <x:v>ENT-01</x:v>
      </x:c>
      <x:c r="B52" s="16" t="str">
        <x:v>Entry 生命周期</x:v>
      </x:c>
      <x:c r="C52" s="16" t="str">
        <x:v>一次 AR 同时占两表</x:v>
      </x:c>
      <x:c r="D52" s="16" t="str">
        <x:v>合法业务</x:v>
      </x:c>
      <x:c r="E52" s="16" t="str">
        <x:v>一次 A=1，有一项可用</x:v>
      </x:c>
      <x:c r="F52" s="16" t="str">
        <x:v>观察最终响应及内部结构</x:v>
      </x:c>
      <x:c r="G52" s="16" t="str">
        <x:v>CMDBUF/OTB 一一对应预留；不能只有一张表分配；端口模型只能查可观察后果</x:v>
      </x:c>
      <x:c r="H52" s="16" t="str">
        <x:v>双表索引不同、漏预留</x:v>
      </x:c>
      <x:c r="I52" s="16" t="str">
        <x:v>assert 检查结果；cover 见证前提与事件；按需仿真</x:v>
      </x:c>
      <x:c r="J52" s="16" t="str">
        <x:v>M_ALLOC
M_STATE
A_R_DATA</x:v>
      </x:c>
      <x:c r="K52" s="16" t="str">
        <x:v>白盒检查双表对应关系</x:v>
      </x:c>
      <x:c r="L52" s="17" t="str">
        <x:v>未逐项执行</x:v>
      </x:c>
    </x:row>
    <x:row r="53" ht="58" customHeight="1">
      <x:c r="A53" s="16" t="str">
        <x:v>ENT-02</x:v>
      </x:c>
      <x:c r="B53" s="16" t="str">
        <x:v>Entry 生命周期</x:v>
      </x:c>
      <x:c r="C53" s="16" t="str">
        <x:v>待发项无进展仍保留</x:v>
      </x:c>
      <x:c r="D53" s="16" t="str">
        <x:v>合法业务</x:v>
      </x:c>
      <x:c r="E53" s="16" t="str">
        <x:v>Bank 忙，未选中，R 不涉及此项</x:v>
      </x:c>
      <x:c r="F53" s="16" t="str">
        <x:v>多拍等待</x:v>
      </x:c>
      <x:c r="G53" s="16" t="str">
        <x:v>地址/ID/源/port/异常与年龄保持；不因等待覆盖</x:v>
      </x:c>
      <x:c r="H53" s="16" t="str">
        <x:v>无效选择把待发项清除</x:v>
      </x:c>
      <x:c r="I53" s="16" t="str">
        <x:v>assert 检查结果；cover 见证前提与事件；按需仿真</x:v>
      </x:c>
      <x:c r="J53" s="16" t="str">
        <x:v>A_REQ
A_R_METADATA</x:v>
      </x:c>
      <x:c r="K53" s="16" t="str">
        <x:v>WIN</x:v>
      </x:c>
      <x:c r="L53" s="17" t="str">
        <x:v>未逐项执行</x:v>
      </x:c>
    </x:row>
    <x:row r="54" ht="58" customHeight="1">
      <x:c r="A54" s="16" t="str">
        <x:v>ENT-03</x:v>
      </x:c>
      <x:c r="B54" s="16" t="str">
        <x:v>Entry 生命周期</x:v>
      </x:c>
      <x:c r="C54" s="16" t="str">
        <x:v>仲裁失败保留年龄</x:v>
      </x:c>
      <x:c r="D54" s="16" t="str">
        <x:v>合法业务</x:v>
      </x:c>
      <x:c r="E54" s="16" t="str">
        <x:v>当前 req 对应命令失败</x:v>
      </x:c>
      <x:c r="F54" s="16" t="str">
        <x:v>后续和新老命令竞争</x:v>
      </x:c>
      <x:c r="G54" s="16" t="str">
        <x:v>entry 仍待发，年龄不重置；不重新分配 OTB</x:v>
      </x:c>
      <x:c r="H54" s="16" t="str">
        <x:v>重试当成新命令排队</x:v>
      </x:c>
      <x:c r="I54" s="16" t="str">
        <x:v>assert 检查结果；cover 见证前提与事件；按需仿真</x:v>
      </x:c>
      <x:c r="J54" s="16" t="str">
        <x:v>A_REQ
C_RETRY_NEXT_CYCLE</x:v>
      </x:c>
      <x:c r="K54" s="16" t="str">
        <x:v>WIN/ARB</x:v>
      </x:c>
      <x:c r="L54" s="17" t="str">
        <x:v>未逐项执行</x:v>
      </x:c>
    </x:row>
    <x:row r="55" ht="58" customHeight="1">
      <x:c r="A55" s="16" t="str">
        <x:v>ENT-04</x:v>
      </x:c>
      <x:c r="B55" s="16" t="str">
        <x:v>Entry 生命周期</x:v>
      </x:c>
      <x:c r="C55" s="16" t="str">
        <x:v>已发未返回继续占用</x:v>
      </x:c>
      <x:c r="D55" s="16" t="str">
        <x:v>合法业务</x:v>
      </x:c>
      <x:c r="E55" s="16" t="str">
        <x:v>I=1 后尚未到 N+4</x:v>
      </x:c>
      <x:c r="F55" s="16" t="str">
        <x:v>发生其他 AR/R</x:v>
      </x:c>
      <x:c r="G55" s="16" t="str">
        <x:v>原项保持 reserved，不参与重发，不可分给新命令</x:v>
      </x:c>
      <x:c r="H55" s="16" t="str">
        <x:v>issued 项被视为空闲</x:v>
      </x:c>
      <x:c r="I55" s="16" t="str">
        <x:v>assert 检查结果；cover 见证前提与事件；按需仿真</x:v>
      </x:c>
      <x:c r="J55" s="16" t="str">
        <x:v>A_REQ
A_R_DATA
M_STATE</x:v>
      </x:c>
      <x:c r="K55" s="16" t="str">
        <x:v>MEM</x:v>
      </x:c>
      <x:c r="L55" s="17" t="str">
        <x:v>未逐项执行</x:v>
      </x:c>
    </x:row>
    <x:row r="56" ht="58" customHeight="1">
      <x:c r="A56" s="16" t="str">
        <x:v>ENT-05</x:v>
      </x:c>
      <x:c r="B56" s="16" t="str">
        <x:v>Entry 生命周期</x:v>
      </x:c>
      <x:c r="C56" s="16" t="str">
        <x:v>已返回未响应继续占用</x:v>
      </x:c>
      <x:c r="D56" s="16" t="str">
        <x:v>合法业务</x:v>
      </x:c>
      <x:c r="E56" s="16" t="str">
        <x:v>MEM 已完成，源头阻塞或 rready=0</x:v>
      </x:c>
      <x:c r="F56" s="16" t="str">
        <x:v>多拍延迟后 R</x:v>
      </x:c>
      <x:c r="G56" s="16" t="str">
        <x:v>缓存数据和 pc_err 保持直到该事务实际 R</x:v>
      </x:c>
      <x:c r="H56" s="16" t="str">
        <x:v>MEM 后自动释放，数据被新 AR 覆盖</x:v>
      </x:c>
      <x:c r="I56" s="16" t="str">
        <x:v>assert 检查结果；cover 见证前提与事件；按需仿真</x:v>
      </x:c>
      <x:c r="J56" s="16" t="str">
        <x:v>A_XAU_R_DATA_ORDER
A_XAU_R_RESP_ORDER</x:v>
      </x:c>
      <x:c r="K56" s="16" t="str">
        <x:v>RSP</x:v>
      </x:c>
      <x:c r="L56" s="17" t="str">
        <x:v>未逐项执行</x:v>
      </x:c>
    </x:row>
    <x:row r="57" ht="58" customHeight="1">
      <x:c r="A57" s="16" t="str">
        <x:v>ENT-06</x:v>
      </x:c>
      <x:c r="B57" s="16" t="str">
        <x:v>Entry 生命周期</x:v>
      </x:c>
      <x:c r="C57" s="16" t="str">
        <x:v>空闲物理洞再次使用</x:v>
      </x:c>
      <x:c r="D57" s="16" t="str">
        <x:v>合法业务</x:v>
      </x:c>
      <x:c r="E57" s="16" t="str">
        <x:v>多项中间某项先 R，其他项存活</x:v>
      </x:c>
      <x:c r="F57" s="16" t="str">
        <x:v>随后 AR 使用空闲位置</x:v>
      </x:c>
      <x:c r="G57" s="16" t="str">
        <x:v>新项年龄为最新，与物理索引大小无关</x:v>
      </x:c>
      <x:c r="H57" s="16" t="str">
        <x:v>按物理 entry 编号判断最老</x:v>
      </x:c>
      <x:c r="I57" s="16" t="str">
        <x:v>assert 检查结果；cover 见证前提与事件；按需仿真</x:v>
      </x:c>
      <x:c r="J57" s="16" t="str">
        <x:v>A_REQ
A_XAU_R_ID_ORDER
M_AGE_UNIQUE</x:v>
      </x:c>
      <x:c r="K57" s="16" t="str">
        <x:v>任意 R 顺序形成空洞</x:v>
      </x:c>
      <x:c r="L57" s="17" t="str">
        <x:v>未逐项执行</x:v>
      </x:c>
    </x:row>
    <x:row r="58" ht="58" customHeight="1">
      <x:c r="A58" s="16" t="str">
        <x:v>ENT-07</x:v>
      </x:c>
      <x:c r="B58" s="16" t="str">
        <x:v>Entry 生命周期</x:v>
      </x:c>
      <x:c r="C58" s="16" t="str">
        <x:v>满表同项退役与分配</x:v>
      </x:c>
      <x:c r="D58" s="16" t="str">
        <x:v>合法业务</x:v>
      </x:c>
      <x:c r="E58" s="16" t="str">
        <x:v>9 项有效，本拍 R+A</x:v>
      </x:c>
      <x:c r="F58" s="16" t="str">
        <x:v>同一物理槽交接旧/新事务</x:v>
      </x:c>
      <x:c r="G58" s="16" t="str">
        <x:v>旧 R 读旧字段；时钟后新项 valid=1、issued/done=0；数据错误位清理</x:v>
      </x:c>
      <x:c r="H58" s="16" t="str">
        <x:v>退役清除优先级压过新分配</x:v>
      </x:c>
      <x:c r="I58" s="16" t="str">
        <x:v>assert 检查结果；cover 见证前提与事件；按需仿真</x:v>
      </x:c>
      <x:c r="J58" s="16" t="str">
        <x:v>C_FULL_REUSE
A_R_DATA
M_STATE</x:v>
      </x:c>
      <x:c r="K58" s="16" t="str">
        <x:v>W02/W06</x:v>
      </x:c>
      <x:c r="L58" s="17" t="str">
        <x:v>未逐项执行</x:v>
      </x:c>
    </x:row>
    <x:row r="59" ht="58" customHeight="1">
      <x:c r="A59" s="16" t="str">
        <x:v>ENT-08</x:v>
      </x:c>
      <x:c r="B59" s="16" t="str">
        <x:v>Entry 生命周期</x:v>
      </x:c>
      <x:c r="C59" s="16" t="str">
        <x:v>非满表同拍出入</x:v>
      </x:c>
      <x:c r="D59" s="16" t="str">
        <x:v>合法业务</x:v>
      </x:c>
      <x:c r="E59" s="16" t="str">
        <x:v>旧空闲项和本拍退役项都存在</x:v>
      </x:c>
      <x:c r="F59" s="16" t="str">
        <x:v>R+A</x:v>
      </x:c>
      <x:c r="G59" s="16" t="str">
        <x:v>允许实现选择任一合法空闲位置；不能把指定槽号作为外部协议要求</x:v>
      </x:c>
      <x:c r="H59" s="16" t="str">
        <x:v>顶层检查器绑定实现分配索引</x:v>
      </x:c>
      <x:c r="I59" s="16" t="str">
        <x:v>assert 检查结果；cover 见证前提与事件；按需仿真</x:v>
      </x:c>
      <x:c r="J59" s="16" t="str">
        <x:v>A_READY
A_R_METADATA
M_ALLOC</x:v>
      </x:c>
      <x:c r="K59" s="16" t="str">
        <x:v>并发事件 A/R</x:v>
      </x:c>
      <x:c r="L59" s="17" t="str">
        <x:v>未逐项执行</x:v>
      </x:c>
    </x:row>
    <x:row r="60" ht="58" customHeight="1">
      <x:c r="A60" s="16" t="str">
        <x:v>ENT-09</x:v>
      </x:c>
      <x:c r="B60" s="16" t="str">
        <x:v>Entry 生命周期</x:v>
      </x:c>
      <x:c r="C60" s="16" t="str">
        <x:v>错误位与数据残留</x:v>
      </x:c>
      <x:c r="D60" s="16" t="str">
        <x:v>合法业务</x:v>
      </x:c>
      <x:c r="E60" s="16" t="str">
        <x:v>旧事务 pc_err=1、数据全 1，随后退役</x:v>
      </x:c>
      <x:c r="F60" s="16" t="str">
        <x:v>同槽新事务正常数据全 0</x:v>
      </x:c>
      <x:c r="G60" s="16" t="str">
        <x:v>新 R 为新值及 rresp=00；不能继承旧 done/pc_err</x:v>
      </x:c>
      <x:c r="H60" s="16" t="str">
        <x:v>仅清 valid 未清错误完成状态</x:v>
      </x:c>
      <x:c r="I60" s="16" t="str">
        <x:v>assert 检查结果；cover 见证前提与事件；按需仿真</x:v>
      </x:c>
      <x:c r="J60" s="16" t="str">
        <x:v>A_R_DATA
A_R_RESP</x:v>
      </x:c>
      <x:c r="K60" s="16" t="str">
        <x:v>ERR/MEM</x:v>
      </x:c>
      <x:c r="L60" s="17" t="str">
        <x:v>未逐项执行</x:v>
      </x:c>
    </x:row>
    <x:row r="61" ht="58" customHeight="1">
      <x:c r="A61" s="16" t="str">
        <x:v>ENT-10</x:v>
      </x:c>
      <x:c r="B61" s="16" t="str">
        <x:v>Entry 生命周期</x:v>
      </x:c>
      <x:c r="C61" s="16" t="str">
        <x:v>双重分配</x:v>
      </x:c>
      <x:c r="D61" s="16" t="str">
        <x:v>内部注错</x:v>
      </x:c>
      <x:c r="E61" s="16" t="str">
        <x:v>内部强制 alloc 指向尚未退役的有效项</x:v>
      </x:c>
      <x:c r="F61" s="16" t="str">
        <x:v>继续该项及新项的响应流程</x:v>
      </x:c>
      <x:c r="G61" s="16" t="str">
        <x:v>注错应触发结构诊断或丢单/字段断言；不能以模型自检替代物理状态证明</x:v>
      </x:c>
      <x:c r="H61" s="16" t="str">
        <x:v>误把软件参考模型 M_ALLOC 当成 RTL 内部断言</x:v>
      </x:c>
      <x:c r="I61" s="16" t="str">
        <x:v>白盒注错 + 端口断言；物理结构另做内部检查</x:v>
      </x:c>
      <x:c r="J61" s="16" t="str">
        <x:v>A_XAU_R_ID_ORDER
A_R_DATA</x:v>
      </x:c>
      <x:c r="K61" s="16" t="str">
        <x:v>需白盒注错</x:v>
      </x:c>
      <x:c r="L61" s="17" t="str">
        <x:v>未逐项执行</x:v>
      </x:c>
    </x:row>
    <x:row r="62" ht="58" customHeight="1">
      <x:c r="A62" s="16" t="str">
        <x:v>ENT-11</x:v>
      </x:c>
      <x:c r="B62" s="16" t="str">
        <x:v>Entry 生命周期</x:v>
      </x:c>
      <x:c r="C62" s="16" t="str">
        <x:v>重复完成或重复响应</x:v>
      </x:c>
      <x:c r="D62" s="16" t="str">
        <x:v>内部注错</x:v>
      </x:c>
      <x:c r="E62" s="16" t="str">
        <x:v>对同一已完成命令注入重复 done/retire</x:v>
      </x:c>
      <x:c r="F62" s="16" t="str">
        <x:v>检查 R 计数与逐源队头</x:v>
      </x:c>
      <x:c r="G62" s="16" t="str">
        <x:v>每次 AR 只能产生一次 R；不得使占用下溢或重复交付</x:v>
      </x:c>
      <x:c r="H62" s="16" t="str">
        <x:v>已退役项仍留 valid 或 calendar 标记</x:v>
      </x:c>
      <x:c r="I62" s="16" t="str">
        <x:v>白盒注错 + 端口断言；物理结构另做内部检查</x:v>
      </x:c>
      <x:c r="J62" s="16" t="str">
        <x:v>A_XAU_R_HAS_PENDING
A_XAU_R_ID_ORDER</x:v>
      </x:c>
      <x:c r="K62" s="16" t="str">
        <x:v>需白盒注错</x:v>
      </x:c>
      <x:c r="L62" s="17" t="str">
        <x:v>未逐项执行</x:v>
      </x:c>
    </x:row>
    <x:row r="63" ht="58" customHeight="1">
      <x:c r="A63" s="16" t="str">
        <x:v>ENT-12</x:v>
      </x:c>
      <x:c r="B63" s="16" t="str">
        <x:v>Entry 生命周期</x:v>
      </x:c>
      <x:c r="C63" s="16" t="str">
        <x:v>长期槽位复用</x:v>
      </x:c>
      <x:c r="D63" s="16" t="str">
        <x:v>合法业务</x:v>
      </x:c>
      <x:c r="E63" s="16" t="str">
        <x:v>多次填满、部分回收，再填满</x:v>
      </x:c>
      <x:c r="F63" s="16" t="str">
        <x:v>累计事务远多于 9，ID 也重复</x:v>
      </x:c>
      <x:c r="G63" s="16" t="str">
        <x:v>年龄关系不受物理槽位和 ID 回绕影响；响应数守恒</x:v>
      </x:c>
      <x:c r="H63" s="16" t="str">
        <x:v>年龄矩阵旧位残留</x:v>
      </x:c>
      <x:c r="I63" s="16" t="str">
        <x:v>assert 检查结果；cover 见证前提与事件；按需仿真</x:v>
      </x:c>
      <x:c r="J63" s="16" t="str">
        <x:v>A_REQ
A_XAU_R_ID_ORDER
M_AGE_UNIQUE</x:v>
      </x:c>
      <x:c r="K63" s="16" t="str">
        <x:v>BIZ 长流</x:v>
      </x:c>
      <x:c r="L63" s="17" t="str">
        <x:v>未逐项执行</x:v>
      </x:c>
    </x:row>
    <x:row r="64" ht="58" customHeight="1">
      <x:c r="A64" s="16" t="str">
        <x:v>WIN-01</x:v>
      </x:c>
      <x:c r="B64" s="16" t="str">
        <x:v>流水与乱序窗口</x:v>
      </x:c>
      <x:c r="C64" s="16" t="str">
        <x:v>空表单命令最短路径</x:v>
      </x:c>
      <x:c r="D64" s="16" t="str">
        <x:v>合法业务</x:v>
      </x:c>
      <x:c r="E64" s="16" t="str">
        <x:v>空表；Bank 可按协议空闲/变忙；仲裁允许</x:v>
      </x:c>
      <x:c r="F64" s="16" t="str">
        <x:v>C1 AR，C2 预选，C3 req 并成功</x:v>
      </x:c>
      <x:c r="G64" s="16" t="str">
        <x:v>C1/C2 不得提前发射；C3 地址为该命令</x:v>
      </x:c>
      <x:c r="H64" s="16" t="str">
        <x:v>AR 直接旁路到 req，少一流水级</x:v>
      </x:c>
      <x:c r="I64" s="16" t="str">
        <x:v>assert 检查结果；cover 见证前提与事件；按需仿真</x:v>
      </x:c>
      <x:c r="J64" s="16" t="str">
        <x:v>A_REQ
A_ARB_ADDR</x:v>
      </x:c>
      <x:c r="K64" s="16" t="str">
        <x:v>W06 C1/C2/C3</x:v>
      </x:c>
      <x:c r="L64" s="17" t="str">
        <x:v>未逐项执行</x:v>
      </x:c>
    </x:row>
    <x:row r="65" ht="58" customHeight="1">
      <x:c r="A65" s="16" t="str">
        <x:v>WIN-02</x:v>
      </x:c>
      <x:c r="B65" s="16" t="str">
        <x:v>流水与乱序窗口</x:v>
      </x:c>
      <x:c r="C65" s="16" t="str">
        <x:v>连续两条流水</x:v>
      </x:c>
      <x:c r="D65" s="16" t="str">
        <x:v>合法业务</x:v>
      </x:c>
      <x:c r="E65" s="16" t="str">
        <x:v>A、B 连续 AR，目标条件允许</x:v>
      </x:c>
      <x:c r="F65" s="16" t="str">
        <x:v>A 在 C3 req 时同拍预选 B</x:v>
      </x:c>
      <x:c r="G65" s="16" t="str">
        <x:v>B 可于 C4 req，不应强制预选空拍</x:v>
      </x:c>
      <x:c r="H65" s="16" t="str">
        <x:v>把预选和发射串行化</x:v>
      </x:c>
      <x:c r="I65" s="16" t="str">
        <x:v>assert 检查结果；cover 见证前提与事件；按需仿真</x:v>
      </x:c>
      <x:c r="J65" s="16" t="str">
        <x:v>A_REQ
C_FOUR_SUCCESS</x:v>
      </x:c>
      <x:c r="K65" s="16" t="str">
        <x:v>并发事件 I</x:v>
      </x:c>
      <x:c r="L65" s="17" t="str">
        <x:v>未逐项执行</x:v>
      </x:c>
    </x:row>
    <x:row r="66" ht="58" customHeight="1">
      <x:c r="A66" s="16" t="str">
        <x:v>WIN-03</x:v>
      </x:c>
      <x:c r="B66" s="16" t="str">
        <x:v>流水与乱序窗口</x:v>
      </x:c>
      <x:c r="C66" s="16" t="str">
        <x:v>窗口不足五项</x:v>
      </x:c>
      <x:c r="D66" s="16" t="str">
        <x:v>合法业务</x:v>
      </x:c>
      <x:c r="E66" s="16" t="str">
        <x:v>待发数分别 0/1/2/3/4</x:v>
      </x:c>
      <x:c r="F66" s="16" t="str">
        <x:v>逐项改变 Bank 空闲状态</x:v>
      </x:c>
      <x:c r="G66" s="16" t="str">
        <x:v>只在存在的待发项中选；空表无 req；不得读无效槽</x:v>
      </x:c>
      <x:c r="H66" s="16" t="str">
        <x:v>未屏蔽无效 entry</x:v>
      </x:c>
      <x:c r="I66" s="16" t="str">
        <x:v>assert 检查结果；cover 见证前提与事件；按需仿真</x:v>
      </x:c>
      <x:c r="J66" s="16" t="str">
        <x:v>A_REQ
M_ATTEMPT</x:v>
      </x:c>
      <x:c r="K66" s="16" t="str">
        <x:v>容量与 pending 不是同一计数</x:v>
      </x:c>
      <x:c r="L66" s="17" t="str">
        <x:v>未逐项执行</x:v>
      </x:c>
    </x:row>
    <x:row r="67" ht="58" customHeight="1">
      <x:c r="A67" s="16" t="str">
        <x:v>WIN-04</x:v>
      </x:c>
      <x:c r="B67" s="16" t="str">
        <x:v>流水与乱序窗口</x:v>
      </x:c>
      <x:c r="C67" s="16" t="str">
        <x:v>正好五项全部可用</x:v>
      </x:c>
      <x:c r="D67" s="16" t="str">
        <x:v>合法业务</x:v>
      </x:c>
      <x:c r="E67" s="16" t="str">
        <x:v>A..E 按年龄排列且目标均空闲</x:v>
      </x:c>
      <x:c r="F67" s="16" t="str">
        <x:v>C2 选择</x:v>
      </x:c>
      <x:c r="G67" s="16" t="str">
        <x:v>发最老 A；跨源也按全局 AR 年龄</x:v>
      </x:c>
      <x:c r="H67" s="16" t="str">
        <x:v>优先级编码器按槽号或 src 选中</x:v>
      </x:c>
      <x:c r="I67" s="16" t="str">
        <x:v>assert 检查结果；cover 见证前提与事件；按需仿真</x:v>
      </x:c>
      <x:c r="J67" s="16" t="str">
        <x:v>A_REQ
A_ARB_ADDR</x:v>
      </x:c>
      <x:c r="K67" s="16" t="str">
        <x:v>规则与证据 WINDOW</x:v>
      </x:c>
      <x:c r="L67" s="17" t="str">
        <x:v>未逐项执行</x:v>
      </x:c>
    </x:row>
    <x:row r="68" ht="58" customHeight="1">
      <x:c r="A68" s="16" t="str">
        <x:v>WIN-05</x:v>
      </x:c>
      <x:c r="B68" s="16" t="str">
        <x:v>流水与乱序窗口</x:v>
      </x:c>
      <x:c r="C68" s="16" t="str">
        <x:v>最老忙而次老空闲</x:v>
      </x:c>
      <x:c r="D68" s="16" t="str">
        <x:v>合法业务</x:v>
      </x:c>
      <x:c r="E68" s="16" t="str">
        <x:v>窗口 A..E，A 忙，B 空闲</x:v>
      </x:c>
      <x:c r="F68" s="16" t="str">
        <x:v>C2 选择</x:v>
      </x:c>
      <x:c r="G68" s="16" t="str">
        <x:v>选择 B；先按空闲过滤再选最老</x:v>
      </x:c>
      <x:c r="H68" s="16" t="str">
        <x:v>先找全局最老再检查空闲，造成队头阻塞</x:v>
      </x:c>
      <x:c r="I68" s="16" t="str">
        <x:v>assert 检查结果；cover 见证前提与事件；按需仿真</x:v>
      </x:c>
      <x:c r="J68" s="16" t="str">
        <x:v>A_REQ
A_ARB_ADDR</x:v>
      </x:c>
      <x:c r="K68" s="16" t="str">
        <x:v>ARB 空闲过滤</x:v>
      </x:c>
      <x:c r="L68" s="17" t="str">
        <x:v>未逐项执行</x:v>
      </x:c>
    </x:row>
    <x:row r="69" ht="58" customHeight="1">
      <x:c r="A69" s="16" t="str">
        <x:v>WIN-06</x:v>
      </x:c>
      <x:c r="B69" s="16" t="str">
        <x:v>流水与乱序窗口</x:v>
      </x:c>
      <x:c r="C69" s="16" t="str">
        <x:v>多个非连续候选</x:v>
      </x:c>
      <x:c r="D69" s="16" t="str">
        <x:v>合法业务</x:v>
      </x:c>
      <x:c r="E69" s="16" t="str">
        <x:v>窗口 A..E，只有 B/D/E 空闲</x:v>
      </x:c>
      <x:c r="F69" s="16" t="str">
        <x:v>C2 选择</x:v>
      </x:c>
      <x:c r="G69" s="16" t="str">
        <x:v>选择 B；不能跳到 D/E</x:v>
      </x:c>
      <x:c r="H69" s="16" t="str">
        <x:v>从可用候选选最新或固定 bank</x:v>
      </x:c>
      <x:c r="I69" s="16" t="str">
        <x:v>assert 检查结果；cover 见证前提与事件；按需仿真</x:v>
      </x:c>
      <x:c r="J69" s="16" t="str">
        <x:v>A_REQ
A_ARB_ADDR</x:v>
      </x:c>
      <x:c r="K69" s="16" t="str">
        <x:v>规则与证据 WINDOW</x:v>
      </x:c>
      <x:c r="L69" s="17" t="str">
        <x:v>未逐项执行</x:v>
      </x:c>
    </x:row>
    <x:row r="70" ht="58" customHeight="1">
      <x:c r="A70" s="16" t="str">
        <x:v>WIN-07</x:v>
      </x:c>
      <x:c r="B70" s="16" t="str">
        <x:v>流水与乱序窗口</x:v>
      </x:c>
      <x:c r="C70" s="16" t="str">
        <x:v>只有第五项可用</x:v>
      </x:c>
      <x:c r="D70" s="16" t="str">
        <x:v>合法业务</x:v>
      </x:c>
      <x:c r="E70" s="16" t="str">
        <x:v>A..D 忙、E 空闲；F 更年轻且也空闲</x:v>
      </x:c>
      <x:c r="F70" s="16" t="str">
        <x:v>C2 选择</x:v>
      </x:c>
      <x:c r="G70" s="16" t="str">
        <x:v>选择 E；窗口上界包含第 5 项</x:v>
      </x:c>
      <x:c r="H70" s="16" t="str">
        <x:v>rank&lt;4 导致漏掉第 5 项</x:v>
      </x:c>
      <x:c r="I70" s="16" t="str">
        <x:v>assert 检查结果；cover 见证前提与事件；按需仿真</x:v>
      </x:c>
      <x:c r="J70" s="16" t="str">
        <x:v>A_REQ</x:v>
      </x:c>
      <x:c r="K70" s="16" t="str">
        <x:v>窗口边界 rank=4</x:v>
      </x:c>
      <x:c r="L70" s="17" t="str">
        <x:v>未逐项执行</x:v>
      </x:c>
    </x:row>
    <x:row r="71" ht="58" customHeight="1">
      <x:c r="A71" s="16" t="str">
        <x:v>WIN-08</x:v>
      </x:c>
      <x:c r="B71" s="16" t="str">
        <x:v>流水与乱序窗口</x:v>
      </x:c>
      <x:c r="C71" s="16" t="str">
        <x:v>前五项全忙但第六项空闲</x:v>
      </x:c>
      <x:c r="D71" s="16" t="str">
        <x:v>合法业务</x:v>
      </x:c>
      <x:c r="E71" s="16" t="str">
        <x:v>已接收 A..F，A..E 目标忙，F 目标空闲</x:v>
      </x:c>
      <x:c r="F71" s="16" t="str">
        <x:v>状态保持多拍，未发生成功发射</x:v>
      </x:c>
      <x:c r="G71" s="16" t="str">
        <x:v>不下发 F；窗口不因空闲等待而向后滑动</x:v>
      </x:c>
      <x:c r="H71" s="16" t="str">
        <x:v>在全 9 项中过滤后取最老；定时滑窗</x:v>
      </x:c>
      <x:c r="I71" s="16" t="str">
        <x:v>assert 检查结果；cover 见证前提与事件；按需仿真</x:v>
      </x:c>
      <x:c r="J71" s="16" t="str">
        <x:v>A_REQ
C_BLOCKED_SIX</x:v>
      </x:c>
      <x:c r="K71" s="16" t="str">
        <x:v>关键阻塞场景</x:v>
      </x:c>
      <x:c r="L71" s="17" t="str">
        <x:v>未逐项执行</x:v>
      </x:c>
    </x:row>
    <x:row r="72" ht="58" customHeight="1">
      <x:c r="A72" s="16" t="str">
        <x:v>WIN-09</x:v>
      </x:c>
      <x:c r="B72" s="16" t="str">
        <x:v>流水与乱序窗口</x:v>
      </x:c>
      <x:c r="C72" s="16" t="str">
        <x:v>六到九项窗口仍只取五</x:v>
      </x:c>
      <x:c r="D72" s="16" t="str">
        <x:v>合法业务</x:v>
      </x:c>
      <x:c r="E72" s="16" t="str">
        <x:v>已接收 6/7/8/9 项，合法来源分布</x:v>
      </x:c>
      <x:c r="F72" s="16" t="str">
        <x:v>第 6..9 项目标空闲，前五不可用</x:v>
      </x:c>
      <x:c r="G72" s="16" t="str">
        <x:v>这些项都不能越窗；占用多不扩大窗口</x:v>
      </x:c>
      <x:c r="H72" s="16" t="str">
        <x:v>窗口参数误设为 9</x:v>
      </x:c>
      <x:c r="I72" s="16" t="str">
        <x:v>assert 检查结果；cover 见证前提与事件；按需仿真</x:v>
      </x:c>
      <x:c r="J72" s="16" t="str">
        <x:v>A_REQ
C_BLOCKED_SIX</x:v>
      </x:c>
      <x:c r="K72" s="16" t="str">
        <x:v>可与容量满表组合</x:v>
      </x:c>
      <x:c r="L72" s="17" t="str">
        <x:v>未逐项执行</x:v>
      </x:c>
    </x:row>
    <x:row r="73" ht="58" customHeight="1">
      <x:c r="A73" s="16" t="str">
        <x:v>WIN-10</x:v>
      </x:c>
      <x:c r="B73" s="16" t="str">
        <x:v>流水与乱序窗口</x:v>
      </x:c>
      <x:c r="C73" s="16" t="str">
        <x:v>已发项不占待发窗口</x:v>
      </x:c>
      <x:c r="D73" s="16" t="str">
        <x:v>合法业务</x:v>
      </x:c>
      <x:c r="E73" s="16" t="str">
        <x:v>若干最老项已 issued，仍保留 entry</x:v>
      </x:c>
      <x:c r="F73" s="16" t="str">
        <x:v>检查剩余未 issued 命令的排名</x:v>
      </x:c>
      <x:c r="G73" s="16" t="str">
        <x:v>取最老五条未成功发射命令，不是最老五条有效项</x:v>
      </x:c>
      <x:c r="H73" s="16" t="str">
        <x:v>issued 长时间占据窗口造成停顿</x:v>
      </x:c>
      <x:c r="I73" s="16" t="str">
        <x:v>assert 检查结果；cover 见证前提与事件；按需仿真</x:v>
      </x:c>
      <x:c r="J73" s="16" t="str">
        <x:v>A_REQ
M_STATE</x:v>
      </x:c>
      <x:c r="K73" s="16" t="str">
        <x:v>pending 与 occupancy 分离</x:v>
      </x:c>
      <x:c r="L73" s="17" t="str">
        <x:v>未逐项执行</x:v>
      </x:c>
    </x:row>
    <x:row r="74" ht="58" customHeight="1">
      <x:c r="A74" s="16" t="str">
        <x:v>WIN-11</x:v>
      </x:c>
      <x:c r="B74" s="16" t="str">
        <x:v>流水与乱序窗口</x:v>
      </x:c>
      <x:c r="C74" s="16" t="str">
        <x:v>窗口队头成功后补入</x:v>
      </x:c>
      <x:c r="D74" s="16" t="str">
        <x:v>合法业务</x:v>
      </x:c>
      <x:c r="E74" s="16" t="str">
        <x:v>A..E 在窗内，F 在窗外；当前 A req 成功</x:v>
      </x:c>
      <x:c r="F74" s="16" t="str">
        <x:v>同拍进行下一次预选</x:v>
      </x:c>
      <x:c r="G74" s="16" t="str">
        <x:v>新窗 B/C/D/E/F，F 可当拍参与、下一拍 req</x:v>
      </x:c>
      <x:c r="H74" s="16" t="str">
        <x:v>补窗延迟一拍；先选后扣 success</x:v>
      </x:c>
      <x:c r="I74" s="16" t="str">
        <x:v>assert 检查结果；cover 见证前提与事件；按需仿真</x:v>
      </x:c>
      <x:c r="J74" s="16" t="str">
        <x:v>A_REQ
C_REFILL_NEXT_CYCLE</x:v>
      </x:c>
      <x:c r="K74" s="16" t="str">
        <x:v>6B</x:v>
      </x:c>
      <x:c r="L74" s="17" t="str">
        <x:v>未逐项执行</x:v>
      </x:c>
    </x:row>
    <x:row r="75" ht="58" customHeight="1">
      <x:c r="A75" s="16" t="str">
        <x:v>WIN-12</x:v>
      </x:c>
      <x:c r="B75" s="16" t="str">
        <x:v>流水与乱序窗口</x:v>
      </x:c>
      <x:c r="C75" s="16" t="str">
        <x:v>窗口中间项成功后补入</x:v>
      </x:c>
      <x:c r="D75" s="16" t="str">
        <x:v>合法业务</x:v>
      </x:c>
      <x:c r="E75" s="16" t="str">
        <x:v>窗口 A/B/C/D/E，F 在窗外，C 成功</x:v>
      </x:c>
      <x:c r="F75" s="16" t="str">
        <x:v>当拍更新候选</x:v>
      </x:c>
      <x:c r="G75" s="16" t="str">
        <x:v>新窗 A/B/D/E/F；其余相对年龄不变，F 可参与</x:v>
      </x:c>
      <x:c r="H75" s="16" t="str">
        <x:v>用整体头指针滑一格丢 A/B</x:v>
      </x:c>
      <x:c r="I75" s="16" t="str">
        <x:v>assert 检查结果；cover 见证前提与事件；按需仿真</x:v>
      </x:c>
      <x:c r="J75" s="16" t="str">
        <x:v>A_REQ
C_NONHEAD_REFILL</x:v>
      </x:c>
      <x:c r="K75" s="16" t="str">
        <x:v>用户确认的 6B</x:v>
      </x:c>
      <x:c r="L75" s="17" t="str">
        <x:v>未逐项执行</x:v>
      </x:c>
    </x:row>
    <x:row r="76" ht="58" customHeight="1">
      <x:c r="A76" s="16" t="str">
        <x:v>WIN-13</x:v>
      </x:c>
      <x:c r="B76" s="16" t="str">
        <x:v>流水与乱序窗口</x:v>
      </x:c>
      <x:c r="C76" s="16" t="str">
        <x:v>仲裁失败窗口不后移</x:v>
      </x:c>
      <x:c r="D76" s="16" t="str">
        <x:v>合法业务</x:v>
      </x:c>
      <x:c r="E76" s="16" t="str">
        <x:v>当前窗内命令 req，双 grant 未同位为 1</x:v>
      </x:c>
      <x:c r="F76" s="16" t="str">
        <x:v>当拍预选及下一拍请求</x:v>
      </x:c>
      <x:c r="G76" s="16" t="str">
        <x:v>失败项仍在原年龄位置，第六项不因失败进入</x:v>
      </x:c>
      <x:c r="H76" s="16" t="str">
        <x:v>仅看到 req 就出窗</x:v>
      </x:c>
      <x:c r="I76" s="16" t="str">
        <x:v>assert 检查结果；cover 见证前提与事件；按需仿真</x:v>
      </x:c>
      <x:c r="J76" s="16" t="str">
        <x:v>A_REQ
C_RETRY_NEXT_CYCLE</x:v>
      </x:c>
      <x:c r="K76" s="16" t="str">
        <x:v>ARB</x:v>
      </x:c>
      <x:c r="L76" s="17" t="str">
        <x:v>未逐项执行</x:v>
      </x:c>
    </x:row>
    <x:row r="77" ht="58" customHeight="1">
      <x:c r="A77" s="16" t="str">
        <x:v>WIN-14</x:v>
      </x:c>
      <x:c r="B77" s="16" t="str">
        <x:v>流水与乱序窗口</x:v>
      </x:c>
      <x:c r="C77" s="16" t="str">
        <x:v>单命令失败后连续重试</x:v>
      </x:c>
      <x:c r="D77" s="16" t="str">
        <x:v>合法业务</x:v>
      </x:c>
      <x:c r="E77" s="16" t="str">
        <x:v>只有 A 待发，C3 失败且目标在 C3 仍空闲</x:v>
      </x:c>
      <x:c r="F77" s="16" t="str">
        <x:v>C3 同拍重新选中 A</x:v>
      </x:c>
      <x:c r="G77" s="16" t="str">
        <x:v>C4 仍有 A 的 req；不应固定插空拍</x:v>
      </x:c>
      <x:c r="H77" s="16" t="str">
        <x:v>失败项被临时排除一次选择</x:v>
      </x:c>
      <x:c r="I77" s="16" t="str">
        <x:v>assert 检查结果；cover 见证前提与事件；按需仿真</x:v>
      </x:c>
      <x:c r="J77" s="16" t="str">
        <x:v>A_REQ
C_RETRY_NEXT_CYCLE</x:v>
      </x:c>
      <x:c r="K77" s="16" t="str">
        <x:v>用户修正的连续重试规则</x:v>
      </x:c>
      <x:c r="L77" s="17" t="str">
        <x:v>未逐项执行</x:v>
      </x:c>
    </x:row>
    <x:row r="78" ht="58" customHeight="1">
      <x:c r="A78" s="16" t="str">
        <x:v>WIN-15</x:v>
      </x:c>
      <x:c r="B78" s="16" t="str">
        <x:v>流水与乱序窗口</x:v>
      </x:c>
      <x:c r="C78" s="16" t="str">
        <x:v>失败后目标变忙</x:v>
      </x:c>
      <x:c r="D78" s="16" t="str">
        <x:v>合法业务</x:v>
      </x:c>
      <x:c r="E78" s="16" t="str">
        <x:v>A 当前失败；C3 status 指示 A 忙</x:v>
      </x:c>
      <x:c r="F78" s="16" t="str">
        <x:v>当拍没有其他候选</x:v>
      </x:c>
      <x:c r="G78" s="16" t="str">
        <x:v>C4 无 req；A 保持待发直到以后空闲</x:v>
      </x:c>
      <x:c r="H78" s="16" t="str">
        <x:v>失败必定重发而不再检查预选状态</x:v>
      </x:c>
      <x:c r="I78" s="16" t="str">
        <x:v>assert 检查结果；cover 见证前提与事件；按需仿真</x:v>
      </x:c>
      <x:c r="J78" s="16" t="str">
        <x:v>A_REQ</x:v>
      </x:c>
      <x:c r="K78" s="16" t="str">
        <x:v>与单命令连续重试对照</x:v>
      </x:c>
      <x:c r="L78" s="17" t="str">
        <x:v>未逐项执行</x:v>
      </x:c>
    </x:row>
    <x:row r="79" ht="58" customHeight="1">
      <x:c r="A79" s="16" t="str">
        <x:v>WIN-16</x:v>
      </x:c>
      <x:c r="B79" s="16" t="str">
        <x:v>流水与乱序窗口</x:v>
      </x:c>
      <x:c r="C79" s="16" t="str">
        <x:v>失败后改选其他命令</x:v>
      </x:c>
      <x:c r="D79" s="16" t="str">
        <x:v>合法业务</x:v>
      </x:c>
      <x:c r="E79" s="16" t="str">
        <x:v>A 当前失败且忙，B 在窗内且空闲</x:v>
      </x:c>
      <x:c r="F79" s="16" t="str">
        <x:v>C3 预选 B</x:v>
      </x:c>
      <x:c r="G79" s="16" t="str">
        <x:v>C4 req=B，A 年龄仍旧；不锁死在 A</x:v>
      </x:c>
      <x:c r="H79" s="16" t="str">
        <x:v>将重试优先级硬锁为上一次项</x:v>
      </x:c>
      <x:c r="I79" s="16" t="str">
        <x:v>assert 检查结果；cover 见证前提与事件；按需仿真</x:v>
      </x:c>
      <x:c r="J79" s="16" t="str">
        <x:v>A_REQ
C_FAILURE_SELECT_OTHER</x:v>
      </x:c>
      <x:c r="K79" s="16" t="str">
        <x:v>ARB</x:v>
      </x:c>
      <x:c r="L79" s="17" t="str">
        <x:v>未逐项执行</x:v>
      </x:c>
    </x:row>
    <x:row r="80" ht="58" customHeight="1">
      <x:c r="A80" s="16" t="str">
        <x:v>WIN-17</x:v>
      </x:c>
      <x:c r="B80" s="16" t="str">
        <x:v>流水与乱序窗口</x:v>
      </x:c>
      <x:c r="C80" s="16" t="str">
        <x:v>成功项不能再次预选</x:v>
      </x:c>
      <x:c r="D80" s="16" t="str">
        <x:v>合法业务</x:v>
      </x:c>
      <x:c r="E80" s="16" t="str">
        <x:v>当前 req=A 成功，A 仍有效且可能状态误解</x:v>
      </x:c>
      <x:c r="F80" s="16" t="str">
        <x:v>同拍构造多个候选</x:v>
      </x:c>
      <x:c r="G80" s="16" t="str">
        <x:v>排除 A；仅其他未成功项参与下一拍</x:v>
      </x:c>
      <x:c r="H80" s="16" t="str">
        <x:v>issued 标记次拍才更新而重复发射</x:v>
      </x:c>
      <x:c r="I80" s="16" t="str">
        <x:v>assert 检查结果；cover 见证前提与事件；按需仿真</x:v>
      </x:c>
      <x:c r="J80" s="16" t="str">
        <x:v>A_REQ
M_ATTEMPT</x:v>
      </x:c>
      <x:c r="K80" s="16" t="str">
        <x:v>success 同拍前递</x:v>
      </x:c>
      <x:c r="L80" s="17" t="str">
        <x:v>未逐项执行</x:v>
      </x:c>
    </x:row>
    <x:row r="81" ht="58" customHeight="1">
      <x:c r="A81" s="16" t="str">
        <x:v>WIN-18</x:v>
      </x:c>
      <x:c r="B81" s="16" t="str">
        <x:v>流水与乱序窗口</x:v>
      </x:c>
      <x:c r="C81" s="16" t="str">
        <x:v>新 AR 不加入当前预选</x:v>
      </x:c>
      <x:c r="D81" s="16" t="str">
        <x:v>合法业务</x:v>
      </x:c>
      <x:c r="E81" s="16" t="str">
        <x:v>本拍 A 接收且另有已存命令可选</x:v>
      </x:c>
      <x:c r="F81" s="16" t="str">
        <x:v>对新旧命令设置空闲状态</x:v>
      </x:c>
      <x:c r="G81" s="16" t="str">
        <x:v>本拍 C2 仅看已寄存命令；新 AR 最早下拍判断、再下拍 req</x:v>
      </x:c>
      <x:c r="H81" s="16" t="str">
        <x:v>接收旁路跳过 C2</x:v>
      </x:c>
      <x:c r="I81" s="16" t="str">
        <x:v>assert 检查结果；cover 见证前提与事件；按需仿真</x:v>
      </x:c>
      <x:c r="J81" s="16" t="str">
        <x:v>A_REQ
A_ARB_ADDR</x:v>
      </x:c>
      <x:c r="K81" s="16" t="str">
        <x:v>最少三阶段</x:v>
      </x:c>
      <x:c r="L81" s="17" t="str">
        <x:v>未逐项执行</x:v>
      </x:c>
    </x:row>
    <x:row r="82" ht="58" customHeight="1">
      <x:c r="A82" s="16" t="str">
        <x:v>WIN-19</x:v>
      </x:c>
      <x:c r="B82" s="16" t="str">
        <x:v>流水与乱序窗口</x:v>
      </x:c>
      <x:c r="C82" s="16" t="str">
        <x:v>R 回收不使待发窗前移</x:v>
      </x:c>
      <x:c r="D82" s="16" t="str">
        <x:v>合法业务</x:v>
      </x:c>
      <x:c r="E82" s="16" t="str">
        <x:v>旧已发项本拍 R，待发五项均忙</x:v>
      </x:c>
      <x:c r="F82" s="16" t="str">
        <x:v>第六待发项空闲</x:v>
      </x:c>
      <x:c r="G82" s="16" t="str">
        <x:v>R 只释放容量；不把第六待发项自动拉入窗口</x:v>
      </x:c>
      <x:c r="H82" s="16" t="str">
        <x:v>把 R 出队误当成待发队列出队</x:v>
      </x:c>
      <x:c r="I82" s="16" t="str">
        <x:v>assert 检查结果；cover 见证前提与事件；按需仿真</x:v>
      </x:c>
      <x:c r="J82" s="16" t="str">
        <x:v>A_REQ
C_BLOCKED_SIX</x:v>
      </x:c>
      <x:c r="K82" s="16" t="str">
        <x:v>结合 CAP 发射/返回不混记</x:v>
      </x:c>
      <x:c r="L82" s="17" t="str">
        <x:v>未逐项执行</x:v>
      </x:c>
    </x:row>
    <x:row r="83" ht="58" customHeight="1">
      <x:c r="A83" s="16" t="str">
        <x:v>ARB-01</x:v>
      </x:c>
      <x:c r="B83" s="16" t="str">
        <x:v>Bank 与仲裁判断</x:v>
      </x:c>
      <x:c r="C83" s="16" t="str">
        <x:v>八个 Bank 编码边界</x:v>
      </x:c>
      <x:c r="D83" s="16" t="str">
        <x:v>合法业务</x:v>
      </x:c>
      <x:c r="E83" s="16" t="str">
        <x:v>合法命令在窗口中</x:v>
      </x:c>
      <x:c r="F83" s="16" t="str">
        <x:v>遍历 araddr[5:3]=0..7</x:v>
      </x:c>
      <x:c r="G83" s="16" t="str">
        <x:v>req[bank] 唯一置位；没有 Bank8；地址最低三位不影响 Bank</x:v>
      </x:c>
      <x:c r="H83" s="16" t="str">
        <x:v>切片错一位、最高 Bank 丢失</x:v>
      </x:c>
      <x:c r="I83" s="16" t="str">
        <x:v>assert 检查结果；cover 见证前提与事件；按需仿真</x:v>
      </x:c>
      <x:c r="J83" s="16" t="str">
        <x:v>A_REQ
A_REQ_ONEHOT
A_ARB_ADDR</x:v>
      </x:c>
      <x:c r="K83" s="16" t="str">
        <x:v>8 个 bank 分别覆盖</x:v>
      </x:c>
      <x:c r="L83" s="17" t="str">
        <x:v>未逐项执行</x:v>
      </x:c>
    </x:row>
    <x:row r="84" ht="58" customHeight="1">
      <x:c r="A84" s="16" t="str">
        <x:v>ARB-02</x:v>
      </x:c>
      <x:c r="B84" s="16" t="str">
        <x:v>Bank 与仲裁判断</x:v>
      </x:c>
      <x:c r="C84" s="16" t="str">
        <x:v>奇偶半区独立</x:v>
      </x:c>
      <x:c r="D84" s="16" t="str">
        <x:v>合法业务</x:v>
      </x:c>
      <x:c r="E84" s="16" t="str">
        <x:v>固定 bank，status=01 或 10</x:v>
      </x:c>
      <x:c r="F84" s="16" t="str">
        <x:v>命令 araddr[6] 分别为 0/1</x:v>
      </x:c>
      <x:c r="G84" s="16" t="str">
        <x:v>仅对应 half=0 的 bit0、half=1 的 bit1 为 0 时可预选</x:v>
      </x:c>
      <x:c r="H84" s="16" t="str">
        <x:v>二维下标转置；奇偶含义反了</x:v>
      </x:c>
      <x:c r="I84" s="16" t="str">
        <x:v>assert 检查结果；cover 见证前提与事件；按需仿真</x:v>
      </x:c>
      <x:c r="J84" s="16" t="str">
        <x:v>A_REQ
A_ARB_ADDR</x:v>
      </x:c>
      <x:c r="K84" s="16" t="str">
        <x:v>8 bank × 2 half</x:v>
      </x:c>
      <x:c r="L84" s="17" t="str">
        <x:v>未逐项执行</x:v>
      </x:c>
    </x:row>
    <x:row r="85" ht="58" customHeight="1">
      <x:c r="A85" s="16" t="str">
        <x:v>ARB-03</x:v>
      </x:c>
      <x:c r="B85" s="16" t="str">
        <x:v>Bank 与仲裁判断</x:v>
      </x:c>
      <x:c r="C85" s="16" t="str">
        <x:v>Bank 两半均空闲/均忙</x:v>
      </x:c>
      <x:c r="D85" s="16" t="str">
        <x:v>合法业务</x:v>
      </x:c>
      <x:c r="E85" s="16" t="str">
        <x:v>status[bank]=00 或 11</x:v>
      </x:c>
      <x:c r="F85" s="16" t="str">
        <x:v>窗内请求同 bank 两种 half</x:v>
      </x:c>
      <x:c r="G85" s="16" t="str">
        <x:v>00 两半都可候选；11 两半都排除，仍按年龄择一</x:v>
      </x:c>
      <x:c r="H85" s="16" t="str">
        <x:v>将 2'b00 解读为占用</x:v>
      </x:c>
      <x:c r="I85" s="16" t="str">
        <x:v>assert 检查结果；cover 见证前提与事件；按需仿真</x:v>
      </x:c>
      <x:c r="J85" s="16" t="str">
        <x:v>A_REQ</x:v>
      </x:c>
      <x:c r="K85" s="16" t="str">
        <x:v>每 bank 四种 status 值</x:v>
      </x:c>
      <x:c r="L85" s="17" t="str">
        <x:v>未逐项执行</x:v>
      </x:c>
    </x:row>
    <x:row r="86" ht="58" customHeight="1">
      <x:c r="A86" s="16" t="str">
        <x:v>ARB-04</x:v>
      </x:c>
      <x:c r="B86" s="16" t="str">
        <x:v>Bank 与仲裁判断</x:v>
      </x:c>
      <x:c r="C86" s="16" t="str">
        <x:v>发送地址保留 half</x:v>
      </x:c>
      <x:c r="D86" s="16" t="str">
        <x:v>合法业务</x:v>
      </x:c>
      <x:c r="E86" s="16" t="str">
        <x:v>araddr[17:6] 边界与相邻变化</x:v>
      </x:c>
      <x:c r="F86" s="16" t="str">
        <x:v>命令进入 req 拍</x:v>
      </x:c>
      <x:c r="G86" s="16" t="str">
        <x:v>arb_addr=araddr[17:6]，12 位；arb_addr[0]=half</x:v>
      </x:c>
      <x:c r="H86" s="16" t="str">
        <x:v>沿用旧 11 位 [17:7] 地址</x:v>
      </x:c>
      <x:c r="I86" s="16" t="str">
        <x:v>assert 检查结果；cover 见证前提与事件；按需仿真</x:v>
      </x:c>
      <x:c r="J86" s="16" t="str">
        <x:v>A_ARB_ADDR</x:v>
      </x:c>
      <x:c r="K86" s="16" t="str">
        <x:v>有效 req 才检查地址</x:v>
      </x:c>
      <x:c r="L86" s="17" t="str">
        <x:v>未逐项执行</x:v>
      </x:c>
    </x:row>
    <x:row r="87" ht="58" customHeight="1">
      <x:c r="A87" s="16" t="str">
        <x:v>ARB-05</x:v>
      </x:c>
      <x:c r="B87" s="16" t="str">
        <x:v>Bank 与仲裁判断</x:v>
      </x:c>
      <x:c r="C87" s="16" t="str">
        <x:v>四种双 grant 组合</x:v>
      </x:c>
      <x:c r="D87" s="16" t="str">
        <x:v>合法业务</x:v>
      </x:c>
      <x:c r="E87" s="16" t="str">
        <x:v>当前 req 的同一 bit=i</x:v>
      </x:c>
      <x:c r="F87" s="16" t="str">
        <x:v>(ar_gnt[i],rw_gnt[i])=00/01/10/11</x:v>
      </x:c>
      <x:c r="G87" s="16" t="str">
        <x:v>仅 11 成功；其他组合均失败且待发保持</x:v>
      </x:c>
      <x:c r="H87" s="16" t="str">
        <x:v>只看其中一种 grant 或使用 OR</x:v>
      </x:c>
      <x:c r="I87" s="16" t="str">
        <x:v>assert 检查结果；cover 见证前提与事件；按需仿真</x:v>
      </x:c>
      <x:c r="J87" s="16" t="str">
        <x:v>A_PENDING
A_REQ
M_SUCCESS</x:v>
      </x:c>
      <x:c r="K87" s="16" t="str">
        <x:v>00/01/10/11 四个子场景</x:v>
      </x:c>
      <x:c r="L87" s="17" t="str">
        <x:v>未逐项执行</x:v>
      </x:c>
    </x:row>
    <x:row r="88" ht="58" customHeight="1">
      <x:c r="A88" s="16" t="str">
        <x:v>ARB-06</x:v>
      </x:c>
      <x:c r="B88" s="16" t="str">
        <x:v>Bank 与仲裁判断</x:v>
      </x:c>
      <x:c r="C88" s="16" t="str">
        <x:v>grant 出现在非请求 Bank</x:v>
      </x:c>
      <x:c r="D88" s="16" t="str">
        <x:v>合法业务</x:v>
      </x:c>
      <x:c r="E88" s="16" t="str">
        <x:v>req[i]=1，其他 Bank grant=1</x:v>
      </x:c>
      <x:c r="F88" s="16" t="str">
        <x:v>请求 bit 双 grant 不同时为 1</x:v>
      </x:c>
      <x:c r="G88" s="16" t="str">
        <x:v>不成功；不能把无关 bit 合并为成功</x:v>
      </x:c>
      <x:c r="H88" s="16" t="str">
        <x:v>对两个 grant 分别做 reduction 再 AND</x:v>
      </x:c>
      <x:c r="I88" s="16" t="str">
        <x:v>assert 检查结果；cover 见证前提与事件；按需仿真</x:v>
      </x:c>
      <x:c r="J88" s="16" t="str">
        <x:v>A_PENDING
A_REQ</x:v>
      </x:c>
      <x:c r="K88" s="16" t="str">
        <x:v>8×7 异 bank 组合</x:v>
      </x:c>
      <x:c r="L88" s="17" t="str">
        <x:v>未逐项执行</x:v>
      </x:c>
    </x:row>
    <x:row r="89" ht="58" customHeight="1">
      <x:c r="A89" s="16" t="str">
        <x:v>ARB-07</x:v>
      </x:c>
      <x:c r="B89" s="16" t="str">
        <x:v>Bank 与仲裁判断</x:v>
      </x:c>
      <x:c r="C89" s="16" t="str">
        <x:v>两个 grant 的有效 bit 不同</x:v>
      </x:c>
      <x:c r="D89" s="16" t="str">
        <x:v>合法业务</x:v>
      </x:c>
      <x:c r="E89" s="16" t="str">
        <x:v>req[i]=1，ar_gnt[i]=1；rw_gnt[j]=1，j≠i</x:v>
      </x:c>
      <x:c r="F89" s="16" t="str">
        <x:v>无 requested bit 的双 1</x:v>
      </x:c>
      <x:c r="G89" s="16" t="str">
        <x:v>失败；pending 不因该 grant 减 1</x:v>
      </x:c>
      <x:c r="H89" s="16" t="str">
        <x:v>先归约再相与造成假成功</x:v>
      </x:c>
      <x:c r="I89" s="16" t="str">
        <x:v>assert 检查结果；cover 见证前提与事件；按需仿真</x:v>
      </x:c>
      <x:c r="J89" s="16" t="str">
        <x:v>A_PENDING
A_REQ</x:v>
      </x:c>
      <x:c r="K89" s="16" t="str">
        <x:v>ARB 同位判定</x:v>
      </x:c>
      <x:c r="L89" s="17" t="str">
        <x:v>未逐项执行</x:v>
      </x:c>
    </x:row>
    <x:row r="90" ht="58" customHeight="1">
      <x:c r="A90" s="16" t="str">
        <x:v>ARB-08</x:v>
      </x:c>
      <x:c r="B90" s="16" t="str">
        <x:v>Bank 与仲裁判断</x:v>
      </x:c>
      <x:c r="C90" s="16" t="str">
        <x:v>req=0 时有 grant</x:v>
      </x:c>
      <x:c r="D90" s="16" t="str">
        <x:v>合法业务</x:v>
      </x:c>
      <x:c r="E90" s="16" t="str">
        <x:v>当前无下游请求</x:v>
      </x:c>
      <x:c r="F90" s="16" t="str">
        <x:v>grant 任意组合，包括多 bit=1</x:v>
      </x:c>
      <x:c r="G90" s="16" t="str">
        <x:v>本模块 I=0，不启动返回日历；无效 arb_addr 不检查</x:v>
      </x:c>
      <x:c r="H90" s="16" t="str">
        <x:v>没有与 req 相与导致凭空成功</x:v>
      </x:c>
      <x:c r="I90" s="16" t="str">
        <x:v>assert 检查结果；cover 见证前提与事件；按需仿真</x:v>
      </x:c>
      <x:c r="J90" s="16" t="str">
        <x:v>A_PENDING
M_CALENDAR</x:v>
      </x:c>
      <x:c r="K90" s="16" t="str">
        <x:v>grant 未被假设 onehot</x:v>
      </x:c>
      <x:c r="L90" s="17" t="str">
        <x:v>未逐项执行</x:v>
      </x:c>
    </x:row>
    <x:row r="91" ht="58" customHeight="1">
      <x:c r="A91" s="16" t="str">
        <x:v>ARB-09</x:v>
      </x:c>
      <x:c r="B91" s="16" t="str">
        <x:v>Bank 与仲裁判断</x:v>
      </x:c>
      <x:c r="C91" s="16" t="str">
        <x:v>多 bit grant 包含请求 bit</x:v>
      </x:c>
      <x:c r="D91" s="16" t="str">
        <x:v>合法业务</x:v>
      </x:c>
      <x:c r="E91" s="16" t="str">
        <x:v>req onehot，请求 bit 两种 grant 都为 1，其他位可为 1</x:v>
      </x:c>
      <x:c r="F91" s="16" t="str">
        <x:v>遵守请求 half 必须 busy</x:v>
      </x:c>
      <x:c r="G91" s="16" t="str">
        <x:v>仍只成功一条；无额外多发/多返回</x:v>
      </x:c>
      <x:c r="H91" s="16" t="str">
        <x:v>把 grant 位数计成多条命令</x:v>
      </x:c>
      <x:c r="I91" s="16" t="str">
        <x:v>assert 检查结果；cover 见证前提与事件；按需仿真</x:v>
      </x:c>
      <x:c r="J91" s="16" t="str">
        <x:v>A_REQ_ONEHOT
A_PENDING
M_CALENDAR</x:v>
      </x:c>
      <x:c r="K91" s="16" t="str">
        <x:v>不擅自添加 grant onehot assume</x:v>
      </x:c>
      <x:c r="L91" s="17" t="str">
        <x:v>未逐项执行</x:v>
      </x:c>
    </x:row>
    <x:row r="92" ht="58" customHeight="1">
      <x:c r="A92" s="16" t="str">
        <x:v>ARB-10</x:v>
      </x:c>
      <x:c r="B92" s="16" t="str">
        <x:v>Bank 与仲裁判断</x:v>
      </x:c>
      <x:c r="C92" s="16" t="str">
        <x:v>预选空闲，发送拍已忙</x:v>
      </x:c>
      <x:c r="D92" s="16" t="str">
        <x:v>合法业务</x:v>
      </x:c>
      <x:c r="E92" s="16" t="str">
        <x:v>C2 status 目标 half=0，命令被选中</x:v>
      </x:c>
      <x:c r="F92" s="16" t="str">
        <x:v>C3 req 有效且目标 status=1</x:v>
      </x:c>
      <x:c r="G92" s="16" t="str">
        <x:v>req 保持；是否成功由双 grant 决定；不以当前 busy 撤销 req</x:v>
      </x:c>
      <x:c r="H92" s="16" t="str">
        <x:v>C3 重新用 status 门控 req</x:v>
      </x:c>
      <x:c r="I92" s="16" t="str">
        <x:v>assert 检查结果；cover 见证前提与事件；按需仿真</x:v>
      </x:c>
      <x:c r="J92" s="16" t="str">
        <x:v>A_REQ
E06_SUCCESS_BUSY</x:v>
      </x:c>
      <x:c r="K92" s="16" t="str">
        <x:v>必须支持的状态变化</x:v>
      </x:c>
      <x:c r="L92" s="17" t="str">
        <x:v>未逐项执行</x:v>
      </x:c>
    </x:row>
    <x:row r="93" ht="58" customHeight="1">
      <x:c r="A93" s="16" t="str">
        <x:v>ARB-11</x:v>
      </x:c>
      <x:c r="B93" s="16" t="str">
        <x:v>Bank 与仲裁判断</x:v>
      </x:c>
      <x:c r="C93" s="16" t="str">
        <x:v>成功当拍目标 busy</x:v>
      </x:c>
      <x:c r="D93" s="16" t="str">
        <x:v>合法业务</x:v>
      </x:c>
      <x:c r="E93" s="16" t="str">
        <x:v>req[i] 与两个 grant[i] 均为 1</x:v>
      </x:c>
      <x:c r="F93" s="16" t="str">
        <x:v>检查 status[i][arb_addr[0]]</x:v>
      </x:c>
      <x:c r="G93" s="16" t="str">
        <x:v>同拍必须为 1；这是一条环境关系，不是 DUT 要拉的输出</x:v>
      </x:c>
      <x:c r="H93" s="16" t="str">
        <x:v>将 same-cycle 写成下一拍 busy</x:v>
      </x:c>
      <x:c r="I93" s="16" t="str">
        <x:v>assert 检查结果；cover 见证前提与事件；按需仿真</x:v>
      </x:c>
      <x:c r="J93" s="16" t="str">
        <x:v>E06_SUCCESS_BUSY
C_SUCCESS_BUSY_TARGET</x:v>
      </x:c>
      <x:c r="K93" s="16" t="str">
        <x:v>8×2 个成功目标</x:v>
      </x:c>
      <x:c r="L93" s="17" t="str">
        <x:v>未逐项执行</x:v>
      </x:c>
    </x:row>
    <x:row r="94" ht="58" customHeight="1">
      <x:c r="A94" s="16" t="str">
        <x:v>ARB-12</x:v>
      </x:c>
      <x:c r="B94" s="16" t="str">
        <x:v>Bank 与仲裁判断</x:v>
      </x:c>
      <x:c r="C94" s="16" t="str">
        <x:v>成功但目标仍空闲</x:v>
      </x:c>
      <x:c r="D94" s="16" t="str">
        <x:v>环境违约</x:v>
      </x:c>
      <x:c r="E94" s="16" t="str">
        <x:v>req 位双 grant=1，同时目标 status=0</x:v>
      </x:c>
      <x:c r="F94" s="16" t="str">
        <x:v>独立负向注入</x:v>
      </x:c>
      <x:c r="G94" s="16" t="str">
        <x:v>违反 E06；不能要求正常模型接受该环境并当合法反例</x:v>
      </x:c>
      <x:c r="H94" s="16" t="str">
        <x:v>将违反 assume 的波形算作 RTL 错误</x:v>
      </x:c>
      <x:c r="I94" s="16" t="str">
        <x:v>独立负向仿真/约束审计；不可保留冲突 assume 后再求 cover</x:v>
      </x:c>
      <x:c r="J94" s="16" t="str">
        <x:v>E06_SUCCESS_BUSY</x:v>
      </x:c>
      <x:c r="K94" s="16" t="str">
        <x:v>负向环境测试</x:v>
      </x:c>
      <x:c r="L94" s="17" t="str">
        <x:v>未逐项执行</x:v>
      </x:c>
    </x:row>
    <x:row r="95" ht="58" customHeight="1">
      <x:c r="A95" s="16" t="str">
        <x:v>ARB-13</x:v>
      </x:c>
      <x:c r="B95" s="16" t="str">
        <x:v>Bank 与仲裁判断</x:v>
      </x:c>
      <x:c r="C95" s="16" t="str">
        <x:v>其他 Bank 状态变化</x:v>
      </x:c>
      <x:c r="D95" s="16" t="str">
        <x:v>合法业务</x:v>
      </x:c>
      <x:c r="E95" s="16" t="str">
        <x:v>固定窗口命令的目标 half 条件</x:v>
      </x:c>
      <x:c r="F95" s="16" t="str">
        <x:v>无关 Bank/half 状态任意改变</x:v>
      </x:c>
      <x:c r="G95" s="16" t="str">
        <x:v>不影响该项是否候选；候选排序只受真正相关项影响</x:v>
      </x:c>
      <x:c r="H95" s="16" t="str">
        <x:v>bank 下标拼接或位序错误</x:v>
      </x:c>
      <x:c r="I95" s="16" t="str">
        <x:v>assert 检查结果；cover 见证前提与事件；按需仿真</x:v>
      </x:c>
      <x:c r="J95" s="16" t="str">
        <x:v>A_REQ</x:v>
      </x:c>
      <x:c r="K95" s="16" t="str">
        <x:v>status 每位独立扰动</x:v>
      </x:c>
      <x:c r="L95" s="17" t="str">
        <x:v>未逐项执行</x:v>
      </x:c>
    </x:row>
    <x:row r="96" ht="58" customHeight="1">
      <x:c r="A96" s="16" t="str">
        <x:v>ARB-14</x:v>
      </x:c>
      <x:c r="B96" s="16" t="str">
        <x:v>Bank 与仲裁判断</x:v>
      </x:c>
      <x:c r="C96" s="16" t="str">
        <x:v>同 Bank 两 half 连续请求</x:v>
      </x:c>
      <x:c r="D96" s="16" t="str">
        <x:v>合法业务</x:v>
      </x:c>
      <x:c r="E96" s="16" t="str">
        <x:v>A 指向 half0，B 指向 half1，A 成功拍只要求其 half busy</x:v>
      </x:c>
      <x:c r="F96" s="16" t="str">
        <x:v>若 B 的 half 仍空闲则同拍预选 B</x:v>
      </x:c>
      <x:c r="G96" s="16" t="str">
        <x:v>B 可下一拍请求；不把一个 half busy 当整个 bank 永久忙</x:v>
      </x:c>
      <x:c r="H96" s="16" t="str">
        <x:v>忽略奇偶独立性或额外施加两拍间隔</x:v>
      </x:c>
      <x:c r="I96" s="16" t="str">
        <x:v>assert 检查结果；cover 见证前提与事件；按需仿真</x:v>
      </x:c>
      <x:c r="J96" s="16" t="str">
        <x:v>A_REQ
A_ARB_ADDR</x:v>
      </x:c>
      <x:c r="K96" s="16" t="str">
        <x:v>half 可用时仍受 grant 约束</x:v>
      </x:c>
      <x:c r="L96" s="17" t="str">
        <x:v>未逐项执行</x:v>
      </x:c>
    </x:row>
    <x:row r="97" ht="58" customHeight="1">
      <x:c r="A97" s="16" t="str">
        <x:v>CNT-01</x:v>
      </x:c>
      <x:c r="B97" s="16" t="str">
        <x:v>pending 与占用计数</x:v>
      </x:c>
      <x:c r="C97" s="16" t="str">
        <x:v>四种 A/I 组合</x:v>
      </x:c>
      <x:c r="D97" s="16" t="str">
        <x:v>合法业务</x:v>
      </x:c>
      <x:c r="E97" s="16" t="str">
        <x:v>拍初待发数 P，合法 A/I 条件</x:v>
      </x:c>
      <x:c r="F97" s="16" t="str">
        <x:v>分别 A,I=00/10/01/11</x:v>
      </x:c>
      <x:c r="G97" s="16" t="str">
        <x:v>本拍 pending_cnt=P、P+1、P-1、P；以事件布尔值计算</x:v>
      </x:c>
      <x:c r="H97" s="16" t="str">
        <x:v>pending 输出滞后一拍</x:v>
      </x:c>
      <x:c r="I97" s="16" t="str">
        <x:v>assert 检查结果；cover 见证前提与事件；按需仿真</x:v>
      </x:c>
      <x:c r="J97" s="16" t="str">
        <x:v>A_PENDING
A_PENDING_RECURRENCE</x:v>
      </x:c>
      <x:c r="K97" s="16" t="str">
        <x:v>并发事件 16 组合</x:v>
      </x:c>
      <x:c r="L97" s="17" t="str">
        <x:v>未逐项执行</x:v>
      </x:c>
    </x:row>
    <x:row r="98" ht="58" customHeight="1">
      <x:c r="A98" s="16" t="str">
        <x:v>CNT-02</x:v>
      </x:c>
      <x:c r="B98" s="16" t="str">
        <x:v>pending 与占用计数</x:v>
      </x:c>
      <x:c r="C98" s="16" t="str">
        <x:v>五条只成功一条</x:v>
      </x:c>
      <x:c r="D98" s="16" t="str">
        <x:v>合法业务</x:v>
      </x:c>
      <x:c r="E98" s="16" t="str">
        <x:v>P=5，本拍 I=1、A=0</x:v>
      </x:c>
      <x:c r="F98" s="16" t="str">
        <x:v>查看本拍组合输出</x:v>
      </x:c>
      <x:c r="G98" s="16" t="str">
        <x:v>pending_cnt=4；不能等下一拍显示 4</x:v>
      </x:c>
      <x:c r="H98" s="16" t="str">
        <x:v>使用注册输出而不含本拍 I</x:v>
      </x:c>
      <x:c r="I98" s="16" t="str">
        <x:v>assert 检查结果；cover 见证前提与事件；按需仿真</x:v>
      </x:c>
      <x:c r="J98" s="16" t="str">
        <x:v>C_PENDING5_DEC
A_PENDING</x:v>
      </x:c>
      <x:c r="K98" s="16" t="str">
        <x:v>重点计数修正规则</x:v>
      </x:c>
      <x:c r="L98" s="17" t="str">
        <x:v>未逐项执行</x:v>
      </x:c>
    </x:row>
    <x:row r="99" ht="58" customHeight="1">
      <x:c r="A99" s="16" t="str">
        <x:v>CNT-03</x:v>
      </x:c>
      <x:c r="B99" s="16" t="str">
        <x:v>pending 与占用计数</x:v>
      </x:c>
      <x:c r="C99" s="16" t="str">
        <x:v>五条同拍进一出一</x:v>
      </x:c>
      <x:c r="D99" s="16" t="str">
        <x:v>合法业务</x:v>
      </x:c>
      <x:c r="E99" s="16" t="str">
        <x:v>P=5，A=1、I=1</x:v>
      </x:c>
      <x:c r="F99" s="16" t="str">
        <x:v>查看本拍组合输出</x:v>
      </x:c>
      <x:c r="G99" s="16" t="str">
        <x:v>pending_cnt=5；新 AR 当拍计入</x:v>
      </x:c>
      <x:c r="H99" s="16" t="str">
        <x:v>只减 I 或把新 AR 延后</x:v>
      </x:c>
      <x:c r="I99" s="16" t="str">
        <x:v>assert 检查结果；cover 见证前提与事件；按需仿真</x:v>
      </x:c>
      <x:c r="J99" s="16" t="str">
        <x:v>C_PENDING5_BOTH
A_PENDING</x:v>
      </x:c>
      <x:c r="K99" s="16" t="str">
        <x:v>并发 A/I</x:v>
      </x:c>
      <x:c r="L99" s="17" t="str">
        <x:v>未逐项执行</x:v>
      </x:c>
    </x:row>
    <x:row r="100" ht="58" customHeight="1">
      <x:c r="A100" s="16" t="str">
        <x:v>CNT-04</x:v>
      </x:c>
      <x:c r="B100" s="16" t="str">
        <x:v>pending 与占用计数</x:v>
      </x:c>
      <x:c r="C100" s="16" t="str">
        <x:v>五条只进一条</x:v>
      </x:c>
      <x:c r="D100" s="16" t="str">
        <x:v>合法业务</x:v>
      </x:c>
      <x:c r="E100" s="16" t="str">
        <x:v>P=5，A=1、I=0</x:v>
      </x:c>
      <x:c r="F100" s="16" t="str">
        <x:v>查看本拍组合输出</x:v>
      </x:c>
      <x:c r="G100" s="16" t="str">
        <x:v>pending_cnt=6；窗口仍最多 5 条</x:v>
      </x:c>
      <x:c r="H100" s="16" t="str">
        <x:v>把 pending_cnt 截成窗口长度</x:v>
      </x:c>
      <x:c r="I100" s="16" t="str">
        <x:v>assert 检查结果；cover 见证前提与事件；按需仿真</x:v>
      </x:c>
      <x:c r="J100" s="16" t="str">
        <x:v>C_PENDING5_ADD
A_PENDING</x:v>
      </x:c>
      <x:c r="K100" s="16" t="str">
        <x:v>pending=6 与窗口=5 区分</x:v>
      </x:c>
      <x:c r="L100" s="17" t="str">
        <x:v>未逐项执行</x:v>
      </x:c>
    </x:row>
    <x:row r="101" ht="58" customHeight="1">
      <x:c r="A101" s="16" t="str">
        <x:v>CNT-05</x:v>
      </x:c>
      <x:c r="B101" s="16" t="str">
        <x:v>pending 与占用计数</x:v>
      </x:c>
      <x:c r="C101" s="16" t="str">
        <x:v>满九项但待发为零</x:v>
      </x:c>
      <x:c r="D101" s="16" t="str">
        <x:v>合法业务</x:v>
      </x:c>
      <x:c r="E101" s="16" t="str">
        <x:v>9 项均已发射，尚有等待 MEM/R 的项</x:v>
      </x:c>
      <x:c r="F101" s="16" t="str">
        <x:v>没有新的 AR</x:v>
      </x:c>
      <x:c r="G101" s="16" t="str">
        <x:v>pending_cnt=0；不代表 CMDBUF 空或 ready=111</x:v>
      </x:c>
      <x:c r="H101" s="16" t="str">
        <x:v>把 pending 当 entry 总占用</x:v>
      </x:c>
      <x:c r="I101" s="16" t="str">
        <x:v>assert 检查结果；cover 见证前提与事件；按需仿真</x:v>
      </x:c>
      <x:c r="J101" s="16" t="str">
        <x:v>A_PENDING
A_READY</x:v>
      </x:c>
      <x:c r="K101" s="16" t="str">
        <x:v>CAP/ENT</x:v>
      </x:c>
      <x:c r="L101" s="17" t="str">
        <x:v>未逐项执行</x:v>
      </x:c>
    </x:row>
    <x:row r="102" ht="58" customHeight="1">
      <x:c r="A102" s="16" t="str">
        <x:v>CNT-06</x:v>
      </x:c>
      <x:c r="B102" s="16" t="str">
        <x:v>pending 与占用计数</x:v>
      </x:c>
      <x:c r="C102" s="16" t="str">
        <x:v>pending 上界与下界</x:v>
      </x:c>
      <x:c r="D102" s="16" t="str">
        <x:v>合法业务</x:v>
      </x:c>
      <x:c r="E102" s="16" t="str">
        <x:v>P=0 或 P=9</x:v>
      </x:c>
      <x:c r="F102" s="16" t="str">
        <x:v>合法事件组合：空时无 I；P=9 时无直接多收</x:v>
      </x:c>
      <x:c r="G102" s="16" t="str">
        <x:v>pending 始终 0..9；无 4 位回绕；P=0 接收可为 1</x:v>
      </x:c>
      <x:c r="H102" s="16" t="str">
        <x:v>无符号下溢变 15</x:v>
      </x:c>
      <x:c r="I102" s="16" t="str">
        <x:v>assert 检查结果；cover 见证前提与事件；按需仿真</x:v>
      </x:c>
      <x:c r="J102" s="16" t="str">
        <x:v>A_PENDING_RANGE
A_PENDING</x:v>
      </x:c>
      <x:c r="K102" s="16" t="str">
        <x:v>容量转换 + issue 前提</x:v>
      </x:c>
      <x:c r="L102" s="17" t="str">
        <x:v>未逐项执行</x:v>
      </x:c>
    </x:row>
    <x:row r="103" ht="58" customHeight="1">
      <x:c r="A103" s="16" t="str">
        <x:v>CNT-07</x:v>
      </x:c>
      <x:c r="B103" s="16" t="str">
        <x:v>pending 与占用计数</x:v>
      </x:c>
      <x:c r="C103" s="16" t="str">
        <x:v>失败与 MEM 不减 pending</x:v>
      </x:c>
      <x:c r="D103" s="16" t="str">
        <x:v>合法业务</x:v>
      </x:c>
      <x:c r="E103" s="16" t="str">
        <x:v>req 失败，或仅有 MEM 捕获</x:v>
      </x:c>
      <x:c r="F103" s="16" t="str">
        <x:v>无 AR、无成功发射</x:v>
      </x:c>
      <x:c r="G103" s="16" t="str">
        <x:v>pending 保持；失败请求仍待发</x:v>
      </x:c>
      <x:c r="H103" s="16" t="str">
        <x:v>req 代替 I；MEM 代替成功发射</x:v>
      </x:c>
      <x:c r="I103" s="16" t="str">
        <x:v>assert 检查结果；cover 见证前提与事件；按需仿真</x:v>
      </x:c>
      <x:c r="J103" s="16" t="str">
        <x:v>A_PENDING
A_PENDING_RECURRENCE</x:v>
      </x:c>
      <x:c r="K103" s="16" t="str">
        <x:v>ARB/MEM</x:v>
      </x:c>
      <x:c r="L103" s="17" t="str">
        <x:v>未逐项执行</x:v>
      </x:c>
    </x:row>
    <x:row r="104" ht="58" customHeight="1">
      <x:c r="A104" s="16" t="str">
        <x:v>CNT-08</x:v>
      </x:c>
      <x:c r="B104" s="16" t="str">
        <x:v>pending 与占用计数</x:v>
      </x:c>
      <x:c r="C104" s="16" t="str">
        <x:v>R 仅间接影响 pending</x:v>
      </x:c>
      <x:c r="D104" s="16" t="str">
        <x:v>合法业务</x:v>
      </x:c>
      <x:c r="E104" s="16" t="str">
        <x:v>旧已发项 R，可能释放容量给新 AR</x:v>
      </x:c>
      <x:c r="F104" s="16" t="str">
        <x:v>R 无 AR 时 P 不变；R+A 时 P 加 1，另按 I 减 1</x:v>
      </x:c>
      <x:c r="G104" s="16" t="str">
        <x:v>不直接从 P 扣 R；新 A 是否成立取决于本拍 ready</x:v>
      </x:c>
      <x:c r="H104" s="16" t="str">
        <x:v>将 AR-R 算法误套 pending</x:v>
      </x:c>
      <x:c r="I104" s="16" t="str">
        <x:v>assert 检查结果；cover 见证前提与事件；按需仿真</x:v>
      </x:c>
      <x:c r="J104" s="16" t="str">
        <x:v>A_PENDING
A_READY</x:v>
      </x:c>
      <x:c r="K104" s="16" t="str">
        <x:v>occupancy=A-R，pending=A-I</x:v>
      </x:c>
      <x:c r="L104" s="17" t="str">
        <x:v>未逐项执行</x:v>
      </x:c>
    </x:row>
    <x:row r="105" ht="58" customHeight="1">
      <x:c r="A105" s="16" t="str">
        <x:v>MEM-01</x:v>
      </x:c>
      <x:c r="B105" s="16" t="str">
        <x:v>MEM 返回与 OTB</x:v>
      </x:c>
      <x:c r="C105" s="16" t="str">
        <x:v>固定四拍返回</x:v>
      </x:c>
      <x:c r="D105" s="16" t="str">
        <x:v>合法业务</x:v>
      </x:c>
      <x:c r="E105" s="16" t="str">
        <x:v>命令在 Cn 双 grant 成功</x:v>
      </x:c>
      <x:c r="F105" s="16" t="str">
        <x:v>Cn+4 提供 mem_rdata 与 pc_err，仅维持一拍</x:v>
      </x:c>
      <x:c r="G105" s="16" t="str">
        <x:v>在 Cn+4 捕获到该事务；最早 Cn+5 R；不是从 AR 或预选起算</x:v>
      </x:c>
      <x:c r="H105" s="16" t="str">
        <x:v>返回日历差一拍</x:v>
      </x:c>
      <x:c r="I105" s="16" t="str">
        <x:v>assert 检查结果；cover 见证前提与事件；按需仿真</x:v>
      </x:c>
      <x:c r="J105" s="16" t="str">
        <x:v>A_R_DATA
A_XAU_R_NO_EARLY_BYPASS
M_DUE</x:v>
      </x:c>
      <x:c r="K105" s="16" t="str">
        <x:v>W06 C3→C7→C8</x:v>
      </x:c>
      <x:c r="L105" s="17" t="str">
        <x:v>未逐项执行</x:v>
      </x:c>
    </x:row>
    <x:row r="106" ht="58" customHeight="1">
      <x:c r="A106" s="16" t="str">
        <x:v>MEM-02</x:v>
      </x:c>
      <x:c r="B106" s="16" t="str">
        <x:v>MEM 返回与 OTB</x:v>
      </x:c>
      <x:c r="C106" s="16" t="str">
        <x:v>失败请求不启动日历</x:v>
      </x:c>
      <x:c r="D106" s="16" t="str">
        <x:v>合法业务</x:v>
      </x:c>
      <x:c r="E106" s="16" t="str">
        <x:v>req 失败后若干拍再成功</x:v>
      </x:c>
      <x:c r="F106" s="16" t="str">
        <x:v>在真正成功后第 4 拍返回</x:v>
      </x:c>
      <x:c r="G106" s="16" t="str">
        <x:v>失败那拍+4 的数据不得绑定该事务</x:v>
      </x:c>
      <x:c r="H106" s="16" t="str">
        <x:v>用 req 而非 issue_success 启动计时</x:v>
      </x:c>
      <x:c r="I106" s="16" t="str">
        <x:v>assert 检查结果；cover 见证前提与事件；按需仿真</x:v>
      </x:c>
      <x:c r="J106" s="16" t="str">
        <x:v>A_R_DATA
M_CALENDAR</x:v>
      </x:c>
      <x:c r="K106" s="16" t="str">
        <x:v>ARB 失败/成功</x:v>
      </x:c>
      <x:c r="L106" s="17" t="str">
        <x:v>未逐项执行</x:v>
      </x:c>
    </x:row>
    <x:row r="107" ht="58" customHeight="1">
      <x:c r="A107" s="16" t="str">
        <x:v>MEM-03</x:v>
      </x:c>
      <x:c r="B107" s="16" t="str">
        <x:v>MEM 返回与 OTB</x:v>
      </x:c>
      <x:c r="C107" s="16" t="str">
        <x:v>连续成功对应连续捕获</x:v>
      </x:c>
      <x:c r="D107" s="16" t="str">
        <x:v>合法业务</x:v>
      </x:c>
      <x:c r="E107" s="16" t="str">
        <x:v>Cn..Cn+3 每拍成功一条</x:v>
      </x:c>
      <x:c r="F107" s="16" t="str">
        <x:v>四拍后逐拍给不同数据和 pc_err</x:v>
      </x:c>
      <x:c r="G107" s="16" t="str">
        <x:v>返回时序与成功顺序一致，逐项分开缓存</x:v>
      </x:c>
      <x:c r="H107" s="16" t="str">
        <x:v>日历覆盖、移位暂停、entry 标签错位</x:v>
      </x:c>
      <x:c r="I107" s="16" t="str">
        <x:v>assert 检查结果；cover 见证前提与事件；按需仿真</x:v>
      </x:c>
      <x:c r="J107" s="16" t="str">
        <x:v>C_FOUR_SUCCESS
A_R_DATA
A_R_RESP</x:v>
      </x:c>
      <x:c r="K107" s="16" t="str">
        <x:v>4 连续成功代表流水满载</x:v>
      </x:c>
      <x:c r="L107" s="17" t="str">
        <x:v>未逐项执行</x:v>
      </x:c>
    </x:row>
    <x:row r="108" ht="58" customHeight="1">
      <x:c r="A108" s="16" t="str">
        <x:v>MEM-04</x:v>
      </x:c>
      <x:c r="B108" s="16" t="str">
        <x:v>MEM 返回与 OTB</x:v>
      </x:c>
      <x:c r="C108" s="16" t="str">
        <x:v>带空洞的返回流水</x:v>
      </x:c>
      <x:c r="D108" s="16" t="str">
        <x:v>合法业务</x:v>
      </x:c>
      <x:c r="E108" s="16" t="str">
        <x:v>成功序列 1/0/1/0/0/1</x:v>
      </x:c>
      <x:c r="F108" s="16" t="str">
        <x:v>四拍后在对应位置给数据</x:v>
      </x:c>
      <x:c r="G108" s="16" t="str">
        <x:v>捕获掩码同样有空洞；不得把无效拍压缩掉</x:v>
      </x:c>
      <x:c r="H108" s="16" t="str">
        <x:v>只在成功时移位，变成变长延迟</x:v>
      </x:c>
      <x:c r="I108" s="16" t="str">
        <x:v>assert 检查结果；cover 见证前提与事件；按需仿真</x:v>
      </x:c>
      <x:c r="J108" s="16" t="str">
        <x:v>A_R_DATA
M_CALENDAR</x:v>
      </x:c>
      <x:c r="K108" s="16" t="str">
        <x:v>可扩为所有 4 拍 valid 图案</x:v>
      </x:c>
      <x:c r="L108" s="17" t="str">
        <x:v>未逐项执行</x:v>
      </x:c>
    </x:row>
    <x:row r="109" ht="58" customHeight="1">
      <x:c r="A109" s="16" t="str">
        <x:v>MEM-05</x:v>
      </x:c>
      <x:c r="B109" s="16" t="str">
        <x:v>MEM 返回与 OTB</x:v>
      </x:c>
      <x:c r="C109" s="16" t="str">
        <x:v>没有到期命令的数据扰动</x:v>
      </x:c>
      <x:c r="D109" s="16" t="str">
        <x:v>合法业务</x:v>
      </x:c>
      <x:c r="E109" s="16" t="str">
        <x:v>返回日历该拍为空</x:v>
      </x:c>
      <x:c r="F109" s="16" t="str">
        <x:v>mem_rdata/pc_err 任意变化</x:v>
      </x:c>
      <x:c r="G109" s="16" t="str">
        <x:v>忽略该拍输入；不产生 done 或 R</x:v>
      </x:c>
      <x:c r="H109" s="16" t="str">
        <x:v>每拍无条件写 OTB</x:v>
      </x:c>
      <x:c r="I109" s="16" t="str">
        <x:v>assert 检查结果；cover 见证前提与事件；按需仿真</x:v>
      </x:c>
      <x:c r="J109" s="16" t="str">
        <x:v>A_R_DATA
A_XAU_R_HAS_PENDING</x:v>
      </x:c>
      <x:c r="K109" s="16" t="str">
        <x:v>无 MEM valid 端口</x:v>
      </x:c>
      <x:c r="L109" s="17" t="str">
        <x:v>未逐项执行</x:v>
      </x:c>
    </x:row>
    <x:row r="110" ht="58" customHeight="1">
      <x:c r="A110" s="16" t="str">
        <x:v>MEM-06</x:v>
      </x:c>
      <x:c r="B110" s="16" t="str">
        <x:v>MEM 返回与 OTB</x:v>
      </x:c>
      <x:c r="C110" s="16" t="str">
        <x:v>返回脉冲只有一拍</x:v>
      </x:c>
      <x:c r="D110" s="16" t="str">
        <x:v>合法业务</x:v>
      </x:c>
      <x:c r="E110" s="16" t="str">
        <x:v>到期拍给特征数据与 pc_err</x:v>
      </x:c>
      <x:c r="F110" s="16" t="str">
        <x:v>下一拍立即改变输入总线</x:v>
      </x:c>
      <x:c r="G110" s="16" t="str">
        <x:v>OTB 保留到期拍值，晚 R 仍正确</x:v>
      </x:c>
      <x:c r="H110" s="16" t="str">
        <x:v>晚一拍采样或 R 直接连 MEM 总线</x:v>
      </x:c>
      <x:c r="I110" s="16" t="str">
        <x:v>assert 检查结果；cover 见证前提与事件；按需仿真</x:v>
      </x:c>
      <x:c r="J110" s="16" t="str">
        <x:v>A_R_DATA
A_XAU_R_RESP_ORDER</x:v>
      </x:c>
      <x:c r="K110" s="16" t="str">
        <x:v>128 位全宽数据比较</x:v>
      </x:c>
      <x:c r="L110" s="17" t="str">
        <x:v>未逐项执行</x:v>
      </x:c>
    </x:row>
    <x:row r="111" ht="58" customHeight="1">
      <x:c r="A111" s="16" t="str">
        <x:v>MEM-07</x:v>
      </x:c>
      <x:c r="B111" s="16" t="str">
        <x:v>MEM 返回与 OTB</x:v>
      </x:c>
      <x:c r="C111" s="16" t="str">
        <x:v>R 不 ready 期间照常捕获</x:v>
      </x:c>
      <x:c r="D111" s="16" t="str">
        <x:v>合法业务</x:v>
      </x:c>
      <x:c r="E111" s="16" t="str">
        <x:v>一个或多个源 rready=0</x:v>
      </x:c>
      <x:c r="F111" s="16" t="str">
        <x:v>MEM 到期连续返回</x:v>
      </x:c>
      <x:c r="G111" s="16" t="str">
        <x:v>仍逐项缓存；R 阻塞不能暂停返回日历</x:v>
      </x:c>
      <x:c r="H111" s="16" t="str">
        <x:v>将 R ready 用作 MEM 采样使能</x:v>
      </x:c>
      <x:c r="I111" s="16" t="str">
        <x:v>assert 检查结果；cover 见证前提与事件；按需仿真</x:v>
      </x:c>
      <x:c r="J111" s="16" t="str">
        <x:v>A_R_DATA
A_R_READY</x:v>
      </x:c>
      <x:c r="K111" s="16" t="str">
        <x:v>无 MEM 反压端口</x:v>
      </x:c>
      <x:c r="L111" s="17" t="str">
        <x:v>未逐项执行</x:v>
      </x:c>
    </x:row>
    <x:row r="112" ht="58" customHeight="1">
      <x:c r="A112" s="16" t="str">
        <x:v>MEM-08</x:v>
      </x:c>
      <x:c r="B112" s="16" t="str">
        <x:v>MEM 返回与 OTB</x:v>
      </x:c>
      <x:c r="C112" s="16" t="str">
        <x:v>新 AR 与 MEM 同拍</x:v>
      </x:c>
      <x:c r="D112" s="16" t="str">
        <x:v>合法业务</x:v>
      </x:c>
      <x:c r="E112" s="16" t="str">
        <x:v>A 为新事务，M 为四拍前成功的旧事务</x:v>
      </x:c>
      <x:c r="F112" s="16" t="str">
        <x:v>两事件同拍，合法槽位互异</x:v>
      </x:c>
      <x:c r="G112" s="16" t="str">
        <x:v>新槽预留与旧槽捕获各自完成，N 加 1；不能覆盖旧数据</x:v>
      </x:c>
      <x:c r="H112" s="16" t="str">
        <x:v>分配/捕获只允许执行一个全局分支</x:v>
      </x:c>
      <x:c r="I112" s="16" t="str">
        <x:v>assert 检查结果；cover 见证前提与事件；按需仿真</x:v>
      </x:c>
      <x:c r="J112" s="16" t="str">
        <x:v>A_R_DATA
M_STATE</x:v>
      </x:c>
      <x:c r="K112" s="16" t="str">
        <x:v>并发事件 A/M</x:v>
      </x:c>
      <x:c r="L112" s="17" t="str">
        <x:v>未逐项执行</x:v>
      </x:c>
    </x:row>
    <x:row r="113" ht="58" customHeight="1">
      <x:c r="A113" s="16" t="str">
        <x:v>MEM-09</x:v>
      </x:c>
      <x:c r="B113" s="16" t="str">
        <x:v>MEM 返回与 OTB</x:v>
      </x:c>
      <x:c r="C113" s="16" t="str">
        <x:v>发射成功与旧 MEM 同拍</x:v>
      </x:c>
      <x:c r="D113" s="16" t="str">
        <x:v>合法业务</x:v>
      </x:c>
      <x:c r="E113" s="16" t="str">
        <x:v>新 I 与四拍前 I 到期</x:v>
      </x:c>
      <x:c r="F113" s="16" t="str">
        <x:v>同拍写日历头并读日历尾</x:v>
      </x:c>
      <x:c r="G113" s="16" t="str">
        <x:v>两事件均保留，流水连续推进</x:v>
      </x:c>
      <x:c r="H113" s="16" t="str">
        <x:v>头尾更新次序覆盖尾标签</x:v>
      </x:c>
      <x:c r="I113" s="16" t="str">
        <x:v>assert 检查结果；cover 见证前提与事件；按需仿真</x:v>
      </x:c>
      <x:c r="J113" s="16" t="str">
        <x:v>C_FOUR_SUCCESS
A_R_DATA</x:v>
      </x:c>
      <x:c r="K113" s="16" t="str">
        <x:v>并发事件 I/M</x:v>
      </x:c>
      <x:c r="L113" s="17" t="str">
        <x:v>未逐项执行</x:v>
      </x:c>
    </x:row>
    <x:row r="114" ht="58" customHeight="1">
      <x:c r="A114" s="16" t="str">
        <x:v>MEM-10</x:v>
      </x:c>
      <x:c r="B114" s="16" t="str">
        <x:v>MEM 返回与 OTB</x:v>
      </x:c>
      <x:c r="C114" s="16" t="str">
        <x:v>MEM 与 R 同拍不同命令</x:v>
      </x:c>
      <x:c r="D114" s="16" t="str">
        <x:v>合法业务</x:v>
      </x:c>
      <x:c r="E114" s="16" t="str">
        <x:v>已完成 A 正在 R；B 本拍才 MEM</x:v>
      </x:c>
      <x:c r="F114" s="16" t="str">
        <x:v>同拍捕获 B、退役 A</x:v>
      </x:c>
      <x:c r="G114" s="16" t="str">
        <x:v>R 给 A 的旧缓存；B 最早下拍响应；两槽不得相同</x:v>
      </x:c>
      <x:c r="H114" s="16" t="str">
        <x:v>共享 data mux 直接给本拍 B</x:v>
      </x:c>
      <x:c r="I114" s="16" t="str">
        <x:v>assert 检查结果；cover 见证前提与事件；按需仿真</x:v>
      </x:c>
      <x:c r="J114" s="16" t="str">
        <x:v>A_R_DATA
A_XAU_R_NO_EARLY_BYPASS</x:v>
      </x:c>
      <x:c r="K114" s="16" t="str">
        <x:v>并发事件 M/R</x:v>
      </x:c>
      <x:c r="L114" s="17" t="str">
        <x:v>未逐项执行</x:v>
      </x:c>
    </x:row>
    <x:row r="115" ht="58" customHeight="1">
      <x:c r="A115" s="16" t="str">
        <x:v>MEM-11</x:v>
      </x:c>
      <x:c r="B115" s="16" t="str">
        <x:v>MEM 返回与 OTB</x:v>
      </x:c>
      <x:c r="C115" s="16" t="str">
        <x:v>MEM 不能当拍旁路 R</x:v>
      </x:c>
      <x:c r="D115" s="16" t="str">
        <x:v>合法业务</x:v>
      </x:c>
      <x:c r="E115" s="16" t="str">
        <x:v>命令首次到期，之前未 done，rready=1</x:v>
      </x:c>
      <x:c r="F115" s="16" t="str">
        <x:v>到期拍观察 rvalid</x:v>
      </x:c>
      <x:c r="G115" s="16" t="str">
        <x:v>本拍不能为该命令产生 R；下一拍才具备资格</x:v>
      </x:c>
      <x:c r="H115" s="16" t="str">
        <x:v>用 capture_valid 直接组成 R 候选</x:v>
      </x:c>
      <x:c r="I115" s="16" t="str">
        <x:v>assert 检查结果；cover 见证前提与事件；按需仿真</x:v>
      </x:c>
      <x:c r="J115" s="16" t="str">
        <x:v>A_XAU_R_NO_EARLY_BYPASS
M_NO_BYPASS</x:v>
      </x:c>
      <x:c r="K115" s="16" t="str">
        <x:v>W06 C7/C8</x:v>
      </x:c>
      <x:c r="L115" s="17" t="str">
        <x:v>未逐项执行</x:v>
      </x:c>
    </x:row>
    <x:row r="116" ht="58" customHeight="1">
      <x:c r="A116" s="16" t="str">
        <x:v>MEM-12</x:v>
      </x:c>
      <x:c r="B116" s="16" t="str">
        <x:v>MEM 返回与 OTB</x:v>
      </x:c>
      <x:c r="C116" s="16" t="str">
        <x:v>128 位数据全宽特征</x:v>
      </x:c>
      <x:c r="D116" s="16" t="str">
        <x:v>合法业务</x:v>
      </x:c>
      <x:c r="E116" s="16" t="str">
        <x:v>多条不同命令返回不同数据</x:v>
      </x:c>
      <x:c r="F116" s="16" t="str">
        <x:v>全 0、全 1、交替位、walking-1、walking-0、随机；在各字节边界翻转</x:v>
      </x:c>
      <x:c r="G116" s="16" t="str">
        <x:v>R 数据与该事务捕获值逐位一致</x:v>
      </x:c>
      <x:c r="H116" s="16" t="str">
        <x:v>只比较低 32 位；字节/位交换；高位截断</x:v>
      </x:c>
      <x:c r="I116" s="16" t="str">
        <x:v>assert 检查结果；cover 见证前提与事件；按需仿真</x:v>
      </x:c>
      <x:c r="J116" s="16" t="str">
        <x:v>A_R_DATA
A_XAU_R_DATA_ORDER</x:v>
      </x:c>
      <x:c r="K116" s="16" t="str">
        <x:v>各 pattern 需独立用例或 cover</x:v>
      </x:c>
      <x:c r="L116" s="17" t="str">
        <x:v>未逐项执行</x:v>
      </x:c>
    </x:row>
    <x:row r="117" ht="58" customHeight="1">
      <x:c r="A117" s="16" t="str">
        <x:v>MEM-13</x:v>
      </x:c>
      <x:c r="B117" s="16" t="str">
        <x:v>MEM 返回与 OTB</x:v>
      </x:c>
      <x:c r="C117" s="16" t="str">
        <x:v>parity 错误交替</x:v>
      </x:c>
      <x:c r="D117" s="16" t="str">
        <x:v>合法业务</x:v>
      </x:c>
      <x:c r="E117" s="16" t="str">
        <x:v>连续到期，pc_err=1/0/1/0</x:v>
      </x:c>
      <x:c r="F117" s="16" t="str">
        <x:v>R 可延迟、跨源交错</x:v>
      </x:c>
      <x:c r="G117" s="16" t="str">
        <x:v>pc_err 随对应 entry 保存，不能使用当前总线的错误位</x:v>
      </x:c>
      <x:c r="H117" s="16" t="str">
        <x:v>parity 与数据相差一拍</x:v>
      </x:c>
      <x:c r="I117" s="16" t="str">
        <x:v>assert 检查结果；cover 见证前提与事件；按需仿真</x:v>
      </x:c>
      <x:c r="J117" s="16" t="str">
        <x:v>A_R_RESP
A_XAU_R_RESP_ORDER</x:v>
      </x:c>
      <x:c r="K117" s="16" t="str">
        <x:v>ERR 四种错误组合</x:v>
      </x:c>
      <x:c r="L117" s="17" t="str">
        <x:v>未逐项执行</x:v>
      </x:c>
    </x:row>
    <x:row r="118" ht="58" customHeight="1">
      <x:c r="A118" s="16" t="str">
        <x:v>MEM-14</x:v>
      </x:c>
      <x:c r="B118" s="16" t="str">
        <x:v>MEM 返回与 OTB</x:v>
      </x:c>
      <x:c r="C118" s="16" t="str">
        <x:v>MEM 提前/延后/丢返回</x:v>
      </x:c>
      <x:c r="D118" s="16" t="str">
        <x:v>环境违约</x:v>
      </x:c>
      <x:c r="E118" s="16" t="str">
        <x:v>已成功事务按协议应在 n+4 返回</x:v>
      </x:c>
      <x:c r="F118" s="16" t="str">
        <x:v>独立注入 n+3/n+5 或 n+4 给错误数据</x:v>
      </x:c>
      <x:c r="G118" s="16" t="str">
        <x:v>无返回 valid/tag，DUT 按 n+4 无条件采样；不能承诺自动识别丢包或重定时</x:v>
      </x:c>
      <x:c r="H118" s="16" t="str">
        <x:v>把任意数据引起的错误归为 DUT 时间恢复能力缺陷</x:v>
      </x:c>
      <x:c r="I118" s="16" t="str">
        <x:v>独立负向仿真/约束审计；不可保留冲突 assume 后再求 cover</x:v>
      </x:c>
      <x:c r="J118" s="16" t="str">
        <x:v>A_R_DATA</x:v>
      </x:c>
      <x:c r="K118" s="16" t="str">
        <x:v>若要检测需独立 MEM 内容模型</x:v>
      </x:c>
      <x:c r="L118" s="17" t="str">
        <x:v>未逐项执行</x:v>
      </x:c>
    </x:row>
    <x:row r="119" ht="58" customHeight="1">
      <x:c r="A119" s="16" t="str">
        <x:v>RSP-01</x:v>
      </x:c>
      <x:c r="B119" s="16" t="str">
        <x:v>R 保序与 RR</x:v>
      </x:c>
      <x:c r="C119" s="16" t="str">
        <x:v>没有完成的源队头</x:v>
      </x:c>
      <x:c r="D119" s="16" t="str">
        <x:v>合法业务</x:v>
      </x:c>
      <x:c r="E119" s="16" t="str">
        <x:v>三路均无可返回队头</x:v>
      </x:c>
      <x:c r="F119" s="16" t="str">
        <x:v>rready 任意</x:v>
      </x:c>
      <x:c r="G119" s="16" t="str">
        <x:v>rvalid=000；无效共享负载不检查；RR 不推进</x:v>
      </x:c>
      <x:c r="H119" s="16" t="str">
        <x:v>未 done 就响应</x:v>
      </x:c>
      <x:c r="I119" s="16" t="str">
        <x:v>assert 检查结果；cover 见证前提与事件；按需仿真</x:v>
      </x:c>
      <x:c r="J119" s="16" t="str">
        <x:v>A_XAU_R_HEAD_COMPLETE
A_RR_CHOICE</x:v>
      </x:c>
      <x:c r="K119" s="16" t="str">
        <x:v>R 候选=源队头已完成且 ready</x:v>
      </x:c>
      <x:c r="L119" s="17" t="str">
        <x:v>未逐项执行</x:v>
      </x:c>
    </x:row>
    <x:row r="120" ht="58" customHeight="1">
      <x:c r="A120" s="16" t="str">
        <x:v>RSP-02</x:v>
      </x:c>
      <x:c r="B120" s="16" t="str">
        <x:v>R 保序与 RR</x:v>
      </x:c>
      <x:c r="C120" s="16" t="str">
        <x:v>完成但 rready 全零</x:v>
      </x:c>
      <x:c r="D120" s="16" t="str">
        <x:v>合法业务</x:v>
      </x:c>
      <x:c r="E120" s="16" t="str">
        <x:v>三路可有缓存完成项</x:v>
      </x:c>
      <x:c r="F120" s="16" t="str">
        <x:v>rready=000 持续多拍</x:v>
      </x:c>
      <x:c r="G120" s="16" t="str">
        <x:v>rvalid=000；缓存不变；RR 保持</x:v>
      </x:c>
      <x:c r="H120" s="16" t="str">
        <x:v>先拉 valid 再等待 ready，不符合本接口</x:v>
      </x:c>
      <x:c r="I120" s="16" t="str">
        <x:v>assert 检查结果；cover 见证前提与事件；按需仿真</x:v>
      </x:c>
      <x:c r="J120" s="16" t="str">
        <x:v>A_R_READY
A_RR_CHOICE
A_R_DATA</x:v>
      </x:c>
      <x:c r="K120" s="16" t="str">
        <x:v>用户明确 ready 先决条件</x:v>
      </x:c>
      <x:c r="L120" s="17" t="str">
        <x:v>未逐项执行</x:v>
      </x:c>
    </x:row>
    <x:row r="121" ht="58" customHeight="1">
      <x:c r="A121" s="16" t="str">
        <x:v>RSP-03</x:v>
      </x:c>
      <x:c r="B121" s="16" t="str">
        <x:v>R 保序与 RR</x:v>
      </x:c>
      <x:c r="C121" s="16" t="str">
        <x:v>只有一路候选</x:v>
      </x:c>
      <x:c r="D121" s="16" t="str">
        <x:v>合法业务</x:v>
      </x:c>
      <x:c r="E121" s="16" t="str">
        <x:v>其他两路空、未完成或不 ready</x:v>
      </x:c>
      <x:c r="F121" s="16" t="str">
        <x:v>逐一覆盖候选 0/1/2</x:v>
      </x:c>
      <x:c r="G121" s="16" t="str">
        <x:v>立即选择该候选；共享负载属于它，rvalid onehot</x:v>
      </x:c>
      <x:c r="H121" s="16" t="str">
        <x:v>按固定指针路等待而不跳过</x:v>
      </x:c>
      <x:c r="I121" s="16" t="str">
        <x:v>assert 检查结果；cover 见证前提与事件；按需仿真</x:v>
      </x:c>
      <x:c r="J121" s="16" t="str">
        <x:v>A_RR_CHOICE
A_R_ONEHOT
A_R_METADATA</x:v>
      </x:c>
      <x:c r="K121" s="16" t="str">
        <x:v>三种单候选 mask</x:v>
      </x:c>
      <x:c r="L121" s="17" t="str">
        <x:v>未逐项执行</x:v>
      </x:c>
    </x:row>
    <x:row r="122" ht="58" customHeight="1">
      <x:c r="A122" s="16" t="str">
        <x:v>RSP-04</x:v>
      </x:c>
      <x:c r="B122" s="16" t="str">
        <x:v>R 保序与 RR</x:v>
      </x:c>
      <x:c r="C122" s="16" t="str">
        <x:v>三路同时候选</x:v>
      </x:c>
      <x:c r="D122" s="16" t="str">
        <x:v>合法业务</x:v>
      </x:c>
      <x:c r="E122" s="16" t="str">
        <x:v>当前 RR 指向 0；各路持续可响应</x:v>
      </x:c>
      <x:c r="F122" s="16" t="str">
        <x:v>连续三个 R 拍</x:v>
      </x:c>
      <x:c r="G122" s="16" t="str">
        <x:v>顺序 0→1→2，下一轮回到 0</x:v>
      </x:c>
      <x:c r="H122" s="16" t="str">
        <x:v>指针无握手推进或从错误源起步</x:v>
      </x:c>
      <x:c r="I122" s="16" t="str">
        <x:v>assert 检查结果；cover 见证前提与事件；按需仿真</x:v>
      </x:c>
      <x:c r="J122" s="16" t="str">
        <x:v>A_RR_CHOICE
A_RR_BOUND</x:v>
      </x:c>
      <x:c r="K122" s="16" t="str">
        <x:v>三路持续候选为前提</x:v>
      </x:c>
      <x:c r="L122" s="17" t="str">
        <x:v>未逐项执行</x:v>
      </x:c>
    </x:row>
    <x:row r="123" ht="58" customHeight="1">
      <x:c r="A123" s="16" t="str">
        <x:v>RSP-05</x:v>
      </x:c>
      <x:c r="B123" s="16" t="str">
        <x:v>R 保序与 RR</x:v>
      </x:c>
      <x:c r="C123" s="16" t="str">
        <x:v>两路候选跳过空缺</x:v>
      </x:c>
      <x:c r="D123" s="16" t="str">
        <x:v>合法业务</x:v>
      </x:c>
      <x:c r="E123" s="16" t="str">
        <x:v>分别候选 011/101/110，RR 可处于 0/1/2</x:v>
      </x:c>
      <x:c r="F123" s="16" t="str">
        <x:v>每拍实际响应</x:v>
      </x:c>
      <x:c r="G123" s="16" t="str">
        <x:v>按 RR 起点循环查找第一候选；不是比较谁的全局命令更老</x:v>
      </x:c>
      <x:c r="H123" s="16" t="str">
        <x:v>用全局年龄替代跨源 RR</x:v>
      </x:c>
      <x:c r="I123" s="16" t="str">
        <x:v>assert 检查结果；cover 见证前提与事件；按需仿真</x:v>
      </x:c>
      <x:c r="J123" s="16" t="str">
        <x:v>A_RR_CHOICE
C_READY_MASK_RR</x:v>
      </x:c>
      <x:c r="K123" s="16" t="str">
        <x:v>3 指针×8 候选 mask 共 24 个组合</x:v>
      </x:c>
      <x:c r="L123" s="17" t="str">
        <x:v>未逐项执行</x:v>
      </x:c>
    </x:row>
    <x:row r="124" ht="58" customHeight="1">
      <x:c r="A124" s="16" t="str">
        <x:v>RSP-06</x:v>
      </x:c>
      <x:c r="B124" s="16" t="str">
        <x:v>R 保序与 RR</x:v>
      </x:c>
      <x:c r="C124" s="16" t="str">
        <x:v>RR 到末尾回绕</x:v>
      </x:c>
      <x:c r="D124" s="16" t="str">
        <x:v>合法业务</x:v>
      </x:c>
      <x:c r="E124" s="16" t="str">
        <x:v>RR 指向 2，候选含 2/0</x:v>
      </x:c>
      <x:c r="F124" s="16" t="str">
        <x:v>源2 实际 R 后继续响应</x:v>
      </x:c>
      <x:c r="G124" s="16" t="str">
        <x:v>下次从 0 开始扫描，不产生非法源3</x:v>
      </x:c>
      <x:c r="H124" s="16" t="str">
        <x:v>指针二位自然加一未做模 3</x:v>
      </x:c>
      <x:c r="I124" s="16" t="str">
        <x:v>assert 检查结果；cover 见证前提与事件；按需仿真</x:v>
      </x:c>
      <x:c r="J124" s="16" t="str">
        <x:v>A_RR_CHOICE
A_R_ONEHOT</x:v>
      </x:c>
      <x:c r="K124" s="16" t="str">
        <x:v>RR 回绕边界</x:v>
      </x:c>
      <x:c r="L124" s="17" t="str">
        <x:v>未逐项执行</x:v>
      </x:c>
    </x:row>
    <x:row r="125" ht="58" customHeight="1">
      <x:c r="A125" s="16" t="str">
        <x:v>RSP-07</x:v>
      </x:c>
      <x:c r="B125" s="16" t="str">
        <x:v>R 保序与 RR</x:v>
      </x:c>
      <x:c r="C125" s="16" t="str">
        <x:v>无响应的空拍</x:v>
      </x:c>
      <x:c r="D125" s="16" t="str">
        <x:v>合法业务</x:v>
      </x:c>
      <x:c r="E125" s="16" t="str">
        <x:v>中途所有候选消失一拍或多拍</x:v>
      </x:c>
      <x:c r="F125" s="16" t="str">
        <x:v>后续候选恢复</x:v>
      </x:c>
      <x:c r="G125" s="16" t="str">
        <x:v>RR 起点维持空拍前值；不因时间流逝旋转</x:v>
      </x:c>
      <x:c r="H125" s="16" t="str">
        <x:v>每拍无条件加 RR 指针</x:v>
      </x:c>
      <x:c r="I125" s="16" t="str">
        <x:v>assert 检查结果；cover 见证前提与事件；按需仿真</x:v>
      </x:c>
      <x:c r="J125" s="16" t="str">
        <x:v>A_RR_CHOICE</x:v>
      </x:c>
      <x:c r="K125" s="16" t="str">
        <x:v>与完成/rready 组合</x:v>
      </x:c>
      <x:c r="L125" s="17" t="str">
        <x:v>未逐项执行</x:v>
      </x:c>
    </x:row>
    <x:row r="126" ht="58" customHeight="1">
      <x:c r="A126" s="16" t="str">
        <x:v>RSP-08</x:v>
      </x:c>
      <x:c r="B126" s="16" t="str">
        <x:v>R 保序与 RR</x:v>
      </x:c>
      <x:c r="C126" s="16" t="str">
        <x:v>rready 变化改变当拍候选</x:v>
      </x:c>
      <x:c r="D126" s="16" t="str">
        <x:v>合法业务</x:v>
      </x:c>
      <x:c r="E126" s="16" t="str">
        <x:v>某源已完成，另一路也可响应</x:v>
      </x:c>
      <x:c r="F126" s="16" t="str">
        <x:v>在采样前切换 rready mask</x:v>
      </x:c>
      <x:c r="G126" s="16" t="str">
        <x:v>只在 ready=1 源中选；没有 valid 锁住等待的状态</x:v>
      </x:c>
      <x:c r="H126" s="16" t="str">
        <x:v>沿用标准 AXI R 反压锁定算法</x:v>
      </x:c>
      <x:c r="I126" s="16" t="str">
        <x:v>assert 检查结果；cover 见证前提与事件；按需仿真</x:v>
      </x:c>
      <x:c r="J126" s="16" t="str">
        <x:v>A_R_READY
A_RR_CHOICE</x:v>
      </x:c>
      <x:c r="K126" s="16" t="str">
        <x:v>环境需在采样点提供有效值</x:v>
      </x:c>
      <x:c r="L126" s="17" t="str">
        <x:v>未逐项执行</x:v>
      </x:c>
    </x:row>
    <x:row r="127" ht="58" customHeight="1">
      <x:c r="A127" s="16" t="str">
        <x:v>RSP-09</x:v>
      </x:c>
      <x:c r="B127" s="16" t="str">
        <x:v>R 保序与 RR</x:v>
      </x:c>
      <x:c r="C127" s="16" t="str">
        <x:v>同源 3 先发、先完成</x:v>
      </x:c>
      <x:c r="D127" s="16" t="str">
        <x:v>合法业务</x:v>
      </x:c>
      <x:c r="E127" s="16" t="str">
        <x:v>同源 AR 顺序为 1/2/3，3 的 bank 先可用</x:v>
      </x:c>
      <x:c r="F127" s="16" t="str">
        <x:v>3 先成功且 MEM 返回；1/2 尚未 R</x:v>
      </x:c>
      <x:c r="G127" s="16" t="str">
        <x:v>源内不能先 R3；最终 R 顺序必须 1→2→3</x:v>
      </x:c>
      <x:c r="H127" s="16" t="str">
        <x:v>在同源完成集合中挑最老已完成项</x:v>
      </x:c>
      <x:c r="I127" s="16" t="str">
        <x:v>assert 检查结果；cover 见证前提与事件；按需仿真</x:v>
      </x:c>
      <x:c r="J127" s="16" t="str">
        <x:v>C_XAU_EARLY_THIRD_BLOCKED
C_XAU_R_123_AFTER_ISSUE3_FIRST
A_XAU_R_HEAD_COMPLETE</x:v>
      </x:c>
      <x:c r="K127" s="16" t="str">
        <x:v>每个 XAU 各一组</x:v>
      </x:c>
      <x:c r="L127" s="17" t="str">
        <x:v>未逐项执行</x:v>
      </x:c>
    </x:row>
    <x:row r="128" ht="58" customHeight="1">
      <x:c r="A128" s="16" t="str">
        <x:v>RSP-10</x:v>
      </x:c>
      <x:c r="B128" s="16" t="str">
        <x:v>R 保序与 RR</x:v>
      </x:c>
      <x:c r="C128" s="16" t="str">
        <x:v>同源第二条完成但第一条未发</x:v>
      </x:c>
      <x:c r="D128" s="16" t="str">
        <x:v>合法业务</x:v>
      </x:c>
      <x:c r="E128" s="16" t="str">
        <x:v>队头仍待发，次项已完成</x:v>
      </x:c>
      <x:c r="F128" s="16" t="str">
        <x:v>rready=1</x:v>
      </x:c>
      <x:c r="G128" s="16" t="str">
        <x:v>不得 R 次项；先找源队头再检查 done</x:v>
      </x:c>
      <x:c r="H128" s="16" t="str">
        <x:v>先过滤 done 再找该源最老</x:v>
      </x:c>
      <x:c r="I128" s="16" t="str">
        <x:v>assert 检查结果；cover 见证前提与事件；按需仿真</x:v>
      </x:c>
      <x:c r="J128" s="16" t="str">
        <x:v>A_XAU_R_HEAD_COMPLETE
A_XAU_R_ID_ORDER</x:v>
      </x:c>
      <x:c r="K128" s="16" t="str">
        <x:v>队头阻塞合法</x:v>
      </x:c>
      <x:c r="L128" s="17" t="str">
        <x:v>未逐项执行</x:v>
      </x:c>
    </x:row>
    <x:row r="129" ht="58" customHeight="1">
      <x:c r="A129" s="16" t="str">
        <x:v>RSP-11</x:v>
      </x:c>
      <x:c r="B129" s="16" t="str">
        <x:v>R 保序与 RR</x:v>
      </x:c>
      <x:c r="C129" s="16" t="str">
        <x:v>不同 ID 仍要同源保序</x:v>
      </x:c>
      <x:c r="D129" s="16" t="str">
        <x:v>合法业务</x:v>
      </x:c>
      <x:c r="E129" s="16" t="str">
        <x:v>同源命令 ID 各不相同</x:v>
      </x:c>
      <x:c r="F129" s="16" t="str">
        <x:v>乱序发射与完成</x:v>
      </x:c>
      <x:c r="G129" s="16" t="str">
        <x:v>R 按 AR 接收顺序；不是仅同 ID 内保序</x:v>
      </x:c>
      <x:c r="H129" s="16" t="str">
        <x:v>错用 AXI 同 ID 规则放行别的 ID</x:v>
      </x:c>
      <x:c r="I129" s="16" t="str">
        <x:v>assert 检查结果；cover 见证前提与事件；按需仿真</x:v>
      </x:c>
      <x:c r="J129" s="16" t="str">
        <x:v>A_XAU_R_ID_ORDER
A_XAU_R_ADDR_ORDER</x:v>
      </x:c>
      <x:c r="K129" s="16" t="str">
        <x:v>用户明确跨 ID 源内保序</x:v>
      </x:c>
      <x:c r="L129" s="17" t="str">
        <x:v>未逐项执行</x:v>
      </x:c>
    </x:row>
    <x:row r="130" ht="58" customHeight="1">
      <x:c r="A130" s="16" t="str">
        <x:v>RSP-12</x:v>
      </x:c>
      <x:c r="B130" s="16" t="str">
        <x:v>R 保序与 RR</x:v>
      </x:c>
      <x:c r="C130" s="16" t="str">
        <x:v>重复 ID 不合并事务</x:v>
      </x:c>
      <x:c r="D130" s="16" t="str">
        <x:v>合法业务</x:v>
      </x:c>
      <x:c r="E130" s="16" t="str">
        <x:v>同源或跨源 arid 重复，其他字段/数据不同</x:v>
      </x:c>
      <x:c r="F130" s="16" t="str">
        <x:v>多条命令乱序完成</x:v>
      </x:c>
      <x:c r="G130" s="16" t="str">
        <x:v>每次 R 返回对应源队头的完整记录，不能以 rid 查唯一事务</x:v>
      </x:c>
      <x:c r="H130" s="16" t="str">
        <x:v>参考模型用 ID 当唯一 key</x:v>
      </x:c>
      <x:c r="I130" s="16" t="str">
        <x:v>assert 检查结果；cover 见证前提与事件；按需仿真</x:v>
      </x:c>
      <x:c r="J130" s="16" t="str">
        <x:v>C_XAU_REPEAT_ID_HEAD_R
A_XAU_R_DATA_ORDER</x:v>
      </x:c>
      <x:c r="K130" s="16" t="str">
        <x:v>raddr/port/data/resp 同时核对</x:v>
      </x:c>
      <x:c r="L130" s="17" t="str">
        <x:v>未逐项执行</x:v>
      </x:c>
    </x:row>
    <x:row r="131" ht="58" customHeight="1">
      <x:c r="A131" s="16" t="str">
        <x:v>RSP-13</x:v>
      </x:c>
      <x:c r="B131" s="16" t="str">
        <x:v>R 保序与 RR</x:v>
      </x:c>
      <x:c r="C131" s="16" t="str">
        <x:v>一源阻塞其他源仍推进</x:v>
      </x:c>
      <x:c r="D131" s="16" t="str">
        <x:v>合法业务</x:v>
      </x:c>
      <x:c r="E131" s="16" t="str">
        <x:v>XAU0 老队头未完成；XAU1/2 有已完成头且 ready</x:v>
      </x:c>
      <x:c r="F131" s="16" t="str">
        <x:v>多拍 R 选择</x:v>
      </x:c>
      <x:c r="G131" s="16" t="str">
        <x:v>可返回 XAU1/2，不要求全局 AR 顺序</x:v>
      </x:c>
      <x:c r="H131" s="16" t="str">
        <x:v>用单条全局响应 FIFO 阻塞所有源</x:v>
      </x:c>
      <x:c r="I131" s="16" t="str">
        <x:v>assert 检查结果；cover 见证前提与事件；按需仿真</x:v>
      </x:c>
      <x:c r="J131" s="16" t="str">
        <x:v>C_XAU_OTHER_SOURCE_PROGRESS
A_RR_CHOICE</x:v>
      </x:c>
      <x:c r="K131" s="16" t="str">
        <x:v>三种阻塞源置换</x:v>
      </x:c>
      <x:c r="L131" s="17" t="str">
        <x:v>未逐项执行</x:v>
      </x:c>
    </x:row>
    <x:row r="132" ht="58" customHeight="1">
      <x:c r="A132" s="16" t="str">
        <x:v>RSP-14</x:v>
      </x:c>
      <x:c r="B132" s="16" t="str">
        <x:v>R 保序与 RR</x:v>
      </x:c>
      <x:c r="C132" s="16" t="str">
        <x:v>同源队头 R 后立即换头</x:v>
      </x:c>
      <x:c r="D132" s="16" t="str">
        <x:v>合法业务</x:v>
      </x:c>
      <x:c r="E132" s="16" t="str">
        <x:v>某源前两条都已完成</x:v>
      </x:c>
      <x:c r="F132" s="16" t="str">
        <x:v>本拍第一条 R，下一拍第二条仍 ready</x:v>
      </x:c>
      <x:c r="G132" s="16" t="str">
        <x:v>第二条进入候选，可按 RR 获胜；元数据与数据同步切换</x:v>
      </x:c>
      <x:c r="H132" s="16" t="str">
        <x:v>弹头时多出一拍空泡或混用新旧头</x:v>
      </x:c>
      <x:c r="I132" s="16" t="str">
        <x:v>assert 检查结果；cover 见证前提与事件；按需仿真</x:v>
      </x:c>
      <x:c r="J132" s="16" t="str">
        <x:v>A_XAU_R_ID_ORDER
A_XAU_R_DATA_ORDER</x:v>
      </x:c>
      <x:c r="K132" s="16" t="str">
        <x:v>全字段一起检查</x:v>
      </x:c>
      <x:c r="L132" s="17" t="str">
        <x:v>未逐项执行</x:v>
      </x:c>
    </x:row>
    <x:row r="133" ht="58" customHeight="1">
      <x:c r="A133" s="16" t="str">
        <x:v>RSP-15</x:v>
      </x:c>
      <x:c r="B133" s="16" t="str">
        <x:v>R 保序与 RR</x:v>
      </x:c>
      <x:c r="C133" s="16" t="str">
        <x:v>同源唯一旧项 R 与新 AR</x:v>
      </x:c>
      <x:c r="D133" s="16" t="str">
        <x:v>合法业务</x:v>
      </x:c>
      <x:c r="E133" s="16" t="str">
        <x:v>源队列仅一项且完成，AR 同源接收</x:v>
      </x:c>
      <x:c r="F133" s="16" t="str">
        <x:v>同拍出入</x:v>
      </x:c>
      <x:c r="G133" s="16" t="str">
        <x:v>返回旧项；新项变新队头但未完成，不能下拍凭旧 done 返回</x:v>
      </x:c>
      <x:c r="H133" s="16" t="str">
        <x:v>FIFO 空/非空同时更新错误</x:v>
      </x:c>
      <x:c r="I133" s="16" t="str">
        <x:v>assert 检查结果；cover 见证前提与事件；按需仿真</x:v>
      </x:c>
      <x:c r="J133" s="16" t="str">
        <x:v>C_XAU_SAME_CYCLE_POP_PUSH
A_XAU_R_NO_EARLY_BYPASS</x:v>
      </x:c>
      <x:c r="K133" s="16" t="str">
        <x:v>深度1的出入边界</x:v>
      </x:c>
      <x:c r="L133" s="17" t="str">
        <x:v>未逐项执行</x:v>
      </x:c>
    </x:row>
    <x:row r="134" ht="58" customHeight="1">
      <x:c r="A134" s="16" t="str">
        <x:v>RSP-16</x:v>
      </x:c>
      <x:c r="B134" s="16" t="str">
        <x:v>R 保序与 RR</x:v>
      </x:c>
      <x:c r="C134" s="16" t="str">
        <x:v>持续候选的 RR 等待上界</x:v>
      </x:c>
      <x:c r="D134" s="16" t="str">
        <x:v>合法业务</x:v>
      </x:c>
      <x:c r="E134" s="16" t="str">
        <x:v>某源队头持续 done、rready 持续 1</x:v>
      </x:c>
      <x:c r="F134" s="16" t="str">
        <x:v>其他两源也持续候选</x:v>
      </x:c>
      <x:c r="G134" s="16" t="str">
        <x:v>至多先服务其他两次 R；最迟第三个连续选择拍轮到该源</x:v>
      </x:c>
      <x:c r="H134" s="16" t="str">
        <x:v>RR 公平性与上游 src 公平性混为一谈</x:v>
      </x:c>
      <x:c r="I134" s="16" t="str">
        <x:v>assert 检查结果；cover 见证前提与事件；按需仿真</x:v>
      </x:c>
      <x:c r="J134" s="16" t="str">
        <x:v>A_RR_BOUND
A_RR_CHOICE</x:v>
      </x:c>
      <x:c r="K134" s="16" t="str">
        <x:v>仅持续候选期间成立</x:v>
      </x:c>
      <x:c r="L134" s="17" t="str">
        <x:v>未逐项执行</x:v>
      </x:c>
    </x:row>
    <x:row r="135" ht="72" customHeight="1">
      <x:c r="A135" s="16" t="str">
        <x:v>RSP-17</x:v>
      </x:c>
      <x:c r="B135" s="16" t="str">
        <x:v>R 保序与 RR</x:v>
      </x:c>
      <x:c r="C135" s="16" t="str">
        <x:v>R 共享负载只归一个源</x:v>
      </x:c>
      <x:c r="D135" s="16" t="str">
        <x:v>合法业务</x:v>
      </x:c>
      <x:c r="E135" s="16" t="str">
        <x:v>多个完成队头且 ready</x:v>
      </x:c>
      <x:c r="F135" s="16" t="str">
        <x:v>同拍观察 rvalid 与共享 rdata/rid/port/raddr/rresp</x:v>
      </x:c>
      <x:c r="G135" s="16" t="str">
        <x:v>rvalid 至多一位；所有字段来自同一获胜源的同一队头</x:v>
      </x:c>
      <x:c r="H135" s="16" t="str">
        <x:v>各字段按不同仲裁结果拼接</x:v>
      </x:c>
      <x:c r="I135" s="16" t="str">
        <x:v>assert 检查结果；cover 见证前提与事件；按需仿真</x:v>
      </x:c>
      <x:c r="J135" s="16" t="str">
        <x:v>A_R_ONEHOT
A_R_METADATA
A_R_RESP
A_R_DATA</x:v>
      </x:c>
      <x:c r="K135" s="16" t="str">
        <x:v>有效负载一致性</x:v>
      </x:c>
      <x:c r="L135" s="17" t="str">
        <x:v>未逐项执行</x:v>
      </x:c>
    </x:row>
    <x:row r="136" ht="58" customHeight="1">
      <x:c r="A136" s="16" t="str">
        <x:v>RSP-18</x:v>
      </x:c>
      <x:c r="B136" s="16" t="str">
        <x:v>R 保序与 RR</x:v>
      </x:c>
      <x:c r="C136" s="16" t="str">
        <x:v>无效 R 负载不约束</x:v>
      </x:c>
      <x:c r="D136" s="16" t="str">
        <x:v>合法业务</x:v>
      </x:c>
      <x:c r="E136" s="16" t="str">
        <x:v>rvalid=000</x:v>
      </x:c>
      <x:c r="F136" s="16" t="str">
        <x:v>共享输出可能保持旧值或为零</x:v>
      </x:c>
      <x:c r="G136" s="16" t="str">
        <x:v>只检查 rvalid；不得强制 rdata/rid/raddr/port/rresp 全零</x:v>
      </x:c>
      <x:c r="H136" s="16" t="str">
        <x:v>对无效负载 assert 清零导致假失败</x:v>
      </x:c>
      <x:c r="I136" s="16" t="str">
        <x:v>assert 检查结果；cover 见证前提与事件；按需仿真</x:v>
      </x:c>
      <x:c r="J136" s="16" t="str">
        <x:v>A_R_METADATA
A_R_DATA</x:v>
      </x:c>
      <x:c r="K136" s="16" t="str">
        <x:v>用户已确认 valid 门控</x:v>
      </x:c>
      <x:c r="L136" s="17" t="str">
        <x:v>未逐项执行</x:v>
      </x:c>
    </x:row>
    <x:row r="137" ht="58" customHeight="1">
      <x:c r="A137" s="16" t="str">
        <x:v>ERR-01</x:v>
      </x:c>
      <x:c r="B137" s="16" t="str">
        <x:v>字段与错误组合</x:v>
      </x:c>
      <x:c r="C137" s="16" t="str">
        <x:v>正常响应</x:v>
      </x:c>
      <x:c r="D137" s="16" t="str">
        <x:v>合法业务</x:v>
      </x:c>
      <x:c r="E137" s="16" t="str">
        <x:v>arresp=00，MEM pc_err=0</x:v>
      </x:c>
      <x:c r="F137" s="16" t="str">
        <x:v>命令按任意合法时序完成</x:v>
      </x:c>
      <x:c r="G137" s="16" t="str">
        <x:v>rresp=00，其他字段和数据属于原命令</x:v>
      </x:c>
      <x:c r="H137" s="16" t="str">
        <x:v>错误位未清或译码错误</x:v>
      </x:c>
      <x:c r="I137" s="16" t="str">
        <x:v>assert 检查结果；cover 见证前提与事件；按需仿真</x:v>
      </x:c>
      <x:c r="J137" s="16" t="str">
        <x:v>A_R_RESP
A_XAU_R_RESP_ORDER</x:v>
      </x:c>
      <x:c r="K137" s="16" t="str">
        <x:v>四种错误组合之一</x:v>
      </x:c>
      <x:c r="L137" s="17" t="str">
        <x:v>未逐项执行</x:v>
      </x:c>
    </x:row>
    <x:row r="138" ht="58" customHeight="1">
      <x:c r="A138" s="16" t="str">
        <x:v>ERR-02</x:v>
      </x:c>
      <x:c r="B138" s="16" t="str">
        <x:v>字段与错误组合</x:v>
      </x:c>
      <x:c r="C138" s="16" t="str">
        <x:v>仅地址越界</x:v>
      </x:c>
      <x:c r="D138" s="16" t="str">
        <x:v>合法业务</x:v>
      </x:c>
      <x:c r="E138" s="16" t="str">
        <x:v>arresp=11，pc_err=0</x:v>
      </x:c>
      <x:c r="F138" s="16" t="str">
        <x:v>仍发射 MEM，再按源内顺序 R</x:v>
      </x:c>
      <x:c r="G138" s="16" t="str">
        <x:v>rresp=11；不可绕过发射/四拍捕获提前返回</x:v>
      </x:c>
      <x:c r="H138" s="16" t="str">
        <x:v>直接在 AR 拍短路错误响应</x:v>
      </x:c>
      <x:c r="I138" s="16" t="str">
        <x:v>assert 检查结果；cover 见证前提与事件；按需仿真</x:v>
      </x:c>
      <x:c r="J138" s="16" t="str">
        <x:v>A_REQ
A_R_RESP
A_XAU_R_NO_EARLY_BYPASS</x:v>
      </x:c>
      <x:c r="K138" s="16" t="str">
        <x:v>地址错误仍走完整生命周期</x:v>
      </x:c>
      <x:c r="L138" s="17" t="str">
        <x:v>未逐项执行</x:v>
      </x:c>
    </x:row>
    <x:row r="139" ht="58" customHeight="1">
      <x:c r="A139" s="16" t="str">
        <x:v>ERR-03</x:v>
      </x:c>
      <x:c r="B139" s="16" t="str">
        <x:v>字段与错误组合</x:v>
      </x:c>
      <x:c r="C139" s="16" t="str">
        <x:v>仅奇偶异常</x:v>
      </x:c>
      <x:c r="D139" s="16" t="str">
        <x:v>合法业务</x:v>
      </x:c>
      <x:c r="E139" s="16" t="str">
        <x:v>arresp=00，pc_err=1</x:v>
      </x:c>
      <x:c r="F139" s="16" t="str">
        <x:v>捕获后 R</x:v>
      </x:c>
      <x:c r="G139" s="16" t="str">
        <x:v>rresp=01；保留返回数据；不丢弃命令</x:v>
      </x:c>
      <x:c r="H139" s="16" t="str">
        <x:v>错映射为 11 或丢 R</x:v>
      </x:c>
      <x:c r="I139" s="16" t="str">
        <x:v>assert 检查结果；cover 见证前提与事件；按需仿真</x:v>
      </x:c>
      <x:c r="J139" s="16" t="str">
        <x:v>A_R_RESP
A_XAU_R_RESP_ORDER</x:v>
      </x:c>
      <x:c r="K139" s="16" t="str">
        <x:v>pc_err 为 1 bit</x:v>
      </x:c>
      <x:c r="L139" s="17" t="str">
        <x:v>未逐项执行</x:v>
      </x:c>
    </x:row>
    <x:row r="140" ht="58" customHeight="1">
      <x:c r="A140" s="16" t="str">
        <x:v>ERR-04</x:v>
      </x:c>
      <x:c r="B140" s="16" t="str">
        <x:v>字段与错误组合</x:v>
      </x:c>
      <x:c r="C140" s="16" t="str">
        <x:v>两个错误同时发生</x:v>
      </x:c>
      <x:c r="D140" s="16" t="str">
        <x:v>合法业务</x:v>
      </x:c>
      <x:c r="E140" s="16" t="str">
        <x:v>arresp=11，pc_err=1</x:v>
      </x:c>
      <x:c r="F140" s="16" t="str">
        <x:v>正常完成并返回</x:v>
      </x:c>
      <x:c r="G140" s="16" t="str">
        <x:v>rresp=11；地址越界优先于奇偶异常</x:v>
      </x:c>
      <x:c r="H140" s="16" t="str">
        <x:v>判断优先级相反</x:v>
      </x:c>
      <x:c r="I140" s="16" t="str">
        <x:v>assert 检查结果；cover 见证前提与事件；按需仿真</x:v>
      </x:c>
      <x:c r="J140" s="16" t="str">
        <x:v>C_RETURN_ERROR_PRIORITY
A_R_RESP</x:v>
      </x:c>
      <x:c r="K140" s="16" t="str">
        <x:v>四种错误组合之四</x:v>
      </x:c>
      <x:c r="L140" s="17" t="str">
        <x:v>未逐项执行</x:v>
      </x:c>
    </x:row>
    <x:row r="141" ht="58" customHeight="1">
      <x:c r="A141" s="16" t="str">
        <x:v>ERR-05</x:v>
      </x:c>
      <x:c r="B141" s="16" t="str">
        <x:v>字段与错误组合</x:v>
      </x:c>
      <x:c r="C141" s="16" t="str">
        <x:v>未定义输入 arresp</x:v>
      </x:c>
      <x:c r="D141" s="16" t="str">
        <x:v>环境违约</x:v>
      </x:c>
      <x:c r="E141" s="16" t="str">
        <x:v>arvalid=1、arresp=01 或 10</x:v>
      </x:c>
      <x:c r="F141" s="16" t="str">
        <x:v>独立负向输入</x:v>
      </x:c>
      <x:c r="G141" s="16" t="str">
        <x:v>违反 E04；正常环境只允许 00/11；不替 DUT 指定新业务含义</x:v>
      </x:c>
      <x:c r="H141" s="16" t="str">
        <x:v>把非法码默认为正常并计为覆盖完成</x:v>
      </x:c>
      <x:c r="I141" s="16" t="str">
        <x:v>独立负向仿真/约束审计；不可保留冲突 assume 后再求 cover</x:v>
      </x:c>
      <x:c r="J141" s="16" t="str">
        <x:v>E04_ARRESP</x:v>
      </x:c>
      <x:c r="K141" s="16" t="str">
        <x:v>arvalid=0 时不限制该字段</x:v>
      </x:c>
      <x:c r="L141" s="17" t="str">
        <x:v>未逐项执行</x:v>
      </x:c>
    </x:row>
    <x:row r="142" ht="58" customHeight="1">
      <x:c r="A142" s="16" t="str">
        <x:v>ERR-06</x:v>
      </x:c>
      <x:c r="B142" s="16" t="str">
        <x:v>字段与错误组合</x:v>
      </x:c>
      <x:c r="C142" s="16" t="str">
        <x:v>错误命令被正常命令夹住</x:v>
      </x:c>
      <x:c r="D142" s="16" t="str">
        <x:v>合法业务</x:v>
      </x:c>
      <x:c r="E142" s="16" t="str">
        <x:v>三条同源命令为正常/错误/正常</x:v>
      </x:c>
      <x:c r="F142" s="16" t="str">
        <x:v>改变发射完成顺序</x:v>
      </x:c>
      <x:c r="G142" s="16" t="str">
        <x:v>R 仍按接收顺序，错误只附着于中间命令</x:v>
      </x:c>
      <x:c r="H142" s="16" t="str">
        <x:v>使用全局错误寄存器污染前后项</x:v>
      </x:c>
      <x:c r="I142" s="16" t="str">
        <x:v>assert 检查结果；cover 见证前提与事件；按需仿真</x:v>
      </x:c>
      <x:c r="J142" s="16" t="str">
        <x:v>A_XAU_R_RESP_ORDER
A_XAU_R_DATA_ORDER</x:v>
      </x:c>
      <x:c r="K142" s="16" t="str">
        <x:v>address/parity 两类分别测试</x:v>
      </x:c>
      <x:c r="L142" s="17" t="str">
        <x:v>未逐项执行</x:v>
      </x:c>
    </x:row>
    <x:row r="143" ht="58" customHeight="1">
      <x:c r="A143" s="16" t="str">
        <x:v>ERR-07</x:v>
      </x:c>
      <x:c r="B143" s="16" t="str">
        <x:v>字段与错误组合</x:v>
      </x:c>
      <x:c r="C143" s="16" t="str">
        <x:v>低地址位与 Bank/行地址分离</x:v>
      </x:c>
      <x:c r="D143" s="16" t="str">
        <x:v>合法业务</x:v>
      </x:c>
      <x:c r="E143" s="16" t="str">
        <x:v>命令只改变 araddr[2:0]</x:v>
      </x:c>
      <x:c r="F143" s="16" t="str">
        <x:v>保持其余字段，分别完成</x:v>
      </x:c>
      <x:c r="G143" s="16" t="str">
        <x:v>req 和 arb_addr 不变，raddr 按原三位变化</x:v>
      </x:c>
      <x:c r="H143" s="16" t="str">
        <x:v>将 raddr 错取 arb_addr 低三位</x:v>
      </x:c>
      <x:c r="I143" s="16" t="str">
        <x:v>assert 检查结果；cover 见证前提与事件；按需仿真</x:v>
      </x:c>
      <x:c r="J143" s="16" t="str">
        <x:v>A_ARB_ADDR
A_XAU_R_ADDR_ORDER</x:v>
      </x:c>
      <x:c r="K143" s="16" t="str">
        <x:v>raddr 八种值</x:v>
      </x:c>
      <x:c r="L143" s="17" t="str">
        <x:v>未逐项执行</x:v>
      </x:c>
    </x:row>
    <x:row r="144" ht="58" customHeight="1">
      <x:c r="A144" s="16" t="str">
        <x:v>ERR-08</x:v>
      </x:c>
      <x:c r="B144" s="16" t="str">
        <x:v>字段与错误组合</x:v>
      </x:c>
      <x:c r="C144" s="16" t="str">
        <x:v>port_id 直接透传</x:v>
      </x:c>
      <x:c r="D144" s="16" t="str">
        <x:v>合法业务</x:v>
      </x:c>
      <x:c r="E144" s="16" t="str">
        <x:v>同源或跨源使用不同 port_id，包括 0 和 31</x:v>
      </x:c>
      <x:c r="F144" s="16" t="str">
        <x:v>乱序完成且 RR 交错</x:v>
      </x:c>
      <x:c r="G144" s="16" t="str">
        <x:v>r_port_id 来自该命令 AR，不由 src、Bank 或 ID 重新编码</x:v>
      </x:c>
      <x:c r="H144" s="16" t="str">
        <x:v>混淆 src 与 port_id</x:v>
      </x:c>
      <x:c r="I144" s="16" t="str">
        <x:v>assert 检查结果；cover 见证前提与事件；按需仿真</x:v>
      </x:c>
      <x:c r="J144" s="16" t="str">
        <x:v>A_XAU_R_PORT_ORDER
A_R_METADATA</x:v>
      </x:c>
      <x:c r="K144" s="16" t="str">
        <x:v>5 bit 字段</x:v>
      </x:c>
      <x:c r="L144" s="17" t="str">
        <x:v>未逐项执行</x:v>
      </x:c>
    </x:row>
    <x:row r="145" ht="58" customHeight="1">
      <x:c r="A145" s="16" t="str">
        <x:v>CON-01</x:v>
      </x:c>
      <x:c r="B145" s="16" t="str">
        <x:v>同拍事件与冲突</x:v>
      </x:c>
      <x:c r="C145" s="16" t="str">
        <x:v>四事件全部发生</x:v>
      </x:c>
      <x:c r="D145" s="16" t="str">
        <x:v>合法业务</x:v>
      </x:c>
      <x:c r="E145" s="16" t="str">
        <x:v>新 A、当前 I、四拍前的 M、已完成项 R 均合法</x:v>
      </x:c>
      <x:c r="F145" s="16" t="str">
        <x:v>四事件同拍；A 可复用 R 槽，其他事务互异</x:v>
      </x:c>
      <x:c r="G145" s="16" t="str">
        <x:v>N_next=N，P_out=P；M 缓存、R 输出、I 日历与 A 分配全部完成</x:v>
      </x:c>
      <x:c r="H145" s="16" t="str">
        <x:v>全局 if/else 导致只处理一个事件</x:v>
      </x:c>
      <x:c r="I145" s="16" t="str">
        <x:v>assert 检查结果；cover 见证前提与事件；按需仿真</x:v>
      </x:c>
      <x:c r="J145" s="16" t="str">
        <x:v>C_ALL_FOUR_EVENTS
A_PENDING
A_R_DATA</x:v>
      </x:c>
      <x:c r="K145" s="16" t="str">
        <x:v>并发事件 EVT-15</x:v>
      </x:c>
      <x:c r="L145" s="17" t="str">
        <x:v>未逐项执行</x:v>
      </x:c>
    </x:row>
    <x:row r="146" ht="58" customHeight="1">
      <x:c r="A146" s="16" t="str">
        <x:v>CON-02</x:v>
      </x:c>
      <x:c r="B146" s="16" t="str">
        <x:v>同拍事件与冲突</x:v>
      </x:c>
      <x:c r="C146" s="16" t="str">
        <x:v>满表四事件同拍</x:v>
      </x:c>
      <x:c r="D146" s="16" t="str">
        <x:v>合法业务</x:v>
      </x:c>
      <x:c r="E146" s="16" t="str">
        <x:v>N=9，存在一个待发、一个到期、一个已完成头</x:v>
      </x:c>
      <x:c r="F146" s="16" t="str">
        <x:v>R 释放槽，A 选择合法来源，同时 I/M</x:v>
      </x:c>
      <x:c r="G146" s="16" t="str">
        <x:v>同拍复用 R 槽；不得借用 I 或 M 槽；N 保持 9</x:v>
      </x:c>
      <x:c r="H146" s="16" t="str">
        <x:v>空闲掩码含 issued/done 项而覆盖旧事务</x:v>
      </x:c>
      <x:c r="I146" s="16" t="str">
        <x:v>assert 检查结果；cover 见证前提与事件；按需仿真</x:v>
      </x:c>
      <x:c r="J146" s="16" t="str">
        <x:v>C_FULL_REUSE
C_ALL_FOUR_EVENTS
A_R_DATA</x:v>
      </x:c>
      <x:c r="K146" s="16" t="str">
        <x:v>并发事件 EVT-15</x:v>
      </x:c>
      <x:c r="L146" s="17" t="str">
        <x:v>未逐项执行</x:v>
      </x:c>
    </x:row>
    <x:row r="147" ht="58" customHeight="1">
      <x:c r="A147" s="16" t="str">
        <x:v>CON-03</x:v>
      </x:c>
      <x:c r="B147" s="16" t="str">
        <x:v>同拍事件与冲突</x:v>
      </x:c>
      <x:c r="C147" s="16" t="str">
        <x:v>零事件保持</x:v>
      </x:c>
      <x:c r="D147" s="16" t="str">
        <x:v>合法业务</x:v>
      </x:c>
      <x:c r="E147" s="16" t="str">
        <x:v>无 A/I/M/R；可有失败 req</x:v>
      </x:c>
      <x:c r="F147" s="16" t="str">
        <x:v>等待多拍</x:v>
      </x:c>
      <x:c r="G147" s="16" t="str">
        <x:v>占用不变；数据与年龄保持；失败项可重选；日历仍按拍移位</x:v>
      </x:c>
      <x:c r="H147" s="16" t="str">
        <x:v>空拍停止整条流水或意外清零</x:v>
      </x:c>
      <x:c r="I147" s="16" t="str">
        <x:v>assert 检查结果；cover 见证前提与事件；按需仿真</x:v>
      </x:c>
      <x:c r="J147" s="16" t="str">
        <x:v>A_PENDING
A_REQ
A_R_DATA</x:v>
      </x:c>
      <x:c r="K147" s="16" t="str">
        <x:v>并发事件 EVT-00</x:v>
      </x:c>
      <x:c r="L147" s="17" t="str">
        <x:v>未逐项执行</x:v>
      </x:c>
    </x:row>
    <x:row r="148" ht="58" customHeight="1">
      <x:c r="A148" s="16" t="str">
        <x:v>CON-04</x:v>
      </x:c>
      <x:c r="B148" s="16" t="str">
        <x:v>同拍事件与冲突</x:v>
      </x:c>
      <x:c r="C148" s="16" t="str">
        <x:v>同拍新 AR 不能立刻 I/M/R</x:v>
      </x:c>
      <x:c r="D148" s="16" t="str">
        <x:v>合法业务</x:v>
      </x:c>
      <x:c r="E148" s="16" t="str">
        <x:v>当前只有一个全新接收事务，无旧事务</x:v>
      </x:c>
      <x:c r="F148" s="16" t="str">
        <x:v>尝试把多个事件解释为同一命令</x:v>
      </x:c>
      <x:c r="G148" s="16" t="str">
        <x:v>A→I 至少三阶段，I→M 四拍，M→R 至少下一拍；事件组合需对应历史事务</x:v>
      </x:c>
      <x:c r="H148" s="16" t="str">
        <x:v>只看事件数，不查事务身份与历史</x:v>
      </x:c>
      <x:c r="I148" s="16" t="str">
        <x:v>assert 检查结果；cover 见证前提与事件；按需仿真</x:v>
      </x:c>
      <x:c r="J148" s="16" t="str">
        <x:v>A_REQ
A_XAU_R_NO_EARLY_BYPASS</x:v>
      </x:c>
      <x:c r="K148" s="16" t="str">
        <x:v>并发事件的身份限制表</x:v>
      </x:c>
      <x:c r="L148" s="17" t="str">
        <x:v>未逐项执行</x:v>
      </x:c>
    </x:row>
    <x:row r="149" ht="58" customHeight="1">
      <x:c r="A149" s="16" t="str">
        <x:v>CON-05</x:v>
      </x:c>
      <x:c r="B149" s="16" t="str">
        <x:v>同拍事件与冲突</x:v>
      </x:c>
      <x:c r="C149" s="16" t="str">
        <x:v>物理槽冲突注错</x:v>
      </x:c>
      <x:c r="D149" s="16" t="str">
        <x:v>内部注错</x:v>
      </x:c>
      <x:c r="E149" s="16" t="str">
        <x:v>内部把同拍 I/M、M/R、A/M 等指向同一存活事务槽</x:v>
      </x:c>
      <x:c r="F149" s="16" t="str">
        <x:v>观察双重写入或错误响应</x:v>
      </x:c>
      <x:c r="G149" s="16" t="str">
        <x:v>合法历史中这些别名不成立；应由内部断言/注错及端口后果检出</x:v>
      </x:c>
      <x:c r="H149" s="16" t="str">
        <x:v>将不可能的内部事件强行作为输入 assume</x:v>
      </x:c>
      <x:c r="I149" s="16" t="str">
        <x:v>白盒注错 + 端口断言；物理结构另做内部检查</x:v>
      </x:c>
      <x:c r="J149" s="16" t="str">
        <x:v>A_R_DATA
A_XAU_R_HAS_PENDING</x:v>
      </x:c>
      <x:c r="K149" s="16" t="str">
        <x:v>只有 A/R 可同槽交接</x:v>
      </x:c>
      <x:c r="L149" s="17" t="str">
        <x:v>未逐项执行</x:v>
      </x:c>
    </x:row>
    <x:row r="150" ht="58" customHeight="1">
      <x:c r="A150" s="16" t="str">
        <x:v>CON-06</x:v>
      </x:c>
      <x:c r="B150" s="16" t="str">
        <x:v>同拍事件与冲突</x:v>
      </x:c>
      <x:c r="C150" s="16" t="str">
        <x:v>计数不变不等于无动作</x:v>
      </x:c>
      <x:c r="D150" s="16" t="str">
        <x:v>合法业务</x:v>
      </x:c>
      <x:c r="E150" s="16" t="str">
        <x:v>同拍 A/R=1，可能 I/M=1</x:v>
      </x:c>
      <x:c r="F150" s="16" t="str">
        <x:v>连续多拍总 N 恒定</x:v>
      </x:c>
      <x:c r="G150" s="16" t="str">
        <x:v>字段、队头、年龄、数据和 RR 均可能变化；需逐事务检查</x:v>
      </x:c>
      <x:c r="H150" s="16" t="str">
        <x:v>仅按总数守恒就认为全部正确</x:v>
      </x:c>
      <x:c r="I150" s="16" t="str">
        <x:v>assert 检查结果；cover 见证前提与事件；按需仿真</x:v>
      </x:c>
      <x:c r="J150" s="16" t="str">
        <x:v>A_R_METADATA
A_RR_CHOICE
A_R_DATA</x:v>
      </x:c>
      <x:c r="K150" s="16" t="str">
        <x:v>并发事件全部组合</x:v>
      </x:c>
      <x:c r="L150" s="17" t="str">
        <x:v>未逐项执行</x:v>
      </x:c>
    </x:row>
    <x:row r="151" ht="58" customHeight="1">
      <x:c r="A151" s="16" t="str">
        <x:v>BIZ-01</x:v>
      </x:c>
      <x:c r="B151" s="16" t="str">
        <x:v>持续业务与边界</x:v>
      </x:c>
      <x:c r="C151" s="16" t="str">
        <x:v>单源持续满速流</x:v>
      </x:c>
      <x:c r="D151" s="16" t="str">
        <x:v>合法业务</x:v>
      </x:c>
      <x:c r="E151" s="16" t="str">
        <x:v>同源 ready 时每拍提交；Bank/grant 条件允许最早 I；R ready 持续 1</x:v>
      </x:c>
      <x:c r="F151" s="16" t="str">
        <x:v>最短 C1 AR→C3 I→C7 M→C8 R，持续填充和回收</x:v>
      </x:c>
      <x:c r="G151" s="16" t="str">
        <x:v>首次返回后可同拍接收并稳态 1 AR/拍；这是条件吞吐，不是无条件保证</x:v>
      </x:c>
      <x:c r="H151" s="16" t="str">
        <x:v>7 项容量边界插空泡；把仲裁等待算成 DUT 吞吐错误</x:v>
      </x:c>
      <x:c r="I151" s="16" t="str">
        <x:v>assert 检查结果；cover 见证前提与事件；按需仿真</x:v>
      </x:c>
      <x:c r="J151" s="16" t="str">
        <x:v>A_READY
A_PENDING
A_R_DATA</x:v>
      </x:c>
      <x:c r="K151" s="16" t="str">
        <x:v>C1..C8 计拍约定</x:v>
      </x:c>
      <x:c r="L151" s="17" t="str">
        <x:v>未逐项执行</x:v>
      </x:c>
    </x:row>
    <x:row r="152" ht="58" customHeight="1">
      <x:c r="A152" s="16" t="str">
        <x:v>BIZ-02</x:v>
      </x:c>
      <x:c r="B152" s="16" t="str">
        <x:v>持续业务与边界</x:v>
      </x:c>
      <x:c r="C152" s="16" t="str">
        <x:v>三源混合长流</x:v>
      </x:c>
      <x:c r="D152" s="16" t="str">
        <x:v>合法业务</x:v>
      </x:c>
      <x:c r="E152" s="16" t="str">
        <x:v>上游选择不同 src，维持合法握手</x:v>
      </x:c>
      <x:c r="F152" s="16" t="str">
        <x:v>随机 Bank/half、ID 重复、R ready mask 和 grant 失败</x:v>
      </x:c>
      <x:c r="G152" s="16" t="str">
        <x:v>长期 AR-R 守恒，各源不超过 7，字段与数据不串单</x:v>
      </x:c>
      <x:c r="H152" s="16" t="str">
        <x:v>仅短序列正确，年龄复用后失效</x:v>
      </x:c>
      <x:c r="I152" s="16" t="str">
        <x:v>assert 检查结果；cover 见证前提与事件；按需仿真</x:v>
      </x:c>
      <x:c r="J152" s="16" t="str">
        <x:v>A_READY
A_REQ
A_XAU_R_DATA_ORDER</x:v>
      </x:c>
      <x:c r="K152" s="16" t="str">
        <x:v>指定随机种子后再记录执行结果</x:v>
      </x:c>
      <x:c r="L152" s="17" t="str">
        <x:v>未逐项执行</x:v>
      </x:c>
    </x:row>
    <x:row r="153" ht="58" customHeight="1">
      <x:c r="A153" s="16" t="str">
        <x:v>BIZ-03</x:v>
      </x:c>
      <x:c r="B153" s="16" t="str">
        <x:v>持续业务与边界</x:v>
      </x:c>
      <x:c r="C153" s="16" t="str">
        <x:v>同 Bank 热点竞争</x:v>
      </x:c>
      <x:c r="D153" s="16" t="str">
        <x:v>合法业务</x:v>
      </x:c>
      <x:c r="E153" s="16" t="str">
        <x:v>许多命令指向同一 Bank 或 half</x:v>
      </x:c>
      <x:c r="F153" s="16" t="str">
        <x:v>status 忙闲变化，失败多拍，夹杂其他 Bank 命令</x:v>
      </x:c>
      <x:c r="G153" s="16" t="str">
        <x:v>只在窗口内绕过忙项；成功规则与年龄不变；无吞吐下限承诺</x:v>
      </x:c>
      <x:c r="H153" s="16" t="str">
        <x:v>误认为有 9 项缓存就能消除热点限制</x:v>
      </x:c>
      <x:c r="I153" s="16" t="str">
        <x:v>assert 检查结果；cover 见证前提与事件；按需仿真</x:v>
      </x:c>
      <x:c r="J153" s="16" t="str">
        <x:v>A_REQ
C_RETRY_NEXT_CYCLE</x:v>
      </x:c>
      <x:c r="K153" s="16" t="str">
        <x:v>前五阻塞时窗口外不可绕过</x:v>
      </x:c>
      <x:c r="L153" s="17" t="str">
        <x:v>未逐项执行</x:v>
      </x:c>
    </x:row>
    <x:row r="154" ht="58" customHeight="1">
      <x:c r="A154" s="16" t="str">
        <x:v>BIZ-04</x:v>
      </x:c>
      <x:c r="B154" s="16" t="str">
        <x:v>持续业务与边界</x:v>
      </x:c>
      <x:c r="C154" s="16" t="str">
        <x:v>前五永久忙</x:v>
      </x:c>
      <x:c r="D154" s="16" t="str">
        <x:v>合法业务</x:v>
      </x:c>
      <x:c r="E154" s="16" t="str">
        <x:v>前五待发项始终忙，第六项及以后空闲</x:v>
      </x:c>
      <x:c r="F154" s="16" t="str">
        <x:v>长时间无成功发射</x:v>
      </x:c>
      <x:c r="G154" s="16" t="str">
        <x:v>可以永久不发射；容量耗尽后阻塞合法；无 bank 公平假设不能证明排空</x:v>
      </x:c>
      <x:c r="H154" s="16" t="str">
        <x:v>强加所有请求最终发射的无条件 assert</x:v>
      </x:c>
      <x:c r="I154" s="16" t="str">
        <x:v>assert 检查结果；cover 见证前提与事件；按需仿真</x:v>
      </x:c>
      <x:c r="J154" s="16" t="str">
        <x:v>A_REQ
C_BLOCKED_SIX</x:v>
      </x:c>
      <x:c r="K154" s="16" t="str">
        <x:v>当前协议允许的停滞</x:v>
      </x:c>
      <x:c r="L154" s="17" t="str">
        <x:v>未逐项执行</x:v>
      </x:c>
    </x:row>
    <x:row r="155" ht="58" customHeight="1">
      <x:c r="A155" s="16" t="str">
        <x:v>BIZ-05</x:v>
      </x:c>
      <x:c r="B155" s="16" t="str">
        <x:v>持续业务与边界</x:v>
      </x:c>
      <x:c r="C155" s="16" t="str">
        <x:v>仲裁持续拒绝</x:v>
      </x:c>
      <x:c r="D155" s="16" t="str">
        <x:v>合法业务</x:v>
      </x:c>
      <x:c r="E155" s="16" t="str">
        <x:v>可用候选每次 req，但双 grant 不成功</x:v>
      </x:c>
      <x:c r="F155" s="16" t="str">
        <x:v>任意长失败序列</x:v>
      </x:c>
      <x:c r="G155" s="16" t="str">
        <x:v>不丢命令、不减 pending，可连续重试或重选；不保证最终成功</x:v>
      </x:c>
      <x:c r="H155" s="16" t="str">
        <x:v>把无限失败误判为 DUT 死锁</x:v>
      </x:c>
      <x:c r="I155" s="16" t="str">
        <x:v>assert 检查结果；cover 见证前提与事件；按需仿真</x:v>
      </x:c>
      <x:c r="J155" s="16" t="str">
        <x:v>A_REQ
A_PENDING</x:v>
      </x:c>
      <x:c r="K155" s="16" t="str">
        <x:v>活性需要外部仲裁服务保证</x:v>
      </x:c>
      <x:c r="L155" s="17" t="str">
        <x:v>未逐项执行</x:v>
      </x:c>
    </x:row>
    <x:row r="156" ht="58" customHeight="1">
      <x:c r="A156" s="16" t="str">
        <x:v>BIZ-06</x:v>
      </x:c>
      <x:c r="B156" s="16" t="str">
        <x:v>持续业务与边界</x:v>
      </x:c>
      <x:c r="C156" s="16" t="str">
        <x:v>某源永不 R ready</x:v>
      </x:c>
      <x:c r="D156" s="16" t="str">
        <x:v>合法业务</x:v>
      </x:c>
      <x:c r="E156" s="16" t="str">
        <x:v>该源占据若干已完成项，其他源继续</x:v>
      </x:c>
      <x:c r="F156" s="16" t="str">
        <x:v>rready[该源]=0 长期不变</x:v>
      </x:c>
      <x:c r="G156" s="16" t="str">
        <x:v>该源项不释放；其他源在容量和窗口许可范围推进；整体不保证排空</x:v>
      </x:c>
      <x:c r="H156" s="16" t="str">
        <x:v>无条件要求所有 entry 最终清空</x:v>
      </x:c>
      <x:c r="I156" s="16" t="str">
        <x:v>assert 检查结果；cover 见证前提与事件；按需仿真</x:v>
      </x:c>
      <x:c r="J156" s="16" t="str">
        <x:v>A_R_READY
A_READY
A_RR_CHOICE</x:v>
      </x:c>
      <x:c r="K156" s="16" t="str">
        <x:v>源内阻塞与共享容量联合分析</x:v>
      </x:c>
      <x:c r="L156" s="17" t="str">
        <x:v>未逐项执行</x:v>
      </x:c>
    </x:row>
    <x:row r="157" ht="58" customHeight="1">
      <x:c r="A157" s="16" t="str">
        <x:v>BIZ-07</x:v>
      </x:c>
      <x:c r="B157" s="16" t="str">
        <x:v>持续业务与边界</x:v>
      </x:c>
      <x:c r="C157" s="16" t="str">
        <x:v>源切换不公平</x:v>
      </x:c>
      <x:c r="D157" s="16" t="str">
        <x:v>集成边界</x:v>
      </x:c>
      <x:c r="E157" s="16" t="str">
        <x:v>三路有业务，但上游长期不选某一路</x:v>
      </x:c>
      <x:c r="F157" s="16" t="str">
        <x:v>仅观察共享 AR 与 arready</x:v>
      </x:c>
      <x:c r="G157" s="16" t="str">
        <x:v>可证明该路首项容量许可；无法证明未呈现请求的服务时间</x:v>
      </x:c>
      <x:c r="H157" s="16" t="str">
        <x:v>将 ready 保证提升为上游公平保证</x:v>
      </x:c>
      <x:c r="I157" s="16" t="str">
        <x:v>集成定向测试；先明确边界条件，再设断言</x:v>
      </x:c>
      <x:c r="J157" s="16" t="str">
        <x:v>A_READY</x:v>
      </x:c>
      <x:c r="K157" s="16" t="str">
        <x:v>上游公平性仍未约定</x:v>
      </x:c>
      <x:c r="L157" s="17" t="str">
        <x:v>未逐项执行</x:v>
      </x:c>
    </x:row>
    <x:row r="158" ht="58" customHeight="1">
      <x:c r="A158" s="16" t="str">
        <x:v>BIZ-08</x:v>
      </x:c>
      <x:c r="B158" s="16" t="str">
        <x:v>持续业务与边界</x:v>
      </x:c>
      <x:c r="C158" s="16" t="str">
        <x:v>停止注入后排空</x:v>
      </x:c>
      <x:c r="D158" s="16" t="str">
        <x:v>集成边界</x:v>
      </x:c>
      <x:c r="E158" s="16" t="str">
        <x:v>AR 停止；所有待发目标最终可用且获 grant；各源最终 ready</x:v>
      </x:c>
      <x:c r="F158" s="16" t="str">
        <x:v>继续完整 MEM 返回</x:v>
      </x:c>
      <x:c r="G158" s="16" t="str">
        <x:v>在这些服务条件下应逐项排空；若需固定周期界，需给出各条件的有界版本</x:v>
      </x:c>
      <x:c r="H158" s="16" t="str">
        <x:v>未给服务上界却断言固定超时</x:v>
      </x:c>
      <x:c r="I158" s="16" t="str">
        <x:v>集成定向测试；先明确边界条件，再设断言</x:v>
      </x:c>
      <x:c r="J158" s="16" t="str">
        <x:v>A_XAU_R_HAS_PENDING
A_R_DATA</x:v>
      </x:c>
      <x:c r="K158" s="16" t="str">
        <x:v>待补条件活性任务；当前无一般无界结论</x:v>
      </x:c>
      <x:c r="L158" s="17" t="str">
        <x:v>未逐项执行</x:v>
      </x:c>
    </x:row>
    <x:row r="159" ht="58" customHeight="1">
      <x:c r="A159" s="16" t="str">
        <x:v>BIZ-09</x:v>
      </x:c>
      <x:c r="B159" s="16" t="str">
        <x:v>持续业务与边界</x:v>
      </x:c>
      <x:c r="C159" s="16" t="str">
        <x:v>错序返回叠加容量限制</x:v>
      </x:c>
      <x:c r="D159" s="16" t="str">
        <x:v>合法业务</x:v>
      </x:c>
      <x:c r="E159" s="16" t="str">
        <x:v>同源年轻项先完成；老项阻塞；占用达到 7</x:v>
      </x:c>
      <x:c r="F159" s="16" t="str">
        <x:v>另两路各一项有业务</x:v>
      </x:c>
      <x:c r="G159" s="16" t="str">
        <x:v>老项未 R 前该源不再接收；另两源可各保留一项；年轻完成不归还额度</x:v>
      </x:c>
      <x:c r="H159" s="16" t="str">
        <x:v>done 代替 R 释放造成配额和保序同时失效</x:v>
      </x:c>
      <x:c r="I159" s="16" t="str">
        <x:v>assert 检查结果；cover 见证前提与事件；按需仿真</x:v>
      </x:c>
      <x:c r="J159" s="16" t="str">
        <x:v>A_READY
A_XAU_R_HEAD_COMPLETE</x:v>
      </x:c>
      <x:c r="K159" s="16" t="str">
        <x:v>CAP + RSP 交叉场景</x:v>
      </x:c>
      <x:c r="L159" s="17" t="str">
        <x:v>未逐项执行</x:v>
      </x:c>
    </x:row>
    <x:row r="160" ht="58" customHeight="1">
      <x:c r="A160" s="16" t="str">
        <x:v>BIZ-10</x:v>
      </x:c>
      <x:c r="B160" s="16" t="str">
        <x:v>持续业务与边界</x:v>
      </x:c>
      <x:c r="C160" s="16" t="str">
        <x:v>长时间全空后重新启动</x:v>
      </x:c>
      <x:c r="D160" s="16" t="str">
        <x:v>合法业务</x:v>
      </x:c>
      <x:c r="E160" s="16" t="str">
        <x:v>事务全部 R，空闲许多拍，MEM 总线仍变化</x:v>
      </x:c>
      <x:c r="F160" s="16" t="str">
        <x:v>再发送新命令</x:v>
      </x:c>
      <x:c r="G160" s="16" t="str">
        <x:v>仅新事务产生 req/R，RR 保持上次实际响应后的指针</x:v>
      </x:c>
      <x:c r="H160" s="16" t="str">
        <x:v>空闲自动把 RR 置零或残留日历触发幽灵返回</x:v>
      </x:c>
      <x:c r="I160" s="16" t="str">
        <x:v>assert 检查结果；cover 见证前提与事件；按需仿真</x:v>
      </x:c>
      <x:c r="J160" s="16" t="str">
        <x:v>A_REQ
A_RR_CHOICE
A_R_DATA</x:v>
      </x:c>
      <x:c r="K160" s="16" t="str">
        <x:v>RR 不因空闲重置</x:v>
      </x:c>
      <x:c r="L160" s="17" t="str">
        <x:v>未逐项执行</x:v>
      </x:c>
    </x:row>
    <x:row r="161" ht="58" customHeight="1">
      <x:c r="A161" s="16" t="str">
        <x:v>ENV-06</x:v>
      </x:c>
      <x:c r="B161" s="16" t="str">
        <x:v>接入与验证边界</x:v>
      </x:c>
      <x:c r="C161" s="16" t="str">
        <x:v>数组连接方向</x:v>
      </x:c>
      <x:c r="D161" s="16" t="str">
        <x:v>集成边界</x:v>
      </x:c>
      <x:c r="E161" s="16" t="str">
        <x:v>上层与模块都使用 bank-major [1:0] status [7:0]</x:v>
      </x:c>
      <x:c r="F161" s="16" t="str">
        <x:v>对 16 个独立 bank/half 定向置位</x:v>
      </x:c>
      <x:c r="G161" s="16" t="str">
        <x:v>一一对应 status[bank][half]；适配器若必须展开需显式定义映射</x:v>
      </x:c>
      <x:c r="H161" s="16" t="str">
        <x:v>用 [1:0][7:0] packed 直接接导致转置</x:v>
      </x:c>
      <x:c r="I161" s="16" t="str">
        <x:v>集成定向测试；先明确边界条件，再设断言</x:v>
      </x:c>
      <x:c r="J161" s="16" t="str">
        <x:v>A_REQ</x:v>
      </x:c>
      <x:c r="K161" s="16" t="str">
        <x:v>接入检查；不改变用户二维接口</x:v>
      </x:c>
      <x:c r="L161" s="17" t="str">
        <x:v>未逐项执行</x:v>
      </x:c>
    </x:row>
    <x:row r="162" ht="58" customHeight="1">
      <x:c r="A162" s="16" t="str">
        <x:v>ENV-07</x:v>
      </x:c>
      <x:c r="B162" s="16" t="str">
        <x:v>接入与验证边界</x:v>
      </x:c>
      <x:c r="C162" s="16" t="str">
        <x:v>仅端口可观察的证明边界</x:v>
      </x:c>
      <x:c r="D162" s="16" t="str">
        <x:v>集成边界</x:v>
      </x:c>
      <x:c r="E162" s="16" t="str">
        <x:v>仅连接顶层接口运行 SVA</x:v>
      </x:c>
      <x:c r="F162" s="16" t="str">
        <x:v>检查数据、计数、顺序与后续响应</x:v>
      </x:c>
      <x:c r="G162" s="16" t="str">
        <x:v>可查外部行为；不能单凭参考模型自检证明物理 entry 恰有 9 项、OTB 位已清零</x:v>
      </x:c>
      <x:c r="H162" s="16" t="str">
        <x:v>将 M_* 模型性质当 RTL 物理结构证明</x:v>
      </x:c>
      <x:c r="I162" s="16" t="str">
        <x:v>集成定向测试；先明确边界条件，再设断言</x:v>
      </x:c>
      <x:c r="J162" s="16" t="str">
        <x:v>M_STATE
M_RANGE
M_QUOTA</x:v>
      </x:c>
      <x:c r="K162" s="16" t="str">
        <x:v>规则与证据 PROOF</x:v>
      </x:c>
      <x:c r="L162" s="17" t="str">
        <x:v>未逐项执行</x:v>
      </x:c>
    </x:row>
    <x:row r="163" ht="72" customHeight="1">
      <x:c r="A163" s="16" t="str">
        <x:v>ENV-08</x:v>
      </x:c>
      <x:c r="B163" s="16" t="str">
        <x:v>接入与验证边界</x:v>
      </x:c>
      <x:c r="C163" s="16" t="str">
        <x:v>环境约束不能假设 DUT 结果</x:v>
      </x:c>
      <x:c r="D163" s="16" t="str">
        <x:v>集成边界</x:v>
      </x:c>
      <x:c r="E163" s="16" t="str">
        <x:v>构建 formal harness</x:v>
      </x:c>
      <x:c r="F163" s="16" t="str">
        <x:v>检查 E03/E04/E05/E06 及新增 assume</x:v>
      </x:c>
      <x:c r="G163" s="16" t="str">
        <x:v>只约束合法输入关系；ready/req/R 正确性应 assert，不能 assume 掉设计错误</x:v>
      </x:c>
      <x:c r="H163" s="16" t="str">
        <x:v>assume rvalid 正确保序、假设 ready 公式等循环证明</x:v>
      </x:c>
      <x:c r="I163" s="16" t="str">
        <x:v>集成定向测试；先明确边界条件，再设断言</x:v>
      </x:c>
      <x:c r="J163" s="16" t="str">
        <x:v>E03_SRC
E04_ARRESP
E05_ZERO_READY
E06_SUCCESS_BUSY</x:v>
      </x:c>
      <x:c r="K163" s="16" t="str">
        <x:v>规则与证据 ENV</x:v>
      </x:c>
      <x:c r="L163" s="17" t="str">
        <x:v>未逐项执行</x:v>
      </x:c>
    </x:row>
  </x:sheetData>
  <x:conditionalFormatting sqref="L8:L163">
    <x:cfRule type="containsText" dxfId="0" priority="1" operator="containsText" text="失败"/>
    <x:cfRule type="containsText" dxfId="1" priority="2" operator="containsText" text="阻塞"/>
  </x:conditionalFormatting>
  <x:dataValidations count="1">
    <x:dataValidation type="list" sqref="L8:L163">
      <x:formula1>"未逐项执行,通过,失败,阻塞,不适用"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9708a20fc545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5" hidden="0" customWidth="1"/>
    <x:col min="2" max="2" width="8.130000114440918" hidden="0" customWidth="1"/>
    <x:col min="3" max="3" width="8.130000114440918" hidden="0" customWidth="1"/>
    <x:col min="4" max="4" width="8.130000114440918" hidden="0" customWidth="1"/>
    <x:col min="5" max="5" width="9.380000114440918" hidden="0" customWidth="1"/>
    <x:col min="6" max="6" width="9.380000114440918" hidden="0" customWidth="1"/>
    <x:col min="7" max="7" width="10.630000114440918" hidden="0" customWidth="1"/>
    <x:col min="8" max="8" width="12.5" hidden="0" customWidth="1"/>
    <x:col min="9" max="9" width="12.5" hidden="0" customWidth="1"/>
    <x:col min="10" max="10" width="15" hidden="0" customWidth="1"/>
    <x:col min="11" max="11" width="15" hidden="0" customWidth="1"/>
    <x:col min="12" max="12" width="15" hidden="0" customWidth="1"/>
    <x:col min="13" max="13" width="12.5" hidden="0" customWidth="1"/>
    <x:col min="14" max="14" width="13.75" hidden="0" customWidth="1"/>
    <x:col min="15" max="15" width="1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容量状态：190 个合法分布</x:v>
      </x:c>
      <x:c r="B2" s="8"/>
      <x:c r="C2" s="8"/>
      <x:c r="D2" s="8"/>
      <x:c r="E2" s="8"/>
      <x:c r="F2" s="8"/>
      <x:c r="G2" s="8"/>
      <x:c r="H2" s="6"/>
      <x:c r="I2" s="6"/>
      <x:c r="J2" s="6"/>
      <x:c r="K2" s="6"/>
      <x:c r="L2" s="6"/>
      <x:c r="M2" s="6"/>
      <x:c r="N2" s="6"/>
      <x:c r="O2" s="6"/>
    </x:row>
    <x:row r="3" ht="23" customHeight="1">
      <x:c r="A3" s="9" t="str">
        <x:v>Ni = 本源累计 AR 接收 − 本源累计 R 回收。四列 ready 都按 [2:0] 显示。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 ht="23" customHeight="1">
      <x:c r="A4" s="9" t="str">
        <x:v>合法状态：sum(max(Ni,1)) ≤ 9。R 列仅表示容量允许的抽象回收；实际还要队头完成、rready=1 并被 RR 选中。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</x:row>
    <x:row r="5" ht="23" customHeight="1">
      <x:c r="A5" s="9" t="str">
        <x:v>“不可回收”表示该源占用为 0。公式按固定规格计算；与实际 MEM 完成时刻的可达性须另做验证。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42" customHeight="1">
      <x:c r="A7" s="13" t="str">
        <x:v>状态编号</x:v>
      </x:c>
      <x:c r="B7" s="14" t="str">
        <x:v>N0</x:v>
      </x:c>
      <x:c r="C7" s="14" t="str">
        <x:v>N1</x:v>
      </x:c>
      <x:c r="D7" s="14" t="str">
        <x:v>N2</x:v>
      </x:c>
      <x:c r="E7" s="14" t="str">
        <x:v>总占用 N</x:v>
      </x:c>
      <x:c r="F7" s="14" t="str">
        <x:v>非空源数</x:v>
      </x:c>
      <x:c r="G7" s="14" t="str">
        <x:v>共享占用</x:v>
      </x:c>
      <x:c r="H7" s="14" t="str">
        <x:v>保留后总量</x:v>
      </x:c>
      <x:c r="I7" s="14" t="str">
        <x:v>无 R ready</x:v>
      </x:c>
      <x:c r="J7" s="14" t="str">
        <x:v>R0 后 ready</x:v>
      </x:c>
      <x:c r="K7" s="14" t="str">
        <x:v>R1 后 ready</x:v>
      </x:c>
      <x:c r="L7" s="14" t="str">
        <x:v>R2 后 ready</x:v>
      </x:c>
      <x:c r="M7" s="14" t="str">
        <x:v>N/R 组合数</x:v>
      </x:c>
      <x:c r="N7" s="14" t="str">
        <x:v>AR/R 转换数</x:v>
      </x:c>
      <x:c r="O7" s="15" t="str">
        <x:v>合法性</x:v>
      </x:c>
    </x:row>
    <x:row r="8" ht="23" customHeight="1">
      <x:c r="A8" s="3" t="str">
        <x:v>ST-001</x:v>
      </x:c>
      <x:c r="B8" s="19" t="n">
        <x:v>0</x:v>
      </x:c>
      <x:c r="C8" s="19" t="n">
        <x:v>0</x:v>
      </x:c>
      <x:c r="D8" s="19" t="n">
        <x:v>0</x:v>
      </x:c>
      <x:c r="E8" s="20" t="n">
        <x:f>SUM(B8:D8)</x:f>
        <x:v>0</x:v>
      </x:c>
      <x:c r="F8" s="20" t="n">
        <x:f>COUNTIF(B8:D8,"&gt;0")</x:f>
        <x:v>0</x:v>
      </x:c>
      <x:c r="G8" s="20" t="n">
        <x:f>MAX(B8-1,0)+MAX(C8-1,0)+MAX(D8-1,0)</x:f>
        <x:v>0</x:v>
      </x:c>
      <x:c r="H8" s="20" t="n">
        <x:f>MAX(B8,1)+MAX(C8,1)+MAX(D8,1)</x:f>
        <x:v>3</x:v>
      </x:c>
      <x:c r="I8" s="22" t="str">
        <x:f>IF(AND((B8+C8+D8)&lt;9,OR((D8)=0,(MAX((B8)-1,0)+MAX((C8)-1,0)+MAX((D8)-1,0))&lt;6)),1,0)&amp;IF(AND((B8+C8+D8)&lt;9,OR((C8)=0,(MAX((B8)-1,0)+MAX((C8)-1,0)+MAX((D8)-1,0))&lt;6)),1,0)&amp;IF(AND((B8+C8+D8)&lt;9,OR((B8)=0,(MAX((B8)-1,0)+MAX((C8)-1,0)+MAX((D8)-1,0))&lt;6)),1,0)</x:f>
        <x:v>111</x:v>
      </x:c>
      <x:c r="J8" s="22" t="str">
        <x:f>IF(B8=0,"不可回收",IF(AND((B8-1+C8+D8)&lt;9,OR((D8)=0,(MAX((B8-1)-1,0)+MAX((C8)-1,0)+MAX((D8)-1,0))&lt;6)),1,0)&amp;IF(AND((B8-1+C8+D8)&lt;9,OR((C8)=0,(MAX((B8-1)-1,0)+MAX((C8)-1,0)+MAX((D8)-1,0))&lt;6)),1,0)&amp;IF(AND((B8-1+C8+D8)&lt;9,OR((B8-1)=0,(MAX((B8-1)-1,0)+MAX((C8)-1,0)+MAX((D8)-1,0))&lt;6)),1,0))</x:f>
        <x:v>不可回收</x:v>
      </x:c>
      <x:c r="K8" s="22" t="str">
        <x:f>IF(C8=0,"不可回收",IF(AND((B8+C8-1+D8)&lt;9,OR((D8)=0,(MAX((B8)-1,0)+MAX((C8-1)-1,0)+MAX((D8)-1,0))&lt;6)),1,0)&amp;IF(AND((B8+C8-1+D8)&lt;9,OR((C8-1)=0,(MAX((B8)-1,0)+MAX((C8-1)-1,0)+MAX((D8)-1,0))&lt;6)),1,0)&amp;IF(AND((B8+C8-1+D8)&lt;9,OR((B8)=0,(MAX((B8)-1,0)+MAX((C8-1)-1,0)+MAX((D8)-1,0))&lt;6)),1,0))</x:f>
        <x:v>不可回收</x:v>
      </x:c>
      <x:c r="L8" s="22" t="str">
        <x:f>IF(D8=0,"不可回收",IF(AND((B8+C8+D8-1)&lt;9,OR((D8-1)=0,(MAX((B8)-1,0)+MAX((C8)-1,0)+MAX((D8-1)-1,0))&lt;6)),1,0)&amp;IF(AND((B8+C8+D8-1)&lt;9,OR((C8)=0,(MAX((B8)-1,0)+MAX((C8)-1,0)+MAX((D8-1)-1,0))&lt;6)),1,0)&amp;IF(AND((B8+C8+D8-1)&lt;9,OR((B8)=0,(MAX((B8)-1,0)+MAX((C8)-1,0)+MAX((D8-1)-1,0))&lt;6)),1,0))</x:f>
        <x:v>不可回收</x:v>
      </x:c>
      <x:c r="M8" s="18" t="n">
        <x:f>1+F8</x:f>
        <x:v>1</x:v>
      </x:c>
      <x:c r="N8" s="18" t="n">
        <x:f>COUNTIF('容量转换'!$B$8:$B$2447,A8)</x:f>
        <x:v>4</x:v>
      </x:c>
      <x:c r="O8" s="21" t="str">
        <x:f>IF(AND(MIN(B8:D8)&gt;=0,MAX(B8:D8)&lt;=7,H8&lt;=9),"合法","不合法")</x:f>
        <x:v>合法</x:v>
      </x:c>
    </x:row>
    <x:row r="9" ht="23" customHeight="1">
      <x:c r="A9" s="3" t="str">
        <x:v>ST-002</x:v>
      </x:c>
      <x:c r="B9" s="19" t="n">
        <x:v>0</x:v>
      </x:c>
      <x:c r="C9" s="19" t="n">
        <x:v>0</x:v>
      </x:c>
      <x:c r="D9" s="19" t="n">
        <x:v>1</x:v>
      </x:c>
      <x:c r="E9" s="20" t="n">
        <x:f>SUM(B9:D9)</x:f>
        <x:v>1</x:v>
      </x:c>
      <x:c r="F9" s="20" t="n">
        <x:f>COUNTIF(B9:D9,"&gt;0")</x:f>
        <x:v>1</x:v>
      </x:c>
      <x:c r="G9" s="20" t="n">
        <x:f>MAX(B9-1,0)+MAX(C9-1,0)+MAX(D9-1,0)</x:f>
        <x:v>0</x:v>
      </x:c>
      <x:c r="H9" s="20" t="n">
        <x:f>MAX(B9,1)+MAX(C9,1)+MAX(D9,1)</x:f>
        <x:v>3</x:v>
      </x:c>
      <x:c r="I9" s="22" t="str">
        <x:f>IF(AND((B9+C9+D9)&lt;9,OR((D9)=0,(MAX((B9)-1,0)+MAX((C9)-1,0)+MAX((D9)-1,0))&lt;6)),1,0)&amp;IF(AND((B9+C9+D9)&lt;9,OR((C9)=0,(MAX((B9)-1,0)+MAX((C9)-1,0)+MAX((D9)-1,0))&lt;6)),1,0)&amp;IF(AND((B9+C9+D9)&lt;9,OR((B9)=0,(MAX((B9)-1,0)+MAX((C9)-1,0)+MAX((D9)-1,0))&lt;6)),1,0)</x:f>
        <x:v>111</x:v>
      </x:c>
      <x:c r="J9" s="22" t="str">
        <x:f>IF(B9=0,"不可回收",IF(AND((B9-1+C9+D9)&lt;9,OR((D9)=0,(MAX((B9-1)-1,0)+MAX((C9)-1,0)+MAX((D9)-1,0))&lt;6)),1,0)&amp;IF(AND((B9-1+C9+D9)&lt;9,OR((C9)=0,(MAX((B9-1)-1,0)+MAX((C9)-1,0)+MAX((D9)-1,0))&lt;6)),1,0)&amp;IF(AND((B9-1+C9+D9)&lt;9,OR((B9-1)=0,(MAX((B9-1)-1,0)+MAX((C9)-1,0)+MAX((D9)-1,0))&lt;6)),1,0))</x:f>
        <x:v>不可回收</x:v>
      </x:c>
      <x:c r="K9" s="22" t="str">
        <x:f>IF(C9=0,"不可回收",IF(AND((B9+C9-1+D9)&lt;9,OR((D9)=0,(MAX((B9)-1,0)+MAX((C9-1)-1,0)+MAX((D9)-1,0))&lt;6)),1,0)&amp;IF(AND((B9+C9-1+D9)&lt;9,OR((C9-1)=0,(MAX((B9)-1,0)+MAX((C9-1)-1,0)+MAX((D9)-1,0))&lt;6)),1,0)&amp;IF(AND((B9+C9-1+D9)&lt;9,OR((B9)=0,(MAX((B9)-1,0)+MAX((C9-1)-1,0)+MAX((D9)-1,0))&lt;6)),1,0))</x:f>
        <x:v>不可回收</x:v>
      </x:c>
      <x:c r="L9" s="22" t="str">
        <x:f>IF(D9=0,"不可回收",IF(AND((B9+C9+D9-1)&lt;9,OR((D9-1)=0,(MAX((B9)-1,0)+MAX((C9)-1,0)+MAX((D9-1)-1,0))&lt;6)),1,0)&amp;IF(AND((B9+C9+D9-1)&lt;9,OR((C9)=0,(MAX((B9)-1,0)+MAX((C9)-1,0)+MAX((D9-1)-1,0))&lt;6)),1,0)&amp;IF(AND((B9+C9+D9-1)&lt;9,OR((B9)=0,(MAX((B9)-1,0)+MAX((C9)-1,0)+MAX((D9-1)-1,0))&lt;6)),1,0))</x:f>
        <x:v>111</x:v>
      </x:c>
      <x:c r="M9" s="18" t="n">
        <x:f>1+F9</x:f>
        <x:v>2</x:v>
      </x:c>
      <x:c r="N9" s="18" t="n">
        <x:f>COUNTIF('容量转换'!$B$8:$B$2447,A9)</x:f>
        <x:v>8</x:v>
      </x:c>
      <x:c r="O9" s="21" t="str">
        <x:f>IF(AND(MIN(B9:D9)&gt;=0,MAX(B9:D9)&lt;=7,H9&lt;=9),"合法","不合法")</x:f>
        <x:v>合法</x:v>
      </x:c>
    </x:row>
    <x:row r="10" ht="23" customHeight="1">
      <x:c r="A10" s="3" t="str">
        <x:v>ST-003</x:v>
      </x:c>
      <x:c r="B10" s="19" t="n">
        <x:v>0</x:v>
      </x:c>
      <x:c r="C10" s="19" t="n">
        <x:v>1</x:v>
      </x:c>
      <x:c r="D10" s="19" t="n">
        <x:v>0</x:v>
      </x:c>
      <x:c r="E10" s="20" t="n">
        <x:f>SUM(B10:D10)</x:f>
        <x:v>1</x:v>
      </x:c>
      <x:c r="F10" s="20" t="n">
        <x:f>COUNTIF(B10:D10,"&gt;0")</x:f>
        <x:v>1</x:v>
      </x:c>
      <x:c r="G10" s="20" t="n">
        <x:f>MAX(B10-1,0)+MAX(C10-1,0)+MAX(D10-1,0)</x:f>
        <x:v>0</x:v>
      </x:c>
      <x:c r="H10" s="20" t="n">
        <x:f>MAX(B10,1)+MAX(C10,1)+MAX(D10,1)</x:f>
        <x:v>3</x:v>
      </x:c>
      <x:c r="I10" s="22" t="str">
        <x:f>IF(AND((B10+C10+D10)&lt;9,OR((D10)=0,(MAX((B10)-1,0)+MAX((C10)-1,0)+MAX((D10)-1,0))&lt;6)),1,0)&amp;IF(AND((B10+C10+D10)&lt;9,OR((C10)=0,(MAX((B10)-1,0)+MAX((C10)-1,0)+MAX((D10)-1,0))&lt;6)),1,0)&amp;IF(AND((B10+C10+D10)&lt;9,OR((B10)=0,(MAX((B10)-1,0)+MAX((C10)-1,0)+MAX((D10)-1,0))&lt;6)),1,0)</x:f>
        <x:v>111</x:v>
      </x:c>
      <x:c r="J10" s="22" t="str">
        <x:f>IF(B10=0,"不可回收",IF(AND((B10-1+C10+D10)&lt;9,OR((D10)=0,(MAX((B10-1)-1,0)+MAX((C10)-1,0)+MAX((D10)-1,0))&lt;6)),1,0)&amp;IF(AND((B10-1+C10+D10)&lt;9,OR((C10)=0,(MAX((B10-1)-1,0)+MAX((C10)-1,0)+MAX((D10)-1,0))&lt;6)),1,0)&amp;IF(AND((B10-1+C10+D10)&lt;9,OR((B10-1)=0,(MAX((B10-1)-1,0)+MAX((C10)-1,0)+MAX((D10)-1,0))&lt;6)),1,0))</x:f>
        <x:v>不可回收</x:v>
      </x:c>
      <x:c r="K10" s="22" t="str">
        <x:f>IF(C10=0,"不可回收",IF(AND((B10+C10-1+D10)&lt;9,OR((D10)=0,(MAX((B10)-1,0)+MAX((C10-1)-1,0)+MAX((D10)-1,0))&lt;6)),1,0)&amp;IF(AND((B10+C10-1+D10)&lt;9,OR((C10-1)=0,(MAX((B10)-1,0)+MAX((C10-1)-1,0)+MAX((D10)-1,0))&lt;6)),1,0)&amp;IF(AND((B10+C10-1+D10)&lt;9,OR((B10)=0,(MAX((B10)-1,0)+MAX((C10-1)-1,0)+MAX((D10)-1,0))&lt;6)),1,0))</x:f>
        <x:v>111</x:v>
      </x:c>
      <x:c r="L10" s="22" t="str">
        <x:f>IF(D10=0,"不可回收",IF(AND((B10+C10+D10-1)&lt;9,OR((D10-1)=0,(MAX((B10)-1,0)+MAX((C10)-1,0)+MAX((D10-1)-1,0))&lt;6)),1,0)&amp;IF(AND((B10+C10+D10-1)&lt;9,OR((C10)=0,(MAX((B10)-1,0)+MAX((C10)-1,0)+MAX((D10-1)-1,0))&lt;6)),1,0)&amp;IF(AND((B10+C10+D10-1)&lt;9,OR((B10)=0,(MAX((B10)-1,0)+MAX((C10)-1,0)+MAX((D10-1)-1,0))&lt;6)),1,0))</x:f>
        <x:v>不可回收</x:v>
      </x:c>
      <x:c r="M10" s="18" t="n">
        <x:f>1+F10</x:f>
        <x:v>2</x:v>
      </x:c>
      <x:c r="N10" s="18" t="n">
        <x:f>COUNTIF('容量转换'!$B$8:$B$2447,A10)</x:f>
        <x:v>8</x:v>
      </x:c>
      <x:c r="O10" s="21" t="str">
        <x:f>IF(AND(MIN(B10:D10)&gt;=0,MAX(B10:D10)&lt;=7,H10&lt;=9),"合法","不合法")</x:f>
        <x:v>合法</x:v>
      </x:c>
    </x:row>
    <x:row r="11" ht="23" customHeight="1">
      <x:c r="A11" s="3" t="str">
        <x:v>ST-004</x:v>
      </x:c>
      <x:c r="B11" s="19" t="n">
        <x:v>1</x:v>
      </x:c>
      <x:c r="C11" s="19" t="n">
        <x:v>0</x:v>
      </x:c>
      <x:c r="D11" s="19" t="n">
        <x:v>0</x:v>
      </x:c>
      <x:c r="E11" s="20" t="n">
        <x:f>SUM(B11:D11)</x:f>
        <x:v>1</x:v>
      </x:c>
      <x:c r="F11" s="20" t="n">
        <x:f>COUNTIF(B11:D11,"&gt;0")</x:f>
        <x:v>1</x:v>
      </x:c>
      <x:c r="G11" s="20" t="n">
        <x:f>MAX(B11-1,0)+MAX(C11-1,0)+MAX(D11-1,0)</x:f>
        <x:v>0</x:v>
      </x:c>
      <x:c r="H11" s="20" t="n">
        <x:f>MAX(B11,1)+MAX(C11,1)+MAX(D11,1)</x:f>
        <x:v>3</x:v>
      </x:c>
      <x:c r="I11" s="22" t="str">
        <x:f>IF(AND((B11+C11+D11)&lt;9,OR((D11)=0,(MAX((B11)-1,0)+MAX((C11)-1,0)+MAX((D11)-1,0))&lt;6)),1,0)&amp;IF(AND((B11+C11+D11)&lt;9,OR((C11)=0,(MAX((B11)-1,0)+MAX((C11)-1,0)+MAX((D11)-1,0))&lt;6)),1,0)&amp;IF(AND((B11+C11+D11)&lt;9,OR((B11)=0,(MAX((B11)-1,0)+MAX((C11)-1,0)+MAX((D11)-1,0))&lt;6)),1,0)</x:f>
        <x:v>111</x:v>
      </x:c>
      <x:c r="J11" s="22" t="str">
        <x:f>IF(B11=0,"不可回收",IF(AND((B11-1+C11+D11)&lt;9,OR((D11)=0,(MAX((B11-1)-1,0)+MAX((C11)-1,0)+MAX((D11)-1,0))&lt;6)),1,0)&amp;IF(AND((B11-1+C11+D11)&lt;9,OR((C11)=0,(MAX((B11-1)-1,0)+MAX((C11)-1,0)+MAX((D11)-1,0))&lt;6)),1,0)&amp;IF(AND((B11-1+C11+D11)&lt;9,OR((B11-1)=0,(MAX((B11-1)-1,0)+MAX((C11)-1,0)+MAX((D11)-1,0))&lt;6)),1,0))</x:f>
        <x:v>111</x:v>
      </x:c>
      <x:c r="K11" s="22" t="str">
        <x:f>IF(C11=0,"不可回收",IF(AND((B11+C11-1+D11)&lt;9,OR((D11)=0,(MAX((B11)-1,0)+MAX((C11-1)-1,0)+MAX((D11)-1,0))&lt;6)),1,0)&amp;IF(AND((B11+C11-1+D11)&lt;9,OR((C11-1)=0,(MAX((B11)-1,0)+MAX((C11-1)-1,0)+MAX((D11)-1,0))&lt;6)),1,0)&amp;IF(AND((B11+C11-1+D11)&lt;9,OR((B11)=0,(MAX((B11)-1,0)+MAX((C11-1)-1,0)+MAX((D11)-1,0))&lt;6)),1,0))</x:f>
        <x:v>不可回收</x:v>
      </x:c>
      <x:c r="L11" s="22" t="str">
        <x:f>IF(D11=0,"不可回收",IF(AND((B11+C11+D11-1)&lt;9,OR((D11-1)=0,(MAX((B11)-1,0)+MAX((C11)-1,0)+MAX((D11-1)-1,0))&lt;6)),1,0)&amp;IF(AND((B11+C11+D11-1)&lt;9,OR((C11)=0,(MAX((B11)-1,0)+MAX((C11)-1,0)+MAX((D11-1)-1,0))&lt;6)),1,0)&amp;IF(AND((B11+C11+D11-1)&lt;9,OR((B11)=0,(MAX((B11)-1,0)+MAX((C11)-1,0)+MAX((D11-1)-1,0))&lt;6)),1,0))</x:f>
        <x:v>不可回收</x:v>
      </x:c>
      <x:c r="M11" s="18" t="n">
        <x:f>1+F11</x:f>
        <x:v>2</x:v>
      </x:c>
      <x:c r="N11" s="18" t="n">
        <x:f>COUNTIF('容量转换'!$B$8:$B$2447,A11)</x:f>
        <x:v>8</x:v>
      </x:c>
      <x:c r="O11" s="21" t="str">
        <x:f>IF(AND(MIN(B11:D11)&gt;=0,MAX(B11:D11)&lt;=7,H11&lt;=9),"合法","不合法")</x:f>
        <x:v>合法</x:v>
      </x:c>
    </x:row>
    <x:row r="12" ht="23" customHeight="1">
      <x:c r="A12" s="3" t="str">
        <x:v>ST-005</x:v>
      </x:c>
      <x:c r="B12" s="19" t="n">
        <x:v>0</x:v>
      </x:c>
      <x:c r="C12" s="19" t="n">
        <x:v>0</x:v>
      </x:c>
      <x:c r="D12" s="19" t="n">
        <x:v>2</x:v>
      </x:c>
      <x:c r="E12" s="20" t="n">
        <x:f>SUM(B12:D12)</x:f>
        <x:v>2</x:v>
      </x:c>
      <x:c r="F12" s="20" t="n">
        <x:f>COUNTIF(B12:D12,"&gt;0")</x:f>
        <x:v>1</x:v>
      </x:c>
      <x:c r="G12" s="20" t="n">
        <x:f>MAX(B12-1,0)+MAX(C12-1,0)+MAX(D12-1,0)</x:f>
        <x:v>1</x:v>
      </x:c>
      <x:c r="H12" s="20" t="n">
        <x:f>MAX(B12,1)+MAX(C12,1)+MAX(D12,1)</x:f>
        <x:v>4</x:v>
      </x:c>
      <x:c r="I12" s="22" t="str">
        <x:f>IF(AND((B12+C12+D12)&lt;9,OR((D12)=0,(MAX((B12)-1,0)+MAX((C12)-1,0)+MAX((D12)-1,0))&lt;6)),1,0)&amp;IF(AND((B12+C12+D12)&lt;9,OR((C12)=0,(MAX((B12)-1,0)+MAX((C12)-1,0)+MAX((D12)-1,0))&lt;6)),1,0)&amp;IF(AND((B12+C12+D12)&lt;9,OR((B12)=0,(MAX((B12)-1,0)+MAX((C12)-1,0)+MAX((D12)-1,0))&lt;6)),1,0)</x:f>
        <x:v>111</x:v>
      </x:c>
      <x:c r="J12" s="22" t="str">
        <x:f>IF(B12=0,"不可回收",IF(AND((B12-1+C12+D12)&lt;9,OR((D12)=0,(MAX((B12-1)-1,0)+MAX((C12)-1,0)+MAX((D12)-1,0))&lt;6)),1,0)&amp;IF(AND((B12-1+C12+D12)&lt;9,OR((C12)=0,(MAX((B12-1)-1,0)+MAX((C12)-1,0)+MAX((D12)-1,0))&lt;6)),1,0)&amp;IF(AND((B12-1+C12+D12)&lt;9,OR((B12-1)=0,(MAX((B12-1)-1,0)+MAX((C12)-1,0)+MAX((D12)-1,0))&lt;6)),1,0))</x:f>
        <x:v>不可回收</x:v>
      </x:c>
      <x:c r="K12" s="22" t="str">
        <x:f>IF(C12=0,"不可回收",IF(AND((B12+C12-1+D12)&lt;9,OR((D12)=0,(MAX((B12)-1,0)+MAX((C12-1)-1,0)+MAX((D12)-1,0))&lt;6)),1,0)&amp;IF(AND((B12+C12-1+D12)&lt;9,OR((C12-1)=0,(MAX((B12)-1,0)+MAX((C12-1)-1,0)+MAX((D12)-1,0))&lt;6)),1,0)&amp;IF(AND((B12+C12-1+D12)&lt;9,OR((B12)=0,(MAX((B12)-1,0)+MAX((C12-1)-1,0)+MAX((D12)-1,0))&lt;6)),1,0))</x:f>
        <x:v>不可回收</x:v>
      </x:c>
      <x:c r="L12" s="22" t="str">
        <x:f>IF(D12=0,"不可回收",IF(AND((B12+C12+D12-1)&lt;9,OR((D12-1)=0,(MAX((B12)-1,0)+MAX((C12)-1,0)+MAX((D12-1)-1,0))&lt;6)),1,0)&amp;IF(AND((B12+C12+D12-1)&lt;9,OR((C12)=0,(MAX((B12)-1,0)+MAX((C12)-1,0)+MAX((D12-1)-1,0))&lt;6)),1,0)&amp;IF(AND((B12+C12+D12-1)&lt;9,OR((B12)=0,(MAX((B12)-1,0)+MAX((C12)-1,0)+MAX((D12-1)-1,0))&lt;6)),1,0))</x:f>
        <x:v>111</x:v>
      </x:c>
      <x:c r="M12" s="18" t="n">
        <x:f>1+F12</x:f>
        <x:v>2</x:v>
      </x:c>
      <x:c r="N12" s="18" t="n">
        <x:f>COUNTIF('容量转换'!$B$8:$B$2447,A12)</x:f>
        <x:v>8</x:v>
      </x:c>
      <x:c r="O12" s="21" t="str">
        <x:f>IF(AND(MIN(B12:D12)&gt;=0,MAX(B12:D12)&lt;=7,H12&lt;=9),"合法","不合法")</x:f>
        <x:v>合法</x:v>
      </x:c>
    </x:row>
    <x:row r="13" ht="23" customHeight="1">
      <x:c r="A13" s="3" t="str">
        <x:v>ST-006</x:v>
      </x:c>
      <x:c r="B13" s="19" t="n">
        <x:v>0</x:v>
      </x:c>
      <x:c r="C13" s="19" t="n">
        <x:v>1</x:v>
      </x:c>
      <x:c r="D13" s="19" t="n">
        <x:v>1</x:v>
      </x:c>
      <x:c r="E13" s="20" t="n">
        <x:f>SUM(B13:D13)</x:f>
        <x:v>2</x:v>
      </x:c>
      <x:c r="F13" s="20" t="n">
        <x:f>COUNTIF(B13:D13,"&gt;0")</x:f>
        <x:v>2</x:v>
      </x:c>
      <x:c r="G13" s="20" t="n">
        <x:f>MAX(B13-1,0)+MAX(C13-1,0)+MAX(D13-1,0)</x:f>
        <x:v>0</x:v>
      </x:c>
      <x:c r="H13" s="20" t="n">
        <x:f>MAX(B13,1)+MAX(C13,1)+MAX(D13,1)</x:f>
        <x:v>3</x:v>
      </x:c>
      <x:c r="I13" s="22" t="str">
        <x:f>IF(AND((B13+C13+D13)&lt;9,OR((D13)=0,(MAX((B13)-1,0)+MAX((C13)-1,0)+MAX((D13)-1,0))&lt;6)),1,0)&amp;IF(AND((B13+C13+D13)&lt;9,OR((C13)=0,(MAX((B13)-1,0)+MAX((C13)-1,0)+MAX((D13)-1,0))&lt;6)),1,0)&amp;IF(AND((B13+C13+D13)&lt;9,OR((B13)=0,(MAX((B13)-1,0)+MAX((C13)-1,0)+MAX((D13)-1,0))&lt;6)),1,0)</x:f>
        <x:v>111</x:v>
      </x:c>
      <x:c r="J13" s="22" t="str">
        <x:f>IF(B13=0,"不可回收",IF(AND((B13-1+C13+D13)&lt;9,OR((D13)=0,(MAX((B13-1)-1,0)+MAX((C13)-1,0)+MAX((D13)-1,0))&lt;6)),1,0)&amp;IF(AND((B13-1+C13+D13)&lt;9,OR((C13)=0,(MAX((B13-1)-1,0)+MAX((C13)-1,0)+MAX((D13)-1,0))&lt;6)),1,0)&amp;IF(AND((B13-1+C13+D13)&lt;9,OR((B13-1)=0,(MAX((B13-1)-1,0)+MAX((C13)-1,0)+MAX((D13)-1,0))&lt;6)),1,0))</x:f>
        <x:v>不可回收</x:v>
      </x:c>
      <x:c r="K13" s="22" t="str">
        <x:f>IF(C13=0,"不可回收",IF(AND((B13+C13-1+D13)&lt;9,OR((D13)=0,(MAX((B13)-1,0)+MAX((C13-1)-1,0)+MAX((D13)-1,0))&lt;6)),1,0)&amp;IF(AND((B13+C13-1+D13)&lt;9,OR((C13-1)=0,(MAX((B13)-1,0)+MAX((C13-1)-1,0)+MAX((D13)-1,0))&lt;6)),1,0)&amp;IF(AND((B13+C13-1+D13)&lt;9,OR((B13)=0,(MAX((B13)-1,0)+MAX((C13-1)-1,0)+MAX((D13)-1,0))&lt;6)),1,0))</x:f>
        <x:v>111</x:v>
      </x:c>
      <x:c r="L13" s="22" t="str">
        <x:f>IF(D13=0,"不可回收",IF(AND((B13+C13+D13-1)&lt;9,OR((D13-1)=0,(MAX((B13)-1,0)+MAX((C13)-1,0)+MAX((D13-1)-1,0))&lt;6)),1,0)&amp;IF(AND((B13+C13+D13-1)&lt;9,OR((C13)=0,(MAX((B13)-1,0)+MAX((C13)-1,0)+MAX((D13-1)-1,0))&lt;6)),1,0)&amp;IF(AND((B13+C13+D13-1)&lt;9,OR((B13)=0,(MAX((B13)-1,0)+MAX((C13)-1,0)+MAX((D13-1)-1,0))&lt;6)),1,0))</x:f>
        <x:v>111</x:v>
      </x:c>
      <x:c r="M13" s="18" t="n">
        <x:f>1+F13</x:f>
        <x:v>3</x:v>
      </x:c>
      <x:c r="N13" s="18" t="n">
        <x:f>COUNTIF('容量转换'!$B$8:$B$2447,A13)</x:f>
        <x:v>12</x:v>
      </x:c>
      <x:c r="O13" s="21" t="str">
        <x:f>IF(AND(MIN(B13:D13)&gt;=0,MAX(B13:D13)&lt;=7,H13&lt;=9),"合法","不合法")</x:f>
        <x:v>合法</x:v>
      </x:c>
    </x:row>
    <x:row r="14" ht="23" customHeight="1">
      <x:c r="A14" s="3" t="str">
        <x:v>ST-007</x:v>
      </x:c>
      <x:c r="B14" s="19" t="n">
        <x:v>0</x:v>
      </x:c>
      <x:c r="C14" s="19" t="n">
        <x:v>2</x:v>
      </x:c>
      <x:c r="D14" s="19" t="n">
        <x:v>0</x:v>
      </x:c>
      <x:c r="E14" s="20" t="n">
        <x:f>SUM(B14:D14)</x:f>
        <x:v>2</x:v>
      </x:c>
      <x:c r="F14" s="20" t="n">
        <x:f>COUNTIF(B14:D14,"&gt;0")</x:f>
        <x:v>1</x:v>
      </x:c>
      <x:c r="G14" s="20" t="n">
        <x:f>MAX(B14-1,0)+MAX(C14-1,0)+MAX(D14-1,0)</x:f>
        <x:v>1</x:v>
      </x:c>
      <x:c r="H14" s="20" t="n">
        <x:f>MAX(B14,1)+MAX(C14,1)+MAX(D14,1)</x:f>
        <x:v>4</x:v>
      </x:c>
      <x:c r="I14" s="22" t="str">
        <x:f>IF(AND((B14+C14+D14)&lt;9,OR((D14)=0,(MAX((B14)-1,0)+MAX((C14)-1,0)+MAX((D14)-1,0))&lt;6)),1,0)&amp;IF(AND((B14+C14+D14)&lt;9,OR((C14)=0,(MAX((B14)-1,0)+MAX((C14)-1,0)+MAX((D14)-1,0))&lt;6)),1,0)&amp;IF(AND((B14+C14+D14)&lt;9,OR((B14)=0,(MAX((B14)-1,0)+MAX((C14)-1,0)+MAX((D14)-1,0))&lt;6)),1,0)</x:f>
        <x:v>111</x:v>
      </x:c>
      <x:c r="J14" s="22" t="str">
        <x:f>IF(B14=0,"不可回收",IF(AND((B14-1+C14+D14)&lt;9,OR((D14)=0,(MAX((B14-1)-1,0)+MAX((C14)-1,0)+MAX((D14)-1,0))&lt;6)),1,0)&amp;IF(AND((B14-1+C14+D14)&lt;9,OR((C14)=0,(MAX((B14-1)-1,0)+MAX((C14)-1,0)+MAX((D14)-1,0))&lt;6)),1,0)&amp;IF(AND((B14-1+C14+D14)&lt;9,OR((B14-1)=0,(MAX((B14-1)-1,0)+MAX((C14)-1,0)+MAX((D14)-1,0))&lt;6)),1,0))</x:f>
        <x:v>不可回收</x:v>
      </x:c>
      <x:c r="K14" s="22" t="str">
        <x:f>IF(C14=0,"不可回收",IF(AND((B14+C14-1+D14)&lt;9,OR((D14)=0,(MAX((B14)-1,0)+MAX((C14-1)-1,0)+MAX((D14)-1,0))&lt;6)),1,0)&amp;IF(AND((B14+C14-1+D14)&lt;9,OR((C14-1)=0,(MAX((B14)-1,0)+MAX((C14-1)-1,0)+MAX((D14)-1,0))&lt;6)),1,0)&amp;IF(AND((B14+C14-1+D14)&lt;9,OR((B14)=0,(MAX((B14)-1,0)+MAX((C14-1)-1,0)+MAX((D14)-1,0))&lt;6)),1,0))</x:f>
        <x:v>111</x:v>
      </x:c>
      <x:c r="L14" s="22" t="str">
        <x:f>IF(D14=0,"不可回收",IF(AND((B14+C14+D14-1)&lt;9,OR((D14-1)=0,(MAX((B14)-1,0)+MAX((C14)-1,0)+MAX((D14-1)-1,0))&lt;6)),1,0)&amp;IF(AND((B14+C14+D14-1)&lt;9,OR((C14)=0,(MAX((B14)-1,0)+MAX((C14)-1,0)+MAX((D14-1)-1,0))&lt;6)),1,0)&amp;IF(AND((B14+C14+D14-1)&lt;9,OR((B14)=0,(MAX((B14)-1,0)+MAX((C14)-1,0)+MAX((D14-1)-1,0))&lt;6)),1,0))</x:f>
        <x:v>不可回收</x:v>
      </x:c>
      <x:c r="M14" s="18" t="n">
        <x:f>1+F14</x:f>
        <x:v>2</x:v>
      </x:c>
      <x:c r="N14" s="18" t="n">
        <x:f>COUNTIF('容量转换'!$B$8:$B$2447,A14)</x:f>
        <x:v>8</x:v>
      </x:c>
      <x:c r="O14" s="21" t="str">
        <x:f>IF(AND(MIN(B14:D14)&gt;=0,MAX(B14:D14)&lt;=7,H14&lt;=9),"合法","不合法")</x:f>
        <x:v>合法</x:v>
      </x:c>
    </x:row>
    <x:row r="15" ht="23" customHeight="1">
      <x:c r="A15" s="3" t="str">
        <x:v>ST-008</x:v>
      </x:c>
      <x:c r="B15" s="19" t="n">
        <x:v>1</x:v>
      </x:c>
      <x:c r="C15" s="19" t="n">
        <x:v>0</x:v>
      </x:c>
      <x:c r="D15" s="19" t="n">
        <x:v>1</x:v>
      </x:c>
      <x:c r="E15" s="20" t="n">
        <x:f>SUM(B15:D15)</x:f>
        <x:v>2</x:v>
      </x:c>
      <x:c r="F15" s="20" t="n">
        <x:f>COUNTIF(B15:D15,"&gt;0")</x:f>
        <x:v>2</x:v>
      </x:c>
      <x:c r="G15" s="20" t="n">
        <x:f>MAX(B15-1,0)+MAX(C15-1,0)+MAX(D15-1,0)</x:f>
        <x:v>0</x:v>
      </x:c>
      <x:c r="H15" s="20" t="n">
        <x:f>MAX(B15,1)+MAX(C15,1)+MAX(D15,1)</x:f>
        <x:v>3</x:v>
      </x:c>
      <x:c r="I15" s="22" t="str">
        <x:f>IF(AND((B15+C15+D15)&lt;9,OR((D15)=0,(MAX((B15)-1,0)+MAX((C15)-1,0)+MAX((D15)-1,0))&lt;6)),1,0)&amp;IF(AND((B15+C15+D15)&lt;9,OR((C15)=0,(MAX((B15)-1,0)+MAX((C15)-1,0)+MAX((D15)-1,0))&lt;6)),1,0)&amp;IF(AND((B15+C15+D15)&lt;9,OR((B15)=0,(MAX((B15)-1,0)+MAX((C15)-1,0)+MAX((D15)-1,0))&lt;6)),1,0)</x:f>
        <x:v>111</x:v>
      </x:c>
      <x:c r="J15" s="22" t="str">
        <x:f>IF(B15=0,"不可回收",IF(AND((B15-1+C15+D15)&lt;9,OR((D15)=0,(MAX((B15-1)-1,0)+MAX((C15)-1,0)+MAX((D15)-1,0))&lt;6)),1,0)&amp;IF(AND((B15-1+C15+D15)&lt;9,OR((C15)=0,(MAX((B15-1)-1,0)+MAX((C15)-1,0)+MAX((D15)-1,0))&lt;6)),1,0)&amp;IF(AND((B15-1+C15+D15)&lt;9,OR((B15-1)=0,(MAX((B15-1)-1,0)+MAX((C15)-1,0)+MAX((D15)-1,0))&lt;6)),1,0))</x:f>
        <x:v>111</x:v>
      </x:c>
      <x:c r="K15" s="22" t="str">
        <x:f>IF(C15=0,"不可回收",IF(AND((B15+C15-1+D15)&lt;9,OR((D15)=0,(MAX((B15)-1,0)+MAX((C15-1)-1,0)+MAX((D15)-1,0))&lt;6)),1,0)&amp;IF(AND((B15+C15-1+D15)&lt;9,OR((C15-1)=0,(MAX((B15)-1,0)+MAX((C15-1)-1,0)+MAX((D15)-1,0))&lt;6)),1,0)&amp;IF(AND((B15+C15-1+D15)&lt;9,OR((B15)=0,(MAX((B15)-1,0)+MAX((C15-1)-1,0)+MAX((D15)-1,0))&lt;6)),1,0))</x:f>
        <x:v>不可回收</x:v>
      </x:c>
      <x:c r="L15" s="22" t="str">
        <x:f>IF(D15=0,"不可回收",IF(AND((B15+C15+D15-1)&lt;9,OR((D15-1)=0,(MAX((B15)-1,0)+MAX((C15)-1,0)+MAX((D15-1)-1,0))&lt;6)),1,0)&amp;IF(AND((B15+C15+D15-1)&lt;9,OR((C15)=0,(MAX((B15)-1,0)+MAX((C15)-1,0)+MAX((D15-1)-1,0))&lt;6)),1,0)&amp;IF(AND((B15+C15+D15-1)&lt;9,OR((B15)=0,(MAX((B15)-1,0)+MAX((C15)-1,0)+MAX((D15-1)-1,0))&lt;6)),1,0))</x:f>
        <x:v>111</x:v>
      </x:c>
      <x:c r="M15" s="18" t="n">
        <x:f>1+F15</x:f>
        <x:v>3</x:v>
      </x:c>
      <x:c r="N15" s="18" t="n">
        <x:f>COUNTIF('容量转换'!$B$8:$B$2447,A15)</x:f>
        <x:v>12</x:v>
      </x:c>
      <x:c r="O15" s="21" t="str">
        <x:f>IF(AND(MIN(B15:D15)&gt;=0,MAX(B15:D15)&lt;=7,H15&lt;=9),"合法","不合法")</x:f>
        <x:v>合法</x:v>
      </x:c>
    </x:row>
    <x:row r="16" ht="23" customHeight="1">
      <x:c r="A16" s="3" t="str">
        <x:v>ST-009</x:v>
      </x:c>
      <x:c r="B16" s="19" t="n">
        <x:v>1</x:v>
      </x:c>
      <x:c r="C16" s="19" t="n">
        <x:v>1</x:v>
      </x:c>
      <x:c r="D16" s="19" t="n">
        <x:v>0</x:v>
      </x:c>
      <x:c r="E16" s="20" t="n">
        <x:f>SUM(B16:D16)</x:f>
        <x:v>2</x:v>
      </x:c>
      <x:c r="F16" s="20" t="n">
        <x:f>COUNTIF(B16:D16,"&gt;0")</x:f>
        <x:v>2</x:v>
      </x:c>
      <x:c r="G16" s="20" t="n">
        <x:f>MAX(B16-1,0)+MAX(C16-1,0)+MAX(D16-1,0)</x:f>
        <x:v>0</x:v>
      </x:c>
      <x:c r="H16" s="20" t="n">
        <x:f>MAX(B16,1)+MAX(C16,1)+MAX(D16,1)</x:f>
        <x:v>3</x:v>
      </x:c>
      <x:c r="I16" s="22" t="str">
        <x:f>IF(AND((B16+C16+D16)&lt;9,OR((D16)=0,(MAX((B16)-1,0)+MAX((C16)-1,0)+MAX((D16)-1,0))&lt;6)),1,0)&amp;IF(AND((B16+C16+D16)&lt;9,OR((C16)=0,(MAX((B16)-1,0)+MAX((C16)-1,0)+MAX((D16)-1,0))&lt;6)),1,0)&amp;IF(AND((B16+C16+D16)&lt;9,OR((B16)=0,(MAX((B16)-1,0)+MAX((C16)-1,0)+MAX((D16)-1,0))&lt;6)),1,0)</x:f>
        <x:v>111</x:v>
      </x:c>
      <x:c r="J16" s="22" t="str">
        <x:f>IF(B16=0,"不可回收",IF(AND((B16-1+C16+D16)&lt;9,OR((D16)=0,(MAX((B16-1)-1,0)+MAX((C16)-1,0)+MAX((D16)-1,0))&lt;6)),1,0)&amp;IF(AND((B16-1+C16+D16)&lt;9,OR((C16)=0,(MAX((B16-1)-1,0)+MAX((C16)-1,0)+MAX((D16)-1,0))&lt;6)),1,0)&amp;IF(AND((B16-1+C16+D16)&lt;9,OR((B16-1)=0,(MAX((B16-1)-1,0)+MAX((C16)-1,0)+MAX((D16)-1,0))&lt;6)),1,0))</x:f>
        <x:v>111</x:v>
      </x:c>
      <x:c r="K16" s="22" t="str">
        <x:f>IF(C16=0,"不可回收",IF(AND((B16+C16-1+D16)&lt;9,OR((D16)=0,(MAX((B16)-1,0)+MAX((C16-1)-1,0)+MAX((D16)-1,0))&lt;6)),1,0)&amp;IF(AND((B16+C16-1+D16)&lt;9,OR((C16-1)=0,(MAX((B16)-1,0)+MAX((C16-1)-1,0)+MAX((D16)-1,0))&lt;6)),1,0)&amp;IF(AND((B16+C16-1+D16)&lt;9,OR((B16)=0,(MAX((B16)-1,0)+MAX((C16-1)-1,0)+MAX((D16)-1,0))&lt;6)),1,0))</x:f>
        <x:v>111</x:v>
      </x:c>
      <x:c r="L16" s="22" t="str">
        <x:f>IF(D16=0,"不可回收",IF(AND((B16+C16+D16-1)&lt;9,OR((D16-1)=0,(MAX((B16)-1,0)+MAX((C16)-1,0)+MAX((D16-1)-1,0))&lt;6)),1,0)&amp;IF(AND((B16+C16+D16-1)&lt;9,OR((C16)=0,(MAX((B16)-1,0)+MAX((C16)-1,0)+MAX((D16-1)-1,0))&lt;6)),1,0)&amp;IF(AND((B16+C16+D16-1)&lt;9,OR((B16)=0,(MAX((B16)-1,0)+MAX((C16)-1,0)+MAX((D16-1)-1,0))&lt;6)),1,0))</x:f>
        <x:v>不可回收</x:v>
      </x:c>
      <x:c r="M16" s="18" t="n">
        <x:f>1+F16</x:f>
        <x:v>3</x:v>
      </x:c>
      <x:c r="N16" s="18" t="n">
        <x:f>COUNTIF('容量转换'!$B$8:$B$2447,A16)</x:f>
        <x:v>12</x:v>
      </x:c>
      <x:c r="O16" s="21" t="str">
        <x:f>IF(AND(MIN(B16:D16)&gt;=0,MAX(B16:D16)&lt;=7,H16&lt;=9),"合法","不合法")</x:f>
        <x:v>合法</x:v>
      </x:c>
    </x:row>
    <x:row r="17" ht="23" customHeight="1">
      <x:c r="A17" s="3" t="str">
        <x:v>ST-010</x:v>
      </x:c>
      <x:c r="B17" s="19" t="n">
        <x:v>2</x:v>
      </x:c>
      <x:c r="C17" s="19" t="n">
        <x:v>0</x:v>
      </x:c>
      <x:c r="D17" s="19" t="n">
        <x:v>0</x:v>
      </x:c>
      <x:c r="E17" s="20" t="n">
        <x:f>SUM(B17:D17)</x:f>
        <x:v>2</x:v>
      </x:c>
      <x:c r="F17" s="20" t="n">
        <x:f>COUNTIF(B17:D17,"&gt;0")</x:f>
        <x:v>1</x:v>
      </x:c>
      <x:c r="G17" s="20" t="n">
        <x:f>MAX(B17-1,0)+MAX(C17-1,0)+MAX(D17-1,0)</x:f>
        <x:v>1</x:v>
      </x:c>
      <x:c r="H17" s="20" t="n">
        <x:f>MAX(B17,1)+MAX(C17,1)+MAX(D17,1)</x:f>
        <x:v>4</x:v>
      </x:c>
      <x:c r="I17" s="22" t="str">
        <x:f>IF(AND((B17+C17+D17)&lt;9,OR((D17)=0,(MAX((B17)-1,0)+MAX((C17)-1,0)+MAX((D17)-1,0))&lt;6)),1,0)&amp;IF(AND((B17+C17+D17)&lt;9,OR((C17)=0,(MAX((B17)-1,0)+MAX((C17)-1,0)+MAX((D17)-1,0))&lt;6)),1,0)&amp;IF(AND((B17+C17+D17)&lt;9,OR((B17)=0,(MAX((B17)-1,0)+MAX((C17)-1,0)+MAX((D17)-1,0))&lt;6)),1,0)</x:f>
        <x:v>111</x:v>
      </x:c>
      <x:c r="J17" s="22" t="str">
        <x:f>IF(B17=0,"不可回收",IF(AND((B17-1+C17+D17)&lt;9,OR((D17)=0,(MAX((B17-1)-1,0)+MAX((C17)-1,0)+MAX((D17)-1,0))&lt;6)),1,0)&amp;IF(AND((B17-1+C17+D17)&lt;9,OR((C17)=0,(MAX((B17-1)-1,0)+MAX((C17)-1,0)+MAX((D17)-1,0))&lt;6)),1,0)&amp;IF(AND((B17-1+C17+D17)&lt;9,OR((B17-1)=0,(MAX((B17-1)-1,0)+MAX((C17)-1,0)+MAX((D17)-1,0))&lt;6)),1,0))</x:f>
        <x:v>111</x:v>
      </x:c>
      <x:c r="K17" s="22" t="str">
        <x:f>IF(C17=0,"不可回收",IF(AND((B17+C17-1+D17)&lt;9,OR((D17)=0,(MAX((B17)-1,0)+MAX((C17-1)-1,0)+MAX((D17)-1,0))&lt;6)),1,0)&amp;IF(AND((B17+C17-1+D17)&lt;9,OR((C17-1)=0,(MAX((B17)-1,0)+MAX((C17-1)-1,0)+MAX((D17)-1,0))&lt;6)),1,0)&amp;IF(AND((B17+C17-1+D17)&lt;9,OR((B17)=0,(MAX((B17)-1,0)+MAX((C17-1)-1,0)+MAX((D17)-1,0))&lt;6)),1,0))</x:f>
        <x:v>不可回收</x:v>
      </x:c>
      <x:c r="L17" s="22" t="str">
        <x:f>IF(D17=0,"不可回收",IF(AND((B17+C17+D17-1)&lt;9,OR((D17-1)=0,(MAX((B17)-1,0)+MAX((C17)-1,0)+MAX((D17-1)-1,0))&lt;6)),1,0)&amp;IF(AND((B17+C17+D17-1)&lt;9,OR((C17)=0,(MAX((B17)-1,0)+MAX((C17)-1,0)+MAX((D17-1)-1,0))&lt;6)),1,0)&amp;IF(AND((B17+C17+D17-1)&lt;9,OR((B17)=0,(MAX((B17)-1,0)+MAX((C17)-1,0)+MAX((D17-1)-1,0))&lt;6)),1,0))</x:f>
        <x:v>不可回收</x:v>
      </x:c>
      <x:c r="M17" s="18" t="n">
        <x:f>1+F17</x:f>
        <x:v>2</x:v>
      </x:c>
      <x:c r="N17" s="18" t="n">
        <x:f>COUNTIF('容量转换'!$B$8:$B$2447,A17)</x:f>
        <x:v>8</x:v>
      </x:c>
      <x:c r="O17" s="21" t="str">
        <x:f>IF(AND(MIN(B17:D17)&gt;=0,MAX(B17:D17)&lt;=7,H17&lt;=9),"合法","不合法")</x:f>
        <x:v>合法</x:v>
      </x:c>
    </x:row>
    <x:row r="18" ht="23" customHeight="1">
      <x:c r="A18" s="3" t="str">
        <x:v>ST-011</x:v>
      </x:c>
      <x:c r="B18" s="19" t="n">
        <x:v>0</x:v>
      </x:c>
      <x:c r="C18" s="19" t="n">
        <x:v>0</x:v>
      </x:c>
      <x:c r="D18" s="19" t="n">
        <x:v>3</x:v>
      </x:c>
      <x:c r="E18" s="20" t="n">
        <x:f>SUM(B18:D18)</x:f>
        <x:v>3</x:v>
      </x:c>
      <x:c r="F18" s="20" t="n">
        <x:f>COUNTIF(B18:D18,"&gt;0")</x:f>
        <x:v>1</x:v>
      </x:c>
      <x:c r="G18" s="20" t="n">
        <x:f>MAX(B18-1,0)+MAX(C18-1,0)+MAX(D18-1,0)</x:f>
        <x:v>2</x:v>
      </x:c>
      <x:c r="H18" s="20" t="n">
        <x:f>MAX(B18,1)+MAX(C18,1)+MAX(D18,1)</x:f>
        <x:v>5</x:v>
      </x:c>
      <x:c r="I18" s="22" t="str">
        <x:f>IF(AND((B18+C18+D18)&lt;9,OR((D18)=0,(MAX((B18)-1,0)+MAX((C18)-1,0)+MAX((D18)-1,0))&lt;6)),1,0)&amp;IF(AND((B18+C18+D18)&lt;9,OR((C18)=0,(MAX((B18)-1,0)+MAX((C18)-1,0)+MAX((D18)-1,0))&lt;6)),1,0)&amp;IF(AND((B18+C18+D18)&lt;9,OR((B18)=0,(MAX((B18)-1,0)+MAX((C18)-1,0)+MAX((D18)-1,0))&lt;6)),1,0)</x:f>
        <x:v>111</x:v>
      </x:c>
      <x:c r="J18" s="22" t="str">
        <x:f>IF(B18=0,"不可回收",IF(AND((B18-1+C18+D18)&lt;9,OR((D18)=0,(MAX((B18-1)-1,0)+MAX((C18)-1,0)+MAX((D18)-1,0))&lt;6)),1,0)&amp;IF(AND((B18-1+C18+D18)&lt;9,OR((C18)=0,(MAX((B18-1)-1,0)+MAX((C18)-1,0)+MAX((D18)-1,0))&lt;6)),1,0)&amp;IF(AND((B18-1+C18+D18)&lt;9,OR((B18-1)=0,(MAX((B18-1)-1,0)+MAX((C18)-1,0)+MAX((D18)-1,0))&lt;6)),1,0))</x:f>
        <x:v>不可回收</x:v>
      </x:c>
      <x:c r="K18" s="22" t="str">
        <x:f>IF(C18=0,"不可回收",IF(AND((B18+C18-1+D18)&lt;9,OR((D18)=0,(MAX((B18)-1,0)+MAX((C18-1)-1,0)+MAX((D18)-1,0))&lt;6)),1,0)&amp;IF(AND((B18+C18-1+D18)&lt;9,OR((C18-1)=0,(MAX((B18)-1,0)+MAX((C18-1)-1,0)+MAX((D18)-1,0))&lt;6)),1,0)&amp;IF(AND((B18+C18-1+D18)&lt;9,OR((B18)=0,(MAX((B18)-1,0)+MAX((C18-1)-1,0)+MAX((D18)-1,0))&lt;6)),1,0))</x:f>
        <x:v>不可回收</x:v>
      </x:c>
      <x:c r="L18" s="22" t="str">
        <x:f>IF(D18=0,"不可回收",IF(AND((B18+C18+D18-1)&lt;9,OR((D18-1)=0,(MAX((B18)-1,0)+MAX((C18)-1,0)+MAX((D18-1)-1,0))&lt;6)),1,0)&amp;IF(AND((B18+C18+D18-1)&lt;9,OR((C18)=0,(MAX((B18)-1,0)+MAX((C18)-1,0)+MAX((D18-1)-1,0))&lt;6)),1,0)&amp;IF(AND((B18+C18+D18-1)&lt;9,OR((B18)=0,(MAX((B18)-1,0)+MAX((C18)-1,0)+MAX((D18-1)-1,0))&lt;6)),1,0))</x:f>
        <x:v>111</x:v>
      </x:c>
      <x:c r="M18" s="18" t="n">
        <x:f>1+F18</x:f>
        <x:v>2</x:v>
      </x:c>
      <x:c r="N18" s="18" t="n">
        <x:f>COUNTIF('容量转换'!$B$8:$B$2447,A18)</x:f>
        <x:v>8</x:v>
      </x:c>
      <x:c r="O18" s="21" t="str">
        <x:f>IF(AND(MIN(B18:D18)&gt;=0,MAX(B18:D18)&lt;=7,H18&lt;=9),"合法","不合法")</x:f>
        <x:v>合法</x:v>
      </x:c>
    </x:row>
    <x:row r="19" ht="23" customHeight="1">
      <x:c r="A19" s="3" t="str">
        <x:v>ST-012</x:v>
      </x:c>
      <x:c r="B19" s="19" t="n">
        <x:v>0</x:v>
      </x:c>
      <x:c r="C19" s="19" t="n">
        <x:v>1</x:v>
      </x:c>
      <x:c r="D19" s="19" t="n">
        <x:v>2</x:v>
      </x:c>
      <x:c r="E19" s="20" t="n">
        <x:f>SUM(B19:D19)</x:f>
        <x:v>3</x:v>
      </x:c>
      <x:c r="F19" s="20" t="n">
        <x:f>COUNTIF(B19:D19,"&gt;0")</x:f>
        <x:v>2</x:v>
      </x:c>
      <x:c r="G19" s="20" t="n">
        <x:f>MAX(B19-1,0)+MAX(C19-1,0)+MAX(D19-1,0)</x:f>
        <x:v>1</x:v>
      </x:c>
      <x:c r="H19" s="20" t="n">
        <x:f>MAX(B19,1)+MAX(C19,1)+MAX(D19,1)</x:f>
        <x:v>4</x:v>
      </x:c>
      <x:c r="I19" s="22" t="str">
        <x:f>IF(AND((B19+C19+D19)&lt;9,OR((D19)=0,(MAX((B19)-1,0)+MAX((C19)-1,0)+MAX((D19)-1,0))&lt;6)),1,0)&amp;IF(AND((B19+C19+D19)&lt;9,OR((C19)=0,(MAX((B19)-1,0)+MAX((C19)-1,0)+MAX((D19)-1,0))&lt;6)),1,0)&amp;IF(AND((B19+C19+D19)&lt;9,OR((B19)=0,(MAX((B19)-1,0)+MAX((C19)-1,0)+MAX((D19)-1,0))&lt;6)),1,0)</x:f>
        <x:v>111</x:v>
      </x:c>
      <x:c r="J19" s="22" t="str">
        <x:f>IF(B19=0,"不可回收",IF(AND((B19-1+C19+D19)&lt;9,OR((D19)=0,(MAX((B19-1)-1,0)+MAX((C19)-1,0)+MAX((D19)-1,0))&lt;6)),1,0)&amp;IF(AND((B19-1+C19+D19)&lt;9,OR((C19)=0,(MAX((B19-1)-1,0)+MAX((C19)-1,0)+MAX((D19)-1,0))&lt;6)),1,0)&amp;IF(AND((B19-1+C19+D19)&lt;9,OR((B19-1)=0,(MAX((B19-1)-1,0)+MAX((C19)-1,0)+MAX((D19)-1,0))&lt;6)),1,0))</x:f>
        <x:v>不可回收</x:v>
      </x:c>
      <x:c r="K19" s="22" t="str">
        <x:f>IF(C19=0,"不可回收",IF(AND((B19+C19-1+D19)&lt;9,OR((D19)=0,(MAX((B19)-1,0)+MAX((C19-1)-1,0)+MAX((D19)-1,0))&lt;6)),1,0)&amp;IF(AND((B19+C19-1+D19)&lt;9,OR((C19-1)=0,(MAX((B19)-1,0)+MAX((C19-1)-1,0)+MAX((D19)-1,0))&lt;6)),1,0)&amp;IF(AND((B19+C19-1+D19)&lt;9,OR((B19)=0,(MAX((B19)-1,0)+MAX((C19-1)-1,0)+MAX((D19)-1,0))&lt;6)),1,0))</x:f>
        <x:v>111</x:v>
      </x:c>
      <x:c r="L19" s="22" t="str">
        <x:f>IF(D19=0,"不可回收",IF(AND((B19+C19+D19-1)&lt;9,OR((D19-1)=0,(MAX((B19)-1,0)+MAX((C19)-1,0)+MAX((D19-1)-1,0))&lt;6)),1,0)&amp;IF(AND((B19+C19+D19-1)&lt;9,OR((C19)=0,(MAX((B19)-1,0)+MAX((C19)-1,0)+MAX((D19-1)-1,0))&lt;6)),1,0)&amp;IF(AND((B19+C19+D19-1)&lt;9,OR((B19)=0,(MAX((B19)-1,0)+MAX((C19)-1,0)+MAX((D19-1)-1,0))&lt;6)),1,0))</x:f>
        <x:v>111</x:v>
      </x:c>
      <x:c r="M19" s="18" t="n">
        <x:f>1+F19</x:f>
        <x:v>3</x:v>
      </x:c>
      <x:c r="N19" s="18" t="n">
        <x:f>COUNTIF('容量转换'!$B$8:$B$2447,A19)</x:f>
        <x:v>12</x:v>
      </x:c>
      <x:c r="O19" s="21" t="str">
        <x:f>IF(AND(MIN(B19:D19)&gt;=0,MAX(B19:D19)&lt;=7,H19&lt;=9),"合法","不合法")</x:f>
        <x:v>合法</x:v>
      </x:c>
    </x:row>
    <x:row r="20" ht="23" customHeight="1">
      <x:c r="A20" s="3" t="str">
        <x:v>ST-013</x:v>
      </x:c>
      <x:c r="B20" s="19" t="n">
        <x:v>0</x:v>
      </x:c>
      <x:c r="C20" s="19" t="n">
        <x:v>2</x:v>
      </x:c>
      <x:c r="D20" s="19" t="n">
        <x:v>1</x:v>
      </x:c>
      <x:c r="E20" s="20" t="n">
        <x:f>SUM(B20:D20)</x:f>
        <x:v>3</x:v>
      </x:c>
      <x:c r="F20" s="20" t="n">
        <x:f>COUNTIF(B20:D20,"&gt;0")</x:f>
        <x:v>2</x:v>
      </x:c>
      <x:c r="G20" s="20" t="n">
        <x:f>MAX(B20-1,0)+MAX(C20-1,0)+MAX(D20-1,0)</x:f>
        <x:v>1</x:v>
      </x:c>
      <x:c r="H20" s="20" t="n">
        <x:f>MAX(B20,1)+MAX(C20,1)+MAX(D20,1)</x:f>
        <x:v>4</x:v>
      </x:c>
      <x:c r="I20" s="22" t="str">
        <x:f>IF(AND((B20+C20+D20)&lt;9,OR((D20)=0,(MAX((B20)-1,0)+MAX((C20)-1,0)+MAX((D20)-1,0))&lt;6)),1,0)&amp;IF(AND((B20+C20+D20)&lt;9,OR((C20)=0,(MAX((B20)-1,0)+MAX((C20)-1,0)+MAX((D20)-1,0))&lt;6)),1,0)&amp;IF(AND((B20+C20+D20)&lt;9,OR((B20)=0,(MAX((B20)-1,0)+MAX((C20)-1,0)+MAX((D20)-1,0))&lt;6)),1,0)</x:f>
        <x:v>111</x:v>
      </x:c>
      <x:c r="J20" s="22" t="str">
        <x:f>IF(B20=0,"不可回收",IF(AND((B20-1+C20+D20)&lt;9,OR((D20)=0,(MAX((B20-1)-1,0)+MAX((C20)-1,0)+MAX((D20)-1,0))&lt;6)),1,0)&amp;IF(AND((B20-1+C20+D20)&lt;9,OR((C20)=0,(MAX((B20-1)-1,0)+MAX((C20)-1,0)+MAX((D20)-1,0))&lt;6)),1,0)&amp;IF(AND((B20-1+C20+D20)&lt;9,OR((B20-1)=0,(MAX((B20-1)-1,0)+MAX((C20)-1,0)+MAX((D20)-1,0))&lt;6)),1,0))</x:f>
        <x:v>不可回收</x:v>
      </x:c>
      <x:c r="K20" s="22" t="str">
        <x:f>IF(C20=0,"不可回收",IF(AND((B20+C20-1+D20)&lt;9,OR((D20)=0,(MAX((B20)-1,0)+MAX((C20-1)-1,0)+MAX((D20)-1,0))&lt;6)),1,0)&amp;IF(AND((B20+C20-1+D20)&lt;9,OR((C20-1)=0,(MAX((B20)-1,0)+MAX((C20-1)-1,0)+MAX((D20)-1,0))&lt;6)),1,0)&amp;IF(AND((B20+C20-1+D20)&lt;9,OR((B20)=0,(MAX((B20)-1,0)+MAX((C20-1)-1,0)+MAX((D20)-1,0))&lt;6)),1,0))</x:f>
        <x:v>111</x:v>
      </x:c>
      <x:c r="L20" s="22" t="str">
        <x:f>IF(D20=0,"不可回收",IF(AND((B20+C20+D20-1)&lt;9,OR((D20-1)=0,(MAX((B20)-1,0)+MAX((C20)-1,0)+MAX((D20-1)-1,0))&lt;6)),1,0)&amp;IF(AND((B20+C20+D20-1)&lt;9,OR((C20)=0,(MAX((B20)-1,0)+MAX((C20)-1,0)+MAX((D20-1)-1,0))&lt;6)),1,0)&amp;IF(AND((B20+C20+D20-1)&lt;9,OR((B20)=0,(MAX((B20)-1,0)+MAX((C20)-1,0)+MAX((D20-1)-1,0))&lt;6)),1,0))</x:f>
        <x:v>111</x:v>
      </x:c>
      <x:c r="M20" s="18" t="n">
        <x:f>1+F20</x:f>
        <x:v>3</x:v>
      </x:c>
      <x:c r="N20" s="18" t="n">
        <x:f>COUNTIF('容量转换'!$B$8:$B$2447,A20)</x:f>
        <x:v>12</x:v>
      </x:c>
      <x:c r="O20" s="21" t="str">
        <x:f>IF(AND(MIN(B20:D20)&gt;=0,MAX(B20:D20)&lt;=7,H20&lt;=9),"合法","不合法")</x:f>
        <x:v>合法</x:v>
      </x:c>
    </x:row>
    <x:row r="21" ht="23" customHeight="1">
      <x:c r="A21" s="3" t="str">
        <x:v>ST-014</x:v>
      </x:c>
      <x:c r="B21" s="19" t="n">
        <x:v>0</x:v>
      </x:c>
      <x:c r="C21" s="19" t="n">
        <x:v>3</x:v>
      </x:c>
      <x:c r="D21" s="19" t="n">
        <x:v>0</x:v>
      </x:c>
      <x:c r="E21" s="20" t="n">
        <x:f>SUM(B21:D21)</x:f>
        <x:v>3</x:v>
      </x:c>
      <x:c r="F21" s="20" t="n">
        <x:f>COUNTIF(B21:D21,"&gt;0")</x:f>
        <x:v>1</x:v>
      </x:c>
      <x:c r="G21" s="20" t="n">
        <x:f>MAX(B21-1,0)+MAX(C21-1,0)+MAX(D21-1,0)</x:f>
        <x:v>2</x:v>
      </x:c>
      <x:c r="H21" s="20" t="n">
        <x:f>MAX(B21,1)+MAX(C21,1)+MAX(D21,1)</x:f>
        <x:v>5</x:v>
      </x:c>
      <x:c r="I21" s="22" t="str">
        <x:f>IF(AND((B21+C21+D21)&lt;9,OR((D21)=0,(MAX((B21)-1,0)+MAX((C21)-1,0)+MAX((D21)-1,0))&lt;6)),1,0)&amp;IF(AND((B21+C21+D21)&lt;9,OR((C21)=0,(MAX((B21)-1,0)+MAX((C21)-1,0)+MAX((D21)-1,0))&lt;6)),1,0)&amp;IF(AND((B21+C21+D21)&lt;9,OR((B21)=0,(MAX((B21)-1,0)+MAX((C21)-1,0)+MAX((D21)-1,0))&lt;6)),1,0)</x:f>
        <x:v>111</x:v>
      </x:c>
      <x:c r="J21" s="22" t="str">
        <x:f>IF(B21=0,"不可回收",IF(AND((B21-1+C21+D21)&lt;9,OR((D21)=0,(MAX((B21-1)-1,0)+MAX((C21)-1,0)+MAX((D21)-1,0))&lt;6)),1,0)&amp;IF(AND((B21-1+C21+D21)&lt;9,OR((C21)=0,(MAX((B21-1)-1,0)+MAX((C21)-1,0)+MAX((D21)-1,0))&lt;6)),1,0)&amp;IF(AND((B21-1+C21+D21)&lt;9,OR((B21-1)=0,(MAX((B21-1)-1,0)+MAX((C21)-1,0)+MAX((D21)-1,0))&lt;6)),1,0))</x:f>
        <x:v>不可回收</x:v>
      </x:c>
      <x:c r="K21" s="22" t="str">
        <x:f>IF(C21=0,"不可回收",IF(AND((B21+C21-1+D21)&lt;9,OR((D21)=0,(MAX((B21)-1,0)+MAX((C21-1)-1,0)+MAX((D21)-1,0))&lt;6)),1,0)&amp;IF(AND((B21+C21-1+D21)&lt;9,OR((C21-1)=0,(MAX((B21)-1,0)+MAX((C21-1)-1,0)+MAX((D21)-1,0))&lt;6)),1,0)&amp;IF(AND((B21+C21-1+D21)&lt;9,OR((B21)=0,(MAX((B21)-1,0)+MAX((C21-1)-1,0)+MAX((D21)-1,0))&lt;6)),1,0))</x:f>
        <x:v>111</x:v>
      </x:c>
      <x:c r="L21" s="22" t="str">
        <x:f>IF(D21=0,"不可回收",IF(AND((B21+C21+D21-1)&lt;9,OR((D21-1)=0,(MAX((B21)-1,0)+MAX((C21)-1,0)+MAX((D21-1)-1,0))&lt;6)),1,0)&amp;IF(AND((B21+C21+D21-1)&lt;9,OR((C21)=0,(MAX((B21)-1,0)+MAX((C21)-1,0)+MAX((D21-1)-1,0))&lt;6)),1,0)&amp;IF(AND((B21+C21+D21-1)&lt;9,OR((B21)=0,(MAX((B21)-1,0)+MAX((C21)-1,0)+MAX((D21-1)-1,0))&lt;6)),1,0))</x:f>
        <x:v>不可回收</x:v>
      </x:c>
      <x:c r="M21" s="18" t="n">
        <x:f>1+F21</x:f>
        <x:v>2</x:v>
      </x:c>
      <x:c r="N21" s="18" t="n">
        <x:f>COUNTIF('容量转换'!$B$8:$B$2447,A21)</x:f>
        <x:v>8</x:v>
      </x:c>
      <x:c r="O21" s="21" t="str">
        <x:f>IF(AND(MIN(B21:D21)&gt;=0,MAX(B21:D21)&lt;=7,H21&lt;=9),"合法","不合法")</x:f>
        <x:v>合法</x:v>
      </x:c>
    </x:row>
    <x:row r="22" ht="23" customHeight="1">
      <x:c r="A22" s="3" t="str">
        <x:v>ST-015</x:v>
      </x:c>
      <x:c r="B22" s="19" t="n">
        <x:v>1</x:v>
      </x:c>
      <x:c r="C22" s="19" t="n">
        <x:v>0</x:v>
      </x:c>
      <x:c r="D22" s="19" t="n">
        <x:v>2</x:v>
      </x:c>
      <x:c r="E22" s="20" t="n">
        <x:f>SUM(B22:D22)</x:f>
        <x:v>3</x:v>
      </x:c>
      <x:c r="F22" s="20" t="n">
        <x:f>COUNTIF(B22:D22,"&gt;0")</x:f>
        <x:v>2</x:v>
      </x:c>
      <x:c r="G22" s="20" t="n">
        <x:f>MAX(B22-1,0)+MAX(C22-1,0)+MAX(D22-1,0)</x:f>
        <x:v>1</x:v>
      </x:c>
      <x:c r="H22" s="20" t="n">
        <x:f>MAX(B22,1)+MAX(C22,1)+MAX(D22,1)</x:f>
        <x:v>4</x:v>
      </x:c>
      <x:c r="I22" s="22" t="str">
        <x:f>IF(AND((B22+C22+D22)&lt;9,OR((D22)=0,(MAX((B22)-1,0)+MAX((C22)-1,0)+MAX((D22)-1,0))&lt;6)),1,0)&amp;IF(AND((B22+C22+D22)&lt;9,OR((C22)=0,(MAX((B22)-1,0)+MAX((C22)-1,0)+MAX((D22)-1,0))&lt;6)),1,0)&amp;IF(AND((B22+C22+D22)&lt;9,OR((B22)=0,(MAX((B22)-1,0)+MAX((C22)-1,0)+MAX((D22)-1,0))&lt;6)),1,0)</x:f>
        <x:v>111</x:v>
      </x:c>
      <x:c r="J22" s="22" t="str">
        <x:f>IF(B22=0,"不可回收",IF(AND((B22-1+C22+D22)&lt;9,OR((D22)=0,(MAX((B22-1)-1,0)+MAX((C22)-1,0)+MAX((D22)-1,0))&lt;6)),1,0)&amp;IF(AND((B22-1+C22+D22)&lt;9,OR((C22)=0,(MAX((B22-1)-1,0)+MAX((C22)-1,0)+MAX((D22)-1,0))&lt;6)),1,0)&amp;IF(AND((B22-1+C22+D22)&lt;9,OR((B22-1)=0,(MAX((B22-1)-1,0)+MAX((C22)-1,0)+MAX((D22)-1,0))&lt;6)),1,0))</x:f>
        <x:v>111</x:v>
      </x:c>
      <x:c r="K22" s="22" t="str">
        <x:f>IF(C22=0,"不可回收",IF(AND((B22+C22-1+D22)&lt;9,OR((D22)=0,(MAX((B22)-1,0)+MAX((C22-1)-1,0)+MAX((D22)-1,0))&lt;6)),1,0)&amp;IF(AND((B22+C22-1+D22)&lt;9,OR((C22-1)=0,(MAX((B22)-1,0)+MAX((C22-1)-1,0)+MAX((D22)-1,0))&lt;6)),1,0)&amp;IF(AND((B22+C22-1+D22)&lt;9,OR((B22)=0,(MAX((B22)-1,0)+MAX((C22-1)-1,0)+MAX((D22)-1,0))&lt;6)),1,0))</x:f>
        <x:v>不可回收</x:v>
      </x:c>
      <x:c r="L22" s="22" t="str">
        <x:f>IF(D22=0,"不可回收",IF(AND((B22+C22+D22-1)&lt;9,OR((D22-1)=0,(MAX((B22)-1,0)+MAX((C22)-1,0)+MAX((D22-1)-1,0))&lt;6)),1,0)&amp;IF(AND((B22+C22+D22-1)&lt;9,OR((C22)=0,(MAX((B22)-1,0)+MAX((C22)-1,0)+MAX((D22-1)-1,0))&lt;6)),1,0)&amp;IF(AND((B22+C22+D22-1)&lt;9,OR((B22)=0,(MAX((B22)-1,0)+MAX((C22)-1,0)+MAX((D22-1)-1,0))&lt;6)),1,0))</x:f>
        <x:v>111</x:v>
      </x:c>
      <x:c r="M22" s="18" t="n">
        <x:f>1+F22</x:f>
        <x:v>3</x:v>
      </x:c>
      <x:c r="N22" s="18" t="n">
        <x:f>COUNTIF('容量转换'!$B$8:$B$2447,A22)</x:f>
        <x:v>12</x:v>
      </x:c>
      <x:c r="O22" s="21" t="str">
        <x:f>IF(AND(MIN(B22:D22)&gt;=0,MAX(B22:D22)&lt;=7,H22&lt;=9),"合法","不合法")</x:f>
        <x:v>合法</x:v>
      </x:c>
    </x:row>
    <x:row r="23" ht="23" customHeight="1">
      <x:c r="A23" s="3" t="str">
        <x:v>ST-016</x:v>
      </x:c>
      <x:c r="B23" s="19" t="n">
        <x:v>1</x:v>
      </x:c>
      <x:c r="C23" s="19" t="n">
        <x:v>1</x:v>
      </x:c>
      <x:c r="D23" s="19" t="n">
        <x:v>1</x:v>
      </x:c>
      <x:c r="E23" s="20" t="n">
        <x:f>SUM(B23:D23)</x:f>
        <x:v>3</x:v>
      </x:c>
      <x:c r="F23" s="20" t="n">
        <x:f>COUNTIF(B23:D23,"&gt;0")</x:f>
        <x:v>3</x:v>
      </x:c>
      <x:c r="G23" s="20" t="n">
        <x:f>MAX(B23-1,0)+MAX(C23-1,0)+MAX(D23-1,0)</x:f>
        <x:v>0</x:v>
      </x:c>
      <x:c r="H23" s="20" t="n">
        <x:f>MAX(B23,1)+MAX(C23,1)+MAX(D23,1)</x:f>
        <x:v>3</x:v>
      </x:c>
      <x:c r="I23" s="22" t="str">
        <x:f>IF(AND((B23+C23+D23)&lt;9,OR((D23)=0,(MAX((B23)-1,0)+MAX((C23)-1,0)+MAX((D23)-1,0))&lt;6)),1,0)&amp;IF(AND((B23+C23+D23)&lt;9,OR((C23)=0,(MAX((B23)-1,0)+MAX((C23)-1,0)+MAX((D23)-1,0))&lt;6)),1,0)&amp;IF(AND((B23+C23+D23)&lt;9,OR((B23)=0,(MAX((B23)-1,0)+MAX((C23)-1,0)+MAX((D23)-1,0))&lt;6)),1,0)</x:f>
        <x:v>111</x:v>
      </x:c>
      <x:c r="J23" s="22" t="str">
        <x:f>IF(B23=0,"不可回收",IF(AND((B23-1+C23+D23)&lt;9,OR((D23)=0,(MAX((B23-1)-1,0)+MAX((C23)-1,0)+MAX((D23)-1,0))&lt;6)),1,0)&amp;IF(AND((B23-1+C23+D23)&lt;9,OR((C23)=0,(MAX((B23-1)-1,0)+MAX((C23)-1,0)+MAX((D23)-1,0))&lt;6)),1,0)&amp;IF(AND((B23-1+C23+D23)&lt;9,OR((B23-1)=0,(MAX((B23-1)-1,0)+MAX((C23)-1,0)+MAX((D23)-1,0))&lt;6)),1,0))</x:f>
        <x:v>111</x:v>
      </x:c>
      <x:c r="K23" s="22" t="str">
        <x:f>IF(C23=0,"不可回收",IF(AND((B23+C23-1+D23)&lt;9,OR((D23)=0,(MAX((B23)-1,0)+MAX((C23-1)-1,0)+MAX((D23)-1,0))&lt;6)),1,0)&amp;IF(AND((B23+C23-1+D23)&lt;9,OR((C23-1)=0,(MAX((B23)-1,0)+MAX((C23-1)-1,0)+MAX((D23)-1,0))&lt;6)),1,0)&amp;IF(AND((B23+C23-1+D23)&lt;9,OR((B23)=0,(MAX((B23)-1,0)+MAX((C23-1)-1,0)+MAX((D23)-1,0))&lt;6)),1,0))</x:f>
        <x:v>111</x:v>
      </x:c>
      <x:c r="L23" s="22" t="str">
        <x:f>IF(D23=0,"不可回收",IF(AND((B23+C23+D23-1)&lt;9,OR((D23-1)=0,(MAX((B23)-1,0)+MAX((C23)-1,0)+MAX((D23-1)-1,0))&lt;6)),1,0)&amp;IF(AND((B23+C23+D23-1)&lt;9,OR((C23)=0,(MAX((B23)-1,0)+MAX((C23)-1,0)+MAX((D23-1)-1,0))&lt;6)),1,0)&amp;IF(AND((B23+C23+D23-1)&lt;9,OR((B23)=0,(MAX((B23)-1,0)+MAX((C23)-1,0)+MAX((D23-1)-1,0))&lt;6)),1,0))</x:f>
        <x:v>111</x:v>
      </x:c>
      <x:c r="M23" s="18" t="n">
        <x:f>1+F23</x:f>
        <x:v>4</x:v>
      </x:c>
      <x:c r="N23" s="18" t="n">
        <x:f>COUNTIF('容量转换'!$B$8:$B$2447,A23)</x:f>
        <x:v>16</x:v>
      </x:c>
      <x:c r="O23" s="21" t="str">
        <x:f>IF(AND(MIN(B23:D23)&gt;=0,MAX(B23:D23)&lt;=7,H23&lt;=9),"合法","不合法")</x:f>
        <x:v>合法</x:v>
      </x:c>
    </x:row>
    <x:row r="24" ht="23" customHeight="1">
      <x:c r="A24" s="3" t="str">
        <x:v>ST-017</x:v>
      </x:c>
      <x:c r="B24" s="19" t="n">
        <x:v>1</x:v>
      </x:c>
      <x:c r="C24" s="19" t="n">
        <x:v>2</x:v>
      </x:c>
      <x:c r="D24" s="19" t="n">
        <x:v>0</x:v>
      </x:c>
      <x:c r="E24" s="20" t="n">
        <x:f>SUM(B24:D24)</x:f>
        <x:v>3</x:v>
      </x:c>
      <x:c r="F24" s="20" t="n">
        <x:f>COUNTIF(B24:D24,"&gt;0")</x:f>
        <x:v>2</x:v>
      </x:c>
      <x:c r="G24" s="20" t="n">
        <x:f>MAX(B24-1,0)+MAX(C24-1,0)+MAX(D24-1,0)</x:f>
        <x:v>1</x:v>
      </x:c>
      <x:c r="H24" s="20" t="n">
        <x:f>MAX(B24,1)+MAX(C24,1)+MAX(D24,1)</x:f>
        <x:v>4</x:v>
      </x:c>
      <x:c r="I24" s="22" t="str">
        <x:f>IF(AND((B24+C24+D24)&lt;9,OR((D24)=0,(MAX((B24)-1,0)+MAX((C24)-1,0)+MAX((D24)-1,0))&lt;6)),1,0)&amp;IF(AND((B24+C24+D24)&lt;9,OR((C24)=0,(MAX((B24)-1,0)+MAX((C24)-1,0)+MAX((D24)-1,0))&lt;6)),1,0)&amp;IF(AND((B24+C24+D24)&lt;9,OR((B24)=0,(MAX((B24)-1,0)+MAX((C24)-1,0)+MAX((D24)-1,0))&lt;6)),1,0)</x:f>
        <x:v>111</x:v>
      </x:c>
      <x:c r="J24" s="22" t="str">
        <x:f>IF(B24=0,"不可回收",IF(AND((B24-1+C24+D24)&lt;9,OR((D24)=0,(MAX((B24-1)-1,0)+MAX((C24)-1,0)+MAX((D24)-1,0))&lt;6)),1,0)&amp;IF(AND((B24-1+C24+D24)&lt;9,OR((C24)=0,(MAX((B24-1)-1,0)+MAX((C24)-1,0)+MAX((D24)-1,0))&lt;6)),1,0)&amp;IF(AND((B24-1+C24+D24)&lt;9,OR((B24-1)=0,(MAX((B24-1)-1,0)+MAX((C24)-1,0)+MAX((D24)-1,0))&lt;6)),1,0))</x:f>
        <x:v>111</x:v>
      </x:c>
      <x:c r="K24" s="22" t="str">
        <x:f>IF(C24=0,"不可回收",IF(AND((B24+C24-1+D24)&lt;9,OR((D24)=0,(MAX((B24)-1,0)+MAX((C24-1)-1,0)+MAX((D24)-1,0))&lt;6)),1,0)&amp;IF(AND((B24+C24-1+D24)&lt;9,OR((C24-1)=0,(MAX((B24)-1,0)+MAX((C24-1)-1,0)+MAX((D24)-1,0))&lt;6)),1,0)&amp;IF(AND((B24+C24-1+D24)&lt;9,OR((B24)=0,(MAX((B24)-1,0)+MAX((C24-1)-1,0)+MAX((D24)-1,0))&lt;6)),1,0))</x:f>
        <x:v>111</x:v>
      </x:c>
      <x:c r="L24" s="22" t="str">
        <x:f>IF(D24=0,"不可回收",IF(AND((B24+C24+D24-1)&lt;9,OR((D24-1)=0,(MAX((B24)-1,0)+MAX((C24)-1,0)+MAX((D24-1)-1,0))&lt;6)),1,0)&amp;IF(AND((B24+C24+D24-1)&lt;9,OR((C24)=0,(MAX((B24)-1,0)+MAX((C24)-1,0)+MAX((D24-1)-1,0))&lt;6)),1,0)&amp;IF(AND((B24+C24+D24-1)&lt;9,OR((B24)=0,(MAX((B24)-1,0)+MAX((C24)-1,0)+MAX((D24-1)-1,0))&lt;6)),1,0))</x:f>
        <x:v>不可回收</x:v>
      </x:c>
      <x:c r="M24" s="18" t="n">
        <x:f>1+F24</x:f>
        <x:v>3</x:v>
      </x:c>
      <x:c r="N24" s="18" t="n">
        <x:f>COUNTIF('容量转换'!$B$8:$B$2447,A24)</x:f>
        <x:v>12</x:v>
      </x:c>
      <x:c r="O24" s="21" t="str">
        <x:f>IF(AND(MIN(B24:D24)&gt;=0,MAX(B24:D24)&lt;=7,H24&lt;=9),"合法","不合法")</x:f>
        <x:v>合法</x:v>
      </x:c>
    </x:row>
    <x:row r="25" ht="23" customHeight="1">
      <x:c r="A25" s="3" t="str">
        <x:v>ST-018</x:v>
      </x:c>
      <x:c r="B25" s="19" t="n">
        <x:v>2</x:v>
      </x:c>
      <x:c r="C25" s="19" t="n">
        <x:v>0</x:v>
      </x:c>
      <x:c r="D25" s="19" t="n">
        <x:v>1</x:v>
      </x:c>
      <x:c r="E25" s="20" t="n">
        <x:f>SUM(B25:D25)</x:f>
        <x:v>3</x:v>
      </x:c>
      <x:c r="F25" s="20" t="n">
        <x:f>COUNTIF(B25:D25,"&gt;0")</x:f>
        <x:v>2</x:v>
      </x:c>
      <x:c r="G25" s="20" t="n">
        <x:f>MAX(B25-1,0)+MAX(C25-1,0)+MAX(D25-1,0)</x:f>
        <x:v>1</x:v>
      </x:c>
      <x:c r="H25" s="20" t="n">
        <x:f>MAX(B25,1)+MAX(C25,1)+MAX(D25,1)</x:f>
        <x:v>4</x:v>
      </x:c>
      <x:c r="I25" s="22" t="str">
        <x:f>IF(AND((B25+C25+D25)&lt;9,OR((D25)=0,(MAX((B25)-1,0)+MAX((C25)-1,0)+MAX((D25)-1,0))&lt;6)),1,0)&amp;IF(AND((B25+C25+D25)&lt;9,OR((C25)=0,(MAX((B25)-1,0)+MAX((C25)-1,0)+MAX((D25)-1,0))&lt;6)),1,0)&amp;IF(AND((B25+C25+D25)&lt;9,OR((B25)=0,(MAX((B25)-1,0)+MAX((C25)-1,0)+MAX((D25)-1,0))&lt;6)),1,0)</x:f>
        <x:v>111</x:v>
      </x:c>
      <x:c r="J25" s="22" t="str">
        <x:f>IF(B25=0,"不可回收",IF(AND((B25-1+C25+D25)&lt;9,OR((D25)=0,(MAX((B25-1)-1,0)+MAX((C25)-1,0)+MAX((D25)-1,0))&lt;6)),1,0)&amp;IF(AND((B25-1+C25+D25)&lt;9,OR((C25)=0,(MAX((B25-1)-1,0)+MAX((C25)-1,0)+MAX((D25)-1,0))&lt;6)),1,0)&amp;IF(AND((B25-1+C25+D25)&lt;9,OR((B25-1)=0,(MAX((B25-1)-1,0)+MAX((C25)-1,0)+MAX((D25)-1,0))&lt;6)),1,0))</x:f>
        <x:v>111</x:v>
      </x:c>
      <x:c r="K25" s="22" t="str">
        <x:f>IF(C25=0,"不可回收",IF(AND((B25+C25-1+D25)&lt;9,OR((D25)=0,(MAX((B25)-1,0)+MAX((C25-1)-1,0)+MAX((D25)-1,0))&lt;6)),1,0)&amp;IF(AND((B25+C25-1+D25)&lt;9,OR((C25-1)=0,(MAX((B25)-1,0)+MAX((C25-1)-1,0)+MAX((D25)-1,0))&lt;6)),1,0)&amp;IF(AND((B25+C25-1+D25)&lt;9,OR((B25)=0,(MAX((B25)-1,0)+MAX((C25-1)-1,0)+MAX((D25)-1,0))&lt;6)),1,0))</x:f>
        <x:v>不可回收</x:v>
      </x:c>
      <x:c r="L25" s="22" t="str">
        <x:f>IF(D25=0,"不可回收",IF(AND((B25+C25+D25-1)&lt;9,OR((D25-1)=0,(MAX((B25)-1,0)+MAX((C25)-1,0)+MAX((D25-1)-1,0))&lt;6)),1,0)&amp;IF(AND((B25+C25+D25-1)&lt;9,OR((C25)=0,(MAX((B25)-1,0)+MAX((C25)-1,0)+MAX((D25-1)-1,0))&lt;6)),1,0)&amp;IF(AND((B25+C25+D25-1)&lt;9,OR((B25)=0,(MAX((B25)-1,0)+MAX((C25)-1,0)+MAX((D25-1)-1,0))&lt;6)),1,0))</x:f>
        <x:v>111</x:v>
      </x:c>
      <x:c r="M25" s="18" t="n">
        <x:f>1+F25</x:f>
        <x:v>3</x:v>
      </x:c>
      <x:c r="N25" s="18" t="n">
        <x:f>COUNTIF('容量转换'!$B$8:$B$2447,A25)</x:f>
        <x:v>12</x:v>
      </x:c>
      <x:c r="O25" s="21" t="str">
        <x:f>IF(AND(MIN(B25:D25)&gt;=0,MAX(B25:D25)&lt;=7,H25&lt;=9),"合法","不合法")</x:f>
        <x:v>合法</x:v>
      </x:c>
    </x:row>
    <x:row r="26" ht="23" customHeight="1">
      <x:c r="A26" s="3" t="str">
        <x:v>ST-019</x:v>
      </x:c>
      <x:c r="B26" s="19" t="n">
        <x:v>2</x:v>
      </x:c>
      <x:c r="C26" s="19" t="n">
        <x:v>1</x:v>
      </x:c>
      <x:c r="D26" s="19" t="n">
        <x:v>0</x:v>
      </x:c>
      <x:c r="E26" s="20" t="n">
        <x:f>SUM(B26:D26)</x:f>
        <x:v>3</x:v>
      </x:c>
      <x:c r="F26" s="20" t="n">
        <x:f>COUNTIF(B26:D26,"&gt;0")</x:f>
        <x:v>2</x:v>
      </x:c>
      <x:c r="G26" s="20" t="n">
        <x:f>MAX(B26-1,0)+MAX(C26-1,0)+MAX(D26-1,0)</x:f>
        <x:v>1</x:v>
      </x:c>
      <x:c r="H26" s="20" t="n">
        <x:f>MAX(B26,1)+MAX(C26,1)+MAX(D26,1)</x:f>
        <x:v>4</x:v>
      </x:c>
      <x:c r="I26" s="22" t="str">
        <x:f>IF(AND((B26+C26+D26)&lt;9,OR((D26)=0,(MAX((B26)-1,0)+MAX((C26)-1,0)+MAX((D26)-1,0))&lt;6)),1,0)&amp;IF(AND((B26+C26+D26)&lt;9,OR((C26)=0,(MAX((B26)-1,0)+MAX((C26)-1,0)+MAX((D26)-1,0))&lt;6)),1,0)&amp;IF(AND((B26+C26+D26)&lt;9,OR((B26)=0,(MAX((B26)-1,0)+MAX((C26)-1,0)+MAX((D26)-1,0))&lt;6)),1,0)</x:f>
        <x:v>111</x:v>
      </x:c>
      <x:c r="J26" s="22" t="str">
        <x:f>IF(B26=0,"不可回收",IF(AND((B26-1+C26+D26)&lt;9,OR((D26)=0,(MAX((B26-1)-1,0)+MAX((C26)-1,0)+MAX((D26)-1,0))&lt;6)),1,0)&amp;IF(AND((B26-1+C26+D26)&lt;9,OR((C26)=0,(MAX((B26-1)-1,0)+MAX((C26)-1,0)+MAX((D26)-1,0))&lt;6)),1,0)&amp;IF(AND((B26-1+C26+D26)&lt;9,OR((B26-1)=0,(MAX((B26-1)-1,0)+MAX((C26)-1,0)+MAX((D26)-1,0))&lt;6)),1,0))</x:f>
        <x:v>111</x:v>
      </x:c>
      <x:c r="K26" s="22" t="str">
        <x:f>IF(C26=0,"不可回收",IF(AND((B26+C26-1+D26)&lt;9,OR((D26)=0,(MAX((B26)-1,0)+MAX((C26-1)-1,0)+MAX((D26)-1,0))&lt;6)),1,0)&amp;IF(AND((B26+C26-1+D26)&lt;9,OR((C26-1)=0,(MAX((B26)-1,0)+MAX((C26-1)-1,0)+MAX((D26)-1,0))&lt;6)),1,0)&amp;IF(AND((B26+C26-1+D26)&lt;9,OR((B26)=0,(MAX((B26)-1,0)+MAX((C26-1)-1,0)+MAX((D26)-1,0))&lt;6)),1,0))</x:f>
        <x:v>111</x:v>
      </x:c>
      <x:c r="L26" s="22" t="str">
        <x:f>IF(D26=0,"不可回收",IF(AND((B26+C26+D26-1)&lt;9,OR((D26-1)=0,(MAX((B26)-1,0)+MAX((C26)-1,0)+MAX((D26-1)-1,0))&lt;6)),1,0)&amp;IF(AND((B26+C26+D26-1)&lt;9,OR((C26)=0,(MAX((B26)-1,0)+MAX((C26)-1,0)+MAX((D26-1)-1,0))&lt;6)),1,0)&amp;IF(AND((B26+C26+D26-1)&lt;9,OR((B26)=0,(MAX((B26)-1,0)+MAX((C26)-1,0)+MAX((D26-1)-1,0))&lt;6)),1,0))</x:f>
        <x:v>不可回收</x:v>
      </x:c>
      <x:c r="M26" s="18" t="n">
        <x:f>1+F26</x:f>
        <x:v>3</x:v>
      </x:c>
      <x:c r="N26" s="18" t="n">
        <x:f>COUNTIF('容量转换'!$B$8:$B$2447,A26)</x:f>
        <x:v>12</x:v>
      </x:c>
      <x:c r="O26" s="21" t="str">
        <x:f>IF(AND(MIN(B26:D26)&gt;=0,MAX(B26:D26)&lt;=7,H26&lt;=9),"合法","不合法")</x:f>
        <x:v>合法</x:v>
      </x:c>
    </x:row>
    <x:row r="27" ht="23" customHeight="1">
      <x:c r="A27" s="3" t="str">
        <x:v>ST-020</x:v>
      </x:c>
      <x:c r="B27" s="19" t="n">
        <x:v>3</x:v>
      </x:c>
      <x:c r="C27" s="19" t="n">
        <x:v>0</x:v>
      </x:c>
      <x:c r="D27" s="19" t="n">
        <x:v>0</x:v>
      </x:c>
      <x:c r="E27" s="20" t="n">
        <x:f>SUM(B27:D27)</x:f>
        <x:v>3</x:v>
      </x:c>
      <x:c r="F27" s="20" t="n">
        <x:f>COUNTIF(B27:D27,"&gt;0")</x:f>
        <x:v>1</x:v>
      </x:c>
      <x:c r="G27" s="20" t="n">
        <x:f>MAX(B27-1,0)+MAX(C27-1,0)+MAX(D27-1,0)</x:f>
        <x:v>2</x:v>
      </x:c>
      <x:c r="H27" s="20" t="n">
        <x:f>MAX(B27,1)+MAX(C27,1)+MAX(D27,1)</x:f>
        <x:v>5</x:v>
      </x:c>
      <x:c r="I27" s="22" t="str">
        <x:f>IF(AND((B27+C27+D27)&lt;9,OR((D27)=0,(MAX((B27)-1,0)+MAX((C27)-1,0)+MAX((D27)-1,0))&lt;6)),1,0)&amp;IF(AND((B27+C27+D27)&lt;9,OR((C27)=0,(MAX((B27)-1,0)+MAX((C27)-1,0)+MAX((D27)-1,0))&lt;6)),1,0)&amp;IF(AND((B27+C27+D27)&lt;9,OR((B27)=0,(MAX((B27)-1,0)+MAX((C27)-1,0)+MAX((D27)-1,0))&lt;6)),1,0)</x:f>
        <x:v>111</x:v>
      </x:c>
      <x:c r="J27" s="22" t="str">
        <x:f>IF(B27=0,"不可回收",IF(AND((B27-1+C27+D27)&lt;9,OR((D27)=0,(MAX((B27-1)-1,0)+MAX((C27)-1,0)+MAX((D27)-1,0))&lt;6)),1,0)&amp;IF(AND((B27-1+C27+D27)&lt;9,OR((C27)=0,(MAX((B27-1)-1,0)+MAX((C27)-1,0)+MAX((D27)-1,0))&lt;6)),1,0)&amp;IF(AND((B27-1+C27+D27)&lt;9,OR((B27-1)=0,(MAX((B27-1)-1,0)+MAX((C27)-1,0)+MAX((D27)-1,0))&lt;6)),1,0))</x:f>
        <x:v>111</x:v>
      </x:c>
      <x:c r="K27" s="22" t="str">
        <x:f>IF(C27=0,"不可回收",IF(AND((B27+C27-1+D27)&lt;9,OR((D27)=0,(MAX((B27)-1,0)+MAX((C27-1)-1,0)+MAX((D27)-1,0))&lt;6)),1,0)&amp;IF(AND((B27+C27-1+D27)&lt;9,OR((C27-1)=0,(MAX((B27)-1,0)+MAX((C27-1)-1,0)+MAX((D27)-1,0))&lt;6)),1,0)&amp;IF(AND((B27+C27-1+D27)&lt;9,OR((B27)=0,(MAX((B27)-1,0)+MAX((C27-1)-1,0)+MAX((D27)-1,0))&lt;6)),1,0))</x:f>
        <x:v>不可回收</x:v>
      </x:c>
      <x:c r="L27" s="22" t="str">
        <x:f>IF(D27=0,"不可回收",IF(AND((B27+C27+D27-1)&lt;9,OR((D27-1)=0,(MAX((B27)-1,0)+MAX((C27)-1,0)+MAX((D27-1)-1,0))&lt;6)),1,0)&amp;IF(AND((B27+C27+D27-1)&lt;9,OR((C27)=0,(MAX((B27)-1,0)+MAX((C27)-1,0)+MAX((D27-1)-1,0))&lt;6)),1,0)&amp;IF(AND((B27+C27+D27-1)&lt;9,OR((B27)=0,(MAX((B27)-1,0)+MAX((C27)-1,0)+MAX((D27-1)-1,0))&lt;6)),1,0))</x:f>
        <x:v>不可回收</x:v>
      </x:c>
      <x:c r="M27" s="18" t="n">
        <x:f>1+F27</x:f>
        <x:v>2</x:v>
      </x:c>
      <x:c r="N27" s="18" t="n">
        <x:f>COUNTIF('容量转换'!$B$8:$B$2447,A27)</x:f>
        <x:v>8</x:v>
      </x:c>
      <x:c r="O27" s="21" t="str">
        <x:f>IF(AND(MIN(B27:D27)&gt;=0,MAX(B27:D27)&lt;=7,H27&lt;=9),"合法","不合法")</x:f>
        <x:v>合法</x:v>
      </x:c>
    </x:row>
    <x:row r="28" ht="23" customHeight="1">
      <x:c r="A28" s="3" t="str">
        <x:v>ST-021</x:v>
      </x:c>
      <x:c r="B28" s="19" t="n">
        <x:v>0</x:v>
      </x:c>
      <x:c r="C28" s="19" t="n">
        <x:v>0</x:v>
      </x:c>
      <x:c r="D28" s="19" t="n">
        <x:v>4</x:v>
      </x:c>
      <x:c r="E28" s="20" t="n">
        <x:f>SUM(B28:D28)</x:f>
        <x:v>4</x:v>
      </x:c>
      <x:c r="F28" s="20" t="n">
        <x:f>COUNTIF(B28:D28,"&gt;0")</x:f>
        <x:v>1</x:v>
      </x:c>
      <x:c r="G28" s="20" t="n">
        <x:f>MAX(B28-1,0)+MAX(C28-1,0)+MAX(D28-1,0)</x:f>
        <x:v>3</x:v>
      </x:c>
      <x:c r="H28" s="20" t="n">
        <x:f>MAX(B28,1)+MAX(C28,1)+MAX(D28,1)</x:f>
        <x:v>6</x:v>
      </x:c>
      <x:c r="I28" s="22" t="str">
        <x:f>IF(AND((B28+C28+D28)&lt;9,OR((D28)=0,(MAX((B28)-1,0)+MAX((C28)-1,0)+MAX((D28)-1,0))&lt;6)),1,0)&amp;IF(AND((B28+C28+D28)&lt;9,OR((C28)=0,(MAX((B28)-1,0)+MAX((C28)-1,0)+MAX((D28)-1,0))&lt;6)),1,0)&amp;IF(AND((B28+C28+D28)&lt;9,OR((B28)=0,(MAX((B28)-1,0)+MAX((C28)-1,0)+MAX((D28)-1,0))&lt;6)),1,0)</x:f>
        <x:v>111</x:v>
      </x:c>
      <x:c r="J28" s="22" t="str">
        <x:f>IF(B28=0,"不可回收",IF(AND((B28-1+C28+D28)&lt;9,OR((D28)=0,(MAX((B28-1)-1,0)+MAX((C28)-1,0)+MAX((D28)-1,0))&lt;6)),1,0)&amp;IF(AND((B28-1+C28+D28)&lt;9,OR((C28)=0,(MAX((B28-1)-1,0)+MAX((C28)-1,0)+MAX((D28)-1,0))&lt;6)),1,0)&amp;IF(AND((B28-1+C28+D28)&lt;9,OR((B28-1)=0,(MAX((B28-1)-1,0)+MAX((C28)-1,0)+MAX((D28)-1,0))&lt;6)),1,0))</x:f>
        <x:v>不可回收</x:v>
      </x:c>
      <x:c r="K28" s="22" t="str">
        <x:f>IF(C28=0,"不可回收",IF(AND((B28+C28-1+D28)&lt;9,OR((D28)=0,(MAX((B28)-1,0)+MAX((C28-1)-1,0)+MAX((D28)-1,0))&lt;6)),1,0)&amp;IF(AND((B28+C28-1+D28)&lt;9,OR((C28-1)=0,(MAX((B28)-1,0)+MAX((C28-1)-1,0)+MAX((D28)-1,0))&lt;6)),1,0)&amp;IF(AND((B28+C28-1+D28)&lt;9,OR((B28)=0,(MAX((B28)-1,0)+MAX((C28-1)-1,0)+MAX((D28)-1,0))&lt;6)),1,0))</x:f>
        <x:v>不可回收</x:v>
      </x:c>
      <x:c r="L28" s="22" t="str">
        <x:f>IF(D28=0,"不可回收",IF(AND((B28+C28+D28-1)&lt;9,OR((D28-1)=0,(MAX((B28)-1,0)+MAX((C28)-1,0)+MAX((D28-1)-1,0))&lt;6)),1,0)&amp;IF(AND((B28+C28+D28-1)&lt;9,OR((C28)=0,(MAX((B28)-1,0)+MAX((C28)-1,0)+MAX((D28-1)-1,0))&lt;6)),1,0)&amp;IF(AND((B28+C28+D28-1)&lt;9,OR((B28)=0,(MAX((B28)-1,0)+MAX((C28)-1,0)+MAX((D28-1)-1,0))&lt;6)),1,0))</x:f>
        <x:v>111</x:v>
      </x:c>
      <x:c r="M28" s="18" t="n">
        <x:f>1+F28</x:f>
        <x:v>2</x:v>
      </x:c>
      <x:c r="N28" s="18" t="n">
        <x:f>COUNTIF('容量转换'!$B$8:$B$2447,A28)</x:f>
        <x:v>8</x:v>
      </x:c>
      <x:c r="O28" s="21" t="str">
        <x:f>IF(AND(MIN(B28:D28)&gt;=0,MAX(B28:D28)&lt;=7,H28&lt;=9),"合法","不合法")</x:f>
        <x:v>合法</x:v>
      </x:c>
    </x:row>
    <x:row r="29" ht="23" customHeight="1">
      <x:c r="A29" s="3" t="str">
        <x:v>ST-022</x:v>
      </x:c>
      <x:c r="B29" s="19" t="n">
        <x:v>0</x:v>
      </x:c>
      <x:c r="C29" s="19" t="n">
        <x:v>1</x:v>
      </x:c>
      <x:c r="D29" s="19" t="n">
        <x:v>3</x:v>
      </x:c>
      <x:c r="E29" s="20" t="n">
        <x:f>SUM(B29:D29)</x:f>
        <x:v>4</x:v>
      </x:c>
      <x:c r="F29" s="20" t="n">
        <x:f>COUNTIF(B29:D29,"&gt;0")</x:f>
        <x:v>2</x:v>
      </x:c>
      <x:c r="G29" s="20" t="n">
        <x:f>MAX(B29-1,0)+MAX(C29-1,0)+MAX(D29-1,0)</x:f>
        <x:v>2</x:v>
      </x:c>
      <x:c r="H29" s="20" t="n">
        <x:f>MAX(B29,1)+MAX(C29,1)+MAX(D29,1)</x:f>
        <x:v>5</x:v>
      </x:c>
      <x:c r="I29" s="22" t="str">
        <x:f>IF(AND((B29+C29+D29)&lt;9,OR((D29)=0,(MAX((B29)-1,0)+MAX((C29)-1,0)+MAX((D29)-1,0))&lt;6)),1,0)&amp;IF(AND((B29+C29+D29)&lt;9,OR((C29)=0,(MAX((B29)-1,0)+MAX((C29)-1,0)+MAX((D29)-1,0))&lt;6)),1,0)&amp;IF(AND((B29+C29+D29)&lt;9,OR((B29)=0,(MAX((B29)-1,0)+MAX((C29)-1,0)+MAX((D29)-1,0))&lt;6)),1,0)</x:f>
        <x:v>111</x:v>
      </x:c>
      <x:c r="J29" s="22" t="str">
        <x:f>IF(B29=0,"不可回收",IF(AND((B29-1+C29+D29)&lt;9,OR((D29)=0,(MAX((B29-1)-1,0)+MAX((C29)-1,0)+MAX((D29)-1,0))&lt;6)),1,0)&amp;IF(AND((B29-1+C29+D29)&lt;9,OR((C29)=0,(MAX((B29-1)-1,0)+MAX((C29)-1,0)+MAX((D29)-1,0))&lt;6)),1,0)&amp;IF(AND((B29-1+C29+D29)&lt;9,OR((B29-1)=0,(MAX((B29-1)-1,0)+MAX((C29)-1,0)+MAX((D29)-1,0))&lt;6)),1,0))</x:f>
        <x:v>不可回收</x:v>
      </x:c>
      <x:c r="K29" s="22" t="str">
        <x:f>IF(C29=0,"不可回收",IF(AND((B29+C29-1+D29)&lt;9,OR((D29)=0,(MAX((B29)-1,0)+MAX((C29-1)-1,0)+MAX((D29)-1,0))&lt;6)),1,0)&amp;IF(AND((B29+C29-1+D29)&lt;9,OR((C29-1)=0,(MAX((B29)-1,0)+MAX((C29-1)-1,0)+MAX((D29)-1,0))&lt;6)),1,0)&amp;IF(AND((B29+C29-1+D29)&lt;9,OR((B29)=0,(MAX((B29)-1,0)+MAX((C29-1)-1,0)+MAX((D29)-1,0))&lt;6)),1,0))</x:f>
        <x:v>111</x:v>
      </x:c>
      <x:c r="L29" s="22" t="str">
        <x:f>IF(D29=0,"不可回收",IF(AND((B29+C29+D29-1)&lt;9,OR((D29-1)=0,(MAX((B29)-1,0)+MAX((C29)-1,0)+MAX((D29-1)-1,0))&lt;6)),1,0)&amp;IF(AND((B29+C29+D29-1)&lt;9,OR((C29)=0,(MAX((B29)-1,0)+MAX((C29)-1,0)+MAX((D29-1)-1,0))&lt;6)),1,0)&amp;IF(AND((B29+C29+D29-1)&lt;9,OR((B29)=0,(MAX((B29)-1,0)+MAX((C29)-1,0)+MAX((D29-1)-1,0))&lt;6)),1,0))</x:f>
        <x:v>111</x:v>
      </x:c>
      <x:c r="M29" s="18" t="n">
        <x:f>1+F29</x:f>
        <x:v>3</x:v>
      </x:c>
      <x:c r="N29" s="18" t="n">
        <x:f>COUNTIF('容量转换'!$B$8:$B$2447,A29)</x:f>
        <x:v>12</x:v>
      </x:c>
      <x:c r="O29" s="21" t="str">
        <x:f>IF(AND(MIN(B29:D29)&gt;=0,MAX(B29:D29)&lt;=7,H29&lt;=9),"合法","不合法")</x:f>
        <x:v>合法</x:v>
      </x:c>
    </x:row>
    <x:row r="30" ht="23" customHeight="1">
      <x:c r="A30" s="3" t="str">
        <x:v>ST-023</x:v>
      </x:c>
      <x:c r="B30" s="19" t="n">
        <x:v>0</x:v>
      </x:c>
      <x:c r="C30" s="19" t="n">
        <x:v>2</x:v>
      </x:c>
      <x:c r="D30" s="19" t="n">
        <x:v>2</x:v>
      </x:c>
      <x:c r="E30" s="20" t="n">
        <x:f>SUM(B30:D30)</x:f>
        <x:v>4</x:v>
      </x:c>
      <x:c r="F30" s="20" t="n">
        <x:f>COUNTIF(B30:D30,"&gt;0")</x:f>
        <x:v>2</x:v>
      </x:c>
      <x:c r="G30" s="20" t="n">
        <x:f>MAX(B30-1,0)+MAX(C30-1,0)+MAX(D30-1,0)</x:f>
        <x:v>2</x:v>
      </x:c>
      <x:c r="H30" s="20" t="n">
        <x:f>MAX(B30,1)+MAX(C30,1)+MAX(D30,1)</x:f>
        <x:v>5</x:v>
      </x:c>
      <x:c r="I30" s="22" t="str">
        <x:f>IF(AND((B30+C30+D30)&lt;9,OR((D30)=0,(MAX((B30)-1,0)+MAX((C30)-1,0)+MAX((D30)-1,0))&lt;6)),1,0)&amp;IF(AND((B30+C30+D30)&lt;9,OR((C30)=0,(MAX((B30)-1,0)+MAX((C30)-1,0)+MAX((D30)-1,0))&lt;6)),1,0)&amp;IF(AND((B30+C30+D30)&lt;9,OR((B30)=0,(MAX((B30)-1,0)+MAX((C30)-1,0)+MAX((D30)-1,0))&lt;6)),1,0)</x:f>
        <x:v>111</x:v>
      </x:c>
      <x:c r="J30" s="22" t="str">
        <x:f>IF(B30=0,"不可回收",IF(AND((B30-1+C30+D30)&lt;9,OR((D30)=0,(MAX((B30-1)-1,0)+MAX((C30)-1,0)+MAX((D30)-1,0))&lt;6)),1,0)&amp;IF(AND((B30-1+C30+D30)&lt;9,OR((C30)=0,(MAX((B30-1)-1,0)+MAX((C30)-1,0)+MAX((D30)-1,0))&lt;6)),1,0)&amp;IF(AND((B30-1+C30+D30)&lt;9,OR((B30-1)=0,(MAX((B30-1)-1,0)+MAX((C30)-1,0)+MAX((D30)-1,0))&lt;6)),1,0))</x:f>
        <x:v>不可回收</x:v>
      </x:c>
      <x:c r="K30" s="22" t="str">
        <x:f>IF(C30=0,"不可回收",IF(AND((B30+C30-1+D30)&lt;9,OR((D30)=0,(MAX((B30)-1,0)+MAX((C30-1)-1,0)+MAX((D30)-1,0))&lt;6)),1,0)&amp;IF(AND((B30+C30-1+D30)&lt;9,OR((C30-1)=0,(MAX((B30)-1,0)+MAX((C30-1)-1,0)+MAX((D30)-1,0))&lt;6)),1,0)&amp;IF(AND((B30+C30-1+D30)&lt;9,OR((B30)=0,(MAX((B30)-1,0)+MAX((C30-1)-1,0)+MAX((D30)-1,0))&lt;6)),1,0))</x:f>
        <x:v>111</x:v>
      </x:c>
      <x:c r="L30" s="22" t="str">
        <x:f>IF(D30=0,"不可回收",IF(AND((B30+C30+D30-1)&lt;9,OR((D30-1)=0,(MAX((B30)-1,0)+MAX((C30)-1,0)+MAX((D30-1)-1,0))&lt;6)),1,0)&amp;IF(AND((B30+C30+D30-1)&lt;9,OR((C30)=0,(MAX((B30)-1,0)+MAX((C30)-1,0)+MAX((D30-1)-1,0))&lt;6)),1,0)&amp;IF(AND((B30+C30+D30-1)&lt;9,OR((B30)=0,(MAX((B30)-1,0)+MAX((C30)-1,0)+MAX((D30-1)-1,0))&lt;6)),1,0))</x:f>
        <x:v>111</x:v>
      </x:c>
      <x:c r="M30" s="18" t="n">
        <x:f>1+F30</x:f>
        <x:v>3</x:v>
      </x:c>
      <x:c r="N30" s="18" t="n">
        <x:f>COUNTIF('容量转换'!$B$8:$B$2447,A30)</x:f>
        <x:v>12</x:v>
      </x:c>
      <x:c r="O30" s="21" t="str">
        <x:f>IF(AND(MIN(B30:D30)&gt;=0,MAX(B30:D30)&lt;=7,H30&lt;=9),"合法","不合法")</x:f>
        <x:v>合法</x:v>
      </x:c>
    </x:row>
    <x:row r="31" ht="23" customHeight="1">
      <x:c r="A31" s="3" t="str">
        <x:v>ST-024</x:v>
      </x:c>
      <x:c r="B31" s="19" t="n">
        <x:v>0</x:v>
      </x:c>
      <x:c r="C31" s="19" t="n">
        <x:v>3</x:v>
      </x:c>
      <x:c r="D31" s="19" t="n">
        <x:v>1</x:v>
      </x:c>
      <x:c r="E31" s="20" t="n">
        <x:f>SUM(B31:D31)</x:f>
        <x:v>4</x:v>
      </x:c>
      <x:c r="F31" s="20" t="n">
        <x:f>COUNTIF(B31:D31,"&gt;0")</x:f>
        <x:v>2</x:v>
      </x:c>
      <x:c r="G31" s="20" t="n">
        <x:f>MAX(B31-1,0)+MAX(C31-1,0)+MAX(D31-1,0)</x:f>
        <x:v>2</x:v>
      </x:c>
      <x:c r="H31" s="20" t="n">
        <x:f>MAX(B31,1)+MAX(C31,1)+MAX(D31,1)</x:f>
        <x:v>5</x:v>
      </x:c>
      <x:c r="I31" s="22" t="str">
        <x:f>IF(AND((B31+C31+D31)&lt;9,OR((D31)=0,(MAX((B31)-1,0)+MAX((C31)-1,0)+MAX((D31)-1,0))&lt;6)),1,0)&amp;IF(AND((B31+C31+D31)&lt;9,OR((C31)=0,(MAX((B31)-1,0)+MAX((C31)-1,0)+MAX((D31)-1,0))&lt;6)),1,0)&amp;IF(AND((B31+C31+D31)&lt;9,OR((B31)=0,(MAX((B31)-1,0)+MAX((C31)-1,0)+MAX((D31)-1,0))&lt;6)),1,0)</x:f>
        <x:v>111</x:v>
      </x:c>
      <x:c r="J31" s="22" t="str">
        <x:f>IF(B31=0,"不可回收",IF(AND((B31-1+C31+D31)&lt;9,OR((D31)=0,(MAX((B31-1)-1,0)+MAX((C31)-1,0)+MAX((D31)-1,0))&lt;6)),1,0)&amp;IF(AND((B31-1+C31+D31)&lt;9,OR((C31)=0,(MAX((B31-1)-1,0)+MAX((C31)-1,0)+MAX((D31)-1,0))&lt;6)),1,0)&amp;IF(AND((B31-1+C31+D31)&lt;9,OR((B31-1)=0,(MAX((B31-1)-1,0)+MAX((C31)-1,0)+MAX((D31)-1,0))&lt;6)),1,0))</x:f>
        <x:v>不可回收</x:v>
      </x:c>
      <x:c r="K31" s="22" t="str">
        <x:f>IF(C31=0,"不可回收",IF(AND((B31+C31-1+D31)&lt;9,OR((D31)=0,(MAX((B31)-1,0)+MAX((C31-1)-1,0)+MAX((D31)-1,0))&lt;6)),1,0)&amp;IF(AND((B31+C31-1+D31)&lt;9,OR((C31-1)=0,(MAX((B31)-1,0)+MAX((C31-1)-1,0)+MAX((D31)-1,0))&lt;6)),1,0)&amp;IF(AND((B31+C31-1+D31)&lt;9,OR((B31)=0,(MAX((B31)-1,0)+MAX((C31-1)-1,0)+MAX((D31)-1,0))&lt;6)),1,0))</x:f>
        <x:v>111</x:v>
      </x:c>
      <x:c r="L31" s="22" t="str">
        <x:f>IF(D31=0,"不可回收",IF(AND((B31+C31+D31-1)&lt;9,OR((D31-1)=0,(MAX((B31)-1,0)+MAX((C31)-1,0)+MAX((D31-1)-1,0))&lt;6)),1,0)&amp;IF(AND((B31+C31+D31-1)&lt;9,OR((C31)=0,(MAX((B31)-1,0)+MAX((C31)-1,0)+MAX((D31-1)-1,0))&lt;6)),1,0)&amp;IF(AND((B31+C31+D31-1)&lt;9,OR((B31)=0,(MAX((B31)-1,0)+MAX((C31)-1,0)+MAX((D31-1)-1,0))&lt;6)),1,0))</x:f>
        <x:v>111</x:v>
      </x:c>
      <x:c r="M31" s="18" t="n">
        <x:f>1+F31</x:f>
        <x:v>3</x:v>
      </x:c>
      <x:c r="N31" s="18" t="n">
        <x:f>COUNTIF('容量转换'!$B$8:$B$2447,A31)</x:f>
        <x:v>12</x:v>
      </x:c>
      <x:c r="O31" s="21" t="str">
        <x:f>IF(AND(MIN(B31:D31)&gt;=0,MAX(B31:D31)&lt;=7,H31&lt;=9),"合法","不合法")</x:f>
        <x:v>合法</x:v>
      </x:c>
    </x:row>
    <x:row r="32" ht="23" customHeight="1">
      <x:c r="A32" s="3" t="str">
        <x:v>ST-025</x:v>
      </x:c>
      <x:c r="B32" s="19" t="n">
        <x:v>0</x:v>
      </x:c>
      <x:c r="C32" s="19" t="n">
        <x:v>4</x:v>
      </x:c>
      <x:c r="D32" s="19" t="n">
        <x:v>0</x:v>
      </x:c>
      <x:c r="E32" s="20" t="n">
        <x:f>SUM(B32:D32)</x:f>
        <x:v>4</x:v>
      </x:c>
      <x:c r="F32" s="20" t="n">
        <x:f>COUNTIF(B32:D32,"&gt;0")</x:f>
        <x:v>1</x:v>
      </x:c>
      <x:c r="G32" s="20" t="n">
        <x:f>MAX(B32-1,0)+MAX(C32-1,0)+MAX(D32-1,0)</x:f>
        <x:v>3</x:v>
      </x:c>
      <x:c r="H32" s="20" t="n">
        <x:f>MAX(B32,1)+MAX(C32,1)+MAX(D32,1)</x:f>
        <x:v>6</x:v>
      </x:c>
      <x:c r="I32" s="22" t="str">
        <x:f>IF(AND((B32+C32+D32)&lt;9,OR((D32)=0,(MAX((B32)-1,0)+MAX((C32)-1,0)+MAX((D32)-1,0))&lt;6)),1,0)&amp;IF(AND((B32+C32+D32)&lt;9,OR((C32)=0,(MAX((B32)-1,0)+MAX((C32)-1,0)+MAX((D32)-1,0))&lt;6)),1,0)&amp;IF(AND((B32+C32+D32)&lt;9,OR((B32)=0,(MAX((B32)-1,0)+MAX((C32)-1,0)+MAX((D32)-1,0))&lt;6)),1,0)</x:f>
        <x:v>111</x:v>
      </x:c>
      <x:c r="J32" s="22" t="str">
        <x:f>IF(B32=0,"不可回收",IF(AND((B32-1+C32+D32)&lt;9,OR((D32)=0,(MAX((B32-1)-1,0)+MAX((C32)-1,0)+MAX((D32)-1,0))&lt;6)),1,0)&amp;IF(AND((B32-1+C32+D32)&lt;9,OR((C32)=0,(MAX((B32-1)-1,0)+MAX((C32)-1,0)+MAX((D32)-1,0))&lt;6)),1,0)&amp;IF(AND((B32-1+C32+D32)&lt;9,OR((B32-1)=0,(MAX((B32-1)-1,0)+MAX((C32)-1,0)+MAX((D32)-1,0))&lt;6)),1,0))</x:f>
        <x:v>不可回收</x:v>
      </x:c>
      <x:c r="K32" s="22" t="str">
        <x:f>IF(C32=0,"不可回收",IF(AND((B32+C32-1+D32)&lt;9,OR((D32)=0,(MAX((B32)-1,0)+MAX((C32-1)-1,0)+MAX((D32)-1,0))&lt;6)),1,0)&amp;IF(AND((B32+C32-1+D32)&lt;9,OR((C32-1)=0,(MAX((B32)-1,0)+MAX((C32-1)-1,0)+MAX((D32)-1,0))&lt;6)),1,0)&amp;IF(AND((B32+C32-1+D32)&lt;9,OR((B32)=0,(MAX((B32)-1,0)+MAX((C32-1)-1,0)+MAX((D32)-1,0))&lt;6)),1,0))</x:f>
        <x:v>111</x:v>
      </x:c>
      <x:c r="L32" s="22" t="str">
        <x:f>IF(D32=0,"不可回收",IF(AND((B32+C32+D32-1)&lt;9,OR((D32-1)=0,(MAX((B32)-1,0)+MAX((C32)-1,0)+MAX((D32-1)-1,0))&lt;6)),1,0)&amp;IF(AND((B32+C32+D32-1)&lt;9,OR((C32)=0,(MAX((B32)-1,0)+MAX((C32)-1,0)+MAX((D32-1)-1,0))&lt;6)),1,0)&amp;IF(AND((B32+C32+D32-1)&lt;9,OR((B32)=0,(MAX((B32)-1,0)+MAX((C32)-1,0)+MAX((D32-1)-1,0))&lt;6)),1,0))</x:f>
        <x:v>不可回收</x:v>
      </x:c>
      <x:c r="M32" s="18" t="n">
        <x:f>1+F32</x:f>
        <x:v>2</x:v>
      </x:c>
      <x:c r="N32" s="18" t="n">
        <x:f>COUNTIF('容量转换'!$B$8:$B$2447,A32)</x:f>
        <x:v>8</x:v>
      </x:c>
      <x:c r="O32" s="21" t="str">
        <x:f>IF(AND(MIN(B32:D32)&gt;=0,MAX(B32:D32)&lt;=7,H32&lt;=9),"合法","不合法")</x:f>
        <x:v>合法</x:v>
      </x:c>
    </x:row>
    <x:row r="33" ht="23" customHeight="1">
      <x:c r="A33" s="3" t="str">
        <x:v>ST-026</x:v>
      </x:c>
      <x:c r="B33" s="19" t="n">
        <x:v>1</x:v>
      </x:c>
      <x:c r="C33" s="19" t="n">
        <x:v>0</x:v>
      </x:c>
      <x:c r="D33" s="19" t="n">
        <x:v>3</x:v>
      </x:c>
      <x:c r="E33" s="20" t="n">
        <x:f>SUM(B33:D33)</x:f>
        <x:v>4</x:v>
      </x:c>
      <x:c r="F33" s="20" t="n">
        <x:f>COUNTIF(B33:D33,"&gt;0")</x:f>
        <x:v>2</x:v>
      </x:c>
      <x:c r="G33" s="20" t="n">
        <x:f>MAX(B33-1,0)+MAX(C33-1,0)+MAX(D33-1,0)</x:f>
        <x:v>2</x:v>
      </x:c>
      <x:c r="H33" s="20" t="n">
        <x:f>MAX(B33,1)+MAX(C33,1)+MAX(D33,1)</x:f>
        <x:v>5</x:v>
      </x:c>
      <x:c r="I33" s="22" t="str">
        <x:f>IF(AND((B33+C33+D33)&lt;9,OR((D33)=0,(MAX((B33)-1,0)+MAX((C33)-1,0)+MAX((D33)-1,0))&lt;6)),1,0)&amp;IF(AND((B33+C33+D33)&lt;9,OR((C33)=0,(MAX((B33)-1,0)+MAX((C33)-1,0)+MAX((D33)-1,0))&lt;6)),1,0)&amp;IF(AND((B33+C33+D33)&lt;9,OR((B33)=0,(MAX((B33)-1,0)+MAX((C33)-1,0)+MAX((D33)-1,0))&lt;6)),1,0)</x:f>
        <x:v>111</x:v>
      </x:c>
      <x:c r="J33" s="22" t="str">
        <x:f>IF(B33=0,"不可回收",IF(AND((B33-1+C33+D33)&lt;9,OR((D33)=0,(MAX((B33-1)-1,0)+MAX((C33)-1,0)+MAX((D33)-1,0))&lt;6)),1,0)&amp;IF(AND((B33-1+C33+D33)&lt;9,OR((C33)=0,(MAX((B33-1)-1,0)+MAX((C33)-1,0)+MAX((D33)-1,0))&lt;6)),1,0)&amp;IF(AND((B33-1+C33+D33)&lt;9,OR((B33-1)=0,(MAX((B33-1)-1,0)+MAX((C33)-1,0)+MAX((D33)-1,0))&lt;6)),1,0))</x:f>
        <x:v>111</x:v>
      </x:c>
      <x:c r="K33" s="22" t="str">
        <x:f>IF(C33=0,"不可回收",IF(AND((B33+C33-1+D33)&lt;9,OR((D33)=0,(MAX((B33)-1,0)+MAX((C33-1)-1,0)+MAX((D33)-1,0))&lt;6)),1,0)&amp;IF(AND((B33+C33-1+D33)&lt;9,OR((C33-1)=0,(MAX((B33)-1,0)+MAX((C33-1)-1,0)+MAX((D33)-1,0))&lt;6)),1,0)&amp;IF(AND((B33+C33-1+D33)&lt;9,OR((B33)=0,(MAX((B33)-1,0)+MAX((C33-1)-1,0)+MAX((D33)-1,0))&lt;6)),1,0))</x:f>
        <x:v>不可回收</x:v>
      </x:c>
      <x:c r="L33" s="22" t="str">
        <x:f>IF(D33=0,"不可回收",IF(AND((B33+C33+D33-1)&lt;9,OR((D33-1)=0,(MAX((B33)-1,0)+MAX((C33)-1,0)+MAX((D33-1)-1,0))&lt;6)),1,0)&amp;IF(AND((B33+C33+D33-1)&lt;9,OR((C33)=0,(MAX((B33)-1,0)+MAX((C33)-1,0)+MAX((D33-1)-1,0))&lt;6)),1,0)&amp;IF(AND((B33+C33+D33-1)&lt;9,OR((B33)=0,(MAX((B33)-1,0)+MAX((C33)-1,0)+MAX((D33-1)-1,0))&lt;6)),1,0))</x:f>
        <x:v>111</x:v>
      </x:c>
      <x:c r="M33" s="18" t="n">
        <x:f>1+F33</x:f>
        <x:v>3</x:v>
      </x:c>
      <x:c r="N33" s="18" t="n">
        <x:f>COUNTIF('容量转换'!$B$8:$B$2447,A33)</x:f>
        <x:v>12</x:v>
      </x:c>
      <x:c r="O33" s="21" t="str">
        <x:f>IF(AND(MIN(B33:D33)&gt;=0,MAX(B33:D33)&lt;=7,H33&lt;=9),"合法","不合法")</x:f>
        <x:v>合法</x:v>
      </x:c>
    </x:row>
    <x:row r="34" ht="23" customHeight="1">
      <x:c r="A34" s="3" t="str">
        <x:v>ST-027</x:v>
      </x:c>
      <x:c r="B34" s="19" t="n">
        <x:v>1</x:v>
      </x:c>
      <x:c r="C34" s="19" t="n">
        <x:v>1</x:v>
      </x:c>
      <x:c r="D34" s="19" t="n">
        <x:v>2</x:v>
      </x:c>
      <x:c r="E34" s="20" t="n">
        <x:f>SUM(B34:D34)</x:f>
        <x:v>4</x:v>
      </x:c>
      <x:c r="F34" s="20" t="n">
        <x:f>COUNTIF(B34:D34,"&gt;0")</x:f>
        <x:v>3</x:v>
      </x:c>
      <x:c r="G34" s="20" t="n">
        <x:f>MAX(B34-1,0)+MAX(C34-1,0)+MAX(D34-1,0)</x:f>
        <x:v>1</x:v>
      </x:c>
      <x:c r="H34" s="20" t="n">
        <x:f>MAX(B34,1)+MAX(C34,1)+MAX(D34,1)</x:f>
        <x:v>4</x:v>
      </x:c>
      <x:c r="I34" s="22" t="str">
        <x:f>IF(AND((B34+C34+D34)&lt;9,OR((D34)=0,(MAX((B34)-1,0)+MAX((C34)-1,0)+MAX((D34)-1,0))&lt;6)),1,0)&amp;IF(AND((B34+C34+D34)&lt;9,OR((C34)=0,(MAX((B34)-1,0)+MAX((C34)-1,0)+MAX((D34)-1,0))&lt;6)),1,0)&amp;IF(AND((B34+C34+D34)&lt;9,OR((B34)=0,(MAX((B34)-1,0)+MAX((C34)-1,0)+MAX((D34)-1,0))&lt;6)),1,0)</x:f>
        <x:v>111</x:v>
      </x:c>
      <x:c r="J34" s="22" t="str">
        <x:f>IF(B34=0,"不可回收",IF(AND((B34-1+C34+D34)&lt;9,OR((D34)=0,(MAX((B34-1)-1,0)+MAX((C34)-1,0)+MAX((D34)-1,0))&lt;6)),1,0)&amp;IF(AND((B34-1+C34+D34)&lt;9,OR((C34)=0,(MAX((B34-1)-1,0)+MAX((C34)-1,0)+MAX((D34)-1,0))&lt;6)),1,0)&amp;IF(AND((B34-1+C34+D34)&lt;9,OR((B34-1)=0,(MAX((B34-1)-1,0)+MAX((C34)-1,0)+MAX((D34)-1,0))&lt;6)),1,0))</x:f>
        <x:v>111</x:v>
      </x:c>
      <x:c r="K34" s="22" t="str">
        <x:f>IF(C34=0,"不可回收",IF(AND((B34+C34-1+D34)&lt;9,OR((D34)=0,(MAX((B34)-1,0)+MAX((C34-1)-1,0)+MAX((D34)-1,0))&lt;6)),1,0)&amp;IF(AND((B34+C34-1+D34)&lt;9,OR((C34-1)=0,(MAX((B34)-1,0)+MAX((C34-1)-1,0)+MAX((D34)-1,0))&lt;6)),1,0)&amp;IF(AND((B34+C34-1+D34)&lt;9,OR((B34)=0,(MAX((B34)-1,0)+MAX((C34-1)-1,0)+MAX((D34)-1,0))&lt;6)),1,0))</x:f>
        <x:v>111</x:v>
      </x:c>
      <x:c r="L34" s="22" t="str">
        <x:f>IF(D34=0,"不可回收",IF(AND((B34+C34+D34-1)&lt;9,OR((D34-1)=0,(MAX((B34)-1,0)+MAX((C34)-1,0)+MAX((D34-1)-1,0))&lt;6)),1,0)&amp;IF(AND((B34+C34+D34-1)&lt;9,OR((C34)=0,(MAX((B34)-1,0)+MAX((C34)-1,0)+MAX((D34-1)-1,0))&lt;6)),1,0)&amp;IF(AND((B34+C34+D34-1)&lt;9,OR((B34)=0,(MAX((B34)-1,0)+MAX((C34)-1,0)+MAX((D34-1)-1,0))&lt;6)),1,0))</x:f>
        <x:v>111</x:v>
      </x:c>
      <x:c r="M34" s="18" t="n">
        <x:f>1+F34</x:f>
        <x:v>4</x:v>
      </x:c>
      <x:c r="N34" s="18" t="n">
        <x:f>COUNTIF('容量转换'!$B$8:$B$2447,A34)</x:f>
        <x:v>16</x:v>
      </x:c>
      <x:c r="O34" s="21" t="str">
        <x:f>IF(AND(MIN(B34:D34)&gt;=0,MAX(B34:D34)&lt;=7,H34&lt;=9),"合法","不合法")</x:f>
        <x:v>合法</x:v>
      </x:c>
    </x:row>
    <x:row r="35" ht="23" customHeight="1">
      <x:c r="A35" s="3" t="str">
        <x:v>ST-028</x:v>
      </x:c>
      <x:c r="B35" s="19" t="n">
        <x:v>1</x:v>
      </x:c>
      <x:c r="C35" s="19" t="n">
        <x:v>2</x:v>
      </x:c>
      <x:c r="D35" s="19" t="n">
        <x:v>1</x:v>
      </x:c>
      <x:c r="E35" s="20" t="n">
        <x:f>SUM(B35:D35)</x:f>
        <x:v>4</x:v>
      </x:c>
      <x:c r="F35" s="20" t="n">
        <x:f>COUNTIF(B35:D35,"&gt;0")</x:f>
        <x:v>3</x:v>
      </x:c>
      <x:c r="G35" s="20" t="n">
        <x:f>MAX(B35-1,0)+MAX(C35-1,0)+MAX(D35-1,0)</x:f>
        <x:v>1</x:v>
      </x:c>
      <x:c r="H35" s="20" t="n">
        <x:f>MAX(B35,1)+MAX(C35,1)+MAX(D35,1)</x:f>
        <x:v>4</x:v>
      </x:c>
      <x:c r="I35" s="22" t="str">
        <x:f>IF(AND((B35+C35+D35)&lt;9,OR((D35)=0,(MAX((B35)-1,0)+MAX((C35)-1,0)+MAX((D35)-1,0))&lt;6)),1,0)&amp;IF(AND((B35+C35+D35)&lt;9,OR((C35)=0,(MAX((B35)-1,0)+MAX((C35)-1,0)+MAX((D35)-1,0))&lt;6)),1,0)&amp;IF(AND((B35+C35+D35)&lt;9,OR((B35)=0,(MAX((B35)-1,0)+MAX((C35)-1,0)+MAX((D35)-1,0))&lt;6)),1,0)</x:f>
        <x:v>111</x:v>
      </x:c>
      <x:c r="J35" s="22" t="str">
        <x:f>IF(B35=0,"不可回收",IF(AND((B35-1+C35+D35)&lt;9,OR((D35)=0,(MAX((B35-1)-1,0)+MAX((C35)-1,0)+MAX((D35)-1,0))&lt;6)),1,0)&amp;IF(AND((B35-1+C35+D35)&lt;9,OR((C35)=0,(MAX((B35-1)-1,0)+MAX((C35)-1,0)+MAX((D35)-1,0))&lt;6)),1,0)&amp;IF(AND((B35-1+C35+D35)&lt;9,OR((B35-1)=0,(MAX((B35-1)-1,0)+MAX((C35)-1,0)+MAX((D35)-1,0))&lt;6)),1,0))</x:f>
        <x:v>111</x:v>
      </x:c>
      <x:c r="K35" s="22" t="str">
        <x:f>IF(C35=0,"不可回收",IF(AND((B35+C35-1+D35)&lt;9,OR((D35)=0,(MAX((B35)-1,0)+MAX((C35-1)-1,0)+MAX((D35)-1,0))&lt;6)),1,0)&amp;IF(AND((B35+C35-1+D35)&lt;9,OR((C35-1)=0,(MAX((B35)-1,0)+MAX((C35-1)-1,0)+MAX((D35)-1,0))&lt;6)),1,0)&amp;IF(AND((B35+C35-1+D35)&lt;9,OR((B35)=0,(MAX((B35)-1,0)+MAX((C35-1)-1,0)+MAX((D35)-1,0))&lt;6)),1,0))</x:f>
        <x:v>111</x:v>
      </x:c>
      <x:c r="L35" s="22" t="str">
        <x:f>IF(D35=0,"不可回收",IF(AND((B35+C35+D35-1)&lt;9,OR((D35-1)=0,(MAX((B35)-1,0)+MAX((C35)-1,0)+MAX((D35-1)-1,0))&lt;6)),1,0)&amp;IF(AND((B35+C35+D35-1)&lt;9,OR((C35)=0,(MAX((B35)-1,0)+MAX((C35)-1,0)+MAX((D35-1)-1,0))&lt;6)),1,0)&amp;IF(AND((B35+C35+D35-1)&lt;9,OR((B35)=0,(MAX((B35)-1,0)+MAX((C35)-1,0)+MAX((D35-1)-1,0))&lt;6)),1,0))</x:f>
        <x:v>111</x:v>
      </x:c>
      <x:c r="M35" s="18" t="n">
        <x:f>1+F35</x:f>
        <x:v>4</x:v>
      </x:c>
      <x:c r="N35" s="18" t="n">
        <x:f>COUNTIF('容量转换'!$B$8:$B$2447,A35)</x:f>
        <x:v>16</x:v>
      </x:c>
      <x:c r="O35" s="21" t="str">
        <x:f>IF(AND(MIN(B35:D35)&gt;=0,MAX(B35:D35)&lt;=7,H35&lt;=9),"合法","不合法")</x:f>
        <x:v>合法</x:v>
      </x:c>
    </x:row>
    <x:row r="36" ht="23" customHeight="1">
      <x:c r="A36" s="3" t="str">
        <x:v>ST-029</x:v>
      </x:c>
      <x:c r="B36" s="19" t="n">
        <x:v>1</x:v>
      </x:c>
      <x:c r="C36" s="19" t="n">
        <x:v>3</x:v>
      </x:c>
      <x:c r="D36" s="19" t="n">
        <x:v>0</x:v>
      </x:c>
      <x:c r="E36" s="20" t="n">
        <x:f>SUM(B36:D36)</x:f>
        <x:v>4</x:v>
      </x:c>
      <x:c r="F36" s="20" t="n">
        <x:f>COUNTIF(B36:D36,"&gt;0")</x:f>
        <x:v>2</x:v>
      </x:c>
      <x:c r="G36" s="20" t="n">
        <x:f>MAX(B36-1,0)+MAX(C36-1,0)+MAX(D36-1,0)</x:f>
        <x:v>2</x:v>
      </x:c>
      <x:c r="H36" s="20" t="n">
        <x:f>MAX(B36,1)+MAX(C36,1)+MAX(D36,1)</x:f>
        <x:v>5</x:v>
      </x:c>
      <x:c r="I36" s="22" t="str">
        <x:f>IF(AND((B36+C36+D36)&lt;9,OR((D36)=0,(MAX((B36)-1,0)+MAX((C36)-1,0)+MAX((D36)-1,0))&lt;6)),1,0)&amp;IF(AND((B36+C36+D36)&lt;9,OR((C36)=0,(MAX((B36)-1,0)+MAX((C36)-1,0)+MAX((D36)-1,0))&lt;6)),1,0)&amp;IF(AND((B36+C36+D36)&lt;9,OR((B36)=0,(MAX((B36)-1,0)+MAX((C36)-1,0)+MAX((D36)-1,0))&lt;6)),1,0)</x:f>
        <x:v>111</x:v>
      </x:c>
      <x:c r="J36" s="22" t="str">
        <x:f>IF(B36=0,"不可回收",IF(AND((B36-1+C36+D36)&lt;9,OR((D36)=0,(MAX((B36-1)-1,0)+MAX((C36)-1,0)+MAX((D36)-1,0))&lt;6)),1,0)&amp;IF(AND((B36-1+C36+D36)&lt;9,OR((C36)=0,(MAX((B36-1)-1,0)+MAX((C36)-1,0)+MAX((D36)-1,0))&lt;6)),1,0)&amp;IF(AND((B36-1+C36+D36)&lt;9,OR((B36-1)=0,(MAX((B36-1)-1,0)+MAX((C36)-1,0)+MAX((D36)-1,0))&lt;6)),1,0))</x:f>
        <x:v>111</x:v>
      </x:c>
      <x:c r="K36" s="22" t="str">
        <x:f>IF(C36=0,"不可回收",IF(AND((B36+C36-1+D36)&lt;9,OR((D36)=0,(MAX((B36)-1,0)+MAX((C36-1)-1,0)+MAX((D36)-1,0))&lt;6)),1,0)&amp;IF(AND((B36+C36-1+D36)&lt;9,OR((C36-1)=0,(MAX((B36)-1,0)+MAX((C36-1)-1,0)+MAX((D36)-1,0))&lt;6)),1,0)&amp;IF(AND((B36+C36-1+D36)&lt;9,OR((B36)=0,(MAX((B36)-1,0)+MAX((C36-1)-1,0)+MAX((D36)-1,0))&lt;6)),1,0))</x:f>
        <x:v>111</x:v>
      </x:c>
      <x:c r="L36" s="22" t="str">
        <x:f>IF(D36=0,"不可回收",IF(AND((B36+C36+D36-1)&lt;9,OR((D36-1)=0,(MAX((B36)-1,0)+MAX((C36)-1,0)+MAX((D36-1)-1,0))&lt;6)),1,0)&amp;IF(AND((B36+C36+D36-1)&lt;9,OR((C36)=0,(MAX((B36)-1,0)+MAX((C36)-1,0)+MAX((D36-1)-1,0))&lt;6)),1,0)&amp;IF(AND((B36+C36+D36-1)&lt;9,OR((B36)=0,(MAX((B36)-1,0)+MAX((C36)-1,0)+MAX((D36-1)-1,0))&lt;6)),1,0))</x:f>
        <x:v>不可回收</x:v>
      </x:c>
      <x:c r="M36" s="18" t="n">
        <x:f>1+F36</x:f>
        <x:v>3</x:v>
      </x:c>
      <x:c r="N36" s="18" t="n">
        <x:f>COUNTIF('容量转换'!$B$8:$B$2447,A36)</x:f>
        <x:v>12</x:v>
      </x:c>
      <x:c r="O36" s="21" t="str">
        <x:f>IF(AND(MIN(B36:D36)&gt;=0,MAX(B36:D36)&lt;=7,H36&lt;=9),"合法","不合法")</x:f>
        <x:v>合法</x:v>
      </x:c>
    </x:row>
    <x:row r="37" ht="23" customHeight="1">
      <x:c r="A37" s="3" t="str">
        <x:v>ST-030</x:v>
      </x:c>
      <x:c r="B37" s="19" t="n">
        <x:v>2</x:v>
      </x:c>
      <x:c r="C37" s="19" t="n">
        <x:v>0</x:v>
      </x:c>
      <x:c r="D37" s="19" t="n">
        <x:v>2</x:v>
      </x:c>
      <x:c r="E37" s="20" t="n">
        <x:f>SUM(B37:D37)</x:f>
        <x:v>4</x:v>
      </x:c>
      <x:c r="F37" s="20" t="n">
        <x:f>COUNTIF(B37:D37,"&gt;0")</x:f>
        <x:v>2</x:v>
      </x:c>
      <x:c r="G37" s="20" t="n">
        <x:f>MAX(B37-1,0)+MAX(C37-1,0)+MAX(D37-1,0)</x:f>
        <x:v>2</x:v>
      </x:c>
      <x:c r="H37" s="20" t="n">
        <x:f>MAX(B37,1)+MAX(C37,1)+MAX(D37,1)</x:f>
        <x:v>5</x:v>
      </x:c>
      <x:c r="I37" s="22" t="str">
        <x:f>IF(AND((B37+C37+D37)&lt;9,OR((D37)=0,(MAX((B37)-1,0)+MAX((C37)-1,0)+MAX((D37)-1,0))&lt;6)),1,0)&amp;IF(AND((B37+C37+D37)&lt;9,OR((C37)=0,(MAX((B37)-1,0)+MAX((C37)-1,0)+MAX((D37)-1,0))&lt;6)),1,0)&amp;IF(AND((B37+C37+D37)&lt;9,OR((B37)=0,(MAX((B37)-1,0)+MAX((C37)-1,0)+MAX((D37)-1,0))&lt;6)),1,0)</x:f>
        <x:v>111</x:v>
      </x:c>
      <x:c r="J37" s="22" t="str">
        <x:f>IF(B37=0,"不可回收",IF(AND((B37-1+C37+D37)&lt;9,OR((D37)=0,(MAX((B37-1)-1,0)+MAX((C37)-1,0)+MAX((D37)-1,0))&lt;6)),1,0)&amp;IF(AND((B37-1+C37+D37)&lt;9,OR((C37)=0,(MAX((B37-1)-1,0)+MAX((C37)-1,0)+MAX((D37)-1,0))&lt;6)),1,0)&amp;IF(AND((B37-1+C37+D37)&lt;9,OR((B37-1)=0,(MAX((B37-1)-1,0)+MAX((C37)-1,0)+MAX((D37)-1,0))&lt;6)),1,0))</x:f>
        <x:v>111</x:v>
      </x:c>
      <x:c r="K37" s="22" t="str">
        <x:f>IF(C37=0,"不可回收",IF(AND((B37+C37-1+D37)&lt;9,OR((D37)=0,(MAX((B37)-1,0)+MAX((C37-1)-1,0)+MAX((D37)-1,0))&lt;6)),1,0)&amp;IF(AND((B37+C37-1+D37)&lt;9,OR((C37-1)=0,(MAX((B37)-1,0)+MAX((C37-1)-1,0)+MAX((D37)-1,0))&lt;6)),1,0)&amp;IF(AND((B37+C37-1+D37)&lt;9,OR((B37)=0,(MAX((B37)-1,0)+MAX((C37-1)-1,0)+MAX((D37)-1,0))&lt;6)),1,0))</x:f>
        <x:v>不可回收</x:v>
      </x:c>
      <x:c r="L37" s="22" t="str">
        <x:f>IF(D37=0,"不可回收",IF(AND((B37+C37+D37-1)&lt;9,OR((D37-1)=0,(MAX((B37)-1,0)+MAX((C37)-1,0)+MAX((D37-1)-1,0))&lt;6)),1,0)&amp;IF(AND((B37+C37+D37-1)&lt;9,OR((C37)=0,(MAX((B37)-1,0)+MAX((C37)-1,0)+MAX((D37-1)-1,0))&lt;6)),1,0)&amp;IF(AND((B37+C37+D37-1)&lt;9,OR((B37)=0,(MAX((B37)-1,0)+MAX((C37)-1,0)+MAX((D37-1)-1,0))&lt;6)),1,0))</x:f>
        <x:v>111</x:v>
      </x:c>
      <x:c r="M37" s="18" t="n">
        <x:f>1+F37</x:f>
        <x:v>3</x:v>
      </x:c>
      <x:c r="N37" s="18" t="n">
        <x:f>COUNTIF('容量转换'!$B$8:$B$2447,A37)</x:f>
        <x:v>12</x:v>
      </x:c>
      <x:c r="O37" s="21" t="str">
        <x:f>IF(AND(MIN(B37:D37)&gt;=0,MAX(B37:D37)&lt;=7,H37&lt;=9),"合法","不合法")</x:f>
        <x:v>合法</x:v>
      </x:c>
    </x:row>
    <x:row r="38" ht="23" customHeight="1">
      <x:c r="A38" s="3" t="str">
        <x:v>ST-031</x:v>
      </x:c>
      <x:c r="B38" s="19" t="n">
        <x:v>2</x:v>
      </x:c>
      <x:c r="C38" s="19" t="n">
        <x:v>1</x:v>
      </x:c>
      <x:c r="D38" s="19" t="n">
        <x:v>1</x:v>
      </x:c>
      <x:c r="E38" s="20" t="n">
        <x:f>SUM(B38:D38)</x:f>
        <x:v>4</x:v>
      </x:c>
      <x:c r="F38" s="20" t="n">
        <x:f>COUNTIF(B38:D38,"&gt;0")</x:f>
        <x:v>3</x:v>
      </x:c>
      <x:c r="G38" s="20" t="n">
        <x:f>MAX(B38-1,0)+MAX(C38-1,0)+MAX(D38-1,0)</x:f>
        <x:v>1</x:v>
      </x:c>
      <x:c r="H38" s="20" t="n">
        <x:f>MAX(B38,1)+MAX(C38,1)+MAX(D38,1)</x:f>
        <x:v>4</x:v>
      </x:c>
      <x:c r="I38" s="22" t="str">
        <x:f>IF(AND((B38+C38+D38)&lt;9,OR((D38)=0,(MAX((B38)-1,0)+MAX((C38)-1,0)+MAX((D38)-1,0))&lt;6)),1,0)&amp;IF(AND((B38+C38+D38)&lt;9,OR((C38)=0,(MAX((B38)-1,0)+MAX((C38)-1,0)+MAX((D38)-1,0))&lt;6)),1,0)&amp;IF(AND((B38+C38+D38)&lt;9,OR((B38)=0,(MAX((B38)-1,0)+MAX((C38)-1,0)+MAX((D38)-1,0))&lt;6)),1,0)</x:f>
        <x:v>111</x:v>
      </x:c>
      <x:c r="J38" s="22" t="str">
        <x:f>IF(B38=0,"不可回收",IF(AND((B38-1+C38+D38)&lt;9,OR((D38)=0,(MAX((B38-1)-1,0)+MAX((C38)-1,0)+MAX((D38)-1,0))&lt;6)),1,0)&amp;IF(AND((B38-1+C38+D38)&lt;9,OR((C38)=0,(MAX((B38-1)-1,0)+MAX((C38)-1,0)+MAX((D38)-1,0))&lt;6)),1,0)&amp;IF(AND((B38-1+C38+D38)&lt;9,OR((B38-1)=0,(MAX((B38-1)-1,0)+MAX((C38)-1,0)+MAX((D38)-1,0))&lt;6)),1,0))</x:f>
        <x:v>111</x:v>
      </x:c>
      <x:c r="K38" s="22" t="str">
        <x:f>IF(C38=0,"不可回收",IF(AND((B38+C38-1+D38)&lt;9,OR((D38)=0,(MAX((B38)-1,0)+MAX((C38-1)-1,0)+MAX((D38)-1,0))&lt;6)),1,0)&amp;IF(AND((B38+C38-1+D38)&lt;9,OR((C38-1)=0,(MAX((B38)-1,0)+MAX((C38-1)-1,0)+MAX((D38)-1,0))&lt;6)),1,0)&amp;IF(AND((B38+C38-1+D38)&lt;9,OR((B38)=0,(MAX((B38)-1,0)+MAX((C38-1)-1,0)+MAX((D38)-1,0))&lt;6)),1,0))</x:f>
        <x:v>111</x:v>
      </x:c>
      <x:c r="L38" s="22" t="str">
        <x:f>IF(D38=0,"不可回收",IF(AND((B38+C38+D38-1)&lt;9,OR((D38-1)=0,(MAX((B38)-1,0)+MAX((C38)-1,0)+MAX((D38-1)-1,0))&lt;6)),1,0)&amp;IF(AND((B38+C38+D38-1)&lt;9,OR((C38)=0,(MAX((B38)-1,0)+MAX((C38)-1,0)+MAX((D38-1)-1,0))&lt;6)),1,0)&amp;IF(AND((B38+C38+D38-1)&lt;9,OR((B38)=0,(MAX((B38)-1,0)+MAX((C38)-1,0)+MAX((D38-1)-1,0))&lt;6)),1,0))</x:f>
        <x:v>111</x:v>
      </x:c>
      <x:c r="M38" s="18" t="n">
        <x:f>1+F38</x:f>
        <x:v>4</x:v>
      </x:c>
      <x:c r="N38" s="18" t="n">
        <x:f>COUNTIF('容量转换'!$B$8:$B$2447,A38)</x:f>
        <x:v>16</x:v>
      </x:c>
      <x:c r="O38" s="21" t="str">
        <x:f>IF(AND(MIN(B38:D38)&gt;=0,MAX(B38:D38)&lt;=7,H38&lt;=9),"合法","不合法")</x:f>
        <x:v>合法</x:v>
      </x:c>
    </x:row>
    <x:row r="39" ht="23" customHeight="1">
      <x:c r="A39" s="3" t="str">
        <x:v>ST-032</x:v>
      </x:c>
      <x:c r="B39" s="19" t="n">
        <x:v>2</x:v>
      </x:c>
      <x:c r="C39" s="19" t="n">
        <x:v>2</x:v>
      </x:c>
      <x:c r="D39" s="19" t="n">
        <x:v>0</x:v>
      </x:c>
      <x:c r="E39" s="20" t="n">
        <x:f>SUM(B39:D39)</x:f>
        <x:v>4</x:v>
      </x:c>
      <x:c r="F39" s="20" t="n">
        <x:f>COUNTIF(B39:D39,"&gt;0")</x:f>
        <x:v>2</x:v>
      </x:c>
      <x:c r="G39" s="20" t="n">
        <x:f>MAX(B39-1,0)+MAX(C39-1,0)+MAX(D39-1,0)</x:f>
        <x:v>2</x:v>
      </x:c>
      <x:c r="H39" s="20" t="n">
        <x:f>MAX(B39,1)+MAX(C39,1)+MAX(D39,1)</x:f>
        <x:v>5</x:v>
      </x:c>
      <x:c r="I39" s="22" t="str">
        <x:f>IF(AND((B39+C39+D39)&lt;9,OR((D39)=0,(MAX((B39)-1,0)+MAX((C39)-1,0)+MAX((D39)-1,0))&lt;6)),1,0)&amp;IF(AND((B39+C39+D39)&lt;9,OR((C39)=0,(MAX((B39)-1,0)+MAX((C39)-1,0)+MAX((D39)-1,0))&lt;6)),1,0)&amp;IF(AND((B39+C39+D39)&lt;9,OR((B39)=0,(MAX((B39)-1,0)+MAX((C39)-1,0)+MAX((D39)-1,0))&lt;6)),1,0)</x:f>
        <x:v>111</x:v>
      </x:c>
      <x:c r="J39" s="22" t="str">
        <x:f>IF(B39=0,"不可回收",IF(AND((B39-1+C39+D39)&lt;9,OR((D39)=0,(MAX((B39-1)-1,0)+MAX((C39)-1,0)+MAX((D39)-1,0))&lt;6)),1,0)&amp;IF(AND((B39-1+C39+D39)&lt;9,OR((C39)=0,(MAX((B39-1)-1,0)+MAX((C39)-1,0)+MAX((D39)-1,0))&lt;6)),1,0)&amp;IF(AND((B39-1+C39+D39)&lt;9,OR((B39-1)=0,(MAX((B39-1)-1,0)+MAX((C39)-1,0)+MAX((D39)-1,0))&lt;6)),1,0))</x:f>
        <x:v>111</x:v>
      </x:c>
      <x:c r="K39" s="22" t="str">
        <x:f>IF(C39=0,"不可回收",IF(AND((B39+C39-1+D39)&lt;9,OR((D39)=0,(MAX((B39)-1,0)+MAX((C39-1)-1,0)+MAX((D39)-1,0))&lt;6)),1,0)&amp;IF(AND((B39+C39-1+D39)&lt;9,OR((C39-1)=0,(MAX((B39)-1,0)+MAX((C39-1)-1,0)+MAX((D39)-1,0))&lt;6)),1,0)&amp;IF(AND((B39+C39-1+D39)&lt;9,OR((B39)=0,(MAX((B39)-1,0)+MAX((C39-1)-1,0)+MAX((D39)-1,0))&lt;6)),1,0))</x:f>
        <x:v>111</x:v>
      </x:c>
      <x:c r="L39" s="22" t="str">
        <x:f>IF(D39=0,"不可回收",IF(AND((B39+C39+D39-1)&lt;9,OR((D39-1)=0,(MAX((B39)-1,0)+MAX((C39)-1,0)+MAX((D39-1)-1,0))&lt;6)),1,0)&amp;IF(AND((B39+C39+D39-1)&lt;9,OR((C39)=0,(MAX((B39)-1,0)+MAX((C39)-1,0)+MAX((D39-1)-1,0))&lt;6)),1,0)&amp;IF(AND((B39+C39+D39-1)&lt;9,OR((B39)=0,(MAX((B39)-1,0)+MAX((C39)-1,0)+MAX((D39-1)-1,0))&lt;6)),1,0))</x:f>
        <x:v>不可回收</x:v>
      </x:c>
      <x:c r="M39" s="18" t="n">
        <x:f>1+F39</x:f>
        <x:v>3</x:v>
      </x:c>
      <x:c r="N39" s="18" t="n">
        <x:f>COUNTIF('容量转换'!$B$8:$B$2447,A39)</x:f>
        <x:v>12</x:v>
      </x:c>
      <x:c r="O39" s="21" t="str">
        <x:f>IF(AND(MIN(B39:D39)&gt;=0,MAX(B39:D39)&lt;=7,H39&lt;=9),"合法","不合法")</x:f>
        <x:v>合法</x:v>
      </x:c>
    </x:row>
    <x:row r="40" ht="23" customHeight="1">
      <x:c r="A40" s="3" t="str">
        <x:v>ST-033</x:v>
      </x:c>
      <x:c r="B40" s="19" t="n">
        <x:v>3</x:v>
      </x:c>
      <x:c r="C40" s="19" t="n">
        <x:v>0</x:v>
      </x:c>
      <x:c r="D40" s="19" t="n">
        <x:v>1</x:v>
      </x:c>
      <x:c r="E40" s="20" t="n">
        <x:f>SUM(B40:D40)</x:f>
        <x:v>4</x:v>
      </x:c>
      <x:c r="F40" s="20" t="n">
        <x:f>COUNTIF(B40:D40,"&gt;0")</x:f>
        <x:v>2</x:v>
      </x:c>
      <x:c r="G40" s="20" t="n">
        <x:f>MAX(B40-1,0)+MAX(C40-1,0)+MAX(D40-1,0)</x:f>
        <x:v>2</x:v>
      </x:c>
      <x:c r="H40" s="20" t="n">
        <x:f>MAX(B40,1)+MAX(C40,1)+MAX(D40,1)</x:f>
        <x:v>5</x:v>
      </x:c>
      <x:c r="I40" s="22" t="str">
        <x:f>IF(AND((B40+C40+D40)&lt;9,OR((D40)=0,(MAX((B40)-1,0)+MAX((C40)-1,0)+MAX((D40)-1,0))&lt;6)),1,0)&amp;IF(AND((B40+C40+D40)&lt;9,OR((C40)=0,(MAX((B40)-1,0)+MAX((C40)-1,0)+MAX((D40)-1,0))&lt;6)),1,0)&amp;IF(AND((B40+C40+D40)&lt;9,OR((B40)=0,(MAX((B40)-1,0)+MAX((C40)-1,0)+MAX((D40)-1,0))&lt;6)),1,0)</x:f>
        <x:v>111</x:v>
      </x:c>
      <x:c r="J40" s="22" t="str">
        <x:f>IF(B40=0,"不可回收",IF(AND((B40-1+C40+D40)&lt;9,OR((D40)=0,(MAX((B40-1)-1,0)+MAX((C40)-1,0)+MAX((D40)-1,0))&lt;6)),1,0)&amp;IF(AND((B40-1+C40+D40)&lt;9,OR((C40)=0,(MAX((B40-1)-1,0)+MAX((C40)-1,0)+MAX((D40)-1,0))&lt;6)),1,0)&amp;IF(AND((B40-1+C40+D40)&lt;9,OR((B40-1)=0,(MAX((B40-1)-1,0)+MAX((C40)-1,0)+MAX((D40)-1,0))&lt;6)),1,0))</x:f>
        <x:v>111</x:v>
      </x:c>
      <x:c r="K40" s="22" t="str">
        <x:f>IF(C40=0,"不可回收",IF(AND((B40+C40-1+D40)&lt;9,OR((D40)=0,(MAX((B40)-1,0)+MAX((C40-1)-1,0)+MAX((D40)-1,0))&lt;6)),1,0)&amp;IF(AND((B40+C40-1+D40)&lt;9,OR((C40-1)=0,(MAX((B40)-1,0)+MAX((C40-1)-1,0)+MAX((D40)-1,0))&lt;6)),1,0)&amp;IF(AND((B40+C40-1+D40)&lt;9,OR((B40)=0,(MAX((B40)-1,0)+MAX((C40-1)-1,0)+MAX((D40)-1,0))&lt;6)),1,0))</x:f>
        <x:v>不可回收</x:v>
      </x:c>
      <x:c r="L40" s="22" t="str">
        <x:f>IF(D40=0,"不可回收",IF(AND((B40+C40+D40-1)&lt;9,OR((D40-1)=0,(MAX((B40)-1,0)+MAX((C40)-1,0)+MAX((D40-1)-1,0))&lt;6)),1,0)&amp;IF(AND((B40+C40+D40-1)&lt;9,OR((C40)=0,(MAX((B40)-1,0)+MAX((C40)-1,0)+MAX((D40-1)-1,0))&lt;6)),1,0)&amp;IF(AND((B40+C40+D40-1)&lt;9,OR((B40)=0,(MAX((B40)-1,0)+MAX((C40)-1,0)+MAX((D40-1)-1,0))&lt;6)),1,0))</x:f>
        <x:v>111</x:v>
      </x:c>
      <x:c r="M40" s="18" t="n">
        <x:f>1+F40</x:f>
        <x:v>3</x:v>
      </x:c>
      <x:c r="N40" s="18" t="n">
        <x:f>COUNTIF('容量转换'!$B$8:$B$2447,A40)</x:f>
        <x:v>12</x:v>
      </x:c>
      <x:c r="O40" s="21" t="str">
        <x:f>IF(AND(MIN(B40:D40)&gt;=0,MAX(B40:D40)&lt;=7,H40&lt;=9),"合法","不合法")</x:f>
        <x:v>合法</x:v>
      </x:c>
    </x:row>
    <x:row r="41" ht="23" customHeight="1">
      <x:c r="A41" s="3" t="str">
        <x:v>ST-034</x:v>
      </x:c>
      <x:c r="B41" s="19" t="n">
        <x:v>3</x:v>
      </x:c>
      <x:c r="C41" s="19" t="n">
        <x:v>1</x:v>
      </x:c>
      <x:c r="D41" s="19" t="n">
        <x:v>0</x:v>
      </x:c>
      <x:c r="E41" s="20" t="n">
        <x:f>SUM(B41:D41)</x:f>
        <x:v>4</x:v>
      </x:c>
      <x:c r="F41" s="20" t="n">
        <x:f>COUNTIF(B41:D41,"&gt;0")</x:f>
        <x:v>2</x:v>
      </x:c>
      <x:c r="G41" s="20" t="n">
        <x:f>MAX(B41-1,0)+MAX(C41-1,0)+MAX(D41-1,0)</x:f>
        <x:v>2</x:v>
      </x:c>
      <x:c r="H41" s="20" t="n">
        <x:f>MAX(B41,1)+MAX(C41,1)+MAX(D41,1)</x:f>
        <x:v>5</x:v>
      </x:c>
      <x:c r="I41" s="22" t="str">
        <x:f>IF(AND((B41+C41+D41)&lt;9,OR((D41)=0,(MAX((B41)-1,0)+MAX((C41)-1,0)+MAX((D41)-1,0))&lt;6)),1,0)&amp;IF(AND((B41+C41+D41)&lt;9,OR((C41)=0,(MAX((B41)-1,0)+MAX((C41)-1,0)+MAX((D41)-1,0))&lt;6)),1,0)&amp;IF(AND((B41+C41+D41)&lt;9,OR((B41)=0,(MAX((B41)-1,0)+MAX((C41)-1,0)+MAX((D41)-1,0))&lt;6)),1,0)</x:f>
        <x:v>111</x:v>
      </x:c>
      <x:c r="J41" s="22" t="str">
        <x:f>IF(B41=0,"不可回收",IF(AND((B41-1+C41+D41)&lt;9,OR((D41)=0,(MAX((B41-1)-1,0)+MAX((C41)-1,0)+MAX((D41)-1,0))&lt;6)),1,0)&amp;IF(AND((B41-1+C41+D41)&lt;9,OR((C41)=0,(MAX((B41-1)-1,0)+MAX((C41)-1,0)+MAX((D41)-1,0))&lt;6)),1,0)&amp;IF(AND((B41-1+C41+D41)&lt;9,OR((B41-1)=0,(MAX((B41-1)-1,0)+MAX((C41)-1,0)+MAX((D41)-1,0))&lt;6)),1,0))</x:f>
        <x:v>111</x:v>
      </x:c>
      <x:c r="K41" s="22" t="str">
        <x:f>IF(C41=0,"不可回收",IF(AND((B41+C41-1+D41)&lt;9,OR((D41)=0,(MAX((B41)-1,0)+MAX((C41-1)-1,0)+MAX((D41)-1,0))&lt;6)),1,0)&amp;IF(AND((B41+C41-1+D41)&lt;9,OR((C41-1)=0,(MAX((B41)-1,0)+MAX((C41-1)-1,0)+MAX((D41)-1,0))&lt;6)),1,0)&amp;IF(AND((B41+C41-1+D41)&lt;9,OR((B41)=0,(MAX((B41)-1,0)+MAX((C41-1)-1,0)+MAX((D41)-1,0))&lt;6)),1,0))</x:f>
        <x:v>111</x:v>
      </x:c>
      <x:c r="L41" s="22" t="str">
        <x:f>IF(D41=0,"不可回收",IF(AND((B41+C41+D41-1)&lt;9,OR((D41-1)=0,(MAX((B41)-1,0)+MAX((C41)-1,0)+MAX((D41-1)-1,0))&lt;6)),1,0)&amp;IF(AND((B41+C41+D41-1)&lt;9,OR((C41)=0,(MAX((B41)-1,0)+MAX((C41)-1,0)+MAX((D41-1)-1,0))&lt;6)),1,0)&amp;IF(AND((B41+C41+D41-1)&lt;9,OR((B41)=0,(MAX((B41)-1,0)+MAX((C41)-1,0)+MAX((D41-1)-1,0))&lt;6)),1,0))</x:f>
        <x:v>不可回收</x:v>
      </x:c>
      <x:c r="M41" s="18" t="n">
        <x:f>1+F41</x:f>
        <x:v>3</x:v>
      </x:c>
      <x:c r="N41" s="18" t="n">
        <x:f>COUNTIF('容量转换'!$B$8:$B$2447,A41)</x:f>
        <x:v>12</x:v>
      </x:c>
      <x:c r="O41" s="21" t="str">
        <x:f>IF(AND(MIN(B41:D41)&gt;=0,MAX(B41:D41)&lt;=7,H41&lt;=9),"合法","不合法")</x:f>
        <x:v>合法</x:v>
      </x:c>
    </x:row>
    <x:row r="42" ht="23" customHeight="1">
      <x:c r="A42" s="3" t="str">
        <x:v>ST-035</x:v>
      </x:c>
      <x:c r="B42" s="19" t="n">
        <x:v>4</x:v>
      </x:c>
      <x:c r="C42" s="19" t="n">
        <x:v>0</x:v>
      </x:c>
      <x:c r="D42" s="19" t="n">
        <x:v>0</x:v>
      </x:c>
      <x:c r="E42" s="20" t="n">
        <x:f>SUM(B42:D42)</x:f>
        <x:v>4</x:v>
      </x:c>
      <x:c r="F42" s="20" t="n">
        <x:f>COUNTIF(B42:D42,"&gt;0")</x:f>
        <x:v>1</x:v>
      </x:c>
      <x:c r="G42" s="20" t="n">
        <x:f>MAX(B42-1,0)+MAX(C42-1,0)+MAX(D42-1,0)</x:f>
        <x:v>3</x:v>
      </x:c>
      <x:c r="H42" s="20" t="n">
        <x:f>MAX(B42,1)+MAX(C42,1)+MAX(D42,1)</x:f>
        <x:v>6</x:v>
      </x:c>
      <x:c r="I42" s="22" t="str">
        <x:f>IF(AND((B42+C42+D42)&lt;9,OR((D42)=0,(MAX((B42)-1,0)+MAX((C42)-1,0)+MAX((D42)-1,0))&lt;6)),1,0)&amp;IF(AND((B42+C42+D42)&lt;9,OR((C42)=0,(MAX((B42)-1,0)+MAX((C42)-1,0)+MAX((D42)-1,0))&lt;6)),1,0)&amp;IF(AND((B42+C42+D42)&lt;9,OR((B42)=0,(MAX((B42)-1,0)+MAX((C42)-1,0)+MAX((D42)-1,0))&lt;6)),1,0)</x:f>
        <x:v>111</x:v>
      </x:c>
      <x:c r="J42" s="22" t="str">
        <x:f>IF(B42=0,"不可回收",IF(AND((B42-1+C42+D42)&lt;9,OR((D42)=0,(MAX((B42-1)-1,0)+MAX((C42)-1,0)+MAX((D42)-1,0))&lt;6)),1,0)&amp;IF(AND((B42-1+C42+D42)&lt;9,OR((C42)=0,(MAX((B42-1)-1,0)+MAX((C42)-1,0)+MAX((D42)-1,0))&lt;6)),1,0)&amp;IF(AND((B42-1+C42+D42)&lt;9,OR((B42-1)=0,(MAX((B42-1)-1,0)+MAX((C42)-1,0)+MAX((D42)-1,0))&lt;6)),1,0))</x:f>
        <x:v>111</x:v>
      </x:c>
      <x:c r="K42" s="22" t="str">
        <x:f>IF(C42=0,"不可回收",IF(AND((B42+C42-1+D42)&lt;9,OR((D42)=0,(MAX((B42)-1,0)+MAX((C42-1)-1,0)+MAX((D42)-1,0))&lt;6)),1,0)&amp;IF(AND((B42+C42-1+D42)&lt;9,OR((C42-1)=0,(MAX((B42)-1,0)+MAX((C42-1)-1,0)+MAX((D42)-1,0))&lt;6)),1,0)&amp;IF(AND((B42+C42-1+D42)&lt;9,OR((B42)=0,(MAX((B42)-1,0)+MAX((C42-1)-1,0)+MAX((D42)-1,0))&lt;6)),1,0))</x:f>
        <x:v>不可回收</x:v>
      </x:c>
      <x:c r="L42" s="22" t="str">
        <x:f>IF(D42=0,"不可回收",IF(AND((B42+C42+D42-1)&lt;9,OR((D42-1)=0,(MAX((B42)-1,0)+MAX((C42)-1,0)+MAX((D42-1)-1,0))&lt;6)),1,0)&amp;IF(AND((B42+C42+D42-1)&lt;9,OR((C42)=0,(MAX((B42)-1,0)+MAX((C42)-1,0)+MAX((D42-1)-1,0))&lt;6)),1,0)&amp;IF(AND((B42+C42+D42-1)&lt;9,OR((B42)=0,(MAX((B42)-1,0)+MAX((C42)-1,0)+MAX((D42-1)-1,0))&lt;6)),1,0))</x:f>
        <x:v>不可回收</x:v>
      </x:c>
      <x:c r="M42" s="18" t="n">
        <x:f>1+F42</x:f>
        <x:v>2</x:v>
      </x:c>
      <x:c r="N42" s="18" t="n">
        <x:f>COUNTIF('容量转换'!$B$8:$B$2447,A42)</x:f>
        <x:v>8</x:v>
      </x:c>
      <x:c r="O42" s="21" t="str">
        <x:f>IF(AND(MIN(B42:D42)&gt;=0,MAX(B42:D42)&lt;=7,H42&lt;=9),"合法","不合法")</x:f>
        <x:v>合法</x:v>
      </x:c>
    </x:row>
    <x:row r="43" ht="23" customHeight="1">
      <x:c r="A43" s="3" t="str">
        <x:v>ST-036</x:v>
      </x:c>
      <x:c r="B43" s="19" t="n">
        <x:v>0</x:v>
      </x:c>
      <x:c r="C43" s="19" t="n">
        <x:v>0</x:v>
      </x:c>
      <x:c r="D43" s="19" t="n">
        <x:v>5</x:v>
      </x:c>
      <x:c r="E43" s="20" t="n">
        <x:f>SUM(B43:D43)</x:f>
        <x:v>5</x:v>
      </x:c>
      <x:c r="F43" s="20" t="n">
        <x:f>COUNTIF(B43:D43,"&gt;0")</x:f>
        <x:v>1</x:v>
      </x:c>
      <x:c r="G43" s="20" t="n">
        <x:f>MAX(B43-1,0)+MAX(C43-1,0)+MAX(D43-1,0)</x:f>
        <x:v>4</x:v>
      </x:c>
      <x:c r="H43" s="20" t="n">
        <x:f>MAX(B43,1)+MAX(C43,1)+MAX(D43,1)</x:f>
        <x:v>7</x:v>
      </x:c>
      <x:c r="I43" s="22" t="str">
        <x:f>IF(AND((B43+C43+D43)&lt;9,OR((D43)=0,(MAX((B43)-1,0)+MAX((C43)-1,0)+MAX((D43)-1,0))&lt;6)),1,0)&amp;IF(AND((B43+C43+D43)&lt;9,OR((C43)=0,(MAX((B43)-1,0)+MAX((C43)-1,0)+MAX((D43)-1,0))&lt;6)),1,0)&amp;IF(AND((B43+C43+D43)&lt;9,OR((B43)=0,(MAX((B43)-1,0)+MAX((C43)-1,0)+MAX((D43)-1,0))&lt;6)),1,0)</x:f>
        <x:v>111</x:v>
      </x:c>
      <x:c r="J43" s="22" t="str">
        <x:f>IF(B43=0,"不可回收",IF(AND((B43-1+C43+D43)&lt;9,OR((D43)=0,(MAX((B43-1)-1,0)+MAX((C43)-1,0)+MAX((D43)-1,0))&lt;6)),1,0)&amp;IF(AND((B43-1+C43+D43)&lt;9,OR((C43)=0,(MAX((B43-1)-1,0)+MAX((C43)-1,0)+MAX((D43)-1,0))&lt;6)),1,0)&amp;IF(AND((B43-1+C43+D43)&lt;9,OR((B43-1)=0,(MAX((B43-1)-1,0)+MAX((C43)-1,0)+MAX((D43)-1,0))&lt;6)),1,0))</x:f>
        <x:v>不可回收</x:v>
      </x:c>
      <x:c r="K43" s="22" t="str">
        <x:f>IF(C43=0,"不可回收",IF(AND((B43+C43-1+D43)&lt;9,OR((D43)=0,(MAX((B43)-1,0)+MAX((C43-1)-1,0)+MAX((D43)-1,0))&lt;6)),1,0)&amp;IF(AND((B43+C43-1+D43)&lt;9,OR((C43-1)=0,(MAX((B43)-1,0)+MAX((C43-1)-1,0)+MAX((D43)-1,0))&lt;6)),1,0)&amp;IF(AND((B43+C43-1+D43)&lt;9,OR((B43)=0,(MAX((B43)-1,0)+MAX((C43-1)-1,0)+MAX((D43)-1,0))&lt;6)),1,0))</x:f>
        <x:v>不可回收</x:v>
      </x:c>
      <x:c r="L43" s="22" t="str">
        <x:f>IF(D43=0,"不可回收",IF(AND((B43+C43+D43-1)&lt;9,OR((D43-1)=0,(MAX((B43)-1,0)+MAX((C43)-1,0)+MAX((D43-1)-1,0))&lt;6)),1,0)&amp;IF(AND((B43+C43+D43-1)&lt;9,OR((C43)=0,(MAX((B43)-1,0)+MAX((C43)-1,0)+MAX((D43-1)-1,0))&lt;6)),1,0)&amp;IF(AND((B43+C43+D43-1)&lt;9,OR((B43)=0,(MAX((B43)-1,0)+MAX((C43)-1,0)+MAX((D43-1)-1,0))&lt;6)),1,0))</x:f>
        <x:v>111</x:v>
      </x:c>
      <x:c r="M43" s="18" t="n">
        <x:f>1+F43</x:f>
        <x:v>2</x:v>
      </x:c>
      <x:c r="N43" s="18" t="n">
        <x:f>COUNTIF('容量转换'!$B$8:$B$2447,A43)</x:f>
        <x:v>8</x:v>
      </x:c>
      <x:c r="O43" s="21" t="str">
        <x:f>IF(AND(MIN(B43:D43)&gt;=0,MAX(B43:D43)&lt;=7,H43&lt;=9),"合法","不合法")</x:f>
        <x:v>合法</x:v>
      </x:c>
    </x:row>
    <x:row r="44" ht="23" customHeight="1">
      <x:c r="A44" s="3" t="str">
        <x:v>ST-037</x:v>
      </x:c>
      <x:c r="B44" s="19" t="n">
        <x:v>0</x:v>
      </x:c>
      <x:c r="C44" s="19" t="n">
        <x:v>1</x:v>
      </x:c>
      <x:c r="D44" s="19" t="n">
        <x:v>4</x:v>
      </x:c>
      <x:c r="E44" s="20" t="n">
        <x:f>SUM(B44:D44)</x:f>
        <x:v>5</x:v>
      </x:c>
      <x:c r="F44" s="20" t="n">
        <x:f>COUNTIF(B44:D44,"&gt;0")</x:f>
        <x:v>2</x:v>
      </x:c>
      <x:c r="G44" s="20" t="n">
        <x:f>MAX(B44-1,0)+MAX(C44-1,0)+MAX(D44-1,0)</x:f>
        <x:v>3</x:v>
      </x:c>
      <x:c r="H44" s="20" t="n">
        <x:f>MAX(B44,1)+MAX(C44,1)+MAX(D44,1)</x:f>
        <x:v>6</x:v>
      </x:c>
      <x:c r="I44" s="22" t="str">
        <x:f>IF(AND((B44+C44+D44)&lt;9,OR((D44)=0,(MAX((B44)-1,0)+MAX((C44)-1,0)+MAX((D44)-1,0))&lt;6)),1,0)&amp;IF(AND((B44+C44+D44)&lt;9,OR((C44)=0,(MAX((B44)-1,0)+MAX((C44)-1,0)+MAX((D44)-1,0))&lt;6)),1,0)&amp;IF(AND((B44+C44+D44)&lt;9,OR((B44)=0,(MAX((B44)-1,0)+MAX((C44)-1,0)+MAX((D44)-1,0))&lt;6)),1,0)</x:f>
        <x:v>111</x:v>
      </x:c>
      <x:c r="J44" s="22" t="str">
        <x:f>IF(B44=0,"不可回收",IF(AND((B44-1+C44+D44)&lt;9,OR((D44)=0,(MAX((B44-1)-1,0)+MAX((C44)-1,0)+MAX((D44)-1,0))&lt;6)),1,0)&amp;IF(AND((B44-1+C44+D44)&lt;9,OR((C44)=0,(MAX((B44-1)-1,0)+MAX((C44)-1,0)+MAX((D44)-1,0))&lt;6)),1,0)&amp;IF(AND((B44-1+C44+D44)&lt;9,OR((B44-1)=0,(MAX((B44-1)-1,0)+MAX((C44)-1,0)+MAX((D44)-1,0))&lt;6)),1,0))</x:f>
        <x:v>不可回收</x:v>
      </x:c>
      <x:c r="K44" s="22" t="str">
        <x:f>IF(C44=0,"不可回收",IF(AND((B44+C44-1+D44)&lt;9,OR((D44)=0,(MAX((B44)-1,0)+MAX((C44-1)-1,0)+MAX((D44)-1,0))&lt;6)),1,0)&amp;IF(AND((B44+C44-1+D44)&lt;9,OR((C44-1)=0,(MAX((B44)-1,0)+MAX((C44-1)-1,0)+MAX((D44)-1,0))&lt;6)),1,0)&amp;IF(AND((B44+C44-1+D44)&lt;9,OR((B44)=0,(MAX((B44)-1,0)+MAX((C44-1)-1,0)+MAX((D44)-1,0))&lt;6)),1,0))</x:f>
        <x:v>111</x:v>
      </x:c>
      <x:c r="L44" s="22" t="str">
        <x:f>IF(D44=0,"不可回收",IF(AND((B44+C44+D44-1)&lt;9,OR((D44-1)=0,(MAX((B44)-1,0)+MAX((C44)-1,0)+MAX((D44-1)-1,0))&lt;6)),1,0)&amp;IF(AND((B44+C44+D44-1)&lt;9,OR((C44)=0,(MAX((B44)-1,0)+MAX((C44)-1,0)+MAX((D44-1)-1,0))&lt;6)),1,0)&amp;IF(AND((B44+C44+D44-1)&lt;9,OR((B44)=0,(MAX((B44)-1,0)+MAX((C44)-1,0)+MAX((D44-1)-1,0))&lt;6)),1,0))</x:f>
        <x:v>111</x:v>
      </x:c>
      <x:c r="M44" s="18" t="n">
        <x:f>1+F44</x:f>
        <x:v>3</x:v>
      </x:c>
      <x:c r="N44" s="18" t="n">
        <x:f>COUNTIF('容量转换'!$B$8:$B$2447,A44)</x:f>
        <x:v>12</x:v>
      </x:c>
      <x:c r="O44" s="21" t="str">
        <x:f>IF(AND(MIN(B44:D44)&gt;=0,MAX(B44:D44)&lt;=7,H44&lt;=9),"合法","不合法")</x:f>
        <x:v>合法</x:v>
      </x:c>
    </x:row>
    <x:row r="45" ht="23" customHeight="1">
      <x:c r="A45" s="3" t="str">
        <x:v>ST-038</x:v>
      </x:c>
      <x:c r="B45" s="19" t="n">
        <x:v>0</x:v>
      </x:c>
      <x:c r="C45" s="19" t="n">
        <x:v>2</x:v>
      </x:c>
      <x:c r="D45" s="19" t="n">
        <x:v>3</x:v>
      </x:c>
      <x:c r="E45" s="20" t="n">
        <x:f>SUM(B45:D45)</x:f>
        <x:v>5</x:v>
      </x:c>
      <x:c r="F45" s="20" t="n">
        <x:f>COUNTIF(B45:D45,"&gt;0")</x:f>
        <x:v>2</x:v>
      </x:c>
      <x:c r="G45" s="20" t="n">
        <x:f>MAX(B45-1,0)+MAX(C45-1,0)+MAX(D45-1,0)</x:f>
        <x:v>3</x:v>
      </x:c>
      <x:c r="H45" s="20" t="n">
        <x:f>MAX(B45,1)+MAX(C45,1)+MAX(D45,1)</x:f>
        <x:v>6</x:v>
      </x:c>
      <x:c r="I45" s="22" t="str">
        <x:f>IF(AND((B45+C45+D45)&lt;9,OR((D45)=0,(MAX((B45)-1,0)+MAX((C45)-1,0)+MAX((D45)-1,0))&lt;6)),1,0)&amp;IF(AND((B45+C45+D45)&lt;9,OR((C45)=0,(MAX((B45)-1,0)+MAX((C45)-1,0)+MAX((D45)-1,0))&lt;6)),1,0)&amp;IF(AND((B45+C45+D45)&lt;9,OR((B45)=0,(MAX((B45)-1,0)+MAX((C45)-1,0)+MAX((D45)-1,0))&lt;6)),1,0)</x:f>
        <x:v>111</x:v>
      </x:c>
      <x:c r="J45" s="22" t="str">
        <x:f>IF(B45=0,"不可回收",IF(AND((B45-1+C45+D45)&lt;9,OR((D45)=0,(MAX((B45-1)-1,0)+MAX((C45)-1,0)+MAX((D45)-1,0))&lt;6)),1,0)&amp;IF(AND((B45-1+C45+D45)&lt;9,OR((C45)=0,(MAX((B45-1)-1,0)+MAX((C45)-1,0)+MAX((D45)-1,0))&lt;6)),1,0)&amp;IF(AND((B45-1+C45+D45)&lt;9,OR((B45-1)=0,(MAX((B45-1)-1,0)+MAX((C45)-1,0)+MAX((D45)-1,0))&lt;6)),1,0))</x:f>
        <x:v>不可回收</x:v>
      </x:c>
      <x:c r="K45" s="22" t="str">
        <x:f>IF(C45=0,"不可回收",IF(AND((B45+C45-1+D45)&lt;9,OR((D45)=0,(MAX((B45)-1,0)+MAX((C45-1)-1,0)+MAX((D45)-1,0))&lt;6)),1,0)&amp;IF(AND((B45+C45-1+D45)&lt;9,OR((C45-1)=0,(MAX((B45)-1,0)+MAX((C45-1)-1,0)+MAX((D45)-1,0))&lt;6)),1,0)&amp;IF(AND((B45+C45-1+D45)&lt;9,OR((B45)=0,(MAX((B45)-1,0)+MAX((C45-1)-1,0)+MAX((D45)-1,0))&lt;6)),1,0))</x:f>
        <x:v>111</x:v>
      </x:c>
      <x:c r="L45" s="22" t="str">
        <x:f>IF(D45=0,"不可回收",IF(AND((B45+C45+D45-1)&lt;9,OR((D45-1)=0,(MAX((B45)-1,0)+MAX((C45)-1,0)+MAX((D45-1)-1,0))&lt;6)),1,0)&amp;IF(AND((B45+C45+D45-1)&lt;9,OR((C45)=0,(MAX((B45)-1,0)+MAX((C45)-1,0)+MAX((D45-1)-1,0))&lt;6)),1,0)&amp;IF(AND((B45+C45+D45-1)&lt;9,OR((B45)=0,(MAX((B45)-1,0)+MAX((C45)-1,0)+MAX((D45-1)-1,0))&lt;6)),1,0))</x:f>
        <x:v>111</x:v>
      </x:c>
      <x:c r="M45" s="18" t="n">
        <x:f>1+F45</x:f>
        <x:v>3</x:v>
      </x:c>
      <x:c r="N45" s="18" t="n">
        <x:f>COUNTIF('容量转换'!$B$8:$B$2447,A45)</x:f>
        <x:v>12</x:v>
      </x:c>
      <x:c r="O45" s="21" t="str">
        <x:f>IF(AND(MIN(B45:D45)&gt;=0,MAX(B45:D45)&lt;=7,H45&lt;=9),"合法","不合法")</x:f>
        <x:v>合法</x:v>
      </x:c>
    </x:row>
    <x:row r="46" ht="23" customHeight="1">
      <x:c r="A46" s="3" t="str">
        <x:v>ST-039</x:v>
      </x:c>
      <x:c r="B46" s="19" t="n">
        <x:v>0</x:v>
      </x:c>
      <x:c r="C46" s="19" t="n">
        <x:v>3</x:v>
      </x:c>
      <x:c r="D46" s="19" t="n">
        <x:v>2</x:v>
      </x:c>
      <x:c r="E46" s="20" t="n">
        <x:f>SUM(B46:D46)</x:f>
        <x:v>5</x:v>
      </x:c>
      <x:c r="F46" s="20" t="n">
        <x:f>COUNTIF(B46:D46,"&gt;0")</x:f>
        <x:v>2</x:v>
      </x:c>
      <x:c r="G46" s="20" t="n">
        <x:f>MAX(B46-1,0)+MAX(C46-1,0)+MAX(D46-1,0)</x:f>
        <x:v>3</x:v>
      </x:c>
      <x:c r="H46" s="20" t="n">
        <x:f>MAX(B46,1)+MAX(C46,1)+MAX(D46,1)</x:f>
        <x:v>6</x:v>
      </x:c>
      <x:c r="I46" s="22" t="str">
        <x:f>IF(AND((B46+C46+D46)&lt;9,OR((D46)=0,(MAX((B46)-1,0)+MAX((C46)-1,0)+MAX((D46)-1,0))&lt;6)),1,0)&amp;IF(AND((B46+C46+D46)&lt;9,OR((C46)=0,(MAX((B46)-1,0)+MAX((C46)-1,0)+MAX((D46)-1,0))&lt;6)),1,0)&amp;IF(AND((B46+C46+D46)&lt;9,OR((B46)=0,(MAX((B46)-1,0)+MAX((C46)-1,0)+MAX((D46)-1,0))&lt;6)),1,0)</x:f>
        <x:v>111</x:v>
      </x:c>
      <x:c r="J46" s="22" t="str">
        <x:f>IF(B46=0,"不可回收",IF(AND((B46-1+C46+D46)&lt;9,OR((D46)=0,(MAX((B46-1)-1,0)+MAX((C46)-1,0)+MAX((D46)-1,0))&lt;6)),1,0)&amp;IF(AND((B46-1+C46+D46)&lt;9,OR((C46)=0,(MAX((B46-1)-1,0)+MAX((C46)-1,0)+MAX((D46)-1,0))&lt;6)),1,0)&amp;IF(AND((B46-1+C46+D46)&lt;9,OR((B46-1)=0,(MAX((B46-1)-1,0)+MAX((C46)-1,0)+MAX((D46)-1,0))&lt;6)),1,0))</x:f>
        <x:v>不可回收</x:v>
      </x:c>
      <x:c r="K46" s="22" t="str">
        <x:f>IF(C46=0,"不可回收",IF(AND((B46+C46-1+D46)&lt;9,OR((D46)=0,(MAX((B46)-1,0)+MAX((C46-1)-1,0)+MAX((D46)-1,0))&lt;6)),1,0)&amp;IF(AND((B46+C46-1+D46)&lt;9,OR((C46-1)=0,(MAX((B46)-1,0)+MAX((C46-1)-1,0)+MAX((D46)-1,0))&lt;6)),1,0)&amp;IF(AND((B46+C46-1+D46)&lt;9,OR((B46)=0,(MAX((B46)-1,0)+MAX((C46-1)-1,0)+MAX((D46)-1,0))&lt;6)),1,0))</x:f>
        <x:v>111</x:v>
      </x:c>
      <x:c r="L46" s="22" t="str">
        <x:f>IF(D46=0,"不可回收",IF(AND((B46+C46+D46-1)&lt;9,OR((D46-1)=0,(MAX((B46)-1,0)+MAX((C46)-1,0)+MAX((D46-1)-1,0))&lt;6)),1,0)&amp;IF(AND((B46+C46+D46-1)&lt;9,OR((C46)=0,(MAX((B46)-1,0)+MAX((C46)-1,0)+MAX((D46-1)-1,0))&lt;6)),1,0)&amp;IF(AND((B46+C46+D46-1)&lt;9,OR((B46)=0,(MAX((B46)-1,0)+MAX((C46)-1,0)+MAX((D46-1)-1,0))&lt;6)),1,0))</x:f>
        <x:v>111</x:v>
      </x:c>
      <x:c r="M46" s="18" t="n">
        <x:f>1+F46</x:f>
        <x:v>3</x:v>
      </x:c>
      <x:c r="N46" s="18" t="n">
        <x:f>COUNTIF('容量转换'!$B$8:$B$2447,A46)</x:f>
        <x:v>12</x:v>
      </x:c>
      <x:c r="O46" s="21" t="str">
        <x:f>IF(AND(MIN(B46:D46)&gt;=0,MAX(B46:D46)&lt;=7,H46&lt;=9),"合法","不合法")</x:f>
        <x:v>合法</x:v>
      </x:c>
    </x:row>
    <x:row r="47" ht="23" customHeight="1">
      <x:c r="A47" s="3" t="str">
        <x:v>ST-040</x:v>
      </x:c>
      <x:c r="B47" s="19" t="n">
        <x:v>0</x:v>
      </x:c>
      <x:c r="C47" s="19" t="n">
        <x:v>4</x:v>
      </x:c>
      <x:c r="D47" s="19" t="n">
        <x:v>1</x:v>
      </x:c>
      <x:c r="E47" s="20" t="n">
        <x:f>SUM(B47:D47)</x:f>
        <x:v>5</x:v>
      </x:c>
      <x:c r="F47" s="20" t="n">
        <x:f>COUNTIF(B47:D47,"&gt;0")</x:f>
        <x:v>2</x:v>
      </x:c>
      <x:c r="G47" s="20" t="n">
        <x:f>MAX(B47-1,0)+MAX(C47-1,0)+MAX(D47-1,0)</x:f>
        <x:v>3</x:v>
      </x:c>
      <x:c r="H47" s="20" t="n">
        <x:f>MAX(B47,1)+MAX(C47,1)+MAX(D47,1)</x:f>
        <x:v>6</x:v>
      </x:c>
      <x:c r="I47" s="22" t="str">
        <x:f>IF(AND((B47+C47+D47)&lt;9,OR((D47)=0,(MAX((B47)-1,0)+MAX((C47)-1,0)+MAX((D47)-1,0))&lt;6)),1,0)&amp;IF(AND((B47+C47+D47)&lt;9,OR((C47)=0,(MAX((B47)-1,0)+MAX((C47)-1,0)+MAX((D47)-1,0))&lt;6)),1,0)&amp;IF(AND((B47+C47+D47)&lt;9,OR((B47)=0,(MAX((B47)-1,0)+MAX((C47)-1,0)+MAX((D47)-1,0))&lt;6)),1,0)</x:f>
        <x:v>111</x:v>
      </x:c>
      <x:c r="J47" s="22" t="str">
        <x:f>IF(B47=0,"不可回收",IF(AND((B47-1+C47+D47)&lt;9,OR((D47)=0,(MAX((B47-1)-1,0)+MAX((C47)-1,0)+MAX((D47)-1,0))&lt;6)),1,0)&amp;IF(AND((B47-1+C47+D47)&lt;9,OR((C47)=0,(MAX((B47-1)-1,0)+MAX((C47)-1,0)+MAX((D47)-1,0))&lt;6)),1,0)&amp;IF(AND((B47-1+C47+D47)&lt;9,OR((B47-1)=0,(MAX((B47-1)-1,0)+MAX((C47)-1,0)+MAX((D47)-1,0))&lt;6)),1,0))</x:f>
        <x:v>不可回收</x:v>
      </x:c>
      <x:c r="K47" s="22" t="str">
        <x:f>IF(C47=0,"不可回收",IF(AND((B47+C47-1+D47)&lt;9,OR((D47)=0,(MAX((B47)-1,0)+MAX((C47-1)-1,0)+MAX((D47)-1,0))&lt;6)),1,0)&amp;IF(AND((B47+C47-1+D47)&lt;9,OR((C47-1)=0,(MAX((B47)-1,0)+MAX((C47-1)-1,0)+MAX((D47)-1,0))&lt;6)),1,0)&amp;IF(AND((B47+C47-1+D47)&lt;9,OR((B47)=0,(MAX((B47)-1,0)+MAX((C47-1)-1,0)+MAX((D47)-1,0))&lt;6)),1,0))</x:f>
        <x:v>111</x:v>
      </x:c>
      <x:c r="L47" s="22" t="str">
        <x:f>IF(D47=0,"不可回收",IF(AND((B47+C47+D47-1)&lt;9,OR((D47-1)=0,(MAX((B47)-1,0)+MAX((C47)-1,0)+MAX((D47-1)-1,0))&lt;6)),1,0)&amp;IF(AND((B47+C47+D47-1)&lt;9,OR((C47)=0,(MAX((B47)-1,0)+MAX((C47)-1,0)+MAX((D47-1)-1,0))&lt;6)),1,0)&amp;IF(AND((B47+C47+D47-1)&lt;9,OR((B47)=0,(MAX((B47)-1,0)+MAX((C47)-1,0)+MAX((D47-1)-1,0))&lt;6)),1,0))</x:f>
        <x:v>111</x:v>
      </x:c>
      <x:c r="M47" s="18" t="n">
        <x:f>1+F47</x:f>
        <x:v>3</x:v>
      </x:c>
      <x:c r="N47" s="18" t="n">
        <x:f>COUNTIF('容量转换'!$B$8:$B$2447,A47)</x:f>
        <x:v>12</x:v>
      </x:c>
      <x:c r="O47" s="21" t="str">
        <x:f>IF(AND(MIN(B47:D47)&gt;=0,MAX(B47:D47)&lt;=7,H47&lt;=9),"合法","不合法")</x:f>
        <x:v>合法</x:v>
      </x:c>
    </x:row>
    <x:row r="48" ht="23" customHeight="1">
      <x:c r="A48" s="3" t="str">
        <x:v>ST-041</x:v>
      </x:c>
      <x:c r="B48" s="19" t="n">
        <x:v>0</x:v>
      </x:c>
      <x:c r="C48" s="19" t="n">
        <x:v>5</x:v>
      </x:c>
      <x:c r="D48" s="19" t="n">
        <x:v>0</x:v>
      </x:c>
      <x:c r="E48" s="20" t="n">
        <x:f>SUM(B48:D48)</x:f>
        <x:v>5</x:v>
      </x:c>
      <x:c r="F48" s="20" t="n">
        <x:f>COUNTIF(B48:D48,"&gt;0")</x:f>
        <x:v>1</x:v>
      </x:c>
      <x:c r="G48" s="20" t="n">
        <x:f>MAX(B48-1,0)+MAX(C48-1,0)+MAX(D48-1,0)</x:f>
        <x:v>4</x:v>
      </x:c>
      <x:c r="H48" s="20" t="n">
        <x:f>MAX(B48,1)+MAX(C48,1)+MAX(D48,1)</x:f>
        <x:v>7</x:v>
      </x:c>
      <x:c r="I48" s="22" t="str">
        <x:f>IF(AND((B48+C48+D48)&lt;9,OR((D48)=0,(MAX((B48)-1,0)+MAX((C48)-1,0)+MAX((D48)-1,0))&lt;6)),1,0)&amp;IF(AND((B48+C48+D48)&lt;9,OR((C48)=0,(MAX((B48)-1,0)+MAX((C48)-1,0)+MAX((D48)-1,0))&lt;6)),1,0)&amp;IF(AND((B48+C48+D48)&lt;9,OR((B48)=0,(MAX((B48)-1,0)+MAX((C48)-1,0)+MAX((D48)-1,0))&lt;6)),1,0)</x:f>
        <x:v>111</x:v>
      </x:c>
      <x:c r="J48" s="22" t="str">
        <x:f>IF(B48=0,"不可回收",IF(AND((B48-1+C48+D48)&lt;9,OR((D48)=0,(MAX((B48-1)-1,0)+MAX((C48)-1,0)+MAX((D48)-1,0))&lt;6)),1,0)&amp;IF(AND((B48-1+C48+D48)&lt;9,OR((C48)=0,(MAX((B48-1)-1,0)+MAX((C48)-1,0)+MAX((D48)-1,0))&lt;6)),1,0)&amp;IF(AND((B48-1+C48+D48)&lt;9,OR((B48-1)=0,(MAX((B48-1)-1,0)+MAX((C48)-1,0)+MAX((D48)-1,0))&lt;6)),1,0))</x:f>
        <x:v>不可回收</x:v>
      </x:c>
      <x:c r="K48" s="22" t="str">
        <x:f>IF(C48=0,"不可回收",IF(AND((B48+C48-1+D48)&lt;9,OR((D48)=0,(MAX((B48)-1,0)+MAX((C48-1)-1,0)+MAX((D48)-1,0))&lt;6)),1,0)&amp;IF(AND((B48+C48-1+D48)&lt;9,OR((C48-1)=0,(MAX((B48)-1,0)+MAX((C48-1)-1,0)+MAX((D48)-1,0))&lt;6)),1,0)&amp;IF(AND((B48+C48-1+D48)&lt;9,OR((B48)=0,(MAX((B48)-1,0)+MAX((C48-1)-1,0)+MAX((D48)-1,0))&lt;6)),1,0))</x:f>
        <x:v>111</x:v>
      </x:c>
      <x:c r="L48" s="22" t="str">
        <x:f>IF(D48=0,"不可回收",IF(AND((B48+C48+D48-1)&lt;9,OR((D48-1)=0,(MAX((B48)-1,0)+MAX((C48)-1,0)+MAX((D48-1)-1,0))&lt;6)),1,0)&amp;IF(AND((B48+C48+D48-1)&lt;9,OR((C48)=0,(MAX((B48)-1,0)+MAX((C48)-1,0)+MAX((D48-1)-1,0))&lt;6)),1,0)&amp;IF(AND((B48+C48+D48-1)&lt;9,OR((B48)=0,(MAX((B48)-1,0)+MAX((C48)-1,0)+MAX((D48-1)-1,0))&lt;6)),1,0))</x:f>
        <x:v>不可回收</x:v>
      </x:c>
      <x:c r="M48" s="18" t="n">
        <x:f>1+F48</x:f>
        <x:v>2</x:v>
      </x:c>
      <x:c r="N48" s="18" t="n">
        <x:f>COUNTIF('容量转换'!$B$8:$B$2447,A48)</x:f>
        <x:v>8</x:v>
      </x:c>
      <x:c r="O48" s="21" t="str">
        <x:f>IF(AND(MIN(B48:D48)&gt;=0,MAX(B48:D48)&lt;=7,H48&lt;=9),"合法","不合法")</x:f>
        <x:v>合法</x:v>
      </x:c>
    </x:row>
    <x:row r="49" ht="23" customHeight="1">
      <x:c r="A49" s="3" t="str">
        <x:v>ST-042</x:v>
      </x:c>
      <x:c r="B49" s="19" t="n">
        <x:v>1</x:v>
      </x:c>
      <x:c r="C49" s="19" t="n">
        <x:v>0</x:v>
      </x:c>
      <x:c r="D49" s="19" t="n">
        <x:v>4</x:v>
      </x:c>
      <x:c r="E49" s="20" t="n">
        <x:f>SUM(B49:D49)</x:f>
        <x:v>5</x:v>
      </x:c>
      <x:c r="F49" s="20" t="n">
        <x:f>COUNTIF(B49:D49,"&gt;0")</x:f>
        <x:v>2</x:v>
      </x:c>
      <x:c r="G49" s="20" t="n">
        <x:f>MAX(B49-1,0)+MAX(C49-1,0)+MAX(D49-1,0)</x:f>
        <x:v>3</x:v>
      </x:c>
      <x:c r="H49" s="20" t="n">
        <x:f>MAX(B49,1)+MAX(C49,1)+MAX(D49,1)</x:f>
        <x:v>6</x:v>
      </x:c>
      <x:c r="I49" s="22" t="str">
        <x:f>IF(AND((B49+C49+D49)&lt;9,OR((D49)=0,(MAX((B49)-1,0)+MAX((C49)-1,0)+MAX((D49)-1,0))&lt;6)),1,0)&amp;IF(AND((B49+C49+D49)&lt;9,OR((C49)=0,(MAX((B49)-1,0)+MAX((C49)-1,0)+MAX((D49)-1,0))&lt;6)),1,0)&amp;IF(AND((B49+C49+D49)&lt;9,OR((B49)=0,(MAX((B49)-1,0)+MAX((C49)-1,0)+MAX((D49)-1,0))&lt;6)),1,0)</x:f>
        <x:v>111</x:v>
      </x:c>
      <x:c r="J49" s="22" t="str">
        <x:f>IF(B49=0,"不可回收",IF(AND((B49-1+C49+D49)&lt;9,OR((D49)=0,(MAX((B49-1)-1,0)+MAX((C49)-1,0)+MAX((D49)-1,0))&lt;6)),1,0)&amp;IF(AND((B49-1+C49+D49)&lt;9,OR((C49)=0,(MAX((B49-1)-1,0)+MAX((C49)-1,0)+MAX((D49)-1,0))&lt;6)),1,0)&amp;IF(AND((B49-1+C49+D49)&lt;9,OR((B49-1)=0,(MAX((B49-1)-1,0)+MAX((C49)-1,0)+MAX((D49)-1,0))&lt;6)),1,0))</x:f>
        <x:v>111</x:v>
      </x:c>
      <x:c r="K49" s="22" t="str">
        <x:f>IF(C49=0,"不可回收",IF(AND((B49+C49-1+D49)&lt;9,OR((D49)=0,(MAX((B49)-1,0)+MAX((C49-1)-1,0)+MAX((D49)-1,0))&lt;6)),1,0)&amp;IF(AND((B49+C49-1+D49)&lt;9,OR((C49-1)=0,(MAX((B49)-1,0)+MAX((C49-1)-1,0)+MAX((D49)-1,0))&lt;6)),1,0)&amp;IF(AND((B49+C49-1+D49)&lt;9,OR((B49)=0,(MAX((B49)-1,0)+MAX((C49-1)-1,0)+MAX((D49)-1,0))&lt;6)),1,0))</x:f>
        <x:v>不可回收</x:v>
      </x:c>
      <x:c r="L49" s="22" t="str">
        <x:f>IF(D49=0,"不可回收",IF(AND((B49+C49+D49-1)&lt;9,OR((D49-1)=0,(MAX((B49)-1,0)+MAX((C49)-1,0)+MAX((D49-1)-1,0))&lt;6)),1,0)&amp;IF(AND((B49+C49+D49-1)&lt;9,OR((C49)=0,(MAX((B49)-1,0)+MAX((C49)-1,0)+MAX((D49-1)-1,0))&lt;6)),1,0)&amp;IF(AND((B49+C49+D49-1)&lt;9,OR((B49)=0,(MAX((B49)-1,0)+MAX((C49)-1,0)+MAX((D49-1)-1,0))&lt;6)),1,0))</x:f>
        <x:v>111</x:v>
      </x:c>
      <x:c r="M49" s="18" t="n">
        <x:f>1+F49</x:f>
        <x:v>3</x:v>
      </x:c>
      <x:c r="N49" s="18" t="n">
        <x:f>COUNTIF('容量转换'!$B$8:$B$2447,A49)</x:f>
        <x:v>12</x:v>
      </x:c>
      <x:c r="O49" s="21" t="str">
        <x:f>IF(AND(MIN(B49:D49)&gt;=0,MAX(B49:D49)&lt;=7,H49&lt;=9),"合法","不合法")</x:f>
        <x:v>合法</x:v>
      </x:c>
    </x:row>
    <x:row r="50" ht="23" customHeight="1">
      <x:c r="A50" s="3" t="str">
        <x:v>ST-043</x:v>
      </x:c>
      <x:c r="B50" s="19" t="n">
        <x:v>1</x:v>
      </x:c>
      <x:c r="C50" s="19" t="n">
        <x:v>1</x:v>
      </x:c>
      <x:c r="D50" s="19" t="n">
        <x:v>3</x:v>
      </x:c>
      <x:c r="E50" s="20" t="n">
        <x:f>SUM(B50:D50)</x:f>
        <x:v>5</x:v>
      </x:c>
      <x:c r="F50" s="20" t="n">
        <x:f>COUNTIF(B50:D50,"&gt;0")</x:f>
        <x:v>3</x:v>
      </x:c>
      <x:c r="G50" s="20" t="n">
        <x:f>MAX(B50-1,0)+MAX(C50-1,0)+MAX(D50-1,0)</x:f>
        <x:v>2</x:v>
      </x:c>
      <x:c r="H50" s="20" t="n">
        <x:f>MAX(B50,1)+MAX(C50,1)+MAX(D50,1)</x:f>
        <x:v>5</x:v>
      </x:c>
      <x:c r="I50" s="22" t="str">
        <x:f>IF(AND((B50+C50+D50)&lt;9,OR((D50)=0,(MAX((B50)-1,0)+MAX((C50)-1,0)+MAX((D50)-1,0))&lt;6)),1,0)&amp;IF(AND((B50+C50+D50)&lt;9,OR((C50)=0,(MAX((B50)-1,0)+MAX((C50)-1,0)+MAX((D50)-1,0))&lt;6)),1,0)&amp;IF(AND((B50+C50+D50)&lt;9,OR((B50)=0,(MAX((B50)-1,0)+MAX((C50)-1,0)+MAX((D50)-1,0))&lt;6)),1,0)</x:f>
        <x:v>111</x:v>
      </x:c>
      <x:c r="J50" s="22" t="str">
        <x:f>IF(B50=0,"不可回收",IF(AND((B50-1+C50+D50)&lt;9,OR((D50)=0,(MAX((B50-1)-1,0)+MAX((C50)-1,0)+MAX((D50)-1,0))&lt;6)),1,0)&amp;IF(AND((B50-1+C50+D50)&lt;9,OR((C50)=0,(MAX((B50-1)-1,0)+MAX((C50)-1,0)+MAX((D50)-1,0))&lt;6)),1,0)&amp;IF(AND((B50-1+C50+D50)&lt;9,OR((B50-1)=0,(MAX((B50-1)-1,0)+MAX((C50)-1,0)+MAX((D50)-1,0))&lt;6)),1,0))</x:f>
        <x:v>111</x:v>
      </x:c>
      <x:c r="K50" s="22" t="str">
        <x:f>IF(C50=0,"不可回收",IF(AND((B50+C50-1+D50)&lt;9,OR((D50)=0,(MAX((B50)-1,0)+MAX((C50-1)-1,0)+MAX((D50)-1,0))&lt;6)),1,0)&amp;IF(AND((B50+C50-1+D50)&lt;9,OR((C50-1)=0,(MAX((B50)-1,0)+MAX((C50-1)-1,0)+MAX((D50)-1,0))&lt;6)),1,0)&amp;IF(AND((B50+C50-1+D50)&lt;9,OR((B50)=0,(MAX((B50)-1,0)+MAX((C50-1)-1,0)+MAX((D50)-1,0))&lt;6)),1,0))</x:f>
        <x:v>111</x:v>
      </x:c>
      <x:c r="L50" s="22" t="str">
        <x:f>IF(D50=0,"不可回收",IF(AND((B50+C50+D50-1)&lt;9,OR((D50-1)=0,(MAX((B50)-1,0)+MAX((C50)-1,0)+MAX((D50-1)-1,0))&lt;6)),1,0)&amp;IF(AND((B50+C50+D50-1)&lt;9,OR((C50)=0,(MAX((B50)-1,0)+MAX((C50)-1,0)+MAX((D50-1)-1,0))&lt;6)),1,0)&amp;IF(AND((B50+C50+D50-1)&lt;9,OR((B50)=0,(MAX((B50)-1,0)+MAX((C50)-1,0)+MAX((D50-1)-1,0))&lt;6)),1,0))</x:f>
        <x:v>111</x:v>
      </x:c>
      <x:c r="M50" s="18" t="n">
        <x:f>1+F50</x:f>
        <x:v>4</x:v>
      </x:c>
      <x:c r="N50" s="18" t="n">
        <x:f>COUNTIF('容量转换'!$B$8:$B$2447,A50)</x:f>
        <x:v>16</x:v>
      </x:c>
      <x:c r="O50" s="21" t="str">
        <x:f>IF(AND(MIN(B50:D50)&gt;=0,MAX(B50:D50)&lt;=7,H50&lt;=9),"合法","不合法")</x:f>
        <x:v>合法</x:v>
      </x:c>
    </x:row>
    <x:row r="51" ht="23" customHeight="1">
      <x:c r="A51" s="3" t="str">
        <x:v>ST-044</x:v>
      </x:c>
      <x:c r="B51" s="19" t="n">
        <x:v>1</x:v>
      </x:c>
      <x:c r="C51" s="19" t="n">
        <x:v>2</x:v>
      </x:c>
      <x:c r="D51" s="19" t="n">
        <x:v>2</x:v>
      </x:c>
      <x:c r="E51" s="20" t="n">
        <x:f>SUM(B51:D51)</x:f>
        <x:v>5</x:v>
      </x:c>
      <x:c r="F51" s="20" t="n">
        <x:f>COUNTIF(B51:D51,"&gt;0")</x:f>
        <x:v>3</x:v>
      </x:c>
      <x:c r="G51" s="20" t="n">
        <x:f>MAX(B51-1,0)+MAX(C51-1,0)+MAX(D51-1,0)</x:f>
        <x:v>2</x:v>
      </x:c>
      <x:c r="H51" s="20" t="n">
        <x:f>MAX(B51,1)+MAX(C51,1)+MAX(D51,1)</x:f>
        <x:v>5</x:v>
      </x:c>
      <x:c r="I51" s="22" t="str">
        <x:f>IF(AND((B51+C51+D51)&lt;9,OR((D51)=0,(MAX((B51)-1,0)+MAX((C51)-1,0)+MAX((D51)-1,0))&lt;6)),1,0)&amp;IF(AND((B51+C51+D51)&lt;9,OR((C51)=0,(MAX((B51)-1,0)+MAX((C51)-1,0)+MAX((D51)-1,0))&lt;6)),1,0)&amp;IF(AND((B51+C51+D51)&lt;9,OR((B51)=0,(MAX((B51)-1,0)+MAX((C51)-1,0)+MAX((D51)-1,0))&lt;6)),1,0)</x:f>
        <x:v>111</x:v>
      </x:c>
      <x:c r="J51" s="22" t="str">
        <x:f>IF(B51=0,"不可回收",IF(AND((B51-1+C51+D51)&lt;9,OR((D51)=0,(MAX((B51-1)-1,0)+MAX((C51)-1,0)+MAX((D51)-1,0))&lt;6)),1,0)&amp;IF(AND((B51-1+C51+D51)&lt;9,OR((C51)=0,(MAX((B51-1)-1,0)+MAX((C51)-1,0)+MAX((D51)-1,0))&lt;6)),1,0)&amp;IF(AND((B51-1+C51+D51)&lt;9,OR((B51-1)=0,(MAX((B51-1)-1,0)+MAX((C51)-1,0)+MAX((D51)-1,0))&lt;6)),1,0))</x:f>
        <x:v>111</x:v>
      </x:c>
      <x:c r="K51" s="22" t="str">
        <x:f>IF(C51=0,"不可回收",IF(AND((B51+C51-1+D51)&lt;9,OR((D51)=0,(MAX((B51)-1,0)+MAX((C51-1)-1,0)+MAX((D51)-1,0))&lt;6)),1,0)&amp;IF(AND((B51+C51-1+D51)&lt;9,OR((C51-1)=0,(MAX((B51)-1,0)+MAX((C51-1)-1,0)+MAX((D51)-1,0))&lt;6)),1,0)&amp;IF(AND((B51+C51-1+D51)&lt;9,OR((B51)=0,(MAX((B51)-1,0)+MAX((C51-1)-1,0)+MAX((D51)-1,0))&lt;6)),1,0))</x:f>
        <x:v>111</x:v>
      </x:c>
      <x:c r="L51" s="22" t="str">
        <x:f>IF(D51=0,"不可回收",IF(AND((B51+C51+D51-1)&lt;9,OR((D51-1)=0,(MAX((B51)-1,0)+MAX((C51)-1,0)+MAX((D51-1)-1,0))&lt;6)),1,0)&amp;IF(AND((B51+C51+D51-1)&lt;9,OR((C51)=0,(MAX((B51)-1,0)+MAX((C51)-1,0)+MAX((D51-1)-1,0))&lt;6)),1,0)&amp;IF(AND((B51+C51+D51-1)&lt;9,OR((B51)=0,(MAX((B51)-1,0)+MAX((C51)-1,0)+MAX((D51-1)-1,0))&lt;6)),1,0))</x:f>
        <x:v>111</x:v>
      </x:c>
      <x:c r="M51" s="18" t="n">
        <x:f>1+F51</x:f>
        <x:v>4</x:v>
      </x:c>
      <x:c r="N51" s="18" t="n">
        <x:f>COUNTIF('容量转换'!$B$8:$B$2447,A51)</x:f>
        <x:v>16</x:v>
      </x:c>
      <x:c r="O51" s="21" t="str">
        <x:f>IF(AND(MIN(B51:D51)&gt;=0,MAX(B51:D51)&lt;=7,H51&lt;=9),"合法","不合法")</x:f>
        <x:v>合法</x:v>
      </x:c>
    </x:row>
    <x:row r="52" ht="23" customHeight="1">
      <x:c r="A52" s="3" t="str">
        <x:v>ST-045</x:v>
      </x:c>
      <x:c r="B52" s="19" t="n">
        <x:v>1</x:v>
      </x:c>
      <x:c r="C52" s="19" t="n">
        <x:v>3</x:v>
      </x:c>
      <x:c r="D52" s="19" t="n">
        <x:v>1</x:v>
      </x:c>
      <x:c r="E52" s="20" t="n">
        <x:f>SUM(B52:D52)</x:f>
        <x:v>5</x:v>
      </x:c>
      <x:c r="F52" s="20" t="n">
        <x:f>COUNTIF(B52:D52,"&gt;0")</x:f>
        <x:v>3</x:v>
      </x:c>
      <x:c r="G52" s="20" t="n">
        <x:f>MAX(B52-1,0)+MAX(C52-1,0)+MAX(D52-1,0)</x:f>
        <x:v>2</x:v>
      </x:c>
      <x:c r="H52" s="20" t="n">
        <x:f>MAX(B52,1)+MAX(C52,1)+MAX(D52,1)</x:f>
        <x:v>5</x:v>
      </x:c>
      <x:c r="I52" s="22" t="str">
        <x:f>IF(AND((B52+C52+D52)&lt;9,OR((D52)=0,(MAX((B52)-1,0)+MAX((C52)-1,0)+MAX((D52)-1,0))&lt;6)),1,0)&amp;IF(AND((B52+C52+D52)&lt;9,OR((C52)=0,(MAX((B52)-1,0)+MAX((C52)-1,0)+MAX((D52)-1,0))&lt;6)),1,0)&amp;IF(AND((B52+C52+D52)&lt;9,OR((B52)=0,(MAX((B52)-1,0)+MAX((C52)-1,0)+MAX((D52)-1,0))&lt;6)),1,0)</x:f>
        <x:v>111</x:v>
      </x:c>
      <x:c r="J52" s="22" t="str">
        <x:f>IF(B52=0,"不可回收",IF(AND((B52-1+C52+D52)&lt;9,OR((D52)=0,(MAX((B52-1)-1,0)+MAX((C52)-1,0)+MAX((D52)-1,0))&lt;6)),1,0)&amp;IF(AND((B52-1+C52+D52)&lt;9,OR((C52)=0,(MAX((B52-1)-1,0)+MAX((C52)-1,0)+MAX((D52)-1,0))&lt;6)),1,0)&amp;IF(AND((B52-1+C52+D52)&lt;9,OR((B52-1)=0,(MAX((B52-1)-1,0)+MAX((C52)-1,0)+MAX((D52)-1,0))&lt;6)),1,0))</x:f>
        <x:v>111</x:v>
      </x:c>
      <x:c r="K52" s="22" t="str">
        <x:f>IF(C52=0,"不可回收",IF(AND((B52+C52-1+D52)&lt;9,OR((D52)=0,(MAX((B52)-1,0)+MAX((C52-1)-1,0)+MAX((D52)-1,0))&lt;6)),1,0)&amp;IF(AND((B52+C52-1+D52)&lt;9,OR((C52-1)=0,(MAX((B52)-1,0)+MAX((C52-1)-1,0)+MAX((D52)-1,0))&lt;6)),1,0)&amp;IF(AND((B52+C52-1+D52)&lt;9,OR((B52)=0,(MAX((B52)-1,0)+MAX((C52-1)-1,0)+MAX((D52)-1,0))&lt;6)),1,0))</x:f>
        <x:v>111</x:v>
      </x:c>
      <x:c r="L52" s="22" t="str">
        <x:f>IF(D52=0,"不可回收",IF(AND((B52+C52+D52-1)&lt;9,OR((D52-1)=0,(MAX((B52)-1,0)+MAX((C52)-1,0)+MAX((D52-1)-1,0))&lt;6)),1,0)&amp;IF(AND((B52+C52+D52-1)&lt;9,OR((C52)=0,(MAX((B52)-1,0)+MAX((C52)-1,0)+MAX((D52-1)-1,0))&lt;6)),1,0)&amp;IF(AND((B52+C52+D52-1)&lt;9,OR((B52)=0,(MAX((B52)-1,0)+MAX((C52)-1,0)+MAX((D52-1)-1,0))&lt;6)),1,0))</x:f>
        <x:v>111</x:v>
      </x:c>
      <x:c r="M52" s="18" t="n">
        <x:f>1+F52</x:f>
        <x:v>4</x:v>
      </x:c>
      <x:c r="N52" s="18" t="n">
        <x:f>COUNTIF('容量转换'!$B$8:$B$2447,A52)</x:f>
        <x:v>16</x:v>
      </x:c>
      <x:c r="O52" s="21" t="str">
        <x:f>IF(AND(MIN(B52:D52)&gt;=0,MAX(B52:D52)&lt;=7,H52&lt;=9),"合法","不合法")</x:f>
        <x:v>合法</x:v>
      </x:c>
    </x:row>
    <x:row r="53" ht="23" customHeight="1">
      <x:c r="A53" s="3" t="str">
        <x:v>ST-046</x:v>
      </x:c>
      <x:c r="B53" s="19" t="n">
        <x:v>1</x:v>
      </x:c>
      <x:c r="C53" s="19" t="n">
        <x:v>4</x:v>
      </x:c>
      <x:c r="D53" s="19" t="n">
        <x:v>0</x:v>
      </x:c>
      <x:c r="E53" s="20" t="n">
        <x:f>SUM(B53:D53)</x:f>
        <x:v>5</x:v>
      </x:c>
      <x:c r="F53" s="20" t="n">
        <x:f>COUNTIF(B53:D53,"&gt;0")</x:f>
        <x:v>2</x:v>
      </x:c>
      <x:c r="G53" s="20" t="n">
        <x:f>MAX(B53-1,0)+MAX(C53-1,0)+MAX(D53-1,0)</x:f>
        <x:v>3</x:v>
      </x:c>
      <x:c r="H53" s="20" t="n">
        <x:f>MAX(B53,1)+MAX(C53,1)+MAX(D53,1)</x:f>
        <x:v>6</x:v>
      </x:c>
      <x:c r="I53" s="22" t="str">
        <x:f>IF(AND((B53+C53+D53)&lt;9,OR((D53)=0,(MAX((B53)-1,0)+MAX((C53)-1,0)+MAX((D53)-1,0))&lt;6)),1,0)&amp;IF(AND((B53+C53+D53)&lt;9,OR((C53)=0,(MAX((B53)-1,0)+MAX((C53)-1,0)+MAX((D53)-1,0))&lt;6)),1,0)&amp;IF(AND((B53+C53+D53)&lt;9,OR((B53)=0,(MAX((B53)-1,0)+MAX((C53)-1,0)+MAX((D53)-1,0))&lt;6)),1,0)</x:f>
        <x:v>111</x:v>
      </x:c>
      <x:c r="J53" s="22" t="str">
        <x:f>IF(B53=0,"不可回收",IF(AND((B53-1+C53+D53)&lt;9,OR((D53)=0,(MAX((B53-1)-1,0)+MAX((C53)-1,0)+MAX((D53)-1,0))&lt;6)),1,0)&amp;IF(AND((B53-1+C53+D53)&lt;9,OR((C53)=0,(MAX((B53-1)-1,0)+MAX((C53)-1,0)+MAX((D53)-1,0))&lt;6)),1,0)&amp;IF(AND((B53-1+C53+D53)&lt;9,OR((B53-1)=0,(MAX((B53-1)-1,0)+MAX((C53)-1,0)+MAX((D53)-1,0))&lt;6)),1,0))</x:f>
        <x:v>111</x:v>
      </x:c>
      <x:c r="K53" s="22" t="str">
        <x:f>IF(C53=0,"不可回收",IF(AND((B53+C53-1+D53)&lt;9,OR((D53)=0,(MAX((B53)-1,0)+MAX((C53-1)-1,0)+MAX((D53)-1,0))&lt;6)),1,0)&amp;IF(AND((B53+C53-1+D53)&lt;9,OR((C53-1)=0,(MAX((B53)-1,0)+MAX((C53-1)-1,0)+MAX((D53)-1,0))&lt;6)),1,0)&amp;IF(AND((B53+C53-1+D53)&lt;9,OR((B53)=0,(MAX((B53)-1,0)+MAX((C53-1)-1,0)+MAX((D53)-1,0))&lt;6)),1,0))</x:f>
        <x:v>111</x:v>
      </x:c>
      <x:c r="L53" s="22" t="str">
        <x:f>IF(D53=0,"不可回收",IF(AND((B53+C53+D53-1)&lt;9,OR((D53-1)=0,(MAX((B53)-1,0)+MAX((C53)-1,0)+MAX((D53-1)-1,0))&lt;6)),1,0)&amp;IF(AND((B53+C53+D53-1)&lt;9,OR((C53)=0,(MAX((B53)-1,0)+MAX((C53)-1,0)+MAX((D53-1)-1,0))&lt;6)),1,0)&amp;IF(AND((B53+C53+D53-1)&lt;9,OR((B53)=0,(MAX((B53)-1,0)+MAX((C53)-1,0)+MAX((D53-1)-1,0))&lt;6)),1,0))</x:f>
        <x:v>不可回收</x:v>
      </x:c>
      <x:c r="M53" s="18" t="n">
        <x:f>1+F53</x:f>
        <x:v>3</x:v>
      </x:c>
      <x:c r="N53" s="18" t="n">
        <x:f>COUNTIF('容量转换'!$B$8:$B$2447,A53)</x:f>
        <x:v>12</x:v>
      </x:c>
      <x:c r="O53" s="21" t="str">
        <x:f>IF(AND(MIN(B53:D53)&gt;=0,MAX(B53:D53)&lt;=7,H53&lt;=9),"合法","不合法")</x:f>
        <x:v>合法</x:v>
      </x:c>
    </x:row>
    <x:row r="54" ht="23" customHeight="1">
      <x:c r="A54" s="3" t="str">
        <x:v>ST-047</x:v>
      </x:c>
      <x:c r="B54" s="19" t="n">
        <x:v>2</x:v>
      </x:c>
      <x:c r="C54" s="19" t="n">
        <x:v>0</x:v>
      </x:c>
      <x:c r="D54" s="19" t="n">
        <x:v>3</x:v>
      </x:c>
      <x:c r="E54" s="20" t="n">
        <x:f>SUM(B54:D54)</x:f>
        <x:v>5</x:v>
      </x:c>
      <x:c r="F54" s="20" t="n">
        <x:f>COUNTIF(B54:D54,"&gt;0")</x:f>
        <x:v>2</x:v>
      </x:c>
      <x:c r="G54" s="20" t="n">
        <x:f>MAX(B54-1,0)+MAX(C54-1,0)+MAX(D54-1,0)</x:f>
        <x:v>3</x:v>
      </x:c>
      <x:c r="H54" s="20" t="n">
        <x:f>MAX(B54,1)+MAX(C54,1)+MAX(D54,1)</x:f>
        <x:v>6</x:v>
      </x:c>
      <x:c r="I54" s="22" t="str">
        <x:f>IF(AND((B54+C54+D54)&lt;9,OR((D54)=0,(MAX((B54)-1,0)+MAX((C54)-1,0)+MAX((D54)-1,0))&lt;6)),1,0)&amp;IF(AND((B54+C54+D54)&lt;9,OR((C54)=0,(MAX((B54)-1,0)+MAX((C54)-1,0)+MAX((D54)-1,0))&lt;6)),1,0)&amp;IF(AND((B54+C54+D54)&lt;9,OR((B54)=0,(MAX((B54)-1,0)+MAX((C54)-1,0)+MAX((D54)-1,0))&lt;6)),1,0)</x:f>
        <x:v>111</x:v>
      </x:c>
      <x:c r="J54" s="22" t="str">
        <x:f>IF(B54=0,"不可回收",IF(AND((B54-1+C54+D54)&lt;9,OR((D54)=0,(MAX((B54-1)-1,0)+MAX((C54)-1,0)+MAX((D54)-1,0))&lt;6)),1,0)&amp;IF(AND((B54-1+C54+D54)&lt;9,OR((C54)=0,(MAX((B54-1)-1,0)+MAX((C54)-1,0)+MAX((D54)-1,0))&lt;6)),1,0)&amp;IF(AND((B54-1+C54+D54)&lt;9,OR((B54-1)=0,(MAX((B54-1)-1,0)+MAX((C54)-1,0)+MAX((D54)-1,0))&lt;6)),1,0))</x:f>
        <x:v>111</x:v>
      </x:c>
      <x:c r="K54" s="22" t="str">
        <x:f>IF(C54=0,"不可回收",IF(AND((B54+C54-1+D54)&lt;9,OR((D54)=0,(MAX((B54)-1,0)+MAX((C54-1)-1,0)+MAX((D54)-1,0))&lt;6)),1,0)&amp;IF(AND((B54+C54-1+D54)&lt;9,OR((C54-1)=0,(MAX((B54)-1,0)+MAX((C54-1)-1,0)+MAX((D54)-1,0))&lt;6)),1,0)&amp;IF(AND((B54+C54-1+D54)&lt;9,OR((B54)=0,(MAX((B54)-1,0)+MAX((C54-1)-1,0)+MAX((D54)-1,0))&lt;6)),1,0))</x:f>
        <x:v>不可回收</x:v>
      </x:c>
      <x:c r="L54" s="22" t="str">
        <x:f>IF(D54=0,"不可回收",IF(AND((B54+C54+D54-1)&lt;9,OR((D54-1)=0,(MAX((B54)-1,0)+MAX((C54)-1,0)+MAX((D54-1)-1,0))&lt;6)),1,0)&amp;IF(AND((B54+C54+D54-1)&lt;9,OR((C54)=0,(MAX((B54)-1,0)+MAX((C54)-1,0)+MAX((D54-1)-1,0))&lt;6)),1,0)&amp;IF(AND((B54+C54+D54-1)&lt;9,OR((B54)=0,(MAX((B54)-1,0)+MAX((C54)-1,0)+MAX((D54-1)-1,0))&lt;6)),1,0))</x:f>
        <x:v>111</x:v>
      </x:c>
      <x:c r="M54" s="18" t="n">
        <x:f>1+F54</x:f>
        <x:v>3</x:v>
      </x:c>
      <x:c r="N54" s="18" t="n">
        <x:f>COUNTIF('容量转换'!$B$8:$B$2447,A54)</x:f>
        <x:v>12</x:v>
      </x:c>
      <x:c r="O54" s="21" t="str">
        <x:f>IF(AND(MIN(B54:D54)&gt;=0,MAX(B54:D54)&lt;=7,H54&lt;=9),"合法","不合法")</x:f>
        <x:v>合法</x:v>
      </x:c>
    </x:row>
    <x:row r="55" ht="23" customHeight="1">
      <x:c r="A55" s="3" t="str">
        <x:v>ST-048</x:v>
      </x:c>
      <x:c r="B55" s="19" t="n">
        <x:v>2</x:v>
      </x:c>
      <x:c r="C55" s="19" t="n">
        <x:v>1</x:v>
      </x:c>
      <x:c r="D55" s="19" t="n">
        <x:v>2</x:v>
      </x:c>
      <x:c r="E55" s="20" t="n">
        <x:f>SUM(B55:D55)</x:f>
        <x:v>5</x:v>
      </x:c>
      <x:c r="F55" s="20" t="n">
        <x:f>COUNTIF(B55:D55,"&gt;0")</x:f>
        <x:v>3</x:v>
      </x:c>
      <x:c r="G55" s="20" t="n">
        <x:f>MAX(B55-1,0)+MAX(C55-1,0)+MAX(D55-1,0)</x:f>
        <x:v>2</x:v>
      </x:c>
      <x:c r="H55" s="20" t="n">
        <x:f>MAX(B55,1)+MAX(C55,1)+MAX(D55,1)</x:f>
        <x:v>5</x:v>
      </x:c>
      <x:c r="I55" s="22" t="str">
        <x:f>IF(AND((B55+C55+D55)&lt;9,OR((D55)=0,(MAX((B55)-1,0)+MAX((C55)-1,0)+MAX((D55)-1,0))&lt;6)),1,0)&amp;IF(AND((B55+C55+D55)&lt;9,OR((C55)=0,(MAX((B55)-1,0)+MAX((C55)-1,0)+MAX((D55)-1,0))&lt;6)),1,0)&amp;IF(AND((B55+C55+D55)&lt;9,OR((B55)=0,(MAX((B55)-1,0)+MAX((C55)-1,0)+MAX((D55)-1,0))&lt;6)),1,0)</x:f>
        <x:v>111</x:v>
      </x:c>
      <x:c r="J55" s="22" t="str">
        <x:f>IF(B55=0,"不可回收",IF(AND((B55-1+C55+D55)&lt;9,OR((D55)=0,(MAX((B55-1)-1,0)+MAX((C55)-1,0)+MAX((D55)-1,0))&lt;6)),1,0)&amp;IF(AND((B55-1+C55+D55)&lt;9,OR((C55)=0,(MAX((B55-1)-1,0)+MAX((C55)-1,0)+MAX((D55)-1,0))&lt;6)),1,0)&amp;IF(AND((B55-1+C55+D55)&lt;9,OR((B55-1)=0,(MAX((B55-1)-1,0)+MAX((C55)-1,0)+MAX((D55)-1,0))&lt;6)),1,0))</x:f>
        <x:v>111</x:v>
      </x:c>
      <x:c r="K55" s="22" t="str">
        <x:f>IF(C55=0,"不可回收",IF(AND((B55+C55-1+D55)&lt;9,OR((D55)=0,(MAX((B55)-1,0)+MAX((C55-1)-1,0)+MAX((D55)-1,0))&lt;6)),1,0)&amp;IF(AND((B55+C55-1+D55)&lt;9,OR((C55-1)=0,(MAX((B55)-1,0)+MAX((C55-1)-1,0)+MAX((D55)-1,0))&lt;6)),1,0)&amp;IF(AND((B55+C55-1+D55)&lt;9,OR((B55)=0,(MAX((B55)-1,0)+MAX((C55-1)-1,0)+MAX((D55)-1,0))&lt;6)),1,0))</x:f>
        <x:v>111</x:v>
      </x:c>
      <x:c r="L55" s="22" t="str">
        <x:f>IF(D55=0,"不可回收",IF(AND((B55+C55+D55-1)&lt;9,OR((D55-1)=0,(MAX((B55)-1,0)+MAX((C55)-1,0)+MAX((D55-1)-1,0))&lt;6)),1,0)&amp;IF(AND((B55+C55+D55-1)&lt;9,OR((C55)=0,(MAX((B55)-1,0)+MAX((C55)-1,0)+MAX((D55-1)-1,0))&lt;6)),1,0)&amp;IF(AND((B55+C55+D55-1)&lt;9,OR((B55)=0,(MAX((B55)-1,0)+MAX((C55)-1,0)+MAX((D55-1)-1,0))&lt;6)),1,0))</x:f>
        <x:v>111</x:v>
      </x:c>
      <x:c r="M55" s="18" t="n">
        <x:f>1+F55</x:f>
        <x:v>4</x:v>
      </x:c>
      <x:c r="N55" s="18" t="n">
        <x:f>COUNTIF('容量转换'!$B$8:$B$2447,A55)</x:f>
        <x:v>16</x:v>
      </x:c>
      <x:c r="O55" s="21" t="str">
        <x:f>IF(AND(MIN(B55:D55)&gt;=0,MAX(B55:D55)&lt;=7,H55&lt;=9),"合法","不合法")</x:f>
        <x:v>合法</x:v>
      </x:c>
    </x:row>
    <x:row r="56" ht="23" customHeight="1">
      <x:c r="A56" s="3" t="str">
        <x:v>ST-049</x:v>
      </x:c>
      <x:c r="B56" s="19" t="n">
        <x:v>2</x:v>
      </x:c>
      <x:c r="C56" s="19" t="n">
        <x:v>2</x:v>
      </x:c>
      <x:c r="D56" s="19" t="n">
        <x:v>1</x:v>
      </x:c>
      <x:c r="E56" s="20" t="n">
        <x:f>SUM(B56:D56)</x:f>
        <x:v>5</x:v>
      </x:c>
      <x:c r="F56" s="20" t="n">
        <x:f>COUNTIF(B56:D56,"&gt;0")</x:f>
        <x:v>3</x:v>
      </x:c>
      <x:c r="G56" s="20" t="n">
        <x:f>MAX(B56-1,0)+MAX(C56-1,0)+MAX(D56-1,0)</x:f>
        <x:v>2</x:v>
      </x:c>
      <x:c r="H56" s="20" t="n">
        <x:f>MAX(B56,1)+MAX(C56,1)+MAX(D56,1)</x:f>
        <x:v>5</x:v>
      </x:c>
      <x:c r="I56" s="22" t="str">
        <x:f>IF(AND((B56+C56+D56)&lt;9,OR((D56)=0,(MAX((B56)-1,0)+MAX((C56)-1,0)+MAX((D56)-1,0))&lt;6)),1,0)&amp;IF(AND((B56+C56+D56)&lt;9,OR((C56)=0,(MAX((B56)-1,0)+MAX((C56)-1,0)+MAX((D56)-1,0))&lt;6)),1,0)&amp;IF(AND((B56+C56+D56)&lt;9,OR((B56)=0,(MAX((B56)-1,0)+MAX((C56)-1,0)+MAX((D56)-1,0))&lt;6)),1,0)</x:f>
        <x:v>111</x:v>
      </x:c>
      <x:c r="J56" s="22" t="str">
        <x:f>IF(B56=0,"不可回收",IF(AND((B56-1+C56+D56)&lt;9,OR((D56)=0,(MAX((B56-1)-1,0)+MAX((C56)-1,0)+MAX((D56)-1,0))&lt;6)),1,0)&amp;IF(AND((B56-1+C56+D56)&lt;9,OR((C56)=0,(MAX((B56-1)-1,0)+MAX((C56)-1,0)+MAX((D56)-1,0))&lt;6)),1,0)&amp;IF(AND((B56-1+C56+D56)&lt;9,OR((B56-1)=0,(MAX((B56-1)-1,0)+MAX((C56)-1,0)+MAX((D56)-1,0))&lt;6)),1,0))</x:f>
        <x:v>111</x:v>
      </x:c>
      <x:c r="K56" s="22" t="str">
        <x:f>IF(C56=0,"不可回收",IF(AND((B56+C56-1+D56)&lt;9,OR((D56)=0,(MAX((B56)-1,0)+MAX((C56-1)-1,0)+MAX((D56)-1,0))&lt;6)),1,0)&amp;IF(AND((B56+C56-1+D56)&lt;9,OR((C56-1)=0,(MAX((B56)-1,0)+MAX((C56-1)-1,0)+MAX((D56)-1,0))&lt;6)),1,0)&amp;IF(AND((B56+C56-1+D56)&lt;9,OR((B56)=0,(MAX((B56)-1,0)+MAX((C56-1)-1,0)+MAX((D56)-1,0))&lt;6)),1,0))</x:f>
        <x:v>111</x:v>
      </x:c>
      <x:c r="L56" s="22" t="str">
        <x:f>IF(D56=0,"不可回收",IF(AND((B56+C56+D56-1)&lt;9,OR((D56-1)=0,(MAX((B56)-1,0)+MAX((C56)-1,0)+MAX((D56-1)-1,0))&lt;6)),1,0)&amp;IF(AND((B56+C56+D56-1)&lt;9,OR((C56)=0,(MAX((B56)-1,0)+MAX((C56)-1,0)+MAX((D56-1)-1,0))&lt;6)),1,0)&amp;IF(AND((B56+C56+D56-1)&lt;9,OR((B56)=0,(MAX((B56)-1,0)+MAX((C56)-1,0)+MAX((D56-1)-1,0))&lt;6)),1,0))</x:f>
        <x:v>111</x:v>
      </x:c>
      <x:c r="M56" s="18" t="n">
        <x:f>1+F56</x:f>
        <x:v>4</x:v>
      </x:c>
      <x:c r="N56" s="18" t="n">
        <x:f>COUNTIF('容量转换'!$B$8:$B$2447,A56)</x:f>
        <x:v>16</x:v>
      </x:c>
      <x:c r="O56" s="21" t="str">
        <x:f>IF(AND(MIN(B56:D56)&gt;=0,MAX(B56:D56)&lt;=7,H56&lt;=9),"合法","不合法")</x:f>
        <x:v>合法</x:v>
      </x:c>
    </x:row>
    <x:row r="57" ht="23" customHeight="1">
      <x:c r="A57" s="3" t="str">
        <x:v>ST-050</x:v>
      </x:c>
      <x:c r="B57" s="19" t="n">
        <x:v>2</x:v>
      </x:c>
      <x:c r="C57" s="19" t="n">
        <x:v>3</x:v>
      </x:c>
      <x:c r="D57" s="19" t="n">
        <x:v>0</x:v>
      </x:c>
      <x:c r="E57" s="20" t="n">
        <x:f>SUM(B57:D57)</x:f>
        <x:v>5</x:v>
      </x:c>
      <x:c r="F57" s="20" t="n">
        <x:f>COUNTIF(B57:D57,"&gt;0")</x:f>
        <x:v>2</x:v>
      </x:c>
      <x:c r="G57" s="20" t="n">
        <x:f>MAX(B57-1,0)+MAX(C57-1,0)+MAX(D57-1,0)</x:f>
        <x:v>3</x:v>
      </x:c>
      <x:c r="H57" s="20" t="n">
        <x:f>MAX(B57,1)+MAX(C57,1)+MAX(D57,1)</x:f>
        <x:v>6</x:v>
      </x:c>
      <x:c r="I57" s="22" t="str">
        <x:f>IF(AND((B57+C57+D57)&lt;9,OR((D57)=0,(MAX((B57)-1,0)+MAX((C57)-1,0)+MAX((D57)-1,0))&lt;6)),1,0)&amp;IF(AND((B57+C57+D57)&lt;9,OR((C57)=0,(MAX((B57)-1,0)+MAX((C57)-1,0)+MAX((D57)-1,0))&lt;6)),1,0)&amp;IF(AND((B57+C57+D57)&lt;9,OR((B57)=0,(MAX((B57)-1,0)+MAX((C57)-1,0)+MAX((D57)-1,0))&lt;6)),1,0)</x:f>
        <x:v>111</x:v>
      </x:c>
      <x:c r="J57" s="22" t="str">
        <x:f>IF(B57=0,"不可回收",IF(AND((B57-1+C57+D57)&lt;9,OR((D57)=0,(MAX((B57-1)-1,0)+MAX((C57)-1,0)+MAX((D57)-1,0))&lt;6)),1,0)&amp;IF(AND((B57-1+C57+D57)&lt;9,OR((C57)=0,(MAX((B57-1)-1,0)+MAX((C57)-1,0)+MAX((D57)-1,0))&lt;6)),1,0)&amp;IF(AND((B57-1+C57+D57)&lt;9,OR((B57-1)=0,(MAX((B57-1)-1,0)+MAX((C57)-1,0)+MAX((D57)-1,0))&lt;6)),1,0))</x:f>
        <x:v>111</x:v>
      </x:c>
      <x:c r="K57" s="22" t="str">
        <x:f>IF(C57=0,"不可回收",IF(AND((B57+C57-1+D57)&lt;9,OR((D57)=0,(MAX((B57)-1,0)+MAX((C57-1)-1,0)+MAX((D57)-1,0))&lt;6)),1,0)&amp;IF(AND((B57+C57-1+D57)&lt;9,OR((C57-1)=0,(MAX((B57)-1,0)+MAX((C57-1)-1,0)+MAX((D57)-1,0))&lt;6)),1,0)&amp;IF(AND((B57+C57-1+D57)&lt;9,OR((B57)=0,(MAX((B57)-1,0)+MAX((C57-1)-1,0)+MAX((D57)-1,0))&lt;6)),1,0))</x:f>
        <x:v>111</x:v>
      </x:c>
      <x:c r="L57" s="22" t="str">
        <x:f>IF(D57=0,"不可回收",IF(AND((B57+C57+D57-1)&lt;9,OR((D57-1)=0,(MAX((B57)-1,0)+MAX((C57)-1,0)+MAX((D57-1)-1,0))&lt;6)),1,0)&amp;IF(AND((B57+C57+D57-1)&lt;9,OR((C57)=0,(MAX((B57)-1,0)+MAX((C57)-1,0)+MAX((D57-1)-1,0))&lt;6)),1,0)&amp;IF(AND((B57+C57+D57-1)&lt;9,OR((B57)=0,(MAX((B57)-1,0)+MAX((C57)-1,0)+MAX((D57-1)-1,0))&lt;6)),1,0))</x:f>
        <x:v>不可回收</x:v>
      </x:c>
      <x:c r="M57" s="18" t="n">
        <x:f>1+F57</x:f>
        <x:v>3</x:v>
      </x:c>
      <x:c r="N57" s="18" t="n">
        <x:f>COUNTIF('容量转换'!$B$8:$B$2447,A57)</x:f>
        <x:v>12</x:v>
      </x:c>
      <x:c r="O57" s="21" t="str">
        <x:f>IF(AND(MIN(B57:D57)&gt;=0,MAX(B57:D57)&lt;=7,H57&lt;=9),"合法","不合法")</x:f>
        <x:v>合法</x:v>
      </x:c>
    </x:row>
    <x:row r="58" ht="23" customHeight="1">
      <x:c r="A58" s="3" t="str">
        <x:v>ST-051</x:v>
      </x:c>
      <x:c r="B58" s="19" t="n">
        <x:v>3</x:v>
      </x:c>
      <x:c r="C58" s="19" t="n">
        <x:v>0</x:v>
      </x:c>
      <x:c r="D58" s="19" t="n">
        <x:v>2</x:v>
      </x:c>
      <x:c r="E58" s="20" t="n">
        <x:f>SUM(B58:D58)</x:f>
        <x:v>5</x:v>
      </x:c>
      <x:c r="F58" s="20" t="n">
        <x:f>COUNTIF(B58:D58,"&gt;0")</x:f>
        <x:v>2</x:v>
      </x:c>
      <x:c r="G58" s="20" t="n">
        <x:f>MAX(B58-1,0)+MAX(C58-1,0)+MAX(D58-1,0)</x:f>
        <x:v>3</x:v>
      </x:c>
      <x:c r="H58" s="20" t="n">
        <x:f>MAX(B58,1)+MAX(C58,1)+MAX(D58,1)</x:f>
        <x:v>6</x:v>
      </x:c>
      <x:c r="I58" s="22" t="str">
        <x:f>IF(AND((B58+C58+D58)&lt;9,OR((D58)=0,(MAX((B58)-1,0)+MAX((C58)-1,0)+MAX((D58)-1,0))&lt;6)),1,0)&amp;IF(AND((B58+C58+D58)&lt;9,OR((C58)=0,(MAX((B58)-1,0)+MAX((C58)-1,0)+MAX((D58)-1,0))&lt;6)),1,0)&amp;IF(AND((B58+C58+D58)&lt;9,OR((B58)=0,(MAX((B58)-1,0)+MAX((C58)-1,0)+MAX((D58)-1,0))&lt;6)),1,0)</x:f>
        <x:v>111</x:v>
      </x:c>
      <x:c r="J58" s="22" t="str">
        <x:f>IF(B58=0,"不可回收",IF(AND((B58-1+C58+D58)&lt;9,OR((D58)=0,(MAX((B58-1)-1,0)+MAX((C58)-1,0)+MAX((D58)-1,0))&lt;6)),1,0)&amp;IF(AND((B58-1+C58+D58)&lt;9,OR((C58)=0,(MAX((B58-1)-1,0)+MAX((C58)-1,0)+MAX((D58)-1,0))&lt;6)),1,0)&amp;IF(AND((B58-1+C58+D58)&lt;9,OR((B58-1)=0,(MAX((B58-1)-1,0)+MAX((C58)-1,0)+MAX((D58)-1,0))&lt;6)),1,0))</x:f>
        <x:v>111</x:v>
      </x:c>
      <x:c r="K58" s="22" t="str">
        <x:f>IF(C58=0,"不可回收",IF(AND((B58+C58-1+D58)&lt;9,OR((D58)=0,(MAX((B58)-1,0)+MAX((C58-1)-1,0)+MAX((D58)-1,0))&lt;6)),1,0)&amp;IF(AND((B58+C58-1+D58)&lt;9,OR((C58-1)=0,(MAX((B58)-1,0)+MAX((C58-1)-1,0)+MAX((D58)-1,0))&lt;6)),1,0)&amp;IF(AND((B58+C58-1+D58)&lt;9,OR((B58)=0,(MAX((B58)-1,0)+MAX((C58-1)-1,0)+MAX((D58)-1,0))&lt;6)),1,0))</x:f>
        <x:v>不可回收</x:v>
      </x:c>
      <x:c r="L58" s="22" t="str">
        <x:f>IF(D58=0,"不可回收",IF(AND((B58+C58+D58-1)&lt;9,OR((D58-1)=0,(MAX((B58)-1,0)+MAX((C58)-1,0)+MAX((D58-1)-1,0))&lt;6)),1,0)&amp;IF(AND((B58+C58+D58-1)&lt;9,OR((C58)=0,(MAX((B58)-1,0)+MAX((C58)-1,0)+MAX((D58-1)-1,0))&lt;6)),1,0)&amp;IF(AND((B58+C58+D58-1)&lt;9,OR((B58)=0,(MAX((B58)-1,0)+MAX((C58)-1,0)+MAX((D58-1)-1,0))&lt;6)),1,0))</x:f>
        <x:v>111</x:v>
      </x:c>
      <x:c r="M58" s="18" t="n">
        <x:f>1+F58</x:f>
        <x:v>3</x:v>
      </x:c>
      <x:c r="N58" s="18" t="n">
        <x:f>COUNTIF('容量转换'!$B$8:$B$2447,A58)</x:f>
        <x:v>12</x:v>
      </x:c>
      <x:c r="O58" s="21" t="str">
        <x:f>IF(AND(MIN(B58:D58)&gt;=0,MAX(B58:D58)&lt;=7,H58&lt;=9),"合法","不合法")</x:f>
        <x:v>合法</x:v>
      </x:c>
    </x:row>
    <x:row r="59" ht="23" customHeight="1">
      <x:c r="A59" s="3" t="str">
        <x:v>ST-052</x:v>
      </x:c>
      <x:c r="B59" s="19" t="n">
        <x:v>3</x:v>
      </x:c>
      <x:c r="C59" s="19" t="n">
        <x:v>1</x:v>
      </x:c>
      <x:c r="D59" s="19" t="n">
        <x:v>1</x:v>
      </x:c>
      <x:c r="E59" s="20" t="n">
        <x:f>SUM(B59:D59)</x:f>
        <x:v>5</x:v>
      </x:c>
      <x:c r="F59" s="20" t="n">
        <x:f>COUNTIF(B59:D59,"&gt;0")</x:f>
        <x:v>3</x:v>
      </x:c>
      <x:c r="G59" s="20" t="n">
        <x:f>MAX(B59-1,0)+MAX(C59-1,0)+MAX(D59-1,0)</x:f>
        <x:v>2</x:v>
      </x:c>
      <x:c r="H59" s="20" t="n">
        <x:f>MAX(B59,1)+MAX(C59,1)+MAX(D59,1)</x:f>
        <x:v>5</x:v>
      </x:c>
      <x:c r="I59" s="22" t="str">
        <x:f>IF(AND((B59+C59+D59)&lt;9,OR((D59)=0,(MAX((B59)-1,0)+MAX((C59)-1,0)+MAX((D59)-1,0))&lt;6)),1,0)&amp;IF(AND((B59+C59+D59)&lt;9,OR((C59)=0,(MAX((B59)-1,0)+MAX((C59)-1,0)+MAX((D59)-1,0))&lt;6)),1,0)&amp;IF(AND((B59+C59+D59)&lt;9,OR((B59)=0,(MAX((B59)-1,0)+MAX((C59)-1,0)+MAX((D59)-1,0))&lt;6)),1,0)</x:f>
        <x:v>111</x:v>
      </x:c>
      <x:c r="J59" s="22" t="str">
        <x:f>IF(B59=0,"不可回收",IF(AND((B59-1+C59+D59)&lt;9,OR((D59)=0,(MAX((B59-1)-1,0)+MAX((C59)-1,0)+MAX((D59)-1,0))&lt;6)),1,0)&amp;IF(AND((B59-1+C59+D59)&lt;9,OR((C59)=0,(MAX((B59-1)-1,0)+MAX((C59)-1,0)+MAX((D59)-1,0))&lt;6)),1,0)&amp;IF(AND((B59-1+C59+D59)&lt;9,OR((B59-1)=0,(MAX((B59-1)-1,0)+MAX((C59)-1,0)+MAX((D59)-1,0))&lt;6)),1,0))</x:f>
        <x:v>111</x:v>
      </x:c>
      <x:c r="K59" s="22" t="str">
        <x:f>IF(C59=0,"不可回收",IF(AND((B59+C59-1+D59)&lt;9,OR((D59)=0,(MAX((B59)-1,0)+MAX((C59-1)-1,0)+MAX((D59)-1,0))&lt;6)),1,0)&amp;IF(AND((B59+C59-1+D59)&lt;9,OR((C59-1)=0,(MAX((B59)-1,0)+MAX((C59-1)-1,0)+MAX((D59)-1,0))&lt;6)),1,0)&amp;IF(AND((B59+C59-1+D59)&lt;9,OR((B59)=0,(MAX((B59)-1,0)+MAX((C59-1)-1,0)+MAX((D59)-1,0))&lt;6)),1,0))</x:f>
        <x:v>111</x:v>
      </x:c>
      <x:c r="L59" s="22" t="str">
        <x:f>IF(D59=0,"不可回收",IF(AND((B59+C59+D59-1)&lt;9,OR((D59-1)=0,(MAX((B59)-1,0)+MAX((C59)-1,0)+MAX((D59-1)-1,0))&lt;6)),1,0)&amp;IF(AND((B59+C59+D59-1)&lt;9,OR((C59)=0,(MAX((B59)-1,0)+MAX((C59)-1,0)+MAX((D59-1)-1,0))&lt;6)),1,0)&amp;IF(AND((B59+C59+D59-1)&lt;9,OR((B59)=0,(MAX((B59)-1,0)+MAX((C59)-1,0)+MAX((D59-1)-1,0))&lt;6)),1,0))</x:f>
        <x:v>111</x:v>
      </x:c>
      <x:c r="M59" s="18" t="n">
        <x:f>1+F59</x:f>
        <x:v>4</x:v>
      </x:c>
      <x:c r="N59" s="18" t="n">
        <x:f>COUNTIF('容量转换'!$B$8:$B$2447,A59)</x:f>
        <x:v>16</x:v>
      </x:c>
      <x:c r="O59" s="21" t="str">
        <x:f>IF(AND(MIN(B59:D59)&gt;=0,MAX(B59:D59)&lt;=7,H59&lt;=9),"合法","不合法")</x:f>
        <x:v>合法</x:v>
      </x:c>
    </x:row>
    <x:row r="60" ht="23" customHeight="1">
      <x:c r="A60" s="3" t="str">
        <x:v>ST-053</x:v>
      </x:c>
      <x:c r="B60" s="19" t="n">
        <x:v>3</x:v>
      </x:c>
      <x:c r="C60" s="19" t="n">
        <x:v>2</x:v>
      </x:c>
      <x:c r="D60" s="19" t="n">
        <x:v>0</x:v>
      </x:c>
      <x:c r="E60" s="20" t="n">
        <x:f>SUM(B60:D60)</x:f>
        <x:v>5</x:v>
      </x:c>
      <x:c r="F60" s="20" t="n">
        <x:f>COUNTIF(B60:D60,"&gt;0")</x:f>
        <x:v>2</x:v>
      </x:c>
      <x:c r="G60" s="20" t="n">
        <x:f>MAX(B60-1,0)+MAX(C60-1,0)+MAX(D60-1,0)</x:f>
        <x:v>3</x:v>
      </x:c>
      <x:c r="H60" s="20" t="n">
        <x:f>MAX(B60,1)+MAX(C60,1)+MAX(D60,1)</x:f>
        <x:v>6</x:v>
      </x:c>
      <x:c r="I60" s="22" t="str">
        <x:f>IF(AND((B60+C60+D60)&lt;9,OR((D60)=0,(MAX((B60)-1,0)+MAX((C60)-1,0)+MAX((D60)-1,0))&lt;6)),1,0)&amp;IF(AND((B60+C60+D60)&lt;9,OR((C60)=0,(MAX((B60)-1,0)+MAX((C60)-1,0)+MAX((D60)-1,0))&lt;6)),1,0)&amp;IF(AND((B60+C60+D60)&lt;9,OR((B60)=0,(MAX((B60)-1,0)+MAX((C60)-1,0)+MAX((D60)-1,0))&lt;6)),1,0)</x:f>
        <x:v>111</x:v>
      </x:c>
      <x:c r="J60" s="22" t="str">
        <x:f>IF(B60=0,"不可回收",IF(AND((B60-1+C60+D60)&lt;9,OR((D60)=0,(MAX((B60-1)-1,0)+MAX((C60)-1,0)+MAX((D60)-1,0))&lt;6)),1,0)&amp;IF(AND((B60-1+C60+D60)&lt;9,OR((C60)=0,(MAX((B60-1)-1,0)+MAX((C60)-1,0)+MAX((D60)-1,0))&lt;6)),1,0)&amp;IF(AND((B60-1+C60+D60)&lt;9,OR((B60-1)=0,(MAX((B60-1)-1,0)+MAX((C60)-1,0)+MAX((D60)-1,0))&lt;6)),1,0))</x:f>
        <x:v>111</x:v>
      </x:c>
      <x:c r="K60" s="22" t="str">
        <x:f>IF(C60=0,"不可回收",IF(AND((B60+C60-1+D60)&lt;9,OR((D60)=0,(MAX((B60)-1,0)+MAX((C60-1)-1,0)+MAX((D60)-1,0))&lt;6)),1,0)&amp;IF(AND((B60+C60-1+D60)&lt;9,OR((C60-1)=0,(MAX((B60)-1,0)+MAX((C60-1)-1,0)+MAX((D60)-1,0))&lt;6)),1,0)&amp;IF(AND((B60+C60-1+D60)&lt;9,OR((B60)=0,(MAX((B60)-1,0)+MAX((C60-1)-1,0)+MAX((D60)-1,0))&lt;6)),1,0))</x:f>
        <x:v>111</x:v>
      </x:c>
      <x:c r="L60" s="22" t="str">
        <x:f>IF(D60=0,"不可回收",IF(AND((B60+C60+D60-1)&lt;9,OR((D60-1)=0,(MAX((B60)-1,0)+MAX((C60)-1,0)+MAX((D60-1)-1,0))&lt;6)),1,0)&amp;IF(AND((B60+C60+D60-1)&lt;9,OR((C60)=0,(MAX((B60)-1,0)+MAX((C60)-1,0)+MAX((D60-1)-1,0))&lt;6)),1,0)&amp;IF(AND((B60+C60+D60-1)&lt;9,OR((B60)=0,(MAX((B60)-1,0)+MAX((C60)-1,0)+MAX((D60-1)-1,0))&lt;6)),1,0))</x:f>
        <x:v>不可回收</x:v>
      </x:c>
      <x:c r="M60" s="18" t="n">
        <x:f>1+F60</x:f>
        <x:v>3</x:v>
      </x:c>
      <x:c r="N60" s="18" t="n">
        <x:f>COUNTIF('容量转换'!$B$8:$B$2447,A60)</x:f>
        <x:v>12</x:v>
      </x:c>
      <x:c r="O60" s="21" t="str">
        <x:f>IF(AND(MIN(B60:D60)&gt;=0,MAX(B60:D60)&lt;=7,H60&lt;=9),"合法","不合法")</x:f>
        <x:v>合法</x:v>
      </x:c>
    </x:row>
    <x:row r="61" ht="23" customHeight="1">
      <x:c r="A61" s="3" t="str">
        <x:v>ST-054</x:v>
      </x:c>
      <x:c r="B61" s="19" t="n">
        <x:v>4</x:v>
      </x:c>
      <x:c r="C61" s="19" t="n">
        <x:v>0</x:v>
      </x:c>
      <x:c r="D61" s="19" t="n">
        <x:v>1</x:v>
      </x:c>
      <x:c r="E61" s="20" t="n">
        <x:f>SUM(B61:D61)</x:f>
        <x:v>5</x:v>
      </x:c>
      <x:c r="F61" s="20" t="n">
        <x:f>COUNTIF(B61:D61,"&gt;0")</x:f>
        <x:v>2</x:v>
      </x:c>
      <x:c r="G61" s="20" t="n">
        <x:f>MAX(B61-1,0)+MAX(C61-1,0)+MAX(D61-1,0)</x:f>
        <x:v>3</x:v>
      </x:c>
      <x:c r="H61" s="20" t="n">
        <x:f>MAX(B61,1)+MAX(C61,1)+MAX(D61,1)</x:f>
        <x:v>6</x:v>
      </x:c>
      <x:c r="I61" s="22" t="str">
        <x:f>IF(AND((B61+C61+D61)&lt;9,OR((D61)=0,(MAX((B61)-1,0)+MAX((C61)-1,0)+MAX((D61)-1,0))&lt;6)),1,0)&amp;IF(AND((B61+C61+D61)&lt;9,OR((C61)=0,(MAX((B61)-1,0)+MAX((C61)-1,0)+MAX((D61)-1,0))&lt;6)),1,0)&amp;IF(AND((B61+C61+D61)&lt;9,OR((B61)=0,(MAX((B61)-1,0)+MAX((C61)-1,0)+MAX((D61)-1,0))&lt;6)),1,0)</x:f>
        <x:v>111</x:v>
      </x:c>
      <x:c r="J61" s="22" t="str">
        <x:f>IF(B61=0,"不可回收",IF(AND((B61-1+C61+D61)&lt;9,OR((D61)=0,(MAX((B61-1)-1,0)+MAX((C61)-1,0)+MAX((D61)-1,0))&lt;6)),1,0)&amp;IF(AND((B61-1+C61+D61)&lt;9,OR((C61)=0,(MAX((B61-1)-1,0)+MAX((C61)-1,0)+MAX((D61)-1,0))&lt;6)),1,0)&amp;IF(AND((B61-1+C61+D61)&lt;9,OR((B61-1)=0,(MAX((B61-1)-1,0)+MAX((C61)-1,0)+MAX((D61)-1,0))&lt;6)),1,0))</x:f>
        <x:v>111</x:v>
      </x:c>
      <x:c r="K61" s="22" t="str">
        <x:f>IF(C61=0,"不可回收",IF(AND((B61+C61-1+D61)&lt;9,OR((D61)=0,(MAX((B61)-1,0)+MAX((C61-1)-1,0)+MAX((D61)-1,0))&lt;6)),1,0)&amp;IF(AND((B61+C61-1+D61)&lt;9,OR((C61-1)=0,(MAX((B61)-1,0)+MAX((C61-1)-1,0)+MAX((D61)-1,0))&lt;6)),1,0)&amp;IF(AND((B61+C61-1+D61)&lt;9,OR((B61)=0,(MAX((B61)-1,0)+MAX((C61-1)-1,0)+MAX((D61)-1,0))&lt;6)),1,0))</x:f>
        <x:v>不可回收</x:v>
      </x:c>
      <x:c r="L61" s="22" t="str">
        <x:f>IF(D61=0,"不可回收",IF(AND((B61+C61+D61-1)&lt;9,OR((D61-1)=0,(MAX((B61)-1,0)+MAX((C61)-1,0)+MAX((D61-1)-1,0))&lt;6)),1,0)&amp;IF(AND((B61+C61+D61-1)&lt;9,OR((C61)=0,(MAX((B61)-1,0)+MAX((C61)-1,0)+MAX((D61-1)-1,0))&lt;6)),1,0)&amp;IF(AND((B61+C61+D61-1)&lt;9,OR((B61)=0,(MAX((B61)-1,0)+MAX((C61)-1,0)+MAX((D61-1)-1,0))&lt;6)),1,0))</x:f>
        <x:v>111</x:v>
      </x:c>
      <x:c r="M61" s="18" t="n">
        <x:f>1+F61</x:f>
        <x:v>3</x:v>
      </x:c>
      <x:c r="N61" s="18" t="n">
        <x:f>COUNTIF('容量转换'!$B$8:$B$2447,A61)</x:f>
        <x:v>12</x:v>
      </x:c>
      <x:c r="O61" s="21" t="str">
        <x:f>IF(AND(MIN(B61:D61)&gt;=0,MAX(B61:D61)&lt;=7,H61&lt;=9),"合法","不合法")</x:f>
        <x:v>合法</x:v>
      </x:c>
    </x:row>
    <x:row r="62" ht="23" customHeight="1">
      <x:c r="A62" s="3" t="str">
        <x:v>ST-055</x:v>
      </x:c>
      <x:c r="B62" s="19" t="n">
        <x:v>4</x:v>
      </x:c>
      <x:c r="C62" s="19" t="n">
        <x:v>1</x:v>
      </x:c>
      <x:c r="D62" s="19" t="n">
        <x:v>0</x:v>
      </x:c>
      <x:c r="E62" s="20" t="n">
        <x:f>SUM(B62:D62)</x:f>
        <x:v>5</x:v>
      </x:c>
      <x:c r="F62" s="20" t="n">
        <x:f>COUNTIF(B62:D62,"&gt;0")</x:f>
        <x:v>2</x:v>
      </x:c>
      <x:c r="G62" s="20" t="n">
        <x:f>MAX(B62-1,0)+MAX(C62-1,0)+MAX(D62-1,0)</x:f>
        <x:v>3</x:v>
      </x:c>
      <x:c r="H62" s="20" t="n">
        <x:f>MAX(B62,1)+MAX(C62,1)+MAX(D62,1)</x:f>
        <x:v>6</x:v>
      </x:c>
      <x:c r="I62" s="22" t="str">
        <x:f>IF(AND((B62+C62+D62)&lt;9,OR((D62)=0,(MAX((B62)-1,0)+MAX((C62)-1,0)+MAX((D62)-1,0))&lt;6)),1,0)&amp;IF(AND((B62+C62+D62)&lt;9,OR((C62)=0,(MAX((B62)-1,0)+MAX((C62)-1,0)+MAX((D62)-1,0))&lt;6)),1,0)&amp;IF(AND((B62+C62+D62)&lt;9,OR((B62)=0,(MAX((B62)-1,0)+MAX((C62)-1,0)+MAX((D62)-1,0))&lt;6)),1,0)</x:f>
        <x:v>111</x:v>
      </x:c>
      <x:c r="J62" s="22" t="str">
        <x:f>IF(B62=0,"不可回收",IF(AND((B62-1+C62+D62)&lt;9,OR((D62)=0,(MAX((B62-1)-1,0)+MAX((C62)-1,0)+MAX((D62)-1,0))&lt;6)),1,0)&amp;IF(AND((B62-1+C62+D62)&lt;9,OR((C62)=0,(MAX((B62-1)-1,0)+MAX((C62)-1,0)+MAX((D62)-1,0))&lt;6)),1,0)&amp;IF(AND((B62-1+C62+D62)&lt;9,OR((B62-1)=0,(MAX((B62-1)-1,0)+MAX((C62)-1,0)+MAX((D62)-1,0))&lt;6)),1,0))</x:f>
        <x:v>111</x:v>
      </x:c>
      <x:c r="K62" s="22" t="str">
        <x:f>IF(C62=0,"不可回收",IF(AND((B62+C62-1+D62)&lt;9,OR((D62)=0,(MAX((B62)-1,0)+MAX((C62-1)-1,0)+MAX((D62)-1,0))&lt;6)),1,0)&amp;IF(AND((B62+C62-1+D62)&lt;9,OR((C62-1)=0,(MAX((B62)-1,0)+MAX((C62-1)-1,0)+MAX((D62)-1,0))&lt;6)),1,0)&amp;IF(AND((B62+C62-1+D62)&lt;9,OR((B62)=0,(MAX((B62)-1,0)+MAX((C62-1)-1,0)+MAX((D62)-1,0))&lt;6)),1,0))</x:f>
        <x:v>111</x:v>
      </x:c>
      <x:c r="L62" s="22" t="str">
        <x:f>IF(D62=0,"不可回收",IF(AND((B62+C62+D62-1)&lt;9,OR((D62-1)=0,(MAX((B62)-1,0)+MAX((C62)-1,0)+MAX((D62-1)-1,0))&lt;6)),1,0)&amp;IF(AND((B62+C62+D62-1)&lt;9,OR((C62)=0,(MAX((B62)-1,0)+MAX((C62)-1,0)+MAX((D62-1)-1,0))&lt;6)),1,0)&amp;IF(AND((B62+C62+D62-1)&lt;9,OR((B62)=0,(MAX((B62)-1,0)+MAX((C62)-1,0)+MAX((D62-1)-1,0))&lt;6)),1,0))</x:f>
        <x:v>不可回收</x:v>
      </x:c>
      <x:c r="M62" s="18" t="n">
        <x:f>1+F62</x:f>
        <x:v>3</x:v>
      </x:c>
      <x:c r="N62" s="18" t="n">
        <x:f>COUNTIF('容量转换'!$B$8:$B$2447,A62)</x:f>
        <x:v>12</x:v>
      </x:c>
      <x:c r="O62" s="21" t="str">
        <x:f>IF(AND(MIN(B62:D62)&gt;=0,MAX(B62:D62)&lt;=7,H62&lt;=9),"合法","不合法")</x:f>
        <x:v>合法</x:v>
      </x:c>
    </x:row>
    <x:row r="63" ht="23" customHeight="1">
      <x:c r="A63" s="3" t="str">
        <x:v>ST-056</x:v>
      </x:c>
      <x:c r="B63" s="19" t="n">
        <x:v>5</x:v>
      </x:c>
      <x:c r="C63" s="19" t="n">
        <x:v>0</x:v>
      </x:c>
      <x:c r="D63" s="19" t="n">
        <x:v>0</x:v>
      </x:c>
      <x:c r="E63" s="20" t="n">
        <x:f>SUM(B63:D63)</x:f>
        <x:v>5</x:v>
      </x:c>
      <x:c r="F63" s="20" t="n">
        <x:f>COUNTIF(B63:D63,"&gt;0")</x:f>
        <x:v>1</x:v>
      </x:c>
      <x:c r="G63" s="20" t="n">
        <x:f>MAX(B63-1,0)+MAX(C63-1,0)+MAX(D63-1,0)</x:f>
        <x:v>4</x:v>
      </x:c>
      <x:c r="H63" s="20" t="n">
        <x:f>MAX(B63,1)+MAX(C63,1)+MAX(D63,1)</x:f>
        <x:v>7</x:v>
      </x:c>
      <x:c r="I63" s="22" t="str">
        <x:f>IF(AND((B63+C63+D63)&lt;9,OR((D63)=0,(MAX((B63)-1,0)+MAX((C63)-1,0)+MAX((D63)-1,0))&lt;6)),1,0)&amp;IF(AND((B63+C63+D63)&lt;9,OR((C63)=0,(MAX((B63)-1,0)+MAX((C63)-1,0)+MAX((D63)-1,0))&lt;6)),1,0)&amp;IF(AND((B63+C63+D63)&lt;9,OR((B63)=0,(MAX((B63)-1,0)+MAX((C63)-1,0)+MAX((D63)-1,0))&lt;6)),1,0)</x:f>
        <x:v>111</x:v>
      </x:c>
      <x:c r="J63" s="22" t="str">
        <x:f>IF(B63=0,"不可回收",IF(AND((B63-1+C63+D63)&lt;9,OR((D63)=0,(MAX((B63-1)-1,0)+MAX((C63)-1,0)+MAX((D63)-1,0))&lt;6)),1,0)&amp;IF(AND((B63-1+C63+D63)&lt;9,OR((C63)=0,(MAX((B63-1)-1,0)+MAX((C63)-1,0)+MAX((D63)-1,0))&lt;6)),1,0)&amp;IF(AND((B63-1+C63+D63)&lt;9,OR((B63-1)=0,(MAX((B63-1)-1,0)+MAX((C63)-1,0)+MAX((D63)-1,0))&lt;6)),1,0))</x:f>
        <x:v>111</x:v>
      </x:c>
      <x:c r="K63" s="22" t="str">
        <x:f>IF(C63=0,"不可回收",IF(AND((B63+C63-1+D63)&lt;9,OR((D63)=0,(MAX((B63)-1,0)+MAX((C63-1)-1,0)+MAX((D63)-1,0))&lt;6)),1,0)&amp;IF(AND((B63+C63-1+D63)&lt;9,OR((C63-1)=0,(MAX((B63)-1,0)+MAX((C63-1)-1,0)+MAX((D63)-1,0))&lt;6)),1,0)&amp;IF(AND((B63+C63-1+D63)&lt;9,OR((B63)=0,(MAX((B63)-1,0)+MAX((C63-1)-1,0)+MAX((D63)-1,0))&lt;6)),1,0))</x:f>
        <x:v>不可回收</x:v>
      </x:c>
      <x:c r="L63" s="22" t="str">
        <x:f>IF(D63=0,"不可回收",IF(AND((B63+C63+D63-1)&lt;9,OR((D63-1)=0,(MAX((B63)-1,0)+MAX((C63)-1,0)+MAX((D63-1)-1,0))&lt;6)),1,0)&amp;IF(AND((B63+C63+D63-1)&lt;9,OR((C63)=0,(MAX((B63)-1,0)+MAX((C63)-1,0)+MAX((D63-1)-1,0))&lt;6)),1,0)&amp;IF(AND((B63+C63+D63-1)&lt;9,OR((B63)=0,(MAX((B63)-1,0)+MAX((C63)-1,0)+MAX((D63-1)-1,0))&lt;6)),1,0))</x:f>
        <x:v>不可回收</x:v>
      </x:c>
      <x:c r="M63" s="18" t="n">
        <x:f>1+F63</x:f>
        <x:v>2</x:v>
      </x:c>
      <x:c r="N63" s="18" t="n">
        <x:f>COUNTIF('容量转换'!$B$8:$B$2447,A63)</x:f>
        <x:v>8</x:v>
      </x:c>
      <x:c r="O63" s="21" t="str">
        <x:f>IF(AND(MIN(B63:D63)&gt;=0,MAX(B63:D63)&lt;=7,H63&lt;=9),"合法","不合法")</x:f>
        <x:v>合法</x:v>
      </x:c>
    </x:row>
    <x:row r="64" ht="23" customHeight="1">
      <x:c r="A64" s="3" t="str">
        <x:v>ST-057</x:v>
      </x:c>
      <x:c r="B64" s="19" t="n">
        <x:v>0</x:v>
      </x:c>
      <x:c r="C64" s="19" t="n">
        <x:v>0</x:v>
      </x:c>
      <x:c r="D64" s="19" t="n">
        <x:v>6</x:v>
      </x:c>
      <x:c r="E64" s="20" t="n">
        <x:f>SUM(B64:D64)</x:f>
        <x:v>6</x:v>
      </x:c>
      <x:c r="F64" s="20" t="n">
        <x:f>COUNTIF(B64:D64,"&gt;0")</x:f>
        <x:v>1</x:v>
      </x:c>
      <x:c r="G64" s="20" t="n">
        <x:f>MAX(B64-1,0)+MAX(C64-1,0)+MAX(D64-1,0)</x:f>
        <x:v>5</x:v>
      </x:c>
      <x:c r="H64" s="20" t="n">
        <x:f>MAX(B64,1)+MAX(C64,1)+MAX(D64,1)</x:f>
        <x:v>8</x:v>
      </x:c>
      <x:c r="I64" s="22" t="str">
        <x:f>IF(AND((B64+C64+D64)&lt;9,OR((D64)=0,(MAX((B64)-1,0)+MAX((C64)-1,0)+MAX((D64)-1,0))&lt;6)),1,0)&amp;IF(AND((B64+C64+D64)&lt;9,OR((C64)=0,(MAX((B64)-1,0)+MAX((C64)-1,0)+MAX((D64)-1,0))&lt;6)),1,0)&amp;IF(AND((B64+C64+D64)&lt;9,OR((B64)=0,(MAX((B64)-1,0)+MAX((C64)-1,0)+MAX((D64)-1,0))&lt;6)),1,0)</x:f>
        <x:v>111</x:v>
      </x:c>
      <x:c r="J64" s="22" t="str">
        <x:f>IF(B64=0,"不可回收",IF(AND((B64-1+C64+D64)&lt;9,OR((D64)=0,(MAX((B64-1)-1,0)+MAX((C64)-1,0)+MAX((D64)-1,0))&lt;6)),1,0)&amp;IF(AND((B64-1+C64+D64)&lt;9,OR((C64)=0,(MAX((B64-1)-1,0)+MAX((C64)-1,0)+MAX((D64)-1,0))&lt;6)),1,0)&amp;IF(AND((B64-1+C64+D64)&lt;9,OR((B64-1)=0,(MAX((B64-1)-1,0)+MAX((C64)-1,0)+MAX((D64)-1,0))&lt;6)),1,0))</x:f>
        <x:v>不可回收</x:v>
      </x:c>
      <x:c r="K64" s="22" t="str">
        <x:f>IF(C64=0,"不可回收",IF(AND((B64+C64-1+D64)&lt;9,OR((D64)=0,(MAX((B64)-1,0)+MAX((C64-1)-1,0)+MAX((D64)-1,0))&lt;6)),1,0)&amp;IF(AND((B64+C64-1+D64)&lt;9,OR((C64-1)=0,(MAX((B64)-1,0)+MAX((C64-1)-1,0)+MAX((D64)-1,0))&lt;6)),1,0)&amp;IF(AND((B64+C64-1+D64)&lt;9,OR((B64)=0,(MAX((B64)-1,0)+MAX((C64-1)-1,0)+MAX((D64)-1,0))&lt;6)),1,0))</x:f>
        <x:v>不可回收</x:v>
      </x:c>
      <x:c r="L64" s="22" t="str">
        <x:f>IF(D64=0,"不可回收",IF(AND((B64+C64+D64-1)&lt;9,OR((D64-1)=0,(MAX((B64)-1,0)+MAX((C64)-1,0)+MAX((D64-1)-1,0))&lt;6)),1,0)&amp;IF(AND((B64+C64+D64-1)&lt;9,OR((C64)=0,(MAX((B64)-1,0)+MAX((C64)-1,0)+MAX((D64-1)-1,0))&lt;6)),1,0)&amp;IF(AND((B64+C64+D64-1)&lt;9,OR((B64)=0,(MAX((B64)-1,0)+MAX((C64)-1,0)+MAX((D64-1)-1,0))&lt;6)),1,0))</x:f>
        <x:v>111</x:v>
      </x:c>
      <x:c r="M64" s="18" t="n">
        <x:f>1+F64</x:f>
        <x:v>2</x:v>
      </x:c>
      <x:c r="N64" s="18" t="n">
        <x:f>COUNTIF('容量转换'!$B$8:$B$2447,A64)</x:f>
        <x:v>8</x:v>
      </x:c>
      <x:c r="O64" s="21" t="str">
        <x:f>IF(AND(MIN(B64:D64)&gt;=0,MAX(B64:D64)&lt;=7,H64&lt;=9),"合法","不合法")</x:f>
        <x:v>合法</x:v>
      </x:c>
    </x:row>
    <x:row r="65" ht="23" customHeight="1">
      <x:c r="A65" s="3" t="str">
        <x:v>ST-058</x:v>
      </x:c>
      <x:c r="B65" s="19" t="n">
        <x:v>0</x:v>
      </x:c>
      <x:c r="C65" s="19" t="n">
        <x:v>1</x:v>
      </x:c>
      <x:c r="D65" s="19" t="n">
        <x:v>5</x:v>
      </x:c>
      <x:c r="E65" s="20" t="n">
        <x:f>SUM(B65:D65)</x:f>
        <x:v>6</x:v>
      </x:c>
      <x:c r="F65" s="20" t="n">
        <x:f>COUNTIF(B65:D65,"&gt;0")</x:f>
        <x:v>2</x:v>
      </x:c>
      <x:c r="G65" s="20" t="n">
        <x:f>MAX(B65-1,0)+MAX(C65-1,0)+MAX(D65-1,0)</x:f>
        <x:v>4</x:v>
      </x:c>
      <x:c r="H65" s="20" t="n">
        <x:f>MAX(B65,1)+MAX(C65,1)+MAX(D65,1)</x:f>
        <x:v>7</x:v>
      </x:c>
      <x:c r="I65" s="22" t="str">
        <x:f>IF(AND((B65+C65+D65)&lt;9,OR((D65)=0,(MAX((B65)-1,0)+MAX((C65)-1,0)+MAX((D65)-1,0))&lt;6)),1,0)&amp;IF(AND((B65+C65+D65)&lt;9,OR((C65)=0,(MAX((B65)-1,0)+MAX((C65)-1,0)+MAX((D65)-1,0))&lt;6)),1,0)&amp;IF(AND((B65+C65+D65)&lt;9,OR((B65)=0,(MAX((B65)-1,0)+MAX((C65)-1,0)+MAX((D65)-1,0))&lt;6)),1,0)</x:f>
        <x:v>111</x:v>
      </x:c>
      <x:c r="J65" s="22" t="str">
        <x:f>IF(B65=0,"不可回收",IF(AND((B65-1+C65+D65)&lt;9,OR((D65)=0,(MAX((B65-1)-1,0)+MAX((C65)-1,0)+MAX((D65)-1,0))&lt;6)),1,0)&amp;IF(AND((B65-1+C65+D65)&lt;9,OR((C65)=0,(MAX((B65-1)-1,0)+MAX((C65)-1,0)+MAX((D65)-1,0))&lt;6)),1,0)&amp;IF(AND((B65-1+C65+D65)&lt;9,OR((B65-1)=0,(MAX((B65-1)-1,0)+MAX((C65)-1,0)+MAX((D65)-1,0))&lt;6)),1,0))</x:f>
        <x:v>不可回收</x:v>
      </x:c>
      <x:c r="K65" s="22" t="str">
        <x:f>IF(C65=0,"不可回收",IF(AND((B65+C65-1+D65)&lt;9,OR((D65)=0,(MAX((B65)-1,0)+MAX((C65-1)-1,0)+MAX((D65)-1,0))&lt;6)),1,0)&amp;IF(AND((B65+C65-1+D65)&lt;9,OR((C65-1)=0,(MAX((B65)-1,0)+MAX((C65-1)-1,0)+MAX((D65)-1,0))&lt;6)),1,0)&amp;IF(AND((B65+C65-1+D65)&lt;9,OR((B65)=0,(MAX((B65)-1,0)+MAX((C65-1)-1,0)+MAX((D65)-1,0))&lt;6)),1,0))</x:f>
        <x:v>111</x:v>
      </x:c>
      <x:c r="L65" s="22" t="str">
        <x:f>IF(D65=0,"不可回收",IF(AND((B65+C65+D65-1)&lt;9,OR((D65-1)=0,(MAX((B65)-1,0)+MAX((C65)-1,0)+MAX((D65-1)-1,0))&lt;6)),1,0)&amp;IF(AND((B65+C65+D65-1)&lt;9,OR((C65)=0,(MAX((B65)-1,0)+MAX((C65)-1,0)+MAX((D65-1)-1,0))&lt;6)),1,0)&amp;IF(AND((B65+C65+D65-1)&lt;9,OR((B65)=0,(MAX((B65)-1,0)+MAX((C65)-1,0)+MAX((D65-1)-1,0))&lt;6)),1,0))</x:f>
        <x:v>111</x:v>
      </x:c>
      <x:c r="M65" s="18" t="n">
        <x:f>1+F65</x:f>
        <x:v>3</x:v>
      </x:c>
      <x:c r="N65" s="18" t="n">
        <x:f>COUNTIF('容量转换'!$B$8:$B$2447,A65)</x:f>
        <x:v>12</x:v>
      </x:c>
      <x:c r="O65" s="21" t="str">
        <x:f>IF(AND(MIN(B65:D65)&gt;=0,MAX(B65:D65)&lt;=7,H65&lt;=9),"合法","不合法")</x:f>
        <x:v>合法</x:v>
      </x:c>
    </x:row>
    <x:row r="66" ht="23" customHeight="1">
      <x:c r="A66" s="3" t="str">
        <x:v>ST-059</x:v>
      </x:c>
      <x:c r="B66" s="19" t="n">
        <x:v>0</x:v>
      </x:c>
      <x:c r="C66" s="19" t="n">
        <x:v>2</x:v>
      </x:c>
      <x:c r="D66" s="19" t="n">
        <x:v>4</x:v>
      </x:c>
      <x:c r="E66" s="20" t="n">
        <x:f>SUM(B66:D66)</x:f>
        <x:v>6</x:v>
      </x:c>
      <x:c r="F66" s="20" t="n">
        <x:f>COUNTIF(B66:D66,"&gt;0")</x:f>
        <x:v>2</x:v>
      </x:c>
      <x:c r="G66" s="20" t="n">
        <x:f>MAX(B66-1,0)+MAX(C66-1,0)+MAX(D66-1,0)</x:f>
        <x:v>4</x:v>
      </x:c>
      <x:c r="H66" s="20" t="n">
        <x:f>MAX(B66,1)+MAX(C66,1)+MAX(D66,1)</x:f>
        <x:v>7</x:v>
      </x:c>
      <x:c r="I66" s="22" t="str">
        <x:f>IF(AND((B66+C66+D66)&lt;9,OR((D66)=0,(MAX((B66)-1,0)+MAX((C66)-1,0)+MAX((D66)-1,0))&lt;6)),1,0)&amp;IF(AND((B66+C66+D66)&lt;9,OR((C66)=0,(MAX((B66)-1,0)+MAX((C66)-1,0)+MAX((D66)-1,0))&lt;6)),1,0)&amp;IF(AND((B66+C66+D66)&lt;9,OR((B66)=0,(MAX((B66)-1,0)+MAX((C66)-1,0)+MAX((D66)-1,0))&lt;6)),1,0)</x:f>
        <x:v>111</x:v>
      </x:c>
      <x:c r="J66" s="22" t="str">
        <x:f>IF(B66=0,"不可回收",IF(AND((B66-1+C66+D66)&lt;9,OR((D66)=0,(MAX((B66-1)-1,0)+MAX((C66)-1,0)+MAX((D66)-1,0))&lt;6)),1,0)&amp;IF(AND((B66-1+C66+D66)&lt;9,OR((C66)=0,(MAX((B66-1)-1,0)+MAX((C66)-1,0)+MAX((D66)-1,0))&lt;6)),1,0)&amp;IF(AND((B66-1+C66+D66)&lt;9,OR((B66-1)=0,(MAX((B66-1)-1,0)+MAX((C66)-1,0)+MAX((D66)-1,0))&lt;6)),1,0))</x:f>
        <x:v>不可回收</x:v>
      </x:c>
      <x:c r="K66" s="22" t="str">
        <x:f>IF(C66=0,"不可回收",IF(AND((B66+C66-1+D66)&lt;9,OR((D66)=0,(MAX((B66)-1,0)+MAX((C66-1)-1,0)+MAX((D66)-1,0))&lt;6)),1,0)&amp;IF(AND((B66+C66-1+D66)&lt;9,OR((C66-1)=0,(MAX((B66)-1,0)+MAX((C66-1)-1,0)+MAX((D66)-1,0))&lt;6)),1,0)&amp;IF(AND((B66+C66-1+D66)&lt;9,OR((B66)=0,(MAX((B66)-1,0)+MAX((C66-1)-1,0)+MAX((D66)-1,0))&lt;6)),1,0))</x:f>
        <x:v>111</x:v>
      </x:c>
      <x:c r="L66" s="22" t="str">
        <x:f>IF(D66=0,"不可回收",IF(AND((B66+C66+D66-1)&lt;9,OR((D66-1)=0,(MAX((B66)-1,0)+MAX((C66)-1,0)+MAX((D66-1)-1,0))&lt;6)),1,0)&amp;IF(AND((B66+C66+D66-1)&lt;9,OR((C66)=0,(MAX((B66)-1,0)+MAX((C66)-1,0)+MAX((D66-1)-1,0))&lt;6)),1,0)&amp;IF(AND((B66+C66+D66-1)&lt;9,OR((B66)=0,(MAX((B66)-1,0)+MAX((C66)-1,0)+MAX((D66-1)-1,0))&lt;6)),1,0))</x:f>
        <x:v>111</x:v>
      </x:c>
      <x:c r="M66" s="18" t="n">
        <x:f>1+F66</x:f>
        <x:v>3</x:v>
      </x:c>
      <x:c r="N66" s="18" t="n">
        <x:f>COUNTIF('容量转换'!$B$8:$B$2447,A66)</x:f>
        <x:v>12</x:v>
      </x:c>
      <x:c r="O66" s="21" t="str">
        <x:f>IF(AND(MIN(B66:D66)&gt;=0,MAX(B66:D66)&lt;=7,H66&lt;=9),"合法","不合法")</x:f>
        <x:v>合法</x:v>
      </x:c>
    </x:row>
    <x:row r="67" ht="23" customHeight="1">
      <x:c r="A67" s="3" t="str">
        <x:v>ST-060</x:v>
      </x:c>
      <x:c r="B67" s="19" t="n">
        <x:v>0</x:v>
      </x:c>
      <x:c r="C67" s="19" t="n">
        <x:v>3</x:v>
      </x:c>
      <x:c r="D67" s="19" t="n">
        <x:v>3</x:v>
      </x:c>
      <x:c r="E67" s="20" t="n">
        <x:f>SUM(B67:D67)</x:f>
        <x:v>6</x:v>
      </x:c>
      <x:c r="F67" s="20" t="n">
        <x:f>COUNTIF(B67:D67,"&gt;0")</x:f>
        <x:v>2</x:v>
      </x:c>
      <x:c r="G67" s="20" t="n">
        <x:f>MAX(B67-1,0)+MAX(C67-1,0)+MAX(D67-1,0)</x:f>
        <x:v>4</x:v>
      </x:c>
      <x:c r="H67" s="20" t="n">
        <x:f>MAX(B67,1)+MAX(C67,1)+MAX(D67,1)</x:f>
        <x:v>7</x:v>
      </x:c>
      <x:c r="I67" s="22" t="str">
        <x:f>IF(AND((B67+C67+D67)&lt;9,OR((D67)=0,(MAX((B67)-1,0)+MAX((C67)-1,0)+MAX((D67)-1,0))&lt;6)),1,0)&amp;IF(AND((B67+C67+D67)&lt;9,OR((C67)=0,(MAX((B67)-1,0)+MAX((C67)-1,0)+MAX((D67)-1,0))&lt;6)),1,0)&amp;IF(AND((B67+C67+D67)&lt;9,OR((B67)=0,(MAX((B67)-1,0)+MAX((C67)-1,0)+MAX((D67)-1,0))&lt;6)),1,0)</x:f>
        <x:v>111</x:v>
      </x:c>
      <x:c r="J67" s="22" t="str">
        <x:f>IF(B67=0,"不可回收",IF(AND((B67-1+C67+D67)&lt;9,OR((D67)=0,(MAX((B67-1)-1,0)+MAX((C67)-1,0)+MAX((D67)-1,0))&lt;6)),1,0)&amp;IF(AND((B67-1+C67+D67)&lt;9,OR((C67)=0,(MAX((B67-1)-1,0)+MAX((C67)-1,0)+MAX((D67)-1,0))&lt;6)),1,0)&amp;IF(AND((B67-1+C67+D67)&lt;9,OR((B67-1)=0,(MAX((B67-1)-1,0)+MAX((C67)-1,0)+MAX((D67)-1,0))&lt;6)),1,0))</x:f>
        <x:v>不可回收</x:v>
      </x:c>
      <x:c r="K67" s="22" t="str">
        <x:f>IF(C67=0,"不可回收",IF(AND((B67+C67-1+D67)&lt;9,OR((D67)=0,(MAX((B67)-1,0)+MAX((C67-1)-1,0)+MAX((D67)-1,0))&lt;6)),1,0)&amp;IF(AND((B67+C67-1+D67)&lt;9,OR((C67-1)=0,(MAX((B67)-1,0)+MAX((C67-1)-1,0)+MAX((D67)-1,0))&lt;6)),1,0)&amp;IF(AND((B67+C67-1+D67)&lt;9,OR((B67)=0,(MAX((B67)-1,0)+MAX((C67-1)-1,0)+MAX((D67)-1,0))&lt;6)),1,0))</x:f>
        <x:v>111</x:v>
      </x:c>
      <x:c r="L67" s="22" t="str">
        <x:f>IF(D67=0,"不可回收",IF(AND((B67+C67+D67-1)&lt;9,OR((D67-1)=0,(MAX((B67)-1,0)+MAX((C67)-1,0)+MAX((D67-1)-1,0))&lt;6)),1,0)&amp;IF(AND((B67+C67+D67-1)&lt;9,OR((C67)=0,(MAX((B67)-1,0)+MAX((C67)-1,0)+MAX((D67-1)-1,0))&lt;6)),1,0)&amp;IF(AND((B67+C67+D67-1)&lt;9,OR((B67)=0,(MAX((B67)-1,0)+MAX((C67)-1,0)+MAX((D67-1)-1,0))&lt;6)),1,0))</x:f>
        <x:v>111</x:v>
      </x:c>
      <x:c r="M67" s="18" t="n">
        <x:f>1+F67</x:f>
        <x:v>3</x:v>
      </x:c>
      <x:c r="N67" s="18" t="n">
        <x:f>COUNTIF('容量转换'!$B$8:$B$2447,A67)</x:f>
        <x:v>12</x:v>
      </x:c>
      <x:c r="O67" s="21" t="str">
        <x:f>IF(AND(MIN(B67:D67)&gt;=0,MAX(B67:D67)&lt;=7,H67&lt;=9),"合法","不合法")</x:f>
        <x:v>合法</x:v>
      </x:c>
    </x:row>
    <x:row r="68" ht="23" customHeight="1">
      <x:c r="A68" s="3" t="str">
        <x:v>ST-061</x:v>
      </x:c>
      <x:c r="B68" s="19" t="n">
        <x:v>0</x:v>
      </x:c>
      <x:c r="C68" s="19" t="n">
        <x:v>4</x:v>
      </x:c>
      <x:c r="D68" s="19" t="n">
        <x:v>2</x:v>
      </x:c>
      <x:c r="E68" s="20" t="n">
        <x:f>SUM(B68:D68)</x:f>
        <x:v>6</x:v>
      </x:c>
      <x:c r="F68" s="20" t="n">
        <x:f>COUNTIF(B68:D68,"&gt;0")</x:f>
        <x:v>2</x:v>
      </x:c>
      <x:c r="G68" s="20" t="n">
        <x:f>MAX(B68-1,0)+MAX(C68-1,0)+MAX(D68-1,0)</x:f>
        <x:v>4</x:v>
      </x:c>
      <x:c r="H68" s="20" t="n">
        <x:f>MAX(B68,1)+MAX(C68,1)+MAX(D68,1)</x:f>
        <x:v>7</x:v>
      </x:c>
      <x:c r="I68" s="22" t="str">
        <x:f>IF(AND((B68+C68+D68)&lt;9,OR((D68)=0,(MAX((B68)-1,0)+MAX((C68)-1,0)+MAX((D68)-1,0))&lt;6)),1,0)&amp;IF(AND((B68+C68+D68)&lt;9,OR((C68)=0,(MAX((B68)-1,0)+MAX((C68)-1,0)+MAX((D68)-1,0))&lt;6)),1,0)&amp;IF(AND((B68+C68+D68)&lt;9,OR((B68)=0,(MAX((B68)-1,0)+MAX((C68)-1,0)+MAX((D68)-1,0))&lt;6)),1,0)</x:f>
        <x:v>111</x:v>
      </x:c>
      <x:c r="J68" s="22" t="str">
        <x:f>IF(B68=0,"不可回收",IF(AND((B68-1+C68+D68)&lt;9,OR((D68)=0,(MAX((B68-1)-1,0)+MAX((C68)-1,0)+MAX((D68)-1,0))&lt;6)),1,0)&amp;IF(AND((B68-1+C68+D68)&lt;9,OR((C68)=0,(MAX((B68-1)-1,0)+MAX((C68)-1,0)+MAX((D68)-1,0))&lt;6)),1,0)&amp;IF(AND((B68-1+C68+D68)&lt;9,OR((B68-1)=0,(MAX((B68-1)-1,0)+MAX((C68)-1,0)+MAX((D68)-1,0))&lt;6)),1,0))</x:f>
        <x:v>不可回收</x:v>
      </x:c>
      <x:c r="K68" s="22" t="str">
        <x:f>IF(C68=0,"不可回收",IF(AND((B68+C68-1+D68)&lt;9,OR((D68)=0,(MAX((B68)-1,0)+MAX((C68-1)-1,0)+MAX((D68)-1,0))&lt;6)),1,0)&amp;IF(AND((B68+C68-1+D68)&lt;9,OR((C68-1)=0,(MAX((B68)-1,0)+MAX((C68-1)-1,0)+MAX((D68)-1,0))&lt;6)),1,0)&amp;IF(AND((B68+C68-1+D68)&lt;9,OR((B68)=0,(MAX((B68)-1,0)+MAX((C68-1)-1,0)+MAX((D68)-1,0))&lt;6)),1,0))</x:f>
        <x:v>111</x:v>
      </x:c>
      <x:c r="L68" s="22" t="str">
        <x:f>IF(D68=0,"不可回收",IF(AND((B68+C68+D68-1)&lt;9,OR((D68-1)=0,(MAX((B68)-1,0)+MAX((C68)-1,0)+MAX((D68-1)-1,0))&lt;6)),1,0)&amp;IF(AND((B68+C68+D68-1)&lt;9,OR((C68)=0,(MAX((B68)-1,0)+MAX((C68)-1,0)+MAX((D68-1)-1,0))&lt;6)),1,0)&amp;IF(AND((B68+C68+D68-1)&lt;9,OR((B68)=0,(MAX((B68)-1,0)+MAX((C68)-1,0)+MAX((D68-1)-1,0))&lt;6)),1,0))</x:f>
        <x:v>111</x:v>
      </x:c>
      <x:c r="M68" s="18" t="n">
        <x:f>1+F68</x:f>
        <x:v>3</x:v>
      </x:c>
      <x:c r="N68" s="18" t="n">
        <x:f>COUNTIF('容量转换'!$B$8:$B$2447,A68)</x:f>
        <x:v>12</x:v>
      </x:c>
      <x:c r="O68" s="21" t="str">
        <x:f>IF(AND(MIN(B68:D68)&gt;=0,MAX(B68:D68)&lt;=7,H68&lt;=9),"合法","不合法")</x:f>
        <x:v>合法</x:v>
      </x:c>
    </x:row>
    <x:row r="69" ht="23" customHeight="1">
      <x:c r="A69" s="3" t="str">
        <x:v>ST-062</x:v>
      </x:c>
      <x:c r="B69" s="19" t="n">
        <x:v>0</x:v>
      </x:c>
      <x:c r="C69" s="19" t="n">
        <x:v>5</x:v>
      </x:c>
      <x:c r="D69" s="19" t="n">
        <x:v>1</x:v>
      </x:c>
      <x:c r="E69" s="20" t="n">
        <x:f>SUM(B69:D69)</x:f>
        <x:v>6</x:v>
      </x:c>
      <x:c r="F69" s="20" t="n">
        <x:f>COUNTIF(B69:D69,"&gt;0")</x:f>
        <x:v>2</x:v>
      </x:c>
      <x:c r="G69" s="20" t="n">
        <x:f>MAX(B69-1,0)+MAX(C69-1,0)+MAX(D69-1,0)</x:f>
        <x:v>4</x:v>
      </x:c>
      <x:c r="H69" s="20" t="n">
        <x:f>MAX(B69,1)+MAX(C69,1)+MAX(D69,1)</x:f>
        <x:v>7</x:v>
      </x:c>
      <x:c r="I69" s="22" t="str">
        <x:f>IF(AND((B69+C69+D69)&lt;9,OR((D69)=0,(MAX((B69)-1,0)+MAX((C69)-1,0)+MAX((D69)-1,0))&lt;6)),1,0)&amp;IF(AND((B69+C69+D69)&lt;9,OR((C69)=0,(MAX((B69)-1,0)+MAX((C69)-1,0)+MAX((D69)-1,0))&lt;6)),1,0)&amp;IF(AND((B69+C69+D69)&lt;9,OR((B69)=0,(MAX((B69)-1,0)+MAX((C69)-1,0)+MAX((D69)-1,0))&lt;6)),1,0)</x:f>
        <x:v>111</x:v>
      </x:c>
      <x:c r="J69" s="22" t="str">
        <x:f>IF(B69=0,"不可回收",IF(AND((B69-1+C69+D69)&lt;9,OR((D69)=0,(MAX((B69-1)-1,0)+MAX((C69)-1,0)+MAX((D69)-1,0))&lt;6)),1,0)&amp;IF(AND((B69-1+C69+D69)&lt;9,OR((C69)=0,(MAX((B69-1)-1,0)+MAX((C69)-1,0)+MAX((D69)-1,0))&lt;6)),1,0)&amp;IF(AND((B69-1+C69+D69)&lt;9,OR((B69-1)=0,(MAX((B69-1)-1,0)+MAX((C69)-1,0)+MAX((D69)-1,0))&lt;6)),1,0))</x:f>
        <x:v>不可回收</x:v>
      </x:c>
      <x:c r="K69" s="22" t="str">
        <x:f>IF(C69=0,"不可回收",IF(AND((B69+C69-1+D69)&lt;9,OR((D69)=0,(MAX((B69)-1,0)+MAX((C69-1)-1,0)+MAX((D69)-1,0))&lt;6)),1,0)&amp;IF(AND((B69+C69-1+D69)&lt;9,OR((C69-1)=0,(MAX((B69)-1,0)+MAX((C69-1)-1,0)+MAX((D69)-1,0))&lt;6)),1,0)&amp;IF(AND((B69+C69-1+D69)&lt;9,OR((B69)=0,(MAX((B69)-1,0)+MAX((C69-1)-1,0)+MAX((D69)-1,0))&lt;6)),1,0))</x:f>
        <x:v>111</x:v>
      </x:c>
      <x:c r="L69" s="22" t="str">
        <x:f>IF(D69=0,"不可回收",IF(AND((B69+C69+D69-1)&lt;9,OR((D69-1)=0,(MAX((B69)-1,0)+MAX((C69)-1,0)+MAX((D69-1)-1,0))&lt;6)),1,0)&amp;IF(AND((B69+C69+D69-1)&lt;9,OR((C69)=0,(MAX((B69)-1,0)+MAX((C69)-1,0)+MAX((D69-1)-1,0))&lt;6)),1,0)&amp;IF(AND((B69+C69+D69-1)&lt;9,OR((B69)=0,(MAX((B69)-1,0)+MAX((C69)-1,0)+MAX((D69-1)-1,0))&lt;6)),1,0))</x:f>
        <x:v>111</x:v>
      </x:c>
      <x:c r="M69" s="18" t="n">
        <x:f>1+F69</x:f>
        <x:v>3</x:v>
      </x:c>
      <x:c r="N69" s="18" t="n">
        <x:f>COUNTIF('容量转换'!$B$8:$B$2447,A69)</x:f>
        <x:v>12</x:v>
      </x:c>
      <x:c r="O69" s="21" t="str">
        <x:f>IF(AND(MIN(B69:D69)&gt;=0,MAX(B69:D69)&lt;=7,H69&lt;=9),"合法","不合法")</x:f>
        <x:v>合法</x:v>
      </x:c>
    </x:row>
    <x:row r="70" ht="23" customHeight="1">
      <x:c r="A70" s="3" t="str">
        <x:v>ST-063</x:v>
      </x:c>
      <x:c r="B70" s="19" t="n">
        <x:v>0</x:v>
      </x:c>
      <x:c r="C70" s="19" t="n">
        <x:v>6</x:v>
      </x:c>
      <x:c r="D70" s="19" t="n">
        <x:v>0</x:v>
      </x:c>
      <x:c r="E70" s="20" t="n">
        <x:f>SUM(B70:D70)</x:f>
        <x:v>6</x:v>
      </x:c>
      <x:c r="F70" s="20" t="n">
        <x:f>COUNTIF(B70:D70,"&gt;0")</x:f>
        <x:v>1</x:v>
      </x:c>
      <x:c r="G70" s="20" t="n">
        <x:f>MAX(B70-1,0)+MAX(C70-1,0)+MAX(D70-1,0)</x:f>
        <x:v>5</x:v>
      </x:c>
      <x:c r="H70" s="20" t="n">
        <x:f>MAX(B70,1)+MAX(C70,1)+MAX(D70,1)</x:f>
        <x:v>8</x:v>
      </x:c>
      <x:c r="I70" s="22" t="str">
        <x:f>IF(AND((B70+C70+D70)&lt;9,OR((D70)=0,(MAX((B70)-1,0)+MAX((C70)-1,0)+MAX((D70)-1,0))&lt;6)),1,0)&amp;IF(AND((B70+C70+D70)&lt;9,OR((C70)=0,(MAX((B70)-1,0)+MAX((C70)-1,0)+MAX((D70)-1,0))&lt;6)),1,0)&amp;IF(AND((B70+C70+D70)&lt;9,OR((B70)=0,(MAX((B70)-1,0)+MAX((C70)-1,0)+MAX((D70)-1,0))&lt;6)),1,0)</x:f>
        <x:v>111</x:v>
      </x:c>
      <x:c r="J70" s="22" t="str">
        <x:f>IF(B70=0,"不可回收",IF(AND((B70-1+C70+D70)&lt;9,OR((D70)=0,(MAX((B70-1)-1,0)+MAX((C70)-1,0)+MAX((D70)-1,0))&lt;6)),1,0)&amp;IF(AND((B70-1+C70+D70)&lt;9,OR((C70)=0,(MAX((B70-1)-1,0)+MAX((C70)-1,0)+MAX((D70)-1,0))&lt;6)),1,0)&amp;IF(AND((B70-1+C70+D70)&lt;9,OR((B70-1)=0,(MAX((B70-1)-1,0)+MAX((C70)-1,0)+MAX((D70)-1,0))&lt;6)),1,0))</x:f>
        <x:v>不可回收</x:v>
      </x:c>
      <x:c r="K70" s="22" t="str">
        <x:f>IF(C70=0,"不可回收",IF(AND((B70+C70-1+D70)&lt;9,OR((D70)=0,(MAX((B70)-1,0)+MAX((C70-1)-1,0)+MAX((D70)-1,0))&lt;6)),1,0)&amp;IF(AND((B70+C70-1+D70)&lt;9,OR((C70-1)=0,(MAX((B70)-1,0)+MAX((C70-1)-1,0)+MAX((D70)-1,0))&lt;6)),1,0)&amp;IF(AND((B70+C70-1+D70)&lt;9,OR((B70)=0,(MAX((B70)-1,0)+MAX((C70-1)-1,0)+MAX((D70)-1,0))&lt;6)),1,0))</x:f>
        <x:v>111</x:v>
      </x:c>
      <x:c r="L70" s="22" t="str">
        <x:f>IF(D70=0,"不可回收",IF(AND((B70+C70+D70-1)&lt;9,OR((D70-1)=0,(MAX((B70)-1,0)+MAX((C70)-1,0)+MAX((D70-1)-1,0))&lt;6)),1,0)&amp;IF(AND((B70+C70+D70-1)&lt;9,OR((C70)=0,(MAX((B70)-1,0)+MAX((C70)-1,0)+MAX((D70-1)-1,0))&lt;6)),1,0)&amp;IF(AND((B70+C70+D70-1)&lt;9,OR((B70)=0,(MAX((B70)-1,0)+MAX((C70)-1,0)+MAX((D70-1)-1,0))&lt;6)),1,0))</x:f>
        <x:v>不可回收</x:v>
      </x:c>
      <x:c r="M70" s="18" t="n">
        <x:f>1+F70</x:f>
        <x:v>2</x:v>
      </x:c>
      <x:c r="N70" s="18" t="n">
        <x:f>COUNTIF('容量转换'!$B$8:$B$2447,A70)</x:f>
        <x:v>8</x:v>
      </x:c>
      <x:c r="O70" s="21" t="str">
        <x:f>IF(AND(MIN(B70:D70)&gt;=0,MAX(B70:D70)&lt;=7,H70&lt;=9),"合法","不合法")</x:f>
        <x:v>合法</x:v>
      </x:c>
    </x:row>
    <x:row r="71" ht="23" customHeight="1">
      <x:c r="A71" s="3" t="str">
        <x:v>ST-064</x:v>
      </x:c>
      <x:c r="B71" s="19" t="n">
        <x:v>1</x:v>
      </x:c>
      <x:c r="C71" s="19" t="n">
        <x:v>0</x:v>
      </x:c>
      <x:c r="D71" s="19" t="n">
        <x:v>5</x:v>
      </x:c>
      <x:c r="E71" s="20" t="n">
        <x:f>SUM(B71:D71)</x:f>
        <x:v>6</x:v>
      </x:c>
      <x:c r="F71" s="20" t="n">
        <x:f>COUNTIF(B71:D71,"&gt;0")</x:f>
        <x:v>2</x:v>
      </x:c>
      <x:c r="G71" s="20" t="n">
        <x:f>MAX(B71-1,0)+MAX(C71-1,0)+MAX(D71-1,0)</x:f>
        <x:v>4</x:v>
      </x:c>
      <x:c r="H71" s="20" t="n">
        <x:f>MAX(B71,1)+MAX(C71,1)+MAX(D71,1)</x:f>
        <x:v>7</x:v>
      </x:c>
      <x:c r="I71" s="22" t="str">
        <x:f>IF(AND((B71+C71+D71)&lt;9,OR((D71)=0,(MAX((B71)-1,0)+MAX((C71)-1,0)+MAX((D71)-1,0))&lt;6)),1,0)&amp;IF(AND((B71+C71+D71)&lt;9,OR((C71)=0,(MAX((B71)-1,0)+MAX((C71)-1,0)+MAX((D71)-1,0))&lt;6)),1,0)&amp;IF(AND((B71+C71+D71)&lt;9,OR((B71)=0,(MAX((B71)-1,0)+MAX((C71)-1,0)+MAX((D71)-1,0))&lt;6)),1,0)</x:f>
        <x:v>111</x:v>
      </x:c>
      <x:c r="J71" s="22" t="str">
        <x:f>IF(B71=0,"不可回收",IF(AND((B71-1+C71+D71)&lt;9,OR((D71)=0,(MAX((B71-1)-1,0)+MAX((C71)-1,0)+MAX((D71)-1,0))&lt;6)),1,0)&amp;IF(AND((B71-1+C71+D71)&lt;9,OR((C71)=0,(MAX((B71-1)-1,0)+MAX((C71)-1,0)+MAX((D71)-1,0))&lt;6)),1,0)&amp;IF(AND((B71-1+C71+D71)&lt;9,OR((B71-1)=0,(MAX((B71-1)-1,0)+MAX((C71)-1,0)+MAX((D71)-1,0))&lt;6)),1,0))</x:f>
        <x:v>111</x:v>
      </x:c>
      <x:c r="K71" s="22" t="str">
        <x:f>IF(C71=0,"不可回收",IF(AND((B71+C71-1+D71)&lt;9,OR((D71)=0,(MAX((B71)-1,0)+MAX((C71-1)-1,0)+MAX((D71)-1,0))&lt;6)),1,0)&amp;IF(AND((B71+C71-1+D71)&lt;9,OR((C71-1)=0,(MAX((B71)-1,0)+MAX((C71-1)-1,0)+MAX((D71)-1,0))&lt;6)),1,0)&amp;IF(AND((B71+C71-1+D71)&lt;9,OR((B71)=0,(MAX((B71)-1,0)+MAX((C71-1)-1,0)+MAX((D71)-1,0))&lt;6)),1,0))</x:f>
        <x:v>不可回收</x:v>
      </x:c>
      <x:c r="L71" s="22" t="str">
        <x:f>IF(D71=0,"不可回收",IF(AND((B71+C71+D71-1)&lt;9,OR((D71-1)=0,(MAX((B71)-1,0)+MAX((C71)-1,0)+MAX((D71-1)-1,0))&lt;6)),1,0)&amp;IF(AND((B71+C71+D71-1)&lt;9,OR((C71)=0,(MAX((B71)-1,0)+MAX((C71)-1,0)+MAX((D71-1)-1,0))&lt;6)),1,0)&amp;IF(AND((B71+C71+D71-1)&lt;9,OR((B71)=0,(MAX((B71)-1,0)+MAX((C71)-1,0)+MAX((D71-1)-1,0))&lt;6)),1,0))</x:f>
        <x:v>111</x:v>
      </x:c>
      <x:c r="M71" s="18" t="n">
        <x:f>1+F71</x:f>
        <x:v>3</x:v>
      </x:c>
      <x:c r="N71" s="18" t="n">
        <x:f>COUNTIF('容量转换'!$B$8:$B$2447,A71)</x:f>
        <x:v>12</x:v>
      </x:c>
      <x:c r="O71" s="21" t="str">
        <x:f>IF(AND(MIN(B71:D71)&gt;=0,MAX(B71:D71)&lt;=7,H71&lt;=9),"合法","不合法")</x:f>
        <x:v>合法</x:v>
      </x:c>
    </x:row>
    <x:row r="72" ht="23" customHeight="1">
      <x:c r="A72" s="3" t="str">
        <x:v>ST-065</x:v>
      </x:c>
      <x:c r="B72" s="19" t="n">
        <x:v>1</x:v>
      </x:c>
      <x:c r="C72" s="19" t="n">
        <x:v>1</x:v>
      </x:c>
      <x:c r="D72" s="19" t="n">
        <x:v>4</x:v>
      </x:c>
      <x:c r="E72" s="20" t="n">
        <x:f>SUM(B72:D72)</x:f>
        <x:v>6</x:v>
      </x:c>
      <x:c r="F72" s="20" t="n">
        <x:f>COUNTIF(B72:D72,"&gt;0")</x:f>
        <x:v>3</x:v>
      </x:c>
      <x:c r="G72" s="20" t="n">
        <x:f>MAX(B72-1,0)+MAX(C72-1,0)+MAX(D72-1,0)</x:f>
        <x:v>3</x:v>
      </x:c>
      <x:c r="H72" s="20" t="n">
        <x:f>MAX(B72,1)+MAX(C72,1)+MAX(D72,1)</x:f>
        <x:v>6</x:v>
      </x:c>
      <x:c r="I72" s="22" t="str">
        <x:f>IF(AND((B72+C72+D72)&lt;9,OR((D72)=0,(MAX((B72)-1,0)+MAX((C72)-1,0)+MAX((D72)-1,0))&lt;6)),1,0)&amp;IF(AND((B72+C72+D72)&lt;9,OR((C72)=0,(MAX((B72)-1,0)+MAX((C72)-1,0)+MAX((D72)-1,0))&lt;6)),1,0)&amp;IF(AND((B72+C72+D72)&lt;9,OR((B72)=0,(MAX((B72)-1,0)+MAX((C72)-1,0)+MAX((D72)-1,0))&lt;6)),1,0)</x:f>
        <x:v>111</x:v>
      </x:c>
      <x:c r="J72" s="22" t="str">
        <x:f>IF(B72=0,"不可回收",IF(AND((B72-1+C72+D72)&lt;9,OR((D72)=0,(MAX((B72-1)-1,0)+MAX((C72)-1,0)+MAX((D72)-1,0))&lt;6)),1,0)&amp;IF(AND((B72-1+C72+D72)&lt;9,OR((C72)=0,(MAX((B72-1)-1,0)+MAX((C72)-1,0)+MAX((D72)-1,0))&lt;6)),1,0)&amp;IF(AND((B72-1+C72+D72)&lt;9,OR((B72-1)=0,(MAX((B72-1)-1,0)+MAX((C72)-1,0)+MAX((D72)-1,0))&lt;6)),1,0))</x:f>
        <x:v>111</x:v>
      </x:c>
      <x:c r="K72" s="22" t="str">
        <x:f>IF(C72=0,"不可回收",IF(AND((B72+C72-1+D72)&lt;9,OR((D72)=0,(MAX((B72)-1,0)+MAX((C72-1)-1,0)+MAX((D72)-1,0))&lt;6)),1,0)&amp;IF(AND((B72+C72-1+D72)&lt;9,OR((C72-1)=0,(MAX((B72)-1,0)+MAX((C72-1)-1,0)+MAX((D72)-1,0))&lt;6)),1,0)&amp;IF(AND((B72+C72-1+D72)&lt;9,OR((B72)=0,(MAX((B72)-1,0)+MAX((C72-1)-1,0)+MAX((D72)-1,0))&lt;6)),1,0))</x:f>
        <x:v>111</x:v>
      </x:c>
      <x:c r="L72" s="22" t="str">
        <x:f>IF(D72=0,"不可回收",IF(AND((B72+C72+D72-1)&lt;9,OR((D72-1)=0,(MAX((B72)-1,0)+MAX((C72)-1,0)+MAX((D72-1)-1,0))&lt;6)),1,0)&amp;IF(AND((B72+C72+D72-1)&lt;9,OR((C72)=0,(MAX((B72)-1,0)+MAX((C72)-1,0)+MAX((D72-1)-1,0))&lt;6)),1,0)&amp;IF(AND((B72+C72+D72-1)&lt;9,OR((B72)=0,(MAX((B72)-1,0)+MAX((C72)-1,0)+MAX((D72-1)-1,0))&lt;6)),1,0))</x:f>
        <x:v>111</x:v>
      </x:c>
      <x:c r="M72" s="18" t="n">
        <x:f>1+F72</x:f>
        <x:v>4</x:v>
      </x:c>
      <x:c r="N72" s="18" t="n">
        <x:f>COUNTIF('容量转换'!$B$8:$B$2447,A72)</x:f>
        <x:v>16</x:v>
      </x:c>
      <x:c r="O72" s="21" t="str">
        <x:f>IF(AND(MIN(B72:D72)&gt;=0,MAX(B72:D72)&lt;=7,H72&lt;=9),"合法","不合法")</x:f>
        <x:v>合法</x:v>
      </x:c>
    </x:row>
    <x:row r="73" ht="23" customHeight="1">
      <x:c r="A73" s="3" t="str">
        <x:v>ST-066</x:v>
      </x:c>
      <x:c r="B73" s="19" t="n">
        <x:v>1</x:v>
      </x:c>
      <x:c r="C73" s="19" t="n">
        <x:v>2</x:v>
      </x:c>
      <x:c r="D73" s="19" t="n">
        <x:v>3</x:v>
      </x:c>
      <x:c r="E73" s="20" t="n">
        <x:f>SUM(B73:D73)</x:f>
        <x:v>6</x:v>
      </x:c>
      <x:c r="F73" s="20" t="n">
        <x:f>COUNTIF(B73:D73,"&gt;0")</x:f>
        <x:v>3</x:v>
      </x:c>
      <x:c r="G73" s="20" t="n">
        <x:f>MAX(B73-1,0)+MAX(C73-1,0)+MAX(D73-1,0)</x:f>
        <x:v>3</x:v>
      </x:c>
      <x:c r="H73" s="20" t="n">
        <x:f>MAX(B73,1)+MAX(C73,1)+MAX(D73,1)</x:f>
        <x:v>6</x:v>
      </x:c>
      <x:c r="I73" s="22" t="str">
        <x:f>IF(AND((B73+C73+D73)&lt;9,OR((D73)=0,(MAX((B73)-1,0)+MAX((C73)-1,0)+MAX((D73)-1,0))&lt;6)),1,0)&amp;IF(AND((B73+C73+D73)&lt;9,OR((C73)=0,(MAX((B73)-1,0)+MAX((C73)-1,0)+MAX((D73)-1,0))&lt;6)),1,0)&amp;IF(AND((B73+C73+D73)&lt;9,OR((B73)=0,(MAX((B73)-1,0)+MAX((C73)-1,0)+MAX((D73)-1,0))&lt;6)),1,0)</x:f>
        <x:v>111</x:v>
      </x:c>
      <x:c r="J73" s="22" t="str">
        <x:f>IF(B73=0,"不可回收",IF(AND((B73-1+C73+D73)&lt;9,OR((D73)=0,(MAX((B73-1)-1,0)+MAX((C73)-1,0)+MAX((D73)-1,0))&lt;6)),1,0)&amp;IF(AND((B73-1+C73+D73)&lt;9,OR((C73)=0,(MAX((B73-1)-1,0)+MAX((C73)-1,0)+MAX((D73)-1,0))&lt;6)),1,0)&amp;IF(AND((B73-1+C73+D73)&lt;9,OR((B73-1)=0,(MAX((B73-1)-1,0)+MAX((C73)-1,0)+MAX((D73)-1,0))&lt;6)),1,0))</x:f>
        <x:v>111</x:v>
      </x:c>
      <x:c r="K73" s="22" t="str">
        <x:f>IF(C73=0,"不可回收",IF(AND((B73+C73-1+D73)&lt;9,OR((D73)=0,(MAX((B73)-1,0)+MAX((C73-1)-1,0)+MAX((D73)-1,0))&lt;6)),1,0)&amp;IF(AND((B73+C73-1+D73)&lt;9,OR((C73-1)=0,(MAX((B73)-1,0)+MAX((C73-1)-1,0)+MAX((D73)-1,0))&lt;6)),1,0)&amp;IF(AND((B73+C73-1+D73)&lt;9,OR((B73)=0,(MAX((B73)-1,0)+MAX((C73-1)-1,0)+MAX((D73)-1,0))&lt;6)),1,0))</x:f>
        <x:v>111</x:v>
      </x:c>
      <x:c r="L73" s="22" t="str">
        <x:f>IF(D73=0,"不可回收",IF(AND((B73+C73+D73-1)&lt;9,OR((D73-1)=0,(MAX((B73)-1,0)+MAX((C73)-1,0)+MAX((D73-1)-1,0))&lt;6)),1,0)&amp;IF(AND((B73+C73+D73-1)&lt;9,OR((C73)=0,(MAX((B73)-1,0)+MAX((C73)-1,0)+MAX((D73-1)-1,0))&lt;6)),1,0)&amp;IF(AND((B73+C73+D73-1)&lt;9,OR((B73)=0,(MAX((B73)-1,0)+MAX((C73)-1,0)+MAX((D73-1)-1,0))&lt;6)),1,0))</x:f>
        <x:v>111</x:v>
      </x:c>
      <x:c r="M73" s="18" t="n">
        <x:f>1+F73</x:f>
        <x:v>4</x:v>
      </x:c>
      <x:c r="N73" s="18" t="n">
        <x:f>COUNTIF('容量转换'!$B$8:$B$2447,A73)</x:f>
        <x:v>16</x:v>
      </x:c>
      <x:c r="O73" s="21" t="str">
        <x:f>IF(AND(MIN(B73:D73)&gt;=0,MAX(B73:D73)&lt;=7,H73&lt;=9),"合法","不合法")</x:f>
        <x:v>合法</x:v>
      </x:c>
    </x:row>
    <x:row r="74" ht="23" customHeight="1">
      <x:c r="A74" s="3" t="str">
        <x:v>ST-067</x:v>
      </x:c>
      <x:c r="B74" s="19" t="n">
        <x:v>1</x:v>
      </x:c>
      <x:c r="C74" s="19" t="n">
        <x:v>3</x:v>
      </x:c>
      <x:c r="D74" s="19" t="n">
        <x:v>2</x:v>
      </x:c>
      <x:c r="E74" s="20" t="n">
        <x:f>SUM(B74:D74)</x:f>
        <x:v>6</x:v>
      </x:c>
      <x:c r="F74" s="20" t="n">
        <x:f>COUNTIF(B74:D74,"&gt;0")</x:f>
        <x:v>3</x:v>
      </x:c>
      <x:c r="G74" s="20" t="n">
        <x:f>MAX(B74-1,0)+MAX(C74-1,0)+MAX(D74-1,0)</x:f>
        <x:v>3</x:v>
      </x:c>
      <x:c r="H74" s="20" t="n">
        <x:f>MAX(B74,1)+MAX(C74,1)+MAX(D74,1)</x:f>
        <x:v>6</x:v>
      </x:c>
      <x:c r="I74" s="22" t="str">
        <x:f>IF(AND((B74+C74+D74)&lt;9,OR((D74)=0,(MAX((B74)-1,0)+MAX((C74)-1,0)+MAX((D74)-1,0))&lt;6)),1,0)&amp;IF(AND((B74+C74+D74)&lt;9,OR((C74)=0,(MAX((B74)-1,0)+MAX((C74)-1,0)+MAX((D74)-1,0))&lt;6)),1,0)&amp;IF(AND((B74+C74+D74)&lt;9,OR((B74)=0,(MAX((B74)-1,0)+MAX((C74)-1,0)+MAX((D74)-1,0))&lt;6)),1,0)</x:f>
        <x:v>111</x:v>
      </x:c>
      <x:c r="J74" s="22" t="str">
        <x:f>IF(B74=0,"不可回收",IF(AND((B74-1+C74+D74)&lt;9,OR((D74)=0,(MAX((B74-1)-1,0)+MAX((C74)-1,0)+MAX((D74)-1,0))&lt;6)),1,0)&amp;IF(AND((B74-1+C74+D74)&lt;9,OR((C74)=0,(MAX((B74-1)-1,0)+MAX((C74)-1,0)+MAX((D74)-1,0))&lt;6)),1,0)&amp;IF(AND((B74-1+C74+D74)&lt;9,OR((B74-1)=0,(MAX((B74-1)-1,0)+MAX((C74)-1,0)+MAX((D74)-1,0))&lt;6)),1,0))</x:f>
        <x:v>111</x:v>
      </x:c>
      <x:c r="K74" s="22" t="str">
        <x:f>IF(C74=0,"不可回收",IF(AND((B74+C74-1+D74)&lt;9,OR((D74)=0,(MAX((B74)-1,0)+MAX((C74-1)-1,0)+MAX((D74)-1,0))&lt;6)),1,0)&amp;IF(AND((B74+C74-1+D74)&lt;9,OR((C74-1)=0,(MAX((B74)-1,0)+MAX((C74-1)-1,0)+MAX((D74)-1,0))&lt;6)),1,0)&amp;IF(AND((B74+C74-1+D74)&lt;9,OR((B74)=0,(MAX((B74)-1,0)+MAX((C74-1)-1,0)+MAX((D74)-1,0))&lt;6)),1,0))</x:f>
        <x:v>111</x:v>
      </x:c>
      <x:c r="L74" s="22" t="str">
        <x:f>IF(D74=0,"不可回收",IF(AND((B74+C74+D74-1)&lt;9,OR((D74-1)=0,(MAX((B74)-1,0)+MAX((C74)-1,0)+MAX((D74-1)-1,0))&lt;6)),1,0)&amp;IF(AND((B74+C74+D74-1)&lt;9,OR((C74)=0,(MAX((B74)-1,0)+MAX((C74)-1,0)+MAX((D74-1)-1,0))&lt;6)),1,0)&amp;IF(AND((B74+C74+D74-1)&lt;9,OR((B74)=0,(MAX((B74)-1,0)+MAX((C74)-1,0)+MAX((D74-1)-1,0))&lt;6)),1,0))</x:f>
        <x:v>111</x:v>
      </x:c>
      <x:c r="M74" s="18" t="n">
        <x:f>1+F74</x:f>
        <x:v>4</x:v>
      </x:c>
      <x:c r="N74" s="18" t="n">
        <x:f>COUNTIF('容量转换'!$B$8:$B$2447,A74)</x:f>
        <x:v>16</x:v>
      </x:c>
      <x:c r="O74" s="21" t="str">
        <x:f>IF(AND(MIN(B74:D74)&gt;=0,MAX(B74:D74)&lt;=7,H74&lt;=9),"合法","不合法")</x:f>
        <x:v>合法</x:v>
      </x:c>
    </x:row>
    <x:row r="75" ht="23" customHeight="1">
      <x:c r="A75" s="3" t="str">
        <x:v>ST-068</x:v>
      </x:c>
      <x:c r="B75" s="19" t="n">
        <x:v>1</x:v>
      </x:c>
      <x:c r="C75" s="19" t="n">
        <x:v>4</x:v>
      </x:c>
      <x:c r="D75" s="19" t="n">
        <x:v>1</x:v>
      </x:c>
      <x:c r="E75" s="20" t="n">
        <x:f>SUM(B75:D75)</x:f>
        <x:v>6</x:v>
      </x:c>
      <x:c r="F75" s="20" t="n">
        <x:f>COUNTIF(B75:D75,"&gt;0")</x:f>
        <x:v>3</x:v>
      </x:c>
      <x:c r="G75" s="20" t="n">
        <x:f>MAX(B75-1,0)+MAX(C75-1,0)+MAX(D75-1,0)</x:f>
        <x:v>3</x:v>
      </x:c>
      <x:c r="H75" s="20" t="n">
        <x:f>MAX(B75,1)+MAX(C75,1)+MAX(D75,1)</x:f>
        <x:v>6</x:v>
      </x:c>
      <x:c r="I75" s="22" t="str">
        <x:f>IF(AND((B75+C75+D75)&lt;9,OR((D75)=0,(MAX((B75)-1,0)+MAX((C75)-1,0)+MAX((D75)-1,0))&lt;6)),1,0)&amp;IF(AND((B75+C75+D75)&lt;9,OR((C75)=0,(MAX((B75)-1,0)+MAX((C75)-1,0)+MAX((D75)-1,0))&lt;6)),1,0)&amp;IF(AND((B75+C75+D75)&lt;9,OR((B75)=0,(MAX((B75)-1,0)+MAX((C75)-1,0)+MAX((D75)-1,0))&lt;6)),1,0)</x:f>
        <x:v>111</x:v>
      </x:c>
      <x:c r="J75" s="22" t="str">
        <x:f>IF(B75=0,"不可回收",IF(AND((B75-1+C75+D75)&lt;9,OR((D75)=0,(MAX((B75-1)-1,0)+MAX((C75)-1,0)+MAX((D75)-1,0))&lt;6)),1,0)&amp;IF(AND((B75-1+C75+D75)&lt;9,OR((C75)=0,(MAX((B75-1)-1,0)+MAX((C75)-1,0)+MAX((D75)-1,0))&lt;6)),1,0)&amp;IF(AND((B75-1+C75+D75)&lt;9,OR((B75-1)=0,(MAX((B75-1)-1,0)+MAX((C75)-1,0)+MAX((D75)-1,0))&lt;6)),1,0))</x:f>
        <x:v>111</x:v>
      </x:c>
      <x:c r="K75" s="22" t="str">
        <x:f>IF(C75=0,"不可回收",IF(AND((B75+C75-1+D75)&lt;9,OR((D75)=0,(MAX((B75)-1,0)+MAX((C75-1)-1,0)+MAX((D75)-1,0))&lt;6)),1,0)&amp;IF(AND((B75+C75-1+D75)&lt;9,OR((C75-1)=0,(MAX((B75)-1,0)+MAX((C75-1)-1,0)+MAX((D75)-1,0))&lt;6)),1,0)&amp;IF(AND((B75+C75-1+D75)&lt;9,OR((B75)=0,(MAX((B75)-1,0)+MAX((C75-1)-1,0)+MAX((D75)-1,0))&lt;6)),1,0))</x:f>
        <x:v>111</x:v>
      </x:c>
      <x:c r="L75" s="22" t="str">
        <x:f>IF(D75=0,"不可回收",IF(AND((B75+C75+D75-1)&lt;9,OR((D75-1)=0,(MAX((B75)-1,0)+MAX((C75)-1,0)+MAX((D75-1)-1,0))&lt;6)),1,0)&amp;IF(AND((B75+C75+D75-1)&lt;9,OR((C75)=0,(MAX((B75)-1,0)+MAX((C75)-1,0)+MAX((D75-1)-1,0))&lt;6)),1,0)&amp;IF(AND((B75+C75+D75-1)&lt;9,OR((B75)=0,(MAX((B75)-1,0)+MAX((C75)-1,0)+MAX((D75-1)-1,0))&lt;6)),1,0))</x:f>
        <x:v>111</x:v>
      </x:c>
      <x:c r="M75" s="18" t="n">
        <x:f>1+F75</x:f>
        <x:v>4</x:v>
      </x:c>
      <x:c r="N75" s="18" t="n">
        <x:f>COUNTIF('容量转换'!$B$8:$B$2447,A75)</x:f>
        <x:v>16</x:v>
      </x:c>
      <x:c r="O75" s="21" t="str">
        <x:f>IF(AND(MIN(B75:D75)&gt;=0,MAX(B75:D75)&lt;=7,H75&lt;=9),"合法","不合法")</x:f>
        <x:v>合法</x:v>
      </x:c>
    </x:row>
    <x:row r="76" ht="23" customHeight="1">
      <x:c r="A76" s="3" t="str">
        <x:v>ST-069</x:v>
      </x:c>
      <x:c r="B76" s="19" t="n">
        <x:v>1</x:v>
      </x:c>
      <x:c r="C76" s="19" t="n">
        <x:v>5</x:v>
      </x:c>
      <x:c r="D76" s="19" t="n">
        <x:v>0</x:v>
      </x:c>
      <x:c r="E76" s="20" t="n">
        <x:f>SUM(B76:D76)</x:f>
        <x:v>6</x:v>
      </x:c>
      <x:c r="F76" s="20" t="n">
        <x:f>COUNTIF(B76:D76,"&gt;0")</x:f>
        <x:v>2</x:v>
      </x:c>
      <x:c r="G76" s="20" t="n">
        <x:f>MAX(B76-1,0)+MAX(C76-1,0)+MAX(D76-1,0)</x:f>
        <x:v>4</x:v>
      </x:c>
      <x:c r="H76" s="20" t="n">
        <x:f>MAX(B76,1)+MAX(C76,1)+MAX(D76,1)</x:f>
        <x:v>7</x:v>
      </x:c>
      <x:c r="I76" s="22" t="str">
        <x:f>IF(AND((B76+C76+D76)&lt;9,OR((D76)=0,(MAX((B76)-1,0)+MAX((C76)-1,0)+MAX((D76)-1,0))&lt;6)),1,0)&amp;IF(AND((B76+C76+D76)&lt;9,OR((C76)=0,(MAX((B76)-1,0)+MAX((C76)-1,0)+MAX((D76)-1,0))&lt;6)),1,0)&amp;IF(AND((B76+C76+D76)&lt;9,OR((B76)=0,(MAX((B76)-1,0)+MAX((C76)-1,0)+MAX((D76)-1,0))&lt;6)),1,0)</x:f>
        <x:v>111</x:v>
      </x:c>
      <x:c r="J76" s="22" t="str">
        <x:f>IF(B76=0,"不可回收",IF(AND((B76-1+C76+D76)&lt;9,OR((D76)=0,(MAX((B76-1)-1,0)+MAX((C76)-1,0)+MAX((D76)-1,0))&lt;6)),1,0)&amp;IF(AND((B76-1+C76+D76)&lt;9,OR((C76)=0,(MAX((B76-1)-1,0)+MAX((C76)-1,0)+MAX((D76)-1,0))&lt;6)),1,0)&amp;IF(AND((B76-1+C76+D76)&lt;9,OR((B76-1)=0,(MAX((B76-1)-1,0)+MAX((C76)-1,0)+MAX((D76)-1,0))&lt;6)),1,0))</x:f>
        <x:v>111</x:v>
      </x:c>
      <x:c r="K76" s="22" t="str">
        <x:f>IF(C76=0,"不可回收",IF(AND((B76+C76-1+D76)&lt;9,OR((D76)=0,(MAX((B76)-1,0)+MAX((C76-1)-1,0)+MAX((D76)-1,0))&lt;6)),1,0)&amp;IF(AND((B76+C76-1+D76)&lt;9,OR((C76-1)=0,(MAX((B76)-1,0)+MAX((C76-1)-1,0)+MAX((D76)-1,0))&lt;6)),1,0)&amp;IF(AND((B76+C76-1+D76)&lt;9,OR((B76)=0,(MAX((B76)-1,0)+MAX((C76-1)-1,0)+MAX((D76)-1,0))&lt;6)),1,0))</x:f>
        <x:v>111</x:v>
      </x:c>
      <x:c r="L76" s="22" t="str">
        <x:f>IF(D76=0,"不可回收",IF(AND((B76+C76+D76-1)&lt;9,OR((D76-1)=0,(MAX((B76)-1,0)+MAX((C76)-1,0)+MAX((D76-1)-1,0))&lt;6)),1,0)&amp;IF(AND((B76+C76+D76-1)&lt;9,OR((C76)=0,(MAX((B76)-1,0)+MAX((C76)-1,0)+MAX((D76-1)-1,0))&lt;6)),1,0)&amp;IF(AND((B76+C76+D76-1)&lt;9,OR((B76)=0,(MAX((B76)-1,0)+MAX((C76)-1,0)+MAX((D76-1)-1,0))&lt;6)),1,0))</x:f>
        <x:v>不可回收</x:v>
      </x:c>
      <x:c r="M76" s="18" t="n">
        <x:f>1+F76</x:f>
        <x:v>3</x:v>
      </x:c>
      <x:c r="N76" s="18" t="n">
        <x:f>COUNTIF('容量转换'!$B$8:$B$2447,A76)</x:f>
        <x:v>12</x:v>
      </x:c>
      <x:c r="O76" s="21" t="str">
        <x:f>IF(AND(MIN(B76:D76)&gt;=0,MAX(B76:D76)&lt;=7,H76&lt;=9),"合法","不合法")</x:f>
        <x:v>合法</x:v>
      </x:c>
    </x:row>
    <x:row r="77" ht="23" customHeight="1">
      <x:c r="A77" s="3" t="str">
        <x:v>ST-070</x:v>
      </x:c>
      <x:c r="B77" s="19" t="n">
        <x:v>2</x:v>
      </x:c>
      <x:c r="C77" s="19" t="n">
        <x:v>0</x:v>
      </x:c>
      <x:c r="D77" s="19" t="n">
        <x:v>4</x:v>
      </x:c>
      <x:c r="E77" s="20" t="n">
        <x:f>SUM(B77:D77)</x:f>
        <x:v>6</x:v>
      </x:c>
      <x:c r="F77" s="20" t="n">
        <x:f>COUNTIF(B77:D77,"&gt;0")</x:f>
        <x:v>2</x:v>
      </x:c>
      <x:c r="G77" s="20" t="n">
        <x:f>MAX(B77-1,0)+MAX(C77-1,0)+MAX(D77-1,0)</x:f>
        <x:v>4</x:v>
      </x:c>
      <x:c r="H77" s="20" t="n">
        <x:f>MAX(B77,1)+MAX(C77,1)+MAX(D77,1)</x:f>
        <x:v>7</x:v>
      </x:c>
      <x:c r="I77" s="22" t="str">
        <x:f>IF(AND((B77+C77+D77)&lt;9,OR((D77)=0,(MAX((B77)-1,0)+MAX((C77)-1,0)+MAX((D77)-1,0))&lt;6)),1,0)&amp;IF(AND((B77+C77+D77)&lt;9,OR((C77)=0,(MAX((B77)-1,0)+MAX((C77)-1,0)+MAX((D77)-1,0))&lt;6)),1,0)&amp;IF(AND((B77+C77+D77)&lt;9,OR((B77)=0,(MAX((B77)-1,0)+MAX((C77)-1,0)+MAX((D77)-1,0))&lt;6)),1,0)</x:f>
        <x:v>111</x:v>
      </x:c>
      <x:c r="J77" s="22" t="str">
        <x:f>IF(B77=0,"不可回收",IF(AND((B77-1+C77+D77)&lt;9,OR((D77)=0,(MAX((B77-1)-1,0)+MAX((C77)-1,0)+MAX((D77)-1,0))&lt;6)),1,0)&amp;IF(AND((B77-1+C77+D77)&lt;9,OR((C77)=0,(MAX((B77-1)-1,0)+MAX((C77)-1,0)+MAX((D77)-1,0))&lt;6)),1,0)&amp;IF(AND((B77-1+C77+D77)&lt;9,OR((B77-1)=0,(MAX((B77-1)-1,0)+MAX((C77)-1,0)+MAX((D77)-1,0))&lt;6)),1,0))</x:f>
        <x:v>111</x:v>
      </x:c>
      <x:c r="K77" s="22" t="str">
        <x:f>IF(C77=0,"不可回收",IF(AND((B77+C77-1+D77)&lt;9,OR((D77)=0,(MAX((B77)-1,0)+MAX((C77-1)-1,0)+MAX((D77)-1,0))&lt;6)),1,0)&amp;IF(AND((B77+C77-1+D77)&lt;9,OR((C77-1)=0,(MAX((B77)-1,0)+MAX((C77-1)-1,0)+MAX((D77)-1,0))&lt;6)),1,0)&amp;IF(AND((B77+C77-1+D77)&lt;9,OR((B77)=0,(MAX((B77)-1,0)+MAX((C77-1)-1,0)+MAX((D77)-1,0))&lt;6)),1,0))</x:f>
        <x:v>不可回收</x:v>
      </x:c>
      <x:c r="L77" s="22" t="str">
        <x:f>IF(D77=0,"不可回收",IF(AND((B77+C77+D77-1)&lt;9,OR((D77-1)=0,(MAX((B77)-1,0)+MAX((C77)-1,0)+MAX((D77-1)-1,0))&lt;6)),1,0)&amp;IF(AND((B77+C77+D77-1)&lt;9,OR((C77)=0,(MAX((B77)-1,0)+MAX((C77)-1,0)+MAX((D77-1)-1,0))&lt;6)),1,0)&amp;IF(AND((B77+C77+D77-1)&lt;9,OR((B77)=0,(MAX((B77)-1,0)+MAX((C77)-1,0)+MAX((D77-1)-1,0))&lt;6)),1,0))</x:f>
        <x:v>111</x:v>
      </x:c>
      <x:c r="M77" s="18" t="n">
        <x:f>1+F77</x:f>
        <x:v>3</x:v>
      </x:c>
      <x:c r="N77" s="18" t="n">
        <x:f>COUNTIF('容量转换'!$B$8:$B$2447,A77)</x:f>
        <x:v>12</x:v>
      </x:c>
      <x:c r="O77" s="21" t="str">
        <x:f>IF(AND(MIN(B77:D77)&gt;=0,MAX(B77:D77)&lt;=7,H77&lt;=9),"合法","不合法")</x:f>
        <x:v>合法</x:v>
      </x:c>
    </x:row>
    <x:row r="78" ht="23" customHeight="1">
      <x:c r="A78" s="3" t="str">
        <x:v>ST-071</x:v>
      </x:c>
      <x:c r="B78" s="19" t="n">
        <x:v>2</x:v>
      </x:c>
      <x:c r="C78" s="19" t="n">
        <x:v>1</x:v>
      </x:c>
      <x:c r="D78" s="19" t="n">
        <x:v>3</x:v>
      </x:c>
      <x:c r="E78" s="20" t="n">
        <x:f>SUM(B78:D78)</x:f>
        <x:v>6</x:v>
      </x:c>
      <x:c r="F78" s="20" t="n">
        <x:f>COUNTIF(B78:D78,"&gt;0")</x:f>
        <x:v>3</x:v>
      </x:c>
      <x:c r="G78" s="20" t="n">
        <x:f>MAX(B78-1,0)+MAX(C78-1,0)+MAX(D78-1,0)</x:f>
        <x:v>3</x:v>
      </x:c>
      <x:c r="H78" s="20" t="n">
        <x:f>MAX(B78,1)+MAX(C78,1)+MAX(D78,1)</x:f>
        <x:v>6</x:v>
      </x:c>
      <x:c r="I78" s="22" t="str">
        <x:f>IF(AND((B78+C78+D78)&lt;9,OR((D78)=0,(MAX((B78)-1,0)+MAX((C78)-1,0)+MAX((D78)-1,0))&lt;6)),1,0)&amp;IF(AND((B78+C78+D78)&lt;9,OR((C78)=0,(MAX((B78)-1,0)+MAX((C78)-1,0)+MAX((D78)-1,0))&lt;6)),1,0)&amp;IF(AND((B78+C78+D78)&lt;9,OR((B78)=0,(MAX((B78)-1,0)+MAX((C78)-1,0)+MAX((D78)-1,0))&lt;6)),1,0)</x:f>
        <x:v>111</x:v>
      </x:c>
      <x:c r="J78" s="22" t="str">
        <x:f>IF(B78=0,"不可回收",IF(AND((B78-1+C78+D78)&lt;9,OR((D78)=0,(MAX((B78-1)-1,0)+MAX((C78)-1,0)+MAX((D78)-1,0))&lt;6)),1,0)&amp;IF(AND((B78-1+C78+D78)&lt;9,OR((C78)=0,(MAX((B78-1)-1,0)+MAX((C78)-1,0)+MAX((D78)-1,0))&lt;6)),1,0)&amp;IF(AND((B78-1+C78+D78)&lt;9,OR((B78-1)=0,(MAX((B78-1)-1,0)+MAX((C78)-1,0)+MAX((D78)-1,0))&lt;6)),1,0))</x:f>
        <x:v>111</x:v>
      </x:c>
      <x:c r="K78" s="22" t="str">
        <x:f>IF(C78=0,"不可回收",IF(AND((B78+C78-1+D78)&lt;9,OR((D78)=0,(MAX((B78)-1,0)+MAX((C78-1)-1,0)+MAX((D78)-1,0))&lt;6)),1,0)&amp;IF(AND((B78+C78-1+D78)&lt;9,OR((C78-1)=0,(MAX((B78)-1,0)+MAX((C78-1)-1,0)+MAX((D78)-1,0))&lt;6)),1,0)&amp;IF(AND((B78+C78-1+D78)&lt;9,OR((B78)=0,(MAX((B78)-1,0)+MAX((C78-1)-1,0)+MAX((D78)-1,0))&lt;6)),1,0))</x:f>
        <x:v>111</x:v>
      </x:c>
      <x:c r="L78" s="22" t="str">
        <x:f>IF(D78=0,"不可回收",IF(AND((B78+C78+D78-1)&lt;9,OR((D78-1)=0,(MAX((B78)-1,0)+MAX((C78)-1,0)+MAX((D78-1)-1,0))&lt;6)),1,0)&amp;IF(AND((B78+C78+D78-1)&lt;9,OR((C78)=0,(MAX((B78)-1,0)+MAX((C78)-1,0)+MAX((D78-1)-1,0))&lt;6)),1,0)&amp;IF(AND((B78+C78+D78-1)&lt;9,OR((B78)=0,(MAX((B78)-1,0)+MAX((C78)-1,0)+MAX((D78-1)-1,0))&lt;6)),1,0))</x:f>
        <x:v>111</x:v>
      </x:c>
      <x:c r="M78" s="18" t="n">
        <x:f>1+F78</x:f>
        <x:v>4</x:v>
      </x:c>
      <x:c r="N78" s="18" t="n">
        <x:f>COUNTIF('容量转换'!$B$8:$B$2447,A78)</x:f>
        <x:v>16</x:v>
      </x:c>
      <x:c r="O78" s="21" t="str">
        <x:f>IF(AND(MIN(B78:D78)&gt;=0,MAX(B78:D78)&lt;=7,H78&lt;=9),"合法","不合法")</x:f>
        <x:v>合法</x:v>
      </x:c>
    </x:row>
    <x:row r="79" ht="23" customHeight="1">
      <x:c r="A79" s="3" t="str">
        <x:v>ST-072</x:v>
      </x:c>
      <x:c r="B79" s="19" t="n">
        <x:v>2</x:v>
      </x:c>
      <x:c r="C79" s="19" t="n">
        <x:v>2</x:v>
      </x:c>
      <x:c r="D79" s="19" t="n">
        <x:v>2</x:v>
      </x:c>
      <x:c r="E79" s="20" t="n">
        <x:f>SUM(B79:D79)</x:f>
        <x:v>6</x:v>
      </x:c>
      <x:c r="F79" s="20" t="n">
        <x:f>COUNTIF(B79:D79,"&gt;0")</x:f>
        <x:v>3</x:v>
      </x:c>
      <x:c r="G79" s="20" t="n">
        <x:f>MAX(B79-1,0)+MAX(C79-1,0)+MAX(D79-1,0)</x:f>
        <x:v>3</x:v>
      </x:c>
      <x:c r="H79" s="20" t="n">
        <x:f>MAX(B79,1)+MAX(C79,1)+MAX(D79,1)</x:f>
        <x:v>6</x:v>
      </x:c>
      <x:c r="I79" s="22" t="str">
        <x:f>IF(AND((B79+C79+D79)&lt;9,OR((D79)=0,(MAX((B79)-1,0)+MAX((C79)-1,0)+MAX((D79)-1,0))&lt;6)),1,0)&amp;IF(AND((B79+C79+D79)&lt;9,OR((C79)=0,(MAX((B79)-1,0)+MAX((C79)-1,0)+MAX((D79)-1,0))&lt;6)),1,0)&amp;IF(AND((B79+C79+D79)&lt;9,OR((B79)=0,(MAX((B79)-1,0)+MAX((C79)-1,0)+MAX((D79)-1,0))&lt;6)),1,0)</x:f>
        <x:v>111</x:v>
      </x:c>
      <x:c r="J79" s="22" t="str">
        <x:f>IF(B79=0,"不可回收",IF(AND((B79-1+C79+D79)&lt;9,OR((D79)=0,(MAX((B79-1)-1,0)+MAX((C79)-1,0)+MAX((D79)-1,0))&lt;6)),1,0)&amp;IF(AND((B79-1+C79+D79)&lt;9,OR((C79)=0,(MAX((B79-1)-1,0)+MAX((C79)-1,0)+MAX((D79)-1,0))&lt;6)),1,0)&amp;IF(AND((B79-1+C79+D79)&lt;9,OR((B79-1)=0,(MAX((B79-1)-1,0)+MAX((C79)-1,0)+MAX((D79)-1,0))&lt;6)),1,0))</x:f>
        <x:v>111</x:v>
      </x:c>
      <x:c r="K79" s="22" t="str">
        <x:f>IF(C79=0,"不可回收",IF(AND((B79+C79-1+D79)&lt;9,OR((D79)=0,(MAX((B79)-1,0)+MAX((C79-1)-1,0)+MAX((D79)-1,0))&lt;6)),1,0)&amp;IF(AND((B79+C79-1+D79)&lt;9,OR((C79-1)=0,(MAX((B79)-1,0)+MAX((C79-1)-1,0)+MAX((D79)-1,0))&lt;6)),1,0)&amp;IF(AND((B79+C79-1+D79)&lt;9,OR((B79)=0,(MAX((B79)-1,0)+MAX((C79-1)-1,0)+MAX((D79)-1,0))&lt;6)),1,0))</x:f>
        <x:v>111</x:v>
      </x:c>
      <x:c r="L79" s="22" t="str">
        <x:f>IF(D79=0,"不可回收",IF(AND((B79+C79+D79-1)&lt;9,OR((D79-1)=0,(MAX((B79)-1,0)+MAX((C79)-1,0)+MAX((D79-1)-1,0))&lt;6)),1,0)&amp;IF(AND((B79+C79+D79-1)&lt;9,OR((C79)=0,(MAX((B79)-1,0)+MAX((C79)-1,0)+MAX((D79-1)-1,0))&lt;6)),1,0)&amp;IF(AND((B79+C79+D79-1)&lt;9,OR((B79)=0,(MAX((B79)-1,0)+MAX((C79)-1,0)+MAX((D79-1)-1,0))&lt;6)),1,0))</x:f>
        <x:v>111</x:v>
      </x:c>
      <x:c r="M79" s="18" t="n">
        <x:f>1+F79</x:f>
        <x:v>4</x:v>
      </x:c>
      <x:c r="N79" s="18" t="n">
        <x:f>COUNTIF('容量转换'!$B$8:$B$2447,A79)</x:f>
        <x:v>16</x:v>
      </x:c>
      <x:c r="O79" s="21" t="str">
        <x:f>IF(AND(MIN(B79:D79)&gt;=0,MAX(B79:D79)&lt;=7,H79&lt;=9),"合法","不合法")</x:f>
        <x:v>合法</x:v>
      </x:c>
    </x:row>
    <x:row r="80" ht="23" customHeight="1">
      <x:c r="A80" s="3" t="str">
        <x:v>ST-073</x:v>
      </x:c>
      <x:c r="B80" s="19" t="n">
        <x:v>2</x:v>
      </x:c>
      <x:c r="C80" s="19" t="n">
        <x:v>3</x:v>
      </x:c>
      <x:c r="D80" s="19" t="n">
        <x:v>1</x:v>
      </x:c>
      <x:c r="E80" s="20" t="n">
        <x:f>SUM(B80:D80)</x:f>
        <x:v>6</x:v>
      </x:c>
      <x:c r="F80" s="20" t="n">
        <x:f>COUNTIF(B80:D80,"&gt;0")</x:f>
        <x:v>3</x:v>
      </x:c>
      <x:c r="G80" s="20" t="n">
        <x:f>MAX(B80-1,0)+MAX(C80-1,0)+MAX(D80-1,0)</x:f>
        <x:v>3</x:v>
      </x:c>
      <x:c r="H80" s="20" t="n">
        <x:f>MAX(B80,1)+MAX(C80,1)+MAX(D80,1)</x:f>
        <x:v>6</x:v>
      </x:c>
      <x:c r="I80" s="22" t="str">
        <x:f>IF(AND((B80+C80+D80)&lt;9,OR((D80)=0,(MAX((B80)-1,0)+MAX((C80)-1,0)+MAX((D80)-1,0))&lt;6)),1,0)&amp;IF(AND((B80+C80+D80)&lt;9,OR((C80)=0,(MAX((B80)-1,0)+MAX((C80)-1,0)+MAX((D80)-1,0))&lt;6)),1,0)&amp;IF(AND((B80+C80+D80)&lt;9,OR((B80)=0,(MAX((B80)-1,0)+MAX((C80)-1,0)+MAX((D80)-1,0))&lt;6)),1,0)</x:f>
        <x:v>111</x:v>
      </x:c>
      <x:c r="J80" s="22" t="str">
        <x:f>IF(B80=0,"不可回收",IF(AND((B80-1+C80+D80)&lt;9,OR((D80)=0,(MAX((B80-1)-1,0)+MAX((C80)-1,0)+MAX((D80)-1,0))&lt;6)),1,0)&amp;IF(AND((B80-1+C80+D80)&lt;9,OR((C80)=0,(MAX((B80-1)-1,0)+MAX((C80)-1,0)+MAX((D80)-1,0))&lt;6)),1,0)&amp;IF(AND((B80-1+C80+D80)&lt;9,OR((B80-1)=0,(MAX((B80-1)-1,0)+MAX((C80)-1,0)+MAX((D80)-1,0))&lt;6)),1,0))</x:f>
        <x:v>111</x:v>
      </x:c>
      <x:c r="K80" s="22" t="str">
        <x:f>IF(C80=0,"不可回收",IF(AND((B80+C80-1+D80)&lt;9,OR((D80)=0,(MAX((B80)-1,0)+MAX((C80-1)-1,0)+MAX((D80)-1,0))&lt;6)),1,0)&amp;IF(AND((B80+C80-1+D80)&lt;9,OR((C80-1)=0,(MAX((B80)-1,0)+MAX((C80-1)-1,0)+MAX((D80)-1,0))&lt;6)),1,0)&amp;IF(AND((B80+C80-1+D80)&lt;9,OR((B80)=0,(MAX((B80)-1,0)+MAX((C80-1)-1,0)+MAX((D80)-1,0))&lt;6)),1,0))</x:f>
        <x:v>111</x:v>
      </x:c>
      <x:c r="L80" s="22" t="str">
        <x:f>IF(D80=0,"不可回收",IF(AND((B80+C80+D80-1)&lt;9,OR((D80-1)=0,(MAX((B80)-1,0)+MAX((C80)-1,0)+MAX((D80-1)-1,0))&lt;6)),1,0)&amp;IF(AND((B80+C80+D80-1)&lt;9,OR((C80)=0,(MAX((B80)-1,0)+MAX((C80)-1,0)+MAX((D80-1)-1,0))&lt;6)),1,0)&amp;IF(AND((B80+C80+D80-1)&lt;9,OR((B80)=0,(MAX((B80)-1,0)+MAX((C80)-1,0)+MAX((D80-1)-1,0))&lt;6)),1,0))</x:f>
        <x:v>111</x:v>
      </x:c>
      <x:c r="M80" s="18" t="n">
        <x:f>1+F80</x:f>
        <x:v>4</x:v>
      </x:c>
      <x:c r="N80" s="18" t="n">
        <x:f>COUNTIF('容量转换'!$B$8:$B$2447,A80)</x:f>
        <x:v>16</x:v>
      </x:c>
      <x:c r="O80" s="21" t="str">
        <x:f>IF(AND(MIN(B80:D80)&gt;=0,MAX(B80:D80)&lt;=7,H80&lt;=9),"合法","不合法")</x:f>
        <x:v>合法</x:v>
      </x:c>
    </x:row>
    <x:row r="81" ht="23" customHeight="1">
      <x:c r="A81" s="3" t="str">
        <x:v>ST-074</x:v>
      </x:c>
      <x:c r="B81" s="19" t="n">
        <x:v>2</x:v>
      </x:c>
      <x:c r="C81" s="19" t="n">
        <x:v>4</x:v>
      </x:c>
      <x:c r="D81" s="19" t="n">
        <x:v>0</x:v>
      </x:c>
      <x:c r="E81" s="20" t="n">
        <x:f>SUM(B81:D81)</x:f>
        <x:v>6</x:v>
      </x:c>
      <x:c r="F81" s="20" t="n">
        <x:f>COUNTIF(B81:D81,"&gt;0")</x:f>
        <x:v>2</x:v>
      </x:c>
      <x:c r="G81" s="20" t="n">
        <x:f>MAX(B81-1,0)+MAX(C81-1,0)+MAX(D81-1,0)</x:f>
        <x:v>4</x:v>
      </x:c>
      <x:c r="H81" s="20" t="n">
        <x:f>MAX(B81,1)+MAX(C81,1)+MAX(D81,1)</x:f>
        <x:v>7</x:v>
      </x:c>
      <x:c r="I81" s="22" t="str">
        <x:f>IF(AND((B81+C81+D81)&lt;9,OR((D81)=0,(MAX((B81)-1,0)+MAX((C81)-1,0)+MAX((D81)-1,0))&lt;6)),1,0)&amp;IF(AND((B81+C81+D81)&lt;9,OR((C81)=0,(MAX((B81)-1,0)+MAX((C81)-1,0)+MAX((D81)-1,0))&lt;6)),1,0)&amp;IF(AND((B81+C81+D81)&lt;9,OR((B81)=0,(MAX((B81)-1,0)+MAX((C81)-1,0)+MAX((D81)-1,0))&lt;6)),1,0)</x:f>
        <x:v>111</x:v>
      </x:c>
      <x:c r="J81" s="22" t="str">
        <x:f>IF(B81=0,"不可回收",IF(AND((B81-1+C81+D81)&lt;9,OR((D81)=0,(MAX((B81-1)-1,0)+MAX((C81)-1,0)+MAX((D81)-1,0))&lt;6)),1,0)&amp;IF(AND((B81-1+C81+D81)&lt;9,OR((C81)=0,(MAX((B81-1)-1,0)+MAX((C81)-1,0)+MAX((D81)-1,0))&lt;6)),1,0)&amp;IF(AND((B81-1+C81+D81)&lt;9,OR((B81-1)=0,(MAX((B81-1)-1,0)+MAX((C81)-1,0)+MAX((D81)-1,0))&lt;6)),1,0))</x:f>
        <x:v>111</x:v>
      </x:c>
      <x:c r="K81" s="22" t="str">
        <x:f>IF(C81=0,"不可回收",IF(AND((B81+C81-1+D81)&lt;9,OR((D81)=0,(MAX((B81)-1,0)+MAX((C81-1)-1,0)+MAX((D81)-1,0))&lt;6)),1,0)&amp;IF(AND((B81+C81-1+D81)&lt;9,OR((C81-1)=0,(MAX((B81)-1,0)+MAX((C81-1)-1,0)+MAX((D81)-1,0))&lt;6)),1,0)&amp;IF(AND((B81+C81-1+D81)&lt;9,OR((B81)=0,(MAX((B81)-1,0)+MAX((C81-1)-1,0)+MAX((D81)-1,0))&lt;6)),1,0))</x:f>
        <x:v>111</x:v>
      </x:c>
      <x:c r="L81" s="22" t="str">
        <x:f>IF(D81=0,"不可回收",IF(AND((B81+C81+D81-1)&lt;9,OR((D81-1)=0,(MAX((B81)-1,0)+MAX((C81)-1,0)+MAX((D81-1)-1,0))&lt;6)),1,0)&amp;IF(AND((B81+C81+D81-1)&lt;9,OR((C81)=0,(MAX((B81)-1,0)+MAX((C81)-1,0)+MAX((D81-1)-1,0))&lt;6)),1,0)&amp;IF(AND((B81+C81+D81-1)&lt;9,OR((B81)=0,(MAX((B81)-1,0)+MAX((C81)-1,0)+MAX((D81-1)-1,0))&lt;6)),1,0))</x:f>
        <x:v>不可回收</x:v>
      </x:c>
      <x:c r="M81" s="18" t="n">
        <x:f>1+F81</x:f>
        <x:v>3</x:v>
      </x:c>
      <x:c r="N81" s="18" t="n">
        <x:f>COUNTIF('容量转换'!$B$8:$B$2447,A81)</x:f>
        <x:v>12</x:v>
      </x:c>
      <x:c r="O81" s="21" t="str">
        <x:f>IF(AND(MIN(B81:D81)&gt;=0,MAX(B81:D81)&lt;=7,H81&lt;=9),"合法","不合法")</x:f>
        <x:v>合法</x:v>
      </x:c>
    </x:row>
    <x:row r="82" ht="23" customHeight="1">
      <x:c r="A82" s="3" t="str">
        <x:v>ST-075</x:v>
      </x:c>
      <x:c r="B82" s="19" t="n">
        <x:v>3</x:v>
      </x:c>
      <x:c r="C82" s="19" t="n">
        <x:v>0</x:v>
      </x:c>
      <x:c r="D82" s="19" t="n">
        <x:v>3</x:v>
      </x:c>
      <x:c r="E82" s="20" t="n">
        <x:f>SUM(B82:D82)</x:f>
        <x:v>6</x:v>
      </x:c>
      <x:c r="F82" s="20" t="n">
        <x:f>COUNTIF(B82:D82,"&gt;0")</x:f>
        <x:v>2</x:v>
      </x:c>
      <x:c r="G82" s="20" t="n">
        <x:f>MAX(B82-1,0)+MAX(C82-1,0)+MAX(D82-1,0)</x:f>
        <x:v>4</x:v>
      </x:c>
      <x:c r="H82" s="20" t="n">
        <x:f>MAX(B82,1)+MAX(C82,1)+MAX(D82,1)</x:f>
        <x:v>7</x:v>
      </x:c>
      <x:c r="I82" s="22" t="str">
        <x:f>IF(AND((B82+C82+D82)&lt;9,OR((D82)=0,(MAX((B82)-1,0)+MAX((C82)-1,0)+MAX((D82)-1,0))&lt;6)),1,0)&amp;IF(AND((B82+C82+D82)&lt;9,OR((C82)=0,(MAX((B82)-1,0)+MAX((C82)-1,0)+MAX((D82)-1,0))&lt;6)),1,0)&amp;IF(AND((B82+C82+D82)&lt;9,OR((B82)=0,(MAX((B82)-1,0)+MAX((C82)-1,0)+MAX((D82)-1,0))&lt;6)),1,0)</x:f>
        <x:v>111</x:v>
      </x:c>
      <x:c r="J82" s="22" t="str">
        <x:f>IF(B82=0,"不可回收",IF(AND((B82-1+C82+D82)&lt;9,OR((D82)=0,(MAX((B82-1)-1,0)+MAX((C82)-1,0)+MAX((D82)-1,0))&lt;6)),1,0)&amp;IF(AND((B82-1+C82+D82)&lt;9,OR((C82)=0,(MAX((B82-1)-1,0)+MAX((C82)-1,0)+MAX((D82)-1,0))&lt;6)),1,0)&amp;IF(AND((B82-1+C82+D82)&lt;9,OR((B82-1)=0,(MAX((B82-1)-1,0)+MAX((C82)-1,0)+MAX((D82)-1,0))&lt;6)),1,0))</x:f>
        <x:v>111</x:v>
      </x:c>
      <x:c r="K82" s="22" t="str">
        <x:f>IF(C82=0,"不可回收",IF(AND((B82+C82-1+D82)&lt;9,OR((D82)=0,(MAX((B82)-1,0)+MAX((C82-1)-1,0)+MAX((D82)-1,0))&lt;6)),1,0)&amp;IF(AND((B82+C82-1+D82)&lt;9,OR((C82-1)=0,(MAX((B82)-1,0)+MAX((C82-1)-1,0)+MAX((D82)-1,0))&lt;6)),1,0)&amp;IF(AND((B82+C82-1+D82)&lt;9,OR((B82)=0,(MAX((B82)-1,0)+MAX((C82-1)-1,0)+MAX((D82)-1,0))&lt;6)),1,0))</x:f>
        <x:v>不可回收</x:v>
      </x:c>
      <x:c r="L82" s="22" t="str">
        <x:f>IF(D82=0,"不可回收",IF(AND((B82+C82+D82-1)&lt;9,OR((D82-1)=0,(MAX((B82)-1,0)+MAX((C82)-1,0)+MAX((D82-1)-1,0))&lt;6)),1,0)&amp;IF(AND((B82+C82+D82-1)&lt;9,OR((C82)=0,(MAX((B82)-1,0)+MAX((C82)-1,0)+MAX((D82-1)-1,0))&lt;6)),1,0)&amp;IF(AND((B82+C82+D82-1)&lt;9,OR((B82)=0,(MAX((B82)-1,0)+MAX((C82)-1,0)+MAX((D82-1)-1,0))&lt;6)),1,0))</x:f>
        <x:v>111</x:v>
      </x:c>
      <x:c r="M82" s="18" t="n">
        <x:f>1+F82</x:f>
        <x:v>3</x:v>
      </x:c>
      <x:c r="N82" s="18" t="n">
        <x:f>COUNTIF('容量转换'!$B$8:$B$2447,A82)</x:f>
        <x:v>12</x:v>
      </x:c>
      <x:c r="O82" s="21" t="str">
        <x:f>IF(AND(MIN(B82:D82)&gt;=0,MAX(B82:D82)&lt;=7,H82&lt;=9),"合法","不合法")</x:f>
        <x:v>合法</x:v>
      </x:c>
    </x:row>
    <x:row r="83" ht="23" customHeight="1">
      <x:c r="A83" s="3" t="str">
        <x:v>ST-076</x:v>
      </x:c>
      <x:c r="B83" s="19" t="n">
        <x:v>3</x:v>
      </x:c>
      <x:c r="C83" s="19" t="n">
        <x:v>1</x:v>
      </x:c>
      <x:c r="D83" s="19" t="n">
        <x:v>2</x:v>
      </x:c>
      <x:c r="E83" s="20" t="n">
        <x:f>SUM(B83:D83)</x:f>
        <x:v>6</x:v>
      </x:c>
      <x:c r="F83" s="20" t="n">
        <x:f>COUNTIF(B83:D83,"&gt;0")</x:f>
        <x:v>3</x:v>
      </x:c>
      <x:c r="G83" s="20" t="n">
        <x:f>MAX(B83-1,0)+MAX(C83-1,0)+MAX(D83-1,0)</x:f>
        <x:v>3</x:v>
      </x:c>
      <x:c r="H83" s="20" t="n">
        <x:f>MAX(B83,1)+MAX(C83,1)+MAX(D83,1)</x:f>
        <x:v>6</x:v>
      </x:c>
      <x:c r="I83" s="22" t="str">
        <x:f>IF(AND((B83+C83+D83)&lt;9,OR((D83)=0,(MAX((B83)-1,0)+MAX((C83)-1,0)+MAX((D83)-1,0))&lt;6)),1,0)&amp;IF(AND((B83+C83+D83)&lt;9,OR((C83)=0,(MAX((B83)-1,0)+MAX((C83)-1,0)+MAX((D83)-1,0))&lt;6)),1,0)&amp;IF(AND((B83+C83+D83)&lt;9,OR((B83)=0,(MAX((B83)-1,0)+MAX((C83)-1,0)+MAX((D83)-1,0))&lt;6)),1,0)</x:f>
        <x:v>111</x:v>
      </x:c>
      <x:c r="J83" s="22" t="str">
        <x:f>IF(B83=0,"不可回收",IF(AND((B83-1+C83+D83)&lt;9,OR((D83)=0,(MAX((B83-1)-1,0)+MAX((C83)-1,0)+MAX((D83)-1,0))&lt;6)),1,0)&amp;IF(AND((B83-1+C83+D83)&lt;9,OR((C83)=0,(MAX((B83-1)-1,0)+MAX((C83)-1,0)+MAX((D83)-1,0))&lt;6)),1,0)&amp;IF(AND((B83-1+C83+D83)&lt;9,OR((B83-1)=0,(MAX((B83-1)-1,0)+MAX((C83)-1,0)+MAX((D83)-1,0))&lt;6)),1,0))</x:f>
        <x:v>111</x:v>
      </x:c>
      <x:c r="K83" s="22" t="str">
        <x:f>IF(C83=0,"不可回收",IF(AND((B83+C83-1+D83)&lt;9,OR((D83)=0,(MAX((B83)-1,0)+MAX((C83-1)-1,0)+MAX((D83)-1,0))&lt;6)),1,0)&amp;IF(AND((B83+C83-1+D83)&lt;9,OR((C83-1)=0,(MAX((B83)-1,0)+MAX((C83-1)-1,0)+MAX((D83)-1,0))&lt;6)),1,0)&amp;IF(AND((B83+C83-1+D83)&lt;9,OR((B83)=0,(MAX((B83)-1,0)+MAX((C83-1)-1,0)+MAX((D83)-1,0))&lt;6)),1,0))</x:f>
        <x:v>111</x:v>
      </x:c>
      <x:c r="L83" s="22" t="str">
        <x:f>IF(D83=0,"不可回收",IF(AND((B83+C83+D83-1)&lt;9,OR((D83-1)=0,(MAX((B83)-1,0)+MAX((C83)-1,0)+MAX((D83-1)-1,0))&lt;6)),1,0)&amp;IF(AND((B83+C83+D83-1)&lt;9,OR((C83)=0,(MAX((B83)-1,0)+MAX((C83)-1,0)+MAX((D83-1)-1,0))&lt;6)),1,0)&amp;IF(AND((B83+C83+D83-1)&lt;9,OR((B83)=0,(MAX((B83)-1,0)+MAX((C83)-1,0)+MAX((D83-1)-1,0))&lt;6)),1,0))</x:f>
        <x:v>111</x:v>
      </x:c>
      <x:c r="M83" s="18" t="n">
        <x:f>1+F83</x:f>
        <x:v>4</x:v>
      </x:c>
      <x:c r="N83" s="18" t="n">
        <x:f>COUNTIF('容量转换'!$B$8:$B$2447,A83)</x:f>
        <x:v>16</x:v>
      </x:c>
      <x:c r="O83" s="21" t="str">
        <x:f>IF(AND(MIN(B83:D83)&gt;=0,MAX(B83:D83)&lt;=7,H83&lt;=9),"合法","不合法")</x:f>
        <x:v>合法</x:v>
      </x:c>
    </x:row>
    <x:row r="84" ht="23" customHeight="1">
      <x:c r="A84" s="3" t="str">
        <x:v>ST-077</x:v>
      </x:c>
      <x:c r="B84" s="19" t="n">
        <x:v>3</x:v>
      </x:c>
      <x:c r="C84" s="19" t="n">
        <x:v>2</x:v>
      </x:c>
      <x:c r="D84" s="19" t="n">
        <x:v>1</x:v>
      </x:c>
      <x:c r="E84" s="20" t="n">
        <x:f>SUM(B84:D84)</x:f>
        <x:v>6</x:v>
      </x:c>
      <x:c r="F84" s="20" t="n">
        <x:f>COUNTIF(B84:D84,"&gt;0")</x:f>
        <x:v>3</x:v>
      </x:c>
      <x:c r="G84" s="20" t="n">
        <x:f>MAX(B84-1,0)+MAX(C84-1,0)+MAX(D84-1,0)</x:f>
        <x:v>3</x:v>
      </x:c>
      <x:c r="H84" s="20" t="n">
        <x:f>MAX(B84,1)+MAX(C84,1)+MAX(D84,1)</x:f>
        <x:v>6</x:v>
      </x:c>
      <x:c r="I84" s="22" t="str">
        <x:f>IF(AND((B84+C84+D84)&lt;9,OR((D84)=0,(MAX((B84)-1,0)+MAX((C84)-1,0)+MAX((D84)-1,0))&lt;6)),1,0)&amp;IF(AND((B84+C84+D84)&lt;9,OR((C84)=0,(MAX((B84)-1,0)+MAX((C84)-1,0)+MAX((D84)-1,0))&lt;6)),1,0)&amp;IF(AND((B84+C84+D84)&lt;9,OR((B84)=0,(MAX((B84)-1,0)+MAX((C84)-1,0)+MAX((D84)-1,0))&lt;6)),1,0)</x:f>
        <x:v>111</x:v>
      </x:c>
      <x:c r="J84" s="22" t="str">
        <x:f>IF(B84=0,"不可回收",IF(AND((B84-1+C84+D84)&lt;9,OR((D84)=0,(MAX((B84-1)-1,0)+MAX((C84)-1,0)+MAX((D84)-1,0))&lt;6)),1,0)&amp;IF(AND((B84-1+C84+D84)&lt;9,OR((C84)=0,(MAX((B84-1)-1,0)+MAX((C84)-1,0)+MAX((D84)-1,0))&lt;6)),1,0)&amp;IF(AND((B84-1+C84+D84)&lt;9,OR((B84-1)=0,(MAX((B84-1)-1,0)+MAX((C84)-1,0)+MAX((D84)-1,0))&lt;6)),1,0))</x:f>
        <x:v>111</x:v>
      </x:c>
      <x:c r="K84" s="22" t="str">
        <x:f>IF(C84=0,"不可回收",IF(AND((B84+C84-1+D84)&lt;9,OR((D84)=0,(MAX((B84)-1,0)+MAX((C84-1)-1,0)+MAX((D84)-1,0))&lt;6)),1,0)&amp;IF(AND((B84+C84-1+D84)&lt;9,OR((C84-1)=0,(MAX((B84)-1,0)+MAX((C84-1)-1,0)+MAX((D84)-1,0))&lt;6)),1,0)&amp;IF(AND((B84+C84-1+D84)&lt;9,OR((B84)=0,(MAX((B84)-1,0)+MAX((C84-1)-1,0)+MAX((D84)-1,0))&lt;6)),1,0))</x:f>
        <x:v>111</x:v>
      </x:c>
      <x:c r="L84" s="22" t="str">
        <x:f>IF(D84=0,"不可回收",IF(AND((B84+C84+D84-1)&lt;9,OR((D84-1)=0,(MAX((B84)-1,0)+MAX((C84)-1,0)+MAX((D84-1)-1,0))&lt;6)),1,0)&amp;IF(AND((B84+C84+D84-1)&lt;9,OR((C84)=0,(MAX((B84)-1,0)+MAX((C84)-1,0)+MAX((D84-1)-1,0))&lt;6)),1,0)&amp;IF(AND((B84+C84+D84-1)&lt;9,OR((B84)=0,(MAX((B84)-1,0)+MAX((C84)-1,0)+MAX((D84-1)-1,0))&lt;6)),1,0))</x:f>
        <x:v>111</x:v>
      </x:c>
      <x:c r="M84" s="18" t="n">
        <x:f>1+F84</x:f>
        <x:v>4</x:v>
      </x:c>
      <x:c r="N84" s="18" t="n">
        <x:f>COUNTIF('容量转换'!$B$8:$B$2447,A84)</x:f>
        <x:v>16</x:v>
      </x:c>
      <x:c r="O84" s="21" t="str">
        <x:f>IF(AND(MIN(B84:D84)&gt;=0,MAX(B84:D84)&lt;=7,H84&lt;=9),"合法","不合法")</x:f>
        <x:v>合法</x:v>
      </x:c>
    </x:row>
    <x:row r="85" ht="23" customHeight="1">
      <x:c r="A85" s="3" t="str">
        <x:v>ST-078</x:v>
      </x:c>
      <x:c r="B85" s="19" t="n">
        <x:v>3</x:v>
      </x:c>
      <x:c r="C85" s="19" t="n">
        <x:v>3</x:v>
      </x:c>
      <x:c r="D85" s="19" t="n">
        <x:v>0</x:v>
      </x:c>
      <x:c r="E85" s="20" t="n">
        <x:f>SUM(B85:D85)</x:f>
        <x:v>6</x:v>
      </x:c>
      <x:c r="F85" s="20" t="n">
        <x:f>COUNTIF(B85:D85,"&gt;0")</x:f>
        <x:v>2</x:v>
      </x:c>
      <x:c r="G85" s="20" t="n">
        <x:f>MAX(B85-1,0)+MAX(C85-1,0)+MAX(D85-1,0)</x:f>
        <x:v>4</x:v>
      </x:c>
      <x:c r="H85" s="20" t="n">
        <x:f>MAX(B85,1)+MAX(C85,1)+MAX(D85,1)</x:f>
        <x:v>7</x:v>
      </x:c>
      <x:c r="I85" s="22" t="str">
        <x:f>IF(AND((B85+C85+D85)&lt;9,OR((D85)=0,(MAX((B85)-1,0)+MAX((C85)-1,0)+MAX((D85)-1,0))&lt;6)),1,0)&amp;IF(AND((B85+C85+D85)&lt;9,OR((C85)=0,(MAX((B85)-1,0)+MAX((C85)-1,0)+MAX((D85)-1,0))&lt;6)),1,0)&amp;IF(AND((B85+C85+D85)&lt;9,OR((B85)=0,(MAX((B85)-1,0)+MAX((C85)-1,0)+MAX((D85)-1,0))&lt;6)),1,0)</x:f>
        <x:v>111</x:v>
      </x:c>
      <x:c r="J85" s="22" t="str">
        <x:f>IF(B85=0,"不可回收",IF(AND((B85-1+C85+D85)&lt;9,OR((D85)=0,(MAX((B85-1)-1,0)+MAX((C85)-1,0)+MAX((D85)-1,0))&lt;6)),1,0)&amp;IF(AND((B85-1+C85+D85)&lt;9,OR((C85)=0,(MAX((B85-1)-1,0)+MAX((C85)-1,0)+MAX((D85)-1,0))&lt;6)),1,0)&amp;IF(AND((B85-1+C85+D85)&lt;9,OR((B85-1)=0,(MAX((B85-1)-1,0)+MAX((C85)-1,0)+MAX((D85)-1,0))&lt;6)),1,0))</x:f>
        <x:v>111</x:v>
      </x:c>
      <x:c r="K85" s="22" t="str">
        <x:f>IF(C85=0,"不可回收",IF(AND((B85+C85-1+D85)&lt;9,OR((D85)=0,(MAX((B85)-1,0)+MAX((C85-1)-1,0)+MAX((D85)-1,0))&lt;6)),1,0)&amp;IF(AND((B85+C85-1+D85)&lt;9,OR((C85-1)=0,(MAX((B85)-1,0)+MAX((C85-1)-1,0)+MAX((D85)-1,0))&lt;6)),1,0)&amp;IF(AND((B85+C85-1+D85)&lt;9,OR((B85)=0,(MAX((B85)-1,0)+MAX((C85-1)-1,0)+MAX((D85)-1,0))&lt;6)),1,0))</x:f>
        <x:v>111</x:v>
      </x:c>
      <x:c r="L85" s="22" t="str">
        <x:f>IF(D85=0,"不可回收",IF(AND((B85+C85+D85-1)&lt;9,OR((D85-1)=0,(MAX((B85)-1,0)+MAX((C85)-1,0)+MAX((D85-1)-1,0))&lt;6)),1,0)&amp;IF(AND((B85+C85+D85-1)&lt;9,OR((C85)=0,(MAX((B85)-1,0)+MAX((C85)-1,0)+MAX((D85-1)-1,0))&lt;6)),1,0)&amp;IF(AND((B85+C85+D85-1)&lt;9,OR((B85)=0,(MAX((B85)-1,0)+MAX((C85)-1,0)+MAX((D85-1)-1,0))&lt;6)),1,0))</x:f>
        <x:v>不可回收</x:v>
      </x:c>
      <x:c r="M85" s="18" t="n">
        <x:f>1+F85</x:f>
        <x:v>3</x:v>
      </x:c>
      <x:c r="N85" s="18" t="n">
        <x:f>COUNTIF('容量转换'!$B$8:$B$2447,A85)</x:f>
        <x:v>12</x:v>
      </x:c>
      <x:c r="O85" s="21" t="str">
        <x:f>IF(AND(MIN(B85:D85)&gt;=0,MAX(B85:D85)&lt;=7,H85&lt;=9),"合法","不合法")</x:f>
        <x:v>合法</x:v>
      </x:c>
    </x:row>
    <x:row r="86" ht="23" customHeight="1">
      <x:c r="A86" s="3" t="str">
        <x:v>ST-079</x:v>
      </x:c>
      <x:c r="B86" s="19" t="n">
        <x:v>4</x:v>
      </x:c>
      <x:c r="C86" s="19" t="n">
        <x:v>0</x:v>
      </x:c>
      <x:c r="D86" s="19" t="n">
        <x:v>2</x:v>
      </x:c>
      <x:c r="E86" s="20" t="n">
        <x:f>SUM(B86:D86)</x:f>
        <x:v>6</x:v>
      </x:c>
      <x:c r="F86" s="20" t="n">
        <x:f>COUNTIF(B86:D86,"&gt;0")</x:f>
        <x:v>2</x:v>
      </x:c>
      <x:c r="G86" s="20" t="n">
        <x:f>MAX(B86-1,0)+MAX(C86-1,0)+MAX(D86-1,0)</x:f>
        <x:v>4</x:v>
      </x:c>
      <x:c r="H86" s="20" t="n">
        <x:f>MAX(B86,1)+MAX(C86,1)+MAX(D86,1)</x:f>
        <x:v>7</x:v>
      </x:c>
      <x:c r="I86" s="22" t="str">
        <x:f>IF(AND((B86+C86+D86)&lt;9,OR((D86)=0,(MAX((B86)-1,0)+MAX((C86)-1,0)+MAX((D86)-1,0))&lt;6)),1,0)&amp;IF(AND((B86+C86+D86)&lt;9,OR((C86)=0,(MAX((B86)-1,0)+MAX((C86)-1,0)+MAX((D86)-1,0))&lt;6)),1,0)&amp;IF(AND((B86+C86+D86)&lt;9,OR((B86)=0,(MAX((B86)-1,0)+MAX((C86)-1,0)+MAX((D86)-1,0))&lt;6)),1,0)</x:f>
        <x:v>111</x:v>
      </x:c>
      <x:c r="J86" s="22" t="str">
        <x:f>IF(B86=0,"不可回收",IF(AND((B86-1+C86+D86)&lt;9,OR((D86)=0,(MAX((B86-1)-1,0)+MAX((C86)-1,0)+MAX((D86)-1,0))&lt;6)),1,0)&amp;IF(AND((B86-1+C86+D86)&lt;9,OR((C86)=0,(MAX((B86-1)-1,0)+MAX((C86)-1,0)+MAX((D86)-1,0))&lt;6)),1,0)&amp;IF(AND((B86-1+C86+D86)&lt;9,OR((B86-1)=0,(MAX((B86-1)-1,0)+MAX((C86)-1,0)+MAX((D86)-1,0))&lt;6)),1,0))</x:f>
        <x:v>111</x:v>
      </x:c>
      <x:c r="K86" s="22" t="str">
        <x:f>IF(C86=0,"不可回收",IF(AND((B86+C86-1+D86)&lt;9,OR((D86)=0,(MAX((B86)-1,0)+MAX((C86-1)-1,0)+MAX((D86)-1,0))&lt;6)),1,0)&amp;IF(AND((B86+C86-1+D86)&lt;9,OR((C86-1)=0,(MAX((B86)-1,0)+MAX((C86-1)-1,0)+MAX((D86)-1,0))&lt;6)),1,0)&amp;IF(AND((B86+C86-1+D86)&lt;9,OR((B86)=0,(MAX((B86)-1,0)+MAX((C86-1)-1,0)+MAX((D86)-1,0))&lt;6)),1,0))</x:f>
        <x:v>不可回收</x:v>
      </x:c>
      <x:c r="L86" s="22" t="str">
        <x:f>IF(D86=0,"不可回收",IF(AND((B86+C86+D86-1)&lt;9,OR((D86-1)=0,(MAX((B86)-1,0)+MAX((C86)-1,0)+MAX((D86-1)-1,0))&lt;6)),1,0)&amp;IF(AND((B86+C86+D86-1)&lt;9,OR((C86)=0,(MAX((B86)-1,0)+MAX((C86)-1,0)+MAX((D86-1)-1,0))&lt;6)),1,0)&amp;IF(AND((B86+C86+D86-1)&lt;9,OR((B86)=0,(MAX((B86)-1,0)+MAX((C86)-1,0)+MAX((D86-1)-1,0))&lt;6)),1,0))</x:f>
        <x:v>111</x:v>
      </x:c>
      <x:c r="M86" s="18" t="n">
        <x:f>1+F86</x:f>
        <x:v>3</x:v>
      </x:c>
      <x:c r="N86" s="18" t="n">
        <x:f>COUNTIF('容量转换'!$B$8:$B$2447,A86)</x:f>
        <x:v>12</x:v>
      </x:c>
      <x:c r="O86" s="21" t="str">
        <x:f>IF(AND(MIN(B86:D86)&gt;=0,MAX(B86:D86)&lt;=7,H86&lt;=9),"合法","不合法")</x:f>
        <x:v>合法</x:v>
      </x:c>
    </x:row>
    <x:row r="87" ht="23" customHeight="1">
      <x:c r="A87" s="3" t="str">
        <x:v>ST-080</x:v>
      </x:c>
      <x:c r="B87" s="19" t="n">
        <x:v>4</x:v>
      </x:c>
      <x:c r="C87" s="19" t="n">
        <x:v>1</x:v>
      </x:c>
      <x:c r="D87" s="19" t="n">
        <x:v>1</x:v>
      </x:c>
      <x:c r="E87" s="20" t="n">
        <x:f>SUM(B87:D87)</x:f>
        <x:v>6</x:v>
      </x:c>
      <x:c r="F87" s="20" t="n">
        <x:f>COUNTIF(B87:D87,"&gt;0")</x:f>
        <x:v>3</x:v>
      </x:c>
      <x:c r="G87" s="20" t="n">
        <x:f>MAX(B87-1,0)+MAX(C87-1,0)+MAX(D87-1,0)</x:f>
        <x:v>3</x:v>
      </x:c>
      <x:c r="H87" s="20" t="n">
        <x:f>MAX(B87,1)+MAX(C87,1)+MAX(D87,1)</x:f>
        <x:v>6</x:v>
      </x:c>
      <x:c r="I87" s="22" t="str">
        <x:f>IF(AND((B87+C87+D87)&lt;9,OR((D87)=0,(MAX((B87)-1,0)+MAX((C87)-1,0)+MAX((D87)-1,0))&lt;6)),1,0)&amp;IF(AND((B87+C87+D87)&lt;9,OR((C87)=0,(MAX((B87)-1,0)+MAX((C87)-1,0)+MAX((D87)-1,0))&lt;6)),1,0)&amp;IF(AND((B87+C87+D87)&lt;9,OR((B87)=0,(MAX((B87)-1,0)+MAX((C87)-1,0)+MAX((D87)-1,0))&lt;6)),1,0)</x:f>
        <x:v>111</x:v>
      </x:c>
      <x:c r="J87" s="22" t="str">
        <x:f>IF(B87=0,"不可回收",IF(AND((B87-1+C87+D87)&lt;9,OR((D87)=0,(MAX((B87-1)-1,0)+MAX((C87)-1,0)+MAX((D87)-1,0))&lt;6)),1,0)&amp;IF(AND((B87-1+C87+D87)&lt;9,OR((C87)=0,(MAX((B87-1)-1,0)+MAX((C87)-1,0)+MAX((D87)-1,0))&lt;6)),1,0)&amp;IF(AND((B87-1+C87+D87)&lt;9,OR((B87-1)=0,(MAX((B87-1)-1,0)+MAX((C87)-1,0)+MAX((D87)-1,0))&lt;6)),1,0))</x:f>
        <x:v>111</x:v>
      </x:c>
      <x:c r="K87" s="22" t="str">
        <x:f>IF(C87=0,"不可回收",IF(AND((B87+C87-1+D87)&lt;9,OR((D87)=0,(MAX((B87)-1,0)+MAX((C87-1)-1,0)+MAX((D87)-1,0))&lt;6)),1,0)&amp;IF(AND((B87+C87-1+D87)&lt;9,OR((C87-1)=0,(MAX((B87)-1,0)+MAX((C87-1)-1,0)+MAX((D87)-1,0))&lt;6)),1,0)&amp;IF(AND((B87+C87-1+D87)&lt;9,OR((B87)=0,(MAX((B87)-1,0)+MAX((C87-1)-1,0)+MAX((D87)-1,0))&lt;6)),1,0))</x:f>
        <x:v>111</x:v>
      </x:c>
      <x:c r="L87" s="22" t="str">
        <x:f>IF(D87=0,"不可回收",IF(AND((B87+C87+D87-1)&lt;9,OR((D87-1)=0,(MAX((B87)-1,0)+MAX((C87)-1,0)+MAX((D87-1)-1,0))&lt;6)),1,0)&amp;IF(AND((B87+C87+D87-1)&lt;9,OR((C87)=0,(MAX((B87)-1,0)+MAX((C87)-1,0)+MAX((D87-1)-1,0))&lt;6)),1,0)&amp;IF(AND((B87+C87+D87-1)&lt;9,OR((B87)=0,(MAX((B87)-1,0)+MAX((C87)-1,0)+MAX((D87-1)-1,0))&lt;6)),1,0))</x:f>
        <x:v>111</x:v>
      </x:c>
      <x:c r="M87" s="18" t="n">
        <x:f>1+F87</x:f>
        <x:v>4</x:v>
      </x:c>
      <x:c r="N87" s="18" t="n">
        <x:f>COUNTIF('容量转换'!$B$8:$B$2447,A87)</x:f>
        <x:v>16</x:v>
      </x:c>
      <x:c r="O87" s="21" t="str">
        <x:f>IF(AND(MIN(B87:D87)&gt;=0,MAX(B87:D87)&lt;=7,H87&lt;=9),"合法","不合法")</x:f>
        <x:v>合法</x:v>
      </x:c>
    </x:row>
    <x:row r="88" ht="23" customHeight="1">
      <x:c r="A88" s="3" t="str">
        <x:v>ST-081</x:v>
      </x:c>
      <x:c r="B88" s="19" t="n">
        <x:v>4</x:v>
      </x:c>
      <x:c r="C88" s="19" t="n">
        <x:v>2</x:v>
      </x:c>
      <x:c r="D88" s="19" t="n">
        <x:v>0</x:v>
      </x:c>
      <x:c r="E88" s="20" t="n">
        <x:f>SUM(B88:D88)</x:f>
        <x:v>6</x:v>
      </x:c>
      <x:c r="F88" s="20" t="n">
        <x:f>COUNTIF(B88:D88,"&gt;0")</x:f>
        <x:v>2</x:v>
      </x:c>
      <x:c r="G88" s="20" t="n">
        <x:f>MAX(B88-1,0)+MAX(C88-1,0)+MAX(D88-1,0)</x:f>
        <x:v>4</x:v>
      </x:c>
      <x:c r="H88" s="20" t="n">
        <x:f>MAX(B88,1)+MAX(C88,1)+MAX(D88,1)</x:f>
        <x:v>7</x:v>
      </x:c>
      <x:c r="I88" s="22" t="str">
        <x:f>IF(AND((B88+C88+D88)&lt;9,OR((D88)=0,(MAX((B88)-1,0)+MAX((C88)-1,0)+MAX((D88)-1,0))&lt;6)),1,0)&amp;IF(AND((B88+C88+D88)&lt;9,OR((C88)=0,(MAX((B88)-1,0)+MAX((C88)-1,0)+MAX((D88)-1,0))&lt;6)),1,0)&amp;IF(AND((B88+C88+D88)&lt;9,OR((B88)=0,(MAX((B88)-1,0)+MAX((C88)-1,0)+MAX((D88)-1,0))&lt;6)),1,0)</x:f>
        <x:v>111</x:v>
      </x:c>
      <x:c r="J88" s="22" t="str">
        <x:f>IF(B88=0,"不可回收",IF(AND((B88-1+C88+D88)&lt;9,OR((D88)=0,(MAX((B88-1)-1,0)+MAX((C88)-1,0)+MAX((D88)-1,0))&lt;6)),1,0)&amp;IF(AND((B88-1+C88+D88)&lt;9,OR((C88)=0,(MAX((B88-1)-1,0)+MAX((C88)-1,0)+MAX((D88)-1,0))&lt;6)),1,0)&amp;IF(AND((B88-1+C88+D88)&lt;9,OR((B88-1)=0,(MAX((B88-1)-1,0)+MAX((C88)-1,0)+MAX((D88)-1,0))&lt;6)),1,0))</x:f>
        <x:v>111</x:v>
      </x:c>
      <x:c r="K88" s="22" t="str">
        <x:f>IF(C88=0,"不可回收",IF(AND((B88+C88-1+D88)&lt;9,OR((D88)=0,(MAX((B88)-1,0)+MAX((C88-1)-1,0)+MAX((D88)-1,0))&lt;6)),1,0)&amp;IF(AND((B88+C88-1+D88)&lt;9,OR((C88-1)=0,(MAX((B88)-1,0)+MAX((C88-1)-1,0)+MAX((D88)-1,0))&lt;6)),1,0)&amp;IF(AND((B88+C88-1+D88)&lt;9,OR((B88)=0,(MAX((B88)-1,0)+MAX((C88-1)-1,0)+MAX((D88)-1,0))&lt;6)),1,0))</x:f>
        <x:v>111</x:v>
      </x:c>
      <x:c r="L88" s="22" t="str">
        <x:f>IF(D88=0,"不可回收",IF(AND((B88+C88+D88-1)&lt;9,OR((D88-1)=0,(MAX((B88)-1,0)+MAX((C88)-1,0)+MAX((D88-1)-1,0))&lt;6)),1,0)&amp;IF(AND((B88+C88+D88-1)&lt;9,OR((C88)=0,(MAX((B88)-1,0)+MAX((C88)-1,0)+MAX((D88-1)-1,0))&lt;6)),1,0)&amp;IF(AND((B88+C88+D88-1)&lt;9,OR((B88)=0,(MAX((B88)-1,0)+MAX((C88)-1,0)+MAX((D88-1)-1,0))&lt;6)),1,0))</x:f>
        <x:v>不可回收</x:v>
      </x:c>
      <x:c r="M88" s="18" t="n">
        <x:f>1+F88</x:f>
        <x:v>3</x:v>
      </x:c>
      <x:c r="N88" s="18" t="n">
        <x:f>COUNTIF('容量转换'!$B$8:$B$2447,A88)</x:f>
        <x:v>12</x:v>
      </x:c>
      <x:c r="O88" s="21" t="str">
        <x:f>IF(AND(MIN(B88:D88)&gt;=0,MAX(B88:D88)&lt;=7,H88&lt;=9),"合法","不合法")</x:f>
        <x:v>合法</x:v>
      </x:c>
    </x:row>
    <x:row r="89" ht="23" customHeight="1">
      <x:c r="A89" s="3" t="str">
        <x:v>ST-082</x:v>
      </x:c>
      <x:c r="B89" s="19" t="n">
        <x:v>5</x:v>
      </x:c>
      <x:c r="C89" s="19" t="n">
        <x:v>0</x:v>
      </x:c>
      <x:c r="D89" s="19" t="n">
        <x:v>1</x:v>
      </x:c>
      <x:c r="E89" s="20" t="n">
        <x:f>SUM(B89:D89)</x:f>
        <x:v>6</x:v>
      </x:c>
      <x:c r="F89" s="20" t="n">
        <x:f>COUNTIF(B89:D89,"&gt;0")</x:f>
        <x:v>2</x:v>
      </x:c>
      <x:c r="G89" s="20" t="n">
        <x:f>MAX(B89-1,0)+MAX(C89-1,0)+MAX(D89-1,0)</x:f>
        <x:v>4</x:v>
      </x:c>
      <x:c r="H89" s="20" t="n">
        <x:f>MAX(B89,1)+MAX(C89,1)+MAX(D89,1)</x:f>
        <x:v>7</x:v>
      </x:c>
      <x:c r="I89" s="22" t="str">
        <x:f>IF(AND((B89+C89+D89)&lt;9,OR((D89)=0,(MAX((B89)-1,0)+MAX((C89)-1,0)+MAX((D89)-1,0))&lt;6)),1,0)&amp;IF(AND((B89+C89+D89)&lt;9,OR((C89)=0,(MAX((B89)-1,0)+MAX((C89)-1,0)+MAX((D89)-1,0))&lt;6)),1,0)&amp;IF(AND((B89+C89+D89)&lt;9,OR((B89)=0,(MAX((B89)-1,0)+MAX((C89)-1,0)+MAX((D89)-1,0))&lt;6)),1,0)</x:f>
        <x:v>111</x:v>
      </x:c>
      <x:c r="J89" s="22" t="str">
        <x:f>IF(B89=0,"不可回收",IF(AND((B89-1+C89+D89)&lt;9,OR((D89)=0,(MAX((B89-1)-1,0)+MAX((C89)-1,0)+MAX((D89)-1,0))&lt;6)),1,0)&amp;IF(AND((B89-1+C89+D89)&lt;9,OR((C89)=0,(MAX((B89-1)-1,0)+MAX((C89)-1,0)+MAX((D89)-1,0))&lt;6)),1,0)&amp;IF(AND((B89-1+C89+D89)&lt;9,OR((B89-1)=0,(MAX((B89-1)-1,0)+MAX((C89)-1,0)+MAX((D89)-1,0))&lt;6)),1,0))</x:f>
        <x:v>111</x:v>
      </x:c>
      <x:c r="K89" s="22" t="str">
        <x:f>IF(C89=0,"不可回收",IF(AND((B89+C89-1+D89)&lt;9,OR((D89)=0,(MAX((B89)-1,0)+MAX((C89-1)-1,0)+MAX((D89)-1,0))&lt;6)),1,0)&amp;IF(AND((B89+C89-1+D89)&lt;9,OR((C89-1)=0,(MAX((B89)-1,0)+MAX((C89-1)-1,0)+MAX((D89)-1,0))&lt;6)),1,0)&amp;IF(AND((B89+C89-1+D89)&lt;9,OR((B89)=0,(MAX((B89)-1,0)+MAX((C89-1)-1,0)+MAX((D89)-1,0))&lt;6)),1,0))</x:f>
        <x:v>不可回收</x:v>
      </x:c>
      <x:c r="L89" s="22" t="str">
        <x:f>IF(D89=0,"不可回收",IF(AND((B89+C89+D89-1)&lt;9,OR((D89-1)=0,(MAX((B89)-1,0)+MAX((C89)-1,0)+MAX((D89-1)-1,0))&lt;6)),1,0)&amp;IF(AND((B89+C89+D89-1)&lt;9,OR((C89)=0,(MAX((B89)-1,0)+MAX((C89)-1,0)+MAX((D89-1)-1,0))&lt;6)),1,0)&amp;IF(AND((B89+C89+D89-1)&lt;9,OR((B89)=0,(MAX((B89)-1,0)+MAX((C89)-1,0)+MAX((D89-1)-1,0))&lt;6)),1,0))</x:f>
        <x:v>111</x:v>
      </x:c>
      <x:c r="M89" s="18" t="n">
        <x:f>1+F89</x:f>
        <x:v>3</x:v>
      </x:c>
      <x:c r="N89" s="18" t="n">
        <x:f>COUNTIF('容量转换'!$B$8:$B$2447,A89)</x:f>
        <x:v>12</x:v>
      </x:c>
      <x:c r="O89" s="21" t="str">
        <x:f>IF(AND(MIN(B89:D89)&gt;=0,MAX(B89:D89)&lt;=7,H89&lt;=9),"合法","不合法")</x:f>
        <x:v>合法</x:v>
      </x:c>
    </x:row>
    <x:row r="90" ht="23" customHeight="1">
      <x:c r="A90" s="3" t="str">
        <x:v>ST-083</x:v>
      </x:c>
      <x:c r="B90" s="19" t="n">
        <x:v>5</x:v>
      </x:c>
      <x:c r="C90" s="19" t="n">
        <x:v>1</x:v>
      </x:c>
      <x:c r="D90" s="19" t="n">
        <x:v>0</x:v>
      </x:c>
      <x:c r="E90" s="20" t="n">
        <x:f>SUM(B90:D90)</x:f>
        <x:v>6</x:v>
      </x:c>
      <x:c r="F90" s="20" t="n">
        <x:f>COUNTIF(B90:D90,"&gt;0")</x:f>
        <x:v>2</x:v>
      </x:c>
      <x:c r="G90" s="20" t="n">
        <x:f>MAX(B90-1,0)+MAX(C90-1,0)+MAX(D90-1,0)</x:f>
        <x:v>4</x:v>
      </x:c>
      <x:c r="H90" s="20" t="n">
        <x:f>MAX(B90,1)+MAX(C90,1)+MAX(D90,1)</x:f>
        <x:v>7</x:v>
      </x:c>
      <x:c r="I90" s="22" t="str">
        <x:f>IF(AND((B90+C90+D90)&lt;9,OR((D90)=0,(MAX((B90)-1,0)+MAX((C90)-1,0)+MAX((D90)-1,0))&lt;6)),1,0)&amp;IF(AND((B90+C90+D90)&lt;9,OR((C90)=0,(MAX((B90)-1,0)+MAX((C90)-1,0)+MAX((D90)-1,0))&lt;6)),1,0)&amp;IF(AND((B90+C90+D90)&lt;9,OR((B90)=0,(MAX((B90)-1,0)+MAX((C90)-1,0)+MAX((D90)-1,0))&lt;6)),1,0)</x:f>
        <x:v>111</x:v>
      </x:c>
      <x:c r="J90" s="22" t="str">
        <x:f>IF(B90=0,"不可回收",IF(AND((B90-1+C90+D90)&lt;9,OR((D90)=0,(MAX((B90-1)-1,0)+MAX((C90)-1,0)+MAX((D90)-1,0))&lt;6)),1,0)&amp;IF(AND((B90-1+C90+D90)&lt;9,OR((C90)=0,(MAX((B90-1)-1,0)+MAX((C90)-1,0)+MAX((D90)-1,0))&lt;6)),1,0)&amp;IF(AND((B90-1+C90+D90)&lt;9,OR((B90-1)=0,(MAX((B90-1)-1,0)+MAX((C90)-1,0)+MAX((D90)-1,0))&lt;6)),1,0))</x:f>
        <x:v>111</x:v>
      </x:c>
      <x:c r="K90" s="22" t="str">
        <x:f>IF(C90=0,"不可回收",IF(AND((B90+C90-1+D90)&lt;9,OR((D90)=0,(MAX((B90)-1,0)+MAX((C90-1)-1,0)+MAX((D90)-1,0))&lt;6)),1,0)&amp;IF(AND((B90+C90-1+D90)&lt;9,OR((C90-1)=0,(MAX((B90)-1,0)+MAX((C90-1)-1,0)+MAX((D90)-1,0))&lt;6)),1,0)&amp;IF(AND((B90+C90-1+D90)&lt;9,OR((B90)=0,(MAX((B90)-1,0)+MAX((C90-1)-1,0)+MAX((D90)-1,0))&lt;6)),1,0))</x:f>
        <x:v>111</x:v>
      </x:c>
      <x:c r="L90" s="22" t="str">
        <x:f>IF(D90=0,"不可回收",IF(AND((B90+C90+D90-1)&lt;9,OR((D90-1)=0,(MAX((B90)-1,0)+MAX((C90)-1,0)+MAX((D90-1)-1,0))&lt;6)),1,0)&amp;IF(AND((B90+C90+D90-1)&lt;9,OR((C90)=0,(MAX((B90)-1,0)+MAX((C90)-1,0)+MAX((D90-1)-1,0))&lt;6)),1,0)&amp;IF(AND((B90+C90+D90-1)&lt;9,OR((B90)=0,(MAX((B90)-1,0)+MAX((C90)-1,0)+MAX((D90-1)-1,0))&lt;6)),1,0))</x:f>
        <x:v>不可回收</x:v>
      </x:c>
      <x:c r="M90" s="18" t="n">
        <x:f>1+F90</x:f>
        <x:v>3</x:v>
      </x:c>
      <x:c r="N90" s="18" t="n">
        <x:f>COUNTIF('容量转换'!$B$8:$B$2447,A90)</x:f>
        <x:v>12</x:v>
      </x:c>
      <x:c r="O90" s="21" t="str">
        <x:f>IF(AND(MIN(B90:D90)&gt;=0,MAX(B90:D90)&lt;=7,H90&lt;=9),"合法","不合法")</x:f>
        <x:v>合法</x:v>
      </x:c>
    </x:row>
    <x:row r="91" ht="23" customHeight="1">
      <x:c r="A91" s="3" t="str">
        <x:v>ST-084</x:v>
      </x:c>
      <x:c r="B91" s="19" t="n">
        <x:v>6</x:v>
      </x:c>
      <x:c r="C91" s="19" t="n">
        <x:v>0</x:v>
      </x:c>
      <x:c r="D91" s="19" t="n">
        <x:v>0</x:v>
      </x:c>
      <x:c r="E91" s="20" t="n">
        <x:f>SUM(B91:D91)</x:f>
        <x:v>6</x:v>
      </x:c>
      <x:c r="F91" s="20" t="n">
        <x:f>COUNTIF(B91:D91,"&gt;0")</x:f>
        <x:v>1</x:v>
      </x:c>
      <x:c r="G91" s="20" t="n">
        <x:f>MAX(B91-1,0)+MAX(C91-1,0)+MAX(D91-1,0)</x:f>
        <x:v>5</x:v>
      </x:c>
      <x:c r="H91" s="20" t="n">
        <x:f>MAX(B91,1)+MAX(C91,1)+MAX(D91,1)</x:f>
        <x:v>8</x:v>
      </x:c>
      <x:c r="I91" s="22" t="str">
        <x:f>IF(AND((B91+C91+D91)&lt;9,OR((D91)=0,(MAX((B91)-1,0)+MAX((C91)-1,0)+MAX((D91)-1,0))&lt;6)),1,0)&amp;IF(AND((B91+C91+D91)&lt;9,OR((C91)=0,(MAX((B91)-1,0)+MAX((C91)-1,0)+MAX((D91)-1,0))&lt;6)),1,0)&amp;IF(AND((B91+C91+D91)&lt;9,OR((B91)=0,(MAX((B91)-1,0)+MAX((C91)-1,0)+MAX((D91)-1,0))&lt;6)),1,0)</x:f>
        <x:v>111</x:v>
      </x:c>
      <x:c r="J91" s="22" t="str">
        <x:f>IF(B91=0,"不可回收",IF(AND((B91-1+C91+D91)&lt;9,OR((D91)=0,(MAX((B91-1)-1,0)+MAX((C91)-1,0)+MAX((D91)-1,0))&lt;6)),1,0)&amp;IF(AND((B91-1+C91+D91)&lt;9,OR((C91)=0,(MAX((B91-1)-1,0)+MAX((C91)-1,0)+MAX((D91)-1,0))&lt;6)),1,0)&amp;IF(AND((B91-1+C91+D91)&lt;9,OR((B91-1)=0,(MAX((B91-1)-1,0)+MAX((C91)-1,0)+MAX((D91)-1,0))&lt;6)),1,0))</x:f>
        <x:v>111</x:v>
      </x:c>
      <x:c r="K91" s="22" t="str">
        <x:f>IF(C91=0,"不可回收",IF(AND((B91+C91-1+D91)&lt;9,OR((D91)=0,(MAX((B91)-1,0)+MAX((C91-1)-1,0)+MAX((D91)-1,0))&lt;6)),1,0)&amp;IF(AND((B91+C91-1+D91)&lt;9,OR((C91-1)=0,(MAX((B91)-1,0)+MAX((C91-1)-1,0)+MAX((D91)-1,0))&lt;6)),1,0)&amp;IF(AND((B91+C91-1+D91)&lt;9,OR((B91)=0,(MAX((B91)-1,0)+MAX((C91-1)-1,0)+MAX((D91)-1,0))&lt;6)),1,0))</x:f>
        <x:v>不可回收</x:v>
      </x:c>
      <x:c r="L91" s="22" t="str">
        <x:f>IF(D91=0,"不可回收",IF(AND((B91+C91+D91-1)&lt;9,OR((D91-1)=0,(MAX((B91)-1,0)+MAX((C91)-1,0)+MAX((D91-1)-1,0))&lt;6)),1,0)&amp;IF(AND((B91+C91+D91-1)&lt;9,OR((C91)=0,(MAX((B91)-1,0)+MAX((C91)-1,0)+MAX((D91-1)-1,0))&lt;6)),1,0)&amp;IF(AND((B91+C91+D91-1)&lt;9,OR((B91)=0,(MAX((B91)-1,0)+MAX((C91)-1,0)+MAX((D91-1)-1,0))&lt;6)),1,0))</x:f>
        <x:v>不可回收</x:v>
      </x:c>
      <x:c r="M91" s="18" t="n">
        <x:f>1+F91</x:f>
        <x:v>2</x:v>
      </x:c>
      <x:c r="N91" s="18" t="n">
        <x:f>COUNTIF('容量转换'!$B$8:$B$2447,A91)</x:f>
        <x:v>8</x:v>
      </x:c>
      <x:c r="O91" s="21" t="str">
        <x:f>IF(AND(MIN(B91:D91)&gt;=0,MAX(B91:D91)&lt;=7,H91&lt;=9),"合法","不合法")</x:f>
        <x:v>合法</x:v>
      </x:c>
    </x:row>
    <x:row r="92" ht="23" customHeight="1">
      <x:c r="A92" s="3" t="str">
        <x:v>ST-085</x:v>
      </x:c>
      <x:c r="B92" s="19" t="n">
        <x:v>0</x:v>
      </x:c>
      <x:c r="C92" s="19" t="n">
        <x:v>0</x:v>
      </x:c>
      <x:c r="D92" s="19" t="n">
        <x:v>7</x:v>
      </x:c>
      <x:c r="E92" s="20" t="n">
        <x:f>SUM(B92:D92)</x:f>
        <x:v>7</x:v>
      </x:c>
      <x:c r="F92" s="20" t="n">
        <x:f>COUNTIF(B92:D92,"&gt;0")</x:f>
        <x:v>1</x:v>
      </x:c>
      <x:c r="G92" s="20" t="n">
        <x:f>MAX(B92-1,0)+MAX(C92-1,0)+MAX(D92-1,0)</x:f>
        <x:v>6</x:v>
      </x:c>
      <x:c r="H92" s="20" t="n">
        <x:f>MAX(B92,1)+MAX(C92,1)+MAX(D92,1)</x:f>
        <x:v>9</x:v>
      </x:c>
      <x:c r="I92" s="22" t="str">
        <x:f>IF(AND((B92+C92+D92)&lt;9,OR((D92)=0,(MAX((B92)-1,0)+MAX((C92)-1,0)+MAX((D92)-1,0))&lt;6)),1,0)&amp;IF(AND((B92+C92+D92)&lt;9,OR((C92)=0,(MAX((B92)-1,0)+MAX((C92)-1,0)+MAX((D92)-1,0))&lt;6)),1,0)&amp;IF(AND((B92+C92+D92)&lt;9,OR((B92)=0,(MAX((B92)-1,0)+MAX((C92)-1,0)+MAX((D92)-1,0))&lt;6)),1,0)</x:f>
        <x:v>011</x:v>
      </x:c>
      <x:c r="J92" s="22" t="str">
        <x:f>IF(B92=0,"不可回收",IF(AND((B92-1+C92+D92)&lt;9,OR((D92)=0,(MAX((B92-1)-1,0)+MAX((C92)-1,0)+MAX((D92)-1,0))&lt;6)),1,0)&amp;IF(AND((B92-1+C92+D92)&lt;9,OR((C92)=0,(MAX((B92-1)-1,0)+MAX((C92)-1,0)+MAX((D92)-1,0))&lt;6)),1,0)&amp;IF(AND((B92-1+C92+D92)&lt;9,OR((B92-1)=0,(MAX((B92-1)-1,0)+MAX((C92)-1,0)+MAX((D92)-1,0))&lt;6)),1,0))</x:f>
        <x:v>不可回收</x:v>
      </x:c>
      <x:c r="K92" s="22" t="str">
        <x:f>IF(C92=0,"不可回收",IF(AND((B92+C92-1+D92)&lt;9,OR((D92)=0,(MAX((B92)-1,0)+MAX((C92-1)-1,0)+MAX((D92)-1,0))&lt;6)),1,0)&amp;IF(AND((B92+C92-1+D92)&lt;9,OR((C92-1)=0,(MAX((B92)-1,0)+MAX((C92-1)-1,0)+MAX((D92)-1,0))&lt;6)),1,0)&amp;IF(AND((B92+C92-1+D92)&lt;9,OR((B92)=0,(MAX((B92)-1,0)+MAX((C92-1)-1,0)+MAX((D92)-1,0))&lt;6)),1,0))</x:f>
        <x:v>不可回收</x:v>
      </x:c>
      <x:c r="L92" s="22" t="str">
        <x:f>IF(D92=0,"不可回收",IF(AND((B92+C92+D92-1)&lt;9,OR((D92-1)=0,(MAX((B92)-1,0)+MAX((C92)-1,0)+MAX((D92-1)-1,0))&lt;6)),1,0)&amp;IF(AND((B92+C92+D92-1)&lt;9,OR((C92)=0,(MAX((B92)-1,0)+MAX((C92)-1,0)+MAX((D92-1)-1,0))&lt;6)),1,0)&amp;IF(AND((B92+C92+D92-1)&lt;9,OR((B92)=0,(MAX((B92)-1,0)+MAX((C92)-1,0)+MAX((D92-1)-1,0))&lt;6)),1,0))</x:f>
        <x:v>111</x:v>
      </x:c>
      <x:c r="M92" s="18" t="n">
        <x:f>1+F92</x:f>
        <x:v>2</x:v>
      </x:c>
      <x:c r="N92" s="18" t="n">
        <x:f>COUNTIF('容量转换'!$B$8:$B$2447,A92)</x:f>
        <x:v>8</x:v>
      </x:c>
      <x:c r="O92" s="21" t="str">
        <x:f>IF(AND(MIN(B92:D92)&gt;=0,MAX(B92:D92)&lt;=7,H92&lt;=9),"合法","不合法")</x:f>
        <x:v>合法</x:v>
      </x:c>
    </x:row>
    <x:row r="93" ht="23" customHeight="1">
      <x:c r="A93" s="3" t="str">
        <x:v>ST-086</x:v>
      </x:c>
      <x:c r="B93" s="19" t="n">
        <x:v>0</x:v>
      </x:c>
      <x:c r="C93" s="19" t="n">
        <x:v>1</x:v>
      </x:c>
      <x:c r="D93" s="19" t="n">
        <x:v>6</x:v>
      </x:c>
      <x:c r="E93" s="20" t="n">
        <x:f>SUM(B93:D93)</x:f>
        <x:v>7</x:v>
      </x:c>
      <x:c r="F93" s="20" t="n">
        <x:f>COUNTIF(B93:D93,"&gt;0")</x:f>
        <x:v>2</x:v>
      </x:c>
      <x:c r="G93" s="20" t="n">
        <x:f>MAX(B93-1,0)+MAX(C93-1,0)+MAX(D93-1,0)</x:f>
        <x:v>5</x:v>
      </x:c>
      <x:c r="H93" s="20" t="n">
        <x:f>MAX(B93,1)+MAX(C93,1)+MAX(D93,1)</x:f>
        <x:v>8</x:v>
      </x:c>
      <x:c r="I93" s="22" t="str">
        <x:f>IF(AND((B93+C93+D93)&lt;9,OR((D93)=0,(MAX((B93)-1,0)+MAX((C93)-1,0)+MAX((D93)-1,0))&lt;6)),1,0)&amp;IF(AND((B93+C93+D93)&lt;9,OR((C93)=0,(MAX((B93)-1,0)+MAX((C93)-1,0)+MAX((D93)-1,0))&lt;6)),1,0)&amp;IF(AND((B93+C93+D93)&lt;9,OR((B93)=0,(MAX((B93)-1,0)+MAX((C93)-1,0)+MAX((D93)-1,0))&lt;6)),1,0)</x:f>
        <x:v>111</x:v>
      </x:c>
      <x:c r="J93" s="22" t="str">
        <x:f>IF(B93=0,"不可回收",IF(AND((B93-1+C93+D93)&lt;9,OR((D93)=0,(MAX((B93-1)-1,0)+MAX((C93)-1,0)+MAX((D93)-1,0))&lt;6)),1,0)&amp;IF(AND((B93-1+C93+D93)&lt;9,OR((C93)=0,(MAX((B93-1)-1,0)+MAX((C93)-1,0)+MAX((D93)-1,0))&lt;6)),1,0)&amp;IF(AND((B93-1+C93+D93)&lt;9,OR((B93-1)=0,(MAX((B93-1)-1,0)+MAX((C93)-1,0)+MAX((D93)-1,0))&lt;6)),1,0))</x:f>
        <x:v>不可回收</x:v>
      </x:c>
      <x:c r="K93" s="22" t="str">
        <x:f>IF(C93=0,"不可回收",IF(AND((B93+C93-1+D93)&lt;9,OR((D93)=0,(MAX((B93)-1,0)+MAX((C93-1)-1,0)+MAX((D93)-1,0))&lt;6)),1,0)&amp;IF(AND((B93+C93-1+D93)&lt;9,OR((C93-1)=0,(MAX((B93)-1,0)+MAX((C93-1)-1,0)+MAX((D93)-1,0))&lt;6)),1,0)&amp;IF(AND((B93+C93-1+D93)&lt;9,OR((B93)=0,(MAX((B93)-1,0)+MAX((C93-1)-1,0)+MAX((D93)-1,0))&lt;6)),1,0))</x:f>
        <x:v>111</x:v>
      </x:c>
      <x:c r="L93" s="22" t="str">
        <x:f>IF(D93=0,"不可回收",IF(AND((B93+C93+D93-1)&lt;9,OR((D93-1)=0,(MAX((B93)-1,0)+MAX((C93)-1,0)+MAX((D93-1)-1,0))&lt;6)),1,0)&amp;IF(AND((B93+C93+D93-1)&lt;9,OR((C93)=0,(MAX((B93)-1,0)+MAX((C93)-1,0)+MAX((D93-1)-1,0))&lt;6)),1,0)&amp;IF(AND((B93+C93+D93-1)&lt;9,OR((B93)=0,(MAX((B93)-1,0)+MAX((C93)-1,0)+MAX((D93-1)-1,0))&lt;6)),1,0))</x:f>
        <x:v>111</x:v>
      </x:c>
      <x:c r="M93" s="18" t="n">
        <x:f>1+F93</x:f>
        <x:v>3</x:v>
      </x:c>
      <x:c r="N93" s="18" t="n">
        <x:f>COUNTIF('容量转换'!$B$8:$B$2447,A93)</x:f>
        <x:v>12</x:v>
      </x:c>
      <x:c r="O93" s="21" t="str">
        <x:f>IF(AND(MIN(B93:D93)&gt;=0,MAX(B93:D93)&lt;=7,H93&lt;=9),"合法","不合法")</x:f>
        <x:v>合法</x:v>
      </x:c>
    </x:row>
    <x:row r="94" ht="23" customHeight="1">
      <x:c r="A94" s="3" t="str">
        <x:v>ST-087</x:v>
      </x:c>
      <x:c r="B94" s="19" t="n">
        <x:v>0</x:v>
      </x:c>
      <x:c r="C94" s="19" t="n">
        <x:v>2</x:v>
      </x:c>
      <x:c r="D94" s="19" t="n">
        <x:v>5</x:v>
      </x:c>
      <x:c r="E94" s="20" t="n">
        <x:f>SUM(B94:D94)</x:f>
        <x:v>7</x:v>
      </x:c>
      <x:c r="F94" s="20" t="n">
        <x:f>COUNTIF(B94:D94,"&gt;0")</x:f>
        <x:v>2</x:v>
      </x:c>
      <x:c r="G94" s="20" t="n">
        <x:f>MAX(B94-1,0)+MAX(C94-1,0)+MAX(D94-1,0)</x:f>
        <x:v>5</x:v>
      </x:c>
      <x:c r="H94" s="20" t="n">
        <x:f>MAX(B94,1)+MAX(C94,1)+MAX(D94,1)</x:f>
        <x:v>8</x:v>
      </x:c>
      <x:c r="I94" s="22" t="str">
        <x:f>IF(AND((B94+C94+D94)&lt;9,OR((D94)=0,(MAX((B94)-1,0)+MAX((C94)-1,0)+MAX((D94)-1,0))&lt;6)),1,0)&amp;IF(AND((B94+C94+D94)&lt;9,OR((C94)=0,(MAX((B94)-1,0)+MAX((C94)-1,0)+MAX((D94)-1,0))&lt;6)),1,0)&amp;IF(AND((B94+C94+D94)&lt;9,OR((B94)=0,(MAX((B94)-1,0)+MAX((C94)-1,0)+MAX((D94)-1,0))&lt;6)),1,0)</x:f>
        <x:v>111</x:v>
      </x:c>
      <x:c r="J94" s="22" t="str">
        <x:f>IF(B94=0,"不可回收",IF(AND((B94-1+C94+D94)&lt;9,OR((D94)=0,(MAX((B94-1)-1,0)+MAX((C94)-1,0)+MAX((D94)-1,0))&lt;6)),1,0)&amp;IF(AND((B94-1+C94+D94)&lt;9,OR((C94)=0,(MAX((B94-1)-1,0)+MAX((C94)-1,0)+MAX((D94)-1,0))&lt;6)),1,0)&amp;IF(AND((B94-1+C94+D94)&lt;9,OR((B94-1)=0,(MAX((B94-1)-1,0)+MAX((C94)-1,0)+MAX((D94)-1,0))&lt;6)),1,0))</x:f>
        <x:v>不可回收</x:v>
      </x:c>
      <x:c r="K94" s="22" t="str">
        <x:f>IF(C94=0,"不可回收",IF(AND((B94+C94-1+D94)&lt;9,OR((D94)=0,(MAX((B94)-1,0)+MAX((C94-1)-1,0)+MAX((D94)-1,0))&lt;6)),1,0)&amp;IF(AND((B94+C94-1+D94)&lt;9,OR((C94-1)=0,(MAX((B94)-1,0)+MAX((C94-1)-1,0)+MAX((D94)-1,0))&lt;6)),1,0)&amp;IF(AND((B94+C94-1+D94)&lt;9,OR((B94)=0,(MAX((B94)-1,0)+MAX((C94-1)-1,0)+MAX((D94)-1,0))&lt;6)),1,0))</x:f>
        <x:v>111</x:v>
      </x:c>
      <x:c r="L94" s="22" t="str">
        <x:f>IF(D94=0,"不可回收",IF(AND((B94+C94+D94-1)&lt;9,OR((D94-1)=0,(MAX((B94)-1,0)+MAX((C94)-1,0)+MAX((D94-1)-1,0))&lt;6)),1,0)&amp;IF(AND((B94+C94+D94-1)&lt;9,OR((C94)=0,(MAX((B94)-1,0)+MAX((C94)-1,0)+MAX((D94-1)-1,0))&lt;6)),1,0)&amp;IF(AND((B94+C94+D94-1)&lt;9,OR((B94)=0,(MAX((B94)-1,0)+MAX((C94)-1,0)+MAX((D94-1)-1,0))&lt;6)),1,0))</x:f>
        <x:v>111</x:v>
      </x:c>
      <x:c r="M94" s="18" t="n">
        <x:f>1+F94</x:f>
        <x:v>3</x:v>
      </x:c>
      <x:c r="N94" s="18" t="n">
        <x:f>COUNTIF('容量转换'!$B$8:$B$2447,A94)</x:f>
        <x:v>12</x:v>
      </x:c>
      <x:c r="O94" s="21" t="str">
        <x:f>IF(AND(MIN(B94:D94)&gt;=0,MAX(B94:D94)&lt;=7,H94&lt;=9),"合法","不合法")</x:f>
        <x:v>合法</x:v>
      </x:c>
    </x:row>
    <x:row r="95" ht="23" customHeight="1">
      <x:c r="A95" s="3" t="str">
        <x:v>ST-088</x:v>
      </x:c>
      <x:c r="B95" s="19" t="n">
        <x:v>0</x:v>
      </x:c>
      <x:c r="C95" s="19" t="n">
        <x:v>3</x:v>
      </x:c>
      <x:c r="D95" s="19" t="n">
        <x:v>4</x:v>
      </x:c>
      <x:c r="E95" s="20" t="n">
        <x:f>SUM(B95:D95)</x:f>
        <x:v>7</x:v>
      </x:c>
      <x:c r="F95" s="20" t="n">
        <x:f>COUNTIF(B95:D95,"&gt;0")</x:f>
        <x:v>2</x:v>
      </x:c>
      <x:c r="G95" s="20" t="n">
        <x:f>MAX(B95-1,0)+MAX(C95-1,0)+MAX(D95-1,0)</x:f>
        <x:v>5</x:v>
      </x:c>
      <x:c r="H95" s="20" t="n">
        <x:f>MAX(B95,1)+MAX(C95,1)+MAX(D95,1)</x:f>
        <x:v>8</x:v>
      </x:c>
      <x:c r="I95" s="22" t="str">
        <x:f>IF(AND((B95+C95+D95)&lt;9,OR((D95)=0,(MAX((B95)-1,0)+MAX((C95)-1,0)+MAX((D95)-1,0))&lt;6)),1,0)&amp;IF(AND((B95+C95+D95)&lt;9,OR((C95)=0,(MAX((B95)-1,0)+MAX((C95)-1,0)+MAX((D95)-1,0))&lt;6)),1,0)&amp;IF(AND((B95+C95+D95)&lt;9,OR((B95)=0,(MAX((B95)-1,0)+MAX((C95)-1,0)+MAX((D95)-1,0))&lt;6)),1,0)</x:f>
        <x:v>111</x:v>
      </x:c>
      <x:c r="J95" s="22" t="str">
        <x:f>IF(B95=0,"不可回收",IF(AND((B95-1+C95+D95)&lt;9,OR((D95)=0,(MAX((B95-1)-1,0)+MAX((C95)-1,0)+MAX((D95)-1,0))&lt;6)),1,0)&amp;IF(AND((B95-1+C95+D95)&lt;9,OR((C95)=0,(MAX((B95-1)-1,0)+MAX((C95)-1,0)+MAX((D95)-1,0))&lt;6)),1,0)&amp;IF(AND((B95-1+C95+D95)&lt;9,OR((B95-1)=0,(MAX((B95-1)-1,0)+MAX((C95)-1,0)+MAX((D95)-1,0))&lt;6)),1,0))</x:f>
        <x:v>不可回收</x:v>
      </x:c>
      <x:c r="K95" s="22" t="str">
        <x:f>IF(C95=0,"不可回收",IF(AND((B95+C95-1+D95)&lt;9,OR((D95)=0,(MAX((B95)-1,0)+MAX((C95-1)-1,0)+MAX((D95)-1,0))&lt;6)),1,0)&amp;IF(AND((B95+C95-1+D95)&lt;9,OR((C95-1)=0,(MAX((B95)-1,0)+MAX((C95-1)-1,0)+MAX((D95)-1,0))&lt;6)),1,0)&amp;IF(AND((B95+C95-1+D95)&lt;9,OR((B95)=0,(MAX((B95)-1,0)+MAX((C95-1)-1,0)+MAX((D95)-1,0))&lt;6)),1,0))</x:f>
        <x:v>111</x:v>
      </x:c>
      <x:c r="L95" s="22" t="str">
        <x:f>IF(D95=0,"不可回收",IF(AND((B95+C95+D95-1)&lt;9,OR((D95-1)=0,(MAX((B95)-1,0)+MAX((C95)-1,0)+MAX((D95-1)-1,0))&lt;6)),1,0)&amp;IF(AND((B95+C95+D95-1)&lt;9,OR((C95)=0,(MAX((B95)-1,0)+MAX((C95)-1,0)+MAX((D95-1)-1,0))&lt;6)),1,0)&amp;IF(AND((B95+C95+D95-1)&lt;9,OR((B95)=0,(MAX((B95)-1,0)+MAX((C95)-1,0)+MAX((D95-1)-1,0))&lt;6)),1,0))</x:f>
        <x:v>111</x:v>
      </x:c>
      <x:c r="M95" s="18" t="n">
        <x:f>1+F95</x:f>
        <x:v>3</x:v>
      </x:c>
      <x:c r="N95" s="18" t="n">
        <x:f>COUNTIF('容量转换'!$B$8:$B$2447,A95)</x:f>
        <x:v>12</x:v>
      </x:c>
      <x:c r="O95" s="21" t="str">
        <x:f>IF(AND(MIN(B95:D95)&gt;=0,MAX(B95:D95)&lt;=7,H95&lt;=9),"合法","不合法")</x:f>
        <x:v>合法</x:v>
      </x:c>
    </x:row>
    <x:row r="96" ht="23" customHeight="1">
      <x:c r="A96" s="3" t="str">
        <x:v>ST-089</x:v>
      </x:c>
      <x:c r="B96" s="19" t="n">
        <x:v>0</x:v>
      </x:c>
      <x:c r="C96" s="19" t="n">
        <x:v>4</x:v>
      </x:c>
      <x:c r="D96" s="19" t="n">
        <x:v>3</x:v>
      </x:c>
      <x:c r="E96" s="20" t="n">
        <x:f>SUM(B96:D96)</x:f>
        <x:v>7</x:v>
      </x:c>
      <x:c r="F96" s="20" t="n">
        <x:f>COUNTIF(B96:D96,"&gt;0")</x:f>
        <x:v>2</x:v>
      </x:c>
      <x:c r="G96" s="20" t="n">
        <x:f>MAX(B96-1,0)+MAX(C96-1,0)+MAX(D96-1,0)</x:f>
        <x:v>5</x:v>
      </x:c>
      <x:c r="H96" s="20" t="n">
        <x:f>MAX(B96,1)+MAX(C96,1)+MAX(D96,1)</x:f>
        <x:v>8</x:v>
      </x:c>
      <x:c r="I96" s="22" t="str">
        <x:f>IF(AND((B96+C96+D96)&lt;9,OR((D96)=0,(MAX((B96)-1,0)+MAX((C96)-1,0)+MAX((D96)-1,0))&lt;6)),1,0)&amp;IF(AND((B96+C96+D96)&lt;9,OR((C96)=0,(MAX((B96)-1,0)+MAX((C96)-1,0)+MAX((D96)-1,0))&lt;6)),1,0)&amp;IF(AND((B96+C96+D96)&lt;9,OR((B96)=0,(MAX((B96)-1,0)+MAX((C96)-1,0)+MAX((D96)-1,0))&lt;6)),1,0)</x:f>
        <x:v>111</x:v>
      </x:c>
      <x:c r="J96" s="22" t="str">
        <x:f>IF(B96=0,"不可回收",IF(AND((B96-1+C96+D96)&lt;9,OR((D96)=0,(MAX((B96-1)-1,0)+MAX((C96)-1,0)+MAX((D96)-1,0))&lt;6)),1,0)&amp;IF(AND((B96-1+C96+D96)&lt;9,OR((C96)=0,(MAX((B96-1)-1,0)+MAX((C96)-1,0)+MAX((D96)-1,0))&lt;6)),1,0)&amp;IF(AND((B96-1+C96+D96)&lt;9,OR((B96-1)=0,(MAX((B96-1)-1,0)+MAX((C96)-1,0)+MAX((D96)-1,0))&lt;6)),1,0))</x:f>
        <x:v>不可回收</x:v>
      </x:c>
      <x:c r="K96" s="22" t="str">
        <x:f>IF(C96=0,"不可回收",IF(AND((B96+C96-1+D96)&lt;9,OR((D96)=0,(MAX((B96)-1,0)+MAX((C96-1)-1,0)+MAX((D96)-1,0))&lt;6)),1,0)&amp;IF(AND((B96+C96-1+D96)&lt;9,OR((C96-1)=0,(MAX((B96)-1,0)+MAX((C96-1)-1,0)+MAX((D96)-1,0))&lt;6)),1,0)&amp;IF(AND((B96+C96-1+D96)&lt;9,OR((B96)=0,(MAX((B96)-1,0)+MAX((C96-1)-1,0)+MAX((D96)-1,0))&lt;6)),1,0))</x:f>
        <x:v>111</x:v>
      </x:c>
      <x:c r="L96" s="22" t="str">
        <x:f>IF(D96=0,"不可回收",IF(AND((B96+C96+D96-1)&lt;9,OR((D96-1)=0,(MAX((B96)-1,0)+MAX((C96)-1,0)+MAX((D96-1)-1,0))&lt;6)),1,0)&amp;IF(AND((B96+C96+D96-1)&lt;9,OR((C96)=0,(MAX((B96)-1,0)+MAX((C96)-1,0)+MAX((D96-1)-1,0))&lt;6)),1,0)&amp;IF(AND((B96+C96+D96-1)&lt;9,OR((B96)=0,(MAX((B96)-1,0)+MAX((C96)-1,0)+MAX((D96-1)-1,0))&lt;6)),1,0))</x:f>
        <x:v>111</x:v>
      </x:c>
      <x:c r="M96" s="18" t="n">
        <x:f>1+F96</x:f>
        <x:v>3</x:v>
      </x:c>
      <x:c r="N96" s="18" t="n">
        <x:f>COUNTIF('容量转换'!$B$8:$B$2447,A96)</x:f>
        <x:v>12</x:v>
      </x:c>
      <x:c r="O96" s="21" t="str">
        <x:f>IF(AND(MIN(B96:D96)&gt;=0,MAX(B96:D96)&lt;=7,H96&lt;=9),"合法","不合法")</x:f>
        <x:v>合法</x:v>
      </x:c>
    </x:row>
    <x:row r="97" ht="23" customHeight="1">
      <x:c r="A97" s="3" t="str">
        <x:v>ST-090</x:v>
      </x:c>
      <x:c r="B97" s="19" t="n">
        <x:v>0</x:v>
      </x:c>
      <x:c r="C97" s="19" t="n">
        <x:v>5</x:v>
      </x:c>
      <x:c r="D97" s="19" t="n">
        <x:v>2</x:v>
      </x:c>
      <x:c r="E97" s="20" t="n">
        <x:f>SUM(B97:D97)</x:f>
        <x:v>7</x:v>
      </x:c>
      <x:c r="F97" s="20" t="n">
        <x:f>COUNTIF(B97:D97,"&gt;0")</x:f>
        <x:v>2</x:v>
      </x:c>
      <x:c r="G97" s="20" t="n">
        <x:f>MAX(B97-1,0)+MAX(C97-1,0)+MAX(D97-1,0)</x:f>
        <x:v>5</x:v>
      </x:c>
      <x:c r="H97" s="20" t="n">
        <x:f>MAX(B97,1)+MAX(C97,1)+MAX(D97,1)</x:f>
        <x:v>8</x:v>
      </x:c>
      <x:c r="I97" s="22" t="str">
        <x:f>IF(AND((B97+C97+D97)&lt;9,OR((D97)=0,(MAX((B97)-1,0)+MAX((C97)-1,0)+MAX((D97)-1,0))&lt;6)),1,0)&amp;IF(AND((B97+C97+D97)&lt;9,OR((C97)=0,(MAX((B97)-1,0)+MAX((C97)-1,0)+MAX((D97)-1,0))&lt;6)),1,0)&amp;IF(AND((B97+C97+D97)&lt;9,OR((B97)=0,(MAX((B97)-1,0)+MAX((C97)-1,0)+MAX((D97)-1,0))&lt;6)),1,0)</x:f>
        <x:v>111</x:v>
      </x:c>
      <x:c r="J97" s="22" t="str">
        <x:f>IF(B97=0,"不可回收",IF(AND((B97-1+C97+D97)&lt;9,OR((D97)=0,(MAX((B97-1)-1,0)+MAX((C97)-1,0)+MAX((D97)-1,0))&lt;6)),1,0)&amp;IF(AND((B97-1+C97+D97)&lt;9,OR((C97)=0,(MAX((B97-1)-1,0)+MAX((C97)-1,0)+MAX((D97)-1,0))&lt;6)),1,0)&amp;IF(AND((B97-1+C97+D97)&lt;9,OR((B97-1)=0,(MAX((B97-1)-1,0)+MAX((C97)-1,0)+MAX((D97)-1,0))&lt;6)),1,0))</x:f>
        <x:v>不可回收</x:v>
      </x:c>
      <x:c r="K97" s="22" t="str">
        <x:f>IF(C97=0,"不可回收",IF(AND((B97+C97-1+D97)&lt;9,OR((D97)=0,(MAX((B97)-1,0)+MAX((C97-1)-1,0)+MAX((D97)-1,0))&lt;6)),1,0)&amp;IF(AND((B97+C97-1+D97)&lt;9,OR((C97-1)=0,(MAX((B97)-1,0)+MAX((C97-1)-1,0)+MAX((D97)-1,0))&lt;6)),1,0)&amp;IF(AND((B97+C97-1+D97)&lt;9,OR((B97)=0,(MAX((B97)-1,0)+MAX((C97-1)-1,0)+MAX((D97)-1,0))&lt;6)),1,0))</x:f>
        <x:v>111</x:v>
      </x:c>
      <x:c r="L97" s="22" t="str">
        <x:f>IF(D97=0,"不可回收",IF(AND((B97+C97+D97-1)&lt;9,OR((D97-1)=0,(MAX((B97)-1,0)+MAX((C97)-1,0)+MAX((D97-1)-1,0))&lt;6)),1,0)&amp;IF(AND((B97+C97+D97-1)&lt;9,OR((C97)=0,(MAX((B97)-1,0)+MAX((C97)-1,0)+MAX((D97-1)-1,0))&lt;6)),1,0)&amp;IF(AND((B97+C97+D97-1)&lt;9,OR((B97)=0,(MAX((B97)-1,0)+MAX((C97)-1,0)+MAX((D97-1)-1,0))&lt;6)),1,0))</x:f>
        <x:v>111</x:v>
      </x:c>
      <x:c r="M97" s="18" t="n">
        <x:f>1+F97</x:f>
        <x:v>3</x:v>
      </x:c>
      <x:c r="N97" s="18" t="n">
        <x:f>COUNTIF('容量转换'!$B$8:$B$2447,A97)</x:f>
        <x:v>12</x:v>
      </x:c>
      <x:c r="O97" s="21" t="str">
        <x:f>IF(AND(MIN(B97:D97)&gt;=0,MAX(B97:D97)&lt;=7,H97&lt;=9),"合法","不合法")</x:f>
        <x:v>合法</x:v>
      </x:c>
    </x:row>
    <x:row r="98" ht="23" customHeight="1">
      <x:c r="A98" s="3" t="str">
        <x:v>ST-091</x:v>
      </x:c>
      <x:c r="B98" s="19" t="n">
        <x:v>0</x:v>
      </x:c>
      <x:c r="C98" s="19" t="n">
        <x:v>6</x:v>
      </x:c>
      <x:c r="D98" s="19" t="n">
        <x:v>1</x:v>
      </x:c>
      <x:c r="E98" s="20" t="n">
        <x:f>SUM(B98:D98)</x:f>
        <x:v>7</x:v>
      </x:c>
      <x:c r="F98" s="20" t="n">
        <x:f>COUNTIF(B98:D98,"&gt;0")</x:f>
        <x:v>2</x:v>
      </x:c>
      <x:c r="G98" s="20" t="n">
        <x:f>MAX(B98-1,0)+MAX(C98-1,0)+MAX(D98-1,0)</x:f>
        <x:v>5</x:v>
      </x:c>
      <x:c r="H98" s="20" t="n">
        <x:f>MAX(B98,1)+MAX(C98,1)+MAX(D98,1)</x:f>
        <x:v>8</x:v>
      </x:c>
      <x:c r="I98" s="22" t="str">
        <x:f>IF(AND((B98+C98+D98)&lt;9,OR((D98)=0,(MAX((B98)-1,0)+MAX((C98)-1,0)+MAX((D98)-1,0))&lt;6)),1,0)&amp;IF(AND((B98+C98+D98)&lt;9,OR((C98)=0,(MAX((B98)-1,0)+MAX((C98)-1,0)+MAX((D98)-1,0))&lt;6)),1,0)&amp;IF(AND((B98+C98+D98)&lt;9,OR((B98)=0,(MAX((B98)-1,0)+MAX((C98)-1,0)+MAX((D98)-1,0))&lt;6)),1,0)</x:f>
        <x:v>111</x:v>
      </x:c>
      <x:c r="J98" s="22" t="str">
        <x:f>IF(B98=0,"不可回收",IF(AND((B98-1+C98+D98)&lt;9,OR((D98)=0,(MAX((B98-1)-1,0)+MAX((C98)-1,0)+MAX((D98)-1,0))&lt;6)),1,0)&amp;IF(AND((B98-1+C98+D98)&lt;9,OR((C98)=0,(MAX((B98-1)-1,0)+MAX((C98)-1,0)+MAX((D98)-1,0))&lt;6)),1,0)&amp;IF(AND((B98-1+C98+D98)&lt;9,OR((B98-1)=0,(MAX((B98-1)-1,0)+MAX((C98)-1,0)+MAX((D98)-1,0))&lt;6)),1,0))</x:f>
        <x:v>不可回收</x:v>
      </x:c>
      <x:c r="K98" s="22" t="str">
        <x:f>IF(C98=0,"不可回收",IF(AND((B98+C98-1+D98)&lt;9,OR((D98)=0,(MAX((B98)-1,0)+MAX((C98-1)-1,0)+MAX((D98)-1,0))&lt;6)),1,0)&amp;IF(AND((B98+C98-1+D98)&lt;9,OR((C98-1)=0,(MAX((B98)-1,0)+MAX((C98-1)-1,0)+MAX((D98)-1,0))&lt;6)),1,0)&amp;IF(AND((B98+C98-1+D98)&lt;9,OR((B98)=0,(MAX((B98)-1,0)+MAX((C98-1)-1,0)+MAX((D98)-1,0))&lt;6)),1,0))</x:f>
        <x:v>111</x:v>
      </x:c>
      <x:c r="L98" s="22" t="str">
        <x:f>IF(D98=0,"不可回收",IF(AND((B98+C98+D98-1)&lt;9,OR((D98-1)=0,(MAX((B98)-1,0)+MAX((C98)-1,0)+MAX((D98-1)-1,0))&lt;6)),1,0)&amp;IF(AND((B98+C98+D98-1)&lt;9,OR((C98)=0,(MAX((B98)-1,0)+MAX((C98)-1,0)+MAX((D98-1)-1,0))&lt;6)),1,0)&amp;IF(AND((B98+C98+D98-1)&lt;9,OR((B98)=0,(MAX((B98)-1,0)+MAX((C98)-1,0)+MAX((D98-1)-1,0))&lt;6)),1,0))</x:f>
        <x:v>111</x:v>
      </x:c>
      <x:c r="M98" s="18" t="n">
        <x:f>1+F98</x:f>
        <x:v>3</x:v>
      </x:c>
      <x:c r="N98" s="18" t="n">
        <x:f>COUNTIF('容量转换'!$B$8:$B$2447,A98)</x:f>
        <x:v>12</x:v>
      </x:c>
      <x:c r="O98" s="21" t="str">
        <x:f>IF(AND(MIN(B98:D98)&gt;=0,MAX(B98:D98)&lt;=7,H98&lt;=9),"合法","不合法")</x:f>
        <x:v>合法</x:v>
      </x:c>
    </x:row>
    <x:row r="99" ht="23" customHeight="1">
      <x:c r="A99" s="3" t="str">
        <x:v>ST-092</x:v>
      </x:c>
      <x:c r="B99" s="19" t="n">
        <x:v>0</x:v>
      </x:c>
      <x:c r="C99" s="19" t="n">
        <x:v>7</x:v>
      </x:c>
      <x:c r="D99" s="19" t="n">
        <x:v>0</x:v>
      </x:c>
      <x:c r="E99" s="20" t="n">
        <x:f>SUM(B99:D99)</x:f>
        <x:v>7</x:v>
      </x:c>
      <x:c r="F99" s="20" t="n">
        <x:f>COUNTIF(B99:D99,"&gt;0")</x:f>
        <x:v>1</x:v>
      </x:c>
      <x:c r="G99" s="20" t="n">
        <x:f>MAX(B99-1,0)+MAX(C99-1,0)+MAX(D99-1,0)</x:f>
        <x:v>6</x:v>
      </x:c>
      <x:c r="H99" s="20" t="n">
        <x:f>MAX(B99,1)+MAX(C99,1)+MAX(D99,1)</x:f>
        <x:v>9</x:v>
      </x:c>
      <x:c r="I99" s="22" t="str">
        <x:f>IF(AND((B99+C99+D99)&lt;9,OR((D99)=0,(MAX((B99)-1,0)+MAX((C99)-1,0)+MAX((D99)-1,0))&lt;6)),1,0)&amp;IF(AND((B99+C99+D99)&lt;9,OR((C99)=0,(MAX((B99)-1,0)+MAX((C99)-1,0)+MAX((D99)-1,0))&lt;6)),1,0)&amp;IF(AND((B99+C99+D99)&lt;9,OR((B99)=0,(MAX((B99)-1,0)+MAX((C99)-1,0)+MAX((D99)-1,0))&lt;6)),1,0)</x:f>
        <x:v>101</x:v>
      </x:c>
      <x:c r="J99" s="22" t="str">
        <x:f>IF(B99=0,"不可回收",IF(AND((B99-1+C99+D99)&lt;9,OR((D99)=0,(MAX((B99-1)-1,0)+MAX((C99)-1,0)+MAX((D99)-1,0))&lt;6)),1,0)&amp;IF(AND((B99-1+C99+D99)&lt;9,OR((C99)=0,(MAX((B99-1)-1,0)+MAX((C99)-1,0)+MAX((D99)-1,0))&lt;6)),1,0)&amp;IF(AND((B99-1+C99+D99)&lt;9,OR((B99-1)=0,(MAX((B99-1)-1,0)+MAX((C99)-1,0)+MAX((D99)-1,0))&lt;6)),1,0))</x:f>
        <x:v>不可回收</x:v>
      </x:c>
      <x:c r="K99" s="22" t="str">
        <x:f>IF(C99=0,"不可回收",IF(AND((B99+C99-1+D99)&lt;9,OR((D99)=0,(MAX((B99)-1,0)+MAX((C99-1)-1,0)+MAX((D99)-1,0))&lt;6)),1,0)&amp;IF(AND((B99+C99-1+D99)&lt;9,OR((C99-1)=0,(MAX((B99)-1,0)+MAX((C99-1)-1,0)+MAX((D99)-1,0))&lt;6)),1,0)&amp;IF(AND((B99+C99-1+D99)&lt;9,OR((B99)=0,(MAX((B99)-1,0)+MAX((C99-1)-1,0)+MAX((D99)-1,0))&lt;6)),1,0))</x:f>
        <x:v>111</x:v>
      </x:c>
      <x:c r="L99" s="22" t="str">
        <x:f>IF(D99=0,"不可回收",IF(AND((B99+C99+D99-1)&lt;9,OR((D99-1)=0,(MAX((B99)-1,0)+MAX((C99)-1,0)+MAX((D99-1)-1,0))&lt;6)),1,0)&amp;IF(AND((B99+C99+D99-1)&lt;9,OR((C99)=0,(MAX((B99)-1,0)+MAX((C99)-1,0)+MAX((D99-1)-1,0))&lt;6)),1,0)&amp;IF(AND((B99+C99+D99-1)&lt;9,OR((B99)=0,(MAX((B99)-1,0)+MAX((C99)-1,0)+MAX((D99-1)-1,0))&lt;6)),1,0))</x:f>
        <x:v>不可回收</x:v>
      </x:c>
      <x:c r="M99" s="18" t="n">
        <x:f>1+F99</x:f>
        <x:v>2</x:v>
      </x:c>
      <x:c r="N99" s="18" t="n">
        <x:f>COUNTIF('容量转换'!$B$8:$B$2447,A99)</x:f>
        <x:v>8</x:v>
      </x:c>
      <x:c r="O99" s="21" t="str">
        <x:f>IF(AND(MIN(B99:D99)&gt;=0,MAX(B99:D99)&lt;=7,H99&lt;=9),"合法","不合法")</x:f>
        <x:v>合法</x:v>
      </x:c>
    </x:row>
    <x:row r="100" ht="23" customHeight="1">
      <x:c r="A100" s="3" t="str">
        <x:v>ST-093</x:v>
      </x:c>
      <x:c r="B100" s="19" t="n">
        <x:v>1</x:v>
      </x:c>
      <x:c r="C100" s="19" t="n">
        <x:v>0</x:v>
      </x:c>
      <x:c r="D100" s="19" t="n">
        <x:v>6</x:v>
      </x:c>
      <x:c r="E100" s="20" t="n">
        <x:f>SUM(B100:D100)</x:f>
        <x:v>7</x:v>
      </x:c>
      <x:c r="F100" s="20" t="n">
        <x:f>COUNTIF(B100:D100,"&gt;0")</x:f>
        <x:v>2</x:v>
      </x:c>
      <x:c r="G100" s="20" t="n">
        <x:f>MAX(B100-1,0)+MAX(C100-1,0)+MAX(D100-1,0)</x:f>
        <x:v>5</x:v>
      </x:c>
      <x:c r="H100" s="20" t="n">
        <x:f>MAX(B100,1)+MAX(C100,1)+MAX(D100,1)</x:f>
        <x:v>8</x:v>
      </x:c>
      <x:c r="I100" s="22" t="str">
        <x:f>IF(AND((B100+C100+D100)&lt;9,OR((D100)=0,(MAX((B100)-1,0)+MAX((C100)-1,0)+MAX((D100)-1,0))&lt;6)),1,0)&amp;IF(AND((B100+C100+D100)&lt;9,OR((C100)=0,(MAX((B100)-1,0)+MAX((C100)-1,0)+MAX((D100)-1,0))&lt;6)),1,0)&amp;IF(AND((B100+C100+D100)&lt;9,OR((B100)=0,(MAX((B100)-1,0)+MAX((C100)-1,0)+MAX((D100)-1,0))&lt;6)),1,0)</x:f>
        <x:v>111</x:v>
      </x:c>
      <x:c r="J100" s="22" t="str">
        <x:f>IF(B100=0,"不可回收",IF(AND((B100-1+C100+D100)&lt;9,OR((D100)=0,(MAX((B100-1)-1,0)+MAX((C100)-1,0)+MAX((D100)-1,0))&lt;6)),1,0)&amp;IF(AND((B100-1+C100+D100)&lt;9,OR((C100)=0,(MAX((B100-1)-1,0)+MAX((C100)-1,0)+MAX((D100)-1,0))&lt;6)),1,0)&amp;IF(AND((B100-1+C100+D100)&lt;9,OR((B100-1)=0,(MAX((B100-1)-1,0)+MAX((C100)-1,0)+MAX((D100)-1,0))&lt;6)),1,0))</x:f>
        <x:v>111</x:v>
      </x:c>
      <x:c r="K100" s="22" t="str">
        <x:f>IF(C100=0,"不可回收",IF(AND((B100+C100-1+D100)&lt;9,OR((D100)=0,(MAX((B100)-1,0)+MAX((C100-1)-1,0)+MAX((D100)-1,0))&lt;6)),1,0)&amp;IF(AND((B100+C100-1+D100)&lt;9,OR((C100-1)=0,(MAX((B100)-1,0)+MAX((C100-1)-1,0)+MAX((D100)-1,0))&lt;6)),1,0)&amp;IF(AND((B100+C100-1+D100)&lt;9,OR((B100)=0,(MAX((B100)-1,0)+MAX((C100-1)-1,0)+MAX((D100)-1,0))&lt;6)),1,0))</x:f>
        <x:v>不可回收</x:v>
      </x:c>
      <x:c r="L100" s="22" t="str">
        <x:f>IF(D100=0,"不可回收",IF(AND((B100+C100+D100-1)&lt;9,OR((D100-1)=0,(MAX((B100)-1,0)+MAX((C100)-1,0)+MAX((D100-1)-1,0))&lt;6)),1,0)&amp;IF(AND((B100+C100+D100-1)&lt;9,OR((C100)=0,(MAX((B100)-1,0)+MAX((C100)-1,0)+MAX((D100-1)-1,0))&lt;6)),1,0)&amp;IF(AND((B100+C100+D100-1)&lt;9,OR((B100)=0,(MAX((B100)-1,0)+MAX((C100)-1,0)+MAX((D100-1)-1,0))&lt;6)),1,0))</x:f>
        <x:v>111</x:v>
      </x:c>
      <x:c r="M100" s="18" t="n">
        <x:f>1+F100</x:f>
        <x:v>3</x:v>
      </x:c>
      <x:c r="N100" s="18" t="n">
        <x:f>COUNTIF('容量转换'!$B$8:$B$2447,A100)</x:f>
        <x:v>12</x:v>
      </x:c>
      <x:c r="O100" s="21" t="str">
        <x:f>IF(AND(MIN(B100:D100)&gt;=0,MAX(B100:D100)&lt;=7,H100&lt;=9),"合法","不合法")</x:f>
        <x:v>合法</x:v>
      </x:c>
    </x:row>
    <x:row r="101" ht="23" customHeight="1">
      <x:c r="A101" s="3" t="str">
        <x:v>ST-094</x:v>
      </x:c>
      <x:c r="B101" s="19" t="n">
        <x:v>1</x:v>
      </x:c>
      <x:c r="C101" s="19" t="n">
        <x:v>1</x:v>
      </x:c>
      <x:c r="D101" s="19" t="n">
        <x:v>5</x:v>
      </x:c>
      <x:c r="E101" s="20" t="n">
        <x:f>SUM(B101:D101)</x:f>
        <x:v>7</x:v>
      </x:c>
      <x:c r="F101" s="20" t="n">
        <x:f>COUNTIF(B101:D101,"&gt;0")</x:f>
        <x:v>3</x:v>
      </x:c>
      <x:c r="G101" s="20" t="n">
        <x:f>MAX(B101-1,0)+MAX(C101-1,0)+MAX(D101-1,0)</x:f>
        <x:v>4</x:v>
      </x:c>
      <x:c r="H101" s="20" t="n">
        <x:f>MAX(B101,1)+MAX(C101,1)+MAX(D101,1)</x:f>
        <x:v>7</x:v>
      </x:c>
      <x:c r="I101" s="22" t="str">
        <x:f>IF(AND((B101+C101+D101)&lt;9,OR((D101)=0,(MAX((B101)-1,0)+MAX((C101)-1,0)+MAX((D101)-1,0))&lt;6)),1,0)&amp;IF(AND((B101+C101+D101)&lt;9,OR((C101)=0,(MAX((B101)-1,0)+MAX((C101)-1,0)+MAX((D101)-1,0))&lt;6)),1,0)&amp;IF(AND((B101+C101+D101)&lt;9,OR((B101)=0,(MAX((B101)-1,0)+MAX((C101)-1,0)+MAX((D101)-1,0))&lt;6)),1,0)</x:f>
        <x:v>111</x:v>
      </x:c>
      <x:c r="J101" s="22" t="str">
        <x:f>IF(B101=0,"不可回收",IF(AND((B101-1+C101+D101)&lt;9,OR((D101)=0,(MAX((B101-1)-1,0)+MAX((C101)-1,0)+MAX((D101)-1,0))&lt;6)),1,0)&amp;IF(AND((B101-1+C101+D101)&lt;9,OR((C101)=0,(MAX((B101-1)-1,0)+MAX((C101)-1,0)+MAX((D101)-1,0))&lt;6)),1,0)&amp;IF(AND((B101-1+C101+D101)&lt;9,OR((B101-1)=0,(MAX((B101-1)-1,0)+MAX((C101)-1,0)+MAX((D101)-1,0))&lt;6)),1,0))</x:f>
        <x:v>111</x:v>
      </x:c>
      <x:c r="K101" s="22" t="str">
        <x:f>IF(C101=0,"不可回收",IF(AND((B101+C101-1+D101)&lt;9,OR((D101)=0,(MAX((B101)-1,0)+MAX((C101-1)-1,0)+MAX((D101)-1,0))&lt;6)),1,0)&amp;IF(AND((B101+C101-1+D101)&lt;9,OR((C101-1)=0,(MAX((B101)-1,0)+MAX((C101-1)-1,0)+MAX((D101)-1,0))&lt;6)),1,0)&amp;IF(AND((B101+C101-1+D101)&lt;9,OR((B101)=0,(MAX((B101)-1,0)+MAX((C101-1)-1,0)+MAX((D101)-1,0))&lt;6)),1,0))</x:f>
        <x:v>111</x:v>
      </x:c>
      <x:c r="L101" s="22" t="str">
        <x:f>IF(D101=0,"不可回收",IF(AND((B101+C101+D101-1)&lt;9,OR((D101-1)=0,(MAX((B101)-1,0)+MAX((C101)-1,0)+MAX((D101-1)-1,0))&lt;6)),1,0)&amp;IF(AND((B101+C101+D101-1)&lt;9,OR((C101)=0,(MAX((B101)-1,0)+MAX((C101)-1,0)+MAX((D101-1)-1,0))&lt;6)),1,0)&amp;IF(AND((B101+C101+D101-1)&lt;9,OR((B101)=0,(MAX((B101)-1,0)+MAX((C101)-1,0)+MAX((D101-1)-1,0))&lt;6)),1,0))</x:f>
        <x:v>111</x:v>
      </x:c>
      <x:c r="M101" s="18" t="n">
        <x:f>1+F101</x:f>
        <x:v>4</x:v>
      </x:c>
      <x:c r="N101" s="18" t="n">
        <x:f>COUNTIF('容量转换'!$B$8:$B$2447,A101)</x:f>
        <x:v>16</x:v>
      </x:c>
      <x:c r="O101" s="21" t="str">
        <x:f>IF(AND(MIN(B101:D101)&gt;=0,MAX(B101:D101)&lt;=7,H101&lt;=9),"合法","不合法")</x:f>
        <x:v>合法</x:v>
      </x:c>
    </x:row>
    <x:row r="102" ht="23" customHeight="1">
      <x:c r="A102" s="3" t="str">
        <x:v>ST-095</x:v>
      </x:c>
      <x:c r="B102" s="19" t="n">
        <x:v>1</x:v>
      </x:c>
      <x:c r="C102" s="19" t="n">
        <x:v>2</x:v>
      </x:c>
      <x:c r="D102" s="19" t="n">
        <x:v>4</x:v>
      </x:c>
      <x:c r="E102" s="20" t="n">
        <x:f>SUM(B102:D102)</x:f>
        <x:v>7</x:v>
      </x:c>
      <x:c r="F102" s="20" t="n">
        <x:f>COUNTIF(B102:D102,"&gt;0")</x:f>
        <x:v>3</x:v>
      </x:c>
      <x:c r="G102" s="20" t="n">
        <x:f>MAX(B102-1,0)+MAX(C102-1,0)+MAX(D102-1,0)</x:f>
        <x:v>4</x:v>
      </x:c>
      <x:c r="H102" s="20" t="n">
        <x:f>MAX(B102,1)+MAX(C102,1)+MAX(D102,1)</x:f>
        <x:v>7</x:v>
      </x:c>
      <x:c r="I102" s="22" t="str">
        <x:f>IF(AND((B102+C102+D102)&lt;9,OR((D102)=0,(MAX((B102)-1,0)+MAX((C102)-1,0)+MAX((D102)-1,0))&lt;6)),1,0)&amp;IF(AND((B102+C102+D102)&lt;9,OR((C102)=0,(MAX((B102)-1,0)+MAX((C102)-1,0)+MAX((D102)-1,0))&lt;6)),1,0)&amp;IF(AND((B102+C102+D102)&lt;9,OR((B102)=0,(MAX((B102)-1,0)+MAX((C102)-1,0)+MAX((D102)-1,0))&lt;6)),1,0)</x:f>
        <x:v>111</x:v>
      </x:c>
      <x:c r="J102" s="22" t="str">
        <x:f>IF(B102=0,"不可回收",IF(AND((B102-1+C102+D102)&lt;9,OR((D102)=0,(MAX((B102-1)-1,0)+MAX((C102)-1,0)+MAX((D102)-1,0))&lt;6)),1,0)&amp;IF(AND((B102-1+C102+D102)&lt;9,OR((C102)=0,(MAX((B102-1)-1,0)+MAX((C102)-1,0)+MAX((D102)-1,0))&lt;6)),1,0)&amp;IF(AND((B102-1+C102+D102)&lt;9,OR((B102-1)=0,(MAX((B102-1)-1,0)+MAX((C102)-1,0)+MAX((D102)-1,0))&lt;6)),1,0))</x:f>
        <x:v>111</x:v>
      </x:c>
      <x:c r="K102" s="22" t="str">
        <x:f>IF(C102=0,"不可回收",IF(AND((B102+C102-1+D102)&lt;9,OR((D102)=0,(MAX((B102)-1,0)+MAX((C102-1)-1,0)+MAX((D102)-1,0))&lt;6)),1,0)&amp;IF(AND((B102+C102-1+D102)&lt;9,OR((C102-1)=0,(MAX((B102)-1,0)+MAX((C102-1)-1,0)+MAX((D102)-1,0))&lt;6)),1,0)&amp;IF(AND((B102+C102-1+D102)&lt;9,OR((B102)=0,(MAX((B102)-1,0)+MAX((C102-1)-1,0)+MAX((D102)-1,0))&lt;6)),1,0))</x:f>
        <x:v>111</x:v>
      </x:c>
      <x:c r="L102" s="22" t="str">
        <x:f>IF(D102=0,"不可回收",IF(AND((B102+C102+D102-1)&lt;9,OR((D102-1)=0,(MAX((B102)-1,0)+MAX((C102)-1,0)+MAX((D102-1)-1,0))&lt;6)),1,0)&amp;IF(AND((B102+C102+D102-1)&lt;9,OR((C102)=0,(MAX((B102)-1,0)+MAX((C102)-1,0)+MAX((D102-1)-1,0))&lt;6)),1,0)&amp;IF(AND((B102+C102+D102-1)&lt;9,OR((B102)=0,(MAX((B102)-1,0)+MAX((C102)-1,0)+MAX((D102-1)-1,0))&lt;6)),1,0))</x:f>
        <x:v>111</x:v>
      </x:c>
      <x:c r="M102" s="18" t="n">
        <x:f>1+F102</x:f>
        <x:v>4</x:v>
      </x:c>
      <x:c r="N102" s="18" t="n">
        <x:f>COUNTIF('容量转换'!$B$8:$B$2447,A102)</x:f>
        <x:v>16</x:v>
      </x:c>
      <x:c r="O102" s="21" t="str">
        <x:f>IF(AND(MIN(B102:D102)&gt;=0,MAX(B102:D102)&lt;=7,H102&lt;=9),"合法","不合法")</x:f>
        <x:v>合法</x:v>
      </x:c>
    </x:row>
    <x:row r="103" ht="23" customHeight="1">
      <x:c r="A103" s="3" t="str">
        <x:v>ST-096</x:v>
      </x:c>
      <x:c r="B103" s="19" t="n">
        <x:v>1</x:v>
      </x:c>
      <x:c r="C103" s="19" t="n">
        <x:v>3</x:v>
      </x:c>
      <x:c r="D103" s="19" t="n">
        <x:v>3</x:v>
      </x:c>
      <x:c r="E103" s="20" t="n">
        <x:f>SUM(B103:D103)</x:f>
        <x:v>7</x:v>
      </x:c>
      <x:c r="F103" s="20" t="n">
        <x:f>COUNTIF(B103:D103,"&gt;0")</x:f>
        <x:v>3</x:v>
      </x:c>
      <x:c r="G103" s="20" t="n">
        <x:f>MAX(B103-1,0)+MAX(C103-1,0)+MAX(D103-1,0)</x:f>
        <x:v>4</x:v>
      </x:c>
      <x:c r="H103" s="20" t="n">
        <x:f>MAX(B103,1)+MAX(C103,1)+MAX(D103,1)</x:f>
        <x:v>7</x:v>
      </x:c>
      <x:c r="I103" s="22" t="str">
        <x:f>IF(AND((B103+C103+D103)&lt;9,OR((D103)=0,(MAX((B103)-1,0)+MAX((C103)-1,0)+MAX((D103)-1,0))&lt;6)),1,0)&amp;IF(AND((B103+C103+D103)&lt;9,OR((C103)=0,(MAX((B103)-1,0)+MAX((C103)-1,0)+MAX((D103)-1,0))&lt;6)),1,0)&amp;IF(AND((B103+C103+D103)&lt;9,OR((B103)=0,(MAX((B103)-1,0)+MAX((C103)-1,0)+MAX((D103)-1,0))&lt;6)),1,0)</x:f>
        <x:v>111</x:v>
      </x:c>
      <x:c r="J103" s="22" t="str">
        <x:f>IF(B103=0,"不可回收",IF(AND((B103-1+C103+D103)&lt;9,OR((D103)=0,(MAX((B103-1)-1,0)+MAX((C103)-1,0)+MAX((D103)-1,0))&lt;6)),1,0)&amp;IF(AND((B103-1+C103+D103)&lt;9,OR((C103)=0,(MAX((B103-1)-1,0)+MAX((C103)-1,0)+MAX((D103)-1,0))&lt;6)),1,0)&amp;IF(AND((B103-1+C103+D103)&lt;9,OR((B103-1)=0,(MAX((B103-1)-1,0)+MAX((C103)-1,0)+MAX((D103)-1,0))&lt;6)),1,0))</x:f>
        <x:v>111</x:v>
      </x:c>
      <x:c r="K103" s="22" t="str">
        <x:f>IF(C103=0,"不可回收",IF(AND((B103+C103-1+D103)&lt;9,OR((D103)=0,(MAX((B103)-1,0)+MAX((C103-1)-1,0)+MAX((D103)-1,0))&lt;6)),1,0)&amp;IF(AND((B103+C103-1+D103)&lt;9,OR((C103-1)=0,(MAX((B103)-1,0)+MAX((C103-1)-1,0)+MAX((D103)-1,0))&lt;6)),1,0)&amp;IF(AND((B103+C103-1+D103)&lt;9,OR((B103)=0,(MAX((B103)-1,0)+MAX((C103-1)-1,0)+MAX((D103)-1,0))&lt;6)),1,0))</x:f>
        <x:v>111</x:v>
      </x:c>
      <x:c r="L103" s="22" t="str">
        <x:f>IF(D103=0,"不可回收",IF(AND((B103+C103+D103-1)&lt;9,OR((D103-1)=0,(MAX((B103)-1,0)+MAX((C103)-1,0)+MAX((D103-1)-1,0))&lt;6)),1,0)&amp;IF(AND((B103+C103+D103-1)&lt;9,OR((C103)=0,(MAX((B103)-1,0)+MAX((C103)-1,0)+MAX((D103-1)-1,0))&lt;6)),1,0)&amp;IF(AND((B103+C103+D103-1)&lt;9,OR((B103)=0,(MAX((B103)-1,0)+MAX((C103)-1,0)+MAX((D103-1)-1,0))&lt;6)),1,0))</x:f>
        <x:v>111</x:v>
      </x:c>
      <x:c r="M103" s="18" t="n">
        <x:f>1+F103</x:f>
        <x:v>4</x:v>
      </x:c>
      <x:c r="N103" s="18" t="n">
        <x:f>COUNTIF('容量转换'!$B$8:$B$2447,A103)</x:f>
        <x:v>16</x:v>
      </x:c>
      <x:c r="O103" s="21" t="str">
        <x:f>IF(AND(MIN(B103:D103)&gt;=0,MAX(B103:D103)&lt;=7,H103&lt;=9),"合法","不合法")</x:f>
        <x:v>合法</x:v>
      </x:c>
    </x:row>
    <x:row r="104" ht="23" customHeight="1">
      <x:c r="A104" s="3" t="str">
        <x:v>ST-097</x:v>
      </x:c>
      <x:c r="B104" s="19" t="n">
        <x:v>1</x:v>
      </x:c>
      <x:c r="C104" s="19" t="n">
        <x:v>4</x:v>
      </x:c>
      <x:c r="D104" s="19" t="n">
        <x:v>2</x:v>
      </x:c>
      <x:c r="E104" s="20" t="n">
        <x:f>SUM(B104:D104)</x:f>
        <x:v>7</x:v>
      </x:c>
      <x:c r="F104" s="20" t="n">
        <x:f>COUNTIF(B104:D104,"&gt;0")</x:f>
        <x:v>3</x:v>
      </x:c>
      <x:c r="G104" s="20" t="n">
        <x:f>MAX(B104-1,0)+MAX(C104-1,0)+MAX(D104-1,0)</x:f>
        <x:v>4</x:v>
      </x:c>
      <x:c r="H104" s="20" t="n">
        <x:f>MAX(B104,1)+MAX(C104,1)+MAX(D104,1)</x:f>
        <x:v>7</x:v>
      </x:c>
      <x:c r="I104" s="22" t="str">
        <x:f>IF(AND((B104+C104+D104)&lt;9,OR((D104)=0,(MAX((B104)-1,0)+MAX((C104)-1,0)+MAX((D104)-1,0))&lt;6)),1,0)&amp;IF(AND((B104+C104+D104)&lt;9,OR((C104)=0,(MAX((B104)-1,0)+MAX((C104)-1,0)+MAX((D104)-1,0))&lt;6)),1,0)&amp;IF(AND((B104+C104+D104)&lt;9,OR((B104)=0,(MAX((B104)-1,0)+MAX((C104)-1,0)+MAX((D104)-1,0))&lt;6)),1,0)</x:f>
        <x:v>111</x:v>
      </x:c>
      <x:c r="J104" s="22" t="str">
        <x:f>IF(B104=0,"不可回收",IF(AND((B104-1+C104+D104)&lt;9,OR((D104)=0,(MAX((B104-1)-1,0)+MAX((C104)-1,0)+MAX((D104)-1,0))&lt;6)),1,0)&amp;IF(AND((B104-1+C104+D104)&lt;9,OR((C104)=0,(MAX((B104-1)-1,0)+MAX((C104)-1,0)+MAX((D104)-1,0))&lt;6)),1,0)&amp;IF(AND((B104-1+C104+D104)&lt;9,OR((B104-1)=0,(MAX((B104-1)-1,0)+MAX((C104)-1,0)+MAX((D104)-1,0))&lt;6)),1,0))</x:f>
        <x:v>111</x:v>
      </x:c>
      <x:c r="K104" s="22" t="str">
        <x:f>IF(C104=0,"不可回收",IF(AND((B104+C104-1+D104)&lt;9,OR((D104)=0,(MAX((B104)-1,0)+MAX((C104-1)-1,0)+MAX((D104)-1,0))&lt;6)),1,0)&amp;IF(AND((B104+C104-1+D104)&lt;9,OR((C104-1)=0,(MAX((B104)-1,0)+MAX((C104-1)-1,0)+MAX((D104)-1,0))&lt;6)),1,0)&amp;IF(AND((B104+C104-1+D104)&lt;9,OR((B104)=0,(MAX((B104)-1,0)+MAX((C104-1)-1,0)+MAX((D104)-1,0))&lt;6)),1,0))</x:f>
        <x:v>111</x:v>
      </x:c>
      <x:c r="L104" s="22" t="str">
        <x:f>IF(D104=0,"不可回收",IF(AND((B104+C104+D104-1)&lt;9,OR((D104-1)=0,(MAX((B104)-1,0)+MAX((C104)-1,0)+MAX((D104-1)-1,0))&lt;6)),1,0)&amp;IF(AND((B104+C104+D104-1)&lt;9,OR((C104)=0,(MAX((B104)-1,0)+MAX((C104)-1,0)+MAX((D104-1)-1,0))&lt;6)),1,0)&amp;IF(AND((B104+C104+D104-1)&lt;9,OR((B104)=0,(MAX((B104)-1,0)+MAX((C104)-1,0)+MAX((D104-1)-1,0))&lt;6)),1,0))</x:f>
        <x:v>111</x:v>
      </x:c>
      <x:c r="M104" s="18" t="n">
        <x:f>1+F104</x:f>
        <x:v>4</x:v>
      </x:c>
      <x:c r="N104" s="18" t="n">
        <x:f>COUNTIF('容量转换'!$B$8:$B$2447,A104)</x:f>
        <x:v>16</x:v>
      </x:c>
      <x:c r="O104" s="21" t="str">
        <x:f>IF(AND(MIN(B104:D104)&gt;=0,MAX(B104:D104)&lt;=7,H104&lt;=9),"合法","不合法")</x:f>
        <x:v>合法</x:v>
      </x:c>
    </x:row>
    <x:row r="105" ht="23" customHeight="1">
      <x:c r="A105" s="3" t="str">
        <x:v>ST-098</x:v>
      </x:c>
      <x:c r="B105" s="19" t="n">
        <x:v>1</x:v>
      </x:c>
      <x:c r="C105" s="19" t="n">
        <x:v>5</x:v>
      </x:c>
      <x:c r="D105" s="19" t="n">
        <x:v>1</x:v>
      </x:c>
      <x:c r="E105" s="20" t="n">
        <x:f>SUM(B105:D105)</x:f>
        <x:v>7</x:v>
      </x:c>
      <x:c r="F105" s="20" t="n">
        <x:f>COUNTIF(B105:D105,"&gt;0")</x:f>
        <x:v>3</x:v>
      </x:c>
      <x:c r="G105" s="20" t="n">
        <x:f>MAX(B105-1,0)+MAX(C105-1,0)+MAX(D105-1,0)</x:f>
        <x:v>4</x:v>
      </x:c>
      <x:c r="H105" s="20" t="n">
        <x:f>MAX(B105,1)+MAX(C105,1)+MAX(D105,1)</x:f>
        <x:v>7</x:v>
      </x:c>
      <x:c r="I105" s="22" t="str">
        <x:f>IF(AND((B105+C105+D105)&lt;9,OR((D105)=0,(MAX((B105)-1,0)+MAX((C105)-1,0)+MAX((D105)-1,0))&lt;6)),1,0)&amp;IF(AND((B105+C105+D105)&lt;9,OR((C105)=0,(MAX((B105)-1,0)+MAX((C105)-1,0)+MAX((D105)-1,0))&lt;6)),1,0)&amp;IF(AND((B105+C105+D105)&lt;9,OR((B105)=0,(MAX((B105)-1,0)+MAX((C105)-1,0)+MAX((D105)-1,0))&lt;6)),1,0)</x:f>
        <x:v>111</x:v>
      </x:c>
      <x:c r="J105" s="22" t="str">
        <x:f>IF(B105=0,"不可回收",IF(AND((B105-1+C105+D105)&lt;9,OR((D105)=0,(MAX((B105-1)-1,0)+MAX((C105)-1,0)+MAX((D105)-1,0))&lt;6)),1,0)&amp;IF(AND((B105-1+C105+D105)&lt;9,OR((C105)=0,(MAX((B105-1)-1,0)+MAX((C105)-1,0)+MAX((D105)-1,0))&lt;6)),1,0)&amp;IF(AND((B105-1+C105+D105)&lt;9,OR((B105-1)=0,(MAX((B105-1)-1,0)+MAX((C105)-1,0)+MAX((D105)-1,0))&lt;6)),1,0))</x:f>
        <x:v>111</x:v>
      </x:c>
      <x:c r="K105" s="22" t="str">
        <x:f>IF(C105=0,"不可回收",IF(AND((B105+C105-1+D105)&lt;9,OR((D105)=0,(MAX((B105)-1,0)+MAX((C105-1)-1,0)+MAX((D105)-1,0))&lt;6)),1,0)&amp;IF(AND((B105+C105-1+D105)&lt;9,OR((C105-1)=0,(MAX((B105)-1,0)+MAX((C105-1)-1,0)+MAX((D105)-1,0))&lt;6)),1,0)&amp;IF(AND((B105+C105-1+D105)&lt;9,OR((B105)=0,(MAX((B105)-1,0)+MAX((C105-1)-1,0)+MAX((D105)-1,0))&lt;6)),1,0))</x:f>
        <x:v>111</x:v>
      </x:c>
      <x:c r="L105" s="22" t="str">
        <x:f>IF(D105=0,"不可回收",IF(AND((B105+C105+D105-1)&lt;9,OR((D105-1)=0,(MAX((B105)-1,0)+MAX((C105)-1,0)+MAX((D105-1)-1,0))&lt;6)),1,0)&amp;IF(AND((B105+C105+D105-1)&lt;9,OR((C105)=0,(MAX((B105)-1,0)+MAX((C105)-1,0)+MAX((D105-1)-1,0))&lt;6)),1,0)&amp;IF(AND((B105+C105+D105-1)&lt;9,OR((B105)=0,(MAX((B105)-1,0)+MAX((C105)-1,0)+MAX((D105-1)-1,0))&lt;6)),1,0))</x:f>
        <x:v>111</x:v>
      </x:c>
      <x:c r="M105" s="18" t="n">
        <x:f>1+F105</x:f>
        <x:v>4</x:v>
      </x:c>
      <x:c r="N105" s="18" t="n">
        <x:f>COUNTIF('容量转换'!$B$8:$B$2447,A105)</x:f>
        <x:v>16</x:v>
      </x:c>
      <x:c r="O105" s="21" t="str">
        <x:f>IF(AND(MIN(B105:D105)&gt;=0,MAX(B105:D105)&lt;=7,H105&lt;=9),"合法","不合法")</x:f>
        <x:v>合法</x:v>
      </x:c>
    </x:row>
    <x:row r="106" ht="23" customHeight="1">
      <x:c r="A106" s="3" t="str">
        <x:v>ST-099</x:v>
      </x:c>
      <x:c r="B106" s="19" t="n">
        <x:v>1</x:v>
      </x:c>
      <x:c r="C106" s="19" t="n">
        <x:v>6</x:v>
      </x:c>
      <x:c r="D106" s="19" t="n">
        <x:v>0</x:v>
      </x:c>
      <x:c r="E106" s="20" t="n">
        <x:f>SUM(B106:D106)</x:f>
        <x:v>7</x:v>
      </x:c>
      <x:c r="F106" s="20" t="n">
        <x:f>COUNTIF(B106:D106,"&gt;0")</x:f>
        <x:v>2</x:v>
      </x:c>
      <x:c r="G106" s="20" t="n">
        <x:f>MAX(B106-1,0)+MAX(C106-1,0)+MAX(D106-1,0)</x:f>
        <x:v>5</x:v>
      </x:c>
      <x:c r="H106" s="20" t="n">
        <x:f>MAX(B106,1)+MAX(C106,1)+MAX(D106,1)</x:f>
        <x:v>8</x:v>
      </x:c>
      <x:c r="I106" s="22" t="str">
        <x:f>IF(AND((B106+C106+D106)&lt;9,OR((D106)=0,(MAX((B106)-1,0)+MAX((C106)-1,0)+MAX((D106)-1,0))&lt;6)),1,0)&amp;IF(AND((B106+C106+D106)&lt;9,OR((C106)=0,(MAX((B106)-1,0)+MAX((C106)-1,0)+MAX((D106)-1,0))&lt;6)),1,0)&amp;IF(AND((B106+C106+D106)&lt;9,OR((B106)=0,(MAX((B106)-1,0)+MAX((C106)-1,0)+MAX((D106)-1,0))&lt;6)),1,0)</x:f>
        <x:v>111</x:v>
      </x:c>
      <x:c r="J106" s="22" t="str">
        <x:f>IF(B106=0,"不可回收",IF(AND((B106-1+C106+D106)&lt;9,OR((D106)=0,(MAX((B106-1)-1,0)+MAX((C106)-1,0)+MAX((D106)-1,0))&lt;6)),1,0)&amp;IF(AND((B106-1+C106+D106)&lt;9,OR((C106)=0,(MAX((B106-1)-1,0)+MAX((C106)-1,0)+MAX((D106)-1,0))&lt;6)),1,0)&amp;IF(AND((B106-1+C106+D106)&lt;9,OR((B106-1)=0,(MAX((B106-1)-1,0)+MAX((C106)-1,0)+MAX((D106)-1,0))&lt;6)),1,0))</x:f>
        <x:v>111</x:v>
      </x:c>
      <x:c r="K106" s="22" t="str">
        <x:f>IF(C106=0,"不可回收",IF(AND((B106+C106-1+D106)&lt;9,OR((D106)=0,(MAX((B106)-1,0)+MAX((C106-1)-1,0)+MAX((D106)-1,0))&lt;6)),1,0)&amp;IF(AND((B106+C106-1+D106)&lt;9,OR((C106-1)=0,(MAX((B106)-1,0)+MAX((C106-1)-1,0)+MAX((D106)-1,0))&lt;6)),1,0)&amp;IF(AND((B106+C106-1+D106)&lt;9,OR((B106)=0,(MAX((B106)-1,0)+MAX((C106-1)-1,0)+MAX((D106)-1,0))&lt;6)),1,0))</x:f>
        <x:v>111</x:v>
      </x:c>
      <x:c r="L106" s="22" t="str">
        <x:f>IF(D106=0,"不可回收",IF(AND((B106+C106+D106-1)&lt;9,OR((D106-1)=0,(MAX((B106)-1,0)+MAX((C106)-1,0)+MAX((D106-1)-1,0))&lt;6)),1,0)&amp;IF(AND((B106+C106+D106-1)&lt;9,OR((C106)=0,(MAX((B106)-1,0)+MAX((C106)-1,0)+MAX((D106-1)-1,0))&lt;6)),1,0)&amp;IF(AND((B106+C106+D106-1)&lt;9,OR((B106)=0,(MAX((B106)-1,0)+MAX((C106)-1,0)+MAX((D106-1)-1,0))&lt;6)),1,0))</x:f>
        <x:v>不可回收</x:v>
      </x:c>
      <x:c r="M106" s="18" t="n">
        <x:f>1+F106</x:f>
        <x:v>3</x:v>
      </x:c>
      <x:c r="N106" s="18" t="n">
        <x:f>COUNTIF('容量转换'!$B$8:$B$2447,A106)</x:f>
        <x:v>12</x:v>
      </x:c>
      <x:c r="O106" s="21" t="str">
        <x:f>IF(AND(MIN(B106:D106)&gt;=0,MAX(B106:D106)&lt;=7,H106&lt;=9),"合法","不合法")</x:f>
        <x:v>合法</x:v>
      </x:c>
    </x:row>
    <x:row r="107" ht="23" customHeight="1">
      <x:c r="A107" s="3" t="str">
        <x:v>ST-100</x:v>
      </x:c>
      <x:c r="B107" s="19" t="n">
        <x:v>2</x:v>
      </x:c>
      <x:c r="C107" s="19" t="n">
        <x:v>0</x:v>
      </x:c>
      <x:c r="D107" s="19" t="n">
        <x:v>5</x:v>
      </x:c>
      <x:c r="E107" s="20" t="n">
        <x:f>SUM(B107:D107)</x:f>
        <x:v>7</x:v>
      </x:c>
      <x:c r="F107" s="20" t="n">
        <x:f>COUNTIF(B107:D107,"&gt;0")</x:f>
        <x:v>2</x:v>
      </x:c>
      <x:c r="G107" s="20" t="n">
        <x:f>MAX(B107-1,0)+MAX(C107-1,0)+MAX(D107-1,0)</x:f>
        <x:v>5</x:v>
      </x:c>
      <x:c r="H107" s="20" t="n">
        <x:f>MAX(B107,1)+MAX(C107,1)+MAX(D107,1)</x:f>
        <x:v>8</x:v>
      </x:c>
      <x:c r="I107" s="22" t="str">
        <x:f>IF(AND((B107+C107+D107)&lt;9,OR((D107)=0,(MAX((B107)-1,0)+MAX((C107)-1,0)+MAX((D107)-1,0))&lt;6)),1,0)&amp;IF(AND((B107+C107+D107)&lt;9,OR((C107)=0,(MAX((B107)-1,0)+MAX((C107)-1,0)+MAX((D107)-1,0))&lt;6)),1,0)&amp;IF(AND((B107+C107+D107)&lt;9,OR((B107)=0,(MAX((B107)-1,0)+MAX((C107)-1,0)+MAX((D107)-1,0))&lt;6)),1,0)</x:f>
        <x:v>111</x:v>
      </x:c>
      <x:c r="J107" s="22" t="str">
        <x:f>IF(B107=0,"不可回收",IF(AND((B107-1+C107+D107)&lt;9,OR((D107)=0,(MAX((B107-1)-1,0)+MAX((C107)-1,0)+MAX((D107)-1,0))&lt;6)),1,0)&amp;IF(AND((B107-1+C107+D107)&lt;9,OR((C107)=0,(MAX((B107-1)-1,0)+MAX((C107)-1,0)+MAX((D107)-1,0))&lt;6)),1,0)&amp;IF(AND((B107-1+C107+D107)&lt;9,OR((B107-1)=0,(MAX((B107-1)-1,0)+MAX((C107)-1,0)+MAX((D107)-1,0))&lt;6)),1,0))</x:f>
        <x:v>111</x:v>
      </x:c>
      <x:c r="K107" s="22" t="str">
        <x:f>IF(C107=0,"不可回收",IF(AND((B107+C107-1+D107)&lt;9,OR((D107)=0,(MAX((B107)-1,0)+MAX((C107-1)-1,0)+MAX((D107)-1,0))&lt;6)),1,0)&amp;IF(AND((B107+C107-1+D107)&lt;9,OR((C107-1)=0,(MAX((B107)-1,0)+MAX((C107-1)-1,0)+MAX((D107)-1,0))&lt;6)),1,0)&amp;IF(AND((B107+C107-1+D107)&lt;9,OR((B107)=0,(MAX((B107)-1,0)+MAX((C107-1)-1,0)+MAX((D107)-1,0))&lt;6)),1,0))</x:f>
        <x:v>不可回收</x:v>
      </x:c>
      <x:c r="L107" s="22" t="str">
        <x:f>IF(D107=0,"不可回收",IF(AND((B107+C107+D107-1)&lt;9,OR((D107-1)=0,(MAX((B107)-1,0)+MAX((C107)-1,0)+MAX((D107-1)-1,0))&lt;6)),1,0)&amp;IF(AND((B107+C107+D107-1)&lt;9,OR((C107)=0,(MAX((B107)-1,0)+MAX((C107)-1,0)+MAX((D107-1)-1,0))&lt;6)),1,0)&amp;IF(AND((B107+C107+D107-1)&lt;9,OR((B107)=0,(MAX((B107)-1,0)+MAX((C107)-1,0)+MAX((D107-1)-1,0))&lt;6)),1,0))</x:f>
        <x:v>111</x:v>
      </x:c>
      <x:c r="M107" s="18" t="n">
        <x:f>1+F107</x:f>
        <x:v>3</x:v>
      </x:c>
      <x:c r="N107" s="18" t="n">
        <x:f>COUNTIF('容量转换'!$B$8:$B$2447,A107)</x:f>
        <x:v>12</x:v>
      </x:c>
      <x:c r="O107" s="21" t="str">
        <x:f>IF(AND(MIN(B107:D107)&gt;=0,MAX(B107:D107)&lt;=7,H107&lt;=9),"合法","不合法")</x:f>
        <x:v>合法</x:v>
      </x:c>
    </x:row>
    <x:row r="108" ht="23" customHeight="1">
      <x:c r="A108" s="3" t="str">
        <x:v>ST-101</x:v>
      </x:c>
      <x:c r="B108" s="19" t="n">
        <x:v>2</x:v>
      </x:c>
      <x:c r="C108" s="19" t="n">
        <x:v>1</x:v>
      </x:c>
      <x:c r="D108" s="19" t="n">
        <x:v>4</x:v>
      </x:c>
      <x:c r="E108" s="20" t="n">
        <x:f>SUM(B108:D108)</x:f>
        <x:v>7</x:v>
      </x:c>
      <x:c r="F108" s="20" t="n">
        <x:f>COUNTIF(B108:D108,"&gt;0")</x:f>
        <x:v>3</x:v>
      </x:c>
      <x:c r="G108" s="20" t="n">
        <x:f>MAX(B108-1,0)+MAX(C108-1,0)+MAX(D108-1,0)</x:f>
        <x:v>4</x:v>
      </x:c>
      <x:c r="H108" s="20" t="n">
        <x:f>MAX(B108,1)+MAX(C108,1)+MAX(D108,1)</x:f>
        <x:v>7</x:v>
      </x:c>
      <x:c r="I108" s="22" t="str">
        <x:f>IF(AND((B108+C108+D108)&lt;9,OR((D108)=0,(MAX((B108)-1,0)+MAX((C108)-1,0)+MAX((D108)-1,0))&lt;6)),1,0)&amp;IF(AND((B108+C108+D108)&lt;9,OR((C108)=0,(MAX((B108)-1,0)+MAX((C108)-1,0)+MAX((D108)-1,0))&lt;6)),1,0)&amp;IF(AND((B108+C108+D108)&lt;9,OR((B108)=0,(MAX((B108)-1,0)+MAX((C108)-1,0)+MAX((D108)-1,0))&lt;6)),1,0)</x:f>
        <x:v>111</x:v>
      </x:c>
      <x:c r="J108" s="22" t="str">
        <x:f>IF(B108=0,"不可回收",IF(AND((B108-1+C108+D108)&lt;9,OR((D108)=0,(MAX((B108-1)-1,0)+MAX((C108)-1,0)+MAX((D108)-1,0))&lt;6)),1,0)&amp;IF(AND((B108-1+C108+D108)&lt;9,OR((C108)=0,(MAX((B108-1)-1,0)+MAX((C108)-1,0)+MAX((D108)-1,0))&lt;6)),1,0)&amp;IF(AND((B108-1+C108+D108)&lt;9,OR((B108-1)=0,(MAX((B108-1)-1,0)+MAX((C108)-1,0)+MAX((D108)-1,0))&lt;6)),1,0))</x:f>
        <x:v>111</x:v>
      </x:c>
      <x:c r="K108" s="22" t="str">
        <x:f>IF(C108=0,"不可回收",IF(AND((B108+C108-1+D108)&lt;9,OR((D108)=0,(MAX((B108)-1,0)+MAX((C108-1)-1,0)+MAX((D108)-1,0))&lt;6)),1,0)&amp;IF(AND((B108+C108-1+D108)&lt;9,OR((C108-1)=0,(MAX((B108)-1,0)+MAX((C108-1)-1,0)+MAX((D108)-1,0))&lt;6)),1,0)&amp;IF(AND((B108+C108-1+D108)&lt;9,OR((B108)=0,(MAX((B108)-1,0)+MAX((C108-1)-1,0)+MAX((D108)-1,0))&lt;6)),1,0))</x:f>
        <x:v>111</x:v>
      </x:c>
      <x:c r="L108" s="22" t="str">
        <x:f>IF(D108=0,"不可回收",IF(AND((B108+C108+D108-1)&lt;9,OR((D108-1)=0,(MAX((B108)-1,0)+MAX((C108)-1,0)+MAX((D108-1)-1,0))&lt;6)),1,0)&amp;IF(AND((B108+C108+D108-1)&lt;9,OR((C108)=0,(MAX((B108)-1,0)+MAX((C108)-1,0)+MAX((D108-1)-1,0))&lt;6)),1,0)&amp;IF(AND((B108+C108+D108-1)&lt;9,OR((B108)=0,(MAX((B108)-1,0)+MAX((C108)-1,0)+MAX((D108-1)-1,0))&lt;6)),1,0))</x:f>
        <x:v>111</x:v>
      </x:c>
      <x:c r="M108" s="18" t="n">
        <x:f>1+F108</x:f>
        <x:v>4</x:v>
      </x:c>
      <x:c r="N108" s="18" t="n">
        <x:f>COUNTIF('容量转换'!$B$8:$B$2447,A108)</x:f>
        <x:v>16</x:v>
      </x:c>
      <x:c r="O108" s="21" t="str">
        <x:f>IF(AND(MIN(B108:D108)&gt;=0,MAX(B108:D108)&lt;=7,H108&lt;=9),"合法","不合法")</x:f>
        <x:v>合法</x:v>
      </x:c>
    </x:row>
    <x:row r="109" ht="23" customHeight="1">
      <x:c r="A109" s="3" t="str">
        <x:v>ST-102</x:v>
      </x:c>
      <x:c r="B109" s="19" t="n">
        <x:v>2</x:v>
      </x:c>
      <x:c r="C109" s="19" t="n">
        <x:v>2</x:v>
      </x:c>
      <x:c r="D109" s="19" t="n">
        <x:v>3</x:v>
      </x:c>
      <x:c r="E109" s="20" t="n">
        <x:f>SUM(B109:D109)</x:f>
        <x:v>7</x:v>
      </x:c>
      <x:c r="F109" s="20" t="n">
        <x:f>COUNTIF(B109:D109,"&gt;0")</x:f>
        <x:v>3</x:v>
      </x:c>
      <x:c r="G109" s="20" t="n">
        <x:f>MAX(B109-1,0)+MAX(C109-1,0)+MAX(D109-1,0)</x:f>
        <x:v>4</x:v>
      </x:c>
      <x:c r="H109" s="20" t="n">
        <x:f>MAX(B109,1)+MAX(C109,1)+MAX(D109,1)</x:f>
        <x:v>7</x:v>
      </x:c>
      <x:c r="I109" s="22" t="str">
        <x:f>IF(AND((B109+C109+D109)&lt;9,OR((D109)=0,(MAX((B109)-1,0)+MAX((C109)-1,0)+MAX((D109)-1,0))&lt;6)),1,0)&amp;IF(AND((B109+C109+D109)&lt;9,OR((C109)=0,(MAX((B109)-1,0)+MAX((C109)-1,0)+MAX((D109)-1,0))&lt;6)),1,0)&amp;IF(AND((B109+C109+D109)&lt;9,OR((B109)=0,(MAX((B109)-1,0)+MAX((C109)-1,0)+MAX((D109)-1,0))&lt;6)),1,0)</x:f>
        <x:v>111</x:v>
      </x:c>
      <x:c r="J109" s="22" t="str">
        <x:f>IF(B109=0,"不可回收",IF(AND((B109-1+C109+D109)&lt;9,OR((D109)=0,(MAX((B109-1)-1,0)+MAX((C109)-1,0)+MAX((D109)-1,0))&lt;6)),1,0)&amp;IF(AND((B109-1+C109+D109)&lt;9,OR((C109)=0,(MAX((B109-1)-1,0)+MAX((C109)-1,0)+MAX((D109)-1,0))&lt;6)),1,0)&amp;IF(AND((B109-1+C109+D109)&lt;9,OR((B109-1)=0,(MAX((B109-1)-1,0)+MAX((C109)-1,0)+MAX((D109)-1,0))&lt;6)),1,0))</x:f>
        <x:v>111</x:v>
      </x:c>
      <x:c r="K109" s="22" t="str">
        <x:f>IF(C109=0,"不可回收",IF(AND((B109+C109-1+D109)&lt;9,OR((D109)=0,(MAX((B109)-1,0)+MAX((C109-1)-1,0)+MAX((D109)-1,0))&lt;6)),1,0)&amp;IF(AND((B109+C109-1+D109)&lt;9,OR((C109-1)=0,(MAX((B109)-1,0)+MAX((C109-1)-1,0)+MAX((D109)-1,0))&lt;6)),1,0)&amp;IF(AND((B109+C109-1+D109)&lt;9,OR((B109)=0,(MAX((B109)-1,0)+MAX((C109-1)-1,0)+MAX((D109)-1,0))&lt;6)),1,0))</x:f>
        <x:v>111</x:v>
      </x:c>
      <x:c r="L109" s="22" t="str">
        <x:f>IF(D109=0,"不可回收",IF(AND((B109+C109+D109-1)&lt;9,OR((D109-1)=0,(MAX((B109)-1,0)+MAX((C109)-1,0)+MAX((D109-1)-1,0))&lt;6)),1,0)&amp;IF(AND((B109+C109+D109-1)&lt;9,OR((C109)=0,(MAX((B109)-1,0)+MAX((C109)-1,0)+MAX((D109-1)-1,0))&lt;6)),1,0)&amp;IF(AND((B109+C109+D109-1)&lt;9,OR((B109)=0,(MAX((B109)-1,0)+MAX((C109)-1,0)+MAX((D109-1)-1,0))&lt;6)),1,0))</x:f>
        <x:v>111</x:v>
      </x:c>
      <x:c r="M109" s="18" t="n">
        <x:f>1+F109</x:f>
        <x:v>4</x:v>
      </x:c>
      <x:c r="N109" s="18" t="n">
        <x:f>COUNTIF('容量转换'!$B$8:$B$2447,A109)</x:f>
        <x:v>16</x:v>
      </x:c>
      <x:c r="O109" s="21" t="str">
        <x:f>IF(AND(MIN(B109:D109)&gt;=0,MAX(B109:D109)&lt;=7,H109&lt;=9),"合法","不合法")</x:f>
        <x:v>合法</x:v>
      </x:c>
    </x:row>
    <x:row r="110" ht="23" customHeight="1">
      <x:c r="A110" s="3" t="str">
        <x:v>ST-103</x:v>
      </x:c>
      <x:c r="B110" s="19" t="n">
        <x:v>2</x:v>
      </x:c>
      <x:c r="C110" s="19" t="n">
        <x:v>3</x:v>
      </x:c>
      <x:c r="D110" s="19" t="n">
        <x:v>2</x:v>
      </x:c>
      <x:c r="E110" s="20" t="n">
        <x:f>SUM(B110:D110)</x:f>
        <x:v>7</x:v>
      </x:c>
      <x:c r="F110" s="20" t="n">
        <x:f>COUNTIF(B110:D110,"&gt;0")</x:f>
        <x:v>3</x:v>
      </x:c>
      <x:c r="G110" s="20" t="n">
        <x:f>MAX(B110-1,0)+MAX(C110-1,0)+MAX(D110-1,0)</x:f>
        <x:v>4</x:v>
      </x:c>
      <x:c r="H110" s="20" t="n">
        <x:f>MAX(B110,1)+MAX(C110,1)+MAX(D110,1)</x:f>
        <x:v>7</x:v>
      </x:c>
      <x:c r="I110" s="22" t="str">
        <x:f>IF(AND((B110+C110+D110)&lt;9,OR((D110)=0,(MAX((B110)-1,0)+MAX((C110)-1,0)+MAX((D110)-1,0))&lt;6)),1,0)&amp;IF(AND((B110+C110+D110)&lt;9,OR((C110)=0,(MAX((B110)-1,0)+MAX((C110)-1,0)+MAX((D110)-1,0))&lt;6)),1,0)&amp;IF(AND((B110+C110+D110)&lt;9,OR((B110)=0,(MAX((B110)-1,0)+MAX((C110)-1,0)+MAX((D110)-1,0))&lt;6)),1,0)</x:f>
        <x:v>111</x:v>
      </x:c>
      <x:c r="J110" s="22" t="str">
        <x:f>IF(B110=0,"不可回收",IF(AND((B110-1+C110+D110)&lt;9,OR((D110)=0,(MAX((B110-1)-1,0)+MAX((C110)-1,0)+MAX((D110)-1,0))&lt;6)),1,0)&amp;IF(AND((B110-1+C110+D110)&lt;9,OR((C110)=0,(MAX((B110-1)-1,0)+MAX((C110)-1,0)+MAX((D110)-1,0))&lt;6)),1,0)&amp;IF(AND((B110-1+C110+D110)&lt;9,OR((B110-1)=0,(MAX((B110-1)-1,0)+MAX((C110)-1,0)+MAX((D110)-1,0))&lt;6)),1,0))</x:f>
        <x:v>111</x:v>
      </x:c>
      <x:c r="K110" s="22" t="str">
        <x:f>IF(C110=0,"不可回收",IF(AND((B110+C110-1+D110)&lt;9,OR((D110)=0,(MAX((B110)-1,0)+MAX((C110-1)-1,0)+MAX((D110)-1,0))&lt;6)),1,0)&amp;IF(AND((B110+C110-1+D110)&lt;9,OR((C110-1)=0,(MAX((B110)-1,0)+MAX((C110-1)-1,0)+MAX((D110)-1,0))&lt;6)),1,0)&amp;IF(AND((B110+C110-1+D110)&lt;9,OR((B110)=0,(MAX((B110)-1,0)+MAX((C110-1)-1,0)+MAX((D110)-1,0))&lt;6)),1,0))</x:f>
        <x:v>111</x:v>
      </x:c>
      <x:c r="L110" s="22" t="str">
        <x:f>IF(D110=0,"不可回收",IF(AND((B110+C110+D110-1)&lt;9,OR((D110-1)=0,(MAX((B110)-1,0)+MAX((C110)-1,0)+MAX((D110-1)-1,0))&lt;6)),1,0)&amp;IF(AND((B110+C110+D110-1)&lt;9,OR((C110)=0,(MAX((B110)-1,0)+MAX((C110)-1,0)+MAX((D110-1)-1,0))&lt;6)),1,0)&amp;IF(AND((B110+C110+D110-1)&lt;9,OR((B110)=0,(MAX((B110)-1,0)+MAX((C110)-1,0)+MAX((D110-1)-1,0))&lt;6)),1,0))</x:f>
        <x:v>111</x:v>
      </x:c>
      <x:c r="M110" s="18" t="n">
        <x:f>1+F110</x:f>
        <x:v>4</x:v>
      </x:c>
      <x:c r="N110" s="18" t="n">
        <x:f>COUNTIF('容量转换'!$B$8:$B$2447,A110)</x:f>
        <x:v>16</x:v>
      </x:c>
      <x:c r="O110" s="21" t="str">
        <x:f>IF(AND(MIN(B110:D110)&gt;=0,MAX(B110:D110)&lt;=7,H110&lt;=9),"合法","不合法")</x:f>
        <x:v>合法</x:v>
      </x:c>
    </x:row>
    <x:row r="111" ht="23" customHeight="1">
      <x:c r="A111" s="3" t="str">
        <x:v>ST-104</x:v>
      </x:c>
      <x:c r="B111" s="19" t="n">
        <x:v>2</x:v>
      </x:c>
      <x:c r="C111" s="19" t="n">
        <x:v>4</x:v>
      </x:c>
      <x:c r="D111" s="19" t="n">
        <x:v>1</x:v>
      </x:c>
      <x:c r="E111" s="20" t="n">
        <x:f>SUM(B111:D111)</x:f>
        <x:v>7</x:v>
      </x:c>
      <x:c r="F111" s="20" t="n">
        <x:f>COUNTIF(B111:D111,"&gt;0")</x:f>
        <x:v>3</x:v>
      </x:c>
      <x:c r="G111" s="20" t="n">
        <x:f>MAX(B111-1,0)+MAX(C111-1,0)+MAX(D111-1,0)</x:f>
        <x:v>4</x:v>
      </x:c>
      <x:c r="H111" s="20" t="n">
        <x:f>MAX(B111,1)+MAX(C111,1)+MAX(D111,1)</x:f>
        <x:v>7</x:v>
      </x:c>
      <x:c r="I111" s="22" t="str">
        <x:f>IF(AND((B111+C111+D111)&lt;9,OR((D111)=0,(MAX((B111)-1,0)+MAX((C111)-1,0)+MAX((D111)-1,0))&lt;6)),1,0)&amp;IF(AND((B111+C111+D111)&lt;9,OR((C111)=0,(MAX((B111)-1,0)+MAX((C111)-1,0)+MAX((D111)-1,0))&lt;6)),1,0)&amp;IF(AND((B111+C111+D111)&lt;9,OR((B111)=0,(MAX((B111)-1,0)+MAX((C111)-1,0)+MAX((D111)-1,0))&lt;6)),1,0)</x:f>
        <x:v>111</x:v>
      </x:c>
      <x:c r="J111" s="22" t="str">
        <x:f>IF(B111=0,"不可回收",IF(AND((B111-1+C111+D111)&lt;9,OR((D111)=0,(MAX((B111-1)-1,0)+MAX((C111)-1,0)+MAX((D111)-1,0))&lt;6)),1,0)&amp;IF(AND((B111-1+C111+D111)&lt;9,OR((C111)=0,(MAX((B111-1)-1,0)+MAX((C111)-1,0)+MAX((D111)-1,0))&lt;6)),1,0)&amp;IF(AND((B111-1+C111+D111)&lt;9,OR((B111-1)=0,(MAX((B111-1)-1,0)+MAX((C111)-1,0)+MAX((D111)-1,0))&lt;6)),1,0))</x:f>
        <x:v>111</x:v>
      </x:c>
      <x:c r="K111" s="22" t="str">
        <x:f>IF(C111=0,"不可回收",IF(AND((B111+C111-1+D111)&lt;9,OR((D111)=0,(MAX((B111)-1,0)+MAX((C111-1)-1,0)+MAX((D111)-1,0))&lt;6)),1,0)&amp;IF(AND((B111+C111-1+D111)&lt;9,OR((C111-1)=0,(MAX((B111)-1,0)+MAX((C111-1)-1,0)+MAX((D111)-1,0))&lt;6)),1,0)&amp;IF(AND((B111+C111-1+D111)&lt;9,OR((B111)=0,(MAX((B111)-1,0)+MAX((C111-1)-1,0)+MAX((D111)-1,0))&lt;6)),1,0))</x:f>
        <x:v>111</x:v>
      </x:c>
      <x:c r="L111" s="22" t="str">
        <x:f>IF(D111=0,"不可回收",IF(AND((B111+C111+D111-1)&lt;9,OR((D111-1)=0,(MAX((B111)-1,0)+MAX((C111)-1,0)+MAX((D111-1)-1,0))&lt;6)),1,0)&amp;IF(AND((B111+C111+D111-1)&lt;9,OR((C111)=0,(MAX((B111)-1,0)+MAX((C111)-1,0)+MAX((D111-1)-1,0))&lt;6)),1,0)&amp;IF(AND((B111+C111+D111-1)&lt;9,OR((B111)=0,(MAX((B111)-1,0)+MAX((C111)-1,0)+MAX((D111-1)-1,0))&lt;6)),1,0))</x:f>
        <x:v>111</x:v>
      </x:c>
      <x:c r="M111" s="18" t="n">
        <x:f>1+F111</x:f>
        <x:v>4</x:v>
      </x:c>
      <x:c r="N111" s="18" t="n">
        <x:f>COUNTIF('容量转换'!$B$8:$B$2447,A111)</x:f>
        <x:v>16</x:v>
      </x:c>
      <x:c r="O111" s="21" t="str">
        <x:f>IF(AND(MIN(B111:D111)&gt;=0,MAX(B111:D111)&lt;=7,H111&lt;=9),"合法","不合法")</x:f>
        <x:v>合法</x:v>
      </x:c>
    </x:row>
    <x:row r="112" ht="23" customHeight="1">
      <x:c r="A112" s="3" t="str">
        <x:v>ST-105</x:v>
      </x:c>
      <x:c r="B112" s="19" t="n">
        <x:v>2</x:v>
      </x:c>
      <x:c r="C112" s="19" t="n">
        <x:v>5</x:v>
      </x:c>
      <x:c r="D112" s="19" t="n">
        <x:v>0</x:v>
      </x:c>
      <x:c r="E112" s="20" t="n">
        <x:f>SUM(B112:D112)</x:f>
        <x:v>7</x:v>
      </x:c>
      <x:c r="F112" s="20" t="n">
        <x:f>COUNTIF(B112:D112,"&gt;0")</x:f>
        <x:v>2</x:v>
      </x:c>
      <x:c r="G112" s="20" t="n">
        <x:f>MAX(B112-1,0)+MAX(C112-1,0)+MAX(D112-1,0)</x:f>
        <x:v>5</x:v>
      </x:c>
      <x:c r="H112" s="20" t="n">
        <x:f>MAX(B112,1)+MAX(C112,1)+MAX(D112,1)</x:f>
        <x:v>8</x:v>
      </x:c>
      <x:c r="I112" s="22" t="str">
        <x:f>IF(AND((B112+C112+D112)&lt;9,OR((D112)=0,(MAX((B112)-1,0)+MAX((C112)-1,0)+MAX((D112)-1,0))&lt;6)),1,0)&amp;IF(AND((B112+C112+D112)&lt;9,OR((C112)=0,(MAX((B112)-1,0)+MAX((C112)-1,0)+MAX((D112)-1,0))&lt;6)),1,0)&amp;IF(AND((B112+C112+D112)&lt;9,OR((B112)=0,(MAX((B112)-1,0)+MAX((C112)-1,0)+MAX((D112)-1,0))&lt;6)),1,0)</x:f>
        <x:v>111</x:v>
      </x:c>
      <x:c r="J112" s="22" t="str">
        <x:f>IF(B112=0,"不可回收",IF(AND((B112-1+C112+D112)&lt;9,OR((D112)=0,(MAX((B112-1)-1,0)+MAX((C112)-1,0)+MAX((D112)-1,0))&lt;6)),1,0)&amp;IF(AND((B112-1+C112+D112)&lt;9,OR((C112)=0,(MAX((B112-1)-1,0)+MAX((C112)-1,0)+MAX((D112)-1,0))&lt;6)),1,0)&amp;IF(AND((B112-1+C112+D112)&lt;9,OR((B112-1)=0,(MAX((B112-1)-1,0)+MAX((C112)-1,0)+MAX((D112)-1,0))&lt;6)),1,0))</x:f>
        <x:v>111</x:v>
      </x:c>
      <x:c r="K112" s="22" t="str">
        <x:f>IF(C112=0,"不可回收",IF(AND((B112+C112-1+D112)&lt;9,OR((D112)=0,(MAX((B112)-1,0)+MAX((C112-1)-1,0)+MAX((D112)-1,0))&lt;6)),1,0)&amp;IF(AND((B112+C112-1+D112)&lt;9,OR((C112-1)=0,(MAX((B112)-1,0)+MAX((C112-1)-1,0)+MAX((D112)-1,0))&lt;6)),1,0)&amp;IF(AND((B112+C112-1+D112)&lt;9,OR((B112)=0,(MAX((B112)-1,0)+MAX((C112-1)-1,0)+MAX((D112)-1,0))&lt;6)),1,0))</x:f>
        <x:v>111</x:v>
      </x:c>
      <x:c r="L112" s="22" t="str">
        <x:f>IF(D112=0,"不可回收",IF(AND((B112+C112+D112-1)&lt;9,OR((D112-1)=0,(MAX((B112)-1,0)+MAX((C112)-1,0)+MAX((D112-1)-1,0))&lt;6)),1,0)&amp;IF(AND((B112+C112+D112-1)&lt;9,OR((C112)=0,(MAX((B112)-1,0)+MAX((C112)-1,0)+MAX((D112-1)-1,0))&lt;6)),1,0)&amp;IF(AND((B112+C112+D112-1)&lt;9,OR((B112)=0,(MAX((B112)-1,0)+MAX((C112)-1,0)+MAX((D112-1)-1,0))&lt;6)),1,0))</x:f>
        <x:v>不可回收</x:v>
      </x:c>
      <x:c r="M112" s="18" t="n">
        <x:f>1+F112</x:f>
        <x:v>3</x:v>
      </x:c>
      <x:c r="N112" s="18" t="n">
        <x:f>COUNTIF('容量转换'!$B$8:$B$2447,A112)</x:f>
        <x:v>12</x:v>
      </x:c>
      <x:c r="O112" s="21" t="str">
        <x:f>IF(AND(MIN(B112:D112)&gt;=0,MAX(B112:D112)&lt;=7,H112&lt;=9),"合法","不合法")</x:f>
        <x:v>合法</x:v>
      </x:c>
    </x:row>
    <x:row r="113" ht="23" customHeight="1">
      <x:c r="A113" s="3" t="str">
        <x:v>ST-106</x:v>
      </x:c>
      <x:c r="B113" s="19" t="n">
        <x:v>3</x:v>
      </x:c>
      <x:c r="C113" s="19" t="n">
        <x:v>0</x:v>
      </x:c>
      <x:c r="D113" s="19" t="n">
        <x:v>4</x:v>
      </x:c>
      <x:c r="E113" s="20" t="n">
        <x:f>SUM(B113:D113)</x:f>
        <x:v>7</x:v>
      </x:c>
      <x:c r="F113" s="20" t="n">
        <x:f>COUNTIF(B113:D113,"&gt;0")</x:f>
        <x:v>2</x:v>
      </x:c>
      <x:c r="G113" s="20" t="n">
        <x:f>MAX(B113-1,0)+MAX(C113-1,0)+MAX(D113-1,0)</x:f>
        <x:v>5</x:v>
      </x:c>
      <x:c r="H113" s="20" t="n">
        <x:f>MAX(B113,1)+MAX(C113,1)+MAX(D113,1)</x:f>
        <x:v>8</x:v>
      </x:c>
      <x:c r="I113" s="22" t="str">
        <x:f>IF(AND((B113+C113+D113)&lt;9,OR((D113)=0,(MAX((B113)-1,0)+MAX((C113)-1,0)+MAX((D113)-1,0))&lt;6)),1,0)&amp;IF(AND((B113+C113+D113)&lt;9,OR((C113)=0,(MAX((B113)-1,0)+MAX((C113)-1,0)+MAX((D113)-1,0))&lt;6)),1,0)&amp;IF(AND((B113+C113+D113)&lt;9,OR((B113)=0,(MAX((B113)-1,0)+MAX((C113)-1,0)+MAX((D113)-1,0))&lt;6)),1,0)</x:f>
        <x:v>111</x:v>
      </x:c>
      <x:c r="J113" s="22" t="str">
        <x:f>IF(B113=0,"不可回收",IF(AND((B113-1+C113+D113)&lt;9,OR((D113)=0,(MAX((B113-1)-1,0)+MAX((C113)-1,0)+MAX((D113)-1,0))&lt;6)),1,0)&amp;IF(AND((B113-1+C113+D113)&lt;9,OR((C113)=0,(MAX((B113-1)-1,0)+MAX((C113)-1,0)+MAX((D113)-1,0))&lt;6)),1,0)&amp;IF(AND((B113-1+C113+D113)&lt;9,OR((B113-1)=0,(MAX((B113-1)-1,0)+MAX((C113)-1,0)+MAX((D113)-1,0))&lt;6)),1,0))</x:f>
        <x:v>111</x:v>
      </x:c>
      <x:c r="K113" s="22" t="str">
        <x:f>IF(C113=0,"不可回收",IF(AND((B113+C113-1+D113)&lt;9,OR((D113)=0,(MAX((B113)-1,0)+MAX((C113-1)-1,0)+MAX((D113)-1,0))&lt;6)),1,0)&amp;IF(AND((B113+C113-1+D113)&lt;9,OR((C113-1)=0,(MAX((B113)-1,0)+MAX((C113-1)-1,0)+MAX((D113)-1,0))&lt;6)),1,0)&amp;IF(AND((B113+C113-1+D113)&lt;9,OR((B113)=0,(MAX((B113)-1,0)+MAX((C113-1)-1,0)+MAX((D113)-1,0))&lt;6)),1,0))</x:f>
        <x:v>不可回收</x:v>
      </x:c>
      <x:c r="L113" s="22" t="str">
        <x:f>IF(D113=0,"不可回收",IF(AND((B113+C113+D113-1)&lt;9,OR((D113-1)=0,(MAX((B113)-1,0)+MAX((C113)-1,0)+MAX((D113-1)-1,0))&lt;6)),1,0)&amp;IF(AND((B113+C113+D113-1)&lt;9,OR((C113)=0,(MAX((B113)-1,0)+MAX((C113)-1,0)+MAX((D113-1)-1,0))&lt;6)),1,0)&amp;IF(AND((B113+C113+D113-1)&lt;9,OR((B113)=0,(MAX((B113)-1,0)+MAX((C113)-1,0)+MAX((D113-1)-1,0))&lt;6)),1,0))</x:f>
        <x:v>111</x:v>
      </x:c>
      <x:c r="M113" s="18" t="n">
        <x:f>1+F113</x:f>
        <x:v>3</x:v>
      </x:c>
      <x:c r="N113" s="18" t="n">
        <x:f>COUNTIF('容量转换'!$B$8:$B$2447,A113)</x:f>
        <x:v>12</x:v>
      </x:c>
      <x:c r="O113" s="21" t="str">
        <x:f>IF(AND(MIN(B113:D113)&gt;=0,MAX(B113:D113)&lt;=7,H113&lt;=9),"合法","不合法")</x:f>
        <x:v>合法</x:v>
      </x:c>
    </x:row>
    <x:row r="114" ht="23" customHeight="1">
      <x:c r="A114" s="3" t="str">
        <x:v>ST-107</x:v>
      </x:c>
      <x:c r="B114" s="19" t="n">
        <x:v>3</x:v>
      </x:c>
      <x:c r="C114" s="19" t="n">
        <x:v>1</x:v>
      </x:c>
      <x:c r="D114" s="19" t="n">
        <x:v>3</x:v>
      </x:c>
      <x:c r="E114" s="20" t="n">
        <x:f>SUM(B114:D114)</x:f>
        <x:v>7</x:v>
      </x:c>
      <x:c r="F114" s="20" t="n">
        <x:f>COUNTIF(B114:D114,"&gt;0")</x:f>
        <x:v>3</x:v>
      </x:c>
      <x:c r="G114" s="20" t="n">
        <x:f>MAX(B114-1,0)+MAX(C114-1,0)+MAX(D114-1,0)</x:f>
        <x:v>4</x:v>
      </x:c>
      <x:c r="H114" s="20" t="n">
        <x:f>MAX(B114,1)+MAX(C114,1)+MAX(D114,1)</x:f>
        <x:v>7</x:v>
      </x:c>
      <x:c r="I114" s="22" t="str">
        <x:f>IF(AND((B114+C114+D114)&lt;9,OR((D114)=0,(MAX((B114)-1,0)+MAX((C114)-1,0)+MAX((D114)-1,0))&lt;6)),1,0)&amp;IF(AND((B114+C114+D114)&lt;9,OR((C114)=0,(MAX((B114)-1,0)+MAX((C114)-1,0)+MAX((D114)-1,0))&lt;6)),1,0)&amp;IF(AND((B114+C114+D114)&lt;9,OR((B114)=0,(MAX((B114)-1,0)+MAX((C114)-1,0)+MAX((D114)-1,0))&lt;6)),1,0)</x:f>
        <x:v>111</x:v>
      </x:c>
      <x:c r="J114" s="22" t="str">
        <x:f>IF(B114=0,"不可回收",IF(AND((B114-1+C114+D114)&lt;9,OR((D114)=0,(MAX((B114-1)-1,0)+MAX((C114)-1,0)+MAX((D114)-1,0))&lt;6)),1,0)&amp;IF(AND((B114-1+C114+D114)&lt;9,OR((C114)=0,(MAX((B114-1)-1,0)+MAX((C114)-1,0)+MAX((D114)-1,0))&lt;6)),1,0)&amp;IF(AND((B114-1+C114+D114)&lt;9,OR((B114-1)=0,(MAX((B114-1)-1,0)+MAX((C114)-1,0)+MAX((D114)-1,0))&lt;6)),1,0))</x:f>
        <x:v>111</x:v>
      </x:c>
      <x:c r="K114" s="22" t="str">
        <x:f>IF(C114=0,"不可回收",IF(AND((B114+C114-1+D114)&lt;9,OR((D114)=0,(MAX((B114)-1,0)+MAX((C114-1)-1,0)+MAX((D114)-1,0))&lt;6)),1,0)&amp;IF(AND((B114+C114-1+D114)&lt;9,OR((C114-1)=0,(MAX((B114)-1,0)+MAX((C114-1)-1,0)+MAX((D114)-1,0))&lt;6)),1,0)&amp;IF(AND((B114+C114-1+D114)&lt;9,OR((B114)=0,(MAX((B114)-1,0)+MAX((C114-1)-1,0)+MAX((D114)-1,0))&lt;6)),1,0))</x:f>
        <x:v>111</x:v>
      </x:c>
      <x:c r="L114" s="22" t="str">
        <x:f>IF(D114=0,"不可回收",IF(AND((B114+C114+D114-1)&lt;9,OR((D114-1)=0,(MAX((B114)-1,0)+MAX((C114)-1,0)+MAX((D114-1)-1,0))&lt;6)),1,0)&amp;IF(AND((B114+C114+D114-1)&lt;9,OR((C114)=0,(MAX((B114)-1,0)+MAX((C114)-1,0)+MAX((D114-1)-1,0))&lt;6)),1,0)&amp;IF(AND((B114+C114+D114-1)&lt;9,OR((B114)=0,(MAX((B114)-1,0)+MAX((C114)-1,0)+MAX((D114-1)-1,0))&lt;6)),1,0))</x:f>
        <x:v>111</x:v>
      </x:c>
      <x:c r="M114" s="18" t="n">
        <x:f>1+F114</x:f>
        <x:v>4</x:v>
      </x:c>
      <x:c r="N114" s="18" t="n">
        <x:f>COUNTIF('容量转换'!$B$8:$B$2447,A114)</x:f>
        <x:v>16</x:v>
      </x:c>
      <x:c r="O114" s="21" t="str">
        <x:f>IF(AND(MIN(B114:D114)&gt;=0,MAX(B114:D114)&lt;=7,H114&lt;=9),"合法","不合法")</x:f>
        <x:v>合法</x:v>
      </x:c>
    </x:row>
    <x:row r="115" ht="23" customHeight="1">
      <x:c r="A115" s="3" t="str">
        <x:v>ST-108</x:v>
      </x:c>
      <x:c r="B115" s="19" t="n">
        <x:v>3</x:v>
      </x:c>
      <x:c r="C115" s="19" t="n">
        <x:v>2</x:v>
      </x:c>
      <x:c r="D115" s="19" t="n">
        <x:v>2</x:v>
      </x:c>
      <x:c r="E115" s="20" t="n">
        <x:f>SUM(B115:D115)</x:f>
        <x:v>7</x:v>
      </x:c>
      <x:c r="F115" s="20" t="n">
        <x:f>COUNTIF(B115:D115,"&gt;0")</x:f>
        <x:v>3</x:v>
      </x:c>
      <x:c r="G115" s="20" t="n">
        <x:f>MAX(B115-1,0)+MAX(C115-1,0)+MAX(D115-1,0)</x:f>
        <x:v>4</x:v>
      </x:c>
      <x:c r="H115" s="20" t="n">
        <x:f>MAX(B115,1)+MAX(C115,1)+MAX(D115,1)</x:f>
        <x:v>7</x:v>
      </x:c>
      <x:c r="I115" s="22" t="str">
        <x:f>IF(AND((B115+C115+D115)&lt;9,OR((D115)=0,(MAX((B115)-1,0)+MAX((C115)-1,0)+MAX((D115)-1,0))&lt;6)),1,0)&amp;IF(AND((B115+C115+D115)&lt;9,OR((C115)=0,(MAX((B115)-1,0)+MAX((C115)-1,0)+MAX((D115)-1,0))&lt;6)),1,0)&amp;IF(AND((B115+C115+D115)&lt;9,OR((B115)=0,(MAX((B115)-1,0)+MAX((C115)-1,0)+MAX((D115)-1,0))&lt;6)),1,0)</x:f>
        <x:v>111</x:v>
      </x:c>
      <x:c r="J115" s="22" t="str">
        <x:f>IF(B115=0,"不可回收",IF(AND((B115-1+C115+D115)&lt;9,OR((D115)=0,(MAX((B115-1)-1,0)+MAX((C115)-1,0)+MAX((D115)-1,0))&lt;6)),1,0)&amp;IF(AND((B115-1+C115+D115)&lt;9,OR((C115)=0,(MAX((B115-1)-1,0)+MAX((C115)-1,0)+MAX((D115)-1,0))&lt;6)),1,0)&amp;IF(AND((B115-1+C115+D115)&lt;9,OR((B115-1)=0,(MAX((B115-1)-1,0)+MAX((C115)-1,0)+MAX((D115)-1,0))&lt;6)),1,0))</x:f>
        <x:v>111</x:v>
      </x:c>
      <x:c r="K115" s="22" t="str">
        <x:f>IF(C115=0,"不可回收",IF(AND((B115+C115-1+D115)&lt;9,OR((D115)=0,(MAX((B115)-1,0)+MAX((C115-1)-1,0)+MAX((D115)-1,0))&lt;6)),1,0)&amp;IF(AND((B115+C115-1+D115)&lt;9,OR((C115-1)=0,(MAX((B115)-1,0)+MAX((C115-1)-1,0)+MAX((D115)-1,0))&lt;6)),1,0)&amp;IF(AND((B115+C115-1+D115)&lt;9,OR((B115)=0,(MAX((B115)-1,0)+MAX((C115-1)-1,0)+MAX((D115)-1,0))&lt;6)),1,0))</x:f>
        <x:v>111</x:v>
      </x:c>
      <x:c r="L115" s="22" t="str">
        <x:f>IF(D115=0,"不可回收",IF(AND((B115+C115+D115-1)&lt;9,OR((D115-1)=0,(MAX((B115)-1,0)+MAX((C115)-1,0)+MAX((D115-1)-1,0))&lt;6)),1,0)&amp;IF(AND((B115+C115+D115-1)&lt;9,OR((C115)=0,(MAX((B115)-1,0)+MAX((C115)-1,0)+MAX((D115-1)-1,0))&lt;6)),1,0)&amp;IF(AND((B115+C115+D115-1)&lt;9,OR((B115)=0,(MAX((B115)-1,0)+MAX((C115)-1,0)+MAX((D115-1)-1,0))&lt;6)),1,0))</x:f>
        <x:v>111</x:v>
      </x:c>
      <x:c r="M115" s="18" t="n">
        <x:f>1+F115</x:f>
        <x:v>4</x:v>
      </x:c>
      <x:c r="N115" s="18" t="n">
        <x:f>COUNTIF('容量转换'!$B$8:$B$2447,A115)</x:f>
        <x:v>16</x:v>
      </x:c>
      <x:c r="O115" s="21" t="str">
        <x:f>IF(AND(MIN(B115:D115)&gt;=0,MAX(B115:D115)&lt;=7,H115&lt;=9),"合法","不合法")</x:f>
        <x:v>合法</x:v>
      </x:c>
    </x:row>
    <x:row r="116" ht="23" customHeight="1">
      <x:c r="A116" s="3" t="str">
        <x:v>ST-109</x:v>
      </x:c>
      <x:c r="B116" s="19" t="n">
        <x:v>3</x:v>
      </x:c>
      <x:c r="C116" s="19" t="n">
        <x:v>3</x:v>
      </x:c>
      <x:c r="D116" s="19" t="n">
        <x:v>1</x:v>
      </x:c>
      <x:c r="E116" s="20" t="n">
        <x:f>SUM(B116:D116)</x:f>
        <x:v>7</x:v>
      </x:c>
      <x:c r="F116" s="20" t="n">
        <x:f>COUNTIF(B116:D116,"&gt;0")</x:f>
        <x:v>3</x:v>
      </x:c>
      <x:c r="G116" s="20" t="n">
        <x:f>MAX(B116-1,0)+MAX(C116-1,0)+MAX(D116-1,0)</x:f>
        <x:v>4</x:v>
      </x:c>
      <x:c r="H116" s="20" t="n">
        <x:f>MAX(B116,1)+MAX(C116,1)+MAX(D116,1)</x:f>
        <x:v>7</x:v>
      </x:c>
      <x:c r="I116" s="22" t="str">
        <x:f>IF(AND((B116+C116+D116)&lt;9,OR((D116)=0,(MAX((B116)-1,0)+MAX((C116)-1,0)+MAX((D116)-1,0))&lt;6)),1,0)&amp;IF(AND((B116+C116+D116)&lt;9,OR((C116)=0,(MAX((B116)-1,0)+MAX((C116)-1,0)+MAX((D116)-1,0))&lt;6)),1,0)&amp;IF(AND((B116+C116+D116)&lt;9,OR((B116)=0,(MAX((B116)-1,0)+MAX((C116)-1,0)+MAX((D116)-1,0))&lt;6)),1,0)</x:f>
        <x:v>111</x:v>
      </x:c>
      <x:c r="J116" s="22" t="str">
        <x:f>IF(B116=0,"不可回收",IF(AND((B116-1+C116+D116)&lt;9,OR((D116)=0,(MAX((B116-1)-1,0)+MAX((C116)-1,0)+MAX((D116)-1,0))&lt;6)),1,0)&amp;IF(AND((B116-1+C116+D116)&lt;9,OR((C116)=0,(MAX((B116-1)-1,0)+MAX((C116)-1,0)+MAX((D116)-1,0))&lt;6)),1,0)&amp;IF(AND((B116-1+C116+D116)&lt;9,OR((B116-1)=0,(MAX((B116-1)-1,0)+MAX((C116)-1,0)+MAX((D116)-1,0))&lt;6)),1,0))</x:f>
        <x:v>111</x:v>
      </x:c>
      <x:c r="K116" s="22" t="str">
        <x:f>IF(C116=0,"不可回收",IF(AND((B116+C116-1+D116)&lt;9,OR((D116)=0,(MAX((B116)-1,0)+MAX((C116-1)-1,0)+MAX((D116)-1,0))&lt;6)),1,0)&amp;IF(AND((B116+C116-1+D116)&lt;9,OR((C116-1)=0,(MAX((B116)-1,0)+MAX((C116-1)-1,0)+MAX((D116)-1,0))&lt;6)),1,0)&amp;IF(AND((B116+C116-1+D116)&lt;9,OR((B116)=0,(MAX((B116)-1,0)+MAX((C116-1)-1,0)+MAX((D116)-1,0))&lt;6)),1,0))</x:f>
        <x:v>111</x:v>
      </x:c>
      <x:c r="L116" s="22" t="str">
        <x:f>IF(D116=0,"不可回收",IF(AND((B116+C116+D116-1)&lt;9,OR((D116-1)=0,(MAX((B116)-1,0)+MAX((C116)-1,0)+MAX((D116-1)-1,0))&lt;6)),1,0)&amp;IF(AND((B116+C116+D116-1)&lt;9,OR((C116)=0,(MAX((B116)-1,0)+MAX((C116)-1,0)+MAX((D116-1)-1,0))&lt;6)),1,0)&amp;IF(AND((B116+C116+D116-1)&lt;9,OR((B116)=0,(MAX((B116)-1,0)+MAX((C116)-1,0)+MAX((D116-1)-1,0))&lt;6)),1,0))</x:f>
        <x:v>111</x:v>
      </x:c>
      <x:c r="M116" s="18" t="n">
        <x:f>1+F116</x:f>
        <x:v>4</x:v>
      </x:c>
      <x:c r="N116" s="18" t="n">
        <x:f>COUNTIF('容量转换'!$B$8:$B$2447,A116)</x:f>
        <x:v>16</x:v>
      </x:c>
      <x:c r="O116" s="21" t="str">
        <x:f>IF(AND(MIN(B116:D116)&gt;=0,MAX(B116:D116)&lt;=7,H116&lt;=9),"合法","不合法")</x:f>
        <x:v>合法</x:v>
      </x:c>
    </x:row>
    <x:row r="117" ht="23" customHeight="1">
      <x:c r="A117" s="3" t="str">
        <x:v>ST-110</x:v>
      </x:c>
      <x:c r="B117" s="19" t="n">
        <x:v>3</x:v>
      </x:c>
      <x:c r="C117" s="19" t="n">
        <x:v>4</x:v>
      </x:c>
      <x:c r="D117" s="19" t="n">
        <x:v>0</x:v>
      </x:c>
      <x:c r="E117" s="20" t="n">
        <x:f>SUM(B117:D117)</x:f>
        <x:v>7</x:v>
      </x:c>
      <x:c r="F117" s="20" t="n">
        <x:f>COUNTIF(B117:D117,"&gt;0")</x:f>
        <x:v>2</x:v>
      </x:c>
      <x:c r="G117" s="20" t="n">
        <x:f>MAX(B117-1,0)+MAX(C117-1,0)+MAX(D117-1,0)</x:f>
        <x:v>5</x:v>
      </x:c>
      <x:c r="H117" s="20" t="n">
        <x:f>MAX(B117,1)+MAX(C117,1)+MAX(D117,1)</x:f>
        <x:v>8</x:v>
      </x:c>
      <x:c r="I117" s="22" t="str">
        <x:f>IF(AND((B117+C117+D117)&lt;9,OR((D117)=0,(MAX((B117)-1,0)+MAX((C117)-1,0)+MAX((D117)-1,0))&lt;6)),1,0)&amp;IF(AND((B117+C117+D117)&lt;9,OR((C117)=0,(MAX((B117)-1,0)+MAX((C117)-1,0)+MAX((D117)-1,0))&lt;6)),1,0)&amp;IF(AND((B117+C117+D117)&lt;9,OR((B117)=0,(MAX((B117)-1,0)+MAX((C117)-1,0)+MAX((D117)-1,0))&lt;6)),1,0)</x:f>
        <x:v>111</x:v>
      </x:c>
      <x:c r="J117" s="22" t="str">
        <x:f>IF(B117=0,"不可回收",IF(AND((B117-1+C117+D117)&lt;9,OR((D117)=0,(MAX((B117-1)-1,0)+MAX((C117)-1,0)+MAX((D117)-1,0))&lt;6)),1,0)&amp;IF(AND((B117-1+C117+D117)&lt;9,OR((C117)=0,(MAX((B117-1)-1,0)+MAX((C117)-1,0)+MAX((D117)-1,0))&lt;6)),1,0)&amp;IF(AND((B117-1+C117+D117)&lt;9,OR((B117-1)=0,(MAX((B117-1)-1,0)+MAX((C117)-1,0)+MAX((D117)-1,0))&lt;6)),1,0))</x:f>
        <x:v>111</x:v>
      </x:c>
      <x:c r="K117" s="22" t="str">
        <x:f>IF(C117=0,"不可回收",IF(AND((B117+C117-1+D117)&lt;9,OR((D117)=0,(MAX((B117)-1,0)+MAX((C117-1)-1,0)+MAX((D117)-1,0))&lt;6)),1,0)&amp;IF(AND((B117+C117-1+D117)&lt;9,OR((C117-1)=0,(MAX((B117)-1,0)+MAX((C117-1)-1,0)+MAX((D117)-1,0))&lt;6)),1,0)&amp;IF(AND((B117+C117-1+D117)&lt;9,OR((B117)=0,(MAX((B117)-1,0)+MAX((C117-1)-1,0)+MAX((D117)-1,0))&lt;6)),1,0))</x:f>
        <x:v>111</x:v>
      </x:c>
      <x:c r="L117" s="22" t="str">
        <x:f>IF(D117=0,"不可回收",IF(AND((B117+C117+D117-1)&lt;9,OR((D117-1)=0,(MAX((B117)-1,0)+MAX((C117)-1,0)+MAX((D117-1)-1,0))&lt;6)),1,0)&amp;IF(AND((B117+C117+D117-1)&lt;9,OR((C117)=0,(MAX((B117)-1,0)+MAX((C117)-1,0)+MAX((D117-1)-1,0))&lt;6)),1,0)&amp;IF(AND((B117+C117+D117-1)&lt;9,OR((B117)=0,(MAX((B117)-1,0)+MAX((C117)-1,0)+MAX((D117-1)-1,0))&lt;6)),1,0))</x:f>
        <x:v>不可回收</x:v>
      </x:c>
      <x:c r="M117" s="18" t="n">
        <x:f>1+F117</x:f>
        <x:v>3</x:v>
      </x:c>
      <x:c r="N117" s="18" t="n">
        <x:f>COUNTIF('容量转换'!$B$8:$B$2447,A117)</x:f>
        <x:v>12</x:v>
      </x:c>
      <x:c r="O117" s="21" t="str">
        <x:f>IF(AND(MIN(B117:D117)&gt;=0,MAX(B117:D117)&lt;=7,H117&lt;=9),"合法","不合法")</x:f>
        <x:v>合法</x:v>
      </x:c>
    </x:row>
    <x:row r="118" ht="23" customHeight="1">
      <x:c r="A118" s="3" t="str">
        <x:v>ST-111</x:v>
      </x:c>
      <x:c r="B118" s="19" t="n">
        <x:v>4</x:v>
      </x:c>
      <x:c r="C118" s="19" t="n">
        <x:v>0</x:v>
      </x:c>
      <x:c r="D118" s="19" t="n">
        <x:v>3</x:v>
      </x:c>
      <x:c r="E118" s="20" t="n">
        <x:f>SUM(B118:D118)</x:f>
        <x:v>7</x:v>
      </x:c>
      <x:c r="F118" s="20" t="n">
        <x:f>COUNTIF(B118:D118,"&gt;0")</x:f>
        <x:v>2</x:v>
      </x:c>
      <x:c r="G118" s="20" t="n">
        <x:f>MAX(B118-1,0)+MAX(C118-1,0)+MAX(D118-1,0)</x:f>
        <x:v>5</x:v>
      </x:c>
      <x:c r="H118" s="20" t="n">
        <x:f>MAX(B118,1)+MAX(C118,1)+MAX(D118,1)</x:f>
        <x:v>8</x:v>
      </x:c>
      <x:c r="I118" s="22" t="str">
        <x:f>IF(AND((B118+C118+D118)&lt;9,OR((D118)=0,(MAX((B118)-1,0)+MAX((C118)-1,0)+MAX((D118)-1,0))&lt;6)),1,0)&amp;IF(AND((B118+C118+D118)&lt;9,OR((C118)=0,(MAX((B118)-1,0)+MAX((C118)-1,0)+MAX((D118)-1,0))&lt;6)),1,0)&amp;IF(AND((B118+C118+D118)&lt;9,OR((B118)=0,(MAX((B118)-1,0)+MAX((C118)-1,0)+MAX((D118)-1,0))&lt;6)),1,0)</x:f>
        <x:v>111</x:v>
      </x:c>
      <x:c r="J118" s="22" t="str">
        <x:f>IF(B118=0,"不可回收",IF(AND((B118-1+C118+D118)&lt;9,OR((D118)=0,(MAX((B118-1)-1,0)+MAX((C118)-1,0)+MAX((D118)-1,0))&lt;6)),1,0)&amp;IF(AND((B118-1+C118+D118)&lt;9,OR((C118)=0,(MAX((B118-1)-1,0)+MAX((C118)-1,0)+MAX((D118)-1,0))&lt;6)),1,0)&amp;IF(AND((B118-1+C118+D118)&lt;9,OR((B118-1)=0,(MAX((B118-1)-1,0)+MAX((C118)-1,0)+MAX((D118)-1,0))&lt;6)),1,0))</x:f>
        <x:v>111</x:v>
      </x:c>
      <x:c r="K118" s="22" t="str">
        <x:f>IF(C118=0,"不可回收",IF(AND((B118+C118-1+D118)&lt;9,OR((D118)=0,(MAX((B118)-1,0)+MAX((C118-1)-1,0)+MAX((D118)-1,0))&lt;6)),1,0)&amp;IF(AND((B118+C118-1+D118)&lt;9,OR((C118-1)=0,(MAX((B118)-1,0)+MAX((C118-1)-1,0)+MAX((D118)-1,0))&lt;6)),1,0)&amp;IF(AND((B118+C118-1+D118)&lt;9,OR((B118)=0,(MAX((B118)-1,0)+MAX((C118-1)-1,0)+MAX((D118)-1,0))&lt;6)),1,0))</x:f>
        <x:v>不可回收</x:v>
      </x:c>
      <x:c r="L118" s="22" t="str">
        <x:f>IF(D118=0,"不可回收",IF(AND((B118+C118+D118-1)&lt;9,OR((D118-1)=0,(MAX((B118)-1,0)+MAX((C118)-1,0)+MAX((D118-1)-1,0))&lt;6)),1,0)&amp;IF(AND((B118+C118+D118-1)&lt;9,OR((C118)=0,(MAX((B118)-1,0)+MAX((C118)-1,0)+MAX((D118-1)-1,0))&lt;6)),1,0)&amp;IF(AND((B118+C118+D118-1)&lt;9,OR((B118)=0,(MAX((B118)-1,0)+MAX((C118)-1,0)+MAX((D118-1)-1,0))&lt;6)),1,0))</x:f>
        <x:v>111</x:v>
      </x:c>
      <x:c r="M118" s="18" t="n">
        <x:f>1+F118</x:f>
        <x:v>3</x:v>
      </x:c>
      <x:c r="N118" s="18" t="n">
        <x:f>COUNTIF('容量转换'!$B$8:$B$2447,A118)</x:f>
        <x:v>12</x:v>
      </x:c>
      <x:c r="O118" s="21" t="str">
        <x:f>IF(AND(MIN(B118:D118)&gt;=0,MAX(B118:D118)&lt;=7,H118&lt;=9),"合法","不合法")</x:f>
        <x:v>合法</x:v>
      </x:c>
    </x:row>
    <x:row r="119" ht="23" customHeight="1">
      <x:c r="A119" s="3" t="str">
        <x:v>ST-112</x:v>
      </x:c>
      <x:c r="B119" s="19" t="n">
        <x:v>4</x:v>
      </x:c>
      <x:c r="C119" s="19" t="n">
        <x:v>1</x:v>
      </x:c>
      <x:c r="D119" s="19" t="n">
        <x:v>2</x:v>
      </x:c>
      <x:c r="E119" s="20" t="n">
        <x:f>SUM(B119:D119)</x:f>
        <x:v>7</x:v>
      </x:c>
      <x:c r="F119" s="20" t="n">
        <x:f>COUNTIF(B119:D119,"&gt;0")</x:f>
        <x:v>3</x:v>
      </x:c>
      <x:c r="G119" s="20" t="n">
        <x:f>MAX(B119-1,0)+MAX(C119-1,0)+MAX(D119-1,0)</x:f>
        <x:v>4</x:v>
      </x:c>
      <x:c r="H119" s="20" t="n">
        <x:f>MAX(B119,1)+MAX(C119,1)+MAX(D119,1)</x:f>
        <x:v>7</x:v>
      </x:c>
      <x:c r="I119" s="22" t="str">
        <x:f>IF(AND((B119+C119+D119)&lt;9,OR((D119)=0,(MAX((B119)-1,0)+MAX((C119)-1,0)+MAX((D119)-1,0))&lt;6)),1,0)&amp;IF(AND((B119+C119+D119)&lt;9,OR((C119)=0,(MAX((B119)-1,0)+MAX((C119)-1,0)+MAX((D119)-1,0))&lt;6)),1,0)&amp;IF(AND((B119+C119+D119)&lt;9,OR((B119)=0,(MAX((B119)-1,0)+MAX((C119)-1,0)+MAX((D119)-1,0))&lt;6)),1,0)</x:f>
        <x:v>111</x:v>
      </x:c>
      <x:c r="J119" s="22" t="str">
        <x:f>IF(B119=0,"不可回收",IF(AND((B119-1+C119+D119)&lt;9,OR((D119)=0,(MAX((B119-1)-1,0)+MAX((C119)-1,0)+MAX((D119)-1,0))&lt;6)),1,0)&amp;IF(AND((B119-1+C119+D119)&lt;9,OR((C119)=0,(MAX((B119-1)-1,0)+MAX((C119)-1,0)+MAX((D119)-1,0))&lt;6)),1,0)&amp;IF(AND((B119-1+C119+D119)&lt;9,OR((B119-1)=0,(MAX((B119-1)-1,0)+MAX((C119)-1,0)+MAX((D119)-1,0))&lt;6)),1,0))</x:f>
        <x:v>111</x:v>
      </x:c>
      <x:c r="K119" s="22" t="str">
        <x:f>IF(C119=0,"不可回收",IF(AND((B119+C119-1+D119)&lt;9,OR((D119)=0,(MAX((B119)-1,0)+MAX((C119-1)-1,0)+MAX((D119)-1,0))&lt;6)),1,0)&amp;IF(AND((B119+C119-1+D119)&lt;9,OR((C119-1)=0,(MAX((B119)-1,0)+MAX((C119-1)-1,0)+MAX((D119)-1,0))&lt;6)),1,0)&amp;IF(AND((B119+C119-1+D119)&lt;9,OR((B119)=0,(MAX((B119)-1,0)+MAX((C119-1)-1,0)+MAX((D119)-1,0))&lt;6)),1,0))</x:f>
        <x:v>111</x:v>
      </x:c>
      <x:c r="L119" s="22" t="str">
        <x:f>IF(D119=0,"不可回收",IF(AND((B119+C119+D119-1)&lt;9,OR((D119-1)=0,(MAX((B119)-1,0)+MAX((C119)-1,0)+MAX((D119-1)-1,0))&lt;6)),1,0)&amp;IF(AND((B119+C119+D119-1)&lt;9,OR((C119)=0,(MAX((B119)-1,0)+MAX((C119)-1,0)+MAX((D119-1)-1,0))&lt;6)),1,0)&amp;IF(AND((B119+C119+D119-1)&lt;9,OR((B119)=0,(MAX((B119)-1,0)+MAX((C119)-1,0)+MAX((D119-1)-1,0))&lt;6)),1,0))</x:f>
        <x:v>111</x:v>
      </x:c>
      <x:c r="M119" s="18" t="n">
        <x:f>1+F119</x:f>
        <x:v>4</x:v>
      </x:c>
      <x:c r="N119" s="18" t="n">
        <x:f>COUNTIF('容量转换'!$B$8:$B$2447,A119)</x:f>
        <x:v>16</x:v>
      </x:c>
      <x:c r="O119" s="21" t="str">
        <x:f>IF(AND(MIN(B119:D119)&gt;=0,MAX(B119:D119)&lt;=7,H119&lt;=9),"合法","不合法")</x:f>
        <x:v>合法</x:v>
      </x:c>
    </x:row>
    <x:row r="120" ht="23" customHeight="1">
      <x:c r="A120" s="3" t="str">
        <x:v>ST-113</x:v>
      </x:c>
      <x:c r="B120" s="19" t="n">
        <x:v>4</x:v>
      </x:c>
      <x:c r="C120" s="19" t="n">
        <x:v>2</x:v>
      </x:c>
      <x:c r="D120" s="19" t="n">
        <x:v>1</x:v>
      </x:c>
      <x:c r="E120" s="20" t="n">
        <x:f>SUM(B120:D120)</x:f>
        <x:v>7</x:v>
      </x:c>
      <x:c r="F120" s="20" t="n">
        <x:f>COUNTIF(B120:D120,"&gt;0")</x:f>
        <x:v>3</x:v>
      </x:c>
      <x:c r="G120" s="20" t="n">
        <x:f>MAX(B120-1,0)+MAX(C120-1,0)+MAX(D120-1,0)</x:f>
        <x:v>4</x:v>
      </x:c>
      <x:c r="H120" s="20" t="n">
        <x:f>MAX(B120,1)+MAX(C120,1)+MAX(D120,1)</x:f>
        <x:v>7</x:v>
      </x:c>
      <x:c r="I120" s="22" t="str">
        <x:f>IF(AND((B120+C120+D120)&lt;9,OR((D120)=0,(MAX((B120)-1,0)+MAX((C120)-1,0)+MAX((D120)-1,0))&lt;6)),1,0)&amp;IF(AND((B120+C120+D120)&lt;9,OR((C120)=0,(MAX((B120)-1,0)+MAX((C120)-1,0)+MAX((D120)-1,0))&lt;6)),1,0)&amp;IF(AND((B120+C120+D120)&lt;9,OR((B120)=0,(MAX((B120)-1,0)+MAX((C120)-1,0)+MAX((D120)-1,0))&lt;6)),1,0)</x:f>
        <x:v>111</x:v>
      </x:c>
      <x:c r="J120" s="22" t="str">
        <x:f>IF(B120=0,"不可回收",IF(AND((B120-1+C120+D120)&lt;9,OR((D120)=0,(MAX((B120-1)-1,0)+MAX((C120)-1,0)+MAX((D120)-1,0))&lt;6)),1,0)&amp;IF(AND((B120-1+C120+D120)&lt;9,OR((C120)=0,(MAX((B120-1)-1,0)+MAX((C120)-1,0)+MAX((D120)-1,0))&lt;6)),1,0)&amp;IF(AND((B120-1+C120+D120)&lt;9,OR((B120-1)=0,(MAX((B120-1)-1,0)+MAX((C120)-1,0)+MAX((D120)-1,0))&lt;6)),1,0))</x:f>
        <x:v>111</x:v>
      </x:c>
      <x:c r="K120" s="22" t="str">
        <x:f>IF(C120=0,"不可回收",IF(AND((B120+C120-1+D120)&lt;9,OR((D120)=0,(MAX((B120)-1,0)+MAX((C120-1)-1,0)+MAX((D120)-1,0))&lt;6)),1,0)&amp;IF(AND((B120+C120-1+D120)&lt;9,OR((C120-1)=0,(MAX((B120)-1,0)+MAX((C120-1)-1,0)+MAX((D120)-1,0))&lt;6)),1,0)&amp;IF(AND((B120+C120-1+D120)&lt;9,OR((B120)=0,(MAX((B120)-1,0)+MAX((C120-1)-1,0)+MAX((D120)-1,0))&lt;6)),1,0))</x:f>
        <x:v>111</x:v>
      </x:c>
      <x:c r="L120" s="22" t="str">
        <x:f>IF(D120=0,"不可回收",IF(AND((B120+C120+D120-1)&lt;9,OR((D120-1)=0,(MAX((B120)-1,0)+MAX((C120)-1,0)+MAX((D120-1)-1,0))&lt;6)),1,0)&amp;IF(AND((B120+C120+D120-1)&lt;9,OR((C120)=0,(MAX((B120)-1,0)+MAX((C120)-1,0)+MAX((D120-1)-1,0))&lt;6)),1,0)&amp;IF(AND((B120+C120+D120-1)&lt;9,OR((B120)=0,(MAX((B120)-1,0)+MAX((C120)-1,0)+MAX((D120-1)-1,0))&lt;6)),1,0))</x:f>
        <x:v>111</x:v>
      </x:c>
      <x:c r="M120" s="18" t="n">
        <x:f>1+F120</x:f>
        <x:v>4</x:v>
      </x:c>
      <x:c r="N120" s="18" t="n">
        <x:f>COUNTIF('容量转换'!$B$8:$B$2447,A120)</x:f>
        <x:v>16</x:v>
      </x:c>
      <x:c r="O120" s="21" t="str">
        <x:f>IF(AND(MIN(B120:D120)&gt;=0,MAX(B120:D120)&lt;=7,H120&lt;=9),"合法","不合法")</x:f>
        <x:v>合法</x:v>
      </x:c>
    </x:row>
    <x:row r="121" ht="23" customHeight="1">
      <x:c r="A121" s="3" t="str">
        <x:v>ST-114</x:v>
      </x:c>
      <x:c r="B121" s="19" t="n">
        <x:v>4</x:v>
      </x:c>
      <x:c r="C121" s="19" t="n">
        <x:v>3</x:v>
      </x:c>
      <x:c r="D121" s="19" t="n">
        <x:v>0</x:v>
      </x:c>
      <x:c r="E121" s="20" t="n">
        <x:f>SUM(B121:D121)</x:f>
        <x:v>7</x:v>
      </x:c>
      <x:c r="F121" s="20" t="n">
        <x:f>COUNTIF(B121:D121,"&gt;0")</x:f>
        <x:v>2</x:v>
      </x:c>
      <x:c r="G121" s="20" t="n">
        <x:f>MAX(B121-1,0)+MAX(C121-1,0)+MAX(D121-1,0)</x:f>
        <x:v>5</x:v>
      </x:c>
      <x:c r="H121" s="20" t="n">
        <x:f>MAX(B121,1)+MAX(C121,1)+MAX(D121,1)</x:f>
        <x:v>8</x:v>
      </x:c>
      <x:c r="I121" s="22" t="str">
        <x:f>IF(AND((B121+C121+D121)&lt;9,OR((D121)=0,(MAX((B121)-1,0)+MAX((C121)-1,0)+MAX((D121)-1,0))&lt;6)),1,0)&amp;IF(AND((B121+C121+D121)&lt;9,OR((C121)=0,(MAX((B121)-1,0)+MAX((C121)-1,0)+MAX((D121)-1,0))&lt;6)),1,0)&amp;IF(AND((B121+C121+D121)&lt;9,OR((B121)=0,(MAX((B121)-1,0)+MAX((C121)-1,0)+MAX((D121)-1,0))&lt;6)),1,0)</x:f>
        <x:v>111</x:v>
      </x:c>
      <x:c r="J121" s="22" t="str">
        <x:f>IF(B121=0,"不可回收",IF(AND((B121-1+C121+D121)&lt;9,OR((D121)=0,(MAX((B121-1)-1,0)+MAX((C121)-1,0)+MAX((D121)-1,0))&lt;6)),1,0)&amp;IF(AND((B121-1+C121+D121)&lt;9,OR((C121)=0,(MAX((B121-1)-1,0)+MAX((C121)-1,0)+MAX((D121)-1,0))&lt;6)),1,0)&amp;IF(AND((B121-1+C121+D121)&lt;9,OR((B121-1)=0,(MAX((B121-1)-1,0)+MAX((C121)-1,0)+MAX((D121)-1,0))&lt;6)),1,0))</x:f>
        <x:v>111</x:v>
      </x:c>
      <x:c r="K121" s="22" t="str">
        <x:f>IF(C121=0,"不可回收",IF(AND((B121+C121-1+D121)&lt;9,OR((D121)=0,(MAX((B121)-1,0)+MAX((C121-1)-1,0)+MAX((D121)-1,0))&lt;6)),1,0)&amp;IF(AND((B121+C121-1+D121)&lt;9,OR((C121-1)=0,(MAX((B121)-1,0)+MAX((C121-1)-1,0)+MAX((D121)-1,0))&lt;6)),1,0)&amp;IF(AND((B121+C121-1+D121)&lt;9,OR((B121)=0,(MAX((B121)-1,0)+MAX((C121-1)-1,0)+MAX((D121)-1,0))&lt;6)),1,0))</x:f>
        <x:v>111</x:v>
      </x:c>
      <x:c r="L121" s="22" t="str">
        <x:f>IF(D121=0,"不可回收",IF(AND((B121+C121+D121-1)&lt;9,OR((D121-1)=0,(MAX((B121)-1,0)+MAX((C121)-1,0)+MAX((D121-1)-1,0))&lt;6)),1,0)&amp;IF(AND((B121+C121+D121-1)&lt;9,OR((C121)=0,(MAX((B121)-1,0)+MAX((C121)-1,0)+MAX((D121-1)-1,0))&lt;6)),1,0)&amp;IF(AND((B121+C121+D121-1)&lt;9,OR((B121)=0,(MAX((B121)-1,0)+MAX((C121)-1,0)+MAX((D121-1)-1,0))&lt;6)),1,0))</x:f>
        <x:v>不可回收</x:v>
      </x:c>
      <x:c r="M121" s="18" t="n">
        <x:f>1+F121</x:f>
        <x:v>3</x:v>
      </x:c>
      <x:c r="N121" s="18" t="n">
        <x:f>COUNTIF('容量转换'!$B$8:$B$2447,A121)</x:f>
        <x:v>12</x:v>
      </x:c>
      <x:c r="O121" s="21" t="str">
        <x:f>IF(AND(MIN(B121:D121)&gt;=0,MAX(B121:D121)&lt;=7,H121&lt;=9),"合法","不合法")</x:f>
        <x:v>合法</x:v>
      </x:c>
    </x:row>
    <x:row r="122" ht="23" customHeight="1">
      <x:c r="A122" s="3" t="str">
        <x:v>ST-115</x:v>
      </x:c>
      <x:c r="B122" s="19" t="n">
        <x:v>5</x:v>
      </x:c>
      <x:c r="C122" s="19" t="n">
        <x:v>0</x:v>
      </x:c>
      <x:c r="D122" s="19" t="n">
        <x:v>2</x:v>
      </x:c>
      <x:c r="E122" s="20" t="n">
        <x:f>SUM(B122:D122)</x:f>
        <x:v>7</x:v>
      </x:c>
      <x:c r="F122" s="20" t="n">
        <x:f>COUNTIF(B122:D122,"&gt;0")</x:f>
        <x:v>2</x:v>
      </x:c>
      <x:c r="G122" s="20" t="n">
        <x:f>MAX(B122-1,0)+MAX(C122-1,0)+MAX(D122-1,0)</x:f>
        <x:v>5</x:v>
      </x:c>
      <x:c r="H122" s="20" t="n">
        <x:f>MAX(B122,1)+MAX(C122,1)+MAX(D122,1)</x:f>
        <x:v>8</x:v>
      </x:c>
      <x:c r="I122" s="22" t="str">
        <x:f>IF(AND((B122+C122+D122)&lt;9,OR((D122)=0,(MAX((B122)-1,0)+MAX((C122)-1,0)+MAX((D122)-1,0))&lt;6)),1,0)&amp;IF(AND((B122+C122+D122)&lt;9,OR((C122)=0,(MAX((B122)-1,0)+MAX((C122)-1,0)+MAX((D122)-1,0))&lt;6)),1,0)&amp;IF(AND((B122+C122+D122)&lt;9,OR((B122)=0,(MAX((B122)-1,0)+MAX((C122)-1,0)+MAX((D122)-1,0))&lt;6)),1,0)</x:f>
        <x:v>111</x:v>
      </x:c>
      <x:c r="J122" s="22" t="str">
        <x:f>IF(B122=0,"不可回收",IF(AND((B122-1+C122+D122)&lt;9,OR((D122)=0,(MAX((B122-1)-1,0)+MAX((C122)-1,0)+MAX((D122)-1,0))&lt;6)),1,0)&amp;IF(AND((B122-1+C122+D122)&lt;9,OR((C122)=0,(MAX((B122-1)-1,0)+MAX((C122)-1,0)+MAX((D122)-1,0))&lt;6)),1,0)&amp;IF(AND((B122-1+C122+D122)&lt;9,OR((B122-1)=0,(MAX((B122-1)-1,0)+MAX((C122)-1,0)+MAX((D122)-1,0))&lt;6)),1,0))</x:f>
        <x:v>111</x:v>
      </x:c>
      <x:c r="K122" s="22" t="str">
        <x:f>IF(C122=0,"不可回收",IF(AND((B122+C122-1+D122)&lt;9,OR((D122)=0,(MAX((B122)-1,0)+MAX((C122-1)-1,0)+MAX((D122)-1,0))&lt;6)),1,0)&amp;IF(AND((B122+C122-1+D122)&lt;9,OR((C122-1)=0,(MAX((B122)-1,0)+MAX((C122-1)-1,0)+MAX((D122)-1,0))&lt;6)),1,0)&amp;IF(AND((B122+C122-1+D122)&lt;9,OR((B122)=0,(MAX((B122)-1,0)+MAX((C122-1)-1,0)+MAX((D122)-1,0))&lt;6)),1,0))</x:f>
        <x:v>不可回收</x:v>
      </x:c>
      <x:c r="L122" s="22" t="str">
        <x:f>IF(D122=0,"不可回收",IF(AND((B122+C122+D122-1)&lt;9,OR((D122-1)=0,(MAX((B122)-1,0)+MAX((C122)-1,0)+MAX((D122-1)-1,0))&lt;6)),1,0)&amp;IF(AND((B122+C122+D122-1)&lt;9,OR((C122)=0,(MAX((B122)-1,0)+MAX((C122)-1,0)+MAX((D122-1)-1,0))&lt;6)),1,0)&amp;IF(AND((B122+C122+D122-1)&lt;9,OR((B122)=0,(MAX((B122)-1,0)+MAX((C122)-1,0)+MAX((D122-1)-1,0))&lt;6)),1,0))</x:f>
        <x:v>111</x:v>
      </x:c>
      <x:c r="M122" s="18" t="n">
        <x:f>1+F122</x:f>
        <x:v>3</x:v>
      </x:c>
      <x:c r="N122" s="18" t="n">
        <x:f>COUNTIF('容量转换'!$B$8:$B$2447,A122)</x:f>
        <x:v>12</x:v>
      </x:c>
      <x:c r="O122" s="21" t="str">
        <x:f>IF(AND(MIN(B122:D122)&gt;=0,MAX(B122:D122)&lt;=7,H122&lt;=9),"合法","不合法")</x:f>
        <x:v>合法</x:v>
      </x:c>
    </x:row>
    <x:row r="123" ht="23" customHeight="1">
      <x:c r="A123" s="3" t="str">
        <x:v>ST-116</x:v>
      </x:c>
      <x:c r="B123" s="19" t="n">
        <x:v>5</x:v>
      </x:c>
      <x:c r="C123" s="19" t="n">
        <x:v>1</x:v>
      </x:c>
      <x:c r="D123" s="19" t="n">
        <x:v>1</x:v>
      </x:c>
      <x:c r="E123" s="20" t="n">
        <x:f>SUM(B123:D123)</x:f>
        <x:v>7</x:v>
      </x:c>
      <x:c r="F123" s="20" t="n">
        <x:f>COUNTIF(B123:D123,"&gt;0")</x:f>
        <x:v>3</x:v>
      </x:c>
      <x:c r="G123" s="20" t="n">
        <x:f>MAX(B123-1,0)+MAX(C123-1,0)+MAX(D123-1,0)</x:f>
        <x:v>4</x:v>
      </x:c>
      <x:c r="H123" s="20" t="n">
        <x:f>MAX(B123,1)+MAX(C123,1)+MAX(D123,1)</x:f>
        <x:v>7</x:v>
      </x:c>
      <x:c r="I123" s="22" t="str">
        <x:f>IF(AND((B123+C123+D123)&lt;9,OR((D123)=0,(MAX((B123)-1,0)+MAX((C123)-1,0)+MAX((D123)-1,0))&lt;6)),1,0)&amp;IF(AND((B123+C123+D123)&lt;9,OR((C123)=0,(MAX((B123)-1,0)+MAX((C123)-1,0)+MAX((D123)-1,0))&lt;6)),1,0)&amp;IF(AND((B123+C123+D123)&lt;9,OR((B123)=0,(MAX((B123)-1,0)+MAX((C123)-1,0)+MAX((D123)-1,0))&lt;6)),1,0)</x:f>
        <x:v>111</x:v>
      </x:c>
      <x:c r="J123" s="22" t="str">
        <x:f>IF(B123=0,"不可回收",IF(AND((B123-1+C123+D123)&lt;9,OR((D123)=0,(MAX((B123-1)-1,0)+MAX((C123)-1,0)+MAX((D123)-1,0))&lt;6)),1,0)&amp;IF(AND((B123-1+C123+D123)&lt;9,OR((C123)=0,(MAX((B123-1)-1,0)+MAX((C123)-1,0)+MAX((D123)-1,0))&lt;6)),1,0)&amp;IF(AND((B123-1+C123+D123)&lt;9,OR((B123-1)=0,(MAX((B123-1)-1,0)+MAX((C123)-1,0)+MAX((D123)-1,0))&lt;6)),1,0))</x:f>
        <x:v>111</x:v>
      </x:c>
      <x:c r="K123" s="22" t="str">
        <x:f>IF(C123=0,"不可回收",IF(AND((B123+C123-1+D123)&lt;9,OR((D123)=0,(MAX((B123)-1,0)+MAX((C123-1)-1,0)+MAX((D123)-1,0))&lt;6)),1,0)&amp;IF(AND((B123+C123-1+D123)&lt;9,OR((C123-1)=0,(MAX((B123)-1,0)+MAX((C123-1)-1,0)+MAX((D123)-1,0))&lt;6)),1,0)&amp;IF(AND((B123+C123-1+D123)&lt;9,OR((B123)=0,(MAX((B123)-1,0)+MAX((C123-1)-1,0)+MAX((D123)-1,0))&lt;6)),1,0))</x:f>
        <x:v>111</x:v>
      </x:c>
      <x:c r="L123" s="22" t="str">
        <x:f>IF(D123=0,"不可回收",IF(AND((B123+C123+D123-1)&lt;9,OR((D123-1)=0,(MAX((B123)-1,0)+MAX((C123)-1,0)+MAX((D123-1)-1,0))&lt;6)),1,0)&amp;IF(AND((B123+C123+D123-1)&lt;9,OR((C123)=0,(MAX((B123)-1,0)+MAX((C123)-1,0)+MAX((D123-1)-1,0))&lt;6)),1,0)&amp;IF(AND((B123+C123+D123-1)&lt;9,OR((B123)=0,(MAX((B123)-1,0)+MAX((C123)-1,0)+MAX((D123-1)-1,0))&lt;6)),1,0))</x:f>
        <x:v>111</x:v>
      </x:c>
      <x:c r="M123" s="18" t="n">
        <x:f>1+F123</x:f>
        <x:v>4</x:v>
      </x:c>
      <x:c r="N123" s="18" t="n">
        <x:f>COUNTIF('容量转换'!$B$8:$B$2447,A123)</x:f>
        <x:v>16</x:v>
      </x:c>
      <x:c r="O123" s="21" t="str">
        <x:f>IF(AND(MIN(B123:D123)&gt;=0,MAX(B123:D123)&lt;=7,H123&lt;=9),"合法","不合法")</x:f>
        <x:v>合法</x:v>
      </x:c>
    </x:row>
    <x:row r="124" ht="23" customHeight="1">
      <x:c r="A124" s="3" t="str">
        <x:v>ST-117</x:v>
      </x:c>
      <x:c r="B124" s="19" t="n">
        <x:v>5</x:v>
      </x:c>
      <x:c r="C124" s="19" t="n">
        <x:v>2</x:v>
      </x:c>
      <x:c r="D124" s="19" t="n">
        <x:v>0</x:v>
      </x:c>
      <x:c r="E124" s="20" t="n">
        <x:f>SUM(B124:D124)</x:f>
        <x:v>7</x:v>
      </x:c>
      <x:c r="F124" s="20" t="n">
        <x:f>COUNTIF(B124:D124,"&gt;0")</x:f>
        <x:v>2</x:v>
      </x:c>
      <x:c r="G124" s="20" t="n">
        <x:f>MAX(B124-1,0)+MAX(C124-1,0)+MAX(D124-1,0)</x:f>
        <x:v>5</x:v>
      </x:c>
      <x:c r="H124" s="20" t="n">
        <x:f>MAX(B124,1)+MAX(C124,1)+MAX(D124,1)</x:f>
        <x:v>8</x:v>
      </x:c>
      <x:c r="I124" s="22" t="str">
        <x:f>IF(AND((B124+C124+D124)&lt;9,OR((D124)=0,(MAX((B124)-1,0)+MAX((C124)-1,0)+MAX((D124)-1,0))&lt;6)),1,0)&amp;IF(AND((B124+C124+D124)&lt;9,OR((C124)=0,(MAX((B124)-1,0)+MAX((C124)-1,0)+MAX((D124)-1,0))&lt;6)),1,0)&amp;IF(AND((B124+C124+D124)&lt;9,OR((B124)=0,(MAX((B124)-1,0)+MAX((C124)-1,0)+MAX((D124)-1,0))&lt;6)),1,0)</x:f>
        <x:v>111</x:v>
      </x:c>
      <x:c r="J124" s="22" t="str">
        <x:f>IF(B124=0,"不可回收",IF(AND((B124-1+C124+D124)&lt;9,OR((D124)=0,(MAX((B124-1)-1,0)+MAX((C124)-1,0)+MAX((D124)-1,0))&lt;6)),1,0)&amp;IF(AND((B124-1+C124+D124)&lt;9,OR((C124)=0,(MAX((B124-1)-1,0)+MAX((C124)-1,0)+MAX((D124)-1,0))&lt;6)),1,0)&amp;IF(AND((B124-1+C124+D124)&lt;9,OR((B124-1)=0,(MAX((B124-1)-1,0)+MAX((C124)-1,0)+MAX((D124)-1,0))&lt;6)),1,0))</x:f>
        <x:v>111</x:v>
      </x:c>
      <x:c r="K124" s="22" t="str">
        <x:f>IF(C124=0,"不可回收",IF(AND((B124+C124-1+D124)&lt;9,OR((D124)=0,(MAX((B124)-1,0)+MAX((C124-1)-1,0)+MAX((D124)-1,0))&lt;6)),1,0)&amp;IF(AND((B124+C124-1+D124)&lt;9,OR((C124-1)=0,(MAX((B124)-1,0)+MAX((C124-1)-1,0)+MAX((D124)-1,0))&lt;6)),1,0)&amp;IF(AND((B124+C124-1+D124)&lt;9,OR((B124)=0,(MAX((B124)-1,0)+MAX((C124-1)-1,0)+MAX((D124)-1,0))&lt;6)),1,0))</x:f>
        <x:v>111</x:v>
      </x:c>
      <x:c r="L124" s="22" t="str">
        <x:f>IF(D124=0,"不可回收",IF(AND((B124+C124+D124-1)&lt;9,OR((D124-1)=0,(MAX((B124)-1,0)+MAX((C124)-1,0)+MAX((D124-1)-1,0))&lt;6)),1,0)&amp;IF(AND((B124+C124+D124-1)&lt;9,OR((C124)=0,(MAX((B124)-1,0)+MAX((C124)-1,0)+MAX((D124-1)-1,0))&lt;6)),1,0)&amp;IF(AND((B124+C124+D124-1)&lt;9,OR((B124)=0,(MAX((B124)-1,0)+MAX((C124)-1,0)+MAX((D124-1)-1,0))&lt;6)),1,0))</x:f>
        <x:v>不可回收</x:v>
      </x:c>
      <x:c r="M124" s="18" t="n">
        <x:f>1+F124</x:f>
        <x:v>3</x:v>
      </x:c>
      <x:c r="N124" s="18" t="n">
        <x:f>COUNTIF('容量转换'!$B$8:$B$2447,A124)</x:f>
        <x:v>12</x:v>
      </x:c>
      <x:c r="O124" s="21" t="str">
        <x:f>IF(AND(MIN(B124:D124)&gt;=0,MAX(B124:D124)&lt;=7,H124&lt;=9),"合法","不合法")</x:f>
        <x:v>合法</x:v>
      </x:c>
    </x:row>
    <x:row r="125" ht="23" customHeight="1">
      <x:c r="A125" s="3" t="str">
        <x:v>ST-118</x:v>
      </x:c>
      <x:c r="B125" s="19" t="n">
        <x:v>6</x:v>
      </x:c>
      <x:c r="C125" s="19" t="n">
        <x:v>0</x:v>
      </x:c>
      <x:c r="D125" s="19" t="n">
        <x:v>1</x:v>
      </x:c>
      <x:c r="E125" s="20" t="n">
        <x:f>SUM(B125:D125)</x:f>
        <x:v>7</x:v>
      </x:c>
      <x:c r="F125" s="20" t="n">
        <x:f>COUNTIF(B125:D125,"&gt;0")</x:f>
        <x:v>2</x:v>
      </x:c>
      <x:c r="G125" s="20" t="n">
        <x:f>MAX(B125-1,0)+MAX(C125-1,0)+MAX(D125-1,0)</x:f>
        <x:v>5</x:v>
      </x:c>
      <x:c r="H125" s="20" t="n">
        <x:f>MAX(B125,1)+MAX(C125,1)+MAX(D125,1)</x:f>
        <x:v>8</x:v>
      </x:c>
      <x:c r="I125" s="22" t="str">
        <x:f>IF(AND((B125+C125+D125)&lt;9,OR((D125)=0,(MAX((B125)-1,0)+MAX((C125)-1,0)+MAX((D125)-1,0))&lt;6)),1,0)&amp;IF(AND((B125+C125+D125)&lt;9,OR((C125)=0,(MAX((B125)-1,0)+MAX((C125)-1,0)+MAX((D125)-1,0))&lt;6)),1,0)&amp;IF(AND((B125+C125+D125)&lt;9,OR((B125)=0,(MAX((B125)-1,0)+MAX((C125)-1,0)+MAX((D125)-1,0))&lt;6)),1,0)</x:f>
        <x:v>111</x:v>
      </x:c>
      <x:c r="J125" s="22" t="str">
        <x:f>IF(B125=0,"不可回收",IF(AND((B125-1+C125+D125)&lt;9,OR((D125)=0,(MAX((B125-1)-1,0)+MAX((C125)-1,0)+MAX((D125)-1,0))&lt;6)),1,0)&amp;IF(AND((B125-1+C125+D125)&lt;9,OR((C125)=0,(MAX((B125-1)-1,0)+MAX((C125)-1,0)+MAX((D125)-1,0))&lt;6)),1,0)&amp;IF(AND((B125-1+C125+D125)&lt;9,OR((B125-1)=0,(MAX((B125-1)-1,0)+MAX((C125)-1,0)+MAX((D125)-1,0))&lt;6)),1,0))</x:f>
        <x:v>111</x:v>
      </x:c>
      <x:c r="K125" s="22" t="str">
        <x:f>IF(C125=0,"不可回收",IF(AND((B125+C125-1+D125)&lt;9,OR((D125)=0,(MAX((B125)-1,0)+MAX((C125-1)-1,0)+MAX((D125)-1,0))&lt;6)),1,0)&amp;IF(AND((B125+C125-1+D125)&lt;9,OR((C125-1)=0,(MAX((B125)-1,0)+MAX((C125-1)-1,0)+MAX((D125)-1,0))&lt;6)),1,0)&amp;IF(AND((B125+C125-1+D125)&lt;9,OR((B125)=0,(MAX((B125)-1,0)+MAX((C125-1)-1,0)+MAX((D125)-1,0))&lt;6)),1,0))</x:f>
        <x:v>不可回收</x:v>
      </x:c>
      <x:c r="L125" s="22" t="str">
        <x:f>IF(D125=0,"不可回收",IF(AND((B125+C125+D125-1)&lt;9,OR((D125-1)=0,(MAX((B125)-1,0)+MAX((C125)-1,0)+MAX((D125-1)-1,0))&lt;6)),1,0)&amp;IF(AND((B125+C125+D125-1)&lt;9,OR((C125)=0,(MAX((B125)-1,0)+MAX((C125)-1,0)+MAX((D125-1)-1,0))&lt;6)),1,0)&amp;IF(AND((B125+C125+D125-1)&lt;9,OR((B125)=0,(MAX((B125)-1,0)+MAX((C125)-1,0)+MAX((D125-1)-1,0))&lt;6)),1,0))</x:f>
        <x:v>111</x:v>
      </x:c>
      <x:c r="M125" s="18" t="n">
        <x:f>1+F125</x:f>
        <x:v>3</x:v>
      </x:c>
      <x:c r="N125" s="18" t="n">
        <x:f>COUNTIF('容量转换'!$B$8:$B$2447,A125)</x:f>
        <x:v>12</x:v>
      </x:c>
      <x:c r="O125" s="21" t="str">
        <x:f>IF(AND(MIN(B125:D125)&gt;=0,MAX(B125:D125)&lt;=7,H125&lt;=9),"合法","不合法")</x:f>
        <x:v>合法</x:v>
      </x:c>
    </x:row>
    <x:row r="126" ht="23" customHeight="1">
      <x:c r="A126" s="3" t="str">
        <x:v>ST-119</x:v>
      </x:c>
      <x:c r="B126" s="19" t="n">
        <x:v>6</x:v>
      </x:c>
      <x:c r="C126" s="19" t="n">
        <x:v>1</x:v>
      </x:c>
      <x:c r="D126" s="19" t="n">
        <x:v>0</x:v>
      </x:c>
      <x:c r="E126" s="20" t="n">
        <x:f>SUM(B126:D126)</x:f>
        <x:v>7</x:v>
      </x:c>
      <x:c r="F126" s="20" t="n">
        <x:f>COUNTIF(B126:D126,"&gt;0")</x:f>
        <x:v>2</x:v>
      </x:c>
      <x:c r="G126" s="20" t="n">
        <x:f>MAX(B126-1,0)+MAX(C126-1,0)+MAX(D126-1,0)</x:f>
        <x:v>5</x:v>
      </x:c>
      <x:c r="H126" s="20" t="n">
        <x:f>MAX(B126,1)+MAX(C126,1)+MAX(D126,1)</x:f>
        <x:v>8</x:v>
      </x:c>
      <x:c r="I126" s="22" t="str">
        <x:f>IF(AND((B126+C126+D126)&lt;9,OR((D126)=0,(MAX((B126)-1,0)+MAX((C126)-1,0)+MAX((D126)-1,0))&lt;6)),1,0)&amp;IF(AND((B126+C126+D126)&lt;9,OR((C126)=0,(MAX((B126)-1,0)+MAX((C126)-1,0)+MAX((D126)-1,0))&lt;6)),1,0)&amp;IF(AND((B126+C126+D126)&lt;9,OR((B126)=0,(MAX((B126)-1,0)+MAX((C126)-1,0)+MAX((D126)-1,0))&lt;6)),1,0)</x:f>
        <x:v>111</x:v>
      </x:c>
      <x:c r="J126" s="22" t="str">
        <x:f>IF(B126=0,"不可回收",IF(AND((B126-1+C126+D126)&lt;9,OR((D126)=0,(MAX((B126-1)-1,0)+MAX((C126)-1,0)+MAX((D126)-1,0))&lt;6)),1,0)&amp;IF(AND((B126-1+C126+D126)&lt;9,OR((C126)=0,(MAX((B126-1)-1,0)+MAX((C126)-1,0)+MAX((D126)-1,0))&lt;6)),1,0)&amp;IF(AND((B126-1+C126+D126)&lt;9,OR((B126-1)=0,(MAX((B126-1)-1,0)+MAX((C126)-1,0)+MAX((D126)-1,0))&lt;6)),1,0))</x:f>
        <x:v>111</x:v>
      </x:c>
      <x:c r="K126" s="22" t="str">
        <x:f>IF(C126=0,"不可回收",IF(AND((B126+C126-1+D126)&lt;9,OR((D126)=0,(MAX((B126)-1,0)+MAX((C126-1)-1,0)+MAX((D126)-1,0))&lt;6)),1,0)&amp;IF(AND((B126+C126-1+D126)&lt;9,OR((C126-1)=0,(MAX((B126)-1,0)+MAX((C126-1)-1,0)+MAX((D126)-1,0))&lt;6)),1,0)&amp;IF(AND((B126+C126-1+D126)&lt;9,OR((B126)=0,(MAX((B126)-1,0)+MAX((C126-1)-1,0)+MAX((D126)-1,0))&lt;6)),1,0))</x:f>
        <x:v>111</x:v>
      </x:c>
      <x:c r="L126" s="22" t="str">
        <x:f>IF(D126=0,"不可回收",IF(AND((B126+C126+D126-1)&lt;9,OR((D126-1)=0,(MAX((B126)-1,0)+MAX((C126)-1,0)+MAX((D126-1)-1,0))&lt;6)),1,0)&amp;IF(AND((B126+C126+D126-1)&lt;9,OR((C126)=0,(MAX((B126)-1,0)+MAX((C126)-1,0)+MAX((D126-1)-1,0))&lt;6)),1,0)&amp;IF(AND((B126+C126+D126-1)&lt;9,OR((B126)=0,(MAX((B126)-1,0)+MAX((C126)-1,0)+MAX((D126-1)-1,0))&lt;6)),1,0))</x:f>
        <x:v>不可回收</x:v>
      </x:c>
      <x:c r="M126" s="18" t="n">
        <x:f>1+F126</x:f>
        <x:v>3</x:v>
      </x:c>
      <x:c r="N126" s="18" t="n">
        <x:f>COUNTIF('容量转换'!$B$8:$B$2447,A126)</x:f>
        <x:v>12</x:v>
      </x:c>
      <x:c r="O126" s="21" t="str">
        <x:f>IF(AND(MIN(B126:D126)&gt;=0,MAX(B126:D126)&lt;=7,H126&lt;=9),"合法","不合法")</x:f>
        <x:v>合法</x:v>
      </x:c>
    </x:row>
    <x:row r="127" ht="23" customHeight="1">
      <x:c r="A127" s="3" t="str">
        <x:v>ST-120</x:v>
      </x:c>
      <x:c r="B127" s="19" t="n">
        <x:v>7</x:v>
      </x:c>
      <x:c r="C127" s="19" t="n">
        <x:v>0</x:v>
      </x:c>
      <x:c r="D127" s="19" t="n">
        <x:v>0</x:v>
      </x:c>
      <x:c r="E127" s="20" t="n">
        <x:f>SUM(B127:D127)</x:f>
        <x:v>7</x:v>
      </x:c>
      <x:c r="F127" s="20" t="n">
        <x:f>COUNTIF(B127:D127,"&gt;0")</x:f>
        <x:v>1</x:v>
      </x:c>
      <x:c r="G127" s="20" t="n">
        <x:f>MAX(B127-1,0)+MAX(C127-1,0)+MAX(D127-1,0)</x:f>
        <x:v>6</x:v>
      </x:c>
      <x:c r="H127" s="20" t="n">
        <x:f>MAX(B127,1)+MAX(C127,1)+MAX(D127,1)</x:f>
        <x:v>9</x:v>
      </x:c>
      <x:c r="I127" s="22" t="str">
        <x:f>IF(AND((B127+C127+D127)&lt;9,OR((D127)=0,(MAX((B127)-1,0)+MAX((C127)-1,0)+MAX((D127)-1,0))&lt;6)),1,0)&amp;IF(AND((B127+C127+D127)&lt;9,OR((C127)=0,(MAX((B127)-1,0)+MAX((C127)-1,0)+MAX((D127)-1,0))&lt;6)),1,0)&amp;IF(AND((B127+C127+D127)&lt;9,OR((B127)=0,(MAX((B127)-1,0)+MAX((C127)-1,0)+MAX((D127)-1,0))&lt;6)),1,0)</x:f>
        <x:v>110</x:v>
      </x:c>
      <x:c r="J127" s="22" t="str">
        <x:f>IF(B127=0,"不可回收",IF(AND((B127-1+C127+D127)&lt;9,OR((D127)=0,(MAX((B127-1)-1,0)+MAX((C127)-1,0)+MAX((D127)-1,0))&lt;6)),1,0)&amp;IF(AND((B127-1+C127+D127)&lt;9,OR((C127)=0,(MAX((B127-1)-1,0)+MAX((C127)-1,0)+MAX((D127)-1,0))&lt;6)),1,0)&amp;IF(AND((B127-1+C127+D127)&lt;9,OR((B127-1)=0,(MAX((B127-1)-1,0)+MAX((C127)-1,0)+MAX((D127)-1,0))&lt;6)),1,0))</x:f>
        <x:v>111</x:v>
      </x:c>
      <x:c r="K127" s="22" t="str">
        <x:f>IF(C127=0,"不可回收",IF(AND((B127+C127-1+D127)&lt;9,OR((D127)=0,(MAX((B127)-1,0)+MAX((C127-1)-1,0)+MAX((D127)-1,0))&lt;6)),1,0)&amp;IF(AND((B127+C127-1+D127)&lt;9,OR((C127-1)=0,(MAX((B127)-1,0)+MAX((C127-1)-1,0)+MAX((D127)-1,0))&lt;6)),1,0)&amp;IF(AND((B127+C127-1+D127)&lt;9,OR((B127)=0,(MAX((B127)-1,0)+MAX((C127-1)-1,0)+MAX((D127)-1,0))&lt;6)),1,0))</x:f>
        <x:v>不可回收</x:v>
      </x:c>
      <x:c r="L127" s="22" t="str">
        <x:f>IF(D127=0,"不可回收",IF(AND((B127+C127+D127-1)&lt;9,OR((D127-1)=0,(MAX((B127)-1,0)+MAX((C127)-1,0)+MAX((D127-1)-1,0))&lt;6)),1,0)&amp;IF(AND((B127+C127+D127-1)&lt;9,OR((C127)=0,(MAX((B127)-1,0)+MAX((C127)-1,0)+MAX((D127-1)-1,0))&lt;6)),1,0)&amp;IF(AND((B127+C127+D127-1)&lt;9,OR((B127)=0,(MAX((B127)-1,0)+MAX((C127)-1,0)+MAX((D127-1)-1,0))&lt;6)),1,0))</x:f>
        <x:v>不可回收</x:v>
      </x:c>
      <x:c r="M127" s="18" t="n">
        <x:f>1+F127</x:f>
        <x:v>2</x:v>
      </x:c>
      <x:c r="N127" s="18" t="n">
        <x:f>COUNTIF('容量转换'!$B$8:$B$2447,A127)</x:f>
        <x:v>8</x:v>
      </x:c>
      <x:c r="O127" s="21" t="str">
        <x:f>IF(AND(MIN(B127:D127)&gt;=0,MAX(B127:D127)&lt;=7,H127&lt;=9),"合法","不合法")</x:f>
        <x:v>合法</x:v>
      </x:c>
    </x:row>
    <x:row r="128" ht="23" customHeight="1">
      <x:c r="A128" s="3" t="str">
        <x:v>ST-121</x:v>
      </x:c>
      <x:c r="B128" s="19" t="n">
        <x:v>0</x:v>
      </x:c>
      <x:c r="C128" s="19" t="n">
        <x:v>1</x:v>
      </x:c>
      <x:c r="D128" s="19" t="n">
        <x:v>7</x:v>
      </x:c>
      <x:c r="E128" s="20" t="n">
        <x:f>SUM(B128:D128)</x:f>
        <x:v>8</x:v>
      </x:c>
      <x:c r="F128" s="20" t="n">
        <x:f>COUNTIF(B128:D128,"&gt;0")</x:f>
        <x:v>2</x:v>
      </x:c>
      <x:c r="G128" s="20" t="n">
        <x:f>MAX(B128-1,0)+MAX(C128-1,0)+MAX(D128-1,0)</x:f>
        <x:v>6</x:v>
      </x:c>
      <x:c r="H128" s="20" t="n">
        <x:f>MAX(B128,1)+MAX(C128,1)+MAX(D128,1)</x:f>
        <x:v>9</x:v>
      </x:c>
      <x:c r="I128" s="22" t="str">
        <x:f>IF(AND((B128+C128+D128)&lt;9,OR((D128)=0,(MAX((B128)-1,0)+MAX((C128)-1,0)+MAX((D128)-1,0))&lt;6)),1,0)&amp;IF(AND((B128+C128+D128)&lt;9,OR((C128)=0,(MAX((B128)-1,0)+MAX((C128)-1,0)+MAX((D128)-1,0))&lt;6)),1,0)&amp;IF(AND((B128+C128+D128)&lt;9,OR((B128)=0,(MAX((B128)-1,0)+MAX((C128)-1,0)+MAX((D128)-1,0))&lt;6)),1,0)</x:f>
        <x:v>001</x:v>
      </x:c>
      <x:c r="J128" s="22" t="str">
        <x:f>IF(B128=0,"不可回收",IF(AND((B128-1+C128+D128)&lt;9,OR((D128)=0,(MAX((B128-1)-1,0)+MAX((C128)-1,0)+MAX((D128)-1,0))&lt;6)),1,0)&amp;IF(AND((B128-1+C128+D128)&lt;9,OR((C128)=0,(MAX((B128-1)-1,0)+MAX((C128)-1,0)+MAX((D128)-1,0))&lt;6)),1,0)&amp;IF(AND((B128-1+C128+D128)&lt;9,OR((B128-1)=0,(MAX((B128-1)-1,0)+MAX((C128)-1,0)+MAX((D128)-1,0))&lt;6)),1,0))</x:f>
        <x:v>不可回收</x:v>
      </x:c>
      <x:c r="K128" s="22" t="str">
        <x:f>IF(C128=0,"不可回收",IF(AND((B128+C128-1+D128)&lt;9,OR((D128)=0,(MAX((B128)-1,0)+MAX((C128-1)-1,0)+MAX((D128)-1,0))&lt;6)),1,0)&amp;IF(AND((B128+C128-1+D128)&lt;9,OR((C128-1)=0,(MAX((B128)-1,0)+MAX((C128-1)-1,0)+MAX((D128)-1,0))&lt;6)),1,0)&amp;IF(AND((B128+C128-1+D128)&lt;9,OR((B128)=0,(MAX((B128)-1,0)+MAX((C128-1)-1,0)+MAX((D128)-1,0))&lt;6)),1,0))</x:f>
        <x:v>011</x:v>
      </x:c>
      <x:c r="L128" s="22" t="str">
        <x:f>IF(D128=0,"不可回收",IF(AND((B128+C128+D128-1)&lt;9,OR((D128-1)=0,(MAX((B128)-1,0)+MAX((C128)-1,0)+MAX((D128-1)-1,0))&lt;6)),1,0)&amp;IF(AND((B128+C128+D128-1)&lt;9,OR((C128)=0,(MAX((B128)-1,0)+MAX((C128)-1,0)+MAX((D128-1)-1,0))&lt;6)),1,0)&amp;IF(AND((B128+C128+D128-1)&lt;9,OR((B128)=0,(MAX((B128)-1,0)+MAX((C128)-1,0)+MAX((D128-1)-1,0))&lt;6)),1,0))</x:f>
        <x:v>111</x:v>
      </x:c>
      <x:c r="M128" s="18" t="n">
        <x:f>1+F128</x:f>
        <x:v>3</x:v>
      </x:c>
      <x:c r="N128" s="18" t="n">
        <x:f>COUNTIF('容量转换'!$B$8:$B$2447,A128)</x:f>
        <x:v>12</x:v>
      </x:c>
      <x:c r="O128" s="21" t="str">
        <x:f>IF(AND(MIN(B128:D128)&gt;=0,MAX(B128:D128)&lt;=7,H128&lt;=9),"合法","不合法")</x:f>
        <x:v>合法</x:v>
      </x:c>
    </x:row>
    <x:row r="129" ht="23" customHeight="1">
      <x:c r="A129" s="3" t="str">
        <x:v>ST-122</x:v>
      </x:c>
      <x:c r="B129" s="19" t="n">
        <x:v>0</x:v>
      </x:c>
      <x:c r="C129" s="19" t="n">
        <x:v>2</x:v>
      </x:c>
      <x:c r="D129" s="19" t="n">
        <x:v>6</x:v>
      </x:c>
      <x:c r="E129" s="20" t="n">
        <x:f>SUM(B129:D129)</x:f>
        <x:v>8</x:v>
      </x:c>
      <x:c r="F129" s="20" t="n">
        <x:f>COUNTIF(B129:D129,"&gt;0")</x:f>
        <x:v>2</x:v>
      </x:c>
      <x:c r="G129" s="20" t="n">
        <x:f>MAX(B129-1,0)+MAX(C129-1,0)+MAX(D129-1,0)</x:f>
        <x:v>6</x:v>
      </x:c>
      <x:c r="H129" s="20" t="n">
        <x:f>MAX(B129,1)+MAX(C129,1)+MAX(D129,1)</x:f>
        <x:v>9</x:v>
      </x:c>
      <x:c r="I129" s="22" t="str">
        <x:f>IF(AND((B129+C129+D129)&lt;9,OR((D129)=0,(MAX((B129)-1,0)+MAX((C129)-1,0)+MAX((D129)-1,0))&lt;6)),1,0)&amp;IF(AND((B129+C129+D129)&lt;9,OR((C129)=0,(MAX((B129)-1,0)+MAX((C129)-1,0)+MAX((D129)-1,0))&lt;6)),1,0)&amp;IF(AND((B129+C129+D129)&lt;9,OR((B129)=0,(MAX((B129)-1,0)+MAX((C129)-1,0)+MAX((D129)-1,0))&lt;6)),1,0)</x:f>
        <x:v>001</x:v>
      </x:c>
      <x:c r="J129" s="22" t="str">
        <x:f>IF(B129=0,"不可回收",IF(AND((B129-1+C129+D129)&lt;9,OR((D129)=0,(MAX((B129-1)-1,0)+MAX((C129)-1,0)+MAX((D129)-1,0))&lt;6)),1,0)&amp;IF(AND((B129-1+C129+D129)&lt;9,OR((C129)=0,(MAX((B129-1)-1,0)+MAX((C129)-1,0)+MAX((D129)-1,0))&lt;6)),1,0)&amp;IF(AND((B129-1+C129+D129)&lt;9,OR((B129-1)=0,(MAX((B129-1)-1,0)+MAX((C129)-1,0)+MAX((D129)-1,0))&lt;6)),1,0))</x:f>
        <x:v>不可回收</x:v>
      </x:c>
      <x:c r="K129" s="22" t="str">
        <x:f>IF(C129=0,"不可回收",IF(AND((B129+C129-1+D129)&lt;9,OR((D129)=0,(MAX((B129)-1,0)+MAX((C129-1)-1,0)+MAX((D129)-1,0))&lt;6)),1,0)&amp;IF(AND((B129+C129-1+D129)&lt;9,OR((C129-1)=0,(MAX((B129)-1,0)+MAX((C129-1)-1,0)+MAX((D129)-1,0))&lt;6)),1,0)&amp;IF(AND((B129+C129-1+D129)&lt;9,OR((B129)=0,(MAX((B129)-1,0)+MAX((C129-1)-1,0)+MAX((D129)-1,0))&lt;6)),1,0))</x:f>
        <x:v>111</x:v>
      </x:c>
      <x:c r="L129" s="22" t="str">
        <x:f>IF(D129=0,"不可回收",IF(AND((B129+C129+D129-1)&lt;9,OR((D129-1)=0,(MAX((B129)-1,0)+MAX((C129)-1,0)+MAX((D129-1)-1,0))&lt;6)),1,0)&amp;IF(AND((B129+C129+D129-1)&lt;9,OR((C129)=0,(MAX((B129)-1,0)+MAX((C129)-1,0)+MAX((D129-1)-1,0))&lt;6)),1,0)&amp;IF(AND((B129+C129+D129-1)&lt;9,OR((B129)=0,(MAX((B129)-1,0)+MAX((C129)-1,0)+MAX((D129-1)-1,0))&lt;6)),1,0))</x:f>
        <x:v>111</x:v>
      </x:c>
      <x:c r="M129" s="18" t="n">
        <x:f>1+F129</x:f>
        <x:v>3</x:v>
      </x:c>
      <x:c r="N129" s="18" t="n">
        <x:f>COUNTIF('容量转换'!$B$8:$B$2447,A129)</x:f>
        <x:v>12</x:v>
      </x:c>
      <x:c r="O129" s="21" t="str">
        <x:f>IF(AND(MIN(B129:D129)&gt;=0,MAX(B129:D129)&lt;=7,H129&lt;=9),"合法","不合法")</x:f>
        <x:v>合法</x:v>
      </x:c>
    </x:row>
    <x:row r="130" ht="23" customHeight="1">
      <x:c r="A130" s="3" t="str">
        <x:v>ST-123</x:v>
      </x:c>
      <x:c r="B130" s="19" t="n">
        <x:v>0</x:v>
      </x:c>
      <x:c r="C130" s="19" t="n">
        <x:v>3</x:v>
      </x:c>
      <x:c r="D130" s="19" t="n">
        <x:v>5</x:v>
      </x:c>
      <x:c r="E130" s="20" t="n">
        <x:f>SUM(B130:D130)</x:f>
        <x:v>8</x:v>
      </x:c>
      <x:c r="F130" s="20" t="n">
        <x:f>COUNTIF(B130:D130,"&gt;0")</x:f>
        <x:v>2</x:v>
      </x:c>
      <x:c r="G130" s="20" t="n">
        <x:f>MAX(B130-1,0)+MAX(C130-1,0)+MAX(D130-1,0)</x:f>
        <x:v>6</x:v>
      </x:c>
      <x:c r="H130" s="20" t="n">
        <x:f>MAX(B130,1)+MAX(C130,1)+MAX(D130,1)</x:f>
        <x:v>9</x:v>
      </x:c>
      <x:c r="I130" s="22" t="str">
        <x:f>IF(AND((B130+C130+D130)&lt;9,OR((D130)=0,(MAX((B130)-1,0)+MAX((C130)-1,0)+MAX((D130)-1,0))&lt;6)),1,0)&amp;IF(AND((B130+C130+D130)&lt;9,OR((C130)=0,(MAX((B130)-1,0)+MAX((C130)-1,0)+MAX((D130)-1,0))&lt;6)),1,0)&amp;IF(AND((B130+C130+D130)&lt;9,OR((B130)=0,(MAX((B130)-1,0)+MAX((C130)-1,0)+MAX((D130)-1,0))&lt;6)),1,0)</x:f>
        <x:v>001</x:v>
      </x:c>
      <x:c r="J130" s="22" t="str">
        <x:f>IF(B130=0,"不可回收",IF(AND((B130-1+C130+D130)&lt;9,OR((D130)=0,(MAX((B130-1)-1,0)+MAX((C130)-1,0)+MAX((D130)-1,0))&lt;6)),1,0)&amp;IF(AND((B130-1+C130+D130)&lt;9,OR((C130)=0,(MAX((B130-1)-1,0)+MAX((C130)-1,0)+MAX((D130)-1,0))&lt;6)),1,0)&amp;IF(AND((B130-1+C130+D130)&lt;9,OR((B130-1)=0,(MAX((B130-1)-1,0)+MAX((C130)-1,0)+MAX((D130)-1,0))&lt;6)),1,0))</x:f>
        <x:v>不可回收</x:v>
      </x:c>
      <x:c r="K130" s="22" t="str">
        <x:f>IF(C130=0,"不可回收",IF(AND((B130+C130-1+D130)&lt;9,OR((D130)=0,(MAX((B130)-1,0)+MAX((C130-1)-1,0)+MAX((D130)-1,0))&lt;6)),1,0)&amp;IF(AND((B130+C130-1+D130)&lt;9,OR((C130-1)=0,(MAX((B130)-1,0)+MAX((C130-1)-1,0)+MAX((D130)-1,0))&lt;6)),1,0)&amp;IF(AND((B130+C130-1+D130)&lt;9,OR((B130)=0,(MAX((B130)-1,0)+MAX((C130-1)-1,0)+MAX((D130)-1,0))&lt;6)),1,0))</x:f>
        <x:v>111</x:v>
      </x:c>
      <x:c r="L130" s="22" t="str">
        <x:f>IF(D130=0,"不可回收",IF(AND((B130+C130+D130-1)&lt;9,OR((D130-1)=0,(MAX((B130)-1,0)+MAX((C130)-1,0)+MAX((D130-1)-1,0))&lt;6)),1,0)&amp;IF(AND((B130+C130+D130-1)&lt;9,OR((C130)=0,(MAX((B130)-1,0)+MAX((C130)-1,0)+MAX((D130-1)-1,0))&lt;6)),1,0)&amp;IF(AND((B130+C130+D130-1)&lt;9,OR((B130)=0,(MAX((B130)-1,0)+MAX((C130)-1,0)+MAX((D130-1)-1,0))&lt;6)),1,0))</x:f>
        <x:v>111</x:v>
      </x:c>
      <x:c r="M130" s="18" t="n">
        <x:f>1+F130</x:f>
        <x:v>3</x:v>
      </x:c>
      <x:c r="N130" s="18" t="n">
        <x:f>COUNTIF('容量转换'!$B$8:$B$2447,A130)</x:f>
        <x:v>12</x:v>
      </x:c>
      <x:c r="O130" s="21" t="str">
        <x:f>IF(AND(MIN(B130:D130)&gt;=0,MAX(B130:D130)&lt;=7,H130&lt;=9),"合法","不合法")</x:f>
        <x:v>合法</x:v>
      </x:c>
    </x:row>
    <x:row r="131" ht="23" customHeight="1">
      <x:c r="A131" s="3" t="str">
        <x:v>ST-124</x:v>
      </x:c>
      <x:c r="B131" s="19" t="n">
        <x:v>0</x:v>
      </x:c>
      <x:c r="C131" s="19" t="n">
        <x:v>4</x:v>
      </x:c>
      <x:c r="D131" s="19" t="n">
        <x:v>4</x:v>
      </x:c>
      <x:c r="E131" s="20" t="n">
        <x:f>SUM(B131:D131)</x:f>
        <x:v>8</x:v>
      </x:c>
      <x:c r="F131" s="20" t="n">
        <x:f>COUNTIF(B131:D131,"&gt;0")</x:f>
        <x:v>2</x:v>
      </x:c>
      <x:c r="G131" s="20" t="n">
        <x:f>MAX(B131-1,0)+MAX(C131-1,0)+MAX(D131-1,0)</x:f>
        <x:v>6</x:v>
      </x:c>
      <x:c r="H131" s="20" t="n">
        <x:f>MAX(B131,1)+MAX(C131,1)+MAX(D131,1)</x:f>
        <x:v>9</x:v>
      </x:c>
      <x:c r="I131" s="22" t="str">
        <x:f>IF(AND((B131+C131+D131)&lt;9,OR((D131)=0,(MAX((B131)-1,0)+MAX((C131)-1,0)+MAX((D131)-1,0))&lt;6)),1,0)&amp;IF(AND((B131+C131+D131)&lt;9,OR((C131)=0,(MAX((B131)-1,0)+MAX((C131)-1,0)+MAX((D131)-1,0))&lt;6)),1,0)&amp;IF(AND((B131+C131+D131)&lt;9,OR((B131)=0,(MAX((B131)-1,0)+MAX((C131)-1,0)+MAX((D131)-1,0))&lt;6)),1,0)</x:f>
        <x:v>001</x:v>
      </x:c>
      <x:c r="J131" s="22" t="str">
        <x:f>IF(B131=0,"不可回收",IF(AND((B131-1+C131+D131)&lt;9,OR((D131)=0,(MAX((B131-1)-1,0)+MAX((C131)-1,0)+MAX((D131)-1,0))&lt;6)),1,0)&amp;IF(AND((B131-1+C131+D131)&lt;9,OR((C131)=0,(MAX((B131-1)-1,0)+MAX((C131)-1,0)+MAX((D131)-1,0))&lt;6)),1,0)&amp;IF(AND((B131-1+C131+D131)&lt;9,OR((B131-1)=0,(MAX((B131-1)-1,0)+MAX((C131)-1,0)+MAX((D131)-1,0))&lt;6)),1,0))</x:f>
        <x:v>不可回收</x:v>
      </x:c>
      <x:c r="K131" s="22" t="str">
        <x:f>IF(C131=0,"不可回收",IF(AND((B131+C131-1+D131)&lt;9,OR((D131)=0,(MAX((B131)-1,0)+MAX((C131-1)-1,0)+MAX((D131)-1,0))&lt;6)),1,0)&amp;IF(AND((B131+C131-1+D131)&lt;9,OR((C131-1)=0,(MAX((B131)-1,0)+MAX((C131-1)-1,0)+MAX((D131)-1,0))&lt;6)),1,0)&amp;IF(AND((B131+C131-1+D131)&lt;9,OR((B131)=0,(MAX((B131)-1,0)+MAX((C131-1)-1,0)+MAX((D131)-1,0))&lt;6)),1,0))</x:f>
        <x:v>111</x:v>
      </x:c>
      <x:c r="L131" s="22" t="str">
        <x:f>IF(D131=0,"不可回收",IF(AND((B131+C131+D131-1)&lt;9,OR((D131-1)=0,(MAX((B131)-1,0)+MAX((C131)-1,0)+MAX((D131-1)-1,0))&lt;6)),1,0)&amp;IF(AND((B131+C131+D131-1)&lt;9,OR((C131)=0,(MAX((B131)-1,0)+MAX((C131)-1,0)+MAX((D131-1)-1,0))&lt;6)),1,0)&amp;IF(AND((B131+C131+D131-1)&lt;9,OR((B131)=0,(MAX((B131)-1,0)+MAX((C131)-1,0)+MAX((D131-1)-1,0))&lt;6)),1,0))</x:f>
        <x:v>111</x:v>
      </x:c>
      <x:c r="M131" s="18" t="n">
        <x:f>1+F131</x:f>
        <x:v>3</x:v>
      </x:c>
      <x:c r="N131" s="18" t="n">
        <x:f>COUNTIF('容量转换'!$B$8:$B$2447,A131)</x:f>
        <x:v>12</x:v>
      </x:c>
      <x:c r="O131" s="21" t="str">
        <x:f>IF(AND(MIN(B131:D131)&gt;=0,MAX(B131:D131)&lt;=7,H131&lt;=9),"合法","不合法")</x:f>
        <x:v>合法</x:v>
      </x:c>
    </x:row>
    <x:row r="132" ht="23" customHeight="1">
      <x:c r="A132" s="3" t="str">
        <x:v>ST-125</x:v>
      </x:c>
      <x:c r="B132" s="19" t="n">
        <x:v>0</x:v>
      </x:c>
      <x:c r="C132" s="19" t="n">
        <x:v>5</x:v>
      </x:c>
      <x:c r="D132" s="19" t="n">
        <x:v>3</x:v>
      </x:c>
      <x:c r="E132" s="20" t="n">
        <x:f>SUM(B132:D132)</x:f>
        <x:v>8</x:v>
      </x:c>
      <x:c r="F132" s="20" t="n">
        <x:f>COUNTIF(B132:D132,"&gt;0")</x:f>
        <x:v>2</x:v>
      </x:c>
      <x:c r="G132" s="20" t="n">
        <x:f>MAX(B132-1,0)+MAX(C132-1,0)+MAX(D132-1,0)</x:f>
        <x:v>6</x:v>
      </x:c>
      <x:c r="H132" s="20" t="n">
        <x:f>MAX(B132,1)+MAX(C132,1)+MAX(D132,1)</x:f>
        <x:v>9</x:v>
      </x:c>
      <x:c r="I132" s="22" t="str">
        <x:f>IF(AND((B132+C132+D132)&lt;9,OR((D132)=0,(MAX((B132)-1,0)+MAX((C132)-1,0)+MAX((D132)-1,0))&lt;6)),1,0)&amp;IF(AND((B132+C132+D132)&lt;9,OR((C132)=0,(MAX((B132)-1,0)+MAX((C132)-1,0)+MAX((D132)-1,0))&lt;6)),1,0)&amp;IF(AND((B132+C132+D132)&lt;9,OR((B132)=0,(MAX((B132)-1,0)+MAX((C132)-1,0)+MAX((D132)-1,0))&lt;6)),1,0)</x:f>
        <x:v>001</x:v>
      </x:c>
      <x:c r="J132" s="22" t="str">
        <x:f>IF(B132=0,"不可回收",IF(AND((B132-1+C132+D132)&lt;9,OR((D132)=0,(MAX((B132-1)-1,0)+MAX((C132)-1,0)+MAX((D132)-1,0))&lt;6)),1,0)&amp;IF(AND((B132-1+C132+D132)&lt;9,OR((C132)=0,(MAX((B132-1)-1,0)+MAX((C132)-1,0)+MAX((D132)-1,0))&lt;6)),1,0)&amp;IF(AND((B132-1+C132+D132)&lt;9,OR((B132-1)=0,(MAX((B132-1)-1,0)+MAX((C132)-1,0)+MAX((D132)-1,0))&lt;6)),1,0))</x:f>
        <x:v>不可回收</x:v>
      </x:c>
      <x:c r="K132" s="22" t="str">
        <x:f>IF(C132=0,"不可回收",IF(AND((B132+C132-1+D132)&lt;9,OR((D132)=0,(MAX((B132)-1,0)+MAX((C132-1)-1,0)+MAX((D132)-1,0))&lt;6)),1,0)&amp;IF(AND((B132+C132-1+D132)&lt;9,OR((C132-1)=0,(MAX((B132)-1,0)+MAX((C132-1)-1,0)+MAX((D132)-1,0))&lt;6)),1,0)&amp;IF(AND((B132+C132-1+D132)&lt;9,OR((B132)=0,(MAX((B132)-1,0)+MAX((C132-1)-1,0)+MAX((D132)-1,0))&lt;6)),1,0))</x:f>
        <x:v>111</x:v>
      </x:c>
      <x:c r="L132" s="22" t="str">
        <x:f>IF(D132=0,"不可回收",IF(AND((B132+C132+D132-1)&lt;9,OR((D132-1)=0,(MAX((B132)-1,0)+MAX((C132)-1,0)+MAX((D132-1)-1,0))&lt;6)),1,0)&amp;IF(AND((B132+C132+D132-1)&lt;9,OR((C132)=0,(MAX((B132)-1,0)+MAX((C132)-1,0)+MAX((D132-1)-1,0))&lt;6)),1,0)&amp;IF(AND((B132+C132+D132-1)&lt;9,OR((B132)=0,(MAX((B132)-1,0)+MAX((C132)-1,0)+MAX((D132-1)-1,0))&lt;6)),1,0))</x:f>
        <x:v>111</x:v>
      </x:c>
      <x:c r="M132" s="18" t="n">
        <x:f>1+F132</x:f>
        <x:v>3</x:v>
      </x:c>
      <x:c r="N132" s="18" t="n">
        <x:f>COUNTIF('容量转换'!$B$8:$B$2447,A132)</x:f>
        <x:v>12</x:v>
      </x:c>
      <x:c r="O132" s="21" t="str">
        <x:f>IF(AND(MIN(B132:D132)&gt;=0,MAX(B132:D132)&lt;=7,H132&lt;=9),"合法","不合法")</x:f>
        <x:v>合法</x:v>
      </x:c>
    </x:row>
    <x:row r="133" ht="23" customHeight="1">
      <x:c r="A133" s="3" t="str">
        <x:v>ST-126</x:v>
      </x:c>
      <x:c r="B133" s="19" t="n">
        <x:v>0</x:v>
      </x:c>
      <x:c r="C133" s="19" t="n">
        <x:v>6</x:v>
      </x:c>
      <x:c r="D133" s="19" t="n">
        <x:v>2</x:v>
      </x:c>
      <x:c r="E133" s="20" t="n">
        <x:f>SUM(B133:D133)</x:f>
        <x:v>8</x:v>
      </x:c>
      <x:c r="F133" s="20" t="n">
        <x:f>COUNTIF(B133:D133,"&gt;0")</x:f>
        <x:v>2</x:v>
      </x:c>
      <x:c r="G133" s="20" t="n">
        <x:f>MAX(B133-1,0)+MAX(C133-1,0)+MAX(D133-1,0)</x:f>
        <x:v>6</x:v>
      </x:c>
      <x:c r="H133" s="20" t="n">
        <x:f>MAX(B133,1)+MAX(C133,1)+MAX(D133,1)</x:f>
        <x:v>9</x:v>
      </x:c>
      <x:c r="I133" s="22" t="str">
        <x:f>IF(AND((B133+C133+D133)&lt;9,OR((D133)=0,(MAX((B133)-1,0)+MAX((C133)-1,0)+MAX((D133)-1,0))&lt;6)),1,0)&amp;IF(AND((B133+C133+D133)&lt;9,OR((C133)=0,(MAX((B133)-1,0)+MAX((C133)-1,0)+MAX((D133)-1,0))&lt;6)),1,0)&amp;IF(AND((B133+C133+D133)&lt;9,OR((B133)=0,(MAX((B133)-1,0)+MAX((C133)-1,0)+MAX((D133)-1,0))&lt;6)),1,0)</x:f>
        <x:v>001</x:v>
      </x:c>
      <x:c r="J133" s="22" t="str">
        <x:f>IF(B133=0,"不可回收",IF(AND((B133-1+C133+D133)&lt;9,OR((D133)=0,(MAX((B133-1)-1,0)+MAX((C133)-1,0)+MAX((D133)-1,0))&lt;6)),1,0)&amp;IF(AND((B133-1+C133+D133)&lt;9,OR((C133)=0,(MAX((B133-1)-1,0)+MAX((C133)-1,0)+MAX((D133)-1,0))&lt;6)),1,0)&amp;IF(AND((B133-1+C133+D133)&lt;9,OR((B133-1)=0,(MAX((B133-1)-1,0)+MAX((C133)-1,0)+MAX((D133)-1,0))&lt;6)),1,0))</x:f>
        <x:v>不可回收</x:v>
      </x:c>
      <x:c r="K133" s="22" t="str">
        <x:f>IF(C133=0,"不可回收",IF(AND((B133+C133-1+D133)&lt;9,OR((D133)=0,(MAX((B133)-1,0)+MAX((C133-1)-1,0)+MAX((D133)-1,0))&lt;6)),1,0)&amp;IF(AND((B133+C133-1+D133)&lt;9,OR((C133-1)=0,(MAX((B133)-1,0)+MAX((C133-1)-1,0)+MAX((D133)-1,0))&lt;6)),1,0)&amp;IF(AND((B133+C133-1+D133)&lt;9,OR((B133)=0,(MAX((B133)-1,0)+MAX((C133-1)-1,0)+MAX((D133)-1,0))&lt;6)),1,0))</x:f>
        <x:v>111</x:v>
      </x:c>
      <x:c r="L133" s="22" t="str">
        <x:f>IF(D133=0,"不可回收",IF(AND((B133+C133+D133-1)&lt;9,OR((D133-1)=0,(MAX((B133)-1,0)+MAX((C133)-1,0)+MAX((D133-1)-1,0))&lt;6)),1,0)&amp;IF(AND((B133+C133+D133-1)&lt;9,OR((C133)=0,(MAX((B133)-1,0)+MAX((C133)-1,0)+MAX((D133-1)-1,0))&lt;6)),1,0)&amp;IF(AND((B133+C133+D133-1)&lt;9,OR((B133)=0,(MAX((B133)-1,0)+MAX((C133)-1,0)+MAX((D133-1)-1,0))&lt;6)),1,0))</x:f>
        <x:v>111</x:v>
      </x:c>
      <x:c r="M133" s="18" t="n">
        <x:f>1+F133</x:f>
        <x:v>3</x:v>
      </x:c>
      <x:c r="N133" s="18" t="n">
        <x:f>COUNTIF('容量转换'!$B$8:$B$2447,A133)</x:f>
        <x:v>12</x:v>
      </x:c>
      <x:c r="O133" s="21" t="str">
        <x:f>IF(AND(MIN(B133:D133)&gt;=0,MAX(B133:D133)&lt;=7,H133&lt;=9),"合法","不合法")</x:f>
        <x:v>合法</x:v>
      </x:c>
    </x:row>
    <x:row r="134" ht="23" customHeight="1">
      <x:c r="A134" s="3" t="str">
        <x:v>ST-127</x:v>
      </x:c>
      <x:c r="B134" s="19" t="n">
        <x:v>0</x:v>
      </x:c>
      <x:c r="C134" s="19" t="n">
        <x:v>7</x:v>
      </x:c>
      <x:c r="D134" s="19" t="n">
        <x:v>1</x:v>
      </x:c>
      <x:c r="E134" s="20" t="n">
        <x:f>SUM(B134:D134)</x:f>
        <x:v>8</x:v>
      </x:c>
      <x:c r="F134" s="20" t="n">
        <x:f>COUNTIF(B134:D134,"&gt;0")</x:f>
        <x:v>2</x:v>
      </x:c>
      <x:c r="G134" s="20" t="n">
        <x:f>MAX(B134-1,0)+MAX(C134-1,0)+MAX(D134-1,0)</x:f>
        <x:v>6</x:v>
      </x:c>
      <x:c r="H134" s="20" t="n">
        <x:f>MAX(B134,1)+MAX(C134,1)+MAX(D134,1)</x:f>
        <x:v>9</x:v>
      </x:c>
      <x:c r="I134" s="22" t="str">
        <x:f>IF(AND((B134+C134+D134)&lt;9,OR((D134)=0,(MAX((B134)-1,0)+MAX((C134)-1,0)+MAX((D134)-1,0))&lt;6)),1,0)&amp;IF(AND((B134+C134+D134)&lt;9,OR((C134)=0,(MAX((B134)-1,0)+MAX((C134)-1,0)+MAX((D134)-1,0))&lt;6)),1,0)&amp;IF(AND((B134+C134+D134)&lt;9,OR((B134)=0,(MAX((B134)-1,0)+MAX((C134)-1,0)+MAX((D134)-1,0))&lt;6)),1,0)</x:f>
        <x:v>001</x:v>
      </x:c>
      <x:c r="J134" s="22" t="str">
        <x:f>IF(B134=0,"不可回收",IF(AND((B134-1+C134+D134)&lt;9,OR((D134)=0,(MAX((B134-1)-1,0)+MAX((C134)-1,0)+MAX((D134)-1,0))&lt;6)),1,0)&amp;IF(AND((B134-1+C134+D134)&lt;9,OR((C134)=0,(MAX((B134-1)-1,0)+MAX((C134)-1,0)+MAX((D134)-1,0))&lt;6)),1,0)&amp;IF(AND((B134-1+C134+D134)&lt;9,OR((B134-1)=0,(MAX((B134-1)-1,0)+MAX((C134)-1,0)+MAX((D134)-1,0))&lt;6)),1,0))</x:f>
        <x:v>不可回收</x:v>
      </x:c>
      <x:c r="K134" s="22" t="str">
        <x:f>IF(C134=0,"不可回收",IF(AND((B134+C134-1+D134)&lt;9,OR((D134)=0,(MAX((B134)-1,0)+MAX((C134-1)-1,0)+MAX((D134)-1,0))&lt;6)),1,0)&amp;IF(AND((B134+C134-1+D134)&lt;9,OR((C134-1)=0,(MAX((B134)-1,0)+MAX((C134-1)-1,0)+MAX((D134)-1,0))&lt;6)),1,0)&amp;IF(AND((B134+C134-1+D134)&lt;9,OR((B134)=0,(MAX((B134)-1,0)+MAX((C134-1)-1,0)+MAX((D134)-1,0))&lt;6)),1,0))</x:f>
        <x:v>111</x:v>
      </x:c>
      <x:c r="L134" s="22" t="str">
        <x:f>IF(D134=0,"不可回收",IF(AND((B134+C134+D134-1)&lt;9,OR((D134-1)=0,(MAX((B134)-1,0)+MAX((C134)-1,0)+MAX((D134-1)-1,0))&lt;6)),1,0)&amp;IF(AND((B134+C134+D134-1)&lt;9,OR((C134)=0,(MAX((B134)-1,0)+MAX((C134)-1,0)+MAX((D134-1)-1,0))&lt;6)),1,0)&amp;IF(AND((B134+C134+D134-1)&lt;9,OR((B134)=0,(MAX((B134)-1,0)+MAX((C134)-1,0)+MAX((D134-1)-1,0))&lt;6)),1,0))</x:f>
        <x:v>101</x:v>
      </x:c>
      <x:c r="M134" s="18" t="n">
        <x:f>1+F134</x:f>
        <x:v>3</x:v>
      </x:c>
      <x:c r="N134" s="18" t="n">
        <x:f>COUNTIF('容量转换'!$B$8:$B$2447,A134)</x:f>
        <x:v>12</x:v>
      </x:c>
      <x:c r="O134" s="21" t="str">
        <x:f>IF(AND(MIN(B134:D134)&gt;=0,MAX(B134:D134)&lt;=7,H134&lt;=9),"合法","不合法")</x:f>
        <x:v>合法</x:v>
      </x:c>
    </x:row>
    <x:row r="135" ht="23" customHeight="1">
      <x:c r="A135" s="3" t="str">
        <x:v>ST-128</x:v>
      </x:c>
      <x:c r="B135" s="19" t="n">
        <x:v>1</x:v>
      </x:c>
      <x:c r="C135" s="19" t="n">
        <x:v>0</x:v>
      </x:c>
      <x:c r="D135" s="19" t="n">
        <x:v>7</x:v>
      </x:c>
      <x:c r="E135" s="20" t="n">
        <x:f>SUM(B135:D135)</x:f>
        <x:v>8</x:v>
      </x:c>
      <x:c r="F135" s="20" t="n">
        <x:f>COUNTIF(B135:D135,"&gt;0")</x:f>
        <x:v>2</x:v>
      </x:c>
      <x:c r="G135" s="20" t="n">
        <x:f>MAX(B135-1,0)+MAX(C135-1,0)+MAX(D135-1,0)</x:f>
        <x:v>6</x:v>
      </x:c>
      <x:c r="H135" s="20" t="n">
        <x:f>MAX(B135,1)+MAX(C135,1)+MAX(D135,1)</x:f>
        <x:v>9</x:v>
      </x:c>
      <x:c r="I135" s="22" t="str">
        <x:f>IF(AND((B135+C135+D135)&lt;9,OR((D135)=0,(MAX((B135)-1,0)+MAX((C135)-1,0)+MAX((D135)-1,0))&lt;6)),1,0)&amp;IF(AND((B135+C135+D135)&lt;9,OR((C135)=0,(MAX((B135)-1,0)+MAX((C135)-1,0)+MAX((D135)-1,0))&lt;6)),1,0)&amp;IF(AND((B135+C135+D135)&lt;9,OR((B135)=0,(MAX((B135)-1,0)+MAX((C135)-1,0)+MAX((D135)-1,0))&lt;6)),1,0)</x:f>
        <x:v>010</x:v>
      </x:c>
      <x:c r="J135" s="22" t="str">
        <x:f>IF(B135=0,"不可回收",IF(AND((B135-1+C135+D135)&lt;9,OR((D135)=0,(MAX((B135-1)-1,0)+MAX((C135)-1,0)+MAX((D135)-1,0))&lt;6)),1,0)&amp;IF(AND((B135-1+C135+D135)&lt;9,OR((C135)=0,(MAX((B135-1)-1,0)+MAX((C135)-1,0)+MAX((D135)-1,0))&lt;6)),1,0)&amp;IF(AND((B135-1+C135+D135)&lt;9,OR((B135-1)=0,(MAX((B135-1)-1,0)+MAX((C135)-1,0)+MAX((D135)-1,0))&lt;6)),1,0))</x:f>
        <x:v>011</x:v>
      </x:c>
      <x:c r="K135" s="22" t="str">
        <x:f>IF(C135=0,"不可回收",IF(AND((B135+C135-1+D135)&lt;9,OR((D135)=0,(MAX((B135)-1,0)+MAX((C135-1)-1,0)+MAX((D135)-1,0))&lt;6)),1,0)&amp;IF(AND((B135+C135-1+D135)&lt;9,OR((C135-1)=0,(MAX((B135)-1,0)+MAX((C135-1)-1,0)+MAX((D135)-1,0))&lt;6)),1,0)&amp;IF(AND((B135+C135-1+D135)&lt;9,OR((B135)=0,(MAX((B135)-1,0)+MAX((C135-1)-1,0)+MAX((D135)-1,0))&lt;6)),1,0))</x:f>
        <x:v>不可回收</x:v>
      </x:c>
      <x:c r="L135" s="22" t="str">
        <x:f>IF(D135=0,"不可回收",IF(AND((B135+C135+D135-1)&lt;9,OR((D135-1)=0,(MAX((B135)-1,0)+MAX((C135)-1,0)+MAX((D135-1)-1,0))&lt;6)),1,0)&amp;IF(AND((B135+C135+D135-1)&lt;9,OR((C135)=0,(MAX((B135)-1,0)+MAX((C135)-1,0)+MAX((D135-1)-1,0))&lt;6)),1,0)&amp;IF(AND((B135+C135+D135-1)&lt;9,OR((B135)=0,(MAX((B135)-1,0)+MAX((C135)-1,0)+MAX((D135-1)-1,0))&lt;6)),1,0))</x:f>
        <x:v>111</x:v>
      </x:c>
      <x:c r="M135" s="18" t="n">
        <x:f>1+F135</x:f>
        <x:v>3</x:v>
      </x:c>
      <x:c r="N135" s="18" t="n">
        <x:f>COUNTIF('容量转换'!$B$8:$B$2447,A135)</x:f>
        <x:v>12</x:v>
      </x:c>
      <x:c r="O135" s="21" t="str">
        <x:f>IF(AND(MIN(B135:D135)&gt;=0,MAX(B135:D135)&lt;=7,H135&lt;=9),"合法","不合法")</x:f>
        <x:v>合法</x:v>
      </x:c>
    </x:row>
    <x:row r="136" ht="23" customHeight="1">
      <x:c r="A136" s="3" t="str">
        <x:v>ST-129</x:v>
      </x:c>
      <x:c r="B136" s="19" t="n">
        <x:v>1</x:v>
      </x:c>
      <x:c r="C136" s="19" t="n">
        <x:v>1</x:v>
      </x:c>
      <x:c r="D136" s="19" t="n">
        <x:v>6</x:v>
      </x:c>
      <x:c r="E136" s="20" t="n">
        <x:f>SUM(B136:D136)</x:f>
        <x:v>8</x:v>
      </x:c>
      <x:c r="F136" s="20" t="n">
        <x:f>COUNTIF(B136:D136,"&gt;0")</x:f>
        <x:v>3</x:v>
      </x:c>
      <x:c r="G136" s="20" t="n">
        <x:f>MAX(B136-1,0)+MAX(C136-1,0)+MAX(D136-1,0)</x:f>
        <x:v>5</x:v>
      </x:c>
      <x:c r="H136" s="20" t="n">
        <x:f>MAX(B136,1)+MAX(C136,1)+MAX(D136,1)</x:f>
        <x:v>8</x:v>
      </x:c>
      <x:c r="I136" s="22" t="str">
        <x:f>IF(AND((B136+C136+D136)&lt;9,OR((D136)=0,(MAX((B136)-1,0)+MAX((C136)-1,0)+MAX((D136)-1,0))&lt;6)),1,0)&amp;IF(AND((B136+C136+D136)&lt;9,OR((C136)=0,(MAX((B136)-1,0)+MAX((C136)-1,0)+MAX((D136)-1,0))&lt;6)),1,0)&amp;IF(AND((B136+C136+D136)&lt;9,OR((B136)=0,(MAX((B136)-1,0)+MAX((C136)-1,0)+MAX((D136)-1,0))&lt;6)),1,0)</x:f>
        <x:v>111</x:v>
      </x:c>
      <x:c r="J136" s="22" t="str">
        <x:f>IF(B136=0,"不可回收",IF(AND((B136-1+C136+D136)&lt;9,OR((D136)=0,(MAX((B136-1)-1,0)+MAX((C136)-1,0)+MAX((D136)-1,0))&lt;6)),1,0)&amp;IF(AND((B136-1+C136+D136)&lt;9,OR((C136)=0,(MAX((B136-1)-1,0)+MAX((C136)-1,0)+MAX((D136)-1,0))&lt;6)),1,0)&amp;IF(AND((B136-1+C136+D136)&lt;9,OR((B136-1)=0,(MAX((B136-1)-1,0)+MAX((C136)-1,0)+MAX((D136)-1,0))&lt;6)),1,0))</x:f>
        <x:v>111</x:v>
      </x:c>
      <x:c r="K136" s="22" t="str">
        <x:f>IF(C136=0,"不可回收",IF(AND((B136+C136-1+D136)&lt;9,OR((D136)=0,(MAX((B136)-1,0)+MAX((C136-1)-1,0)+MAX((D136)-1,0))&lt;6)),1,0)&amp;IF(AND((B136+C136-1+D136)&lt;9,OR((C136-1)=0,(MAX((B136)-1,0)+MAX((C136-1)-1,0)+MAX((D136)-1,0))&lt;6)),1,0)&amp;IF(AND((B136+C136-1+D136)&lt;9,OR((B136)=0,(MAX((B136)-1,0)+MAX((C136-1)-1,0)+MAX((D136)-1,0))&lt;6)),1,0))</x:f>
        <x:v>111</x:v>
      </x:c>
      <x:c r="L136" s="22" t="str">
        <x:f>IF(D136=0,"不可回收",IF(AND((B136+C136+D136-1)&lt;9,OR((D136-1)=0,(MAX((B136)-1,0)+MAX((C136)-1,0)+MAX((D136-1)-1,0))&lt;6)),1,0)&amp;IF(AND((B136+C136+D136-1)&lt;9,OR((C136)=0,(MAX((B136)-1,0)+MAX((C136)-1,0)+MAX((D136-1)-1,0))&lt;6)),1,0)&amp;IF(AND((B136+C136+D136-1)&lt;9,OR((B136)=0,(MAX((B136)-1,0)+MAX((C136)-1,0)+MAX((D136-1)-1,0))&lt;6)),1,0))</x:f>
        <x:v>111</x:v>
      </x:c>
      <x:c r="M136" s="18" t="n">
        <x:f>1+F136</x:f>
        <x:v>4</x:v>
      </x:c>
      <x:c r="N136" s="18" t="n">
        <x:f>COUNTIF('容量转换'!$B$8:$B$2447,A136)</x:f>
        <x:v>16</x:v>
      </x:c>
      <x:c r="O136" s="21" t="str">
        <x:f>IF(AND(MIN(B136:D136)&gt;=0,MAX(B136:D136)&lt;=7,H136&lt;=9),"合法","不合法")</x:f>
        <x:v>合法</x:v>
      </x:c>
    </x:row>
    <x:row r="137" ht="23" customHeight="1">
      <x:c r="A137" s="3" t="str">
        <x:v>ST-130</x:v>
      </x:c>
      <x:c r="B137" s="19" t="n">
        <x:v>1</x:v>
      </x:c>
      <x:c r="C137" s="19" t="n">
        <x:v>2</x:v>
      </x:c>
      <x:c r="D137" s="19" t="n">
        <x:v>5</x:v>
      </x:c>
      <x:c r="E137" s="20" t="n">
        <x:f>SUM(B137:D137)</x:f>
        <x:v>8</x:v>
      </x:c>
      <x:c r="F137" s="20" t="n">
        <x:f>COUNTIF(B137:D137,"&gt;0")</x:f>
        <x:v>3</x:v>
      </x:c>
      <x:c r="G137" s="20" t="n">
        <x:f>MAX(B137-1,0)+MAX(C137-1,0)+MAX(D137-1,0)</x:f>
        <x:v>5</x:v>
      </x:c>
      <x:c r="H137" s="20" t="n">
        <x:f>MAX(B137,1)+MAX(C137,1)+MAX(D137,1)</x:f>
        <x:v>8</x:v>
      </x:c>
      <x:c r="I137" s="22" t="str">
        <x:f>IF(AND((B137+C137+D137)&lt;9,OR((D137)=0,(MAX((B137)-1,0)+MAX((C137)-1,0)+MAX((D137)-1,0))&lt;6)),1,0)&amp;IF(AND((B137+C137+D137)&lt;9,OR((C137)=0,(MAX((B137)-1,0)+MAX((C137)-1,0)+MAX((D137)-1,0))&lt;6)),1,0)&amp;IF(AND((B137+C137+D137)&lt;9,OR((B137)=0,(MAX((B137)-1,0)+MAX((C137)-1,0)+MAX((D137)-1,0))&lt;6)),1,0)</x:f>
        <x:v>111</x:v>
      </x:c>
      <x:c r="J137" s="22" t="str">
        <x:f>IF(B137=0,"不可回收",IF(AND((B137-1+C137+D137)&lt;9,OR((D137)=0,(MAX((B137-1)-1,0)+MAX((C137)-1,0)+MAX((D137)-1,0))&lt;6)),1,0)&amp;IF(AND((B137-1+C137+D137)&lt;9,OR((C137)=0,(MAX((B137-1)-1,0)+MAX((C137)-1,0)+MAX((D137)-1,0))&lt;6)),1,0)&amp;IF(AND((B137-1+C137+D137)&lt;9,OR((B137-1)=0,(MAX((B137-1)-1,0)+MAX((C137)-1,0)+MAX((D137)-1,0))&lt;6)),1,0))</x:f>
        <x:v>111</x:v>
      </x:c>
      <x:c r="K137" s="22" t="str">
        <x:f>IF(C137=0,"不可回收",IF(AND((B137+C137-1+D137)&lt;9,OR((D137)=0,(MAX((B137)-1,0)+MAX((C137-1)-1,0)+MAX((D137)-1,0))&lt;6)),1,0)&amp;IF(AND((B137+C137-1+D137)&lt;9,OR((C137-1)=0,(MAX((B137)-1,0)+MAX((C137-1)-1,0)+MAX((D137)-1,0))&lt;6)),1,0)&amp;IF(AND((B137+C137-1+D137)&lt;9,OR((B137)=0,(MAX((B137)-1,0)+MAX((C137-1)-1,0)+MAX((D137)-1,0))&lt;6)),1,0))</x:f>
        <x:v>111</x:v>
      </x:c>
      <x:c r="L137" s="22" t="str">
        <x:f>IF(D137=0,"不可回收",IF(AND((B137+C137+D137-1)&lt;9,OR((D137-1)=0,(MAX((B137)-1,0)+MAX((C137)-1,0)+MAX((D137-1)-1,0))&lt;6)),1,0)&amp;IF(AND((B137+C137+D137-1)&lt;9,OR((C137)=0,(MAX((B137)-1,0)+MAX((C137)-1,0)+MAX((D137-1)-1,0))&lt;6)),1,0)&amp;IF(AND((B137+C137+D137-1)&lt;9,OR((B137)=0,(MAX((B137)-1,0)+MAX((C137)-1,0)+MAX((D137-1)-1,0))&lt;6)),1,0))</x:f>
        <x:v>111</x:v>
      </x:c>
      <x:c r="M137" s="18" t="n">
        <x:f>1+F137</x:f>
        <x:v>4</x:v>
      </x:c>
      <x:c r="N137" s="18" t="n">
        <x:f>COUNTIF('容量转换'!$B$8:$B$2447,A137)</x:f>
        <x:v>16</x:v>
      </x:c>
      <x:c r="O137" s="21" t="str">
        <x:f>IF(AND(MIN(B137:D137)&gt;=0,MAX(B137:D137)&lt;=7,H137&lt;=9),"合法","不合法")</x:f>
        <x:v>合法</x:v>
      </x:c>
    </x:row>
    <x:row r="138" ht="23" customHeight="1">
      <x:c r="A138" s="3" t="str">
        <x:v>ST-131</x:v>
      </x:c>
      <x:c r="B138" s="19" t="n">
        <x:v>1</x:v>
      </x:c>
      <x:c r="C138" s="19" t="n">
        <x:v>3</x:v>
      </x:c>
      <x:c r="D138" s="19" t="n">
        <x:v>4</x:v>
      </x:c>
      <x:c r="E138" s="20" t="n">
        <x:f>SUM(B138:D138)</x:f>
        <x:v>8</x:v>
      </x:c>
      <x:c r="F138" s="20" t="n">
        <x:f>COUNTIF(B138:D138,"&gt;0")</x:f>
        <x:v>3</x:v>
      </x:c>
      <x:c r="G138" s="20" t="n">
        <x:f>MAX(B138-1,0)+MAX(C138-1,0)+MAX(D138-1,0)</x:f>
        <x:v>5</x:v>
      </x:c>
      <x:c r="H138" s="20" t="n">
        <x:f>MAX(B138,1)+MAX(C138,1)+MAX(D138,1)</x:f>
        <x:v>8</x:v>
      </x:c>
      <x:c r="I138" s="22" t="str">
        <x:f>IF(AND((B138+C138+D138)&lt;9,OR((D138)=0,(MAX((B138)-1,0)+MAX((C138)-1,0)+MAX((D138)-1,0))&lt;6)),1,0)&amp;IF(AND((B138+C138+D138)&lt;9,OR((C138)=0,(MAX((B138)-1,0)+MAX((C138)-1,0)+MAX((D138)-1,0))&lt;6)),1,0)&amp;IF(AND((B138+C138+D138)&lt;9,OR((B138)=0,(MAX((B138)-1,0)+MAX((C138)-1,0)+MAX((D138)-1,0))&lt;6)),1,0)</x:f>
        <x:v>111</x:v>
      </x:c>
      <x:c r="J138" s="22" t="str">
        <x:f>IF(B138=0,"不可回收",IF(AND((B138-1+C138+D138)&lt;9,OR((D138)=0,(MAX((B138-1)-1,0)+MAX((C138)-1,0)+MAX((D138)-1,0))&lt;6)),1,0)&amp;IF(AND((B138-1+C138+D138)&lt;9,OR((C138)=0,(MAX((B138-1)-1,0)+MAX((C138)-1,0)+MAX((D138)-1,0))&lt;6)),1,0)&amp;IF(AND((B138-1+C138+D138)&lt;9,OR((B138-1)=0,(MAX((B138-1)-1,0)+MAX((C138)-1,0)+MAX((D138)-1,0))&lt;6)),1,0))</x:f>
        <x:v>111</x:v>
      </x:c>
      <x:c r="K138" s="22" t="str">
        <x:f>IF(C138=0,"不可回收",IF(AND((B138+C138-1+D138)&lt;9,OR((D138)=0,(MAX((B138)-1,0)+MAX((C138-1)-1,0)+MAX((D138)-1,0))&lt;6)),1,0)&amp;IF(AND((B138+C138-1+D138)&lt;9,OR((C138-1)=0,(MAX((B138)-1,0)+MAX((C138-1)-1,0)+MAX((D138)-1,0))&lt;6)),1,0)&amp;IF(AND((B138+C138-1+D138)&lt;9,OR((B138)=0,(MAX((B138)-1,0)+MAX((C138-1)-1,0)+MAX((D138)-1,0))&lt;6)),1,0))</x:f>
        <x:v>111</x:v>
      </x:c>
      <x:c r="L138" s="22" t="str">
        <x:f>IF(D138=0,"不可回收",IF(AND((B138+C138+D138-1)&lt;9,OR((D138-1)=0,(MAX((B138)-1,0)+MAX((C138)-1,0)+MAX((D138-1)-1,0))&lt;6)),1,0)&amp;IF(AND((B138+C138+D138-1)&lt;9,OR((C138)=0,(MAX((B138)-1,0)+MAX((C138)-1,0)+MAX((D138-1)-1,0))&lt;6)),1,0)&amp;IF(AND((B138+C138+D138-1)&lt;9,OR((B138)=0,(MAX((B138)-1,0)+MAX((C138)-1,0)+MAX((D138-1)-1,0))&lt;6)),1,0))</x:f>
        <x:v>111</x:v>
      </x:c>
      <x:c r="M138" s="18" t="n">
        <x:f>1+F138</x:f>
        <x:v>4</x:v>
      </x:c>
      <x:c r="N138" s="18" t="n">
        <x:f>COUNTIF('容量转换'!$B$8:$B$2447,A138)</x:f>
        <x:v>16</x:v>
      </x:c>
      <x:c r="O138" s="21" t="str">
        <x:f>IF(AND(MIN(B138:D138)&gt;=0,MAX(B138:D138)&lt;=7,H138&lt;=9),"合法","不合法")</x:f>
        <x:v>合法</x:v>
      </x:c>
    </x:row>
    <x:row r="139" ht="23" customHeight="1">
      <x:c r="A139" s="3" t="str">
        <x:v>ST-132</x:v>
      </x:c>
      <x:c r="B139" s="19" t="n">
        <x:v>1</x:v>
      </x:c>
      <x:c r="C139" s="19" t="n">
        <x:v>4</x:v>
      </x:c>
      <x:c r="D139" s="19" t="n">
        <x:v>3</x:v>
      </x:c>
      <x:c r="E139" s="20" t="n">
        <x:f>SUM(B139:D139)</x:f>
        <x:v>8</x:v>
      </x:c>
      <x:c r="F139" s="20" t="n">
        <x:f>COUNTIF(B139:D139,"&gt;0")</x:f>
        <x:v>3</x:v>
      </x:c>
      <x:c r="G139" s="20" t="n">
        <x:f>MAX(B139-1,0)+MAX(C139-1,0)+MAX(D139-1,0)</x:f>
        <x:v>5</x:v>
      </x:c>
      <x:c r="H139" s="20" t="n">
        <x:f>MAX(B139,1)+MAX(C139,1)+MAX(D139,1)</x:f>
        <x:v>8</x:v>
      </x:c>
      <x:c r="I139" s="22" t="str">
        <x:f>IF(AND((B139+C139+D139)&lt;9,OR((D139)=0,(MAX((B139)-1,0)+MAX((C139)-1,0)+MAX((D139)-1,0))&lt;6)),1,0)&amp;IF(AND((B139+C139+D139)&lt;9,OR((C139)=0,(MAX((B139)-1,0)+MAX((C139)-1,0)+MAX((D139)-1,0))&lt;6)),1,0)&amp;IF(AND((B139+C139+D139)&lt;9,OR((B139)=0,(MAX((B139)-1,0)+MAX((C139)-1,0)+MAX((D139)-1,0))&lt;6)),1,0)</x:f>
        <x:v>111</x:v>
      </x:c>
      <x:c r="J139" s="22" t="str">
        <x:f>IF(B139=0,"不可回收",IF(AND((B139-1+C139+D139)&lt;9,OR((D139)=0,(MAX((B139-1)-1,0)+MAX((C139)-1,0)+MAX((D139)-1,0))&lt;6)),1,0)&amp;IF(AND((B139-1+C139+D139)&lt;9,OR((C139)=0,(MAX((B139-1)-1,0)+MAX((C139)-1,0)+MAX((D139)-1,0))&lt;6)),1,0)&amp;IF(AND((B139-1+C139+D139)&lt;9,OR((B139-1)=0,(MAX((B139-1)-1,0)+MAX((C139)-1,0)+MAX((D139)-1,0))&lt;6)),1,0))</x:f>
        <x:v>111</x:v>
      </x:c>
      <x:c r="K139" s="22" t="str">
        <x:f>IF(C139=0,"不可回收",IF(AND((B139+C139-1+D139)&lt;9,OR((D139)=0,(MAX((B139)-1,0)+MAX((C139-1)-1,0)+MAX((D139)-1,0))&lt;6)),1,0)&amp;IF(AND((B139+C139-1+D139)&lt;9,OR((C139-1)=0,(MAX((B139)-1,0)+MAX((C139-1)-1,0)+MAX((D139)-1,0))&lt;6)),1,0)&amp;IF(AND((B139+C139-1+D139)&lt;9,OR((B139)=0,(MAX((B139)-1,0)+MAX((C139-1)-1,0)+MAX((D139)-1,0))&lt;6)),1,0))</x:f>
        <x:v>111</x:v>
      </x:c>
      <x:c r="L139" s="22" t="str">
        <x:f>IF(D139=0,"不可回收",IF(AND((B139+C139+D139-1)&lt;9,OR((D139-1)=0,(MAX((B139)-1,0)+MAX((C139)-1,0)+MAX((D139-1)-1,0))&lt;6)),1,0)&amp;IF(AND((B139+C139+D139-1)&lt;9,OR((C139)=0,(MAX((B139)-1,0)+MAX((C139)-1,0)+MAX((D139-1)-1,0))&lt;6)),1,0)&amp;IF(AND((B139+C139+D139-1)&lt;9,OR((B139)=0,(MAX((B139)-1,0)+MAX((C139)-1,0)+MAX((D139-1)-1,0))&lt;6)),1,0))</x:f>
        <x:v>111</x:v>
      </x:c>
      <x:c r="M139" s="18" t="n">
        <x:f>1+F139</x:f>
        <x:v>4</x:v>
      </x:c>
      <x:c r="N139" s="18" t="n">
        <x:f>COUNTIF('容量转换'!$B$8:$B$2447,A139)</x:f>
        <x:v>16</x:v>
      </x:c>
      <x:c r="O139" s="21" t="str">
        <x:f>IF(AND(MIN(B139:D139)&gt;=0,MAX(B139:D139)&lt;=7,H139&lt;=9),"合法","不合法")</x:f>
        <x:v>合法</x:v>
      </x:c>
    </x:row>
    <x:row r="140" ht="23" customHeight="1">
      <x:c r="A140" s="3" t="str">
        <x:v>ST-133</x:v>
      </x:c>
      <x:c r="B140" s="19" t="n">
        <x:v>1</x:v>
      </x:c>
      <x:c r="C140" s="19" t="n">
        <x:v>5</x:v>
      </x:c>
      <x:c r="D140" s="19" t="n">
        <x:v>2</x:v>
      </x:c>
      <x:c r="E140" s="20" t="n">
        <x:f>SUM(B140:D140)</x:f>
        <x:v>8</x:v>
      </x:c>
      <x:c r="F140" s="20" t="n">
        <x:f>COUNTIF(B140:D140,"&gt;0")</x:f>
        <x:v>3</x:v>
      </x:c>
      <x:c r="G140" s="20" t="n">
        <x:f>MAX(B140-1,0)+MAX(C140-1,0)+MAX(D140-1,0)</x:f>
        <x:v>5</x:v>
      </x:c>
      <x:c r="H140" s="20" t="n">
        <x:f>MAX(B140,1)+MAX(C140,1)+MAX(D140,1)</x:f>
        <x:v>8</x:v>
      </x:c>
      <x:c r="I140" s="22" t="str">
        <x:f>IF(AND((B140+C140+D140)&lt;9,OR((D140)=0,(MAX((B140)-1,0)+MAX((C140)-1,0)+MAX((D140)-1,0))&lt;6)),1,0)&amp;IF(AND((B140+C140+D140)&lt;9,OR((C140)=0,(MAX((B140)-1,0)+MAX((C140)-1,0)+MAX((D140)-1,0))&lt;6)),1,0)&amp;IF(AND((B140+C140+D140)&lt;9,OR((B140)=0,(MAX((B140)-1,0)+MAX((C140)-1,0)+MAX((D140)-1,0))&lt;6)),1,0)</x:f>
        <x:v>111</x:v>
      </x:c>
      <x:c r="J140" s="22" t="str">
        <x:f>IF(B140=0,"不可回收",IF(AND((B140-1+C140+D140)&lt;9,OR((D140)=0,(MAX((B140-1)-1,0)+MAX((C140)-1,0)+MAX((D140)-1,0))&lt;6)),1,0)&amp;IF(AND((B140-1+C140+D140)&lt;9,OR((C140)=0,(MAX((B140-1)-1,0)+MAX((C140)-1,0)+MAX((D140)-1,0))&lt;6)),1,0)&amp;IF(AND((B140-1+C140+D140)&lt;9,OR((B140-1)=0,(MAX((B140-1)-1,0)+MAX((C140)-1,0)+MAX((D140)-1,0))&lt;6)),1,0))</x:f>
        <x:v>111</x:v>
      </x:c>
      <x:c r="K140" s="22" t="str">
        <x:f>IF(C140=0,"不可回收",IF(AND((B140+C140-1+D140)&lt;9,OR((D140)=0,(MAX((B140)-1,0)+MAX((C140-1)-1,0)+MAX((D140)-1,0))&lt;6)),1,0)&amp;IF(AND((B140+C140-1+D140)&lt;9,OR((C140-1)=0,(MAX((B140)-1,0)+MAX((C140-1)-1,0)+MAX((D140)-1,0))&lt;6)),1,0)&amp;IF(AND((B140+C140-1+D140)&lt;9,OR((B140)=0,(MAX((B140)-1,0)+MAX((C140-1)-1,0)+MAX((D140)-1,0))&lt;6)),1,0))</x:f>
        <x:v>111</x:v>
      </x:c>
      <x:c r="L140" s="22" t="str">
        <x:f>IF(D140=0,"不可回收",IF(AND((B140+C140+D140-1)&lt;9,OR((D140-1)=0,(MAX((B140)-1,0)+MAX((C140)-1,0)+MAX((D140-1)-1,0))&lt;6)),1,0)&amp;IF(AND((B140+C140+D140-1)&lt;9,OR((C140)=0,(MAX((B140)-1,0)+MAX((C140)-1,0)+MAX((D140-1)-1,0))&lt;6)),1,0)&amp;IF(AND((B140+C140+D140-1)&lt;9,OR((B140)=0,(MAX((B140)-1,0)+MAX((C140)-1,0)+MAX((D140-1)-1,0))&lt;6)),1,0))</x:f>
        <x:v>111</x:v>
      </x:c>
      <x:c r="M140" s="18" t="n">
        <x:f>1+F140</x:f>
        <x:v>4</x:v>
      </x:c>
      <x:c r="N140" s="18" t="n">
        <x:f>COUNTIF('容量转换'!$B$8:$B$2447,A140)</x:f>
        <x:v>16</x:v>
      </x:c>
      <x:c r="O140" s="21" t="str">
        <x:f>IF(AND(MIN(B140:D140)&gt;=0,MAX(B140:D140)&lt;=7,H140&lt;=9),"合法","不合法")</x:f>
        <x:v>合法</x:v>
      </x:c>
    </x:row>
    <x:row r="141" ht="23" customHeight="1">
      <x:c r="A141" s="3" t="str">
        <x:v>ST-134</x:v>
      </x:c>
      <x:c r="B141" s="19" t="n">
        <x:v>1</x:v>
      </x:c>
      <x:c r="C141" s="19" t="n">
        <x:v>6</x:v>
      </x:c>
      <x:c r="D141" s="19" t="n">
        <x:v>1</x:v>
      </x:c>
      <x:c r="E141" s="20" t="n">
        <x:f>SUM(B141:D141)</x:f>
        <x:v>8</x:v>
      </x:c>
      <x:c r="F141" s="20" t="n">
        <x:f>COUNTIF(B141:D141,"&gt;0")</x:f>
        <x:v>3</x:v>
      </x:c>
      <x:c r="G141" s="20" t="n">
        <x:f>MAX(B141-1,0)+MAX(C141-1,0)+MAX(D141-1,0)</x:f>
        <x:v>5</x:v>
      </x:c>
      <x:c r="H141" s="20" t="n">
        <x:f>MAX(B141,1)+MAX(C141,1)+MAX(D141,1)</x:f>
        <x:v>8</x:v>
      </x:c>
      <x:c r="I141" s="22" t="str">
        <x:f>IF(AND((B141+C141+D141)&lt;9,OR((D141)=0,(MAX((B141)-1,0)+MAX((C141)-1,0)+MAX((D141)-1,0))&lt;6)),1,0)&amp;IF(AND((B141+C141+D141)&lt;9,OR((C141)=0,(MAX((B141)-1,0)+MAX((C141)-1,0)+MAX((D141)-1,0))&lt;6)),1,0)&amp;IF(AND((B141+C141+D141)&lt;9,OR((B141)=0,(MAX((B141)-1,0)+MAX((C141)-1,0)+MAX((D141)-1,0))&lt;6)),1,0)</x:f>
        <x:v>111</x:v>
      </x:c>
      <x:c r="J141" s="22" t="str">
        <x:f>IF(B141=0,"不可回收",IF(AND((B141-1+C141+D141)&lt;9,OR((D141)=0,(MAX((B141-1)-1,0)+MAX((C141)-1,0)+MAX((D141)-1,0))&lt;6)),1,0)&amp;IF(AND((B141-1+C141+D141)&lt;9,OR((C141)=0,(MAX((B141-1)-1,0)+MAX((C141)-1,0)+MAX((D141)-1,0))&lt;6)),1,0)&amp;IF(AND((B141-1+C141+D141)&lt;9,OR((B141-1)=0,(MAX((B141-1)-1,0)+MAX((C141)-1,0)+MAX((D141)-1,0))&lt;6)),1,0))</x:f>
        <x:v>111</x:v>
      </x:c>
      <x:c r="K141" s="22" t="str">
        <x:f>IF(C141=0,"不可回收",IF(AND((B141+C141-1+D141)&lt;9,OR((D141)=0,(MAX((B141)-1,0)+MAX((C141-1)-1,0)+MAX((D141)-1,0))&lt;6)),1,0)&amp;IF(AND((B141+C141-1+D141)&lt;9,OR((C141-1)=0,(MAX((B141)-1,0)+MAX((C141-1)-1,0)+MAX((D141)-1,0))&lt;6)),1,0)&amp;IF(AND((B141+C141-1+D141)&lt;9,OR((B141)=0,(MAX((B141)-1,0)+MAX((C141-1)-1,0)+MAX((D141)-1,0))&lt;6)),1,0))</x:f>
        <x:v>111</x:v>
      </x:c>
      <x:c r="L141" s="22" t="str">
        <x:f>IF(D141=0,"不可回收",IF(AND((B141+C141+D141-1)&lt;9,OR((D141-1)=0,(MAX((B141)-1,0)+MAX((C141)-1,0)+MAX((D141-1)-1,0))&lt;6)),1,0)&amp;IF(AND((B141+C141+D141-1)&lt;9,OR((C141)=0,(MAX((B141)-1,0)+MAX((C141)-1,0)+MAX((D141-1)-1,0))&lt;6)),1,0)&amp;IF(AND((B141+C141+D141-1)&lt;9,OR((B141)=0,(MAX((B141)-1,0)+MAX((C141)-1,0)+MAX((D141-1)-1,0))&lt;6)),1,0))</x:f>
        <x:v>111</x:v>
      </x:c>
      <x:c r="M141" s="18" t="n">
        <x:f>1+F141</x:f>
        <x:v>4</x:v>
      </x:c>
      <x:c r="N141" s="18" t="n">
        <x:f>COUNTIF('容量转换'!$B$8:$B$2447,A141)</x:f>
        <x:v>16</x:v>
      </x:c>
      <x:c r="O141" s="21" t="str">
        <x:f>IF(AND(MIN(B141:D141)&gt;=0,MAX(B141:D141)&lt;=7,H141&lt;=9),"合法","不合法")</x:f>
        <x:v>合法</x:v>
      </x:c>
    </x:row>
    <x:row r="142" ht="23" customHeight="1">
      <x:c r="A142" s="3" t="str">
        <x:v>ST-135</x:v>
      </x:c>
      <x:c r="B142" s="19" t="n">
        <x:v>1</x:v>
      </x:c>
      <x:c r="C142" s="19" t="n">
        <x:v>7</x:v>
      </x:c>
      <x:c r="D142" s="19" t="n">
        <x:v>0</x:v>
      </x:c>
      <x:c r="E142" s="20" t="n">
        <x:f>SUM(B142:D142)</x:f>
        <x:v>8</x:v>
      </x:c>
      <x:c r="F142" s="20" t="n">
        <x:f>COUNTIF(B142:D142,"&gt;0")</x:f>
        <x:v>2</x:v>
      </x:c>
      <x:c r="G142" s="20" t="n">
        <x:f>MAX(B142-1,0)+MAX(C142-1,0)+MAX(D142-1,0)</x:f>
        <x:v>6</x:v>
      </x:c>
      <x:c r="H142" s="20" t="n">
        <x:f>MAX(B142,1)+MAX(C142,1)+MAX(D142,1)</x:f>
        <x:v>9</x:v>
      </x:c>
      <x:c r="I142" s="22" t="str">
        <x:f>IF(AND((B142+C142+D142)&lt;9,OR((D142)=0,(MAX((B142)-1,0)+MAX((C142)-1,0)+MAX((D142)-1,0))&lt;6)),1,0)&amp;IF(AND((B142+C142+D142)&lt;9,OR((C142)=0,(MAX((B142)-1,0)+MAX((C142)-1,0)+MAX((D142)-1,0))&lt;6)),1,0)&amp;IF(AND((B142+C142+D142)&lt;9,OR((B142)=0,(MAX((B142)-1,0)+MAX((C142)-1,0)+MAX((D142)-1,0))&lt;6)),1,0)</x:f>
        <x:v>100</x:v>
      </x:c>
      <x:c r="J142" s="22" t="str">
        <x:f>IF(B142=0,"不可回收",IF(AND((B142-1+C142+D142)&lt;9,OR((D142)=0,(MAX((B142-1)-1,0)+MAX((C142)-1,0)+MAX((D142)-1,0))&lt;6)),1,0)&amp;IF(AND((B142-1+C142+D142)&lt;9,OR((C142)=0,(MAX((B142-1)-1,0)+MAX((C142)-1,0)+MAX((D142)-1,0))&lt;6)),1,0)&amp;IF(AND((B142-1+C142+D142)&lt;9,OR((B142-1)=0,(MAX((B142-1)-1,0)+MAX((C142)-1,0)+MAX((D142)-1,0))&lt;6)),1,0))</x:f>
        <x:v>101</x:v>
      </x:c>
      <x:c r="K142" s="22" t="str">
        <x:f>IF(C142=0,"不可回收",IF(AND((B142+C142-1+D142)&lt;9,OR((D142)=0,(MAX((B142)-1,0)+MAX((C142-1)-1,0)+MAX((D142)-1,0))&lt;6)),1,0)&amp;IF(AND((B142+C142-1+D142)&lt;9,OR((C142-1)=0,(MAX((B142)-1,0)+MAX((C142-1)-1,0)+MAX((D142)-1,0))&lt;6)),1,0)&amp;IF(AND((B142+C142-1+D142)&lt;9,OR((B142)=0,(MAX((B142)-1,0)+MAX((C142-1)-1,0)+MAX((D142)-1,0))&lt;6)),1,0))</x:f>
        <x:v>111</x:v>
      </x:c>
      <x:c r="L142" s="22" t="str">
        <x:f>IF(D142=0,"不可回收",IF(AND((B142+C142+D142-1)&lt;9,OR((D142-1)=0,(MAX((B142)-1,0)+MAX((C142)-1,0)+MAX((D142-1)-1,0))&lt;6)),1,0)&amp;IF(AND((B142+C142+D142-1)&lt;9,OR((C142)=0,(MAX((B142)-1,0)+MAX((C142)-1,0)+MAX((D142-1)-1,0))&lt;6)),1,0)&amp;IF(AND((B142+C142+D142-1)&lt;9,OR((B142)=0,(MAX((B142)-1,0)+MAX((C142)-1,0)+MAX((D142-1)-1,0))&lt;6)),1,0))</x:f>
        <x:v>不可回收</x:v>
      </x:c>
      <x:c r="M142" s="18" t="n">
        <x:f>1+F142</x:f>
        <x:v>3</x:v>
      </x:c>
      <x:c r="N142" s="18" t="n">
        <x:f>COUNTIF('容量转换'!$B$8:$B$2447,A142)</x:f>
        <x:v>12</x:v>
      </x:c>
      <x:c r="O142" s="21" t="str">
        <x:f>IF(AND(MIN(B142:D142)&gt;=0,MAX(B142:D142)&lt;=7,H142&lt;=9),"合法","不合法")</x:f>
        <x:v>合法</x:v>
      </x:c>
    </x:row>
    <x:row r="143" ht="23" customHeight="1">
      <x:c r="A143" s="3" t="str">
        <x:v>ST-136</x:v>
      </x:c>
      <x:c r="B143" s="19" t="n">
        <x:v>2</x:v>
      </x:c>
      <x:c r="C143" s="19" t="n">
        <x:v>0</x:v>
      </x:c>
      <x:c r="D143" s="19" t="n">
        <x:v>6</x:v>
      </x:c>
      <x:c r="E143" s="20" t="n">
        <x:f>SUM(B143:D143)</x:f>
        <x:v>8</x:v>
      </x:c>
      <x:c r="F143" s="20" t="n">
        <x:f>COUNTIF(B143:D143,"&gt;0")</x:f>
        <x:v>2</x:v>
      </x:c>
      <x:c r="G143" s="20" t="n">
        <x:f>MAX(B143-1,0)+MAX(C143-1,0)+MAX(D143-1,0)</x:f>
        <x:v>6</x:v>
      </x:c>
      <x:c r="H143" s="20" t="n">
        <x:f>MAX(B143,1)+MAX(C143,1)+MAX(D143,1)</x:f>
        <x:v>9</x:v>
      </x:c>
      <x:c r="I143" s="22" t="str">
        <x:f>IF(AND((B143+C143+D143)&lt;9,OR((D143)=0,(MAX((B143)-1,0)+MAX((C143)-1,0)+MAX((D143)-1,0))&lt;6)),1,0)&amp;IF(AND((B143+C143+D143)&lt;9,OR((C143)=0,(MAX((B143)-1,0)+MAX((C143)-1,0)+MAX((D143)-1,0))&lt;6)),1,0)&amp;IF(AND((B143+C143+D143)&lt;9,OR((B143)=0,(MAX((B143)-1,0)+MAX((C143)-1,0)+MAX((D143)-1,0))&lt;6)),1,0)</x:f>
        <x:v>010</x:v>
      </x:c>
      <x:c r="J143" s="22" t="str">
        <x:f>IF(B143=0,"不可回收",IF(AND((B143-1+C143+D143)&lt;9,OR((D143)=0,(MAX((B143-1)-1,0)+MAX((C143)-1,0)+MAX((D143)-1,0))&lt;6)),1,0)&amp;IF(AND((B143-1+C143+D143)&lt;9,OR((C143)=0,(MAX((B143-1)-1,0)+MAX((C143)-1,0)+MAX((D143)-1,0))&lt;6)),1,0)&amp;IF(AND((B143-1+C143+D143)&lt;9,OR((B143-1)=0,(MAX((B143-1)-1,0)+MAX((C143)-1,0)+MAX((D143)-1,0))&lt;6)),1,0))</x:f>
        <x:v>111</x:v>
      </x:c>
      <x:c r="K143" s="22" t="str">
        <x:f>IF(C143=0,"不可回收",IF(AND((B143+C143-1+D143)&lt;9,OR((D143)=0,(MAX((B143)-1,0)+MAX((C143-1)-1,0)+MAX((D143)-1,0))&lt;6)),1,0)&amp;IF(AND((B143+C143-1+D143)&lt;9,OR((C143-1)=0,(MAX((B143)-1,0)+MAX((C143-1)-1,0)+MAX((D143)-1,0))&lt;6)),1,0)&amp;IF(AND((B143+C143-1+D143)&lt;9,OR((B143)=0,(MAX((B143)-1,0)+MAX((C143-1)-1,0)+MAX((D143)-1,0))&lt;6)),1,0))</x:f>
        <x:v>不可回收</x:v>
      </x:c>
      <x:c r="L143" s="22" t="str">
        <x:f>IF(D143=0,"不可回收",IF(AND((B143+C143+D143-1)&lt;9,OR((D143-1)=0,(MAX((B143)-1,0)+MAX((C143)-1,0)+MAX((D143-1)-1,0))&lt;6)),1,0)&amp;IF(AND((B143+C143+D143-1)&lt;9,OR((C143)=0,(MAX((B143)-1,0)+MAX((C143)-1,0)+MAX((D143-1)-1,0))&lt;6)),1,0)&amp;IF(AND((B143+C143+D143-1)&lt;9,OR((B143)=0,(MAX((B143)-1,0)+MAX((C143)-1,0)+MAX((D143-1)-1,0))&lt;6)),1,0))</x:f>
        <x:v>111</x:v>
      </x:c>
      <x:c r="M143" s="18" t="n">
        <x:f>1+F143</x:f>
        <x:v>3</x:v>
      </x:c>
      <x:c r="N143" s="18" t="n">
        <x:f>COUNTIF('容量转换'!$B$8:$B$2447,A143)</x:f>
        <x:v>12</x:v>
      </x:c>
      <x:c r="O143" s="21" t="str">
        <x:f>IF(AND(MIN(B143:D143)&gt;=0,MAX(B143:D143)&lt;=7,H143&lt;=9),"合法","不合法")</x:f>
        <x:v>合法</x:v>
      </x:c>
    </x:row>
    <x:row r="144" ht="23" customHeight="1">
      <x:c r="A144" s="3" t="str">
        <x:v>ST-137</x:v>
      </x:c>
      <x:c r="B144" s="19" t="n">
        <x:v>2</x:v>
      </x:c>
      <x:c r="C144" s="19" t="n">
        <x:v>1</x:v>
      </x:c>
      <x:c r="D144" s="19" t="n">
        <x:v>5</x:v>
      </x:c>
      <x:c r="E144" s="20" t="n">
        <x:f>SUM(B144:D144)</x:f>
        <x:v>8</x:v>
      </x:c>
      <x:c r="F144" s="20" t="n">
        <x:f>COUNTIF(B144:D144,"&gt;0")</x:f>
        <x:v>3</x:v>
      </x:c>
      <x:c r="G144" s="20" t="n">
        <x:f>MAX(B144-1,0)+MAX(C144-1,0)+MAX(D144-1,0)</x:f>
        <x:v>5</x:v>
      </x:c>
      <x:c r="H144" s="20" t="n">
        <x:f>MAX(B144,1)+MAX(C144,1)+MAX(D144,1)</x:f>
        <x:v>8</x:v>
      </x:c>
      <x:c r="I144" s="22" t="str">
        <x:f>IF(AND((B144+C144+D144)&lt;9,OR((D144)=0,(MAX((B144)-1,0)+MAX((C144)-1,0)+MAX((D144)-1,0))&lt;6)),1,0)&amp;IF(AND((B144+C144+D144)&lt;9,OR((C144)=0,(MAX((B144)-1,0)+MAX((C144)-1,0)+MAX((D144)-1,0))&lt;6)),1,0)&amp;IF(AND((B144+C144+D144)&lt;9,OR((B144)=0,(MAX((B144)-1,0)+MAX((C144)-1,0)+MAX((D144)-1,0))&lt;6)),1,0)</x:f>
        <x:v>111</x:v>
      </x:c>
      <x:c r="J144" s="22" t="str">
        <x:f>IF(B144=0,"不可回收",IF(AND((B144-1+C144+D144)&lt;9,OR((D144)=0,(MAX((B144-1)-1,0)+MAX((C144)-1,0)+MAX((D144)-1,0))&lt;6)),1,0)&amp;IF(AND((B144-1+C144+D144)&lt;9,OR((C144)=0,(MAX((B144-1)-1,0)+MAX((C144)-1,0)+MAX((D144)-1,0))&lt;6)),1,0)&amp;IF(AND((B144-1+C144+D144)&lt;9,OR((B144-1)=0,(MAX((B144-1)-1,0)+MAX((C144)-1,0)+MAX((D144)-1,0))&lt;6)),1,0))</x:f>
        <x:v>111</x:v>
      </x:c>
      <x:c r="K144" s="22" t="str">
        <x:f>IF(C144=0,"不可回收",IF(AND((B144+C144-1+D144)&lt;9,OR((D144)=0,(MAX((B144)-1,0)+MAX((C144-1)-1,0)+MAX((D144)-1,0))&lt;6)),1,0)&amp;IF(AND((B144+C144-1+D144)&lt;9,OR((C144-1)=0,(MAX((B144)-1,0)+MAX((C144-1)-1,0)+MAX((D144)-1,0))&lt;6)),1,0)&amp;IF(AND((B144+C144-1+D144)&lt;9,OR((B144)=0,(MAX((B144)-1,0)+MAX((C144-1)-1,0)+MAX((D144)-1,0))&lt;6)),1,0))</x:f>
        <x:v>111</x:v>
      </x:c>
      <x:c r="L144" s="22" t="str">
        <x:f>IF(D144=0,"不可回收",IF(AND((B144+C144+D144-1)&lt;9,OR((D144-1)=0,(MAX((B144)-1,0)+MAX((C144)-1,0)+MAX((D144-1)-1,0))&lt;6)),1,0)&amp;IF(AND((B144+C144+D144-1)&lt;9,OR((C144)=0,(MAX((B144)-1,0)+MAX((C144)-1,0)+MAX((D144-1)-1,0))&lt;6)),1,0)&amp;IF(AND((B144+C144+D144-1)&lt;9,OR((B144)=0,(MAX((B144)-1,0)+MAX((C144)-1,0)+MAX((D144-1)-1,0))&lt;6)),1,0))</x:f>
        <x:v>111</x:v>
      </x:c>
      <x:c r="M144" s="18" t="n">
        <x:f>1+F144</x:f>
        <x:v>4</x:v>
      </x:c>
      <x:c r="N144" s="18" t="n">
        <x:f>COUNTIF('容量转换'!$B$8:$B$2447,A144)</x:f>
        <x:v>16</x:v>
      </x:c>
      <x:c r="O144" s="21" t="str">
        <x:f>IF(AND(MIN(B144:D144)&gt;=0,MAX(B144:D144)&lt;=7,H144&lt;=9),"合法","不合法")</x:f>
        <x:v>合法</x:v>
      </x:c>
    </x:row>
    <x:row r="145" ht="23" customHeight="1">
      <x:c r="A145" s="3" t="str">
        <x:v>ST-138</x:v>
      </x:c>
      <x:c r="B145" s="19" t="n">
        <x:v>2</x:v>
      </x:c>
      <x:c r="C145" s="19" t="n">
        <x:v>2</x:v>
      </x:c>
      <x:c r="D145" s="19" t="n">
        <x:v>4</x:v>
      </x:c>
      <x:c r="E145" s="20" t="n">
        <x:f>SUM(B145:D145)</x:f>
        <x:v>8</x:v>
      </x:c>
      <x:c r="F145" s="20" t="n">
        <x:f>COUNTIF(B145:D145,"&gt;0")</x:f>
        <x:v>3</x:v>
      </x:c>
      <x:c r="G145" s="20" t="n">
        <x:f>MAX(B145-1,0)+MAX(C145-1,0)+MAX(D145-1,0)</x:f>
        <x:v>5</x:v>
      </x:c>
      <x:c r="H145" s="20" t="n">
        <x:f>MAX(B145,1)+MAX(C145,1)+MAX(D145,1)</x:f>
        <x:v>8</x:v>
      </x:c>
      <x:c r="I145" s="22" t="str">
        <x:f>IF(AND((B145+C145+D145)&lt;9,OR((D145)=0,(MAX((B145)-1,0)+MAX((C145)-1,0)+MAX((D145)-1,0))&lt;6)),1,0)&amp;IF(AND((B145+C145+D145)&lt;9,OR((C145)=0,(MAX((B145)-1,0)+MAX((C145)-1,0)+MAX((D145)-1,0))&lt;6)),1,0)&amp;IF(AND((B145+C145+D145)&lt;9,OR((B145)=0,(MAX((B145)-1,0)+MAX((C145)-1,0)+MAX((D145)-1,0))&lt;6)),1,0)</x:f>
        <x:v>111</x:v>
      </x:c>
      <x:c r="J145" s="22" t="str">
        <x:f>IF(B145=0,"不可回收",IF(AND((B145-1+C145+D145)&lt;9,OR((D145)=0,(MAX((B145-1)-1,0)+MAX((C145)-1,0)+MAX((D145)-1,0))&lt;6)),1,0)&amp;IF(AND((B145-1+C145+D145)&lt;9,OR((C145)=0,(MAX((B145-1)-1,0)+MAX((C145)-1,0)+MAX((D145)-1,0))&lt;6)),1,0)&amp;IF(AND((B145-1+C145+D145)&lt;9,OR((B145-1)=0,(MAX((B145-1)-1,0)+MAX((C145)-1,0)+MAX((D145)-1,0))&lt;6)),1,0))</x:f>
        <x:v>111</x:v>
      </x:c>
      <x:c r="K145" s="22" t="str">
        <x:f>IF(C145=0,"不可回收",IF(AND((B145+C145-1+D145)&lt;9,OR((D145)=0,(MAX((B145)-1,0)+MAX((C145-1)-1,0)+MAX((D145)-1,0))&lt;6)),1,0)&amp;IF(AND((B145+C145-1+D145)&lt;9,OR((C145-1)=0,(MAX((B145)-1,0)+MAX((C145-1)-1,0)+MAX((D145)-1,0))&lt;6)),1,0)&amp;IF(AND((B145+C145-1+D145)&lt;9,OR((B145)=0,(MAX((B145)-1,0)+MAX((C145-1)-1,0)+MAX((D145)-1,0))&lt;6)),1,0))</x:f>
        <x:v>111</x:v>
      </x:c>
      <x:c r="L145" s="22" t="str">
        <x:f>IF(D145=0,"不可回收",IF(AND((B145+C145+D145-1)&lt;9,OR((D145-1)=0,(MAX((B145)-1,0)+MAX((C145)-1,0)+MAX((D145-1)-1,0))&lt;6)),1,0)&amp;IF(AND((B145+C145+D145-1)&lt;9,OR((C145)=0,(MAX((B145)-1,0)+MAX((C145)-1,0)+MAX((D145-1)-1,0))&lt;6)),1,0)&amp;IF(AND((B145+C145+D145-1)&lt;9,OR((B145)=0,(MAX((B145)-1,0)+MAX((C145)-1,0)+MAX((D145-1)-1,0))&lt;6)),1,0))</x:f>
        <x:v>111</x:v>
      </x:c>
      <x:c r="M145" s="18" t="n">
        <x:f>1+F145</x:f>
        <x:v>4</x:v>
      </x:c>
      <x:c r="N145" s="18" t="n">
        <x:f>COUNTIF('容量转换'!$B$8:$B$2447,A145)</x:f>
        <x:v>16</x:v>
      </x:c>
      <x:c r="O145" s="21" t="str">
        <x:f>IF(AND(MIN(B145:D145)&gt;=0,MAX(B145:D145)&lt;=7,H145&lt;=9),"合法","不合法")</x:f>
        <x:v>合法</x:v>
      </x:c>
    </x:row>
    <x:row r="146" ht="23" customHeight="1">
      <x:c r="A146" s="3" t="str">
        <x:v>ST-139</x:v>
      </x:c>
      <x:c r="B146" s="19" t="n">
        <x:v>2</x:v>
      </x:c>
      <x:c r="C146" s="19" t="n">
        <x:v>3</x:v>
      </x:c>
      <x:c r="D146" s="19" t="n">
        <x:v>3</x:v>
      </x:c>
      <x:c r="E146" s="20" t="n">
        <x:f>SUM(B146:D146)</x:f>
        <x:v>8</x:v>
      </x:c>
      <x:c r="F146" s="20" t="n">
        <x:f>COUNTIF(B146:D146,"&gt;0")</x:f>
        <x:v>3</x:v>
      </x:c>
      <x:c r="G146" s="20" t="n">
        <x:f>MAX(B146-1,0)+MAX(C146-1,0)+MAX(D146-1,0)</x:f>
        <x:v>5</x:v>
      </x:c>
      <x:c r="H146" s="20" t="n">
        <x:f>MAX(B146,1)+MAX(C146,1)+MAX(D146,1)</x:f>
        <x:v>8</x:v>
      </x:c>
      <x:c r="I146" s="22" t="str">
        <x:f>IF(AND((B146+C146+D146)&lt;9,OR((D146)=0,(MAX((B146)-1,0)+MAX((C146)-1,0)+MAX((D146)-1,0))&lt;6)),1,0)&amp;IF(AND((B146+C146+D146)&lt;9,OR((C146)=0,(MAX((B146)-1,0)+MAX((C146)-1,0)+MAX((D146)-1,0))&lt;6)),1,0)&amp;IF(AND((B146+C146+D146)&lt;9,OR((B146)=0,(MAX((B146)-1,0)+MAX((C146)-1,0)+MAX((D146)-1,0))&lt;6)),1,0)</x:f>
        <x:v>111</x:v>
      </x:c>
      <x:c r="J146" s="22" t="str">
        <x:f>IF(B146=0,"不可回收",IF(AND((B146-1+C146+D146)&lt;9,OR((D146)=0,(MAX((B146-1)-1,0)+MAX((C146)-1,0)+MAX((D146)-1,0))&lt;6)),1,0)&amp;IF(AND((B146-1+C146+D146)&lt;9,OR((C146)=0,(MAX((B146-1)-1,0)+MAX((C146)-1,0)+MAX((D146)-1,0))&lt;6)),1,0)&amp;IF(AND((B146-1+C146+D146)&lt;9,OR((B146-1)=0,(MAX((B146-1)-1,0)+MAX((C146)-1,0)+MAX((D146)-1,0))&lt;6)),1,0))</x:f>
        <x:v>111</x:v>
      </x:c>
      <x:c r="K146" s="22" t="str">
        <x:f>IF(C146=0,"不可回收",IF(AND((B146+C146-1+D146)&lt;9,OR((D146)=0,(MAX((B146)-1,0)+MAX((C146-1)-1,0)+MAX((D146)-1,0))&lt;6)),1,0)&amp;IF(AND((B146+C146-1+D146)&lt;9,OR((C146-1)=0,(MAX((B146)-1,0)+MAX((C146-1)-1,0)+MAX((D146)-1,0))&lt;6)),1,0)&amp;IF(AND((B146+C146-1+D146)&lt;9,OR((B146)=0,(MAX((B146)-1,0)+MAX((C146-1)-1,0)+MAX((D146)-1,0))&lt;6)),1,0))</x:f>
        <x:v>111</x:v>
      </x:c>
      <x:c r="L146" s="22" t="str">
        <x:f>IF(D146=0,"不可回收",IF(AND((B146+C146+D146-1)&lt;9,OR((D146-1)=0,(MAX((B146)-1,0)+MAX((C146)-1,0)+MAX((D146-1)-1,0))&lt;6)),1,0)&amp;IF(AND((B146+C146+D146-1)&lt;9,OR((C146)=0,(MAX((B146)-1,0)+MAX((C146)-1,0)+MAX((D146-1)-1,0))&lt;6)),1,0)&amp;IF(AND((B146+C146+D146-1)&lt;9,OR((B146)=0,(MAX((B146)-1,0)+MAX((C146)-1,0)+MAX((D146-1)-1,0))&lt;6)),1,0))</x:f>
        <x:v>111</x:v>
      </x:c>
      <x:c r="M146" s="18" t="n">
        <x:f>1+F146</x:f>
        <x:v>4</x:v>
      </x:c>
      <x:c r="N146" s="18" t="n">
        <x:f>COUNTIF('容量转换'!$B$8:$B$2447,A146)</x:f>
        <x:v>16</x:v>
      </x:c>
      <x:c r="O146" s="21" t="str">
        <x:f>IF(AND(MIN(B146:D146)&gt;=0,MAX(B146:D146)&lt;=7,H146&lt;=9),"合法","不合法")</x:f>
        <x:v>合法</x:v>
      </x:c>
    </x:row>
    <x:row r="147" ht="23" customHeight="1">
      <x:c r="A147" s="3" t="str">
        <x:v>ST-140</x:v>
      </x:c>
      <x:c r="B147" s="19" t="n">
        <x:v>2</x:v>
      </x:c>
      <x:c r="C147" s="19" t="n">
        <x:v>4</x:v>
      </x:c>
      <x:c r="D147" s="19" t="n">
        <x:v>2</x:v>
      </x:c>
      <x:c r="E147" s="20" t="n">
        <x:f>SUM(B147:D147)</x:f>
        <x:v>8</x:v>
      </x:c>
      <x:c r="F147" s="20" t="n">
        <x:f>COUNTIF(B147:D147,"&gt;0")</x:f>
        <x:v>3</x:v>
      </x:c>
      <x:c r="G147" s="20" t="n">
        <x:f>MAX(B147-1,0)+MAX(C147-1,0)+MAX(D147-1,0)</x:f>
        <x:v>5</x:v>
      </x:c>
      <x:c r="H147" s="20" t="n">
        <x:f>MAX(B147,1)+MAX(C147,1)+MAX(D147,1)</x:f>
        <x:v>8</x:v>
      </x:c>
      <x:c r="I147" s="22" t="str">
        <x:f>IF(AND((B147+C147+D147)&lt;9,OR((D147)=0,(MAX((B147)-1,0)+MAX((C147)-1,0)+MAX((D147)-1,0))&lt;6)),1,0)&amp;IF(AND((B147+C147+D147)&lt;9,OR((C147)=0,(MAX((B147)-1,0)+MAX((C147)-1,0)+MAX((D147)-1,0))&lt;6)),1,0)&amp;IF(AND((B147+C147+D147)&lt;9,OR((B147)=0,(MAX((B147)-1,0)+MAX((C147)-1,0)+MAX((D147)-1,0))&lt;6)),1,0)</x:f>
        <x:v>111</x:v>
      </x:c>
      <x:c r="J147" s="22" t="str">
        <x:f>IF(B147=0,"不可回收",IF(AND((B147-1+C147+D147)&lt;9,OR((D147)=0,(MAX((B147-1)-1,0)+MAX((C147)-1,0)+MAX((D147)-1,0))&lt;6)),1,0)&amp;IF(AND((B147-1+C147+D147)&lt;9,OR((C147)=0,(MAX((B147-1)-1,0)+MAX((C147)-1,0)+MAX((D147)-1,0))&lt;6)),1,0)&amp;IF(AND((B147-1+C147+D147)&lt;9,OR((B147-1)=0,(MAX((B147-1)-1,0)+MAX((C147)-1,0)+MAX((D147)-1,0))&lt;6)),1,0))</x:f>
        <x:v>111</x:v>
      </x:c>
      <x:c r="K147" s="22" t="str">
        <x:f>IF(C147=0,"不可回收",IF(AND((B147+C147-1+D147)&lt;9,OR((D147)=0,(MAX((B147)-1,0)+MAX((C147-1)-1,0)+MAX((D147)-1,0))&lt;6)),1,0)&amp;IF(AND((B147+C147-1+D147)&lt;9,OR((C147-1)=0,(MAX((B147)-1,0)+MAX((C147-1)-1,0)+MAX((D147)-1,0))&lt;6)),1,0)&amp;IF(AND((B147+C147-1+D147)&lt;9,OR((B147)=0,(MAX((B147)-1,0)+MAX((C147-1)-1,0)+MAX((D147)-1,0))&lt;6)),1,0))</x:f>
        <x:v>111</x:v>
      </x:c>
      <x:c r="L147" s="22" t="str">
        <x:f>IF(D147=0,"不可回收",IF(AND((B147+C147+D147-1)&lt;9,OR((D147-1)=0,(MAX((B147)-1,0)+MAX((C147)-1,0)+MAX((D147-1)-1,0))&lt;6)),1,0)&amp;IF(AND((B147+C147+D147-1)&lt;9,OR((C147)=0,(MAX((B147)-1,0)+MAX((C147)-1,0)+MAX((D147-1)-1,0))&lt;6)),1,0)&amp;IF(AND((B147+C147+D147-1)&lt;9,OR((B147)=0,(MAX((B147)-1,0)+MAX((C147)-1,0)+MAX((D147-1)-1,0))&lt;6)),1,0))</x:f>
        <x:v>111</x:v>
      </x:c>
      <x:c r="M147" s="18" t="n">
        <x:f>1+F147</x:f>
        <x:v>4</x:v>
      </x:c>
      <x:c r="N147" s="18" t="n">
        <x:f>COUNTIF('容量转换'!$B$8:$B$2447,A147)</x:f>
        <x:v>16</x:v>
      </x:c>
      <x:c r="O147" s="21" t="str">
        <x:f>IF(AND(MIN(B147:D147)&gt;=0,MAX(B147:D147)&lt;=7,H147&lt;=9),"合法","不合法")</x:f>
        <x:v>合法</x:v>
      </x:c>
    </x:row>
    <x:row r="148" ht="23" customHeight="1">
      <x:c r="A148" s="3" t="str">
        <x:v>ST-141</x:v>
      </x:c>
      <x:c r="B148" s="19" t="n">
        <x:v>2</x:v>
      </x:c>
      <x:c r="C148" s="19" t="n">
        <x:v>5</x:v>
      </x:c>
      <x:c r="D148" s="19" t="n">
        <x:v>1</x:v>
      </x:c>
      <x:c r="E148" s="20" t="n">
        <x:f>SUM(B148:D148)</x:f>
        <x:v>8</x:v>
      </x:c>
      <x:c r="F148" s="20" t="n">
        <x:f>COUNTIF(B148:D148,"&gt;0")</x:f>
        <x:v>3</x:v>
      </x:c>
      <x:c r="G148" s="20" t="n">
        <x:f>MAX(B148-1,0)+MAX(C148-1,0)+MAX(D148-1,0)</x:f>
        <x:v>5</x:v>
      </x:c>
      <x:c r="H148" s="20" t="n">
        <x:f>MAX(B148,1)+MAX(C148,1)+MAX(D148,1)</x:f>
        <x:v>8</x:v>
      </x:c>
      <x:c r="I148" s="22" t="str">
        <x:f>IF(AND((B148+C148+D148)&lt;9,OR((D148)=0,(MAX((B148)-1,0)+MAX((C148)-1,0)+MAX((D148)-1,0))&lt;6)),1,0)&amp;IF(AND((B148+C148+D148)&lt;9,OR((C148)=0,(MAX((B148)-1,0)+MAX((C148)-1,0)+MAX((D148)-1,0))&lt;6)),1,0)&amp;IF(AND((B148+C148+D148)&lt;9,OR((B148)=0,(MAX((B148)-1,0)+MAX((C148)-1,0)+MAX((D148)-1,0))&lt;6)),1,0)</x:f>
        <x:v>111</x:v>
      </x:c>
      <x:c r="J148" s="22" t="str">
        <x:f>IF(B148=0,"不可回收",IF(AND((B148-1+C148+D148)&lt;9,OR((D148)=0,(MAX((B148-1)-1,0)+MAX((C148)-1,0)+MAX((D148)-1,0))&lt;6)),1,0)&amp;IF(AND((B148-1+C148+D148)&lt;9,OR((C148)=0,(MAX((B148-1)-1,0)+MAX((C148)-1,0)+MAX((D148)-1,0))&lt;6)),1,0)&amp;IF(AND((B148-1+C148+D148)&lt;9,OR((B148-1)=0,(MAX((B148-1)-1,0)+MAX((C148)-1,0)+MAX((D148)-1,0))&lt;6)),1,0))</x:f>
        <x:v>111</x:v>
      </x:c>
      <x:c r="K148" s="22" t="str">
        <x:f>IF(C148=0,"不可回收",IF(AND((B148+C148-1+D148)&lt;9,OR((D148)=0,(MAX((B148)-1,0)+MAX((C148-1)-1,0)+MAX((D148)-1,0))&lt;6)),1,0)&amp;IF(AND((B148+C148-1+D148)&lt;9,OR((C148-1)=0,(MAX((B148)-1,0)+MAX((C148-1)-1,0)+MAX((D148)-1,0))&lt;6)),1,0)&amp;IF(AND((B148+C148-1+D148)&lt;9,OR((B148)=0,(MAX((B148)-1,0)+MAX((C148-1)-1,0)+MAX((D148)-1,0))&lt;6)),1,0))</x:f>
        <x:v>111</x:v>
      </x:c>
      <x:c r="L148" s="22" t="str">
        <x:f>IF(D148=0,"不可回收",IF(AND((B148+C148+D148-1)&lt;9,OR((D148-1)=0,(MAX((B148)-1,0)+MAX((C148)-1,0)+MAX((D148-1)-1,0))&lt;6)),1,0)&amp;IF(AND((B148+C148+D148-1)&lt;9,OR((C148)=0,(MAX((B148)-1,0)+MAX((C148)-1,0)+MAX((D148-1)-1,0))&lt;6)),1,0)&amp;IF(AND((B148+C148+D148-1)&lt;9,OR((B148)=0,(MAX((B148)-1,0)+MAX((C148)-1,0)+MAX((D148-1)-1,0))&lt;6)),1,0))</x:f>
        <x:v>111</x:v>
      </x:c>
      <x:c r="M148" s="18" t="n">
        <x:f>1+F148</x:f>
        <x:v>4</x:v>
      </x:c>
      <x:c r="N148" s="18" t="n">
        <x:f>COUNTIF('容量转换'!$B$8:$B$2447,A148)</x:f>
        <x:v>16</x:v>
      </x:c>
      <x:c r="O148" s="21" t="str">
        <x:f>IF(AND(MIN(B148:D148)&gt;=0,MAX(B148:D148)&lt;=7,H148&lt;=9),"合法","不合法")</x:f>
        <x:v>合法</x:v>
      </x:c>
    </x:row>
    <x:row r="149" ht="23" customHeight="1">
      <x:c r="A149" s="3" t="str">
        <x:v>ST-142</x:v>
      </x:c>
      <x:c r="B149" s="19" t="n">
        <x:v>2</x:v>
      </x:c>
      <x:c r="C149" s="19" t="n">
        <x:v>6</x:v>
      </x:c>
      <x:c r="D149" s="19" t="n">
        <x:v>0</x:v>
      </x:c>
      <x:c r="E149" s="20" t="n">
        <x:f>SUM(B149:D149)</x:f>
        <x:v>8</x:v>
      </x:c>
      <x:c r="F149" s="20" t="n">
        <x:f>COUNTIF(B149:D149,"&gt;0")</x:f>
        <x:v>2</x:v>
      </x:c>
      <x:c r="G149" s="20" t="n">
        <x:f>MAX(B149-1,0)+MAX(C149-1,0)+MAX(D149-1,0)</x:f>
        <x:v>6</x:v>
      </x:c>
      <x:c r="H149" s="20" t="n">
        <x:f>MAX(B149,1)+MAX(C149,1)+MAX(D149,1)</x:f>
        <x:v>9</x:v>
      </x:c>
      <x:c r="I149" s="22" t="str">
        <x:f>IF(AND((B149+C149+D149)&lt;9,OR((D149)=0,(MAX((B149)-1,0)+MAX((C149)-1,0)+MAX((D149)-1,0))&lt;6)),1,0)&amp;IF(AND((B149+C149+D149)&lt;9,OR((C149)=0,(MAX((B149)-1,0)+MAX((C149)-1,0)+MAX((D149)-1,0))&lt;6)),1,0)&amp;IF(AND((B149+C149+D149)&lt;9,OR((B149)=0,(MAX((B149)-1,0)+MAX((C149)-1,0)+MAX((D149)-1,0))&lt;6)),1,0)</x:f>
        <x:v>100</x:v>
      </x:c>
      <x:c r="J149" s="22" t="str">
        <x:f>IF(B149=0,"不可回收",IF(AND((B149-1+C149+D149)&lt;9,OR((D149)=0,(MAX((B149-1)-1,0)+MAX((C149)-1,0)+MAX((D149)-1,0))&lt;6)),1,0)&amp;IF(AND((B149-1+C149+D149)&lt;9,OR((C149)=0,(MAX((B149-1)-1,0)+MAX((C149)-1,0)+MAX((D149)-1,0))&lt;6)),1,0)&amp;IF(AND((B149-1+C149+D149)&lt;9,OR((B149-1)=0,(MAX((B149-1)-1,0)+MAX((C149)-1,0)+MAX((D149)-1,0))&lt;6)),1,0))</x:f>
        <x:v>111</x:v>
      </x:c>
      <x:c r="K149" s="22" t="str">
        <x:f>IF(C149=0,"不可回收",IF(AND((B149+C149-1+D149)&lt;9,OR((D149)=0,(MAX((B149)-1,0)+MAX((C149-1)-1,0)+MAX((D149)-1,0))&lt;6)),1,0)&amp;IF(AND((B149+C149-1+D149)&lt;9,OR((C149-1)=0,(MAX((B149)-1,0)+MAX((C149-1)-1,0)+MAX((D149)-1,0))&lt;6)),1,0)&amp;IF(AND((B149+C149-1+D149)&lt;9,OR((B149)=0,(MAX((B149)-1,0)+MAX((C149-1)-1,0)+MAX((D149)-1,0))&lt;6)),1,0))</x:f>
        <x:v>111</x:v>
      </x:c>
      <x:c r="L149" s="22" t="str">
        <x:f>IF(D149=0,"不可回收",IF(AND((B149+C149+D149-1)&lt;9,OR((D149-1)=0,(MAX((B149)-1,0)+MAX((C149)-1,0)+MAX((D149-1)-1,0))&lt;6)),1,0)&amp;IF(AND((B149+C149+D149-1)&lt;9,OR((C149)=0,(MAX((B149)-1,0)+MAX((C149)-1,0)+MAX((D149-1)-1,0))&lt;6)),1,0)&amp;IF(AND((B149+C149+D149-1)&lt;9,OR((B149)=0,(MAX((B149)-1,0)+MAX((C149)-1,0)+MAX((D149-1)-1,0))&lt;6)),1,0))</x:f>
        <x:v>不可回收</x:v>
      </x:c>
      <x:c r="M149" s="18" t="n">
        <x:f>1+F149</x:f>
        <x:v>3</x:v>
      </x:c>
      <x:c r="N149" s="18" t="n">
        <x:f>COUNTIF('容量转换'!$B$8:$B$2447,A149)</x:f>
        <x:v>12</x:v>
      </x:c>
      <x:c r="O149" s="21" t="str">
        <x:f>IF(AND(MIN(B149:D149)&gt;=0,MAX(B149:D149)&lt;=7,H149&lt;=9),"合法","不合法")</x:f>
        <x:v>合法</x:v>
      </x:c>
    </x:row>
    <x:row r="150" ht="23" customHeight="1">
      <x:c r="A150" s="3" t="str">
        <x:v>ST-143</x:v>
      </x:c>
      <x:c r="B150" s="19" t="n">
        <x:v>3</x:v>
      </x:c>
      <x:c r="C150" s="19" t="n">
        <x:v>0</x:v>
      </x:c>
      <x:c r="D150" s="19" t="n">
        <x:v>5</x:v>
      </x:c>
      <x:c r="E150" s="20" t="n">
        <x:f>SUM(B150:D150)</x:f>
        <x:v>8</x:v>
      </x:c>
      <x:c r="F150" s="20" t="n">
        <x:f>COUNTIF(B150:D150,"&gt;0")</x:f>
        <x:v>2</x:v>
      </x:c>
      <x:c r="G150" s="20" t="n">
        <x:f>MAX(B150-1,0)+MAX(C150-1,0)+MAX(D150-1,0)</x:f>
        <x:v>6</x:v>
      </x:c>
      <x:c r="H150" s="20" t="n">
        <x:f>MAX(B150,1)+MAX(C150,1)+MAX(D150,1)</x:f>
        <x:v>9</x:v>
      </x:c>
      <x:c r="I150" s="22" t="str">
        <x:f>IF(AND((B150+C150+D150)&lt;9,OR((D150)=0,(MAX((B150)-1,0)+MAX((C150)-1,0)+MAX((D150)-1,0))&lt;6)),1,0)&amp;IF(AND((B150+C150+D150)&lt;9,OR((C150)=0,(MAX((B150)-1,0)+MAX((C150)-1,0)+MAX((D150)-1,0))&lt;6)),1,0)&amp;IF(AND((B150+C150+D150)&lt;9,OR((B150)=0,(MAX((B150)-1,0)+MAX((C150)-1,0)+MAX((D150)-1,0))&lt;6)),1,0)</x:f>
        <x:v>010</x:v>
      </x:c>
      <x:c r="J150" s="22" t="str">
        <x:f>IF(B150=0,"不可回收",IF(AND((B150-1+C150+D150)&lt;9,OR((D150)=0,(MAX((B150-1)-1,0)+MAX((C150)-1,0)+MAX((D150)-1,0))&lt;6)),1,0)&amp;IF(AND((B150-1+C150+D150)&lt;9,OR((C150)=0,(MAX((B150-1)-1,0)+MAX((C150)-1,0)+MAX((D150)-1,0))&lt;6)),1,0)&amp;IF(AND((B150-1+C150+D150)&lt;9,OR((B150-1)=0,(MAX((B150-1)-1,0)+MAX((C150)-1,0)+MAX((D150)-1,0))&lt;6)),1,0))</x:f>
        <x:v>111</x:v>
      </x:c>
      <x:c r="K150" s="22" t="str">
        <x:f>IF(C150=0,"不可回收",IF(AND((B150+C150-1+D150)&lt;9,OR((D150)=0,(MAX((B150)-1,0)+MAX((C150-1)-1,0)+MAX((D150)-1,0))&lt;6)),1,0)&amp;IF(AND((B150+C150-1+D150)&lt;9,OR((C150-1)=0,(MAX((B150)-1,0)+MAX((C150-1)-1,0)+MAX((D150)-1,0))&lt;6)),1,0)&amp;IF(AND((B150+C150-1+D150)&lt;9,OR((B150)=0,(MAX((B150)-1,0)+MAX((C150-1)-1,0)+MAX((D150)-1,0))&lt;6)),1,0))</x:f>
        <x:v>不可回收</x:v>
      </x:c>
      <x:c r="L150" s="22" t="str">
        <x:f>IF(D150=0,"不可回收",IF(AND((B150+C150+D150-1)&lt;9,OR((D150-1)=0,(MAX((B150)-1,0)+MAX((C150)-1,0)+MAX((D150-1)-1,0))&lt;6)),1,0)&amp;IF(AND((B150+C150+D150-1)&lt;9,OR((C150)=0,(MAX((B150)-1,0)+MAX((C150)-1,0)+MAX((D150-1)-1,0))&lt;6)),1,0)&amp;IF(AND((B150+C150+D150-1)&lt;9,OR((B150)=0,(MAX((B150)-1,0)+MAX((C150)-1,0)+MAX((D150-1)-1,0))&lt;6)),1,0))</x:f>
        <x:v>111</x:v>
      </x:c>
      <x:c r="M150" s="18" t="n">
        <x:f>1+F150</x:f>
        <x:v>3</x:v>
      </x:c>
      <x:c r="N150" s="18" t="n">
        <x:f>COUNTIF('容量转换'!$B$8:$B$2447,A150)</x:f>
        <x:v>12</x:v>
      </x:c>
      <x:c r="O150" s="21" t="str">
        <x:f>IF(AND(MIN(B150:D150)&gt;=0,MAX(B150:D150)&lt;=7,H150&lt;=9),"合法","不合法")</x:f>
        <x:v>合法</x:v>
      </x:c>
    </x:row>
    <x:row r="151" ht="23" customHeight="1">
      <x:c r="A151" s="3" t="str">
        <x:v>ST-144</x:v>
      </x:c>
      <x:c r="B151" s="19" t="n">
        <x:v>3</x:v>
      </x:c>
      <x:c r="C151" s="19" t="n">
        <x:v>1</x:v>
      </x:c>
      <x:c r="D151" s="19" t="n">
        <x:v>4</x:v>
      </x:c>
      <x:c r="E151" s="20" t="n">
        <x:f>SUM(B151:D151)</x:f>
        <x:v>8</x:v>
      </x:c>
      <x:c r="F151" s="20" t="n">
        <x:f>COUNTIF(B151:D151,"&gt;0")</x:f>
        <x:v>3</x:v>
      </x:c>
      <x:c r="G151" s="20" t="n">
        <x:f>MAX(B151-1,0)+MAX(C151-1,0)+MAX(D151-1,0)</x:f>
        <x:v>5</x:v>
      </x:c>
      <x:c r="H151" s="20" t="n">
        <x:f>MAX(B151,1)+MAX(C151,1)+MAX(D151,1)</x:f>
        <x:v>8</x:v>
      </x:c>
      <x:c r="I151" s="22" t="str">
        <x:f>IF(AND((B151+C151+D151)&lt;9,OR((D151)=0,(MAX((B151)-1,0)+MAX((C151)-1,0)+MAX((D151)-1,0))&lt;6)),1,0)&amp;IF(AND((B151+C151+D151)&lt;9,OR((C151)=0,(MAX((B151)-1,0)+MAX((C151)-1,0)+MAX((D151)-1,0))&lt;6)),1,0)&amp;IF(AND((B151+C151+D151)&lt;9,OR((B151)=0,(MAX((B151)-1,0)+MAX((C151)-1,0)+MAX((D151)-1,0))&lt;6)),1,0)</x:f>
        <x:v>111</x:v>
      </x:c>
      <x:c r="J151" s="22" t="str">
        <x:f>IF(B151=0,"不可回收",IF(AND((B151-1+C151+D151)&lt;9,OR((D151)=0,(MAX((B151-1)-1,0)+MAX((C151)-1,0)+MAX((D151)-1,0))&lt;6)),1,0)&amp;IF(AND((B151-1+C151+D151)&lt;9,OR((C151)=0,(MAX((B151-1)-1,0)+MAX((C151)-1,0)+MAX((D151)-1,0))&lt;6)),1,0)&amp;IF(AND((B151-1+C151+D151)&lt;9,OR((B151-1)=0,(MAX((B151-1)-1,0)+MAX((C151)-1,0)+MAX((D151)-1,0))&lt;6)),1,0))</x:f>
        <x:v>111</x:v>
      </x:c>
      <x:c r="K151" s="22" t="str">
        <x:f>IF(C151=0,"不可回收",IF(AND((B151+C151-1+D151)&lt;9,OR((D151)=0,(MAX((B151)-1,0)+MAX((C151-1)-1,0)+MAX((D151)-1,0))&lt;6)),1,0)&amp;IF(AND((B151+C151-1+D151)&lt;9,OR((C151-1)=0,(MAX((B151)-1,0)+MAX((C151-1)-1,0)+MAX((D151)-1,0))&lt;6)),1,0)&amp;IF(AND((B151+C151-1+D151)&lt;9,OR((B151)=0,(MAX((B151)-1,0)+MAX((C151-1)-1,0)+MAX((D151)-1,0))&lt;6)),1,0))</x:f>
        <x:v>111</x:v>
      </x:c>
      <x:c r="L151" s="22" t="str">
        <x:f>IF(D151=0,"不可回收",IF(AND((B151+C151+D151-1)&lt;9,OR((D151-1)=0,(MAX((B151)-1,0)+MAX((C151)-1,0)+MAX((D151-1)-1,0))&lt;6)),1,0)&amp;IF(AND((B151+C151+D151-1)&lt;9,OR((C151)=0,(MAX((B151)-1,0)+MAX((C151)-1,0)+MAX((D151-1)-1,0))&lt;6)),1,0)&amp;IF(AND((B151+C151+D151-1)&lt;9,OR((B151)=0,(MAX((B151)-1,0)+MAX((C151)-1,0)+MAX((D151-1)-1,0))&lt;6)),1,0))</x:f>
        <x:v>111</x:v>
      </x:c>
      <x:c r="M151" s="18" t="n">
        <x:f>1+F151</x:f>
        <x:v>4</x:v>
      </x:c>
      <x:c r="N151" s="18" t="n">
        <x:f>COUNTIF('容量转换'!$B$8:$B$2447,A151)</x:f>
        <x:v>16</x:v>
      </x:c>
      <x:c r="O151" s="21" t="str">
        <x:f>IF(AND(MIN(B151:D151)&gt;=0,MAX(B151:D151)&lt;=7,H151&lt;=9),"合法","不合法")</x:f>
        <x:v>合法</x:v>
      </x:c>
    </x:row>
    <x:row r="152" ht="23" customHeight="1">
      <x:c r="A152" s="3" t="str">
        <x:v>ST-145</x:v>
      </x:c>
      <x:c r="B152" s="19" t="n">
        <x:v>3</x:v>
      </x:c>
      <x:c r="C152" s="19" t="n">
        <x:v>2</x:v>
      </x:c>
      <x:c r="D152" s="19" t="n">
        <x:v>3</x:v>
      </x:c>
      <x:c r="E152" s="20" t="n">
        <x:f>SUM(B152:D152)</x:f>
        <x:v>8</x:v>
      </x:c>
      <x:c r="F152" s="20" t="n">
        <x:f>COUNTIF(B152:D152,"&gt;0")</x:f>
        <x:v>3</x:v>
      </x:c>
      <x:c r="G152" s="20" t="n">
        <x:f>MAX(B152-1,0)+MAX(C152-1,0)+MAX(D152-1,0)</x:f>
        <x:v>5</x:v>
      </x:c>
      <x:c r="H152" s="20" t="n">
        <x:f>MAX(B152,1)+MAX(C152,1)+MAX(D152,1)</x:f>
        <x:v>8</x:v>
      </x:c>
      <x:c r="I152" s="22" t="str">
        <x:f>IF(AND((B152+C152+D152)&lt;9,OR((D152)=0,(MAX((B152)-1,0)+MAX((C152)-1,0)+MAX((D152)-1,0))&lt;6)),1,0)&amp;IF(AND((B152+C152+D152)&lt;9,OR((C152)=0,(MAX((B152)-1,0)+MAX((C152)-1,0)+MAX((D152)-1,0))&lt;6)),1,0)&amp;IF(AND((B152+C152+D152)&lt;9,OR((B152)=0,(MAX((B152)-1,0)+MAX((C152)-1,0)+MAX((D152)-1,0))&lt;6)),1,0)</x:f>
        <x:v>111</x:v>
      </x:c>
      <x:c r="J152" s="22" t="str">
        <x:f>IF(B152=0,"不可回收",IF(AND((B152-1+C152+D152)&lt;9,OR((D152)=0,(MAX((B152-1)-1,0)+MAX((C152)-1,0)+MAX((D152)-1,0))&lt;6)),1,0)&amp;IF(AND((B152-1+C152+D152)&lt;9,OR((C152)=0,(MAX((B152-1)-1,0)+MAX((C152)-1,0)+MAX((D152)-1,0))&lt;6)),1,0)&amp;IF(AND((B152-1+C152+D152)&lt;9,OR((B152-1)=0,(MAX((B152-1)-1,0)+MAX((C152)-1,0)+MAX((D152)-1,0))&lt;6)),1,0))</x:f>
        <x:v>111</x:v>
      </x:c>
      <x:c r="K152" s="22" t="str">
        <x:f>IF(C152=0,"不可回收",IF(AND((B152+C152-1+D152)&lt;9,OR((D152)=0,(MAX((B152)-1,0)+MAX((C152-1)-1,0)+MAX((D152)-1,0))&lt;6)),1,0)&amp;IF(AND((B152+C152-1+D152)&lt;9,OR((C152-1)=0,(MAX((B152)-1,0)+MAX((C152-1)-1,0)+MAX((D152)-1,0))&lt;6)),1,0)&amp;IF(AND((B152+C152-1+D152)&lt;9,OR((B152)=0,(MAX((B152)-1,0)+MAX((C152-1)-1,0)+MAX((D152)-1,0))&lt;6)),1,0))</x:f>
        <x:v>111</x:v>
      </x:c>
      <x:c r="L152" s="22" t="str">
        <x:f>IF(D152=0,"不可回收",IF(AND((B152+C152+D152-1)&lt;9,OR((D152-1)=0,(MAX((B152)-1,0)+MAX((C152)-1,0)+MAX((D152-1)-1,0))&lt;6)),1,0)&amp;IF(AND((B152+C152+D152-1)&lt;9,OR((C152)=0,(MAX((B152)-1,0)+MAX((C152)-1,0)+MAX((D152-1)-1,0))&lt;6)),1,0)&amp;IF(AND((B152+C152+D152-1)&lt;9,OR((B152)=0,(MAX((B152)-1,0)+MAX((C152)-1,0)+MAX((D152-1)-1,0))&lt;6)),1,0))</x:f>
        <x:v>111</x:v>
      </x:c>
      <x:c r="M152" s="18" t="n">
        <x:f>1+F152</x:f>
        <x:v>4</x:v>
      </x:c>
      <x:c r="N152" s="18" t="n">
        <x:f>COUNTIF('容量转换'!$B$8:$B$2447,A152)</x:f>
        <x:v>16</x:v>
      </x:c>
      <x:c r="O152" s="21" t="str">
        <x:f>IF(AND(MIN(B152:D152)&gt;=0,MAX(B152:D152)&lt;=7,H152&lt;=9),"合法","不合法")</x:f>
        <x:v>合法</x:v>
      </x:c>
    </x:row>
    <x:row r="153" ht="23" customHeight="1">
      <x:c r="A153" s="3" t="str">
        <x:v>ST-146</x:v>
      </x:c>
      <x:c r="B153" s="19" t="n">
        <x:v>3</x:v>
      </x:c>
      <x:c r="C153" s="19" t="n">
        <x:v>3</x:v>
      </x:c>
      <x:c r="D153" s="19" t="n">
        <x:v>2</x:v>
      </x:c>
      <x:c r="E153" s="20" t="n">
        <x:f>SUM(B153:D153)</x:f>
        <x:v>8</x:v>
      </x:c>
      <x:c r="F153" s="20" t="n">
        <x:f>COUNTIF(B153:D153,"&gt;0")</x:f>
        <x:v>3</x:v>
      </x:c>
      <x:c r="G153" s="20" t="n">
        <x:f>MAX(B153-1,0)+MAX(C153-1,0)+MAX(D153-1,0)</x:f>
        <x:v>5</x:v>
      </x:c>
      <x:c r="H153" s="20" t="n">
        <x:f>MAX(B153,1)+MAX(C153,1)+MAX(D153,1)</x:f>
        <x:v>8</x:v>
      </x:c>
      <x:c r="I153" s="22" t="str">
        <x:f>IF(AND((B153+C153+D153)&lt;9,OR((D153)=0,(MAX((B153)-1,0)+MAX((C153)-1,0)+MAX((D153)-1,0))&lt;6)),1,0)&amp;IF(AND((B153+C153+D153)&lt;9,OR((C153)=0,(MAX((B153)-1,0)+MAX((C153)-1,0)+MAX((D153)-1,0))&lt;6)),1,0)&amp;IF(AND((B153+C153+D153)&lt;9,OR((B153)=0,(MAX((B153)-1,0)+MAX((C153)-1,0)+MAX((D153)-1,0))&lt;6)),1,0)</x:f>
        <x:v>111</x:v>
      </x:c>
      <x:c r="J153" s="22" t="str">
        <x:f>IF(B153=0,"不可回收",IF(AND((B153-1+C153+D153)&lt;9,OR((D153)=0,(MAX((B153-1)-1,0)+MAX((C153)-1,0)+MAX((D153)-1,0))&lt;6)),1,0)&amp;IF(AND((B153-1+C153+D153)&lt;9,OR((C153)=0,(MAX((B153-1)-1,0)+MAX((C153)-1,0)+MAX((D153)-1,0))&lt;6)),1,0)&amp;IF(AND((B153-1+C153+D153)&lt;9,OR((B153-1)=0,(MAX((B153-1)-1,0)+MAX((C153)-1,0)+MAX((D153)-1,0))&lt;6)),1,0))</x:f>
        <x:v>111</x:v>
      </x:c>
      <x:c r="K153" s="22" t="str">
        <x:f>IF(C153=0,"不可回收",IF(AND((B153+C153-1+D153)&lt;9,OR((D153)=0,(MAX((B153)-1,0)+MAX((C153-1)-1,0)+MAX((D153)-1,0))&lt;6)),1,0)&amp;IF(AND((B153+C153-1+D153)&lt;9,OR((C153-1)=0,(MAX((B153)-1,0)+MAX((C153-1)-1,0)+MAX((D153)-1,0))&lt;6)),1,0)&amp;IF(AND((B153+C153-1+D153)&lt;9,OR((B153)=0,(MAX((B153)-1,0)+MAX((C153-1)-1,0)+MAX((D153)-1,0))&lt;6)),1,0))</x:f>
        <x:v>111</x:v>
      </x:c>
      <x:c r="L153" s="22" t="str">
        <x:f>IF(D153=0,"不可回收",IF(AND((B153+C153+D153-1)&lt;9,OR((D153-1)=0,(MAX((B153)-1,0)+MAX((C153)-1,0)+MAX((D153-1)-1,0))&lt;6)),1,0)&amp;IF(AND((B153+C153+D153-1)&lt;9,OR((C153)=0,(MAX((B153)-1,0)+MAX((C153)-1,0)+MAX((D153-1)-1,0))&lt;6)),1,0)&amp;IF(AND((B153+C153+D153-1)&lt;9,OR((B153)=0,(MAX((B153)-1,0)+MAX((C153)-1,0)+MAX((D153-1)-1,0))&lt;6)),1,0))</x:f>
        <x:v>111</x:v>
      </x:c>
      <x:c r="M153" s="18" t="n">
        <x:f>1+F153</x:f>
        <x:v>4</x:v>
      </x:c>
      <x:c r="N153" s="18" t="n">
        <x:f>COUNTIF('容量转换'!$B$8:$B$2447,A153)</x:f>
        <x:v>16</x:v>
      </x:c>
      <x:c r="O153" s="21" t="str">
        <x:f>IF(AND(MIN(B153:D153)&gt;=0,MAX(B153:D153)&lt;=7,H153&lt;=9),"合法","不合法")</x:f>
        <x:v>合法</x:v>
      </x:c>
    </x:row>
    <x:row r="154" ht="23" customHeight="1">
      <x:c r="A154" s="3" t="str">
        <x:v>ST-147</x:v>
      </x:c>
      <x:c r="B154" s="19" t="n">
        <x:v>3</x:v>
      </x:c>
      <x:c r="C154" s="19" t="n">
        <x:v>4</x:v>
      </x:c>
      <x:c r="D154" s="19" t="n">
        <x:v>1</x:v>
      </x:c>
      <x:c r="E154" s="20" t="n">
        <x:f>SUM(B154:D154)</x:f>
        <x:v>8</x:v>
      </x:c>
      <x:c r="F154" s="20" t="n">
        <x:f>COUNTIF(B154:D154,"&gt;0")</x:f>
        <x:v>3</x:v>
      </x:c>
      <x:c r="G154" s="20" t="n">
        <x:f>MAX(B154-1,0)+MAX(C154-1,0)+MAX(D154-1,0)</x:f>
        <x:v>5</x:v>
      </x:c>
      <x:c r="H154" s="20" t="n">
        <x:f>MAX(B154,1)+MAX(C154,1)+MAX(D154,1)</x:f>
        <x:v>8</x:v>
      </x:c>
      <x:c r="I154" s="22" t="str">
        <x:f>IF(AND((B154+C154+D154)&lt;9,OR((D154)=0,(MAX((B154)-1,0)+MAX((C154)-1,0)+MAX((D154)-1,0))&lt;6)),1,0)&amp;IF(AND((B154+C154+D154)&lt;9,OR((C154)=0,(MAX((B154)-1,0)+MAX((C154)-1,0)+MAX((D154)-1,0))&lt;6)),1,0)&amp;IF(AND((B154+C154+D154)&lt;9,OR((B154)=0,(MAX((B154)-1,0)+MAX((C154)-1,0)+MAX((D154)-1,0))&lt;6)),1,0)</x:f>
        <x:v>111</x:v>
      </x:c>
      <x:c r="J154" s="22" t="str">
        <x:f>IF(B154=0,"不可回收",IF(AND((B154-1+C154+D154)&lt;9,OR((D154)=0,(MAX((B154-1)-1,0)+MAX((C154)-1,0)+MAX((D154)-1,0))&lt;6)),1,0)&amp;IF(AND((B154-1+C154+D154)&lt;9,OR((C154)=0,(MAX((B154-1)-1,0)+MAX((C154)-1,0)+MAX((D154)-1,0))&lt;6)),1,0)&amp;IF(AND((B154-1+C154+D154)&lt;9,OR((B154-1)=0,(MAX((B154-1)-1,0)+MAX((C154)-1,0)+MAX((D154)-1,0))&lt;6)),1,0))</x:f>
        <x:v>111</x:v>
      </x:c>
      <x:c r="K154" s="22" t="str">
        <x:f>IF(C154=0,"不可回收",IF(AND((B154+C154-1+D154)&lt;9,OR((D154)=0,(MAX((B154)-1,0)+MAX((C154-1)-1,0)+MAX((D154)-1,0))&lt;6)),1,0)&amp;IF(AND((B154+C154-1+D154)&lt;9,OR((C154-1)=0,(MAX((B154)-1,0)+MAX((C154-1)-1,0)+MAX((D154)-1,0))&lt;6)),1,0)&amp;IF(AND((B154+C154-1+D154)&lt;9,OR((B154)=0,(MAX((B154)-1,0)+MAX((C154-1)-1,0)+MAX((D154)-1,0))&lt;6)),1,0))</x:f>
        <x:v>111</x:v>
      </x:c>
      <x:c r="L154" s="22" t="str">
        <x:f>IF(D154=0,"不可回收",IF(AND((B154+C154+D154-1)&lt;9,OR((D154-1)=0,(MAX((B154)-1,0)+MAX((C154)-1,0)+MAX((D154-1)-1,0))&lt;6)),1,0)&amp;IF(AND((B154+C154+D154-1)&lt;9,OR((C154)=0,(MAX((B154)-1,0)+MAX((C154)-1,0)+MAX((D154-1)-1,0))&lt;6)),1,0)&amp;IF(AND((B154+C154+D154-1)&lt;9,OR((B154)=0,(MAX((B154)-1,0)+MAX((C154)-1,0)+MAX((D154-1)-1,0))&lt;6)),1,0))</x:f>
        <x:v>111</x:v>
      </x:c>
      <x:c r="M154" s="18" t="n">
        <x:f>1+F154</x:f>
        <x:v>4</x:v>
      </x:c>
      <x:c r="N154" s="18" t="n">
        <x:f>COUNTIF('容量转换'!$B$8:$B$2447,A154)</x:f>
        <x:v>16</x:v>
      </x:c>
      <x:c r="O154" s="21" t="str">
        <x:f>IF(AND(MIN(B154:D154)&gt;=0,MAX(B154:D154)&lt;=7,H154&lt;=9),"合法","不合法")</x:f>
        <x:v>合法</x:v>
      </x:c>
    </x:row>
    <x:row r="155" ht="23" customHeight="1">
      <x:c r="A155" s="3" t="str">
        <x:v>ST-148</x:v>
      </x:c>
      <x:c r="B155" s="19" t="n">
        <x:v>3</x:v>
      </x:c>
      <x:c r="C155" s="19" t="n">
        <x:v>5</x:v>
      </x:c>
      <x:c r="D155" s="19" t="n">
        <x:v>0</x:v>
      </x:c>
      <x:c r="E155" s="20" t="n">
        <x:f>SUM(B155:D155)</x:f>
        <x:v>8</x:v>
      </x:c>
      <x:c r="F155" s="20" t="n">
        <x:f>COUNTIF(B155:D155,"&gt;0")</x:f>
        <x:v>2</x:v>
      </x:c>
      <x:c r="G155" s="20" t="n">
        <x:f>MAX(B155-1,0)+MAX(C155-1,0)+MAX(D155-1,0)</x:f>
        <x:v>6</x:v>
      </x:c>
      <x:c r="H155" s="20" t="n">
        <x:f>MAX(B155,1)+MAX(C155,1)+MAX(D155,1)</x:f>
        <x:v>9</x:v>
      </x:c>
      <x:c r="I155" s="22" t="str">
        <x:f>IF(AND((B155+C155+D155)&lt;9,OR((D155)=0,(MAX((B155)-1,0)+MAX((C155)-1,0)+MAX((D155)-1,0))&lt;6)),1,0)&amp;IF(AND((B155+C155+D155)&lt;9,OR((C155)=0,(MAX((B155)-1,0)+MAX((C155)-1,0)+MAX((D155)-1,0))&lt;6)),1,0)&amp;IF(AND((B155+C155+D155)&lt;9,OR((B155)=0,(MAX((B155)-1,0)+MAX((C155)-1,0)+MAX((D155)-1,0))&lt;6)),1,0)</x:f>
        <x:v>100</x:v>
      </x:c>
      <x:c r="J155" s="22" t="str">
        <x:f>IF(B155=0,"不可回收",IF(AND((B155-1+C155+D155)&lt;9,OR((D155)=0,(MAX((B155-1)-1,0)+MAX((C155)-1,0)+MAX((D155)-1,0))&lt;6)),1,0)&amp;IF(AND((B155-1+C155+D155)&lt;9,OR((C155)=0,(MAX((B155-1)-1,0)+MAX((C155)-1,0)+MAX((D155)-1,0))&lt;6)),1,0)&amp;IF(AND((B155-1+C155+D155)&lt;9,OR((B155-1)=0,(MAX((B155-1)-1,0)+MAX((C155)-1,0)+MAX((D155)-1,0))&lt;6)),1,0))</x:f>
        <x:v>111</x:v>
      </x:c>
      <x:c r="K155" s="22" t="str">
        <x:f>IF(C155=0,"不可回收",IF(AND((B155+C155-1+D155)&lt;9,OR((D155)=0,(MAX((B155)-1,0)+MAX((C155-1)-1,0)+MAX((D155)-1,0))&lt;6)),1,0)&amp;IF(AND((B155+C155-1+D155)&lt;9,OR((C155-1)=0,(MAX((B155)-1,0)+MAX((C155-1)-1,0)+MAX((D155)-1,0))&lt;6)),1,0)&amp;IF(AND((B155+C155-1+D155)&lt;9,OR((B155)=0,(MAX((B155)-1,0)+MAX((C155-1)-1,0)+MAX((D155)-1,0))&lt;6)),1,0))</x:f>
        <x:v>111</x:v>
      </x:c>
      <x:c r="L155" s="22" t="str">
        <x:f>IF(D155=0,"不可回收",IF(AND((B155+C155+D155-1)&lt;9,OR((D155-1)=0,(MAX((B155)-1,0)+MAX((C155)-1,0)+MAX((D155-1)-1,0))&lt;6)),1,0)&amp;IF(AND((B155+C155+D155-1)&lt;9,OR((C155)=0,(MAX((B155)-1,0)+MAX((C155)-1,0)+MAX((D155-1)-1,0))&lt;6)),1,0)&amp;IF(AND((B155+C155+D155-1)&lt;9,OR((B155)=0,(MAX((B155)-1,0)+MAX((C155)-1,0)+MAX((D155-1)-1,0))&lt;6)),1,0))</x:f>
        <x:v>不可回收</x:v>
      </x:c>
      <x:c r="M155" s="18" t="n">
        <x:f>1+F155</x:f>
        <x:v>3</x:v>
      </x:c>
      <x:c r="N155" s="18" t="n">
        <x:f>COUNTIF('容量转换'!$B$8:$B$2447,A155)</x:f>
        <x:v>12</x:v>
      </x:c>
      <x:c r="O155" s="21" t="str">
        <x:f>IF(AND(MIN(B155:D155)&gt;=0,MAX(B155:D155)&lt;=7,H155&lt;=9),"合法","不合法")</x:f>
        <x:v>合法</x:v>
      </x:c>
    </x:row>
    <x:row r="156" ht="23" customHeight="1">
      <x:c r="A156" s="3" t="str">
        <x:v>ST-149</x:v>
      </x:c>
      <x:c r="B156" s="19" t="n">
        <x:v>4</x:v>
      </x:c>
      <x:c r="C156" s="19" t="n">
        <x:v>0</x:v>
      </x:c>
      <x:c r="D156" s="19" t="n">
        <x:v>4</x:v>
      </x:c>
      <x:c r="E156" s="20" t="n">
        <x:f>SUM(B156:D156)</x:f>
        <x:v>8</x:v>
      </x:c>
      <x:c r="F156" s="20" t="n">
        <x:f>COUNTIF(B156:D156,"&gt;0")</x:f>
        <x:v>2</x:v>
      </x:c>
      <x:c r="G156" s="20" t="n">
        <x:f>MAX(B156-1,0)+MAX(C156-1,0)+MAX(D156-1,0)</x:f>
        <x:v>6</x:v>
      </x:c>
      <x:c r="H156" s="20" t="n">
        <x:f>MAX(B156,1)+MAX(C156,1)+MAX(D156,1)</x:f>
        <x:v>9</x:v>
      </x:c>
      <x:c r="I156" s="22" t="str">
        <x:f>IF(AND((B156+C156+D156)&lt;9,OR((D156)=0,(MAX((B156)-1,0)+MAX((C156)-1,0)+MAX((D156)-1,0))&lt;6)),1,0)&amp;IF(AND((B156+C156+D156)&lt;9,OR((C156)=0,(MAX((B156)-1,0)+MAX((C156)-1,0)+MAX((D156)-1,0))&lt;6)),1,0)&amp;IF(AND((B156+C156+D156)&lt;9,OR((B156)=0,(MAX((B156)-1,0)+MAX((C156)-1,0)+MAX((D156)-1,0))&lt;6)),1,0)</x:f>
        <x:v>010</x:v>
      </x:c>
      <x:c r="J156" s="22" t="str">
        <x:f>IF(B156=0,"不可回收",IF(AND((B156-1+C156+D156)&lt;9,OR((D156)=0,(MAX((B156-1)-1,0)+MAX((C156)-1,0)+MAX((D156)-1,0))&lt;6)),1,0)&amp;IF(AND((B156-1+C156+D156)&lt;9,OR((C156)=0,(MAX((B156-1)-1,0)+MAX((C156)-1,0)+MAX((D156)-1,0))&lt;6)),1,0)&amp;IF(AND((B156-1+C156+D156)&lt;9,OR((B156-1)=0,(MAX((B156-1)-1,0)+MAX((C156)-1,0)+MAX((D156)-1,0))&lt;6)),1,0))</x:f>
        <x:v>111</x:v>
      </x:c>
      <x:c r="K156" s="22" t="str">
        <x:f>IF(C156=0,"不可回收",IF(AND((B156+C156-1+D156)&lt;9,OR((D156)=0,(MAX((B156)-1,0)+MAX((C156-1)-1,0)+MAX((D156)-1,0))&lt;6)),1,0)&amp;IF(AND((B156+C156-1+D156)&lt;9,OR((C156-1)=0,(MAX((B156)-1,0)+MAX((C156-1)-1,0)+MAX((D156)-1,0))&lt;6)),1,0)&amp;IF(AND((B156+C156-1+D156)&lt;9,OR((B156)=0,(MAX((B156)-1,0)+MAX((C156-1)-1,0)+MAX((D156)-1,0))&lt;6)),1,0))</x:f>
        <x:v>不可回收</x:v>
      </x:c>
      <x:c r="L156" s="22" t="str">
        <x:f>IF(D156=0,"不可回收",IF(AND((B156+C156+D156-1)&lt;9,OR((D156-1)=0,(MAX((B156)-1,0)+MAX((C156)-1,0)+MAX((D156-1)-1,0))&lt;6)),1,0)&amp;IF(AND((B156+C156+D156-1)&lt;9,OR((C156)=0,(MAX((B156)-1,0)+MAX((C156)-1,0)+MAX((D156-1)-1,0))&lt;6)),1,0)&amp;IF(AND((B156+C156+D156-1)&lt;9,OR((B156)=0,(MAX((B156)-1,0)+MAX((C156)-1,0)+MAX((D156-1)-1,0))&lt;6)),1,0))</x:f>
        <x:v>111</x:v>
      </x:c>
      <x:c r="M156" s="18" t="n">
        <x:f>1+F156</x:f>
        <x:v>3</x:v>
      </x:c>
      <x:c r="N156" s="18" t="n">
        <x:f>COUNTIF('容量转换'!$B$8:$B$2447,A156)</x:f>
        <x:v>12</x:v>
      </x:c>
      <x:c r="O156" s="21" t="str">
        <x:f>IF(AND(MIN(B156:D156)&gt;=0,MAX(B156:D156)&lt;=7,H156&lt;=9),"合法","不合法")</x:f>
        <x:v>合法</x:v>
      </x:c>
    </x:row>
    <x:row r="157" ht="23" customHeight="1">
      <x:c r="A157" s="3" t="str">
        <x:v>ST-150</x:v>
      </x:c>
      <x:c r="B157" s="19" t="n">
        <x:v>4</x:v>
      </x:c>
      <x:c r="C157" s="19" t="n">
        <x:v>1</x:v>
      </x:c>
      <x:c r="D157" s="19" t="n">
        <x:v>3</x:v>
      </x:c>
      <x:c r="E157" s="20" t="n">
        <x:f>SUM(B157:D157)</x:f>
        <x:v>8</x:v>
      </x:c>
      <x:c r="F157" s="20" t="n">
        <x:f>COUNTIF(B157:D157,"&gt;0")</x:f>
        <x:v>3</x:v>
      </x:c>
      <x:c r="G157" s="20" t="n">
        <x:f>MAX(B157-1,0)+MAX(C157-1,0)+MAX(D157-1,0)</x:f>
        <x:v>5</x:v>
      </x:c>
      <x:c r="H157" s="20" t="n">
        <x:f>MAX(B157,1)+MAX(C157,1)+MAX(D157,1)</x:f>
        <x:v>8</x:v>
      </x:c>
      <x:c r="I157" s="22" t="str">
        <x:f>IF(AND((B157+C157+D157)&lt;9,OR((D157)=0,(MAX((B157)-1,0)+MAX((C157)-1,0)+MAX((D157)-1,0))&lt;6)),1,0)&amp;IF(AND((B157+C157+D157)&lt;9,OR((C157)=0,(MAX((B157)-1,0)+MAX((C157)-1,0)+MAX((D157)-1,0))&lt;6)),1,0)&amp;IF(AND((B157+C157+D157)&lt;9,OR((B157)=0,(MAX((B157)-1,0)+MAX((C157)-1,0)+MAX((D157)-1,0))&lt;6)),1,0)</x:f>
        <x:v>111</x:v>
      </x:c>
      <x:c r="J157" s="22" t="str">
        <x:f>IF(B157=0,"不可回收",IF(AND((B157-1+C157+D157)&lt;9,OR((D157)=0,(MAX((B157-1)-1,0)+MAX((C157)-1,0)+MAX((D157)-1,0))&lt;6)),1,0)&amp;IF(AND((B157-1+C157+D157)&lt;9,OR((C157)=0,(MAX((B157-1)-1,0)+MAX((C157)-1,0)+MAX((D157)-1,0))&lt;6)),1,0)&amp;IF(AND((B157-1+C157+D157)&lt;9,OR((B157-1)=0,(MAX((B157-1)-1,0)+MAX((C157)-1,0)+MAX((D157)-1,0))&lt;6)),1,0))</x:f>
        <x:v>111</x:v>
      </x:c>
      <x:c r="K157" s="22" t="str">
        <x:f>IF(C157=0,"不可回收",IF(AND((B157+C157-1+D157)&lt;9,OR((D157)=0,(MAX((B157)-1,0)+MAX((C157-1)-1,0)+MAX((D157)-1,0))&lt;6)),1,0)&amp;IF(AND((B157+C157-1+D157)&lt;9,OR((C157-1)=0,(MAX((B157)-1,0)+MAX((C157-1)-1,0)+MAX((D157)-1,0))&lt;6)),1,0)&amp;IF(AND((B157+C157-1+D157)&lt;9,OR((B157)=0,(MAX((B157)-1,0)+MAX((C157-1)-1,0)+MAX((D157)-1,0))&lt;6)),1,0))</x:f>
        <x:v>111</x:v>
      </x:c>
      <x:c r="L157" s="22" t="str">
        <x:f>IF(D157=0,"不可回收",IF(AND((B157+C157+D157-1)&lt;9,OR((D157-1)=0,(MAX((B157)-1,0)+MAX((C157)-1,0)+MAX((D157-1)-1,0))&lt;6)),1,0)&amp;IF(AND((B157+C157+D157-1)&lt;9,OR((C157)=0,(MAX((B157)-1,0)+MAX((C157)-1,0)+MAX((D157-1)-1,0))&lt;6)),1,0)&amp;IF(AND((B157+C157+D157-1)&lt;9,OR((B157)=0,(MAX((B157)-1,0)+MAX((C157)-1,0)+MAX((D157-1)-1,0))&lt;6)),1,0))</x:f>
        <x:v>111</x:v>
      </x:c>
      <x:c r="M157" s="18" t="n">
        <x:f>1+F157</x:f>
        <x:v>4</x:v>
      </x:c>
      <x:c r="N157" s="18" t="n">
        <x:f>COUNTIF('容量转换'!$B$8:$B$2447,A157)</x:f>
        <x:v>16</x:v>
      </x:c>
      <x:c r="O157" s="21" t="str">
        <x:f>IF(AND(MIN(B157:D157)&gt;=0,MAX(B157:D157)&lt;=7,H157&lt;=9),"合法","不合法")</x:f>
        <x:v>合法</x:v>
      </x:c>
    </x:row>
    <x:row r="158" ht="23" customHeight="1">
      <x:c r="A158" s="3" t="str">
        <x:v>ST-151</x:v>
      </x:c>
      <x:c r="B158" s="19" t="n">
        <x:v>4</x:v>
      </x:c>
      <x:c r="C158" s="19" t="n">
        <x:v>2</x:v>
      </x:c>
      <x:c r="D158" s="19" t="n">
        <x:v>2</x:v>
      </x:c>
      <x:c r="E158" s="20" t="n">
        <x:f>SUM(B158:D158)</x:f>
        <x:v>8</x:v>
      </x:c>
      <x:c r="F158" s="20" t="n">
        <x:f>COUNTIF(B158:D158,"&gt;0")</x:f>
        <x:v>3</x:v>
      </x:c>
      <x:c r="G158" s="20" t="n">
        <x:f>MAX(B158-1,0)+MAX(C158-1,0)+MAX(D158-1,0)</x:f>
        <x:v>5</x:v>
      </x:c>
      <x:c r="H158" s="20" t="n">
        <x:f>MAX(B158,1)+MAX(C158,1)+MAX(D158,1)</x:f>
        <x:v>8</x:v>
      </x:c>
      <x:c r="I158" s="22" t="str">
        <x:f>IF(AND((B158+C158+D158)&lt;9,OR((D158)=0,(MAX((B158)-1,0)+MAX((C158)-1,0)+MAX((D158)-1,0))&lt;6)),1,0)&amp;IF(AND((B158+C158+D158)&lt;9,OR((C158)=0,(MAX((B158)-1,0)+MAX((C158)-1,0)+MAX((D158)-1,0))&lt;6)),1,0)&amp;IF(AND((B158+C158+D158)&lt;9,OR((B158)=0,(MAX((B158)-1,0)+MAX((C158)-1,0)+MAX((D158)-1,0))&lt;6)),1,0)</x:f>
        <x:v>111</x:v>
      </x:c>
      <x:c r="J158" s="22" t="str">
        <x:f>IF(B158=0,"不可回收",IF(AND((B158-1+C158+D158)&lt;9,OR((D158)=0,(MAX((B158-1)-1,0)+MAX((C158)-1,0)+MAX((D158)-1,0))&lt;6)),1,0)&amp;IF(AND((B158-1+C158+D158)&lt;9,OR((C158)=0,(MAX((B158-1)-1,0)+MAX((C158)-1,0)+MAX((D158)-1,0))&lt;6)),1,0)&amp;IF(AND((B158-1+C158+D158)&lt;9,OR((B158-1)=0,(MAX((B158-1)-1,0)+MAX((C158)-1,0)+MAX((D158)-1,0))&lt;6)),1,0))</x:f>
        <x:v>111</x:v>
      </x:c>
      <x:c r="K158" s="22" t="str">
        <x:f>IF(C158=0,"不可回收",IF(AND((B158+C158-1+D158)&lt;9,OR((D158)=0,(MAX((B158)-1,0)+MAX((C158-1)-1,0)+MAX((D158)-1,0))&lt;6)),1,0)&amp;IF(AND((B158+C158-1+D158)&lt;9,OR((C158-1)=0,(MAX((B158)-1,0)+MAX((C158-1)-1,0)+MAX((D158)-1,0))&lt;6)),1,0)&amp;IF(AND((B158+C158-1+D158)&lt;9,OR((B158)=0,(MAX((B158)-1,0)+MAX((C158-1)-1,0)+MAX((D158)-1,0))&lt;6)),1,0))</x:f>
        <x:v>111</x:v>
      </x:c>
      <x:c r="L158" s="22" t="str">
        <x:f>IF(D158=0,"不可回收",IF(AND((B158+C158+D158-1)&lt;9,OR((D158-1)=0,(MAX((B158)-1,0)+MAX((C158)-1,0)+MAX((D158-1)-1,0))&lt;6)),1,0)&amp;IF(AND((B158+C158+D158-1)&lt;9,OR((C158)=0,(MAX((B158)-1,0)+MAX((C158)-1,0)+MAX((D158-1)-1,0))&lt;6)),1,0)&amp;IF(AND((B158+C158+D158-1)&lt;9,OR((B158)=0,(MAX((B158)-1,0)+MAX((C158)-1,0)+MAX((D158-1)-1,0))&lt;6)),1,0))</x:f>
        <x:v>111</x:v>
      </x:c>
      <x:c r="M158" s="18" t="n">
        <x:f>1+F158</x:f>
        <x:v>4</x:v>
      </x:c>
      <x:c r="N158" s="18" t="n">
        <x:f>COUNTIF('容量转换'!$B$8:$B$2447,A158)</x:f>
        <x:v>16</x:v>
      </x:c>
      <x:c r="O158" s="21" t="str">
        <x:f>IF(AND(MIN(B158:D158)&gt;=0,MAX(B158:D158)&lt;=7,H158&lt;=9),"合法","不合法")</x:f>
        <x:v>合法</x:v>
      </x:c>
    </x:row>
    <x:row r="159" ht="23" customHeight="1">
      <x:c r="A159" s="3" t="str">
        <x:v>ST-152</x:v>
      </x:c>
      <x:c r="B159" s="19" t="n">
        <x:v>4</x:v>
      </x:c>
      <x:c r="C159" s="19" t="n">
        <x:v>3</x:v>
      </x:c>
      <x:c r="D159" s="19" t="n">
        <x:v>1</x:v>
      </x:c>
      <x:c r="E159" s="20" t="n">
        <x:f>SUM(B159:D159)</x:f>
        <x:v>8</x:v>
      </x:c>
      <x:c r="F159" s="20" t="n">
        <x:f>COUNTIF(B159:D159,"&gt;0")</x:f>
        <x:v>3</x:v>
      </x:c>
      <x:c r="G159" s="20" t="n">
        <x:f>MAX(B159-1,0)+MAX(C159-1,0)+MAX(D159-1,0)</x:f>
        <x:v>5</x:v>
      </x:c>
      <x:c r="H159" s="20" t="n">
        <x:f>MAX(B159,1)+MAX(C159,1)+MAX(D159,1)</x:f>
        <x:v>8</x:v>
      </x:c>
      <x:c r="I159" s="22" t="str">
        <x:f>IF(AND((B159+C159+D159)&lt;9,OR((D159)=0,(MAX((B159)-1,0)+MAX((C159)-1,0)+MAX((D159)-1,0))&lt;6)),1,0)&amp;IF(AND((B159+C159+D159)&lt;9,OR((C159)=0,(MAX((B159)-1,0)+MAX((C159)-1,0)+MAX((D159)-1,0))&lt;6)),1,0)&amp;IF(AND((B159+C159+D159)&lt;9,OR((B159)=0,(MAX((B159)-1,0)+MAX((C159)-1,0)+MAX((D159)-1,0))&lt;6)),1,0)</x:f>
        <x:v>111</x:v>
      </x:c>
      <x:c r="J159" s="22" t="str">
        <x:f>IF(B159=0,"不可回收",IF(AND((B159-1+C159+D159)&lt;9,OR((D159)=0,(MAX((B159-1)-1,0)+MAX((C159)-1,0)+MAX((D159)-1,0))&lt;6)),1,0)&amp;IF(AND((B159-1+C159+D159)&lt;9,OR((C159)=0,(MAX((B159-1)-1,0)+MAX((C159)-1,0)+MAX((D159)-1,0))&lt;6)),1,0)&amp;IF(AND((B159-1+C159+D159)&lt;9,OR((B159-1)=0,(MAX((B159-1)-1,0)+MAX((C159)-1,0)+MAX((D159)-1,0))&lt;6)),1,0))</x:f>
        <x:v>111</x:v>
      </x:c>
      <x:c r="K159" s="22" t="str">
        <x:f>IF(C159=0,"不可回收",IF(AND((B159+C159-1+D159)&lt;9,OR((D159)=0,(MAX((B159)-1,0)+MAX((C159-1)-1,0)+MAX((D159)-1,0))&lt;6)),1,0)&amp;IF(AND((B159+C159-1+D159)&lt;9,OR((C159-1)=0,(MAX((B159)-1,0)+MAX((C159-1)-1,0)+MAX((D159)-1,0))&lt;6)),1,0)&amp;IF(AND((B159+C159-1+D159)&lt;9,OR((B159)=0,(MAX((B159)-1,0)+MAX((C159-1)-1,0)+MAX((D159)-1,0))&lt;6)),1,0))</x:f>
        <x:v>111</x:v>
      </x:c>
      <x:c r="L159" s="22" t="str">
        <x:f>IF(D159=0,"不可回收",IF(AND((B159+C159+D159-1)&lt;9,OR((D159-1)=0,(MAX((B159)-1,0)+MAX((C159)-1,0)+MAX((D159-1)-1,0))&lt;6)),1,0)&amp;IF(AND((B159+C159+D159-1)&lt;9,OR((C159)=0,(MAX((B159)-1,0)+MAX((C159)-1,0)+MAX((D159-1)-1,0))&lt;6)),1,0)&amp;IF(AND((B159+C159+D159-1)&lt;9,OR((B159)=0,(MAX((B159)-1,0)+MAX((C159)-1,0)+MAX((D159-1)-1,0))&lt;6)),1,0))</x:f>
        <x:v>111</x:v>
      </x:c>
      <x:c r="M159" s="18" t="n">
        <x:f>1+F159</x:f>
        <x:v>4</x:v>
      </x:c>
      <x:c r="N159" s="18" t="n">
        <x:f>COUNTIF('容量转换'!$B$8:$B$2447,A159)</x:f>
        <x:v>16</x:v>
      </x:c>
      <x:c r="O159" s="21" t="str">
        <x:f>IF(AND(MIN(B159:D159)&gt;=0,MAX(B159:D159)&lt;=7,H159&lt;=9),"合法","不合法")</x:f>
        <x:v>合法</x:v>
      </x:c>
    </x:row>
    <x:row r="160" ht="23" customHeight="1">
      <x:c r="A160" s="3" t="str">
        <x:v>ST-153</x:v>
      </x:c>
      <x:c r="B160" s="19" t="n">
        <x:v>4</x:v>
      </x:c>
      <x:c r="C160" s="19" t="n">
        <x:v>4</x:v>
      </x:c>
      <x:c r="D160" s="19" t="n">
        <x:v>0</x:v>
      </x:c>
      <x:c r="E160" s="20" t="n">
        <x:f>SUM(B160:D160)</x:f>
        <x:v>8</x:v>
      </x:c>
      <x:c r="F160" s="20" t="n">
        <x:f>COUNTIF(B160:D160,"&gt;0")</x:f>
        <x:v>2</x:v>
      </x:c>
      <x:c r="G160" s="20" t="n">
        <x:f>MAX(B160-1,0)+MAX(C160-1,0)+MAX(D160-1,0)</x:f>
        <x:v>6</x:v>
      </x:c>
      <x:c r="H160" s="20" t="n">
        <x:f>MAX(B160,1)+MAX(C160,1)+MAX(D160,1)</x:f>
        <x:v>9</x:v>
      </x:c>
      <x:c r="I160" s="22" t="str">
        <x:f>IF(AND((B160+C160+D160)&lt;9,OR((D160)=0,(MAX((B160)-1,0)+MAX((C160)-1,0)+MAX((D160)-1,0))&lt;6)),1,0)&amp;IF(AND((B160+C160+D160)&lt;9,OR((C160)=0,(MAX((B160)-1,0)+MAX((C160)-1,0)+MAX((D160)-1,0))&lt;6)),1,0)&amp;IF(AND((B160+C160+D160)&lt;9,OR((B160)=0,(MAX((B160)-1,0)+MAX((C160)-1,0)+MAX((D160)-1,0))&lt;6)),1,0)</x:f>
        <x:v>100</x:v>
      </x:c>
      <x:c r="J160" s="22" t="str">
        <x:f>IF(B160=0,"不可回收",IF(AND((B160-1+C160+D160)&lt;9,OR((D160)=0,(MAX((B160-1)-1,0)+MAX((C160)-1,0)+MAX((D160)-1,0))&lt;6)),1,0)&amp;IF(AND((B160-1+C160+D160)&lt;9,OR((C160)=0,(MAX((B160-1)-1,0)+MAX((C160)-1,0)+MAX((D160)-1,0))&lt;6)),1,0)&amp;IF(AND((B160-1+C160+D160)&lt;9,OR((B160-1)=0,(MAX((B160-1)-1,0)+MAX((C160)-1,0)+MAX((D160)-1,0))&lt;6)),1,0))</x:f>
        <x:v>111</x:v>
      </x:c>
      <x:c r="K160" s="22" t="str">
        <x:f>IF(C160=0,"不可回收",IF(AND((B160+C160-1+D160)&lt;9,OR((D160)=0,(MAX((B160)-1,0)+MAX((C160-1)-1,0)+MAX((D160)-1,0))&lt;6)),1,0)&amp;IF(AND((B160+C160-1+D160)&lt;9,OR((C160-1)=0,(MAX((B160)-1,0)+MAX((C160-1)-1,0)+MAX((D160)-1,0))&lt;6)),1,0)&amp;IF(AND((B160+C160-1+D160)&lt;9,OR((B160)=0,(MAX((B160)-1,0)+MAX((C160-1)-1,0)+MAX((D160)-1,0))&lt;6)),1,0))</x:f>
        <x:v>111</x:v>
      </x:c>
      <x:c r="L160" s="22" t="str">
        <x:f>IF(D160=0,"不可回收",IF(AND((B160+C160+D160-1)&lt;9,OR((D160-1)=0,(MAX((B160)-1,0)+MAX((C160)-1,0)+MAX((D160-1)-1,0))&lt;6)),1,0)&amp;IF(AND((B160+C160+D160-1)&lt;9,OR((C160)=0,(MAX((B160)-1,0)+MAX((C160)-1,0)+MAX((D160-1)-1,0))&lt;6)),1,0)&amp;IF(AND((B160+C160+D160-1)&lt;9,OR((B160)=0,(MAX((B160)-1,0)+MAX((C160)-1,0)+MAX((D160-1)-1,0))&lt;6)),1,0))</x:f>
        <x:v>不可回收</x:v>
      </x:c>
      <x:c r="M160" s="18" t="n">
        <x:f>1+F160</x:f>
        <x:v>3</x:v>
      </x:c>
      <x:c r="N160" s="18" t="n">
        <x:f>COUNTIF('容量转换'!$B$8:$B$2447,A160)</x:f>
        <x:v>12</x:v>
      </x:c>
      <x:c r="O160" s="21" t="str">
        <x:f>IF(AND(MIN(B160:D160)&gt;=0,MAX(B160:D160)&lt;=7,H160&lt;=9),"合法","不合法")</x:f>
        <x:v>合法</x:v>
      </x:c>
    </x:row>
    <x:row r="161" ht="23" customHeight="1">
      <x:c r="A161" s="3" t="str">
        <x:v>ST-154</x:v>
      </x:c>
      <x:c r="B161" s="19" t="n">
        <x:v>5</x:v>
      </x:c>
      <x:c r="C161" s="19" t="n">
        <x:v>0</x:v>
      </x:c>
      <x:c r="D161" s="19" t="n">
        <x:v>3</x:v>
      </x:c>
      <x:c r="E161" s="20" t="n">
        <x:f>SUM(B161:D161)</x:f>
        <x:v>8</x:v>
      </x:c>
      <x:c r="F161" s="20" t="n">
        <x:f>COUNTIF(B161:D161,"&gt;0")</x:f>
        <x:v>2</x:v>
      </x:c>
      <x:c r="G161" s="20" t="n">
        <x:f>MAX(B161-1,0)+MAX(C161-1,0)+MAX(D161-1,0)</x:f>
        <x:v>6</x:v>
      </x:c>
      <x:c r="H161" s="20" t="n">
        <x:f>MAX(B161,1)+MAX(C161,1)+MAX(D161,1)</x:f>
        <x:v>9</x:v>
      </x:c>
      <x:c r="I161" s="22" t="str">
        <x:f>IF(AND((B161+C161+D161)&lt;9,OR((D161)=0,(MAX((B161)-1,0)+MAX((C161)-1,0)+MAX((D161)-1,0))&lt;6)),1,0)&amp;IF(AND((B161+C161+D161)&lt;9,OR((C161)=0,(MAX((B161)-1,0)+MAX((C161)-1,0)+MAX((D161)-1,0))&lt;6)),1,0)&amp;IF(AND((B161+C161+D161)&lt;9,OR((B161)=0,(MAX((B161)-1,0)+MAX((C161)-1,0)+MAX((D161)-1,0))&lt;6)),1,0)</x:f>
        <x:v>010</x:v>
      </x:c>
      <x:c r="J161" s="22" t="str">
        <x:f>IF(B161=0,"不可回收",IF(AND((B161-1+C161+D161)&lt;9,OR((D161)=0,(MAX((B161-1)-1,0)+MAX((C161)-1,0)+MAX((D161)-1,0))&lt;6)),1,0)&amp;IF(AND((B161-1+C161+D161)&lt;9,OR((C161)=0,(MAX((B161-1)-1,0)+MAX((C161)-1,0)+MAX((D161)-1,0))&lt;6)),1,0)&amp;IF(AND((B161-1+C161+D161)&lt;9,OR((B161-1)=0,(MAX((B161-1)-1,0)+MAX((C161)-1,0)+MAX((D161)-1,0))&lt;6)),1,0))</x:f>
        <x:v>111</x:v>
      </x:c>
      <x:c r="K161" s="22" t="str">
        <x:f>IF(C161=0,"不可回收",IF(AND((B161+C161-1+D161)&lt;9,OR((D161)=0,(MAX((B161)-1,0)+MAX((C161-1)-1,0)+MAX((D161)-1,0))&lt;6)),1,0)&amp;IF(AND((B161+C161-1+D161)&lt;9,OR((C161-1)=0,(MAX((B161)-1,0)+MAX((C161-1)-1,0)+MAX((D161)-1,0))&lt;6)),1,0)&amp;IF(AND((B161+C161-1+D161)&lt;9,OR((B161)=0,(MAX((B161)-1,0)+MAX((C161-1)-1,0)+MAX((D161)-1,0))&lt;6)),1,0))</x:f>
        <x:v>不可回收</x:v>
      </x:c>
      <x:c r="L161" s="22" t="str">
        <x:f>IF(D161=0,"不可回收",IF(AND((B161+C161+D161-1)&lt;9,OR((D161-1)=0,(MAX((B161)-1,0)+MAX((C161)-1,0)+MAX((D161-1)-1,0))&lt;6)),1,0)&amp;IF(AND((B161+C161+D161-1)&lt;9,OR((C161)=0,(MAX((B161)-1,0)+MAX((C161)-1,0)+MAX((D161-1)-1,0))&lt;6)),1,0)&amp;IF(AND((B161+C161+D161-1)&lt;9,OR((B161)=0,(MAX((B161)-1,0)+MAX((C161)-1,0)+MAX((D161-1)-1,0))&lt;6)),1,0))</x:f>
        <x:v>111</x:v>
      </x:c>
      <x:c r="M161" s="18" t="n">
        <x:f>1+F161</x:f>
        <x:v>3</x:v>
      </x:c>
      <x:c r="N161" s="18" t="n">
        <x:f>COUNTIF('容量转换'!$B$8:$B$2447,A161)</x:f>
        <x:v>12</x:v>
      </x:c>
      <x:c r="O161" s="21" t="str">
        <x:f>IF(AND(MIN(B161:D161)&gt;=0,MAX(B161:D161)&lt;=7,H161&lt;=9),"合法","不合法")</x:f>
        <x:v>合法</x:v>
      </x:c>
    </x:row>
    <x:row r="162" ht="23" customHeight="1">
      <x:c r="A162" s="3" t="str">
        <x:v>ST-155</x:v>
      </x:c>
      <x:c r="B162" s="19" t="n">
        <x:v>5</x:v>
      </x:c>
      <x:c r="C162" s="19" t="n">
        <x:v>1</x:v>
      </x:c>
      <x:c r="D162" s="19" t="n">
        <x:v>2</x:v>
      </x:c>
      <x:c r="E162" s="20" t="n">
        <x:f>SUM(B162:D162)</x:f>
        <x:v>8</x:v>
      </x:c>
      <x:c r="F162" s="20" t="n">
        <x:f>COUNTIF(B162:D162,"&gt;0")</x:f>
        <x:v>3</x:v>
      </x:c>
      <x:c r="G162" s="20" t="n">
        <x:f>MAX(B162-1,0)+MAX(C162-1,0)+MAX(D162-1,0)</x:f>
        <x:v>5</x:v>
      </x:c>
      <x:c r="H162" s="20" t="n">
        <x:f>MAX(B162,1)+MAX(C162,1)+MAX(D162,1)</x:f>
        <x:v>8</x:v>
      </x:c>
      <x:c r="I162" s="22" t="str">
        <x:f>IF(AND((B162+C162+D162)&lt;9,OR((D162)=0,(MAX((B162)-1,0)+MAX((C162)-1,0)+MAX((D162)-1,0))&lt;6)),1,0)&amp;IF(AND((B162+C162+D162)&lt;9,OR((C162)=0,(MAX((B162)-1,0)+MAX((C162)-1,0)+MAX((D162)-1,0))&lt;6)),1,0)&amp;IF(AND((B162+C162+D162)&lt;9,OR((B162)=0,(MAX((B162)-1,0)+MAX((C162)-1,0)+MAX((D162)-1,0))&lt;6)),1,0)</x:f>
        <x:v>111</x:v>
      </x:c>
      <x:c r="J162" s="22" t="str">
        <x:f>IF(B162=0,"不可回收",IF(AND((B162-1+C162+D162)&lt;9,OR((D162)=0,(MAX((B162-1)-1,0)+MAX((C162)-1,0)+MAX((D162)-1,0))&lt;6)),1,0)&amp;IF(AND((B162-1+C162+D162)&lt;9,OR((C162)=0,(MAX((B162-1)-1,0)+MAX((C162)-1,0)+MAX((D162)-1,0))&lt;6)),1,0)&amp;IF(AND((B162-1+C162+D162)&lt;9,OR((B162-1)=0,(MAX((B162-1)-1,0)+MAX((C162)-1,0)+MAX((D162)-1,0))&lt;6)),1,0))</x:f>
        <x:v>111</x:v>
      </x:c>
      <x:c r="K162" s="22" t="str">
        <x:f>IF(C162=0,"不可回收",IF(AND((B162+C162-1+D162)&lt;9,OR((D162)=0,(MAX((B162)-1,0)+MAX((C162-1)-1,0)+MAX((D162)-1,0))&lt;6)),1,0)&amp;IF(AND((B162+C162-1+D162)&lt;9,OR((C162-1)=0,(MAX((B162)-1,0)+MAX((C162-1)-1,0)+MAX((D162)-1,0))&lt;6)),1,0)&amp;IF(AND((B162+C162-1+D162)&lt;9,OR((B162)=0,(MAX((B162)-1,0)+MAX((C162-1)-1,0)+MAX((D162)-1,0))&lt;6)),1,0))</x:f>
        <x:v>111</x:v>
      </x:c>
      <x:c r="L162" s="22" t="str">
        <x:f>IF(D162=0,"不可回收",IF(AND((B162+C162+D162-1)&lt;9,OR((D162-1)=0,(MAX((B162)-1,0)+MAX((C162)-1,0)+MAX((D162-1)-1,0))&lt;6)),1,0)&amp;IF(AND((B162+C162+D162-1)&lt;9,OR((C162)=0,(MAX((B162)-1,0)+MAX((C162)-1,0)+MAX((D162-1)-1,0))&lt;6)),1,0)&amp;IF(AND((B162+C162+D162-1)&lt;9,OR((B162)=0,(MAX((B162)-1,0)+MAX((C162)-1,0)+MAX((D162-1)-1,0))&lt;6)),1,0))</x:f>
        <x:v>111</x:v>
      </x:c>
      <x:c r="M162" s="18" t="n">
        <x:f>1+F162</x:f>
        <x:v>4</x:v>
      </x:c>
      <x:c r="N162" s="18" t="n">
        <x:f>COUNTIF('容量转换'!$B$8:$B$2447,A162)</x:f>
        <x:v>16</x:v>
      </x:c>
      <x:c r="O162" s="21" t="str">
        <x:f>IF(AND(MIN(B162:D162)&gt;=0,MAX(B162:D162)&lt;=7,H162&lt;=9),"合法","不合法")</x:f>
        <x:v>合法</x:v>
      </x:c>
    </x:row>
    <x:row r="163" ht="23" customHeight="1">
      <x:c r="A163" s="3" t="str">
        <x:v>ST-156</x:v>
      </x:c>
      <x:c r="B163" s="19" t="n">
        <x:v>5</x:v>
      </x:c>
      <x:c r="C163" s="19" t="n">
        <x:v>2</x:v>
      </x:c>
      <x:c r="D163" s="19" t="n">
        <x:v>1</x:v>
      </x:c>
      <x:c r="E163" s="20" t="n">
        <x:f>SUM(B163:D163)</x:f>
        <x:v>8</x:v>
      </x:c>
      <x:c r="F163" s="20" t="n">
        <x:f>COUNTIF(B163:D163,"&gt;0")</x:f>
        <x:v>3</x:v>
      </x:c>
      <x:c r="G163" s="20" t="n">
        <x:f>MAX(B163-1,0)+MAX(C163-1,0)+MAX(D163-1,0)</x:f>
        <x:v>5</x:v>
      </x:c>
      <x:c r="H163" s="20" t="n">
        <x:f>MAX(B163,1)+MAX(C163,1)+MAX(D163,1)</x:f>
        <x:v>8</x:v>
      </x:c>
      <x:c r="I163" s="22" t="str">
        <x:f>IF(AND((B163+C163+D163)&lt;9,OR((D163)=0,(MAX((B163)-1,0)+MAX((C163)-1,0)+MAX((D163)-1,0))&lt;6)),1,0)&amp;IF(AND((B163+C163+D163)&lt;9,OR((C163)=0,(MAX((B163)-1,0)+MAX((C163)-1,0)+MAX((D163)-1,0))&lt;6)),1,0)&amp;IF(AND((B163+C163+D163)&lt;9,OR((B163)=0,(MAX((B163)-1,0)+MAX((C163)-1,0)+MAX((D163)-1,0))&lt;6)),1,0)</x:f>
        <x:v>111</x:v>
      </x:c>
      <x:c r="J163" s="22" t="str">
        <x:f>IF(B163=0,"不可回收",IF(AND((B163-1+C163+D163)&lt;9,OR((D163)=0,(MAX((B163-1)-1,0)+MAX((C163)-1,0)+MAX((D163)-1,0))&lt;6)),1,0)&amp;IF(AND((B163-1+C163+D163)&lt;9,OR((C163)=0,(MAX((B163-1)-1,0)+MAX((C163)-1,0)+MAX((D163)-1,0))&lt;6)),1,0)&amp;IF(AND((B163-1+C163+D163)&lt;9,OR((B163-1)=0,(MAX((B163-1)-1,0)+MAX((C163)-1,0)+MAX((D163)-1,0))&lt;6)),1,0))</x:f>
        <x:v>111</x:v>
      </x:c>
      <x:c r="K163" s="22" t="str">
        <x:f>IF(C163=0,"不可回收",IF(AND((B163+C163-1+D163)&lt;9,OR((D163)=0,(MAX((B163)-1,0)+MAX((C163-1)-1,0)+MAX((D163)-1,0))&lt;6)),1,0)&amp;IF(AND((B163+C163-1+D163)&lt;9,OR((C163-1)=0,(MAX((B163)-1,0)+MAX((C163-1)-1,0)+MAX((D163)-1,0))&lt;6)),1,0)&amp;IF(AND((B163+C163-1+D163)&lt;9,OR((B163)=0,(MAX((B163)-1,0)+MAX((C163-1)-1,0)+MAX((D163)-1,0))&lt;6)),1,0))</x:f>
        <x:v>111</x:v>
      </x:c>
      <x:c r="L163" s="22" t="str">
        <x:f>IF(D163=0,"不可回收",IF(AND((B163+C163+D163-1)&lt;9,OR((D163-1)=0,(MAX((B163)-1,0)+MAX((C163)-1,0)+MAX((D163-1)-1,0))&lt;6)),1,0)&amp;IF(AND((B163+C163+D163-1)&lt;9,OR((C163)=0,(MAX((B163)-1,0)+MAX((C163)-1,0)+MAX((D163-1)-1,0))&lt;6)),1,0)&amp;IF(AND((B163+C163+D163-1)&lt;9,OR((B163)=0,(MAX((B163)-1,0)+MAX((C163)-1,0)+MAX((D163-1)-1,0))&lt;6)),1,0))</x:f>
        <x:v>111</x:v>
      </x:c>
      <x:c r="M163" s="18" t="n">
        <x:f>1+F163</x:f>
        <x:v>4</x:v>
      </x:c>
      <x:c r="N163" s="18" t="n">
        <x:f>COUNTIF('容量转换'!$B$8:$B$2447,A163)</x:f>
        <x:v>16</x:v>
      </x:c>
      <x:c r="O163" s="21" t="str">
        <x:f>IF(AND(MIN(B163:D163)&gt;=0,MAX(B163:D163)&lt;=7,H163&lt;=9),"合法","不合法")</x:f>
        <x:v>合法</x:v>
      </x:c>
    </x:row>
    <x:row r="164" ht="23" customHeight="1">
      <x:c r="A164" s="3" t="str">
        <x:v>ST-157</x:v>
      </x:c>
      <x:c r="B164" s="19" t="n">
        <x:v>5</x:v>
      </x:c>
      <x:c r="C164" s="19" t="n">
        <x:v>3</x:v>
      </x:c>
      <x:c r="D164" s="19" t="n">
        <x:v>0</x:v>
      </x:c>
      <x:c r="E164" s="20" t="n">
        <x:f>SUM(B164:D164)</x:f>
        <x:v>8</x:v>
      </x:c>
      <x:c r="F164" s="20" t="n">
        <x:f>COUNTIF(B164:D164,"&gt;0")</x:f>
        <x:v>2</x:v>
      </x:c>
      <x:c r="G164" s="20" t="n">
        <x:f>MAX(B164-1,0)+MAX(C164-1,0)+MAX(D164-1,0)</x:f>
        <x:v>6</x:v>
      </x:c>
      <x:c r="H164" s="20" t="n">
        <x:f>MAX(B164,1)+MAX(C164,1)+MAX(D164,1)</x:f>
        <x:v>9</x:v>
      </x:c>
      <x:c r="I164" s="22" t="str">
        <x:f>IF(AND((B164+C164+D164)&lt;9,OR((D164)=0,(MAX((B164)-1,0)+MAX((C164)-1,0)+MAX((D164)-1,0))&lt;6)),1,0)&amp;IF(AND((B164+C164+D164)&lt;9,OR((C164)=0,(MAX((B164)-1,0)+MAX((C164)-1,0)+MAX((D164)-1,0))&lt;6)),1,0)&amp;IF(AND((B164+C164+D164)&lt;9,OR((B164)=0,(MAX((B164)-1,0)+MAX((C164)-1,0)+MAX((D164)-1,0))&lt;6)),1,0)</x:f>
        <x:v>100</x:v>
      </x:c>
      <x:c r="J164" s="22" t="str">
        <x:f>IF(B164=0,"不可回收",IF(AND((B164-1+C164+D164)&lt;9,OR((D164)=0,(MAX((B164-1)-1,0)+MAX((C164)-1,0)+MAX((D164)-1,0))&lt;6)),1,0)&amp;IF(AND((B164-1+C164+D164)&lt;9,OR((C164)=0,(MAX((B164-1)-1,0)+MAX((C164)-1,0)+MAX((D164)-1,0))&lt;6)),1,0)&amp;IF(AND((B164-1+C164+D164)&lt;9,OR((B164-1)=0,(MAX((B164-1)-1,0)+MAX((C164)-1,0)+MAX((D164)-1,0))&lt;6)),1,0))</x:f>
        <x:v>111</x:v>
      </x:c>
      <x:c r="K164" s="22" t="str">
        <x:f>IF(C164=0,"不可回收",IF(AND((B164+C164-1+D164)&lt;9,OR((D164)=0,(MAX((B164)-1,0)+MAX((C164-1)-1,0)+MAX((D164)-1,0))&lt;6)),1,0)&amp;IF(AND((B164+C164-1+D164)&lt;9,OR((C164-1)=0,(MAX((B164)-1,0)+MAX((C164-1)-1,0)+MAX((D164)-1,0))&lt;6)),1,0)&amp;IF(AND((B164+C164-1+D164)&lt;9,OR((B164)=0,(MAX((B164)-1,0)+MAX((C164-1)-1,0)+MAX((D164)-1,0))&lt;6)),1,0))</x:f>
        <x:v>111</x:v>
      </x:c>
      <x:c r="L164" s="22" t="str">
        <x:f>IF(D164=0,"不可回收",IF(AND((B164+C164+D164-1)&lt;9,OR((D164-1)=0,(MAX((B164)-1,0)+MAX((C164)-1,0)+MAX((D164-1)-1,0))&lt;6)),1,0)&amp;IF(AND((B164+C164+D164-1)&lt;9,OR((C164)=0,(MAX((B164)-1,0)+MAX((C164)-1,0)+MAX((D164-1)-1,0))&lt;6)),1,0)&amp;IF(AND((B164+C164+D164-1)&lt;9,OR((B164)=0,(MAX((B164)-1,0)+MAX((C164)-1,0)+MAX((D164-1)-1,0))&lt;6)),1,0))</x:f>
        <x:v>不可回收</x:v>
      </x:c>
      <x:c r="M164" s="18" t="n">
        <x:f>1+F164</x:f>
        <x:v>3</x:v>
      </x:c>
      <x:c r="N164" s="18" t="n">
        <x:f>COUNTIF('容量转换'!$B$8:$B$2447,A164)</x:f>
        <x:v>12</x:v>
      </x:c>
      <x:c r="O164" s="21" t="str">
        <x:f>IF(AND(MIN(B164:D164)&gt;=0,MAX(B164:D164)&lt;=7,H164&lt;=9),"合法","不合法")</x:f>
        <x:v>合法</x:v>
      </x:c>
    </x:row>
    <x:row r="165" ht="23" customHeight="1">
      <x:c r="A165" s="3" t="str">
        <x:v>ST-158</x:v>
      </x:c>
      <x:c r="B165" s="19" t="n">
        <x:v>6</x:v>
      </x:c>
      <x:c r="C165" s="19" t="n">
        <x:v>0</x:v>
      </x:c>
      <x:c r="D165" s="19" t="n">
        <x:v>2</x:v>
      </x:c>
      <x:c r="E165" s="20" t="n">
        <x:f>SUM(B165:D165)</x:f>
        <x:v>8</x:v>
      </x:c>
      <x:c r="F165" s="20" t="n">
        <x:f>COUNTIF(B165:D165,"&gt;0")</x:f>
        <x:v>2</x:v>
      </x:c>
      <x:c r="G165" s="20" t="n">
        <x:f>MAX(B165-1,0)+MAX(C165-1,0)+MAX(D165-1,0)</x:f>
        <x:v>6</x:v>
      </x:c>
      <x:c r="H165" s="20" t="n">
        <x:f>MAX(B165,1)+MAX(C165,1)+MAX(D165,1)</x:f>
        <x:v>9</x:v>
      </x:c>
      <x:c r="I165" s="22" t="str">
        <x:f>IF(AND((B165+C165+D165)&lt;9,OR((D165)=0,(MAX((B165)-1,0)+MAX((C165)-1,0)+MAX((D165)-1,0))&lt;6)),1,0)&amp;IF(AND((B165+C165+D165)&lt;9,OR((C165)=0,(MAX((B165)-1,0)+MAX((C165)-1,0)+MAX((D165)-1,0))&lt;6)),1,0)&amp;IF(AND((B165+C165+D165)&lt;9,OR((B165)=0,(MAX((B165)-1,0)+MAX((C165)-1,0)+MAX((D165)-1,0))&lt;6)),1,0)</x:f>
        <x:v>010</x:v>
      </x:c>
      <x:c r="J165" s="22" t="str">
        <x:f>IF(B165=0,"不可回收",IF(AND((B165-1+C165+D165)&lt;9,OR((D165)=0,(MAX((B165-1)-1,0)+MAX((C165)-1,0)+MAX((D165)-1,0))&lt;6)),1,0)&amp;IF(AND((B165-1+C165+D165)&lt;9,OR((C165)=0,(MAX((B165-1)-1,0)+MAX((C165)-1,0)+MAX((D165)-1,0))&lt;6)),1,0)&amp;IF(AND((B165-1+C165+D165)&lt;9,OR((B165-1)=0,(MAX((B165-1)-1,0)+MAX((C165)-1,0)+MAX((D165)-1,0))&lt;6)),1,0))</x:f>
        <x:v>111</x:v>
      </x:c>
      <x:c r="K165" s="22" t="str">
        <x:f>IF(C165=0,"不可回收",IF(AND((B165+C165-1+D165)&lt;9,OR((D165)=0,(MAX((B165)-1,0)+MAX((C165-1)-1,0)+MAX((D165)-1,0))&lt;6)),1,0)&amp;IF(AND((B165+C165-1+D165)&lt;9,OR((C165-1)=0,(MAX((B165)-1,0)+MAX((C165-1)-1,0)+MAX((D165)-1,0))&lt;6)),1,0)&amp;IF(AND((B165+C165-1+D165)&lt;9,OR((B165)=0,(MAX((B165)-1,0)+MAX((C165-1)-1,0)+MAX((D165)-1,0))&lt;6)),1,0))</x:f>
        <x:v>不可回收</x:v>
      </x:c>
      <x:c r="L165" s="22" t="str">
        <x:f>IF(D165=0,"不可回收",IF(AND((B165+C165+D165-1)&lt;9,OR((D165-1)=0,(MAX((B165)-1,0)+MAX((C165)-1,0)+MAX((D165-1)-1,0))&lt;6)),1,0)&amp;IF(AND((B165+C165+D165-1)&lt;9,OR((C165)=0,(MAX((B165)-1,0)+MAX((C165)-1,0)+MAX((D165-1)-1,0))&lt;6)),1,0)&amp;IF(AND((B165+C165+D165-1)&lt;9,OR((B165)=0,(MAX((B165)-1,0)+MAX((C165)-1,0)+MAX((D165-1)-1,0))&lt;6)),1,0))</x:f>
        <x:v>111</x:v>
      </x:c>
      <x:c r="M165" s="18" t="n">
        <x:f>1+F165</x:f>
        <x:v>3</x:v>
      </x:c>
      <x:c r="N165" s="18" t="n">
        <x:f>COUNTIF('容量转换'!$B$8:$B$2447,A165)</x:f>
        <x:v>12</x:v>
      </x:c>
      <x:c r="O165" s="21" t="str">
        <x:f>IF(AND(MIN(B165:D165)&gt;=0,MAX(B165:D165)&lt;=7,H165&lt;=9),"合法","不合法")</x:f>
        <x:v>合法</x:v>
      </x:c>
    </x:row>
    <x:row r="166" ht="23" customHeight="1">
      <x:c r="A166" s="3" t="str">
        <x:v>ST-159</x:v>
      </x:c>
      <x:c r="B166" s="19" t="n">
        <x:v>6</x:v>
      </x:c>
      <x:c r="C166" s="19" t="n">
        <x:v>1</x:v>
      </x:c>
      <x:c r="D166" s="19" t="n">
        <x:v>1</x:v>
      </x:c>
      <x:c r="E166" s="20" t="n">
        <x:f>SUM(B166:D166)</x:f>
        <x:v>8</x:v>
      </x:c>
      <x:c r="F166" s="20" t="n">
        <x:f>COUNTIF(B166:D166,"&gt;0")</x:f>
        <x:v>3</x:v>
      </x:c>
      <x:c r="G166" s="20" t="n">
        <x:f>MAX(B166-1,0)+MAX(C166-1,0)+MAX(D166-1,0)</x:f>
        <x:v>5</x:v>
      </x:c>
      <x:c r="H166" s="20" t="n">
        <x:f>MAX(B166,1)+MAX(C166,1)+MAX(D166,1)</x:f>
        <x:v>8</x:v>
      </x:c>
      <x:c r="I166" s="22" t="str">
        <x:f>IF(AND((B166+C166+D166)&lt;9,OR((D166)=0,(MAX((B166)-1,0)+MAX((C166)-1,0)+MAX((D166)-1,0))&lt;6)),1,0)&amp;IF(AND((B166+C166+D166)&lt;9,OR((C166)=0,(MAX((B166)-1,0)+MAX((C166)-1,0)+MAX((D166)-1,0))&lt;6)),1,0)&amp;IF(AND((B166+C166+D166)&lt;9,OR((B166)=0,(MAX((B166)-1,0)+MAX((C166)-1,0)+MAX((D166)-1,0))&lt;6)),1,0)</x:f>
        <x:v>111</x:v>
      </x:c>
      <x:c r="J166" s="22" t="str">
        <x:f>IF(B166=0,"不可回收",IF(AND((B166-1+C166+D166)&lt;9,OR((D166)=0,(MAX((B166-1)-1,0)+MAX((C166)-1,0)+MAX((D166)-1,0))&lt;6)),1,0)&amp;IF(AND((B166-1+C166+D166)&lt;9,OR((C166)=0,(MAX((B166-1)-1,0)+MAX((C166)-1,0)+MAX((D166)-1,0))&lt;6)),1,0)&amp;IF(AND((B166-1+C166+D166)&lt;9,OR((B166-1)=0,(MAX((B166-1)-1,0)+MAX((C166)-1,0)+MAX((D166)-1,0))&lt;6)),1,0))</x:f>
        <x:v>111</x:v>
      </x:c>
      <x:c r="K166" s="22" t="str">
        <x:f>IF(C166=0,"不可回收",IF(AND((B166+C166-1+D166)&lt;9,OR((D166)=0,(MAX((B166)-1,0)+MAX((C166-1)-1,0)+MAX((D166)-1,0))&lt;6)),1,0)&amp;IF(AND((B166+C166-1+D166)&lt;9,OR((C166-1)=0,(MAX((B166)-1,0)+MAX((C166-1)-1,0)+MAX((D166)-1,0))&lt;6)),1,0)&amp;IF(AND((B166+C166-1+D166)&lt;9,OR((B166)=0,(MAX((B166)-1,0)+MAX((C166-1)-1,0)+MAX((D166)-1,0))&lt;6)),1,0))</x:f>
        <x:v>111</x:v>
      </x:c>
      <x:c r="L166" s="22" t="str">
        <x:f>IF(D166=0,"不可回收",IF(AND((B166+C166+D166-1)&lt;9,OR((D166-1)=0,(MAX((B166)-1,0)+MAX((C166)-1,0)+MAX((D166-1)-1,0))&lt;6)),1,0)&amp;IF(AND((B166+C166+D166-1)&lt;9,OR((C166)=0,(MAX((B166)-1,0)+MAX((C166)-1,0)+MAX((D166-1)-1,0))&lt;6)),1,0)&amp;IF(AND((B166+C166+D166-1)&lt;9,OR((B166)=0,(MAX((B166)-1,0)+MAX((C166)-1,0)+MAX((D166-1)-1,0))&lt;6)),1,0))</x:f>
        <x:v>111</x:v>
      </x:c>
      <x:c r="M166" s="18" t="n">
        <x:f>1+F166</x:f>
        <x:v>4</x:v>
      </x:c>
      <x:c r="N166" s="18" t="n">
        <x:f>COUNTIF('容量转换'!$B$8:$B$2447,A166)</x:f>
        <x:v>16</x:v>
      </x:c>
      <x:c r="O166" s="21" t="str">
        <x:f>IF(AND(MIN(B166:D166)&gt;=0,MAX(B166:D166)&lt;=7,H166&lt;=9),"合法","不合法")</x:f>
        <x:v>合法</x:v>
      </x:c>
    </x:row>
    <x:row r="167" ht="23" customHeight="1">
      <x:c r="A167" s="3" t="str">
        <x:v>ST-160</x:v>
      </x:c>
      <x:c r="B167" s="19" t="n">
        <x:v>6</x:v>
      </x:c>
      <x:c r="C167" s="19" t="n">
        <x:v>2</x:v>
      </x:c>
      <x:c r="D167" s="19" t="n">
        <x:v>0</x:v>
      </x:c>
      <x:c r="E167" s="20" t="n">
        <x:f>SUM(B167:D167)</x:f>
        <x:v>8</x:v>
      </x:c>
      <x:c r="F167" s="20" t="n">
        <x:f>COUNTIF(B167:D167,"&gt;0")</x:f>
        <x:v>2</x:v>
      </x:c>
      <x:c r="G167" s="20" t="n">
        <x:f>MAX(B167-1,0)+MAX(C167-1,0)+MAX(D167-1,0)</x:f>
        <x:v>6</x:v>
      </x:c>
      <x:c r="H167" s="20" t="n">
        <x:f>MAX(B167,1)+MAX(C167,1)+MAX(D167,1)</x:f>
        <x:v>9</x:v>
      </x:c>
      <x:c r="I167" s="22" t="str">
        <x:f>IF(AND((B167+C167+D167)&lt;9,OR((D167)=0,(MAX((B167)-1,0)+MAX((C167)-1,0)+MAX((D167)-1,0))&lt;6)),1,0)&amp;IF(AND((B167+C167+D167)&lt;9,OR((C167)=0,(MAX((B167)-1,0)+MAX((C167)-1,0)+MAX((D167)-1,0))&lt;6)),1,0)&amp;IF(AND((B167+C167+D167)&lt;9,OR((B167)=0,(MAX((B167)-1,0)+MAX((C167)-1,0)+MAX((D167)-1,0))&lt;6)),1,0)</x:f>
        <x:v>100</x:v>
      </x:c>
      <x:c r="J167" s="22" t="str">
        <x:f>IF(B167=0,"不可回收",IF(AND((B167-1+C167+D167)&lt;9,OR((D167)=0,(MAX((B167-1)-1,0)+MAX((C167)-1,0)+MAX((D167)-1,0))&lt;6)),1,0)&amp;IF(AND((B167-1+C167+D167)&lt;9,OR((C167)=0,(MAX((B167-1)-1,0)+MAX((C167)-1,0)+MAX((D167)-1,0))&lt;6)),1,0)&amp;IF(AND((B167-1+C167+D167)&lt;9,OR((B167-1)=0,(MAX((B167-1)-1,0)+MAX((C167)-1,0)+MAX((D167)-1,0))&lt;6)),1,0))</x:f>
        <x:v>111</x:v>
      </x:c>
      <x:c r="K167" s="22" t="str">
        <x:f>IF(C167=0,"不可回收",IF(AND((B167+C167-1+D167)&lt;9,OR((D167)=0,(MAX((B167)-1,0)+MAX((C167-1)-1,0)+MAX((D167)-1,0))&lt;6)),1,0)&amp;IF(AND((B167+C167-1+D167)&lt;9,OR((C167-1)=0,(MAX((B167)-1,0)+MAX((C167-1)-1,0)+MAX((D167)-1,0))&lt;6)),1,0)&amp;IF(AND((B167+C167-1+D167)&lt;9,OR((B167)=0,(MAX((B167)-1,0)+MAX((C167-1)-1,0)+MAX((D167)-1,0))&lt;6)),1,0))</x:f>
        <x:v>111</x:v>
      </x:c>
      <x:c r="L167" s="22" t="str">
        <x:f>IF(D167=0,"不可回收",IF(AND((B167+C167+D167-1)&lt;9,OR((D167-1)=0,(MAX((B167)-1,0)+MAX((C167)-1,0)+MAX((D167-1)-1,0))&lt;6)),1,0)&amp;IF(AND((B167+C167+D167-1)&lt;9,OR((C167)=0,(MAX((B167)-1,0)+MAX((C167)-1,0)+MAX((D167-1)-1,0))&lt;6)),1,0)&amp;IF(AND((B167+C167+D167-1)&lt;9,OR((B167)=0,(MAX((B167)-1,0)+MAX((C167)-1,0)+MAX((D167-1)-1,0))&lt;6)),1,0))</x:f>
        <x:v>不可回收</x:v>
      </x:c>
      <x:c r="M167" s="18" t="n">
        <x:f>1+F167</x:f>
        <x:v>3</x:v>
      </x:c>
      <x:c r="N167" s="18" t="n">
        <x:f>COUNTIF('容量转换'!$B$8:$B$2447,A167)</x:f>
        <x:v>12</x:v>
      </x:c>
      <x:c r="O167" s="21" t="str">
        <x:f>IF(AND(MIN(B167:D167)&gt;=0,MAX(B167:D167)&lt;=7,H167&lt;=9),"合法","不合法")</x:f>
        <x:v>合法</x:v>
      </x:c>
    </x:row>
    <x:row r="168" ht="23" customHeight="1">
      <x:c r="A168" s="3" t="str">
        <x:v>ST-161</x:v>
      </x:c>
      <x:c r="B168" s="19" t="n">
        <x:v>7</x:v>
      </x:c>
      <x:c r="C168" s="19" t="n">
        <x:v>0</x:v>
      </x:c>
      <x:c r="D168" s="19" t="n">
        <x:v>1</x:v>
      </x:c>
      <x:c r="E168" s="20" t="n">
        <x:f>SUM(B168:D168)</x:f>
        <x:v>8</x:v>
      </x:c>
      <x:c r="F168" s="20" t="n">
        <x:f>COUNTIF(B168:D168,"&gt;0")</x:f>
        <x:v>2</x:v>
      </x:c>
      <x:c r="G168" s="20" t="n">
        <x:f>MAX(B168-1,0)+MAX(C168-1,0)+MAX(D168-1,0)</x:f>
        <x:v>6</x:v>
      </x:c>
      <x:c r="H168" s="20" t="n">
        <x:f>MAX(B168,1)+MAX(C168,1)+MAX(D168,1)</x:f>
        <x:v>9</x:v>
      </x:c>
      <x:c r="I168" s="22" t="str">
        <x:f>IF(AND((B168+C168+D168)&lt;9,OR((D168)=0,(MAX((B168)-1,0)+MAX((C168)-1,0)+MAX((D168)-1,0))&lt;6)),1,0)&amp;IF(AND((B168+C168+D168)&lt;9,OR((C168)=0,(MAX((B168)-1,0)+MAX((C168)-1,0)+MAX((D168)-1,0))&lt;6)),1,0)&amp;IF(AND((B168+C168+D168)&lt;9,OR((B168)=0,(MAX((B168)-1,0)+MAX((C168)-1,0)+MAX((D168)-1,0))&lt;6)),1,0)</x:f>
        <x:v>010</x:v>
      </x:c>
      <x:c r="J168" s="22" t="str">
        <x:f>IF(B168=0,"不可回收",IF(AND((B168-1+C168+D168)&lt;9,OR((D168)=0,(MAX((B168-1)-1,0)+MAX((C168)-1,0)+MAX((D168)-1,0))&lt;6)),1,0)&amp;IF(AND((B168-1+C168+D168)&lt;9,OR((C168)=0,(MAX((B168-1)-1,0)+MAX((C168)-1,0)+MAX((D168)-1,0))&lt;6)),1,0)&amp;IF(AND((B168-1+C168+D168)&lt;9,OR((B168-1)=0,(MAX((B168-1)-1,0)+MAX((C168)-1,0)+MAX((D168)-1,0))&lt;6)),1,0))</x:f>
        <x:v>111</x:v>
      </x:c>
      <x:c r="K168" s="22" t="str">
        <x:f>IF(C168=0,"不可回收",IF(AND((B168+C168-1+D168)&lt;9,OR((D168)=0,(MAX((B168)-1,0)+MAX((C168-1)-1,0)+MAX((D168)-1,0))&lt;6)),1,0)&amp;IF(AND((B168+C168-1+D168)&lt;9,OR((C168-1)=0,(MAX((B168)-1,0)+MAX((C168-1)-1,0)+MAX((D168)-1,0))&lt;6)),1,0)&amp;IF(AND((B168+C168-1+D168)&lt;9,OR((B168)=0,(MAX((B168)-1,0)+MAX((C168-1)-1,0)+MAX((D168)-1,0))&lt;6)),1,0))</x:f>
        <x:v>不可回收</x:v>
      </x:c>
      <x:c r="L168" s="22" t="str">
        <x:f>IF(D168=0,"不可回收",IF(AND((B168+C168+D168-1)&lt;9,OR((D168-1)=0,(MAX((B168)-1,0)+MAX((C168)-1,0)+MAX((D168-1)-1,0))&lt;6)),1,0)&amp;IF(AND((B168+C168+D168-1)&lt;9,OR((C168)=0,(MAX((B168)-1,0)+MAX((C168)-1,0)+MAX((D168-1)-1,0))&lt;6)),1,0)&amp;IF(AND((B168+C168+D168-1)&lt;9,OR((B168)=0,(MAX((B168)-1,0)+MAX((C168)-1,0)+MAX((D168-1)-1,0))&lt;6)),1,0))</x:f>
        <x:v>110</x:v>
      </x:c>
      <x:c r="M168" s="18" t="n">
        <x:f>1+F168</x:f>
        <x:v>3</x:v>
      </x:c>
      <x:c r="N168" s="18" t="n">
        <x:f>COUNTIF('容量转换'!$B$8:$B$2447,A168)</x:f>
        <x:v>12</x:v>
      </x:c>
      <x:c r="O168" s="21" t="str">
        <x:f>IF(AND(MIN(B168:D168)&gt;=0,MAX(B168:D168)&lt;=7,H168&lt;=9),"合法","不合法")</x:f>
        <x:v>合法</x:v>
      </x:c>
    </x:row>
    <x:row r="169" ht="23" customHeight="1">
      <x:c r="A169" s="3" t="str">
        <x:v>ST-162</x:v>
      </x:c>
      <x:c r="B169" s="19" t="n">
        <x:v>7</x:v>
      </x:c>
      <x:c r="C169" s="19" t="n">
        <x:v>1</x:v>
      </x:c>
      <x:c r="D169" s="19" t="n">
        <x:v>0</x:v>
      </x:c>
      <x:c r="E169" s="20" t="n">
        <x:f>SUM(B169:D169)</x:f>
        <x:v>8</x:v>
      </x:c>
      <x:c r="F169" s="20" t="n">
        <x:f>COUNTIF(B169:D169,"&gt;0")</x:f>
        <x:v>2</x:v>
      </x:c>
      <x:c r="G169" s="20" t="n">
        <x:f>MAX(B169-1,0)+MAX(C169-1,0)+MAX(D169-1,0)</x:f>
        <x:v>6</x:v>
      </x:c>
      <x:c r="H169" s="20" t="n">
        <x:f>MAX(B169,1)+MAX(C169,1)+MAX(D169,1)</x:f>
        <x:v>9</x:v>
      </x:c>
      <x:c r="I169" s="22" t="str">
        <x:f>IF(AND((B169+C169+D169)&lt;9,OR((D169)=0,(MAX((B169)-1,0)+MAX((C169)-1,0)+MAX((D169)-1,0))&lt;6)),1,0)&amp;IF(AND((B169+C169+D169)&lt;9,OR((C169)=0,(MAX((B169)-1,0)+MAX((C169)-1,0)+MAX((D169)-1,0))&lt;6)),1,0)&amp;IF(AND((B169+C169+D169)&lt;9,OR((B169)=0,(MAX((B169)-1,0)+MAX((C169)-1,0)+MAX((D169)-1,0))&lt;6)),1,0)</x:f>
        <x:v>100</x:v>
      </x:c>
      <x:c r="J169" s="22" t="str">
        <x:f>IF(B169=0,"不可回收",IF(AND((B169-1+C169+D169)&lt;9,OR((D169)=0,(MAX((B169-1)-1,0)+MAX((C169)-1,0)+MAX((D169)-1,0))&lt;6)),1,0)&amp;IF(AND((B169-1+C169+D169)&lt;9,OR((C169)=0,(MAX((B169-1)-1,0)+MAX((C169)-1,0)+MAX((D169)-1,0))&lt;6)),1,0)&amp;IF(AND((B169-1+C169+D169)&lt;9,OR((B169-1)=0,(MAX((B169-1)-1,0)+MAX((C169)-1,0)+MAX((D169)-1,0))&lt;6)),1,0))</x:f>
        <x:v>111</x:v>
      </x:c>
      <x:c r="K169" s="22" t="str">
        <x:f>IF(C169=0,"不可回收",IF(AND((B169+C169-1+D169)&lt;9,OR((D169)=0,(MAX((B169)-1,0)+MAX((C169-1)-1,0)+MAX((D169)-1,0))&lt;6)),1,0)&amp;IF(AND((B169+C169-1+D169)&lt;9,OR((C169-1)=0,(MAX((B169)-1,0)+MAX((C169-1)-1,0)+MAX((D169)-1,0))&lt;6)),1,0)&amp;IF(AND((B169+C169-1+D169)&lt;9,OR((B169)=0,(MAX((B169)-1,0)+MAX((C169-1)-1,0)+MAX((D169)-1,0))&lt;6)),1,0))</x:f>
        <x:v>110</x:v>
      </x:c>
      <x:c r="L169" s="22" t="str">
        <x:f>IF(D169=0,"不可回收",IF(AND((B169+C169+D169-1)&lt;9,OR((D169-1)=0,(MAX((B169)-1,0)+MAX((C169)-1,0)+MAX((D169-1)-1,0))&lt;6)),1,0)&amp;IF(AND((B169+C169+D169-1)&lt;9,OR((C169)=0,(MAX((B169)-1,0)+MAX((C169)-1,0)+MAX((D169-1)-1,0))&lt;6)),1,0)&amp;IF(AND((B169+C169+D169-1)&lt;9,OR((B169)=0,(MAX((B169)-1,0)+MAX((C169)-1,0)+MAX((D169-1)-1,0))&lt;6)),1,0))</x:f>
        <x:v>不可回收</x:v>
      </x:c>
      <x:c r="M169" s="18" t="n">
        <x:f>1+F169</x:f>
        <x:v>3</x:v>
      </x:c>
      <x:c r="N169" s="18" t="n">
        <x:f>COUNTIF('容量转换'!$B$8:$B$2447,A169)</x:f>
        <x:v>12</x:v>
      </x:c>
      <x:c r="O169" s="21" t="str">
        <x:f>IF(AND(MIN(B169:D169)&gt;=0,MAX(B169:D169)&lt;=7,H169&lt;=9),"合法","不合法")</x:f>
        <x:v>合法</x:v>
      </x:c>
    </x:row>
    <x:row r="170" ht="23" customHeight="1">
      <x:c r="A170" s="3" t="str">
        <x:v>ST-163</x:v>
      </x:c>
      <x:c r="B170" s="19" t="n">
        <x:v>1</x:v>
      </x:c>
      <x:c r="C170" s="19" t="n">
        <x:v>1</x:v>
      </x:c>
      <x:c r="D170" s="19" t="n">
        <x:v>7</x:v>
      </x:c>
      <x:c r="E170" s="20" t="n">
        <x:f>SUM(B170:D170)</x:f>
        <x:v>9</x:v>
      </x:c>
      <x:c r="F170" s="20" t="n">
        <x:f>COUNTIF(B170:D170,"&gt;0")</x:f>
        <x:v>3</x:v>
      </x:c>
      <x:c r="G170" s="20" t="n">
        <x:f>MAX(B170-1,0)+MAX(C170-1,0)+MAX(D170-1,0)</x:f>
        <x:v>6</x:v>
      </x:c>
      <x:c r="H170" s="20" t="n">
        <x:f>MAX(B170,1)+MAX(C170,1)+MAX(D170,1)</x:f>
        <x:v>9</x:v>
      </x:c>
      <x:c r="I170" s="22" t="str">
        <x:f>IF(AND((B170+C170+D170)&lt;9,OR((D170)=0,(MAX((B170)-1,0)+MAX((C170)-1,0)+MAX((D170)-1,0))&lt;6)),1,0)&amp;IF(AND((B170+C170+D170)&lt;9,OR((C170)=0,(MAX((B170)-1,0)+MAX((C170)-1,0)+MAX((D170)-1,0))&lt;6)),1,0)&amp;IF(AND((B170+C170+D170)&lt;9,OR((B170)=0,(MAX((B170)-1,0)+MAX((C170)-1,0)+MAX((D170)-1,0))&lt;6)),1,0)</x:f>
        <x:v>000</x:v>
      </x:c>
      <x:c r="J170" s="22" t="str">
        <x:f>IF(B170=0,"不可回收",IF(AND((B170-1+C170+D170)&lt;9,OR((D170)=0,(MAX((B170-1)-1,0)+MAX((C170)-1,0)+MAX((D170)-1,0))&lt;6)),1,0)&amp;IF(AND((B170-1+C170+D170)&lt;9,OR((C170)=0,(MAX((B170-1)-1,0)+MAX((C170)-1,0)+MAX((D170)-1,0))&lt;6)),1,0)&amp;IF(AND((B170-1+C170+D170)&lt;9,OR((B170-1)=0,(MAX((B170-1)-1,0)+MAX((C170)-1,0)+MAX((D170)-1,0))&lt;6)),1,0))</x:f>
        <x:v>001</x:v>
      </x:c>
      <x:c r="K170" s="22" t="str">
        <x:f>IF(C170=0,"不可回收",IF(AND((B170+C170-1+D170)&lt;9,OR((D170)=0,(MAX((B170)-1,0)+MAX((C170-1)-1,0)+MAX((D170)-1,0))&lt;6)),1,0)&amp;IF(AND((B170+C170-1+D170)&lt;9,OR((C170-1)=0,(MAX((B170)-1,0)+MAX((C170-1)-1,0)+MAX((D170)-1,0))&lt;6)),1,0)&amp;IF(AND((B170+C170-1+D170)&lt;9,OR((B170)=0,(MAX((B170)-1,0)+MAX((C170-1)-1,0)+MAX((D170)-1,0))&lt;6)),1,0))</x:f>
        <x:v>010</x:v>
      </x:c>
      <x:c r="L170" s="22" t="str">
        <x:f>IF(D170=0,"不可回收",IF(AND((B170+C170+D170-1)&lt;9,OR((D170-1)=0,(MAX((B170)-1,0)+MAX((C170)-1,0)+MAX((D170-1)-1,0))&lt;6)),1,0)&amp;IF(AND((B170+C170+D170-1)&lt;9,OR((C170)=0,(MAX((B170)-1,0)+MAX((C170)-1,0)+MAX((D170-1)-1,0))&lt;6)),1,0)&amp;IF(AND((B170+C170+D170-1)&lt;9,OR((B170)=0,(MAX((B170)-1,0)+MAX((C170)-1,0)+MAX((D170-1)-1,0))&lt;6)),1,0))</x:f>
        <x:v>111</x:v>
      </x:c>
      <x:c r="M170" s="18" t="n">
        <x:f>1+F170</x:f>
        <x:v>4</x:v>
      </x:c>
      <x:c r="N170" s="18" t="n">
        <x:f>COUNTIF('容量转换'!$B$8:$B$2447,A170)</x:f>
        <x:v>13</x:v>
      </x:c>
      <x:c r="O170" s="21" t="str">
        <x:f>IF(AND(MIN(B170:D170)&gt;=0,MAX(B170:D170)&lt;=7,H170&lt;=9),"合法","不合法")</x:f>
        <x:v>合法</x:v>
      </x:c>
    </x:row>
    <x:row r="171" ht="23" customHeight="1">
      <x:c r="A171" s="3" t="str">
        <x:v>ST-164</x:v>
      </x:c>
      <x:c r="B171" s="19" t="n">
        <x:v>1</x:v>
      </x:c>
      <x:c r="C171" s="19" t="n">
        <x:v>2</x:v>
      </x:c>
      <x:c r="D171" s="19" t="n">
        <x:v>6</x:v>
      </x:c>
      <x:c r="E171" s="20" t="n">
        <x:f>SUM(B171:D171)</x:f>
        <x:v>9</x:v>
      </x:c>
      <x:c r="F171" s="20" t="n">
        <x:f>COUNTIF(B171:D171,"&gt;0")</x:f>
        <x:v>3</x:v>
      </x:c>
      <x:c r="G171" s="20" t="n">
        <x:f>MAX(B171-1,0)+MAX(C171-1,0)+MAX(D171-1,0)</x:f>
        <x:v>6</x:v>
      </x:c>
      <x:c r="H171" s="20" t="n">
        <x:f>MAX(B171,1)+MAX(C171,1)+MAX(D171,1)</x:f>
        <x:v>9</x:v>
      </x:c>
      <x:c r="I171" s="22" t="str">
        <x:f>IF(AND((B171+C171+D171)&lt;9,OR((D171)=0,(MAX((B171)-1,0)+MAX((C171)-1,0)+MAX((D171)-1,0))&lt;6)),1,0)&amp;IF(AND((B171+C171+D171)&lt;9,OR((C171)=0,(MAX((B171)-1,0)+MAX((C171)-1,0)+MAX((D171)-1,0))&lt;6)),1,0)&amp;IF(AND((B171+C171+D171)&lt;9,OR((B171)=0,(MAX((B171)-1,0)+MAX((C171)-1,0)+MAX((D171)-1,0))&lt;6)),1,0)</x:f>
        <x:v>000</x:v>
      </x:c>
      <x:c r="J171" s="22" t="str">
        <x:f>IF(B171=0,"不可回收",IF(AND((B171-1+C171+D171)&lt;9,OR((D171)=0,(MAX((B171-1)-1,0)+MAX((C171)-1,0)+MAX((D171)-1,0))&lt;6)),1,0)&amp;IF(AND((B171-1+C171+D171)&lt;9,OR((C171)=0,(MAX((B171-1)-1,0)+MAX((C171)-1,0)+MAX((D171)-1,0))&lt;6)),1,0)&amp;IF(AND((B171-1+C171+D171)&lt;9,OR((B171-1)=0,(MAX((B171-1)-1,0)+MAX((C171)-1,0)+MAX((D171)-1,0))&lt;6)),1,0))</x:f>
        <x:v>001</x:v>
      </x:c>
      <x:c r="K171" s="22" t="str">
        <x:f>IF(C171=0,"不可回收",IF(AND((B171+C171-1+D171)&lt;9,OR((D171)=0,(MAX((B171)-1,0)+MAX((C171-1)-1,0)+MAX((D171)-1,0))&lt;6)),1,0)&amp;IF(AND((B171+C171-1+D171)&lt;9,OR((C171-1)=0,(MAX((B171)-1,0)+MAX((C171-1)-1,0)+MAX((D171)-1,0))&lt;6)),1,0)&amp;IF(AND((B171+C171-1+D171)&lt;9,OR((B171)=0,(MAX((B171)-1,0)+MAX((C171-1)-1,0)+MAX((D171)-1,0))&lt;6)),1,0))</x:f>
        <x:v>111</x:v>
      </x:c>
      <x:c r="L171" s="22" t="str">
        <x:f>IF(D171=0,"不可回收",IF(AND((B171+C171+D171-1)&lt;9,OR((D171-1)=0,(MAX((B171)-1,0)+MAX((C171)-1,0)+MAX((D171-1)-1,0))&lt;6)),1,0)&amp;IF(AND((B171+C171+D171-1)&lt;9,OR((C171)=0,(MAX((B171)-1,0)+MAX((C171)-1,0)+MAX((D171-1)-1,0))&lt;6)),1,0)&amp;IF(AND((B171+C171+D171-1)&lt;9,OR((B171)=0,(MAX((B171)-1,0)+MAX((C171)-1,0)+MAX((D171-1)-1,0))&lt;6)),1,0))</x:f>
        <x:v>111</x:v>
      </x:c>
      <x:c r="M171" s="18" t="n">
        <x:f>1+F171</x:f>
        <x:v>4</x:v>
      </x:c>
      <x:c r="N171" s="18" t="n">
        <x:f>COUNTIF('容量转换'!$B$8:$B$2447,A171)</x:f>
        <x:v>13</x:v>
      </x:c>
      <x:c r="O171" s="21" t="str">
        <x:f>IF(AND(MIN(B171:D171)&gt;=0,MAX(B171:D171)&lt;=7,H171&lt;=9),"合法","不合法")</x:f>
        <x:v>合法</x:v>
      </x:c>
    </x:row>
    <x:row r="172" ht="23" customHeight="1">
      <x:c r="A172" s="3" t="str">
        <x:v>ST-165</x:v>
      </x:c>
      <x:c r="B172" s="19" t="n">
        <x:v>1</x:v>
      </x:c>
      <x:c r="C172" s="19" t="n">
        <x:v>3</x:v>
      </x:c>
      <x:c r="D172" s="19" t="n">
        <x:v>5</x:v>
      </x:c>
      <x:c r="E172" s="20" t="n">
        <x:f>SUM(B172:D172)</x:f>
        <x:v>9</x:v>
      </x:c>
      <x:c r="F172" s="20" t="n">
        <x:f>COUNTIF(B172:D172,"&gt;0")</x:f>
        <x:v>3</x:v>
      </x:c>
      <x:c r="G172" s="20" t="n">
        <x:f>MAX(B172-1,0)+MAX(C172-1,0)+MAX(D172-1,0)</x:f>
        <x:v>6</x:v>
      </x:c>
      <x:c r="H172" s="20" t="n">
        <x:f>MAX(B172,1)+MAX(C172,1)+MAX(D172,1)</x:f>
        <x:v>9</x:v>
      </x:c>
      <x:c r="I172" s="22" t="str">
        <x:f>IF(AND((B172+C172+D172)&lt;9,OR((D172)=0,(MAX((B172)-1,0)+MAX((C172)-1,0)+MAX((D172)-1,0))&lt;6)),1,0)&amp;IF(AND((B172+C172+D172)&lt;9,OR((C172)=0,(MAX((B172)-1,0)+MAX((C172)-1,0)+MAX((D172)-1,0))&lt;6)),1,0)&amp;IF(AND((B172+C172+D172)&lt;9,OR((B172)=0,(MAX((B172)-1,0)+MAX((C172)-1,0)+MAX((D172)-1,0))&lt;6)),1,0)</x:f>
        <x:v>000</x:v>
      </x:c>
      <x:c r="J172" s="22" t="str">
        <x:f>IF(B172=0,"不可回收",IF(AND((B172-1+C172+D172)&lt;9,OR((D172)=0,(MAX((B172-1)-1,0)+MAX((C172)-1,0)+MAX((D172)-1,0))&lt;6)),1,0)&amp;IF(AND((B172-1+C172+D172)&lt;9,OR((C172)=0,(MAX((B172-1)-1,0)+MAX((C172)-1,0)+MAX((D172)-1,0))&lt;6)),1,0)&amp;IF(AND((B172-1+C172+D172)&lt;9,OR((B172-1)=0,(MAX((B172-1)-1,0)+MAX((C172)-1,0)+MAX((D172)-1,0))&lt;6)),1,0))</x:f>
        <x:v>001</x:v>
      </x:c>
      <x:c r="K172" s="22" t="str">
        <x:f>IF(C172=0,"不可回收",IF(AND((B172+C172-1+D172)&lt;9,OR((D172)=0,(MAX((B172)-1,0)+MAX((C172-1)-1,0)+MAX((D172)-1,0))&lt;6)),1,0)&amp;IF(AND((B172+C172-1+D172)&lt;9,OR((C172-1)=0,(MAX((B172)-1,0)+MAX((C172-1)-1,0)+MAX((D172)-1,0))&lt;6)),1,0)&amp;IF(AND((B172+C172-1+D172)&lt;9,OR((B172)=0,(MAX((B172)-1,0)+MAX((C172-1)-1,0)+MAX((D172)-1,0))&lt;6)),1,0))</x:f>
        <x:v>111</x:v>
      </x:c>
      <x:c r="L172" s="22" t="str">
        <x:f>IF(D172=0,"不可回收",IF(AND((B172+C172+D172-1)&lt;9,OR((D172-1)=0,(MAX((B172)-1,0)+MAX((C172)-1,0)+MAX((D172-1)-1,0))&lt;6)),1,0)&amp;IF(AND((B172+C172+D172-1)&lt;9,OR((C172)=0,(MAX((B172)-1,0)+MAX((C172)-1,0)+MAX((D172-1)-1,0))&lt;6)),1,0)&amp;IF(AND((B172+C172+D172-1)&lt;9,OR((B172)=0,(MAX((B172)-1,0)+MAX((C172)-1,0)+MAX((D172-1)-1,0))&lt;6)),1,0))</x:f>
        <x:v>111</x:v>
      </x:c>
      <x:c r="M172" s="18" t="n">
        <x:f>1+F172</x:f>
        <x:v>4</x:v>
      </x:c>
      <x:c r="N172" s="18" t="n">
        <x:f>COUNTIF('容量转换'!$B$8:$B$2447,A172)</x:f>
        <x:v>13</x:v>
      </x:c>
      <x:c r="O172" s="21" t="str">
        <x:f>IF(AND(MIN(B172:D172)&gt;=0,MAX(B172:D172)&lt;=7,H172&lt;=9),"合法","不合法")</x:f>
        <x:v>合法</x:v>
      </x:c>
    </x:row>
    <x:row r="173" ht="23" customHeight="1">
      <x:c r="A173" s="3" t="str">
        <x:v>ST-166</x:v>
      </x:c>
      <x:c r="B173" s="19" t="n">
        <x:v>1</x:v>
      </x:c>
      <x:c r="C173" s="19" t="n">
        <x:v>4</x:v>
      </x:c>
      <x:c r="D173" s="19" t="n">
        <x:v>4</x:v>
      </x:c>
      <x:c r="E173" s="20" t="n">
        <x:f>SUM(B173:D173)</x:f>
        <x:v>9</x:v>
      </x:c>
      <x:c r="F173" s="20" t="n">
        <x:f>COUNTIF(B173:D173,"&gt;0")</x:f>
        <x:v>3</x:v>
      </x:c>
      <x:c r="G173" s="20" t="n">
        <x:f>MAX(B173-1,0)+MAX(C173-1,0)+MAX(D173-1,0)</x:f>
        <x:v>6</x:v>
      </x:c>
      <x:c r="H173" s="20" t="n">
        <x:f>MAX(B173,1)+MAX(C173,1)+MAX(D173,1)</x:f>
        <x:v>9</x:v>
      </x:c>
      <x:c r="I173" s="22" t="str">
        <x:f>IF(AND((B173+C173+D173)&lt;9,OR((D173)=0,(MAX((B173)-1,0)+MAX((C173)-1,0)+MAX((D173)-1,0))&lt;6)),1,0)&amp;IF(AND((B173+C173+D173)&lt;9,OR((C173)=0,(MAX((B173)-1,0)+MAX((C173)-1,0)+MAX((D173)-1,0))&lt;6)),1,0)&amp;IF(AND((B173+C173+D173)&lt;9,OR((B173)=0,(MAX((B173)-1,0)+MAX((C173)-1,0)+MAX((D173)-1,0))&lt;6)),1,0)</x:f>
        <x:v>000</x:v>
      </x:c>
      <x:c r="J173" s="22" t="str">
        <x:f>IF(B173=0,"不可回收",IF(AND((B173-1+C173+D173)&lt;9,OR((D173)=0,(MAX((B173-1)-1,0)+MAX((C173)-1,0)+MAX((D173)-1,0))&lt;6)),1,0)&amp;IF(AND((B173-1+C173+D173)&lt;9,OR((C173)=0,(MAX((B173-1)-1,0)+MAX((C173)-1,0)+MAX((D173)-1,0))&lt;6)),1,0)&amp;IF(AND((B173-1+C173+D173)&lt;9,OR((B173-1)=0,(MAX((B173-1)-1,0)+MAX((C173)-1,0)+MAX((D173)-1,0))&lt;6)),1,0))</x:f>
        <x:v>001</x:v>
      </x:c>
      <x:c r="K173" s="22" t="str">
        <x:f>IF(C173=0,"不可回收",IF(AND((B173+C173-1+D173)&lt;9,OR((D173)=0,(MAX((B173)-1,0)+MAX((C173-1)-1,0)+MAX((D173)-1,0))&lt;6)),1,0)&amp;IF(AND((B173+C173-1+D173)&lt;9,OR((C173-1)=0,(MAX((B173)-1,0)+MAX((C173-1)-1,0)+MAX((D173)-1,0))&lt;6)),1,0)&amp;IF(AND((B173+C173-1+D173)&lt;9,OR((B173)=0,(MAX((B173)-1,0)+MAX((C173-1)-1,0)+MAX((D173)-1,0))&lt;6)),1,0))</x:f>
        <x:v>111</x:v>
      </x:c>
      <x:c r="L173" s="22" t="str">
        <x:f>IF(D173=0,"不可回收",IF(AND((B173+C173+D173-1)&lt;9,OR((D173-1)=0,(MAX((B173)-1,0)+MAX((C173)-1,0)+MAX((D173-1)-1,0))&lt;6)),1,0)&amp;IF(AND((B173+C173+D173-1)&lt;9,OR((C173)=0,(MAX((B173)-1,0)+MAX((C173)-1,0)+MAX((D173-1)-1,0))&lt;6)),1,0)&amp;IF(AND((B173+C173+D173-1)&lt;9,OR((B173)=0,(MAX((B173)-1,0)+MAX((C173)-1,0)+MAX((D173-1)-1,0))&lt;6)),1,0))</x:f>
        <x:v>111</x:v>
      </x:c>
      <x:c r="M173" s="18" t="n">
        <x:f>1+F173</x:f>
        <x:v>4</x:v>
      </x:c>
      <x:c r="N173" s="18" t="n">
        <x:f>COUNTIF('容量转换'!$B$8:$B$2447,A173)</x:f>
        <x:v>13</x:v>
      </x:c>
      <x:c r="O173" s="21" t="str">
        <x:f>IF(AND(MIN(B173:D173)&gt;=0,MAX(B173:D173)&lt;=7,H173&lt;=9),"合法","不合法")</x:f>
        <x:v>合法</x:v>
      </x:c>
    </x:row>
    <x:row r="174" ht="23" customHeight="1">
      <x:c r="A174" s="3" t="str">
        <x:v>ST-167</x:v>
      </x:c>
      <x:c r="B174" s="19" t="n">
        <x:v>1</x:v>
      </x:c>
      <x:c r="C174" s="19" t="n">
        <x:v>5</x:v>
      </x:c>
      <x:c r="D174" s="19" t="n">
        <x:v>3</x:v>
      </x:c>
      <x:c r="E174" s="20" t="n">
        <x:f>SUM(B174:D174)</x:f>
        <x:v>9</x:v>
      </x:c>
      <x:c r="F174" s="20" t="n">
        <x:f>COUNTIF(B174:D174,"&gt;0")</x:f>
        <x:v>3</x:v>
      </x:c>
      <x:c r="G174" s="20" t="n">
        <x:f>MAX(B174-1,0)+MAX(C174-1,0)+MAX(D174-1,0)</x:f>
        <x:v>6</x:v>
      </x:c>
      <x:c r="H174" s="20" t="n">
        <x:f>MAX(B174,1)+MAX(C174,1)+MAX(D174,1)</x:f>
        <x:v>9</x:v>
      </x:c>
      <x:c r="I174" s="22" t="str">
        <x:f>IF(AND((B174+C174+D174)&lt;9,OR((D174)=0,(MAX((B174)-1,0)+MAX((C174)-1,0)+MAX((D174)-1,0))&lt;6)),1,0)&amp;IF(AND((B174+C174+D174)&lt;9,OR((C174)=0,(MAX((B174)-1,0)+MAX((C174)-1,0)+MAX((D174)-1,0))&lt;6)),1,0)&amp;IF(AND((B174+C174+D174)&lt;9,OR((B174)=0,(MAX((B174)-1,0)+MAX((C174)-1,0)+MAX((D174)-1,0))&lt;6)),1,0)</x:f>
        <x:v>000</x:v>
      </x:c>
      <x:c r="J174" s="22" t="str">
        <x:f>IF(B174=0,"不可回收",IF(AND((B174-1+C174+D174)&lt;9,OR((D174)=0,(MAX((B174-1)-1,0)+MAX((C174)-1,0)+MAX((D174)-1,0))&lt;6)),1,0)&amp;IF(AND((B174-1+C174+D174)&lt;9,OR((C174)=0,(MAX((B174-1)-1,0)+MAX((C174)-1,0)+MAX((D174)-1,0))&lt;6)),1,0)&amp;IF(AND((B174-1+C174+D174)&lt;9,OR((B174-1)=0,(MAX((B174-1)-1,0)+MAX((C174)-1,0)+MAX((D174)-1,0))&lt;6)),1,0))</x:f>
        <x:v>001</x:v>
      </x:c>
      <x:c r="K174" s="22" t="str">
        <x:f>IF(C174=0,"不可回收",IF(AND((B174+C174-1+D174)&lt;9,OR((D174)=0,(MAX((B174)-1,0)+MAX((C174-1)-1,0)+MAX((D174)-1,0))&lt;6)),1,0)&amp;IF(AND((B174+C174-1+D174)&lt;9,OR((C174-1)=0,(MAX((B174)-1,0)+MAX((C174-1)-1,0)+MAX((D174)-1,0))&lt;6)),1,0)&amp;IF(AND((B174+C174-1+D174)&lt;9,OR((B174)=0,(MAX((B174)-1,0)+MAX((C174-1)-1,0)+MAX((D174)-1,0))&lt;6)),1,0))</x:f>
        <x:v>111</x:v>
      </x:c>
      <x:c r="L174" s="22" t="str">
        <x:f>IF(D174=0,"不可回收",IF(AND((B174+C174+D174-1)&lt;9,OR((D174-1)=0,(MAX((B174)-1,0)+MAX((C174)-1,0)+MAX((D174-1)-1,0))&lt;6)),1,0)&amp;IF(AND((B174+C174+D174-1)&lt;9,OR((C174)=0,(MAX((B174)-1,0)+MAX((C174)-1,0)+MAX((D174-1)-1,0))&lt;6)),1,0)&amp;IF(AND((B174+C174+D174-1)&lt;9,OR((B174)=0,(MAX((B174)-1,0)+MAX((C174)-1,0)+MAX((D174-1)-1,0))&lt;6)),1,0))</x:f>
        <x:v>111</x:v>
      </x:c>
      <x:c r="M174" s="18" t="n">
        <x:f>1+F174</x:f>
        <x:v>4</x:v>
      </x:c>
      <x:c r="N174" s="18" t="n">
        <x:f>COUNTIF('容量转换'!$B$8:$B$2447,A174)</x:f>
        <x:v>13</x:v>
      </x:c>
      <x:c r="O174" s="21" t="str">
        <x:f>IF(AND(MIN(B174:D174)&gt;=0,MAX(B174:D174)&lt;=7,H174&lt;=9),"合法","不合法")</x:f>
        <x:v>合法</x:v>
      </x:c>
    </x:row>
    <x:row r="175" ht="23" customHeight="1">
      <x:c r="A175" s="3" t="str">
        <x:v>ST-168</x:v>
      </x:c>
      <x:c r="B175" s="19" t="n">
        <x:v>1</x:v>
      </x:c>
      <x:c r="C175" s="19" t="n">
        <x:v>6</x:v>
      </x:c>
      <x:c r="D175" s="19" t="n">
        <x:v>2</x:v>
      </x:c>
      <x:c r="E175" s="20" t="n">
        <x:f>SUM(B175:D175)</x:f>
        <x:v>9</x:v>
      </x:c>
      <x:c r="F175" s="20" t="n">
        <x:f>COUNTIF(B175:D175,"&gt;0")</x:f>
        <x:v>3</x:v>
      </x:c>
      <x:c r="G175" s="20" t="n">
        <x:f>MAX(B175-1,0)+MAX(C175-1,0)+MAX(D175-1,0)</x:f>
        <x:v>6</x:v>
      </x:c>
      <x:c r="H175" s="20" t="n">
        <x:f>MAX(B175,1)+MAX(C175,1)+MAX(D175,1)</x:f>
        <x:v>9</x:v>
      </x:c>
      <x:c r="I175" s="22" t="str">
        <x:f>IF(AND((B175+C175+D175)&lt;9,OR((D175)=0,(MAX((B175)-1,0)+MAX((C175)-1,0)+MAX((D175)-1,0))&lt;6)),1,0)&amp;IF(AND((B175+C175+D175)&lt;9,OR((C175)=0,(MAX((B175)-1,0)+MAX((C175)-1,0)+MAX((D175)-1,0))&lt;6)),1,0)&amp;IF(AND((B175+C175+D175)&lt;9,OR((B175)=0,(MAX((B175)-1,0)+MAX((C175)-1,0)+MAX((D175)-1,0))&lt;6)),1,0)</x:f>
        <x:v>000</x:v>
      </x:c>
      <x:c r="J175" s="22" t="str">
        <x:f>IF(B175=0,"不可回收",IF(AND((B175-1+C175+D175)&lt;9,OR((D175)=0,(MAX((B175-1)-1,0)+MAX((C175)-1,0)+MAX((D175)-1,0))&lt;6)),1,0)&amp;IF(AND((B175-1+C175+D175)&lt;9,OR((C175)=0,(MAX((B175-1)-1,0)+MAX((C175)-1,0)+MAX((D175)-1,0))&lt;6)),1,0)&amp;IF(AND((B175-1+C175+D175)&lt;9,OR((B175-1)=0,(MAX((B175-1)-1,0)+MAX((C175)-1,0)+MAX((D175)-1,0))&lt;6)),1,0))</x:f>
        <x:v>001</x:v>
      </x:c>
      <x:c r="K175" s="22" t="str">
        <x:f>IF(C175=0,"不可回收",IF(AND((B175+C175-1+D175)&lt;9,OR((D175)=0,(MAX((B175)-1,0)+MAX((C175-1)-1,0)+MAX((D175)-1,0))&lt;6)),1,0)&amp;IF(AND((B175+C175-1+D175)&lt;9,OR((C175-1)=0,(MAX((B175)-1,0)+MAX((C175-1)-1,0)+MAX((D175)-1,0))&lt;6)),1,0)&amp;IF(AND((B175+C175-1+D175)&lt;9,OR((B175)=0,(MAX((B175)-1,0)+MAX((C175-1)-1,0)+MAX((D175)-1,0))&lt;6)),1,0))</x:f>
        <x:v>111</x:v>
      </x:c>
      <x:c r="L175" s="22" t="str">
        <x:f>IF(D175=0,"不可回收",IF(AND((B175+C175+D175-1)&lt;9,OR((D175-1)=0,(MAX((B175)-1,0)+MAX((C175)-1,0)+MAX((D175-1)-1,0))&lt;6)),1,0)&amp;IF(AND((B175+C175+D175-1)&lt;9,OR((C175)=0,(MAX((B175)-1,0)+MAX((C175)-1,0)+MAX((D175-1)-1,0))&lt;6)),1,0)&amp;IF(AND((B175+C175+D175-1)&lt;9,OR((B175)=0,(MAX((B175)-1,0)+MAX((C175)-1,0)+MAX((D175-1)-1,0))&lt;6)),1,0))</x:f>
        <x:v>111</x:v>
      </x:c>
      <x:c r="M175" s="18" t="n">
        <x:f>1+F175</x:f>
        <x:v>4</x:v>
      </x:c>
      <x:c r="N175" s="18" t="n">
        <x:f>COUNTIF('容量转换'!$B$8:$B$2447,A175)</x:f>
        <x:v>13</x:v>
      </x:c>
      <x:c r="O175" s="21" t="str">
        <x:f>IF(AND(MIN(B175:D175)&gt;=0,MAX(B175:D175)&lt;=7,H175&lt;=9),"合法","不合法")</x:f>
        <x:v>合法</x:v>
      </x:c>
    </x:row>
    <x:row r="176" ht="23" customHeight="1">
      <x:c r="A176" s="3" t="str">
        <x:v>ST-169</x:v>
      </x:c>
      <x:c r="B176" s="19" t="n">
        <x:v>1</x:v>
      </x:c>
      <x:c r="C176" s="19" t="n">
        <x:v>7</x:v>
      </x:c>
      <x:c r="D176" s="19" t="n">
        <x:v>1</x:v>
      </x:c>
      <x:c r="E176" s="20" t="n">
        <x:f>SUM(B176:D176)</x:f>
        <x:v>9</x:v>
      </x:c>
      <x:c r="F176" s="20" t="n">
        <x:f>COUNTIF(B176:D176,"&gt;0")</x:f>
        <x:v>3</x:v>
      </x:c>
      <x:c r="G176" s="20" t="n">
        <x:f>MAX(B176-1,0)+MAX(C176-1,0)+MAX(D176-1,0)</x:f>
        <x:v>6</x:v>
      </x:c>
      <x:c r="H176" s="20" t="n">
        <x:f>MAX(B176,1)+MAX(C176,1)+MAX(D176,1)</x:f>
        <x:v>9</x:v>
      </x:c>
      <x:c r="I176" s="22" t="str">
        <x:f>IF(AND((B176+C176+D176)&lt;9,OR((D176)=0,(MAX((B176)-1,0)+MAX((C176)-1,0)+MAX((D176)-1,0))&lt;6)),1,0)&amp;IF(AND((B176+C176+D176)&lt;9,OR((C176)=0,(MAX((B176)-1,0)+MAX((C176)-1,0)+MAX((D176)-1,0))&lt;6)),1,0)&amp;IF(AND((B176+C176+D176)&lt;9,OR((B176)=0,(MAX((B176)-1,0)+MAX((C176)-1,0)+MAX((D176)-1,0))&lt;6)),1,0)</x:f>
        <x:v>000</x:v>
      </x:c>
      <x:c r="J176" s="22" t="str">
        <x:f>IF(B176=0,"不可回收",IF(AND((B176-1+C176+D176)&lt;9,OR((D176)=0,(MAX((B176-1)-1,0)+MAX((C176)-1,0)+MAX((D176)-1,0))&lt;6)),1,0)&amp;IF(AND((B176-1+C176+D176)&lt;9,OR((C176)=0,(MAX((B176-1)-1,0)+MAX((C176)-1,0)+MAX((D176)-1,0))&lt;6)),1,0)&amp;IF(AND((B176-1+C176+D176)&lt;9,OR((B176-1)=0,(MAX((B176-1)-1,0)+MAX((C176)-1,0)+MAX((D176)-1,0))&lt;6)),1,0))</x:f>
        <x:v>001</x:v>
      </x:c>
      <x:c r="K176" s="22" t="str">
        <x:f>IF(C176=0,"不可回收",IF(AND((B176+C176-1+D176)&lt;9,OR((D176)=0,(MAX((B176)-1,0)+MAX((C176-1)-1,0)+MAX((D176)-1,0))&lt;6)),1,0)&amp;IF(AND((B176+C176-1+D176)&lt;9,OR((C176-1)=0,(MAX((B176)-1,0)+MAX((C176-1)-1,0)+MAX((D176)-1,0))&lt;6)),1,0)&amp;IF(AND((B176+C176-1+D176)&lt;9,OR((B176)=0,(MAX((B176)-1,0)+MAX((C176-1)-1,0)+MAX((D176)-1,0))&lt;6)),1,0))</x:f>
        <x:v>111</x:v>
      </x:c>
      <x:c r="L176" s="22" t="str">
        <x:f>IF(D176=0,"不可回收",IF(AND((B176+C176+D176-1)&lt;9,OR((D176-1)=0,(MAX((B176)-1,0)+MAX((C176)-1,0)+MAX((D176-1)-1,0))&lt;6)),1,0)&amp;IF(AND((B176+C176+D176-1)&lt;9,OR((C176)=0,(MAX((B176)-1,0)+MAX((C176)-1,0)+MAX((D176-1)-1,0))&lt;6)),1,0)&amp;IF(AND((B176+C176+D176-1)&lt;9,OR((B176)=0,(MAX((B176)-1,0)+MAX((C176)-1,0)+MAX((D176-1)-1,0))&lt;6)),1,0))</x:f>
        <x:v>100</x:v>
      </x:c>
      <x:c r="M176" s="18" t="n">
        <x:f>1+F176</x:f>
        <x:v>4</x:v>
      </x:c>
      <x:c r="N176" s="18" t="n">
        <x:f>COUNTIF('容量转换'!$B$8:$B$2447,A176)</x:f>
        <x:v>13</x:v>
      </x:c>
      <x:c r="O176" s="21" t="str">
        <x:f>IF(AND(MIN(B176:D176)&gt;=0,MAX(B176:D176)&lt;=7,H176&lt;=9),"合法","不合法")</x:f>
        <x:v>合法</x:v>
      </x:c>
    </x:row>
    <x:row r="177" ht="23" customHeight="1">
      <x:c r="A177" s="3" t="str">
        <x:v>ST-170</x:v>
      </x:c>
      <x:c r="B177" s="19" t="n">
        <x:v>2</x:v>
      </x:c>
      <x:c r="C177" s="19" t="n">
        <x:v>1</x:v>
      </x:c>
      <x:c r="D177" s="19" t="n">
        <x:v>6</x:v>
      </x:c>
      <x:c r="E177" s="20" t="n">
        <x:f>SUM(B177:D177)</x:f>
        <x:v>9</x:v>
      </x:c>
      <x:c r="F177" s="20" t="n">
        <x:f>COUNTIF(B177:D177,"&gt;0")</x:f>
        <x:v>3</x:v>
      </x:c>
      <x:c r="G177" s="20" t="n">
        <x:f>MAX(B177-1,0)+MAX(C177-1,0)+MAX(D177-1,0)</x:f>
        <x:v>6</x:v>
      </x:c>
      <x:c r="H177" s="20" t="n">
        <x:f>MAX(B177,1)+MAX(C177,1)+MAX(D177,1)</x:f>
        <x:v>9</x:v>
      </x:c>
      <x:c r="I177" s="22" t="str">
        <x:f>IF(AND((B177+C177+D177)&lt;9,OR((D177)=0,(MAX((B177)-1,0)+MAX((C177)-1,0)+MAX((D177)-1,0))&lt;6)),1,0)&amp;IF(AND((B177+C177+D177)&lt;9,OR((C177)=0,(MAX((B177)-1,0)+MAX((C177)-1,0)+MAX((D177)-1,0))&lt;6)),1,0)&amp;IF(AND((B177+C177+D177)&lt;9,OR((B177)=0,(MAX((B177)-1,0)+MAX((C177)-1,0)+MAX((D177)-1,0))&lt;6)),1,0)</x:f>
        <x:v>000</x:v>
      </x:c>
      <x:c r="J177" s="22" t="str">
        <x:f>IF(B177=0,"不可回收",IF(AND((B177-1+C177+D177)&lt;9,OR((D177)=0,(MAX((B177-1)-1,0)+MAX((C177)-1,0)+MAX((D177)-1,0))&lt;6)),1,0)&amp;IF(AND((B177-1+C177+D177)&lt;9,OR((C177)=0,(MAX((B177-1)-1,0)+MAX((C177)-1,0)+MAX((D177)-1,0))&lt;6)),1,0)&amp;IF(AND((B177-1+C177+D177)&lt;9,OR((B177-1)=0,(MAX((B177-1)-1,0)+MAX((C177)-1,0)+MAX((D177)-1,0))&lt;6)),1,0))</x:f>
        <x:v>111</x:v>
      </x:c>
      <x:c r="K177" s="22" t="str">
        <x:f>IF(C177=0,"不可回收",IF(AND((B177+C177-1+D177)&lt;9,OR((D177)=0,(MAX((B177)-1,0)+MAX((C177-1)-1,0)+MAX((D177)-1,0))&lt;6)),1,0)&amp;IF(AND((B177+C177-1+D177)&lt;9,OR((C177-1)=0,(MAX((B177)-1,0)+MAX((C177-1)-1,0)+MAX((D177)-1,0))&lt;6)),1,0)&amp;IF(AND((B177+C177-1+D177)&lt;9,OR((B177)=0,(MAX((B177)-1,0)+MAX((C177-1)-1,0)+MAX((D177)-1,0))&lt;6)),1,0))</x:f>
        <x:v>010</x:v>
      </x:c>
      <x:c r="L177" s="22" t="str">
        <x:f>IF(D177=0,"不可回收",IF(AND((B177+C177+D177-1)&lt;9,OR((D177-1)=0,(MAX((B177)-1,0)+MAX((C177)-1,0)+MAX((D177-1)-1,0))&lt;6)),1,0)&amp;IF(AND((B177+C177+D177-1)&lt;9,OR((C177)=0,(MAX((B177)-1,0)+MAX((C177)-1,0)+MAX((D177-1)-1,0))&lt;6)),1,0)&amp;IF(AND((B177+C177+D177-1)&lt;9,OR((B177)=0,(MAX((B177)-1,0)+MAX((C177)-1,0)+MAX((D177-1)-1,0))&lt;6)),1,0))</x:f>
        <x:v>111</x:v>
      </x:c>
      <x:c r="M177" s="18" t="n">
        <x:f>1+F177</x:f>
        <x:v>4</x:v>
      </x:c>
      <x:c r="N177" s="18" t="n">
        <x:f>COUNTIF('容量转换'!$B$8:$B$2447,A177)</x:f>
        <x:v>13</x:v>
      </x:c>
      <x:c r="O177" s="21" t="str">
        <x:f>IF(AND(MIN(B177:D177)&gt;=0,MAX(B177:D177)&lt;=7,H177&lt;=9),"合法","不合法")</x:f>
        <x:v>合法</x:v>
      </x:c>
    </x:row>
    <x:row r="178" ht="23" customHeight="1">
      <x:c r="A178" s="3" t="str">
        <x:v>ST-171</x:v>
      </x:c>
      <x:c r="B178" s="19" t="n">
        <x:v>2</x:v>
      </x:c>
      <x:c r="C178" s="19" t="n">
        <x:v>2</x:v>
      </x:c>
      <x:c r="D178" s="19" t="n">
        <x:v>5</x:v>
      </x:c>
      <x:c r="E178" s="20" t="n">
        <x:f>SUM(B178:D178)</x:f>
        <x:v>9</x:v>
      </x:c>
      <x:c r="F178" s="20" t="n">
        <x:f>COUNTIF(B178:D178,"&gt;0")</x:f>
        <x:v>3</x:v>
      </x:c>
      <x:c r="G178" s="20" t="n">
        <x:f>MAX(B178-1,0)+MAX(C178-1,0)+MAX(D178-1,0)</x:f>
        <x:v>6</x:v>
      </x:c>
      <x:c r="H178" s="20" t="n">
        <x:f>MAX(B178,1)+MAX(C178,1)+MAX(D178,1)</x:f>
        <x:v>9</x:v>
      </x:c>
      <x:c r="I178" s="22" t="str">
        <x:f>IF(AND((B178+C178+D178)&lt;9,OR((D178)=0,(MAX((B178)-1,0)+MAX((C178)-1,0)+MAX((D178)-1,0))&lt;6)),1,0)&amp;IF(AND((B178+C178+D178)&lt;9,OR((C178)=0,(MAX((B178)-1,0)+MAX((C178)-1,0)+MAX((D178)-1,0))&lt;6)),1,0)&amp;IF(AND((B178+C178+D178)&lt;9,OR((B178)=0,(MAX((B178)-1,0)+MAX((C178)-1,0)+MAX((D178)-1,0))&lt;6)),1,0)</x:f>
        <x:v>000</x:v>
      </x:c>
      <x:c r="J178" s="22" t="str">
        <x:f>IF(B178=0,"不可回收",IF(AND((B178-1+C178+D178)&lt;9,OR((D178)=0,(MAX((B178-1)-1,0)+MAX((C178)-1,0)+MAX((D178)-1,0))&lt;6)),1,0)&amp;IF(AND((B178-1+C178+D178)&lt;9,OR((C178)=0,(MAX((B178-1)-1,0)+MAX((C178)-1,0)+MAX((D178)-1,0))&lt;6)),1,0)&amp;IF(AND((B178-1+C178+D178)&lt;9,OR((B178-1)=0,(MAX((B178-1)-1,0)+MAX((C178)-1,0)+MAX((D178)-1,0))&lt;6)),1,0))</x:f>
        <x:v>111</x:v>
      </x:c>
      <x:c r="K178" s="22" t="str">
        <x:f>IF(C178=0,"不可回收",IF(AND((B178+C178-1+D178)&lt;9,OR((D178)=0,(MAX((B178)-1,0)+MAX((C178-1)-1,0)+MAX((D178)-1,0))&lt;6)),1,0)&amp;IF(AND((B178+C178-1+D178)&lt;9,OR((C178-1)=0,(MAX((B178)-1,0)+MAX((C178-1)-1,0)+MAX((D178)-1,0))&lt;6)),1,0)&amp;IF(AND((B178+C178-1+D178)&lt;9,OR((B178)=0,(MAX((B178)-1,0)+MAX((C178-1)-1,0)+MAX((D178)-1,0))&lt;6)),1,0))</x:f>
        <x:v>111</x:v>
      </x:c>
      <x:c r="L178" s="22" t="str">
        <x:f>IF(D178=0,"不可回收",IF(AND((B178+C178+D178-1)&lt;9,OR((D178-1)=0,(MAX((B178)-1,0)+MAX((C178)-1,0)+MAX((D178-1)-1,0))&lt;6)),1,0)&amp;IF(AND((B178+C178+D178-1)&lt;9,OR((C178)=0,(MAX((B178)-1,0)+MAX((C178)-1,0)+MAX((D178-1)-1,0))&lt;6)),1,0)&amp;IF(AND((B178+C178+D178-1)&lt;9,OR((B178)=0,(MAX((B178)-1,0)+MAX((C178)-1,0)+MAX((D178-1)-1,0))&lt;6)),1,0))</x:f>
        <x:v>111</x:v>
      </x:c>
      <x:c r="M178" s="18" t="n">
        <x:f>1+F178</x:f>
        <x:v>4</x:v>
      </x:c>
      <x:c r="N178" s="18" t="n">
        <x:f>COUNTIF('容量转换'!$B$8:$B$2447,A178)</x:f>
        <x:v>13</x:v>
      </x:c>
      <x:c r="O178" s="21" t="str">
        <x:f>IF(AND(MIN(B178:D178)&gt;=0,MAX(B178:D178)&lt;=7,H178&lt;=9),"合法","不合法")</x:f>
        <x:v>合法</x:v>
      </x:c>
    </x:row>
    <x:row r="179" ht="23" customHeight="1">
      <x:c r="A179" s="3" t="str">
        <x:v>ST-172</x:v>
      </x:c>
      <x:c r="B179" s="19" t="n">
        <x:v>2</x:v>
      </x:c>
      <x:c r="C179" s="19" t="n">
        <x:v>3</x:v>
      </x:c>
      <x:c r="D179" s="19" t="n">
        <x:v>4</x:v>
      </x:c>
      <x:c r="E179" s="20" t="n">
        <x:f>SUM(B179:D179)</x:f>
        <x:v>9</x:v>
      </x:c>
      <x:c r="F179" s="20" t="n">
        <x:f>COUNTIF(B179:D179,"&gt;0")</x:f>
        <x:v>3</x:v>
      </x:c>
      <x:c r="G179" s="20" t="n">
        <x:f>MAX(B179-1,0)+MAX(C179-1,0)+MAX(D179-1,0)</x:f>
        <x:v>6</x:v>
      </x:c>
      <x:c r="H179" s="20" t="n">
        <x:f>MAX(B179,1)+MAX(C179,1)+MAX(D179,1)</x:f>
        <x:v>9</x:v>
      </x:c>
      <x:c r="I179" s="22" t="str">
        <x:f>IF(AND((B179+C179+D179)&lt;9,OR((D179)=0,(MAX((B179)-1,0)+MAX((C179)-1,0)+MAX((D179)-1,0))&lt;6)),1,0)&amp;IF(AND((B179+C179+D179)&lt;9,OR((C179)=0,(MAX((B179)-1,0)+MAX((C179)-1,0)+MAX((D179)-1,0))&lt;6)),1,0)&amp;IF(AND((B179+C179+D179)&lt;9,OR((B179)=0,(MAX((B179)-1,0)+MAX((C179)-1,0)+MAX((D179)-1,0))&lt;6)),1,0)</x:f>
        <x:v>000</x:v>
      </x:c>
      <x:c r="J179" s="22" t="str">
        <x:f>IF(B179=0,"不可回收",IF(AND((B179-1+C179+D179)&lt;9,OR((D179)=0,(MAX((B179-1)-1,0)+MAX((C179)-1,0)+MAX((D179)-1,0))&lt;6)),1,0)&amp;IF(AND((B179-1+C179+D179)&lt;9,OR((C179)=0,(MAX((B179-1)-1,0)+MAX((C179)-1,0)+MAX((D179)-1,0))&lt;6)),1,0)&amp;IF(AND((B179-1+C179+D179)&lt;9,OR((B179-1)=0,(MAX((B179-1)-1,0)+MAX((C179)-1,0)+MAX((D179)-1,0))&lt;6)),1,0))</x:f>
        <x:v>111</x:v>
      </x:c>
      <x:c r="K179" s="22" t="str">
        <x:f>IF(C179=0,"不可回收",IF(AND((B179+C179-1+D179)&lt;9,OR((D179)=0,(MAX((B179)-1,0)+MAX((C179-1)-1,0)+MAX((D179)-1,0))&lt;6)),1,0)&amp;IF(AND((B179+C179-1+D179)&lt;9,OR((C179-1)=0,(MAX((B179)-1,0)+MAX((C179-1)-1,0)+MAX((D179)-1,0))&lt;6)),1,0)&amp;IF(AND((B179+C179-1+D179)&lt;9,OR((B179)=0,(MAX((B179)-1,0)+MAX((C179-1)-1,0)+MAX((D179)-1,0))&lt;6)),1,0))</x:f>
        <x:v>111</x:v>
      </x:c>
      <x:c r="L179" s="22" t="str">
        <x:f>IF(D179=0,"不可回收",IF(AND((B179+C179+D179-1)&lt;9,OR((D179-1)=0,(MAX((B179)-1,0)+MAX((C179)-1,0)+MAX((D179-1)-1,0))&lt;6)),1,0)&amp;IF(AND((B179+C179+D179-1)&lt;9,OR((C179)=0,(MAX((B179)-1,0)+MAX((C179)-1,0)+MAX((D179-1)-1,0))&lt;6)),1,0)&amp;IF(AND((B179+C179+D179-1)&lt;9,OR((B179)=0,(MAX((B179)-1,0)+MAX((C179)-1,0)+MAX((D179-1)-1,0))&lt;6)),1,0))</x:f>
        <x:v>111</x:v>
      </x:c>
      <x:c r="M179" s="18" t="n">
        <x:f>1+F179</x:f>
        <x:v>4</x:v>
      </x:c>
      <x:c r="N179" s="18" t="n">
        <x:f>COUNTIF('容量转换'!$B$8:$B$2447,A179)</x:f>
        <x:v>13</x:v>
      </x:c>
      <x:c r="O179" s="21" t="str">
        <x:f>IF(AND(MIN(B179:D179)&gt;=0,MAX(B179:D179)&lt;=7,H179&lt;=9),"合法","不合法")</x:f>
        <x:v>合法</x:v>
      </x:c>
    </x:row>
    <x:row r="180" ht="23" customHeight="1">
      <x:c r="A180" s="3" t="str">
        <x:v>ST-173</x:v>
      </x:c>
      <x:c r="B180" s="19" t="n">
        <x:v>2</x:v>
      </x:c>
      <x:c r="C180" s="19" t="n">
        <x:v>4</x:v>
      </x:c>
      <x:c r="D180" s="19" t="n">
        <x:v>3</x:v>
      </x:c>
      <x:c r="E180" s="20" t="n">
        <x:f>SUM(B180:D180)</x:f>
        <x:v>9</x:v>
      </x:c>
      <x:c r="F180" s="20" t="n">
        <x:f>COUNTIF(B180:D180,"&gt;0")</x:f>
        <x:v>3</x:v>
      </x:c>
      <x:c r="G180" s="20" t="n">
        <x:f>MAX(B180-1,0)+MAX(C180-1,0)+MAX(D180-1,0)</x:f>
        <x:v>6</x:v>
      </x:c>
      <x:c r="H180" s="20" t="n">
        <x:f>MAX(B180,1)+MAX(C180,1)+MAX(D180,1)</x:f>
        <x:v>9</x:v>
      </x:c>
      <x:c r="I180" s="22" t="str">
        <x:f>IF(AND((B180+C180+D180)&lt;9,OR((D180)=0,(MAX((B180)-1,0)+MAX((C180)-1,0)+MAX((D180)-1,0))&lt;6)),1,0)&amp;IF(AND((B180+C180+D180)&lt;9,OR((C180)=0,(MAX((B180)-1,0)+MAX((C180)-1,0)+MAX((D180)-1,0))&lt;6)),1,0)&amp;IF(AND((B180+C180+D180)&lt;9,OR((B180)=0,(MAX((B180)-1,0)+MAX((C180)-1,0)+MAX((D180)-1,0))&lt;6)),1,0)</x:f>
        <x:v>000</x:v>
      </x:c>
      <x:c r="J180" s="22" t="str">
        <x:f>IF(B180=0,"不可回收",IF(AND((B180-1+C180+D180)&lt;9,OR((D180)=0,(MAX((B180-1)-1,0)+MAX((C180)-1,0)+MAX((D180)-1,0))&lt;6)),1,0)&amp;IF(AND((B180-1+C180+D180)&lt;9,OR((C180)=0,(MAX((B180-1)-1,0)+MAX((C180)-1,0)+MAX((D180)-1,0))&lt;6)),1,0)&amp;IF(AND((B180-1+C180+D180)&lt;9,OR((B180-1)=0,(MAX((B180-1)-1,0)+MAX((C180)-1,0)+MAX((D180)-1,0))&lt;6)),1,0))</x:f>
        <x:v>111</x:v>
      </x:c>
      <x:c r="K180" s="22" t="str">
        <x:f>IF(C180=0,"不可回收",IF(AND((B180+C180-1+D180)&lt;9,OR((D180)=0,(MAX((B180)-1,0)+MAX((C180-1)-1,0)+MAX((D180)-1,0))&lt;6)),1,0)&amp;IF(AND((B180+C180-1+D180)&lt;9,OR((C180-1)=0,(MAX((B180)-1,0)+MAX((C180-1)-1,0)+MAX((D180)-1,0))&lt;6)),1,0)&amp;IF(AND((B180+C180-1+D180)&lt;9,OR((B180)=0,(MAX((B180)-1,0)+MAX((C180-1)-1,0)+MAX((D180)-1,0))&lt;6)),1,0))</x:f>
        <x:v>111</x:v>
      </x:c>
      <x:c r="L180" s="22" t="str">
        <x:f>IF(D180=0,"不可回收",IF(AND((B180+C180+D180-1)&lt;9,OR((D180-1)=0,(MAX((B180)-1,0)+MAX((C180)-1,0)+MAX((D180-1)-1,0))&lt;6)),1,0)&amp;IF(AND((B180+C180+D180-1)&lt;9,OR((C180)=0,(MAX((B180)-1,0)+MAX((C180)-1,0)+MAX((D180-1)-1,0))&lt;6)),1,0)&amp;IF(AND((B180+C180+D180-1)&lt;9,OR((B180)=0,(MAX((B180)-1,0)+MAX((C180)-1,0)+MAX((D180-1)-1,0))&lt;6)),1,0))</x:f>
        <x:v>111</x:v>
      </x:c>
      <x:c r="M180" s="18" t="n">
        <x:f>1+F180</x:f>
        <x:v>4</x:v>
      </x:c>
      <x:c r="N180" s="18" t="n">
        <x:f>COUNTIF('容量转换'!$B$8:$B$2447,A180)</x:f>
        <x:v>13</x:v>
      </x:c>
      <x:c r="O180" s="21" t="str">
        <x:f>IF(AND(MIN(B180:D180)&gt;=0,MAX(B180:D180)&lt;=7,H180&lt;=9),"合法","不合法")</x:f>
        <x:v>合法</x:v>
      </x:c>
    </x:row>
    <x:row r="181" ht="23" customHeight="1">
      <x:c r="A181" s="3" t="str">
        <x:v>ST-174</x:v>
      </x:c>
      <x:c r="B181" s="19" t="n">
        <x:v>2</x:v>
      </x:c>
      <x:c r="C181" s="19" t="n">
        <x:v>5</x:v>
      </x:c>
      <x:c r="D181" s="19" t="n">
        <x:v>2</x:v>
      </x:c>
      <x:c r="E181" s="20" t="n">
        <x:f>SUM(B181:D181)</x:f>
        <x:v>9</x:v>
      </x:c>
      <x:c r="F181" s="20" t="n">
        <x:f>COUNTIF(B181:D181,"&gt;0")</x:f>
        <x:v>3</x:v>
      </x:c>
      <x:c r="G181" s="20" t="n">
        <x:f>MAX(B181-1,0)+MAX(C181-1,0)+MAX(D181-1,0)</x:f>
        <x:v>6</x:v>
      </x:c>
      <x:c r="H181" s="20" t="n">
        <x:f>MAX(B181,1)+MAX(C181,1)+MAX(D181,1)</x:f>
        <x:v>9</x:v>
      </x:c>
      <x:c r="I181" s="22" t="str">
        <x:f>IF(AND((B181+C181+D181)&lt;9,OR((D181)=0,(MAX((B181)-1,0)+MAX((C181)-1,0)+MAX((D181)-1,0))&lt;6)),1,0)&amp;IF(AND((B181+C181+D181)&lt;9,OR((C181)=0,(MAX((B181)-1,0)+MAX((C181)-1,0)+MAX((D181)-1,0))&lt;6)),1,0)&amp;IF(AND((B181+C181+D181)&lt;9,OR((B181)=0,(MAX((B181)-1,0)+MAX((C181)-1,0)+MAX((D181)-1,0))&lt;6)),1,0)</x:f>
        <x:v>000</x:v>
      </x:c>
      <x:c r="J181" s="22" t="str">
        <x:f>IF(B181=0,"不可回收",IF(AND((B181-1+C181+D181)&lt;9,OR((D181)=0,(MAX((B181-1)-1,0)+MAX((C181)-1,0)+MAX((D181)-1,0))&lt;6)),1,0)&amp;IF(AND((B181-1+C181+D181)&lt;9,OR((C181)=0,(MAX((B181-1)-1,0)+MAX((C181)-1,0)+MAX((D181)-1,0))&lt;6)),1,0)&amp;IF(AND((B181-1+C181+D181)&lt;9,OR((B181-1)=0,(MAX((B181-1)-1,0)+MAX((C181)-1,0)+MAX((D181)-1,0))&lt;6)),1,0))</x:f>
        <x:v>111</x:v>
      </x:c>
      <x:c r="K181" s="22" t="str">
        <x:f>IF(C181=0,"不可回收",IF(AND((B181+C181-1+D181)&lt;9,OR((D181)=0,(MAX((B181)-1,0)+MAX((C181-1)-1,0)+MAX((D181)-1,0))&lt;6)),1,0)&amp;IF(AND((B181+C181-1+D181)&lt;9,OR((C181-1)=0,(MAX((B181)-1,0)+MAX((C181-1)-1,0)+MAX((D181)-1,0))&lt;6)),1,0)&amp;IF(AND((B181+C181-1+D181)&lt;9,OR((B181)=0,(MAX((B181)-1,0)+MAX((C181-1)-1,0)+MAX((D181)-1,0))&lt;6)),1,0))</x:f>
        <x:v>111</x:v>
      </x:c>
      <x:c r="L181" s="22" t="str">
        <x:f>IF(D181=0,"不可回收",IF(AND((B181+C181+D181-1)&lt;9,OR((D181-1)=0,(MAX((B181)-1,0)+MAX((C181)-1,0)+MAX((D181-1)-1,0))&lt;6)),1,0)&amp;IF(AND((B181+C181+D181-1)&lt;9,OR((C181)=0,(MAX((B181)-1,0)+MAX((C181)-1,0)+MAX((D181-1)-1,0))&lt;6)),1,0)&amp;IF(AND((B181+C181+D181-1)&lt;9,OR((B181)=0,(MAX((B181)-1,0)+MAX((C181)-1,0)+MAX((D181-1)-1,0))&lt;6)),1,0))</x:f>
        <x:v>111</x:v>
      </x:c>
      <x:c r="M181" s="18" t="n">
        <x:f>1+F181</x:f>
        <x:v>4</x:v>
      </x:c>
      <x:c r="N181" s="18" t="n">
        <x:f>COUNTIF('容量转换'!$B$8:$B$2447,A181)</x:f>
        <x:v>13</x:v>
      </x:c>
      <x:c r="O181" s="21" t="str">
        <x:f>IF(AND(MIN(B181:D181)&gt;=0,MAX(B181:D181)&lt;=7,H181&lt;=9),"合法","不合法")</x:f>
        <x:v>合法</x:v>
      </x:c>
    </x:row>
    <x:row r="182" ht="23" customHeight="1">
      <x:c r="A182" s="3" t="str">
        <x:v>ST-175</x:v>
      </x:c>
      <x:c r="B182" s="19" t="n">
        <x:v>2</x:v>
      </x:c>
      <x:c r="C182" s="19" t="n">
        <x:v>6</x:v>
      </x:c>
      <x:c r="D182" s="19" t="n">
        <x:v>1</x:v>
      </x:c>
      <x:c r="E182" s="20" t="n">
        <x:f>SUM(B182:D182)</x:f>
        <x:v>9</x:v>
      </x:c>
      <x:c r="F182" s="20" t="n">
        <x:f>COUNTIF(B182:D182,"&gt;0")</x:f>
        <x:v>3</x:v>
      </x:c>
      <x:c r="G182" s="20" t="n">
        <x:f>MAX(B182-1,0)+MAX(C182-1,0)+MAX(D182-1,0)</x:f>
        <x:v>6</x:v>
      </x:c>
      <x:c r="H182" s="20" t="n">
        <x:f>MAX(B182,1)+MAX(C182,1)+MAX(D182,1)</x:f>
        <x:v>9</x:v>
      </x:c>
      <x:c r="I182" s="22" t="str">
        <x:f>IF(AND((B182+C182+D182)&lt;9,OR((D182)=0,(MAX((B182)-1,0)+MAX((C182)-1,0)+MAX((D182)-1,0))&lt;6)),1,0)&amp;IF(AND((B182+C182+D182)&lt;9,OR((C182)=0,(MAX((B182)-1,0)+MAX((C182)-1,0)+MAX((D182)-1,0))&lt;6)),1,0)&amp;IF(AND((B182+C182+D182)&lt;9,OR((B182)=0,(MAX((B182)-1,0)+MAX((C182)-1,0)+MAX((D182)-1,0))&lt;6)),1,0)</x:f>
        <x:v>000</x:v>
      </x:c>
      <x:c r="J182" s="22" t="str">
        <x:f>IF(B182=0,"不可回收",IF(AND((B182-1+C182+D182)&lt;9,OR((D182)=0,(MAX((B182-1)-1,0)+MAX((C182)-1,0)+MAX((D182)-1,0))&lt;6)),1,0)&amp;IF(AND((B182-1+C182+D182)&lt;9,OR((C182)=0,(MAX((B182-1)-1,0)+MAX((C182)-1,0)+MAX((D182)-1,0))&lt;6)),1,0)&amp;IF(AND((B182-1+C182+D182)&lt;9,OR((B182-1)=0,(MAX((B182-1)-1,0)+MAX((C182)-1,0)+MAX((D182)-1,0))&lt;6)),1,0))</x:f>
        <x:v>111</x:v>
      </x:c>
      <x:c r="K182" s="22" t="str">
        <x:f>IF(C182=0,"不可回收",IF(AND((B182+C182-1+D182)&lt;9,OR((D182)=0,(MAX((B182)-1,0)+MAX((C182-1)-1,0)+MAX((D182)-1,0))&lt;6)),1,0)&amp;IF(AND((B182+C182-1+D182)&lt;9,OR((C182-1)=0,(MAX((B182)-1,0)+MAX((C182-1)-1,0)+MAX((D182)-1,0))&lt;6)),1,0)&amp;IF(AND((B182+C182-1+D182)&lt;9,OR((B182)=0,(MAX((B182)-1,0)+MAX((C182-1)-1,0)+MAX((D182)-1,0))&lt;6)),1,0))</x:f>
        <x:v>111</x:v>
      </x:c>
      <x:c r="L182" s="22" t="str">
        <x:f>IF(D182=0,"不可回收",IF(AND((B182+C182+D182-1)&lt;9,OR((D182-1)=0,(MAX((B182)-1,0)+MAX((C182)-1,0)+MAX((D182-1)-1,0))&lt;6)),1,0)&amp;IF(AND((B182+C182+D182-1)&lt;9,OR((C182)=0,(MAX((B182)-1,0)+MAX((C182)-1,0)+MAX((D182-1)-1,0))&lt;6)),1,0)&amp;IF(AND((B182+C182+D182-1)&lt;9,OR((B182)=0,(MAX((B182)-1,0)+MAX((C182)-1,0)+MAX((D182-1)-1,0))&lt;6)),1,0))</x:f>
        <x:v>100</x:v>
      </x:c>
      <x:c r="M182" s="18" t="n">
        <x:f>1+F182</x:f>
        <x:v>4</x:v>
      </x:c>
      <x:c r="N182" s="18" t="n">
        <x:f>COUNTIF('容量转换'!$B$8:$B$2447,A182)</x:f>
        <x:v>13</x:v>
      </x:c>
      <x:c r="O182" s="21" t="str">
        <x:f>IF(AND(MIN(B182:D182)&gt;=0,MAX(B182:D182)&lt;=7,H182&lt;=9),"合法","不合法")</x:f>
        <x:v>合法</x:v>
      </x:c>
    </x:row>
    <x:row r="183" ht="23" customHeight="1">
      <x:c r="A183" s="3" t="str">
        <x:v>ST-176</x:v>
      </x:c>
      <x:c r="B183" s="19" t="n">
        <x:v>3</x:v>
      </x:c>
      <x:c r="C183" s="19" t="n">
        <x:v>1</x:v>
      </x:c>
      <x:c r="D183" s="19" t="n">
        <x:v>5</x:v>
      </x:c>
      <x:c r="E183" s="20" t="n">
        <x:f>SUM(B183:D183)</x:f>
        <x:v>9</x:v>
      </x:c>
      <x:c r="F183" s="20" t="n">
        <x:f>COUNTIF(B183:D183,"&gt;0")</x:f>
        <x:v>3</x:v>
      </x:c>
      <x:c r="G183" s="20" t="n">
        <x:f>MAX(B183-1,0)+MAX(C183-1,0)+MAX(D183-1,0)</x:f>
        <x:v>6</x:v>
      </x:c>
      <x:c r="H183" s="20" t="n">
        <x:f>MAX(B183,1)+MAX(C183,1)+MAX(D183,1)</x:f>
        <x:v>9</x:v>
      </x:c>
      <x:c r="I183" s="22" t="str">
        <x:f>IF(AND((B183+C183+D183)&lt;9,OR((D183)=0,(MAX((B183)-1,0)+MAX((C183)-1,0)+MAX((D183)-1,0))&lt;6)),1,0)&amp;IF(AND((B183+C183+D183)&lt;9,OR((C183)=0,(MAX((B183)-1,0)+MAX((C183)-1,0)+MAX((D183)-1,0))&lt;6)),1,0)&amp;IF(AND((B183+C183+D183)&lt;9,OR((B183)=0,(MAX((B183)-1,0)+MAX((C183)-1,0)+MAX((D183)-1,0))&lt;6)),1,0)</x:f>
        <x:v>000</x:v>
      </x:c>
      <x:c r="J183" s="22" t="str">
        <x:f>IF(B183=0,"不可回收",IF(AND((B183-1+C183+D183)&lt;9,OR((D183)=0,(MAX((B183-1)-1,0)+MAX((C183)-1,0)+MAX((D183)-1,0))&lt;6)),1,0)&amp;IF(AND((B183-1+C183+D183)&lt;9,OR((C183)=0,(MAX((B183-1)-1,0)+MAX((C183)-1,0)+MAX((D183)-1,0))&lt;6)),1,0)&amp;IF(AND((B183-1+C183+D183)&lt;9,OR((B183-1)=0,(MAX((B183-1)-1,0)+MAX((C183)-1,0)+MAX((D183)-1,0))&lt;6)),1,0))</x:f>
        <x:v>111</x:v>
      </x:c>
      <x:c r="K183" s="22" t="str">
        <x:f>IF(C183=0,"不可回收",IF(AND((B183+C183-1+D183)&lt;9,OR((D183)=0,(MAX((B183)-1,0)+MAX((C183-1)-1,0)+MAX((D183)-1,0))&lt;6)),1,0)&amp;IF(AND((B183+C183-1+D183)&lt;9,OR((C183-1)=0,(MAX((B183)-1,0)+MAX((C183-1)-1,0)+MAX((D183)-1,0))&lt;6)),1,0)&amp;IF(AND((B183+C183-1+D183)&lt;9,OR((B183)=0,(MAX((B183)-1,0)+MAX((C183-1)-1,0)+MAX((D183)-1,0))&lt;6)),1,0))</x:f>
        <x:v>010</x:v>
      </x:c>
      <x:c r="L183" s="22" t="str">
        <x:f>IF(D183=0,"不可回收",IF(AND((B183+C183+D183-1)&lt;9,OR((D183-1)=0,(MAX((B183)-1,0)+MAX((C183)-1,0)+MAX((D183-1)-1,0))&lt;6)),1,0)&amp;IF(AND((B183+C183+D183-1)&lt;9,OR((C183)=0,(MAX((B183)-1,0)+MAX((C183)-1,0)+MAX((D183-1)-1,0))&lt;6)),1,0)&amp;IF(AND((B183+C183+D183-1)&lt;9,OR((B183)=0,(MAX((B183)-1,0)+MAX((C183)-1,0)+MAX((D183-1)-1,0))&lt;6)),1,0))</x:f>
        <x:v>111</x:v>
      </x:c>
      <x:c r="M183" s="18" t="n">
        <x:f>1+F183</x:f>
        <x:v>4</x:v>
      </x:c>
      <x:c r="N183" s="18" t="n">
        <x:f>COUNTIF('容量转换'!$B$8:$B$2447,A183)</x:f>
        <x:v>13</x:v>
      </x:c>
      <x:c r="O183" s="21" t="str">
        <x:f>IF(AND(MIN(B183:D183)&gt;=0,MAX(B183:D183)&lt;=7,H183&lt;=9),"合法","不合法")</x:f>
        <x:v>合法</x:v>
      </x:c>
    </x:row>
    <x:row r="184" ht="23" customHeight="1">
      <x:c r="A184" s="3" t="str">
        <x:v>ST-177</x:v>
      </x:c>
      <x:c r="B184" s="19" t="n">
        <x:v>3</x:v>
      </x:c>
      <x:c r="C184" s="19" t="n">
        <x:v>2</x:v>
      </x:c>
      <x:c r="D184" s="19" t="n">
        <x:v>4</x:v>
      </x:c>
      <x:c r="E184" s="20" t="n">
        <x:f>SUM(B184:D184)</x:f>
        <x:v>9</x:v>
      </x:c>
      <x:c r="F184" s="20" t="n">
        <x:f>COUNTIF(B184:D184,"&gt;0")</x:f>
        <x:v>3</x:v>
      </x:c>
      <x:c r="G184" s="20" t="n">
        <x:f>MAX(B184-1,0)+MAX(C184-1,0)+MAX(D184-1,0)</x:f>
        <x:v>6</x:v>
      </x:c>
      <x:c r="H184" s="20" t="n">
        <x:f>MAX(B184,1)+MAX(C184,1)+MAX(D184,1)</x:f>
        <x:v>9</x:v>
      </x:c>
      <x:c r="I184" s="22" t="str">
        <x:f>IF(AND((B184+C184+D184)&lt;9,OR((D184)=0,(MAX((B184)-1,0)+MAX((C184)-1,0)+MAX((D184)-1,0))&lt;6)),1,0)&amp;IF(AND((B184+C184+D184)&lt;9,OR((C184)=0,(MAX((B184)-1,0)+MAX((C184)-1,0)+MAX((D184)-1,0))&lt;6)),1,0)&amp;IF(AND((B184+C184+D184)&lt;9,OR((B184)=0,(MAX((B184)-1,0)+MAX((C184)-1,0)+MAX((D184)-1,0))&lt;6)),1,0)</x:f>
        <x:v>000</x:v>
      </x:c>
      <x:c r="J184" s="22" t="str">
        <x:f>IF(B184=0,"不可回收",IF(AND((B184-1+C184+D184)&lt;9,OR((D184)=0,(MAX((B184-1)-1,0)+MAX((C184)-1,0)+MAX((D184)-1,0))&lt;6)),1,0)&amp;IF(AND((B184-1+C184+D184)&lt;9,OR((C184)=0,(MAX((B184-1)-1,0)+MAX((C184)-1,0)+MAX((D184)-1,0))&lt;6)),1,0)&amp;IF(AND((B184-1+C184+D184)&lt;9,OR((B184-1)=0,(MAX((B184-1)-1,0)+MAX((C184)-1,0)+MAX((D184)-1,0))&lt;6)),1,0))</x:f>
        <x:v>111</x:v>
      </x:c>
      <x:c r="K184" s="22" t="str">
        <x:f>IF(C184=0,"不可回收",IF(AND((B184+C184-1+D184)&lt;9,OR((D184)=0,(MAX((B184)-1,0)+MAX((C184-1)-1,0)+MAX((D184)-1,0))&lt;6)),1,0)&amp;IF(AND((B184+C184-1+D184)&lt;9,OR((C184-1)=0,(MAX((B184)-1,0)+MAX((C184-1)-1,0)+MAX((D184)-1,0))&lt;6)),1,0)&amp;IF(AND((B184+C184-1+D184)&lt;9,OR((B184)=0,(MAX((B184)-1,0)+MAX((C184-1)-1,0)+MAX((D184)-1,0))&lt;6)),1,0))</x:f>
        <x:v>111</x:v>
      </x:c>
      <x:c r="L184" s="22" t="str">
        <x:f>IF(D184=0,"不可回收",IF(AND((B184+C184+D184-1)&lt;9,OR((D184-1)=0,(MAX((B184)-1,0)+MAX((C184)-1,0)+MAX((D184-1)-1,0))&lt;6)),1,0)&amp;IF(AND((B184+C184+D184-1)&lt;9,OR((C184)=0,(MAX((B184)-1,0)+MAX((C184)-1,0)+MAX((D184-1)-1,0))&lt;6)),1,0)&amp;IF(AND((B184+C184+D184-1)&lt;9,OR((B184)=0,(MAX((B184)-1,0)+MAX((C184)-1,0)+MAX((D184-1)-1,0))&lt;6)),1,0))</x:f>
        <x:v>111</x:v>
      </x:c>
      <x:c r="M184" s="18" t="n">
        <x:f>1+F184</x:f>
        <x:v>4</x:v>
      </x:c>
      <x:c r="N184" s="18" t="n">
        <x:f>COUNTIF('容量转换'!$B$8:$B$2447,A184)</x:f>
        <x:v>13</x:v>
      </x:c>
      <x:c r="O184" s="21" t="str">
        <x:f>IF(AND(MIN(B184:D184)&gt;=0,MAX(B184:D184)&lt;=7,H184&lt;=9),"合法","不合法")</x:f>
        <x:v>合法</x:v>
      </x:c>
    </x:row>
    <x:row r="185" ht="23" customHeight="1">
      <x:c r="A185" s="3" t="str">
        <x:v>ST-178</x:v>
      </x:c>
      <x:c r="B185" s="19" t="n">
        <x:v>3</x:v>
      </x:c>
      <x:c r="C185" s="19" t="n">
        <x:v>3</x:v>
      </x:c>
      <x:c r="D185" s="19" t="n">
        <x:v>3</x:v>
      </x:c>
      <x:c r="E185" s="20" t="n">
        <x:f>SUM(B185:D185)</x:f>
        <x:v>9</x:v>
      </x:c>
      <x:c r="F185" s="20" t="n">
        <x:f>COUNTIF(B185:D185,"&gt;0")</x:f>
        <x:v>3</x:v>
      </x:c>
      <x:c r="G185" s="20" t="n">
        <x:f>MAX(B185-1,0)+MAX(C185-1,0)+MAX(D185-1,0)</x:f>
        <x:v>6</x:v>
      </x:c>
      <x:c r="H185" s="20" t="n">
        <x:f>MAX(B185,1)+MAX(C185,1)+MAX(D185,1)</x:f>
        <x:v>9</x:v>
      </x:c>
      <x:c r="I185" s="22" t="str">
        <x:f>IF(AND((B185+C185+D185)&lt;9,OR((D185)=0,(MAX((B185)-1,0)+MAX((C185)-1,0)+MAX((D185)-1,0))&lt;6)),1,0)&amp;IF(AND((B185+C185+D185)&lt;9,OR((C185)=0,(MAX((B185)-1,0)+MAX((C185)-1,0)+MAX((D185)-1,0))&lt;6)),1,0)&amp;IF(AND((B185+C185+D185)&lt;9,OR((B185)=0,(MAX((B185)-1,0)+MAX((C185)-1,0)+MAX((D185)-1,0))&lt;6)),1,0)</x:f>
        <x:v>000</x:v>
      </x:c>
      <x:c r="J185" s="22" t="str">
        <x:f>IF(B185=0,"不可回收",IF(AND((B185-1+C185+D185)&lt;9,OR((D185)=0,(MAX((B185-1)-1,0)+MAX((C185)-1,0)+MAX((D185)-1,0))&lt;6)),1,0)&amp;IF(AND((B185-1+C185+D185)&lt;9,OR((C185)=0,(MAX((B185-1)-1,0)+MAX((C185)-1,0)+MAX((D185)-1,0))&lt;6)),1,0)&amp;IF(AND((B185-1+C185+D185)&lt;9,OR((B185-1)=0,(MAX((B185-1)-1,0)+MAX((C185)-1,0)+MAX((D185)-1,0))&lt;6)),1,0))</x:f>
        <x:v>111</x:v>
      </x:c>
      <x:c r="K185" s="22" t="str">
        <x:f>IF(C185=0,"不可回收",IF(AND((B185+C185-1+D185)&lt;9,OR((D185)=0,(MAX((B185)-1,0)+MAX((C185-1)-1,0)+MAX((D185)-1,0))&lt;6)),1,0)&amp;IF(AND((B185+C185-1+D185)&lt;9,OR((C185-1)=0,(MAX((B185)-1,0)+MAX((C185-1)-1,0)+MAX((D185)-1,0))&lt;6)),1,0)&amp;IF(AND((B185+C185-1+D185)&lt;9,OR((B185)=0,(MAX((B185)-1,0)+MAX((C185-1)-1,0)+MAX((D185)-1,0))&lt;6)),1,0))</x:f>
        <x:v>111</x:v>
      </x:c>
      <x:c r="L185" s="22" t="str">
        <x:f>IF(D185=0,"不可回收",IF(AND((B185+C185+D185-1)&lt;9,OR((D185-1)=0,(MAX((B185)-1,0)+MAX((C185)-1,0)+MAX((D185-1)-1,0))&lt;6)),1,0)&amp;IF(AND((B185+C185+D185-1)&lt;9,OR((C185)=0,(MAX((B185)-1,0)+MAX((C185)-1,0)+MAX((D185-1)-1,0))&lt;6)),1,0)&amp;IF(AND((B185+C185+D185-1)&lt;9,OR((B185)=0,(MAX((B185)-1,0)+MAX((C185)-1,0)+MAX((D185-1)-1,0))&lt;6)),1,0))</x:f>
        <x:v>111</x:v>
      </x:c>
      <x:c r="M185" s="18" t="n">
        <x:f>1+F185</x:f>
        <x:v>4</x:v>
      </x:c>
      <x:c r="N185" s="18" t="n">
        <x:f>COUNTIF('容量转换'!$B$8:$B$2447,A185)</x:f>
        <x:v>13</x:v>
      </x:c>
      <x:c r="O185" s="21" t="str">
        <x:f>IF(AND(MIN(B185:D185)&gt;=0,MAX(B185:D185)&lt;=7,H185&lt;=9),"合法","不合法")</x:f>
        <x:v>合法</x:v>
      </x:c>
    </x:row>
    <x:row r="186" ht="23" customHeight="1">
      <x:c r="A186" s="3" t="str">
        <x:v>ST-179</x:v>
      </x:c>
      <x:c r="B186" s="19" t="n">
        <x:v>3</x:v>
      </x:c>
      <x:c r="C186" s="19" t="n">
        <x:v>4</x:v>
      </x:c>
      <x:c r="D186" s="19" t="n">
        <x:v>2</x:v>
      </x:c>
      <x:c r="E186" s="20" t="n">
        <x:f>SUM(B186:D186)</x:f>
        <x:v>9</x:v>
      </x:c>
      <x:c r="F186" s="20" t="n">
        <x:f>COUNTIF(B186:D186,"&gt;0")</x:f>
        <x:v>3</x:v>
      </x:c>
      <x:c r="G186" s="20" t="n">
        <x:f>MAX(B186-1,0)+MAX(C186-1,0)+MAX(D186-1,0)</x:f>
        <x:v>6</x:v>
      </x:c>
      <x:c r="H186" s="20" t="n">
        <x:f>MAX(B186,1)+MAX(C186,1)+MAX(D186,1)</x:f>
        <x:v>9</x:v>
      </x:c>
      <x:c r="I186" s="22" t="str">
        <x:f>IF(AND((B186+C186+D186)&lt;9,OR((D186)=0,(MAX((B186)-1,0)+MAX((C186)-1,0)+MAX((D186)-1,0))&lt;6)),1,0)&amp;IF(AND((B186+C186+D186)&lt;9,OR((C186)=0,(MAX((B186)-1,0)+MAX((C186)-1,0)+MAX((D186)-1,0))&lt;6)),1,0)&amp;IF(AND((B186+C186+D186)&lt;9,OR((B186)=0,(MAX((B186)-1,0)+MAX((C186)-1,0)+MAX((D186)-1,0))&lt;6)),1,0)</x:f>
        <x:v>000</x:v>
      </x:c>
      <x:c r="J186" s="22" t="str">
        <x:f>IF(B186=0,"不可回收",IF(AND((B186-1+C186+D186)&lt;9,OR((D186)=0,(MAX((B186-1)-1,0)+MAX((C186)-1,0)+MAX((D186)-1,0))&lt;6)),1,0)&amp;IF(AND((B186-1+C186+D186)&lt;9,OR((C186)=0,(MAX((B186-1)-1,0)+MAX((C186)-1,0)+MAX((D186)-1,0))&lt;6)),1,0)&amp;IF(AND((B186-1+C186+D186)&lt;9,OR((B186-1)=0,(MAX((B186-1)-1,0)+MAX((C186)-1,0)+MAX((D186)-1,0))&lt;6)),1,0))</x:f>
        <x:v>111</x:v>
      </x:c>
      <x:c r="K186" s="22" t="str">
        <x:f>IF(C186=0,"不可回收",IF(AND((B186+C186-1+D186)&lt;9,OR((D186)=0,(MAX((B186)-1,0)+MAX((C186-1)-1,0)+MAX((D186)-1,0))&lt;6)),1,0)&amp;IF(AND((B186+C186-1+D186)&lt;9,OR((C186-1)=0,(MAX((B186)-1,0)+MAX((C186-1)-1,0)+MAX((D186)-1,0))&lt;6)),1,0)&amp;IF(AND((B186+C186-1+D186)&lt;9,OR((B186)=0,(MAX((B186)-1,0)+MAX((C186-1)-1,0)+MAX((D186)-1,0))&lt;6)),1,0))</x:f>
        <x:v>111</x:v>
      </x:c>
      <x:c r="L186" s="22" t="str">
        <x:f>IF(D186=0,"不可回收",IF(AND((B186+C186+D186-1)&lt;9,OR((D186-1)=0,(MAX((B186)-1,0)+MAX((C186)-1,0)+MAX((D186-1)-1,0))&lt;6)),1,0)&amp;IF(AND((B186+C186+D186-1)&lt;9,OR((C186)=0,(MAX((B186)-1,0)+MAX((C186)-1,0)+MAX((D186-1)-1,0))&lt;6)),1,0)&amp;IF(AND((B186+C186+D186-1)&lt;9,OR((B186)=0,(MAX((B186)-1,0)+MAX((C186)-1,0)+MAX((D186-1)-1,0))&lt;6)),1,0))</x:f>
        <x:v>111</x:v>
      </x:c>
      <x:c r="M186" s="18" t="n">
        <x:f>1+F186</x:f>
        <x:v>4</x:v>
      </x:c>
      <x:c r="N186" s="18" t="n">
        <x:f>COUNTIF('容量转换'!$B$8:$B$2447,A186)</x:f>
        <x:v>13</x:v>
      </x:c>
      <x:c r="O186" s="21" t="str">
        <x:f>IF(AND(MIN(B186:D186)&gt;=0,MAX(B186:D186)&lt;=7,H186&lt;=9),"合法","不合法")</x:f>
        <x:v>合法</x:v>
      </x:c>
    </x:row>
    <x:row r="187" ht="23" customHeight="1">
      <x:c r="A187" s="3" t="str">
        <x:v>ST-180</x:v>
      </x:c>
      <x:c r="B187" s="19" t="n">
        <x:v>3</x:v>
      </x:c>
      <x:c r="C187" s="19" t="n">
        <x:v>5</x:v>
      </x:c>
      <x:c r="D187" s="19" t="n">
        <x:v>1</x:v>
      </x:c>
      <x:c r="E187" s="20" t="n">
        <x:f>SUM(B187:D187)</x:f>
        <x:v>9</x:v>
      </x:c>
      <x:c r="F187" s="20" t="n">
        <x:f>COUNTIF(B187:D187,"&gt;0")</x:f>
        <x:v>3</x:v>
      </x:c>
      <x:c r="G187" s="20" t="n">
        <x:f>MAX(B187-1,0)+MAX(C187-1,0)+MAX(D187-1,0)</x:f>
        <x:v>6</x:v>
      </x:c>
      <x:c r="H187" s="20" t="n">
        <x:f>MAX(B187,1)+MAX(C187,1)+MAX(D187,1)</x:f>
        <x:v>9</x:v>
      </x:c>
      <x:c r="I187" s="22" t="str">
        <x:f>IF(AND((B187+C187+D187)&lt;9,OR((D187)=0,(MAX((B187)-1,0)+MAX((C187)-1,0)+MAX((D187)-1,0))&lt;6)),1,0)&amp;IF(AND((B187+C187+D187)&lt;9,OR((C187)=0,(MAX((B187)-1,0)+MAX((C187)-1,0)+MAX((D187)-1,0))&lt;6)),1,0)&amp;IF(AND((B187+C187+D187)&lt;9,OR((B187)=0,(MAX((B187)-1,0)+MAX((C187)-1,0)+MAX((D187)-1,0))&lt;6)),1,0)</x:f>
        <x:v>000</x:v>
      </x:c>
      <x:c r="J187" s="22" t="str">
        <x:f>IF(B187=0,"不可回收",IF(AND((B187-1+C187+D187)&lt;9,OR((D187)=0,(MAX((B187-1)-1,0)+MAX((C187)-1,0)+MAX((D187)-1,0))&lt;6)),1,0)&amp;IF(AND((B187-1+C187+D187)&lt;9,OR((C187)=0,(MAX((B187-1)-1,0)+MAX((C187)-1,0)+MAX((D187)-1,0))&lt;6)),1,0)&amp;IF(AND((B187-1+C187+D187)&lt;9,OR((B187-1)=0,(MAX((B187-1)-1,0)+MAX((C187)-1,0)+MAX((D187)-1,0))&lt;6)),1,0))</x:f>
        <x:v>111</x:v>
      </x:c>
      <x:c r="K187" s="22" t="str">
        <x:f>IF(C187=0,"不可回收",IF(AND((B187+C187-1+D187)&lt;9,OR((D187)=0,(MAX((B187)-1,0)+MAX((C187-1)-1,0)+MAX((D187)-1,0))&lt;6)),1,0)&amp;IF(AND((B187+C187-1+D187)&lt;9,OR((C187-1)=0,(MAX((B187)-1,0)+MAX((C187-1)-1,0)+MAX((D187)-1,0))&lt;6)),1,0)&amp;IF(AND((B187+C187-1+D187)&lt;9,OR((B187)=0,(MAX((B187)-1,0)+MAX((C187-1)-1,0)+MAX((D187)-1,0))&lt;6)),1,0))</x:f>
        <x:v>111</x:v>
      </x:c>
      <x:c r="L187" s="22" t="str">
        <x:f>IF(D187=0,"不可回收",IF(AND((B187+C187+D187-1)&lt;9,OR((D187-1)=0,(MAX((B187)-1,0)+MAX((C187)-1,0)+MAX((D187-1)-1,0))&lt;6)),1,0)&amp;IF(AND((B187+C187+D187-1)&lt;9,OR((C187)=0,(MAX((B187)-1,0)+MAX((C187)-1,0)+MAX((D187-1)-1,0))&lt;6)),1,0)&amp;IF(AND((B187+C187+D187-1)&lt;9,OR((B187)=0,(MAX((B187)-1,0)+MAX((C187)-1,0)+MAX((D187-1)-1,0))&lt;6)),1,0))</x:f>
        <x:v>100</x:v>
      </x:c>
      <x:c r="M187" s="18" t="n">
        <x:f>1+F187</x:f>
        <x:v>4</x:v>
      </x:c>
      <x:c r="N187" s="18" t="n">
        <x:f>COUNTIF('容量转换'!$B$8:$B$2447,A187)</x:f>
        <x:v>13</x:v>
      </x:c>
      <x:c r="O187" s="21" t="str">
        <x:f>IF(AND(MIN(B187:D187)&gt;=0,MAX(B187:D187)&lt;=7,H187&lt;=9),"合法","不合法")</x:f>
        <x:v>合法</x:v>
      </x:c>
    </x:row>
    <x:row r="188" ht="23" customHeight="1">
      <x:c r="A188" s="3" t="str">
        <x:v>ST-181</x:v>
      </x:c>
      <x:c r="B188" s="19" t="n">
        <x:v>4</x:v>
      </x:c>
      <x:c r="C188" s="19" t="n">
        <x:v>1</x:v>
      </x:c>
      <x:c r="D188" s="19" t="n">
        <x:v>4</x:v>
      </x:c>
      <x:c r="E188" s="20" t="n">
        <x:f>SUM(B188:D188)</x:f>
        <x:v>9</x:v>
      </x:c>
      <x:c r="F188" s="20" t="n">
        <x:f>COUNTIF(B188:D188,"&gt;0")</x:f>
        <x:v>3</x:v>
      </x:c>
      <x:c r="G188" s="20" t="n">
        <x:f>MAX(B188-1,0)+MAX(C188-1,0)+MAX(D188-1,0)</x:f>
        <x:v>6</x:v>
      </x:c>
      <x:c r="H188" s="20" t="n">
        <x:f>MAX(B188,1)+MAX(C188,1)+MAX(D188,1)</x:f>
        <x:v>9</x:v>
      </x:c>
      <x:c r="I188" s="22" t="str">
        <x:f>IF(AND((B188+C188+D188)&lt;9,OR((D188)=0,(MAX((B188)-1,0)+MAX((C188)-1,0)+MAX((D188)-1,0))&lt;6)),1,0)&amp;IF(AND((B188+C188+D188)&lt;9,OR((C188)=0,(MAX((B188)-1,0)+MAX((C188)-1,0)+MAX((D188)-1,0))&lt;6)),1,0)&amp;IF(AND((B188+C188+D188)&lt;9,OR((B188)=0,(MAX((B188)-1,0)+MAX((C188)-1,0)+MAX((D188)-1,0))&lt;6)),1,0)</x:f>
        <x:v>000</x:v>
      </x:c>
      <x:c r="J188" s="22" t="str">
        <x:f>IF(B188=0,"不可回收",IF(AND((B188-1+C188+D188)&lt;9,OR((D188)=0,(MAX((B188-1)-1,0)+MAX((C188)-1,0)+MAX((D188)-1,0))&lt;6)),1,0)&amp;IF(AND((B188-1+C188+D188)&lt;9,OR((C188)=0,(MAX((B188-1)-1,0)+MAX((C188)-1,0)+MAX((D188)-1,0))&lt;6)),1,0)&amp;IF(AND((B188-1+C188+D188)&lt;9,OR((B188-1)=0,(MAX((B188-1)-1,0)+MAX((C188)-1,0)+MAX((D188)-1,0))&lt;6)),1,0))</x:f>
        <x:v>111</x:v>
      </x:c>
      <x:c r="K188" s="22" t="str">
        <x:f>IF(C188=0,"不可回收",IF(AND((B188+C188-1+D188)&lt;9,OR((D188)=0,(MAX((B188)-1,0)+MAX((C188-1)-1,0)+MAX((D188)-1,0))&lt;6)),1,0)&amp;IF(AND((B188+C188-1+D188)&lt;9,OR((C188-1)=0,(MAX((B188)-1,0)+MAX((C188-1)-1,0)+MAX((D188)-1,0))&lt;6)),1,0)&amp;IF(AND((B188+C188-1+D188)&lt;9,OR((B188)=0,(MAX((B188)-1,0)+MAX((C188-1)-1,0)+MAX((D188)-1,0))&lt;6)),1,0))</x:f>
        <x:v>010</x:v>
      </x:c>
      <x:c r="L188" s="22" t="str">
        <x:f>IF(D188=0,"不可回收",IF(AND((B188+C188+D188-1)&lt;9,OR((D188-1)=0,(MAX((B188)-1,0)+MAX((C188)-1,0)+MAX((D188-1)-1,0))&lt;6)),1,0)&amp;IF(AND((B188+C188+D188-1)&lt;9,OR((C188)=0,(MAX((B188)-1,0)+MAX((C188)-1,0)+MAX((D188-1)-1,0))&lt;6)),1,0)&amp;IF(AND((B188+C188+D188-1)&lt;9,OR((B188)=0,(MAX((B188)-1,0)+MAX((C188)-1,0)+MAX((D188-1)-1,0))&lt;6)),1,0))</x:f>
        <x:v>111</x:v>
      </x:c>
      <x:c r="M188" s="18" t="n">
        <x:f>1+F188</x:f>
        <x:v>4</x:v>
      </x:c>
      <x:c r="N188" s="18" t="n">
        <x:f>COUNTIF('容量转换'!$B$8:$B$2447,A188)</x:f>
        <x:v>13</x:v>
      </x:c>
      <x:c r="O188" s="21" t="str">
        <x:f>IF(AND(MIN(B188:D188)&gt;=0,MAX(B188:D188)&lt;=7,H188&lt;=9),"合法","不合法")</x:f>
        <x:v>合法</x:v>
      </x:c>
    </x:row>
    <x:row r="189" ht="23" customHeight="1">
      <x:c r="A189" s="3" t="str">
        <x:v>ST-182</x:v>
      </x:c>
      <x:c r="B189" s="19" t="n">
        <x:v>4</x:v>
      </x:c>
      <x:c r="C189" s="19" t="n">
        <x:v>2</x:v>
      </x:c>
      <x:c r="D189" s="19" t="n">
        <x:v>3</x:v>
      </x:c>
      <x:c r="E189" s="20" t="n">
        <x:f>SUM(B189:D189)</x:f>
        <x:v>9</x:v>
      </x:c>
      <x:c r="F189" s="20" t="n">
        <x:f>COUNTIF(B189:D189,"&gt;0")</x:f>
        <x:v>3</x:v>
      </x:c>
      <x:c r="G189" s="20" t="n">
        <x:f>MAX(B189-1,0)+MAX(C189-1,0)+MAX(D189-1,0)</x:f>
        <x:v>6</x:v>
      </x:c>
      <x:c r="H189" s="20" t="n">
        <x:f>MAX(B189,1)+MAX(C189,1)+MAX(D189,1)</x:f>
        <x:v>9</x:v>
      </x:c>
      <x:c r="I189" s="22" t="str">
        <x:f>IF(AND((B189+C189+D189)&lt;9,OR((D189)=0,(MAX((B189)-1,0)+MAX((C189)-1,0)+MAX((D189)-1,0))&lt;6)),1,0)&amp;IF(AND((B189+C189+D189)&lt;9,OR((C189)=0,(MAX((B189)-1,0)+MAX((C189)-1,0)+MAX((D189)-1,0))&lt;6)),1,0)&amp;IF(AND((B189+C189+D189)&lt;9,OR((B189)=0,(MAX((B189)-1,0)+MAX((C189)-1,0)+MAX((D189)-1,0))&lt;6)),1,0)</x:f>
        <x:v>000</x:v>
      </x:c>
      <x:c r="J189" s="22" t="str">
        <x:f>IF(B189=0,"不可回收",IF(AND((B189-1+C189+D189)&lt;9,OR((D189)=0,(MAX((B189-1)-1,0)+MAX((C189)-1,0)+MAX((D189)-1,0))&lt;6)),1,0)&amp;IF(AND((B189-1+C189+D189)&lt;9,OR((C189)=0,(MAX((B189-1)-1,0)+MAX((C189)-1,0)+MAX((D189)-1,0))&lt;6)),1,0)&amp;IF(AND((B189-1+C189+D189)&lt;9,OR((B189-1)=0,(MAX((B189-1)-1,0)+MAX((C189)-1,0)+MAX((D189)-1,0))&lt;6)),1,0))</x:f>
        <x:v>111</x:v>
      </x:c>
      <x:c r="K189" s="22" t="str">
        <x:f>IF(C189=0,"不可回收",IF(AND((B189+C189-1+D189)&lt;9,OR((D189)=0,(MAX((B189)-1,0)+MAX((C189-1)-1,0)+MAX((D189)-1,0))&lt;6)),1,0)&amp;IF(AND((B189+C189-1+D189)&lt;9,OR((C189-1)=0,(MAX((B189)-1,0)+MAX((C189-1)-1,0)+MAX((D189)-1,0))&lt;6)),1,0)&amp;IF(AND((B189+C189-1+D189)&lt;9,OR((B189)=0,(MAX((B189)-1,0)+MAX((C189-1)-1,0)+MAX((D189)-1,0))&lt;6)),1,0))</x:f>
        <x:v>111</x:v>
      </x:c>
      <x:c r="L189" s="22" t="str">
        <x:f>IF(D189=0,"不可回收",IF(AND((B189+C189+D189-1)&lt;9,OR((D189-1)=0,(MAX((B189)-1,0)+MAX((C189)-1,0)+MAX((D189-1)-1,0))&lt;6)),1,0)&amp;IF(AND((B189+C189+D189-1)&lt;9,OR((C189)=0,(MAX((B189)-1,0)+MAX((C189)-1,0)+MAX((D189-1)-1,0))&lt;6)),1,0)&amp;IF(AND((B189+C189+D189-1)&lt;9,OR((B189)=0,(MAX((B189)-1,0)+MAX((C189)-1,0)+MAX((D189-1)-1,0))&lt;6)),1,0))</x:f>
        <x:v>111</x:v>
      </x:c>
      <x:c r="M189" s="18" t="n">
        <x:f>1+F189</x:f>
        <x:v>4</x:v>
      </x:c>
      <x:c r="N189" s="18" t="n">
        <x:f>COUNTIF('容量转换'!$B$8:$B$2447,A189)</x:f>
        <x:v>13</x:v>
      </x:c>
      <x:c r="O189" s="21" t="str">
        <x:f>IF(AND(MIN(B189:D189)&gt;=0,MAX(B189:D189)&lt;=7,H189&lt;=9),"合法","不合法")</x:f>
        <x:v>合法</x:v>
      </x:c>
    </x:row>
    <x:row r="190" ht="23" customHeight="1">
      <x:c r="A190" s="3" t="str">
        <x:v>ST-183</x:v>
      </x:c>
      <x:c r="B190" s="19" t="n">
        <x:v>4</x:v>
      </x:c>
      <x:c r="C190" s="19" t="n">
        <x:v>3</x:v>
      </x:c>
      <x:c r="D190" s="19" t="n">
        <x:v>2</x:v>
      </x:c>
      <x:c r="E190" s="20" t="n">
        <x:f>SUM(B190:D190)</x:f>
        <x:v>9</x:v>
      </x:c>
      <x:c r="F190" s="20" t="n">
        <x:f>COUNTIF(B190:D190,"&gt;0")</x:f>
        <x:v>3</x:v>
      </x:c>
      <x:c r="G190" s="20" t="n">
        <x:f>MAX(B190-1,0)+MAX(C190-1,0)+MAX(D190-1,0)</x:f>
        <x:v>6</x:v>
      </x:c>
      <x:c r="H190" s="20" t="n">
        <x:f>MAX(B190,1)+MAX(C190,1)+MAX(D190,1)</x:f>
        <x:v>9</x:v>
      </x:c>
      <x:c r="I190" s="22" t="str">
        <x:f>IF(AND((B190+C190+D190)&lt;9,OR((D190)=0,(MAX((B190)-1,0)+MAX((C190)-1,0)+MAX((D190)-1,0))&lt;6)),1,0)&amp;IF(AND((B190+C190+D190)&lt;9,OR((C190)=0,(MAX((B190)-1,0)+MAX((C190)-1,0)+MAX((D190)-1,0))&lt;6)),1,0)&amp;IF(AND((B190+C190+D190)&lt;9,OR((B190)=0,(MAX((B190)-1,0)+MAX((C190)-1,0)+MAX((D190)-1,0))&lt;6)),1,0)</x:f>
        <x:v>000</x:v>
      </x:c>
      <x:c r="J190" s="22" t="str">
        <x:f>IF(B190=0,"不可回收",IF(AND((B190-1+C190+D190)&lt;9,OR((D190)=0,(MAX((B190-1)-1,0)+MAX((C190)-1,0)+MAX((D190)-1,0))&lt;6)),1,0)&amp;IF(AND((B190-1+C190+D190)&lt;9,OR((C190)=0,(MAX((B190-1)-1,0)+MAX((C190)-1,0)+MAX((D190)-1,0))&lt;6)),1,0)&amp;IF(AND((B190-1+C190+D190)&lt;9,OR((B190-1)=0,(MAX((B190-1)-1,0)+MAX((C190)-1,0)+MAX((D190)-1,0))&lt;6)),1,0))</x:f>
        <x:v>111</x:v>
      </x:c>
      <x:c r="K190" s="22" t="str">
        <x:f>IF(C190=0,"不可回收",IF(AND((B190+C190-1+D190)&lt;9,OR((D190)=0,(MAX((B190)-1,0)+MAX((C190-1)-1,0)+MAX((D190)-1,0))&lt;6)),1,0)&amp;IF(AND((B190+C190-1+D190)&lt;9,OR((C190-1)=0,(MAX((B190)-1,0)+MAX((C190-1)-1,0)+MAX((D190)-1,0))&lt;6)),1,0)&amp;IF(AND((B190+C190-1+D190)&lt;9,OR((B190)=0,(MAX((B190)-1,0)+MAX((C190-1)-1,0)+MAX((D190)-1,0))&lt;6)),1,0))</x:f>
        <x:v>111</x:v>
      </x:c>
      <x:c r="L190" s="22" t="str">
        <x:f>IF(D190=0,"不可回收",IF(AND((B190+C190+D190-1)&lt;9,OR((D190-1)=0,(MAX((B190)-1,0)+MAX((C190)-1,0)+MAX((D190-1)-1,0))&lt;6)),1,0)&amp;IF(AND((B190+C190+D190-1)&lt;9,OR((C190)=0,(MAX((B190)-1,0)+MAX((C190)-1,0)+MAX((D190-1)-1,0))&lt;6)),1,0)&amp;IF(AND((B190+C190+D190-1)&lt;9,OR((B190)=0,(MAX((B190)-1,0)+MAX((C190)-1,0)+MAX((D190-1)-1,0))&lt;6)),1,0))</x:f>
        <x:v>111</x:v>
      </x:c>
      <x:c r="M190" s="18" t="n">
        <x:f>1+F190</x:f>
        <x:v>4</x:v>
      </x:c>
      <x:c r="N190" s="18" t="n">
        <x:f>COUNTIF('容量转换'!$B$8:$B$2447,A190)</x:f>
        <x:v>13</x:v>
      </x:c>
      <x:c r="O190" s="21" t="str">
        <x:f>IF(AND(MIN(B190:D190)&gt;=0,MAX(B190:D190)&lt;=7,H190&lt;=9),"合法","不合法")</x:f>
        <x:v>合法</x:v>
      </x:c>
    </x:row>
    <x:row r="191" ht="23" customHeight="1">
      <x:c r="A191" s="3" t="str">
        <x:v>ST-184</x:v>
      </x:c>
      <x:c r="B191" s="19" t="n">
        <x:v>4</x:v>
      </x:c>
      <x:c r="C191" s="19" t="n">
        <x:v>4</x:v>
      </x:c>
      <x:c r="D191" s="19" t="n">
        <x:v>1</x:v>
      </x:c>
      <x:c r="E191" s="20" t="n">
        <x:f>SUM(B191:D191)</x:f>
        <x:v>9</x:v>
      </x:c>
      <x:c r="F191" s="20" t="n">
        <x:f>COUNTIF(B191:D191,"&gt;0")</x:f>
        <x:v>3</x:v>
      </x:c>
      <x:c r="G191" s="20" t="n">
        <x:f>MAX(B191-1,0)+MAX(C191-1,0)+MAX(D191-1,0)</x:f>
        <x:v>6</x:v>
      </x:c>
      <x:c r="H191" s="20" t="n">
        <x:f>MAX(B191,1)+MAX(C191,1)+MAX(D191,1)</x:f>
        <x:v>9</x:v>
      </x:c>
      <x:c r="I191" s="22" t="str">
        <x:f>IF(AND((B191+C191+D191)&lt;9,OR((D191)=0,(MAX((B191)-1,0)+MAX((C191)-1,0)+MAX((D191)-1,0))&lt;6)),1,0)&amp;IF(AND((B191+C191+D191)&lt;9,OR((C191)=0,(MAX((B191)-1,0)+MAX((C191)-1,0)+MAX((D191)-1,0))&lt;6)),1,0)&amp;IF(AND((B191+C191+D191)&lt;9,OR((B191)=0,(MAX((B191)-1,0)+MAX((C191)-1,0)+MAX((D191)-1,0))&lt;6)),1,0)</x:f>
        <x:v>000</x:v>
      </x:c>
      <x:c r="J191" s="22" t="str">
        <x:f>IF(B191=0,"不可回收",IF(AND((B191-1+C191+D191)&lt;9,OR((D191)=0,(MAX((B191-1)-1,0)+MAX((C191)-1,0)+MAX((D191)-1,0))&lt;6)),1,0)&amp;IF(AND((B191-1+C191+D191)&lt;9,OR((C191)=0,(MAX((B191-1)-1,0)+MAX((C191)-1,0)+MAX((D191)-1,0))&lt;6)),1,0)&amp;IF(AND((B191-1+C191+D191)&lt;9,OR((B191-1)=0,(MAX((B191-1)-1,0)+MAX((C191)-1,0)+MAX((D191)-1,0))&lt;6)),1,0))</x:f>
        <x:v>111</x:v>
      </x:c>
      <x:c r="K191" s="22" t="str">
        <x:f>IF(C191=0,"不可回收",IF(AND((B191+C191-1+D191)&lt;9,OR((D191)=0,(MAX((B191)-1,0)+MAX((C191-1)-1,0)+MAX((D191)-1,0))&lt;6)),1,0)&amp;IF(AND((B191+C191-1+D191)&lt;9,OR((C191-1)=0,(MAX((B191)-1,0)+MAX((C191-1)-1,0)+MAX((D191)-1,0))&lt;6)),1,0)&amp;IF(AND((B191+C191-1+D191)&lt;9,OR((B191)=0,(MAX((B191)-1,0)+MAX((C191-1)-1,0)+MAX((D191)-1,0))&lt;6)),1,0))</x:f>
        <x:v>111</x:v>
      </x:c>
      <x:c r="L191" s="22" t="str">
        <x:f>IF(D191=0,"不可回收",IF(AND((B191+C191+D191-1)&lt;9,OR((D191-1)=0,(MAX((B191)-1,0)+MAX((C191)-1,0)+MAX((D191-1)-1,0))&lt;6)),1,0)&amp;IF(AND((B191+C191+D191-1)&lt;9,OR((C191)=0,(MAX((B191)-1,0)+MAX((C191)-1,0)+MAX((D191-1)-1,0))&lt;6)),1,0)&amp;IF(AND((B191+C191+D191-1)&lt;9,OR((B191)=0,(MAX((B191)-1,0)+MAX((C191)-1,0)+MAX((D191-1)-1,0))&lt;6)),1,0))</x:f>
        <x:v>100</x:v>
      </x:c>
      <x:c r="M191" s="18" t="n">
        <x:f>1+F191</x:f>
        <x:v>4</x:v>
      </x:c>
      <x:c r="N191" s="18" t="n">
        <x:f>COUNTIF('容量转换'!$B$8:$B$2447,A191)</x:f>
        <x:v>13</x:v>
      </x:c>
      <x:c r="O191" s="21" t="str">
        <x:f>IF(AND(MIN(B191:D191)&gt;=0,MAX(B191:D191)&lt;=7,H191&lt;=9),"合法","不合法")</x:f>
        <x:v>合法</x:v>
      </x:c>
    </x:row>
    <x:row r="192" ht="23" customHeight="1">
      <x:c r="A192" s="3" t="str">
        <x:v>ST-185</x:v>
      </x:c>
      <x:c r="B192" s="19" t="n">
        <x:v>5</x:v>
      </x:c>
      <x:c r="C192" s="19" t="n">
        <x:v>1</x:v>
      </x:c>
      <x:c r="D192" s="19" t="n">
        <x:v>3</x:v>
      </x:c>
      <x:c r="E192" s="20" t="n">
        <x:f>SUM(B192:D192)</x:f>
        <x:v>9</x:v>
      </x:c>
      <x:c r="F192" s="20" t="n">
        <x:f>COUNTIF(B192:D192,"&gt;0")</x:f>
        <x:v>3</x:v>
      </x:c>
      <x:c r="G192" s="20" t="n">
        <x:f>MAX(B192-1,0)+MAX(C192-1,0)+MAX(D192-1,0)</x:f>
        <x:v>6</x:v>
      </x:c>
      <x:c r="H192" s="20" t="n">
        <x:f>MAX(B192,1)+MAX(C192,1)+MAX(D192,1)</x:f>
        <x:v>9</x:v>
      </x:c>
      <x:c r="I192" s="22" t="str">
        <x:f>IF(AND((B192+C192+D192)&lt;9,OR((D192)=0,(MAX((B192)-1,0)+MAX((C192)-1,0)+MAX((D192)-1,0))&lt;6)),1,0)&amp;IF(AND((B192+C192+D192)&lt;9,OR((C192)=0,(MAX((B192)-1,0)+MAX((C192)-1,0)+MAX((D192)-1,0))&lt;6)),1,0)&amp;IF(AND((B192+C192+D192)&lt;9,OR((B192)=0,(MAX((B192)-1,0)+MAX((C192)-1,0)+MAX((D192)-1,0))&lt;6)),1,0)</x:f>
        <x:v>000</x:v>
      </x:c>
      <x:c r="J192" s="22" t="str">
        <x:f>IF(B192=0,"不可回收",IF(AND((B192-1+C192+D192)&lt;9,OR((D192)=0,(MAX((B192-1)-1,0)+MAX((C192)-1,0)+MAX((D192)-1,0))&lt;6)),1,0)&amp;IF(AND((B192-1+C192+D192)&lt;9,OR((C192)=0,(MAX((B192-1)-1,0)+MAX((C192)-1,0)+MAX((D192)-1,0))&lt;6)),1,0)&amp;IF(AND((B192-1+C192+D192)&lt;9,OR((B192-1)=0,(MAX((B192-1)-1,0)+MAX((C192)-1,0)+MAX((D192)-1,0))&lt;6)),1,0))</x:f>
        <x:v>111</x:v>
      </x:c>
      <x:c r="K192" s="22" t="str">
        <x:f>IF(C192=0,"不可回收",IF(AND((B192+C192-1+D192)&lt;9,OR((D192)=0,(MAX((B192)-1,0)+MAX((C192-1)-1,0)+MAX((D192)-1,0))&lt;6)),1,0)&amp;IF(AND((B192+C192-1+D192)&lt;9,OR((C192-1)=0,(MAX((B192)-1,0)+MAX((C192-1)-1,0)+MAX((D192)-1,0))&lt;6)),1,0)&amp;IF(AND((B192+C192-1+D192)&lt;9,OR((B192)=0,(MAX((B192)-1,0)+MAX((C192-1)-1,0)+MAX((D192)-1,0))&lt;6)),1,0))</x:f>
        <x:v>010</x:v>
      </x:c>
      <x:c r="L192" s="22" t="str">
        <x:f>IF(D192=0,"不可回收",IF(AND((B192+C192+D192-1)&lt;9,OR((D192-1)=0,(MAX((B192)-1,0)+MAX((C192)-1,0)+MAX((D192-1)-1,0))&lt;6)),1,0)&amp;IF(AND((B192+C192+D192-1)&lt;9,OR((C192)=0,(MAX((B192)-1,0)+MAX((C192)-1,0)+MAX((D192-1)-1,0))&lt;6)),1,0)&amp;IF(AND((B192+C192+D192-1)&lt;9,OR((B192)=0,(MAX((B192)-1,0)+MAX((C192)-1,0)+MAX((D192-1)-1,0))&lt;6)),1,0))</x:f>
        <x:v>111</x:v>
      </x:c>
      <x:c r="M192" s="18" t="n">
        <x:f>1+F192</x:f>
        <x:v>4</x:v>
      </x:c>
      <x:c r="N192" s="18" t="n">
        <x:f>COUNTIF('容量转换'!$B$8:$B$2447,A192)</x:f>
        <x:v>13</x:v>
      </x:c>
      <x:c r="O192" s="21" t="str">
        <x:f>IF(AND(MIN(B192:D192)&gt;=0,MAX(B192:D192)&lt;=7,H192&lt;=9),"合法","不合法")</x:f>
        <x:v>合法</x:v>
      </x:c>
    </x:row>
    <x:row r="193" ht="23" customHeight="1">
      <x:c r="A193" s="3" t="str">
        <x:v>ST-186</x:v>
      </x:c>
      <x:c r="B193" s="19" t="n">
        <x:v>5</x:v>
      </x:c>
      <x:c r="C193" s="19" t="n">
        <x:v>2</x:v>
      </x:c>
      <x:c r="D193" s="19" t="n">
        <x:v>2</x:v>
      </x:c>
      <x:c r="E193" s="20" t="n">
        <x:f>SUM(B193:D193)</x:f>
        <x:v>9</x:v>
      </x:c>
      <x:c r="F193" s="20" t="n">
        <x:f>COUNTIF(B193:D193,"&gt;0")</x:f>
        <x:v>3</x:v>
      </x:c>
      <x:c r="G193" s="20" t="n">
        <x:f>MAX(B193-1,0)+MAX(C193-1,0)+MAX(D193-1,0)</x:f>
        <x:v>6</x:v>
      </x:c>
      <x:c r="H193" s="20" t="n">
        <x:f>MAX(B193,1)+MAX(C193,1)+MAX(D193,1)</x:f>
        <x:v>9</x:v>
      </x:c>
      <x:c r="I193" s="22" t="str">
        <x:f>IF(AND((B193+C193+D193)&lt;9,OR((D193)=0,(MAX((B193)-1,0)+MAX((C193)-1,0)+MAX((D193)-1,0))&lt;6)),1,0)&amp;IF(AND((B193+C193+D193)&lt;9,OR((C193)=0,(MAX((B193)-1,0)+MAX((C193)-1,0)+MAX((D193)-1,0))&lt;6)),1,0)&amp;IF(AND((B193+C193+D193)&lt;9,OR((B193)=0,(MAX((B193)-1,0)+MAX((C193)-1,0)+MAX((D193)-1,0))&lt;6)),1,0)</x:f>
        <x:v>000</x:v>
      </x:c>
      <x:c r="J193" s="22" t="str">
        <x:f>IF(B193=0,"不可回收",IF(AND((B193-1+C193+D193)&lt;9,OR((D193)=0,(MAX((B193-1)-1,0)+MAX((C193)-1,0)+MAX((D193)-1,0))&lt;6)),1,0)&amp;IF(AND((B193-1+C193+D193)&lt;9,OR((C193)=0,(MAX((B193-1)-1,0)+MAX((C193)-1,0)+MAX((D193)-1,0))&lt;6)),1,0)&amp;IF(AND((B193-1+C193+D193)&lt;9,OR((B193-1)=0,(MAX((B193-1)-1,0)+MAX((C193)-1,0)+MAX((D193)-1,0))&lt;6)),1,0))</x:f>
        <x:v>111</x:v>
      </x:c>
      <x:c r="K193" s="22" t="str">
        <x:f>IF(C193=0,"不可回收",IF(AND((B193+C193-1+D193)&lt;9,OR((D193)=0,(MAX((B193)-1,0)+MAX((C193-1)-1,0)+MAX((D193)-1,0))&lt;6)),1,0)&amp;IF(AND((B193+C193-1+D193)&lt;9,OR((C193-1)=0,(MAX((B193)-1,0)+MAX((C193-1)-1,0)+MAX((D193)-1,0))&lt;6)),1,0)&amp;IF(AND((B193+C193-1+D193)&lt;9,OR((B193)=0,(MAX((B193)-1,0)+MAX((C193-1)-1,0)+MAX((D193)-1,0))&lt;6)),1,0))</x:f>
        <x:v>111</x:v>
      </x:c>
      <x:c r="L193" s="22" t="str">
        <x:f>IF(D193=0,"不可回收",IF(AND((B193+C193+D193-1)&lt;9,OR((D193-1)=0,(MAX((B193)-1,0)+MAX((C193)-1,0)+MAX((D193-1)-1,0))&lt;6)),1,0)&amp;IF(AND((B193+C193+D193-1)&lt;9,OR((C193)=0,(MAX((B193)-1,0)+MAX((C193)-1,0)+MAX((D193-1)-1,0))&lt;6)),1,0)&amp;IF(AND((B193+C193+D193-1)&lt;9,OR((B193)=0,(MAX((B193)-1,0)+MAX((C193)-1,0)+MAX((D193-1)-1,0))&lt;6)),1,0))</x:f>
        <x:v>111</x:v>
      </x:c>
      <x:c r="M193" s="18" t="n">
        <x:f>1+F193</x:f>
        <x:v>4</x:v>
      </x:c>
      <x:c r="N193" s="18" t="n">
        <x:f>COUNTIF('容量转换'!$B$8:$B$2447,A193)</x:f>
        <x:v>13</x:v>
      </x:c>
      <x:c r="O193" s="21" t="str">
        <x:f>IF(AND(MIN(B193:D193)&gt;=0,MAX(B193:D193)&lt;=7,H193&lt;=9),"合法","不合法")</x:f>
        <x:v>合法</x:v>
      </x:c>
    </x:row>
    <x:row r="194" ht="23" customHeight="1">
      <x:c r="A194" s="3" t="str">
        <x:v>ST-187</x:v>
      </x:c>
      <x:c r="B194" s="19" t="n">
        <x:v>5</x:v>
      </x:c>
      <x:c r="C194" s="19" t="n">
        <x:v>3</x:v>
      </x:c>
      <x:c r="D194" s="19" t="n">
        <x:v>1</x:v>
      </x:c>
      <x:c r="E194" s="20" t="n">
        <x:f>SUM(B194:D194)</x:f>
        <x:v>9</x:v>
      </x:c>
      <x:c r="F194" s="20" t="n">
        <x:f>COUNTIF(B194:D194,"&gt;0")</x:f>
        <x:v>3</x:v>
      </x:c>
      <x:c r="G194" s="20" t="n">
        <x:f>MAX(B194-1,0)+MAX(C194-1,0)+MAX(D194-1,0)</x:f>
        <x:v>6</x:v>
      </x:c>
      <x:c r="H194" s="20" t="n">
        <x:f>MAX(B194,1)+MAX(C194,1)+MAX(D194,1)</x:f>
        <x:v>9</x:v>
      </x:c>
      <x:c r="I194" s="22" t="str">
        <x:f>IF(AND((B194+C194+D194)&lt;9,OR((D194)=0,(MAX((B194)-1,0)+MAX((C194)-1,0)+MAX((D194)-1,0))&lt;6)),1,0)&amp;IF(AND((B194+C194+D194)&lt;9,OR((C194)=0,(MAX((B194)-1,0)+MAX((C194)-1,0)+MAX((D194)-1,0))&lt;6)),1,0)&amp;IF(AND((B194+C194+D194)&lt;9,OR((B194)=0,(MAX((B194)-1,0)+MAX((C194)-1,0)+MAX((D194)-1,0))&lt;6)),1,0)</x:f>
        <x:v>000</x:v>
      </x:c>
      <x:c r="J194" s="22" t="str">
        <x:f>IF(B194=0,"不可回收",IF(AND((B194-1+C194+D194)&lt;9,OR((D194)=0,(MAX((B194-1)-1,0)+MAX((C194)-1,0)+MAX((D194)-1,0))&lt;6)),1,0)&amp;IF(AND((B194-1+C194+D194)&lt;9,OR((C194)=0,(MAX((B194-1)-1,0)+MAX((C194)-1,0)+MAX((D194)-1,0))&lt;6)),1,0)&amp;IF(AND((B194-1+C194+D194)&lt;9,OR((B194-1)=0,(MAX((B194-1)-1,0)+MAX((C194)-1,0)+MAX((D194)-1,0))&lt;6)),1,0))</x:f>
        <x:v>111</x:v>
      </x:c>
      <x:c r="K194" s="22" t="str">
        <x:f>IF(C194=0,"不可回收",IF(AND((B194+C194-1+D194)&lt;9,OR((D194)=0,(MAX((B194)-1,0)+MAX((C194-1)-1,0)+MAX((D194)-1,0))&lt;6)),1,0)&amp;IF(AND((B194+C194-1+D194)&lt;9,OR((C194-1)=0,(MAX((B194)-1,0)+MAX((C194-1)-1,0)+MAX((D194)-1,0))&lt;6)),1,0)&amp;IF(AND((B194+C194-1+D194)&lt;9,OR((B194)=0,(MAX((B194)-1,0)+MAX((C194-1)-1,0)+MAX((D194)-1,0))&lt;6)),1,0))</x:f>
        <x:v>111</x:v>
      </x:c>
      <x:c r="L194" s="22" t="str">
        <x:f>IF(D194=0,"不可回收",IF(AND((B194+C194+D194-1)&lt;9,OR((D194-1)=0,(MAX((B194)-1,0)+MAX((C194)-1,0)+MAX((D194-1)-1,0))&lt;6)),1,0)&amp;IF(AND((B194+C194+D194-1)&lt;9,OR((C194)=0,(MAX((B194)-1,0)+MAX((C194)-1,0)+MAX((D194-1)-1,0))&lt;6)),1,0)&amp;IF(AND((B194+C194+D194-1)&lt;9,OR((B194)=0,(MAX((B194)-1,0)+MAX((C194)-1,0)+MAX((D194-1)-1,0))&lt;6)),1,0))</x:f>
        <x:v>100</x:v>
      </x:c>
      <x:c r="M194" s="18" t="n">
        <x:f>1+F194</x:f>
        <x:v>4</x:v>
      </x:c>
      <x:c r="N194" s="18" t="n">
        <x:f>COUNTIF('容量转换'!$B$8:$B$2447,A194)</x:f>
        <x:v>13</x:v>
      </x:c>
      <x:c r="O194" s="21" t="str">
        <x:f>IF(AND(MIN(B194:D194)&gt;=0,MAX(B194:D194)&lt;=7,H194&lt;=9),"合法","不合法")</x:f>
        <x:v>合法</x:v>
      </x:c>
    </x:row>
    <x:row r="195" ht="23" customHeight="1">
      <x:c r="A195" s="3" t="str">
        <x:v>ST-188</x:v>
      </x:c>
      <x:c r="B195" s="19" t="n">
        <x:v>6</x:v>
      </x:c>
      <x:c r="C195" s="19" t="n">
        <x:v>1</x:v>
      </x:c>
      <x:c r="D195" s="19" t="n">
        <x:v>2</x:v>
      </x:c>
      <x:c r="E195" s="20" t="n">
        <x:f>SUM(B195:D195)</x:f>
        <x:v>9</x:v>
      </x:c>
      <x:c r="F195" s="20" t="n">
        <x:f>COUNTIF(B195:D195,"&gt;0")</x:f>
        <x:v>3</x:v>
      </x:c>
      <x:c r="G195" s="20" t="n">
        <x:f>MAX(B195-1,0)+MAX(C195-1,0)+MAX(D195-1,0)</x:f>
        <x:v>6</x:v>
      </x:c>
      <x:c r="H195" s="20" t="n">
        <x:f>MAX(B195,1)+MAX(C195,1)+MAX(D195,1)</x:f>
        <x:v>9</x:v>
      </x:c>
      <x:c r="I195" s="22" t="str">
        <x:f>IF(AND((B195+C195+D195)&lt;9,OR((D195)=0,(MAX((B195)-1,0)+MAX((C195)-1,0)+MAX((D195)-1,0))&lt;6)),1,0)&amp;IF(AND((B195+C195+D195)&lt;9,OR((C195)=0,(MAX((B195)-1,0)+MAX((C195)-1,0)+MAX((D195)-1,0))&lt;6)),1,0)&amp;IF(AND((B195+C195+D195)&lt;9,OR((B195)=0,(MAX((B195)-1,0)+MAX((C195)-1,0)+MAX((D195)-1,0))&lt;6)),1,0)</x:f>
        <x:v>000</x:v>
      </x:c>
      <x:c r="J195" s="22" t="str">
        <x:f>IF(B195=0,"不可回收",IF(AND((B195-1+C195+D195)&lt;9,OR((D195)=0,(MAX((B195-1)-1,0)+MAX((C195)-1,0)+MAX((D195)-1,0))&lt;6)),1,0)&amp;IF(AND((B195-1+C195+D195)&lt;9,OR((C195)=0,(MAX((B195-1)-1,0)+MAX((C195)-1,0)+MAX((D195)-1,0))&lt;6)),1,0)&amp;IF(AND((B195-1+C195+D195)&lt;9,OR((B195-1)=0,(MAX((B195-1)-1,0)+MAX((C195)-1,0)+MAX((D195)-1,0))&lt;6)),1,0))</x:f>
        <x:v>111</x:v>
      </x:c>
      <x:c r="K195" s="22" t="str">
        <x:f>IF(C195=0,"不可回收",IF(AND((B195+C195-1+D195)&lt;9,OR((D195)=0,(MAX((B195)-1,0)+MAX((C195-1)-1,0)+MAX((D195)-1,0))&lt;6)),1,0)&amp;IF(AND((B195+C195-1+D195)&lt;9,OR((C195-1)=0,(MAX((B195)-1,0)+MAX((C195-1)-1,0)+MAX((D195)-1,0))&lt;6)),1,0)&amp;IF(AND((B195+C195-1+D195)&lt;9,OR((B195)=0,(MAX((B195)-1,0)+MAX((C195-1)-1,0)+MAX((D195)-1,0))&lt;6)),1,0))</x:f>
        <x:v>010</x:v>
      </x:c>
      <x:c r="L195" s="22" t="str">
        <x:f>IF(D195=0,"不可回收",IF(AND((B195+C195+D195-1)&lt;9,OR((D195-1)=0,(MAX((B195)-1,0)+MAX((C195)-1,0)+MAX((D195-1)-1,0))&lt;6)),1,0)&amp;IF(AND((B195+C195+D195-1)&lt;9,OR((C195)=0,(MAX((B195)-1,0)+MAX((C195)-1,0)+MAX((D195-1)-1,0))&lt;6)),1,0)&amp;IF(AND((B195+C195+D195-1)&lt;9,OR((B195)=0,(MAX((B195)-1,0)+MAX((C195)-1,0)+MAX((D195-1)-1,0))&lt;6)),1,0))</x:f>
        <x:v>111</x:v>
      </x:c>
      <x:c r="M195" s="18" t="n">
        <x:f>1+F195</x:f>
        <x:v>4</x:v>
      </x:c>
      <x:c r="N195" s="18" t="n">
        <x:f>COUNTIF('容量转换'!$B$8:$B$2447,A195)</x:f>
        <x:v>13</x:v>
      </x:c>
      <x:c r="O195" s="21" t="str">
        <x:f>IF(AND(MIN(B195:D195)&gt;=0,MAX(B195:D195)&lt;=7,H195&lt;=9),"合法","不合法")</x:f>
        <x:v>合法</x:v>
      </x:c>
    </x:row>
    <x:row r="196" ht="23" customHeight="1">
      <x:c r="A196" s="3" t="str">
        <x:v>ST-189</x:v>
      </x:c>
      <x:c r="B196" s="19" t="n">
        <x:v>6</x:v>
      </x:c>
      <x:c r="C196" s="19" t="n">
        <x:v>2</x:v>
      </x:c>
      <x:c r="D196" s="19" t="n">
        <x:v>1</x:v>
      </x:c>
      <x:c r="E196" s="20" t="n">
        <x:f>SUM(B196:D196)</x:f>
        <x:v>9</x:v>
      </x:c>
      <x:c r="F196" s="20" t="n">
        <x:f>COUNTIF(B196:D196,"&gt;0")</x:f>
        <x:v>3</x:v>
      </x:c>
      <x:c r="G196" s="20" t="n">
        <x:f>MAX(B196-1,0)+MAX(C196-1,0)+MAX(D196-1,0)</x:f>
        <x:v>6</x:v>
      </x:c>
      <x:c r="H196" s="20" t="n">
        <x:f>MAX(B196,1)+MAX(C196,1)+MAX(D196,1)</x:f>
        <x:v>9</x:v>
      </x:c>
      <x:c r="I196" s="22" t="str">
        <x:f>IF(AND((B196+C196+D196)&lt;9,OR((D196)=0,(MAX((B196)-1,0)+MAX((C196)-1,0)+MAX((D196)-1,0))&lt;6)),1,0)&amp;IF(AND((B196+C196+D196)&lt;9,OR((C196)=0,(MAX((B196)-1,0)+MAX((C196)-1,0)+MAX((D196)-1,0))&lt;6)),1,0)&amp;IF(AND((B196+C196+D196)&lt;9,OR((B196)=0,(MAX((B196)-1,0)+MAX((C196)-1,0)+MAX((D196)-1,0))&lt;6)),1,0)</x:f>
        <x:v>000</x:v>
      </x:c>
      <x:c r="J196" s="22" t="str">
        <x:f>IF(B196=0,"不可回收",IF(AND((B196-1+C196+D196)&lt;9,OR((D196)=0,(MAX((B196-1)-1,0)+MAX((C196)-1,0)+MAX((D196)-1,0))&lt;6)),1,0)&amp;IF(AND((B196-1+C196+D196)&lt;9,OR((C196)=0,(MAX((B196-1)-1,0)+MAX((C196)-1,0)+MAX((D196)-1,0))&lt;6)),1,0)&amp;IF(AND((B196-1+C196+D196)&lt;9,OR((B196-1)=0,(MAX((B196-1)-1,0)+MAX((C196)-1,0)+MAX((D196)-1,0))&lt;6)),1,0))</x:f>
        <x:v>111</x:v>
      </x:c>
      <x:c r="K196" s="22" t="str">
        <x:f>IF(C196=0,"不可回收",IF(AND((B196+C196-1+D196)&lt;9,OR((D196)=0,(MAX((B196)-1,0)+MAX((C196-1)-1,0)+MAX((D196)-1,0))&lt;6)),1,0)&amp;IF(AND((B196+C196-1+D196)&lt;9,OR((C196-1)=0,(MAX((B196)-1,0)+MAX((C196-1)-1,0)+MAX((D196)-1,0))&lt;6)),1,0)&amp;IF(AND((B196+C196-1+D196)&lt;9,OR((B196)=0,(MAX((B196)-1,0)+MAX((C196-1)-1,0)+MAX((D196)-1,0))&lt;6)),1,0))</x:f>
        <x:v>111</x:v>
      </x:c>
      <x:c r="L196" s="22" t="str">
        <x:f>IF(D196=0,"不可回收",IF(AND((B196+C196+D196-1)&lt;9,OR((D196-1)=0,(MAX((B196)-1,0)+MAX((C196)-1,0)+MAX((D196-1)-1,0))&lt;6)),1,0)&amp;IF(AND((B196+C196+D196-1)&lt;9,OR((C196)=0,(MAX((B196)-1,0)+MAX((C196)-1,0)+MAX((D196-1)-1,0))&lt;6)),1,0)&amp;IF(AND((B196+C196+D196-1)&lt;9,OR((B196)=0,(MAX((B196)-1,0)+MAX((C196)-1,0)+MAX((D196-1)-1,0))&lt;6)),1,0))</x:f>
        <x:v>100</x:v>
      </x:c>
      <x:c r="M196" s="18" t="n">
        <x:f>1+F196</x:f>
        <x:v>4</x:v>
      </x:c>
      <x:c r="N196" s="18" t="n">
        <x:f>COUNTIF('容量转换'!$B$8:$B$2447,A196)</x:f>
        <x:v>13</x:v>
      </x:c>
      <x:c r="O196" s="21" t="str">
        <x:f>IF(AND(MIN(B196:D196)&gt;=0,MAX(B196:D196)&lt;=7,H196&lt;=9),"合法","不合法")</x:f>
        <x:v>合法</x:v>
      </x:c>
    </x:row>
    <x:row r="197" ht="23" customHeight="1">
      <x:c r="A197" s="3" t="str">
        <x:v>ST-190</x:v>
      </x:c>
      <x:c r="B197" s="19" t="n">
        <x:v>7</x:v>
      </x:c>
      <x:c r="C197" s="19" t="n">
        <x:v>1</x:v>
      </x:c>
      <x:c r="D197" s="19" t="n">
        <x:v>1</x:v>
      </x:c>
      <x:c r="E197" s="20" t="n">
        <x:f>SUM(B197:D197)</x:f>
        <x:v>9</x:v>
      </x:c>
      <x:c r="F197" s="20" t="n">
        <x:f>COUNTIF(B197:D197,"&gt;0")</x:f>
        <x:v>3</x:v>
      </x:c>
      <x:c r="G197" s="20" t="n">
        <x:f>MAX(B197-1,0)+MAX(C197-1,0)+MAX(D197-1,0)</x:f>
        <x:v>6</x:v>
      </x:c>
      <x:c r="H197" s="20" t="n">
        <x:f>MAX(B197,1)+MAX(C197,1)+MAX(D197,1)</x:f>
        <x:v>9</x:v>
      </x:c>
      <x:c r="I197" s="22" t="str">
        <x:f>IF(AND((B197+C197+D197)&lt;9,OR((D197)=0,(MAX((B197)-1,0)+MAX((C197)-1,0)+MAX((D197)-1,0))&lt;6)),1,0)&amp;IF(AND((B197+C197+D197)&lt;9,OR((C197)=0,(MAX((B197)-1,0)+MAX((C197)-1,0)+MAX((D197)-1,0))&lt;6)),1,0)&amp;IF(AND((B197+C197+D197)&lt;9,OR((B197)=0,(MAX((B197)-1,0)+MAX((C197)-1,0)+MAX((D197)-1,0))&lt;6)),1,0)</x:f>
        <x:v>000</x:v>
      </x:c>
      <x:c r="J197" s="22" t="str">
        <x:f>IF(B197=0,"不可回收",IF(AND((B197-1+C197+D197)&lt;9,OR((D197)=0,(MAX((B197-1)-1,0)+MAX((C197)-1,0)+MAX((D197)-1,0))&lt;6)),1,0)&amp;IF(AND((B197-1+C197+D197)&lt;9,OR((C197)=0,(MAX((B197-1)-1,0)+MAX((C197)-1,0)+MAX((D197)-1,0))&lt;6)),1,0)&amp;IF(AND((B197-1+C197+D197)&lt;9,OR((B197-1)=0,(MAX((B197-1)-1,0)+MAX((C197)-1,0)+MAX((D197)-1,0))&lt;6)),1,0))</x:f>
        <x:v>111</x:v>
      </x:c>
      <x:c r="K197" s="22" t="str">
        <x:f>IF(C197=0,"不可回收",IF(AND((B197+C197-1+D197)&lt;9,OR((D197)=0,(MAX((B197)-1,0)+MAX((C197-1)-1,0)+MAX((D197)-1,0))&lt;6)),1,0)&amp;IF(AND((B197+C197-1+D197)&lt;9,OR((C197-1)=0,(MAX((B197)-1,0)+MAX((C197-1)-1,0)+MAX((D197)-1,0))&lt;6)),1,0)&amp;IF(AND((B197+C197-1+D197)&lt;9,OR((B197)=0,(MAX((B197)-1,0)+MAX((C197-1)-1,0)+MAX((D197)-1,0))&lt;6)),1,0))</x:f>
        <x:v>010</x:v>
      </x:c>
      <x:c r="L197" s="22" t="str">
        <x:f>IF(D197=0,"不可回收",IF(AND((B197+C197+D197-1)&lt;9,OR((D197-1)=0,(MAX((B197)-1,0)+MAX((C197)-1,0)+MAX((D197-1)-1,0))&lt;6)),1,0)&amp;IF(AND((B197+C197+D197-1)&lt;9,OR((C197)=0,(MAX((B197)-1,0)+MAX((C197)-1,0)+MAX((D197-1)-1,0))&lt;6)),1,0)&amp;IF(AND((B197+C197+D197-1)&lt;9,OR((B197)=0,(MAX((B197)-1,0)+MAX((C197)-1,0)+MAX((D197-1)-1,0))&lt;6)),1,0))</x:f>
        <x:v>100</x:v>
      </x:c>
      <x:c r="M197" s="18" t="n">
        <x:f>1+F197</x:f>
        <x:v>4</x:v>
      </x:c>
      <x:c r="N197" s="18" t="n">
        <x:f>COUNTIF('容量转换'!$B$8:$B$2447,A197)</x:f>
        <x:v>13</x:v>
      </x:c>
      <x:c r="O197" s="21" t="str">
        <x:f>IF(AND(MIN(B197:D197)&gt;=0,MAX(B197:D197)&lt;=7,H197&lt;=9),"合法","不合法")</x:f>
        <x:v>合法</x:v>
      </x:c>
    </x:row>
  </x:sheetData>
  <x:conditionalFormatting sqref="I8:L197">
    <x:cfRule type="containsText" dxfId="2" priority="1" operator="containsText" text="不可回收"/>
  </x:conditionalFormatting>
  <x:conditionalFormatting sqref="O8:O197">
    <x:cfRule type="containsText" dxfId="3" priority="2" operator="containsText" text="不合法"/>
  </x:conditionalFormatting>
  <x:pageMargins left="0.7" right="0.7" top="0.75" bottom="0.75" header="0.3" footer="0.3"/>
  <x:tableParts count="1">
    <x:tablePart xmlns:r="http://schemas.openxmlformats.org/officeDocument/2006/relationships" r:id="R5abba16aba9c45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30000114440918" hidden="0" customWidth="1"/>
    <x:col min="2" max="2" width="12.5" hidden="0" customWidth="1"/>
    <x:col min="3" max="3" width="19.3799991607666" hidden="0" customWidth="1"/>
    <x:col min="4" max="4" width="7.5" hidden="0" customWidth="1"/>
    <x:col min="5" max="5" width="7.5" hidden="0" customWidth="1"/>
    <x:col min="6" max="6" width="7.5" hidden="0" customWidth="1"/>
    <x:col min="7" max="7" width="10" hidden="0" customWidth="1"/>
    <x:col min="8" max="8" width="11.25" hidden="0" customWidth="1"/>
    <x:col min="9" max="9" width="10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11.88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13.130000114440918" hidden="0" customWidth="1"/>
    <x:col min="19" max="19" width="10.630000114440918" hidden="0" customWidth="1"/>
    <x:col min="20" max="20" width="8.75" hidden="0" customWidth="1"/>
    <x:col min="21" max="21" width="8.75" hidden="0" customWidth="1"/>
    <x:col min="22" max="22" width="8.75" hidden="0" customWidth="1"/>
    <x:col min="23" max="23" width="10.630000114440918" hidden="0" customWidth="1"/>
    <x:col min="24" max="24" width="10.630000114440918" hidden="0" customWidth="1"/>
    <x:col min="25" max="25" width="12.5" hidden="0" customWidth="1"/>
    <x:col min="26" max="26" width="1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2" customHeight="1">
      <x:c r="A2" s="7" t="str">
        <x:v>容量转换：2440 种 AR / R 动作</x:v>
      </x:c>
      <x:c r="B2" s="8"/>
      <x:c r="C2" s="8"/>
      <x:c r="D2" s="8"/>
      <x:c r="E2" s="8"/>
      <x:c r="F2" s="8"/>
      <x:c r="G2" s="8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23" customHeight="1">
      <x:c r="A3" s="9" t="str">
        <x:v>黄色 D:F、H:J 是每行输入；其余结果为公式。R 来源“-”表示无 R；arvalid=0 时 src 全部合并为一类。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23" customHeight="1">
      <x:c r="A4" s="9" t="str">
        <x:v>先减本拍 R 得到 M0/M1/M2，再算 ready；A = arvalid &amp;&amp; src合法 &amp;&amp; ready[src]；最后将 A 加到选中来源。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23" customHeight="1">
      <x:c r="A5" s="9" t="str">
        <x:v>修改输入只用于试算，原 CT/ST 编号和枚举完整性不再适用。右侧“合法”只核对容量/输入规则，不是 RTL PASS。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42" customHeight="1">
      <x:c r="A7" s="13" t="str">
        <x:v>转换编号</x:v>
      </x:c>
      <x:c r="B7" s="14" t="str">
        <x:v>原状态编号</x:v>
      </x:c>
      <x:c r="C7" s="14" t="str">
        <x:v>动作分类</x:v>
      </x:c>
      <x:c r="D7" s="14" t="str">
        <x:v>N0</x:v>
      </x:c>
      <x:c r="E7" s="14" t="str">
        <x:v>N1</x:v>
      </x:c>
      <x:c r="F7" s="14" t="str">
        <x:v>N2</x:v>
      </x:c>
      <x:c r="G7" s="14" t="str">
        <x:v>N 总量</x:v>
      </x:c>
      <x:c r="H7" s="14" t="str">
        <x:v>R 来源</x:v>
      </x:c>
      <x:c r="I7" s="14" t="str">
        <x:v>arvalid</x:v>
      </x:c>
      <x:c r="J7" s="14" t="str">
        <x:v>src</x:v>
      </x:c>
      <x:c r="K7" s="14" t="str">
        <x:v>M0</x:v>
      </x:c>
      <x:c r="L7" s="14" t="str">
        <x:v>M1</x:v>
      </x:c>
      <x:c r="M7" s="14" t="str">
        <x:v>M2</x:v>
      </x:c>
      <x:c r="N7" s="14" t="str">
        <x:v>R 后共享量</x:v>
      </x:c>
      <x:c r="O7" s="14" t="str">
        <x:v>ready[2]</x:v>
      </x:c>
      <x:c r="P7" s="14" t="str">
        <x:v>ready[1]</x:v>
      </x:c>
      <x:c r="Q7" s="14" t="str">
        <x:v>ready[0]</x:v>
      </x:c>
      <x:c r="R7" s="14" t="str">
        <x:v>arready[2:0]</x:v>
      </x:c>
      <x:c r="S7" s="14" t="str">
        <x:v>AR 接收 A</x:v>
      </x:c>
      <x:c r="T7" s="14" t="str">
        <x:v>下一 N0</x:v>
      </x:c>
      <x:c r="U7" s="14" t="str">
        <x:v>下一 N1</x:v>
      </x:c>
      <x:c r="V7" s="14" t="str">
        <x:v>下一 N2</x:v>
      </x:c>
      <x:c r="W7" s="14" t="str">
        <x:v>下一总量</x:v>
      </x:c>
      <x:c r="X7" s="14" t="str">
        <x:v>总量变化</x:v>
      </x:c>
      <x:c r="Y7" s="14" t="str">
        <x:v>下一保留量</x:v>
      </x:c>
      <x:c r="Z7" s="15" t="str">
        <x:v>输入/容量规则</x:v>
      </x:c>
    </x:row>
    <x:row r="8" ht="23" customHeight="1">
      <x:c r="A8" s="3" t="str">
        <x:v>CT-0001</x:v>
      </x:c>
      <x:c r="B8" s="3" t="str">
        <x:v>ST-001</x:v>
      </x:c>
      <x:c r="C8" s="3" t="str">
        <x:v>无AR/R</x:v>
      </x:c>
      <x:c r="D8" s="25" t="n">
        <x:v>0</x:v>
      </x:c>
      <x:c r="E8" s="25" t="n">
        <x:v>0</x:v>
      </x:c>
      <x:c r="F8" s="25" t="n">
        <x:v>0</x:v>
      </x:c>
      <x:c r="G8" s="19" t="n">
        <x:f>SUM(D8:F8)</x:f>
        <x:v>0</x:v>
      </x:c>
      <x:c r="H8" s="25" t="str">
        <x:v>-</x:v>
      </x:c>
      <x:c r="I8" s="25" t="n">
        <x:v>0</x:v>
      </x:c>
      <x:c r="J8" s="25" t="str">
        <x:v>-</x:v>
      </x:c>
      <x:c r="K8" s="19" t="n">
        <x:f>D8-IF(H8=0,1,0)</x:f>
        <x:v>0</x:v>
      </x:c>
      <x:c r="L8" s="19" t="n">
        <x:f>E8-IF(H8=1,1,0)</x:f>
        <x:v>0</x:v>
      </x:c>
      <x:c r="M8" s="19" t="n">
        <x:f>F8-IF(H8=2,1,0)</x:f>
        <x:v>0</x:v>
      </x:c>
      <x:c r="N8" s="19" t="n">
        <x:f>MAX(K8-1,0)+MAX(L8-1,0)+MAX(M8-1,0)</x:f>
        <x:v>0</x:v>
      </x:c>
      <x:c r="O8" s="19" t="n">
        <x:f>IF(AND(SUM(K8:M8)&lt;9,OR(M8=0,N8&lt;6)),1,0)</x:f>
        <x:v>1</x:v>
      </x:c>
      <x:c r="P8" s="19" t="n">
        <x:f>IF(AND(SUM(K8:M8)&lt;9,OR(L8=0,N8&lt;6)),1,0)</x:f>
        <x:v>1</x:v>
      </x:c>
      <x:c r="Q8" s="19" t="n">
        <x:f>IF(AND(SUM(K8:M8)&lt;9,OR(K8=0,N8&lt;6)),1,0)</x:f>
        <x:v>1</x:v>
      </x:c>
      <x:c r="R8" s="22" t="str">
        <x:f>O8&amp;P8&amp;Q8</x:f>
        <x:v>111</x:v>
      </x:c>
      <x:c r="S8" s="19" t="n">
        <x:f>IF(I8=1,IF(J8=0,Q8,IF(J8=1,P8,IF(J8=2,O8,0))),0)</x:f>
        <x:v>0</x:v>
      </x:c>
      <x:c r="T8" s="19" t="n">
        <x:f>K8+IF(AND(S8=1,J8=0),1,0)</x:f>
        <x:v>0</x:v>
      </x:c>
      <x:c r="U8" s="19" t="n">
        <x:f>L8+IF(AND(S8=1,J8=1),1,0)</x:f>
        <x:v>0</x:v>
      </x:c>
      <x:c r="V8" s="19" t="n">
        <x:f>M8+IF(AND(S8=1,J8=2),1,0)</x:f>
        <x:v>0</x:v>
      </x:c>
      <x:c r="W8" s="19" t="n">
        <x:f>SUM(T8:V8)</x:f>
        <x:v>0</x:v>
      </x:c>
      <x:c r="X8" s="19" t="n">
        <x:f>W8-G8</x:f>
        <x:v>0</x:v>
      </x:c>
      <x:c r="Y8" s="19" t="n">
        <x:f>MAX(T8,1)+MAX(U8,1)+MAX(V8,1)</x:f>
        <x:v>3</x:v>
      </x:c>
      <x:c r="Z8" s="21" t="str">
        <x:f>IF(AND(MIN(D8:F8)&gt;=0,MAX(D8:F8)&lt;=7,MAX(D8,1)+MAX(E8,1)+MAX(F8,1)&lt;=9,OR(H8="-",AND(H8=0,D8&gt;0),AND(H8=1,E8&gt;0),AND(H8=2,F8&gt;0)),OR(I8=0,AND(I8=1,OR(J8=0,J8=1,J8=2),R8&lt;&gt;"000")),Y8&lt;=9,MIN(T8:V8)&gt;=0),"合法","输入违约")</x:f>
        <x:v>合法</x:v>
      </x:c>
    </x:row>
    <x:row r="9" ht="23" customHeight="1">
      <x:c r="A9" s="3" t="str">
        <x:v>CT-0002</x:v>
      </x:c>
      <x:c r="B9" s="3" t="str">
        <x:v>ST-001</x:v>
      </x:c>
      <x:c r="C9" s="3" t="str">
        <x:v>仅AR接收</x:v>
      </x:c>
      <x:c r="D9" s="25" t="n">
        <x:v>0</x:v>
      </x:c>
      <x:c r="E9" s="25" t="n">
        <x:v>0</x:v>
      </x:c>
      <x:c r="F9" s="25" t="n">
        <x:v>0</x:v>
      </x:c>
      <x:c r="G9" s="19" t="n">
        <x:f>SUM(D9:F9)</x:f>
        <x:v>0</x:v>
      </x:c>
      <x:c r="H9" s="25" t="str">
        <x:v>-</x:v>
      </x:c>
      <x:c r="I9" s="25" t="n">
        <x:v>1</x:v>
      </x:c>
      <x:c r="J9" s="25" t="n">
        <x:v>0</x:v>
      </x:c>
      <x:c r="K9" s="19" t="n">
        <x:f>D9-IF(H9=0,1,0)</x:f>
        <x:v>0</x:v>
      </x:c>
      <x:c r="L9" s="19" t="n">
        <x:f>E9-IF(H9=1,1,0)</x:f>
        <x:v>0</x:v>
      </x:c>
      <x:c r="M9" s="19" t="n">
        <x:f>F9-IF(H9=2,1,0)</x:f>
        <x:v>0</x:v>
      </x:c>
      <x:c r="N9" s="19" t="n">
        <x:f>MAX(K9-1,0)+MAX(L9-1,0)+MAX(M9-1,0)</x:f>
        <x:v>0</x:v>
      </x:c>
      <x:c r="O9" s="19" t="n">
        <x:f>IF(AND(SUM(K9:M9)&lt;9,OR(M9=0,N9&lt;6)),1,0)</x:f>
        <x:v>1</x:v>
      </x:c>
      <x:c r="P9" s="19" t="n">
        <x:f>IF(AND(SUM(K9:M9)&lt;9,OR(L9=0,N9&lt;6)),1,0)</x:f>
        <x:v>1</x:v>
      </x:c>
      <x:c r="Q9" s="19" t="n">
        <x:f>IF(AND(SUM(K9:M9)&lt;9,OR(K9=0,N9&lt;6)),1,0)</x:f>
        <x:v>1</x:v>
      </x:c>
      <x:c r="R9" s="22" t="str">
        <x:f>O9&amp;P9&amp;Q9</x:f>
        <x:v>111</x:v>
      </x:c>
      <x:c r="S9" s="19" t="n">
        <x:f>IF(I9=1,IF(J9=0,Q9,IF(J9=1,P9,IF(J9=2,O9,0))),0)</x:f>
        <x:v>1</x:v>
      </x:c>
      <x:c r="T9" s="19" t="n">
        <x:f>K9+IF(AND(S9=1,J9=0),1,0)</x:f>
        <x:v>1</x:v>
      </x:c>
      <x:c r="U9" s="19" t="n">
        <x:f>L9+IF(AND(S9=1,J9=1),1,0)</x:f>
        <x:v>0</x:v>
      </x:c>
      <x:c r="V9" s="19" t="n">
        <x:f>M9+IF(AND(S9=1,J9=2),1,0)</x:f>
        <x:v>0</x:v>
      </x:c>
      <x:c r="W9" s="19" t="n">
        <x:f>SUM(T9:V9)</x:f>
        <x:v>1</x:v>
      </x:c>
      <x:c r="X9" s="19" t="n">
        <x:f>W9-G9</x:f>
        <x:v>1</x:v>
      </x:c>
      <x:c r="Y9" s="19" t="n">
        <x:f>MAX(T9,1)+MAX(U9,1)+MAX(V9,1)</x:f>
        <x:v>3</x:v>
      </x:c>
      <x:c r="Z9" s="21" t="str">
        <x:f>IF(AND(MIN(D9:F9)&gt;=0,MAX(D9:F9)&lt;=7,MAX(D9,1)+MAX(E9,1)+MAX(F9,1)&lt;=9,OR(H9="-",AND(H9=0,D9&gt;0),AND(H9=1,E9&gt;0),AND(H9=2,F9&gt;0)),OR(I9=0,AND(I9=1,OR(J9=0,J9=1,J9=2),R9&lt;&gt;"000")),Y9&lt;=9,MIN(T9:V9)&gt;=0),"合法","输入违约")</x:f>
        <x:v>合法</x:v>
      </x:c>
    </x:row>
    <x:row r="10" ht="23" customHeight="1">
      <x:c r="A10" s="3" t="str">
        <x:v>CT-0003</x:v>
      </x:c>
      <x:c r="B10" s="3" t="str">
        <x:v>ST-001</x:v>
      </x:c>
      <x:c r="C10" s="3" t="str">
        <x:v>仅AR接收</x:v>
      </x:c>
      <x:c r="D10" s="25" t="n">
        <x:v>0</x:v>
      </x:c>
      <x:c r="E10" s="25" t="n">
        <x:v>0</x:v>
      </x:c>
      <x:c r="F10" s="25" t="n">
        <x:v>0</x:v>
      </x:c>
      <x:c r="G10" s="19" t="n">
        <x:f>SUM(D10:F10)</x:f>
        <x:v>0</x:v>
      </x:c>
      <x:c r="H10" s="25" t="str">
        <x:v>-</x:v>
      </x:c>
      <x:c r="I10" s="25" t="n">
        <x:v>1</x:v>
      </x:c>
      <x:c r="J10" s="25" t="n">
        <x:v>1</x:v>
      </x:c>
      <x:c r="K10" s="19" t="n">
        <x:f>D10-IF(H10=0,1,0)</x:f>
        <x:v>0</x:v>
      </x:c>
      <x:c r="L10" s="19" t="n">
        <x:f>E10-IF(H10=1,1,0)</x:f>
        <x:v>0</x:v>
      </x:c>
      <x:c r="M10" s="19" t="n">
        <x:f>F10-IF(H10=2,1,0)</x:f>
        <x:v>0</x:v>
      </x:c>
      <x:c r="N10" s="19" t="n">
        <x:f>MAX(K10-1,0)+MAX(L10-1,0)+MAX(M10-1,0)</x:f>
        <x:v>0</x:v>
      </x:c>
      <x:c r="O10" s="19" t="n">
        <x:f>IF(AND(SUM(K10:M10)&lt;9,OR(M10=0,N10&lt;6)),1,0)</x:f>
        <x:v>1</x:v>
      </x:c>
      <x:c r="P10" s="19" t="n">
        <x:f>IF(AND(SUM(K10:M10)&lt;9,OR(L10=0,N10&lt;6)),1,0)</x:f>
        <x:v>1</x:v>
      </x:c>
      <x:c r="Q10" s="19" t="n">
        <x:f>IF(AND(SUM(K10:M10)&lt;9,OR(K10=0,N10&lt;6)),1,0)</x:f>
        <x:v>1</x:v>
      </x:c>
      <x:c r="R10" s="22" t="str">
        <x:f>O10&amp;P10&amp;Q10</x:f>
        <x:v>111</x:v>
      </x:c>
      <x:c r="S10" s="19" t="n">
        <x:f>IF(I10=1,IF(J10=0,Q10,IF(J10=1,P10,IF(J10=2,O10,0))),0)</x:f>
        <x:v>1</x:v>
      </x:c>
      <x:c r="T10" s="19" t="n">
        <x:f>K10+IF(AND(S10=1,J10=0),1,0)</x:f>
        <x:v>0</x:v>
      </x:c>
      <x:c r="U10" s="19" t="n">
        <x:f>L10+IF(AND(S10=1,J10=1),1,0)</x:f>
        <x:v>1</x:v>
      </x:c>
      <x:c r="V10" s="19" t="n">
        <x:f>M10+IF(AND(S10=1,J10=2),1,0)</x:f>
        <x:v>0</x:v>
      </x:c>
      <x:c r="W10" s="19" t="n">
        <x:f>SUM(T10:V10)</x:f>
        <x:v>1</x:v>
      </x:c>
      <x:c r="X10" s="19" t="n">
        <x:f>W10-G10</x:f>
        <x:v>1</x:v>
      </x:c>
      <x:c r="Y10" s="19" t="n">
        <x:f>MAX(T10,1)+MAX(U10,1)+MAX(V10,1)</x:f>
        <x:v>3</x:v>
      </x:c>
      <x:c r="Z10" s="21" t="str">
        <x:f>IF(AND(MIN(D10:F10)&gt;=0,MAX(D10:F10)&lt;=7,MAX(D10,1)+MAX(E10,1)+MAX(F10,1)&lt;=9,OR(H10="-",AND(H10=0,D10&gt;0),AND(H10=1,E10&gt;0),AND(H10=2,F10&gt;0)),OR(I10=0,AND(I10=1,OR(J10=0,J10=1,J10=2),R10&lt;&gt;"000")),Y10&lt;=9,MIN(T10:V10)&gt;=0),"合法","输入违约")</x:f>
        <x:v>合法</x:v>
      </x:c>
    </x:row>
    <x:row r="11" ht="23" customHeight="1">
      <x:c r="A11" s="3" t="str">
        <x:v>CT-0004</x:v>
      </x:c>
      <x:c r="B11" s="3" t="str">
        <x:v>ST-001</x:v>
      </x:c>
      <x:c r="C11" s="3" t="str">
        <x:v>仅AR接收</x:v>
      </x:c>
      <x:c r="D11" s="25" t="n">
        <x:v>0</x:v>
      </x:c>
      <x:c r="E11" s="25" t="n">
        <x:v>0</x:v>
      </x:c>
      <x:c r="F11" s="25" t="n">
        <x:v>0</x:v>
      </x:c>
      <x:c r="G11" s="19" t="n">
        <x:f>SUM(D11:F11)</x:f>
        <x:v>0</x:v>
      </x:c>
      <x:c r="H11" s="25" t="str">
        <x:v>-</x:v>
      </x:c>
      <x:c r="I11" s="25" t="n">
        <x:v>1</x:v>
      </x:c>
      <x:c r="J11" s="25" t="n">
        <x:v>2</x:v>
      </x:c>
      <x:c r="K11" s="19" t="n">
        <x:f>D11-IF(H11=0,1,0)</x:f>
        <x:v>0</x:v>
      </x:c>
      <x:c r="L11" s="19" t="n">
        <x:f>E11-IF(H11=1,1,0)</x:f>
        <x:v>0</x:v>
      </x:c>
      <x:c r="M11" s="19" t="n">
        <x:f>F11-IF(H11=2,1,0)</x:f>
        <x:v>0</x:v>
      </x:c>
      <x:c r="N11" s="19" t="n">
        <x:f>MAX(K11-1,0)+MAX(L11-1,0)+MAX(M11-1,0)</x:f>
        <x:v>0</x:v>
      </x:c>
      <x:c r="O11" s="19" t="n">
        <x:f>IF(AND(SUM(K11:M11)&lt;9,OR(M11=0,N11&lt;6)),1,0)</x:f>
        <x:v>1</x:v>
      </x:c>
      <x:c r="P11" s="19" t="n">
        <x:f>IF(AND(SUM(K11:M11)&lt;9,OR(L11=0,N11&lt;6)),1,0)</x:f>
        <x:v>1</x:v>
      </x:c>
      <x:c r="Q11" s="19" t="n">
        <x:f>IF(AND(SUM(K11:M11)&lt;9,OR(K11=0,N11&lt;6)),1,0)</x:f>
        <x:v>1</x:v>
      </x:c>
      <x:c r="R11" s="22" t="str">
        <x:f>O11&amp;P11&amp;Q11</x:f>
        <x:v>111</x:v>
      </x:c>
      <x:c r="S11" s="19" t="n">
        <x:f>IF(I11=1,IF(J11=0,Q11,IF(J11=1,P11,IF(J11=2,O11,0))),0)</x:f>
        <x:v>1</x:v>
      </x:c>
      <x:c r="T11" s="19" t="n">
        <x:f>K11+IF(AND(S11=1,J11=0),1,0)</x:f>
        <x:v>0</x:v>
      </x:c>
      <x:c r="U11" s="19" t="n">
        <x:f>L11+IF(AND(S11=1,J11=1),1,0)</x:f>
        <x:v>0</x:v>
      </x:c>
      <x:c r="V11" s="19" t="n">
        <x:f>M11+IF(AND(S11=1,J11=2),1,0)</x:f>
        <x:v>1</x:v>
      </x:c>
      <x:c r="W11" s="19" t="n">
        <x:f>SUM(T11:V11)</x:f>
        <x:v>1</x:v>
      </x:c>
      <x:c r="X11" s="19" t="n">
        <x:f>W11-G11</x:f>
        <x:v>1</x:v>
      </x:c>
      <x:c r="Y11" s="19" t="n">
        <x:f>MAX(T11,1)+MAX(U11,1)+MAX(V11,1)</x:f>
        <x:v>3</x:v>
      </x:c>
      <x:c r="Z11" s="21" t="str">
        <x:f>IF(AND(MIN(D11:F11)&gt;=0,MAX(D11:F11)&lt;=7,MAX(D11,1)+MAX(E11,1)+MAX(F11,1)&lt;=9,OR(H11="-",AND(H11=0,D11&gt;0),AND(H11=1,E11&gt;0),AND(H11=2,F11&gt;0)),OR(I11=0,AND(I11=1,OR(J11=0,J11=1,J11=2),R11&lt;&gt;"000")),Y11&lt;=9,MIN(T11:V11)&gt;=0),"合法","输入违约")</x:f>
        <x:v>合法</x:v>
      </x:c>
    </x:row>
    <x:row r="12" ht="23" customHeight="1">
      <x:c r="A12" s="3" t="str">
        <x:v>CT-0005</x:v>
      </x:c>
      <x:c r="B12" s="3" t="str">
        <x:v>ST-002</x:v>
      </x:c>
      <x:c r="C12" s="3" t="str">
        <x:v>无AR/R</x:v>
      </x:c>
      <x:c r="D12" s="25" t="n">
        <x:v>0</x:v>
      </x:c>
      <x:c r="E12" s="25" t="n">
        <x:v>0</x:v>
      </x:c>
      <x:c r="F12" s="25" t="n">
        <x:v>1</x:v>
      </x:c>
      <x:c r="G12" s="19" t="n">
        <x:f>SUM(D12:F12)</x:f>
        <x:v>1</x:v>
      </x:c>
      <x:c r="H12" s="25" t="str">
        <x:v>-</x:v>
      </x:c>
      <x:c r="I12" s="25" t="n">
        <x:v>0</x:v>
      </x:c>
      <x:c r="J12" s="25" t="str">
        <x:v>-</x:v>
      </x:c>
      <x:c r="K12" s="19" t="n">
        <x:f>D12-IF(H12=0,1,0)</x:f>
        <x:v>0</x:v>
      </x:c>
      <x:c r="L12" s="19" t="n">
        <x:f>E12-IF(H12=1,1,0)</x:f>
        <x:v>0</x:v>
      </x:c>
      <x:c r="M12" s="19" t="n">
        <x:f>F12-IF(H12=2,1,0)</x:f>
        <x:v>1</x:v>
      </x:c>
      <x:c r="N12" s="19" t="n">
        <x:f>MAX(K12-1,0)+MAX(L12-1,0)+MAX(M12-1,0)</x:f>
        <x:v>0</x:v>
      </x:c>
      <x:c r="O12" s="19" t="n">
        <x:f>IF(AND(SUM(K12:M12)&lt;9,OR(M12=0,N12&lt;6)),1,0)</x:f>
        <x:v>1</x:v>
      </x:c>
      <x:c r="P12" s="19" t="n">
        <x:f>IF(AND(SUM(K12:M12)&lt;9,OR(L12=0,N12&lt;6)),1,0)</x:f>
        <x:v>1</x:v>
      </x:c>
      <x:c r="Q12" s="19" t="n">
        <x:f>IF(AND(SUM(K12:M12)&lt;9,OR(K12=0,N12&lt;6)),1,0)</x:f>
        <x:v>1</x:v>
      </x:c>
      <x:c r="R12" s="22" t="str">
        <x:f>O12&amp;P12&amp;Q12</x:f>
        <x:v>111</x:v>
      </x:c>
      <x:c r="S12" s="19" t="n">
        <x:f>IF(I12=1,IF(J12=0,Q12,IF(J12=1,P12,IF(J12=2,O12,0))),0)</x:f>
        <x:v>0</x:v>
      </x:c>
      <x:c r="T12" s="19" t="n">
        <x:f>K12+IF(AND(S12=1,J12=0),1,0)</x:f>
        <x:v>0</x:v>
      </x:c>
      <x:c r="U12" s="19" t="n">
        <x:f>L12+IF(AND(S12=1,J12=1),1,0)</x:f>
        <x:v>0</x:v>
      </x:c>
      <x:c r="V12" s="19" t="n">
        <x:f>M12+IF(AND(S12=1,J12=2),1,0)</x:f>
        <x:v>1</x:v>
      </x:c>
      <x:c r="W12" s="19" t="n">
        <x:f>SUM(T12:V12)</x:f>
        <x:v>1</x:v>
      </x:c>
      <x:c r="X12" s="19" t="n">
        <x:f>W12-G12</x:f>
        <x:v>0</x:v>
      </x:c>
      <x:c r="Y12" s="19" t="n">
        <x:f>MAX(T12,1)+MAX(U12,1)+MAX(V12,1)</x:f>
        <x:v>3</x:v>
      </x:c>
      <x:c r="Z12" s="21" t="str">
        <x:f>IF(AND(MIN(D12:F12)&gt;=0,MAX(D12:F12)&lt;=7,MAX(D12,1)+MAX(E12,1)+MAX(F12,1)&lt;=9,OR(H12="-",AND(H12=0,D12&gt;0),AND(H12=1,E12&gt;0),AND(H12=2,F12&gt;0)),OR(I12=0,AND(I12=1,OR(J12=0,J12=1,J12=2),R12&lt;&gt;"000")),Y12&lt;=9,MIN(T12:V12)&gt;=0),"合法","输入违约")</x:f>
        <x:v>合法</x:v>
      </x:c>
    </x:row>
    <x:row r="13" ht="23" customHeight="1">
      <x:c r="A13" s="3" t="str">
        <x:v>CT-0006</x:v>
      </x:c>
      <x:c r="B13" s="3" t="str">
        <x:v>ST-002</x:v>
      </x:c>
      <x:c r="C13" s="3" t="str">
        <x:v>仅AR接收</x:v>
      </x:c>
      <x:c r="D13" s="25" t="n">
        <x:v>0</x:v>
      </x:c>
      <x:c r="E13" s="25" t="n">
        <x:v>0</x:v>
      </x:c>
      <x:c r="F13" s="25" t="n">
        <x:v>1</x:v>
      </x:c>
      <x:c r="G13" s="19" t="n">
        <x:f>SUM(D13:F13)</x:f>
        <x:v>1</x:v>
      </x:c>
      <x:c r="H13" s="25" t="str">
        <x:v>-</x:v>
      </x:c>
      <x:c r="I13" s="25" t="n">
        <x:v>1</x:v>
      </x:c>
      <x:c r="J13" s="25" t="n">
        <x:v>0</x:v>
      </x:c>
      <x:c r="K13" s="19" t="n">
        <x:f>D13-IF(H13=0,1,0)</x:f>
        <x:v>0</x:v>
      </x:c>
      <x:c r="L13" s="19" t="n">
        <x:f>E13-IF(H13=1,1,0)</x:f>
        <x:v>0</x:v>
      </x:c>
      <x:c r="M13" s="19" t="n">
        <x:f>F13-IF(H13=2,1,0)</x:f>
        <x:v>1</x:v>
      </x:c>
      <x:c r="N13" s="19" t="n">
        <x:f>MAX(K13-1,0)+MAX(L13-1,0)+MAX(M13-1,0)</x:f>
        <x:v>0</x:v>
      </x:c>
      <x:c r="O13" s="19" t="n">
        <x:f>IF(AND(SUM(K13:M13)&lt;9,OR(M13=0,N13&lt;6)),1,0)</x:f>
        <x:v>1</x:v>
      </x:c>
      <x:c r="P13" s="19" t="n">
        <x:f>IF(AND(SUM(K13:M13)&lt;9,OR(L13=0,N13&lt;6)),1,0)</x:f>
        <x:v>1</x:v>
      </x:c>
      <x:c r="Q13" s="19" t="n">
        <x:f>IF(AND(SUM(K13:M13)&lt;9,OR(K13=0,N13&lt;6)),1,0)</x:f>
        <x:v>1</x:v>
      </x:c>
      <x:c r="R13" s="22" t="str">
        <x:f>O13&amp;P13&amp;Q13</x:f>
        <x:v>111</x:v>
      </x:c>
      <x:c r="S13" s="19" t="n">
        <x:f>IF(I13=1,IF(J13=0,Q13,IF(J13=1,P13,IF(J13=2,O13,0))),0)</x:f>
        <x:v>1</x:v>
      </x:c>
      <x:c r="T13" s="19" t="n">
        <x:f>K13+IF(AND(S13=1,J13=0),1,0)</x:f>
        <x:v>1</x:v>
      </x:c>
      <x:c r="U13" s="19" t="n">
        <x:f>L13+IF(AND(S13=1,J13=1),1,0)</x:f>
        <x:v>0</x:v>
      </x:c>
      <x:c r="V13" s="19" t="n">
        <x:f>M13+IF(AND(S13=1,J13=2),1,0)</x:f>
        <x:v>1</x:v>
      </x:c>
      <x:c r="W13" s="19" t="n">
        <x:f>SUM(T13:V13)</x:f>
        <x:v>2</x:v>
      </x:c>
      <x:c r="X13" s="19" t="n">
        <x:f>W13-G13</x:f>
        <x:v>1</x:v>
      </x:c>
      <x:c r="Y13" s="19" t="n">
        <x:f>MAX(T13,1)+MAX(U13,1)+MAX(V13,1)</x:f>
        <x:v>3</x:v>
      </x:c>
      <x:c r="Z13" s="21" t="str">
        <x:f>IF(AND(MIN(D13:F13)&gt;=0,MAX(D13:F13)&lt;=7,MAX(D13,1)+MAX(E13,1)+MAX(F13,1)&lt;=9,OR(H13="-",AND(H13=0,D13&gt;0),AND(H13=1,E13&gt;0),AND(H13=2,F13&gt;0)),OR(I13=0,AND(I13=1,OR(J13=0,J13=1,J13=2),R13&lt;&gt;"000")),Y13&lt;=9,MIN(T13:V13)&gt;=0),"合法","输入违约")</x:f>
        <x:v>合法</x:v>
      </x:c>
    </x:row>
    <x:row r="14" ht="23" customHeight="1">
      <x:c r="A14" s="3" t="str">
        <x:v>CT-0007</x:v>
      </x:c>
      <x:c r="B14" s="3" t="str">
        <x:v>ST-002</x:v>
      </x:c>
      <x:c r="C14" s="3" t="str">
        <x:v>仅AR接收</x:v>
      </x:c>
      <x:c r="D14" s="25" t="n">
        <x:v>0</x:v>
      </x:c>
      <x:c r="E14" s="25" t="n">
        <x:v>0</x:v>
      </x:c>
      <x:c r="F14" s="25" t="n">
        <x:v>1</x:v>
      </x:c>
      <x:c r="G14" s="19" t="n">
        <x:f>SUM(D14:F14)</x:f>
        <x:v>1</x:v>
      </x:c>
      <x:c r="H14" s="25" t="str">
        <x:v>-</x:v>
      </x:c>
      <x:c r="I14" s="25" t="n">
        <x:v>1</x:v>
      </x:c>
      <x:c r="J14" s="25" t="n">
        <x:v>1</x:v>
      </x:c>
      <x:c r="K14" s="19" t="n">
        <x:f>D14-IF(H14=0,1,0)</x:f>
        <x:v>0</x:v>
      </x:c>
      <x:c r="L14" s="19" t="n">
        <x:f>E14-IF(H14=1,1,0)</x:f>
        <x:v>0</x:v>
      </x:c>
      <x:c r="M14" s="19" t="n">
        <x:f>F14-IF(H14=2,1,0)</x:f>
        <x:v>1</x:v>
      </x:c>
      <x:c r="N14" s="19" t="n">
        <x:f>MAX(K14-1,0)+MAX(L14-1,0)+MAX(M14-1,0)</x:f>
        <x:v>0</x:v>
      </x:c>
      <x:c r="O14" s="19" t="n">
        <x:f>IF(AND(SUM(K14:M14)&lt;9,OR(M14=0,N14&lt;6)),1,0)</x:f>
        <x:v>1</x:v>
      </x:c>
      <x:c r="P14" s="19" t="n">
        <x:f>IF(AND(SUM(K14:M14)&lt;9,OR(L14=0,N14&lt;6)),1,0)</x:f>
        <x:v>1</x:v>
      </x:c>
      <x:c r="Q14" s="19" t="n">
        <x:f>IF(AND(SUM(K14:M14)&lt;9,OR(K14=0,N14&lt;6)),1,0)</x:f>
        <x:v>1</x:v>
      </x:c>
      <x:c r="R14" s="22" t="str">
        <x:f>O14&amp;P14&amp;Q14</x:f>
        <x:v>111</x:v>
      </x:c>
      <x:c r="S14" s="19" t="n">
        <x:f>IF(I14=1,IF(J14=0,Q14,IF(J14=1,P14,IF(J14=2,O14,0))),0)</x:f>
        <x:v>1</x:v>
      </x:c>
      <x:c r="T14" s="19" t="n">
        <x:f>K14+IF(AND(S14=1,J14=0),1,0)</x:f>
        <x:v>0</x:v>
      </x:c>
      <x:c r="U14" s="19" t="n">
        <x:f>L14+IF(AND(S14=1,J14=1),1,0)</x:f>
        <x:v>1</x:v>
      </x:c>
      <x:c r="V14" s="19" t="n">
        <x:f>M14+IF(AND(S14=1,J14=2),1,0)</x:f>
        <x:v>1</x:v>
      </x:c>
      <x:c r="W14" s="19" t="n">
        <x:f>SUM(T14:V14)</x:f>
        <x:v>2</x:v>
      </x:c>
      <x:c r="X14" s="19" t="n">
        <x:f>W14-G14</x:f>
        <x:v>1</x:v>
      </x:c>
      <x:c r="Y14" s="19" t="n">
        <x:f>MAX(T14,1)+MAX(U14,1)+MAX(V14,1)</x:f>
        <x:v>3</x:v>
      </x:c>
      <x:c r="Z14" s="21" t="str">
        <x:f>IF(AND(MIN(D14:F14)&gt;=0,MAX(D14:F14)&lt;=7,MAX(D14,1)+MAX(E14,1)+MAX(F14,1)&lt;=9,OR(H14="-",AND(H14=0,D14&gt;0),AND(H14=1,E14&gt;0),AND(H14=2,F14&gt;0)),OR(I14=0,AND(I14=1,OR(J14=0,J14=1,J14=2),R14&lt;&gt;"000")),Y14&lt;=9,MIN(T14:V14)&gt;=0),"合法","输入违约")</x:f>
        <x:v>合法</x:v>
      </x:c>
    </x:row>
    <x:row r="15" ht="23" customHeight="1">
      <x:c r="A15" s="3" t="str">
        <x:v>CT-0008</x:v>
      </x:c>
      <x:c r="B15" s="3" t="str">
        <x:v>ST-002</x:v>
      </x:c>
      <x:c r="C15" s="3" t="str">
        <x:v>仅AR接收</x:v>
      </x:c>
      <x:c r="D15" s="25" t="n">
        <x:v>0</x:v>
      </x:c>
      <x:c r="E15" s="25" t="n">
        <x:v>0</x:v>
      </x:c>
      <x:c r="F15" s="25" t="n">
        <x:v>1</x:v>
      </x:c>
      <x:c r="G15" s="19" t="n">
        <x:f>SUM(D15:F15)</x:f>
        <x:v>1</x:v>
      </x:c>
      <x:c r="H15" s="25" t="str">
        <x:v>-</x:v>
      </x:c>
      <x:c r="I15" s="25" t="n">
        <x:v>1</x:v>
      </x:c>
      <x:c r="J15" s="25" t="n">
        <x:v>2</x:v>
      </x:c>
      <x:c r="K15" s="19" t="n">
        <x:f>D15-IF(H15=0,1,0)</x:f>
        <x:v>0</x:v>
      </x:c>
      <x:c r="L15" s="19" t="n">
        <x:f>E15-IF(H15=1,1,0)</x:f>
        <x:v>0</x:v>
      </x:c>
      <x:c r="M15" s="19" t="n">
        <x:f>F15-IF(H15=2,1,0)</x:f>
        <x:v>1</x:v>
      </x:c>
      <x:c r="N15" s="19" t="n">
        <x:f>MAX(K15-1,0)+MAX(L15-1,0)+MAX(M15-1,0)</x:f>
        <x:v>0</x:v>
      </x:c>
      <x:c r="O15" s="19" t="n">
        <x:f>IF(AND(SUM(K15:M15)&lt;9,OR(M15=0,N15&lt;6)),1,0)</x:f>
        <x:v>1</x:v>
      </x:c>
      <x:c r="P15" s="19" t="n">
        <x:f>IF(AND(SUM(K15:M15)&lt;9,OR(L15=0,N15&lt;6)),1,0)</x:f>
        <x:v>1</x:v>
      </x:c>
      <x:c r="Q15" s="19" t="n">
        <x:f>IF(AND(SUM(K15:M15)&lt;9,OR(K15=0,N15&lt;6)),1,0)</x:f>
        <x:v>1</x:v>
      </x:c>
      <x:c r="R15" s="22" t="str">
        <x:f>O15&amp;P15&amp;Q15</x:f>
        <x:v>111</x:v>
      </x:c>
      <x:c r="S15" s="19" t="n">
        <x:f>IF(I15=1,IF(J15=0,Q15,IF(J15=1,P15,IF(J15=2,O15,0))),0)</x:f>
        <x:v>1</x:v>
      </x:c>
      <x:c r="T15" s="19" t="n">
        <x:f>K15+IF(AND(S15=1,J15=0),1,0)</x:f>
        <x:v>0</x:v>
      </x:c>
      <x:c r="U15" s="19" t="n">
        <x:f>L15+IF(AND(S15=1,J15=1),1,0)</x:f>
        <x:v>0</x:v>
      </x:c>
      <x:c r="V15" s="19" t="n">
        <x:f>M15+IF(AND(S15=1,J15=2),1,0)</x:f>
        <x:v>2</x:v>
      </x:c>
      <x:c r="W15" s="19" t="n">
        <x:f>SUM(T15:V15)</x:f>
        <x:v>2</x:v>
      </x:c>
      <x:c r="X15" s="19" t="n">
        <x:f>W15-G15</x:f>
        <x:v>1</x:v>
      </x:c>
      <x:c r="Y15" s="19" t="n">
        <x:f>MAX(T15,1)+MAX(U15,1)+MAX(V15,1)</x:f>
        <x:v>4</x:v>
      </x:c>
      <x:c r="Z15" s="21" t="str">
        <x:f>IF(AND(MIN(D15:F15)&gt;=0,MAX(D15:F15)&lt;=7,MAX(D15,1)+MAX(E15,1)+MAX(F15,1)&lt;=9,OR(H15="-",AND(H15=0,D15&gt;0),AND(H15=1,E15&gt;0),AND(H15=2,F15&gt;0)),OR(I15=0,AND(I15=1,OR(J15=0,J15=1,J15=2),R15&lt;&gt;"000")),Y15&lt;=9,MIN(T15:V15)&gt;=0),"合法","输入违约")</x:f>
        <x:v>合法</x:v>
      </x:c>
    </x:row>
    <x:row r="16" ht="23" customHeight="1">
      <x:c r="A16" s="3" t="str">
        <x:v>CT-0009</x:v>
      </x:c>
      <x:c r="B16" s="3" t="str">
        <x:v>ST-002</x:v>
      </x:c>
      <x:c r="C16" s="3" t="str">
        <x:v>仅R回收</x:v>
      </x:c>
      <x:c r="D16" s="25" t="n">
        <x:v>0</x:v>
      </x:c>
      <x:c r="E16" s="25" t="n">
        <x:v>0</x:v>
      </x:c>
      <x:c r="F16" s="25" t="n">
        <x:v>1</x:v>
      </x:c>
      <x:c r="G16" s="19" t="n">
        <x:f>SUM(D16:F16)</x:f>
        <x:v>1</x:v>
      </x:c>
      <x:c r="H16" s="25" t="n">
        <x:v>2</x:v>
      </x:c>
      <x:c r="I16" s="25" t="n">
        <x:v>0</x:v>
      </x:c>
      <x:c r="J16" s="25" t="str">
        <x:v>-</x:v>
      </x:c>
      <x:c r="K16" s="19" t="n">
        <x:f>D16-IF(H16=0,1,0)</x:f>
        <x:v>0</x:v>
      </x:c>
      <x:c r="L16" s="19" t="n">
        <x:f>E16-IF(H16=1,1,0)</x:f>
        <x:v>0</x:v>
      </x:c>
      <x:c r="M16" s="19" t="n">
        <x:f>F16-IF(H16=2,1,0)</x:f>
        <x:v>0</x:v>
      </x:c>
      <x:c r="N16" s="19" t="n">
        <x:f>MAX(K16-1,0)+MAX(L16-1,0)+MAX(M16-1,0)</x:f>
        <x:v>0</x:v>
      </x:c>
      <x:c r="O16" s="19" t="n">
        <x:f>IF(AND(SUM(K16:M16)&lt;9,OR(M16=0,N16&lt;6)),1,0)</x:f>
        <x:v>1</x:v>
      </x:c>
      <x:c r="P16" s="19" t="n">
        <x:f>IF(AND(SUM(K16:M16)&lt;9,OR(L16=0,N16&lt;6)),1,0)</x:f>
        <x:v>1</x:v>
      </x:c>
      <x:c r="Q16" s="19" t="n">
        <x:f>IF(AND(SUM(K16:M16)&lt;9,OR(K16=0,N16&lt;6)),1,0)</x:f>
        <x:v>1</x:v>
      </x:c>
      <x:c r="R16" s="22" t="str">
        <x:f>O16&amp;P16&amp;Q16</x:f>
        <x:v>111</x:v>
      </x:c>
      <x:c r="S16" s="19" t="n">
        <x:f>IF(I16=1,IF(J16=0,Q16,IF(J16=1,P16,IF(J16=2,O16,0))),0)</x:f>
        <x:v>0</x:v>
      </x:c>
      <x:c r="T16" s="19" t="n">
        <x:f>K16+IF(AND(S16=1,J16=0),1,0)</x:f>
        <x:v>0</x:v>
      </x:c>
      <x:c r="U16" s="19" t="n">
        <x:f>L16+IF(AND(S16=1,J16=1),1,0)</x:f>
        <x:v>0</x:v>
      </x:c>
      <x:c r="V16" s="19" t="n">
        <x:f>M16+IF(AND(S16=1,J16=2),1,0)</x:f>
        <x:v>0</x:v>
      </x:c>
      <x:c r="W16" s="19" t="n">
        <x:f>SUM(T16:V16)</x:f>
        <x:v>0</x:v>
      </x:c>
      <x:c r="X16" s="19" t="n">
        <x:f>W16-G16</x:f>
        <x:v>-1</x:v>
      </x:c>
      <x:c r="Y16" s="19" t="n">
        <x:f>MAX(T16,1)+MAX(U16,1)+MAX(V16,1)</x:f>
        <x:v>3</x:v>
      </x:c>
      <x:c r="Z16" s="21" t="str">
        <x:f>IF(AND(MIN(D16:F16)&gt;=0,MAX(D16:F16)&lt;=7,MAX(D16,1)+MAX(E16,1)+MAX(F16,1)&lt;=9,OR(H16="-",AND(H16=0,D16&gt;0),AND(H16=1,E16&gt;0),AND(H16=2,F16&gt;0)),OR(I16=0,AND(I16=1,OR(J16=0,J16=1,J16=2),R16&lt;&gt;"000")),Y16&lt;=9,MIN(T16:V16)&gt;=0),"合法","输入违约")</x:f>
        <x:v>合法</x:v>
      </x:c>
    </x:row>
    <x:row r="17" ht="23" customHeight="1">
      <x:c r="A17" s="3" t="str">
        <x:v>CT-0010</x:v>
      </x:c>
      <x:c r="B17" s="3" t="str">
        <x:v>ST-002</x:v>
      </x:c>
      <x:c r="C17" s="3" t="str">
        <x:v>R+AR同收同发</x:v>
      </x:c>
      <x:c r="D17" s="25" t="n">
        <x:v>0</x:v>
      </x:c>
      <x:c r="E17" s="25" t="n">
        <x:v>0</x:v>
      </x:c>
      <x:c r="F17" s="25" t="n">
        <x:v>1</x:v>
      </x:c>
      <x:c r="G17" s="19" t="n">
        <x:f>SUM(D17:F17)</x:f>
        <x:v>1</x:v>
      </x:c>
      <x:c r="H17" s="25" t="n">
        <x:v>2</x:v>
      </x:c>
      <x:c r="I17" s="25" t="n">
        <x:v>1</x:v>
      </x:c>
      <x:c r="J17" s="25" t="n">
        <x:v>0</x:v>
      </x:c>
      <x:c r="K17" s="19" t="n">
        <x:f>D17-IF(H17=0,1,0)</x:f>
        <x:v>0</x:v>
      </x:c>
      <x:c r="L17" s="19" t="n">
        <x:f>E17-IF(H17=1,1,0)</x:f>
        <x:v>0</x:v>
      </x:c>
      <x:c r="M17" s="19" t="n">
        <x:f>F17-IF(H17=2,1,0)</x:f>
        <x:v>0</x:v>
      </x:c>
      <x:c r="N17" s="19" t="n">
        <x:f>MAX(K17-1,0)+MAX(L17-1,0)+MAX(M17-1,0)</x:f>
        <x:v>0</x:v>
      </x:c>
      <x:c r="O17" s="19" t="n">
        <x:f>IF(AND(SUM(K17:M17)&lt;9,OR(M17=0,N17&lt;6)),1,0)</x:f>
        <x:v>1</x:v>
      </x:c>
      <x:c r="P17" s="19" t="n">
        <x:f>IF(AND(SUM(K17:M17)&lt;9,OR(L17=0,N17&lt;6)),1,0)</x:f>
        <x:v>1</x:v>
      </x:c>
      <x:c r="Q17" s="19" t="n">
        <x:f>IF(AND(SUM(K17:M17)&lt;9,OR(K17=0,N17&lt;6)),1,0)</x:f>
        <x:v>1</x:v>
      </x:c>
      <x:c r="R17" s="22" t="str">
        <x:f>O17&amp;P17&amp;Q17</x:f>
        <x:v>111</x:v>
      </x:c>
      <x:c r="S17" s="19" t="n">
        <x:f>IF(I17=1,IF(J17=0,Q17,IF(J17=1,P17,IF(J17=2,O17,0))),0)</x:f>
        <x:v>1</x:v>
      </x:c>
      <x:c r="T17" s="19" t="n">
        <x:f>K17+IF(AND(S17=1,J17=0),1,0)</x:f>
        <x:v>1</x:v>
      </x:c>
      <x:c r="U17" s="19" t="n">
        <x:f>L17+IF(AND(S17=1,J17=1),1,0)</x:f>
        <x:v>0</x:v>
      </x:c>
      <x:c r="V17" s="19" t="n">
        <x:f>M17+IF(AND(S17=1,J17=2),1,0)</x:f>
        <x:v>0</x:v>
      </x:c>
      <x:c r="W17" s="19" t="n">
        <x:f>SUM(T17:V17)</x:f>
        <x:v>1</x:v>
      </x:c>
      <x:c r="X17" s="19" t="n">
        <x:f>W17-G17</x:f>
        <x:v>0</x:v>
      </x:c>
      <x:c r="Y17" s="19" t="n">
        <x:f>MAX(T17,1)+MAX(U17,1)+MAX(V17,1)</x:f>
        <x:v>3</x:v>
      </x:c>
      <x:c r="Z17" s="21" t="str">
        <x:f>IF(AND(MIN(D17:F17)&gt;=0,MAX(D17:F17)&lt;=7,MAX(D17,1)+MAX(E17,1)+MAX(F17,1)&lt;=9,OR(H17="-",AND(H17=0,D17&gt;0),AND(H17=1,E17&gt;0),AND(H17=2,F17&gt;0)),OR(I17=0,AND(I17=1,OR(J17=0,J17=1,J17=2),R17&lt;&gt;"000")),Y17&lt;=9,MIN(T17:V17)&gt;=0),"合法","输入违约")</x:f>
        <x:v>合法</x:v>
      </x:c>
    </x:row>
    <x:row r="18" ht="23" customHeight="1">
      <x:c r="A18" s="3" t="str">
        <x:v>CT-0011</x:v>
      </x:c>
      <x:c r="B18" s="3" t="str">
        <x:v>ST-002</x:v>
      </x:c>
      <x:c r="C18" s="3" t="str">
        <x:v>R+AR同收同发</x:v>
      </x:c>
      <x:c r="D18" s="25" t="n">
        <x:v>0</x:v>
      </x:c>
      <x:c r="E18" s="25" t="n">
        <x:v>0</x:v>
      </x:c>
      <x:c r="F18" s="25" t="n">
        <x:v>1</x:v>
      </x:c>
      <x:c r="G18" s="19" t="n">
        <x:f>SUM(D18:F18)</x:f>
        <x:v>1</x:v>
      </x:c>
      <x:c r="H18" s="25" t="n">
        <x:v>2</x:v>
      </x:c>
      <x:c r="I18" s="25" t="n">
        <x:v>1</x:v>
      </x:c>
      <x:c r="J18" s="25" t="n">
        <x:v>1</x:v>
      </x:c>
      <x:c r="K18" s="19" t="n">
        <x:f>D18-IF(H18=0,1,0)</x:f>
        <x:v>0</x:v>
      </x:c>
      <x:c r="L18" s="19" t="n">
        <x:f>E18-IF(H18=1,1,0)</x:f>
        <x:v>0</x:v>
      </x:c>
      <x:c r="M18" s="19" t="n">
        <x:f>F18-IF(H18=2,1,0)</x:f>
        <x:v>0</x:v>
      </x:c>
      <x:c r="N18" s="19" t="n">
        <x:f>MAX(K18-1,0)+MAX(L18-1,0)+MAX(M18-1,0)</x:f>
        <x:v>0</x:v>
      </x:c>
      <x:c r="O18" s="19" t="n">
        <x:f>IF(AND(SUM(K18:M18)&lt;9,OR(M18=0,N18&lt;6)),1,0)</x:f>
        <x:v>1</x:v>
      </x:c>
      <x:c r="P18" s="19" t="n">
        <x:f>IF(AND(SUM(K18:M18)&lt;9,OR(L18=0,N18&lt;6)),1,0)</x:f>
        <x:v>1</x:v>
      </x:c>
      <x:c r="Q18" s="19" t="n">
        <x:f>IF(AND(SUM(K18:M18)&lt;9,OR(K18=0,N18&lt;6)),1,0)</x:f>
        <x:v>1</x:v>
      </x:c>
      <x:c r="R18" s="22" t="str">
        <x:f>O18&amp;P18&amp;Q18</x:f>
        <x:v>111</x:v>
      </x:c>
      <x:c r="S18" s="19" t="n">
        <x:f>IF(I18=1,IF(J18=0,Q18,IF(J18=1,P18,IF(J18=2,O18,0))),0)</x:f>
        <x:v>1</x:v>
      </x:c>
      <x:c r="T18" s="19" t="n">
        <x:f>K18+IF(AND(S18=1,J18=0),1,0)</x:f>
        <x:v>0</x:v>
      </x:c>
      <x:c r="U18" s="19" t="n">
        <x:f>L18+IF(AND(S18=1,J18=1),1,0)</x:f>
        <x:v>1</x:v>
      </x:c>
      <x:c r="V18" s="19" t="n">
        <x:f>M18+IF(AND(S18=1,J18=2),1,0)</x:f>
        <x:v>0</x:v>
      </x:c>
      <x:c r="W18" s="19" t="n">
        <x:f>SUM(T18:V18)</x:f>
        <x:v>1</x:v>
      </x:c>
      <x:c r="X18" s="19" t="n">
        <x:f>W18-G18</x:f>
        <x:v>0</x:v>
      </x:c>
      <x:c r="Y18" s="19" t="n">
        <x:f>MAX(T18,1)+MAX(U18,1)+MAX(V18,1)</x:f>
        <x:v>3</x:v>
      </x:c>
      <x:c r="Z18" s="21" t="str">
        <x:f>IF(AND(MIN(D18:F18)&gt;=0,MAX(D18:F18)&lt;=7,MAX(D18,1)+MAX(E18,1)+MAX(F18,1)&lt;=9,OR(H18="-",AND(H18=0,D18&gt;0),AND(H18=1,E18&gt;0),AND(H18=2,F18&gt;0)),OR(I18=0,AND(I18=1,OR(J18=0,J18=1,J18=2),R18&lt;&gt;"000")),Y18&lt;=9,MIN(T18:V18)&gt;=0),"合法","输入违约")</x:f>
        <x:v>合法</x:v>
      </x:c>
    </x:row>
    <x:row r="19" ht="23" customHeight="1">
      <x:c r="A19" s="3" t="str">
        <x:v>CT-0012</x:v>
      </x:c>
      <x:c r="B19" s="3" t="str">
        <x:v>ST-002</x:v>
      </x:c>
      <x:c r="C19" s="3" t="str">
        <x:v>R+AR同收同发</x:v>
      </x:c>
      <x:c r="D19" s="25" t="n">
        <x:v>0</x:v>
      </x:c>
      <x:c r="E19" s="25" t="n">
        <x:v>0</x:v>
      </x:c>
      <x:c r="F19" s="25" t="n">
        <x:v>1</x:v>
      </x:c>
      <x:c r="G19" s="19" t="n">
        <x:f>SUM(D19:F19)</x:f>
        <x:v>1</x:v>
      </x:c>
      <x:c r="H19" s="25" t="n">
        <x:v>2</x:v>
      </x:c>
      <x:c r="I19" s="25" t="n">
        <x:v>1</x:v>
      </x:c>
      <x:c r="J19" s="25" t="n">
        <x:v>2</x:v>
      </x:c>
      <x:c r="K19" s="19" t="n">
        <x:f>D19-IF(H19=0,1,0)</x:f>
        <x:v>0</x:v>
      </x:c>
      <x:c r="L19" s="19" t="n">
        <x:f>E19-IF(H19=1,1,0)</x:f>
        <x:v>0</x:v>
      </x:c>
      <x:c r="M19" s="19" t="n">
        <x:f>F19-IF(H19=2,1,0)</x:f>
        <x:v>0</x:v>
      </x:c>
      <x:c r="N19" s="19" t="n">
        <x:f>MAX(K19-1,0)+MAX(L19-1,0)+MAX(M19-1,0)</x:f>
        <x:v>0</x:v>
      </x:c>
      <x:c r="O19" s="19" t="n">
        <x:f>IF(AND(SUM(K19:M19)&lt;9,OR(M19=0,N19&lt;6)),1,0)</x:f>
        <x:v>1</x:v>
      </x:c>
      <x:c r="P19" s="19" t="n">
        <x:f>IF(AND(SUM(K19:M19)&lt;9,OR(L19=0,N19&lt;6)),1,0)</x:f>
        <x:v>1</x:v>
      </x:c>
      <x:c r="Q19" s="19" t="n">
        <x:f>IF(AND(SUM(K19:M19)&lt;9,OR(K19=0,N19&lt;6)),1,0)</x:f>
        <x:v>1</x:v>
      </x:c>
      <x:c r="R19" s="22" t="str">
        <x:f>O19&amp;P19&amp;Q19</x:f>
        <x:v>111</x:v>
      </x:c>
      <x:c r="S19" s="19" t="n">
        <x:f>IF(I19=1,IF(J19=0,Q19,IF(J19=1,P19,IF(J19=2,O19,0))),0)</x:f>
        <x:v>1</x:v>
      </x:c>
      <x:c r="T19" s="19" t="n">
        <x:f>K19+IF(AND(S19=1,J19=0),1,0)</x:f>
        <x:v>0</x:v>
      </x:c>
      <x:c r="U19" s="19" t="n">
        <x:f>L19+IF(AND(S19=1,J19=1),1,0)</x:f>
        <x:v>0</x:v>
      </x:c>
      <x:c r="V19" s="19" t="n">
        <x:f>M19+IF(AND(S19=1,J19=2),1,0)</x:f>
        <x:v>1</x:v>
      </x:c>
      <x:c r="W19" s="19" t="n">
        <x:f>SUM(T19:V19)</x:f>
        <x:v>1</x:v>
      </x:c>
      <x:c r="X19" s="19" t="n">
        <x:f>W19-G19</x:f>
        <x:v>0</x:v>
      </x:c>
      <x:c r="Y19" s="19" t="n">
        <x:f>MAX(T19,1)+MAX(U19,1)+MAX(V19,1)</x:f>
        <x:v>3</x:v>
      </x:c>
      <x:c r="Z19" s="21" t="str">
        <x:f>IF(AND(MIN(D19:F19)&gt;=0,MAX(D19:F19)&lt;=7,MAX(D19,1)+MAX(E19,1)+MAX(F19,1)&lt;=9,OR(H19="-",AND(H19=0,D19&gt;0),AND(H19=1,E19&gt;0),AND(H19=2,F19&gt;0)),OR(I19=0,AND(I19=1,OR(J19=0,J19=1,J19=2),R19&lt;&gt;"000")),Y19&lt;=9,MIN(T19:V19)&gt;=0),"合法","输入违约")</x:f>
        <x:v>合法</x:v>
      </x:c>
    </x:row>
    <x:row r="20" ht="23" customHeight="1">
      <x:c r="A20" s="3" t="str">
        <x:v>CT-0013</x:v>
      </x:c>
      <x:c r="B20" s="3" t="str">
        <x:v>ST-005</x:v>
      </x:c>
      <x:c r="C20" s="3" t="str">
        <x:v>无AR/R</x:v>
      </x:c>
      <x:c r="D20" s="25" t="n">
        <x:v>0</x:v>
      </x:c>
      <x:c r="E20" s="25" t="n">
        <x:v>0</x:v>
      </x:c>
      <x:c r="F20" s="25" t="n">
        <x:v>2</x:v>
      </x:c>
      <x:c r="G20" s="19" t="n">
        <x:f>SUM(D20:F20)</x:f>
        <x:v>2</x:v>
      </x:c>
      <x:c r="H20" s="25" t="str">
        <x:v>-</x:v>
      </x:c>
      <x:c r="I20" s="25" t="n">
        <x:v>0</x:v>
      </x:c>
      <x:c r="J20" s="25" t="str">
        <x:v>-</x:v>
      </x:c>
      <x:c r="K20" s="19" t="n">
        <x:f>D20-IF(H20=0,1,0)</x:f>
        <x:v>0</x:v>
      </x:c>
      <x:c r="L20" s="19" t="n">
        <x:f>E20-IF(H20=1,1,0)</x:f>
        <x:v>0</x:v>
      </x:c>
      <x:c r="M20" s="19" t="n">
        <x:f>F20-IF(H20=2,1,0)</x:f>
        <x:v>2</x:v>
      </x:c>
      <x:c r="N20" s="19" t="n">
        <x:f>MAX(K20-1,0)+MAX(L20-1,0)+MAX(M20-1,0)</x:f>
        <x:v>1</x:v>
      </x:c>
      <x:c r="O20" s="19" t="n">
        <x:f>IF(AND(SUM(K20:M20)&lt;9,OR(M20=0,N20&lt;6)),1,0)</x:f>
        <x:v>1</x:v>
      </x:c>
      <x:c r="P20" s="19" t="n">
        <x:f>IF(AND(SUM(K20:M20)&lt;9,OR(L20=0,N20&lt;6)),1,0)</x:f>
        <x:v>1</x:v>
      </x:c>
      <x:c r="Q20" s="19" t="n">
        <x:f>IF(AND(SUM(K20:M20)&lt;9,OR(K20=0,N20&lt;6)),1,0)</x:f>
        <x:v>1</x:v>
      </x:c>
      <x:c r="R20" s="22" t="str">
        <x:f>O20&amp;P20&amp;Q20</x:f>
        <x:v>111</x:v>
      </x:c>
      <x:c r="S20" s="19" t="n">
        <x:f>IF(I20=1,IF(J20=0,Q20,IF(J20=1,P20,IF(J20=2,O20,0))),0)</x:f>
        <x:v>0</x:v>
      </x:c>
      <x:c r="T20" s="19" t="n">
        <x:f>K20+IF(AND(S20=1,J20=0),1,0)</x:f>
        <x:v>0</x:v>
      </x:c>
      <x:c r="U20" s="19" t="n">
        <x:f>L20+IF(AND(S20=1,J20=1),1,0)</x:f>
        <x:v>0</x:v>
      </x:c>
      <x:c r="V20" s="19" t="n">
        <x:f>M20+IF(AND(S20=1,J20=2),1,0)</x:f>
        <x:v>2</x:v>
      </x:c>
      <x:c r="W20" s="19" t="n">
        <x:f>SUM(T20:V20)</x:f>
        <x:v>2</x:v>
      </x:c>
      <x:c r="X20" s="19" t="n">
        <x:f>W20-G20</x:f>
        <x:v>0</x:v>
      </x:c>
      <x:c r="Y20" s="19" t="n">
        <x:f>MAX(T20,1)+MAX(U20,1)+MAX(V20,1)</x:f>
        <x:v>4</x:v>
      </x:c>
      <x:c r="Z20" s="21" t="str">
        <x:f>IF(AND(MIN(D20:F20)&gt;=0,MAX(D20:F20)&lt;=7,MAX(D20,1)+MAX(E20,1)+MAX(F20,1)&lt;=9,OR(H20="-",AND(H20=0,D20&gt;0),AND(H20=1,E20&gt;0),AND(H20=2,F20&gt;0)),OR(I20=0,AND(I20=1,OR(J20=0,J20=1,J20=2),R20&lt;&gt;"000")),Y20&lt;=9,MIN(T20:V20)&gt;=0),"合法","输入违约")</x:f>
        <x:v>合法</x:v>
      </x:c>
    </x:row>
    <x:row r="21" ht="23" customHeight="1">
      <x:c r="A21" s="3" t="str">
        <x:v>CT-0014</x:v>
      </x:c>
      <x:c r="B21" s="3" t="str">
        <x:v>ST-005</x:v>
      </x:c>
      <x:c r="C21" s="3" t="str">
        <x:v>仅AR接收</x:v>
      </x:c>
      <x:c r="D21" s="25" t="n">
        <x:v>0</x:v>
      </x:c>
      <x:c r="E21" s="25" t="n">
        <x:v>0</x:v>
      </x:c>
      <x:c r="F21" s="25" t="n">
        <x:v>2</x:v>
      </x:c>
      <x:c r="G21" s="19" t="n">
        <x:f>SUM(D21:F21)</x:f>
        <x:v>2</x:v>
      </x:c>
      <x:c r="H21" s="25" t="str">
        <x:v>-</x:v>
      </x:c>
      <x:c r="I21" s="25" t="n">
        <x:v>1</x:v>
      </x:c>
      <x:c r="J21" s="25" t="n">
        <x:v>0</x:v>
      </x:c>
      <x:c r="K21" s="19" t="n">
        <x:f>D21-IF(H21=0,1,0)</x:f>
        <x:v>0</x:v>
      </x:c>
      <x:c r="L21" s="19" t="n">
        <x:f>E21-IF(H21=1,1,0)</x:f>
        <x:v>0</x:v>
      </x:c>
      <x:c r="M21" s="19" t="n">
        <x:f>F21-IF(H21=2,1,0)</x:f>
        <x:v>2</x:v>
      </x:c>
      <x:c r="N21" s="19" t="n">
        <x:f>MAX(K21-1,0)+MAX(L21-1,0)+MAX(M21-1,0)</x:f>
        <x:v>1</x:v>
      </x:c>
      <x:c r="O21" s="19" t="n">
        <x:f>IF(AND(SUM(K21:M21)&lt;9,OR(M21=0,N21&lt;6)),1,0)</x:f>
        <x:v>1</x:v>
      </x:c>
      <x:c r="P21" s="19" t="n">
        <x:f>IF(AND(SUM(K21:M21)&lt;9,OR(L21=0,N21&lt;6)),1,0)</x:f>
        <x:v>1</x:v>
      </x:c>
      <x:c r="Q21" s="19" t="n">
        <x:f>IF(AND(SUM(K21:M21)&lt;9,OR(K21=0,N21&lt;6)),1,0)</x:f>
        <x:v>1</x:v>
      </x:c>
      <x:c r="R21" s="22" t="str">
        <x:f>O21&amp;P21&amp;Q21</x:f>
        <x:v>111</x:v>
      </x:c>
      <x:c r="S21" s="19" t="n">
        <x:f>IF(I21=1,IF(J21=0,Q21,IF(J21=1,P21,IF(J21=2,O21,0))),0)</x:f>
        <x:v>1</x:v>
      </x:c>
      <x:c r="T21" s="19" t="n">
        <x:f>K21+IF(AND(S21=1,J21=0),1,0)</x:f>
        <x:v>1</x:v>
      </x:c>
      <x:c r="U21" s="19" t="n">
        <x:f>L21+IF(AND(S21=1,J21=1),1,0)</x:f>
        <x:v>0</x:v>
      </x:c>
      <x:c r="V21" s="19" t="n">
        <x:f>M21+IF(AND(S21=1,J21=2),1,0)</x:f>
        <x:v>2</x:v>
      </x:c>
      <x:c r="W21" s="19" t="n">
        <x:f>SUM(T21:V21)</x:f>
        <x:v>3</x:v>
      </x:c>
      <x:c r="X21" s="19" t="n">
        <x:f>W21-G21</x:f>
        <x:v>1</x:v>
      </x:c>
      <x:c r="Y21" s="19" t="n">
        <x:f>MAX(T21,1)+MAX(U21,1)+MAX(V21,1)</x:f>
        <x:v>4</x:v>
      </x:c>
      <x:c r="Z21" s="21" t="str">
        <x:f>IF(AND(MIN(D21:F21)&gt;=0,MAX(D21:F21)&lt;=7,MAX(D21,1)+MAX(E21,1)+MAX(F21,1)&lt;=9,OR(H21="-",AND(H21=0,D21&gt;0),AND(H21=1,E21&gt;0),AND(H21=2,F21&gt;0)),OR(I21=0,AND(I21=1,OR(J21=0,J21=1,J21=2),R21&lt;&gt;"000")),Y21&lt;=9,MIN(T21:V21)&gt;=0),"合法","输入违约")</x:f>
        <x:v>合法</x:v>
      </x:c>
    </x:row>
    <x:row r="22" ht="23" customHeight="1">
      <x:c r="A22" s="3" t="str">
        <x:v>CT-0015</x:v>
      </x:c>
      <x:c r="B22" s="3" t="str">
        <x:v>ST-005</x:v>
      </x:c>
      <x:c r="C22" s="3" t="str">
        <x:v>仅AR接收</x:v>
      </x:c>
      <x:c r="D22" s="25" t="n">
        <x:v>0</x:v>
      </x:c>
      <x:c r="E22" s="25" t="n">
        <x:v>0</x:v>
      </x:c>
      <x:c r="F22" s="25" t="n">
        <x:v>2</x:v>
      </x:c>
      <x:c r="G22" s="19" t="n">
        <x:f>SUM(D22:F22)</x:f>
        <x:v>2</x:v>
      </x:c>
      <x:c r="H22" s="25" t="str">
        <x:v>-</x:v>
      </x:c>
      <x:c r="I22" s="25" t="n">
        <x:v>1</x:v>
      </x:c>
      <x:c r="J22" s="25" t="n">
        <x:v>1</x:v>
      </x:c>
      <x:c r="K22" s="19" t="n">
        <x:f>D22-IF(H22=0,1,0)</x:f>
        <x:v>0</x:v>
      </x:c>
      <x:c r="L22" s="19" t="n">
        <x:f>E22-IF(H22=1,1,0)</x:f>
        <x:v>0</x:v>
      </x:c>
      <x:c r="M22" s="19" t="n">
        <x:f>F22-IF(H22=2,1,0)</x:f>
        <x:v>2</x:v>
      </x:c>
      <x:c r="N22" s="19" t="n">
        <x:f>MAX(K22-1,0)+MAX(L22-1,0)+MAX(M22-1,0)</x:f>
        <x:v>1</x:v>
      </x:c>
      <x:c r="O22" s="19" t="n">
        <x:f>IF(AND(SUM(K22:M22)&lt;9,OR(M22=0,N22&lt;6)),1,0)</x:f>
        <x:v>1</x:v>
      </x:c>
      <x:c r="P22" s="19" t="n">
        <x:f>IF(AND(SUM(K22:M22)&lt;9,OR(L22=0,N22&lt;6)),1,0)</x:f>
        <x:v>1</x:v>
      </x:c>
      <x:c r="Q22" s="19" t="n">
        <x:f>IF(AND(SUM(K22:M22)&lt;9,OR(K22=0,N22&lt;6)),1,0)</x:f>
        <x:v>1</x:v>
      </x:c>
      <x:c r="R22" s="22" t="str">
        <x:f>O22&amp;P22&amp;Q22</x:f>
        <x:v>111</x:v>
      </x:c>
      <x:c r="S22" s="19" t="n">
        <x:f>IF(I22=1,IF(J22=0,Q22,IF(J22=1,P22,IF(J22=2,O22,0))),0)</x:f>
        <x:v>1</x:v>
      </x:c>
      <x:c r="T22" s="19" t="n">
        <x:f>K22+IF(AND(S22=1,J22=0),1,0)</x:f>
        <x:v>0</x:v>
      </x:c>
      <x:c r="U22" s="19" t="n">
        <x:f>L22+IF(AND(S22=1,J22=1),1,0)</x:f>
        <x:v>1</x:v>
      </x:c>
      <x:c r="V22" s="19" t="n">
        <x:f>M22+IF(AND(S22=1,J22=2),1,0)</x:f>
        <x:v>2</x:v>
      </x:c>
      <x:c r="W22" s="19" t="n">
        <x:f>SUM(T22:V22)</x:f>
        <x:v>3</x:v>
      </x:c>
      <x:c r="X22" s="19" t="n">
        <x:f>W22-G22</x:f>
        <x:v>1</x:v>
      </x:c>
      <x:c r="Y22" s="19" t="n">
        <x:f>MAX(T22,1)+MAX(U22,1)+MAX(V22,1)</x:f>
        <x:v>4</x:v>
      </x:c>
      <x:c r="Z22" s="21" t="str">
        <x:f>IF(AND(MIN(D22:F22)&gt;=0,MAX(D22:F22)&lt;=7,MAX(D22,1)+MAX(E22,1)+MAX(F22,1)&lt;=9,OR(H22="-",AND(H22=0,D22&gt;0),AND(H22=1,E22&gt;0),AND(H22=2,F22&gt;0)),OR(I22=0,AND(I22=1,OR(J22=0,J22=1,J22=2),R22&lt;&gt;"000")),Y22&lt;=9,MIN(T22:V22)&gt;=0),"合法","输入违约")</x:f>
        <x:v>合法</x:v>
      </x:c>
    </x:row>
    <x:row r="23" ht="23" customHeight="1">
      <x:c r="A23" s="3" t="str">
        <x:v>CT-0016</x:v>
      </x:c>
      <x:c r="B23" s="3" t="str">
        <x:v>ST-005</x:v>
      </x:c>
      <x:c r="C23" s="3" t="str">
        <x:v>仅AR接收</x:v>
      </x:c>
      <x:c r="D23" s="25" t="n">
        <x:v>0</x:v>
      </x:c>
      <x:c r="E23" s="25" t="n">
        <x:v>0</x:v>
      </x:c>
      <x:c r="F23" s="25" t="n">
        <x:v>2</x:v>
      </x:c>
      <x:c r="G23" s="19" t="n">
        <x:f>SUM(D23:F23)</x:f>
        <x:v>2</x:v>
      </x:c>
      <x:c r="H23" s="25" t="str">
        <x:v>-</x:v>
      </x:c>
      <x:c r="I23" s="25" t="n">
        <x:v>1</x:v>
      </x:c>
      <x:c r="J23" s="25" t="n">
        <x:v>2</x:v>
      </x:c>
      <x:c r="K23" s="19" t="n">
        <x:f>D23-IF(H23=0,1,0)</x:f>
        <x:v>0</x:v>
      </x:c>
      <x:c r="L23" s="19" t="n">
        <x:f>E23-IF(H23=1,1,0)</x:f>
        <x:v>0</x:v>
      </x:c>
      <x:c r="M23" s="19" t="n">
        <x:f>F23-IF(H23=2,1,0)</x:f>
        <x:v>2</x:v>
      </x:c>
      <x:c r="N23" s="19" t="n">
        <x:f>MAX(K23-1,0)+MAX(L23-1,0)+MAX(M23-1,0)</x:f>
        <x:v>1</x:v>
      </x:c>
      <x:c r="O23" s="19" t="n">
        <x:f>IF(AND(SUM(K23:M23)&lt;9,OR(M23=0,N23&lt;6)),1,0)</x:f>
        <x:v>1</x:v>
      </x:c>
      <x:c r="P23" s="19" t="n">
        <x:f>IF(AND(SUM(K23:M23)&lt;9,OR(L23=0,N23&lt;6)),1,0)</x:f>
        <x:v>1</x:v>
      </x:c>
      <x:c r="Q23" s="19" t="n">
        <x:f>IF(AND(SUM(K23:M23)&lt;9,OR(K23=0,N23&lt;6)),1,0)</x:f>
        <x:v>1</x:v>
      </x:c>
      <x:c r="R23" s="22" t="str">
        <x:f>O23&amp;P23&amp;Q23</x:f>
        <x:v>111</x:v>
      </x:c>
      <x:c r="S23" s="19" t="n">
        <x:f>IF(I23=1,IF(J23=0,Q23,IF(J23=1,P23,IF(J23=2,O23,0))),0)</x:f>
        <x:v>1</x:v>
      </x:c>
      <x:c r="T23" s="19" t="n">
        <x:f>K23+IF(AND(S23=1,J23=0),1,0)</x:f>
        <x:v>0</x:v>
      </x:c>
      <x:c r="U23" s="19" t="n">
        <x:f>L23+IF(AND(S23=1,J23=1),1,0)</x:f>
        <x:v>0</x:v>
      </x:c>
      <x:c r="V23" s="19" t="n">
        <x:f>M23+IF(AND(S23=1,J23=2),1,0)</x:f>
        <x:v>3</x:v>
      </x:c>
      <x:c r="W23" s="19" t="n">
        <x:f>SUM(T23:V23)</x:f>
        <x:v>3</x:v>
      </x:c>
      <x:c r="X23" s="19" t="n">
        <x:f>W23-G23</x:f>
        <x:v>1</x:v>
      </x:c>
      <x:c r="Y23" s="19" t="n">
        <x:f>MAX(T23,1)+MAX(U23,1)+MAX(V23,1)</x:f>
        <x:v>5</x:v>
      </x:c>
      <x:c r="Z23" s="21" t="str">
        <x:f>IF(AND(MIN(D23:F23)&gt;=0,MAX(D23:F23)&lt;=7,MAX(D23,1)+MAX(E23,1)+MAX(F23,1)&lt;=9,OR(H23="-",AND(H23=0,D23&gt;0),AND(H23=1,E23&gt;0),AND(H23=2,F23&gt;0)),OR(I23=0,AND(I23=1,OR(J23=0,J23=1,J23=2),R23&lt;&gt;"000")),Y23&lt;=9,MIN(T23:V23)&gt;=0),"合法","输入违约")</x:f>
        <x:v>合法</x:v>
      </x:c>
    </x:row>
    <x:row r="24" ht="23" customHeight="1">
      <x:c r="A24" s="3" t="str">
        <x:v>CT-0017</x:v>
      </x:c>
      <x:c r="B24" s="3" t="str">
        <x:v>ST-005</x:v>
      </x:c>
      <x:c r="C24" s="3" t="str">
        <x:v>仅R回收</x:v>
      </x:c>
      <x:c r="D24" s="25" t="n">
        <x:v>0</x:v>
      </x:c>
      <x:c r="E24" s="25" t="n">
        <x:v>0</x:v>
      </x:c>
      <x:c r="F24" s="25" t="n">
        <x:v>2</x:v>
      </x:c>
      <x:c r="G24" s="19" t="n">
        <x:f>SUM(D24:F24)</x:f>
        <x:v>2</x:v>
      </x:c>
      <x:c r="H24" s="25" t="n">
        <x:v>2</x:v>
      </x:c>
      <x:c r="I24" s="25" t="n">
        <x:v>0</x:v>
      </x:c>
      <x:c r="J24" s="25" t="str">
        <x:v>-</x:v>
      </x:c>
      <x:c r="K24" s="19" t="n">
        <x:f>D24-IF(H24=0,1,0)</x:f>
        <x:v>0</x:v>
      </x:c>
      <x:c r="L24" s="19" t="n">
        <x:f>E24-IF(H24=1,1,0)</x:f>
        <x:v>0</x:v>
      </x:c>
      <x:c r="M24" s="19" t="n">
        <x:f>F24-IF(H24=2,1,0)</x:f>
        <x:v>1</x:v>
      </x:c>
      <x:c r="N24" s="19" t="n">
        <x:f>MAX(K24-1,0)+MAX(L24-1,0)+MAX(M24-1,0)</x:f>
        <x:v>0</x:v>
      </x:c>
      <x:c r="O24" s="19" t="n">
        <x:f>IF(AND(SUM(K24:M24)&lt;9,OR(M24=0,N24&lt;6)),1,0)</x:f>
        <x:v>1</x:v>
      </x:c>
      <x:c r="P24" s="19" t="n">
        <x:f>IF(AND(SUM(K24:M24)&lt;9,OR(L24=0,N24&lt;6)),1,0)</x:f>
        <x:v>1</x:v>
      </x:c>
      <x:c r="Q24" s="19" t="n">
        <x:f>IF(AND(SUM(K24:M24)&lt;9,OR(K24=0,N24&lt;6)),1,0)</x:f>
        <x:v>1</x:v>
      </x:c>
      <x:c r="R24" s="22" t="str">
        <x:f>O24&amp;P24&amp;Q24</x:f>
        <x:v>111</x:v>
      </x:c>
      <x:c r="S24" s="19" t="n">
        <x:f>IF(I24=1,IF(J24=0,Q24,IF(J24=1,P24,IF(J24=2,O24,0))),0)</x:f>
        <x:v>0</x:v>
      </x:c>
      <x:c r="T24" s="19" t="n">
        <x:f>K24+IF(AND(S24=1,J24=0),1,0)</x:f>
        <x:v>0</x:v>
      </x:c>
      <x:c r="U24" s="19" t="n">
        <x:f>L24+IF(AND(S24=1,J24=1),1,0)</x:f>
        <x:v>0</x:v>
      </x:c>
      <x:c r="V24" s="19" t="n">
        <x:f>M24+IF(AND(S24=1,J24=2),1,0)</x:f>
        <x:v>1</x:v>
      </x:c>
      <x:c r="W24" s="19" t="n">
        <x:f>SUM(T24:V24)</x:f>
        <x:v>1</x:v>
      </x:c>
      <x:c r="X24" s="19" t="n">
        <x:f>W24-G24</x:f>
        <x:v>-1</x:v>
      </x:c>
      <x:c r="Y24" s="19" t="n">
        <x:f>MAX(T24,1)+MAX(U24,1)+MAX(V24,1)</x:f>
        <x:v>3</x:v>
      </x:c>
      <x:c r="Z24" s="21" t="str">
        <x:f>IF(AND(MIN(D24:F24)&gt;=0,MAX(D24:F24)&lt;=7,MAX(D24,1)+MAX(E24,1)+MAX(F24,1)&lt;=9,OR(H24="-",AND(H24=0,D24&gt;0),AND(H24=1,E24&gt;0),AND(H24=2,F24&gt;0)),OR(I24=0,AND(I24=1,OR(J24=0,J24=1,J24=2),R24&lt;&gt;"000")),Y24&lt;=9,MIN(T24:V24)&gt;=0),"合法","输入违约")</x:f>
        <x:v>合法</x:v>
      </x:c>
    </x:row>
    <x:row r="25" ht="23" customHeight="1">
      <x:c r="A25" s="3" t="str">
        <x:v>CT-0018</x:v>
      </x:c>
      <x:c r="B25" s="3" t="str">
        <x:v>ST-005</x:v>
      </x:c>
      <x:c r="C25" s="3" t="str">
        <x:v>R+AR同收同发</x:v>
      </x:c>
      <x:c r="D25" s="25" t="n">
        <x:v>0</x:v>
      </x:c>
      <x:c r="E25" s="25" t="n">
        <x:v>0</x:v>
      </x:c>
      <x:c r="F25" s="25" t="n">
        <x:v>2</x:v>
      </x:c>
      <x:c r="G25" s="19" t="n">
        <x:f>SUM(D25:F25)</x:f>
        <x:v>2</x:v>
      </x:c>
      <x:c r="H25" s="25" t="n">
        <x:v>2</x:v>
      </x:c>
      <x:c r="I25" s="25" t="n">
        <x:v>1</x:v>
      </x:c>
      <x:c r="J25" s="25" t="n">
        <x:v>0</x:v>
      </x:c>
      <x:c r="K25" s="19" t="n">
        <x:f>D25-IF(H25=0,1,0)</x:f>
        <x:v>0</x:v>
      </x:c>
      <x:c r="L25" s="19" t="n">
        <x:f>E25-IF(H25=1,1,0)</x:f>
        <x:v>0</x:v>
      </x:c>
      <x:c r="M25" s="19" t="n">
        <x:f>F25-IF(H25=2,1,0)</x:f>
        <x:v>1</x:v>
      </x:c>
      <x:c r="N25" s="19" t="n">
        <x:f>MAX(K25-1,0)+MAX(L25-1,0)+MAX(M25-1,0)</x:f>
        <x:v>0</x:v>
      </x:c>
      <x:c r="O25" s="19" t="n">
        <x:f>IF(AND(SUM(K25:M25)&lt;9,OR(M25=0,N25&lt;6)),1,0)</x:f>
        <x:v>1</x:v>
      </x:c>
      <x:c r="P25" s="19" t="n">
        <x:f>IF(AND(SUM(K25:M25)&lt;9,OR(L25=0,N25&lt;6)),1,0)</x:f>
        <x:v>1</x:v>
      </x:c>
      <x:c r="Q25" s="19" t="n">
        <x:f>IF(AND(SUM(K25:M25)&lt;9,OR(K25=0,N25&lt;6)),1,0)</x:f>
        <x:v>1</x:v>
      </x:c>
      <x:c r="R25" s="22" t="str">
        <x:f>O25&amp;P25&amp;Q25</x:f>
        <x:v>111</x:v>
      </x:c>
      <x:c r="S25" s="19" t="n">
        <x:f>IF(I25=1,IF(J25=0,Q25,IF(J25=1,P25,IF(J25=2,O25,0))),0)</x:f>
        <x:v>1</x:v>
      </x:c>
      <x:c r="T25" s="19" t="n">
        <x:f>K25+IF(AND(S25=1,J25=0),1,0)</x:f>
        <x:v>1</x:v>
      </x:c>
      <x:c r="U25" s="19" t="n">
        <x:f>L25+IF(AND(S25=1,J25=1),1,0)</x:f>
        <x:v>0</x:v>
      </x:c>
      <x:c r="V25" s="19" t="n">
        <x:f>M25+IF(AND(S25=1,J25=2),1,0)</x:f>
        <x:v>1</x:v>
      </x:c>
      <x:c r="W25" s="19" t="n">
        <x:f>SUM(T25:V25)</x:f>
        <x:v>2</x:v>
      </x:c>
      <x:c r="X25" s="19" t="n">
        <x:f>W25-G25</x:f>
        <x:v>0</x:v>
      </x:c>
      <x:c r="Y25" s="19" t="n">
        <x:f>MAX(T25,1)+MAX(U25,1)+MAX(V25,1)</x:f>
        <x:v>3</x:v>
      </x:c>
      <x:c r="Z25" s="21" t="str">
        <x:f>IF(AND(MIN(D25:F25)&gt;=0,MAX(D25:F25)&lt;=7,MAX(D25,1)+MAX(E25,1)+MAX(F25,1)&lt;=9,OR(H25="-",AND(H25=0,D25&gt;0),AND(H25=1,E25&gt;0),AND(H25=2,F25&gt;0)),OR(I25=0,AND(I25=1,OR(J25=0,J25=1,J25=2),R25&lt;&gt;"000")),Y25&lt;=9,MIN(T25:V25)&gt;=0),"合法","输入违约")</x:f>
        <x:v>合法</x:v>
      </x:c>
    </x:row>
    <x:row r="26" ht="23" customHeight="1">
      <x:c r="A26" s="3" t="str">
        <x:v>CT-0019</x:v>
      </x:c>
      <x:c r="B26" s="3" t="str">
        <x:v>ST-005</x:v>
      </x:c>
      <x:c r="C26" s="3" t="str">
        <x:v>R+AR同收同发</x:v>
      </x:c>
      <x:c r="D26" s="25" t="n">
        <x:v>0</x:v>
      </x:c>
      <x:c r="E26" s="25" t="n">
        <x:v>0</x:v>
      </x:c>
      <x:c r="F26" s="25" t="n">
        <x:v>2</x:v>
      </x:c>
      <x:c r="G26" s="19" t="n">
        <x:f>SUM(D26:F26)</x:f>
        <x:v>2</x:v>
      </x:c>
      <x:c r="H26" s="25" t="n">
        <x:v>2</x:v>
      </x:c>
      <x:c r="I26" s="25" t="n">
        <x:v>1</x:v>
      </x:c>
      <x:c r="J26" s="25" t="n">
        <x:v>1</x:v>
      </x:c>
      <x:c r="K26" s="19" t="n">
        <x:f>D26-IF(H26=0,1,0)</x:f>
        <x:v>0</x:v>
      </x:c>
      <x:c r="L26" s="19" t="n">
        <x:f>E26-IF(H26=1,1,0)</x:f>
        <x:v>0</x:v>
      </x:c>
      <x:c r="M26" s="19" t="n">
        <x:f>F26-IF(H26=2,1,0)</x:f>
        <x:v>1</x:v>
      </x:c>
      <x:c r="N26" s="19" t="n">
        <x:f>MAX(K26-1,0)+MAX(L26-1,0)+MAX(M26-1,0)</x:f>
        <x:v>0</x:v>
      </x:c>
      <x:c r="O26" s="19" t="n">
        <x:f>IF(AND(SUM(K26:M26)&lt;9,OR(M26=0,N26&lt;6)),1,0)</x:f>
        <x:v>1</x:v>
      </x:c>
      <x:c r="P26" s="19" t="n">
        <x:f>IF(AND(SUM(K26:M26)&lt;9,OR(L26=0,N26&lt;6)),1,0)</x:f>
        <x:v>1</x:v>
      </x:c>
      <x:c r="Q26" s="19" t="n">
        <x:f>IF(AND(SUM(K26:M26)&lt;9,OR(K26=0,N26&lt;6)),1,0)</x:f>
        <x:v>1</x:v>
      </x:c>
      <x:c r="R26" s="22" t="str">
        <x:f>O26&amp;P26&amp;Q26</x:f>
        <x:v>111</x:v>
      </x:c>
      <x:c r="S26" s="19" t="n">
        <x:f>IF(I26=1,IF(J26=0,Q26,IF(J26=1,P26,IF(J26=2,O26,0))),0)</x:f>
        <x:v>1</x:v>
      </x:c>
      <x:c r="T26" s="19" t="n">
        <x:f>K26+IF(AND(S26=1,J26=0),1,0)</x:f>
        <x:v>0</x:v>
      </x:c>
      <x:c r="U26" s="19" t="n">
        <x:f>L26+IF(AND(S26=1,J26=1),1,0)</x:f>
        <x:v>1</x:v>
      </x:c>
      <x:c r="V26" s="19" t="n">
        <x:f>M26+IF(AND(S26=1,J26=2),1,0)</x:f>
        <x:v>1</x:v>
      </x:c>
      <x:c r="W26" s="19" t="n">
        <x:f>SUM(T26:V26)</x:f>
        <x:v>2</x:v>
      </x:c>
      <x:c r="X26" s="19" t="n">
        <x:f>W26-G26</x:f>
        <x:v>0</x:v>
      </x:c>
      <x:c r="Y26" s="19" t="n">
        <x:f>MAX(T26,1)+MAX(U26,1)+MAX(V26,1)</x:f>
        <x:v>3</x:v>
      </x:c>
      <x:c r="Z26" s="21" t="str">
        <x:f>IF(AND(MIN(D26:F26)&gt;=0,MAX(D26:F26)&lt;=7,MAX(D26,1)+MAX(E26,1)+MAX(F26,1)&lt;=9,OR(H26="-",AND(H26=0,D26&gt;0),AND(H26=1,E26&gt;0),AND(H26=2,F26&gt;0)),OR(I26=0,AND(I26=1,OR(J26=0,J26=1,J26=2),R26&lt;&gt;"000")),Y26&lt;=9,MIN(T26:V26)&gt;=0),"合法","输入违约")</x:f>
        <x:v>合法</x:v>
      </x:c>
    </x:row>
    <x:row r="27" ht="23" customHeight="1">
      <x:c r="A27" s="3" t="str">
        <x:v>CT-0020</x:v>
      </x:c>
      <x:c r="B27" s="3" t="str">
        <x:v>ST-005</x:v>
      </x:c>
      <x:c r="C27" s="3" t="str">
        <x:v>R+AR同收同发</x:v>
      </x:c>
      <x:c r="D27" s="25" t="n">
        <x:v>0</x:v>
      </x:c>
      <x:c r="E27" s="25" t="n">
        <x:v>0</x:v>
      </x:c>
      <x:c r="F27" s="25" t="n">
        <x:v>2</x:v>
      </x:c>
      <x:c r="G27" s="19" t="n">
        <x:f>SUM(D27:F27)</x:f>
        <x:v>2</x:v>
      </x:c>
      <x:c r="H27" s="25" t="n">
        <x:v>2</x:v>
      </x:c>
      <x:c r="I27" s="25" t="n">
        <x:v>1</x:v>
      </x:c>
      <x:c r="J27" s="25" t="n">
        <x:v>2</x:v>
      </x:c>
      <x:c r="K27" s="19" t="n">
        <x:f>D27-IF(H27=0,1,0)</x:f>
        <x:v>0</x:v>
      </x:c>
      <x:c r="L27" s="19" t="n">
        <x:f>E27-IF(H27=1,1,0)</x:f>
        <x:v>0</x:v>
      </x:c>
      <x:c r="M27" s="19" t="n">
        <x:f>F27-IF(H27=2,1,0)</x:f>
        <x:v>1</x:v>
      </x:c>
      <x:c r="N27" s="19" t="n">
        <x:f>MAX(K27-1,0)+MAX(L27-1,0)+MAX(M27-1,0)</x:f>
        <x:v>0</x:v>
      </x:c>
      <x:c r="O27" s="19" t="n">
        <x:f>IF(AND(SUM(K27:M27)&lt;9,OR(M27=0,N27&lt;6)),1,0)</x:f>
        <x:v>1</x:v>
      </x:c>
      <x:c r="P27" s="19" t="n">
        <x:f>IF(AND(SUM(K27:M27)&lt;9,OR(L27=0,N27&lt;6)),1,0)</x:f>
        <x:v>1</x:v>
      </x:c>
      <x:c r="Q27" s="19" t="n">
        <x:f>IF(AND(SUM(K27:M27)&lt;9,OR(K27=0,N27&lt;6)),1,0)</x:f>
        <x:v>1</x:v>
      </x:c>
      <x:c r="R27" s="22" t="str">
        <x:f>O27&amp;P27&amp;Q27</x:f>
        <x:v>111</x:v>
      </x:c>
      <x:c r="S27" s="19" t="n">
        <x:f>IF(I27=1,IF(J27=0,Q27,IF(J27=1,P27,IF(J27=2,O27,0))),0)</x:f>
        <x:v>1</x:v>
      </x:c>
      <x:c r="T27" s="19" t="n">
        <x:f>K27+IF(AND(S27=1,J27=0),1,0)</x:f>
        <x:v>0</x:v>
      </x:c>
      <x:c r="U27" s="19" t="n">
        <x:f>L27+IF(AND(S27=1,J27=1),1,0)</x:f>
        <x:v>0</x:v>
      </x:c>
      <x:c r="V27" s="19" t="n">
        <x:f>M27+IF(AND(S27=1,J27=2),1,0)</x:f>
        <x:v>2</x:v>
      </x:c>
      <x:c r="W27" s="19" t="n">
        <x:f>SUM(T27:V27)</x:f>
        <x:v>2</x:v>
      </x:c>
      <x:c r="X27" s="19" t="n">
        <x:f>W27-G27</x:f>
        <x:v>0</x:v>
      </x:c>
      <x:c r="Y27" s="19" t="n">
        <x:f>MAX(T27,1)+MAX(U27,1)+MAX(V27,1)</x:f>
        <x:v>4</x:v>
      </x:c>
      <x:c r="Z27" s="21" t="str">
        <x:f>IF(AND(MIN(D27:F27)&gt;=0,MAX(D27:F27)&lt;=7,MAX(D27,1)+MAX(E27,1)+MAX(F27,1)&lt;=9,OR(H27="-",AND(H27=0,D27&gt;0),AND(H27=1,E27&gt;0),AND(H27=2,F27&gt;0)),OR(I27=0,AND(I27=1,OR(J27=0,J27=1,J27=2),R27&lt;&gt;"000")),Y27&lt;=9,MIN(T27:V27)&gt;=0),"合法","输入违约")</x:f>
        <x:v>合法</x:v>
      </x:c>
    </x:row>
    <x:row r="28" ht="23" customHeight="1">
      <x:c r="A28" s="3" t="str">
        <x:v>CT-0021</x:v>
      </x:c>
      <x:c r="B28" s="3" t="str">
        <x:v>ST-011</x:v>
      </x:c>
      <x:c r="C28" s="3" t="str">
        <x:v>无AR/R</x:v>
      </x:c>
      <x:c r="D28" s="25" t="n">
        <x:v>0</x:v>
      </x:c>
      <x:c r="E28" s="25" t="n">
        <x:v>0</x:v>
      </x:c>
      <x:c r="F28" s="25" t="n">
        <x:v>3</x:v>
      </x:c>
      <x:c r="G28" s="19" t="n">
        <x:f>SUM(D28:F28)</x:f>
        <x:v>3</x:v>
      </x:c>
      <x:c r="H28" s="25" t="str">
        <x:v>-</x:v>
      </x:c>
      <x:c r="I28" s="25" t="n">
        <x:v>0</x:v>
      </x:c>
      <x:c r="J28" s="25" t="str">
        <x:v>-</x:v>
      </x:c>
      <x:c r="K28" s="19" t="n">
        <x:f>D28-IF(H28=0,1,0)</x:f>
        <x:v>0</x:v>
      </x:c>
      <x:c r="L28" s="19" t="n">
        <x:f>E28-IF(H28=1,1,0)</x:f>
        <x:v>0</x:v>
      </x:c>
      <x:c r="M28" s="19" t="n">
        <x:f>F28-IF(H28=2,1,0)</x:f>
        <x:v>3</x:v>
      </x:c>
      <x:c r="N28" s="19" t="n">
        <x:f>MAX(K28-1,0)+MAX(L28-1,0)+MAX(M28-1,0)</x:f>
        <x:v>2</x:v>
      </x:c>
      <x:c r="O28" s="19" t="n">
        <x:f>IF(AND(SUM(K28:M28)&lt;9,OR(M28=0,N28&lt;6)),1,0)</x:f>
        <x:v>1</x:v>
      </x:c>
      <x:c r="P28" s="19" t="n">
        <x:f>IF(AND(SUM(K28:M28)&lt;9,OR(L28=0,N28&lt;6)),1,0)</x:f>
        <x:v>1</x:v>
      </x:c>
      <x:c r="Q28" s="19" t="n">
        <x:f>IF(AND(SUM(K28:M28)&lt;9,OR(K28=0,N28&lt;6)),1,0)</x:f>
        <x:v>1</x:v>
      </x:c>
      <x:c r="R28" s="22" t="str">
        <x:f>O28&amp;P28&amp;Q28</x:f>
        <x:v>111</x:v>
      </x:c>
      <x:c r="S28" s="19" t="n">
        <x:f>IF(I28=1,IF(J28=0,Q28,IF(J28=1,P28,IF(J28=2,O28,0))),0)</x:f>
        <x:v>0</x:v>
      </x:c>
      <x:c r="T28" s="19" t="n">
        <x:f>K28+IF(AND(S28=1,J28=0),1,0)</x:f>
        <x:v>0</x:v>
      </x:c>
      <x:c r="U28" s="19" t="n">
        <x:f>L28+IF(AND(S28=1,J28=1),1,0)</x:f>
        <x:v>0</x:v>
      </x:c>
      <x:c r="V28" s="19" t="n">
        <x:f>M28+IF(AND(S28=1,J28=2),1,0)</x:f>
        <x:v>3</x:v>
      </x:c>
      <x:c r="W28" s="19" t="n">
        <x:f>SUM(T28:V28)</x:f>
        <x:v>3</x:v>
      </x:c>
      <x:c r="X28" s="19" t="n">
        <x:f>W28-G28</x:f>
        <x:v>0</x:v>
      </x:c>
      <x:c r="Y28" s="19" t="n">
        <x:f>MAX(T28,1)+MAX(U28,1)+MAX(V28,1)</x:f>
        <x:v>5</x:v>
      </x:c>
      <x:c r="Z28" s="21" t="str">
        <x:f>IF(AND(MIN(D28:F28)&gt;=0,MAX(D28:F28)&lt;=7,MAX(D28,1)+MAX(E28,1)+MAX(F28,1)&lt;=9,OR(H28="-",AND(H28=0,D28&gt;0),AND(H28=1,E28&gt;0),AND(H28=2,F28&gt;0)),OR(I28=0,AND(I28=1,OR(J28=0,J28=1,J28=2),R28&lt;&gt;"000")),Y28&lt;=9,MIN(T28:V28)&gt;=0),"合法","输入违约")</x:f>
        <x:v>合法</x:v>
      </x:c>
    </x:row>
    <x:row r="29" ht="23" customHeight="1">
      <x:c r="A29" s="3" t="str">
        <x:v>CT-0022</x:v>
      </x:c>
      <x:c r="B29" s="3" t="str">
        <x:v>ST-011</x:v>
      </x:c>
      <x:c r="C29" s="3" t="str">
        <x:v>仅AR接收</x:v>
      </x:c>
      <x:c r="D29" s="25" t="n">
        <x:v>0</x:v>
      </x:c>
      <x:c r="E29" s="25" t="n">
        <x:v>0</x:v>
      </x:c>
      <x:c r="F29" s="25" t="n">
        <x:v>3</x:v>
      </x:c>
      <x:c r="G29" s="19" t="n">
        <x:f>SUM(D29:F29)</x:f>
        <x:v>3</x:v>
      </x:c>
      <x:c r="H29" s="25" t="str">
        <x:v>-</x:v>
      </x:c>
      <x:c r="I29" s="25" t="n">
        <x:v>1</x:v>
      </x:c>
      <x:c r="J29" s="25" t="n">
        <x:v>0</x:v>
      </x:c>
      <x:c r="K29" s="19" t="n">
        <x:f>D29-IF(H29=0,1,0)</x:f>
        <x:v>0</x:v>
      </x:c>
      <x:c r="L29" s="19" t="n">
        <x:f>E29-IF(H29=1,1,0)</x:f>
        <x:v>0</x:v>
      </x:c>
      <x:c r="M29" s="19" t="n">
        <x:f>F29-IF(H29=2,1,0)</x:f>
        <x:v>3</x:v>
      </x:c>
      <x:c r="N29" s="19" t="n">
        <x:f>MAX(K29-1,0)+MAX(L29-1,0)+MAX(M29-1,0)</x:f>
        <x:v>2</x:v>
      </x:c>
      <x:c r="O29" s="19" t="n">
        <x:f>IF(AND(SUM(K29:M29)&lt;9,OR(M29=0,N29&lt;6)),1,0)</x:f>
        <x:v>1</x:v>
      </x:c>
      <x:c r="P29" s="19" t="n">
        <x:f>IF(AND(SUM(K29:M29)&lt;9,OR(L29=0,N29&lt;6)),1,0)</x:f>
        <x:v>1</x:v>
      </x:c>
      <x:c r="Q29" s="19" t="n">
        <x:f>IF(AND(SUM(K29:M29)&lt;9,OR(K29=0,N29&lt;6)),1,0)</x:f>
        <x:v>1</x:v>
      </x:c>
      <x:c r="R29" s="22" t="str">
        <x:f>O29&amp;P29&amp;Q29</x:f>
        <x:v>111</x:v>
      </x:c>
      <x:c r="S29" s="19" t="n">
        <x:f>IF(I29=1,IF(J29=0,Q29,IF(J29=1,P29,IF(J29=2,O29,0))),0)</x:f>
        <x:v>1</x:v>
      </x:c>
      <x:c r="T29" s="19" t="n">
        <x:f>K29+IF(AND(S29=1,J29=0),1,0)</x:f>
        <x:v>1</x:v>
      </x:c>
      <x:c r="U29" s="19" t="n">
        <x:f>L29+IF(AND(S29=1,J29=1),1,0)</x:f>
        <x:v>0</x:v>
      </x:c>
      <x:c r="V29" s="19" t="n">
        <x:f>M29+IF(AND(S29=1,J29=2),1,0)</x:f>
        <x:v>3</x:v>
      </x:c>
      <x:c r="W29" s="19" t="n">
        <x:f>SUM(T29:V29)</x:f>
        <x:v>4</x:v>
      </x:c>
      <x:c r="X29" s="19" t="n">
        <x:f>W29-G29</x:f>
        <x:v>1</x:v>
      </x:c>
      <x:c r="Y29" s="19" t="n">
        <x:f>MAX(T29,1)+MAX(U29,1)+MAX(V29,1)</x:f>
        <x:v>5</x:v>
      </x:c>
      <x:c r="Z29" s="21" t="str">
        <x:f>IF(AND(MIN(D29:F29)&gt;=0,MAX(D29:F29)&lt;=7,MAX(D29,1)+MAX(E29,1)+MAX(F29,1)&lt;=9,OR(H29="-",AND(H29=0,D29&gt;0),AND(H29=1,E29&gt;0),AND(H29=2,F29&gt;0)),OR(I29=0,AND(I29=1,OR(J29=0,J29=1,J29=2),R29&lt;&gt;"000")),Y29&lt;=9,MIN(T29:V29)&gt;=0),"合法","输入违约")</x:f>
        <x:v>合法</x:v>
      </x:c>
    </x:row>
    <x:row r="30" ht="23" customHeight="1">
      <x:c r="A30" s="3" t="str">
        <x:v>CT-0023</x:v>
      </x:c>
      <x:c r="B30" s="3" t="str">
        <x:v>ST-011</x:v>
      </x:c>
      <x:c r="C30" s="3" t="str">
        <x:v>仅AR接收</x:v>
      </x:c>
      <x:c r="D30" s="25" t="n">
        <x:v>0</x:v>
      </x:c>
      <x:c r="E30" s="25" t="n">
        <x:v>0</x:v>
      </x:c>
      <x:c r="F30" s="25" t="n">
        <x:v>3</x:v>
      </x:c>
      <x:c r="G30" s="19" t="n">
        <x:f>SUM(D30:F30)</x:f>
        <x:v>3</x:v>
      </x:c>
      <x:c r="H30" s="25" t="str">
        <x:v>-</x:v>
      </x:c>
      <x:c r="I30" s="25" t="n">
        <x:v>1</x:v>
      </x:c>
      <x:c r="J30" s="25" t="n">
        <x:v>1</x:v>
      </x:c>
      <x:c r="K30" s="19" t="n">
        <x:f>D30-IF(H30=0,1,0)</x:f>
        <x:v>0</x:v>
      </x:c>
      <x:c r="L30" s="19" t="n">
        <x:f>E30-IF(H30=1,1,0)</x:f>
        <x:v>0</x:v>
      </x:c>
      <x:c r="M30" s="19" t="n">
        <x:f>F30-IF(H30=2,1,0)</x:f>
        <x:v>3</x:v>
      </x:c>
      <x:c r="N30" s="19" t="n">
        <x:f>MAX(K30-1,0)+MAX(L30-1,0)+MAX(M30-1,0)</x:f>
        <x:v>2</x:v>
      </x:c>
      <x:c r="O30" s="19" t="n">
        <x:f>IF(AND(SUM(K30:M30)&lt;9,OR(M30=0,N30&lt;6)),1,0)</x:f>
        <x:v>1</x:v>
      </x:c>
      <x:c r="P30" s="19" t="n">
        <x:f>IF(AND(SUM(K30:M30)&lt;9,OR(L30=0,N30&lt;6)),1,0)</x:f>
        <x:v>1</x:v>
      </x:c>
      <x:c r="Q30" s="19" t="n">
        <x:f>IF(AND(SUM(K30:M30)&lt;9,OR(K30=0,N30&lt;6)),1,0)</x:f>
        <x:v>1</x:v>
      </x:c>
      <x:c r="R30" s="22" t="str">
        <x:f>O30&amp;P30&amp;Q30</x:f>
        <x:v>111</x:v>
      </x:c>
      <x:c r="S30" s="19" t="n">
        <x:f>IF(I30=1,IF(J30=0,Q30,IF(J30=1,P30,IF(J30=2,O30,0))),0)</x:f>
        <x:v>1</x:v>
      </x:c>
      <x:c r="T30" s="19" t="n">
        <x:f>K30+IF(AND(S30=1,J30=0),1,0)</x:f>
        <x:v>0</x:v>
      </x:c>
      <x:c r="U30" s="19" t="n">
        <x:f>L30+IF(AND(S30=1,J30=1),1,0)</x:f>
        <x:v>1</x:v>
      </x:c>
      <x:c r="V30" s="19" t="n">
        <x:f>M30+IF(AND(S30=1,J30=2),1,0)</x:f>
        <x:v>3</x:v>
      </x:c>
      <x:c r="W30" s="19" t="n">
        <x:f>SUM(T30:V30)</x:f>
        <x:v>4</x:v>
      </x:c>
      <x:c r="X30" s="19" t="n">
        <x:f>W30-G30</x:f>
        <x:v>1</x:v>
      </x:c>
      <x:c r="Y30" s="19" t="n">
        <x:f>MAX(T30,1)+MAX(U30,1)+MAX(V30,1)</x:f>
        <x:v>5</x:v>
      </x:c>
      <x:c r="Z30" s="21" t="str">
        <x:f>IF(AND(MIN(D30:F30)&gt;=0,MAX(D30:F30)&lt;=7,MAX(D30,1)+MAX(E30,1)+MAX(F30,1)&lt;=9,OR(H30="-",AND(H30=0,D30&gt;0),AND(H30=1,E30&gt;0),AND(H30=2,F30&gt;0)),OR(I30=0,AND(I30=1,OR(J30=0,J30=1,J30=2),R30&lt;&gt;"000")),Y30&lt;=9,MIN(T30:V30)&gt;=0),"合法","输入违约")</x:f>
        <x:v>合法</x:v>
      </x:c>
    </x:row>
    <x:row r="31" ht="23" customHeight="1">
      <x:c r="A31" s="3" t="str">
        <x:v>CT-0024</x:v>
      </x:c>
      <x:c r="B31" s="3" t="str">
        <x:v>ST-011</x:v>
      </x:c>
      <x:c r="C31" s="3" t="str">
        <x:v>仅AR接收</x:v>
      </x:c>
      <x:c r="D31" s="25" t="n">
        <x:v>0</x:v>
      </x:c>
      <x:c r="E31" s="25" t="n">
        <x:v>0</x:v>
      </x:c>
      <x:c r="F31" s="25" t="n">
        <x:v>3</x:v>
      </x:c>
      <x:c r="G31" s="19" t="n">
        <x:f>SUM(D31:F31)</x:f>
        <x:v>3</x:v>
      </x:c>
      <x:c r="H31" s="25" t="str">
        <x:v>-</x:v>
      </x:c>
      <x:c r="I31" s="25" t="n">
        <x:v>1</x:v>
      </x:c>
      <x:c r="J31" s="25" t="n">
        <x:v>2</x:v>
      </x:c>
      <x:c r="K31" s="19" t="n">
        <x:f>D31-IF(H31=0,1,0)</x:f>
        <x:v>0</x:v>
      </x:c>
      <x:c r="L31" s="19" t="n">
        <x:f>E31-IF(H31=1,1,0)</x:f>
        <x:v>0</x:v>
      </x:c>
      <x:c r="M31" s="19" t="n">
        <x:f>F31-IF(H31=2,1,0)</x:f>
        <x:v>3</x:v>
      </x:c>
      <x:c r="N31" s="19" t="n">
        <x:f>MAX(K31-1,0)+MAX(L31-1,0)+MAX(M31-1,0)</x:f>
        <x:v>2</x:v>
      </x:c>
      <x:c r="O31" s="19" t="n">
        <x:f>IF(AND(SUM(K31:M31)&lt;9,OR(M31=0,N31&lt;6)),1,0)</x:f>
        <x:v>1</x:v>
      </x:c>
      <x:c r="P31" s="19" t="n">
        <x:f>IF(AND(SUM(K31:M31)&lt;9,OR(L31=0,N31&lt;6)),1,0)</x:f>
        <x:v>1</x:v>
      </x:c>
      <x:c r="Q31" s="19" t="n">
        <x:f>IF(AND(SUM(K31:M31)&lt;9,OR(K31=0,N31&lt;6)),1,0)</x:f>
        <x:v>1</x:v>
      </x:c>
      <x:c r="R31" s="22" t="str">
        <x:f>O31&amp;P31&amp;Q31</x:f>
        <x:v>111</x:v>
      </x:c>
      <x:c r="S31" s="19" t="n">
        <x:f>IF(I31=1,IF(J31=0,Q31,IF(J31=1,P31,IF(J31=2,O31,0))),0)</x:f>
        <x:v>1</x:v>
      </x:c>
      <x:c r="T31" s="19" t="n">
        <x:f>K31+IF(AND(S31=1,J31=0),1,0)</x:f>
        <x:v>0</x:v>
      </x:c>
      <x:c r="U31" s="19" t="n">
        <x:f>L31+IF(AND(S31=1,J31=1),1,0)</x:f>
        <x:v>0</x:v>
      </x:c>
      <x:c r="V31" s="19" t="n">
        <x:f>M31+IF(AND(S31=1,J31=2),1,0)</x:f>
        <x:v>4</x:v>
      </x:c>
      <x:c r="W31" s="19" t="n">
        <x:f>SUM(T31:V31)</x:f>
        <x:v>4</x:v>
      </x:c>
      <x:c r="X31" s="19" t="n">
        <x:f>W31-G31</x:f>
        <x:v>1</x:v>
      </x:c>
      <x:c r="Y31" s="19" t="n">
        <x:f>MAX(T31,1)+MAX(U31,1)+MAX(V31,1)</x:f>
        <x:v>6</x:v>
      </x:c>
      <x:c r="Z31" s="21" t="str">
        <x:f>IF(AND(MIN(D31:F31)&gt;=0,MAX(D31:F31)&lt;=7,MAX(D31,1)+MAX(E31,1)+MAX(F31,1)&lt;=9,OR(H31="-",AND(H31=0,D31&gt;0),AND(H31=1,E31&gt;0),AND(H31=2,F31&gt;0)),OR(I31=0,AND(I31=1,OR(J31=0,J31=1,J31=2),R31&lt;&gt;"000")),Y31&lt;=9,MIN(T31:V31)&gt;=0),"合法","输入违约")</x:f>
        <x:v>合法</x:v>
      </x:c>
    </x:row>
    <x:row r="32" ht="23" customHeight="1">
      <x:c r="A32" s="3" t="str">
        <x:v>CT-0025</x:v>
      </x:c>
      <x:c r="B32" s="3" t="str">
        <x:v>ST-011</x:v>
      </x:c>
      <x:c r="C32" s="3" t="str">
        <x:v>仅R回收</x:v>
      </x:c>
      <x:c r="D32" s="25" t="n">
        <x:v>0</x:v>
      </x:c>
      <x:c r="E32" s="25" t="n">
        <x:v>0</x:v>
      </x:c>
      <x:c r="F32" s="25" t="n">
        <x:v>3</x:v>
      </x:c>
      <x:c r="G32" s="19" t="n">
        <x:f>SUM(D32:F32)</x:f>
        <x:v>3</x:v>
      </x:c>
      <x:c r="H32" s="25" t="n">
        <x:v>2</x:v>
      </x:c>
      <x:c r="I32" s="25" t="n">
        <x:v>0</x:v>
      </x:c>
      <x:c r="J32" s="25" t="str">
        <x:v>-</x:v>
      </x:c>
      <x:c r="K32" s="19" t="n">
        <x:f>D32-IF(H32=0,1,0)</x:f>
        <x:v>0</x:v>
      </x:c>
      <x:c r="L32" s="19" t="n">
        <x:f>E32-IF(H32=1,1,0)</x:f>
        <x:v>0</x:v>
      </x:c>
      <x:c r="M32" s="19" t="n">
        <x:f>F32-IF(H32=2,1,0)</x:f>
        <x:v>2</x:v>
      </x:c>
      <x:c r="N32" s="19" t="n">
        <x:f>MAX(K32-1,0)+MAX(L32-1,0)+MAX(M32-1,0)</x:f>
        <x:v>1</x:v>
      </x:c>
      <x:c r="O32" s="19" t="n">
        <x:f>IF(AND(SUM(K32:M32)&lt;9,OR(M32=0,N32&lt;6)),1,0)</x:f>
        <x:v>1</x:v>
      </x:c>
      <x:c r="P32" s="19" t="n">
        <x:f>IF(AND(SUM(K32:M32)&lt;9,OR(L32=0,N32&lt;6)),1,0)</x:f>
        <x:v>1</x:v>
      </x:c>
      <x:c r="Q32" s="19" t="n">
        <x:f>IF(AND(SUM(K32:M32)&lt;9,OR(K32=0,N32&lt;6)),1,0)</x:f>
        <x:v>1</x:v>
      </x:c>
      <x:c r="R32" s="22" t="str">
        <x:f>O32&amp;P32&amp;Q32</x:f>
        <x:v>111</x:v>
      </x:c>
      <x:c r="S32" s="19" t="n">
        <x:f>IF(I32=1,IF(J32=0,Q32,IF(J32=1,P32,IF(J32=2,O32,0))),0)</x:f>
        <x:v>0</x:v>
      </x:c>
      <x:c r="T32" s="19" t="n">
        <x:f>K32+IF(AND(S32=1,J32=0),1,0)</x:f>
        <x:v>0</x:v>
      </x:c>
      <x:c r="U32" s="19" t="n">
        <x:f>L32+IF(AND(S32=1,J32=1),1,0)</x:f>
        <x:v>0</x:v>
      </x:c>
      <x:c r="V32" s="19" t="n">
        <x:f>M32+IF(AND(S32=1,J32=2),1,0)</x:f>
        <x:v>2</x:v>
      </x:c>
      <x:c r="W32" s="19" t="n">
        <x:f>SUM(T32:V32)</x:f>
        <x:v>2</x:v>
      </x:c>
      <x:c r="X32" s="19" t="n">
        <x:f>W32-G32</x:f>
        <x:v>-1</x:v>
      </x:c>
      <x:c r="Y32" s="19" t="n">
        <x:f>MAX(T32,1)+MAX(U32,1)+MAX(V32,1)</x:f>
        <x:v>4</x:v>
      </x:c>
      <x:c r="Z32" s="21" t="str">
        <x:f>IF(AND(MIN(D32:F32)&gt;=0,MAX(D32:F32)&lt;=7,MAX(D32,1)+MAX(E32,1)+MAX(F32,1)&lt;=9,OR(H32="-",AND(H32=0,D32&gt;0),AND(H32=1,E32&gt;0),AND(H32=2,F32&gt;0)),OR(I32=0,AND(I32=1,OR(J32=0,J32=1,J32=2),R32&lt;&gt;"000")),Y32&lt;=9,MIN(T32:V32)&gt;=0),"合法","输入违约")</x:f>
        <x:v>合法</x:v>
      </x:c>
    </x:row>
    <x:row r="33" ht="23" customHeight="1">
      <x:c r="A33" s="3" t="str">
        <x:v>CT-0026</x:v>
      </x:c>
      <x:c r="B33" s="3" t="str">
        <x:v>ST-011</x:v>
      </x:c>
      <x:c r="C33" s="3" t="str">
        <x:v>R+AR同收同发</x:v>
      </x:c>
      <x:c r="D33" s="25" t="n">
        <x:v>0</x:v>
      </x:c>
      <x:c r="E33" s="25" t="n">
        <x:v>0</x:v>
      </x:c>
      <x:c r="F33" s="25" t="n">
        <x:v>3</x:v>
      </x:c>
      <x:c r="G33" s="19" t="n">
        <x:f>SUM(D33:F33)</x:f>
        <x:v>3</x:v>
      </x:c>
      <x:c r="H33" s="25" t="n">
        <x:v>2</x:v>
      </x:c>
      <x:c r="I33" s="25" t="n">
        <x:v>1</x:v>
      </x:c>
      <x:c r="J33" s="25" t="n">
        <x:v>0</x:v>
      </x:c>
      <x:c r="K33" s="19" t="n">
        <x:f>D33-IF(H33=0,1,0)</x:f>
        <x:v>0</x:v>
      </x:c>
      <x:c r="L33" s="19" t="n">
        <x:f>E33-IF(H33=1,1,0)</x:f>
        <x:v>0</x:v>
      </x:c>
      <x:c r="M33" s="19" t="n">
        <x:f>F33-IF(H33=2,1,0)</x:f>
        <x:v>2</x:v>
      </x:c>
      <x:c r="N33" s="19" t="n">
        <x:f>MAX(K33-1,0)+MAX(L33-1,0)+MAX(M33-1,0)</x:f>
        <x:v>1</x:v>
      </x:c>
      <x:c r="O33" s="19" t="n">
        <x:f>IF(AND(SUM(K33:M33)&lt;9,OR(M33=0,N33&lt;6)),1,0)</x:f>
        <x:v>1</x:v>
      </x:c>
      <x:c r="P33" s="19" t="n">
        <x:f>IF(AND(SUM(K33:M33)&lt;9,OR(L33=0,N33&lt;6)),1,0)</x:f>
        <x:v>1</x:v>
      </x:c>
      <x:c r="Q33" s="19" t="n">
        <x:f>IF(AND(SUM(K33:M33)&lt;9,OR(K33=0,N33&lt;6)),1,0)</x:f>
        <x:v>1</x:v>
      </x:c>
      <x:c r="R33" s="22" t="str">
        <x:f>O33&amp;P33&amp;Q33</x:f>
        <x:v>111</x:v>
      </x:c>
      <x:c r="S33" s="19" t="n">
        <x:f>IF(I33=1,IF(J33=0,Q33,IF(J33=1,P33,IF(J33=2,O33,0))),0)</x:f>
        <x:v>1</x:v>
      </x:c>
      <x:c r="T33" s="19" t="n">
        <x:f>K33+IF(AND(S33=1,J33=0),1,0)</x:f>
        <x:v>1</x:v>
      </x:c>
      <x:c r="U33" s="19" t="n">
        <x:f>L33+IF(AND(S33=1,J33=1),1,0)</x:f>
        <x:v>0</x:v>
      </x:c>
      <x:c r="V33" s="19" t="n">
        <x:f>M33+IF(AND(S33=1,J33=2),1,0)</x:f>
        <x:v>2</x:v>
      </x:c>
      <x:c r="W33" s="19" t="n">
        <x:f>SUM(T33:V33)</x:f>
        <x:v>3</x:v>
      </x:c>
      <x:c r="X33" s="19" t="n">
        <x:f>W33-G33</x:f>
        <x:v>0</x:v>
      </x:c>
      <x:c r="Y33" s="19" t="n">
        <x:f>MAX(T33,1)+MAX(U33,1)+MAX(V33,1)</x:f>
        <x:v>4</x:v>
      </x:c>
      <x:c r="Z33" s="21" t="str">
        <x:f>IF(AND(MIN(D33:F33)&gt;=0,MAX(D33:F33)&lt;=7,MAX(D33,1)+MAX(E33,1)+MAX(F33,1)&lt;=9,OR(H33="-",AND(H33=0,D33&gt;0),AND(H33=1,E33&gt;0),AND(H33=2,F33&gt;0)),OR(I33=0,AND(I33=1,OR(J33=0,J33=1,J33=2),R33&lt;&gt;"000")),Y33&lt;=9,MIN(T33:V33)&gt;=0),"合法","输入违约")</x:f>
        <x:v>合法</x:v>
      </x:c>
    </x:row>
    <x:row r="34" ht="23" customHeight="1">
      <x:c r="A34" s="3" t="str">
        <x:v>CT-0027</x:v>
      </x:c>
      <x:c r="B34" s="3" t="str">
        <x:v>ST-011</x:v>
      </x:c>
      <x:c r="C34" s="3" t="str">
        <x:v>R+AR同收同发</x:v>
      </x:c>
      <x:c r="D34" s="25" t="n">
        <x:v>0</x:v>
      </x:c>
      <x:c r="E34" s="25" t="n">
        <x:v>0</x:v>
      </x:c>
      <x:c r="F34" s="25" t="n">
        <x:v>3</x:v>
      </x:c>
      <x:c r="G34" s="19" t="n">
        <x:f>SUM(D34:F34)</x:f>
        <x:v>3</x:v>
      </x:c>
      <x:c r="H34" s="25" t="n">
        <x:v>2</x:v>
      </x:c>
      <x:c r="I34" s="25" t="n">
        <x:v>1</x:v>
      </x:c>
      <x:c r="J34" s="25" t="n">
        <x:v>1</x:v>
      </x:c>
      <x:c r="K34" s="19" t="n">
        <x:f>D34-IF(H34=0,1,0)</x:f>
        <x:v>0</x:v>
      </x:c>
      <x:c r="L34" s="19" t="n">
        <x:f>E34-IF(H34=1,1,0)</x:f>
        <x:v>0</x:v>
      </x:c>
      <x:c r="M34" s="19" t="n">
        <x:f>F34-IF(H34=2,1,0)</x:f>
        <x:v>2</x:v>
      </x:c>
      <x:c r="N34" s="19" t="n">
        <x:f>MAX(K34-1,0)+MAX(L34-1,0)+MAX(M34-1,0)</x:f>
        <x:v>1</x:v>
      </x:c>
      <x:c r="O34" s="19" t="n">
        <x:f>IF(AND(SUM(K34:M34)&lt;9,OR(M34=0,N34&lt;6)),1,0)</x:f>
        <x:v>1</x:v>
      </x:c>
      <x:c r="P34" s="19" t="n">
        <x:f>IF(AND(SUM(K34:M34)&lt;9,OR(L34=0,N34&lt;6)),1,0)</x:f>
        <x:v>1</x:v>
      </x:c>
      <x:c r="Q34" s="19" t="n">
        <x:f>IF(AND(SUM(K34:M34)&lt;9,OR(K34=0,N34&lt;6)),1,0)</x:f>
        <x:v>1</x:v>
      </x:c>
      <x:c r="R34" s="22" t="str">
        <x:f>O34&amp;P34&amp;Q34</x:f>
        <x:v>111</x:v>
      </x:c>
      <x:c r="S34" s="19" t="n">
        <x:f>IF(I34=1,IF(J34=0,Q34,IF(J34=1,P34,IF(J34=2,O34,0))),0)</x:f>
        <x:v>1</x:v>
      </x:c>
      <x:c r="T34" s="19" t="n">
        <x:f>K34+IF(AND(S34=1,J34=0),1,0)</x:f>
        <x:v>0</x:v>
      </x:c>
      <x:c r="U34" s="19" t="n">
        <x:f>L34+IF(AND(S34=1,J34=1),1,0)</x:f>
        <x:v>1</x:v>
      </x:c>
      <x:c r="V34" s="19" t="n">
        <x:f>M34+IF(AND(S34=1,J34=2),1,0)</x:f>
        <x:v>2</x:v>
      </x:c>
      <x:c r="W34" s="19" t="n">
        <x:f>SUM(T34:V34)</x:f>
        <x:v>3</x:v>
      </x:c>
      <x:c r="X34" s="19" t="n">
        <x:f>W34-G34</x:f>
        <x:v>0</x:v>
      </x:c>
      <x:c r="Y34" s="19" t="n">
        <x:f>MAX(T34,1)+MAX(U34,1)+MAX(V34,1)</x:f>
        <x:v>4</x:v>
      </x:c>
      <x:c r="Z34" s="21" t="str">
        <x:f>IF(AND(MIN(D34:F34)&gt;=0,MAX(D34:F34)&lt;=7,MAX(D34,1)+MAX(E34,1)+MAX(F34,1)&lt;=9,OR(H34="-",AND(H34=0,D34&gt;0),AND(H34=1,E34&gt;0),AND(H34=2,F34&gt;0)),OR(I34=0,AND(I34=1,OR(J34=0,J34=1,J34=2),R34&lt;&gt;"000")),Y34&lt;=9,MIN(T34:V34)&gt;=0),"合法","输入违约")</x:f>
        <x:v>合法</x:v>
      </x:c>
    </x:row>
    <x:row r="35" ht="23" customHeight="1">
      <x:c r="A35" s="3" t="str">
        <x:v>CT-0028</x:v>
      </x:c>
      <x:c r="B35" s="3" t="str">
        <x:v>ST-011</x:v>
      </x:c>
      <x:c r="C35" s="3" t="str">
        <x:v>R+AR同收同发</x:v>
      </x:c>
      <x:c r="D35" s="25" t="n">
        <x:v>0</x:v>
      </x:c>
      <x:c r="E35" s="25" t="n">
        <x:v>0</x:v>
      </x:c>
      <x:c r="F35" s="25" t="n">
        <x:v>3</x:v>
      </x:c>
      <x:c r="G35" s="19" t="n">
        <x:f>SUM(D35:F35)</x:f>
        <x:v>3</x:v>
      </x:c>
      <x:c r="H35" s="25" t="n">
        <x:v>2</x:v>
      </x:c>
      <x:c r="I35" s="25" t="n">
        <x:v>1</x:v>
      </x:c>
      <x:c r="J35" s="25" t="n">
        <x:v>2</x:v>
      </x:c>
      <x:c r="K35" s="19" t="n">
        <x:f>D35-IF(H35=0,1,0)</x:f>
        <x:v>0</x:v>
      </x:c>
      <x:c r="L35" s="19" t="n">
        <x:f>E35-IF(H35=1,1,0)</x:f>
        <x:v>0</x:v>
      </x:c>
      <x:c r="M35" s="19" t="n">
        <x:f>F35-IF(H35=2,1,0)</x:f>
        <x:v>2</x:v>
      </x:c>
      <x:c r="N35" s="19" t="n">
        <x:f>MAX(K35-1,0)+MAX(L35-1,0)+MAX(M35-1,0)</x:f>
        <x:v>1</x:v>
      </x:c>
      <x:c r="O35" s="19" t="n">
        <x:f>IF(AND(SUM(K35:M35)&lt;9,OR(M35=0,N35&lt;6)),1,0)</x:f>
        <x:v>1</x:v>
      </x:c>
      <x:c r="P35" s="19" t="n">
        <x:f>IF(AND(SUM(K35:M35)&lt;9,OR(L35=0,N35&lt;6)),1,0)</x:f>
        <x:v>1</x:v>
      </x:c>
      <x:c r="Q35" s="19" t="n">
        <x:f>IF(AND(SUM(K35:M35)&lt;9,OR(K35=0,N35&lt;6)),1,0)</x:f>
        <x:v>1</x:v>
      </x:c>
      <x:c r="R35" s="22" t="str">
        <x:f>O35&amp;P35&amp;Q35</x:f>
        <x:v>111</x:v>
      </x:c>
      <x:c r="S35" s="19" t="n">
        <x:f>IF(I35=1,IF(J35=0,Q35,IF(J35=1,P35,IF(J35=2,O35,0))),0)</x:f>
        <x:v>1</x:v>
      </x:c>
      <x:c r="T35" s="19" t="n">
        <x:f>K35+IF(AND(S35=1,J35=0),1,0)</x:f>
        <x:v>0</x:v>
      </x:c>
      <x:c r="U35" s="19" t="n">
        <x:f>L35+IF(AND(S35=1,J35=1),1,0)</x:f>
        <x:v>0</x:v>
      </x:c>
      <x:c r="V35" s="19" t="n">
        <x:f>M35+IF(AND(S35=1,J35=2),1,0)</x:f>
        <x:v>3</x:v>
      </x:c>
      <x:c r="W35" s="19" t="n">
        <x:f>SUM(T35:V35)</x:f>
        <x:v>3</x:v>
      </x:c>
      <x:c r="X35" s="19" t="n">
        <x:f>W35-G35</x:f>
        <x:v>0</x:v>
      </x:c>
      <x:c r="Y35" s="19" t="n">
        <x:f>MAX(T35,1)+MAX(U35,1)+MAX(V35,1)</x:f>
        <x:v>5</x:v>
      </x:c>
      <x:c r="Z35" s="21" t="str">
        <x:f>IF(AND(MIN(D35:F35)&gt;=0,MAX(D35:F35)&lt;=7,MAX(D35,1)+MAX(E35,1)+MAX(F35,1)&lt;=9,OR(H35="-",AND(H35=0,D35&gt;0),AND(H35=1,E35&gt;0),AND(H35=2,F35&gt;0)),OR(I35=0,AND(I35=1,OR(J35=0,J35=1,J35=2),R35&lt;&gt;"000")),Y35&lt;=9,MIN(T35:V35)&gt;=0),"合法","输入违约")</x:f>
        <x:v>合法</x:v>
      </x:c>
    </x:row>
    <x:row r="36" ht="23" customHeight="1">
      <x:c r="A36" s="3" t="str">
        <x:v>CT-0029</x:v>
      </x:c>
      <x:c r="B36" s="3" t="str">
        <x:v>ST-021</x:v>
      </x:c>
      <x:c r="C36" s="3" t="str">
        <x:v>无AR/R</x:v>
      </x:c>
      <x:c r="D36" s="25" t="n">
        <x:v>0</x:v>
      </x:c>
      <x:c r="E36" s="25" t="n">
        <x:v>0</x:v>
      </x:c>
      <x:c r="F36" s="25" t="n">
        <x:v>4</x:v>
      </x:c>
      <x:c r="G36" s="19" t="n">
        <x:f>SUM(D36:F36)</x:f>
        <x:v>4</x:v>
      </x:c>
      <x:c r="H36" s="25" t="str">
        <x:v>-</x:v>
      </x:c>
      <x:c r="I36" s="25" t="n">
        <x:v>0</x:v>
      </x:c>
      <x:c r="J36" s="25" t="str">
        <x:v>-</x:v>
      </x:c>
      <x:c r="K36" s="19" t="n">
        <x:f>D36-IF(H36=0,1,0)</x:f>
        <x:v>0</x:v>
      </x:c>
      <x:c r="L36" s="19" t="n">
        <x:f>E36-IF(H36=1,1,0)</x:f>
        <x:v>0</x:v>
      </x:c>
      <x:c r="M36" s="19" t="n">
        <x:f>F36-IF(H36=2,1,0)</x:f>
        <x:v>4</x:v>
      </x:c>
      <x:c r="N36" s="19" t="n">
        <x:f>MAX(K36-1,0)+MAX(L36-1,0)+MAX(M36-1,0)</x:f>
        <x:v>3</x:v>
      </x:c>
      <x:c r="O36" s="19" t="n">
        <x:f>IF(AND(SUM(K36:M36)&lt;9,OR(M36=0,N36&lt;6)),1,0)</x:f>
        <x:v>1</x:v>
      </x:c>
      <x:c r="P36" s="19" t="n">
        <x:f>IF(AND(SUM(K36:M36)&lt;9,OR(L36=0,N36&lt;6)),1,0)</x:f>
        <x:v>1</x:v>
      </x:c>
      <x:c r="Q36" s="19" t="n">
        <x:f>IF(AND(SUM(K36:M36)&lt;9,OR(K36=0,N36&lt;6)),1,0)</x:f>
        <x:v>1</x:v>
      </x:c>
      <x:c r="R36" s="22" t="str">
        <x:f>O36&amp;P36&amp;Q36</x:f>
        <x:v>111</x:v>
      </x:c>
      <x:c r="S36" s="19" t="n">
        <x:f>IF(I36=1,IF(J36=0,Q36,IF(J36=1,P36,IF(J36=2,O36,0))),0)</x:f>
        <x:v>0</x:v>
      </x:c>
      <x:c r="T36" s="19" t="n">
        <x:f>K36+IF(AND(S36=1,J36=0),1,0)</x:f>
        <x:v>0</x:v>
      </x:c>
      <x:c r="U36" s="19" t="n">
        <x:f>L36+IF(AND(S36=1,J36=1),1,0)</x:f>
        <x:v>0</x:v>
      </x:c>
      <x:c r="V36" s="19" t="n">
        <x:f>M36+IF(AND(S36=1,J36=2),1,0)</x:f>
        <x:v>4</x:v>
      </x:c>
      <x:c r="W36" s="19" t="n">
        <x:f>SUM(T36:V36)</x:f>
        <x:v>4</x:v>
      </x:c>
      <x:c r="X36" s="19" t="n">
        <x:f>W36-G36</x:f>
        <x:v>0</x:v>
      </x:c>
      <x:c r="Y36" s="19" t="n">
        <x:f>MAX(T36,1)+MAX(U36,1)+MAX(V36,1)</x:f>
        <x:v>6</x:v>
      </x:c>
      <x:c r="Z36" s="21" t="str">
        <x:f>IF(AND(MIN(D36:F36)&gt;=0,MAX(D36:F36)&lt;=7,MAX(D36,1)+MAX(E36,1)+MAX(F36,1)&lt;=9,OR(H36="-",AND(H36=0,D36&gt;0),AND(H36=1,E36&gt;0),AND(H36=2,F36&gt;0)),OR(I36=0,AND(I36=1,OR(J36=0,J36=1,J36=2),R36&lt;&gt;"000")),Y36&lt;=9,MIN(T36:V36)&gt;=0),"合法","输入违约")</x:f>
        <x:v>合法</x:v>
      </x:c>
    </x:row>
    <x:row r="37" ht="23" customHeight="1">
      <x:c r="A37" s="3" t="str">
        <x:v>CT-0030</x:v>
      </x:c>
      <x:c r="B37" s="3" t="str">
        <x:v>ST-021</x:v>
      </x:c>
      <x:c r="C37" s="3" t="str">
        <x:v>仅AR接收</x:v>
      </x:c>
      <x:c r="D37" s="25" t="n">
        <x:v>0</x:v>
      </x:c>
      <x:c r="E37" s="25" t="n">
        <x:v>0</x:v>
      </x:c>
      <x:c r="F37" s="25" t="n">
        <x:v>4</x:v>
      </x:c>
      <x:c r="G37" s="19" t="n">
        <x:f>SUM(D37:F37)</x:f>
        <x:v>4</x:v>
      </x:c>
      <x:c r="H37" s="25" t="str">
        <x:v>-</x:v>
      </x:c>
      <x:c r="I37" s="25" t="n">
        <x:v>1</x:v>
      </x:c>
      <x:c r="J37" s="25" t="n">
        <x:v>0</x:v>
      </x:c>
      <x:c r="K37" s="19" t="n">
        <x:f>D37-IF(H37=0,1,0)</x:f>
        <x:v>0</x:v>
      </x:c>
      <x:c r="L37" s="19" t="n">
        <x:f>E37-IF(H37=1,1,0)</x:f>
        <x:v>0</x:v>
      </x:c>
      <x:c r="M37" s="19" t="n">
        <x:f>F37-IF(H37=2,1,0)</x:f>
        <x:v>4</x:v>
      </x:c>
      <x:c r="N37" s="19" t="n">
        <x:f>MAX(K37-1,0)+MAX(L37-1,0)+MAX(M37-1,0)</x:f>
        <x:v>3</x:v>
      </x:c>
      <x:c r="O37" s="19" t="n">
        <x:f>IF(AND(SUM(K37:M37)&lt;9,OR(M37=0,N37&lt;6)),1,0)</x:f>
        <x:v>1</x:v>
      </x:c>
      <x:c r="P37" s="19" t="n">
        <x:f>IF(AND(SUM(K37:M37)&lt;9,OR(L37=0,N37&lt;6)),1,0)</x:f>
        <x:v>1</x:v>
      </x:c>
      <x:c r="Q37" s="19" t="n">
        <x:f>IF(AND(SUM(K37:M37)&lt;9,OR(K37=0,N37&lt;6)),1,0)</x:f>
        <x:v>1</x:v>
      </x:c>
      <x:c r="R37" s="22" t="str">
        <x:f>O37&amp;P37&amp;Q37</x:f>
        <x:v>111</x:v>
      </x:c>
      <x:c r="S37" s="19" t="n">
        <x:f>IF(I37=1,IF(J37=0,Q37,IF(J37=1,P37,IF(J37=2,O37,0))),0)</x:f>
        <x:v>1</x:v>
      </x:c>
      <x:c r="T37" s="19" t="n">
        <x:f>K37+IF(AND(S37=1,J37=0),1,0)</x:f>
        <x:v>1</x:v>
      </x:c>
      <x:c r="U37" s="19" t="n">
        <x:f>L37+IF(AND(S37=1,J37=1),1,0)</x:f>
        <x:v>0</x:v>
      </x:c>
      <x:c r="V37" s="19" t="n">
        <x:f>M37+IF(AND(S37=1,J37=2),1,0)</x:f>
        <x:v>4</x:v>
      </x:c>
      <x:c r="W37" s="19" t="n">
        <x:f>SUM(T37:V37)</x:f>
        <x:v>5</x:v>
      </x:c>
      <x:c r="X37" s="19" t="n">
        <x:f>W37-G37</x:f>
        <x:v>1</x:v>
      </x:c>
      <x:c r="Y37" s="19" t="n">
        <x:f>MAX(T37,1)+MAX(U37,1)+MAX(V37,1)</x:f>
        <x:v>6</x:v>
      </x:c>
      <x:c r="Z37" s="21" t="str">
        <x:f>IF(AND(MIN(D37:F37)&gt;=0,MAX(D37:F37)&lt;=7,MAX(D37,1)+MAX(E37,1)+MAX(F37,1)&lt;=9,OR(H37="-",AND(H37=0,D37&gt;0),AND(H37=1,E37&gt;0),AND(H37=2,F37&gt;0)),OR(I37=0,AND(I37=1,OR(J37=0,J37=1,J37=2),R37&lt;&gt;"000")),Y37&lt;=9,MIN(T37:V37)&gt;=0),"合法","输入违约")</x:f>
        <x:v>合法</x:v>
      </x:c>
    </x:row>
    <x:row r="38" ht="23" customHeight="1">
      <x:c r="A38" s="3" t="str">
        <x:v>CT-0031</x:v>
      </x:c>
      <x:c r="B38" s="3" t="str">
        <x:v>ST-021</x:v>
      </x:c>
      <x:c r="C38" s="3" t="str">
        <x:v>仅AR接收</x:v>
      </x:c>
      <x:c r="D38" s="25" t="n">
        <x:v>0</x:v>
      </x:c>
      <x:c r="E38" s="25" t="n">
        <x:v>0</x:v>
      </x:c>
      <x:c r="F38" s="25" t="n">
        <x:v>4</x:v>
      </x:c>
      <x:c r="G38" s="19" t="n">
        <x:f>SUM(D38:F38)</x:f>
        <x:v>4</x:v>
      </x:c>
      <x:c r="H38" s="25" t="str">
        <x:v>-</x:v>
      </x:c>
      <x:c r="I38" s="25" t="n">
        <x:v>1</x:v>
      </x:c>
      <x:c r="J38" s="25" t="n">
        <x:v>1</x:v>
      </x:c>
      <x:c r="K38" s="19" t="n">
        <x:f>D38-IF(H38=0,1,0)</x:f>
        <x:v>0</x:v>
      </x:c>
      <x:c r="L38" s="19" t="n">
        <x:f>E38-IF(H38=1,1,0)</x:f>
        <x:v>0</x:v>
      </x:c>
      <x:c r="M38" s="19" t="n">
        <x:f>F38-IF(H38=2,1,0)</x:f>
        <x:v>4</x:v>
      </x:c>
      <x:c r="N38" s="19" t="n">
        <x:f>MAX(K38-1,0)+MAX(L38-1,0)+MAX(M38-1,0)</x:f>
        <x:v>3</x:v>
      </x:c>
      <x:c r="O38" s="19" t="n">
        <x:f>IF(AND(SUM(K38:M38)&lt;9,OR(M38=0,N38&lt;6)),1,0)</x:f>
        <x:v>1</x:v>
      </x:c>
      <x:c r="P38" s="19" t="n">
        <x:f>IF(AND(SUM(K38:M38)&lt;9,OR(L38=0,N38&lt;6)),1,0)</x:f>
        <x:v>1</x:v>
      </x:c>
      <x:c r="Q38" s="19" t="n">
        <x:f>IF(AND(SUM(K38:M38)&lt;9,OR(K38=0,N38&lt;6)),1,0)</x:f>
        <x:v>1</x:v>
      </x:c>
      <x:c r="R38" s="22" t="str">
        <x:f>O38&amp;P38&amp;Q38</x:f>
        <x:v>111</x:v>
      </x:c>
      <x:c r="S38" s="19" t="n">
        <x:f>IF(I38=1,IF(J38=0,Q38,IF(J38=1,P38,IF(J38=2,O38,0))),0)</x:f>
        <x:v>1</x:v>
      </x:c>
      <x:c r="T38" s="19" t="n">
        <x:f>K38+IF(AND(S38=1,J38=0),1,0)</x:f>
        <x:v>0</x:v>
      </x:c>
      <x:c r="U38" s="19" t="n">
        <x:f>L38+IF(AND(S38=1,J38=1),1,0)</x:f>
        <x:v>1</x:v>
      </x:c>
      <x:c r="V38" s="19" t="n">
        <x:f>M38+IF(AND(S38=1,J38=2),1,0)</x:f>
        <x:v>4</x:v>
      </x:c>
      <x:c r="W38" s="19" t="n">
        <x:f>SUM(T38:V38)</x:f>
        <x:v>5</x:v>
      </x:c>
      <x:c r="X38" s="19" t="n">
        <x:f>W38-G38</x:f>
        <x:v>1</x:v>
      </x:c>
      <x:c r="Y38" s="19" t="n">
        <x:f>MAX(T38,1)+MAX(U38,1)+MAX(V38,1)</x:f>
        <x:v>6</x:v>
      </x:c>
      <x:c r="Z38" s="21" t="str">
        <x:f>IF(AND(MIN(D38:F38)&gt;=0,MAX(D38:F38)&lt;=7,MAX(D38,1)+MAX(E38,1)+MAX(F38,1)&lt;=9,OR(H38="-",AND(H38=0,D38&gt;0),AND(H38=1,E38&gt;0),AND(H38=2,F38&gt;0)),OR(I38=0,AND(I38=1,OR(J38=0,J38=1,J38=2),R38&lt;&gt;"000")),Y38&lt;=9,MIN(T38:V38)&gt;=0),"合法","输入违约")</x:f>
        <x:v>合法</x:v>
      </x:c>
    </x:row>
    <x:row r="39" ht="23" customHeight="1">
      <x:c r="A39" s="3" t="str">
        <x:v>CT-0032</x:v>
      </x:c>
      <x:c r="B39" s="3" t="str">
        <x:v>ST-021</x:v>
      </x:c>
      <x:c r="C39" s="3" t="str">
        <x:v>仅AR接收</x:v>
      </x:c>
      <x:c r="D39" s="25" t="n">
        <x:v>0</x:v>
      </x:c>
      <x:c r="E39" s="25" t="n">
        <x:v>0</x:v>
      </x:c>
      <x:c r="F39" s="25" t="n">
        <x:v>4</x:v>
      </x:c>
      <x:c r="G39" s="19" t="n">
        <x:f>SUM(D39:F39)</x:f>
        <x:v>4</x:v>
      </x:c>
      <x:c r="H39" s="25" t="str">
        <x:v>-</x:v>
      </x:c>
      <x:c r="I39" s="25" t="n">
        <x:v>1</x:v>
      </x:c>
      <x:c r="J39" s="25" t="n">
        <x:v>2</x:v>
      </x:c>
      <x:c r="K39" s="19" t="n">
        <x:f>D39-IF(H39=0,1,0)</x:f>
        <x:v>0</x:v>
      </x:c>
      <x:c r="L39" s="19" t="n">
        <x:f>E39-IF(H39=1,1,0)</x:f>
        <x:v>0</x:v>
      </x:c>
      <x:c r="M39" s="19" t="n">
        <x:f>F39-IF(H39=2,1,0)</x:f>
        <x:v>4</x:v>
      </x:c>
      <x:c r="N39" s="19" t="n">
        <x:f>MAX(K39-1,0)+MAX(L39-1,0)+MAX(M39-1,0)</x:f>
        <x:v>3</x:v>
      </x:c>
      <x:c r="O39" s="19" t="n">
        <x:f>IF(AND(SUM(K39:M39)&lt;9,OR(M39=0,N39&lt;6)),1,0)</x:f>
        <x:v>1</x:v>
      </x:c>
      <x:c r="P39" s="19" t="n">
        <x:f>IF(AND(SUM(K39:M39)&lt;9,OR(L39=0,N39&lt;6)),1,0)</x:f>
        <x:v>1</x:v>
      </x:c>
      <x:c r="Q39" s="19" t="n">
        <x:f>IF(AND(SUM(K39:M39)&lt;9,OR(K39=0,N39&lt;6)),1,0)</x:f>
        <x:v>1</x:v>
      </x:c>
      <x:c r="R39" s="22" t="str">
        <x:f>O39&amp;P39&amp;Q39</x:f>
        <x:v>111</x:v>
      </x:c>
      <x:c r="S39" s="19" t="n">
        <x:f>IF(I39=1,IF(J39=0,Q39,IF(J39=1,P39,IF(J39=2,O39,0))),0)</x:f>
        <x:v>1</x:v>
      </x:c>
      <x:c r="T39" s="19" t="n">
        <x:f>K39+IF(AND(S39=1,J39=0),1,0)</x:f>
        <x:v>0</x:v>
      </x:c>
      <x:c r="U39" s="19" t="n">
        <x:f>L39+IF(AND(S39=1,J39=1),1,0)</x:f>
        <x:v>0</x:v>
      </x:c>
      <x:c r="V39" s="19" t="n">
        <x:f>M39+IF(AND(S39=1,J39=2),1,0)</x:f>
        <x:v>5</x:v>
      </x:c>
      <x:c r="W39" s="19" t="n">
        <x:f>SUM(T39:V39)</x:f>
        <x:v>5</x:v>
      </x:c>
      <x:c r="X39" s="19" t="n">
        <x:f>W39-G39</x:f>
        <x:v>1</x:v>
      </x:c>
      <x:c r="Y39" s="19" t="n">
        <x:f>MAX(T39,1)+MAX(U39,1)+MAX(V39,1)</x:f>
        <x:v>7</x:v>
      </x:c>
      <x:c r="Z39" s="21" t="str">
        <x:f>IF(AND(MIN(D39:F39)&gt;=0,MAX(D39:F39)&lt;=7,MAX(D39,1)+MAX(E39,1)+MAX(F39,1)&lt;=9,OR(H39="-",AND(H39=0,D39&gt;0),AND(H39=1,E39&gt;0),AND(H39=2,F39&gt;0)),OR(I39=0,AND(I39=1,OR(J39=0,J39=1,J39=2),R39&lt;&gt;"000")),Y39&lt;=9,MIN(T39:V39)&gt;=0),"合法","输入违约")</x:f>
        <x:v>合法</x:v>
      </x:c>
    </x:row>
    <x:row r="40" ht="23" customHeight="1">
      <x:c r="A40" s="3" t="str">
        <x:v>CT-0033</x:v>
      </x:c>
      <x:c r="B40" s="3" t="str">
        <x:v>ST-021</x:v>
      </x:c>
      <x:c r="C40" s="3" t="str">
        <x:v>仅R回收</x:v>
      </x:c>
      <x:c r="D40" s="25" t="n">
        <x:v>0</x:v>
      </x:c>
      <x:c r="E40" s="25" t="n">
        <x:v>0</x:v>
      </x:c>
      <x:c r="F40" s="25" t="n">
        <x:v>4</x:v>
      </x:c>
      <x:c r="G40" s="19" t="n">
        <x:f>SUM(D40:F40)</x:f>
        <x:v>4</x:v>
      </x:c>
      <x:c r="H40" s="25" t="n">
        <x:v>2</x:v>
      </x:c>
      <x:c r="I40" s="25" t="n">
        <x:v>0</x:v>
      </x:c>
      <x:c r="J40" s="25" t="str">
        <x:v>-</x:v>
      </x:c>
      <x:c r="K40" s="19" t="n">
        <x:f>D40-IF(H40=0,1,0)</x:f>
        <x:v>0</x:v>
      </x:c>
      <x:c r="L40" s="19" t="n">
        <x:f>E40-IF(H40=1,1,0)</x:f>
        <x:v>0</x:v>
      </x:c>
      <x:c r="M40" s="19" t="n">
        <x:f>F40-IF(H40=2,1,0)</x:f>
        <x:v>3</x:v>
      </x:c>
      <x:c r="N40" s="19" t="n">
        <x:f>MAX(K40-1,0)+MAX(L40-1,0)+MAX(M40-1,0)</x:f>
        <x:v>2</x:v>
      </x:c>
      <x:c r="O40" s="19" t="n">
        <x:f>IF(AND(SUM(K40:M40)&lt;9,OR(M40=0,N40&lt;6)),1,0)</x:f>
        <x:v>1</x:v>
      </x:c>
      <x:c r="P40" s="19" t="n">
        <x:f>IF(AND(SUM(K40:M40)&lt;9,OR(L40=0,N40&lt;6)),1,0)</x:f>
        <x:v>1</x:v>
      </x:c>
      <x:c r="Q40" s="19" t="n">
        <x:f>IF(AND(SUM(K40:M40)&lt;9,OR(K40=0,N40&lt;6)),1,0)</x:f>
        <x:v>1</x:v>
      </x:c>
      <x:c r="R40" s="22" t="str">
        <x:f>O40&amp;P40&amp;Q40</x:f>
        <x:v>111</x:v>
      </x:c>
      <x:c r="S40" s="19" t="n">
        <x:f>IF(I40=1,IF(J40=0,Q40,IF(J40=1,P40,IF(J40=2,O40,0))),0)</x:f>
        <x:v>0</x:v>
      </x:c>
      <x:c r="T40" s="19" t="n">
        <x:f>K40+IF(AND(S40=1,J40=0),1,0)</x:f>
        <x:v>0</x:v>
      </x:c>
      <x:c r="U40" s="19" t="n">
        <x:f>L40+IF(AND(S40=1,J40=1),1,0)</x:f>
        <x:v>0</x:v>
      </x:c>
      <x:c r="V40" s="19" t="n">
        <x:f>M40+IF(AND(S40=1,J40=2),1,0)</x:f>
        <x:v>3</x:v>
      </x:c>
      <x:c r="W40" s="19" t="n">
        <x:f>SUM(T40:V40)</x:f>
        <x:v>3</x:v>
      </x:c>
      <x:c r="X40" s="19" t="n">
        <x:f>W40-G40</x:f>
        <x:v>-1</x:v>
      </x:c>
      <x:c r="Y40" s="19" t="n">
        <x:f>MAX(T40,1)+MAX(U40,1)+MAX(V40,1)</x:f>
        <x:v>5</x:v>
      </x:c>
      <x:c r="Z40" s="21" t="str">
        <x:f>IF(AND(MIN(D40:F40)&gt;=0,MAX(D40:F40)&lt;=7,MAX(D40,1)+MAX(E40,1)+MAX(F40,1)&lt;=9,OR(H40="-",AND(H40=0,D40&gt;0),AND(H40=1,E40&gt;0),AND(H40=2,F40&gt;0)),OR(I40=0,AND(I40=1,OR(J40=0,J40=1,J40=2),R40&lt;&gt;"000")),Y40&lt;=9,MIN(T40:V40)&gt;=0),"合法","输入违约")</x:f>
        <x:v>合法</x:v>
      </x:c>
    </x:row>
    <x:row r="41" ht="23" customHeight="1">
      <x:c r="A41" s="3" t="str">
        <x:v>CT-0034</x:v>
      </x:c>
      <x:c r="B41" s="3" t="str">
        <x:v>ST-021</x:v>
      </x:c>
      <x:c r="C41" s="3" t="str">
        <x:v>R+AR同收同发</x:v>
      </x:c>
      <x:c r="D41" s="25" t="n">
        <x:v>0</x:v>
      </x:c>
      <x:c r="E41" s="25" t="n">
        <x:v>0</x:v>
      </x:c>
      <x:c r="F41" s="25" t="n">
        <x:v>4</x:v>
      </x:c>
      <x:c r="G41" s="19" t="n">
        <x:f>SUM(D41:F41)</x:f>
        <x:v>4</x:v>
      </x:c>
      <x:c r="H41" s="25" t="n">
        <x:v>2</x:v>
      </x:c>
      <x:c r="I41" s="25" t="n">
        <x:v>1</x:v>
      </x:c>
      <x:c r="J41" s="25" t="n">
        <x:v>0</x:v>
      </x:c>
      <x:c r="K41" s="19" t="n">
        <x:f>D41-IF(H41=0,1,0)</x:f>
        <x:v>0</x:v>
      </x:c>
      <x:c r="L41" s="19" t="n">
        <x:f>E41-IF(H41=1,1,0)</x:f>
        <x:v>0</x:v>
      </x:c>
      <x:c r="M41" s="19" t="n">
        <x:f>F41-IF(H41=2,1,0)</x:f>
        <x:v>3</x:v>
      </x:c>
      <x:c r="N41" s="19" t="n">
        <x:f>MAX(K41-1,0)+MAX(L41-1,0)+MAX(M41-1,0)</x:f>
        <x:v>2</x:v>
      </x:c>
      <x:c r="O41" s="19" t="n">
        <x:f>IF(AND(SUM(K41:M41)&lt;9,OR(M41=0,N41&lt;6)),1,0)</x:f>
        <x:v>1</x:v>
      </x:c>
      <x:c r="P41" s="19" t="n">
        <x:f>IF(AND(SUM(K41:M41)&lt;9,OR(L41=0,N41&lt;6)),1,0)</x:f>
        <x:v>1</x:v>
      </x:c>
      <x:c r="Q41" s="19" t="n">
        <x:f>IF(AND(SUM(K41:M41)&lt;9,OR(K41=0,N41&lt;6)),1,0)</x:f>
        <x:v>1</x:v>
      </x:c>
      <x:c r="R41" s="22" t="str">
        <x:f>O41&amp;P41&amp;Q41</x:f>
        <x:v>111</x:v>
      </x:c>
      <x:c r="S41" s="19" t="n">
        <x:f>IF(I41=1,IF(J41=0,Q41,IF(J41=1,P41,IF(J41=2,O41,0))),0)</x:f>
        <x:v>1</x:v>
      </x:c>
      <x:c r="T41" s="19" t="n">
        <x:f>K41+IF(AND(S41=1,J41=0),1,0)</x:f>
        <x:v>1</x:v>
      </x:c>
      <x:c r="U41" s="19" t="n">
        <x:f>L41+IF(AND(S41=1,J41=1),1,0)</x:f>
        <x:v>0</x:v>
      </x:c>
      <x:c r="V41" s="19" t="n">
        <x:f>M41+IF(AND(S41=1,J41=2),1,0)</x:f>
        <x:v>3</x:v>
      </x:c>
      <x:c r="W41" s="19" t="n">
        <x:f>SUM(T41:V41)</x:f>
        <x:v>4</x:v>
      </x:c>
      <x:c r="X41" s="19" t="n">
        <x:f>W41-G41</x:f>
        <x:v>0</x:v>
      </x:c>
      <x:c r="Y41" s="19" t="n">
        <x:f>MAX(T41,1)+MAX(U41,1)+MAX(V41,1)</x:f>
        <x:v>5</x:v>
      </x:c>
      <x:c r="Z41" s="21" t="str">
        <x:f>IF(AND(MIN(D41:F41)&gt;=0,MAX(D41:F41)&lt;=7,MAX(D41,1)+MAX(E41,1)+MAX(F41,1)&lt;=9,OR(H41="-",AND(H41=0,D41&gt;0),AND(H41=1,E41&gt;0),AND(H41=2,F41&gt;0)),OR(I41=0,AND(I41=1,OR(J41=0,J41=1,J41=2),R41&lt;&gt;"000")),Y41&lt;=9,MIN(T41:V41)&gt;=0),"合法","输入违约")</x:f>
        <x:v>合法</x:v>
      </x:c>
    </x:row>
    <x:row r="42" ht="23" customHeight="1">
      <x:c r="A42" s="3" t="str">
        <x:v>CT-0035</x:v>
      </x:c>
      <x:c r="B42" s="3" t="str">
        <x:v>ST-021</x:v>
      </x:c>
      <x:c r="C42" s="3" t="str">
        <x:v>R+AR同收同发</x:v>
      </x:c>
      <x:c r="D42" s="25" t="n">
        <x:v>0</x:v>
      </x:c>
      <x:c r="E42" s="25" t="n">
        <x:v>0</x:v>
      </x:c>
      <x:c r="F42" s="25" t="n">
        <x:v>4</x:v>
      </x:c>
      <x:c r="G42" s="19" t="n">
        <x:f>SUM(D42:F42)</x:f>
        <x:v>4</x:v>
      </x:c>
      <x:c r="H42" s="25" t="n">
        <x:v>2</x:v>
      </x:c>
      <x:c r="I42" s="25" t="n">
        <x:v>1</x:v>
      </x:c>
      <x:c r="J42" s="25" t="n">
        <x:v>1</x:v>
      </x:c>
      <x:c r="K42" s="19" t="n">
        <x:f>D42-IF(H42=0,1,0)</x:f>
        <x:v>0</x:v>
      </x:c>
      <x:c r="L42" s="19" t="n">
        <x:f>E42-IF(H42=1,1,0)</x:f>
        <x:v>0</x:v>
      </x:c>
      <x:c r="M42" s="19" t="n">
        <x:f>F42-IF(H42=2,1,0)</x:f>
        <x:v>3</x:v>
      </x:c>
      <x:c r="N42" s="19" t="n">
        <x:f>MAX(K42-1,0)+MAX(L42-1,0)+MAX(M42-1,0)</x:f>
        <x:v>2</x:v>
      </x:c>
      <x:c r="O42" s="19" t="n">
        <x:f>IF(AND(SUM(K42:M42)&lt;9,OR(M42=0,N42&lt;6)),1,0)</x:f>
        <x:v>1</x:v>
      </x:c>
      <x:c r="P42" s="19" t="n">
        <x:f>IF(AND(SUM(K42:M42)&lt;9,OR(L42=0,N42&lt;6)),1,0)</x:f>
        <x:v>1</x:v>
      </x:c>
      <x:c r="Q42" s="19" t="n">
        <x:f>IF(AND(SUM(K42:M42)&lt;9,OR(K42=0,N42&lt;6)),1,0)</x:f>
        <x:v>1</x:v>
      </x:c>
      <x:c r="R42" s="22" t="str">
        <x:f>O42&amp;P42&amp;Q42</x:f>
        <x:v>111</x:v>
      </x:c>
      <x:c r="S42" s="19" t="n">
        <x:f>IF(I42=1,IF(J42=0,Q42,IF(J42=1,P42,IF(J42=2,O42,0))),0)</x:f>
        <x:v>1</x:v>
      </x:c>
      <x:c r="T42" s="19" t="n">
        <x:f>K42+IF(AND(S42=1,J42=0),1,0)</x:f>
        <x:v>0</x:v>
      </x:c>
      <x:c r="U42" s="19" t="n">
        <x:f>L42+IF(AND(S42=1,J42=1),1,0)</x:f>
        <x:v>1</x:v>
      </x:c>
      <x:c r="V42" s="19" t="n">
        <x:f>M42+IF(AND(S42=1,J42=2),1,0)</x:f>
        <x:v>3</x:v>
      </x:c>
      <x:c r="W42" s="19" t="n">
        <x:f>SUM(T42:V42)</x:f>
        <x:v>4</x:v>
      </x:c>
      <x:c r="X42" s="19" t="n">
        <x:f>W42-G42</x:f>
        <x:v>0</x:v>
      </x:c>
      <x:c r="Y42" s="19" t="n">
        <x:f>MAX(T42,1)+MAX(U42,1)+MAX(V42,1)</x:f>
        <x:v>5</x:v>
      </x:c>
      <x:c r="Z42" s="21" t="str">
        <x:f>IF(AND(MIN(D42:F42)&gt;=0,MAX(D42:F42)&lt;=7,MAX(D42,1)+MAX(E42,1)+MAX(F42,1)&lt;=9,OR(H42="-",AND(H42=0,D42&gt;0),AND(H42=1,E42&gt;0),AND(H42=2,F42&gt;0)),OR(I42=0,AND(I42=1,OR(J42=0,J42=1,J42=2),R42&lt;&gt;"000")),Y42&lt;=9,MIN(T42:V42)&gt;=0),"合法","输入违约")</x:f>
        <x:v>合法</x:v>
      </x:c>
    </x:row>
    <x:row r="43" ht="23" customHeight="1">
      <x:c r="A43" s="3" t="str">
        <x:v>CT-0036</x:v>
      </x:c>
      <x:c r="B43" s="3" t="str">
        <x:v>ST-021</x:v>
      </x:c>
      <x:c r="C43" s="3" t="str">
        <x:v>R+AR同收同发</x:v>
      </x:c>
      <x:c r="D43" s="25" t="n">
        <x:v>0</x:v>
      </x:c>
      <x:c r="E43" s="25" t="n">
        <x:v>0</x:v>
      </x:c>
      <x:c r="F43" s="25" t="n">
        <x:v>4</x:v>
      </x:c>
      <x:c r="G43" s="19" t="n">
        <x:f>SUM(D43:F43)</x:f>
        <x:v>4</x:v>
      </x:c>
      <x:c r="H43" s="25" t="n">
        <x:v>2</x:v>
      </x:c>
      <x:c r="I43" s="25" t="n">
        <x:v>1</x:v>
      </x:c>
      <x:c r="J43" s="25" t="n">
        <x:v>2</x:v>
      </x:c>
      <x:c r="K43" s="19" t="n">
        <x:f>D43-IF(H43=0,1,0)</x:f>
        <x:v>0</x:v>
      </x:c>
      <x:c r="L43" s="19" t="n">
        <x:f>E43-IF(H43=1,1,0)</x:f>
        <x:v>0</x:v>
      </x:c>
      <x:c r="M43" s="19" t="n">
        <x:f>F43-IF(H43=2,1,0)</x:f>
        <x:v>3</x:v>
      </x:c>
      <x:c r="N43" s="19" t="n">
        <x:f>MAX(K43-1,0)+MAX(L43-1,0)+MAX(M43-1,0)</x:f>
        <x:v>2</x:v>
      </x:c>
      <x:c r="O43" s="19" t="n">
        <x:f>IF(AND(SUM(K43:M43)&lt;9,OR(M43=0,N43&lt;6)),1,0)</x:f>
        <x:v>1</x:v>
      </x:c>
      <x:c r="P43" s="19" t="n">
        <x:f>IF(AND(SUM(K43:M43)&lt;9,OR(L43=0,N43&lt;6)),1,0)</x:f>
        <x:v>1</x:v>
      </x:c>
      <x:c r="Q43" s="19" t="n">
        <x:f>IF(AND(SUM(K43:M43)&lt;9,OR(K43=0,N43&lt;6)),1,0)</x:f>
        <x:v>1</x:v>
      </x:c>
      <x:c r="R43" s="22" t="str">
        <x:f>O43&amp;P43&amp;Q43</x:f>
        <x:v>111</x:v>
      </x:c>
      <x:c r="S43" s="19" t="n">
        <x:f>IF(I43=1,IF(J43=0,Q43,IF(J43=1,P43,IF(J43=2,O43,0))),0)</x:f>
        <x:v>1</x:v>
      </x:c>
      <x:c r="T43" s="19" t="n">
        <x:f>K43+IF(AND(S43=1,J43=0),1,0)</x:f>
        <x:v>0</x:v>
      </x:c>
      <x:c r="U43" s="19" t="n">
        <x:f>L43+IF(AND(S43=1,J43=1),1,0)</x:f>
        <x:v>0</x:v>
      </x:c>
      <x:c r="V43" s="19" t="n">
        <x:f>M43+IF(AND(S43=1,J43=2),1,0)</x:f>
        <x:v>4</x:v>
      </x:c>
      <x:c r="W43" s="19" t="n">
        <x:f>SUM(T43:V43)</x:f>
        <x:v>4</x:v>
      </x:c>
      <x:c r="X43" s="19" t="n">
        <x:f>W43-G43</x:f>
        <x:v>0</x:v>
      </x:c>
      <x:c r="Y43" s="19" t="n">
        <x:f>MAX(T43,1)+MAX(U43,1)+MAX(V43,1)</x:f>
        <x:v>6</x:v>
      </x:c>
      <x:c r="Z43" s="21" t="str">
        <x:f>IF(AND(MIN(D43:F43)&gt;=0,MAX(D43:F43)&lt;=7,MAX(D43,1)+MAX(E43,1)+MAX(F43,1)&lt;=9,OR(H43="-",AND(H43=0,D43&gt;0),AND(H43=1,E43&gt;0),AND(H43=2,F43&gt;0)),OR(I43=0,AND(I43=1,OR(J43=0,J43=1,J43=2),R43&lt;&gt;"000")),Y43&lt;=9,MIN(T43:V43)&gt;=0),"合法","输入违约")</x:f>
        <x:v>合法</x:v>
      </x:c>
    </x:row>
    <x:row r="44" ht="23" customHeight="1">
      <x:c r="A44" s="3" t="str">
        <x:v>CT-0037</x:v>
      </x:c>
      <x:c r="B44" s="3" t="str">
        <x:v>ST-036</x:v>
      </x:c>
      <x:c r="C44" s="3" t="str">
        <x:v>无AR/R</x:v>
      </x:c>
      <x:c r="D44" s="25" t="n">
        <x:v>0</x:v>
      </x:c>
      <x:c r="E44" s="25" t="n">
        <x:v>0</x:v>
      </x:c>
      <x:c r="F44" s="25" t="n">
        <x:v>5</x:v>
      </x:c>
      <x:c r="G44" s="19" t="n">
        <x:f>SUM(D44:F44)</x:f>
        <x:v>5</x:v>
      </x:c>
      <x:c r="H44" s="25" t="str">
        <x:v>-</x:v>
      </x:c>
      <x:c r="I44" s="25" t="n">
        <x:v>0</x:v>
      </x:c>
      <x:c r="J44" s="25" t="str">
        <x:v>-</x:v>
      </x:c>
      <x:c r="K44" s="19" t="n">
        <x:f>D44-IF(H44=0,1,0)</x:f>
        <x:v>0</x:v>
      </x:c>
      <x:c r="L44" s="19" t="n">
        <x:f>E44-IF(H44=1,1,0)</x:f>
        <x:v>0</x:v>
      </x:c>
      <x:c r="M44" s="19" t="n">
        <x:f>F44-IF(H44=2,1,0)</x:f>
        <x:v>5</x:v>
      </x:c>
      <x:c r="N44" s="19" t="n">
        <x:f>MAX(K44-1,0)+MAX(L44-1,0)+MAX(M44-1,0)</x:f>
        <x:v>4</x:v>
      </x:c>
      <x:c r="O44" s="19" t="n">
        <x:f>IF(AND(SUM(K44:M44)&lt;9,OR(M44=0,N44&lt;6)),1,0)</x:f>
        <x:v>1</x:v>
      </x:c>
      <x:c r="P44" s="19" t="n">
        <x:f>IF(AND(SUM(K44:M44)&lt;9,OR(L44=0,N44&lt;6)),1,0)</x:f>
        <x:v>1</x:v>
      </x:c>
      <x:c r="Q44" s="19" t="n">
        <x:f>IF(AND(SUM(K44:M44)&lt;9,OR(K44=0,N44&lt;6)),1,0)</x:f>
        <x:v>1</x:v>
      </x:c>
      <x:c r="R44" s="22" t="str">
        <x:f>O44&amp;P44&amp;Q44</x:f>
        <x:v>111</x:v>
      </x:c>
      <x:c r="S44" s="19" t="n">
        <x:f>IF(I44=1,IF(J44=0,Q44,IF(J44=1,P44,IF(J44=2,O44,0))),0)</x:f>
        <x:v>0</x:v>
      </x:c>
      <x:c r="T44" s="19" t="n">
        <x:f>K44+IF(AND(S44=1,J44=0),1,0)</x:f>
        <x:v>0</x:v>
      </x:c>
      <x:c r="U44" s="19" t="n">
        <x:f>L44+IF(AND(S44=1,J44=1),1,0)</x:f>
        <x:v>0</x:v>
      </x:c>
      <x:c r="V44" s="19" t="n">
        <x:f>M44+IF(AND(S44=1,J44=2),1,0)</x:f>
        <x:v>5</x:v>
      </x:c>
      <x:c r="W44" s="19" t="n">
        <x:f>SUM(T44:V44)</x:f>
        <x:v>5</x:v>
      </x:c>
      <x:c r="X44" s="19" t="n">
        <x:f>W44-G44</x:f>
        <x:v>0</x:v>
      </x:c>
      <x:c r="Y44" s="19" t="n">
        <x:f>MAX(T44,1)+MAX(U44,1)+MAX(V44,1)</x:f>
        <x:v>7</x:v>
      </x:c>
      <x:c r="Z44" s="21" t="str">
        <x:f>IF(AND(MIN(D44:F44)&gt;=0,MAX(D44:F44)&lt;=7,MAX(D44,1)+MAX(E44,1)+MAX(F44,1)&lt;=9,OR(H44="-",AND(H44=0,D44&gt;0),AND(H44=1,E44&gt;0),AND(H44=2,F44&gt;0)),OR(I44=0,AND(I44=1,OR(J44=0,J44=1,J44=2),R44&lt;&gt;"000")),Y44&lt;=9,MIN(T44:V44)&gt;=0),"合法","输入违约")</x:f>
        <x:v>合法</x:v>
      </x:c>
    </x:row>
    <x:row r="45" ht="23" customHeight="1">
      <x:c r="A45" s="3" t="str">
        <x:v>CT-0038</x:v>
      </x:c>
      <x:c r="B45" s="3" t="str">
        <x:v>ST-036</x:v>
      </x:c>
      <x:c r="C45" s="3" t="str">
        <x:v>仅AR接收</x:v>
      </x:c>
      <x:c r="D45" s="25" t="n">
        <x:v>0</x:v>
      </x:c>
      <x:c r="E45" s="25" t="n">
        <x:v>0</x:v>
      </x:c>
      <x:c r="F45" s="25" t="n">
        <x:v>5</x:v>
      </x:c>
      <x:c r="G45" s="19" t="n">
        <x:f>SUM(D45:F45)</x:f>
        <x:v>5</x:v>
      </x:c>
      <x:c r="H45" s="25" t="str">
        <x:v>-</x:v>
      </x:c>
      <x:c r="I45" s="25" t="n">
        <x:v>1</x:v>
      </x:c>
      <x:c r="J45" s="25" t="n">
        <x:v>0</x:v>
      </x:c>
      <x:c r="K45" s="19" t="n">
        <x:f>D45-IF(H45=0,1,0)</x:f>
        <x:v>0</x:v>
      </x:c>
      <x:c r="L45" s="19" t="n">
        <x:f>E45-IF(H45=1,1,0)</x:f>
        <x:v>0</x:v>
      </x:c>
      <x:c r="M45" s="19" t="n">
        <x:f>F45-IF(H45=2,1,0)</x:f>
        <x:v>5</x:v>
      </x:c>
      <x:c r="N45" s="19" t="n">
        <x:f>MAX(K45-1,0)+MAX(L45-1,0)+MAX(M45-1,0)</x:f>
        <x:v>4</x:v>
      </x:c>
      <x:c r="O45" s="19" t="n">
        <x:f>IF(AND(SUM(K45:M45)&lt;9,OR(M45=0,N45&lt;6)),1,0)</x:f>
        <x:v>1</x:v>
      </x:c>
      <x:c r="P45" s="19" t="n">
        <x:f>IF(AND(SUM(K45:M45)&lt;9,OR(L45=0,N45&lt;6)),1,0)</x:f>
        <x:v>1</x:v>
      </x:c>
      <x:c r="Q45" s="19" t="n">
        <x:f>IF(AND(SUM(K45:M45)&lt;9,OR(K45=0,N45&lt;6)),1,0)</x:f>
        <x:v>1</x:v>
      </x:c>
      <x:c r="R45" s="22" t="str">
        <x:f>O45&amp;P45&amp;Q45</x:f>
        <x:v>111</x:v>
      </x:c>
      <x:c r="S45" s="19" t="n">
        <x:f>IF(I45=1,IF(J45=0,Q45,IF(J45=1,P45,IF(J45=2,O45,0))),0)</x:f>
        <x:v>1</x:v>
      </x:c>
      <x:c r="T45" s="19" t="n">
        <x:f>K45+IF(AND(S45=1,J45=0),1,0)</x:f>
        <x:v>1</x:v>
      </x:c>
      <x:c r="U45" s="19" t="n">
        <x:f>L45+IF(AND(S45=1,J45=1),1,0)</x:f>
        <x:v>0</x:v>
      </x:c>
      <x:c r="V45" s="19" t="n">
        <x:f>M45+IF(AND(S45=1,J45=2),1,0)</x:f>
        <x:v>5</x:v>
      </x:c>
      <x:c r="W45" s="19" t="n">
        <x:f>SUM(T45:V45)</x:f>
        <x:v>6</x:v>
      </x:c>
      <x:c r="X45" s="19" t="n">
        <x:f>W45-G45</x:f>
        <x:v>1</x:v>
      </x:c>
      <x:c r="Y45" s="19" t="n">
        <x:f>MAX(T45,1)+MAX(U45,1)+MAX(V45,1)</x:f>
        <x:v>7</x:v>
      </x:c>
      <x:c r="Z45" s="21" t="str">
        <x:f>IF(AND(MIN(D45:F45)&gt;=0,MAX(D45:F45)&lt;=7,MAX(D45,1)+MAX(E45,1)+MAX(F45,1)&lt;=9,OR(H45="-",AND(H45=0,D45&gt;0),AND(H45=1,E45&gt;0),AND(H45=2,F45&gt;0)),OR(I45=0,AND(I45=1,OR(J45=0,J45=1,J45=2),R45&lt;&gt;"000")),Y45&lt;=9,MIN(T45:V45)&gt;=0),"合法","输入违约")</x:f>
        <x:v>合法</x:v>
      </x:c>
    </x:row>
    <x:row r="46" ht="23" customHeight="1">
      <x:c r="A46" s="3" t="str">
        <x:v>CT-0039</x:v>
      </x:c>
      <x:c r="B46" s="3" t="str">
        <x:v>ST-036</x:v>
      </x:c>
      <x:c r="C46" s="3" t="str">
        <x:v>仅AR接收</x:v>
      </x:c>
      <x:c r="D46" s="25" t="n">
        <x:v>0</x:v>
      </x:c>
      <x:c r="E46" s="25" t="n">
        <x:v>0</x:v>
      </x:c>
      <x:c r="F46" s="25" t="n">
        <x:v>5</x:v>
      </x:c>
      <x:c r="G46" s="19" t="n">
        <x:f>SUM(D46:F46)</x:f>
        <x:v>5</x:v>
      </x:c>
      <x:c r="H46" s="25" t="str">
        <x:v>-</x:v>
      </x:c>
      <x:c r="I46" s="25" t="n">
        <x:v>1</x:v>
      </x:c>
      <x:c r="J46" s="25" t="n">
        <x:v>1</x:v>
      </x:c>
      <x:c r="K46" s="19" t="n">
        <x:f>D46-IF(H46=0,1,0)</x:f>
        <x:v>0</x:v>
      </x:c>
      <x:c r="L46" s="19" t="n">
        <x:f>E46-IF(H46=1,1,0)</x:f>
        <x:v>0</x:v>
      </x:c>
      <x:c r="M46" s="19" t="n">
        <x:f>F46-IF(H46=2,1,0)</x:f>
        <x:v>5</x:v>
      </x:c>
      <x:c r="N46" s="19" t="n">
        <x:f>MAX(K46-1,0)+MAX(L46-1,0)+MAX(M46-1,0)</x:f>
        <x:v>4</x:v>
      </x:c>
      <x:c r="O46" s="19" t="n">
        <x:f>IF(AND(SUM(K46:M46)&lt;9,OR(M46=0,N46&lt;6)),1,0)</x:f>
        <x:v>1</x:v>
      </x:c>
      <x:c r="P46" s="19" t="n">
        <x:f>IF(AND(SUM(K46:M46)&lt;9,OR(L46=0,N46&lt;6)),1,0)</x:f>
        <x:v>1</x:v>
      </x:c>
      <x:c r="Q46" s="19" t="n">
        <x:f>IF(AND(SUM(K46:M46)&lt;9,OR(K46=0,N46&lt;6)),1,0)</x:f>
        <x:v>1</x:v>
      </x:c>
      <x:c r="R46" s="22" t="str">
        <x:f>O46&amp;P46&amp;Q46</x:f>
        <x:v>111</x:v>
      </x:c>
      <x:c r="S46" s="19" t="n">
        <x:f>IF(I46=1,IF(J46=0,Q46,IF(J46=1,P46,IF(J46=2,O46,0))),0)</x:f>
        <x:v>1</x:v>
      </x:c>
      <x:c r="T46" s="19" t="n">
        <x:f>K46+IF(AND(S46=1,J46=0),1,0)</x:f>
        <x:v>0</x:v>
      </x:c>
      <x:c r="U46" s="19" t="n">
        <x:f>L46+IF(AND(S46=1,J46=1),1,0)</x:f>
        <x:v>1</x:v>
      </x:c>
      <x:c r="V46" s="19" t="n">
        <x:f>M46+IF(AND(S46=1,J46=2),1,0)</x:f>
        <x:v>5</x:v>
      </x:c>
      <x:c r="W46" s="19" t="n">
        <x:f>SUM(T46:V46)</x:f>
        <x:v>6</x:v>
      </x:c>
      <x:c r="X46" s="19" t="n">
        <x:f>W46-G46</x:f>
        <x:v>1</x:v>
      </x:c>
      <x:c r="Y46" s="19" t="n">
        <x:f>MAX(T46,1)+MAX(U46,1)+MAX(V46,1)</x:f>
        <x:v>7</x:v>
      </x:c>
      <x:c r="Z46" s="21" t="str">
        <x:f>IF(AND(MIN(D46:F46)&gt;=0,MAX(D46:F46)&lt;=7,MAX(D46,1)+MAX(E46,1)+MAX(F46,1)&lt;=9,OR(H46="-",AND(H46=0,D46&gt;0),AND(H46=1,E46&gt;0),AND(H46=2,F46&gt;0)),OR(I46=0,AND(I46=1,OR(J46=0,J46=1,J46=2),R46&lt;&gt;"000")),Y46&lt;=9,MIN(T46:V46)&gt;=0),"合法","输入违约")</x:f>
        <x:v>合法</x:v>
      </x:c>
    </x:row>
    <x:row r="47" ht="23" customHeight="1">
      <x:c r="A47" s="3" t="str">
        <x:v>CT-0040</x:v>
      </x:c>
      <x:c r="B47" s="3" t="str">
        <x:v>ST-036</x:v>
      </x:c>
      <x:c r="C47" s="3" t="str">
        <x:v>仅AR接收</x:v>
      </x:c>
      <x:c r="D47" s="25" t="n">
        <x:v>0</x:v>
      </x:c>
      <x:c r="E47" s="25" t="n">
        <x:v>0</x:v>
      </x:c>
      <x:c r="F47" s="25" t="n">
        <x:v>5</x:v>
      </x:c>
      <x:c r="G47" s="19" t="n">
        <x:f>SUM(D47:F47)</x:f>
        <x:v>5</x:v>
      </x:c>
      <x:c r="H47" s="25" t="str">
        <x:v>-</x:v>
      </x:c>
      <x:c r="I47" s="25" t="n">
        <x:v>1</x:v>
      </x:c>
      <x:c r="J47" s="25" t="n">
        <x:v>2</x:v>
      </x:c>
      <x:c r="K47" s="19" t="n">
        <x:f>D47-IF(H47=0,1,0)</x:f>
        <x:v>0</x:v>
      </x:c>
      <x:c r="L47" s="19" t="n">
        <x:f>E47-IF(H47=1,1,0)</x:f>
        <x:v>0</x:v>
      </x:c>
      <x:c r="M47" s="19" t="n">
        <x:f>F47-IF(H47=2,1,0)</x:f>
        <x:v>5</x:v>
      </x:c>
      <x:c r="N47" s="19" t="n">
        <x:f>MAX(K47-1,0)+MAX(L47-1,0)+MAX(M47-1,0)</x:f>
        <x:v>4</x:v>
      </x:c>
      <x:c r="O47" s="19" t="n">
        <x:f>IF(AND(SUM(K47:M47)&lt;9,OR(M47=0,N47&lt;6)),1,0)</x:f>
        <x:v>1</x:v>
      </x:c>
      <x:c r="P47" s="19" t="n">
        <x:f>IF(AND(SUM(K47:M47)&lt;9,OR(L47=0,N47&lt;6)),1,0)</x:f>
        <x:v>1</x:v>
      </x:c>
      <x:c r="Q47" s="19" t="n">
        <x:f>IF(AND(SUM(K47:M47)&lt;9,OR(K47=0,N47&lt;6)),1,0)</x:f>
        <x:v>1</x:v>
      </x:c>
      <x:c r="R47" s="22" t="str">
        <x:f>O47&amp;P47&amp;Q47</x:f>
        <x:v>111</x:v>
      </x:c>
      <x:c r="S47" s="19" t="n">
        <x:f>IF(I47=1,IF(J47=0,Q47,IF(J47=1,P47,IF(J47=2,O47,0))),0)</x:f>
        <x:v>1</x:v>
      </x:c>
      <x:c r="T47" s="19" t="n">
        <x:f>K47+IF(AND(S47=1,J47=0),1,0)</x:f>
        <x:v>0</x:v>
      </x:c>
      <x:c r="U47" s="19" t="n">
        <x:f>L47+IF(AND(S47=1,J47=1),1,0)</x:f>
        <x:v>0</x:v>
      </x:c>
      <x:c r="V47" s="19" t="n">
        <x:f>M47+IF(AND(S47=1,J47=2),1,0)</x:f>
        <x:v>6</x:v>
      </x:c>
      <x:c r="W47" s="19" t="n">
        <x:f>SUM(T47:V47)</x:f>
        <x:v>6</x:v>
      </x:c>
      <x:c r="X47" s="19" t="n">
        <x:f>W47-G47</x:f>
        <x:v>1</x:v>
      </x:c>
      <x:c r="Y47" s="19" t="n">
        <x:f>MAX(T47,1)+MAX(U47,1)+MAX(V47,1)</x:f>
        <x:v>8</x:v>
      </x:c>
      <x:c r="Z47" s="21" t="str">
        <x:f>IF(AND(MIN(D47:F47)&gt;=0,MAX(D47:F47)&lt;=7,MAX(D47,1)+MAX(E47,1)+MAX(F47,1)&lt;=9,OR(H47="-",AND(H47=0,D47&gt;0),AND(H47=1,E47&gt;0),AND(H47=2,F47&gt;0)),OR(I47=0,AND(I47=1,OR(J47=0,J47=1,J47=2),R47&lt;&gt;"000")),Y47&lt;=9,MIN(T47:V47)&gt;=0),"合法","输入违约")</x:f>
        <x:v>合法</x:v>
      </x:c>
    </x:row>
    <x:row r="48" ht="23" customHeight="1">
      <x:c r="A48" s="3" t="str">
        <x:v>CT-0041</x:v>
      </x:c>
      <x:c r="B48" s="3" t="str">
        <x:v>ST-036</x:v>
      </x:c>
      <x:c r="C48" s="3" t="str">
        <x:v>仅R回收</x:v>
      </x:c>
      <x:c r="D48" s="25" t="n">
        <x:v>0</x:v>
      </x:c>
      <x:c r="E48" s="25" t="n">
        <x:v>0</x:v>
      </x:c>
      <x:c r="F48" s="25" t="n">
        <x:v>5</x:v>
      </x:c>
      <x:c r="G48" s="19" t="n">
        <x:f>SUM(D48:F48)</x:f>
        <x:v>5</x:v>
      </x:c>
      <x:c r="H48" s="25" t="n">
        <x:v>2</x:v>
      </x:c>
      <x:c r="I48" s="25" t="n">
        <x:v>0</x:v>
      </x:c>
      <x:c r="J48" s="25" t="str">
        <x:v>-</x:v>
      </x:c>
      <x:c r="K48" s="19" t="n">
        <x:f>D48-IF(H48=0,1,0)</x:f>
        <x:v>0</x:v>
      </x:c>
      <x:c r="L48" s="19" t="n">
        <x:f>E48-IF(H48=1,1,0)</x:f>
        <x:v>0</x:v>
      </x:c>
      <x:c r="M48" s="19" t="n">
        <x:f>F48-IF(H48=2,1,0)</x:f>
        <x:v>4</x:v>
      </x:c>
      <x:c r="N48" s="19" t="n">
        <x:f>MAX(K48-1,0)+MAX(L48-1,0)+MAX(M48-1,0)</x:f>
        <x:v>3</x:v>
      </x:c>
      <x:c r="O48" s="19" t="n">
        <x:f>IF(AND(SUM(K48:M48)&lt;9,OR(M48=0,N48&lt;6)),1,0)</x:f>
        <x:v>1</x:v>
      </x:c>
      <x:c r="P48" s="19" t="n">
        <x:f>IF(AND(SUM(K48:M48)&lt;9,OR(L48=0,N48&lt;6)),1,0)</x:f>
        <x:v>1</x:v>
      </x:c>
      <x:c r="Q48" s="19" t="n">
        <x:f>IF(AND(SUM(K48:M48)&lt;9,OR(K48=0,N48&lt;6)),1,0)</x:f>
        <x:v>1</x:v>
      </x:c>
      <x:c r="R48" s="22" t="str">
        <x:f>O48&amp;P48&amp;Q48</x:f>
        <x:v>111</x:v>
      </x:c>
      <x:c r="S48" s="19" t="n">
        <x:f>IF(I48=1,IF(J48=0,Q48,IF(J48=1,P48,IF(J48=2,O48,0))),0)</x:f>
        <x:v>0</x:v>
      </x:c>
      <x:c r="T48" s="19" t="n">
        <x:f>K48+IF(AND(S48=1,J48=0),1,0)</x:f>
        <x:v>0</x:v>
      </x:c>
      <x:c r="U48" s="19" t="n">
        <x:f>L48+IF(AND(S48=1,J48=1),1,0)</x:f>
        <x:v>0</x:v>
      </x:c>
      <x:c r="V48" s="19" t="n">
        <x:f>M48+IF(AND(S48=1,J48=2),1,0)</x:f>
        <x:v>4</x:v>
      </x:c>
      <x:c r="W48" s="19" t="n">
        <x:f>SUM(T48:V48)</x:f>
        <x:v>4</x:v>
      </x:c>
      <x:c r="X48" s="19" t="n">
        <x:f>W48-G48</x:f>
        <x:v>-1</x:v>
      </x:c>
      <x:c r="Y48" s="19" t="n">
        <x:f>MAX(T48,1)+MAX(U48,1)+MAX(V48,1)</x:f>
        <x:v>6</x:v>
      </x:c>
      <x:c r="Z48" s="21" t="str">
        <x:f>IF(AND(MIN(D48:F48)&gt;=0,MAX(D48:F48)&lt;=7,MAX(D48,1)+MAX(E48,1)+MAX(F48,1)&lt;=9,OR(H48="-",AND(H48=0,D48&gt;0),AND(H48=1,E48&gt;0),AND(H48=2,F48&gt;0)),OR(I48=0,AND(I48=1,OR(J48=0,J48=1,J48=2),R48&lt;&gt;"000")),Y48&lt;=9,MIN(T48:V48)&gt;=0),"合法","输入违约")</x:f>
        <x:v>合法</x:v>
      </x:c>
    </x:row>
    <x:row r="49" ht="23" customHeight="1">
      <x:c r="A49" s="3" t="str">
        <x:v>CT-0042</x:v>
      </x:c>
      <x:c r="B49" s="3" t="str">
        <x:v>ST-036</x:v>
      </x:c>
      <x:c r="C49" s="3" t="str">
        <x:v>R+AR同收同发</x:v>
      </x:c>
      <x:c r="D49" s="25" t="n">
        <x:v>0</x:v>
      </x:c>
      <x:c r="E49" s="25" t="n">
        <x:v>0</x:v>
      </x:c>
      <x:c r="F49" s="25" t="n">
        <x:v>5</x:v>
      </x:c>
      <x:c r="G49" s="19" t="n">
        <x:f>SUM(D49:F49)</x:f>
        <x:v>5</x:v>
      </x:c>
      <x:c r="H49" s="25" t="n">
        <x:v>2</x:v>
      </x:c>
      <x:c r="I49" s="25" t="n">
        <x:v>1</x:v>
      </x:c>
      <x:c r="J49" s="25" t="n">
        <x:v>0</x:v>
      </x:c>
      <x:c r="K49" s="19" t="n">
        <x:f>D49-IF(H49=0,1,0)</x:f>
        <x:v>0</x:v>
      </x:c>
      <x:c r="L49" s="19" t="n">
        <x:f>E49-IF(H49=1,1,0)</x:f>
        <x:v>0</x:v>
      </x:c>
      <x:c r="M49" s="19" t="n">
        <x:f>F49-IF(H49=2,1,0)</x:f>
        <x:v>4</x:v>
      </x:c>
      <x:c r="N49" s="19" t="n">
        <x:f>MAX(K49-1,0)+MAX(L49-1,0)+MAX(M49-1,0)</x:f>
        <x:v>3</x:v>
      </x:c>
      <x:c r="O49" s="19" t="n">
        <x:f>IF(AND(SUM(K49:M49)&lt;9,OR(M49=0,N49&lt;6)),1,0)</x:f>
        <x:v>1</x:v>
      </x:c>
      <x:c r="P49" s="19" t="n">
        <x:f>IF(AND(SUM(K49:M49)&lt;9,OR(L49=0,N49&lt;6)),1,0)</x:f>
        <x:v>1</x:v>
      </x:c>
      <x:c r="Q49" s="19" t="n">
        <x:f>IF(AND(SUM(K49:M49)&lt;9,OR(K49=0,N49&lt;6)),1,0)</x:f>
        <x:v>1</x:v>
      </x:c>
      <x:c r="R49" s="22" t="str">
        <x:f>O49&amp;P49&amp;Q49</x:f>
        <x:v>111</x:v>
      </x:c>
      <x:c r="S49" s="19" t="n">
        <x:f>IF(I49=1,IF(J49=0,Q49,IF(J49=1,P49,IF(J49=2,O49,0))),0)</x:f>
        <x:v>1</x:v>
      </x:c>
      <x:c r="T49" s="19" t="n">
        <x:f>K49+IF(AND(S49=1,J49=0),1,0)</x:f>
        <x:v>1</x:v>
      </x:c>
      <x:c r="U49" s="19" t="n">
        <x:f>L49+IF(AND(S49=1,J49=1),1,0)</x:f>
        <x:v>0</x:v>
      </x:c>
      <x:c r="V49" s="19" t="n">
        <x:f>M49+IF(AND(S49=1,J49=2),1,0)</x:f>
        <x:v>4</x:v>
      </x:c>
      <x:c r="W49" s="19" t="n">
        <x:f>SUM(T49:V49)</x:f>
        <x:v>5</x:v>
      </x:c>
      <x:c r="X49" s="19" t="n">
        <x:f>W49-G49</x:f>
        <x:v>0</x:v>
      </x:c>
      <x:c r="Y49" s="19" t="n">
        <x:f>MAX(T49,1)+MAX(U49,1)+MAX(V49,1)</x:f>
        <x:v>6</x:v>
      </x:c>
      <x:c r="Z49" s="21" t="str">
        <x:f>IF(AND(MIN(D49:F49)&gt;=0,MAX(D49:F49)&lt;=7,MAX(D49,1)+MAX(E49,1)+MAX(F49,1)&lt;=9,OR(H49="-",AND(H49=0,D49&gt;0),AND(H49=1,E49&gt;0),AND(H49=2,F49&gt;0)),OR(I49=0,AND(I49=1,OR(J49=0,J49=1,J49=2),R49&lt;&gt;"000")),Y49&lt;=9,MIN(T49:V49)&gt;=0),"合法","输入违约")</x:f>
        <x:v>合法</x:v>
      </x:c>
    </x:row>
    <x:row r="50" ht="23" customHeight="1">
      <x:c r="A50" s="3" t="str">
        <x:v>CT-0043</x:v>
      </x:c>
      <x:c r="B50" s="3" t="str">
        <x:v>ST-036</x:v>
      </x:c>
      <x:c r="C50" s="3" t="str">
        <x:v>R+AR同收同发</x:v>
      </x:c>
      <x:c r="D50" s="25" t="n">
        <x:v>0</x:v>
      </x:c>
      <x:c r="E50" s="25" t="n">
        <x:v>0</x:v>
      </x:c>
      <x:c r="F50" s="25" t="n">
        <x:v>5</x:v>
      </x:c>
      <x:c r="G50" s="19" t="n">
        <x:f>SUM(D50:F50)</x:f>
        <x:v>5</x:v>
      </x:c>
      <x:c r="H50" s="25" t="n">
        <x:v>2</x:v>
      </x:c>
      <x:c r="I50" s="25" t="n">
        <x:v>1</x:v>
      </x:c>
      <x:c r="J50" s="25" t="n">
        <x:v>1</x:v>
      </x:c>
      <x:c r="K50" s="19" t="n">
        <x:f>D50-IF(H50=0,1,0)</x:f>
        <x:v>0</x:v>
      </x:c>
      <x:c r="L50" s="19" t="n">
        <x:f>E50-IF(H50=1,1,0)</x:f>
        <x:v>0</x:v>
      </x:c>
      <x:c r="M50" s="19" t="n">
        <x:f>F50-IF(H50=2,1,0)</x:f>
        <x:v>4</x:v>
      </x:c>
      <x:c r="N50" s="19" t="n">
        <x:f>MAX(K50-1,0)+MAX(L50-1,0)+MAX(M50-1,0)</x:f>
        <x:v>3</x:v>
      </x:c>
      <x:c r="O50" s="19" t="n">
        <x:f>IF(AND(SUM(K50:M50)&lt;9,OR(M50=0,N50&lt;6)),1,0)</x:f>
        <x:v>1</x:v>
      </x:c>
      <x:c r="P50" s="19" t="n">
        <x:f>IF(AND(SUM(K50:M50)&lt;9,OR(L50=0,N50&lt;6)),1,0)</x:f>
        <x:v>1</x:v>
      </x:c>
      <x:c r="Q50" s="19" t="n">
        <x:f>IF(AND(SUM(K50:M50)&lt;9,OR(K50=0,N50&lt;6)),1,0)</x:f>
        <x:v>1</x:v>
      </x:c>
      <x:c r="R50" s="22" t="str">
        <x:f>O50&amp;P50&amp;Q50</x:f>
        <x:v>111</x:v>
      </x:c>
      <x:c r="S50" s="19" t="n">
        <x:f>IF(I50=1,IF(J50=0,Q50,IF(J50=1,P50,IF(J50=2,O50,0))),0)</x:f>
        <x:v>1</x:v>
      </x:c>
      <x:c r="T50" s="19" t="n">
        <x:f>K50+IF(AND(S50=1,J50=0),1,0)</x:f>
        <x:v>0</x:v>
      </x:c>
      <x:c r="U50" s="19" t="n">
        <x:f>L50+IF(AND(S50=1,J50=1),1,0)</x:f>
        <x:v>1</x:v>
      </x:c>
      <x:c r="V50" s="19" t="n">
        <x:f>M50+IF(AND(S50=1,J50=2),1,0)</x:f>
        <x:v>4</x:v>
      </x:c>
      <x:c r="W50" s="19" t="n">
        <x:f>SUM(T50:V50)</x:f>
        <x:v>5</x:v>
      </x:c>
      <x:c r="X50" s="19" t="n">
        <x:f>W50-G50</x:f>
        <x:v>0</x:v>
      </x:c>
      <x:c r="Y50" s="19" t="n">
        <x:f>MAX(T50,1)+MAX(U50,1)+MAX(V50,1)</x:f>
        <x:v>6</x:v>
      </x:c>
      <x:c r="Z50" s="21" t="str">
        <x:f>IF(AND(MIN(D50:F50)&gt;=0,MAX(D50:F50)&lt;=7,MAX(D50,1)+MAX(E50,1)+MAX(F50,1)&lt;=9,OR(H50="-",AND(H50=0,D50&gt;0),AND(H50=1,E50&gt;0),AND(H50=2,F50&gt;0)),OR(I50=0,AND(I50=1,OR(J50=0,J50=1,J50=2),R50&lt;&gt;"000")),Y50&lt;=9,MIN(T50:V50)&gt;=0),"合法","输入违约")</x:f>
        <x:v>合法</x:v>
      </x:c>
    </x:row>
    <x:row r="51" ht="23" customHeight="1">
      <x:c r="A51" s="3" t="str">
        <x:v>CT-0044</x:v>
      </x:c>
      <x:c r="B51" s="3" t="str">
        <x:v>ST-036</x:v>
      </x:c>
      <x:c r="C51" s="3" t="str">
        <x:v>R+AR同收同发</x:v>
      </x:c>
      <x:c r="D51" s="25" t="n">
        <x:v>0</x:v>
      </x:c>
      <x:c r="E51" s="25" t="n">
        <x:v>0</x:v>
      </x:c>
      <x:c r="F51" s="25" t="n">
        <x:v>5</x:v>
      </x:c>
      <x:c r="G51" s="19" t="n">
        <x:f>SUM(D51:F51)</x:f>
        <x:v>5</x:v>
      </x:c>
      <x:c r="H51" s="25" t="n">
        <x:v>2</x:v>
      </x:c>
      <x:c r="I51" s="25" t="n">
        <x:v>1</x:v>
      </x:c>
      <x:c r="J51" s="25" t="n">
        <x:v>2</x:v>
      </x:c>
      <x:c r="K51" s="19" t="n">
        <x:f>D51-IF(H51=0,1,0)</x:f>
        <x:v>0</x:v>
      </x:c>
      <x:c r="L51" s="19" t="n">
        <x:f>E51-IF(H51=1,1,0)</x:f>
        <x:v>0</x:v>
      </x:c>
      <x:c r="M51" s="19" t="n">
        <x:f>F51-IF(H51=2,1,0)</x:f>
        <x:v>4</x:v>
      </x:c>
      <x:c r="N51" s="19" t="n">
        <x:f>MAX(K51-1,0)+MAX(L51-1,0)+MAX(M51-1,0)</x:f>
        <x:v>3</x:v>
      </x:c>
      <x:c r="O51" s="19" t="n">
        <x:f>IF(AND(SUM(K51:M51)&lt;9,OR(M51=0,N51&lt;6)),1,0)</x:f>
        <x:v>1</x:v>
      </x:c>
      <x:c r="P51" s="19" t="n">
        <x:f>IF(AND(SUM(K51:M51)&lt;9,OR(L51=0,N51&lt;6)),1,0)</x:f>
        <x:v>1</x:v>
      </x:c>
      <x:c r="Q51" s="19" t="n">
        <x:f>IF(AND(SUM(K51:M51)&lt;9,OR(K51=0,N51&lt;6)),1,0)</x:f>
        <x:v>1</x:v>
      </x:c>
      <x:c r="R51" s="22" t="str">
        <x:f>O51&amp;P51&amp;Q51</x:f>
        <x:v>111</x:v>
      </x:c>
      <x:c r="S51" s="19" t="n">
        <x:f>IF(I51=1,IF(J51=0,Q51,IF(J51=1,P51,IF(J51=2,O51,0))),0)</x:f>
        <x:v>1</x:v>
      </x:c>
      <x:c r="T51" s="19" t="n">
        <x:f>K51+IF(AND(S51=1,J51=0),1,0)</x:f>
        <x:v>0</x:v>
      </x:c>
      <x:c r="U51" s="19" t="n">
        <x:f>L51+IF(AND(S51=1,J51=1),1,0)</x:f>
        <x:v>0</x:v>
      </x:c>
      <x:c r="V51" s="19" t="n">
        <x:f>M51+IF(AND(S51=1,J51=2),1,0)</x:f>
        <x:v>5</x:v>
      </x:c>
      <x:c r="W51" s="19" t="n">
        <x:f>SUM(T51:V51)</x:f>
        <x:v>5</x:v>
      </x:c>
      <x:c r="X51" s="19" t="n">
        <x:f>W51-G51</x:f>
        <x:v>0</x:v>
      </x:c>
      <x:c r="Y51" s="19" t="n">
        <x:f>MAX(T51,1)+MAX(U51,1)+MAX(V51,1)</x:f>
        <x:v>7</x:v>
      </x:c>
      <x:c r="Z51" s="21" t="str">
        <x:f>IF(AND(MIN(D51:F51)&gt;=0,MAX(D51:F51)&lt;=7,MAX(D51,1)+MAX(E51,1)+MAX(F51,1)&lt;=9,OR(H51="-",AND(H51=0,D51&gt;0),AND(H51=1,E51&gt;0),AND(H51=2,F51&gt;0)),OR(I51=0,AND(I51=1,OR(J51=0,J51=1,J51=2),R51&lt;&gt;"000")),Y51&lt;=9,MIN(T51:V51)&gt;=0),"合法","输入违约")</x:f>
        <x:v>合法</x:v>
      </x:c>
    </x:row>
    <x:row r="52" ht="23" customHeight="1">
      <x:c r="A52" s="3" t="str">
        <x:v>CT-0045</x:v>
      </x:c>
      <x:c r="B52" s="3" t="str">
        <x:v>ST-057</x:v>
      </x:c>
      <x:c r="C52" s="3" t="str">
        <x:v>无AR/R</x:v>
      </x:c>
      <x:c r="D52" s="25" t="n">
        <x:v>0</x:v>
      </x:c>
      <x:c r="E52" s="25" t="n">
        <x:v>0</x:v>
      </x:c>
      <x:c r="F52" s="25" t="n">
        <x:v>6</x:v>
      </x:c>
      <x:c r="G52" s="19" t="n">
        <x:f>SUM(D52:F52)</x:f>
        <x:v>6</x:v>
      </x:c>
      <x:c r="H52" s="25" t="str">
        <x:v>-</x:v>
      </x:c>
      <x:c r="I52" s="25" t="n">
        <x:v>0</x:v>
      </x:c>
      <x:c r="J52" s="25" t="str">
        <x:v>-</x:v>
      </x:c>
      <x:c r="K52" s="19" t="n">
        <x:f>D52-IF(H52=0,1,0)</x:f>
        <x:v>0</x:v>
      </x:c>
      <x:c r="L52" s="19" t="n">
        <x:f>E52-IF(H52=1,1,0)</x:f>
        <x:v>0</x:v>
      </x:c>
      <x:c r="M52" s="19" t="n">
        <x:f>F52-IF(H52=2,1,0)</x:f>
        <x:v>6</x:v>
      </x:c>
      <x:c r="N52" s="19" t="n">
        <x:f>MAX(K52-1,0)+MAX(L52-1,0)+MAX(M52-1,0)</x:f>
        <x:v>5</x:v>
      </x:c>
      <x:c r="O52" s="19" t="n">
        <x:f>IF(AND(SUM(K52:M52)&lt;9,OR(M52=0,N52&lt;6)),1,0)</x:f>
        <x:v>1</x:v>
      </x:c>
      <x:c r="P52" s="19" t="n">
        <x:f>IF(AND(SUM(K52:M52)&lt;9,OR(L52=0,N52&lt;6)),1,0)</x:f>
        <x:v>1</x:v>
      </x:c>
      <x:c r="Q52" s="19" t="n">
        <x:f>IF(AND(SUM(K52:M52)&lt;9,OR(K52=0,N52&lt;6)),1,0)</x:f>
        <x:v>1</x:v>
      </x:c>
      <x:c r="R52" s="22" t="str">
        <x:f>O52&amp;P52&amp;Q52</x:f>
        <x:v>111</x:v>
      </x:c>
      <x:c r="S52" s="19" t="n">
        <x:f>IF(I52=1,IF(J52=0,Q52,IF(J52=1,P52,IF(J52=2,O52,0))),0)</x:f>
        <x:v>0</x:v>
      </x:c>
      <x:c r="T52" s="19" t="n">
        <x:f>K52+IF(AND(S52=1,J52=0),1,0)</x:f>
        <x:v>0</x:v>
      </x:c>
      <x:c r="U52" s="19" t="n">
        <x:f>L52+IF(AND(S52=1,J52=1),1,0)</x:f>
        <x:v>0</x:v>
      </x:c>
      <x:c r="V52" s="19" t="n">
        <x:f>M52+IF(AND(S52=1,J52=2),1,0)</x:f>
        <x:v>6</x:v>
      </x:c>
      <x:c r="W52" s="19" t="n">
        <x:f>SUM(T52:V52)</x:f>
        <x:v>6</x:v>
      </x:c>
      <x:c r="X52" s="19" t="n">
        <x:f>W52-G52</x:f>
        <x:v>0</x:v>
      </x:c>
      <x:c r="Y52" s="19" t="n">
        <x:f>MAX(T52,1)+MAX(U52,1)+MAX(V52,1)</x:f>
        <x:v>8</x:v>
      </x:c>
      <x:c r="Z52" s="21" t="str">
        <x:f>IF(AND(MIN(D52:F52)&gt;=0,MAX(D52:F52)&lt;=7,MAX(D52,1)+MAX(E52,1)+MAX(F52,1)&lt;=9,OR(H52="-",AND(H52=0,D52&gt;0),AND(H52=1,E52&gt;0),AND(H52=2,F52&gt;0)),OR(I52=0,AND(I52=1,OR(J52=0,J52=1,J52=2),R52&lt;&gt;"000")),Y52&lt;=9,MIN(T52:V52)&gt;=0),"合法","输入违约")</x:f>
        <x:v>合法</x:v>
      </x:c>
    </x:row>
    <x:row r="53" ht="23" customHeight="1">
      <x:c r="A53" s="3" t="str">
        <x:v>CT-0046</x:v>
      </x:c>
      <x:c r="B53" s="3" t="str">
        <x:v>ST-057</x:v>
      </x:c>
      <x:c r="C53" s="3" t="str">
        <x:v>仅AR接收</x:v>
      </x:c>
      <x:c r="D53" s="25" t="n">
        <x:v>0</x:v>
      </x:c>
      <x:c r="E53" s="25" t="n">
        <x:v>0</x:v>
      </x:c>
      <x:c r="F53" s="25" t="n">
        <x:v>6</x:v>
      </x:c>
      <x:c r="G53" s="19" t="n">
        <x:f>SUM(D53:F53)</x:f>
        <x:v>6</x:v>
      </x:c>
      <x:c r="H53" s="25" t="str">
        <x:v>-</x:v>
      </x:c>
      <x:c r="I53" s="25" t="n">
        <x:v>1</x:v>
      </x:c>
      <x:c r="J53" s="25" t="n">
        <x:v>0</x:v>
      </x:c>
      <x:c r="K53" s="19" t="n">
        <x:f>D53-IF(H53=0,1,0)</x:f>
        <x:v>0</x:v>
      </x:c>
      <x:c r="L53" s="19" t="n">
        <x:f>E53-IF(H53=1,1,0)</x:f>
        <x:v>0</x:v>
      </x:c>
      <x:c r="M53" s="19" t="n">
        <x:f>F53-IF(H53=2,1,0)</x:f>
        <x:v>6</x:v>
      </x:c>
      <x:c r="N53" s="19" t="n">
        <x:f>MAX(K53-1,0)+MAX(L53-1,0)+MAX(M53-1,0)</x:f>
        <x:v>5</x:v>
      </x:c>
      <x:c r="O53" s="19" t="n">
        <x:f>IF(AND(SUM(K53:M53)&lt;9,OR(M53=0,N53&lt;6)),1,0)</x:f>
        <x:v>1</x:v>
      </x:c>
      <x:c r="P53" s="19" t="n">
        <x:f>IF(AND(SUM(K53:M53)&lt;9,OR(L53=0,N53&lt;6)),1,0)</x:f>
        <x:v>1</x:v>
      </x:c>
      <x:c r="Q53" s="19" t="n">
        <x:f>IF(AND(SUM(K53:M53)&lt;9,OR(K53=0,N53&lt;6)),1,0)</x:f>
        <x:v>1</x:v>
      </x:c>
      <x:c r="R53" s="22" t="str">
        <x:f>O53&amp;P53&amp;Q53</x:f>
        <x:v>111</x:v>
      </x:c>
      <x:c r="S53" s="19" t="n">
        <x:f>IF(I53=1,IF(J53=0,Q53,IF(J53=1,P53,IF(J53=2,O53,0))),0)</x:f>
        <x:v>1</x:v>
      </x:c>
      <x:c r="T53" s="19" t="n">
        <x:f>K53+IF(AND(S53=1,J53=0),1,0)</x:f>
        <x:v>1</x:v>
      </x:c>
      <x:c r="U53" s="19" t="n">
        <x:f>L53+IF(AND(S53=1,J53=1),1,0)</x:f>
        <x:v>0</x:v>
      </x:c>
      <x:c r="V53" s="19" t="n">
        <x:f>M53+IF(AND(S53=1,J53=2),1,0)</x:f>
        <x:v>6</x:v>
      </x:c>
      <x:c r="W53" s="19" t="n">
        <x:f>SUM(T53:V53)</x:f>
        <x:v>7</x:v>
      </x:c>
      <x:c r="X53" s="19" t="n">
        <x:f>W53-G53</x:f>
        <x:v>1</x:v>
      </x:c>
      <x:c r="Y53" s="19" t="n">
        <x:f>MAX(T53,1)+MAX(U53,1)+MAX(V53,1)</x:f>
        <x:v>8</x:v>
      </x:c>
      <x:c r="Z53" s="21" t="str">
        <x:f>IF(AND(MIN(D53:F53)&gt;=0,MAX(D53:F53)&lt;=7,MAX(D53,1)+MAX(E53,1)+MAX(F53,1)&lt;=9,OR(H53="-",AND(H53=0,D53&gt;0),AND(H53=1,E53&gt;0),AND(H53=2,F53&gt;0)),OR(I53=0,AND(I53=1,OR(J53=0,J53=1,J53=2),R53&lt;&gt;"000")),Y53&lt;=9,MIN(T53:V53)&gt;=0),"合法","输入违约")</x:f>
        <x:v>合法</x:v>
      </x:c>
    </x:row>
    <x:row r="54" ht="23" customHeight="1">
      <x:c r="A54" s="3" t="str">
        <x:v>CT-0047</x:v>
      </x:c>
      <x:c r="B54" s="3" t="str">
        <x:v>ST-057</x:v>
      </x:c>
      <x:c r="C54" s="3" t="str">
        <x:v>仅AR接收</x:v>
      </x:c>
      <x:c r="D54" s="25" t="n">
        <x:v>0</x:v>
      </x:c>
      <x:c r="E54" s="25" t="n">
        <x:v>0</x:v>
      </x:c>
      <x:c r="F54" s="25" t="n">
        <x:v>6</x:v>
      </x:c>
      <x:c r="G54" s="19" t="n">
        <x:f>SUM(D54:F54)</x:f>
        <x:v>6</x:v>
      </x:c>
      <x:c r="H54" s="25" t="str">
        <x:v>-</x:v>
      </x:c>
      <x:c r="I54" s="25" t="n">
        <x:v>1</x:v>
      </x:c>
      <x:c r="J54" s="25" t="n">
        <x:v>1</x:v>
      </x:c>
      <x:c r="K54" s="19" t="n">
        <x:f>D54-IF(H54=0,1,0)</x:f>
        <x:v>0</x:v>
      </x:c>
      <x:c r="L54" s="19" t="n">
        <x:f>E54-IF(H54=1,1,0)</x:f>
        <x:v>0</x:v>
      </x:c>
      <x:c r="M54" s="19" t="n">
        <x:f>F54-IF(H54=2,1,0)</x:f>
        <x:v>6</x:v>
      </x:c>
      <x:c r="N54" s="19" t="n">
        <x:f>MAX(K54-1,0)+MAX(L54-1,0)+MAX(M54-1,0)</x:f>
        <x:v>5</x:v>
      </x:c>
      <x:c r="O54" s="19" t="n">
        <x:f>IF(AND(SUM(K54:M54)&lt;9,OR(M54=0,N54&lt;6)),1,0)</x:f>
        <x:v>1</x:v>
      </x:c>
      <x:c r="P54" s="19" t="n">
        <x:f>IF(AND(SUM(K54:M54)&lt;9,OR(L54=0,N54&lt;6)),1,0)</x:f>
        <x:v>1</x:v>
      </x:c>
      <x:c r="Q54" s="19" t="n">
        <x:f>IF(AND(SUM(K54:M54)&lt;9,OR(K54=0,N54&lt;6)),1,0)</x:f>
        <x:v>1</x:v>
      </x:c>
      <x:c r="R54" s="22" t="str">
        <x:f>O54&amp;P54&amp;Q54</x:f>
        <x:v>111</x:v>
      </x:c>
      <x:c r="S54" s="19" t="n">
        <x:f>IF(I54=1,IF(J54=0,Q54,IF(J54=1,P54,IF(J54=2,O54,0))),0)</x:f>
        <x:v>1</x:v>
      </x:c>
      <x:c r="T54" s="19" t="n">
        <x:f>K54+IF(AND(S54=1,J54=0),1,0)</x:f>
        <x:v>0</x:v>
      </x:c>
      <x:c r="U54" s="19" t="n">
        <x:f>L54+IF(AND(S54=1,J54=1),1,0)</x:f>
        <x:v>1</x:v>
      </x:c>
      <x:c r="V54" s="19" t="n">
        <x:f>M54+IF(AND(S54=1,J54=2),1,0)</x:f>
        <x:v>6</x:v>
      </x:c>
      <x:c r="W54" s="19" t="n">
        <x:f>SUM(T54:V54)</x:f>
        <x:v>7</x:v>
      </x:c>
      <x:c r="X54" s="19" t="n">
        <x:f>W54-G54</x:f>
        <x:v>1</x:v>
      </x:c>
      <x:c r="Y54" s="19" t="n">
        <x:f>MAX(T54,1)+MAX(U54,1)+MAX(V54,1)</x:f>
        <x:v>8</x:v>
      </x:c>
      <x:c r="Z54" s="21" t="str">
        <x:f>IF(AND(MIN(D54:F54)&gt;=0,MAX(D54:F54)&lt;=7,MAX(D54,1)+MAX(E54,1)+MAX(F54,1)&lt;=9,OR(H54="-",AND(H54=0,D54&gt;0),AND(H54=1,E54&gt;0),AND(H54=2,F54&gt;0)),OR(I54=0,AND(I54=1,OR(J54=0,J54=1,J54=2),R54&lt;&gt;"000")),Y54&lt;=9,MIN(T54:V54)&gt;=0),"合法","输入违约")</x:f>
        <x:v>合法</x:v>
      </x:c>
    </x:row>
    <x:row r="55" ht="23" customHeight="1">
      <x:c r="A55" s="3" t="str">
        <x:v>CT-0048</x:v>
      </x:c>
      <x:c r="B55" s="3" t="str">
        <x:v>ST-057</x:v>
      </x:c>
      <x:c r="C55" s="3" t="str">
        <x:v>仅AR接收</x:v>
      </x:c>
      <x:c r="D55" s="25" t="n">
        <x:v>0</x:v>
      </x:c>
      <x:c r="E55" s="25" t="n">
        <x:v>0</x:v>
      </x:c>
      <x:c r="F55" s="25" t="n">
        <x:v>6</x:v>
      </x:c>
      <x:c r="G55" s="19" t="n">
        <x:f>SUM(D55:F55)</x:f>
        <x:v>6</x:v>
      </x:c>
      <x:c r="H55" s="25" t="str">
        <x:v>-</x:v>
      </x:c>
      <x:c r="I55" s="25" t="n">
        <x:v>1</x:v>
      </x:c>
      <x:c r="J55" s="25" t="n">
        <x:v>2</x:v>
      </x:c>
      <x:c r="K55" s="19" t="n">
        <x:f>D55-IF(H55=0,1,0)</x:f>
        <x:v>0</x:v>
      </x:c>
      <x:c r="L55" s="19" t="n">
        <x:f>E55-IF(H55=1,1,0)</x:f>
        <x:v>0</x:v>
      </x:c>
      <x:c r="M55" s="19" t="n">
        <x:f>F55-IF(H55=2,1,0)</x:f>
        <x:v>6</x:v>
      </x:c>
      <x:c r="N55" s="19" t="n">
        <x:f>MAX(K55-1,0)+MAX(L55-1,0)+MAX(M55-1,0)</x:f>
        <x:v>5</x:v>
      </x:c>
      <x:c r="O55" s="19" t="n">
        <x:f>IF(AND(SUM(K55:M55)&lt;9,OR(M55=0,N55&lt;6)),1,0)</x:f>
        <x:v>1</x:v>
      </x:c>
      <x:c r="P55" s="19" t="n">
        <x:f>IF(AND(SUM(K55:M55)&lt;9,OR(L55=0,N55&lt;6)),1,0)</x:f>
        <x:v>1</x:v>
      </x:c>
      <x:c r="Q55" s="19" t="n">
        <x:f>IF(AND(SUM(K55:M55)&lt;9,OR(K55=0,N55&lt;6)),1,0)</x:f>
        <x:v>1</x:v>
      </x:c>
      <x:c r="R55" s="22" t="str">
        <x:f>O55&amp;P55&amp;Q55</x:f>
        <x:v>111</x:v>
      </x:c>
      <x:c r="S55" s="19" t="n">
        <x:f>IF(I55=1,IF(J55=0,Q55,IF(J55=1,P55,IF(J55=2,O55,0))),0)</x:f>
        <x:v>1</x:v>
      </x:c>
      <x:c r="T55" s="19" t="n">
        <x:f>K55+IF(AND(S55=1,J55=0),1,0)</x:f>
        <x:v>0</x:v>
      </x:c>
      <x:c r="U55" s="19" t="n">
        <x:f>L55+IF(AND(S55=1,J55=1),1,0)</x:f>
        <x:v>0</x:v>
      </x:c>
      <x:c r="V55" s="19" t="n">
        <x:f>M55+IF(AND(S55=1,J55=2),1,0)</x:f>
        <x:v>7</x:v>
      </x:c>
      <x:c r="W55" s="19" t="n">
        <x:f>SUM(T55:V55)</x:f>
        <x:v>7</x:v>
      </x:c>
      <x:c r="X55" s="19" t="n">
        <x:f>W55-G55</x:f>
        <x:v>1</x:v>
      </x:c>
      <x:c r="Y55" s="19" t="n">
        <x:f>MAX(T55,1)+MAX(U55,1)+MAX(V55,1)</x:f>
        <x:v>9</x:v>
      </x:c>
      <x:c r="Z55" s="21" t="str">
        <x:f>IF(AND(MIN(D55:F55)&gt;=0,MAX(D55:F55)&lt;=7,MAX(D55,1)+MAX(E55,1)+MAX(F55,1)&lt;=9,OR(H55="-",AND(H55=0,D55&gt;0),AND(H55=1,E55&gt;0),AND(H55=2,F55&gt;0)),OR(I55=0,AND(I55=1,OR(J55=0,J55=1,J55=2),R55&lt;&gt;"000")),Y55&lt;=9,MIN(T55:V55)&gt;=0),"合法","输入违约")</x:f>
        <x:v>合法</x:v>
      </x:c>
    </x:row>
    <x:row r="56" ht="23" customHeight="1">
      <x:c r="A56" s="3" t="str">
        <x:v>CT-0049</x:v>
      </x:c>
      <x:c r="B56" s="3" t="str">
        <x:v>ST-057</x:v>
      </x:c>
      <x:c r="C56" s="3" t="str">
        <x:v>仅R回收</x:v>
      </x:c>
      <x:c r="D56" s="25" t="n">
        <x:v>0</x:v>
      </x:c>
      <x:c r="E56" s="25" t="n">
        <x:v>0</x:v>
      </x:c>
      <x:c r="F56" s="25" t="n">
        <x:v>6</x:v>
      </x:c>
      <x:c r="G56" s="19" t="n">
        <x:f>SUM(D56:F56)</x:f>
        <x:v>6</x:v>
      </x:c>
      <x:c r="H56" s="25" t="n">
        <x:v>2</x:v>
      </x:c>
      <x:c r="I56" s="25" t="n">
        <x:v>0</x:v>
      </x:c>
      <x:c r="J56" s="25" t="str">
        <x:v>-</x:v>
      </x:c>
      <x:c r="K56" s="19" t="n">
        <x:f>D56-IF(H56=0,1,0)</x:f>
        <x:v>0</x:v>
      </x:c>
      <x:c r="L56" s="19" t="n">
        <x:f>E56-IF(H56=1,1,0)</x:f>
        <x:v>0</x:v>
      </x:c>
      <x:c r="M56" s="19" t="n">
        <x:f>F56-IF(H56=2,1,0)</x:f>
        <x:v>5</x:v>
      </x:c>
      <x:c r="N56" s="19" t="n">
        <x:f>MAX(K56-1,0)+MAX(L56-1,0)+MAX(M56-1,0)</x:f>
        <x:v>4</x:v>
      </x:c>
      <x:c r="O56" s="19" t="n">
        <x:f>IF(AND(SUM(K56:M56)&lt;9,OR(M56=0,N56&lt;6)),1,0)</x:f>
        <x:v>1</x:v>
      </x:c>
      <x:c r="P56" s="19" t="n">
        <x:f>IF(AND(SUM(K56:M56)&lt;9,OR(L56=0,N56&lt;6)),1,0)</x:f>
        <x:v>1</x:v>
      </x:c>
      <x:c r="Q56" s="19" t="n">
        <x:f>IF(AND(SUM(K56:M56)&lt;9,OR(K56=0,N56&lt;6)),1,0)</x:f>
        <x:v>1</x:v>
      </x:c>
      <x:c r="R56" s="22" t="str">
        <x:f>O56&amp;P56&amp;Q56</x:f>
        <x:v>111</x:v>
      </x:c>
      <x:c r="S56" s="19" t="n">
        <x:f>IF(I56=1,IF(J56=0,Q56,IF(J56=1,P56,IF(J56=2,O56,0))),0)</x:f>
        <x:v>0</x:v>
      </x:c>
      <x:c r="T56" s="19" t="n">
        <x:f>K56+IF(AND(S56=1,J56=0),1,0)</x:f>
        <x:v>0</x:v>
      </x:c>
      <x:c r="U56" s="19" t="n">
        <x:f>L56+IF(AND(S56=1,J56=1),1,0)</x:f>
        <x:v>0</x:v>
      </x:c>
      <x:c r="V56" s="19" t="n">
        <x:f>M56+IF(AND(S56=1,J56=2),1,0)</x:f>
        <x:v>5</x:v>
      </x:c>
      <x:c r="W56" s="19" t="n">
        <x:f>SUM(T56:V56)</x:f>
        <x:v>5</x:v>
      </x:c>
      <x:c r="X56" s="19" t="n">
        <x:f>W56-G56</x:f>
        <x:v>-1</x:v>
      </x:c>
      <x:c r="Y56" s="19" t="n">
        <x:f>MAX(T56,1)+MAX(U56,1)+MAX(V56,1)</x:f>
        <x:v>7</x:v>
      </x:c>
      <x:c r="Z56" s="21" t="str">
        <x:f>IF(AND(MIN(D56:F56)&gt;=0,MAX(D56:F56)&lt;=7,MAX(D56,1)+MAX(E56,1)+MAX(F56,1)&lt;=9,OR(H56="-",AND(H56=0,D56&gt;0),AND(H56=1,E56&gt;0),AND(H56=2,F56&gt;0)),OR(I56=0,AND(I56=1,OR(J56=0,J56=1,J56=2),R56&lt;&gt;"000")),Y56&lt;=9,MIN(T56:V56)&gt;=0),"合法","输入违约")</x:f>
        <x:v>合法</x:v>
      </x:c>
    </x:row>
    <x:row r="57" ht="23" customHeight="1">
      <x:c r="A57" s="3" t="str">
        <x:v>CT-0050</x:v>
      </x:c>
      <x:c r="B57" s="3" t="str">
        <x:v>ST-057</x:v>
      </x:c>
      <x:c r="C57" s="3" t="str">
        <x:v>R+AR同收同发</x:v>
      </x:c>
      <x:c r="D57" s="25" t="n">
        <x:v>0</x:v>
      </x:c>
      <x:c r="E57" s="25" t="n">
        <x:v>0</x:v>
      </x:c>
      <x:c r="F57" s="25" t="n">
        <x:v>6</x:v>
      </x:c>
      <x:c r="G57" s="19" t="n">
        <x:f>SUM(D57:F57)</x:f>
        <x:v>6</x:v>
      </x:c>
      <x:c r="H57" s="25" t="n">
        <x:v>2</x:v>
      </x:c>
      <x:c r="I57" s="25" t="n">
        <x:v>1</x:v>
      </x:c>
      <x:c r="J57" s="25" t="n">
        <x:v>0</x:v>
      </x:c>
      <x:c r="K57" s="19" t="n">
        <x:f>D57-IF(H57=0,1,0)</x:f>
        <x:v>0</x:v>
      </x:c>
      <x:c r="L57" s="19" t="n">
        <x:f>E57-IF(H57=1,1,0)</x:f>
        <x:v>0</x:v>
      </x:c>
      <x:c r="M57" s="19" t="n">
        <x:f>F57-IF(H57=2,1,0)</x:f>
        <x:v>5</x:v>
      </x:c>
      <x:c r="N57" s="19" t="n">
        <x:f>MAX(K57-1,0)+MAX(L57-1,0)+MAX(M57-1,0)</x:f>
        <x:v>4</x:v>
      </x:c>
      <x:c r="O57" s="19" t="n">
        <x:f>IF(AND(SUM(K57:M57)&lt;9,OR(M57=0,N57&lt;6)),1,0)</x:f>
        <x:v>1</x:v>
      </x:c>
      <x:c r="P57" s="19" t="n">
        <x:f>IF(AND(SUM(K57:M57)&lt;9,OR(L57=0,N57&lt;6)),1,0)</x:f>
        <x:v>1</x:v>
      </x:c>
      <x:c r="Q57" s="19" t="n">
        <x:f>IF(AND(SUM(K57:M57)&lt;9,OR(K57=0,N57&lt;6)),1,0)</x:f>
        <x:v>1</x:v>
      </x:c>
      <x:c r="R57" s="22" t="str">
        <x:f>O57&amp;P57&amp;Q57</x:f>
        <x:v>111</x:v>
      </x:c>
      <x:c r="S57" s="19" t="n">
        <x:f>IF(I57=1,IF(J57=0,Q57,IF(J57=1,P57,IF(J57=2,O57,0))),0)</x:f>
        <x:v>1</x:v>
      </x:c>
      <x:c r="T57" s="19" t="n">
        <x:f>K57+IF(AND(S57=1,J57=0),1,0)</x:f>
        <x:v>1</x:v>
      </x:c>
      <x:c r="U57" s="19" t="n">
        <x:f>L57+IF(AND(S57=1,J57=1),1,0)</x:f>
        <x:v>0</x:v>
      </x:c>
      <x:c r="V57" s="19" t="n">
        <x:f>M57+IF(AND(S57=1,J57=2),1,0)</x:f>
        <x:v>5</x:v>
      </x:c>
      <x:c r="W57" s="19" t="n">
        <x:f>SUM(T57:V57)</x:f>
        <x:v>6</x:v>
      </x:c>
      <x:c r="X57" s="19" t="n">
        <x:f>W57-G57</x:f>
        <x:v>0</x:v>
      </x:c>
      <x:c r="Y57" s="19" t="n">
        <x:f>MAX(T57,1)+MAX(U57,1)+MAX(V57,1)</x:f>
        <x:v>7</x:v>
      </x:c>
      <x:c r="Z57" s="21" t="str">
        <x:f>IF(AND(MIN(D57:F57)&gt;=0,MAX(D57:F57)&lt;=7,MAX(D57,1)+MAX(E57,1)+MAX(F57,1)&lt;=9,OR(H57="-",AND(H57=0,D57&gt;0),AND(H57=1,E57&gt;0),AND(H57=2,F57&gt;0)),OR(I57=0,AND(I57=1,OR(J57=0,J57=1,J57=2),R57&lt;&gt;"000")),Y57&lt;=9,MIN(T57:V57)&gt;=0),"合法","输入违约")</x:f>
        <x:v>合法</x:v>
      </x:c>
    </x:row>
    <x:row r="58" ht="23" customHeight="1">
      <x:c r="A58" s="3" t="str">
        <x:v>CT-0051</x:v>
      </x:c>
      <x:c r="B58" s="3" t="str">
        <x:v>ST-057</x:v>
      </x:c>
      <x:c r="C58" s="3" t="str">
        <x:v>R+AR同收同发</x:v>
      </x:c>
      <x:c r="D58" s="25" t="n">
        <x:v>0</x:v>
      </x:c>
      <x:c r="E58" s="25" t="n">
        <x:v>0</x:v>
      </x:c>
      <x:c r="F58" s="25" t="n">
        <x:v>6</x:v>
      </x:c>
      <x:c r="G58" s="19" t="n">
        <x:f>SUM(D58:F58)</x:f>
        <x:v>6</x:v>
      </x:c>
      <x:c r="H58" s="25" t="n">
        <x:v>2</x:v>
      </x:c>
      <x:c r="I58" s="25" t="n">
        <x:v>1</x:v>
      </x:c>
      <x:c r="J58" s="25" t="n">
        <x:v>1</x:v>
      </x:c>
      <x:c r="K58" s="19" t="n">
        <x:f>D58-IF(H58=0,1,0)</x:f>
        <x:v>0</x:v>
      </x:c>
      <x:c r="L58" s="19" t="n">
        <x:f>E58-IF(H58=1,1,0)</x:f>
        <x:v>0</x:v>
      </x:c>
      <x:c r="M58" s="19" t="n">
        <x:f>F58-IF(H58=2,1,0)</x:f>
        <x:v>5</x:v>
      </x:c>
      <x:c r="N58" s="19" t="n">
        <x:f>MAX(K58-1,0)+MAX(L58-1,0)+MAX(M58-1,0)</x:f>
        <x:v>4</x:v>
      </x:c>
      <x:c r="O58" s="19" t="n">
        <x:f>IF(AND(SUM(K58:M58)&lt;9,OR(M58=0,N58&lt;6)),1,0)</x:f>
        <x:v>1</x:v>
      </x:c>
      <x:c r="P58" s="19" t="n">
        <x:f>IF(AND(SUM(K58:M58)&lt;9,OR(L58=0,N58&lt;6)),1,0)</x:f>
        <x:v>1</x:v>
      </x:c>
      <x:c r="Q58" s="19" t="n">
        <x:f>IF(AND(SUM(K58:M58)&lt;9,OR(K58=0,N58&lt;6)),1,0)</x:f>
        <x:v>1</x:v>
      </x:c>
      <x:c r="R58" s="22" t="str">
        <x:f>O58&amp;P58&amp;Q58</x:f>
        <x:v>111</x:v>
      </x:c>
      <x:c r="S58" s="19" t="n">
        <x:f>IF(I58=1,IF(J58=0,Q58,IF(J58=1,P58,IF(J58=2,O58,0))),0)</x:f>
        <x:v>1</x:v>
      </x:c>
      <x:c r="T58" s="19" t="n">
        <x:f>K58+IF(AND(S58=1,J58=0),1,0)</x:f>
        <x:v>0</x:v>
      </x:c>
      <x:c r="U58" s="19" t="n">
        <x:f>L58+IF(AND(S58=1,J58=1),1,0)</x:f>
        <x:v>1</x:v>
      </x:c>
      <x:c r="V58" s="19" t="n">
        <x:f>M58+IF(AND(S58=1,J58=2),1,0)</x:f>
        <x:v>5</x:v>
      </x:c>
      <x:c r="W58" s="19" t="n">
        <x:f>SUM(T58:V58)</x:f>
        <x:v>6</x:v>
      </x:c>
      <x:c r="X58" s="19" t="n">
        <x:f>W58-G58</x:f>
        <x:v>0</x:v>
      </x:c>
      <x:c r="Y58" s="19" t="n">
        <x:f>MAX(T58,1)+MAX(U58,1)+MAX(V58,1)</x:f>
        <x:v>7</x:v>
      </x:c>
      <x:c r="Z58" s="21" t="str">
        <x:f>IF(AND(MIN(D58:F58)&gt;=0,MAX(D58:F58)&lt;=7,MAX(D58,1)+MAX(E58,1)+MAX(F58,1)&lt;=9,OR(H58="-",AND(H58=0,D58&gt;0),AND(H58=1,E58&gt;0),AND(H58=2,F58&gt;0)),OR(I58=0,AND(I58=1,OR(J58=0,J58=1,J58=2),R58&lt;&gt;"000")),Y58&lt;=9,MIN(T58:V58)&gt;=0),"合法","输入违约")</x:f>
        <x:v>合法</x:v>
      </x:c>
    </x:row>
    <x:row r="59" ht="23" customHeight="1">
      <x:c r="A59" s="3" t="str">
        <x:v>CT-0052</x:v>
      </x:c>
      <x:c r="B59" s="3" t="str">
        <x:v>ST-057</x:v>
      </x:c>
      <x:c r="C59" s="3" t="str">
        <x:v>R+AR同收同发</x:v>
      </x:c>
      <x:c r="D59" s="25" t="n">
        <x:v>0</x:v>
      </x:c>
      <x:c r="E59" s="25" t="n">
        <x:v>0</x:v>
      </x:c>
      <x:c r="F59" s="25" t="n">
        <x:v>6</x:v>
      </x:c>
      <x:c r="G59" s="19" t="n">
        <x:f>SUM(D59:F59)</x:f>
        <x:v>6</x:v>
      </x:c>
      <x:c r="H59" s="25" t="n">
        <x:v>2</x:v>
      </x:c>
      <x:c r="I59" s="25" t="n">
        <x:v>1</x:v>
      </x:c>
      <x:c r="J59" s="25" t="n">
        <x:v>2</x:v>
      </x:c>
      <x:c r="K59" s="19" t="n">
        <x:f>D59-IF(H59=0,1,0)</x:f>
        <x:v>0</x:v>
      </x:c>
      <x:c r="L59" s="19" t="n">
        <x:f>E59-IF(H59=1,1,0)</x:f>
        <x:v>0</x:v>
      </x:c>
      <x:c r="M59" s="19" t="n">
        <x:f>F59-IF(H59=2,1,0)</x:f>
        <x:v>5</x:v>
      </x:c>
      <x:c r="N59" s="19" t="n">
        <x:f>MAX(K59-1,0)+MAX(L59-1,0)+MAX(M59-1,0)</x:f>
        <x:v>4</x:v>
      </x:c>
      <x:c r="O59" s="19" t="n">
        <x:f>IF(AND(SUM(K59:M59)&lt;9,OR(M59=0,N59&lt;6)),1,0)</x:f>
        <x:v>1</x:v>
      </x:c>
      <x:c r="P59" s="19" t="n">
        <x:f>IF(AND(SUM(K59:M59)&lt;9,OR(L59=0,N59&lt;6)),1,0)</x:f>
        <x:v>1</x:v>
      </x:c>
      <x:c r="Q59" s="19" t="n">
        <x:f>IF(AND(SUM(K59:M59)&lt;9,OR(K59=0,N59&lt;6)),1,0)</x:f>
        <x:v>1</x:v>
      </x:c>
      <x:c r="R59" s="22" t="str">
        <x:f>O59&amp;P59&amp;Q59</x:f>
        <x:v>111</x:v>
      </x:c>
      <x:c r="S59" s="19" t="n">
        <x:f>IF(I59=1,IF(J59=0,Q59,IF(J59=1,P59,IF(J59=2,O59,0))),0)</x:f>
        <x:v>1</x:v>
      </x:c>
      <x:c r="T59" s="19" t="n">
        <x:f>K59+IF(AND(S59=1,J59=0),1,0)</x:f>
        <x:v>0</x:v>
      </x:c>
      <x:c r="U59" s="19" t="n">
        <x:f>L59+IF(AND(S59=1,J59=1),1,0)</x:f>
        <x:v>0</x:v>
      </x:c>
      <x:c r="V59" s="19" t="n">
        <x:f>M59+IF(AND(S59=1,J59=2),1,0)</x:f>
        <x:v>6</x:v>
      </x:c>
      <x:c r="W59" s="19" t="n">
        <x:f>SUM(T59:V59)</x:f>
        <x:v>6</x:v>
      </x:c>
      <x:c r="X59" s="19" t="n">
        <x:f>W59-G59</x:f>
        <x:v>0</x:v>
      </x:c>
      <x:c r="Y59" s="19" t="n">
        <x:f>MAX(T59,1)+MAX(U59,1)+MAX(V59,1)</x:f>
        <x:v>8</x:v>
      </x:c>
      <x:c r="Z59" s="21" t="str">
        <x:f>IF(AND(MIN(D59:F59)&gt;=0,MAX(D59:F59)&lt;=7,MAX(D59,1)+MAX(E59,1)+MAX(F59,1)&lt;=9,OR(H59="-",AND(H59=0,D59&gt;0),AND(H59=1,E59&gt;0),AND(H59=2,F59&gt;0)),OR(I59=0,AND(I59=1,OR(J59=0,J59=1,J59=2),R59&lt;&gt;"000")),Y59&lt;=9,MIN(T59:V59)&gt;=0),"合法","输入违约")</x:f>
        <x:v>合法</x:v>
      </x:c>
    </x:row>
    <x:row r="60" ht="23" customHeight="1">
      <x:c r="A60" s="3" t="str">
        <x:v>CT-0053</x:v>
      </x:c>
      <x:c r="B60" s="3" t="str">
        <x:v>ST-085</x:v>
      </x:c>
      <x:c r="C60" s="3" t="str">
        <x:v>无AR/R</x:v>
      </x:c>
      <x:c r="D60" s="25" t="n">
        <x:v>0</x:v>
      </x:c>
      <x:c r="E60" s="25" t="n">
        <x:v>0</x:v>
      </x:c>
      <x:c r="F60" s="25" t="n">
        <x:v>7</x:v>
      </x:c>
      <x:c r="G60" s="19" t="n">
        <x:f>SUM(D60:F60)</x:f>
        <x:v>7</x:v>
      </x:c>
      <x:c r="H60" s="25" t="str">
        <x:v>-</x:v>
      </x:c>
      <x:c r="I60" s="25" t="n">
        <x:v>0</x:v>
      </x:c>
      <x:c r="J60" s="25" t="str">
        <x:v>-</x:v>
      </x:c>
      <x:c r="K60" s="19" t="n">
        <x:f>D60-IF(H60=0,1,0)</x:f>
        <x:v>0</x:v>
      </x:c>
      <x:c r="L60" s="19" t="n">
        <x:f>E60-IF(H60=1,1,0)</x:f>
        <x:v>0</x:v>
      </x:c>
      <x:c r="M60" s="19" t="n">
        <x:f>F60-IF(H60=2,1,0)</x:f>
        <x:v>7</x:v>
      </x:c>
      <x:c r="N60" s="19" t="n">
        <x:f>MAX(K60-1,0)+MAX(L60-1,0)+MAX(M60-1,0)</x:f>
        <x:v>6</x:v>
      </x:c>
      <x:c r="O60" s="19" t="n">
        <x:f>IF(AND(SUM(K60:M60)&lt;9,OR(M60=0,N60&lt;6)),1,0)</x:f>
        <x:v>0</x:v>
      </x:c>
      <x:c r="P60" s="19" t="n">
        <x:f>IF(AND(SUM(K60:M60)&lt;9,OR(L60=0,N60&lt;6)),1,0)</x:f>
        <x:v>1</x:v>
      </x:c>
      <x:c r="Q60" s="19" t="n">
        <x:f>IF(AND(SUM(K60:M60)&lt;9,OR(K60=0,N60&lt;6)),1,0)</x:f>
        <x:v>1</x:v>
      </x:c>
      <x:c r="R60" s="22" t="str">
        <x:f>O60&amp;P60&amp;Q60</x:f>
        <x:v>011</x:v>
      </x:c>
      <x:c r="S60" s="19" t="n">
        <x:f>IF(I60=1,IF(J60=0,Q60,IF(J60=1,P60,IF(J60=2,O60,0))),0)</x:f>
        <x:v>0</x:v>
      </x:c>
      <x:c r="T60" s="19" t="n">
        <x:f>K60+IF(AND(S60=1,J60=0),1,0)</x:f>
        <x:v>0</x:v>
      </x:c>
      <x:c r="U60" s="19" t="n">
        <x:f>L60+IF(AND(S60=1,J60=1),1,0)</x:f>
        <x:v>0</x:v>
      </x:c>
      <x:c r="V60" s="19" t="n">
        <x:f>M60+IF(AND(S60=1,J60=2),1,0)</x:f>
        <x:v>7</x:v>
      </x:c>
      <x:c r="W60" s="19" t="n">
        <x:f>SUM(T60:V60)</x:f>
        <x:v>7</x:v>
      </x:c>
      <x:c r="X60" s="19" t="n">
        <x:f>W60-G60</x:f>
        <x:v>0</x:v>
      </x:c>
      <x:c r="Y60" s="19" t="n">
        <x:f>MAX(T60,1)+MAX(U60,1)+MAX(V60,1)</x:f>
        <x:v>9</x:v>
      </x:c>
      <x:c r="Z60" s="21" t="str">
        <x:f>IF(AND(MIN(D60:F60)&gt;=0,MAX(D60:F60)&lt;=7,MAX(D60,1)+MAX(E60,1)+MAX(F60,1)&lt;=9,OR(H60="-",AND(H60=0,D60&gt;0),AND(H60=1,E60&gt;0),AND(H60=2,F60&gt;0)),OR(I60=0,AND(I60=1,OR(J60=0,J60=1,J60=2),R60&lt;&gt;"000")),Y60&lt;=9,MIN(T60:V60)&gt;=0),"合法","输入违约")</x:f>
        <x:v>合法</x:v>
      </x:c>
    </x:row>
    <x:row r="61" ht="23" customHeight="1">
      <x:c r="A61" s="3" t="str">
        <x:v>CT-0054</x:v>
      </x:c>
      <x:c r="B61" s="3" t="str">
        <x:v>ST-085</x:v>
      </x:c>
      <x:c r="C61" s="3" t="str">
        <x:v>仅AR接收</x:v>
      </x:c>
      <x:c r="D61" s="25" t="n">
        <x:v>0</x:v>
      </x:c>
      <x:c r="E61" s="25" t="n">
        <x:v>0</x:v>
      </x:c>
      <x:c r="F61" s="25" t="n">
        <x:v>7</x:v>
      </x:c>
      <x:c r="G61" s="19" t="n">
        <x:f>SUM(D61:F61)</x:f>
        <x:v>7</x:v>
      </x:c>
      <x:c r="H61" s="25" t="str">
        <x:v>-</x:v>
      </x:c>
      <x:c r="I61" s="25" t="n">
        <x:v>1</x:v>
      </x:c>
      <x:c r="J61" s="25" t="n">
        <x:v>0</x:v>
      </x:c>
      <x:c r="K61" s="19" t="n">
        <x:f>D61-IF(H61=0,1,0)</x:f>
        <x:v>0</x:v>
      </x:c>
      <x:c r="L61" s="19" t="n">
        <x:f>E61-IF(H61=1,1,0)</x:f>
        <x:v>0</x:v>
      </x:c>
      <x:c r="M61" s="19" t="n">
        <x:f>F61-IF(H61=2,1,0)</x:f>
        <x:v>7</x:v>
      </x:c>
      <x:c r="N61" s="19" t="n">
        <x:f>MAX(K61-1,0)+MAX(L61-1,0)+MAX(M61-1,0)</x:f>
        <x:v>6</x:v>
      </x:c>
      <x:c r="O61" s="19" t="n">
        <x:f>IF(AND(SUM(K61:M61)&lt;9,OR(M61=0,N61&lt;6)),1,0)</x:f>
        <x:v>0</x:v>
      </x:c>
      <x:c r="P61" s="19" t="n">
        <x:f>IF(AND(SUM(K61:M61)&lt;9,OR(L61=0,N61&lt;6)),1,0)</x:f>
        <x:v>1</x:v>
      </x:c>
      <x:c r="Q61" s="19" t="n">
        <x:f>IF(AND(SUM(K61:M61)&lt;9,OR(K61=0,N61&lt;6)),1,0)</x:f>
        <x:v>1</x:v>
      </x:c>
      <x:c r="R61" s="22" t="str">
        <x:f>O61&amp;P61&amp;Q61</x:f>
        <x:v>011</x:v>
      </x:c>
      <x:c r="S61" s="19" t="n">
        <x:f>IF(I61=1,IF(J61=0,Q61,IF(J61=1,P61,IF(J61=2,O61,0))),0)</x:f>
        <x:v>1</x:v>
      </x:c>
      <x:c r="T61" s="19" t="n">
        <x:f>K61+IF(AND(S61=1,J61=0),1,0)</x:f>
        <x:v>1</x:v>
      </x:c>
      <x:c r="U61" s="19" t="n">
        <x:f>L61+IF(AND(S61=1,J61=1),1,0)</x:f>
        <x:v>0</x:v>
      </x:c>
      <x:c r="V61" s="19" t="n">
        <x:f>M61+IF(AND(S61=1,J61=2),1,0)</x:f>
        <x:v>7</x:v>
      </x:c>
      <x:c r="W61" s="19" t="n">
        <x:f>SUM(T61:V61)</x:f>
        <x:v>8</x:v>
      </x:c>
      <x:c r="X61" s="19" t="n">
        <x:f>W61-G61</x:f>
        <x:v>1</x:v>
      </x:c>
      <x:c r="Y61" s="19" t="n">
        <x:f>MAX(T61,1)+MAX(U61,1)+MAX(V61,1)</x:f>
        <x:v>9</x:v>
      </x:c>
      <x:c r="Z61" s="21" t="str">
        <x:f>IF(AND(MIN(D61:F61)&gt;=0,MAX(D61:F61)&lt;=7,MAX(D61,1)+MAX(E61,1)+MAX(F61,1)&lt;=9,OR(H61="-",AND(H61=0,D61&gt;0),AND(H61=1,E61&gt;0),AND(H61=2,F61&gt;0)),OR(I61=0,AND(I61=1,OR(J61=0,J61=1,J61=2),R61&lt;&gt;"000")),Y61&lt;=9,MIN(T61:V61)&gt;=0),"合法","输入违约")</x:f>
        <x:v>合法</x:v>
      </x:c>
    </x:row>
    <x:row r="62" ht="23" customHeight="1">
      <x:c r="A62" s="3" t="str">
        <x:v>CT-0055</x:v>
      </x:c>
      <x:c r="B62" s="3" t="str">
        <x:v>ST-085</x:v>
      </x:c>
      <x:c r="C62" s="3" t="str">
        <x:v>仅AR接收</x:v>
      </x:c>
      <x:c r="D62" s="25" t="n">
        <x:v>0</x:v>
      </x:c>
      <x:c r="E62" s="25" t="n">
        <x:v>0</x:v>
      </x:c>
      <x:c r="F62" s="25" t="n">
        <x:v>7</x:v>
      </x:c>
      <x:c r="G62" s="19" t="n">
        <x:f>SUM(D62:F62)</x:f>
        <x:v>7</x:v>
      </x:c>
      <x:c r="H62" s="25" t="str">
        <x:v>-</x:v>
      </x:c>
      <x:c r="I62" s="25" t="n">
        <x:v>1</x:v>
      </x:c>
      <x:c r="J62" s="25" t="n">
        <x:v>1</x:v>
      </x:c>
      <x:c r="K62" s="19" t="n">
        <x:f>D62-IF(H62=0,1,0)</x:f>
        <x:v>0</x:v>
      </x:c>
      <x:c r="L62" s="19" t="n">
        <x:f>E62-IF(H62=1,1,0)</x:f>
        <x:v>0</x:v>
      </x:c>
      <x:c r="M62" s="19" t="n">
        <x:f>F62-IF(H62=2,1,0)</x:f>
        <x:v>7</x:v>
      </x:c>
      <x:c r="N62" s="19" t="n">
        <x:f>MAX(K62-1,0)+MAX(L62-1,0)+MAX(M62-1,0)</x:f>
        <x:v>6</x:v>
      </x:c>
      <x:c r="O62" s="19" t="n">
        <x:f>IF(AND(SUM(K62:M62)&lt;9,OR(M62=0,N62&lt;6)),1,0)</x:f>
        <x:v>0</x:v>
      </x:c>
      <x:c r="P62" s="19" t="n">
        <x:f>IF(AND(SUM(K62:M62)&lt;9,OR(L62=0,N62&lt;6)),1,0)</x:f>
        <x:v>1</x:v>
      </x:c>
      <x:c r="Q62" s="19" t="n">
        <x:f>IF(AND(SUM(K62:M62)&lt;9,OR(K62=0,N62&lt;6)),1,0)</x:f>
        <x:v>1</x:v>
      </x:c>
      <x:c r="R62" s="22" t="str">
        <x:f>O62&amp;P62&amp;Q62</x:f>
        <x:v>011</x:v>
      </x:c>
      <x:c r="S62" s="19" t="n">
        <x:f>IF(I62=1,IF(J62=0,Q62,IF(J62=1,P62,IF(J62=2,O62,0))),0)</x:f>
        <x:v>1</x:v>
      </x:c>
      <x:c r="T62" s="19" t="n">
        <x:f>K62+IF(AND(S62=1,J62=0),1,0)</x:f>
        <x:v>0</x:v>
      </x:c>
      <x:c r="U62" s="19" t="n">
        <x:f>L62+IF(AND(S62=1,J62=1),1,0)</x:f>
        <x:v>1</x:v>
      </x:c>
      <x:c r="V62" s="19" t="n">
        <x:f>M62+IF(AND(S62=1,J62=2),1,0)</x:f>
        <x:v>7</x:v>
      </x:c>
      <x:c r="W62" s="19" t="n">
        <x:f>SUM(T62:V62)</x:f>
        <x:v>8</x:v>
      </x:c>
      <x:c r="X62" s="19" t="n">
        <x:f>W62-G62</x:f>
        <x:v>1</x:v>
      </x:c>
      <x:c r="Y62" s="19" t="n">
        <x:f>MAX(T62,1)+MAX(U62,1)+MAX(V62,1)</x:f>
        <x:v>9</x:v>
      </x:c>
      <x:c r="Z62" s="21" t="str">
        <x:f>IF(AND(MIN(D62:F62)&gt;=0,MAX(D62:F62)&lt;=7,MAX(D62,1)+MAX(E62,1)+MAX(F62,1)&lt;=9,OR(H62="-",AND(H62=0,D62&gt;0),AND(H62=1,E62&gt;0),AND(H62=2,F62&gt;0)),OR(I62=0,AND(I62=1,OR(J62=0,J62=1,J62=2),R62&lt;&gt;"000")),Y62&lt;=9,MIN(T62:V62)&gt;=0),"合法","输入违约")</x:f>
        <x:v>合法</x:v>
      </x:c>
    </x:row>
    <x:row r="63" ht="23" customHeight="1">
      <x:c r="A63" s="3" t="str">
        <x:v>CT-0056</x:v>
      </x:c>
      <x:c r="B63" s="3" t="str">
        <x:v>ST-085</x:v>
      </x:c>
      <x:c r="C63" s="3" t="str">
        <x:v>所选源被阻塞</x:v>
      </x:c>
      <x:c r="D63" s="25" t="n">
        <x:v>0</x:v>
      </x:c>
      <x:c r="E63" s="25" t="n">
        <x:v>0</x:v>
      </x:c>
      <x:c r="F63" s="25" t="n">
        <x:v>7</x:v>
      </x:c>
      <x:c r="G63" s="19" t="n">
        <x:f>SUM(D63:F63)</x:f>
        <x:v>7</x:v>
      </x:c>
      <x:c r="H63" s="25" t="str">
        <x:v>-</x:v>
      </x:c>
      <x:c r="I63" s="25" t="n">
        <x:v>1</x:v>
      </x:c>
      <x:c r="J63" s="25" t="n">
        <x:v>2</x:v>
      </x:c>
      <x:c r="K63" s="19" t="n">
        <x:f>D63-IF(H63=0,1,0)</x:f>
        <x:v>0</x:v>
      </x:c>
      <x:c r="L63" s="19" t="n">
        <x:f>E63-IF(H63=1,1,0)</x:f>
        <x:v>0</x:v>
      </x:c>
      <x:c r="M63" s="19" t="n">
        <x:f>F63-IF(H63=2,1,0)</x:f>
        <x:v>7</x:v>
      </x:c>
      <x:c r="N63" s="19" t="n">
        <x:f>MAX(K63-1,0)+MAX(L63-1,0)+MAX(M63-1,0)</x:f>
        <x:v>6</x:v>
      </x:c>
      <x:c r="O63" s="19" t="n">
        <x:f>IF(AND(SUM(K63:M63)&lt;9,OR(M63=0,N63&lt;6)),1,0)</x:f>
        <x:v>0</x:v>
      </x:c>
      <x:c r="P63" s="19" t="n">
        <x:f>IF(AND(SUM(K63:M63)&lt;9,OR(L63=0,N63&lt;6)),1,0)</x:f>
        <x:v>1</x:v>
      </x:c>
      <x:c r="Q63" s="19" t="n">
        <x:f>IF(AND(SUM(K63:M63)&lt;9,OR(K63=0,N63&lt;6)),1,0)</x:f>
        <x:v>1</x:v>
      </x:c>
      <x:c r="R63" s="22" t="str">
        <x:f>O63&amp;P63&amp;Q63</x:f>
        <x:v>011</x:v>
      </x:c>
      <x:c r="S63" s="19" t="n">
        <x:f>IF(I63=1,IF(J63=0,Q63,IF(J63=1,P63,IF(J63=2,O63,0))),0)</x:f>
        <x:v>0</x:v>
      </x:c>
      <x:c r="T63" s="19" t="n">
        <x:f>K63+IF(AND(S63=1,J63=0),1,0)</x:f>
        <x:v>0</x:v>
      </x:c>
      <x:c r="U63" s="19" t="n">
        <x:f>L63+IF(AND(S63=1,J63=1),1,0)</x:f>
        <x:v>0</x:v>
      </x:c>
      <x:c r="V63" s="19" t="n">
        <x:f>M63+IF(AND(S63=1,J63=2),1,0)</x:f>
        <x:v>7</x:v>
      </x:c>
      <x:c r="W63" s="19" t="n">
        <x:f>SUM(T63:V63)</x:f>
        <x:v>7</x:v>
      </x:c>
      <x:c r="X63" s="19" t="n">
        <x:f>W63-G63</x:f>
        <x:v>0</x:v>
      </x:c>
      <x:c r="Y63" s="19" t="n">
        <x:f>MAX(T63,1)+MAX(U63,1)+MAX(V63,1)</x:f>
        <x:v>9</x:v>
      </x:c>
      <x:c r="Z63" s="21" t="str">
        <x:f>IF(AND(MIN(D63:F63)&gt;=0,MAX(D63:F63)&lt;=7,MAX(D63,1)+MAX(E63,1)+MAX(F63,1)&lt;=9,OR(H63="-",AND(H63=0,D63&gt;0),AND(H63=1,E63&gt;0),AND(H63=2,F63&gt;0)),OR(I63=0,AND(I63=1,OR(J63=0,J63=1,J63=2),R63&lt;&gt;"000")),Y63&lt;=9,MIN(T63:V63)&gt;=0),"合法","输入违约")</x:f>
        <x:v>合法</x:v>
      </x:c>
    </x:row>
    <x:row r="64" ht="23" customHeight="1">
      <x:c r="A64" s="3" t="str">
        <x:v>CT-0057</x:v>
      </x:c>
      <x:c r="B64" s="3" t="str">
        <x:v>ST-085</x:v>
      </x:c>
      <x:c r="C64" s="3" t="str">
        <x:v>仅R回收</x:v>
      </x:c>
      <x:c r="D64" s="25" t="n">
        <x:v>0</x:v>
      </x:c>
      <x:c r="E64" s="25" t="n">
        <x:v>0</x:v>
      </x:c>
      <x:c r="F64" s="25" t="n">
        <x:v>7</x:v>
      </x:c>
      <x:c r="G64" s="19" t="n">
        <x:f>SUM(D64:F64)</x:f>
        <x:v>7</x:v>
      </x:c>
      <x:c r="H64" s="25" t="n">
        <x:v>2</x:v>
      </x:c>
      <x:c r="I64" s="25" t="n">
        <x:v>0</x:v>
      </x:c>
      <x:c r="J64" s="25" t="str">
        <x:v>-</x:v>
      </x:c>
      <x:c r="K64" s="19" t="n">
        <x:f>D64-IF(H64=0,1,0)</x:f>
        <x:v>0</x:v>
      </x:c>
      <x:c r="L64" s="19" t="n">
        <x:f>E64-IF(H64=1,1,0)</x:f>
        <x:v>0</x:v>
      </x:c>
      <x:c r="M64" s="19" t="n">
        <x:f>F64-IF(H64=2,1,0)</x:f>
        <x:v>6</x:v>
      </x:c>
      <x:c r="N64" s="19" t="n">
        <x:f>MAX(K64-1,0)+MAX(L64-1,0)+MAX(M64-1,0)</x:f>
        <x:v>5</x:v>
      </x:c>
      <x:c r="O64" s="19" t="n">
        <x:f>IF(AND(SUM(K64:M64)&lt;9,OR(M64=0,N64&lt;6)),1,0)</x:f>
        <x:v>1</x:v>
      </x:c>
      <x:c r="P64" s="19" t="n">
        <x:f>IF(AND(SUM(K64:M64)&lt;9,OR(L64=0,N64&lt;6)),1,0)</x:f>
        <x:v>1</x:v>
      </x:c>
      <x:c r="Q64" s="19" t="n">
        <x:f>IF(AND(SUM(K64:M64)&lt;9,OR(K64=0,N64&lt;6)),1,0)</x:f>
        <x:v>1</x:v>
      </x:c>
      <x:c r="R64" s="22" t="str">
        <x:f>O64&amp;P64&amp;Q64</x:f>
        <x:v>111</x:v>
      </x:c>
      <x:c r="S64" s="19" t="n">
        <x:f>IF(I64=1,IF(J64=0,Q64,IF(J64=1,P64,IF(J64=2,O64,0))),0)</x:f>
        <x:v>0</x:v>
      </x:c>
      <x:c r="T64" s="19" t="n">
        <x:f>K64+IF(AND(S64=1,J64=0),1,0)</x:f>
        <x:v>0</x:v>
      </x:c>
      <x:c r="U64" s="19" t="n">
        <x:f>L64+IF(AND(S64=1,J64=1),1,0)</x:f>
        <x:v>0</x:v>
      </x:c>
      <x:c r="V64" s="19" t="n">
        <x:f>M64+IF(AND(S64=1,J64=2),1,0)</x:f>
        <x:v>6</x:v>
      </x:c>
      <x:c r="W64" s="19" t="n">
        <x:f>SUM(T64:V64)</x:f>
        <x:v>6</x:v>
      </x:c>
      <x:c r="X64" s="19" t="n">
        <x:f>W64-G64</x:f>
        <x:v>-1</x:v>
      </x:c>
      <x:c r="Y64" s="19" t="n">
        <x:f>MAX(T64,1)+MAX(U64,1)+MAX(V64,1)</x:f>
        <x:v>8</x:v>
      </x:c>
      <x:c r="Z64" s="21" t="str">
        <x:f>IF(AND(MIN(D64:F64)&gt;=0,MAX(D64:F64)&lt;=7,MAX(D64,1)+MAX(E64,1)+MAX(F64,1)&lt;=9,OR(H64="-",AND(H64=0,D64&gt;0),AND(H64=1,E64&gt;0),AND(H64=2,F64&gt;0)),OR(I64=0,AND(I64=1,OR(J64=0,J64=1,J64=2),R64&lt;&gt;"000")),Y64&lt;=9,MIN(T64:V64)&gt;=0),"合法","输入违约")</x:f>
        <x:v>合法</x:v>
      </x:c>
    </x:row>
    <x:row r="65" ht="23" customHeight="1">
      <x:c r="A65" s="3" t="str">
        <x:v>CT-0058</x:v>
      </x:c>
      <x:c r="B65" s="3" t="str">
        <x:v>ST-085</x:v>
      </x:c>
      <x:c r="C65" s="3" t="str">
        <x:v>R+AR同收同发</x:v>
      </x:c>
      <x:c r="D65" s="25" t="n">
        <x:v>0</x:v>
      </x:c>
      <x:c r="E65" s="25" t="n">
        <x:v>0</x:v>
      </x:c>
      <x:c r="F65" s="25" t="n">
        <x:v>7</x:v>
      </x:c>
      <x:c r="G65" s="19" t="n">
        <x:f>SUM(D65:F65)</x:f>
        <x:v>7</x:v>
      </x:c>
      <x:c r="H65" s="25" t="n">
        <x:v>2</x:v>
      </x:c>
      <x:c r="I65" s="25" t="n">
        <x:v>1</x:v>
      </x:c>
      <x:c r="J65" s="25" t="n">
        <x:v>0</x:v>
      </x:c>
      <x:c r="K65" s="19" t="n">
        <x:f>D65-IF(H65=0,1,0)</x:f>
        <x:v>0</x:v>
      </x:c>
      <x:c r="L65" s="19" t="n">
        <x:f>E65-IF(H65=1,1,0)</x:f>
        <x:v>0</x:v>
      </x:c>
      <x:c r="M65" s="19" t="n">
        <x:f>F65-IF(H65=2,1,0)</x:f>
        <x:v>6</x:v>
      </x:c>
      <x:c r="N65" s="19" t="n">
        <x:f>MAX(K65-1,0)+MAX(L65-1,0)+MAX(M65-1,0)</x:f>
        <x:v>5</x:v>
      </x:c>
      <x:c r="O65" s="19" t="n">
        <x:f>IF(AND(SUM(K65:M65)&lt;9,OR(M65=0,N65&lt;6)),1,0)</x:f>
        <x:v>1</x:v>
      </x:c>
      <x:c r="P65" s="19" t="n">
        <x:f>IF(AND(SUM(K65:M65)&lt;9,OR(L65=0,N65&lt;6)),1,0)</x:f>
        <x:v>1</x:v>
      </x:c>
      <x:c r="Q65" s="19" t="n">
        <x:f>IF(AND(SUM(K65:M65)&lt;9,OR(K65=0,N65&lt;6)),1,0)</x:f>
        <x:v>1</x:v>
      </x:c>
      <x:c r="R65" s="22" t="str">
        <x:f>O65&amp;P65&amp;Q65</x:f>
        <x:v>111</x:v>
      </x:c>
      <x:c r="S65" s="19" t="n">
        <x:f>IF(I65=1,IF(J65=0,Q65,IF(J65=1,P65,IF(J65=2,O65,0))),0)</x:f>
        <x:v>1</x:v>
      </x:c>
      <x:c r="T65" s="19" t="n">
        <x:f>K65+IF(AND(S65=1,J65=0),1,0)</x:f>
        <x:v>1</x:v>
      </x:c>
      <x:c r="U65" s="19" t="n">
        <x:f>L65+IF(AND(S65=1,J65=1),1,0)</x:f>
        <x:v>0</x:v>
      </x:c>
      <x:c r="V65" s="19" t="n">
        <x:f>M65+IF(AND(S65=1,J65=2),1,0)</x:f>
        <x:v>6</x:v>
      </x:c>
      <x:c r="W65" s="19" t="n">
        <x:f>SUM(T65:V65)</x:f>
        <x:v>7</x:v>
      </x:c>
      <x:c r="X65" s="19" t="n">
        <x:f>W65-G65</x:f>
        <x:v>0</x:v>
      </x:c>
      <x:c r="Y65" s="19" t="n">
        <x:f>MAX(T65,1)+MAX(U65,1)+MAX(V65,1)</x:f>
        <x:v>8</x:v>
      </x:c>
      <x:c r="Z65" s="21" t="str">
        <x:f>IF(AND(MIN(D65:F65)&gt;=0,MAX(D65:F65)&lt;=7,MAX(D65,1)+MAX(E65,1)+MAX(F65,1)&lt;=9,OR(H65="-",AND(H65=0,D65&gt;0),AND(H65=1,E65&gt;0),AND(H65=2,F65&gt;0)),OR(I65=0,AND(I65=1,OR(J65=0,J65=1,J65=2),R65&lt;&gt;"000")),Y65&lt;=9,MIN(T65:V65)&gt;=0),"合法","输入违约")</x:f>
        <x:v>合法</x:v>
      </x:c>
    </x:row>
    <x:row r="66" ht="23" customHeight="1">
      <x:c r="A66" s="3" t="str">
        <x:v>CT-0059</x:v>
      </x:c>
      <x:c r="B66" s="3" t="str">
        <x:v>ST-085</x:v>
      </x:c>
      <x:c r="C66" s="3" t="str">
        <x:v>R+AR同收同发</x:v>
      </x:c>
      <x:c r="D66" s="25" t="n">
        <x:v>0</x:v>
      </x:c>
      <x:c r="E66" s="25" t="n">
        <x:v>0</x:v>
      </x:c>
      <x:c r="F66" s="25" t="n">
        <x:v>7</x:v>
      </x:c>
      <x:c r="G66" s="19" t="n">
        <x:f>SUM(D66:F66)</x:f>
        <x:v>7</x:v>
      </x:c>
      <x:c r="H66" s="25" t="n">
        <x:v>2</x:v>
      </x:c>
      <x:c r="I66" s="25" t="n">
        <x:v>1</x:v>
      </x:c>
      <x:c r="J66" s="25" t="n">
        <x:v>1</x:v>
      </x:c>
      <x:c r="K66" s="19" t="n">
        <x:f>D66-IF(H66=0,1,0)</x:f>
        <x:v>0</x:v>
      </x:c>
      <x:c r="L66" s="19" t="n">
        <x:f>E66-IF(H66=1,1,0)</x:f>
        <x:v>0</x:v>
      </x:c>
      <x:c r="M66" s="19" t="n">
        <x:f>F66-IF(H66=2,1,0)</x:f>
        <x:v>6</x:v>
      </x:c>
      <x:c r="N66" s="19" t="n">
        <x:f>MAX(K66-1,0)+MAX(L66-1,0)+MAX(M66-1,0)</x:f>
        <x:v>5</x:v>
      </x:c>
      <x:c r="O66" s="19" t="n">
        <x:f>IF(AND(SUM(K66:M66)&lt;9,OR(M66=0,N66&lt;6)),1,0)</x:f>
        <x:v>1</x:v>
      </x:c>
      <x:c r="P66" s="19" t="n">
        <x:f>IF(AND(SUM(K66:M66)&lt;9,OR(L66=0,N66&lt;6)),1,0)</x:f>
        <x:v>1</x:v>
      </x:c>
      <x:c r="Q66" s="19" t="n">
        <x:f>IF(AND(SUM(K66:M66)&lt;9,OR(K66=0,N66&lt;6)),1,0)</x:f>
        <x:v>1</x:v>
      </x:c>
      <x:c r="R66" s="22" t="str">
        <x:f>O66&amp;P66&amp;Q66</x:f>
        <x:v>111</x:v>
      </x:c>
      <x:c r="S66" s="19" t="n">
        <x:f>IF(I66=1,IF(J66=0,Q66,IF(J66=1,P66,IF(J66=2,O66,0))),0)</x:f>
        <x:v>1</x:v>
      </x:c>
      <x:c r="T66" s="19" t="n">
        <x:f>K66+IF(AND(S66=1,J66=0),1,0)</x:f>
        <x:v>0</x:v>
      </x:c>
      <x:c r="U66" s="19" t="n">
        <x:f>L66+IF(AND(S66=1,J66=1),1,0)</x:f>
        <x:v>1</x:v>
      </x:c>
      <x:c r="V66" s="19" t="n">
        <x:f>M66+IF(AND(S66=1,J66=2),1,0)</x:f>
        <x:v>6</x:v>
      </x:c>
      <x:c r="W66" s="19" t="n">
        <x:f>SUM(T66:V66)</x:f>
        <x:v>7</x:v>
      </x:c>
      <x:c r="X66" s="19" t="n">
        <x:f>W66-G66</x:f>
        <x:v>0</x:v>
      </x:c>
      <x:c r="Y66" s="19" t="n">
        <x:f>MAX(T66,1)+MAX(U66,1)+MAX(V66,1)</x:f>
        <x:v>8</x:v>
      </x:c>
      <x:c r="Z66" s="21" t="str">
        <x:f>IF(AND(MIN(D66:F66)&gt;=0,MAX(D66:F66)&lt;=7,MAX(D66,1)+MAX(E66,1)+MAX(F66,1)&lt;=9,OR(H66="-",AND(H66=0,D66&gt;0),AND(H66=1,E66&gt;0),AND(H66=2,F66&gt;0)),OR(I66=0,AND(I66=1,OR(J66=0,J66=1,J66=2),R66&lt;&gt;"000")),Y66&lt;=9,MIN(T66:V66)&gt;=0),"合法","输入违约")</x:f>
        <x:v>合法</x:v>
      </x:c>
    </x:row>
    <x:row r="67" ht="23" customHeight="1">
      <x:c r="A67" s="3" t="str">
        <x:v>CT-0060</x:v>
      </x:c>
      <x:c r="B67" s="3" t="str">
        <x:v>ST-085</x:v>
      </x:c>
      <x:c r="C67" s="3" t="str">
        <x:v>R+AR同收同发</x:v>
      </x:c>
      <x:c r="D67" s="25" t="n">
        <x:v>0</x:v>
      </x:c>
      <x:c r="E67" s="25" t="n">
        <x:v>0</x:v>
      </x:c>
      <x:c r="F67" s="25" t="n">
        <x:v>7</x:v>
      </x:c>
      <x:c r="G67" s="19" t="n">
        <x:f>SUM(D67:F67)</x:f>
        <x:v>7</x:v>
      </x:c>
      <x:c r="H67" s="25" t="n">
        <x:v>2</x:v>
      </x:c>
      <x:c r="I67" s="25" t="n">
        <x:v>1</x:v>
      </x:c>
      <x:c r="J67" s="25" t="n">
        <x:v>2</x:v>
      </x:c>
      <x:c r="K67" s="19" t="n">
        <x:f>D67-IF(H67=0,1,0)</x:f>
        <x:v>0</x:v>
      </x:c>
      <x:c r="L67" s="19" t="n">
        <x:f>E67-IF(H67=1,1,0)</x:f>
        <x:v>0</x:v>
      </x:c>
      <x:c r="M67" s="19" t="n">
        <x:f>F67-IF(H67=2,1,0)</x:f>
        <x:v>6</x:v>
      </x:c>
      <x:c r="N67" s="19" t="n">
        <x:f>MAX(K67-1,0)+MAX(L67-1,0)+MAX(M67-1,0)</x:f>
        <x:v>5</x:v>
      </x:c>
      <x:c r="O67" s="19" t="n">
        <x:f>IF(AND(SUM(K67:M67)&lt;9,OR(M67=0,N67&lt;6)),1,0)</x:f>
        <x:v>1</x:v>
      </x:c>
      <x:c r="P67" s="19" t="n">
        <x:f>IF(AND(SUM(K67:M67)&lt;9,OR(L67=0,N67&lt;6)),1,0)</x:f>
        <x:v>1</x:v>
      </x:c>
      <x:c r="Q67" s="19" t="n">
        <x:f>IF(AND(SUM(K67:M67)&lt;9,OR(K67=0,N67&lt;6)),1,0)</x:f>
        <x:v>1</x:v>
      </x:c>
      <x:c r="R67" s="22" t="str">
        <x:f>O67&amp;P67&amp;Q67</x:f>
        <x:v>111</x:v>
      </x:c>
      <x:c r="S67" s="19" t="n">
        <x:f>IF(I67=1,IF(J67=0,Q67,IF(J67=1,P67,IF(J67=2,O67,0))),0)</x:f>
        <x:v>1</x:v>
      </x:c>
      <x:c r="T67" s="19" t="n">
        <x:f>K67+IF(AND(S67=1,J67=0),1,0)</x:f>
        <x:v>0</x:v>
      </x:c>
      <x:c r="U67" s="19" t="n">
        <x:f>L67+IF(AND(S67=1,J67=1),1,0)</x:f>
        <x:v>0</x:v>
      </x:c>
      <x:c r="V67" s="19" t="n">
        <x:f>M67+IF(AND(S67=1,J67=2),1,0)</x:f>
        <x:v>7</x:v>
      </x:c>
      <x:c r="W67" s="19" t="n">
        <x:f>SUM(T67:V67)</x:f>
        <x:v>7</x:v>
      </x:c>
      <x:c r="X67" s="19" t="n">
        <x:f>W67-G67</x:f>
        <x:v>0</x:v>
      </x:c>
      <x:c r="Y67" s="19" t="n">
        <x:f>MAX(T67,1)+MAX(U67,1)+MAX(V67,1)</x:f>
        <x:v>9</x:v>
      </x:c>
      <x:c r="Z67" s="21" t="str">
        <x:f>IF(AND(MIN(D67:F67)&gt;=0,MAX(D67:F67)&lt;=7,MAX(D67,1)+MAX(E67,1)+MAX(F67,1)&lt;=9,OR(H67="-",AND(H67=0,D67&gt;0),AND(H67=1,E67&gt;0),AND(H67=2,F67&gt;0)),OR(I67=0,AND(I67=1,OR(J67=0,J67=1,J67=2),R67&lt;&gt;"000")),Y67&lt;=9,MIN(T67:V67)&gt;=0),"合法","输入违约")</x:f>
        <x:v>合法</x:v>
      </x:c>
    </x:row>
    <x:row r="68" ht="23" customHeight="1">
      <x:c r="A68" s="3" t="str">
        <x:v>CT-0061</x:v>
      </x:c>
      <x:c r="B68" s="3" t="str">
        <x:v>ST-003</x:v>
      </x:c>
      <x:c r="C68" s="3" t="str">
        <x:v>无AR/R</x:v>
      </x:c>
      <x:c r="D68" s="25" t="n">
        <x:v>0</x:v>
      </x:c>
      <x:c r="E68" s="25" t="n">
        <x:v>1</x:v>
      </x:c>
      <x:c r="F68" s="25" t="n">
        <x:v>0</x:v>
      </x:c>
      <x:c r="G68" s="19" t="n">
        <x:f>SUM(D68:F68)</x:f>
        <x:v>1</x:v>
      </x:c>
      <x:c r="H68" s="25" t="str">
        <x:v>-</x:v>
      </x:c>
      <x:c r="I68" s="25" t="n">
        <x:v>0</x:v>
      </x:c>
      <x:c r="J68" s="25" t="str">
        <x:v>-</x:v>
      </x:c>
      <x:c r="K68" s="19" t="n">
        <x:f>D68-IF(H68=0,1,0)</x:f>
        <x:v>0</x:v>
      </x:c>
      <x:c r="L68" s="19" t="n">
        <x:f>E68-IF(H68=1,1,0)</x:f>
        <x:v>1</x:v>
      </x:c>
      <x:c r="M68" s="19" t="n">
        <x:f>F68-IF(H68=2,1,0)</x:f>
        <x:v>0</x:v>
      </x:c>
      <x:c r="N68" s="19" t="n">
        <x:f>MAX(K68-1,0)+MAX(L68-1,0)+MAX(M68-1,0)</x:f>
        <x:v>0</x:v>
      </x:c>
      <x:c r="O68" s="19" t="n">
        <x:f>IF(AND(SUM(K68:M68)&lt;9,OR(M68=0,N68&lt;6)),1,0)</x:f>
        <x:v>1</x:v>
      </x:c>
      <x:c r="P68" s="19" t="n">
        <x:f>IF(AND(SUM(K68:M68)&lt;9,OR(L68=0,N68&lt;6)),1,0)</x:f>
        <x:v>1</x:v>
      </x:c>
      <x:c r="Q68" s="19" t="n">
        <x:f>IF(AND(SUM(K68:M68)&lt;9,OR(K68=0,N68&lt;6)),1,0)</x:f>
        <x:v>1</x:v>
      </x:c>
      <x:c r="R68" s="22" t="str">
        <x:f>O68&amp;P68&amp;Q68</x:f>
        <x:v>111</x:v>
      </x:c>
      <x:c r="S68" s="19" t="n">
        <x:f>IF(I68=1,IF(J68=0,Q68,IF(J68=1,P68,IF(J68=2,O68,0))),0)</x:f>
        <x:v>0</x:v>
      </x:c>
      <x:c r="T68" s="19" t="n">
        <x:f>K68+IF(AND(S68=1,J68=0),1,0)</x:f>
        <x:v>0</x:v>
      </x:c>
      <x:c r="U68" s="19" t="n">
        <x:f>L68+IF(AND(S68=1,J68=1),1,0)</x:f>
        <x:v>1</x:v>
      </x:c>
      <x:c r="V68" s="19" t="n">
        <x:f>M68+IF(AND(S68=1,J68=2),1,0)</x:f>
        <x:v>0</x:v>
      </x:c>
      <x:c r="W68" s="19" t="n">
        <x:f>SUM(T68:V68)</x:f>
        <x:v>1</x:v>
      </x:c>
      <x:c r="X68" s="19" t="n">
        <x:f>W68-G68</x:f>
        <x:v>0</x:v>
      </x:c>
      <x:c r="Y68" s="19" t="n">
        <x:f>MAX(T68,1)+MAX(U68,1)+MAX(V68,1)</x:f>
        <x:v>3</x:v>
      </x:c>
      <x:c r="Z68" s="21" t="str">
        <x:f>IF(AND(MIN(D68:F68)&gt;=0,MAX(D68:F68)&lt;=7,MAX(D68,1)+MAX(E68,1)+MAX(F68,1)&lt;=9,OR(H68="-",AND(H68=0,D68&gt;0),AND(H68=1,E68&gt;0),AND(H68=2,F68&gt;0)),OR(I68=0,AND(I68=1,OR(J68=0,J68=1,J68=2),R68&lt;&gt;"000")),Y68&lt;=9,MIN(T68:V68)&gt;=0),"合法","输入违约")</x:f>
        <x:v>合法</x:v>
      </x:c>
    </x:row>
    <x:row r="69" ht="23" customHeight="1">
      <x:c r="A69" s="3" t="str">
        <x:v>CT-0062</x:v>
      </x:c>
      <x:c r="B69" s="3" t="str">
        <x:v>ST-003</x:v>
      </x:c>
      <x:c r="C69" s="3" t="str">
        <x:v>仅AR接收</x:v>
      </x:c>
      <x:c r="D69" s="25" t="n">
        <x:v>0</x:v>
      </x:c>
      <x:c r="E69" s="25" t="n">
        <x:v>1</x:v>
      </x:c>
      <x:c r="F69" s="25" t="n">
        <x:v>0</x:v>
      </x:c>
      <x:c r="G69" s="19" t="n">
        <x:f>SUM(D69:F69)</x:f>
        <x:v>1</x:v>
      </x:c>
      <x:c r="H69" s="25" t="str">
        <x:v>-</x:v>
      </x:c>
      <x:c r="I69" s="25" t="n">
        <x:v>1</x:v>
      </x:c>
      <x:c r="J69" s="25" t="n">
        <x:v>0</x:v>
      </x:c>
      <x:c r="K69" s="19" t="n">
        <x:f>D69-IF(H69=0,1,0)</x:f>
        <x:v>0</x:v>
      </x:c>
      <x:c r="L69" s="19" t="n">
        <x:f>E69-IF(H69=1,1,0)</x:f>
        <x:v>1</x:v>
      </x:c>
      <x:c r="M69" s="19" t="n">
        <x:f>F69-IF(H69=2,1,0)</x:f>
        <x:v>0</x:v>
      </x:c>
      <x:c r="N69" s="19" t="n">
        <x:f>MAX(K69-1,0)+MAX(L69-1,0)+MAX(M69-1,0)</x:f>
        <x:v>0</x:v>
      </x:c>
      <x:c r="O69" s="19" t="n">
        <x:f>IF(AND(SUM(K69:M69)&lt;9,OR(M69=0,N69&lt;6)),1,0)</x:f>
        <x:v>1</x:v>
      </x:c>
      <x:c r="P69" s="19" t="n">
        <x:f>IF(AND(SUM(K69:M69)&lt;9,OR(L69=0,N69&lt;6)),1,0)</x:f>
        <x:v>1</x:v>
      </x:c>
      <x:c r="Q69" s="19" t="n">
        <x:f>IF(AND(SUM(K69:M69)&lt;9,OR(K69=0,N69&lt;6)),1,0)</x:f>
        <x:v>1</x:v>
      </x:c>
      <x:c r="R69" s="22" t="str">
        <x:f>O69&amp;P69&amp;Q69</x:f>
        <x:v>111</x:v>
      </x:c>
      <x:c r="S69" s="19" t="n">
        <x:f>IF(I69=1,IF(J69=0,Q69,IF(J69=1,P69,IF(J69=2,O69,0))),0)</x:f>
        <x:v>1</x:v>
      </x:c>
      <x:c r="T69" s="19" t="n">
        <x:f>K69+IF(AND(S69=1,J69=0),1,0)</x:f>
        <x:v>1</x:v>
      </x:c>
      <x:c r="U69" s="19" t="n">
        <x:f>L69+IF(AND(S69=1,J69=1),1,0)</x:f>
        <x:v>1</x:v>
      </x:c>
      <x:c r="V69" s="19" t="n">
        <x:f>M69+IF(AND(S69=1,J69=2),1,0)</x:f>
        <x:v>0</x:v>
      </x:c>
      <x:c r="W69" s="19" t="n">
        <x:f>SUM(T69:V69)</x:f>
        <x:v>2</x:v>
      </x:c>
      <x:c r="X69" s="19" t="n">
        <x:f>W69-G69</x:f>
        <x:v>1</x:v>
      </x:c>
      <x:c r="Y69" s="19" t="n">
        <x:f>MAX(T69,1)+MAX(U69,1)+MAX(V69,1)</x:f>
        <x:v>3</x:v>
      </x:c>
      <x:c r="Z69" s="21" t="str">
        <x:f>IF(AND(MIN(D69:F69)&gt;=0,MAX(D69:F69)&lt;=7,MAX(D69,1)+MAX(E69,1)+MAX(F69,1)&lt;=9,OR(H69="-",AND(H69=0,D69&gt;0),AND(H69=1,E69&gt;0),AND(H69=2,F69&gt;0)),OR(I69=0,AND(I69=1,OR(J69=0,J69=1,J69=2),R69&lt;&gt;"000")),Y69&lt;=9,MIN(T69:V69)&gt;=0),"合法","输入违约")</x:f>
        <x:v>合法</x:v>
      </x:c>
    </x:row>
    <x:row r="70" ht="23" customHeight="1">
      <x:c r="A70" s="3" t="str">
        <x:v>CT-0063</x:v>
      </x:c>
      <x:c r="B70" s="3" t="str">
        <x:v>ST-003</x:v>
      </x:c>
      <x:c r="C70" s="3" t="str">
        <x:v>仅AR接收</x:v>
      </x:c>
      <x:c r="D70" s="25" t="n">
        <x:v>0</x:v>
      </x:c>
      <x:c r="E70" s="25" t="n">
        <x:v>1</x:v>
      </x:c>
      <x:c r="F70" s="25" t="n">
        <x:v>0</x:v>
      </x:c>
      <x:c r="G70" s="19" t="n">
        <x:f>SUM(D70:F70)</x:f>
        <x:v>1</x:v>
      </x:c>
      <x:c r="H70" s="25" t="str">
        <x:v>-</x:v>
      </x:c>
      <x:c r="I70" s="25" t="n">
        <x:v>1</x:v>
      </x:c>
      <x:c r="J70" s="25" t="n">
        <x:v>1</x:v>
      </x:c>
      <x:c r="K70" s="19" t="n">
        <x:f>D70-IF(H70=0,1,0)</x:f>
        <x:v>0</x:v>
      </x:c>
      <x:c r="L70" s="19" t="n">
        <x:f>E70-IF(H70=1,1,0)</x:f>
        <x:v>1</x:v>
      </x:c>
      <x:c r="M70" s="19" t="n">
        <x:f>F70-IF(H70=2,1,0)</x:f>
        <x:v>0</x:v>
      </x:c>
      <x:c r="N70" s="19" t="n">
        <x:f>MAX(K70-1,0)+MAX(L70-1,0)+MAX(M70-1,0)</x:f>
        <x:v>0</x:v>
      </x:c>
      <x:c r="O70" s="19" t="n">
        <x:f>IF(AND(SUM(K70:M70)&lt;9,OR(M70=0,N70&lt;6)),1,0)</x:f>
        <x:v>1</x:v>
      </x:c>
      <x:c r="P70" s="19" t="n">
        <x:f>IF(AND(SUM(K70:M70)&lt;9,OR(L70=0,N70&lt;6)),1,0)</x:f>
        <x:v>1</x:v>
      </x:c>
      <x:c r="Q70" s="19" t="n">
        <x:f>IF(AND(SUM(K70:M70)&lt;9,OR(K70=0,N70&lt;6)),1,0)</x:f>
        <x:v>1</x:v>
      </x:c>
      <x:c r="R70" s="22" t="str">
        <x:f>O70&amp;P70&amp;Q70</x:f>
        <x:v>111</x:v>
      </x:c>
      <x:c r="S70" s="19" t="n">
        <x:f>IF(I70=1,IF(J70=0,Q70,IF(J70=1,P70,IF(J70=2,O70,0))),0)</x:f>
        <x:v>1</x:v>
      </x:c>
      <x:c r="T70" s="19" t="n">
        <x:f>K70+IF(AND(S70=1,J70=0),1,0)</x:f>
        <x:v>0</x:v>
      </x:c>
      <x:c r="U70" s="19" t="n">
        <x:f>L70+IF(AND(S70=1,J70=1),1,0)</x:f>
        <x:v>2</x:v>
      </x:c>
      <x:c r="V70" s="19" t="n">
        <x:f>M70+IF(AND(S70=1,J70=2),1,0)</x:f>
        <x:v>0</x:v>
      </x:c>
      <x:c r="W70" s="19" t="n">
        <x:f>SUM(T70:V70)</x:f>
        <x:v>2</x:v>
      </x:c>
      <x:c r="X70" s="19" t="n">
        <x:f>W70-G70</x:f>
        <x:v>1</x:v>
      </x:c>
      <x:c r="Y70" s="19" t="n">
        <x:f>MAX(T70,1)+MAX(U70,1)+MAX(V70,1)</x:f>
        <x:v>4</x:v>
      </x:c>
      <x:c r="Z70" s="21" t="str">
        <x:f>IF(AND(MIN(D70:F70)&gt;=0,MAX(D70:F70)&lt;=7,MAX(D70,1)+MAX(E70,1)+MAX(F70,1)&lt;=9,OR(H70="-",AND(H70=0,D70&gt;0),AND(H70=1,E70&gt;0),AND(H70=2,F70&gt;0)),OR(I70=0,AND(I70=1,OR(J70=0,J70=1,J70=2),R70&lt;&gt;"000")),Y70&lt;=9,MIN(T70:V70)&gt;=0),"合法","输入违约")</x:f>
        <x:v>合法</x:v>
      </x:c>
    </x:row>
    <x:row r="71" ht="23" customHeight="1">
      <x:c r="A71" s="3" t="str">
        <x:v>CT-0064</x:v>
      </x:c>
      <x:c r="B71" s="3" t="str">
        <x:v>ST-003</x:v>
      </x:c>
      <x:c r="C71" s="3" t="str">
        <x:v>仅AR接收</x:v>
      </x:c>
      <x:c r="D71" s="25" t="n">
        <x:v>0</x:v>
      </x:c>
      <x:c r="E71" s="25" t="n">
        <x:v>1</x:v>
      </x:c>
      <x:c r="F71" s="25" t="n">
        <x:v>0</x:v>
      </x:c>
      <x:c r="G71" s="19" t="n">
        <x:f>SUM(D71:F71)</x:f>
        <x:v>1</x:v>
      </x:c>
      <x:c r="H71" s="25" t="str">
        <x:v>-</x:v>
      </x:c>
      <x:c r="I71" s="25" t="n">
        <x:v>1</x:v>
      </x:c>
      <x:c r="J71" s="25" t="n">
        <x:v>2</x:v>
      </x:c>
      <x:c r="K71" s="19" t="n">
        <x:f>D71-IF(H71=0,1,0)</x:f>
        <x:v>0</x:v>
      </x:c>
      <x:c r="L71" s="19" t="n">
        <x:f>E71-IF(H71=1,1,0)</x:f>
        <x:v>1</x:v>
      </x:c>
      <x:c r="M71" s="19" t="n">
        <x:f>F71-IF(H71=2,1,0)</x:f>
        <x:v>0</x:v>
      </x:c>
      <x:c r="N71" s="19" t="n">
        <x:f>MAX(K71-1,0)+MAX(L71-1,0)+MAX(M71-1,0)</x:f>
        <x:v>0</x:v>
      </x:c>
      <x:c r="O71" s="19" t="n">
        <x:f>IF(AND(SUM(K71:M71)&lt;9,OR(M71=0,N71&lt;6)),1,0)</x:f>
        <x:v>1</x:v>
      </x:c>
      <x:c r="P71" s="19" t="n">
        <x:f>IF(AND(SUM(K71:M71)&lt;9,OR(L71=0,N71&lt;6)),1,0)</x:f>
        <x:v>1</x:v>
      </x:c>
      <x:c r="Q71" s="19" t="n">
        <x:f>IF(AND(SUM(K71:M71)&lt;9,OR(K71=0,N71&lt;6)),1,0)</x:f>
        <x:v>1</x:v>
      </x:c>
      <x:c r="R71" s="22" t="str">
        <x:f>O71&amp;P71&amp;Q71</x:f>
        <x:v>111</x:v>
      </x:c>
      <x:c r="S71" s="19" t="n">
        <x:f>IF(I71=1,IF(J71=0,Q71,IF(J71=1,P71,IF(J71=2,O71,0))),0)</x:f>
        <x:v>1</x:v>
      </x:c>
      <x:c r="T71" s="19" t="n">
        <x:f>K71+IF(AND(S71=1,J71=0),1,0)</x:f>
        <x:v>0</x:v>
      </x:c>
      <x:c r="U71" s="19" t="n">
        <x:f>L71+IF(AND(S71=1,J71=1),1,0)</x:f>
        <x:v>1</x:v>
      </x:c>
      <x:c r="V71" s="19" t="n">
        <x:f>M71+IF(AND(S71=1,J71=2),1,0)</x:f>
        <x:v>1</x:v>
      </x:c>
      <x:c r="W71" s="19" t="n">
        <x:f>SUM(T71:V71)</x:f>
        <x:v>2</x:v>
      </x:c>
      <x:c r="X71" s="19" t="n">
        <x:f>W71-G71</x:f>
        <x:v>1</x:v>
      </x:c>
      <x:c r="Y71" s="19" t="n">
        <x:f>MAX(T71,1)+MAX(U71,1)+MAX(V71,1)</x:f>
        <x:v>3</x:v>
      </x:c>
      <x:c r="Z71" s="21" t="str">
        <x:f>IF(AND(MIN(D71:F71)&gt;=0,MAX(D71:F71)&lt;=7,MAX(D71,1)+MAX(E71,1)+MAX(F71,1)&lt;=9,OR(H71="-",AND(H71=0,D71&gt;0),AND(H71=1,E71&gt;0),AND(H71=2,F71&gt;0)),OR(I71=0,AND(I71=1,OR(J71=0,J71=1,J71=2),R71&lt;&gt;"000")),Y71&lt;=9,MIN(T71:V71)&gt;=0),"合法","输入违约")</x:f>
        <x:v>合法</x:v>
      </x:c>
    </x:row>
    <x:row r="72" ht="23" customHeight="1">
      <x:c r="A72" s="3" t="str">
        <x:v>CT-0065</x:v>
      </x:c>
      <x:c r="B72" s="3" t="str">
        <x:v>ST-003</x:v>
      </x:c>
      <x:c r="C72" s="3" t="str">
        <x:v>仅R回收</x:v>
      </x:c>
      <x:c r="D72" s="25" t="n">
        <x:v>0</x:v>
      </x:c>
      <x:c r="E72" s="25" t="n">
        <x:v>1</x:v>
      </x:c>
      <x:c r="F72" s="25" t="n">
        <x:v>0</x:v>
      </x:c>
      <x:c r="G72" s="19" t="n">
        <x:f>SUM(D72:F72)</x:f>
        <x:v>1</x:v>
      </x:c>
      <x:c r="H72" s="25" t="n">
        <x:v>1</x:v>
      </x:c>
      <x:c r="I72" s="25" t="n">
        <x:v>0</x:v>
      </x:c>
      <x:c r="J72" s="25" t="str">
        <x:v>-</x:v>
      </x:c>
      <x:c r="K72" s="19" t="n">
        <x:f>D72-IF(H72=0,1,0)</x:f>
        <x:v>0</x:v>
      </x:c>
      <x:c r="L72" s="19" t="n">
        <x:f>E72-IF(H72=1,1,0)</x:f>
        <x:v>0</x:v>
      </x:c>
      <x:c r="M72" s="19" t="n">
        <x:f>F72-IF(H72=2,1,0)</x:f>
        <x:v>0</x:v>
      </x:c>
      <x:c r="N72" s="19" t="n">
        <x:f>MAX(K72-1,0)+MAX(L72-1,0)+MAX(M72-1,0)</x:f>
        <x:v>0</x:v>
      </x:c>
      <x:c r="O72" s="19" t="n">
        <x:f>IF(AND(SUM(K72:M72)&lt;9,OR(M72=0,N72&lt;6)),1,0)</x:f>
        <x:v>1</x:v>
      </x:c>
      <x:c r="P72" s="19" t="n">
        <x:f>IF(AND(SUM(K72:M72)&lt;9,OR(L72=0,N72&lt;6)),1,0)</x:f>
        <x:v>1</x:v>
      </x:c>
      <x:c r="Q72" s="19" t="n">
        <x:f>IF(AND(SUM(K72:M72)&lt;9,OR(K72=0,N72&lt;6)),1,0)</x:f>
        <x:v>1</x:v>
      </x:c>
      <x:c r="R72" s="22" t="str">
        <x:f>O72&amp;P72&amp;Q72</x:f>
        <x:v>111</x:v>
      </x:c>
      <x:c r="S72" s="19" t="n">
        <x:f>IF(I72=1,IF(J72=0,Q72,IF(J72=1,P72,IF(J72=2,O72,0))),0)</x:f>
        <x:v>0</x:v>
      </x:c>
      <x:c r="T72" s="19" t="n">
        <x:f>K72+IF(AND(S72=1,J72=0),1,0)</x:f>
        <x:v>0</x:v>
      </x:c>
      <x:c r="U72" s="19" t="n">
        <x:f>L72+IF(AND(S72=1,J72=1),1,0)</x:f>
        <x:v>0</x:v>
      </x:c>
      <x:c r="V72" s="19" t="n">
        <x:f>M72+IF(AND(S72=1,J72=2),1,0)</x:f>
        <x:v>0</x:v>
      </x:c>
      <x:c r="W72" s="19" t="n">
        <x:f>SUM(T72:V72)</x:f>
        <x:v>0</x:v>
      </x:c>
      <x:c r="X72" s="19" t="n">
        <x:f>W72-G72</x:f>
        <x:v>-1</x:v>
      </x:c>
      <x:c r="Y72" s="19" t="n">
        <x:f>MAX(T72,1)+MAX(U72,1)+MAX(V72,1)</x:f>
        <x:v>3</x:v>
      </x:c>
      <x:c r="Z72" s="21" t="str">
        <x:f>IF(AND(MIN(D72:F72)&gt;=0,MAX(D72:F72)&lt;=7,MAX(D72,1)+MAX(E72,1)+MAX(F72,1)&lt;=9,OR(H72="-",AND(H72=0,D72&gt;0),AND(H72=1,E72&gt;0),AND(H72=2,F72&gt;0)),OR(I72=0,AND(I72=1,OR(J72=0,J72=1,J72=2),R72&lt;&gt;"000")),Y72&lt;=9,MIN(T72:V72)&gt;=0),"合法","输入违约")</x:f>
        <x:v>合法</x:v>
      </x:c>
    </x:row>
    <x:row r="73" ht="23" customHeight="1">
      <x:c r="A73" s="3" t="str">
        <x:v>CT-0066</x:v>
      </x:c>
      <x:c r="B73" s="3" t="str">
        <x:v>ST-003</x:v>
      </x:c>
      <x:c r="C73" s="3" t="str">
        <x:v>R+AR同收同发</x:v>
      </x:c>
      <x:c r="D73" s="25" t="n">
        <x:v>0</x:v>
      </x:c>
      <x:c r="E73" s="25" t="n">
        <x:v>1</x:v>
      </x:c>
      <x:c r="F73" s="25" t="n">
        <x:v>0</x:v>
      </x:c>
      <x:c r="G73" s="19" t="n">
        <x:f>SUM(D73:F73)</x:f>
        <x:v>1</x:v>
      </x:c>
      <x:c r="H73" s="25" t="n">
        <x:v>1</x:v>
      </x:c>
      <x:c r="I73" s="25" t="n">
        <x:v>1</x:v>
      </x:c>
      <x:c r="J73" s="25" t="n">
        <x:v>0</x:v>
      </x:c>
      <x:c r="K73" s="19" t="n">
        <x:f>D73-IF(H73=0,1,0)</x:f>
        <x:v>0</x:v>
      </x:c>
      <x:c r="L73" s="19" t="n">
        <x:f>E73-IF(H73=1,1,0)</x:f>
        <x:v>0</x:v>
      </x:c>
      <x:c r="M73" s="19" t="n">
        <x:f>F73-IF(H73=2,1,0)</x:f>
        <x:v>0</x:v>
      </x:c>
      <x:c r="N73" s="19" t="n">
        <x:f>MAX(K73-1,0)+MAX(L73-1,0)+MAX(M73-1,0)</x:f>
        <x:v>0</x:v>
      </x:c>
      <x:c r="O73" s="19" t="n">
        <x:f>IF(AND(SUM(K73:M73)&lt;9,OR(M73=0,N73&lt;6)),1,0)</x:f>
        <x:v>1</x:v>
      </x:c>
      <x:c r="P73" s="19" t="n">
        <x:f>IF(AND(SUM(K73:M73)&lt;9,OR(L73=0,N73&lt;6)),1,0)</x:f>
        <x:v>1</x:v>
      </x:c>
      <x:c r="Q73" s="19" t="n">
        <x:f>IF(AND(SUM(K73:M73)&lt;9,OR(K73=0,N73&lt;6)),1,0)</x:f>
        <x:v>1</x:v>
      </x:c>
      <x:c r="R73" s="22" t="str">
        <x:f>O73&amp;P73&amp;Q73</x:f>
        <x:v>111</x:v>
      </x:c>
      <x:c r="S73" s="19" t="n">
        <x:f>IF(I73=1,IF(J73=0,Q73,IF(J73=1,P73,IF(J73=2,O73,0))),0)</x:f>
        <x:v>1</x:v>
      </x:c>
      <x:c r="T73" s="19" t="n">
        <x:f>K73+IF(AND(S73=1,J73=0),1,0)</x:f>
        <x:v>1</x:v>
      </x:c>
      <x:c r="U73" s="19" t="n">
        <x:f>L73+IF(AND(S73=1,J73=1),1,0)</x:f>
        <x:v>0</x:v>
      </x:c>
      <x:c r="V73" s="19" t="n">
        <x:f>M73+IF(AND(S73=1,J73=2),1,0)</x:f>
        <x:v>0</x:v>
      </x:c>
      <x:c r="W73" s="19" t="n">
        <x:f>SUM(T73:V73)</x:f>
        <x:v>1</x:v>
      </x:c>
      <x:c r="X73" s="19" t="n">
        <x:f>W73-G73</x:f>
        <x:v>0</x:v>
      </x:c>
      <x:c r="Y73" s="19" t="n">
        <x:f>MAX(T73,1)+MAX(U73,1)+MAX(V73,1)</x:f>
        <x:v>3</x:v>
      </x:c>
      <x:c r="Z73" s="21" t="str">
        <x:f>IF(AND(MIN(D73:F73)&gt;=0,MAX(D73:F73)&lt;=7,MAX(D73,1)+MAX(E73,1)+MAX(F73,1)&lt;=9,OR(H73="-",AND(H73=0,D73&gt;0),AND(H73=1,E73&gt;0),AND(H73=2,F73&gt;0)),OR(I73=0,AND(I73=1,OR(J73=0,J73=1,J73=2),R73&lt;&gt;"000")),Y73&lt;=9,MIN(T73:V73)&gt;=0),"合法","输入违约")</x:f>
        <x:v>合法</x:v>
      </x:c>
    </x:row>
    <x:row r="74" ht="23" customHeight="1">
      <x:c r="A74" s="3" t="str">
        <x:v>CT-0067</x:v>
      </x:c>
      <x:c r="B74" s="3" t="str">
        <x:v>ST-003</x:v>
      </x:c>
      <x:c r="C74" s="3" t="str">
        <x:v>R+AR同收同发</x:v>
      </x:c>
      <x:c r="D74" s="25" t="n">
        <x:v>0</x:v>
      </x:c>
      <x:c r="E74" s="25" t="n">
        <x:v>1</x:v>
      </x:c>
      <x:c r="F74" s="25" t="n">
        <x:v>0</x:v>
      </x:c>
      <x:c r="G74" s="19" t="n">
        <x:f>SUM(D74:F74)</x:f>
        <x:v>1</x:v>
      </x:c>
      <x:c r="H74" s="25" t="n">
        <x:v>1</x:v>
      </x:c>
      <x:c r="I74" s="25" t="n">
        <x:v>1</x:v>
      </x:c>
      <x:c r="J74" s="25" t="n">
        <x:v>1</x:v>
      </x:c>
      <x:c r="K74" s="19" t="n">
        <x:f>D74-IF(H74=0,1,0)</x:f>
        <x:v>0</x:v>
      </x:c>
      <x:c r="L74" s="19" t="n">
        <x:f>E74-IF(H74=1,1,0)</x:f>
        <x:v>0</x:v>
      </x:c>
      <x:c r="M74" s="19" t="n">
        <x:f>F74-IF(H74=2,1,0)</x:f>
        <x:v>0</x:v>
      </x:c>
      <x:c r="N74" s="19" t="n">
        <x:f>MAX(K74-1,0)+MAX(L74-1,0)+MAX(M74-1,0)</x:f>
        <x:v>0</x:v>
      </x:c>
      <x:c r="O74" s="19" t="n">
        <x:f>IF(AND(SUM(K74:M74)&lt;9,OR(M74=0,N74&lt;6)),1,0)</x:f>
        <x:v>1</x:v>
      </x:c>
      <x:c r="P74" s="19" t="n">
        <x:f>IF(AND(SUM(K74:M74)&lt;9,OR(L74=0,N74&lt;6)),1,0)</x:f>
        <x:v>1</x:v>
      </x:c>
      <x:c r="Q74" s="19" t="n">
        <x:f>IF(AND(SUM(K74:M74)&lt;9,OR(K74=0,N74&lt;6)),1,0)</x:f>
        <x:v>1</x:v>
      </x:c>
      <x:c r="R74" s="22" t="str">
        <x:f>O74&amp;P74&amp;Q74</x:f>
        <x:v>111</x:v>
      </x:c>
      <x:c r="S74" s="19" t="n">
        <x:f>IF(I74=1,IF(J74=0,Q74,IF(J74=1,P74,IF(J74=2,O74,0))),0)</x:f>
        <x:v>1</x:v>
      </x:c>
      <x:c r="T74" s="19" t="n">
        <x:f>K74+IF(AND(S74=1,J74=0),1,0)</x:f>
        <x:v>0</x:v>
      </x:c>
      <x:c r="U74" s="19" t="n">
        <x:f>L74+IF(AND(S74=1,J74=1),1,0)</x:f>
        <x:v>1</x:v>
      </x:c>
      <x:c r="V74" s="19" t="n">
        <x:f>M74+IF(AND(S74=1,J74=2),1,0)</x:f>
        <x:v>0</x:v>
      </x:c>
      <x:c r="W74" s="19" t="n">
        <x:f>SUM(T74:V74)</x:f>
        <x:v>1</x:v>
      </x:c>
      <x:c r="X74" s="19" t="n">
        <x:f>W74-G74</x:f>
        <x:v>0</x:v>
      </x:c>
      <x:c r="Y74" s="19" t="n">
        <x:f>MAX(T74,1)+MAX(U74,1)+MAX(V74,1)</x:f>
        <x:v>3</x:v>
      </x:c>
      <x:c r="Z74" s="21" t="str">
        <x:f>IF(AND(MIN(D74:F74)&gt;=0,MAX(D74:F74)&lt;=7,MAX(D74,1)+MAX(E74,1)+MAX(F74,1)&lt;=9,OR(H74="-",AND(H74=0,D74&gt;0),AND(H74=1,E74&gt;0),AND(H74=2,F74&gt;0)),OR(I74=0,AND(I74=1,OR(J74=0,J74=1,J74=2),R74&lt;&gt;"000")),Y74&lt;=9,MIN(T74:V74)&gt;=0),"合法","输入违约")</x:f>
        <x:v>合法</x:v>
      </x:c>
    </x:row>
    <x:row r="75" ht="23" customHeight="1">
      <x:c r="A75" s="3" t="str">
        <x:v>CT-0068</x:v>
      </x:c>
      <x:c r="B75" s="3" t="str">
        <x:v>ST-003</x:v>
      </x:c>
      <x:c r="C75" s="3" t="str">
        <x:v>R+AR同收同发</x:v>
      </x:c>
      <x:c r="D75" s="25" t="n">
        <x:v>0</x:v>
      </x:c>
      <x:c r="E75" s="25" t="n">
        <x:v>1</x:v>
      </x:c>
      <x:c r="F75" s="25" t="n">
        <x:v>0</x:v>
      </x:c>
      <x:c r="G75" s="19" t="n">
        <x:f>SUM(D75:F75)</x:f>
        <x:v>1</x:v>
      </x:c>
      <x:c r="H75" s="25" t="n">
        <x:v>1</x:v>
      </x:c>
      <x:c r="I75" s="25" t="n">
        <x:v>1</x:v>
      </x:c>
      <x:c r="J75" s="25" t="n">
        <x:v>2</x:v>
      </x:c>
      <x:c r="K75" s="19" t="n">
        <x:f>D75-IF(H75=0,1,0)</x:f>
        <x:v>0</x:v>
      </x:c>
      <x:c r="L75" s="19" t="n">
        <x:f>E75-IF(H75=1,1,0)</x:f>
        <x:v>0</x:v>
      </x:c>
      <x:c r="M75" s="19" t="n">
        <x:f>F75-IF(H75=2,1,0)</x:f>
        <x:v>0</x:v>
      </x:c>
      <x:c r="N75" s="19" t="n">
        <x:f>MAX(K75-1,0)+MAX(L75-1,0)+MAX(M75-1,0)</x:f>
        <x:v>0</x:v>
      </x:c>
      <x:c r="O75" s="19" t="n">
        <x:f>IF(AND(SUM(K75:M75)&lt;9,OR(M75=0,N75&lt;6)),1,0)</x:f>
        <x:v>1</x:v>
      </x:c>
      <x:c r="P75" s="19" t="n">
        <x:f>IF(AND(SUM(K75:M75)&lt;9,OR(L75=0,N75&lt;6)),1,0)</x:f>
        <x:v>1</x:v>
      </x:c>
      <x:c r="Q75" s="19" t="n">
        <x:f>IF(AND(SUM(K75:M75)&lt;9,OR(K75=0,N75&lt;6)),1,0)</x:f>
        <x:v>1</x:v>
      </x:c>
      <x:c r="R75" s="22" t="str">
        <x:f>O75&amp;P75&amp;Q75</x:f>
        <x:v>111</x:v>
      </x:c>
      <x:c r="S75" s="19" t="n">
        <x:f>IF(I75=1,IF(J75=0,Q75,IF(J75=1,P75,IF(J75=2,O75,0))),0)</x:f>
        <x:v>1</x:v>
      </x:c>
      <x:c r="T75" s="19" t="n">
        <x:f>K75+IF(AND(S75=1,J75=0),1,0)</x:f>
        <x:v>0</x:v>
      </x:c>
      <x:c r="U75" s="19" t="n">
        <x:f>L75+IF(AND(S75=1,J75=1),1,0)</x:f>
        <x:v>0</x:v>
      </x:c>
      <x:c r="V75" s="19" t="n">
        <x:f>M75+IF(AND(S75=1,J75=2),1,0)</x:f>
        <x:v>1</x:v>
      </x:c>
      <x:c r="W75" s="19" t="n">
        <x:f>SUM(T75:V75)</x:f>
        <x:v>1</x:v>
      </x:c>
      <x:c r="X75" s="19" t="n">
        <x:f>W75-G75</x:f>
        <x:v>0</x:v>
      </x:c>
      <x:c r="Y75" s="19" t="n">
        <x:f>MAX(T75,1)+MAX(U75,1)+MAX(V75,1)</x:f>
        <x:v>3</x:v>
      </x:c>
      <x:c r="Z75" s="21" t="str">
        <x:f>IF(AND(MIN(D75:F75)&gt;=0,MAX(D75:F75)&lt;=7,MAX(D75,1)+MAX(E75,1)+MAX(F75,1)&lt;=9,OR(H75="-",AND(H75=0,D75&gt;0),AND(H75=1,E75&gt;0),AND(H75=2,F75&gt;0)),OR(I75=0,AND(I75=1,OR(J75=0,J75=1,J75=2),R75&lt;&gt;"000")),Y75&lt;=9,MIN(T75:V75)&gt;=0),"合法","输入违约")</x:f>
        <x:v>合法</x:v>
      </x:c>
    </x:row>
    <x:row r="76" ht="23" customHeight="1">
      <x:c r="A76" s="3" t="str">
        <x:v>CT-0069</x:v>
      </x:c>
      <x:c r="B76" s="3" t="str">
        <x:v>ST-006</x:v>
      </x:c>
      <x:c r="C76" s="3" t="str">
        <x:v>无AR/R</x:v>
      </x:c>
      <x:c r="D76" s="25" t="n">
        <x:v>0</x:v>
      </x:c>
      <x:c r="E76" s="25" t="n">
        <x:v>1</x:v>
      </x:c>
      <x:c r="F76" s="25" t="n">
        <x:v>1</x:v>
      </x:c>
      <x:c r="G76" s="19" t="n">
        <x:f>SUM(D76:F76)</x:f>
        <x:v>2</x:v>
      </x:c>
      <x:c r="H76" s="25" t="str">
        <x:v>-</x:v>
      </x:c>
      <x:c r="I76" s="25" t="n">
        <x:v>0</x:v>
      </x:c>
      <x:c r="J76" s="25" t="str">
        <x:v>-</x:v>
      </x:c>
      <x:c r="K76" s="19" t="n">
        <x:f>D76-IF(H76=0,1,0)</x:f>
        <x:v>0</x:v>
      </x:c>
      <x:c r="L76" s="19" t="n">
        <x:f>E76-IF(H76=1,1,0)</x:f>
        <x:v>1</x:v>
      </x:c>
      <x:c r="M76" s="19" t="n">
        <x:f>F76-IF(H76=2,1,0)</x:f>
        <x:v>1</x:v>
      </x:c>
      <x:c r="N76" s="19" t="n">
        <x:f>MAX(K76-1,0)+MAX(L76-1,0)+MAX(M76-1,0)</x:f>
        <x:v>0</x:v>
      </x:c>
      <x:c r="O76" s="19" t="n">
        <x:f>IF(AND(SUM(K76:M76)&lt;9,OR(M76=0,N76&lt;6)),1,0)</x:f>
        <x:v>1</x:v>
      </x:c>
      <x:c r="P76" s="19" t="n">
        <x:f>IF(AND(SUM(K76:M76)&lt;9,OR(L76=0,N76&lt;6)),1,0)</x:f>
        <x:v>1</x:v>
      </x:c>
      <x:c r="Q76" s="19" t="n">
        <x:f>IF(AND(SUM(K76:M76)&lt;9,OR(K76=0,N76&lt;6)),1,0)</x:f>
        <x:v>1</x:v>
      </x:c>
      <x:c r="R76" s="22" t="str">
        <x:f>O76&amp;P76&amp;Q76</x:f>
        <x:v>111</x:v>
      </x:c>
      <x:c r="S76" s="19" t="n">
        <x:f>IF(I76=1,IF(J76=0,Q76,IF(J76=1,P76,IF(J76=2,O76,0))),0)</x:f>
        <x:v>0</x:v>
      </x:c>
      <x:c r="T76" s="19" t="n">
        <x:f>K76+IF(AND(S76=1,J76=0),1,0)</x:f>
        <x:v>0</x:v>
      </x:c>
      <x:c r="U76" s="19" t="n">
        <x:f>L76+IF(AND(S76=1,J76=1),1,0)</x:f>
        <x:v>1</x:v>
      </x:c>
      <x:c r="V76" s="19" t="n">
        <x:f>M76+IF(AND(S76=1,J76=2),1,0)</x:f>
        <x:v>1</x:v>
      </x:c>
      <x:c r="W76" s="19" t="n">
        <x:f>SUM(T76:V76)</x:f>
        <x:v>2</x:v>
      </x:c>
      <x:c r="X76" s="19" t="n">
        <x:f>W76-G76</x:f>
        <x:v>0</x:v>
      </x:c>
      <x:c r="Y76" s="19" t="n">
        <x:f>MAX(T76,1)+MAX(U76,1)+MAX(V76,1)</x:f>
        <x:v>3</x:v>
      </x:c>
      <x:c r="Z76" s="21" t="str">
        <x:f>IF(AND(MIN(D76:F76)&gt;=0,MAX(D76:F76)&lt;=7,MAX(D76,1)+MAX(E76,1)+MAX(F76,1)&lt;=9,OR(H76="-",AND(H76=0,D76&gt;0),AND(H76=1,E76&gt;0),AND(H76=2,F76&gt;0)),OR(I76=0,AND(I76=1,OR(J76=0,J76=1,J76=2),R76&lt;&gt;"000")),Y76&lt;=9,MIN(T76:V76)&gt;=0),"合法","输入违约")</x:f>
        <x:v>合法</x:v>
      </x:c>
    </x:row>
    <x:row r="77" ht="23" customHeight="1">
      <x:c r="A77" s="3" t="str">
        <x:v>CT-0070</x:v>
      </x:c>
      <x:c r="B77" s="3" t="str">
        <x:v>ST-006</x:v>
      </x:c>
      <x:c r="C77" s="3" t="str">
        <x:v>仅AR接收</x:v>
      </x:c>
      <x:c r="D77" s="25" t="n">
        <x:v>0</x:v>
      </x:c>
      <x:c r="E77" s="25" t="n">
        <x:v>1</x:v>
      </x:c>
      <x:c r="F77" s="25" t="n">
        <x:v>1</x:v>
      </x:c>
      <x:c r="G77" s="19" t="n">
        <x:f>SUM(D77:F77)</x:f>
        <x:v>2</x:v>
      </x:c>
      <x:c r="H77" s="25" t="str">
        <x:v>-</x:v>
      </x:c>
      <x:c r="I77" s="25" t="n">
        <x:v>1</x:v>
      </x:c>
      <x:c r="J77" s="25" t="n">
        <x:v>0</x:v>
      </x:c>
      <x:c r="K77" s="19" t="n">
        <x:f>D77-IF(H77=0,1,0)</x:f>
        <x:v>0</x:v>
      </x:c>
      <x:c r="L77" s="19" t="n">
        <x:f>E77-IF(H77=1,1,0)</x:f>
        <x:v>1</x:v>
      </x:c>
      <x:c r="M77" s="19" t="n">
        <x:f>F77-IF(H77=2,1,0)</x:f>
        <x:v>1</x:v>
      </x:c>
      <x:c r="N77" s="19" t="n">
        <x:f>MAX(K77-1,0)+MAX(L77-1,0)+MAX(M77-1,0)</x:f>
        <x:v>0</x:v>
      </x:c>
      <x:c r="O77" s="19" t="n">
        <x:f>IF(AND(SUM(K77:M77)&lt;9,OR(M77=0,N77&lt;6)),1,0)</x:f>
        <x:v>1</x:v>
      </x:c>
      <x:c r="P77" s="19" t="n">
        <x:f>IF(AND(SUM(K77:M77)&lt;9,OR(L77=0,N77&lt;6)),1,0)</x:f>
        <x:v>1</x:v>
      </x:c>
      <x:c r="Q77" s="19" t="n">
        <x:f>IF(AND(SUM(K77:M77)&lt;9,OR(K77=0,N77&lt;6)),1,0)</x:f>
        <x:v>1</x:v>
      </x:c>
      <x:c r="R77" s="22" t="str">
        <x:f>O77&amp;P77&amp;Q77</x:f>
        <x:v>111</x:v>
      </x:c>
      <x:c r="S77" s="19" t="n">
        <x:f>IF(I77=1,IF(J77=0,Q77,IF(J77=1,P77,IF(J77=2,O77,0))),0)</x:f>
        <x:v>1</x:v>
      </x:c>
      <x:c r="T77" s="19" t="n">
        <x:f>K77+IF(AND(S77=1,J77=0),1,0)</x:f>
        <x:v>1</x:v>
      </x:c>
      <x:c r="U77" s="19" t="n">
        <x:f>L77+IF(AND(S77=1,J77=1),1,0)</x:f>
        <x:v>1</x:v>
      </x:c>
      <x:c r="V77" s="19" t="n">
        <x:f>M77+IF(AND(S77=1,J77=2),1,0)</x:f>
        <x:v>1</x:v>
      </x:c>
      <x:c r="W77" s="19" t="n">
        <x:f>SUM(T77:V77)</x:f>
        <x:v>3</x:v>
      </x:c>
      <x:c r="X77" s="19" t="n">
        <x:f>W77-G77</x:f>
        <x:v>1</x:v>
      </x:c>
      <x:c r="Y77" s="19" t="n">
        <x:f>MAX(T77,1)+MAX(U77,1)+MAX(V77,1)</x:f>
        <x:v>3</x:v>
      </x:c>
      <x:c r="Z77" s="21" t="str">
        <x:f>IF(AND(MIN(D77:F77)&gt;=0,MAX(D77:F77)&lt;=7,MAX(D77,1)+MAX(E77,1)+MAX(F77,1)&lt;=9,OR(H77="-",AND(H77=0,D77&gt;0),AND(H77=1,E77&gt;0),AND(H77=2,F77&gt;0)),OR(I77=0,AND(I77=1,OR(J77=0,J77=1,J77=2),R77&lt;&gt;"000")),Y77&lt;=9,MIN(T77:V77)&gt;=0),"合法","输入违约")</x:f>
        <x:v>合法</x:v>
      </x:c>
    </x:row>
    <x:row r="78" ht="23" customHeight="1">
      <x:c r="A78" s="3" t="str">
        <x:v>CT-0071</x:v>
      </x:c>
      <x:c r="B78" s="3" t="str">
        <x:v>ST-006</x:v>
      </x:c>
      <x:c r="C78" s="3" t="str">
        <x:v>仅AR接收</x:v>
      </x:c>
      <x:c r="D78" s="25" t="n">
        <x:v>0</x:v>
      </x:c>
      <x:c r="E78" s="25" t="n">
        <x:v>1</x:v>
      </x:c>
      <x:c r="F78" s="25" t="n">
        <x:v>1</x:v>
      </x:c>
      <x:c r="G78" s="19" t="n">
        <x:f>SUM(D78:F78)</x:f>
        <x:v>2</x:v>
      </x:c>
      <x:c r="H78" s="25" t="str">
        <x:v>-</x:v>
      </x:c>
      <x:c r="I78" s="25" t="n">
        <x:v>1</x:v>
      </x:c>
      <x:c r="J78" s="25" t="n">
        <x:v>1</x:v>
      </x:c>
      <x:c r="K78" s="19" t="n">
        <x:f>D78-IF(H78=0,1,0)</x:f>
        <x:v>0</x:v>
      </x:c>
      <x:c r="L78" s="19" t="n">
        <x:f>E78-IF(H78=1,1,0)</x:f>
        <x:v>1</x:v>
      </x:c>
      <x:c r="M78" s="19" t="n">
        <x:f>F78-IF(H78=2,1,0)</x:f>
        <x:v>1</x:v>
      </x:c>
      <x:c r="N78" s="19" t="n">
        <x:f>MAX(K78-1,0)+MAX(L78-1,0)+MAX(M78-1,0)</x:f>
        <x:v>0</x:v>
      </x:c>
      <x:c r="O78" s="19" t="n">
        <x:f>IF(AND(SUM(K78:M78)&lt;9,OR(M78=0,N78&lt;6)),1,0)</x:f>
        <x:v>1</x:v>
      </x:c>
      <x:c r="P78" s="19" t="n">
        <x:f>IF(AND(SUM(K78:M78)&lt;9,OR(L78=0,N78&lt;6)),1,0)</x:f>
        <x:v>1</x:v>
      </x:c>
      <x:c r="Q78" s="19" t="n">
        <x:f>IF(AND(SUM(K78:M78)&lt;9,OR(K78=0,N78&lt;6)),1,0)</x:f>
        <x:v>1</x:v>
      </x:c>
      <x:c r="R78" s="22" t="str">
        <x:f>O78&amp;P78&amp;Q78</x:f>
        <x:v>111</x:v>
      </x:c>
      <x:c r="S78" s="19" t="n">
        <x:f>IF(I78=1,IF(J78=0,Q78,IF(J78=1,P78,IF(J78=2,O78,0))),0)</x:f>
        <x:v>1</x:v>
      </x:c>
      <x:c r="T78" s="19" t="n">
        <x:f>K78+IF(AND(S78=1,J78=0),1,0)</x:f>
        <x:v>0</x:v>
      </x:c>
      <x:c r="U78" s="19" t="n">
        <x:f>L78+IF(AND(S78=1,J78=1),1,0)</x:f>
        <x:v>2</x:v>
      </x:c>
      <x:c r="V78" s="19" t="n">
        <x:f>M78+IF(AND(S78=1,J78=2),1,0)</x:f>
        <x:v>1</x:v>
      </x:c>
      <x:c r="W78" s="19" t="n">
        <x:f>SUM(T78:V78)</x:f>
        <x:v>3</x:v>
      </x:c>
      <x:c r="X78" s="19" t="n">
        <x:f>W78-G78</x:f>
        <x:v>1</x:v>
      </x:c>
      <x:c r="Y78" s="19" t="n">
        <x:f>MAX(T78,1)+MAX(U78,1)+MAX(V78,1)</x:f>
        <x:v>4</x:v>
      </x:c>
      <x:c r="Z78" s="21" t="str">
        <x:f>IF(AND(MIN(D78:F78)&gt;=0,MAX(D78:F78)&lt;=7,MAX(D78,1)+MAX(E78,1)+MAX(F78,1)&lt;=9,OR(H78="-",AND(H78=0,D78&gt;0),AND(H78=1,E78&gt;0),AND(H78=2,F78&gt;0)),OR(I78=0,AND(I78=1,OR(J78=0,J78=1,J78=2),R78&lt;&gt;"000")),Y78&lt;=9,MIN(T78:V78)&gt;=0),"合法","输入违约")</x:f>
        <x:v>合法</x:v>
      </x:c>
    </x:row>
    <x:row r="79" ht="23" customHeight="1">
      <x:c r="A79" s="3" t="str">
        <x:v>CT-0072</x:v>
      </x:c>
      <x:c r="B79" s="3" t="str">
        <x:v>ST-006</x:v>
      </x:c>
      <x:c r="C79" s="3" t="str">
        <x:v>仅AR接收</x:v>
      </x:c>
      <x:c r="D79" s="25" t="n">
        <x:v>0</x:v>
      </x:c>
      <x:c r="E79" s="25" t="n">
        <x:v>1</x:v>
      </x:c>
      <x:c r="F79" s="25" t="n">
        <x:v>1</x:v>
      </x:c>
      <x:c r="G79" s="19" t="n">
        <x:f>SUM(D79:F79)</x:f>
        <x:v>2</x:v>
      </x:c>
      <x:c r="H79" s="25" t="str">
        <x:v>-</x:v>
      </x:c>
      <x:c r="I79" s="25" t="n">
        <x:v>1</x:v>
      </x:c>
      <x:c r="J79" s="25" t="n">
        <x:v>2</x:v>
      </x:c>
      <x:c r="K79" s="19" t="n">
        <x:f>D79-IF(H79=0,1,0)</x:f>
        <x:v>0</x:v>
      </x:c>
      <x:c r="L79" s="19" t="n">
        <x:f>E79-IF(H79=1,1,0)</x:f>
        <x:v>1</x:v>
      </x:c>
      <x:c r="M79" s="19" t="n">
        <x:f>F79-IF(H79=2,1,0)</x:f>
        <x:v>1</x:v>
      </x:c>
      <x:c r="N79" s="19" t="n">
        <x:f>MAX(K79-1,0)+MAX(L79-1,0)+MAX(M79-1,0)</x:f>
        <x:v>0</x:v>
      </x:c>
      <x:c r="O79" s="19" t="n">
        <x:f>IF(AND(SUM(K79:M79)&lt;9,OR(M79=0,N79&lt;6)),1,0)</x:f>
        <x:v>1</x:v>
      </x:c>
      <x:c r="P79" s="19" t="n">
        <x:f>IF(AND(SUM(K79:M79)&lt;9,OR(L79=0,N79&lt;6)),1,0)</x:f>
        <x:v>1</x:v>
      </x:c>
      <x:c r="Q79" s="19" t="n">
        <x:f>IF(AND(SUM(K79:M79)&lt;9,OR(K79=0,N79&lt;6)),1,0)</x:f>
        <x:v>1</x:v>
      </x:c>
      <x:c r="R79" s="22" t="str">
        <x:f>O79&amp;P79&amp;Q79</x:f>
        <x:v>111</x:v>
      </x:c>
      <x:c r="S79" s="19" t="n">
        <x:f>IF(I79=1,IF(J79=0,Q79,IF(J79=1,P79,IF(J79=2,O79,0))),0)</x:f>
        <x:v>1</x:v>
      </x:c>
      <x:c r="T79" s="19" t="n">
        <x:f>K79+IF(AND(S79=1,J79=0),1,0)</x:f>
        <x:v>0</x:v>
      </x:c>
      <x:c r="U79" s="19" t="n">
        <x:f>L79+IF(AND(S79=1,J79=1),1,0)</x:f>
        <x:v>1</x:v>
      </x:c>
      <x:c r="V79" s="19" t="n">
        <x:f>M79+IF(AND(S79=1,J79=2),1,0)</x:f>
        <x:v>2</x:v>
      </x:c>
      <x:c r="W79" s="19" t="n">
        <x:f>SUM(T79:V79)</x:f>
        <x:v>3</x:v>
      </x:c>
      <x:c r="X79" s="19" t="n">
        <x:f>W79-G79</x:f>
        <x:v>1</x:v>
      </x:c>
      <x:c r="Y79" s="19" t="n">
        <x:f>MAX(T79,1)+MAX(U79,1)+MAX(V79,1)</x:f>
        <x:v>4</x:v>
      </x:c>
      <x:c r="Z79" s="21" t="str">
        <x:f>IF(AND(MIN(D79:F79)&gt;=0,MAX(D79:F79)&lt;=7,MAX(D79,1)+MAX(E79,1)+MAX(F79,1)&lt;=9,OR(H79="-",AND(H79=0,D79&gt;0),AND(H79=1,E79&gt;0),AND(H79=2,F79&gt;0)),OR(I79=0,AND(I79=1,OR(J79=0,J79=1,J79=2),R79&lt;&gt;"000")),Y79&lt;=9,MIN(T79:V79)&gt;=0),"合法","输入违约")</x:f>
        <x:v>合法</x:v>
      </x:c>
    </x:row>
    <x:row r="80" ht="23" customHeight="1">
      <x:c r="A80" s="3" t="str">
        <x:v>CT-0073</x:v>
      </x:c>
      <x:c r="B80" s="3" t="str">
        <x:v>ST-006</x:v>
      </x:c>
      <x:c r="C80" s="3" t="str">
        <x:v>仅R回收</x:v>
      </x:c>
      <x:c r="D80" s="25" t="n">
        <x:v>0</x:v>
      </x:c>
      <x:c r="E80" s="25" t="n">
        <x:v>1</x:v>
      </x:c>
      <x:c r="F80" s="25" t="n">
        <x:v>1</x:v>
      </x:c>
      <x:c r="G80" s="19" t="n">
        <x:f>SUM(D80:F80)</x:f>
        <x:v>2</x:v>
      </x:c>
      <x:c r="H80" s="25" t="n">
        <x:v>1</x:v>
      </x:c>
      <x:c r="I80" s="25" t="n">
        <x:v>0</x:v>
      </x:c>
      <x:c r="J80" s="25" t="str">
        <x:v>-</x:v>
      </x:c>
      <x:c r="K80" s="19" t="n">
        <x:f>D80-IF(H80=0,1,0)</x:f>
        <x:v>0</x:v>
      </x:c>
      <x:c r="L80" s="19" t="n">
        <x:f>E80-IF(H80=1,1,0)</x:f>
        <x:v>0</x:v>
      </x:c>
      <x:c r="M80" s="19" t="n">
        <x:f>F80-IF(H80=2,1,0)</x:f>
        <x:v>1</x:v>
      </x:c>
      <x:c r="N80" s="19" t="n">
        <x:f>MAX(K80-1,0)+MAX(L80-1,0)+MAX(M80-1,0)</x:f>
        <x:v>0</x:v>
      </x:c>
      <x:c r="O80" s="19" t="n">
        <x:f>IF(AND(SUM(K80:M80)&lt;9,OR(M80=0,N80&lt;6)),1,0)</x:f>
        <x:v>1</x:v>
      </x:c>
      <x:c r="P80" s="19" t="n">
        <x:f>IF(AND(SUM(K80:M80)&lt;9,OR(L80=0,N80&lt;6)),1,0)</x:f>
        <x:v>1</x:v>
      </x:c>
      <x:c r="Q80" s="19" t="n">
        <x:f>IF(AND(SUM(K80:M80)&lt;9,OR(K80=0,N80&lt;6)),1,0)</x:f>
        <x:v>1</x:v>
      </x:c>
      <x:c r="R80" s="22" t="str">
        <x:f>O80&amp;P80&amp;Q80</x:f>
        <x:v>111</x:v>
      </x:c>
      <x:c r="S80" s="19" t="n">
        <x:f>IF(I80=1,IF(J80=0,Q80,IF(J80=1,P80,IF(J80=2,O80,0))),0)</x:f>
        <x:v>0</x:v>
      </x:c>
      <x:c r="T80" s="19" t="n">
        <x:f>K80+IF(AND(S80=1,J80=0),1,0)</x:f>
        <x:v>0</x:v>
      </x:c>
      <x:c r="U80" s="19" t="n">
        <x:f>L80+IF(AND(S80=1,J80=1),1,0)</x:f>
        <x:v>0</x:v>
      </x:c>
      <x:c r="V80" s="19" t="n">
        <x:f>M80+IF(AND(S80=1,J80=2),1,0)</x:f>
        <x:v>1</x:v>
      </x:c>
      <x:c r="W80" s="19" t="n">
        <x:f>SUM(T80:V80)</x:f>
        <x:v>1</x:v>
      </x:c>
      <x:c r="X80" s="19" t="n">
        <x:f>W80-G80</x:f>
        <x:v>-1</x:v>
      </x:c>
      <x:c r="Y80" s="19" t="n">
        <x:f>MAX(T80,1)+MAX(U80,1)+MAX(V80,1)</x:f>
        <x:v>3</x:v>
      </x:c>
      <x:c r="Z80" s="21" t="str">
        <x:f>IF(AND(MIN(D80:F80)&gt;=0,MAX(D80:F80)&lt;=7,MAX(D80,1)+MAX(E80,1)+MAX(F80,1)&lt;=9,OR(H80="-",AND(H80=0,D80&gt;0),AND(H80=1,E80&gt;0),AND(H80=2,F80&gt;0)),OR(I80=0,AND(I80=1,OR(J80=0,J80=1,J80=2),R80&lt;&gt;"000")),Y80&lt;=9,MIN(T80:V80)&gt;=0),"合法","输入违约")</x:f>
        <x:v>合法</x:v>
      </x:c>
    </x:row>
    <x:row r="81" ht="23" customHeight="1">
      <x:c r="A81" s="3" t="str">
        <x:v>CT-0074</x:v>
      </x:c>
      <x:c r="B81" s="3" t="str">
        <x:v>ST-006</x:v>
      </x:c>
      <x:c r="C81" s="3" t="str">
        <x:v>R+AR同收同发</x:v>
      </x:c>
      <x:c r="D81" s="25" t="n">
        <x:v>0</x:v>
      </x:c>
      <x:c r="E81" s="25" t="n">
        <x:v>1</x:v>
      </x:c>
      <x:c r="F81" s="25" t="n">
        <x:v>1</x:v>
      </x:c>
      <x:c r="G81" s="19" t="n">
        <x:f>SUM(D81:F81)</x:f>
        <x:v>2</x:v>
      </x:c>
      <x:c r="H81" s="25" t="n">
        <x:v>1</x:v>
      </x:c>
      <x:c r="I81" s="25" t="n">
        <x:v>1</x:v>
      </x:c>
      <x:c r="J81" s="25" t="n">
        <x:v>0</x:v>
      </x:c>
      <x:c r="K81" s="19" t="n">
        <x:f>D81-IF(H81=0,1,0)</x:f>
        <x:v>0</x:v>
      </x:c>
      <x:c r="L81" s="19" t="n">
        <x:f>E81-IF(H81=1,1,0)</x:f>
        <x:v>0</x:v>
      </x:c>
      <x:c r="M81" s="19" t="n">
        <x:f>F81-IF(H81=2,1,0)</x:f>
        <x:v>1</x:v>
      </x:c>
      <x:c r="N81" s="19" t="n">
        <x:f>MAX(K81-1,0)+MAX(L81-1,0)+MAX(M81-1,0)</x:f>
        <x:v>0</x:v>
      </x:c>
      <x:c r="O81" s="19" t="n">
        <x:f>IF(AND(SUM(K81:M81)&lt;9,OR(M81=0,N81&lt;6)),1,0)</x:f>
        <x:v>1</x:v>
      </x:c>
      <x:c r="P81" s="19" t="n">
        <x:f>IF(AND(SUM(K81:M81)&lt;9,OR(L81=0,N81&lt;6)),1,0)</x:f>
        <x:v>1</x:v>
      </x:c>
      <x:c r="Q81" s="19" t="n">
        <x:f>IF(AND(SUM(K81:M81)&lt;9,OR(K81=0,N81&lt;6)),1,0)</x:f>
        <x:v>1</x:v>
      </x:c>
      <x:c r="R81" s="22" t="str">
        <x:f>O81&amp;P81&amp;Q81</x:f>
        <x:v>111</x:v>
      </x:c>
      <x:c r="S81" s="19" t="n">
        <x:f>IF(I81=1,IF(J81=0,Q81,IF(J81=1,P81,IF(J81=2,O81,0))),0)</x:f>
        <x:v>1</x:v>
      </x:c>
      <x:c r="T81" s="19" t="n">
        <x:f>K81+IF(AND(S81=1,J81=0),1,0)</x:f>
        <x:v>1</x:v>
      </x:c>
      <x:c r="U81" s="19" t="n">
        <x:f>L81+IF(AND(S81=1,J81=1),1,0)</x:f>
        <x:v>0</x:v>
      </x:c>
      <x:c r="V81" s="19" t="n">
        <x:f>M81+IF(AND(S81=1,J81=2),1,0)</x:f>
        <x:v>1</x:v>
      </x:c>
      <x:c r="W81" s="19" t="n">
        <x:f>SUM(T81:V81)</x:f>
        <x:v>2</x:v>
      </x:c>
      <x:c r="X81" s="19" t="n">
        <x:f>W81-G81</x:f>
        <x:v>0</x:v>
      </x:c>
      <x:c r="Y81" s="19" t="n">
        <x:f>MAX(T81,1)+MAX(U81,1)+MAX(V81,1)</x:f>
        <x:v>3</x:v>
      </x:c>
      <x:c r="Z81" s="21" t="str">
        <x:f>IF(AND(MIN(D81:F81)&gt;=0,MAX(D81:F81)&lt;=7,MAX(D81,1)+MAX(E81,1)+MAX(F81,1)&lt;=9,OR(H81="-",AND(H81=0,D81&gt;0),AND(H81=1,E81&gt;0),AND(H81=2,F81&gt;0)),OR(I81=0,AND(I81=1,OR(J81=0,J81=1,J81=2),R81&lt;&gt;"000")),Y81&lt;=9,MIN(T81:V81)&gt;=0),"合法","输入违约")</x:f>
        <x:v>合法</x:v>
      </x:c>
    </x:row>
    <x:row r="82" ht="23" customHeight="1">
      <x:c r="A82" s="3" t="str">
        <x:v>CT-0075</x:v>
      </x:c>
      <x:c r="B82" s="3" t="str">
        <x:v>ST-006</x:v>
      </x:c>
      <x:c r="C82" s="3" t="str">
        <x:v>R+AR同收同发</x:v>
      </x:c>
      <x:c r="D82" s="25" t="n">
        <x:v>0</x:v>
      </x:c>
      <x:c r="E82" s="25" t="n">
        <x:v>1</x:v>
      </x:c>
      <x:c r="F82" s="25" t="n">
        <x:v>1</x:v>
      </x:c>
      <x:c r="G82" s="19" t="n">
        <x:f>SUM(D82:F82)</x:f>
        <x:v>2</x:v>
      </x:c>
      <x:c r="H82" s="25" t="n">
        <x:v>1</x:v>
      </x:c>
      <x:c r="I82" s="25" t="n">
        <x:v>1</x:v>
      </x:c>
      <x:c r="J82" s="25" t="n">
        <x:v>1</x:v>
      </x:c>
      <x:c r="K82" s="19" t="n">
        <x:f>D82-IF(H82=0,1,0)</x:f>
        <x:v>0</x:v>
      </x:c>
      <x:c r="L82" s="19" t="n">
        <x:f>E82-IF(H82=1,1,0)</x:f>
        <x:v>0</x:v>
      </x:c>
      <x:c r="M82" s="19" t="n">
        <x:f>F82-IF(H82=2,1,0)</x:f>
        <x:v>1</x:v>
      </x:c>
      <x:c r="N82" s="19" t="n">
        <x:f>MAX(K82-1,0)+MAX(L82-1,0)+MAX(M82-1,0)</x:f>
        <x:v>0</x:v>
      </x:c>
      <x:c r="O82" s="19" t="n">
        <x:f>IF(AND(SUM(K82:M82)&lt;9,OR(M82=0,N82&lt;6)),1,0)</x:f>
        <x:v>1</x:v>
      </x:c>
      <x:c r="P82" s="19" t="n">
        <x:f>IF(AND(SUM(K82:M82)&lt;9,OR(L82=0,N82&lt;6)),1,0)</x:f>
        <x:v>1</x:v>
      </x:c>
      <x:c r="Q82" s="19" t="n">
        <x:f>IF(AND(SUM(K82:M82)&lt;9,OR(K82=0,N82&lt;6)),1,0)</x:f>
        <x:v>1</x:v>
      </x:c>
      <x:c r="R82" s="22" t="str">
        <x:f>O82&amp;P82&amp;Q82</x:f>
        <x:v>111</x:v>
      </x:c>
      <x:c r="S82" s="19" t="n">
        <x:f>IF(I82=1,IF(J82=0,Q82,IF(J82=1,P82,IF(J82=2,O82,0))),0)</x:f>
        <x:v>1</x:v>
      </x:c>
      <x:c r="T82" s="19" t="n">
        <x:f>K82+IF(AND(S82=1,J82=0),1,0)</x:f>
        <x:v>0</x:v>
      </x:c>
      <x:c r="U82" s="19" t="n">
        <x:f>L82+IF(AND(S82=1,J82=1),1,0)</x:f>
        <x:v>1</x:v>
      </x:c>
      <x:c r="V82" s="19" t="n">
        <x:f>M82+IF(AND(S82=1,J82=2),1,0)</x:f>
        <x:v>1</x:v>
      </x:c>
      <x:c r="W82" s="19" t="n">
        <x:f>SUM(T82:V82)</x:f>
        <x:v>2</x:v>
      </x:c>
      <x:c r="X82" s="19" t="n">
        <x:f>W82-G82</x:f>
        <x:v>0</x:v>
      </x:c>
      <x:c r="Y82" s="19" t="n">
        <x:f>MAX(T82,1)+MAX(U82,1)+MAX(V82,1)</x:f>
        <x:v>3</x:v>
      </x:c>
      <x:c r="Z82" s="21" t="str">
        <x:f>IF(AND(MIN(D82:F82)&gt;=0,MAX(D82:F82)&lt;=7,MAX(D82,1)+MAX(E82,1)+MAX(F82,1)&lt;=9,OR(H82="-",AND(H82=0,D82&gt;0),AND(H82=1,E82&gt;0),AND(H82=2,F82&gt;0)),OR(I82=0,AND(I82=1,OR(J82=0,J82=1,J82=2),R82&lt;&gt;"000")),Y82&lt;=9,MIN(T82:V82)&gt;=0),"合法","输入违约")</x:f>
        <x:v>合法</x:v>
      </x:c>
    </x:row>
    <x:row r="83" ht="23" customHeight="1">
      <x:c r="A83" s="3" t="str">
        <x:v>CT-0076</x:v>
      </x:c>
      <x:c r="B83" s="3" t="str">
        <x:v>ST-006</x:v>
      </x:c>
      <x:c r="C83" s="3" t="str">
        <x:v>R+AR同收同发</x:v>
      </x:c>
      <x:c r="D83" s="25" t="n">
        <x:v>0</x:v>
      </x:c>
      <x:c r="E83" s="25" t="n">
        <x:v>1</x:v>
      </x:c>
      <x:c r="F83" s="25" t="n">
        <x:v>1</x:v>
      </x:c>
      <x:c r="G83" s="19" t="n">
        <x:f>SUM(D83:F83)</x:f>
        <x:v>2</x:v>
      </x:c>
      <x:c r="H83" s="25" t="n">
        <x:v>1</x:v>
      </x:c>
      <x:c r="I83" s="25" t="n">
        <x:v>1</x:v>
      </x:c>
      <x:c r="J83" s="25" t="n">
        <x:v>2</x:v>
      </x:c>
      <x:c r="K83" s="19" t="n">
        <x:f>D83-IF(H83=0,1,0)</x:f>
        <x:v>0</x:v>
      </x:c>
      <x:c r="L83" s="19" t="n">
        <x:f>E83-IF(H83=1,1,0)</x:f>
        <x:v>0</x:v>
      </x:c>
      <x:c r="M83" s="19" t="n">
        <x:f>F83-IF(H83=2,1,0)</x:f>
        <x:v>1</x:v>
      </x:c>
      <x:c r="N83" s="19" t="n">
        <x:f>MAX(K83-1,0)+MAX(L83-1,0)+MAX(M83-1,0)</x:f>
        <x:v>0</x:v>
      </x:c>
      <x:c r="O83" s="19" t="n">
        <x:f>IF(AND(SUM(K83:M83)&lt;9,OR(M83=0,N83&lt;6)),1,0)</x:f>
        <x:v>1</x:v>
      </x:c>
      <x:c r="P83" s="19" t="n">
        <x:f>IF(AND(SUM(K83:M83)&lt;9,OR(L83=0,N83&lt;6)),1,0)</x:f>
        <x:v>1</x:v>
      </x:c>
      <x:c r="Q83" s="19" t="n">
        <x:f>IF(AND(SUM(K83:M83)&lt;9,OR(K83=0,N83&lt;6)),1,0)</x:f>
        <x:v>1</x:v>
      </x:c>
      <x:c r="R83" s="22" t="str">
        <x:f>O83&amp;P83&amp;Q83</x:f>
        <x:v>111</x:v>
      </x:c>
      <x:c r="S83" s="19" t="n">
        <x:f>IF(I83=1,IF(J83=0,Q83,IF(J83=1,P83,IF(J83=2,O83,0))),0)</x:f>
        <x:v>1</x:v>
      </x:c>
      <x:c r="T83" s="19" t="n">
        <x:f>K83+IF(AND(S83=1,J83=0),1,0)</x:f>
        <x:v>0</x:v>
      </x:c>
      <x:c r="U83" s="19" t="n">
        <x:f>L83+IF(AND(S83=1,J83=1),1,0)</x:f>
        <x:v>0</x:v>
      </x:c>
      <x:c r="V83" s="19" t="n">
        <x:f>M83+IF(AND(S83=1,J83=2),1,0)</x:f>
        <x:v>2</x:v>
      </x:c>
      <x:c r="W83" s="19" t="n">
        <x:f>SUM(T83:V83)</x:f>
        <x:v>2</x:v>
      </x:c>
      <x:c r="X83" s="19" t="n">
        <x:f>W83-G83</x:f>
        <x:v>0</x:v>
      </x:c>
      <x:c r="Y83" s="19" t="n">
        <x:f>MAX(T83,1)+MAX(U83,1)+MAX(V83,1)</x:f>
        <x:v>4</x:v>
      </x:c>
      <x:c r="Z83" s="21" t="str">
        <x:f>IF(AND(MIN(D83:F83)&gt;=0,MAX(D83:F83)&lt;=7,MAX(D83,1)+MAX(E83,1)+MAX(F83,1)&lt;=9,OR(H83="-",AND(H83=0,D83&gt;0),AND(H83=1,E83&gt;0),AND(H83=2,F83&gt;0)),OR(I83=0,AND(I83=1,OR(J83=0,J83=1,J83=2),R83&lt;&gt;"000")),Y83&lt;=9,MIN(T83:V83)&gt;=0),"合法","输入违约")</x:f>
        <x:v>合法</x:v>
      </x:c>
    </x:row>
    <x:row r="84" ht="23" customHeight="1">
      <x:c r="A84" s="3" t="str">
        <x:v>CT-0077</x:v>
      </x:c>
      <x:c r="B84" s="3" t="str">
        <x:v>ST-006</x:v>
      </x:c>
      <x:c r="C84" s="3" t="str">
        <x:v>仅R回收</x:v>
      </x:c>
      <x:c r="D84" s="25" t="n">
        <x:v>0</x:v>
      </x:c>
      <x:c r="E84" s="25" t="n">
        <x:v>1</x:v>
      </x:c>
      <x:c r="F84" s="25" t="n">
        <x:v>1</x:v>
      </x:c>
      <x:c r="G84" s="19" t="n">
        <x:f>SUM(D84:F84)</x:f>
        <x:v>2</x:v>
      </x:c>
      <x:c r="H84" s="25" t="n">
        <x:v>2</x:v>
      </x:c>
      <x:c r="I84" s="25" t="n">
        <x:v>0</x:v>
      </x:c>
      <x:c r="J84" s="25" t="str">
        <x:v>-</x:v>
      </x:c>
      <x:c r="K84" s="19" t="n">
        <x:f>D84-IF(H84=0,1,0)</x:f>
        <x:v>0</x:v>
      </x:c>
      <x:c r="L84" s="19" t="n">
        <x:f>E84-IF(H84=1,1,0)</x:f>
        <x:v>1</x:v>
      </x:c>
      <x:c r="M84" s="19" t="n">
        <x:f>F84-IF(H84=2,1,0)</x:f>
        <x:v>0</x:v>
      </x:c>
      <x:c r="N84" s="19" t="n">
        <x:f>MAX(K84-1,0)+MAX(L84-1,0)+MAX(M84-1,0)</x:f>
        <x:v>0</x:v>
      </x:c>
      <x:c r="O84" s="19" t="n">
        <x:f>IF(AND(SUM(K84:M84)&lt;9,OR(M84=0,N84&lt;6)),1,0)</x:f>
        <x:v>1</x:v>
      </x:c>
      <x:c r="P84" s="19" t="n">
        <x:f>IF(AND(SUM(K84:M84)&lt;9,OR(L84=0,N84&lt;6)),1,0)</x:f>
        <x:v>1</x:v>
      </x:c>
      <x:c r="Q84" s="19" t="n">
        <x:f>IF(AND(SUM(K84:M84)&lt;9,OR(K84=0,N84&lt;6)),1,0)</x:f>
        <x:v>1</x:v>
      </x:c>
      <x:c r="R84" s="22" t="str">
        <x:f>O84&amp;P84&amp;Q84</x:f>
        <x:v>111</x:v>
      </x:c>
      <x:c r="S84" s="19" t="n">
        <x:f>IF(I84=1,IF(J84=0,Q84,IF(J84=1,P84,IF(J84=2,O84,0))),0)</x:f>
        <x:v>0</x:v>
      </x:c>
      <x:c r="T84" s="19" t="n">
        <x:f>K84+IF(AND(S84=1,J84=0),1,0)</x:f>
        <x:v>0</x:v>
      </x:c>
      <x:c r="U84" s="19" t="n">
        <x:f>L84+IF(AND(S84=1,J84=1),1,0)</x:f>
        <x:v>1</x:v>
      </x:c>
      <x:c r="V84" s="19" t="n">
        <x:f>M84+IF(AND(S84=1,J84=2),1,0)</x:f>
        <x:v>0</x:v>
      </x:c>
      <x:c r="W84" s="19" t="n">
        <x:f>SUM(T84:V84)</x:f>
        <x:v>1</x:v>
      </x:c>
      <x:c r="X84" s="19" t="n">
        <x:f>W84-G84</x:f>
        <x:v>-1</x:v>
      </x:c>
      <x:c r="Y84" s="19" t="n">
        <x:f>MAX(T84,1)+MAX(U84,1)+MAX(V84,1)</x:f>
        <x:v>3</x:v>
      </x:c>
      <x:c r="Z84" s="21" t="str">
        <x:f>IF(AND(MIN(D84:F84)&gt;=0,MAX(D84:F84)&lt;=7,MAX(D84,1)+MAX(E84,1)+MAX(F84,1)&lt;=9,OR(H84="-",AND(H84=0,D84&gt;0),AND(H84=1,E84&gt;0),AND(H84=2,F84&gt;0)),OR(I84=0,AND(I84=1,OR(J84=0,J84=1,J84=2),R84&lt;&gt;"000")),Y84&lt;=9,MIN(T84:V84)&gt;=0),"合法","输入违约")</x:f>
        <x:v>合法</x:v>
      </x:c>
    </x:row>
    <x:row r="85" ht="23" customHeight="1">
      <x:c r="A85" s="3" t="str">
        <x:v>CT-0078</x:v>
      </x:c>
      <x:c r="B85" s="3" t="str">
        <x:v>ST-006</x:v>
      </x:c>
      <x:c r="C85" s="3" t="str">
        <x:v>R+AR同收同发</x:v>
      </x:c>
      <x:c r="D85" s="25" t="n">
        <x:v>0</x:v>
      </x:c>
      <x:c r="E85" s="25" t="n">
        <x:v>1</x:v>
      </x:c>
      <x:c r="F85" s="25" t="n">
        <x:v>1</x:v>
      </x:c>
      <x:c r="G85" s="19" t="n">
        <x:f>SUM(D85:F85)</x:f>
        <x:v>2</x:v>
      </x:c>
      <x:c r="H85" s="25" t="n">
        <x:v>2</x:v>
      </x:c>
      <x:c r="I85" s="25" t="n">
        <x:v>1</x:v>
      </x:c>
      <x:c r="J85" s="25" t="n">
        <x:v>0</x:v>
      </x:c>
      <x:c r="K85" s="19" t="n">
        <x:f>D85-IF(H85=0,1,0)</x:f>
        <x:v>0</x:v>
      </x:c>
      <x:c r="L85" s="19" t="n">
        <x:f>E85-IF(H85=1,1,0)</x:f>
        <x:v>1</x:v>
      </x:c>
      <x:c r="M85" s="19" t="n">
        <x:f>F85-IF(H85=2,1,0)</x:f>
        <x:v>0</x:v>
      </x:c>
      <x:c r="N85" s="19" t="n">
        <x:f>MAX(K85-1,0)+MAX(L85-1,0)+MAX(M85-1,0)</x:f>
        <x:v>0</x:v>
      </x:c>
      <x:c r="O85" s="19" t="n">
        <x:f>IF(AND(SUM(K85:M85)&lt;9,OR(M85=0,N85&lt;6)),1,0)</x:f>
        <x:v>1</x:v>
      </x:c>
      <x:c r="P85" s="19" t="n">
        <x:f>IF(AND(SUM(K85:M85)&lt;9,OR(L85=0,N85&lt;6)),1,0)</x:f>
        <x:v>1</x:v>
      </x:c>
      <x:c r="Q85" s="19" t="n">
        <x:f>IF(AND(SUM(K85:M85)&lt;9,OR(K85=0,N85&lt;6)),1,0)</x:f>
        <x:v>1</x:v>
      </x:c>
      <x:c r="R85" s="22" t="str">
        <x:f>O85&amp;P85&amp;Q85</x:f>
        <x:v>111</x:v>
      </x:c>
      <x:c r="S85" s="19" t="n">
        <x:f>IF(I85=1,IF(J85=0,Q85,IF(J85=1,P85,IF(J85=2,O85,0))),0)</x:f>
        <x:v>1</x:v>
      </x:c>
      <x:c r="T85" s="19" t="n">
        <x:f>K85+IF(AND(S85=1,J85=0),1,0)</x:f>
        <x:v>1</x:v>
      </x:c>
      <x:c r="U85" s="19" t="n">
        <x:f>L85+IF(AND(S85=1,J85=1),1,0)</x:f>
        <x:v>1</x:v>
      </x:c>
      <x:c r="V85" s="19" t="n">
        <x:f>M85+IF(AND(S85=1,J85=2),1,0)</x:f>
        <x:v>0</x:v>
      </x:c>
      <x:c r="W85" s="19" t="n">
        <x:f>SUM(T85:V85)</x:f>
        <x:v>2</x:v>
      </x:c>
      <x:c r="X85" s="19" t="n">
        <x:f>W85-G85</x:f>
        <x:v>0</x:v>
      </x:c>
      <x:c r="Y85" s="19" t="n">
        <x:f>MAX(T85,1)+MAX(U85,1)+MAX(V85,1)</x:f>
        <x:v>3</x:v>
      </x:c>
      <x:c r="Z85" s="21" t="str">
        <x:f>IF(AND(MIN(D85:F85)&gt;=0,MAX(D85:F85)&lt;=7,MAX(D85,1)+MAX(E85,1)+MAX(F85,1)&lt;=9,OR(H85="-",AND(H85=0,D85&gt;0),AND(H85=1,E85&gt;0),AND(H85=2,F85&gt;0)),OR(I85=0,AND(I85=1,OR(J85=0,J85=1,J85=2),R85&lt;&gt;"000")),Y85&lt;=9,MIN(T85:V85)&gt;=0),"合法","输入违约")</x:f>
        <x:v>合法</x:v>
      </x:c>
    </x:row>
    <x:row r="86" ht="23" customHeight="1">
      <x:c r="A86" s="3" t="str">
        <x:v>CT-0079</x:v>
      </x:c>
      <x:c r="B86" s="3" t="str">
        <x:v>ST-006</x:v>
      </x:c>
      <x:c r="C86" s="3" t="str">
        <x:v>R+AR同收同发</x:v>
      </x:c>
      <x:c r="D86" s="25" t="n">
        <x:v>0</x:v>
      </x:c>
      <x:c r="E86" s="25" t="n">
        <x:v>1</x:v>
      </x:c>
      <x:c r="F86" s="25" t="n">
        <x:v>1</x:v>
      </x:c>
      <x:c r="G86" s="19" t="n">
        <x:f>SUM(D86:F86)</x:f>
        <x:v>2</x:v>
      </x:c>
      <x:c r="H86" s="25" t="n">
        <x:v>2</x:v>
      </x:c>
      <x:c r="I86" s="25" t="n">
        <x:v>1</x:v>
      </x:c>
      <x:c r="J86" s="25" t="n">
        <x:v>1</x:v>
      </x:c>
      <x:c r="K86" s="19" t="n">
        <x:f>D86-IF(H86=0,1,0)</x:f>
        <x:v>0</x:v>
      </x:c>
      <x:c r="L86" s="19" t="n">
        <x:f>E86-IF(H86=1,1,0)</x:f>
        <x:v>1</x:v>
      </x:c>
      <x:c r="M86" s="19" t="n">
        <x:f>F86-IF(H86=2,1,0)</x:f>
        <x:v>0</x:v>
      </x:c>
      <x:c r="N86" s="19" t="n">
        <x:f>MAX(K86-1,0)+MAX(L86-1,0)+MAX(M86-1,0)</x:f>
        <x:v>0</x:v>
      </x:c>
      <x:c r="O86" s="19" t="n">
        <x:f>IF(AND(SUM(K86:M86)&lt;9,OR(M86=0,N86&lt;6)),1,0)</x:f>
        <x:v>1</x:v>
      </x:c>
      <x:c r="P86" s="19" t="n">
        <x:f>IF(AND(SUM(K86:M86)&lt;9,OR(L86=0,N86&lt;6)),1,0)</x:f>
        <x:v>1</x:v>
      </x:c>
      <x:c r="Q86" s="19" t="n">
        <x:f>IF(AND(SUM(K86:M86)&lt;9,OR(K86=0,N86&lt;6)),1,0)</x:f>
        <x:v>1</x:v>
      </x:c>
      <x:c r="R86" s="22" t="str">
        <x:f>O86&amp;P86&amp;Q86</x:f>
        <x:v>111</x:v>
      </x:c>
      <x:c r="S86" s="19" t="n">
        <x:f>IF(I86=1,IF(J86=0,Q86,IF(J86=1,P86,IF(J86=2,O86,0))),0)</x:f>
        <x:v>1</x:v>
      </x:c>
      <x:c r="T86" s="19" t="n">
        <x:f>K86+IF(AND(S86=1,J86=0),1,0)</x:f>
        <x:v>0</x:v>
      </x:c>
      <x:c r="U86" s="19" t="n">
        <x:f>L86+IF(AND(S86=1,J86=1),1,0)</x:f>
        <x:v>2</x:v>
      </x:c>
      <x:c r="V86" s="19" t="n">
        <x:f>M86+IF(AND(S86=1,J86=2),1,0)</x:f>
        <x:v>0</x:v>
      </x:c>
      <x:c r="W86" s="19" t="n">
        <x:f>SUM(T86:V86)</x:f>
        <x:v>2</x:v>
      </x:c>
      <x:c r="X86" s="19" t="n">
        <x:f>W86-G86</x:f>
        <x:v>0</x:v>
      </x:c>
      <x:c r="Y86" s="19" t="n">
        <x:f>MAX(T86,1)+MAX(U86,1)+MAX(V86,1)</x:f>
        <x:v>4</x:v>
      </x:c>
      <x:c r="Z86" s="21" t="str">
        <x:f>IF(AND(MIN(D86:F86)&gt;=0,MAX(D86:F86)&lt;=7,MAX(D86,1)+MAX(E86,1)+MAX(F86,1)&lt;=9,OR(H86="-",AND(H86=0,D86&gt;0),AND(H86=1,E86&gt;0),AND(H86=2,F86&gt;0)),OR(I86=0,AND(I86=1,OR(J86=0,J86=1,J86=2),R86&lt;&gt;"000")),Y86&lt;=9,MIN(T86:V86)&gt;=0),"合法","输入违约")</x:f>
        <x:v>合法</x:v>
      </x:c>
    </x:row>
    <x:row r="87" ht="23" customHeight="1">
      <x:c r="A87" s="3" t="str">
        <x:v>CT-0080</x:v>
      </x:c>
      <x:c r="B87" s="3" t="str">
        <x:v>ST-006</x:v>
      </x:c>
      <x:c r="C87" s="3" t="str">
        <x:v>R+AR同收同发</x:v>
      </x:c>
      <x:c r="D87" s="25" t="n">
        <x:v>0</x:v>
      </x:c>
      <x:c r="E87" s="25" t="n">
        <x:v>1</x:v>
      </x:c>
      <x:c r="F87" s="25" t="n">
        <x:v>1</x:v>
      </x:c>
      <x:c r="G87" s="19" t="n">
        <x:f>SUM(D87:F87)</x:f>
        <x:v>2</x:v>
      </x:c>
      <x:c r="H87" s="25" t="n">
        <x:v>2</x:v>
      </x:c>
      <x:c r="I87" s="25" t="n">
        <x:v>1</x:v>
      </x:c>
      <x:c r="J87" s="25" t="n">
        <x:v>2</x:v>
      </x:c>
      <x:c r="K87" s="19" t="n">
        <x:f>D87-IF(H87=0,1,0)</x:f>
        <x:v>0</x:v>
      </x:c>
      <x:c r="L87" s="19" t="n">
        <x:f>E87-IF(H87=1,1,0)</x:f>
        <x:v>1</x:v>
      </x:c>
      <x:c r="M87" s="19" t="n">
        <x:f>F87-IF(H87=2,1,0)</x:f>
        <x:v>0</x:v>
      </x:c>
      <x:c r="N87" s="19" t="n">
        <x:f>MAX(K87-1,0)+MAX(L87-1,0)+MAX(M87-1,0)</x:f>
        <x:v>0</x:v>
      </x:c>
      <x:c r="O87" s="19" t="n">
        <x:f>IF(AND(SUM(K87:M87)&lt;9,OR(M87=0,N87&lt;6)),1,0)</x:f>
        <x:v>1</x:v>
      </x:c>
      <x:c r="P87" s="19" t="n">
        <x:f>IF(AND(SUM(K87:M87)&lt;9,OR(L87=0,N87&lt;6)),1,0)</x:f>
        <x:v>1</x:v>
      </x:c>
      <x:c r="Q87" s="19" t="n">
        <x:f>IF(AND(SUM(K87:M87)&lt;9,OR(K87=0,N87&lt;6)),1,0)</x:f>
        <x:v>1</x:v>
      </x:c>
      <x:c r="R87" s="22" t="str">
        <x:f>O87&amp;P87&amp;Q87</x:f>
        <x:v>111</x:v>
      </x:c>
      <x:c r="S87" s="19" t="n">
        <x:f>IF(I87=1,IF(J87=0,Q87,IF(J87=1,P87,IF(J87=2,O87,0))),0)</x:f>
        <x:v>1</x:v>
      </x:c>
      <x:c r="T87" s="19" t="n">
        <x:f>K87+IF(AND(S87=1,J87=0),1,0)</x:f>
        <x:v>0</x:v>
      </x:c>
      <x:c r="U87" s="19" t="n">
        <x:f>L87+IF(AND(S87=1,J87=1),1,0)</x:f>
        <x:v>1</x:v>
      </x:c>
      <x:c r="V87" s="19" t="n">
        <x:f>M87+IF(AND(S87=1,J87=2),1,0)</x:f>
        <x:v>1</x:v>
      </x:c>
      <x:c r="W87" s="19" t="n">
        <x:f>SUM(T87:V87)</x:f>
        <x:v>2</x:v>
      </x:c>
      <x:c r="X87" s="19" t="n">
        <x:f>W87-G87</x:f>
        <x:v>0</x:v>
      </x:c>
      <x:c r="Y87" s="19" t="n">
        <x:f>MAX(T87,1)+MAX(U87,1)+MAX(V87,1)</x:f>
        <x:v>3</x:v>
      </x:c>
      <x:c r="Z87" s="21" t="str">
        <x:f>IF(AND(MIN(D87:F87)&gt;=0,MAX(D87:F87)&lt;=7,MAX(D87,1)+MAX(E87,1)+MAX(F87,1)&lt;=9,OR(H87="-",AND(H87=0,D87&gt;0),AND(H87=1,E87&gt;0),AND(H87=2,F87&gt;0)),OR(I87=0,AND(I87=1,OR(J87=0,J87=1,J87=2),R87&lt;&gt;"000")),Y87&lt;=9,MIN(T87:V87)&gt;=0),"合法","输入违约")</x:f>
        <x:v>合法</x:v>
      </x:c>
    </x:row>
    <x:row r="88" ht="23" customHeight="1">
      <x:c r="A88" s="3" t="str">
        <x:v>CT-0081</x:v>
      </x:c>
      <x:c r="B88" s="3" t="str">
        <x:v>ST-012</x:v>
      </x:c>
      <x:c r="C88" s="3" t="str">
        <x:v>无AR/R</x:v>
      </x:c>
      <x:c r="D88" s="25" t="n">
        <x:v>0</x:v>
      </x:c>
      <x:c r="E88" s="25" t="n">
        <x:v>1</x:v>
      </x:c>
      <x:c r="F88" s="25" t="n">
        <x:v>2</x:v>
      </x:c>
      <x:c r="G88" s="19" t="n">
        <x:f>SUM(D88:F88)</x:f>
        <x:v>3</x:v>
      </x:c>
      <x:c r="H88" s="25" t="str">
        <x:v>-</x:v>
      </x:c>
      <x:c r="I88" s="25" t="n">
        <x:v>0</x:v>
      </x:c>
      <x:c r="J88" s="25" t="str">
        <x:v>-</x:v>
      </x:c>
      <x:c r="K88" s="19" t="n">
        <x:f>D88-IF(H88=0,1,0)</x:f>
        <x:v>0</x:v>
      </x:c>
      <x:c r="L88" s="19" t="n">
        <x:f>E88-IF(H88=1,1,0)</x:f>
        <x:v>1</x:v>
      </x:c>
      <x:c r="M88" s="19" t="n">
        <x:f>F88-IF(H88=2,1,0)</x:f>
        <x:v>2</x:v>
      </x:c>
      <x:c r="N88" s="19" t="n">
        <x:f>MAX(K88-1,0)+MAX(L88-1,0)+MAX(M88-1,0)</x:f>
        <x:v>1</x:v>
      </x:c>
      <x:c r="O88" s="19" t="n">
        <x:f>IF(AND(SUM(K88:M88)&lt;9,OR(M88=0,N88&lt;6)),1,0)</x:f>
        <x:v>1</x:v>
      </x:c>
      <x:c r="P88" s="19" t="n">
        <x:f>IF(AND(SUM(K88:M88)&lt;9,OR(L88=0,N88&lt;6)),1,0)</x:f>
        <x:v>1</x:v>
      </x:c>
      <x:c r="Q88" s="19" t="n">
        <x:f>IF(AND(SUM(K88:M88)&lt;9,OR(K88=0,N88&lt;6)),1,0)</x:f>
        <x:v>1</x:v>
      </x:c>
      <x:c r="R88" s="22" t="str">
        <x:f>O88&amp;P88&amp;Q88</x:f>
        <x:v>111</x:v>
      </x:c>
      <x:c r="S88" s="19" t="n">
        <x:f>IF(I88=1,IF(J88=0,Q88,IF(J88=1,P88,IF(J88=2,O88,0))),0)</x:f>
        <x:v>0</x:v>
      </x:c>
      <x:c r="T88" s="19" t="n">
        <x:f>K88+IF(AND(S88=1,J88=0),1,0)</x:f>
        <x:v>0</x:v>
      </x:c>
      <x:c r="U88" s="19" t="n">
        <x:f>L88+IF(AND(S88=1,J88=1),1,0)</x:f>
        <x:v>1</x:v>
      </x:c>
      <x:c r="V88" s="19" t="n">
        <x:f>M88+IF(AND(S88=1,J88=2),1,0)</x:f>
        <x:v>2</x:v>
      </x:c>
      <x:c r="W88" s="19" t="n">
        <x:f>SUM(T88:V88)</x:f>
        <x:v>3</x:v>
      </x:c>
      <x:c r="X88" s="19" t="n">
        <x:f>W88-G88</x:f>
        <x:v>0</x:v>
      </x:c>
      <x:c r="Y88" s="19" t="n">
        <x:f>MAX(T88,1)+MAX(U88,1)+MAX(V88,1)</x:f>
        <x:v>4</x:v>
      </x:c>
      <x:c r="Z88" s="21" t="str">
        <x:f>IF(AND(MIN(D88:F88)&gt;=0,MAX(D88:F88)&lt;=7,MAX(D88,1)+MAX(E88,1)+MAX(F88,1)&lt;=9,OR(H88="-",AND(H88=0,D88&gt;0),AND(H88=1,E88&gt;0),AND(H88=2,F88&gt;0)),OR(I88=0,AND(I88=1,OR(J88=0,J88=1,J88=2),R88&lt;&gt;"000")),Y88&lt;=9,MIN(T88:V88)&gt;=0),"合法","输入违约")</x:f>
        <x:v>合法</x:v>
      </x:c>
    </x:row>
    <x:row r="89" ht="23" customHeight="1">
      <x:c r="A89" s="3" t="str">
        <x:v>CT-0082</x:v>
      </x:c>
      <x:c r="B89" s="3" t="str">
        <x:v>ST-012</x:v>
      </x:c>
      <x:c r="C89" s="3" t="str">
        <x:v>仅AR接收</x:v>
      </x:c>
      <x:c r="D89" s="25" t="n">
        <x:v>0</x:v>
      </x:c>
      <x:c r="E89" s="25" t="n">
        <x:v>1</x:v>
      </x:c>
      <x:c r="F89" s="25" t="n">
        <x:v>2</x:v>
      </x:c>
      <x:c r="G89" s="19" t="n">
        <x:f>SUM(D89:F89)</x:f>
        <x:v>3</x:v>
      </x:c>
      <x:c r="H89" s="25" t="str">
        <x:v>-</x:v>
      </x:c>
      <x:c r="I89" s="25" t="n">
        <x:v>1</x:v>
      </x:c>
      <x:c r="J89" s="25" t="n">
        <x:v>0</x:v>
      </x:c>
      <x:c r="K89" s="19" t="n">
        <x:f>D89-IF(H89=0,1,0)</x:f>
        <x:v>0</x:v>
      </x:c>
      <x:c r="L89" s="19" t="n">
        <x:f>E89-IF(H89=1,1,0)</x:f>
        <x:v>1</x:v>
      </x:c>
      <x:c r="M89" s="19" t="n">
        <x:f>F89-IF(H89=2,1,0)</x:f>
        <x:v>2</x:v>
      </x:c>
      <x:c r="N89" s="19" t="n">
        <x:f>MAX(K89-1,0)+MAX(L89-1,0)+MAX(M89-1,0)</x:f>
        <x:v>1</x:v>
      </x:c>
      <x:c r="O89" s="19" t="n">
        <x:f>IF(AND(SUM(K89:M89)&lt;9,OR(M89=0,N89&lt;6)),1,0)</x:f>
        <x:v>1</x:v>
      </x:c>
      <x:c r="P89" s="19" t="n">
        <x:f>IF(AND(SUM(K89:M89)&lt;9,OR(L89=0,N89&lt;6)),1,0)</x:f>
        <x:v>1</x:v>
      </x:c>
      <x:c r="Q89" s="19" t="n">
        <x:f>IF(AND(SUM(K89:M89)&lt;9,OR(K89=0,N89&lt;6)),1,0)</x:f>
        <x:v>1</x:v>
      </x:c>
      <x:c r="R89" s="22" t="str">
        <x:f>O89&amp;P89&amp;Q89</x:f>
        <x:v>111</x:v>
      </x:c>
      <x:c r="S89" s="19" t="n">
        <x:f>IF(I89=1,IF(J89=0,Q89,IF(J89=1,P89,IF(J89=2,O89,0))),0)</x:f>
        <x:v>1</x:v>
      </x:c>
      <x:c r="T89" s="19" t="n">
        <x:f>K89+IF(AND(S89=1,J89=0),1,0)</x:f>
        <x:v>1</x:v>
      </x:c>
      <x:c r="U89" s="19" t="n">
        <x:f>L89+IF(AND(S89=1,J89=1),1,0)</x:f>
        <x:v>1</x:v>
      </x:c>
      <x:c r="V89" s="19" t="n">
        <x:f>M89+IF(AND(S89=1,J89=2),1,0)</x:f>
        <x:v>2</x:v>
      </x:c>
      <x:c r="W89" s="19" t="n">
        <x:f>SUM(T89:V89)</x:f>
        <x:v>4</x:v>
      </x:c>
      <x:c r="X89" s="19" t="n">
        <x:f>W89-G89</x:f>
        <x:v>1</x:v>
      </x:c>
      <x:c r="Y89" s="19" t="n">
        <x:f>MAX(T89,1)+MAX(U89,1)+MAX(V89,1)</x:f>
        <x:v>4</x:v>
      </x:c>
      <x:c r="Z89" s="21" t="str">
        <x:f>IF(AND(MIN(D89:F89)&gt;=0,MAX(D89:F89)&lt;=7,MAX(D89,1)+MAX(E89,1)+MAX(F89,1)&lt;=9,OR(H89="-",AND(H89=0,D89&gt;0),AND(H89=1,E89&gt;0),AND(H89=2,F89&gt;0)),OR(I89=0,AND(I89=1,OR(J89=0,J89=1,J89=2),R89&lt;&gt;"000")),Y89&lt;=9,MIN(T89:V89)&gt;=0),"合法","输入违约")</x:f>
        <x:v>合法</x:v>
      </x:c>
    </x:row>
    <x:row r="90" ht="23" customHeight="1">
      <x:c r="A90" s="3" t="str">
        <x:v>CT-0083</x:v>
      </x:c>
      <x:c r="B90" s="3" t="str">
        <x:v>ST-012</x:v>
      </x:c>
      <x:c r="C90" s="3" t="str">
        <x:v>仅AR接收</x:v>
      </x:c>
      <x:c r="D90" s="25" t="n">
        <x:v>0</x:v>
      </x:c>
      <x:c r="E90" s="25" t="n">
        <x:v>1</x:v>
      </x:c>
      <x:c r="F90" s="25" t="n">
        <x:v>2</x:v>
      </x:c>
      <x:c r="G90" s="19" t="n">
        <x:f>SUM(D90:F90)</x:f>
        <x:v>3</x:v>
      </x:c>
      <x:c r="H90" s="25" t="str">
        <x:v>-</x:v>
      </x:c>
      <x:c r="I90" s="25" t="n">
        <x:v>1</x:v>
      </x:c>
      <x:c r="J90" s="25" t="n">
        <x:v>1</x:v>
      </x:c>
      <x:c r="K90" s="19" t="n">
        <x:f>D90-IF(H90=0,1,0)</x:f>
        <x:v>0</x:v>
      </x:c>
      <x:c r="L90" s="19" t="n">
        <x:f>E90-IF(H90=1,1,0)</x:f>
        <x:v>1</x:v>
      </x:c>
      <x:c r="M90" s="19" t="n">
        <x:f>F90-IF(H90=2,1,0)</x:f>
        <x:v>2</x:v>
      </x:c>
      <x:c r="N90" s="19" t="n">
        <x:f>MAX(K90-1,0)+MAX(L90-1,0)+MAX(M90-1,0)</x:f>
        <x:v>1</x:v>
      </x:c>
      <x:c r="O90" s="19" t="n">
        <x:f>IF(AND(SUM(K90:M90)&lt;9,OR(M90=0,N90&lt;6)),1,0)</x:f>
        <x:v>1</x:v>
      </x:c>
      <x:c r="P90" s="19" t="n">
        <x:f>IF(AND(SUM(K90:M90)&lt;9,OR(L90=0,N90&lt;6)),1,0)</x:f>
        <x:v>1</x:v>
      </x:c>
      <x:c r="Q90" s="19" t="n">
        <x:f>IF(AND(SUM(K90:M90)&lt;9,OR(K90=0,N90&lt;6)),1,0)</x:f>
        <x:v>1</x:v>
      </x:c>
      <x:c r="R90" s="22" t="str">
        <x:f>O90&amp;P90&amp;Q90</x:f>
        <x:v>111</x:v>
      </x:c>
      <x:c r="S90" s="19" t="n">
        <x:f>IF(I90=1,IF(J90=0,Q90,IF(J90=1,P90,IF(J90=2,O90,0))),0)</x:f>
        <x:v>1</x:v>
      </x:c>
      <x:c r="T90" s="19" t="n">
        <x:f>K90+IF(AND(S90=1,J90=0),1,0)</x:f>
        <x:v>0</x:v>
      </x:c>
      <x:c r="U90" s="19" t="n">
        <x:f>L90+IF(AND(S90=1,J90=1),1,0)</x:f>
        <x:v>2</x:v>
      </x:c>
      <x:c r="V90" s="19" t="n">
        <x:f>M90+IF(AND(S90=1,J90=2),1,0)</x:f>
        <x:v>2</x:v>
      </x:c>
      <x:c r="W90" s="19" t="n">
        <x:f>SUM(T90:V90)</x:f>
        <x:v>4</x:v>
      </x:c>
      <x:c r="X90" s="19" t="n">
        <x:f>W90-G90</x:f>
        <x:v>1</x:v>
      </x:c>
      <x:c r="Y90" s="19" t="n">
        <x:f>MAX(T90,1)+MAX(U90,1)+MAX(V90,1)</x:f>
        <x:v>5</x:v>
      </x:c>
      <x:c r="Z90" s="21" t="str">
        <x:f>IF(AND(MIN(D90:F90)&gt;=0,MAX(D90:F90)&lt;=7,MAX(D90,1)+MAX(E90,1)+MAX(F90,1)&lt;=9,OR(H90="-",AND(H90=0,D90&gt;0),AND(H90=1,E90&gt;0),AND(H90=2,F90&gt;0)),OR(I90=0,AND(I90=1,OR(J90=0,J90=1,J90=2),R90&lt;&gt;"000")),Y90&lt;=9,MIN(T90:V90)&gt;=0),"合法","输入违约")</x:f>
        <x:v>合法</x:v>
      </x:c>
    </x:row>
    <x:row r="91" ht="23" customHeight="1">
      <x:c r="A91" s="3" t="str">
        <x:v>CT-0084</x:v>
      </x:c>
      <x:c r="B91" s="3" t="str">
        <x:v>ST-012</x:v>
      </x:c>
      <x:c r="C91" s="3" t="str">
        <x:v>仅AR接收</x:v>
      </x:c>
      <x:c r="D91" s="25" t="n">
        <x:v>0</x:v>
      </x:c>
      <x:c r="E91" s="25" t="n">
        <x:v>1</x:v>
      </x:c>
      <x:c r="F91" s="25" t="n">
        <x:v>2</x:v>
      </x:c>
      <x:c r="G91" s="19" t="n">
        <x:f>SUM(D91:F91)</x:f>
        <x:v>3</x:v>
      </x:c>
      <x:c r="H91" s="25" t="str">
        <x:v>-</x:v>
      </x:c>
      <x:c r="I91" s="25" t="n">
        <x:v>1</x:v>
      </x:c>
      <x:c r="J91" s="25" t="n">
        <x:v>2</x:v>
      </x:c>
      <x:c r="K91" s="19" t="n">
        <x:f>D91-IF(H91=0,1,0)</x:f>
        <x:v>0</x:v>
      </x:c>
      <x:c r="L91" s="19" t="n">
        <x:f>E91-IF(H91=1,1,0)</x:f>
        <x:v>1</x:v>
      </x:c>
      <x:c r="M91" s="19" t="n">
        <x:f>F91-IF(H91=2,1,0)</x:f>
        <x:v>2</x:v>
      </x:c>
      <x:c r="N91" s="19" t="n">
        <x:f>MAX(K91-1,0)+MAX(L91-1,0)+MAX(M91-1,0)</x:f>
        <x:v>1</x:v>
      </x:c>
      <x:c r="O91" s="19" t="n">
        <x:f>IF(AND(SUM(K91:M91)&lt;9,OR(M91=0,N91&lt;6)),1,0)</x:f>
        <x:v>1</x:v>
      </x:c>
      <x:c r="P91" s="19" t="n">
        <x:f>IF(AND(SUM(K91:M91)&lt;9,OR(L91=0,N91&lt;6)),1,0)</x:f>
        <x:v>1</x:v>
      </x:c>
      <x:c r="Q91" s="19" t="n">
        <x:f>IF(AND(SUM(K91:M91)&lt;9,OR(K91=0,N91&lt;6)),1,0)</x:f>
        <x:v>1</x:v>
      </x:c>
      <x:c r="R91" s="22" t="str">
        <x:f>O91&amp;P91&amp;Q91</x:f>
        <x:v>111</x:v>
      </x:c>
      <x:c r="S91" s="19" t="n">
        <x:f>IF(I91=1,IF(J91=0,Q91,IF(J91=1,P91,IF(J91=2,O91,0))),0)</x:f>
        <x:v>1</x:v>
      </x:c>
      <x:c r="T91" s="19" t="n">
        <x:f>K91+IF(AND(S91=1,J91=0),1,0)</x:f>
        <x:v>0</x:v>
      </x:c>
      <x:c r="U91" s="19" t="n">
        <x:f>L91+IF(AND(S91=1,J91=1),1,0)</x:f>
        <x:v>1</x:v>
      </x:c>
      <x:c r="V91" s="19" t="n">
        <x:f>M91+IF(AND(S91=1,J91=2),1,0)</x:f>
        <x:v>3</x:v>
      </x:c>
      <x:c r="W91" s="19" t="n">
        <x:f>SUM(T91:V91)</x:f>
        <x:v>4</x:v>
      </x:c>
      <x:c r="X91" s="19" t="n">
        <x:f>W91-G91</x:f>
        <x:v>1</x:v>
      </x:c>
      <x:c r="Y91" s="19" t="n">
        <x:f>MAX(T91,1)+MAX(U91,1)+MAX(V91,1)</x:f>
        <x:v>5</x:v>
      </x:c>
      <x:c r="Z91" s="21" t="str">
        <x:f>IF(AND(MIN(D91:F91)&gt;=0,MAX(D91:F91)&lt;=7,MAX(D91,1)+MAX(E91,1)+MAX(F91,1)&lt;=9,OR(H91="-",AND(H91=0,D91&gt;0),AND(H91=1,E91&gt;0),AND(H91=2,F91&gt;0)),OR(I91=0,AND(I91=1,OR(J91=0,J91=1,J91=2),R91&lt;&gt;"000")),Y91&lt;=9,MIN(T91:V91)&gt;=0),"合法","输入违约")</x:f>
        <x:v>合法</x:v>
      </x:c>
    </x:row>
    <x:row r="92" ht="23" customHeight="1">
      <x:c r="A92" s="3" t="str">
        <x:v>CT-0085</x:v>
      </x:c>
      <x:c r="B92" s="3" t="str">
        <x:v>ST-012</x:v>
      </x:c>
      <x:c r="C92" s="3" t="str">
        <x:v>仅R回收</x:v>
      </x:c>
      <x:c r="D92" s="25" t="n">
        <x:v>0</x:v>
      </x:c>
      <x:c r="E92" s="25" t="n">
        <x:v>1</x:v>
      </x:c>
      <x:c r="F92" s="25" t="n">
        <x:v>2</x:v>
      </x:c>
      <x:c r="G92" s="19" t="n">
        <x:f>SUM(D92:F92)</x:f>
        <x:v>3</x:v>
      </x:c>
      <x:c r="H92" s="25" t="n">
        <x:v>1</x:v>
      </x:c>
      <x:c r="I92" s="25" t="n">
        <x:v>0</x:v>
      </x:c>
      <x:c r="J92" s="25" t="str">
        <x:v>-</x:v>
      </x:c>
      <x:c r="K92" s="19" t="n">
        <x:f>D92-IF(H92=0,1,0)</x:f>
        <x:v>0</x:v>
      </x:c>
      <x:c r="L92" s="19" t="n">
        <x:f>E92-IF(H92=1,1,0)</x:f>
        <x:v>0</x:v>
      </x:c>
      <x:c r="M92" s="19" t="n">
        <x:f>F92-IF(H92=2,1,0)</x:f>
        <x:v>2</x:v>
      </x:c>
      <x:c r="N92" s="19" t="n">
        <x:f>MAX(K92-1,0)+MAX(L92-1,0)+MAX(M92-1,0)</x:f>
        <x:v>1</x:v>
      </x:c>
      <x:c r="O92" s="19" t="n">
        <x:f>IF(AND(SUM(K92:M92)&lt;9,OR(M92=0,N92&lt;6)),1,0)</x:f>
        <x:v>1</x:v>
      </x:c>
      <x:c r="P92" s="19" t="n">
        <x:f>IF(AND(SUM(K92:M92)&lt;9,OR(L92=0,N92&lt;6)),1,0)</x:f>
        <x:v>1</x:v>
      </x:c>
      <x:c r="Q92" s="19" t="n">
        <x:f>IF(AND(SUM(K92:M92)&lt;9,OR(K92=0,N92&lt;6)),1,0)</x:f>
        <x:v>1</x:v>
      </x:c>
      <x:c r="R92" s="22" t="str">
        <x:f>O92&amp;P92&amp;Q92</x:f>
        <x:v>111</x:v>
      </x:c>
      <x:c r="S92" s="19" t="n">
        <x:f>IF(I92=1,IF(J92=0,Q92,IF(J92=1,P92,IF(J92=2,O92,0))),0)</x:f>
        <x:v>0</x:v>
      </x:c>
      <x:c r="T92" s="19" t="n">
        <x:f>K92+IF(AND(S92=1,J92=0),1,0)</x:f>
        <x:v>0</x:v>
      </x:c>
      <x:c r="U92" s="19" t="n">
        <x:f>L92+IF(AND(S92=1,J92=1),1,0)</x:f>
        <x:v>0</x:v>
      </x:c>
      <x:c r="V92" s="19" t="n">
        <x:f>M92+IF(AND(S92=1,J92=2),1,0)</x:f>
        <x:v>2</x:v>
      </x:c>
      <x:c r="W92" s="19" t="n">
        <x:f>SUM(T92:V92)</x:f>
        <x:v>2</x:v>
      </x:c>
      <x:c r="X92" s="19" t="n">
        <x:f>W92-G92</x:f>
        <x:v>-1</x:v>
      </x:c>
      <x:c r="Y92" s="19" t="n">
        <x:f>MAX(T92,1)+MAX(U92,1)+MAX(V92,1)</x:f>
        <x:v>4</x:v>
      </x:c>
      <x:c r="Z92" s="21" t="str">
        <x:f>IF(AND(MIN(D92:F92)&gt;=0,MAX(D92:F92)&lt;=7,MAX(D92,1)+MAX(E92,1)+MAX(F92,1)&lt;=9,OR(H92="-",AND(H92=0,D92&gt;0),AND(H92=1,E92&gt;0),AND(H92=2,F92&gt;0)),OR(I92=0,AND(I92=1,OR(J92=0,J92=1,J92=2),R92&lt;&gt;"000")),Y92&lt;=9,MIN(T92:V92)&gt;=0),"合法","输入违约")</x:f>
        <x:v>合法</x:v>
      </x:c>
    </x:row>
    <x:row r="93" ht="23" customHeight="1">
      <x:c r="A93" s="3" t="str">
        <x:v>CT-0086</x:v>
      </x:c>
      <x:c r="B93" s="3" t="str">
        <x:v>ST-012</x:v>
      </x:c>
      <x:c r="C93" s="3" t="str">
        <x:v>R+AR同收同发</x:v>
      </x:c>
      <x:c r="D93" s="25" t="n">
        <x:v>0</x:v>
      </x:c>
      <x:c r="E93" s="25" t="n">
        <x:v>1</x:v>
      </x:c>
      <x:c r="F93" s="25" t="n">
        <x:v>2</x:v>
      </x:c>
      <x:c r="G93" s="19" t="n">
        <x:f>SUM(D93:F93)</x:f>
        <x:v>3</x:v>
      </x:c>
      <x:c r="H93" s="25" t="n">
        <x:v>1</x:v>
      </x:c>
      <x:c r="I93" s="25" t="n">
        <x:v>1</x:v>
      </x:c>
      <x:c r="J93" s="25" t="n">
        <x:v>0</x:v>
      </x:c>
      <x:c r="K93" s="19" t="n">
        <x:f>D93-IF(H93=0,1,0)</x:f>
        <x:v>0</x:v>
      </x:c>
      <x:c r="L93" s="19" t="n">
        <x:f>E93-IF(H93=1,1,0)</x:f>
        <x:v>0</x:v>
      </x:c>
      <x:c r="M93" s="19" t="n">
        <x:f>F93-IF(H93=2,1,0)</x:f>
        <x:v>2</x:v>
      </x:c>
      <x:c r="N93" s="19" t="n">
        <x:f>MAX(K93-1,0)+MAX(L93-1,0)+MAX(M93-1,0)</x:f>
        <x:v>1</x:v>
      </x:c>
      <x:c r="O93" s="19" t="n">
        <x:f>IF(AND(SUM(K93:M93)&lt;9,OR(M93=0,N93&lt;6)),1,0)</x:f>
        <x:v>1</x:v>
      </x:c>
      <x:c r="P93" s="19" t="n">
        <x:f>IF(AND(SUM(K93:M93)&lt;9,OR(L93=0,N93&lt;6)),1,0)</x:f>
        <x:v>1</x:v>
      </x:c>
      <x:c r="Q93" s="19" t="n">
        <x:f>IF(AND(SUM(K93:M93)&lt;9,OR(K93=0,N93&lt;6)),1,0)</x:f>
        <x:v>1</x:v>
      </x:c>
      <x:c r="R93" s="22" t="str">
        <x:f>O93&amp;P93&amp;Q93</x:f>
        <x:v>111</x:v>
      </x:c>
      <x:c r="S93" s="19" t="n">
        <x:f>IF(I93=1,IF(J93=0,Q93,IF(J93=1,P93,IF(J93=2,O93,0))),0)</x:f>
        <x:v>1</x:v>
      </x:c>
      <x:c r="T93" s="19" t="n">
        <x:f>K93+IF(AND(S93=1,J93=0),1,0)</x:f>
        <x:v>1</x:v>
      </x:c>
      <x:c r="U93" s="19" t="n">
        <x:f>L93+IF(AND(S93=1,J93=1),1,0)</x:f>
        <x:v>0</x:v>
      </x:c>
      <x:c r="V93" s="19" t="n">
        <x:f>M93+IF(AND(S93=1,J93=2),1,0)</x:f>
        <x:v>2</x:v>
      </x:c>
      <x:c r="W93" s="19" t="n">
        <x:f>SUM(T93:V93)</x:f>
        <x:v>3</x:v>
      </x:c>
      <x:c r="X93" s="19" t="n">
        <x:f>W93-G93</x:f>
        <x:v>0</x:v>
      </x:c>
      <x:c r="Y93" s="19" t="n">
        <x:f>MAX(T93,1)+MAX(U93,1)+MAX(V93,1)</x:f>
        <x:v>4</x:v>
      </x:c>
      <x:c r="Z93" s="21" t="str">
        <x:f>IF(AND(MIN(D93:F93)&gt;=0,MAX(D93:F93)&lt;=7,MAX(D93,1)+MAX(E93,1)+MAX(F93,1)&lt;=9,OR(H93="-",AND(H93=0,D93&gt;0),AND(H93=1,E93&gt;0),AND(H93=2,F93&gt;0)),OR(I93=0,AND(I93=1,OR(J93=0,J93=1,J93=2),R93&lt;&gt;"000")),Y93&lt;=9,MIN(T93:V93)&gt;=0),"合法","输入违约")</x:f>
        <x:v>合法</x:v>
      </x:c>
    </x:row>
    <x:row r="94" ht="23" customHeight="1">
      <x:c r="A94" s="3" t="str">
        <x:v>CT-0087</x:v>
      </x:c>
      <x:c r="B94" s="3" t="str">
        <x:v>ST-012</x:v>
      </x:c>
      <x:c r="C94" s="3" t="str">
        <x:v>R+AR同收同发</x:v>
      </x:c>
      <x:c r="D94" s="25" t="n">
        <x:v>0</x:v>
      </x:c>
      <x:c r="E94" s="25" t="n">
        <x:v>1</x:v>
      </x:c>
      <x:c r="F94" s="25" t="n">
        <x:v>2</x:v>
      </x:c>
      <x:c r="G94" s="19" t="n">
        <x:f>SUM(D94:F94)</x:f>
        <x:v>3</x:v>
      </x:c>
      <x:c r="H94" s="25" t="n">
        <x:v>1</x:v>
      </x:c>
      <x:c r="I94" s="25" t="n">
        <x:v>1</x:v>
      </x:c>
      <x:c r="J94" s="25" t="n">
        <x:v>1</x:v>
      </x:c>
      <x:c r="K94" s="19" t="n">
        <x:f>D94-IF(H94=0,1,0)</x:f>
        <x:v>0</x:v>
      </x:c>
      <x:c r="L94" s="19" t="n">
        <x:f>E94-IF(H94=1,1,0)</x:f>
        <x:v>0</x:v>
      </x:c>
      <x:c r="M94" s="19" t="n">
        <x:f>F94-IF(H94=2,1,0)</x:f>
        <x:v>2</x:v>
      </x:c>
      <x:c r="N94" s="19" t="n">
        <x:f>MAX(K94-1,0)+MAX(L94-1,0)+MAX(M94-1,0)</x:f>
        <x:v>1</x:v>
      </x:c>
      <x:c r="O94" s="19" t="n">
        <x:f>IF(AND(SUM(K94:M94)&lt;9,OR(M94=0,N94&lt;6)),1,0)</x:f>
        <x:v>1</x:v>
      </x:c>
      <x:c r="P94" s="19" t="n">
        <x:f>IF(AND(SUM(K94:M94)&lt;9,OR(L94=0,N94&lt;6)),1,0)</x:f>
        <x:v>1</x:v>
      </x:c>
      <x:c r="Q94" s="19" t="n">
        <x:f>IF(AND(SUM(K94:M94)&lt;9,OR(K94=0,N94&lt;6)),1,0)</x:f>
        <x:v>1</x:v>
      </x:c>
      <x:c r="R94" s="22" t="str">
        <x:f>O94&amp;P94&amp;Q94</x:f>
        <x:v>111</x:v>
      </x:c>
      <x:c r="S94" s="19" t="n">
        <x:f>IF(I94=1,IF(J94=0,Q94,IF(J94=1,P94,IF(J94=2,O94,0))),0)</x:f>
        <x:v>1</x:v>
      </x:c>
      <x:c r="T94" s="19" t="n">
        <x:f>K94+IF(AND(S94=1,J94=0),1,0)</x:f>
        <x:v>0</x:v>
      </x:c>
      <x:c r="U94" s="19" t="n">
        <x:f>L94+IF(AND(S94=1,J94=1),1,0)</x:f>
        <x:v>1</x:v>
      </x:c>
      <x:c r="V94" s="19" t="n">
        <x:f>M94+IF(AND(S94=1,J94=2),1,0)</x:f>
        <x:v>2</x:v>
      </x:c>
      <x:c r="W94" s="19" t="n">
        <x:f>SUM(T94:V94)</x:f>
        <x:v>3</x:v>
      </x:c>
      <x:c r="X94" s="19" t="n">
        <x:f>W94-G94</x:f>
        <x:v>0</x:v>
      </x:c>
      <x:c r="Y94" s="19" t="n">
        <x:f>MAX(T94,1)+MAX(U94,1)+MAX(V94,1)</x:f>
        <x:v>4</x:v>
      </x:c>
      <x:c r="Z94" s="21" t="str">
        <x:f>IF(AND(MIN(D94:F94)&gt;=0,MAX(D94:F94)&lt;=7,MAX(D94,1)+MAX(E94,1)+MAX(F94,1)&lt;=9,OR(H94="-",AND(H94=0,D94&gt;0),AND(H94=1,E94&gt;0),AND(H94=2,F94&gt;0)),OR(I94=0,AND(I94=1,OR(J94=0,J94=1,J94=2),R94&lt;&gt;"000")),Y94&lt;=9,MIN(T94:V94)&gt;=0),"合法","输入违约")</x:f>
        <x:v>合法</x:v>
      </x:c>
    </x:row>
    <x:row r="95" ht="23" customHeight="1">
      <x:c r="A95" s="3" t="str">
        <x:v>CT-0088</x:v>
      </x:c>
      <x:c r="B95" s="3" t="str">
        <x:v>ST-012</x:v>
      </x:c>
      <x:c r="C95" s="3" t="str">
        <x:v>R+AR同收同发</x:v>
      </x:c>
      <x:c r="D95" s="25" t="n">
        <x:v>0</x:v>
      </x:c>
      <x:c r="E95" s="25" t="n">
        <x:v>1</x:v>
      </x:c>
      <x:c r="F95" s="25" t="n">
        <x:v>2</x:v>
      </x:c>
      <x:c r="G95" s="19" t="n">
        <x:f>SUM(D95:F95)</x:f>
        <x:v>3</x:v>
      </x:c>
      <x:c r="H95" s="25" t="n">
        <x:v>1</x:v>
      </x:c>
      <x:c r="I95" s="25" t="n">
        <x:v>1</x:v>
      </x:c>
      <x:c r="J95" s="25" t="n">
        <x:v>2</x:v>
      </x:c>
      <x:c r="K95" s="19" t="n">
        <x:f>D95-IF(H95=0,1,0)</x:f>
        <x:v>0</x:v>
      </x:c>
      <x:c r="L95" s="19" t="n">
        <x:f>E95-IF(H95=1,1,0)</x:f>
        <x:v>0</x:v>
      </x:c>
      <x:c r="M95" s="19" t="n">
        <x:f>F95-IF(H95=2,1,0)</x:f>
        <x:v>2</x:v>
      </x:c>
      <x:c r="N95" s="19" t="n">
        <x:f>MAX(K95-1,0)+MAX(L95-1,0)+MAX(M95-1,0)</x:f>
        <x:v>1</x:v>
      </x:c>
      <x:c r="O95" s="19" t="n">
        <x:f>IF(AND(SUM(K95:M95)&lt;9,OR(M95=0,N95&lt;6)),1,0)</x:f>
        <x:v>1</x:v>
      </x:c>
      <x:c r="P95" s="19" t="n">
        <x:f>IF(AND(SUM(K95:M95)&lt;9,OR(L95=0,N95&lt;6)),1,0)</x:f>
        <x:v>1</x:v>
      </x:c>
      <x:c r="Q95" s="19" t="n">
        <x:f>IF(AND(SUM(K95:M95)&lt;9,OR(K95=0,N95&lt;6)),1,0)</x:f>
        <x:v>1</x:v>
      </x:c>
      <x:c r="R95" s="22" t="str">
        <x:f>O95&amp;P95&amp;Q95</x:f>
        <x:v>111</x:v>
      </x:c>
      <x:c r="S95" s="19" t="n">
        <x:f>IF(I95=1,IF(J95=0,Q95,IF(J95=1,P95,IF(J95=2,O95,0))),0)</x:f>
        <x:v>1</x:v>
      </x:c>
      <x:c r="T95" s="19" t="n">
        <x:f>K95+IF(AND(S95=1,J95=0),1,0)</x:f>
        <x:v>0</x:v>
      </x:c>
      <x:c r="U95" s="19" t="n">
        <x:f>L95+IF(AND(S95=1,J95=1),1,0)</x:f>
        <x:v>0</x:v>
      </x:c>
      <x:c r="V95" s="19" t="n">
        <x:f>M95+IF(AND(S95=1,J95=2),1,0)</x:f>
        <x:v>3</x:v>
      </x:c>
      <x:c r="W95" s="19" t="n">
        <x:f>SUM(T95:V95)</x:f>
        <x:v>3</x:v>
      </x:c>
      <x:c r="X95" s="19" t="n">
        <x:f>W95-G95</x:f>
        <x:v>0</x:v>
      </x:c>
      <x:c r="Y95" s="19" t="n">
        <x:f>MAX(T95,1)+MAX(U95,1)+MAX(V95,1)</x:f>
        <x:v>5</x:v>
      </x:c>
      <x:c r="Z95" s="21" t="str">
        <x:f>IF(AND(MIN(D95:F95)&gt;=0,MAX(D95:F95)&lt;=7,MAX(D95,1)+MAX(E95,1)+MAX(F95,1)&lt;=9,OR(H95="-",AND(H95=0,D95&gt;0),AND(H95=1,E95&gt;0),AND(H95=2,F95&gt;0)),OR(I95=0,AND(I95=1,OR(J95=0,J95=1,J95=2),R95&lt;&gt;"000")),Y95&lt;=9,MIN(T95:V95)&gt;=0),"合法","输入违约")</x:f>
        <x:v>合法</x:v>
      </x:c>
    </x:row>
    <x:row r="96" ht="23" customHeight="1">
      <x:c r="A96" s="3" t="str">
        <x:v>CT-0089</x:v>
      </x:c>
      <x:c r="B96" s="3" t="str">
        <x:v>ST-012</x:v>
      </x:c>
      <x:c r="C96" s="3" t="str">
        <x:v>仅R回收</x:v>
      </x:c>
      <x:c r="D96" s="25" t="n">
        <x:v>0</x:v>
      </x:c>
      <x:c r="E96" s="25" t="n">
        <x:v>1</x:v>
      </x:c>
      <x:c r="F96" s="25" t="n">
        <x:v>2</x:v>
      </x:c>
      <x:c r="G96" s="19" t="n">
        <x:f>SUM(D96:F96)</x:f>
        <x:v>3</x:v>
      </x:c>
      <x:c r="H96" s="25" t="n">
        <x:v>2</x:v>
      </x:c>
      <x:c r="I96" s="25" t="n">
        <x:v>0</x:v>
      </x:c>
      <x:c r="J96" s="25" t="str">
        <x:v>-</x:v>
      </x:c>
      <x:c r="K96" s="19" t="n">
        <x:f>D96-IF(H96=0,1,0)</x:f>
        <x:v>0</x:v>
      </x:c>
      <x:c r="L96" s="19" t="n">
        <x:f>E96-IF(H96=1,1,0)</x:f>
        <x:v>1</x:v>
      </x:c>
      <x:c r="M96" s="19" t="n">
        <x:f>F96-IF(H96=2,1,0)</x:f>
        <x:v>1</x:v>
      </x:c>
      <x:c r="N96" s="19" t="n">
        <x:f>MAX(K96-1,0)+MAX(L96-1,0)+MAX(M96-1,0)</x:f>
        <x:v>0</x:v>
      </x:c>
      <x:c r="O96" s="19" t="n">
        <x:f>IF(AND(SUM(K96:M96)&lt;9,OR(M96=0,N96&lt;6)),1,0)</x:f>
        <x:v>1</x:v>
      </x:c>
      <x:c r="P96" s="19" t="n">
        <x:f>IF(AND(SUM(K96:M96)&lt;9,OR(L96=0,N96&lt;6)),1,0)</x:f>
        <x:v>1</x:v>
      </x:c>
      <x:c r="Q96" s="19" t="n">
        <x:f>IF(AND(SUM(K96:M96)&lt;9,OR(K96=0,N96&lt;6)),1,0)</x:f>
        <x:v>1</x:v>
      </x:c>
      <x:c r="R96" s="22" t="str">
        <x:f>O96&amp;P96&amp;Q96</x:f>
        <x:v>111</x:v>
      </x:c>
      <x:c r="S96" s="19" t="n">
        <x:f>IF(I96=1,IF(J96=0,Q96,IF(J96=1,P96,IF(J96=2,O96,0))),0)</x:f>
        <x:v>0</x:v>
      </x:c>
      <x:c r="T96" s="19" t="n">
        <x:f>K96+IF(AND(S96=1,J96=0),1,0)</x:f>
        <x:v>0</x:v>
      </x:c>
      <x:c r="U96" s="19" t="n">
        <x:f>L96+IF(AND(S96=1,J96=1),1,0)</x:f>
        <x:v>1</x:v>
      </x:c>
      <x:c r="V96" s="19" t="n">
        <x:f>M96+IF(AND(S96=1,J96=2),1,0)</x:f>
        <x:v>1</x:v>
      </x:c>
      <x:c r="W96" s="19" t="n">
        <x:f>SUM(T96:V96)</x:f>
        <x:v>2</x:v>
      </x:c>
      <x:c r="X96" s="19" t="n">
        <x:f>W96-G96</x:f>
        <x:v>-1</x:v>
      </x:c>
      <x:c r="Y96" s="19" t="n">
        <x:f>MAX(T96,1)+MAX(U96,1)+MAX(V96,1)</x:f>
        <x:v>3</x:v>
      </x:c>
      <x:c r="Z96" s="21" t="str">
        <x:f>IF(AND(MIN(D96:F96)&gt;=0,MAX(D96:F96)&lt;=7,MAX(D96,1)+MAX(E96,1)+MAX(F96,1)&lt;=9,OR(H96="-",AND(H96=0,D96&gt;0),AND(H96=1,E96&gt;0),AND(H96=2,F96&gt;0)),OR(I96=0,AND(I96=1,OR(J96=0,J96=1,J96=2),R96&lt;&gt;"000")),Y96&lt;=9,MIN(T96:V96)&gt;=0),"合法","输入违约")</x:f>
        <x:v>合法</x:v>
      </x:c>
    </x:row>
    <x:row r="97" ht="23" customHeight="1">
      <x:c r="A97" s="3" t="str">
        <x:v>CT-0090</x:v>
      </x:c>
      <x:c r="B97" s="3" t="str">
        <x:v>ST-012</x:v>
      </x:c>
      <x:c r="C97" s="3" t="str">
        <x:v>R+AR同收同发</x:v>
      </x:c>
      <x:c r="D97" s="25" t="n">
        <x:v>0</x:v>
      </x:c>
      <x:c r="E97" s="25" t="n">
        <x:v>1</x:v>
      </x:c>
      <x:c r="F97" s="25" t="n">
        <x:v>2</x:v>
      </x:c>
      <x:c r="G97" s="19" t="n">
        <x:f>SUM(D97:F97)</x:f>
        <x:v>3</x:v>
      </x:c>
      <x:c r="H97" s="25" t="n">
        <x:v>2</x:v>
      </x:c>
      <x:c r="I97" s="25" t="n">
        <x:v>1</x:v>
      </x:c>
      <x:c r="J97" s="25" t="n">
        <x:v>0</x:v>
      </x:c>
      <x:c r="K97" s="19" t="n">
        <x:f>D97-IF(H97=0,1,0)</x:f>
        <x:v>0</x:v>
      </x:c>
      <x:c r="L97" s="19" t="n">
        <x:f>E97-IF(H97=1,1,0)</x:f>
        <x:v>1</x:v>
      </x:c>
      <x:c r="M97" s="19" t="n">
        <x:f>F97-IF(H97=2,1,0)</x:f>
        <x:v>1</x:v>
      </x:c>
      <x:c r="N97" s="19" t="n">
        <x:f>MAX(K97-1,0)+MAX(L97-1,0)+MAX(M97-1,0)</x:f>
        <x:v>0</x:v>
      </x:c>
      <x:c r="O97" s="19" t="n">
        <x:f>IF(AND(SUM(K97:M97)&lt;9,OR(M97=0,N97&lt;6)),1,0)</x:f>
        <x:v>1</x:v>
      </x:c>
      <x:c r="P97" s="19" t="n">
        <x:f>IF(AND(SUM(K97:M97)&lt;9,OR(L97=0,N97&lt;6)),1,0)</x:f>
        <x:v>1</x:v>
      </x:c>
      <x:c r="Q97" s="19" t="n">
        <x:f>IF(AND(SUM(K97:M97)&lt;9,OR(K97=0,N97&lt;6)),1,0)</x:f>
        <x:v>1</x:v>
      </x:c>
      <x:c r="R97" s="22" t="str">
        <x:f>O97&amp;P97&amp;Q97</x:f>
        <x:v>111</x:v>
      </x:c>
      <x:c r="S97" s="19" t="n">
        <x:f>IF(I97=1,IF(J97=0,Q97,IF(J97=1,P97,IF(J97=2,O97,0))),0)</x:f>
        <x:v>1</x:v>
      </x:c>
      <x:c r="T97" s="19" t="n">
        <x:f>K97+IF(AND(S97=1,J97=0),1,0)</x:f>
        <x:v>1</x:v>
      </x:c>
      <x:c r="U97" s="19" t="n">
        <x:f>L97+IF(AND(S97=1,J97=1),1,0)</x:f>
        <x:v>1</x:v>
      </x:c>
      <x:c r="V97" s="19" t="n">
        <x:f>M97+IF(AND(S97=1,J97=2),1,0)</x:f>
        <x:v>1</x:v>
      </x:c>
      <x:c r="W97" s="19" t="n">
        <x:f>SUM(T97:V97)</x:f>
        <x:v>3</x:v>
      </x:c>
      <x:c r="X97" s="19" t="n">
        <x:f>W97-G97</x:f>
        <x:v>0</x:v>
      </x:c>
      <x:c r="Y97" s="19" t="n">
        <x:f>MAX(T97,1)+MAX(U97,1)+MAX(V97,1)</x:f>
        <x:v>3</x:v>
      </x:c>
      <x:c r="Z97" s="21" t="str">
        <x:f>IF(AND(MIN(D97:F97)&gt;=0,MAX(D97:F97)&lt;=7,MAX(D97,1)+MAX(E97,1)+MAX(F97,1)&lt;=9,OR(H97="-",AND(H97=0,D97&gt;0),AND(H97=1,E97&gt;0),AND(H97=2,F97&gt;0)),OR(I97=0,AND(I97=1,OR(J97=0,J97=1,J97=2),R97&lt;&gt;"000")),Y97&lt;=9,MIN(T97:V97)&gt;=0),"合法","输入违约")</x:f>
        <x:v>合法</x:v>
      </x:c>
    </x:row>
    <x:row r="98" ht="23" customHeight="1">
      <x:c r="A98" s="3" t="str">
        <x:v>CT-0091</x:v>
      </x:c>
      <x:c r="B98" s="3" t="str">
        <x:v>ST-012</x:v>
      </x:c>
      <x:c r="C98" s="3" t="str">
        <x:v>R+AR同收同发</x:v>
      </x:c>
      <x:c r="D98" s="25" t="n">
        <x:v>0</x:v>
      </x:c>
      <x:c r="E98" s="25" t="n">
        <x:v>1</x:v>
      </x:c>
      <x:c r="F98" s="25" t="n">
        <x:v>2</x:v>
      </x:c>
      <x:c r="G98" s="19" t="n">
        <x:f>SUM(D98:F98)</x:f>
        <x:v>3</x:v>
      </x:c>
      <x:c r="H98" s="25" t="n">
        <x:v>2</x:v>
      </x:c>
      <x:c r="I98" s="25" t="n">
        <x:v>1</x:v>
      </x:c>
      <x:c r="J98" s="25" t="n">
        <x:v>1</x:v>
      </x:c>
      <x:c r="K98" s="19" t="n">
        <x:f>D98-IF(H98=0,1,0)</x:f>
        <x:v>0</x:v>
      </x:c>
      <x:c r="L98" s="19" t="n">
        <x:f>E98-IF(H98=1,1,0)</x:f>
        <x:v>1</x:v>
      </x:c>
      <x:c r="M98" s="19" t="n">
        <x:f>F98-IF(H98=2,1,0)</x:f>
        <x:v>1</x:v>
      </x:c>
      <x:c r="N98" s="19" t="n">
        <x:f>MAX(K98-1,0)+MAX(L98-1,0)+MAX(M98-1,0)</x:f>
        <x:v>0</x:v>
      </x:c>
      <x:c r="O98" s="19" t="n">
        <x:f>IF(AND(SUM(K98:M98)&lt;9,OR(M98=0,N98&lt;6)),1,0)</x:f>
        <x:v>1</x:v>
      </x:c>
      <x:c r="P98" s="19" t="n">
        <x:f>IF(AND(SUM(K98:M98)&lt;9,OR(L98=0,N98&lt;6)),1,0)</x:f>
        <x:v>1</x:v>
      </x:c>
      <x:c r="Q98" s="19" t="n">
        <x:f>IF(AND(SUM(K98:M98)&lt;9,OR(K98=0,N98&lt;6)),1,0)</x:f>
        <x:v>1</x:v>
      </x:c>
      <x:c r="R98" s="22" t="str">
        <x:f>O98&amp;P98&amp;Q98</x:f>
        <x:v>111</x:v>
      </x:c>
      <x:c r="S98" s="19" t="n">
        <x:f>IF(I98=1,IF(J98=0,Q98,IF(J98=1,P98,IF(J98=2,O98,0))),0)</x:f>
        <x:v>1</x:v>
      </x:c>
      <x:c r="T98" s="19" t="n">
        <x:f>K98+IF(AND(S98=1,J98=0),1,0)</x:f>
        <x:v>0</x:v>
      </x:c>
      <x:c r="U98" s="19" t="n">
        <x:f>L98+IF(AND(S98=1,J98=1),1,0)</x:f>
        <x:v>2</x:v>
      </x:c>
      <x:c r="V98" s="19" t="n">
        <x:f>M98+IF(AND(S98=1,J98=2),1,0)</x:f>
        <x:v>1</x:v>
      </x:c>
      <x:c r="W98" s="19" t="n">
        <x:f>SUM(T98:V98)</x:f>
        <x:v>3</x:v>
      </x:c>
      <x:c r="X98" s="19" t="n">
        <x:f>W98-G98</x:f>
        <x:v>0</x:v>
      </x:c>
      <x:c r="Y98" s="19" t="n">
        <x:f>MAX(T98,1)+MAX(U98,1)+MAX(V98,1)</x:f>
        <x:v>4</x:v>
      </x:c>
      <x:c r="Z98" s="21" t="str">
        <x:f>IF(AND(MIN(D98:F98)&gt;=0,MAX(D98:F98)&lt;=7,MAX(D98,1)+MAX(E98,1)+MAX(F98,1)&lt;=9,OR(H98="-",AND(H98=0,D98&gt;0),AND(H98=1,E98&gt;0),AND(H98=2,F98&gt;0)),OR(I98=0,AND(I98=1,OR(J98=0,J98=1,J98=2),R98&lt;&gt;"000")),Y98&lt;=9,MIN(T98:V98)&gt;=0),"合法","输入违约")</x:f>
        <x:v>合法</x:v>
      </x:c>
    </x:row>
    <x:row r="99" ht="23" customHeight="1">
      <x:c r="A99" s="3" t="str">
        <x:v>CT-0092</x:v>
      </x:c>
      <x:c r="B99" s="3" t="str">
        <x:v>ST-012</x:v>
      </x:c>
      <x:c r="C99" s="3" t="str">
        <x:v>R+AR同收同发</x:v>
      </x:c>
      <x:c r="D99" s="25" t="n">
        <x:v>0</x:v>
      </x:c>
      <x:c r="E99" s="25" t="n">
        <x:v>1</x:v>
      </x:c>
      <x:c r="F99" s="25" t="n">
        <x:v>2</x:v>
      </x:c>
      <x:c r="G99" s="19" t="n">
        <x:f>SUM(D99:F99)</x:f>
        <x:v>3</x:v>
      </x:c>
      <x:c r="H99" s="25" t="n">
        <x:v>2</x:v>
      </x:c>
      <x:c r="I99" s="25" t="n">
        <x:v>1</x:v>
      </x:c>
      <x:c r="J99" s="25" t="n">
        <x:v>2</x:v>
      </x:c>
      <x:c r="K99" s="19" t="n">
        <x:f>D99-IF(H99=0,1,0)</x:f>
        <x:v>0</x:v>
      </x:c>
      <x:c r="L99" s="19" t="n">
        <x:f>E99-IF(H99=1,1,0)</x:f>
        <x:v>1</x:v>
      </x:c>
      <x:c r="M99" s="19" t="n">
        <x:f>F99-IF(H99=2,1,0)</x:f>
        <x:v>1</x:v>
      </x:c>
      <x:c r="N99" s="19" t="n">
        <x:f>MAX(K99-1,0)+MAX(L99-1,0)+MAX(M99-1,0)</x:f>
        <x:v>0</x:v>
      </x:c>
      <x:c r="O99" s="19" t="n">
        <x:f>IF(AND(SUM(K99:M99)&lt;9,OR(M99=0,N99&lt;6)),1,0)</x:f>
        <x:v>1</x:v>
      </x:c>
      <x:c r="P99" s="19" t="n">
        <x:f>IF(AND(SUM(K99:M99)&lt;9,OR(L99=0,N99&lt;6)),1,0)</x:f>
        <x:v>1</x:v>
      </x:c>
      <x:c r="Q99" s="19" t="n">
        <x:f>IF(AND(SUM(K99:M99)&lt;9,OR(K99=0,N99&lt;6)),1,0)</x:f>
        <x:v>1</x:v>
      </x:c>
      <x:c r="R99" s="22" t="str">
        <x:f>O99&amp;P99&amp;Q99</x:f>
        <x:v>111</x:v>
      </x:c>
      <x:c r="S99" s="19" t="n">
        <x:f>IF(I99=1,IF(J99=0,Q99,IF(J99=1,P99,IF(J99=2,O99,0))),0)</x:f>
        <x:v>1</x:v>
      </x:c>
      <x:c r="T99" s="19" t="n">
        <x:f>K99+IF(AND(S99=1,J99=0),1,0)</x:f>
        <x:v>0</x:v>
      </x:c>
      <x:c r="U99" s="19" t="n">
        <x:f>L99+IF(AND(S99=1,J99=1),1,0)</x:f>
        <x:v>1</x:v>
      </x:c>
      <x:c r="V99" s="19" t="n">
        <x:f>M99+IF(AND(S99=1,J99=2),1,0)</x:f>
        <x:v>2</x:v>
      </x:c>
      <x:c r="W99" s="19" t="n">
        <x:f>SUM(T99:V99)</x:f>
        <x:v>3</x:v>
      </x:c>
      <x:c r="X99" s="19" t="n">
        <x:f>W99-G99</x:f>
        <x:v>0</x:v>
      </x:c>
      <x:c r="Y99" s="19" t="n">
        <x:f>MAX(T99,1)+MAX(U99,1)+MAX(V99,1)</x:f>
        <x:v>4</x:v>
      </x:c>
      <x:c r="Z99" s="21" t="str">
        <x:f>IF(AND(MIN(D99:F99)&gt;=0,MAX(D99:F99)&lt;=7,MAX(D99,1)+MAX(E99,1)+MAX(F99,1)&lt;=9,OR(H99="-",AND(H99=0,D99&gt;0),AND(H99=1,E99&gt;0),AND(H99=2,F99&gt;0)),OR(I99=0,AND(I99=1,OR(J99=0,J99=1,J99=2),R99&lt;&gt;"000")),Y99&lt;=9,MIN(T99:V99)&gt;=0),"合法","输入违约")</x:f>
        <x:v>合法</x:v>
      </x:c>
    </x:row>
    <x:row r="100" ht="23" customHeight="1">
      <x:c r="A100" s="3" t="str">
        <x:v>CT-0093</x:v>
      </x:c>
      <x:c r="B100" s="3" t="str">
        <x:v>ST-022</x:v>
      </x:c>
      <x:c r="C100" s="3" t="str">
        <x:v>无AR/R</x:v>
      </x:c>
      <x:c r="D100" s="25" t="n">
        <x:v>0</x:v>
      </x:c>
      <x:c r="E100" s="25" t="n">
        <x:v>1</x:v>
      </x:c>
      <x:c r="F100" s="25" t="n">
        <x:v>3</x:v>
      </x:c>
      <x:c r="G100" s="19" t="n">
        <x:f>SUM(D100:F100)</x:f>
        <x:v>4</x:v>
      </x:c>
      <x:c r="H100" s="25" t="str">
        <x:v>-</x:v>
      </x:c>
      <x:c r="I100" s="25" t="n">
        <x:v>0</x:v>
      </x:c>
      <x:c r="J100" s="25" t="str">
        <x:v>-</x:v>
      </x:c>
      <x:c r="K100" s="19" t="n">
        <x:f>D100-IF(H100=0,1,0)</x:f>
        <x:v>0</x:v>
      </x:c>
      <x:c r="L100" s="19" t="n">
        <x:f>E100-IF(H100=1,1,0)</x:f>
        <x:v>1</x:v>
      </x:c>
      <x:c r="M100" s="19" t="n">
        <x:f>F100-IF(H100=2,1,0)</x:f>
        <x:v>3</x:v>
      </x:c>
      <x:c r="N100" s="19" t="n">
        <x:f>MAX(K100-1,0)+MAX(L100-1,0)+MAX(M100-1,0)</x:f>
        <x:v>2</x:v>
      </x:c>
      <x:c r="O100" s="19" t="n">
        <x:f>IF(AND(SUM(K100:M100)&lt;9,OR(M100=0,N100&lt;6)),1,0)</x:f>
        <x:v>1</x:v>
      </x:c>
      <x:c r="P100" s="19" t="n">
        <x:f>IF(AND(SUM(K100:M100)&lt;9,OR(L100=0,N100&lt;6)),1,0)</x:f>
        <x:v>1</x:v>
      </x:c>
      <x:c r="Q100" s="19" t="n">
        <x:f>IF(AND(SUM(K100:M100)&lt;9,OR(K100=0,N100&lt;6)),1,0)</x:f>
        <x:v>1</x:v>
      </x:c>
      <x:c r="R100" s="22" t="str">
        <x:f>O100&amp;P100&amp;Q100</x:f>
        <x:v>111</x:v>
      </x:c>
      <x:c r="S100" s="19" t="n">
        <x:f>IF(I100=1,IF(J100=0,Q100,IF(J100=1,P100,IF(J100=2,O100,0))),0)</x:f>
        <x:v>0</x:v>
      </x:c>
      <x:c r="T100" s="19" t="n">
        <x:f>K100+IF(AND(S100=1,J100=0),1,0)</x:f>
        <x:v>0</x:v>
      </x:c>
      <x:c r="U100" s="19" t="n">
        <x:f>L100+IF(AND(S100=1,J100=1),1,0)</x:f>
        <x:v>1</x:v>
      </x:c>
      <x:c r="V100" s="19" t="n">
        <x:f>M100+IF(AND(S100=1,J100=2),1,0)</x:f>
        <x:v>3</x:v>
      </x:c>
      <x:c r="W100" s="19" t="n">
        <x:f>SUM(T100:V100)</x:f>
        <x:v>4</x:v>
      </x:c>
      <x:c r="X100" s="19" t="n">
        <x:f>W100-G100</x:f>
        <x:v>0</x:v>
      </x:c>
      <x:c r="Y100" s="19" t="n">
        <x:f>MAX(T100,1)+MAX(U100,1)+MAX(V100,1)</x:f>
        <x:v>5</x:v>
      </x:c>
      <x:c r="Z100" s="21" t="str">
        <x:f>IF(AND(MIN(D100:F100)&gt;=0,MAX(D100:F100)&lt;=7,MAX(D100,1)+MAX(E100,1)+MAX(F100,1)&lt;=9,OR(H100="-",AND(H100=0,D100&gt;0),AND(H100=1,E100&gt;0),AND(H100=2,F100&gt;0)),OR(I100=0,AND(I100=1,OR(J100=0,J100=1,J100=2),R100&lt;&gt;"000")),Y100&lt;=9,MIN(T100:V100)&gt;=0),"合法","输入违约")</x:f>
        <x:v>合法</x:v>
      </x:c>
    </x:row>
    <x:row r="101" ht="23" customHeight="1">
      <x:c r="A101" s="3" t="str">
        <x:v>CT-0094</x:v>
      </x:c>
      <x:c r="B101" s="3" t="str">
        <x:v>ST-022</x:v>
      </x:c>
      <x:c r="C101" s="3" t="str">
        <x:v>仅AR接收</x:v>
      </x:c>
      <x:c r="D101" s="25" t="n">
        <x:v>0</x:v>
      </x:c>
      <x:c r="E101" s="25" t="n">
        <x:v>1</x:v>
      </x:c>
      <x:c r="F101" s="25" t="n">
        <x:v>3</x:v>
      </x:c>
      <x:c r="G101" s="19" t="n">
        <x:f>SUM(D101:F101)</x:f>
        <x:v>4</x:v>
      </x:c>
      <x:c r="H101" s="25" t="str">
        <x:v>-</x:v>
      </x:c>
      <x:c r="I101" s="25" t="n">
        <x:v>1</x:v>
      </x:c>
      <x:c r="J101" s="25" t="n">
        <x:v>0</x:v>
      </x:c>
      <x:c r="K101" s="19" t="n">
        <x:f>D101-IF(H101=0,1,0)</x:f>
        <x:v>0</x:v>
      </x:c>
      <x:c r="L101" s="19" t="n">
        <x:f>E101-IF(H101=1,1,0)</x:f>
        <x:v>1</x:v>
      </x:c>
      <x:c r="M101" s="19" t="n">
        <x:f>F101-IF(H101=2,1,0)</x:f>
        <x:v>3</x:v>
      </x:c>
      <x:c r="N101" s="19" t="n">
        <x:f>MAX(K101-1,0)+MAX(L101-1,0)+MAX(M101-1,0)</x:f>
        <x:v>2</x:v>
      </x:c>
      <x:c r="O101" s="19" t="n">
        <x:f>IF(AND(SUM(K101:M101)&lt;9,OR(M101=0,N101&lt;6)),1,0)</x:f>
        <x:v>1</x:v>
      </x:c>
      <x:c r="P101" s="19" t="n">
        <x:f>IF(AND(SUM(K101:M101)&lt;9,OR(L101=0,N101&lt;6)),1,0)</x:f>
        <x:v>1</x:v>
      </x:c>
      <x:c r="Q101" s="19" t="n">
        <x:f>IF(AND(SUM(K101:M101)&lt;9,OR(K101=0,N101&lt;6)),1,0)</x:f>
        <x:v>1</x:v>
      </x:c>
      <x:c r="R101" s="22" t="str">
        <x:f>O101&amp;P101&amp;Q101</x:f>
        <x:v>111</x:v>
      </x:c>
      <x:c r="S101" s="19" t="n">
        <x:f>IF(I101=1,IF(J101=0,Q101,IF(J101=1,P101,IF(J101=2,O101,0))),0)</x:f>
        <x:v>1</x:v>
      </x:c>
      <x:c r="T101" s="19" t="n">
        <x:f>K101+IF(AND(S101=1,J101=0),1,0)</x:f>
        <x:v>1</x:v>
      </x:c>
      <x:c r="U101" s="19" t="n">
        <x:f>L101+IF(AND(S101=1,J101=1),1,0)</x:f>
        <x:v>1</x:v>
      </x:c>
      <x:c r="V101" s="19" t="n">
        <x:f>M101+IF(AND(S101=1,J101=2),1,0)</x:f>
        <x:v>3</x:v>
      </x:c>
      <x:c r="W101" s="19" t="n">
        <x:f>SUM(T101:V101)</x:f>
        <x:v>5</x:v>
      </x:c>
      <x:c r="X101" s="19" t="n">
        <x:f>W101-G101</x:f>
        <x:v>1</x:v>
      </x:c>
      <x:c r="Y101" s="19" t="n">
        <x:f>MAX(T101,1)+MAX(U101,1)+MAX(V101,1)</x:f>
        <x:v>5</x:v>
      </x:c>
      <x:c r="Z101" s="21" t="str">
        <x:f>IF(AND(MIN(D101:F101)&gt;=0,MAX(D101:F101)&lt;=7,MAX(D101,1)+MAX(E101,1)+MAX(F101,1)&lt;=9,OR(H101="-",AND(H101=0,D101&gt;0),AND(H101=1,E101&gt;0),AND(H101=2,F101&gt;0)),OR(I101=0,AND(I101=1,OR(J101=0,J101=1,J101=2),R101&lt;&gt;"000")),Y101&lt;=9,MIN(T101:V101)&gt;=0),"合法","输入违约")</x:f>
        <x:v>合法</x:v>
      </x:c>
    </x:row>
    <x:row r="102" ht="23" customHeight="1">
      <x:c r="A102" s="3" t="str">
        <x:v>CT-0095</x:v>
      </x:c>
      <x:c r="B102" s="3" t="str">
        <x:v>ST-022</x:v>
      </x:c>
      <x:c r="C102" s="3" t="str">
        <x:v>仅AR接收</x:v>
      </x:c>
      <x:c r="D102" s="25" t="n">
        <x:v>0</x:v>
      </x:c>
      <x:c r="E102" s="25" t="n">
        <x:v>1</x:v>
      </x:c>
      <x:c r="F102" s="25" t="n">
        <x:v>3</x:v>
      </x:c>
      <x:c r="G102" s="19" t="n">
        <x:f>SUM(D102:F102)</x:f>
        <x:v>4</x:v>
      </x:c>
      <x:c r="H102" s="25" t="str">
        <x:v>-</x:v>
      </x:c>
      <x:c r="I102" s="25" t="n">
        <x:v>1</x:v>
      </x:c>
      <x:c r="J102" s="25" t="n">
        <x:v>1</x:v>
      </x:c>
      <x:c r="K102" s="19" t="n">
        <x:f>D102-IF(H102=0,1,0)</x:f>
        <x:v>0</x:v>
      </x:c>
      <x:c r="L102" s="19" t="n">
        <x:f>E102-IF(H102=1,1,0)</x:f>
        <x:v>1</x:v>
      </x:c>
      <x:c r="M102" s="19" t="n">
        <x:f>F102-IF(H102=2,1,0)</x:f>
        <x:v>3</x:v>
      </x:c>
      <x:c r="N102" s="19" t="n">
        <x:f>MAX(K102-1,0)+MAX(L102-1,0)+MAX(M102-1,0)</x:f>
        <x:v>2</x:v>
      </x:c>
      <x:c r="O102" s="19" t="n">
        <x:f>IF(AND(SUM(K102:M102)&lt;9,OR(M102=0,N102&lt;6)),1,0)</x:f>
        <x:v>1</x:v>
      </x:c>
      <x:c r="P102" s="19" t="n">
        <x:f>IF(AND(SUM(K102:M102)&lt;9,OR(L102=0,N102&lt;6)),1,0)</x:f>
        <x:v>1</x:v>
      </x:c>
      <x:c r="Q102" s="19" t="n">
        <x:f>IF(AND(SUM(K102:M102)&lt;9,OR(K102=0,N102&lt;6)),1,0)</x:f>
        <x:v>1</x:v>
      </x:c>
      <x:c r="R102" s="22" t="str">
        <x:f>O102&amp;P102&amp;Q102</x:f>
        <x:v>111</x:v>
      </x:c>
      <x:c r="S102" s="19" t="n">
        <x:f>IF(I102=1,IF(J102=0,Q102,IF(J102=1,P102,IF(J102=2,O102,0))),0)</x:f>
        <x:v>1</x:v>
      </x:c>
      <x:c r="T102" s="19" t="n">
        <x:f>K102+IF(AND(S102=1,J102=0),1,0)</x:f>
        <x:v>0</x:v>
      </x:c>
      <x:c r="U102" s="19" t="n">
        <x:f>L102+IF(AND(S102=1,J102=1),1,0)</x:f>
        <x:v>2</x:v>
      </x:c>
      <x:c r="V102" s="19" t="n">
        <x:f>M102+IF(AND(S102=1,J102=2),1,0)</x:f>
        <x:v>3</x:v>
      </x:c>
      <x:c r="W102" s="19" t="n">
        <x:f>SUM(T102:V102)</x:f>
        <x:v>5</x:v>
      </x:c>
      <x:c r="X102" s="19" t="n">
        <x:f>W102-G102</x:f>
        <x:v>1</x:v>
      </x:c>
      <x:c r="Y102" s="19" t="n">
        <x:f>MAX(T102,1)+MAX(U102,1)+MAX(V102,1)</x:f>
        <x:v>6</x:v>
      </x:c>
      <x:c r="Z102" s="21" t="str">
        <x:f>IF(AND(MIN(D102:F102)&gt;=0,MAX(D102:F102)&lt;=7,MAX(D102,1)+MAX(E102,1)+MAX(F102,1)&lt;=9,OR(H102="-",AND(H102=0,D102&gt;0),AND(H102=1,E102&gt;0),AND(H102=2,F102&gt;0)),OR(I102=0,AND(I102=1,OR(J102=0,J102=1,J102=2),R102&lt;&gt;"000")),Y102&lt;=9,MIN(T102:V102)&gt;=0),"合法","输入违约")</x:f>
        <x:v>合法</x:v>
      </x:c>
    </x:row>
    <x:row r="103" ht="23" customHeight="1">
      <x:c r="A103" s="3" t="str">
        <x:v>CT-0096</x:v>
      </x:c>
      <x:c r="B103" s="3" t="str">
        <x:v>ST-022</x:v>
      </x:c>
      <x:c r="C103" s="3" t="str">
        <x:v>仅AR接收</x:v>
      </x:c>
      <x:c r="D103" s="25" t="n">
        <x:v>0</x:v>
      </x:c>
      <x:c r="E103" s="25" t="n">
        <x:v>1</x:v>
      </x:c>
      <x:c r="F103" s="25" t="n">
        <x:v>3</x:v>
      </x:c>
      <x:c r="G103" s="19" t="n">
        <x:f>SUM(D103:F103)</x:f>
        <x:v>4</x:v>
      </x:c>
      <x:c r="H103" s="25" t="str">
        <x:v>-</x:v>
      </x:c>
      <x:c r="I103" s="25" t="n">
        <x:v>1</x:v>
      </x:c>
      <x:c r="J103" s="25" t="n">
        <x:v>2</x:v>
      </x:c>
      <x:c r="K103" s="19" t="n">
        <x:f>D103-IF(H103=0,1,0)</x:f>
        <x:v>0</x:v>
      </x:c>
      <x:c r="L103" s="19" t="n">
        <x:f>E103-IF(H103=1,1,0)</x:f>
        <x:v>1</x:v>
      </x:c>
      <x:c r="M103" s="19" t="n">
        <x:f>F103-IF(H103=2,1,0)</x:f>
        <x:v>3</x:v>
      </x:c>
      <x:c r="N103" s="19" t="n">
        <x:f>MAX(K103-1,0)+MAX(L103-1,0)+MAX(M103-1,0)</x:f>
        <x:v>2</x:v>
      </x:c>
      <x:c r="O103" s="19" t="n">
        <x:f>IF(AND(SUM(K103:M103)&lt;9,OR(M103=0,N103&lt;6)),1,0)</x:f>
        <x:v>1</x:v>
      </x:c>
      <x:c r="P103" s="19" t="n">
        <x:f>IF(AND(SUM(K103:M103)&lt;9,OR(L103=0,N103&lt;6)),1,0)</x:f>
        <x:v>1</x:v>
      </x:c>
      <x:c r="Q103" s="19" t="n">
        <x:f>IF(AND(SUM(K103:M103)&lt;9,OR(K103=0,N103&lt;6)),1,0)</x:f>
        <x:v>1</x:v>
      </x:c>
      <x:c r="R103" s="22" t="str">
        <x:f>O103&amp;P103&amp;Q103</x:f>
        <x:v>111</x:v>
      </x:c>
      <x:c r="S103" s="19" t="n">
        <x:f>IF(I103=1,IF(J103=0,Q103,IF(J103=1,P103,IF(J103=2,O103,0))),0)</x:f>
        <x:v>1</x:v>
      </x:c>
      <x:c r="T103" s="19" t="n">
        <x:f>K103+IF(AND(S103=1,J103=0),1,0)</x:f>
        <x:v>0</x:v>
      </x:c>
      <x:c r="U103" s="19" t="n">
        <x:f>L103+IF(AND(S103=1,J103=1),1,0)</x:f>
        <x:v>1</x:v>
      </x:c>
      <x:c r="V103" s="19" t="n">
        <x:f>M103+IF(AND(S103=1,J103=2),1,0)</x:f>
        <x:v>4</x:v>
      </x:c>
      <x:c r="W103" s="19" t="n">
        <x:f>SUM(T103:V103)</x:f>
        <x:v>5</x:v>
      </x:c>
      <x:c r="X103" s="19" t="n">
        <x:f>W103-G103</x:f>
        <x:v>1</x:v>
      </x:c>
      <x:c r="Y103" s="19" t="n">
        <x:f>MAX(T103,1)+MAX(U103,1)+MAX(V103,1)</x:f>
        <x:v>6</x:v>
      </x:c>
      <x:c r="Z103" s="21" t="str">
        <x:f>IF(AND(MIN(D103:F103)&gt;=0,MAX(D103:F103)&lt;=7,MAX(D103,1)+MAX(E103,1)+MAX(F103,1)&lt;=9,OR(H103="-",AND(H103=0,D103&gt;0),AND(H103=1,E103&gt;0),AND(H103=2,F103&gt;0)),OR(I103=0,AND(I103=1,OR(J103=0,J103=1,J103=2),R103&lt;&gt;"000")),Y103&lt;=9,MIN(T103:V103)&gt;=0),"合法","输入违约")</x:f>
        <x:v>合法</x:v>
      </x:c>
    </x:row>
    <x:row r="104" ht="23" customHeight="1">
      <x:c r="A104" s="3" t="str">
        <x:v>CT-0097</x:v>
      </x:c>
      <x:c r="B104" s="3" t="str">
        <x:v>ST-022</x:v>
      </x:c>
      <x:c r="C104" s="3" t="str">
        <x:v>仅R回收</x:v>
      </x:c>
      <x:c r="D104" s="25" t="n">
        <x:v>0</x:v>
      </x:c>
      <x:c r="E104" s="25" t="n">
        <x:v>1</x:v>
      </x:c>
      <x:c r="F104" s="25" t="n">
        <x:v>3</x:v>
      </x:c>
      <x:c r="G104" s="19" t="n">
        <x:f>SUM(D104:F104)</x:f>
        <x:v>4</x:v>
      </x:c>
      <x:c r="H104" s="25" t="n">
        <x:v>1</x:v>
      </x:c>
      <x:c r="I104" s="25" t="n">
        <x:v>0</x:v>
      </x:c>
      <x:c r="J104" s="25" t="str">
        <x:v>-</x:v>
      </x:c>
      <x:c r="K104" s="19" t="n">
        <x:f>D104-IF(H104=0,1,0)</x:f>
        <x:v>0</x:v>
      </x:c>
      <x:c r="L104" s="19" t="n">
        <x:f>E104-IF(H104=1,1,0)</x:f>
        <x:v>0</x:v>
      </x:c>
      <x:c r="M104" s="19" t="n">
        <x:f>F104-IF(H104=2,1,0)</x:f>
        <x:v>3</x:v>
      </x:c>
      <x:c r="N104" s="19" t="n">
        <x:f>MAX(K104-1,0)+MAX(L104-1,0)+MAX(M104-1,0)</x:f>
        <x:v>2</x:v>
      </x:c>
      <x:c r="O104" s="19" t="n">
        <x:f>IF(AND(SUM(K104:M104)&lt;9,OR(M104=0,N104&lt;6)),1,0)</x:f>
        <x:v>1</x:v>
      </x:c>
      <x:c r="P104" s="19" t="n">
        <x:f>IF(AND(SUM(K104:M104)&lt;9,OR(L104=0,N104&lt;6)),1,0)</x:f>
        <x:v>1</x:v>
      </x:c>
      <x:c r="Q104" s="19" t="n">
        <x:f>IF(AND(SUM(K104:M104)&lt;9,OR(K104=0,N104&lt;6)),1,0)</x:f>
        <x:v>1</x:v>
      </x:c>
      <x:c r="R104" s="22" t="str">
        <x:f>O104&amp;P104&amp;Q104</x:f>
        <x:v>111</x:v>
      </x:c>
      <x:c r="S104" s="19" t="n">
        <x:f>IF(I104=1,IF(J104=0,Q104,IF(J104=1,P104,IF(J104=2,O104,0))),0)</x:f>
        <x:v>0</x:v>
      </x:c>
      <x:c r="T104" s="19" t="n">
        <x:f>K104+IF(AND(S104=1,J104=0),1,0)</x:f>
        <x:v>0</x:v>
      </x:c>
      <x:c r="U104" s="19" t="n">
        <x:f>L104+IF(AND(S104=1,J104=1),1,0)</x:f>
        <x:v>0</x:v>
      </x:c>
      <x:c r="V104" s="19" t="n">
        <x:f>M104+IF(AND(S104=1,J104=2),1,0)</x:f>
        <x:v>3</x:v>
      </x:c>
      <x:c r="W104" s="19" t="n">
        <x:f>SUM(T104:V104)</x:f>
        <x:v>3</x:v>
      </x:c>
      <x:c r="X104" s="19" t="n">
        <x:f>W104-G104</x:f>
        <x:v>-1</x:v>
      </x:c>
      <x:c r="Y104" s="19" t="n">
        <x:f>MAX(T104,1)+MAX(U104,1)+MAX(V104,1)</x:f>
        <x:v>5</x:v>
      </x:c>
      <x:c r="Z104" s="21" t="str">
        <x:f>IF(AND(MIN(D104:F104)&gt;=0,MAX(D104:F104)&lt;=7,MAX(D104,1)+MAX(E104,1)+MAX(F104,1)&lt;=9,OR(H104="-",AND(H104=0,D104&gt;0),AND(H104=1,E104&gt;0),AND(H104=2,F104&gt;0)),OR(I104=0,AND(I104=1,OR(J104=0,J104=1,J104=2),R104&lt;&gt;"000")),Y104&lt;=9,MIN(T104:V104)&gt;=0),"合法","输入违约")</x:f>
        <x:v>合法</x:v>
      </x:c>
    </x:row>
    <x:row r="105" ht="23" customHeight="1">
      <x:c r="A105" s="3" t="str">
        <x:v>CT-0098</x:v>
      </x:c>
      <x:c r="B105" s="3" t="str">
        <x:v>ST-022</x:v>
      </x:c>
      <x:c r="C105" s="3" t="str">
        <x:v>R+AR同收同发</x:v>
      </x:c>
      <x:c r="D105" s="25" t="n">
        <x:v>0</x:v>
      </x:c>
      <x:c r="E105" s="25" t="n">
        <x:v>1</x:v>
      </x:c>
      <x:c r="F105" s="25" t="n">
        <x:v>3</x:v>
      </x:c>
      <x:c r="G105" s="19" t="n">
        <x:f>SUM(D105:F105)</x:f>
        <x:v>4</x:v>
      </x:c>
      <x:c r="H105" s="25" t="n">
        <x:v>1</x:v>
      </x:c>
      <x:c r="I105" s="25" t="n">
        <x:v>1</x:v>
      </x:c>
      <x:c r="J105" s="25" t="n">
        <x:v>0</x:v>
      </x:c>
      <x:c r="K105" s="19" t="n">
        <x:f>D105-IF(H105=0,1,0)</x:f>
        <x:v>0</x:v>
      </x:c>
      <x:c r="L105" s="19" t="n">
        <x:f>E105-IF(H105=1,1,0)</x:f>
        <x:v>0</x:v>
      </x:c>
      <x:c r="M105" s="19" t="n">
        <x:f>F105-IF(H105=2,1,0)</x:f>
        <x:v>3</x:v>
      </x:c>
      <x:c r="N105" s="19" t="n">
        <x:f>MAX(K105-1,0)+MAX(L105-1,0)+MAX(M105-1,0)</x:f>
        <x:v>2</x:v>
      </x:c>
      <x:c r="O105" s="19" t="n">
        <x:f>IF(AND(SUM(K105:M105)&lt;9,OR(M105=0,N105&lt;6)),1,0)</x:f>
        <x:v>1</x:v>
      </x:c>
      <x:c r="P105" s="19" t="n">
        <x:f>IF(AND(SUM(K105:M105)&lt;9,OR(L105=0,N105&lt;6)),1,0)</x:f>
        <x:v>1</x:v>
      </x:c>
      <x:c r="Q105" s="19" t="n">
        <x:f>IF(AND(SUM(K105:M105)&lt;9,OR(K105=0,N105&lt;6)),1,0)</x:f>
        <x:v>1</x:v>
      </x:c>
      <x:c r="R105" s="22" t="str">
        <x:f>O105&amp;P105&amp;Q105</x:f>
        <x:v>111</x:v>
      </x:c>
      <x:c r="S105" s="19" t="n">
        <x:f>IF(I105=1,IF(J105=0,Q105,IF(J105=1,P105,IF(J105=2,O105,0))),0)</x:f>
        <x:v>1</x:v>
      </x:c>
      <x:c r="T105" s="19" t="n">
        <x:f>K105+IF(AND(S105=1,J105=0),1,0)</x:f>
        <x:v>1</x:v>
      </x:c>
      <x:c r="U105" s="19" t="n">
        <x:f>L105+IF(AND(S105=1,J105=1),1,0)</x:f>
        <x:v>0</x:v>
      </x:c>
      <x:c r="V105" s="19" t="n">
        <x:f>M105+IF(AND(S105=1,J105=2),1,0)</x:f>
        <x:v>3</x:v>
      </x:c>
      <x:c r="W105" s="19" t="n">
        <x:f>SUM(T105:V105)</x:f>
        <x:v>4</x:v>
      </x:c>
      <x:c r="X105" s="19" t="n">
        <x:f>W105-G105</x:f>
        <x:v>0</x:v>
      </x:c>
      <x:c r="Y105" s="19" t="n">
        <x:f>MAX(T105,1)+MAX(U105,1)+MAX(V105,1)</x:f>
        <x:v>5</x:v>
      </x:c>
      <x:c r="Z105" s="21" t="str">
        <x:f>IF(AND(MIN(D105:F105)&gt;=0,MAX(D105:F105)&lt;=7,MAX(D105,1)+MAX(E105,1)+MAX(F105,1)&lt;=9,OR(H105="-",AND(H105=0,D105&gt;0),AND(H105=1,E105&gt;0),AND(H105=2,F105&gt;0)),OR(I105=0,AND(I105=1,OR(J105=0,J105=1,J105=2),R105&lt;&gt;"000")),Y105&lt;=9,MIN(T105:V105)&gt;=0),"合法","输入违约")</x:f>
        <x:v>合法</x:v>
      </x:c>
    </x:row>
    <x:row r="106" ht="23" customHeight="1">
      <x:c r="A106" s="3" t="str">
        <x:v>CT-0099</x:v>
      </x:c>
      <x:c r="B106" s="3" t="str">
        <x:v>ST-022</x:v>
      </x:c>
      <x:c r="C106" s="3" t="str">
        <x:v>R+AR同收同发</x:v>
      </x:c>
      <x:c r="D106" s="25" t="n">
        <x:v>0</x:v>
      </x:c>
      <x:c r="E106" s="25" t="n">
        <x:v>1</x:v>
      </x:c>
      <x:c r="F106" s="25" t="n">
        <x:v>3</x:v>
      </x:c>
      <x:c r="G106" s="19" t="n">
        <x:f>SUM(D106:F106)</x:f>
        <x:v>4</x:v>
      </x:c>
      <x:c r="H106" s="25" t="n">
        <x:v>1</x:v>
      </x:c>
      <x:c r="I106" s="25" t="n">
        <x:v>1</x:v>
      </x:c>
      <x:c r="J106" s="25" t="n">
        <x:v>1</x:v>
      </x:c>
      <x:c r="K106" s="19" t="n">
        <x:f>D106-IF(H106=0,1,0)</x:f>
        <x:v>0</x:v>
      </x:c>
      <x:c r="L106" s="19" t="n">
        <x:f>E106-IF(H106=1,1,0)</x:f>
        <x:v>0</x:v>
      </x:c>
      <x:c r="M106" s="19" t="n">
        <x:f>F106-IF(H106=2,1,0)</x:f>
        <x:v>3</x:v>
      </x:c>
      <x:c r="N106" s="19" t="n">
        <x:f>MAX(K106-1,0)+MAX(L106-1,0)+MAX(M106-1,0)</x:f>
        <x:v>2</x:v>
      </x:c>
      <x:c r="O106" s="19" t="n">
        <x:f>IF(AND(SUM(K106:M106)&lt;9,OR(M106=0,N106&lt;6)),1,0)</x:f>
        <x:v>1</x:v>
      </x:c>
      <x:c r="P106" s="19" t="n">
        <x:f>IF(AND(SUM(K106:M106)&lt;9,OR(L106=0,N106&lt;6)),1,0)</x:f>
        <x:v>1</x:v>
      </x:c>
      <x:c r="Q106" s="19" t="n">
        <x:f>IF(AND(SUM(K106:M106)&lt;9,OR(K106=0,N106&lt;6)),1,0)</x:f>
        <x:v>1</x:v>
      </x:c>
      <x:c r="R106" s="22" t="str">
        <x:f>O106&amp;P106&amp;Q106</x:f>
        <x:v>111</x:v>
      </x:c>
      <x:c r="S106" s="19" t="n">
        <x:f>IF(I106=1,IF(J106=0,Q106,IF(J106=1,P106,IF(J106=2,O106,0))),0)</x:f>
        <x:v>1</x:v>
      </x:c>
      <x:c r="T106" s="19" t="n">
        <x:f>K106+IF(AND(S106=1,J106=0),1,0)</x:f>
        <x:v>0</x:v>
      </x:c>
      <x:c r="U106" s="19" t="n">
        <x:f>L106+IF(AND(S106=1,J106=1),1,0)</x:f>
        <x:v>1</x:v>
      </x:c>
      <x:c r="V106" s="19" t="n">
        <x:f>M106+IF(AND(S106=1,J106=2),1,0)</x:f>
        <x:v>3</x:v>
      </x:c>
      <x:c r="W106" s="19" t="n">
        <x:f>SUM(T106:V106)</x:f>
        <x:v>4</x:v>
      </x:c>
      <x:c r="X106" s="19" t="n">
        <x:f>W106-G106</x:f>
        <x:v>0</x:v>
      </x:c>
      <x:c r="Y106" s="19" t="n">
        <x:f>MAX(T106,1)+MAX(U106,1)+MAX(V106,1)</x:f>
        <x:v>5</x:v>
      </x:c>
      <x:c r="Z106" s="21" t="str">
        <x:f>IF(AND(MIN(D106:F106)&gt;=0,MAX(D106:F106)&lt;=7,MAX(D106,1)+MAX(E106,1)+MAX(F106,1)&lt;=9,OR(H106="-",AND(H106=0,D106&gt;0),AND(H106=1,E106&gt;0),AND(H106=2,F106&gt;0)),OR(I106=0,AND(I106=1,OR(J106=0,J106=1,J106=2),R106&lt;&gt;"000")),Y106&lt;=9,MIN(T106:V106)&gt;=0),"合法","输入违约")</x:f>
        <x:v>合法</x:v>
      </x:c>
    </x:row>
    <x:row r="107" ht="23" customHeight="1">
      <x:c r="A107" s="3" t="str">
        <x:v>CT-0100</x:v>
      </x:c>
      <x:c r="B107" s="3" t="str">
        <x:v>ST-022</x:v>
      </x:c>
      <x:c r="C107" s="3" t="str">
        <x:v>R+AR同收同发</x:v>
      </x:c>
      <x:c r="D107" s="25" t="n">
        <x:v>0</x:v>
      </x:c>
      <x:c r="E107" s="25" t="n">
        <x:v>1</x:v>
      </x:c>
      <x:c r="F107" s="25" t="n">
        <x:v>3</x:v>
      </x:c>
      <x:c r="G107" s="19" t="n">
        <x:f>SUM(D107:F107)</x:f>
        <x:v>4</x:v>
      </x:c>
      <x:c r="H107" s="25" t="n">
        <x:v>1</x:v>
      </x:c>
      <x:c r="I107" s="25" t="n">
        <x:v>1</x:v>
      </x:c>
      <x:c r="J107" s="25" t="n">
        <x:v>2</x:v>
      </x:c>
      <x:c r="K107" s="19" t="n">
        <x:f>D107-IF(H107=0,1,0)</x:f>
        <x:v>0</x:v>
      </x:c>
      <x:c r="L107" s="19" t="n">
        <x:f>E107-IF(H107=1,1,0)</x:f>
        <x:v>0</x:v>
      </x:c>
      <x:c r="M107" s="19" t="n">
        <x:f>F107-IF(H107=2,1,0)</x:f>
        <x:v>3</x:v>
      </x:c>
      <x:c r="N107" s="19" t="n">
        <x:f>MAX(K107-1,0)+MAX(L107-1,0)+MAX(M107-1,0)</x:f>
        <x:v>2</x:v>
      </x:c>
      <x:c r="O107" s="19" t="n">
        <x:f>IF(AND(SUM(K107:M107)&lt;9,OR(M107=0,N107&lt;6)),1,0)</x:f>
        <x:v>1</x:v>
      </x:c>
      <x:c r="P107" s="19" t="n">
        <x:f>IF(AND(SUM(K107:M107)&lt;9,OR(L107=0,N107&lt;6)),1,0)</x:f>
        <x:v>1</x:v>
      </x:c>
      <x:c r="Q107" s="19" t="n">
        <x:f>IF(AND(SUM(K107:M107)&lt;9,OR(K107=0,N107&lt;6)),1,0)</x:f>
        <x:v>1</x:v>
      </x:c>
      <x:c r="R107" s="22" t="str">
        <x:f>O107&amp;P107&amp;Q107</x:f>
        <x:v>111</x:v>
      </x:c>
      <x:c r="S107" s="19" t="n">
        <x:f>IF(I107=1,IF(J107=0,Q107,IF(J107=1,P107,IF(J107=2,O107,0))),0)</x:f>
        <x:v>1</x:v>
      </x:c>
      <x:c r="T107" s="19" t="n">
        <x:f>K107+IF(AND(S107=1,J107=0),1,0)</x:f>
        <x:v>0</x:v>
      </x:c>
      <x:c r="U107" s="19" t="n">
        <x:f>L107+IF(AND(S107=1,J107=1),1,0)</x:f>
        <x:v>0</x:v>
      </x:c>
      <x:c r="V107" s="19" t="n">
        <x:f>M107+IF(AND(S107=1,J107=2),1,0)</x:f>
        <x:v>4</x:v>
      </x:c>
      <x:c r="W107" s="19" t="n">
        <x:f>SUM(T107:V107)</x:f>
        <x:v>4</x:v>
      </x:c>
      <x:c r="X107" s="19" t="n">
        <x:f>W107-G107</x:f>
        <x:v>0</x:v>
      </x:c>
      <x:c r="Y107" s="19" t="n">
        <x:f>MAX(T107,1)+MAX(U107,1)+MAX(V107,1)</x:f>
        <x:v>6</x:v>
      </x:c>
      <x:c r="Z107" s="21" t="str">
        <x:f>IF(AND(MIN(D107:F107)&gt;=0,MAX(D107:F107)&lt;=7,MAX(D107,1)+MAX(E107,1)+MAX(F107,1)&lt;=9,OR(H107="-",AND(H107=0,D107&gt;0),AND(H107=1,E107&gt;0),AND(H107=2,F107&gt;0)),OR(I107=0,AND(I107=1,OR(J107=0,J107=1,J107=2),R107&lt;&gt;"000")),Y107&lt;=9,MIN(T107:V107)&gt;=0),"合法","输入违约")</x:f>
        <x:v>合法</x:v>
      </x:c>
    </x:row>
    <x:row r="108" ht="23" customHeight="1">
      <x:c r="A108" s="3" t="str">
        <x:v>CT-0101</x:v>
      </x:c>
      <x:c r="B108" s="3" t="str">
        <x:v>ST-022</x:v>
      </x:c>
      <x:c r="C108" s="3" t="str">
        <x:v>仅R回收</x:v>
      </x:c>
      <x:c r="D108" s="25" t="n">
        <x:v>0</x:v>
      </x:c>
      <x:c r="E108" s="25" t="n">
        <x:v>1</x:v>
      </x:c>
      <x:c r="F108" s="25" t="n">
        <x:v>3</x:v>
      </x:c>
      <x:c r="G108" s="19" t="n">
        <x:f>SUM(D108:F108)</x:f>
        <x:v>4</x:v>
      </x:c>
      <x:c r="H108" s="25" t="n">
        <x:v>2</x:v>
      </x:c>
      <x:c r="I108" s="25" t="n">
        <x:v>0</x:v>
      </x:c>
      <x:c r="J108" s="25" t="str">
        <x:v>-</x:v>
      </x:c>
      <x:c r="K108" s="19" t="n">
        <x:f>D108-IF(H108=0,1,0)</x:f>
        <x:v>0</x:v>
      </x:c>
      <x:c r="L108" s="19" t="n">
        <x:f>E108-IF(H108=1,1,0)</x:f>
        <x:v>1</x:v>
      </x:c>
      <x:c r="M108" s="19" t="n">
        <x:f>F108-IF(H108=2,1,0)</x:f>
        <x:v>2</x:v>
      </x:c>
      <x:c r="N108" s="19" t="n">
        <x:f>MAX(K108-1,0)+MAX(L108-1,0)+MAX(M108-1,0)</x:f>
        <x:v>1</x:v>
      </x:c>
      <x:c r="O108" s="19" t="n">
        <x:f>IF(AND(SUM(K108:M108)&lt;9,OR(M108=0,N108&lt;6)),1,0)</x:f>
        <x:v>1</x:v>
      </x:c>
      <x:c r="P108" s="19" t="n">
        <x:f>IF(AND(SUM(K108:M108)&lt;9,OR(L108=0,N108&lt;6)),1,0)</x:f>
        <x:v>1</x:v>
      </x:c>
      <x:c r="Q108" s="19" t="n">
        <x:f>IF(AND(SUM(K108:M108)&lt;9,OR(K108=0,N108&lt;6)),1,0)</x:f>
        <x:v>1</x:v>
      </x:c>
      <x:c r="R108" s="22" t="str">
        <x:f>O108&amp;P108&amp;Q108</x:f>
        <x:v>111</x:v>
      </x:c>
      <x:c r="S108" s="19" t="n">
        <x:f>IF(I108=1,IF(J108=0,Q108,IF(J108=1,P108,IF(J108=2,O108,0))),0)</x:f>
        <x:v>0</x:v>
      </x:c>
      <x:c r="T108" s="19" t="n">
        <x:f>K108+IF(AND(S108=1,J108=0),1,0)</x:f>
        <x:v>0</x:v>
      </x:c>
      <x:c r="U108" s="19" t="n">
        <x:f>L108+IF(AND(S108=1,J108=1),1,0)</x:f>
        <x:v>1</x:v>
      </x:c>
      <x:c r="V108" s="19" t="n">
        <x:f>M108+IF(AND(S108=1,J108=2),1,0)</x:f>
        <x:v>2</x:v>
      </x:c>
      <x:c r="W108" s="19" t="n">
        <x:f>SUM(T108:V108)</x:f>
        <x:v>3</x:v>
      </x:c>
      <x:c r="X108" s="19" t="n">
        <x:f>W108-G108</x:f>
        <x:v>-1</x:v>
      </x:c>
      <x:c r="Y108" s="19" t="n">
        <x:f>MAX(T108,1)+MAX(U108,1)+MAX(V108,1)</x:f>
        <x:v>4</x:v>
      </x:c>
      <x:c r="Z108" s="21" t="str">
        <x:f>IF(AND(MIN(D108:F108)&gt;=0,MAX(D108:F108)&lt;=7,MAX(D108,1)+MAX(E108,1)+MAX(F108,1)&lt;=9,OR(H108="-",AND(H108=0,D108&gt;0),AND(H108=1,E108&gt;0),AND(H108=2,F108&gt;0)),OR(I108=0,AND(I108=1,OR(J108=0,J108=1,J108=2),R108&lt;&gt;"000")),Y108&lt;=9,MIN(T108:V108)&gt;=0),"合法","输入违约")</x:f>
        <x:v>合法</x:v>
      </x:c>
    </x:row>
    <x:row r="109" ht="23" customHeight="1">
      <x:c r="A109" s="3" t="str">
        <x:v>CT-0102</x:v>
      </x:c>
      <x:c r="B109" s="3" t="str">
        <x:v>ST-022</x:v>
      </x:c>
      <x:c r="C109" s="3" t="str">
        <x:v>R+AR同收同发</x:v>
      </x:c>
      <x:c r="D109" s="25" t="n">
        <x:v>0</x:v>
      </x:c>
      <x:c r="E109" s="25" t="n">
        <x:v>1</x:v>
      </x:c>
      <x:c r="F109" s="25" t="n">
        <x:v>3</x:v>
      </x:c>
      <x:c r="G109" s="19" t="n">
        <x:f>SUM(D109:F109)</x:f>
        <x:v>4</x:v>
      </x:c>
      <x:c r="H109" s="25" t="n">
        <x:v>2</x:v>
      </x:c>
      <x:c r="I109" s="25" t="n">
        <x:v>1</x:v>
      </x:c>
      <x:c r="J109" s="25" t="n">
        <x:v>0</x:v>
      </x:c>
      <x:c r="K109" s="19" t="n">
        <x:f>D109-IF(H109=0,1,0)</x:f>
        <x:v>0</x:v>
      </x:c>
      <x:c r="L109" s="19" t="n">
        <x:f>E109-IF(H109=1,1,0)</x:f>
        <x:v>1</x:v>
      </x:c>
      <x:c r="M109" s="19" t="n">
        <x:f>F109-IF(H109=2,1,0)</x:f>
        <x:v>2</x:v>
      </x:c>
      <x:c r="N109" s="19" t="n">
        <x:f>MAX(K109-1,0)+MAX(L109-1,0)+MAX(M109-1,0)</x:f>
        <x:v>1</x:v>
      </x:c>
      <x:c r="O109" s="19" t="n">
        <x:f>IF(AND(SUM(K109:M109)&lt;9,OR(M109=0,N109&lt;6)),1,0)</x:f>
        <x:v>1</x:v>
      </x:c>
      <x:c r="P109" s="19" t="n">
        <x:f>IF(AND(SUM(K109:M109)&lt;9,OR(L109=0,N109&lt;6)),1,0)</x:f>
        <x:v>1</x:v>
      </x:c>
      <x:c r="Q109" s="19" t="n">
        <x:f>IF(AND(SUM(K109:M109)&lt;9,OR(K109=0,N109&lt;6)),1,0)</x:f>
        <x:v>1</x:v>
      </x:c>
      <x:c r="R109" s="22" t="str">
        <x:f>O109&amp;P109&amp;Q109</x:f>
        <x:v>111</x:v>
      </x:c>
      <x:c r="S109" s="19" t="n">
        <x:f>IF(I109=1,IF(J109=0,Q109,IF(J109=1,P109,IF(J109=2,O109,0))),0)</x:f>
        <x:v>1</x:v>
      </x:c>
      <x:c r="T109" s="19" t="n">
        <x:f>K109+IF(AND(S109=1,J109=0),1,0)</x:f>
        <x:v>1</x:v>
      </x:c>
      <x:c r="U109" s="19" t="n">
        <x:f>L109+IF(AND(S109=1,J109=1),1,0)</x:f>
        <x:v>1</x:v>
      </x:c>
      <x:c r="V109" s="19" t="n">
        <x:f>M109+IF(AND(S109=1,J109=2),1,0)</x:f>
        <x:v>2</x:v>
      </x:c>
      <x:c r="W109" s="19" t="n">
        <x:f>SUM(T109:V109)</x:f>
        <x:v>4</x:v>
      </x:c>
      <x:c r="X109" s="19" t="n">
        <x:f>W109-G109</x:f>
        <x:v>0</x:v>
      </x:c>
      <x:c r="Y109" s="19" t="n">
        <x:f>MAX(T109,1)+MAX(U109,1)+MAX(V109,1)</x:f>
        <x:v>4</x:v>
      </x:c>
      <x:c r="Z109" s="21" t="str">
        <x:f>IF(AND(MIN(D109:F109)&gt;=0,MAX(D109:F109)&lt;=7,MAX(D109,1)+MAX(E109,1)+MAX(F109,1)&lt;=9,OR(H109="-",AND(H109=0,D109&gt;0),AND(H109=1,E109&gt;0),AND(H109=2,F109&gt;0)),OR(I109=0,AND(I109=1,OR(J109=0,J109=1,J109=2),R109&lt;&gt;"000")),Y109&lt;=9,MIN(T109:V109)&gt;=0),"合法","输入违约")</x:f>
        <x:v>合法</x:v>
      </x:c>
    </x:row>
    <x:row r="110" ht="23" customHeight="1">
      <x:c r="A110" s="3" t="str">
        <x:v>CT-0103</x:v>
      </x:c>
      <x:c r="B110" s="3" t="str">
        <x:v>ST-022</x:v>
      </x:c>
      <x:c r="C110" s="3" t="str">
        <x:v>R+AR同收同发</x:v>
      </x:c>
      <x:c r="D110" s="25" t="n">
        <x:v>0</x:v>
      </x:c>
      <x:c r="E110" s="25" t="n">
        <x:v>1</x:v>
      </x:c>
      <x:c r="F110" s="25" t="n">
        <x:v>3</x:v>
      </x:c>
      <x:c r="G110" s="19" t="n">
        <x:f>SUM(D110:F110)</x:f>
        <x:v>4</x:v>
      </x:c>
      <x:c r="H110" s="25" t="n">
        <x:v>2</x:v>
      </x:c>
      <x:c r="I110" s="25" t="n">
        <x:v>1</x:v>
      </x:c>
      <x:c r="J110" s="25" t="n">
        <x:v>1</x:v>
      </x:c>
      <x:c r="K110" s="19" t="n">
        <x:f>D110-IF(H110=0,1,0)</x:f>
        <x:v>0</x:v>
      </x:c>
      <x:c r="L110" s="19" t="n">
        <x:f>E110-IF(H110=1,1,0)</x:f>
        <x:v>1</x:v>
      </x:c>
      <x:c r="M110" s="19" t="n">
        <x:f>F110-IF(H110=2,1,0)</x:f>
        <x:v>2</x:v>
      </x:c>
      <x:c r="N110" s="19" t="n">
        <x:f>MAX(K110-1,0)+MAX(L110-1,0)+MAX(M110-1,0)</x:f>
        <x:v>1</x:v>
      </x:c>
      <x:c r="O110" s="19" t="n">
        <x:f>IF(AND(SUM(K110:M110)&lt;9,OR(M110=0,N110&lt;6)),1,0)</x:f>
        <x:v>1</x:v>
      </x:c>
      <x:c r="P110" s="19" t="n">
        <x:f>IF(AND(SUM(K110:M110)&lt;9,OR(L110=0,N110&lt;6)),1,0)</x:f>
        <x:v>1</x:v>
      </x:c>
      <x:c r="Q110" s="19" t="n">
        <x:f>IF(AND(SUM(K110:M110)&lt;9,OR(K110=0,N110&lt;6)),1,0)</x:f>
        <x:v>1</x:v>
      </x:c>
      <x:c r="R110" s="22" t="str">
        <x:f>O110&amp;P110&amp;Q110</x:f>
        <x:v>111</x:v>
      </x:c>
      <x:c r="S110" s="19" t="n">
        <x:f>IF(I110=1,IF(J110=0,Q110,IF(J110=1,P110,IF(J110=2,O110,0))),0)</x:f>
        <x:v>1</x:v>
      </x:c>
      <x:c r="T110" s="19" t="n">
        <x:f>K110+IF(AND(S110=1,J110=0),1,0)</x:f>
        <x:v>0</x:v>
      </x:c>
      <x:c r="U110" s="19" t="n">
        <x:f>L110+IF(AND(S110=1,J110=1),1,0)</x:f>
        <x:v>2</x:v>
      </x:c>
      <x:c r="V110" s="19" t="n">
        <x:f>M110+IF(AND(S110=1,J110=2),1,0)</x:f>
        <x:v>2</x:v>
      </x:c>
      <x:c r="W110" s="19" t="n">
        <x:f>SUM(T110:V110)</x:f>
        <x:v>4</x:v>
      </x:c>
      <x:c r="X110" s="19" t="n">
        <x:f>W110-G110</x:f>
        <x:v>0</x:v>
      </x:c>
      <x:c r="Y110" s="19" t="n">
        <x:f>MAX(T110,1)+MAX(U110,1)+MAX(V110,1)</x:f>
        <x:v>5</x:v>
      </x:c>
      <x:c r="Z110" s="21" t="str">
        <x:f>IF(AND(MIN(D110:F110)&gt;=0,MAX(D110:F110)&lt;=7,MAX(D110,1)+MAX(E110,1)+MAX(F110,1)&lt;=9,OR(H110="-",AND(H110=0,D110&gt;0),AND(H110=1,E110&gt;0),AND(H110=2,F110&gt;0)),OR(I110=0,AND(I110=1,OR(J110=0,J110=1,J110=2),R110&lt;&gt;"000")),Y110&lt;=9,MIN(T110:V110)&gt;=0),"合法","输入违约")</x:f>
        <x:v>合法</x:v>
      </x:c>
    </x:row>
    <x:row r="111" ht="23" customHeight="1">
      <x:c r="A111" s="3" t="str">
        <x:v>CT-0104</x:v>
      </x:c>
      <x:c r="B111" s="3" t="str">
        <x:v>ST-022</x:v>
      </x:c>
      <x:c r="C111" s="3" t="str">
        <x:v>R+AR同收同发</x:v>
      </x:c>
      <x:c r="D111" s="25" t="n">
        <x:v>0</x:v>
      </x:c>
      <x:c r="E111" s="25" t="n">
        <x:v>1</x:v>
      </x:c>
      <x:c r="F111" s="25" t="n">
        <x:v>3</x:v>
      </x:c>
      <x:c r="G111" s="19" t="n">
        <x:f>SUM(D111:F111)</x:f>
        <x:v>4</x:v>
      </x:c>
      <x:c r="H111" s="25" t="n">
        <x:v>2</x:v>
      </x:c>
      <x:c r="I111" s="25" t="n">
        <x:v>1</x:v>
      </x:c>
      <x:c r="J111" s="25" t="n">
        <x:v>2</x:v>
      </x:c>
      <x:c r="K111" s="19" t="n">
        <x:f>D111-IF(H111=0,1,0)</x:f>
        <x:v>0</x:v>
      </x:c>
      <x:c r="L111" s="19" t="n">
        <x:f>E111-IF(H111=1,1,0)</x:f>
        <x:v>1</x:v>
      </x:c>
      <x:c r="M111" s="19" t="n">
        <x:f>F111-IF(H111=2,1,0)</x:f>
        <x:v>2</x:v>
      </x:c>
      <x:c r="N111" s="19" t="n">
        <x:f>MAX(K111-1,0)+MAX(L111-1,0)+MAX(M111-1,0)</x:f>
        <x:v>1</x:v>
      </x:c>
      <x:c r="O111" s="19" t="n">
        <x:f>IF(AND(SUM(K111:M111)&lt;9,OR(M111=0,N111&lt;6)),1,0)</x:f>
        <x:v>1</x:v>
      </x:c>
      <x:c r="P111" s="19" t="n">
        <x:f>IF(AND(SUM(K111:M111)&lt;9,OR(L111=0,N111&lt;6)),1,0)</x:f>
        <x:v>1</x:v>
      </x:c>
      <x:c r="Q111" s="19" t="n">
        <x:f>IF(AND(SUM(K111:M111)&lt;9,OR(K111=0,N111&lt;6)),1,0)</x:f>
        <x:v>1</x:v>
      </x:c>
      <x:c r="R111" s="22" t="str">
        <x:f>O111&amp;P111&amp;Q111</x:f>
        <x:v>111</x:v>
      </x:c>
      <x:c r="S111" s="19" t="n">
        <x:f>IF(I111=1,IF(J111=0,Q111,IF(J111=1,P111,IF(J111=2,O111,0))),0)</x:f>
        <x:v>1</x:v>
      </x:c>
      <x:c r="T111" s="19" t="n">
        <x:f>K111+IF(AND(S111=1,J111=0),1,0)</x:f>
        <x:v>0</x:v>
      </x:c>
      <x:c r="U111" s="19" t="n">
        <x:f>L111+IF(AND(S111=1,J111=1),1,0)</x:f>
        <x:v>1</x:v>
      </x:c>
      <x:c r="V111" s="19" t="n">
        <x:f>M111+IF(AND(S111=1,J111=2),1,0)</x:f>
        <x:v>3</x:v>
      </x:c>
      <x:c r="W111" s="19" t="n">
        <x:f>SUM(T111:V111)</x:f>
        <x:v>4</x:v>
      </x:c>
      <x:c r="X111" s="19" t="n">
        <x:f>W111-G111</x:f>
        <x:v>0</x:v>
      </x:c>
      <x:c r="Y111" s="19" t="n">
        <x:f>MAX(T111,1)+MAX(U111,1)+MAX(V111,1)</x:f>
        <x:v>5</x:v>
      </x:c>
      <x:c r="Z111" s="21" t="str">
        <x:f>IF(AND(MIN(D111:F111)&gt;=0,MAX(D111:F111)&lt;=7,MAX(D111,1)+MAX(E111,1)+MAX(F111,1)&lt;=9,OR(H111="-",AND(H111=0,D111&gt;0),AND(H111=1,E111&gt;0),AND(H111=2,F111&gt;0)),OR(I111=0,AND(I111=1,OR(J111=0,J111=1,J111=2),R111&lt;&gt;"000")),Y111&lt;=9,MIN(T111:V111)&gt;=0),"合法","输入违约")</x:f>
        <x:v>合法</x:v>
      </x:c>
    </x:row>
    <x:row r="112" ht="23" customHeight="1">
      <x:c r="A112" s="3" t="str">
        <x:v>CT-0105</x:v>
      </x:c>
      <x:c r="B112" s="3" t="str">
        <x:v>ST-037</x:v>
      </x:c>
      <x:c r="C112" s="3" t="str">
        <x:v>无AR/R</x:v>
      </x:c>
      <x:c r="D112" s="25" t="n">
        <x:v>0</x:v>
      </x:c>
      <x:c r="E112" s="25" t="n">
        <x:v>1</x:v>
      </x:c>
      <x:c r="F112" s="25" t="n">
        <x:v>4</x:v>
      </x:c>
      <x:c r="G112" s="19" t="n">
        <x:f>SUM(D112:F112)</x:f>
        <x:v>5</x:v>
      </x:c>
      <x:c r="H112" s="25" t="str">
        <x:v>-</x:v>
      </x:c>
      <x:c r="I112" s="25" t="n">
        <x:v>0</x:v>
      </x:c>
      <x:c r="J112" s="25" t="str">
        <x:v>-</x:v>
      </x:c>
      <x:c r="K112" s="19" t="n">
        <x:f>D112-IF(H112=0,1,0)</x:f>
        <x:v>0</x:v>
      </x:c>
      <x:c r="L112" s="19" t="n">
        <x:f>E112-IF(H112=1,1,0)</x:f>
        <x:v>1</x:v>
      </x:c>
      <x:c r="M112" s="19" t="n">
        <x:f>F112-IF(H112=2,1,0)</x:f>
        <x:v>4</x:v>
      </x:c>
      <x:c r="N112" s="19" t="n">
        <x:f>MAX(K112-1,0)+MAX(L112-1,0)+MAX(M112-1,0)</x:f>
        <x:v>3</x:v>
      </x:c>
      <x:c r="O112" s="19" t="n">
        <x:f>IF(AND(SUM(K112:M112)&lt;9,OR(M112=0,N112&lt;6)),1,0)</x:f>
        <x:v>1</x:v>
      </x:c>
      <x:c r="P112" s="19" t="n">
        <x:f>IF(AND(SUM(K112:M112)&lt;9,OR(L112=0,N112&lt;6)),1,0)</x:f>
        <x:v>1</x:v>
      </x:c>
      <x:c r="Q112" s="19" t="n">
        <x:f>IF(AND(SUM(K112:M112)&lt;9,OR(K112=0,N112&lt;6)),1,0)</x:f>
        <x:v>1</x:v>
      </x:c>
      <x:c r="R112" s="22" t="str">
        <x:f>O112&amp;P112&amp;Q112</x:f>
        <x:v>111</x:v>
      </x:c>
      <x:c r="S112" s="19" t="n">
        <x:f>IF(I112=1,IF(J112=0,Q112,IF(J112=1,P112,IF(J112=2,O112,0))),0)</x:f>
        <x:v>0</x:v>
      </x:c>
      <x:c r="T112" s="19" t="n">
        <x:f>K112+IF(AND(S112=1,J112=0),1,0)</x:f>
        <x:v>0</x:v>
      </x:c>
      <x:c r="U112" s="19" t="n">
        <x:f>L112+IF(AND(S112=1,J112=1),1,0)</x:f>
        <x:v>1</x:v>
      </x:c>
      <x:c r="V112" s="19" t="n">
        <x:f>M112+IF(AND(S112=1,J112=2),1,0)</x:f>
        <x:v>4</x:v>
      </x:c>
      <x:c r="W112" s="19" t="n">
        <x:f>SUM(T112:V112)</x:f>
        <x:v>5</x:v>
      </x:c>
      <x:c r="X112" s="19" t="n">
        <x:f>W112-G112</x:f>
        <x:v>0</x:v>
      </x:c>
      <x:c r="Y112" s="19" t="n">
        <x:f>MAX(T112,1)+MAX(U112,1)+MAX(V112,1)</x:f>
        <x:v>6</x:v>
      </x:c>
      <x:c r="Z112" s="21" t="str">
        <x:f>IF(AND(MIN(D112:F112)&gt;=0,MAX(D112:F112)&lt;=7,MAX(D112,1)+MAX(E112,1)+MAX(F112,1)&lt;=9,OR(H112="-",AND(H112=0,D112&gt;0),AND(H112=1,E112&gt;0),AND(H112=2,F112&gt;0)),OR(I112=0,AND(I112=1,OR(J112=0,J112=1,J112=2),R112&lt;&gt;"000")),Y112&lt;=9,MIN(T112:V112)&gt;=0),"合法","输入违约")</x:f>
        <x:v>合法</x:v>
      </x:c>
    </x:row>
    <x:row r="113" ht="23" customHeight="1">
      <x:c r="A113" s="3" t="str">
        <x:v>CT-0106</x:v>
      </x:c>
      <x:c r="B113" s="3" t="str">
        <x:v>ST-037</x:v>
      </x:c>
      <x:c r="C113" s="3" t="str">
        <x:v>仅AR接收</x:v>
      </x:c>
      <x:c r="D113" s="25" t="n">
        <x:v>0</x:v>
      </x:c>
      <x:c r="E113" s="25" t="n">
        <x:v>1</x:v>
      </x:c>
      <x:c r="F113" s="25" t="n">
        <x:v>4</x:v>
      </x:c>
      <x:c r="G113" s="19" t="n">
        <x:f>SUM(D113:F113)</x:f>
        <x:v>5</x:v>
      </x:c>
      <x:c r="H113" s="25" t="str">
        <x:v>-</x:v>
      </x:c>
      <x:c r="I113" s="25" t="n">
        <x:v>1</x:v>
      </x:c>
      <x:c r="J113" s="25" t="n">
        <x:v>0</x:v>
      </x:c>
      <x:c r="K113" s="19" t="n">
        <x:f>D113-IF(H113=0,1,0)</x:f>
        <x:v>0</x:v>
      </x:c>
      <x:c r="L113" s="19" t="n">
        <x:f>E113-IF(H113=1,1,0)</x:f>
        <x:v>1</x:v>
      </x:c>
      <x:c r="M113" s="19" t="n">
        <x:f>F113-IF(H113=2,1,0)</x:f>
        <x:v>4</x:v>
      </x:c>
      <x:c r="N113" s="19" t="n">
        <x:f>MAX(K113-1,0)+MAX(L113-1,0)+MAX(M113-1,0)</x:f>
        <x:v>3</x:v>
      </x:c>
      <x:c r="O113" s="19" t="n">
        <x:f>IF(AND(SUM(K113:M113)&lt;9,OR(M113=0,N113&lt;6)),1,0)</x:f>
        <x:v>1</x:v>
      </x:c>
      <x:c r="P113" s="19" t="n">
        <x:f>IF(AND(SUM(K113:M113)&lt;9,OR(L113=0,N113&lt;6)),1,0)</x:f>
        <x:v>1</x:v>
      </x:c>
      <x:c r="Q113" s="19" t="n">
        <x:f>IF(AND(SUM(K113:M113)&lt;9,OR(K113=0,N113&lt;6)),1,0)</x:f>
        <x:v>1</x:v>
      </x:c>
      <x:c r="R113" s="22" t="str">
        <x:f>O113&amp;P113&amp;Q113</x:f>
        <x:v>111</x:v>
      </x:c>
      <x:c r="S113" s="19" t="n">
        <x:f>IF(I113=1,IF(J113=0,Q113,IF(J113=1,P113,IF(J113=2,O113,0))),0)</x:f>
        <x:v>1</x:v>
      </x:c>
      <x:c r="T113" s="19" t="n">
        <x:f>K113+IF(AND(S113=1,J113=0),1,0)</x:f>
        <x:v>1</x:v>
      </x:c>
      <x:c r="U113" s="19" t="n">
        <x:f>L113+IF(AND(S113=1,J113=1),1,0)</x:f>
        <x:v>1</x:v>
      </x:c>
      <x:c r="V113" s="19" t="n">
        <x:f>M113+IF(AND(S113=1,J113=2),1,0)</x:f>
        <x:v>4</x:v>
      </x:c>
      <x:c r="W113" s="19" t="n">
        <x:f>SUM(T113:V113)</x:f>
        <x:v>6</x:v>
      </x:c>
      <x:c r="X113" s="19" t="n">
        <x:f>W113-G113</x:f>
        <x:v>1</x:v>
      </x:c>
      <x:c r="Y113" s="19" t="n">
        <x:f>MAX(T113,1)+MAX(U113,1)+MAX(V113,1)</x:f>
        <x:v>6</x:v>
      </x:c>
      <x:c r="Z113" s="21" t="str">
        <x:f>IF(AND(MIN(D113:F113)&gt;=0,MAX(D113:F113)&lt;=7,MAX(D113,1)+MAX(E113,1)+MAX(F113,1)&lt;=9,OR(H113="-",AND(H113=0,D113&gt;0),AND(H113=1,E113&gt;0),AND(H113=2,F113&gt;0)),OR(I113=0,AND(I113=1,OR(J113=0,J113=1,J113=2),R113&lt;&gt;"000")),Y113&lt;=9,MIN(T113:V113)&gt;=0),"合法","输入违约")</x:f>
        <x:v>合法</x:v>
      </x:c>
    </x:row>
    <x:row r="114" ht="23" customHeight="1">
      <x:c r="A114" s="3" t="str">
        <x:v>CT-0107</x:v>
      </x:c>
      <x:c r="B114" s="3" t="str">
        <x:v>ST-037</x:v>
      </x:c>
      <x:c r="C114" s="3" t="str">
        <x:v>仅AR接收</x:v>
      </x:c>
      <x:c r="D114" s="25" t="n">
        <x:v>0</x:v>
      </x:c>
      <x:c r="E114" s="25" t="n">
        <x:v>1</x:v>
      </x:c>
      <x:c r="F114" s="25" t="n">
        <x:v>4</x:v>
      </x:c>
      <x:c r="G114" s="19" t="n">
        <x:f>SUM(D114:F114)</x:f>
        <x:v>5</x:v>
      </x:c>
      <x:c r="H114" s="25" t="str">
        <x:v>-</x:v>
      </x:c>
      <x:c r="I114" s="25" t="n">
        <x:v>1</x:v>
      </x:c>
      <x:c r="J114" s="25" t="n">
        <x:v>1</x:v>
      </x:c>
      <x:c r="K114" s="19" t="n">
        <x:f>D114-IF(H114=0,1,0)</x:f>
        <x:v>0</x:v>
      </x:c>
      <x:c r="L114" s="19" t="n">
        <x:f>E114-IF(H114=1,1,0)</x:f>
        <x:v>1</x:v>
      </x:c>
      <x:c r="M114" s="19" t="n">
        <x:f>F114-IF(H114=2,1,0)</x:f>
        <x:v>4</x:v>
      </x:c>
      <x:c r="N114" s="19" t="n">
        <x:f>MAX(K114-1,0)+MAX(L114-1,0)+MAX(M114-1,0)</x:f>
        <x:v>3</x:v>
      </x:c>
      <x:c r="O114" s="19" t="n">
        <x:f>IF(AND(SUM(K114:M114)&lt;9,OR(M114=0,N114&lt;6)),1,0)</x:f>
        <x:v>1</x:v>
      </x:c>
      <x:c r="P114" s="19" t="n">
        <x:f>IF(AND(SUM(K114:M114)&lt;9,OR(L114=0,N114&lt;6)),1,0)</x:f>
        <x:v>1</x:v>
      </x:c>
      <x:c r="Q114" s="19" t="n">
        <x:f>IF(AND(SUM(K114:M114)&lt;9,OR(K114=0,N114&lt;6)),1,0)</x:f>
        <x:v>1</x:v>
      </x:c>
      <x:c r="R114" s="22" t="str">
        <x:f>O114&amp;P114&amp;Q114</x:f>
        <x:v>111</x:v>
      </x:c>
      <x:c r="S114" s="19" t="n">
        <x:f>IF(I114=1,IF(J114=0,Q114,IF(J114=1,P114,IF(J114=2,O114,0))),0)</x:f>
        <x:v>1</x:v>
      </x:c>
      <x:c r="T114" s="19" t="n">
        <x:f>K114+IF(AND(S114=1,J114=0),1,0)</x:f>
        <x:v>0</x:v>
      </x:c>
      <x:c r="U114" s="19" t="n">
        <x:f>L114+IF(AND(S114=1,J114=1),1,0)</x:f>
        <x:v>2</x:v>
      </x:c>
      <x:c r="V114" s="19" t="n">
        <x:f>M114+IF(AND(S114=1,J114=2),1,0)</x:f>
        <x:v>4</x:v>
      </x:c>
      <x:c r="W114" s="19" t="n">
        <x:f>SUM(T114:V114)</x:f>
        <x:v>6</x:v>
      </x:c>
      <x:c r="X114" s="19" t="n">
        <x:f>W114-G114</x:f>
        <x:v>1</x:v>
      </x:c>
      <x:c r="Y114" s="19" t="n">
        <x:f>MAX(T114,1)+MAX(U114,1)+MAX(V114,1)</x:f>
        <x:v>7</x:v>
      </x:c>
      <x:c r="Z114" s="21" t="str">
        <x:f>IF(AND(MIN(D114:F114)&gt;=0,MAX(D114:F114)&lt;=7,MAX(D114,1)+MAX(E114,1)+MAX(F114,1)&lt;=9,OR(H114="-",AND(H114=0,D114&gt;0),AND(H114=1,E114&gt;0),AND(H114=2,F114&gt;0)),OR(I114=0,AND(I114=1,OR(J114=0,J114=1,J114=2),R114&lt;&gt;"000")),Y114&lt;=9,MIN(T114:V114)&gt;=0),"合法","输入违约")</x:f>
        <x:v>合法</x:v>
      </x:c>
    </x:row>
    <x:row r="115" ht="23" customHeight="1">
      <x:c r="A115" s="3" t="str">
        <x:v>CT-0108</x:v>
      </x:c>
      <x:c r="B115" s="3" t="str">
        <x:v>ST-037</x:v>
      </x:c>
      <x:c r="C115" s="3" t="str">
        <x:v>仅AR接收</x:v>
      </x:c>
      <x:c r="D115" s="25" t="n">
        <x:v>0</x:v>
      </x:c>
      <x:c r="E115" s="25" t="n">
        <x:v>1</x:v>
      </x:c>
      <x:c r="F115" s="25" t="n">
        <x:v>4</x:v>
      </x:c>
      <x:c r="G115" s="19" t="n">
        <x:f>SUM(D115:F115)</x:f>
        <x:v>5</x:v>
      </x:c>
      <x:c r="H115" s="25" t="str">
        <x:v>-</x:v>
      </x:c>
      <x:c r="I115" s="25" t="n">
        <x:v>1</x:v>
      </x:c>
      <x:c r="J115" s="25" t="n">
        <x:v>2</x:v>
      </x:c>
      <x:c r="K115" s="19" t="n">
        <x:f>D115-IF(H115=0,1,0)</x:f>
        <x:v>0</x:v>
      </x:c>
      <x:c r="L115" s="19" t="n">
        <x:f>E115-IF(H115=1,1,0)</x:f>
        <x:v>1</x:v>
      </x:c>
      <x:c r="M115" s="19" t="n">
        <x:f>F115-IF(H115=2,1,0)</x:f>
        <x:v>4</x:v>
      </x:c>
      <x:c r="N115" s="19" t="n">
        <x:f>MAX(K115-1,0)+MAX(L115-1,0)+MAX(M115-1,0)</x:f>
        <x:v>3</x:v>
      </x:c>
      <x:c r="O115" s="19" t="n">
        <x:f>IF(AND(SUM(K115:M115)&lt;9,OR(M115=0,N115&lt;6)),1,0)</x:f>
        <x:v>1</x:v>
      </x:c>
      <x:c r="P115" s="19" t="n">
        <x:f>IF(AND(SUM(K115:M115)&lt;9,OR(L115=0,N115&lt;6)),1,0)</x:f>
        <x:v>1</x:v>
      </x:c>
      <x:c r="Q115" s="19" t="n">
        <x:f>IF(AND(SUM(K115:M115)&lt;9,OR(K115=0,N115&lt;6)),1,0)</x:f>
        <x:v>1</x:v>
      </x:c>
      <x:c r="R115" s="22" t="str">
        <x:f>O115&amp;P115&amp;Q115</x:f>
        <x:v>111</x:v>
      </x:c>
      <x:c r="S115" s="19" t="n">
        <x:f>IF(I115=1,IF(J115=0,Q115,IF(J115=1,P115,IF(J115=2,O115,0))),0)</x:f>
        <x:v>1</x:v>
      </x:c>
      <x:c r="T115" s="19" t="n">
        <x:f>K115+IF(AND(S115=1,J115=0),1,0)</x:f>
        <x:v>0</x:v>
      </x:c>
      <x:c r="U115" s="19" t="n">
        <x:f>L115+IF(AND(S115=1,J115=1),1,0)</x:f>
        <x:v>1</x:v>
      </x:c>
      <x:c r="V115" s="19" t="n">
        <x:f>M115+IF(AND(S115=1,J115=2),1,0)</x:f>
        <x:v>5</x:v>
      </x:c>
      <x:c r="W115" s="19" t="n">
        <x:f>SUM(T115:V115)</x:f>
        <x:v>6</x:v>
      </x:c>
      <x:c r="X115" s="19" t="n">
        <x:f>W115-G115</x:f>
        <x:v>1</x:v>
      </x:c>
      <x:c r="Y115" s="19" t="n">
        <x:f>MAX(T115,1)+MAX(U115,1)+MAX(V115,1)</x:f>
        <x:v>7</x:v>
      </x:c>
      <x:c r="Z115" s="21" t="str">
        <x:f>IF(AND(MIN(D115:F115)&gt;=0,MAX(D115:F115)&lt;=7,MAX(D115,1)+MAX(E115,1)+MAX(F115,1)&lt;=9,OR(H115="-",AND(H115=0,D115&gt;0),AND(H115=1,E115&gt;0),AND(H115=2,F115&gt;0)),OR(I115=0,AND(I115=1,OR(J115=0,J115=1,J115=2),R115&lt;&gt;"000")),Y115&lt;=9,MIN(T115:V115)&gt;=0),"合法","输入违约")</x:f>
        <x:v>合法</x:v>
      </x:c>
    </x:row>
    <x:row r="116" ht="23" customHeight="1">
      <x:c r="A116" s="3" t="str">
        <x:v>CT-0109</x:v>
      </x:c>
      <x:c r="B116" s="3" t="str">
        <x:v>ST-037</x:v>
      </x:c>
      <x:c r="C116" s="3" t="str">
        <x:v>仅R回收</x:v>
      </x:c>
      <x:c r="D116" s="25" t="n">
        <x:v>0</x:v>
      </x:c>
      <x:c r="E116" s="25" t="n">
        <x:v>1</x:v>
      </x:c>
      <x:c r="F116" s="25" t="n">
        <x:v>4</x:v>
      </x:c>
      <x:c r="G116" s="19" t="n">
        <x:f>SUM(D116:F116)</x:f>
        <x:v>5</x:v>
      </x:c>
      <x:c r="H116" s="25" t="n">
        <x:v>1</x:v>
      </x:c>
      <x:c r="I116" s="25" t="n">
        <x:v>0</x:v>
      </x:c>
      <x:c r="J116" s="25" t="str">
        <x:v>-</x:v>
      </x:c>
      <x:c r="K116" s="19" t="n">
        <x:f>D116-IF(H116=0,1,0)</x:f>
        <x:v>0</x:v>
      </x:c>
      <x:c r="L116" s="19" t="n">
        <x:f>E116-IF(H116=1,1,0)</x:f>
        <x:v>0</x:v>
      </x:c>
      <x:c r="M116" s="19" t="n">
        <x:f>F116-IF(H116=2,1,0)</x:f>
        <x:v>4</x:v>
      </x:c>
      <x:c r="N116" s="19" t="n">
        <x:f>MAX(K116-1,0)+MAX(L116-1,0)+MAX(M116-1,0)</x:f>
        <x:v>3</x:v>
      </x:c>
      <x:c r="O116" s="19" t="n">
        <x:f>IF(AND(SUM(K116:M116)&lt;9,OR(M116=0,N116&lt;6)),1,0)</x:f>
        <x:v>1</x:v>
      </x:c>
      <x:c r="P116" s="19" t="n">
        <x:f>IF(AND(SUM(K116:M116)&lt;9,OR(L116=0,N116&lt;6)),1,0)</x:f>
        <x:v>1</x:v>
      </x:c>
      <x:c r="Q116" s="19" t="n">
        <x:f>IF(AND(SUM(K116:M116)&lt;9,OR(K116=0,N116&lt;6)),1,0)</x:f>
        <x:v>1</x:v>
      </x:c>
      <x:c r="R116" s="22" t="str">
        <x:f>O116&amp;P116&amp;Q116</x:f>
        <x:v>111</x:v>
      </x:c>
      <x:c r="S116" s="19" t="n">
        <x:f>IF(I116=1,IF(J116=0,Q116,IF(J116=1,P116,IF(J116=2,O116,0))),0)</x:f>
        <x:v>0</x:v>
      </x:c>
      <x:c r="T116" s="19" t="n">
        <x:f>K116+IF(AND(S116=1,J116=0),1,0)</x:f>
        <x:v>0</x:v>
      </x:c>
      <x:c r="U116" s="19" t="n">
        <x:f>L116+IF(AND(S116=1,J116=1),1,0)</x:f>
        <x:v>0</x:v>
      </x:c>
      <x:c r="V116" s="19" t="n">
        <x:f>M116+IF(AND(S116=1,J116=2),1,0)</x:f>
        <x:v>4</x:v>
      </x:c>
      <x:c r="W116" s="19" t="n">
        <x:f>SUM(T116:V116)</x:f>
        <x:v>4</x:v>
      </x:c>
      <x:c r="X116" s="19" t="n">
        <x:f>W116-G116</x:f>
        <x:v>-1</x:v>
      </x:c>
      <x:c r="Y116" s="19" t="n">
        <x:f>MAX(T116,1)+MAX(U116,1)+MAX(V116,1)</x:f>
        <x:v>6</x:v>
      </x:c>
      <x:c r="Z116" s="21" t="str">
        <x:f>IF(AND(MIN(D116:F116)&gt;=0,MAX(D116:F116)&lt;=7,MAX(D116,1)+MAX(E116,1)+MAX(F116,1)&lt;=9,OR(H116="-",AND(H116=0,D116&gt;0),AND(H116=1,E116&gt;0),AND(H116=2,F116&gt;0)),OR(I116=0,AND(I116=1,OR(J116=0,J116=1,J116=2),R116&lt;&gt;"000")),Y116&lt;=9,MIN(T116:V116)&gt;=0),"合法","输入违约")</x:f>
        <x:v>合法</x:v>
      </x:c>
    </x:row>
    <x:row r="117" ht="23" customHeight="1">
      <x:c r="A117" s="3" t="str">
        <x:v>CT-0110</x:v>
      </x:c>
      <x:c r="B117" s="3" t="str">
        <x:v>ST-037</x:v>
      </x:c>
      <x:c r="C117" s="3" t="str">
        <x:v>R+AR同收同发</x:v>
      </x:c>
      <x:c r="D117" s="25" t="n">
        <x:v>0</x:v>
      </x:c>
      <x:c r="E117" s="25" t="n">
        <x:v>1</x:v>
      </x:c>
      <x:c r="F117" s="25" t="n">
        <x:v>4</x:v>
      </x:c>
      <x:c r="G117" s="19" t="n">
        <x:f>SUM(D117:F117)</x:f>
        <x:v>5</x:v>
      </x:c>
      <x:c r="H117" s="25" t="n">
        <x:v>1</x:v>
      </x:c>
      <x:c r="I117" s="25" t="n">
        <x:v>1</x:v>
      </x:c>
      <x:c r="J117" s="25" t="n">
        <x:v>0</x:v>
      </x:c>
      <x:c r="K117" s="19" t="n">
        <x:f>D117-IF(H117=0,1,0)</x:f>
        <x:v>0</x:v>
      </x:c>
      <x:c r="L117" s="19" t="n">
        <x:f>E117-IF(H117=1,1,0)</x:f>
        <x:v>0</x:v>
      </x:c>
      <x:c r="M117" s="19" t="n">
        <x:f>F117-IF(H117=2,1,0)</x:f>
        <x:v>4</x:v>
      </x:c>
      <x:c r="N117" s="19" t="n">
        <x:f>MAX(K117-1,0)+MAX(L117-1,0)+MAX(M117-1,0)</x:f>
        <x:v>3</x:v>
      </x:c>
      <x:c r="O117" s="19" t="n">
        <x:f>IF(AND(SUM(K117:M117)&lt;9,OR(M117=0,N117&lt;6)),1,0)</x:f>
        <x:v>1</x:v>
      </x:c>
      <x:c r="P117" s="19" t="n">
        <x:f>IF(AND(SUM(K117:M117)&lt;9,OR(L117=0,N117&lt;6)),1,0)</x:f>
        <x:v>1</x:v>
      </x:c>
      <x:c r="Q117" s="19" t="n">
        <x:f>IF(AND(SUM(K117:M117)&lt;9,OR(K117=0,N117&lt;6)),1,0)</x:f>
        <x:v>1</x:v>
      </x:c>
      <x:c r="R117" s="22" t="str">
        <x:f>O117&amp;P117&amp;Q117</x:f>
        <x:v>111</x:v>
      </x:c>
      <x:c r="S117" s="19" t="n">
        <x:f>IF(I117=1,IF(J117=0,Q117,IF(J117=1,P117,IF(J117=2,O117,0))),0)</x:f>
        <x:v>1</x:v>
      </x:c>
      <x:c r="T117" s="19" t="n">
        <x:f>K117+IF(AND(S117=1,J117=0),1,0)</x:f>
        <x:v>1</x:v>
      </x:c>
      <x:c r="U117" s="19" t="n">
        <x:f>L117+IF(AND(S117=1,J117=1),1,0)</x:f>
        <x:v>0</x:v>
      </x:c>
      <x:c r="V117" s="19" t="n">
        <x:f>M117+IF(AND(S117=1,J117=2),1,0)</x:f>
        <x:v>4</x:v>
      </x:c>
      <x:c r="W117" s="19" t="n">
        <x:f>SUM(T117:V117)</x:f>
        <x:v>5</x:v>
      </x:c>
      <x:c r="X117" s="19" t="n">
        <x:f>W117-G117</x:f>
        <x:v>0</x:v>
      </x:c>
      <x:c r="Y117" s="19" t="n">
        <x:f>MAX(T117,1)+MAX(U117,1)+MAX(V117,1)</x:f>
        <x:v>6</x:v>
      </x:c>
      <x:c r="Z117" s="21" t="str">
        <x:f>IF(AND(MIN(D117:F117)&gt;=0,MAX(D117:F117)&lt;=7,MAX(D117,1)+MAX(E117,1)+MAX(F117,1)&lt;=9,OR(H117="-",AND(H117=0,D117&gt;0),AND(H117=1,E117&gt;0),AND(H117=2,F117&gt;0)),OR(I117=0,AND(I117=1,OR(J117=0,J117=1,J117=2),R117&lt;&gt;"000")),Y117&lt;=9,MIN(T117:V117)&gt;=0),"合法","输入违约")</x:f>
        <x:v>合法</x:v>
      </x:c>
    </x:row>
    <x:row r="118" ht="23" customHeight="1">
      <x:c r="A118" s="3" t="str">
        <x:v>CT-0111</x:v>
      </x:c>
      <x:c r="B118" s="3" t="str">
        <x:v>ST-037</x:v>
      </x:c>
      <x:c r="C118" s="3" t="str">
        <x:v>R+AR同收同发</x:v>
      </x:c>
      <x:c r="D118" s="25" t="n">
        <x:v>0</x:v>
      </x:c>
      <x:c r="E118" s="25" t="n">
        <x:v>1</x:v>
      </x:c>
      <x:c r="F118" s="25" t="n">
        <x:v>4</x:v>
      </x:c>
      <x:c r="G118" s="19" t="n">
        <x:f>SUM(D118:F118)</x:f>
        <x:v>5</x:v>
      </x:c>
      <x:c r="H118" s="25" t="n">
        <x:v>1</x:v>
      </x:c>
      <x:c r="I118" s="25" t="n">
        <x:v>1</x:v>
      </x:c>
      <x:c r="J118" s="25" t="n">
        <x:v>1</x:v>
      </x:c>
      <x:c r="K118" s="19" t="n">
        <x:f>D118-IF(H118=0,1,0)</x:f>
        <x:v>0</x:v>
      </x:c>
      <x:c r="L118" s="19" t="n">
        <x:f>E118-IF(H118=1,1,0)</x:f>
        <x:v>0</x:v>
      </x:c>
      <x:c r="M118" s="19" t="n">
        <x:f>F118-IF(H118=2,1,0)</x:f>
        <x:v>4</x:v>
      </x:c>
      <x:c r="N118" s="19" t="n">
        <x:f>MAX(K118-1,0)+MAX(L118-1,0)+MAX(M118-1,0)</x:f>
        <x:v>3</x:v>
      </x:c>
      <x:c r="O118" s="19" t="n">
        <x:f>IF(AND(SUM(K118:M118)&lt;9,OR(M118=0,N118&lt;6)),1,0)</x:f>
        <x:v>1</x:v>
      </x:c>
      <x:c r="P118" s="19" t="n">
        <x:f>IF(AND(SUM(K118:M118)&lt;9,OR(L118=0,N118&lt;6)),1,0)</x:f>
        <x:v>1</x:v>
      </x:c>
      <x:c r="Q118" s="19" t="n">
        <x:f>IF(AND(SUM(K118:M118)&lt;9,OR(K118=0,N118&lt;6)),1,0)</x:f>
        <x:v>1</x:v>
      </x:c>
      <x:c r="R118" s="22" t="str">
        <x:f>O118&amp;P118&amp;Q118</x:f>
        <x:v>111</x:v>
      </x:c>
      <x:c r="S118" s="19" t="n">
        <x:f>IF(I118=1,IF(J118=0,Q118,IF(J118=1,P118,IF(J118=2,O118,0))),0)</x:f>
        <x:v>1</x:v>
      </x:c>
      <x:c r="T118" s="19" t="n">
        <x:f>K118+IF(AND(S118=1,J118=0),1,0)</x:f>
        <x:v>0</x:v>
      </x:c>
      <x:c r="U118" s="19" t="n">
        <x:f>L118+IF(AND(S118=1,J118=1),1,0)</x:f>
        <x:v>1</x:v>
      </x:c>
      <x:c r="V118" s="19" t="n">
        <x:f>M118+IF(AND(S118=1,J118=2),1,0)</x:f>
        <x:v>4</x:v>
      </x:c>
      <x:c r="W118" s="19" t="n">
        <x:f>SUM(T118:V118)</x:f>
        <x:v>5</x:v>
      </x:c>
      <x:c r="X118" s="19" t="n">
        <x:f>W118-G118</x:f>
        <x:v>0</x:v>
      </x:c>
      <x:c r="Y118" s="19" t="n">
        <x:f>MAX(T118,1)+MAX(U118,1)+MAX(V118,1)</x:f>
        <x:v>6</x:v>
      </x:c>
      <x:c r="Z118" s="21" t="str">
        <x:f>IF(AND(MIN(D118:F118)&gt;=0,MAX(D118:F118)&lt;=7,MAX(D118,1)+MAX(E118,1)+MAX(F118,1)&lt;=9,OR(H118="-",AND(H118=0,D118&gt;0),AND(H118=1,E118&gt;0),AND(H118=2,F118&gt;0)),OR(I118=0,AND(I118=1,OR(J118=0,J118=1,J118=2),R118&lt;&gt;"000")),Y118&lt;=9,MIN(T118:V118)&gt;=0),"合法","输入违约")</x:f>
        <x:v>合法</x:v>
      </x:c>
    </x:row>
    <x:row r="119" ht="23" customHeight="1">
      <x:c r="A119" s="3" t="str">
        <x:v>CT-0112</x:v>
      </x:c>
      <x:c r="B119" s="3" t="str">
        <x:v>ST-037</x:v>
      </x:c>
      <x:c r="C119" s="3" t="str">
        <x:v>R+AR同收同发</x:v>
      </x:c>
      <x:c r="D119" s="25" t="n">
        <x:v>0</x:v>
      </x:c>
      <x:c r="E119" s="25" t="n">
        <x:v>1</x:v>
      </x:c>
      <x:c r="F119" s="25" t="n">
        <x:v>4</x:v>
      </x:c>
      <x:c r="G119" s="19" t="n">
        <x:f>SUM(D119:F119)</x:f>
        <x:v>5</x:v>
      </x:c>
      <x:c r="H119" s="25" t="n">
        <x:v>1</x:v>
      </x:c>
      <x:c r="I119" s="25" t="n">
        <x:v>1</x:v>
      </x:c>
      <x:c r="J119" s="25" t="n">
        <x:v>2</x:v>
      </x:c>
      <x:c r="K119" s="19" t="n">
        <x:f>D119-IF(H119=0,1,0)</x:f>
        <x:v>0</x:v>
      </x:c>
      <x:c r="L119" s="19" t="n">
        <x:f>E119-IF(H119=1,1,0)</x:f>
        <x:v>0</x:v>
      </x:c>
      <x:c r="M119" s="19" t="n">
        <x:f>F119-IF(H119=2,1,0)</x:f>
        <x:v>4</x:v>
      </x:c>
      <x:c r="N119" s="19" t="n">
        <x:f>MAX(K119-1,0)+MAX(L119-1,0)+MAX(M119-1,0)</x:f>
        <x:v>3</x:v>
      </x:c>
      <x:c r="O119" s="19" t="n">
        <x:f>IF(AND(SUM(K119:M119)&lt;9,OR(M119=0,N119&lt;6)),1,0)</x:f>
        <x:v>1</x:v>
      </x:c>
      <x:c r="P119" s="19" t="n">
        <x:f>IF(AND(SUM(K119:M119)&lt;9,OR(L119=0,N119&lt;6)),1,0)</x:f>
        <x:v>1</x:v>
      </x:c>
      <x:c r="Q119" s="19" t="n">
        <x:f>IF(AND(SUM(K119:M119)&lt;9,OR(K119=0,N119&lt;6)),1,0)</x:f>
        <x:v>1</x:v>
      </x:c>
      <x:c r="R119" s="22" t="str">
        <x:f>O119&amp;P119&amp;Q119</x:f>
        <x:v>111</x:v>
      </x:c>
      <x:c r="S119" s="19" t="n">
        <x:f>IF(I119=1,IF(J119=0,Q119,IF(J119=1,P119,IF(J119=2,O119,0))),0)</x:f>
        <x:v>1</x:v>
      </x:c>
      <x:c r="T119" s="19" t="n">
        <x:f>K119+IF(AND(S119=1,J119=0),1,0)</x:f>
        <x:v>0</x:v>
      </x:c>
      <x:c r="U119" s="19" t="n">
        <x:f>L119+IF(AND(S119=1,J119=1),1,0)</x:f>
        <x:v>0</x:v>
      </x:c>
      <x:c r="V119" s="19" t="n">
        <x:f>M119+IF(AND(S119=1,J119=2),1,0)</x:f>
        <x:v>5</x:v>
      </x:c>
      <x:c r="W119" s="19" t="n">
        <x:f>SUM(T119:V119)</x:f>
        <x:v>5</x:v>
      </x:c>
      <x:c r="X119" s="19" t="n">
        <x:f>W119-G119</x:f>
        <x:v>0</x:v>
      </x:c>
      <x:c r="Y119" s="19" t="n">
        <x:f>MAX(T119,1)+MAX(U119,1)+MAX(V119,1)</x:f>
        <x:v>7</x:v>
      </x:c>
      <x:c r="Z119" s="21" t="str">
        <x:f>IF(AND(MIN(D119:F119)&gt;=0,MAX(D119:F119)&lt;=7,MAX(D119,1)+MAX(E119,1)+MAX(F119,1)&lt;=9,OR(H119="-",AND(H119=0,D119&gt;0),AND(H119=1,E119&gt;0),AND(H119=2,F119&gt;0)),OR(I119=0,AND(I119=1,OR(J119=0,J119=1,J119=2),R119&lt;&gt;"000")),Y119&lt;=9,MIN(T119:V119)&gt;=0),"合法","输入违约")</x:f>
        <x:v>合法</x:v>
      </x:c>
    </x:row>
    <x:row r="120" ht="23" customHeight="1">
      <x:c r="A120" s="3" t="str">
        <x:v>CT-0113</x:v>
      </x:c>
      <x:c r="B120" s="3" t="str">
        <x:v>ST-037</x:v>
      </x:c>
      <x:c r="C120" s="3" t="str">
        <x:v>仅R回收</x:v>
      </x:c>
      <x:c r="D120" s="25" t="n">
        <x:v>0</x:v>
      </x:c>
      <x:c r="E120" s="25" t="n">
        <x:v>1</x:v>
      </x:c>
      <x:c r="F120" s="25" t="n">
        <x:v>4</x:v>
      </x:c>
      <x:c r="G120" s="19" t="n">
        <x:f>SUM(D120:F120)</x:f>
        <x:v>5</x:v>
      </x:c>
      <x:c r="H120" s="25" t="n">
        <x:v>2</x:v>
      </x:c>
      <x:c r="I120" s="25" t="n">
        <x:v>0</x:v>
      </x:c>
      <x:c r="J120" s="25" t="str">
        <x:v>-</x:v>
      </x:c>
      <x:c r="K120" s="19" t="n">
        <x:f>D120-IF(H120=0,1,0)</x:f>
        <x:v>0</x:v>
      </x:c>
      <x:c r="L120" s="19" t="n">
        <x:f>E120-IF(H120=1,1,0)</x:f>
        <x:v>1</x:v>
      </x:c>
      <x:c r="M120" s="19" t="n">
        <x:f>F120-IF(H120=2,1,0)</x:f>
        <x:v>3</x:v>
      </x:c>
      <x:c r="N120" s="19" t="n">
        <x:f>MAX(K120-1,0)+MAX(L120-1,0)+MAX(M120-1,0)</x:f>
        <x:v>2</x:v>
      </x:c>
      <x:c r="O120" s="19" t="n">
        <x:f>IF(AND(SUM(K120:M120)&lt;9,OR(M120=0,N120&lt;6)),1,0)</x:f>
        <x:v>1</x:v>
      </x:c>
      <x:c r="P120" s="19" t="n">
        <x:f>IF(AND(SUM(K120:M120)&lt;9,OR(L120=0,N120&lt;6)),1,0)</x:f>
        <x:v>1</x:v>
      </x:c>
      <x:c r="Q120" s="19" t="n">
        <x:f>IF(AND(SUM(K120:M120)&lt;9,OR(K120=0,N120&lt;6)),1,0)</x:f>
        <x:v>1</x:v>
      </x:c>
      <x:c r="R120" s="22" t="str">
        <x:f>O120&amp;P120&amp;Q120</x:f>
        <x:v>111</x:v>
      </x:c>
      <x:c r="S120" s="19" t="n">
        <x:f>IF(I120=1,IF(J120=0,Q120,IF(J120=1,P120,IF(J120=2,O120,0))),0)</x:f>
        <x:v>0</x:v>
      </x:c>
      <x:c r="T120" s="19" t="n">
        <x:f>K120+IF(AND(S120=1,J120=0),1,0)</x:f>
        <x:v>0</x:v>
      </x:c>
      <x:c r="U120" s="19" t="n">
        <x:f>L120+IF(AND(S120=1,J120=1),1,0)</x:f>
        <x:v>1</x:v>
      </x:c>
      <x:c r="V120" s="19" t="n">
        <x:f>M120+IF(AND(S120=1,J120=2),1,0)</x:f>
        <x:v>3</x:v>
      </x:c>
      <x:c r="W120" s="19" t="n">
        <x:f>SUM(T120:V120)</x:f>
        <x:v>4</x:v>
      </x:c>
      <x:c r="X120" s="19" t="n">
        <x:f>W120-G120</x:f>
        <x:v>-1</x:v>
      </x:c>
      <x:c r="Y120" s="19" t="n">
        <x:f>MAX(T120,1)+MAX(U120,1)+MAX(V120,1)</x:f>
        <x:v>5</x:v>
      </x:c>
      <x:c r="Z120" s="21" t="str">
        <x:f>IF(AND(MIN(D120:F120)&gt;=0,MAX(D120:F120)&lt;=7,MAX(D120,1)+MAX(E120,1)+MAX(F120,1)&lt;=9,OR(H120="-",AND(H120=0,D120&gt;0),AND(H120=1,E120&gt;0),AND(H120=2,F120&gt;0)),OR(I120=0,AND(I120=1,OR(J120=0,J120=1,J120=2),R120&lt;&gt;"000")),Y120&lt;=9,MIN(T120:V120)&gt;=0),"合法","输入违约")</x:f>
        <x:v>合法</x:v>
      </x:c>
    </x:row>
    <x:row r="121" ht="23" customHeight="1">
      <x:c r="A121" s="3" t="str">
        <x:v>CT-0114</x:v>
      </x:c>
      <x:c r="B121" s="3" t="str">
        <x:v>ST-037</x:v>
      </x:c>
      <x:c r="C121" s="3" t="str">
        <x:v>R+AR同收同发</x:v>
      </x:c>
      <x:c r="D121" s="25" t="n">
        <x:v>0</x:v>
      </x:c>
      <x:c r="E121" s="25" t="n">
        <x:v>1</x:v>
      </x:c>
      <x:c r="F121" s="25" t="n">
        <x:v>4</x:v>
      </x:c>
      <x:c r="G121" s="19" t="n">
        <x:f>SUM(D121:F121)</x:f>
        <x:v>5</x:v>
      </x:c>
      <x:c r="H121" s="25" t="n">
        <x:v>2</x:v>
      </x:c>
      <x:c r="I121" s="25" t="n">
        <x:v>1</x:v>
      </x:c>
      <x:c r="J121" s="25" t="n">
        <x:v>0</x:v>
      </x:c>
      <x:c r="K121" s="19" t="n">
        <x:f>D121-IF(H121=0,1,0)</x:f>
        <x:v>0</x:v>
      </x:c>
      <x:c r="L121" s="19" t="n">
        <x:f>E121-IF(H121=1,1,0)</x:f>
        <x:v>1</x:v>
      </x:c>
      <x:c r="M121" s="19" t="n">
        <x:f>F121-IF(H121=2,1,0)</x:f>
        <x:v>3</x:v>
      </x:c>
      <x:c r="N121" s="19" t="n">
        <x:f>MAX(K121-1,0)+MAX(L121-1,0)+MAX(M121-1,0)</x:f>
        <x:v>2</x:v>
      </x:c>
      <x:c r="O121" s="19" t="n">
        <x:f>IF(AND(SUM(K121:M121)&lt;9,OR(M121=0,N121&lt;6)),1,0)</x:f>
        <x:v>1</x:v>
      </x:c>
      <x:c r="P121" s="19" t="n">
        <x:f>IF(AND(SUM(K121:M121)&lt;9,OR(L121=0,N121&lt;6)),1,0)</x:f>
        <x:v>1</x:v>
      </x:c>
      <x:c r="Q121" s="19" t="n">
        <x:f>IF(AND(SUM(K121:M121)&lt;9,OR(K121=0,N121&lt;6)),1,0)</x:f>
        <x:v>1</x:v>
      </x:c>
      <x:c r="R121" s="22" t="str">
        <x:f>O121&amp;P121&amp;Q121</x:f>
        <x:v>111</x:v>
      </x:c>
      <x:c r="S121" s="19" t="n">
        <x:f>IF(I121=1,IF(J121=0,Q121,IF(J121=1,P121,IF(J121=2,O121,0))),0)</x:f>
        <x:v>1</x:v>
      </x:c>
      <x:c r="T121" s="19" t="n">
        <x:f>K121+IF(AND(S121=1,J121=0),1,0)</x:f>
        <x:v>1</x:v>
      </x:c>
      <x:c r="U121" s="19" t="n">
        <x:f>L121+IF(AND(S121=1,J121=1),1,0)</x:f>
        <x:v>1</x:v>
      </x:c>
      <x:c r="V121" s="19" t="n">
        <x:f>M121+IF(AND(S121=1,J121=2),1,0)</x:f>
        <x:v>3</x:v>
      </x:c>
      <x:c r="W121" s="19" t="n">
        <x:f>SUM(T121:V121)</x:f>
        <x:v>5</x:v>
      </x:c>
      <x:c r="X121" s="19" t="n">
        <x:f>W121-G121</x:f>
        <x:v>0</x:v>
      </x:c>
      <x:c r="Y121" s="19" t="n">
        <x:f>MAX(T121,1)+MAX(U121,1)+MAX(V121,1)</x:f>
        <x:v>5</x:v>
      </x:c>
      <x:c r="Z121" s="21" t="str">
        <x:f>IF(AND(MIN(D121:F121)&gt;=0,MAX(D121:F121)&lt;=7,MAX(D121,1)+MAX(E121,1)+MAX(F121,1)&lt;=9,OR(H121="-",AND(H121=0,D121&gt;0),AND(H121=1,E121&gt;0),AND(H121=2,F121&gt;0)),OR(I121=0,AND(I121=1,OR(J121=0,J121=1,J121=2),R121&lt;&gt;"000")),Y121&lt;=9,MIN(T121:V121)&gt;=0),"合法","输入违约")</x:f>
        <x:v>合法</x:v>
      </x:c>
    </x:row>
    <x:row r="122" ht="23" customHeight="1">
      <x:c r="A122" s="3" t="str">
        <x:v>CT-0115</x:v>
      </x:c>
      <x:c r="B122" s="3" t="str">
        <x:v>ST-037</x:v>
      </x:c>
      <x:c r="C122" s="3" t="str">
        <x:v>R+AR同收同发</x:v>
      </x:c>
      <x:c r="D122" s="25" t="n">
        <x:v>0</x:v>
      </x:c>
      <x:c r="E122" s="25" t="n">
        <x:v>1</x:v>
      </x:c>
      <x:c r="F122" s="25" t="n">
        <x:v>4</x:v>
      </x:c>
      <x:c r="G122" s="19" t="n">
        <x:f>SUM(D122:F122)</x:f>
        <x:v>5</x:v>
      </x:c>
      <x:c r="H122" s="25" t="n">
        <x:v>2</x:v>
      </x:c>
      <x:c r="I122" s="25" t="n">
        <x:v>1</x:v>
      </x:c>
      <x:c r="J122" s="25" t="n">
        <x:v>1</x:v>
      </x:c>
      <x:c r="K122" s="19" t="n">
        <x:f>D122-IF(H122=0,1,0)</x:f>
        <x:v>0</x:v>
      </x:c>
      <x:c r="L122" s="19" t="n">
        <x:f>E122-IF(H122=1,1,0)</x:f>
        <x:v>1</x:v>
      </x:c>
      <x:c r="M122" s="19" t="n">
        <x:f>F122-IF(H122=2,1,0)</x:f>
        <x:v>3</x:v>
      </x:c>
      <x:c r="N122" s="19" t="n">
        <x:f>MAX(K122-1,0)+MAX(L122-1,0)+MAX(M122-1,0)</x:f>
        <x:v>2</x:v>
      </x:c>
      <x:c r="O122" s="19" t="n">
        <x:f>IF(AND(SUM(K122:M122)&lt;9,OR(M122=0,N122&lt;6)),1,0)</x:f>
        <x:v>1</x:v>
      </x:c>
      <x:c r="P122" s="19" t="n">
        <x:f>IF(AND(SUM(K122:M122)&lt;9,OR(L122=0,N122&lt;6)),1,0)</x:f>
        <x:v>1</x:v>
      </x:c>
      <x:c r="Q122" s="19" t="n">
        <x:f>IF(AND(SUM(K122:M122)&lt;9,OR(K122=0,N122&lt;6)),1,0)</x:f>
        <x:v>1</x:v>
      </x:c>
      <x:c r="R122" s="22" t="str">
        <x:f>O122&amp;P122&amp;Q122</x:f>
        <x:v>111</x:v>
      </x:c>
      <x:c r="S122" s="19" t="n">
        <x:f>IF(I122=1,IF(J122=0,Q122,IF(J122=1,P122,IF(J122=2,O122,0))),0)</x:f>
        <x:v>1</x:v>
      </x:c>
      <x:c r="T122" s="19" t="n">
        <x:f>K122+IF(AND(S122=1,J122=0),1,0)</x:f>
        <x:v>0</x:v>
      </x:c>
      <x:c r="U122" s="19" t="n">
        <x:f>L122+IF(AND(S122=1,J122=1),1,0)</x:f>
        <x:v>2</x:v>
      </x:c>
      <x:c r="V122" s="19" t="n">
        <x:f>M122+IF(AND(S122=1,J122=2),1,0)</x:f>
        <x:v>3</x:v>
      </x:c>
      <x:c r="W122" s="19" t="n">
        <x:f>SUM(T122:V122)</x:f>
        <x:v>5</x:v>
      </x:c>
      <x:c r="X122" s="19" t="n">
        <x:f>W122-G122</x:f>
        <x:v>0</x:v>
      </x:c>
      <x:c r="Y122" s="19" t="n">
        <x:f>MAX(T122,1)+MAX(U122,1)+MAX(V122,1)</x:f>
        <x:v>6</x:v>
      </x:c>
      <x:c r="Z122" s="21" t="str">
        <x:f>IF(AND(MIN(D122:F122)&gt;=0,MAX(D122:F122)&lt;=7,MAX(D122,1)+MAX(E122,1)+MAX(F122,1)&lt;=9,OR(H122="-",AND(H122=0,D122&gt;0),AND(H122=1,E122&gt;0),AND(H122=2,F122&gt;0)),OR(I122=0,AND(I122=1,OR(J122=0,J122=1,J122=2),R122&lt;&gt;"000")),Y122&lt;=9,MIN(T122:V122)&gt;=0),"合法","输入违约")</x:f>
        <x:v>合法</x:v>
      </x:c>
    </x:row>
    <x:row r="123" ht="23" customHeight="1">
      <x:c r="A123" s="3" t="str">
        <x:v>CT-0116</x:v>
      </x:c>
      <x:c r="B123" s="3" t="str">
        <x:v>ST-037</x:v>
      </x:c>
      <x:c r="C123" s="3" t="str">
        <x:v>R+AR同收同发</x:v>
      </x:c>
      <x:c r="D123" s="25" t="n">
        <x:v>0</x:v>
      </x:c>
      <x:c r="E123" s="25" t="n">
        <x:v>1</x:v>
      </x:c>
      <x:c r="F123" s="25" t="n">
        <x:v>4</x:v>
      </x:c>
      <x:c r="G123" s="19" t="n">
        <x:f>SUM(D123:F123)</x:f>
        <x:v>5</x:v>
      </x:c>
      <x:c r="H123" s="25" t="n">
        <x:v>2</x:v>
      </x:c>
      <x:c r="I123" s="25" t="n">
        <x:v>1</x:v>
      </x:c>
      <x:c r="J123" s="25" t="n">
        <x:v>2</x:v>
      </x:c>
      <x:c r="K123" s="19" t="n">
        <x:f>D123-IF(H123=0,1,0)</x:f>
        <x:v>0</x:v>
      </x:c>
      <x:c r="L123" s="19" t="n">
        <x:f>E123-IF(H123=1,1,0)</x:f>
        <x:v>1</x:v>
      </x:c>
      <x:c r="M123" s="19" t="n">
        <x:f>F123-IF(H123=2,1,0)</x:f>
        <x:v>3</x:v>
      </x:c>
      <x:c r="N123" s="19" t="n">
        <x:f>MAX(K123-1,0)+MAX(L123-1,0)+MAX(M123-1,0)</x:f>
        <x:v>2</x:v>
      </x:c>
      <x:c r="O123" s="19" t="n">
        <x:f>IF(AND(SUM(K123:M123)&lt;9,OR(M123=0,N123&lt;6)),1,0)</x:f>
        <x:v>1</x:v>
      </x:c>
      <x:c r="P123" s="19" t="n">
        <x:f>IF(AND(SUM(K123:M123)&lt;9,OR(L123=0,N123&lt;6)),1,0)</x:f>
        <x:v>1</x:v>
      </x:c>
      <x:c r="Q123" s="19" t="n">
        <x:f>IF(AND(SUM(K123:M123)&lt;9,OR(K123=0,N123&lt;6)),1,0)</x:f>
        <x:v>1</x:v>
      </x:c>
      <x:c r="R123" s="22" t="str">
        <x:f>O123&amp;P123&amp;Q123</x:f>
        <x:v>111</x:v>
      </x:c>
      <x:c r="S123" s="19" t="n">
        <x:f>IF(I123=1,IF(J123=0,Q123,IF(J123=1,P123,IF(J123=2,O123,0))),0)</x:f>
        <x:v>1</x:v>
      </x:c>
      <x:c r="T123" s="19" t="n">
        <x:f>K123+IF(AND(S123=1,J123=0),1,0)</x:f>
        <x:v>0</x:v>
      </x:c>
      <x:c r="U123" s="19" t="n">
        <x:f>L123+IF(AND(S123=1,J123=1),1,0)</x:f>
        <x:v>1</x:v>
      </x:c>
      <x:c r="V123" s="19" t="n">
        <x:f>M123+IF(AND(S123=1,J123=2),1,0)</x:f>
        <x:v>4</x:v>
      </x:c>
      <x:c r="W123" s="19" t="n">
        <x:f>SUM(T123:V123)</x:f>
        <x:v>5</x:v>
      </x:c>
      <x:c r="X123" s="19" t="n">
        <x:f>W123-G123</x:f>
        <x:v>0</x:v>
      </x:c>
      <x:c r="Y123" s="19" t="n">
        <x:f>MAX(T123,1)+MAX(U123,1)+MAX(V123,1)</x:f>
        <x:v>6</x:v>
      </x:c>
      <x:c r="Z123" s="21" t="str">
        <x:f>IF(AND(MIN(D123:F123)&gt;=0,MAX(D123:F123)&lt;=7,MAX(D123,1)+MAX(E123,1)+MAX(F123,1)&lt;=9,OR(H123="-",AND(H123=0,D123&gt;0),AND(H123=1,E123&gt;0),AND(H123=2,F123&gt;0)),OR(I123=0,AND(I123=1,OR(J123=0,J123=1,J123=2),R123&lt;&gt;"000")),Y123&lt;=9,MIN(T123:V123)&gt;=0),"合法","输入违约")</x:f>
        <x:v>合法</x:v>
      </x:c>
    </x:row>
    <x:row r="124" ht="23" customHeight="1">
      <x:c r="A124" s="3" t="str">
        <x:v>CT-0117</x:v>
      </x:c>
      <x:c r="B124" s="3" t="str">
        <x:v>ST-058</x:v>
      </x:c>
      <x:c r="C124" s="3" t="str">
        <x:v>无AR/R</x:v>
      </x:c>
      <x:c r="D124" s="25" t="n">
        <x:v>0</x:v>
      </x:c>
      <x:c r="E124" s="25" t="n">
        <x:v>1</x:v>
      </x:c>
      <x:c r="F124" s="25" t="n">
        <x:v>5</x:v>
      </x:c>
      <x:c r="G124" s="19" t="n">
        <x:f>SUM(D124:F124)</x:f>
        <x:v>6</x:v>
      </x:c>
      <x:c r="H124" s="25" t="str">
        <x:v>-</x:v>
      </x:c>
      <x:c r="I124" s="25" t="n">
        <x:v>0</x:v>
      </x:c>
      <x:c r="J124" s="25" t="str">
        <x:v>-</x:v>
      </x:c>
      <x:c r="K124" s="19" t="n">
        <x:f>D124-IF(H124=0,1,0)</x:f>
        <x:v>0</x:v>
      </x:c>
      <x:c r="L124" s="19" t="n">
        <x:f>E124-IF(H124=1,1,0)</x:f>
        <x:v>1</x:v>
      </x:c>
      <x:c r="M124" s="19" t="n">
        <x:f>F124-IF(H124=2,1,0)</x:f>
        <x:v>5</x:v>
      </x:c>
      <x:c r="N124" s="19" t="n">
        <x:f>MAX(K124-1,0)+MAX(L124-1,0)+MAX(M124-1,0)</x:f>
        <x:v>4</x:v>
      </x:c>
      <x:c r="O124" s="19" t="n">
        <x:f>IF(AND(SUM(K124:M124)&lt;9,OR(M124=0,N124&lt;6)),1,0)</x:f>
        <x:v>1</x:v>
      </x:c>
      <x:c r="P124" s="19" t="n">
        <x:f>IF(AND(SUM(K124:M124)&lt;9,OR(L124=0,N124&lt;6)),1,0)</x:f>
        <x:v>1</x:v>
      </x:c>
      <x:c r="Q124" s="19" t="n">
        <x:f>IF(AND(SUM(K124:M124)&lt;9,OR(K124=0,N124&lt;6)),1,0)</x:f>
        <x:v>1</x:v>
      </x:c>
      <x:c r="R124" s="22" t="str">
        <x:f>O124&amp;P124&amp;Q124</x:f>
        <x:v>111</x:v>
      </x:c>
      <x:c r="S124" s="19" t="n">
        <x:f>IF(I124=1,IF(J124=0,Q124,IF(J124=1,P124,IF(J124=2,O124,0))),0)</x:f>
        <x:v>0</x:v>
      </x:c>
      <x:c r="T124" s="19" t="n">
        <x:f>K124+IF(AND(S124=1,J124=0),1,0)</x:f>
        <x:v>0</x:v>
      </x:c>
      <x:c r="U124" s="19" t="n">
        <x:f>L124+IF(AND(S124=1,J124=1),1,0)</x:f>
        <x:v>1</x:v>
      </x:c>
      <x:c r="V124" s="19" t="n">
        <x:f>M124+IF(AND(S124=1,J124=2),1,0)</x:f>
        <x:v>5</x:v>
      </x:c>
      <x:c r="W124" s="19" t="n">
        <x:f>SUM(T124:V124)</x:f>
        <x:v>6</x:v>
      </x:c>
      <x:c r="X124" s="19" t="n">
        <x:f>W124-G124</x:f>
        <x:v>0</x:v>
      </x:c>
      <x:c r="Y124" s="19" t="n">
        <x:f>MAX(T124,1)+MAX(U124,1)+MAX(V124,1)</x:f>
        <x:v>7</x:v>
      </x:c>
      <x:c r="Z124" s="21" t="str">
        <x:f>IF(AND(MIN(D124:F124)&gt;=0,MAX(D124:F124)&lt;=7,MAX(D124,1)+MAX(E124,1)+MAX(F124,1)&lt;=9,OR(H124="-",AND(H124=0,D124&gt;0),AND(H124=1,E124&gt;0),AND(H124=2,F124&gt;0)),OR(I124=0,AND(I124=1,OR(J124=0,J124=1,J124=2),R124&lt;&gt;"000")),Y124&lt;=9,MIN(T124:V124)&gt;=0),"合法","输入违约")</x:f>
        <x:v>合法</x:v>
      </x:c>
    </x:row>
    <x:row r="125" ht="23" customHeight="1">
      <x:c r="A125" s="3" t="str">
        <x:v>CT-0118</x:v>
      </x:c>
      <x:c r="B125" s="3" t="str">
        <x:v>ST-058</x:v>
      </x:c>
      <x:c r="C125" s="3" t="str">
        <x:v>仅AR接收</x:v>
      </x:c>
      <x:c r="D125" s="25" t="n">
        <x:v>0</x:v>
      </x:c>
      <x:c r="E125" s="25" t="n">
        <x:v>1</x:v>
      </x:c>
      <x:c r="F125" s="25" t="n">
        <x:v>5</x:v>
      </x:c>
      <x:c r="G125" s="19" t="n">
        <x:f>SUM(D125:F125)</x:f>
        <x:v>6</x:v>
      </x:c>
      <x:c r="H125" s="25" t="str">
        <x:v>-</x:v>
      </x:c>
      <x:c r="I125" s="25" t="n">
        <x:v>1</x:v>
      </x:c>
      <x:c r="J125" s="25" t="n">
        <x:v>0</x:v>
      </x:c>
      <x:c r="K125" s="19" t="n">
        <x:f>D125-IF(H125=0,1,0)</x:f>
        <x:v>0</x:v>
      </x:c>
      <x:c r="L125" s="19" t="n">
        <x:f>E125-IF(H125=1,1,0)</x:f>
        <x:v>1</x:v>
      </x:c>
      <x:c r="M125" s="19" t="n">
        <x:f>F125-IF(H125=2,1,0)</x:f>
        <x:v>5</x:v>
      </x:c>
      <x:c r="N125" s="19" t="n">
        <x:f>MAX(K125-1,0)+MAX(L125-1,0)+MAX(M125-1,0)</x:f>
        <x:v>4</x:v>
      </x:c>
      <x:c r="O125" s="19" t="n">
        <x:f>IF(AND(SUM(K125:M125)&lt;9,OR(M125=0,N125&lt;6)),1,0)</x:f>
        <x:v>1</x:v>
      </x:c>
      <x:c r="P125" s="19" t="n">
        <x:f>IF(AND(SUM(K125:M125)&lt;9,OR(L125=0,N125&lt;6)),1,0)</x:f>
        <x:v>1</x:v>
      </x:c>
      <x:c r="Q125" s="19" t="n">
        <x:f>IF(AND(SUM(K125:M125)&lt;9,OR(K125=0,N125&lt;6)),1,0)</x:f>
        <x:v>1</x:v>
      </x:c>
      <x:c r="R125" s="22" t="str">
        <x:f>O125&amp;P125&amp;Q125</x:f>
        <x:v>111</x:v>
      </x:c>
      <x:c r="S125" s="19" t="n">
        <x:f>IF(I125=1,IF(J125=0,Q125,IF(J125=1,P125,IF(J125=2,O125,0))),0)</x:f>
        <x:v>1</x:v>
      </x:c>
      <x:c r="T125" s="19" t="n">
        <x:f>K125+IF(AND(S125=1,J125=0),1,0)</x:f>
        <x:v>1</x:v>
      </x:c>
      <x:c r="U125" s="19" t="n">
        <x:f>L125+IF(AND(S125=1,J125=1),1,0)</x:f>
        <x:v>1</x:v>
      </x:c>
      <x:c r="V125" s="19" t="n">
        <x:f>M125+IF(AND(S125=1,J125=2),1,0)</x:f>
        <x:v>5</x:v>
      </x:c>
      <x:c r="W125" s="19" t="n">
        <x:f>SUM(T125:V125)</x:f>
        <x:v>7</x:v>
      </x:c>
      <x:c r="X125" s="19" t="n">
        <x:f>W125-G125</x:f>
        <x:v>1</x:v>
      </x:c>
      <x:c r="Y125" s="19" t="n">
        <x:f>MAX(T125,1)+MAX(U125,1)+MAX(V125,1)</x:f>
        <x:v>7</x:v>
      </x:c>
      <x:c r="Z125" s="21" t="str">
        <x:f>IF(AND(MIN(D125:F125)&gt;=0,MAX(D125:F125)&lt;=7,MAX(D125,1)+MAX(E125,1)+MAX(F125,1)&lt;=9,OR(H125="-",AND(H125=0,D125&gt;0),AND(H125=1,E125&gt;0),AND(H125=2,F125&gt;0)),OR(I125=0,AND(I125=1,OR(J125=0,J125=1,J125=2),R125&lt;&gt;"000")),Y125&lt;=9,MIN(T125:V125)&gt;=0),"合法","输入违约")</x:f>
        <x:v>合法</x:v>
      </x:c>
    </x:row>
    <x:row r="126" ht="23" customHeight="1">
      <x:c r="A126" s="3" t="str">
        <x:v>CT-0119</x:v>
      </x:c>
      <x:c r="B126" s="3" t="str">
        <x:v>ST-058</x:v>
      </x:c>
      <x:c r="C126" s="3" t="str">
        <x:v>仅AR接收</x:v>
      </x:c>
      <x:c r="D126" s="25" t="n">
        <x:v>0</x:v>
      </x:c>
      <x:c r="E126" s="25" t="n">
        <x:v>1</x:v>
      </x:c>
      <x:c r="F126" s="25" t="n">
        <x:v>5</x:v>
      </x:c>
      <x:c r="G126" s="19" t="n">
        <x:f>SUM(D126:F126)</x:f>
        <x:v>6</x:v>
      </x:c>
      <x:c r="H126" s="25" t="str">
        <x:v>-</x:v>
      </x:c>
      <x:c r="I126" s="25" t="n">
        <x:v>1</x:v>
      </x:c>
      <x:c r="J126" s="25" t="n">
        <x:v>1</x:v>
      </x:c>
      <x:c r="K126" s="19" t="n">
        <x:f>D126-IF(H126=0,1,0)</x:f>
        <x:v>0</x:v>
      </x:c>
      <x:c r="L126" s="19" t="n">
        <x:f>E126-IF(H126=1,1,0)</x:f>
        <x:v>1</x:v>
      </x:c>
      <x:c r="M126" s="19" t="n">
        <x:f>F126-IF(H126=2,1,0)</x:f>
        <x:v>5</x:v>
      </x:c>
      <x:c r="N126" s="19" t="n">
        <x:f>MAX(K126-1,0)+MAX(L126-1,0)+MAX(M126-1,0)</x:f>
        <x:v>4</x:v>
      </x:c>
      <x:c r="O126" s="19" t="n">
        <x:f>IF(AND(SUM(K126:M126)&lt;9,OR(M126=0,N126&lt;6)),1,0)</x:f>
        <x:v>1</x:v>
      </x:c>
      <x:c r="P126" s="19" t="n">
        <x:f>IF(AND(SUM(K126:M126)&lt;9,OR(L126=0,N126&lt;6)),1,0)</x:f>
        <x:v>1</x:v>
      </x:c>
      <x:c r="Q126" s="19" t="n">
        <x:f>IF(AND(SUM(K126:M126)&lt;9,OR(K126=0,N126&lt;6)),1,0)</x:f>
        <x:v>1</x:v>
      </x:c>
      <x:c r="R126" s="22" t="str">
        <x:f>O126&amp;P126&amp;Q126</x:f>
        <x:v>111</x:v>
      </x:c>
      <x:c r="S126" s="19" t="n">
        <x:f>IF(I126=1,IF(J126=0,Q126,IF(J126=1,P126,IF(J126=2,O126,0))),0)</x:f>
        <x:v>1</x:v>
      </x:c>
      <x:c r="T126" s="19" t="n">
        <x:f>K126+IF(AND(S126=1,J126=0),1,0)</x:f>
        <x:v>0</x:v>
      </x:c>
      <x:c r="U126" s="19" t="n">
        <x:f>L126+IF(AND(S126=1,J126=1),1,0)</x:f>
        <x:v>2</x:v>
      </x:c>
      <x:c r="V126" s="19" t="n">
        <x:f>M126+IF(AND(S126=1,J126=2),1,0)</x:f>
        <x:v>5</x:v>
      </x:c>
      <x:c r="W126" s="19" t="n">
        <x:f>SUM(T126:V126)</x:f>
        <x:v>7</x:v>
      </x:c>
      <x:c r="X126" s="19" t="n">
        <x:f>W126-G126</x:f>
        <x:v>1</x:v>
      </x:c>
      <x:c r="Y126" s="19" t="n">
        <x:f>MAX(T126,1)+MAX(U126,1)+MAX(V126,1)</x:f>
        <x:v>8</x:v>
      </x:c>
      <x:c r="Z126" s="21" t="str">
        <x:f>IF(AND(MIN(D126:F126)&gt;=0,MAX(D126:F126)&lt;=7,MAX(D126,1)+MAX(E126,1)+MAX(F126,1)&lt;=9,OR(H126="-",AND(H126=0,D126&gt;0),AND(H126=1,E126&gt;0),AND(H126=2,F126&gt;0)),OR(I126=0,AND(I126=1,OR(J126=0,J126=1,J126=2),R126&lt;&gt;"000")),Y126&lt;=9,MIN(T126:V126)&gt;=0),"合法","输入违约")</x:f>
        <x:v>合法</x:v>
      </x:c>
    </x:row>
    <x:row r="127" ht="23" customHeight="1">
      <x:c r="A127" s="3" t="str">
        <x:v>CT-0120</x:v>
      </x:c>
      <x:c r="B127" s="3" t="str">
        <x:v>ST-058</x:v>
      </x:c>
      <x:c r="C127" s="3" t="str">
        <x:v>仅AR接收</x:v>
      </x:c>
      <x:c r="D127" s="25" t="n">
        <x:v>0</x:v>
      </x:c>
      <x:c r="E127" s="25" t="n">
        <x:v>1</x:v>
      </x:c>
      <x:c r="F127" s="25" t="n">
        <x:v>5</x:v>
      </x:c>
      <x:c r="G127" s="19" t="n">
        <x:f>SUM(D127:F127)</x:f>
        <x:v>6</x:v>
      </x:c>
      <x:c r="H127" s="25" t="str">
        <x:v>-</x:v>
      </x:c>
      <x:c r="I127" s="25" t="n">
        <x:v>1</x:v>
      </x:c>
      <x:c r="J127" s="25" t="n">
        <x:v>2</x:v>
      </x:c>
      <x:c r="K127" s="19" t="n">
        <x:f>D127-IF(H127=0,1,0)</x:f>
        <x:v>0</x:v>
      </x:c>
      <x:c r="L127" s="19" t="n">
        <x:f>E127-IF(H127=1,1,0)</x:f>
        <x:v>1</x:v>
      </x:c>
      <x:c r="M127" s="19" t="n">
        <x:f>F127-IF(H127=2,1,0)</x:f>
        <x:v>5</x:v>
      </x:c>
      <x:c r="N127" s="19" t="n">
        <x:f>MAX(K127-1,0)+MAX(L127-1,0)+MAX(M127-1,0)</x:f>
        <x:v>4</x:v>
      </x:c>
      <x:c r="O127" s="19" t="n">
        <x:f>IF(AND(SUM(K127:M127)&lt;9,OR(M127=0,N127&lt;6)),1,0)</x:f>
        <x:v>1</x:v>
      </x:c>
      <x:c r="P127" s="19" t="n">
        <x:f>IF(AND(SUM(K127:M127)&lt;9,OR(L127=0,N127&lt;6)),1,0)</x:f>
        <x:v>1</x:v>
      </x:c>
      <x:c r="Q127" s="19" t="n">
        <x:f>IF(AND(SUM(K127:M127)&lt;9,OR(K127=0,N127&lt;6)),1,0)</x:f>
        <x:v>1</x:v>
      </x:c>
      <x:c r="R127" s="22" t="str">
        <x:f>O127&amp;P127&amp;Q127</x:f>
        <x:v>111</x:v>
      </x:c>
      <x:c r="S127" s="19" t="n">
        <x:f>IF(I127=1,IF(J127=0,Q127,IF(J127=1,P127,IF(J127=2,O127,0))),0)</x:f>
        <x:v>1</x:v>
      </x:c>
      <x:c r="T127" s="19" t="n">
        <x:f>K127+IF(AND(S127=1,J127=0),1,0)</x:f>
        <x:v>0</x:v>
      </x:c>
      <x:c r="U127" s="19" t="n">
        <x:f>L127+IF(AND(S127=1,J127=1),1,0)</x:f>
        <x:v>1</x:v>
      </x:c>
      <x:c r="V127" s="19" t="n">
        <x:f>M127+IF(AND(S127=1,J127=2),1,0)</x:f>
        <x:v>6</x:v>
      </x:c>
      <x:c r="W127" s="19" t="n">
        <x:f>SUM(T127:V127)</x:f>
        <x:v>7</x:v>
      </x:c>
      <x:c r="X127" s="19" t="n">
        <x:f>W127-G127</x:f>
        <x:v>1</x:v>
      </x:c>
      <x:c r="Y127" s="19" t="n">
        <x:f>MAX(T127,1)+MAX(U127,1)+MAX(V127,1)</x:f>
        <x:v>8</x:v>
      </x:c>
      <x:c r="Z127" s="21" t="str">
        <x:f>IF(AND(MIN(D127:F127)&gt;=0,MAX(D127:F127)&lt;=7,MAX(D127,1)+MAX(E127,1)+MAX(F127,1)&lt;=9,OR(H127="-",AND(H127=0,D127&gt;0),AND(H127=1,E127&gt;0),AND(H127=2,F127&gt;0)),OR(I127=0,AND(I127=1,OR(J127=0,J127=1,J127=2),R127&lt;&gt;"000")),Y127&lt;=9,MIN(T127:V127)&gt;=0),"合法","输入违约")</x:f>
        <x:v>合法</x:v>
      </x:c>
    </x:row>
    <x:row r="128" ht="23" customHeight="1">
      <x:c r="A128" s="3" t="str">
        <x:v>CT-0121</x:v>
      </x:c>
      <x:c r="B128" s="3" t="str">
        <x:v>ST-058</x:v>
      </x:c>
      <x:c r="C128" s="3" t="str">
        <x:v>仅R回收</x:v>
      </x:c>
      <x:c r="D128" s="25" t="n">
        <x:v>0</x:v>
      </x:c>
      <x:c r="E128" s="25" t="n">
        <x:v>1</x:v>
      </x:c>
      <x:c r="F128" s="25" t="n">
        <x:v>5</x:v>
      </x:c>
      <x:c r="G128" s="19" t="n">
        <x:f>SUM(D128:F128)</x:f>
        <x:v>6</x:v>
      </x:c>
      <x:c r="H128" s="25" t="n">
        <x:v>1</x:v>
      </x:c>
      <x:c r="I128" s="25" t="n">
        <x:v>0</x:v>
      </x:c>
      <x:c r="J128" s="25" t="str">
        <x:v>-</x:v>
      </x:c>
      <x:c r="K128" s="19" t="n">
        <x:f>D128-IF(H128=0,1,0)</x:f>
        <x:v>0</x:v>
      </x:c>
      <x:c r="L128" s="19" t="n">
        <x:f>E128-IF(H128=1,1,0)</x:f>
        <x:v>0</x:v>
      </x:c>
      <x:c r="M128" s="19" t="n">
        <x:f>F128-IF(H128=2,1,0)</x:f>
        <x:v>5</x:v>
      </x:c>
      <x:c r="N128" s="19" t="n">
        <x:f>MAX(K128-1,0)+MAX(L128-1,0)+MAX(M128-1,0)</x:f>
        <x:v>4</x:v>
      </x:c>
      <x:c r="O128" s="19" t="n">
        <x:f>IF(AND(SUM(K128:M128)&lt;9,OR(M128=0,N128&lt;6)),1,0)</x:f>
        <x:v>1</x:v>
      </x:c>
      <x:c r="P128" s="19" t="n">
        <x:f>IF(AND(SUM(K128:M128)&lt;9,OR(L128=0,N128&lt;6)),1,0)</x:f>
        <x:v>1</x:v>
      </x:c>
      <x:c r="Q128" s="19" t="n">
        <x:f>IF(AND(SUM(K128:M128)&lt;9,OR(K128=0,N128&lt;6)),1,0)</x:f>
        <x:v>1</x:v>
      </x:c>
      <x:c r="R128" s="22" t="str">
        <x:f>O128&amp;P128&amp;Q128</x:f>
        <x:v>111</x:v>
      </x:c>
      <x:c r="S128" s="19" t="n">
        <x:f>IF(I128=1,IF(J128=0,Q128,IF(J128=1,P128,IF(J128=2,O128,0))),0)</x:f>
        <x:v>0</x:v>
      </x:c>
      <x:c r="T128" s="19" t="n">
        <x:f>K128+IF(AND(S128=1,J128=0),1,0)</x:f>
        <x:v>0</x:v>
      </x:c>
      <x:c r="U128" s="19" t="n">
        <x:f>L128+IF(AND(S128=1,J128=1),1,0)</x:f>
        <x:v>0</x:v>
      </x:c>
      <x:c r="V128" s="19" t="n">
        <x:f>M128+IF(AND(S128=1,J128=2),1,0)</x:f>
        <x:v>5</x:v>
      </x:c>
      <x:c r="W128" s="19" t="n">
        <x:f>SUM(T128:V128)</x:f>
        <x:v>5</x:v>
      </x:c>
      <x:c r="X128" s="19" t="n">
        <x:f>W128-G128</x:f>
        <x:v>-1</x:v>
      </x:c>
      <x:c r="Y128" s="19" t="n">
        <x:f>MAX(T128,1)+MAX(U128,1)+MAX(V128,1)</x:f>
        <x:v>7</x:v>
      </x:c>
      <x:c r="Z128" s="21" t="str">
        <x:f>IF(AND(MIN(D128:F128)&gt;=0,MAX(D128:F128)&lt;=7,MAX(D128,1)+MAX(E128,1)+MAX(F128,1)&lt;=9,OR(H128="-",AND(H128=0,D128&gt;0),AND(H128=1,E128&gt;0),AND(H128=2,F128&gt;0)),OR(I128=0,AND(I128=1,OR(J128=0,J128=1,J128=2),R128&lt;&gt;"000")),Y128&lt;=9,MIN(T128:V128)&gt;=0),"合法","输入违约")</x:f>
        <x:v>合法</x:v>
      </x:c>
    </x:row>
    <x:row r="129" ht="23" customHeight="1">
      <x:c r="A129" s="3" t="str">
        <x:v>CT-0122</x:v>
      </x:c>
      <x:c r="B129" s="3" t="str">
        <x:v>ST-058</x:v>
      </x:c>
      <x:c r="C129" s="3" t="str">
        <x:v>R+AR同收同发</x:v>
      </x:c>
      <x:c r="D129" s="25" t="n">
        <x:v>0</x:v>
      </x:c>
      <x:c r="E129" s="25" t="n">
        <x:v>1</x:v>
      </x:c>
      <x:c r="F129" s="25" t="n">
        <x:v>5</x:v>
      </x:c>
      <x:c r="G129" s="19" t="n">
        <x:f>SUM(D129:F129)</x:f>
        <x:v>6</x:v>
      </x:c>
      <x:c r="H129" s="25" t="n">
        <x:v>1</x:v>
      </x:c>
      <x:c r="I129" s="25" t="n">
        <x:v>1</x:v>
      </x:c>
      <x:c r="J129" s="25" t="n">
        <x:v>0</x:v>
      </x:c>
      <x:c r="K129" s="19" t="n">
        <x:f>D129-IF(H129=0,1,0)</x:f>
        <x:v>0</x:v>
      </x:c>
      <x:c r="L129" s="19" t="n">
        <x:f>E129-IF(H129=1,1,0)</x:f>
        <x:v>0</x:v>
      </x:c>
      <x:c r="M129" s="19" t="n">
        <x:f>F129-IF(H129=2,1,0)</x:f>
        <x:v>5</x:v>
      </x:c>
      <x:c r="N129" s="19" t="n">
        <x:f>MAX(K129-1,0)+MAX(L129-1,0)+MAX(M129-1,0)</x:f>
        <x:v>4</x:v>
      </x:c>
      <x:c r="O129" s="19" t="n">
        <x:f>IF(AND(SUM(K129:M129)&lt;9,OR(M129=0,N129&lt;6)),1,0)</x:f>
        <x:v>1</x:v>
      </x:c>
      <x:c r="P129" s="19" t="n">
        <x:f>IF(AND(SUM(K129:M129)&lt;9,OR(L129=0,N129&lt;6)),1,0)</x:f>
        <x:v>1</x:v>
      </x:c>
      <x:c r="Q129" s="19" t="n">
        <x:f>IF(AND(SUM(K129:M129)&lt;9,OR(K129=0,N129&lt;6)),1,0)</x:f>
        <x:v>1</x:v>
      </x:c>
      <x:c r="R129" s="22" t="str">
        <x:f>O129&amp;P129&amp;Q129</x:f>
        <x:v>111</x:v>
      </x:c>
      <x:c r="S129" s="19" t="n">
        <x:f>IF(I129=1,IF(J129=0,Q129,IF(J129=1,P129,IF(J129=2,O129,0))),0)</x:f>
        <x:v>1</x:v>
      </x:c>
      <x:c r="T129" s="19" t="n">
        <x:f>K129+IF(AND(S129=1,J129=0),1,0)</x:f>
        <x:v>1</x:v>
      </x:c>
      <x:c r="U129" s="19" t="n">
        <x:f>L129+IF(AND(S129=1,J129=1),1,0)</x:f>
        <x:v>0</x:v>
      </x:c>
      <x:c r="V129" s="19" t="n">
        <x:f>M129+IF(AND(S129=1,J129=2),1,0)</x:f>
        <x:v>5</x:v>
      </x:c>
      <x:c r="W129" s="19" t="n">
        <x:f>SUM(T129:V129)</x:f>
        <x:v>6</x:v>
      </x:c>
      <x:c r="X129" s="19" t="n">
        <x:f>W129-G129</x:f>
        <x:v>0</x:v>
      </x:c>
      <x:c r="Y129" s="19" t="n">
        <x:f>MAX(T129,1)+MAX(U129,1)+MAX(V129,1)</x:f>
        <x:v>7</x:v>
      </x:c>
      <x:c r="Z129" s="21" t="str">
        <x:f>IF(AND(MIN(D129:F129)&gt;=0,MAX(D129:F129)&lt;=7,MAX(D129,1)+MAX(E129,1)+MAX(F129,1)&lt;=9,OR(H129="-",AND(H129=0,D129&gt;0),AND(H129=1,E129&gt;0),AND(H129=2,F129&gt;0)),OR(I129=0,AND(I129=1,OR(J129=0,J129=1,J129=2),R129&lt;&gt;"000")),Y129&lt;=9,MIN(T129:V129)&gt;=0),"合法","输入违约")</x:f>
        <x:v>合法</x:v>
      </x:c>
    </x:row>
    <x:row r="130" ht="23" customHeight="1">
      <x:c r="A130" s="3" t="str">
        <x:v>CT-0123</x:v>
      </x:c>
      <x:c r="B130" s="3" t="str">
        <x:v>ST-058</x:v>
      </x:c>
      <x:c r="C130" s="3" t="str">
        <x:v>R+AR同收同发</x:v>
      </x:c>
      <x:c r="D130" s="25" t="n">
        <x:v>0</x:v>
      </x:c>
      <x:c r="E130" s="25" t="n">
        <x:v>1</x:v>
      </x:c>
      <x:c r="F130" s="25" t="n">
        <x:v>5</x:v>
      </x:c>
      <x:c r="G130" s="19" t="n">
        <x:f>SUM(D130:F130)</x:f>
        <x:v>6</x:v>
      </x:c>
      <x:c r="H130" s="25" t="n">
        <x:v>1</x:v>
      </x:c>
      <x:c r="I130" s="25" t="n">
        <x:v>1</x:v>
      </x:c>
      <x:c r="J130" s="25" t="n">
        <x:v>1</x:v>
      </x:c>
      <x:c r="K130" s="19" t="n">
        <x:f>D130-IF(H130=0,1,0)</x:f>
        <x:v>0</x:v>
      </x:c>
      <x:c r="L130" s="19" t="n">
        <x:f>E130-IF(H130=1,1,0)</x:f>
        <x:v>0</x:v>
      </x:c>
      <x:c r="M130" s="19" t="n">
        <x:f>F130-IF(H130=2,1,0)</x:f>
        <x:v>5</x:v>
      </x:c>
      <x:c r="N130" s="19" t="n">
        <x:f>MAX(K130-1,0)+MAX(L130-1,0)+MAX(M130-1,0)</x:f>
        <x:v>4</x:v>
      </x:c>
      <x:c r="O130" s="19" t="n">
        <x:f>IF(AND(SUM(K130:M130)&lt;9,OR(M130=0,N130&lt;6)),1,0)</x:f>
        <x:v>1</x:v>
      </x:c>
      <x:c r="P130" s="19" t="n">
        <x:f>IF(AND(SUM(K130:M130)&lt;9,OR(L130=0,N130&lt;6)),1,0)</x:f>
        <x:v>1</x:v>
      </x:c>
      <x:c r="Q130" s="19" t="n">
        <x:f>IF(AND(SUM(K130:M130)&lt;9,OR(K130=0,N130&lt;6)),1,0)</x:f>
        <x:v>1</x:v>
      </x:c>
      <x:c r="R130" s="22" t="str">
        <x:f>O130&amp;P130&amp;Q130</x:f>
        <x:v>111</x:v>
      </x:c>
      <x:c r="S130" s="19" t="n">
        <x:f>IF(I130=1,IF(J130=0,Q130,IF(J130=1,P130,IF(J130=2,O130,0))),0)</x:f>
        <x:v>1</x:v>
      </x:c>
      <x:c r="T130" s="19" t="n">
        <x:f>K130+IF(AND(S130=1,J130=0),1,0)</x:f>
        <x:v>0</x:v>
      </x:c>
      <x:c r="U130" s="19" t="n">
        <x:f>L130+IF(AND(S130=1,J130=1),1,0)</x:f>
        <x:v>1</x:v>
      </x:c>
      <x:c r="V130" s="19" t="n">
        <x:f>M130+IF(AND(S130=1,J130=2),1,0)</x:f>
        <x:v>5</x:v>
      </x:c>
      <x:c r="W130" s="19" t="n">
        <x:f>SUM(T130:V130)</x:f>
        <x:v>6</x:v>
      </x:c>
      <x:c r="X130" s="19" t="n">
        <x:f>W130-G130</x:f>
        <x:v>0</x:v>
      </x:c>
      <x:c r="Y130" s="19" t="n">
        <x:f>MAX(T130,1)+MAX(U130,1)+MAX(V130,1)</x:f>
        <x:v>7</x:v>
      </x:c>
      <x:c r="Z130" s="21" t="str">
        <x:f>IF(AND(MIN(D130:F130)&gt;=0,MAX(D130:F130)&lt;=7,MAX(D130,1)+MAX(E130,1)+MAX(F130,1)&lt;=9,OR(H130="-",AND(H130=0,D130&gt;0),AND(H130=1,E130&gt;0),AND(H130=2,F130&gt;0)),OR(I130=0,AND(I130=1,OR(J130=0,J130=1,J130=2),R130&lt;&gt;"000")),Y130&lt;=9,MIN(T130:V130)&gt;=0),"合法","输入违约")</x:f>
        <x:v>合法</x:v>
      </x:c>
    </x:row>
    <x:row r="131" ht="23" customHeight="1">
      <x:c r="A131" s="3" t="str">
        <x:v>CT-0124</x:v>
      </x:c>
      <x:c r="B131" s="3" t="str">
        <x:v>ST-058</x:v>
      </x:c>
      <x:c r="C131" s="3" t="str">
        <x:v>R+AR同收同发</x:v>
      </x:c>
      <x:c r="D131" s="25" t="n">
        <x:v>0</x:v>
      </x:c>
      <x:c r="E131" s="25" t="n">
        <x:v>1</x:v>
      </x:c>
      <x:c r="F131" s="25" t="n">
        <x:v>5</x:v>
      </x:c>
      <x:c r="G131" s="19" t="n">
        <x:f>SUM(D131:F131)</x:f>
        <x:v>6</x:v>
      </x:c>
      <x:c r="H131" s="25" t="n">
        <x:v>1</x:v>
      </x:c>
      <x:c r="I131" s="25" t="n">
        <x:v>1</x:v>
      </x:c>
      <x:c r="J131" s="25" t="n">
        <x:v>2</x:v>
      </x:c>
      <x:c r="K131" s="19" t="n">
        <x:f>D131-IF(H131=0,1,0)</x:f>
        <x:v>0</x:v>
      </x:c>
      <x:c r="L131" s="19" t="n">
        <x:f>E131-IF(H131=1,1,0)</x:f>
        <x:v>0</x:v>
      </x:c>
      <x:c r="M131" s="19" t="n">
        <x:f>F131-IF(H131=2,1,0)</x:f>
        <x:v>5</x:v>
      </x:c>
      <x:c r="N131" s="19" t="n">
        <x:f>MAX(K131-1,0)+MAX(L131-1,0)+MAX(M131-1,0)</x:f>
        <x:v>4</x:v>
      </x:c>
      <x:c r="O131" s="19" t="n">
        <x:f>IF(AND(SUM(K131:M131)&lt;9,OR(M131=0,N131&lt;6)),1,0)</x:f>
        <x:v>1</x:v>
      </x:c>
      <x:c r="P131" s="19" t="n">
        <x:f>IF(AND(SUM(K131:M131)&lt;9,OR(L131=0,N131&lt;6)),1,0)</x:f>
        <x:v>1</x:v>
      </x:c>
      <x:c r="Q131" s="19" t="n">
        <x:f>IF(AND(SUM(K131:M131)&lt;9,OR(K131=0,N131&lt;6)),1,0)</x:f>
        <x:v>1</x:v>
      </x:c>
      <x:c r="R131" s="22" t="str">
        <x:f>O131&amp;P131&amp;Q131</x:f>
        <x:v>111</x:v>
      </x:c>
      <x:c r="S131" s="19" t="n">
        <x:f>IF(I131=1,IF(J131=0,Q131,IF(J131=1,P131,IF(J131=2,O131,0))),0)</x:f>
        <x:v>1</x:v>
      </x:c>
      <x:c r="T131" s="19" t="n">
        <x:f>K131+IF(AND(S131=1,J131=0),1,0)</x:f>
        <x:v>0</x:v>
      </x:c>
      <x:c r="U131" s="19" t="n">
        <x:f>L131+IF(AND(S131=1,J131=1),1,0)</x:f>
        <x:v>0</x:v>
      </x:c>
      <x:c r="V131" s="19" t="n">
        <x:f>M131+IF(AND(S131=1,J131=2),1,0)</x:f>
        <x:v>6</x:v>
      </x:c>
      <x:c r="W131" s="19" t="n">
        <x:f>SUM(T131:V131)</x:f>
        <x:v>6</x:v>
      </x:c>
      <x:c r="X131" s="19" t="n">
        <x:f>W131-G131</x:f>
        <x:v>0</x:v>
      </x:c>
      <x:c r="Y131" s="19" t="n">
        <x:f>MAX(T131,1)+MAX(U131,1)+MAX(V131,1)</x:f>
        <x:v>8</x:v>
      </x:c>
      <x:c r="Z131" s="21" t="str">
        <x:f>IF(AND(MIN(D131:F131)&gt;=0,MAX(D131:F131)&lt;=7,MAX(D131,1)+MAX(E131,1)+MAX(F131,1)&lt;=9,OR(H131="-",AND(H131=0,D131&gt;0),AND(H131=1,E131&gt;0),AND(H131=2,F131&gt;0)),OR(I131=0,AND(I131=1,OR(J131=0,J131=1,J131=2),R131&lt;&gt;"000")),Y131&lt;=9,MIN(T131:V131)&gt;=0),"合法","输入违约")</x:f>
        <x:v>合法</x:v>
      </x:c>
    </x:row>
    <x:row r="132" ht="23" customHeight="1">
      <x:c r="A132" s="3" t="str">
        <x:v>CT-0125</x:v>
      </x:c>
      <x:c r="B132" s="3" t="str">
        <x:v>ST-058</x:v>
      </x:c>
      <x:c r="C132" s="3" t="str">
        <x:v>仅R回收</x:v>
      </x:c>
      <x:c r="D132" s="25" t="n">
        <x:v>0</x:v>
      </x:c>
      <x:c r="E132" s="25" t="n">
        <x:v>1</x:v>
      </x:c>
      <x:c r="F132" s="25" t="n">
        <x:v>5</x:v>
      </x:c>
      <x:c r="G132" s="19" t="n">
        <x:f>SUM(D132:F132)</x:f>
        <x:v>6</x:v>
      </x:c>
      <x:c r="H132" s="25" t="n">
        <x:v>2</x:v>
      </x:c>
      <x:c r="I132" s="25" t="n">
        <x:v>0</x:v>
      </x:c>
      <x:c r="J132" s="25" t="str">
        <x:v>-</x:v>
      </x:c>
      <x:c r="K132" s="19" t="n">
        <x:f>D132-IF(H132=0,1,0)</x:f>
        <x:v>0</x:v>
      </x:c>
      <x:c r="L132" s="19" t="n">
        <x:f>E132-IF(H132=1,1,0)</x:f>
        <x:v>1</x:v>
      </x:c>
      <x:c r="M132" s="19" t="n">
        <x:f>F132-IF(H132=2,1,0)</x:f>
        <x:v>4</x:v>
      </x:c>
      <x:c r="N132" s="19" t="n">
        <x:f>MAX(K132-1,0)+MAX(L132-1,0)+MAX(M132-1,0)</x:f>
        <x:v>3</x:v>
      </x:c>
      <x:c r="O132" s="19" t="n">
        <x:f>IF(AND(SUM(K132:M132)&lt;9,OR(M132=0,N132&lt;6)),1,0)</x:f>
        <x:v>1</x:v>
      </x:c>
      <x:c r="P132" s="19" t="n">
        <x:f>IF(AND(SUM(K132:M132)&lt;9,OR(L132=0,N132&lt;6)),1,0)</x:f>
        <x:v>1</x:v>
      </x:c>
      <x:c r="Q132" s="19" t="n">
        <x:f>IF(AND(SUM(K132:M132)&lt;9,OR(K132=0,N132&lt;6)),1,0)</x:f>
        <x:v>1</x:v>
      </x:c>
      <x:c r="R132" s="22" t="str">
        <x:f>O132&amp;P132&amp;Q132</x:f>
        <x:v>111</x:v>
      </x:c>
      <x:c r="S132" s="19" t="n">
        <x:f>IF(I132=1,IF(J132=0,Q132,IF(J132=1,P132,IF(J132=2,O132,0))),0)</x:f>
        <x:v>0</x:v>
      </x:c>
      <x:c r="T132" s="19" t="n">
        <x:f>K132+IF(AND(S132=1,J132=0),1,0)</x:f>
        <x:v>0</x:v>
      </x:c>
      <x:c r="U132" s="19" t="n">
        <x:f>L132+IF(AND(S132=1,J132=1),1,0)</x:f>
        <x:v>1</x:v>
      </x:c>
      <x:c r="V132" s="19" t="n">
        <x:f>M132+IF(AND(S132=1,J132=2),1,0)</x:f>
        <x:v>4</x:v>
      </x:c>
      <x:c r="W132" s="19" t="n">
        <x:f>SUM(T132:V132)</x:f>
        <x:v>5</x:v>
      </x:c>
      <x:c r="X132" s="19" t="n">
        <x:f>W132-G132</x:f>
        <x:v>-1</x:v>
      </x:c>
      <x:c r="Y132" s="19" t="n">
        <x:f>MAX(T132,1)+MAX(U132,1)+MAX(V132,1)</x:f>
        <x:v>6</x:v>
      </x:c>
      <x:c r="Z132" s="21" t="str">
        <x:f>IF(AND(MIN(D132:F132)&gt;=0,MAX(D132:F132)&lt;=7,MAX(D132,1)+MAX(E132,1)+MAX(F132,1)&lt;=9,OR(H132="-",AND(H132=0,D132&gt;0),AND(H132=1,E132&gt;0),AND(H132=2,F132&gt;0)),OR(I132=0,AND(I132=1,OR(J132=0,J132=1,J132=2),R132&lt;&gt;"000")),Y132&lt;=9,MIN(T132:V132)&gt;=0),"合法","输入违约")</x:f>
        <x:v>合法</x:v>
      </x:c>
    </x:row>
    <x:row r="133" ht="23" customHeight="1">
      <x:c r="A133" s="3" t="str">
        <x:v>CT-0126</x:v>
      </x:c>
      <x:c r="B133" s="3" t="str">
        <x:v>ST-058</x:v>
      </x:c>
      <x:c r="C133" s="3" t="str">
        <x:v>R+AR同收同发</x:v>
      </x:c>
      <x:c r="D133" s="25" t="n">
        <x:v>0</x:v>
      </x:c>
      <x:c r="E133" s="25" t="n">
        <x:v>1</x:v>
      </x:c>
      <x:c r="F133" s="25" t="n">
        <x:v>5</x:v>
      </x:c>
      <x:c r="G133" s="19" t="n">
        <x:f>SUM(D133:F133)</x:f>
        <x:v>6</x:v>
      </x:c>
      <x:c r="H133" s="25" t="n">
        <x:v>2</x:v>
      </x:c>
      <x:c r="I133" s="25" t="n">
        <x:v>1</x:v>
      </x:c>
      <x:c r="J133" s="25" t="n">
        <x:v>0</x:v>
      </x:c>
      <x:c r="K133" s="19" t="n">
        <x:f>D133-IF(H133=0,1,0)</x:f>
        <x:v>0</x:v>
      </x:c>
      <x:c r="L133" s="19" t="n">
        <x:f>E133-IF(H133=1,1,0)</x:f>
        <x:v>1</x:v>
      </x:c>
      <x:c r="M133" s="19" t="n">
        <x:f>F133-IF(H133=2,1,0)</x:f>
        <x:v>4</x:v>
      </x:c>
      <x:c r="N133" s="19" t="n">
        <x:f>MAX(K133-1,0)+MAX(L133-1,0)+MAX(M133-1,0)</x:f>
        <x:v>3</x:v>
      </x:c>
      <x:c r="O133" s="19" t="n">
        <x:f>IF(AND(SUM(K133:M133)&lt;9,OR(M133=0,N133&lt;6)),1,0)</x:f>
        <x:v>1</x:v>
      </x:c>
      <x:c r="P133" s="19" t="n">
        <x:f>IF(AND(SUM(K133:M133)&lt;9,OR(L133=0,N133&lt;6)),1,0)</x:f>
        <x:v>1</x:v>
      </x:c>
      <x:c r="Q133" s="19" t="n">
        <x:f>IF(AND(SUM(K133:M133)&lt;9,OR(K133=0,N133&lt;6)),1,0)</x:f>
        <x:v>1</x:v>
      </x:c>
      <x:c r="R133" s="22" t="str">
        <x:f>O133&amp;P133&amp;Q133</x:f>
        <x:v>111</x:v>
      </x:c>
      <x:c r="S133" s="19" t="n">
        <x:f>IF(I133=1,IF(J133=0,Q133,IF(J133=1,P133,IF(J133=2,O133,0))),0)</x:f>
        <x:v>1</x:v>
      </x:c>
      <x:c r="T133" s="19" t="n">
        <x:f>K133+IF(AND(S133=1,J133=0),1,0)</x:f>
        <x:v>1</x:v>
      </x:c>
      <x:c r="U133" s="19" t="n">
        <x:f>L133+IF(AND(S133=1,J133=1),1,0)</x:f>
        <x:v>1</x:v>
      </x:c>
      <x:c r="V133" s="19" t="n">
        <x:f>M133+IF(AND(S133=1,J133=2),1,0)</x:f>
        <x:v>4</x:v>
      </x:c>
      <x:c r="W133" s="19" t="n">
        <x:f>SUM(T133:V133)</x:f>
        <x:v>6</x:v>
      </x:c>
      <x:c r="X133" s="19" t="n">
        <x:f>W133-G133</x:f>
        <x:v>0</x:v>
      </x:c>
      <x:c r="Y133" s="19" t="n">
        <x:f>MAX(T133,1)+MAX(U133,1)+MAX(V133,1)</x:f>
        <x:v>6</x:v>
      </x:c>
      <x:c r="Z133" s="21" t="str">
        <x:f>IF(AND(MIN(D133:F133)&gt;=0,MAX(D133:F133)&lt;=7,MAX(D133,1)+MAX(E133,1)+MAX(F133,1)&lt;=9,OR(H133="-",AND(H133=0,D133&gt;0),AND(H133=1,E133&gt;0),AND(H133=2,F133&gt;0)),OR(I133=0,AND(I133=1,OR(J133=0,J133=1,J133=2),R133&lt;&gt;"000")),Y133&lt;=9,MIN(T133:V133)&gt;=0),"合法","输入违约")</x:f>
        <x:v>合法</x:v>
      </x:c>
    </x:row>
    <x:row r="134" ht="23" customHeight="1">
      <x:c r="A134" s="3" t="str">
        <x:v>CT-0127</x:v>
      </x:c>
      <x:c r="B134" s="3" t="str">
        <x:v>ST-058</x:v>
      </x:c>
      <x:c r="C134" s="3" t="str">
        <x:v>R+AR同收同发</x:v>
      </x:c>
      <x:c r="D134" s="25" t="n">
        <x:v>0</x:v>
      </x:c>
      <x:c r="E134" s="25" t="n">
        <x:v>1</x:v>
      </x:c>
      <x:c r="F134" s="25" t="n">
        <x:v>5</x:v>
      </x:c>
      <x:c r="G134" s="19" t="n">
        <x:f>SUM(D134:F134)</x:f>
        <x:v>6</x:v>
      </x:c>
      <x:c r="H134" s="25" t="n">
        <x:v>2</x:v>
      </x:c>
      <x:c r="I134" s="25" t="n">
        <x:v>1</x:v>
      </x:c>
      <x:c r="J134" s="25" t="n">
        <x:v>1</x:v>
      </x:c>
      <x:c r="K134" s="19" t="n">
        <x:f>D134-IF(H134=0,1,0)</x:f>
        <x:v>0</x:v>
      </x:c>
      <x:c r="L134" s="19" t="n">
        <x:f>E134-IF(H134=1,1,0)</x:f>
        <x:v>1</x:v>
      </x:c>
      <x:c r="M134" s="19" t="n">
        <x:f>F134-IF(H134=2,1,0)</x:f>
        <x:v>4</x:v>
      </x:c>
      <x:c r="N134" s="19" t="n">
        <x:f>MAX(K134-1,0)+MAX(L134-1,0)+MAX(M134-1,0)</x:f>
        <x:v>3</x:v>
      </x:c>
      <x:c r="O134" s="19" t="n">
        <x:f>IF(AND(SUM(K134:M134)&lt;9,OR(M134=0,N134&lt;6)),1,0)</x:f>
        <x:v>1</x:v>
      </x:c>
      <x:c r="P134" s="19" t="n">
        <x:f>IF(AND(SUM(K134:M134)&lt;9,OR(L134=0,N134&lt;6)),1,0)</x:f>
        <x:v>1</x:v>
      </x:c>
      <x:c r="Q134" s="19" t="n">
        <x:f>IF(AND(SUM(K134:M134)&lt;9,OR(K134=0,N134&lt;6)),1,0)</x:f>
        <x:v>1</x:v>
      </x:c>
      <x:c r="R134" s="22" t="str">
        <x:f>O134&amp;P134&amp;Q134</x:f>
        <x:v>111</x:v>
      </x:c>
      <x:c r="S134" s="19" t="n">
        <x:f>IF(I134=1,IF(J134=0,Q134,IF(J134=1,P134,IF(J134=2,O134,0))),0)</x:f>
        <x:v>1</x:v>
      </x:c>
      <x:c r="T134" s="19" t="n">
        <x:f>K134+IF(AND(S134=1,J134=0),1,0)</x:f>
        <x:v>0</x:v>
      </x:c>
      <x:c r="U134" s="19" t="n">
        <x:f>L134+IF(AND(S134=1,J134=1),1,0)</x:f>
        <x:v>2</x:v>
      </x:c>
      <x:c r="V134" s="19" t="n">
        <x:f>M134+IF(AND(S134=1,J134=2),1,0)</x:f>
        <x:v>4</x:v>
      </x:c>
      <x:c r="W134" s="19" t="n">
        <x:f>SUM(T134:V134)</x:f>
        <x:v>6</x:v>
      </x:c>
      <x:c r="X134" s="19" t="n">
        <x:f>W134-G134</x:f>
        <x:v>0</x:v>
      </x:c>
      <x:c r="Y134" s="19" t="n">
        <x:f>MAX(T134,1)+MAX(U134,1)+MAX(V134,1)</x:f>
        <x:v>7</x:v>
      </x:c>
      <x:c r="Z134" s="21" t="str">
        <x:f>IF(AND(MIN(D134:F134)&gt;=0,MAX(D134:F134)&lt;=7,MAX(D134,1)+MAX(E134,1)+MAX(F134,1)&lt;=9,OR(H134="-",AND(H134=0,D134&gt;0),AND(H134=1,E134&gt;0),AND(H134=2,F134&gt;0)),OR(I134=0,AND(I134=1,OR(J134=0,J134=1,J134=2),R134&lt;&gt;"000")),Y134&lt;=9,MIN(T134:V134)&gt;=0),"合法","输入违约")</x:f>
        <x:v>合法</x:v>
      </x:c>
    </x:row>
    <x:row r="135" ht="23" customHeight="1">
      <x:c r="A135" s="3" t="str">
        <x:v>CT-0128</x:v>
      </x:c>
      <x:c r="B135" s="3" t="str">
        <x:v>ST-058</x:v>
      </x:c>
      <x:c r="C135" s="3" t="str">
        <x:v>R+AR同收同发</x:v>
      </x:c>
      <x:c r="D135" s="25" t="n">
        <x:v>0</x:v>
      </x:c>
      <x:c r="E135" s="25" t="n">
        <x:v>1</x:v>
      </x:c>
      <x:c r="F135" s="25" t="n">
        <x:v>5</x:v>
      </x:c>
      <x:c r="G135" s="19" t="n">
        <x:f>SUM(D135:F135)</x:f>
        <x:v>6</x:v>
      </x:c>
      <x:c r="H135" s="25" t="n">
        <x:v>2</x:v>
      </x:c>
      <x:c r="I135" s="25" t="n">
        <x:v>1</x:v>
      </x:c>
      <x:c r="J135" s="25" t="n">
        <x:v>2</x:v>
      </x:c>
      <x:c r="K135" s="19" t="n">
        <x:f>D135-IF(H135=0,1,0)</x:f>
        <x:v>0</x:v>
      </x:c>
      <x:c r="L135" s="19" t="n">
        <x:f>E135-IF(H135=1,1,0)</x:f>
        <x:v>1</x:v>
      </x:c>
      <x:c r="M135" s="19" t="n">
        <x:f>F135-IF(H135=2,1,0)</x:f>
        <x:v>4</x:v>
      </x:c>
      <x:c r="N135" s="19" t="n">
        <x:f>MAX(K135-1,0)+MAX(L135-1,0)+MAX(M135-1,0)</x:f>
        <x:v>3</x:v>
      </x:c>
      <x:c r="O135" s="19" t="n">
        <x:f>IF(AND(SUM(K135:M135)&lt;9,OR(M135=0,N135&lt;6)),1,0)</x:f>
        <x:v>1</x:v>
      </x:c>
      <x:c r="P135" s="19" t="n">
        <x:f>IF(AND(SUM(K135:M135)&lt;9,OR(L135=0,N135&lt;6)),1,0)</x:f>
        <x:v>1</x:v>
      </x:c>
      <x:c r="Q135" s="19" t="n">
        <x:f>IF(AND(SUM(K135:M135)&lt;9,OR(K135=0,N135&lt;6)),1,0)</x:f>
        <x:v>1</x:v>
      </x:c>
      <x:c r="R135" s="22" t="str">
        <x:f>O135&amp;P135&amp;Q135</x:f>
        <x:v>111</x:v>
      </x:c>
      <x:c r="S135" s="19" t="n">
        <x:f>IF(I135=1,IF(J135=0,Q135,IF(J135=1,P135,IF(J135=2,O135,0))),0)</x:f>
        <x:v>1</x:v>
      </x:c>
      <x:c r="T135" s="19" t="n">
        <x:f>K135+IF(AND(S135=1,J135=0),1,0)</x:f>
        <x:v>0</x:v>
      </x:c>
      <x:c r="U135" s="19" t="n">
        <x:f>L135+IF(AND(S135=1,J135=1),1,0)</x:f>
        <x:v>1</x:v>
      </x:c>
      <x:c r="V135" s="19" t="n">
        <x:f>M135+IF(AND(S135=1,J135=2),1,0)</x:f>
        <x:v>5</x:v>
      </x:c>
      <x:c r="W135" s="19" t="n">
        <x:f>SUM(T135:V135)</x:f>
        <x:v>6</x:v>
      </x:c>
      <x:c r="X135" s="19" t="n">
        <x:f>W135-G135</x:f>
        <x:v>0</x:v>
      </x:c>
      <x:c r="Y135" s="19" t="n">
        <x:f>MAX(T135,1)+MAX(U135,1)+MAX(V135,1)</x:f>
        <x:v>7</x:v>
      </x:c>
      <x:c r="Z135" s="21" t="str">
        <x:f>IF(AND(MIN(D135:F135)&gt;=0,MAX(D135:F135)&lt;=7,MAX(D135,1)+MAX(E135,1)+MAX(F135,1)&lt;=9,OR(H135="-",AND(H135=0,D135&gt;0),AND(H135=1,E135&gt;0),AND(H135=2,F135&gt;0)),OR(I135=0,AND(I135=1,OR(J135=0,J135=1,J135=2),R135&lt;&gt;"000")),Y135&lt;=9,MIN(T135:V135)&gt;=0),"合法","输入违约")</x:f>
        <x:v>合法</x:v>
      </x:c>
    </x:row>
    <x:row r="136" ht="23" customHeight="1">
      <x:c r="A136" s="3" t="str">
        <x:v>CT-0129</x:v>
      </x:c>
      <x:c r="B136" s="3" t="str">
        <x:v>ST-086</x:v>
      </x:c>
      <x:c r="C136" s="3" t="str">
        <x:v>无AR/R</x:v>
      </x:c>
      <x:c r="D136" s="25" t="n">
        <x:v>0</x:v>
      </x:c>
      <x:c r="E136" s="25" t="n">
        <x:v>1</x:v>
      </x:c>
      <x:c r="F136" s="25" t="n">
        <x:v>6</x:v>
      </x:c>
      <x:c r="G136" s="19" t="n">
        <x:f>SUM(D136:F136)</x:f>
        <x:v>7</x:v>
      </x:c>
      <x:c r="H136" s="25" t="str">
        <x:v>-</x:v>
      </x:c>
      <x:c r="I136" s="25" t="n">
        <x:v>0</x:v>
      </x:c>
      <x:c r="J136" s="25" t="str">
        <x:v>-</x:v>
      </x:c>
      <x:c r="K136" s="19" t="n">
        <x:f>D136-IF(H136=0,1,0)</x:f>
        <x:v>0</x:v>
      </x:c>
      <x:c r="L136" s="19" t="n">
        <x:f>E136-IF(H136=1,1,0)</x:f>
        <x:v>1</x:v>
      </x:c>
      <x:c r="M136" s="19" t="n">
        <x:f>F136-IF(H136=2,1,0)</x:f>
        <x:v>6</x:v>
      </x:c>
      <x:c r="N136" s="19" t="n">
        <x:f>MAX(K136-1,0)+MAX(L136-1,0)+MAX(M136-1,0)</x:f>
        <x:v>5</x:v>
      </x:c>
      <x:c r="O136" s="19" t="n">
        <x:f>IF(AND(SUM(K136:M136)&lt;9,OR(M136=0,N136&lt;6)),1,0)</x:f>
        <x:v>1</x:v>
      </x:c>
      <x:c r="P136" s="19" t="n">
        <x:f>IF(AND(SUM(K136:M136)&lt;9,OR(L136=0,N136&lt;6)),1,0)</x:f>
        <x:v>1</x:v>
      </x:c>
      <x:c r="Q136" s="19" t="n">
        <x:f>IF(AND(SUM(K136:M136)&lt;9,OR(K136=0,N136&lt;6)),1,0)</x:f>
        <x:v>1</x:v>
      </x:c>
      <x:c r="R136" s="22" t="str">
        <x:f>O136&amp;P136&amp;Q136</x:f>
        <x:v>111</x:v>
      </x:c>
      <x:c r="S136" s="19" t="n">
        <x:f>IF(I136=1,IF(J136=0,Q136,IF(J136=1,P136,IF(J136=2,O136,0))),0)</x:f>
        <x:v>0</x:v>
      </x:c>
      <x:c r="T136" s="19" t="n">
        <x:f>K136+IF(AND(S136=1,J136=0),1,0)</x:f>
        <x:v>0</x:v>
      </x:c>
      <x:c r="U136" s="19" t="n">
        <x:f>L136+IF(AND(S136=1,J136=1),1,0)</x:f>
        <x:v>1</x:v>
      </x:c>
      <x:c r="V136" s="19" t="n">
        <x:f>M136+IF(AND(S136=1,J136=2),1,0)</x:f>
        <x:v>6</x:v>
      </x:c>
      <x:c r="W136" s="19" t="n">
        <x:f>SUM(T136:V136)</x:f>
        <x:v>7</x:v>
      </x:c>
      <x:c r="X136" s="19" t="n">
        <x:f>W136-G136</x:f>
        <x:v>0</x:v>
      </x:c>
      <x:c r="Y136" s="19" t="n">
        <x:f>MAX(T136,1)+MAX(U136,1)+MAX(V136,1)</x:f>
        <x:v>8</x:v>
      </x:c>
      <x:c r="Z136" s="21" t="str">
        <x:f>IF(AND(MIN(D136:F136)&gt;=0,MAX(D136:F136)&lt;=7,MAX(D136,1)+MAX(E136,1)+MAX(F136,1)&lt;=9,OR(H136="-",AND(H136=0,D136&gt;0),AND(H136=1,E136&gt;0),AND(H136=2,F136&gt;0)),OR(I136=0,AND(I136=1,OR(J136=0,J136=1,J136=2),R136&lt;&gt;"000")),Y136&lt;=9,MIN(T136:V136)&gt;=0),"合法","输入违约")</x:f>
        <x:v>合法</x:v>
      </x:c>
    </x:row>
    <x:row r="137" ht="23" customHeight="1">
      <x:c r="A137" s="3" t="str">
        <x:v>CT-0130</x:v>
      </x:c>
      <x:c r="B137" s="3" t="str">
        <x:v>ST-086</x:v>
      </x:c>
      <x:c r="C137" s="3" t="str">
        <x:v>仅AR接收</x:v>
      </x:c>
      <x:c r="D137" s="25" t="n">
        <x:v>0</x:v>
      </x:c>
      <x:c r="E137" s="25" t="n">
        <x:v>1</x:v>
      </x:c>
      <x:c r="F137" s="25" t="n">
        <x:v>6</x:v>
      </x:c>
      <x:c r="G137" s="19" t="n">
        <x:f>SUM(D137:F137)</x:f>
        <x:v>7</x:v>
      </x:c>
      <x:c r="H137" s="25" t="str">
        <x:v>-</x:v>
      </x:c>
      <x:c r="I137" s="25" t="n">
        <x:v>1</x:v>
      </x:c>
      <x:c r="J137" s="25" t="n">
        <x:v>0</x:v>
      </x:c>
      <x:c r="K137" s="19" t="n">
        <x:f>D137-IF(H137=0,1,0)</x:f>
        <x:v>0</x:v>
      </x:c>
      <x:c r="L137" s="19" t="n">
        <x:f>E137-IF(H137=1,1,0)</x:f>
        <x:v>1</x:v>
      </x:c>
      <x:c r="M137" s="19" t="n">
        <x:f>F137-IF(H137=2,1,0)</x:f>
        <x:v>6</x:v>
      </x:c>
      <x:c r="N137" s="19" t="n">
        <x:f>MAX(K137-1,0)+MAX(L137-1,0)+MAX(M137-1,0)</x:f>
        <x:v>5</x:v>
      </x:c>
      <x:c r="O137" s="19" t="n">
        <x:f>IF(AND(SUM(K137:M137)&lt;9,OR(M137=0,N137&lt;6)),1,0)</x:f>
        <x:v>1</x:v>
      </x:c>
      <x:c r="P137" s="19" t="n">
        <x:f>IF(AND(SUM(K137:M137)&lt;9,OR(L137=0,N137&lt;6)),1,0)</x:f>
        <x:v>1</x:v>
      </x:c>
      <x:c r="Q137" s="19" t="n">
        <x:f>IF(AND(SUM(K137:M137)&lt;9,OR(K137=0,N137&lt;6)),1,0)</x:f>
        <x:v>1</x:v>
      </x:c>
      <x:c r="R137" s="22" t="str">
        <x:f>O137&amp;P137&amp;Q137</x:f>
        <x:v>111</x:v>
      </x:c>
      <x:c r="S137" s="19" t="n">
        <x:f>IF(I137=1,IF(J137=0,Q137,IF(J137=1,P137,IF(J137=2,O137,0))),0)</x:f>
        <x:v>1</x:v>
      </x:c>
      <x:c r="T137" s="19" t="n">
        <x:f>K137+IF(AND(S137=1,J137=0),1,0)</x:f>
        <x:v>1</x:v>
      </x:c>
      <x:c r="U137" s="19" t="n">
        <x:f>L137+IF(AND(S137=1,J137=1),1,0)</x:f>
        <x:v>1</x:v>
      </x:c>
      <x:c r="V137" s="19" t="n">
        <x:f>M137+IF(AND(S137=1,J137=2),1,0)</x:f>
        <x:v>6</x:v>
      </x:c>
      <x:c r="W137" s="19" t="n">
        <x:f>SUM(T137:V137)</x:f>
        <x:v>8</x:v>
      </x:c>
      <x:c r="X137" s="19" t="n">
        <x:f>W137-G137</x:f>
        <x:v>1</x:v>
      </x:c>
      <x:c r="Y137" s="19" t="n">
        <x:f>MAX(T137,1)+MAX(U137,1)+MAX(V137,1)</x:f>
        <x:v>8</x:v>
      </x:c>
      <x:c r="Z137" s="21" t="str">
        <x:f>IF(AND(MIN(D137:F137)&gt;=0,MAX(D137:F137)&lt;=7,MAX(D137,1)+MAX(E137,1)+MAX(F137,1)&lt;=9,OR(H137="-",AND(H137=0,D137&gt;0),AND(H137=1,E137&gt;0),AND(H137=2,F137&gt;0)),OR(I137=0,AND(I137=1,OR(J137=0,J137=1,J137=2),R137&lt;&gt;"000")),Y137&lt;=9,MIN(T137:V137)&gt;=0),"合法","输入违约")</x:f>
        <x:v>合法</x:v>
      </x:c>
    </x:row>
    <x:row r="138" ht="23" customHeight="1">
      <x:c r="A138" s="3" t="str">
        <x:v>CT-0131</x:v>
      </x:c>
      <x:c r="B138" s="3" t="str">
        <x:v>ST-086</x:v>
      </x:c>
      <x:c r="C138" s="3" t="str">
        <x:v>仅AR接收</x:v>
      </x:c>
      <x:c r="D138" s="25" t="n">
        <x:v>0</x:v>
      </x:c>
      <x:c r="E138" s="25" t="n">
        <x:v>1</x:v>
      </x:c>
      <x:c r="F138" s="25" t="n">
        <x:v>6</x:v>
      </x:c>
      <x:c r="G138" s="19" t="n">
        <x:f>SUM(D138:F138)</x:f>
        <x:v>7</x:v>
      </x:c>
      <x:c r="H138" s="25" t="str">
        <x:v>-</x:v>
      </x:c>
      <x:c r="I138" s="25" t="n">
        <x:v>1</x:v>
      </x:c>
      <x:c r="J138" s="25" t="n">
        <x:v>1</x:v>
      </x:c>
      <x:c r="K138" s="19" t="n">
        <x:f>D138-IF(H138=0,1,0)</x:f>
        <x:v>0</x:v>
      </x:c>
      <x:c r="L138" s="19" t="n">
        <x:f>E138-IF(H138=1,1,0)</x:f>
        <x:v>1</x:v>
      </x:c>
      <x:c r="M138" s="19" t="n">
        <x:f>F138-IF(H138=2,1,0)</x:f>
        <x:v>6</x:v>
      </x:c>
      <x:c r="N138" s="19" t="n">
        <x:f>MAX(K138-1,0)+MAX(L138-1,0)+MAX(M138-1,0)</x:f>
        <x:v>5</x:v>
      </x:c>
      <x:c r="O138" s="19" t="n">
        <x:f>IF(AND(SUM(K138:M138)&lt;9,OR(M138=0,N138&lt;6)),1,0)</x:f>
        <x:v>1</x:v>
      </x:c>
      <x:c r="P138" s="19" t="n">
        <x:f>IF(AND(SUM(K138:M138)&lt;9,OR(L138=0,N138&lt;6)),1,0)</x:f>
        <x:v>1</x:v>
      </x:c>
      <x:c r="Q138" s="19" t="n">
        <x:f>IF(AND(SUM(K138:M138)&lt;9,OR(K138=0,N138&lt;6)),1,0)</x:f>
        <x:v>1</x:v>
      </x:c>
      <x:c r="R138" s="22" t="str">
        <x:f>O138&amp;P138&amp;Q138</x:f>
        <x:v>111</x:v>
      </x:c>
      <x:c r="S138" s="19" t="n">
        <x:f>IF(I138=1,IF(J138=0,Q138,IF(J138=1,P138,IF(J138=2,O138,0))),0)</x:f>
        <x:v>1</x:v>
      </x:c>
      <x:c r="T138" s="19" t="n">
        <x:f>K138+IF(AND(S138=1,J138=0),1,0)</x:f>
        <x:v>0</x:v>
      </x:c>
      <x:c r="U138" s="19" t="n">
        <x:f>L138+IF(AND(S138=1,J138=1),1,0)</x:f>
        <x:v>2</x:v>
      </x:c>
      <x:c r="V138" s="19" t="n">
        <x:f>M138+IF(AND(S138=1,J138=2),1,0)</x:f>
        <x:v>6</x:v>
      </x:c>
      <x:c r="W138" s="19" t="n">
        <x:f>SUM(T138:V138)</x:f>
        <x:v>8</x:v>
      </x:c>
      <x:c r="X138" s="19" t="n">
        <x:f>W138-G138</x:f>
        <x:v>1</x:v>
      </x:c>
      <x:c r="Y138" s="19" t="n">
        <x:f>MAX(T138,1)+MAX(U138,1)+MAX(V138,1)</x:f>
        <x:v>9</x:v>
      </x:c>
      <x:c r="Z138" s="21" t="str">
        <x:f>IF(AND(MIN(D138:F138)&gt;=0,MAX(D138:F138)&lt;=7,MAX(D138,1)+MAX(E138,1)+MAX(F138,1)&lt;=9,OR(H138="-",AND(H138=0,D138&gt;0),AND(H138=1,E138&gt;0),AND(H138=2,F138&gt;0)),OR(I138=0,AND(I138=1,OR(J138=0,J138=1,J138=2),R138&lt;&gt;"000")),Y138&lt;=9,MIN(T138:V138)&gt;=0),"合法","输入违约")</x:f>
        <x:v>合法</x:v>
      </x:c>
    </x:row>
    <x:row r="139" ht="23" customHeight="1">
      <x:c r="A139" s="3" t="str">
        <x:v>CT-0132</x:v>
      </x:c>
      <x:c r="B139" s="3" t="str">
        <x:v>ST-086</x:v>
      </x:c>
      <x:c r="C139" s="3" t="str">
        <x:v>仅AR接收</x:v>
      </x:c>
      <x:c r="D139" s="25" t="n">
        <x:v>0</x:v>
      </x:c>
      <x:c r="E139" s="25" t="n">
        <x:v>1</x:v>
      </x:c>
      <x:c r="F139" s="25" t="n">
        <x:v>6</x:v>
      </x:c>
      <x:c r="G139" s="19" t="n">
        <x:f>SUM(D139:F139)</x:f>
        <x:v>7</x:v>
      </x:c>
      <x:c r="H139" s="25" t="str">
        <x:v>-</x:v>
      </x:c>
      <x:c r="I139" s="25" t="n">
        <x:v>1</x:v>
      </x:c>
      <x:c r="J139" s="25" t="n">
        <x:v>2</x:v>
      </x:c>
      <x:c r="K139" s="19" t="n">
        <x:f>D139-IF(H139=0,1,0)</x:f>
        <x:v>0</x:v>
      </x:c>
      <x:c r="L139" s="19" t="n">
        <x:f>E139-IF(H139=1,1,0)</x:f>
        <x:v>1</x:v>
      </x:c>
      <x:c r="M139" s="19" t="n">
        <x:f>F139-IF(H139=2,1,0)</x:f>
        <x:v>6</x:v>
      </x:c>
      <x:c r="N139" s="19" t="n">
        <x:f>MAX(K139-1,0)+MAX(L139-1,0)+MAX(M139-1,0)</x:f>
        <x:v>5</x:v>
      </x:c>
      <x:c r="O139" s="19" t="n">
        <x:f>IF(AND(SUM(K139:M139)&lt;9,OR(M139=0,N139&lt;6)),1,0)</x:f>
        <x:v>1</x:v>
      </x:c>
      <x:c r="P139" s="19" t="n">
        <x:f>IF(AND(SUM(K139:M139)&lt;9,OR(L139=0,N139&lt;6)),1,0)</x:f>
        <x:v>1</x:v>
      </x:c>
      <x:c r="Q139" s="19" t="n">
        <x:f>IF(AND(SUM(K139:M139)&lt;9,OR(K139=0,N139&lt;6)),1,0)</x:f>
        <x:v>1</x:v>
      </x:c>
      <x:c r="R139" s="22" t="str">
        <x:f>O139&amp;P139&amp;Q139</x:f>
        <x:v>111</x:v>
      </x:c>
      <x:c r="S139" s="19" t="n">
        <x:f>IF(I139=1,IF(J139=0,Q139,IF(J139=1,P139,IF(J139=2,O139,0))),0)</x:f>
        <x:v>1</x:v>
      </x:c>
      <x:c r="T139" s="19" t="n">
        <x:f>K139+IF(AND(S139=1,J139=0),1,0)</x:f>
        <x:v>0</x:v>
      </x:c>
      <x:c r="U139" s="19" t="n">
        <x:f>L139+IF(AND(S139=1,J139=1),1,0)</x:f>
        <x:v>1</x:v>
      </x:c>
      <x:c r="V139" s="19" t="n">
        <x:f>M139+IF(AND(S139=1,J139=2),1,0)</x:f>
        <x:v>7</x:v>
      </x:c>
      <x:c r="W139" s="19" t="n">
        <x:f>SUM(T139:V139)</x:f>
        <x:v>8</x:v>
      </x:c>
      <x:c r="X139" s="19" t="n">
        <x:f>W139-G139</x:f>
        <x:v>1</x:v>
      </x:c>
      <x:c r="Y139" s="19" t="n">
        <x:f>MAX(T139,1)+MAX(U139,1)+MAX(V139,1)</x:f>
        <x:v>9</x:v>
      </x:c>
      <x:c r="Z139" s="21" t="str">
        <x:f>IF(AND(MIN(D139:F139)&gt;=0,MAX(D139:F139)&lt;=7,MAX(D139,1)+MAX(E139,1)+MAX(F139,1)&lt;=9,OR(H139="-",AND(H139=0,D139&gt;0),AND(H139=1,E139&gt;0),AND(H139=2,F139&gt;0)),OR(I139=0,AND(I139=1,OR(J139=0,J139=1,J139=2),R139&lt;&gt;"000")),Y139&lt;=9,MIN(T139:V139)&gt;=0),"合法","输入违约")</x:f>
        <x:v>合法</x:v>
      </x:c>
    </x:row>
    <x:row r="140" ht="23" customHeight="1">
      <x:c r="A140" s="3" t="str">
        <x:v>CT-0133</x:v>
      </x:c>
      <x:c r="B140" s="3" t="str">
        <x:v>ST-086</x:v>
      </x:c>
      <x:c r="C140" s="3" t="str">
        <x:v>仅R回收</x:v>
      </x:c>
      <x:c r="D140" s="25" t="n">
        <x:v>0</x:v>
      </x:c>
      <x:c r="E140" s="25" t="n">
        <x:v>1</x:v>
      </x:c>
      <x:c r="F140" s="25" t="n">
        <x:v>6</x:v>
      </x:c>
      <x:c r="G140" s="19" t="n">
        <x:f>SUM(D140:F140)</x:f>
        <x:v>7</x:v>
      </x:c>
      <x:c r="H140" s="25" t="n">
        <x:v>1</x:v>
      </x:c>
      <x:c r="I140" s="25" t="n">
        <x:v>0</x:v>
      </x:c>
      <x:c r="J140" s="25" t="str">
        <x:v>-</x:v>
      </x:c>
      <x:c r="K140" s="19" t="n">
        <x:f>D140-IF(H140=0,1,0)</x:f>
        <x:v>0</x:v>
      </x:c>
      <x:c r="L140" s="19" t="n">
        <x:f>E140-IF(H140=1,1,0)</x:f>
        <x:v>0</x:v>
      </x:c>
      <x:c r="M140" s="19" t="n">
        <x:f>F140-IF(H140=2,1,0)</x:f>
        <x:v>6</x:v>
      </x:c>
      <x:c r="N140" s="19" t="n">
        <x:f>MAX(K140-1,0)+MAX(L140-1,0)+MAX(M140-1,0)</x:f>
        <x:v>5</x:v>
      </x:c>
      <x:c r="O140" s="19" t="n">
        <x:f>IF(AND(SUM(K140:M140)&lt;9,OR(M140=0,N140&lt;6)),1,0)</x:f>
        <x:v>1</x:v>
      </x:c>
      <x:c r="P140" s="19" t="n">
        <x:f>IF(AND(SUM(K140:M140)&lt;9,OR(L140=0,N140&lt;6)),1,0)</x:f>
        <x:v>1</x:v>
      </x:c>
      <x:c r="Q140" s="19" t="n">
        <x:f>IF(AND(SUM(K140:M140)&lt;9,OR(K140=0,N140&lt;6)),1,0)</x:f>
        <x:v>1</x:v>
      </x:c>
      <x:c r="R140" s="22" t="str">
        <x:f>O140&amp;P140&amp;Q140</x:f>
        <x:v>111</x:v>
      </x:c>
      <x:c r="S140" s="19" t="n">
        <x:f>IF(I140=1,IF(J140=0,Q140,IF(J140=1,P140,IF(J140=2,O140,0))),0)</x:f>
        <x:v>0</x:v>
      </x:c>
      <x:c r="T140" s="19" t="n">
        <x:f>K140+IF(AND(S140=1,J140=0),1,0)</x:f>
        <x:v>0</x:v>
      </x:c>
      <x:c r="U140" s="19" t="n">
        <x:f>L140+IF(AND(S140=1,J140=1),1,0)</x:f>
        <x:v>0</x:v>
      </x:c>
      <x:c r="V140" s="19" t="n">
        <x:f>M140+IF(AND(S140=1,J140=2),1,0)</x:f>
        <x:v>6</x:v>
      </x:c>
      <x:c r="W140" s="19" t="n">
        <x:f>SUM(T140:V140)</x:f>
        <x:v>6</x:v>
      </x:c>
      <x:c r="X140" s="19" t="n">
        <x:f>W140-G140</x:f>
        <x:v>-1</x:v>
      </x:c>
      <x:c r="Y140" s="19" t="n">
        <x:f>MAX(T140,1)+MAX(U140,1)+MAX(V140,1)</x:f>
        <x:v>8</x:v>
      </x:c>
      <x:c r="Z140" s="21" t="str">
        <x:f>IF(AND(MIN(D140:F140)&gt;=0,MAX(D140:F140)&lt;=7,MAX(D140,1)+MAX(E140,1)+MAX(F140,1)&lt;=9,OR(H140="-",AND(H140=0,D140&gt;0),AND(H140=1,E140&gt;0),AND(H140=2,F140&gt;0)),OR(I140=0,AND(I140=1,OR(J140=0,J140=1,J140=2),R140&lt;&gt;"000")),Y140&lt;=9,MIN(T140:V140)&gt;=0),"合法","输入违约")</x:f>
        <x:v>合法</x:v>
      </x:c>
    </x:row>
    <x:row r="141" ht="23" customHeight="1">
      <x:c r="A141" s="3" t="str">
        <x:v>CT-0134</x:v>
      </x:c>
      <x:c r="B141" s="3" t="str">
        <x:v>ST-086</x:v>
      </x:c>
      <x:c r="C141" s="3" t="str">
        <x:v>R+AR同收同发</x:v>
      </x:c>
      <x:c r="D141" s="25" t="n">
        <x:v>0</x:v>
      </x:c>
      <x:c r="E141" s="25" t="n">
        <x:v>1</x:v>
      </x:c>
      <x:c r="F141" s="25" t="n">
        <x:v>6</x:v>
      </x:c>
      <x:c r="G141" s="19" t="n">
        <x:f>SUM(D141:F141)</x:f>
        <x:v>7</x:v>
      </x:c>
      <x:c r="H141" s="25" t="n">
        <x:v>1</x:v>
      </x:c>
      <x:c r="I141" s="25" t="n">
        <x:v>1</x:v>
      </x:c>
      <x:c r="J141" s="25" t="n">
        <x:v>0</x:v>
      </x:c>
      <x:c r="K141" s="19" t="n">
        <x:f>D141-IF(H141=0,1,0)</x:f>
        <x:v>0</x:v>
      </x:c>
      <x:c r="L141" s="19" t="n">
        <x:f>E141-IF(H141=1,1,0)</x:f>
        <x:v>0</x:v>
      </x:c>
      <x:c r="M141" s="19" t="n">
        <x:f>F141-IF(H141=2,1,0)</x:f>
        <x:v>6</x:v>
      </x:c>
      <x:c r="N141" s="19" t="n">
        <x:f>MAX(K141-1,0)+MAX(L141-1,0)+MAX(M141-1,0)</x:f>
        <x:v>5</x:v>
      </x:c>
      <x:c r="O141" s="19" t="n">
        <x:f>IF(AND(SUM(K141:M141)&lt;9,OR(M141=0,N141&lt;6)),1,0)</x:f>
        <x:v>1</x:v>
      </x:c>
      <x:c r="P141" s="19" t="n">
        <x:f>IF(AND(SUM(K141:M141)&lt;9,OR(L141=0,N141&lt;6)),1,0)</x:f>
        <x:v>1</x:v>
      </x:c>
      <x:c r="Q141" s="19" t="n">
        <x:f>IF(AND(SUM(K141:M141)&lt;9,OR(K141=0,N141&lt;6)),1,0)</x:f>
        <x:v>1</x:v>
      </x:c>
      <x:c r="R141" s="22" t="str">
        <x:f>O141&amp;P141&amp;Q141</x:f>
        <x:v>111</x:v>
      </x:c>
      <x:c r="S141" s="19" t="n">
        <x:f>IF(I141=1,IF(J141=0,Q141,IF(J141=1,P141,IF(J141=2,O141,0))),0)</x:f>
        <x:v>1</x:v>
      </x:c>
      <x:c r="T141" s="19" t="n">
        <x:f>K141+IF(AND(S141=1,J141=0),1,0)</x:f>
        <x:v>1</x:v>
      </x:c>
      <x:c r="U141" s="19" t="n">
        <x:f>L141+IF(AND(S141=1,J141=1),1,0)</x:f>
        <x:v>0</x:v>
      </x:c>
      <x:c r="V141" s="19" t="n">
        <x:f>M141+IF(AND(S141=1,J141=2),1,0)</x:f>
        <x:v>6</x:v>
      </x:c>
      <x:c r="W141" s="19" t="n">
        <x:f>SUM(T141:V141)</x:f>
        <x:v>7</x:v>
      </x:c>
      <x:c r="X141" s="19" t="n">
        <x:f>W141-G141</x:f>
        <x:v>0</x:v>
      </x:c>
      <x:c r="Y141" s="19" t="n">
        <x:f>MAX(T141,1)+MAX(U141,1)+MAX(V141,1)</x:f>
        <x:v>8</x:v>
      </x:c>
      <x:c r="Z141" s="21" t="str">
        <x:f>IF(AND(MIN(D141:F141)&gt;=0,MAX(D141:F141)&lt;=7,MAX(D141,1)+MAX(E141,1)+MAX(F141,1)&lt;=9,OR(H141="-",AND(H141=0,D141&gt;0),AND(H141=1,E141&gt;0),AND(H141=2,F141&gt;0)),OR(I141=0,AND(I141=1,OR(J141=0,J141=1,J141=2),R141&lt;&gt;"000")),Y141&lt;=9,MIN(T141:V141)&gt;=0),"合法","输入违约")</x:f>
        <x:v>合法</x:v>
      </x:c>
    </x:row>
    <x:row r="142" ht="23" customHeight="1">
      <x:c r="A142" s="3" t="str">
        <x:v>CT-0135</x:v>
      </x:c>
      <x:c r="B142" s="3" t="str">
        <x:v>ST-086</x:v>
      </x:c>
      <x:c r="C142" s="3" t="str">
        <x:v>R+AR同收同发</x:v>
      </x:c>
      <x:c r="D142" s="25" t="n">
        <x:v>0</x:v>
      </x:c>
      <x:c r="E142" s="25" t="n">
        <x:v>1</x:v>
      </x:c>
      <x:c r="F142" s="25" t="n">
        <x:v>6</x:v>
      </x:c>
      <x:c r="G142" s="19" t="n">
        <x:f>SUM(D142:F142)</x:f>
        <x:v>7</x:v>
      </x:c>
      <x:c r="H142" s="25" t="n">
        <x:v>1</x:v>
      </x:c>
      <x:c r="I142" s="25" t="n">
        <x:v>1</x:v>
      </x:c>
      <x:c r="J142" s="25" t="n">
        <x:v>1</x:v>
      </x:c>
      <x:c r="K142" s="19" t="n">
        <x:f>D142-IF(H142=0,1,0)</x:f>
        <x:v>0</x:v>
      </x:c>
      <x:c r="L142" s="19" t="n">
        <x:f>E142-IF(H142=1,1,0)</x:f>
        <x:v>0</x:v>
      </x:c>
      <x:c r="M142" s="19" t="n">
        <x:f>F142-IF(H142=2,1,0)</x:f>
        <x:v>6</x:v>
      </x:c>
      <x:c r="N142" s="19" t="n">
        <x:f>MAX(K142-1,0)+MAX(L142-1,0)+MAX(M142-1,0)</x:f>
        <x:v>5</x:v>
      </x:c>
      <x:c r="O142" s="19" t="n">
        <x:f>IF(AND(SUM(K142:M142)&lt;9,OR(M142=0,N142&lt;6)),1,0)</x:f>
        <x:v>1</x:v>
      </x:c>
      <x:c r="P142" s="19" t="n">
        <x:f>IF(AND(SUM(K142:M142)&lt;9,OR(L142=0,N142&lt;6)),1,0)</x:f>
        <x:v>1</x:v>
      </x:c>
      <x:c r="Q142" s="19" t="n">
        <x:f>IF(AND(SUM(K142:M142)&lt;9,OR(K142=0,N142&lt;6)),1,0)</x:f>
        <x:v>1</x:v>
      </x:c>
      <x:c r="R142" s="22" t="str">
        <x:f>O142&amp;P142&amp;Q142</x:f>
        <x:v>111</x:v>
      </x:c>
      <x:c r="S142" s="19" t="n">
        <x:f>IF(I142=1,IF(J142=0,Q142,IF(J142=1,P142,IF(J142=2,O142,0))),0)</x:f>
        <x:v>1</x:v>
      </x:c>
      <x:c r="T142" s="19" t="n">
        <x:f>K142+IF(AND(S142=1,J142=0),1,0)</x:f>
        <x:v>0</x:v>
      </x:c>
      <x:c r="U142" s="19" t="n">
        <x:f>L142+IF(AND(S142=1,J142=1),1,0)</x:f>
        <x:v>1</x:v>
      </x:c>
      <x:c r="V142" s="19" t="n">
        <x:f>M142+IF(AND(S142=1,J142=2),1,0)</x:f>
        <x:v>6</x:v>
      </x:c>
      <x:c r="W142" s="19" t="n">
        <x:f>SUM(T142:V142)</x:f>
        <x:v>7</x:v>
      </x:c>
      <x:c r="X142" s="19" t="n">
        <x:f>W142-G142</x:f>
        <x:v>0</x:v>
      </x:c>
      <x:c r="Y142" s="19" t="n">
        <x:f>MAX(T142,1)+MAX(U142,1)+MAX(V142,1)</x:f>
        <x:v>8</x:v>
      </x:c>
      <x:c r="Z142" s="21" t="str">
        <x:f>IF(AND(MIN(D142:F142)&gt;=0,MAX(D142:F142)&lt;=7,MAX(D142,1)+MAX(E142,1)+MAX(F142,1)&lt;=9,OR(H142="-",AND(H142=0,D142&gt;0),AND(H142=1,E142&gt;0),AND(H142=2,F142&gt;0)),OR(I142=0,AND(I142=1,OR(J142=0,J142=1,J142=2),R142&lt;&gt;"000")),Y142&lt;=9,MIN(T142:V142)&gt;=0),"合法","输入违约")</x:f>
        <x:v>合法</x:v>
      </x:c>
    </x:row>
    <x:row r="143" ht="23" customHeight="1">
      <x:c r="A143" s="3" t="str">
        <x:v>CT-0136</x:v>
      </x:c>
      <x:c r="B143" s="3" t="str">
        <x:v>ST-086</x:v>
      </x:c>
      <x:c r="C143" s="3" t="str">
        <x:v>R+AR同收同发</x:v>
      </x:c>
      <x:c r="D143" s="25" t="n">
        <x:v>0</x:v>
      </x:c>
      <x:c r="E143" s="25" t="n">
        <x:v>1</x:v>
      </x:c>
      <x:c r="F143" s="25" t="n">
        <x:v>6</x:v>
      </x:c>
      <x:c r="G143" s="19" t="n">
        <x:f>SUM(D143:F143)</x:f>
        <x:v>7</x:v>
      </x:c>
      <x:c r="H143" s="25" t="n">
        <x:v>1</x:v>
      </x:c>
      <x:c r="I143" s="25" t="n">
        <x:v>1</x:v>
      </x:c>
      <x:c r="J143" s="25" t="n">
        <x:v>2</x:v>
      </x:c>
      <x:c r="K143" s="19" t="n">
        <x:f>D143-IF(H143=0,1,0)</x:f>
        <x:v>0</x:v>
      </x:c>
      <x:c r="L143" s="19" t="n">
        <x:f>E143-IF(H143=1,1,0)</x:f>
        <x:v>0</x:v>
      </x:c>
      <x:c r="M143" s="19" t="n">
        <x:f>F143-IF(H143=2,1,0)</x:f>
        <x:v>6</x:v>
      </x:c>
      <x:c r="N143" s="19" t="n">
        <x:f>MAX(K143-1,0)+MAX(L143-1,0)+MAX(M143-1,0)</x:f>
        <x:v>5</x:v>
      </x:c>
      <x:c r="O143" s="19" t="n">
        <x:f>IF(AND(SUM(K143:M143)&lt;9,OR(M143=0,N143&lt;6)),1,0)</x:f>
        <x:v>1</x:v>
      </x:c>
      <x:c r="P143" s="19" t="n">
        <x:f>IF(AND(SUM(K143:M143)&lt;9,OR(L143=0,N143&lt;6)),1,0)</x:f>
        <x:v>1</x:v>
      </x:c>
      <x:c r="Q143" s="19" t="n">
        <x:f>IF(AND(SUM(K143:M143)&lt;9,OR(K143=0,N143&lt;6)),1,0)</x:f>
        <x:v>1</x:v>
      </x:c>
      <x:c r="R143" s="22" t="str">
        <x:f>O143&amp;P143&amp;Q143</x:f>
        <x:v>111</x:v>
      </x:c>
      <x:c r="S143" s="19" t="n">
        <x:f>IF(I143=1,IF(J143=0,Q143,IF(J143=1,P143,IF(J143=2,O143,0))),0)</x:f>
        <x:v>1</x:v>
      </x:c>
      <x:c r="T143" s="19" t="n">
        <x:f>K143+IF(AND(S143=1,J143=0),1,0)</x:f>
        <x:v>0</x:v>
      </x:c>
      <x:c r="U143" s="19" t="n">
        <x:f>L143+IF(AND(S143=1,J143=1),1,0)</x:f>
        <x:v>0</x:v>
      </x:c>
      <x:c r="V143" s="19" t="n">
        <x:f>M143+IF(AND(S143=1,J143=2),1,0)</x:f>
        <x:v>7</x:v>
      </x:c>
      <x:c r="W143" s="19" t="n">
        <x:f>SUM(T143:V143)</x:f>
        <x:v>7</x:v>
      </x:c>
      <x:c r="X143" s="19" t="n">
        <x:f>W143-G143</x:f>
        <x:v>0</x:v>
      </x:c>
      <x:c r="Y143" s="19" t="n">
        <x:f>MAX(T143,1)+MAX(U143,1)+MAX(V143,1)</x:f>
        <x:v>9</x:v>
      </x:c>
      <x:c r="Z143" s="21" t="str">
        <x:f>IF(AND(MIN(D143:F143)&gt;=0,MAX(D143:F143)&lt;=7,MAX(D143,1)+MAX(E143,1)+MAX(F143,1)&lt;=9,OR(H143="-",AND(H143=0,D143&gt;0),AND(H143=1,E143&gt;0),AND(H143=2,F143&gt;0)),OR(I143=0,AND(I143=1,OR(J143=0,J143=1,J143=2),R143&lt;&gt;"000")),Y143&lt;=9,MIN(T143:V143)&gt;=0),"合法","输入违约")</x:f>
        <x:v>合法</x:v>
      </x:c>
    </x:row>
    <x:row r="144" ht="23" customHeight="1">
      <x:c r="A144" s="3" t="str">
        <x:v>CT-0137</x:v>
      </x:c>
      <x:c r="B144" s="3" t="str">
        <x:v>ST-086</x:v>
      </x:c>
      <x:c r="C144" s="3" t="str">
        <x:v>仅R回收</x:v>
      </x:c>
      <x:c r="D144" s="25" t="n">
        <x:v>0</x:v>
      </x:c>
      <x:c r="E144" s="25" t="n">
        <x:v>1</x:v>
      </x:c>
      <x:c r="F144" s="25" t="n">
        <x:v>6</x:v>
      </x:c>
      <x:c r="G144" s="19" t="n">
        <x:f>SUM(D144:F144)</x:f>
        <x:v>7</x:v>
      </x:c>
      <x:c r="H144" s="25" t="n">
        <x:v>2</x:v>
      </x:c>
      <x:c r="I144" s="25" t="n">
        <x:v>0</x:v>
      </x:c>
      <x:c r="J144" s="25" t="str">
        <x:v>-</x:v>
      </x:c>
      <x:c r="K144" s="19" t="n">
        <x:f>D144-IF(H144=0,1,0)</x:f>
        <x:v>0</x:v>
      </x:c>
      <x:c r="L144" s="19" t="n">
        <x:f>E144-IF(H144=1,1,0)</x:f>
        <x:v>1</x:v>
      </x:c>
      <x:c r="M144" s="19" t="n">
        <x:f>F144-IF(H144=2,1,0)</x:f>
        <x:v>5</x:v>
      </x:c>
      <x:c r="N144" s="19" t="n">
        <x:f>MAX(K144-1,0)+MAX(L144-1,0)+MAX(M144-1,0)</x:f>
        <x:v>4</x:v>
      </x:c>
      <x:c r="O144" s="19" t="n">
        <x:f>IF(AND(SUM(K144:M144)&lt;9,OR(M144=0,N144&lt;6)),1,0)</x:f>
        <x:v>1</x:v>
      </x:c>
      <x:c r="P144" s="19" t="n">
        <x:f>IF(AND(SUM(K144:M144)&lt;9,OR(L144=0,N144&lt;6)),1,0)</x:f>
        <x:v>1</x:v>
      </x:c>
      <x:c r="Q144" s="19" t="n">
        <x:f>IF(AND(SUM(K144:M144)&lt;9,OR(K144=0,N144&lt;6)),1,0)</x:f>
        <x:v>1</x:v>
      </x:c>
      <x:c r="R144" s="22" t="str">
        <x:f>O144&amp;P144&amp;Q144</x:f>
        <x:v>111</x:v>
      </x:c>
      <x:c r="S144" s="19" t="n">
        <x:f>IF(I144=1,IF(J144=0,Q144,IF(J144=1,P144,IF(J144=2,O144,0))),0)</x:f>
        <x:v>0</x:v>
      </x:c>
      <x:c r="T144" s="19" t="n">
        <x:f>K144+IF(AND(S144=1,J144=0),1,0)</x:f>
        <x:v>0</x:v>
      </x:c>
      <x:c r="U144" s="19" t="n">
        <x:f>L144+IF(AND(S144=1,J144=1),1,0)</x:f>
        <x:v>1</x:v>
      </x:c>
      <x:c r="V144" s="19" t="n">
        <x:f>M144+IF(AND(S144=1,J144=2),1,0)</x:f>
        <x:v>5</x:v>
      </x:c>
      <x:c r="W144" s="19" t="n">
        <x:f>SUM(T144:V144)</x:f>
        <x:v>6</x:v>
      </x:c>
      <x:c r="X144" s="19" t="n">
        <x:f>W144-G144</x:f>
        <x:v>-1</x:v>
      </x:c>
      <x:c r="Y144" s="19" t="n">
        <x:f>MAX(T144,1)+MAX(U144,1)+MAX(V144,1)</x:f>
        <x:v>7</x:v>
      </x:c>
      <x:c r="Z144" s="21" t="str">
        <x:f>IF(AND(MIN(D144:F144)&gt;=0,MAX(D144:F144)&lt;=7,MAX(D144,1)+MAX(E144,1)+MAX(F144,1)&lt;=9,OR(H144="-",AND(H144=0,D144&gt;0),AND(H144=1,E144&gt;0),AND(H144=2,F144&gt;0)),OR(I144=0,AND(I144=1,OR(J144=0,J144=1,J144=2),R144&lt;&gt;"000")),Y144&lt;=9,MIN(T144:V144)&gt;=0),"合法","输入违约")</x:f>
        <x:v>合法</x:v>
      </x:c>
    </x:row>
    <x:row r="145" ht="23" customHeight="1">
      <x:c r="A145" s="3" t="str">
        <x:v>CT-0138</x:v>
      </x:c>
      <x:c r="B145" s="3" t="str">
        <x:v>ST-086</x:v>
      </x:c>
      <x:c r="C145" s="3" t="str">
        <x:v>R+AR同收同发</x:v>
      </x:c>
      <x:c r="D145" s="25" t="n">
        <x:v>0</x:v>
      </x:c>
      <x:c r="E145" s="25" t="n">
        <x:v>1</x:v>
      </x:c>
      <x:c r="F145" s="25" t="n">
        <x:v>6</x:v>
      </x:c>
      <x:c r="G145" s="19" t="n">
        <x:f>SUM(D145:F145)</x:f>
        <x:v>7</x:v>
      </x:c>
      <x:c r="H145" s="25" t="n">
        <x:v>2</x:v>
      </x:c>
      <x:c r="I145" s="25" t="n">
        <x:v>1</x:v>
      </x:c>
      <x:c r="J145" s="25" t="n">
        <x:v>0</x:v>
      </x:c>
      <x:c r="K145" s="19" t="n">
        <x:f>D145-IF(H145=0,1,0)</x:f>
        <x:v>0</x:v>
      </x:c>
      <x:c r="L145" s="19" t="n">
        <x:f>E145-IF(H145=1,1,0)</x:f>
        <x:v>1</x:v>
      </x:c>
      <x:c r="M145" s="19" t="n">
        <x:f>F145-IF(H145=2,1,0)</x:f>
        <x:v>5</x:v>
      </x:c>
      <x:c r="N145" s="19" t="n">
        <x:f>MAX(K145-1,0)+MAX(L145-1,0)+MAX(M145-1,0)</x:f>
        <x:v>4</x:v>
      </x:c>
      <x:c r="O145" s="19" t="n">
        <x:f>IF(AND(SUM(K145:M145)&lt;9,OR(M145=0,N145&lt;6)),1,0)</x:f>
        <x:v>1</x:v>
      </x:c>
      <x:c r="P145" s="19" t="n">
        <x:f>IF(AND(SUM(K145:M145)&lt;9,OR(L145=0,N145&lt;6)),1,0)</x:f>
        <x:v>1</x:v>
      </x:c>
      <x:c r="Q145" s="19" t="n">
        <x:f>IF(AND(SUM(K145:M145)&lt;9,OR(K145=0,N145&lt;6)),1,0)</x:f>
        <x:v>1</x:v>
      </x:c>
      <x:c r="R145" s="22" t="str">
        <x:f>O145&amp;P145&amp;Q145</x:f>
        <x:v>111</x:v>
      </x:c>
      <x:c r="S145" s="19" t="n">
        <x:f>IF(I145=1,IF(J145=0,Q145,IF(J145=1,P145,IF(J145=2,O145,0))),0)</x:f>
        <x:v>1</x:v>
      </x:c>
      <x:c r="T145" s="19" t="n">
        <x:f>K145+IF(AND(S145=1,J145=0),1,0)</x:f>
        <x:v>1</x:v>
      </x:c>
      <x:c r="U145" s="19" t="n">
        <x:f>L145+IF(AND(S145=1,J145=1),1,0)</x:f>
        <x:v>1</x:v>
      </x:c>
      <x:c r="V145" s="19" t="n">
        <x:f>M145+IF(AND(S145=1,J145=2),1,0)</x:f>
        <x:v>5</x:v>
      </x:c>
      <x:c r="W145" s="19" t="n">
        <x:f>SUM(T145:V145)</x:f>
        <x:v>7</x:v>
      </x:c>
      <x:c r="X145" s="19" t="n">
        <x:f>W145-G145</x:f>
        <x:v>0</x:v>
      </x:c>
      <x:c r="Y145" s="19" t="n">
        <x:f>MAX(T145,1)+MAX(U145,1)+MAX(V145,1)</x:f>
        <x:v>7</x:v>
      </x:c>
      <x:c r="Z145" s="21" t="str">
        <x:f>IF(AND(MIN(D145:F145)&gt;=0,MAX(D145:F145)&lt;=7,MAX(D145,1)+MAX(E145,1)+MAX(F145,1)&lt;=9,OR(H145="-",AND(H145=0,D145&gt;0),AND(H145=1,E145&gt;0),AND(H145=2,F145&gt;0)),OR(I145=0,AND(I145=1,OR(J145=0,J145=1,J145=2),R145&lt;&gt;"000")),Y145&lt;=9,MIN(T145:V145)&gt;=0),"合法","输入违约")</x:f>
        <x:v>合法</x:v>
      </x:c>
    </x:row>
    <x:row r="146" ht="23" customHeight="1">
      <x:c r="A146" s="3" t="str">
        <x:v>CT-0139</x:v>
      </x:c>
      <x:c r="B146" s="3" t="str">
        <x:v>ST-086</x:v>
      </x:c>
      <x:c r="C146" s="3" t="str">
        <x:v>R+AR同收同发</x:v>
      </x:c>
      <x:c r="D146" s="25" t="n">
        <x:v>0</x:v>
      </x:c>
      <x:c r="E146" s="25" t="n">
        <x:v>1</x:v>
      </x:c>
      <x:c r="F146" s="25" t="n">
        <x:v>6</x:v>
      </x:c>
      <x:c r="G146" s="19" t="n">
        <x:f>SUM(D146:F146)</x:f>
        <x:v>7</x:v>
      </x:c>
      <x:c r="H146" s="25" t="n">
        <x:v>2</x:v>
      </x:c>
      <x:c r="I146" s="25" t="n">
        <x:v>1</x:v>
      </x:c>
      <x:c r="J146" s="25" t="n">
        <x:v>1</x:v>
      </x:c>
      <x:c r="K146" s="19" t="n">
        <x:f>D146-IF(H146=0,1,0)</x:f>
        <x:v>0</x:v>
      </x:c>
      <x:c r="L146" s="19" t="n">
        <x:f>E146-IF(H146=1,1,0)</x:f>
        <x:v>1</x:v>
      </x:c>
      <x:c r="M146" s="19" t="n">
        <x:f>F146-IF(H146=2,1,0)</x:f>
        <x:v>5</x:v>
      </x:c>
      <x:c r="N146" s="19" t="n">
        <x:f>MAX(K146-1,0)+MAX(L146-1,0)+MAX(M146-1,0)</x:f>
        <x:v>4</x:v>
      </x:c>
      <x:c r="O146" s="19" t="n">
        <x:f>IF(AND(SUM(K146:M146)&lt;9,OR(M146=0,N146&lt;6)),1,0)</x:f>
        <x:v>1</x:v>
      </x:c>
      <x:c r="P146" s="19" t="n">
        <x:f>IF(AND(SUM(K146:M146)&lt;9,OR(L146=0,N146&lt;6)),1,0)</x:f>
        <x:v>1</x:v>
      </x:c>
      <x:c r="Q146" s="19" t="n">
        <x:f>IF(AND(SUM(K146:M146)&lt;9,OR(K146=0,N146&lt;6)),1,0)</x:f>
        <x:v>1</x:v>
      </x:c>
      <x:c r="R146" s="22" t="str">
        <x:f>O146&amp;P146&amp;Q146</x:f>
        <x:v>111</x:v>
      </x:c>
      <x:c r="S146" s="19" t="n">
        <x:f>IF(I146=1,IF(J146=0,Q146,IF(J146=1,P146,IF(J146=2,O146,0))),0)</x:f>
        <x:v>1</x:v>
      </x:c>
      <x:c r="T146" s="19" t="n">
        <x:f>K146+IF(AND(S146=1,J146=0),1,0)</x:f>
        <x:v>0</x:v>
      </x:c>
      <x:c r="U146" s="19" t="n">
        <x:f>L146+IF(AND(S146=1,J146=1),1,0)</x:f>
        <x:v>2</x:v>
      </x:c>
      <x:c r="V146" s="19" t="n">
        <x:f>M146+IF(AND(S146=1,J146=2),1,0)</x:f>
        <x:v>5</x:v>
      </x:c>
      <x:c r="W146" s="19" t="n">
        <x:f>SUM(T146:V146)</x:f>
        <x:v>7</x:v>
      </x:c>
      <x:c r="X146" s="19" t="n">
        <x:f>W146-G146</x:f>
        <x:v>0</x:v>
      </x:c>
      <x:c r="Y146" s="19" t="n">
        <x:f>MAX(T146,1)+MAX(U146,1)+MAX(V146,1)</x:f>
        <x:v>8</x:v>
      </x:c>
      <x:c r="Z146" s="21" t="str">
        <x:f>IF(AND(MIN(D146:F146)&gt;=0,MAX(D146:F146)&lt;=7,MAX(D146,1)+MAX(E146,1)+MAX(F146,1)&lt;=9,OR(H146="-",AND(H146=0,D146&gt;0),AND(H146=1,E146&gt;0),AND(H146=2,F146&gt;0)),OR(I146=0,AND(I146=1,OR(J146=0,J146=1,J146=2),R146&lt;&gt;"000")),Y146&lt;=9,MIN(T146:V146)&gt;=0),"合法","输入违约")</x:f>
        <x:v>合法</x:v>
      </x:c>
    </x:row>
    <x:row r="147" ht="23" customHeight="1">
      <x:c r="A147" s="3" t="str">
        <x:v>CT-0140</x:v>
      </x:c>
      <x:c r="B147" s="3" t="str">
        <x:v>ST-086</x:v>
      </x:c>
      <x:c r="C147" s="3" t="str">
        <x:v>R+AR同收同发</x:v>
      </x:c>
      <x:c r="D147" s="25" t="n">
        <x:v>0</x:v>
      </x:c>
      <x:c r="E147" s="25" t="n">
        <x:v>1</x:v>
      </x:c>
      <x:c r="F147" s="25" t="n">
        <x:v>6</x:v>
      </x:c>
      <x:c r="G147" s="19" t="n">
        <x:f>SUM(D147:F147)</x:f>
        <x:v>7</x:v>
      </x:c>
      <x:c r="H147" s="25" t="n">
        <x:v>2</x:v>
      </x:c>
      <x:c r="I147" s="25" t="n">
        <x:v>1</x:v>
      </x:c>
      <x:c r="J147" s="25" t="n">
        <x:v>2</x:v>
      </x:c>
      <x:c r="K147" s="19" t="n">
        <x:f>D147-IF(H147=0,1,0)</x:f>
        <x:v>0</x:v>
      </x:c>
      <x:c r="L147" s="19" t="n">
        <x:f>E147-IF(H147=1,1,0)</x:f>
        <x:v>1</x:v>
      </x:c>
      <x:c r="M147" s="19" t="n">
        <x:f>F147-IF(H147=2,1,0)</x:f>
        <x:v>5</x:v>
      </x:c>
      <x:c r="N147" s="19" t="n">
        <x:f>MAX(K147-1,0)+MAX(L147-1,0)+MAX(M147-1,0)</x:f>
        <x:v>4</x:v>
      </x:c>
      <x:c r="O147" s="19" t="n">
        <x:f>IF(AND(SUM(K147:M147)&lt;9,OR(M147=0,N147&lt;6)),1,0)</x:f>
        <x:v>1</x:v>
      </x:c>
      <x:c r="P147" s="19" t="n">
        <x:f>IF(AND(SUM(K147:M147)&lt;9,OR(L147=0,N147&lt;6)),1,0)</x:f>
        <x:v>1</x:v>
      </x:c>
      <x:c r="Q147" s="19" t="n">
        <x:f>IF(AND(SUM(K147:M147)&lt;9,OR(K147=0,N147&lt;6)),1,0)</x:f>
        <x:v>1</x:v>
      </x:c>
      <x:c r="R147" s="22" t="str">
        <x:f>O147&amp;P147&amp;Q147</x:f>
        <x:v>111</x:v>
      </x:c>
      <x:c r="S147" s="19" t="n">
        <x:f>IF(I147=1,IF(J147=0,Q147,IF(J147=1,P147,IF(J147=2,O147,0))),0)</x:f>
        <x:v>1</x:v>
      </x:c>
      <x:c r="T147" s="19" t="n">
        <x:f>K147+IF(AND(S147=1,J147=0),1,0)</x:f>
        <x:v>0</x:v>
      </x:c>
      <x:c r="U147" s="19" t="n">
        <x:f>L147+IF(AND(S147=1,J147=1),1,0)</x:f>
        <x:v>1</x:v>
      </x:c>
      <x:c r="V147" s="19" t="n">
        <x:f>M147+IF(AND(S147=1,J147=2),1,0)</x:f>
        <x:v>6</x:v>
      </x:c>
      <x:c r="W147" s="19" t="n">
        <x:f>SUM(T147:V147)</x:f>
        <x:v>7</x:v>
      </x:c>
      <x:c r="X147" s="19" t="n">
        <x:f>W147-G147</x:f>
        <x:v>0</x:v>
      </x:c>
      <x:c r="Y147" s="19" t="n">
        <x:f>MAX(T147,1)+MAX(U147,1)+MAX(V147,1)</x:f>
        <x:v>8</x:v>
      </x:c>
      <x:c r="Z147" s="21" t="str">
        <x:f>IF(AND(MIN(D147:F147)&gt;=0,MAX(D147:F147)&lt;=7,MAX(D147,1)+MAX(E147,1)+MAX(F147,1)&lt;=9,OR(H147="-",AND(H147=0,D147&gt;0),AND(H147=1,E147&gt;0),AND(H147=2,F147&gt;0)),OR(I147=0,AND(I147=1,OR(J147=0,J147=1,J147=2),R147&lt;&gt;"000")),Y147&lt;=9,MIN(T147:V147)&gt;=0),"合法","输入违约")</x:f>
        <x:v>合法</x:v>
      </x:c>
    </x:row>
    <x:row r="148" ht="23" customHeight="1">
      <x:c r="A148" s="3" t="str">
        <x:v>CT-0141</x:v>
      </x:c>
      <x:c r="B148" s="3" t="str">
        <x:v>ST-121</x:v>
      </x:c>
      <x:c r="C148" s="3" t="str">
        <x:v>无AR/R</x:v>
      </x:c>
      <x:c r="D148" s="25" t="n">
        <x:v>0</x:v>
      </x:c>
      <x:c r="E148" s="25" t="n">
        <x:v>1</x:v>
      </x:c>
      <x:c r="F148" s="25" t="n">
        <x:v>7</x:v>
      </x:c>
      <x:c r="G148" s="19" t="n">
        <x:f>SUM(D148:F148)</x:f>
        <x:v>8</x:v>
      </x:c>
      <x:c r="H148" s="25" t="str">
        <x:v>-</x:v>
      </x:c>
      <x:c r="I148" s="25" t="n">
        <x:v>0</x:v>
      </x:c>
      <x:c r="J148" s="25" t="str">
        <x:v>-</x:v>
      </x:c>
      <x:c r="K148" s="19" t="n">
        <x:f>D148-IF(H148=0,1,0)</x:f>
        <x:v>0</x:v>
      </x:c>
      <x:c r="L148" s="19" t="n">
        <x:f>E148-IF(H148=1,1,0)</x:f>
        <x:v>1</x:v>
      </x:c>
      <x:c r="M148" s="19" t="n">
        <x:f>F148-IF(H148=2,1,0)</x:f>
        <x:v>7</x:v>
      </x:c>
      <x:c r="N148" s="19" t="n">
        <x:f>MAX(K148-1,0)+MAX(L148-1,0)+MAX(M148-1,0)</x:f>
        <x:v>6</x:v>
      </x:c>
      <x:c r="O148" s="19" t="n">
        <x:f>IF(AND(SUM(K148:M148)&lt;9,OR(M148=0,N148&lt;6)),1,0)</x:f>
        <x:v>0</x:v>
      </x:c>
      <x:c r="P148" s="19" t="n">
        <x:f>IF(AND(SUM(K148:M148)&lt;9,OR(L148=0,N148&lt;6)),1,0)</x:f>
        <x:v>0</x:v>
      </x:c>
      <x:c r="Q148" s="19" t="n">
        <x:f>IF(AND(SUM(K148:M148)&lt;9,OR(K148=0,N148&lt;6)),1,0)</x:f>
        <x:v>1</x:v>
      </x:c>
      <x:c r="R148" s="22" t="str">
        <x:f>O148&amp;P148&amp;Q148</x:f>
        <x:v>001</x:v>
      </x:c>
      <x:c r="S148" s="19" t="n">
        <x:f>IF(I148=1,IF(J148=0,Q148,IF(J148=1,P148,IF(J148=2,O148,0))),0)</x:f>
        <x:v>0</x:v>
      </x:c>
      <x:c r="T148" s="19" t="n">
        <x:f>K148+IF(AND(S148=1,J148=0),1,0)</x:f>
        <x:v>0</x:v>
      </x:c>
      <x:c r="U148" s="19" t="n">
        <x:f>L148+IF(AND(S148=1,J148=1),1,0)</x:f>
        <x:v>1</x:v>
      </x:c>
      <x:c r="V148" s="19" t="n">
        <x:f>M148+IF(AND(S148=1,J148=2),1,0)</x:f>
        <x:v>7</x:v>
      </x:c>
      <x:c r="W148" s="19" t="n">
        <x:f>SUM(T148:V148)</x:f>
        <x:v>8</x:v>
      </x:c>
      <x:c r="X148" s="19" t="n">
        <x:f>W148-G148</x:f>
        <x:v>0</x:v>
      </x:c>
      <x:c r="Y148" s="19" t="n">
        <x:f>MAX(T148,1)+MAX(U148,1)+MAX(V148,1)</x:f>
        <x:v>9</x:v>
      </x:c>
      <x:c r="Z148" s="21" t="str">
        <x:f>IF(AND(MIN(D148:F148)&gt;=0,MAX(D148:F148)&lt;=7,MAX(D148,1)+MAX(E148,1)+MAX(F148,1)&lt;=9,OR(H148="-",AND(H148=0,D148&gt;0),AND(H148=1,E148&gt;0),AND(H148=2,F148&gt;0)),OR(I148=0,AND(I148=1,OR(J148=0,J148=1,J148=2),R148&lt;&gt;"000")),Y148&lt;=9,MIN(T148:V148)&gt;=0),"合法","输入违约")</x:f>
        <x:v>合法</x:v>
      </x:c>
    </x:row>
    <x:row r="149" ht="23" customHeight="1">
      <x:c r="A149" s="3" t="str">
        <x:v>CT-0142</x:v>
      </x:c>
      <x:c r="B149" s="3" t="str">
        <x:v>ST-121</x:v>
      </x:c>
      <x:c r="C149" s="3" t="str">
        <x:v>仅AR接收</x:v>
      </x:c>
      <x:c r="D149" s="25" t="n">
        <x:v>0</x:v>
      </x:c>
      <x:c r="E149" s="25" t="n">
        <x:v>1</x:v>
      </x:c>
      <x:c r="F149" s="25" t="n">
        <x:v>7</x:v>
      </x:c>
      <x:c r="G149" s="19" t="n">
        <x:f>SUM(D149:F149)</x:f>
        <x:v>8</x:v>
      </x:c>
      <x:c r="H149" s="25" t="str">
        <x:v>-</x:v>
      </x:c>
      <x:c r="I149" s="25" t="n">
        <x:v>1</x:v>
      </x:c>
      <x:c r="J149" s="25" t="n">
        <x:v>0</x:v>
      </x:c>
      <x:c r="K149" s="19" t="n">
        <x:f>D149-IF(H149=0,1,0)</x:f>
        <x:v>0</x:v>
      </x:c>
      <x:c r="L149" s="19" t="n">
        <x:f>E149-IF(H149=1,1,0)</x:f>
        <x:v>1</x:v>
      </x:c>
      <x:c r="M149" s="19" t="n">
        <x:f>F149-IF(H149=2,1,0)</x:f>
        <x:v>7</x:v>
      </x:c>
      <x:c r="N149" s="19" t="n">
        <x:f>MAX(K149-1,0)+MAX(L149-1,0)+MAX(M149-1,0)</x:f>
        <x:v>6</x:v>
      </x:c>
      <x:c r="O149" s="19" t="n">
        <x:f>IF(AND(SUM(K149:M149)&lt;9,OR(M149=0,N149&lt;6)),1,0)</x:f>
        <x:v>0</x:v>
      </x:c>
      <x:c r="P149" s="19" t="n">
        <x:f>IF(AND(SUM(K149:M149)&lt;9,OR(L149=0,N149&lt;6)),1,0)</x:f>
        <x:v>0</x:v>
      </x:c>
      <x:c r="Q149" s="19" t="n">
        <x:f>IF(AND(SUM(K149:M149)&lt;9,OR(K149=0,N149&lt;6)),1,0)</x:f>
        <x:v>1</x:v>
      </x:c>
      <x:c r="R149" s="22" t="str">
        <x:f>O149&amp;P149&amp;Q149</x:f>
        <x:v>001</x:v>
      </x:c>
      <x:c r="S149" s="19" t="n">
        <x:f>IF(I149=1,IF(J149=0,Q149,IF(J149=1,P149,IF(J149=2,O149,0))),0)</x:f>
        <x:v>1</x:v>
      </x:c>
      <x:c r="T149" s="19" t="n">
        <x:f>K149+IF(AND(S149=1,J149=0),1,0)</x:f>
        <x:v>1</x:v>
      </x:c>
      <x:c r="U149" s="19" t="n">
        <x:f>L149+IF(AND(S149=1,J149=1),1,0)</x:f>
        <x:v>1</x:v>
      </x:c>
      <x:c r="V149" s="19" t="n">
        <x:f>M149+IF(AND(S149=1,J149=2),1,0)</x:f>
        <x:v>7</x:v>
      </x:c>
      <x:c r="W149" s="19" t="n">
        <x:f>SUM(T149:V149)</x:f>
        <x:v>9</x:v>
      </x:c>
      <x:c r="X149" s="19" t="n">
        <x:f>W149-G149</x:f>
        <x:v>1</x:v>
      </x:c>
      <x:c r="Y149" s="19" t="n">
        <x:f>MAX(T149,1)+MAX(U149,1)+MAX(V149,1)</x:f>
        <x:v>9</x:v>
      </x:c>
      <x:c r="Z149" s="21" t="str">
        <x:f>IF(AND(MIN(D149:F149)&gt;=0,MAX(D149:F149)&lt;=7,MAX(D149,1)+MAX(E149,1)+MAX(F149,1)&lt;=9,OR(H149="-",AND(H149=0,D149&gt;0),AND(H149=1,E149&gt;0),AND(H149=2,F149&gt;0)),OR(I149=0,AND(I149=1,OR(J149=0,J149=1,J149=2),R149&lt;&gt;"000")),Y149&lt;=9,MIN(T149:V149)&gt;=0),"合法","输入违约")</x:f>
        <x:v>合法</x:v>
      </x:c>
    </x:row>
    <x:row r="150" ht="23" customHeight="1">
      <x:c r="A150" s="3" t="str">
        <x:v>CT-0143</x:v>
      </x:c>
      <x:c r="B150" s="3" t="str">
        <x:v>ST-121</x:v>
      </x:c>
      <x:c r="C150" s="3" t="str">
        <x:v>所选源被阻塞</x:v>
      </x:c>
      <x:c r="D150" s="25" t="n">
        <x:v>0</x:v>
      </x:c>
      <x:c r="E150" s="25" t="n">
        <x:v>1</x:v>
      </x:c>
      <x:c r="F150" s="25" t="n">
        <x:v>7</x:v>
      </x:c>
      <x:c r="G150" s="19" t="n">
        <x:f>SUM(D150:F150)</x:f>
        <x:v>8</x:v>
      </x:c>
      <x:c r="H150" s="25" t="str">
        <x:v>-</x:v>
      </x:c>
      <x:c r="I150" s="25" t="n">
        <x:v>1</x:v>
      </x:c>
      <x:c r="J150" s="25" t="n">
        <x:v>1</x:v>
      </x:c>
      <x:c r="K150" s="19" t="n">
        <x:f>D150-IF(H150=0,1,0)</x:f>
        <x:v>0</x:v>
      </x:c>
      <x:c r="L150" s="19" t="n">
        <x:f>E150-IF(H150=1,1,0)</x:f>
        <x:v>1</x:v>
      </x:c>
      <x:c r="M150" s="19" t="n">
        <x:f>F150-IF(H150=2,1,0)</x:f>
        <x:v>7</x:v>
      </x:c>
      <x:c r="N150" s="19" t="n">
        <x:f>MAX(K150-1,0)+MAX(L150-1,0)+MAX(M150-1,0)</x:f>
        <x:v>6</x:v>
      </x:c>
      <x:c r="O150" s="19" t="n">
        <x:f>IF(AND(SUM(K150:M150)&lt;9,OR(M150=0,N150&lt;6)),1,0)</x:f>
        <x:v>0</x:v>
      </x:c>
      <x:c r="P150" s="19" t="n">
        <x:f>IF(AND(SUM(K150:M150)&lt;9,OR(L150=0,N150&lt;6)),1,0)</x:f>
        <x:v>0</x:v>
      </x:c>
      <x:c r="Q150" s="19" t="n">
        <x:f>IF(AND(SUM(K150:M150)&lt;9,OR(K150=0,N150&lt;6)),1,0)</x:f>
        <x:v>1</x:v>
      </x:c>
      <x:c r="R150" s="22" t="str">
        <x:f>O150&amp;P150&amp;Q150</x:f>
        <x:v>001</x:v>
      </x:c>
      <x:c r="S150" s="19" t="n">
        <x:f>IF(I150=1,IF(J150=0,Q150,IF(J150=1,P150,IF(J150=2,O150,0))),0)</x:f>
        <x:v>0</x:v>
      </x:c>
      <x:c r="T150" s="19" t="n">
        <x:f>K150+IF(AND(S150=1,J150=0),1,0)</x:f>
        <x:v>0</x:v>
      </x:c>
      <x:c r="U150" s="19" t="n">
        <x:f>L150+IF(AND(S150=1,J150=1),1,0)</x:f>
        <x:v>1</x:v>
      </x:c>
      <x:c r="V150" s="19" t="n">
        <x:f>M150+IF(AND(S150=1,J150=2),1,0)</x:f>
        <x:v>7</x:v>
      </x:c>
      <x:c r="W150" s="19" t="n">
        <x:f>SUM(T150:V150)</x:f>
        <x:v>8</x:v>
      </x:c>
      <x:c r="X150" s="19" t="n">
        <x:f>W150-G150</x:f>
        <x:v>0</x:v>
      </x:c>
      <x:c r="Y150" s="19" t="n">
        <x:f>MAX(T150,1)+MAX(U150,1)+MAX(V150,1)</x:f>
        <x:v>9</x:v>
      </x:c>
      <x:c r="Z150" s="21" t="str">
        <x:f>IF(AND(MIN(D150:F150)&gt;=0,MAX(D150:F150)&lt;=7,MAX(D150,1)+MAX(E150,1)+MAX(F150,1)&lt;=9,OR(H150="-",AND(H150=0,D150&gt;0),AND(H150=1,E150&gt;0),AND(H150=2,F150&gt;0)),OR(I150=0,AND(I150=1,OR(J150=0,J150=1,J150=2),R150&lt;&gt;"000")),Y150&lt;=9,MIN(T150:V150)&gt;=0),"合法","输入违约")</x:f>
        <x:v>合法</x:v>
      </x:c>
    </x:row>
    <x:row r="151" ht="23" customHeight="1">
      <x:c r="A151" s="3" t="str">
        <x:v>CT-0144</x:v>
      </x:c>
      <x:c r="B151" s="3" t="str">
        <x:v>ST-121</x:v>
      </x:c>
      <x:c r="C151" s="3" t="str">
        <x:v>所选源被阻塞</x:v>
      </x:c>
      <x:c r="D151" s="25" t="n">
        <x:v>0</x:v>
      </x:c>
      <x:c r="E151" s="25" t="n">
        <x:v>1</x:v>
      </x:c>
      <x:c r="F151" s="25" t="n">
        <x:v>7</x:v>
      </x:c>
      <x:c r="G151" s="19" t="n">
        <x:f>SUM(D151:F151)</x:f>
        <x:v>8</x:v>
      </x:c>
      <x:c r="H151" s="25" t="str">
        <x:v>-</x:v>
      </x:c>
      <x:c r="I151" s="25" t="n">
        <x:v>1</x:v>
      </x:c>
      <x:c r="J151" s="25" t="n">
        <x:v>2</x:v>
      </x:c>
      <x:c r="K151" s="19" t="n">
        <x:f>D151-IF(H151=0,1,0)</x:f>
        <x:v>0</x:v>
      </x:c>
      <x:c r="L151" s="19" t="n">
        <x:f>E151-IF(H151=1,1,0)</x:f>
        <x:v>1</x:v>
      </x:c>
      <x:c r="M151" s="19" t="n">
        <x:f>F151-IF(H151=2,1,0)</x:f>
        <x:v>7</x:v>
      </x:c>
      <x:c r="N151" s="19" t="n">
        <x:f>MAX(K151-1,0)+MAX(L151-1,0)+MAX(M151-1,0)</x:f>
        <x:v>6</x:v>
      </x:c>
      <x:c r="O151" s="19" t="n">
        <x:f>IF(AND(SUM(K151:M151)&lt;9,OR(M151=0,N151&lt;6)),1,0)</x:f>
        <x:v>0</x:v>
      </x:c>
      <x:c r="P151" s="19" t="n">
        <x:f>IF(AND(SUM(K151:M151)&lt;9,OR(L151=0,N151&lt;6)),1,0)</x:f>
        <x:v>0</x:v>
      </x:c>
      <x:c r="Q151" s="19" t="n">
        <x:f>IF(AND(SUM(K151:M151)&lt;9,OR(K151=0,N151&lt;6)),1,0)</x:f>
        <x:v>1</x:v>
      </x:c>
      <x:c r="R151" s="22" t="str">
        <x:f>O151&amp;P151&amp;Q151</x:f>
        <x:v>001</x:v>
      </x:c>
      <x:c r="S151" s="19" t="n">
        <x:f>IF(I151=1,IF(J151=0,Q151,IF(J151=1,P151,IF(J151=2,O151,0))),0)</x:f>
        <x:v>0</x:v>
      </x:c>
      <x:c r="T151" s="19" t="n">
        <x:f>K151+IF(AND(S151=1,J151=0),1,0)</x:f>
        <x:v>0</x:v>
      </x:c>
      <x:c r="U151" s="19" t="n">
        <x:f>L151+IF(AND(S151=1,J151=1),1,0)</x:f>
        <x:v>1</x:v>
      </x:c>
      <x:c r="V151" s="19" t="n">
        <x:f>M151+IF(AND(S151=1,J151=2),1,0)</x:f>
        <x:v>7</x:v>
      </x:c>
      <x:c r="W151" s="19" t="n">
        <x:f>SUM(T151:V151)</x:f>
        <x:v>8</x:v>
      </x:c>
      <x:c r="X151" s="19" t="n">
        <x:f>W151-G151</x:f>
        <x:v>0</x:v>
      </x:c>
      <x:c r="Y151" s="19" t="n">
        <x:f>MAX(T151,1)+MAX(U151,1)+MAX(V151,1)</x:f>
        <x:v>9</x:v>
      </x:c>
      <x:c r="Z151" s="21" t="str">
        <x:f>IF(AND(MIN(D151:F151)&gt;=0,MAX(D151:F151)&lt;=7,MAX(D151,1)+MAX(E151,1)+MAX(F151,1)&lt;=9,OR(H151="-",AND(H151=0,D151&gt;0),AND(H151=1,E151&gt;0),AND(H151=2,F151&gt;0)),OR(I151=0,AND(I151=1,OR(J151=0,J151=1,J151=2),R151&lt;&gt;"000")),Y151&lt;=9,MIN(T151:V151)&gt;=0),"合法","输入违约")</x:f>
        <x:v>合法</x:v>
      </x:c>
    </x:row>
    <x:row r="152" ht="23" customHeight="1">
      <x:c r="A152" s="3" t="str">
        <x:v>CT-0145</x:v>
      </x:c>
      <x:c r="B152" s="3" t="str">
        <x:v>ST-121</x:v>
      </x:c>
      <x:c r="C152" s="3" t="str">
        <x:v>仅R回收</x:v>
      </x:c>
      <x:c r="D152" s="25" t="n">
        <x:v>0</x:v>
      </x:c>
      <x:c r="E152" s="25" t="n">
        <x:v>1</x:v>
      </x:c>
      <x:c r="F152" s="25" t="n">
        <x:v>7</x:v>
      </x:c>
      <x:c r="G152" s="19" t="n">
        <x:f>SUM(D152:F152)</x:f>
        <x:v>8</x:v>
      </x:c>
      <x:c r="H152" s="25" t="n">
        <x:v>1</x:v>
      </x:c>
      <x:c r="I152" s="25" t="n">
        <x:v>0</x:v>
      </x:c>
      <x:c r="J152" s="25" t="str">
        <x:v>-</x:v>
      </x:c>
      <x:c r="K152" s="19" t="n">
        <x:f>D152-IF(H152=0,1,0)</x:f>
        <x:v>0</x:v>
      </x:c>
      <x:c r="L152" s="19" t="n">
        <x:f>E152-IF(H152=1,1,0)</x:f>
        <x:v>0</x:v>
      </x:c>
      <x:c r="M152" s="19" t="n">
        <x:f>F152-IF(H152=2,1,0)</x:f>
        <x:v>7</x:v>
      </x:c>
      <x:c r="N152" s="19" t="n">
        <x:f>MAX(K152-1,0)+MAX(L152-1,0)+MAX(M152-1,0)</x:f>
        <x:v>6</x:v>
      </x:c>
      <x:c r="O152" s="19" t="n">
        <x:f>IF(AND(SUM(K152:M152)&lt;9,OR(M152=0,N152&lt;6)),1,0)</x:f>
        <x:v>0</x:v>
      </x:c>
      <x:c r="P152" s="19" t="n">
        <x:f>IF(AND(SUM(K152:M152)&lt;9,OR(L152=0,N152&lt;6)),1,0)</x:f>
        <x:v>1</x:v>
      </x:c>
      <x:c r="Q152" s="19" t="n">
        <x:f>IF(AND(SUM(K152:M152)&lt;9,OR(K152=0,N152&lt;6)),1,0)</x:f>
        <x:v>1</x:v>
      </x:c>
      <x:c r="R152" s="22" t="str">
        <x:f>O152&amp;P152&amp;Q152</x:f>
        <x:v>011</x:v>
      </x:c>
      <x:c r="S152" s="19" t="n">
        <x:f>IF(I152=1,IF(J152=0,Q152,IF(J152=1,P152,IF(J152=2,O152,0))),0)</x:f>
        <x:v>0</x:v>
      </x:c>
      <x:c r="T152" s="19" t="n">
        <x:f>K152+IF(AND(S152=1,J152=0),1,0)</x:f>
        <x:v>0</x:v>
      </x:c>
      <x:c r="U152" s="19" t="n">
        <x:f>L152+IF(AND(S152=1,J152=1),1,0)</x:f>
        <x:v>0</x:v>
      </x:c>
      <x:c r="V152" s="19" t="n">
        <x:f>M152+IF(AND(S152=1,J152=2),1,0)</x:f>
        <x:v>7</x:v>
      </x:c>
      <x:c r="W152" s="19" t="n">
        <x:f>SUM(T152:V152)</x:f>
        <x:v>7</x:v>
      </x:c>
      <x:c r="X152" s="19" t="n">
        <x:f>W152-G152</x:f>
        <x:v>-1</x:v>
      </x:c>
      <x:c r="Y152" s="19" t="n">
        <x:f>MAX(T152,1)+MAX(U152,1)+MAX(V152,1)</x:f>
        <x:v>9</x:v>
      </x:c>
      <x:c r="Z152" s="21" t="str">
        <x:f>IF(AND(MIN(D152:F152)&gt;=0,MAX(D152:F152)&lt;=7,MAX(D152,1)+MAX(E152,1)+MAX(F152,1)&lt;=9,OR(H152="-",AND(H152=0,D152&gt;0),AND(H152=1,E152&gt;0),AND(H152=2,F152&gt;0)),OR(I152=0,AND(I152=1,OR(J152=0,J152=1,J152=2),R152&lt;&gt;"000")),Y152&lt;=9,MIN(T152:V152)&gt;=0),"合法","输入违约")</x:f>
        <x:v>合法</x:v>
      </x:c>
    </x:row>
    <x:row r="153" ht="23" customHeight="1">
      <x:c r="A153" s="3" t="str">
        <x:v>CT-0146</x:v>
      </x:c>
      <x:c r="B153" s="3" t="str">
        <x:v>ST-121</x:v>
      </x:c>
      <x:c r="C153" s="3" t="str">
        <x:v>R+AR同收同发</x:v>
      </x:c>
      <x:c r="D153" s="25" t="n">
        <x:v>0</x:v>
      </x:c>
      <x:c r="E153" s="25" t="n">
        <x:v>1</x:v>
      </x:c>
      <x:c r="F153" s="25" t="n">
        <x:v>7</x:v>
      </x:c>
      <x:c r="G153" s="19" t="n">
        <x:f>SUM(D153:F153)</x:f>
        <x:v>8</x:v>
      </x:c>
      <x:c r="H153" s="25" t="n">
        <x:v>1</x:v>
      </x:c>
      <x:c r="I153" s="25" t="n">
        <x:v>1</x:v>
      </x:c>
      <x:c r="J153" s="25" t="n">
        <x:v>0</x:v>
      </x:c>
      <x:c r="K153" s="19" t="n">
        <x:f>D153-IF(H153=0,1,0)</x:f>
        <x:v>0</x:v>
      </x:c>
      <x:c r="L153" s="19" t="n">
        <x:f>E153-IF(H153=1,1,0)</x:f>
        <x:v>0</x:v>
      </x:c>
      <x:c r="M153" s="19" t="n">
        <x:f>F153-IF(H153=2,1,0)</x:f>
        <x:v>7</x:v>
      </x:c>
      <x:c r="N153" s="19" t="n">
        <x:f>MAX(K153-1,0)+MAX(L153-1,0)+MAX(M153-1,0)</x:f>
        <x:v>6</x:v>
      </x:c>
      <x:c r="O153" s="19" t="n">
        <x:f>IF(AND(SUM(K153:M153)&lt;9,OR(M153=0,N153&lt;6)),1,0)</x:f>
        <x:v>0</x:v>
      </x:c>
      <x:c r="P153" s="19" t="n">
        <x:f>IF(AND(SUM(K153:M153)&lt;9,OR(L153=0,N153&lt;6)),1,0)</x:f>
        <x:v>1</x:v>
      </x:c>
      <x:c r="Q153" s="19" t="n">
        <x:f>IF(AND(SUM(K153:M153)&lt;9,OR(K153=0,N153&lt;6)),1,0)</x:f>
        <x:v>1</x:v>
      </x:c>
      <x:c r="R153" s="22" t="str">
        <x:f>O153&amp;P153&amp;Q153</x:f>
        <x:v>011</x:v>
      </x:c>
      <x:c r="S153" s="19" t="n">
        <x:f>IF(I153=1,IF(J153=0,Q153,IF(J153=1,P153,IF(J153=2,O153,0))),0)</x:f>
        <x:v>1</x:v>
      </x:c>
      <x:c r="T153" s="19" t="n">
        <x:f>K153+IF(AND(S153=1,J153=0),1,0)</x:f>
        <x:v>1</x:v>
      </x:c>
      <x:c r="U153" s="19" t="n">
        <x:f>L153+IF(AND(S153=1,J153=1),1,0)</x:f>
        <x:v>0</x:v>
      </x:c>
      <x:c r="V153" s="19" t="n">
        <x:f>M153+IF(AND(S153=1,J153=2),1,0)</x:f>
        <x:v>7</x:v>
      </x:c>
      <x:c r="W153" s="19" t="n">
        <x:f>SUM(T153:V153)</x:f>
        <x:v>8</x:v>
      </x:c>
      <x:c r="X153" s="19" t="n">
        <x:f>W153-G153</x:f>
        <x:v>0</x:v>
      </x:c>
      <x:c r="Y153" s="19" t="n">
        <x:f>MAX(T153,1)+MAX(U153,1)+MAX(V153,1)</x:f>
        <x:v>9</x:v>
      </x:c>
      <x:c r="Z153" s="21" t="str">
        <x:f>IF(AND(MIN(D153:F153)&gt;=0,MAX(D153:F153)&lt;=7,MAX(D153,1)+MAX(E153,1)+MAX(F153,1)&lt;=9,OR(H153="-",AND(H153=0,D153&gt;0),AND(H153=1,E153&gt;0),AND(H153=2,F153&gt;0)),OR(I153=0,AND(I153=1,OR(J153=0,J153=1,J153=2),R153&lt;&gt;"000")),Y153&lt;=9,MIN(T153:V153)&gt;=0),"合法","输入违约")</x:f>
        <x:v>合法</x:v>
      </x:c>
    </x:row>
    <x:row r="154" ht="23" customHeight="1">
      <x:c r="A154" s="3" t="str">
        <x:v>CT-0147</x:v>
      </x:c>
      <x:c r="B154" s="3" t="str">
        <x:v>ST-121</x:v>
      </x:c>
      <x:c r="C154" s="3" t="str">
        <x:v>R+AR同收同发</x:v>
      </x:c>
      <x:c r="D154" s="25" t="n">
        <x:v>0</x:v>
      </x:c>
      <x:c r="E154" s="25" t="n">
        <x:v>1</x:v>
      </x:c>
      <x:c r="F154" s="25" t="n">
        <x:v>7</x:v>
      </x:c>
      <x:c r="G154" s="19" t="n">
        <x:f>SUM(D154:F154)</x:f>
        <x:v>8</x:v>
      </x:c>
      <x:c r="H154" s="25" t="n">
        <x:v>1</x:v>
      </x:c>
      <x:c r="I154" s="25" t="n">
        <x:v>1</x:v>
      </x:c>
      <x:c r="J154" s="25" t="n">
        <x:v>1</x:v>
      </x:c>
      <x:c r="K154" s="19" t="n">
        <x:f>D154-IF(H154=0,1,0)</x:f>
        <x:v>0</x:v>
      </x:c>
      <x:c r="L154" s="19" t="n">
        <x:f>E154-IF(H154=1,1,0)</x:f>
        <x:v>0</x:v>
      </x:c>
      <x:c r="M154" s="19" t="n">
        <x:f>F154-IF(H154=2,1,0)</x:f>
        <x:v>7</x:v>
      </x:c>
      <x:c r="N154" s="19" t="n">
        <x:f>MAX(K154-1,0)+MAX(L154-1,0)+MAX(M154-1,0)</x:f>
        <x:v>6</x:v>
      </x:c>
      <x:c r="O154" s="19" t="n">
        <x:f>IF(AND(SUM(K154:M154)&lt;9,OR(M154=0,N154&lt;6)),1,0)</x:f>
        <x:v>0</x:v>
      </x:c>
      <x:c r="P154" s="19" t="n">
        <x:f>IF(AND(SUM(K154:M154)&lt;9,OR(L154=0,N154&lt;6)),1,0)</x:f>
        <x:v>1</x:v>
      </x:c>
      <x:c r="Q154" s="19" t="n">
        <x:f>IF(AND(SUM(K154:M154)&lt;9,OR(K154=0,N154&lt;6)),1,0)</x:f>
        <x:v>1</x:v>
      </x:c>
      <x:c r="R154" s="22" t="str">
        <x:f>O154&amp;P154&amp;Q154</x:f>
        <x:v>011</x:v>
      </x:c>
      <x:c r="S154" s="19" t="n">
        <x:f>IF(I154=1,IF(J154=0,Q154,IF(J154=1,P154,IF(J154=2,O154,0))),0)</x:f>
        <x:v>1</x:v>
      </x:c>
      <x:c r="T154" s="19" t="n">
        <x:f>K154+IF(AND(S154=1,J154=0),1,0)</x:f>
        <x:v>0</x:v>
      </x:c>
      <x:c r="U154" s="19" t="n">
        <x:f>L154+IF(AND(S154=1,J154=1),1,0)</x:f>
        <x:v>1</x:v>
      </x:c>
      <x:c r="V154" s="19" t="n">
        <x:f>M154+IF(AND(S154=1,J154=2),1,0)</x:f>
        <x:v>7</x:v>
      </x:c>
      <x:c r="W154" s="19" t="n">
        <x:f>SUM(T154:V154)</x:f>
        <x:v>8</x:v>
      </x:c>
      <x:c r="X154" s="19" t="n">
        <x:f>W154-G154</x:f>
        <x:v>0</x:v>
      </x:c>
      <x:c r="Y154" s="19" t="n">
        <x:f>MAX(T154,1)+MAX(U154,1)+MAX(V154,1)</x:f>
        <x:v>9</x:v>
      </x:c>
      <x:c r="Z154" s="21" t="str">
        <x:f>IF(AND(MIN(D154:F154)&gt;=0,MAX(D154:F154)&lt;=7,MAX(D154,1)+MAX(E154,1)+MAX(F154,1)&lt;=9,OR(H154="-",AND(H154=0,D154&gt;0),AND(H154=1,E154&gt;0),AND(H154=2,F154&gt;0)),OR(I154=0,AND(I154=1,OR(J154=0,J154=1,J154=2),R154&lt;&gt;"000")),Y154&lt;=9,MIN(T154:V154)&gt;=0),"合法","输入违约")</x:f>
        <x:v>合法</x:v>
      </x:c>
    </x:row>
    <x:row r="155" ht="23" customHeight="1">
      <x:c r="A155" s="3" t="str">
        <x:v>CT-0148</x:v>
      </x:c>
      <x:c r="B155" s="3" t="str">
        <x:v>ST-121</x:v>
      </x:c>
      <x:c r="C155" s="3" t="str">
        <x:v>仅R回收</x:v>
      </x:c>
      <x:c r="D155" s="25" t="n">
        <x:v>0</x:v>
      </x:c>
      <x:c r="E155" s="25" t="n">
        <x:v>1</x:v>
      </x:c>
      <x:c r="F155" s="25" t="n">
        <x:v>7</x:v>
      </x:c>
      <x:c r="G155" s="19" t="n">
        <x:f>SUM(D155:F155)</x:f>
        <x:v>8</x:v>
      </x:c>
      <x:c r="H155" s="25" t="n">
        <x:v>1</x:v>
      </x:c>
      <x:c r="I155" s="25" t="n">
        <x:v>1</x:v>
      </x:c>
      <x:c r="J155" s="25" t="n">
        <x:v>2</x:v>
      </x:c>
      <x:c r="K155" s="19" t="n">
        <x:f>D155-IF(H155=0,1,0)</x:f>
        <x:v>0</x:v>
      </x:c>
      <x:c r="L155" s="19" t="n">
        <x:f>E155-IF(H155=1,1,0)</x:f>
        <x:v>0</x:v>
      </x:c>
      <x:c r="M155" s="19" t="n">
        <x:f>F155-IF(H155=2,1,0)</x:f>
        <x:v>7</x:v>
      </x:c>
      <x:c r="N155" s="19" t="n">
        <x:f>MAX(K155-1,0)+MAX(L155-1,0)+MAX(M155-1,0)</x:f>
        <x:v>6</x:v>
      </x:c>
      <x:c r="O155" s="19" t="n">
        <x:f>IF(AND(SUM(K155:M155)&lt;9,OR(M155=0,N155&lt;6)),1,0)</x:f>
        <x:v>0</x:v>
      </x:c>
      <x:c r="P155" s="19" t="n">
        <x:f>IF(AND(SUM(K155:M155)&lt;9,OR(L155=0,N155&lt;6)),1,0)</x:f>
        <x:v>1</x:v>
      </x:c>
      <x:c r="Q155" s="19" t="n">
        <x:f>IF(AND(SUM(K155:M155)&lt;9,OR(K155=0,N155&lt;6)),1,0)</x:f>
        <x:v>1</x:v>
      </x:c>
      <x:c r="R155" s="22" t="str">
        <x:f>O155&amp;P155&amp;Q155</x:f>
        <x:v>011</x:v>
      </x:c>
      <x:c r="S155" s="19" t="n">
        <x:f>IF(I155=1,IF(J155=0,Q155,IF(J155=1,P155,IF(J155=2,O155,0))),0)</x:f>
        <x:v>0</x:v>
      </x:c>
      <x:c r="T155" s="19" t="n">
        <x:f>K155+IF(AND(S155=1,J155=0),1,0)</x:f>
        <x:v>0</x:v>
      </x:c>
      <x:c r="U155" s="19" t="n">
        <x:f>L155+IF(AND(S155=1,J155=1),1,0)</x:f>
        <x:v>0</x:v>
      </x:c>
      <x:c r="V155" s="19" t="n">
        <x:f>M155+IF(AND(S155=1,J155=2),1,0)</x:f>
        <x:v>7</x:v>
      </x:c>
      <x:c r="W155" s="19" t="n">
        <x:f>SUM(T155:V155)</x:f>
        <x:v>7</x:v>
      </x:c>
      <x:c r="X155" s="19" t="n">
        <x:f>W155-G155</x:f>
        <x:v>-1</x:v>
      </x:c>
      <x:c r="Y155" s="19" t="n">
        <x:f>MAX(T155,1)+MAX(U155,1)+MAX(V155,1)</x:f>
        <x:v>9</x:v>
      </x:c>
      <x:c r="Z155" s="21" t="str">
        <x:f>IF(AND(MIN(D155:F155)&gt;=0,MAX(D155:F155)&lt;=7,MAX(D155,1)+MAX(E155,1)+MAX(F155,1)&lt;=9,OR(H155="-",AND(H155=0,D155&gt;0),AND(H155=1,E155&gt;0),AND(H155=2,F155&gt;0)),OR(I155=0,AND(I155=1,OR(J155=0,J155=1,J155=2),R155&lt;&gt;"000")),Y155&lt;=9,MIN(T155:V155)&gt;=0),"合法","输入违约")</x:f>
        <x:v>合法</x:v>
      </x:c>
    </x:row>
    <x:row r="156" ht="23" customHeight="1">
      <x:c r="A156" s="3" t="str">
        <x:v>CT-0149</x:v>
      </x:c>
      <x:c r="B156" s="3" t="str">
        <x:v>ST-121</x:v>
      </x:c>
      <x:c r="C156" s="3" t="str">
        <x:v>仅R回收</x:v>
      </x:c>
      <x:c r="D156" s="25" t="n">
        <x:v>0</x:v>
      </x:c>
      <x:c r="E156" s="25" t="n">
        <x:v>1</x:v>
      </x:c>
      <x:c r="F156" s="25" t="n">
        <x:v>7</x:v>
      </x:c>
      <x:c r="G156" s="19" t="n">
        <x:f>SUM(D156:F156)</x:f>
        <x:v>8</x:v>
      </x:c>
      <x:c r="H156" s="25" t="n">
        <x:v>2</x:v>
      </x:c>
      <x:c r="I156" s="25" t="n">
        <x:v>0</x:v>
      </x:c>
      <x:c r="J156" s="25" t="str">
        <x:v>-</x:v>
      </x:c>
      <x:c r="K156" s="19" t="n">
        <x:f>D156-IF(H156=0,1,0)</x:f>
        <x:v>0</x:v>
      </x:c>
      <x:c r="L156" s="19" t="n">
        <x:f>E156-IF(H156=1,1,0)</x:f>
        <x:v>1</x:v>
      </x:c>
      <x:c r="M156" s="19" t="n">
        <x:f>F156-IF(H156=2,1,0)</x:f>
        <x:v>6</x:v>
      </x:c>
      <x:c r="N156" s="19" t="n">
        <x:f>MAX(K156-1,0)+MAX(L156-1,0)+MAX(M156-1,0)</x:f>
        <x:v>5</x:v>
      </x:c>
      <x:c r="O156" s="19" t="n">
        <x:f>IF(AND(SUM(K156:M156)&lt;9,OR(M156=0,N156&lt;6)),1,0)</x:f>
        <x:v>1</x:v>
      </x:c>
      <x:c r="P156" s="19" t="n">
        <x:f>IF(AND(SUM(K156:M156)&lt;9,OR(L156=0,N156&lt;6)),1,0)</x:f>
        <x:v>1</x:v>
      </x:c>
      <x:c r="Q156" s="19" t="n">
        <x:f>IF(AND(SUM(K156:M156)&lt;9,OR(K156=0,N156&lt;6)),1,0)</x:f>
        <x:v>1</x:v>
      </x:c>
      <x:c r="R156" s="22" t="str">
        <x:f>O156&amp;P156&amp;Q156</x:f>
        <x:v>111</x:v>
      </x:c>
      <x:c r="S156" s="19" t="n">
        <x:f>IF(I156=1,IF(J156=0,Q156,IF(J156=1,P156,IF(J156=2,O156,0))),0)</x:f>
        <x:v>0</x:v>
      </x:c>
      <x:c r="T156" s="19" t="n">
        <x:f>K156+IF(AND(S156=1,J156=0),1,0)</x:f>
        <x:v>0</x:v>
      </x:c>
      <x:c r="U156" s="19" t="n">
        <x:f>L156+IF(AND(S156=1,J156=1),1,0)</x:f>
        <x:v>1</x:v>
      </x:c>
      <x:c r="V156" s="19" t="n">
        <x:f>M156+IF(AND(S156=1,J156=2),1,0)</x:f>
        <x:v>6</x:v>
      </x:c>
      <x:c r="W156" s="19" t="n">
        <x:f>SUM(T156:V156)</x:f>
        <x:v>7</x:v>
      </x:c>
      <x:c r="X156" s="19" t="n">
        <x:f>W156-G156</x:f>
        <x:v>-1</x:v>
      </x:c>
      <x:c r="Y156" s="19" t="n">
        <x:f>MAX(T156,1)+MAX(U156,1)+MAX(V156,1)</x:f>
        <x:v>8</x:v>
      </x:c>
      <x:c r="Z156" s="21" t="str">
        <x:f>IF(AND(MIN(D156:F156)&gt;=0,MAX(D156:F156)&lt;=7,MAX(D156,1)+MAX(E156,1)+MAX(F156,1)&lt;=9,OR(H156="-",AND(H156=0,D156&gt;0),AND(H156=1,E156&gt;0),AND(H156=2,F156&gt;0)),OR(I156=0,AND(I156=1,OR(J156=0,J156=1,J156=2),R156&lt;&gt;"000")),Y156&lt;=9,MIN(T156:V156)&gt;=0),"合法","输入违约")</x:f>
        <x:v>合法</x:v>
      </x:c>
    </x:row>
    <x:row r="157" ht="23" customHeight="1">
      <x:c r="A157" s="3" t="str">
        <x:v>CT-0150</x:v>
      </x:c>
      <x:c r="B157" s="3" t="str">
        <x:v>ST-121</x:v>
      </x:c>
      <x:c r="C157" s="3" t="str">
        <x:v>R+AR同收同发</x:v>
      </x:c>
      <x:c r="D157" s="25" t="n">
        <x:v>0</x:v>
      </x:c>
      <x:c r="E157" s="25" t="n">
        <x:v>1</x:v>
      </x:c>
      <x:c r="F157" s="25" t="n">
        <x:v>7</x:v>
      </x:c>
      <x:c r="G157" s="19" t="n">
        <x:f>SUM(D157:F157)</x:f>
        <x:v>8</x:v>
      </x:c>
      <x:c r="H157" s="25" t="n">
        <x:v>2</x:v>
      </x:c>
      <x:c r="I157" s="25" t="n">
        <x:v>1</x:v>
      </x:c>
      <x:c r="J157" s="25" t="n">
        <x:v>0</x:v>
      </x:c>
      <x:c r="K157" s="19" t="n">
        <x:f>D157-IF(H157=0,1,0)</x:f>
        <x:v>0</x:v>
      </x:c>
      <x:c r="L157" s="19" t="n">
        <x:f>E157-IF(H157=1,1,0)</x:f>
        <x:v>1</x:v>
      </x:c>
      <x:c r="M157" s="19" t="n">
        <x:f>F157-IF(H157=2,1,0)</x:f>
        <x:v>6</x:v>
      </x:c>
      <x:c r="N157" s="19" t="n">
        <x:f>MAX(K157-1,0)+MAX(L157-1,0)+MAX(M157-1,0)</x:f>
        <x:v>5</x:v>
      </x:c>
      <x:c r="O157" s="19" t="n">
        <x:f>IF(AND(SUM(K157:M157)&lt;9,OR(M157=0,N157&lt;6)),1,0)</x:f>
        <x:v>1</x:v>
      </x:c>
      <x:c r="P157" s="19" t="n">
        <x:f>IF(AND(SUM(K157:M157)&lt;9,OR(L157=0,N157&lt;6)),1,0)</x:f>
        <x:v>1</x:v>
      </x:c>
      <x:c r="Q157" s="19" t="n">
        <x:f>IF(AND(SUM(K157:M157)&lt;9,OR(K157=0,N157&lt;6)),1,0)</x:f>
        <x:v>1</x:v>
      </x:c>
      <x:c r="R157" s="22" t="str">
        <x:f>O157&amp;P157&amp;Q157</x:f>
        <x:v>111</x:v>
      </x:c>
      <x:c r="S157" s="19" t="n">
        <x:f>IF(I157=1,IF(J157=0,Q157,IF(J157=1,P157,IF(J157=2,O157,0))),0)</x:f>
        <x:v>1</x:v>
      </x:c>
      <x:c r="T157" s="19" t="n">
        <x:f>K157+IF(AND(S157=1,J157=0),1,0)</x:f>
        <x:v>1</x:v>
      </x:c>
      <x:c r="U157" s="19" t="n">
        <x:f>L157+IF(AND(S157=1,J157=1),1,0)</x:f>
        <x:v>1</x:v>
      </x:c>
      <x:c r="V157" s="19" t="n">
        <x:f>M157+IF(AND(S157=1,J157=2),1,0)</x:f>
        <x:v>6</x:v>
      </x:c>
      <x:c r="W157" s="19" t="n">
        <x:f>SUM(T157:V157)</x:f>
        <x:v>8</x:v>
      </x:c>
      <x:c r="X157" s="19" t="n">
        <x:f>W157-G157</x:f>
        <x:v>0</x:v>
      </x:c>
      <x:c r="Y157" s="19" t="n">
        <x:f>MAX(T157,1)+MAX(U157,1)+MAX(V157,1)</x:f>
        <x:v>8</x:v>
      </x:c>
      <x:c r="Z157" s="21" t="str">
        <x:f>IF(AND(MIN(D157:F157)&gt;=0,MAX(D157:F157)&lt;=7,MAX(D157,1)+MAX(E157,1)+MAX(F157,1)&lt;=9,OR(H157="-",AND(H157=0,D157&gt;0),AND(H157=1,E157&gt;0),AND(H157=2,F157&gt;0)),OR(I157=0,AND(I157=1,OR(J157=0,J157=1,J157=2),R157&lt;&gt;"000")),Y157&lt;=9,MIN(T157:V157)&gt;=0),"合法","输入违约")</x:f>
        <x:v>合法</x:v>
      </x:c>
    </x:row>
    <x:row r="158" ht="23" customHeight="1">
      <x:c r="A158" s="3" t="str">
        <x:v>CT-0151</x:v>
      </x:c>
      <x:c r="B158" s="3" t="str">
        <x:v>ST-121</x:v>
      </x:c>
      <x:c r="C158" s="3" t="str">
        <x:v>R+AR同收同发</x:v>
      </x:c>
      <x:c r="D158" s="25" t="n">
        <x:v>0</x:v>
      </x:c>
      <x:c r="E158" s="25" t="n">
        <x:v>1</x:v>
      </x:c>
      <x:c r="F158" s="25" t="n">
        <x:v>7</x:v>
      </x:c>
      <x:c r="G158" s="19" t="n">
        <x:f>SUM(D158:F158)</x:f>
        <x:v>8</x:v>
      </x:c>
      <x:c r="H158" s="25" t="n">
        <x:v>2</x:v>
      </x:c>
      <x:c r="I158" s="25" t="n">
        <x:v>1</x:v>
      </x:c>
      <x:c r="J158" s="25" t="n">
        <x:v>1</x:v>
      </x:c>
      <x:c r="K158" s="19" t="n">
        <x:f>D158-IF(H158=0,1,0)</x:f>
        <x:v>0</x:v>
      </x:c>
      <x:c r="L158" s="19" t="n">
        <x:f>E158-IF(H158=1,1,0)</x:f>
        <x:v>1</x:v>
      </x:c>
      <x:c r="M158" s="19" t="n">
        <x:f>F158-IF(H158=2,1,0)</x:f>
        <x:v>6</x:v>
      </x:c>
      <x:c r="N158" s="19" t="n">
        <x:f>MAX(K158-1,0)+MAX(L158-1,0)+MAX(M158-1,0)</x:f>
        <x:v>5</x:v>
      </x:c>
      <x:c r="O158" s="19" t="n">
        <x:f>IF(AND(SUM(K158:M158)&lt;9,OR(M158=0,N158&lt;6)),1,0)</x:f>
        <x:v>1</x:v>
      </x:c>
      <x:c r="P158" s="19" t="n">
        <x:f>IF(AND(SUM(K158:M158)&lt;9,OR(L158=0,N158&lt;6)),1,0)</x:f>
        <x:v>1</x:v>
      </x:c>
      <x:c r="Q158" s="19" t="n">
        <x:f>IF(AND(SUM(K158:M158)&lt;9,OR(K158=0,N158&lt;6)),1,0)</x:f>
        <x:v>1</x:v>
      </x:c>
      <x:c r="R158" s="22" t="str">
        <x:f>O158&amp;P158&amp;Q158</x:f>
        <x:v>111</x:v>
      </x:c>
      <x:c r="S158" s="19" t="n">
        <x:f>IF(I158=1,IF(J158=0,Q158,IF(J158=1,P158,IF(J158=2,O158,0))),0)</x:f>
        <x:v>1</x:v>
      </x:c>
      <x:c r="T158" s="19" t="n">
        <x:f>K158+IF(AND(S158=1,J158=0),1,0)</x:f>
        <x:v>0</x:v>
      </x:c>
      <x:c r="U158" s="19" t="n">
        <x:f>L158+IF(AND(S158=1,J158=1),1,0)</x:f>
        <x:v>2</x:v>
      </x:c>
      <x:c r="V158" s="19" t="n">
        <x:f>M158+IF(AND(S158=1,J158=2),1,0)</x:f>
        <x:v>6</x:v>
      </x:c>
      <x:c r="W158" s="19" t="n">
        <x:f>SUM(T158:V158)</x:f>
        <x:v>8</x:v>
      </x:c>
      <x:c r="X158" s="19" t="n">
        <x:f>W158-G158</x:f>
        <x:v>0</x:v>
      </x:c>
      <x:c r="Y158" s="19" t="n">
        <x:f>MAX(T158,1)+MAX(U158,1)+MAX(V158,1)</x:f>
        <x:v>9</x:v>
      </x:c>
      <x:c r="Z158" s="21" t="str">
        <x:f>IF(AND(MIN(D158:F158)&gt;=0,MAX(D158:F158)&lt;=7,MAX(D158,1)+MAX(E158,1)+MAX(F158,1)&lt;=9,OR(H158="-",AND(H158=0,D158&gt;0),AND(H158=1,E158&gt;0),AND(H158=2,F158&gt;0)),OR(I158=0,AND(I158=1,OR(J158=0,J158=1,J158=2),R158&lt;&gt;"000")),Y158&lt;=9,MIN(T158:V158)&gt;=0),"合法","输入违约")</x:f>
        <x:v>合法</x:v>
      </x:c>
    </x:row>
    <x:row r="159" ht="23" customHeight="1">
      <x:c r="A159" s="3" t="str">
        <x:v>CT-0152</x:v>
      </x:c>
      <x:c r="B159" s="3" t="str">
        <x:v>ST-121</x:v>
      </x:c>
      <x:c r="C159" s="3" t="str">
        <x:v>R+AR同收同发</x:v>
      </x:c>
      <x:c r="D159" s="25" t="n">
        <x:v>0</x:v>
      </x:c>
      <x:c r="E159" s="25" t="n">
        <x:v>1</x:v>
      </x:c>
      <x:c r="F159" s="25" t="n">
        <x:v>7</x:v>
      </x:c>
      <x:c r="G159" s="19" t="n">
        <x:f>SUM(D159:F159)</x:f>
        <x:v>8</x:v>
      </x:c>
      <x:c r="H159" s="25" t="n">
        <x:v>2</x:v>
      </x:c>
      <x:c r="I159" s="25" t="n">
        <x:v>1</x:v>
      </x:c>
      <x:c r="J159" s="25" t="n">
        <x:v>2</x:v>
      </x:c>
      <x:c r="K159" s="19" t="n">
        <x:f>D159-IF(H159=0,1,0)</x:f>
        <x:v>0</x:v>
      </x:c>
      <x:c r="L159" s="19" t="n">
        <x:f>E159-IF(H159=1,1,0)</x:f>
        <x:v>1</x:v>
      </x:c>
      <x:c r="M159" s="19" t="n">
        <x:f>F159-IF(H159=2,1,0)</x:f>
        <x:v>6</x:v>
      </x:c>
      <x:c r="N159" s="19" t="n">
        <x:f>MAX(K159-1,0)+MAX(L159-1,0)+MAX(M159-1,0)</x:f>
        <x:v>5</x:v>
      </x:c>
      <x:c r="O159" s="19" t="n">
        <x:f>IF(AND(SUM(K159:M159)&lt;9,OR(M159=0,N159&lt;6)),1,0)</x:f>
        <x:v>1</x:v>
      </x:c>
      <x:c r="P159" s="19" t="n">
        <x:f>IF(AND(SUM(K159:M159)&lt;9,OR(L159=0,N159&lt;6)),1,0)</x:f>
        <x:v>1</x:v>
      </x:c>
      <x:c r="Q159" s="19" t="n">
        <x:f>IF(AND(SUM(K159:M159)&lt;9,OR(K159=0,N159&lt;6)),1,0)</x:f>
        <x:v>1</x:v>
      </x:c>
      <x:c r="R159" s="22" t="str">
        <x:f>O159&amp;P159&amp;Q159</x:f>
        <x:v>111</x:v>
      </x:c>
      <x:c r="S159" s="19" t="n">
        <x:f>IF(I159=1,IF(J159=0,Q159,IF(J159=1,P159,IF(J159=2,O159,0))),0)</x:f>
        <x:v>1</x:v>
      </x:c>
      <x:c r="T159" s="19" t="n">
        <x:f>K159+IF(AND(S159=1,J159=0),1,0)</x:f>
        <x:v>0</x:v>
      </x:c>
      <x:c r="U159" s="19" t="n">
        <x:f>L159+IF(AND(S159=1,J159=1),1,0)</x:f>
        <x:v>1</x:v>
      </x:c>
      <x:c r="V159" s="19" t="n">
        <x:f>M159+IF(AND(S159=1,J159=2),1,0)</x:f>
        <x:v>7</x:v>
      </x:c>
      <x:c r="W159" s="19" t="n">
        <x:f>SUM(T159:V159)</x:f>
        <x:v>8</x:v>
      </x:c>
      <x:c r="X159" s="19" t="n">
        <x:f>W159-G159</x:f>
        <x:v>0</x:v>
      </x:c>
      <x:c r="Y159" s="19" t="n">
        <x:f>MAX(T159,1)+MAX(U159,1)+MAX(V159,1)</x:f>
        <x:v>9</x:v>
      </x:c>
      <x:c r="Z159" s="21" t="str">
        <x:f>IF(AND(MIN(D159:F159)&gt;=0,MAX(D159:F159)&lt;=7,MAX(D159,1)+MAX(E159,1)+MAX(F159,1)&lt;=9,OR(H159="-",AND(H159=0,D159&gt;0),AND(H159=1,E159&gt;0),AND(H159=2,F159&gt;0)),OR(I159=0,AND(I159=1,OR(J159=0,J159=1,J159=2),R159&lt;&gt;"000")),Y159&lt;=9,MIN(T159:V159)&gt;=0),"合法","输入违约")</x:f>
        <x:v>合法</x:v>
      </x:c>
    </x:row>
    <x:row r="160" ht="23" customHeight="1">
      <x:c r="A160" s="3" t="str">
        <x:v>CT-0153</x:v>
      </x:c>
      <x:c r="B160" s="3" t="str">
        <x:v>ST-007</x:v>
      </x:c>
      <x:c r="C160" s="3" t="str">
        <x:v>无AR/R</x:v>
      </x:c>
      <x:c r="D160" s="25" t="n">
        <x:v>0</x:v>
      </x:c>
      <x:c r="E160" s="25" t="n">
        <x:v>2</x:v>
      </x:c>
      <x:c r="F160" s="25" t="n">
        <x:v>0</x:v>
      </x:c>
      <x:c r="G160" s="19" t="n">
        <x:f>SUM(D160:F160)</x:f>
        <x:v>2</x:v>
      </x:c>
      <x:c r="H160" s="25" t="str">
        <x:v>-</x:v>
      </x:c>
      <x:c r="I160" s="25" t="n">
        <x:v>0</x:v>
      </x:c>
      <x:c r="J160" s="25" t="str">
        <x:v>-</x:v>
      </x:c>
      <x:c r="K160" s="19" t="n">
        <x:f>D160-IF(H160=0,1,0)</x:f>
        <x:v>0</x:v>
      </x:c>
      <x:c r="L160" s="19" t="n">
        <x:f>E160-IF(H160=1,1,0)</x:f>
        <x:v>2</x:v>
      </x:c>
      <x:c r="M160" s="19" t="n">
        <x:f>F160-IF(H160=2,1,0)</x:f>
        <x:v>0</x:v>
      </x:c>
      <x:c r="N160" s="19" t="n">
        <x:f>MAX(K160-1,0)+MAX(L160-1,0)+MAX(M160-1,0)</x:f>
        <x:v>1</x:v>
      </x:c>
      <x:c r="O160" s="19" t="n">
        <x:f>IF(AND(SUM(K160:M160)&lt;9,OR(M160=0,N160&lt;6)),1,0)</x:f>
        <x:v>1</x:v>
      </x:c>
      <x:c r="P160" s="19" t="n">
        <x:f>IF(AND(SUM(K160:M160)&lt;9,OR(L160=0,N160&lt;6)),1,0)</x:f>
        <x:v>1</x:v>
      </x:c>
      <x:c r="Q160" s="19" t="n">
        <x:f>IF(AND(SUM(K160:M160)&lt;9,OR(K160=0,N160&lt;6)),1,0)</x:f>
        <x:v>1</x:v>
      </x:c>
      <x:c r="R160" s="22" t="str">
        <x:f>O160&amp;P160&amp;Q160</x:f>
        <x:v>111</x:v>
      </x:c>
      <x:c r="S160" s="19" t="n">
        <x:f>IF(I160=1,IF(J160=0,Q160,IF(J160=1,P160,IF(J160=2,O160,0))),0)</x:f>
        <x:v>0</x:v>
      </x:c>
      <x:c r="T160" s="19" t="n">
        <x:f>K160+IF(AND(S160=1,J160=0),1,0)</x:f>
        <x:v>0</x:v>
      </x:c>
      <x:c r="U160" s="19" t="n">
        <x:f>L160+IF(AND(S160=1,J160=1),1,0)</x:f>
        <x:v>2</x:v>
      </x:c>
      <x:c r="V160" s="19" t="n">
        <x:f>M160+IF(AND(S160=1,J160=2),1,0)</x:f>
        <x:v>0</x:v>
      </x:c>
      <x:c r="W160" s="19" t="n">
        <x:f>SUM(T160:V160)</x:f>
        <x:v>2</x:v>
      </x:c>
      <x:c r="X160" s="19" t="n">
        <x:f>W160-G160</x:f>
        <x:v>0</x:v>
      </x:c>
      <x:c r="Y160" s="19" t="n">
        <x:f>MAX(T160,1)+MAX(U160,1)+MAX(V160,1)</x:f>
        <x:v>4</x:v>
      </x:c>
      <x:c r="Z160" s="21" t="str">
        <x:f>IF(AND(MIN(D160:F160)&gt;=0,MAX(D160:F160)&lt;=7,MAX(D160,1)+MAX(E160,1)+MAX(F160,1)&lt;=9,OR(H160="-",AND(H160=0,D160&gt;0),AND(H160=1,E160&gt;0),AND(H160=2,F160&gt;0)),OR(I160=0,AND(I160=1,OR(J160=0,J160=1,J160=2),R160&lt;&gt;"000")),Y160&lt;=9,MIN(T160:V160)&gt;=0),"合法","输入违约")</x:f>
        <x:v>合法</x:v>
      </x:c>
    </x:row>
    <x:row r="161" ht="23" customHeight="1">
      <x:c r="A161" s="3" t="str">
        <x:v>CT-0154</x:v>
      </x:c>
      <x:c r="B161" s="3" t="str">
        <x:v>ST-007</x:v>
      </x:c>
      <x:c r="C161" s="3" t="str">
        <x:v>仅AR接收</x:v>
      </x:c>
      <x:c r="D161" s="25" t="n">
        <x:v>0</x:v>
      </x:c>
      <x:c r="E161" s="25" t="n">
        <x:v>2</x:v>
      </x:c>
      <x:c r="F161" s="25" t="n">
        <x:v>0</x:v>
      </x:c>
      <x:c r="G161" s="19" t="n">
        <x:f>SUM(D161:F161)</x:f>
        <x:v>2</x:v>
      </x:c>
      <x:c r="H161" s="25" t="str">
        <x:v>-</x:v>
      </x:c>
      <x:c r="I161" s="25" t="n">
        <x:v>1</x:v>
      </x:c>
      <x:c r="J161" s="25" t="n">
        <x:v>0</x:v>
      </x:c>
      <x:c r="K161" s="19" t="n">
        <x:f>D161-IF(H161=0,1,0)</x:f>
        <x:v>0</x:v>
      </x:c>
      <x:c r="L161" s="19" t="n">
        <x:f>E161-IF(H161=1,1,0)</x:f>
        <x:v>2</x:v>
      </x:c>
      <x:c r="M161" s="19" t="n">
        <x:f>F161-IF(H161=2,1,0)</x:f>
        <x:v>0</x:v>
      </x:c>
      <x:c r="N161" s="19" t="n">
        <x:f>MAX(K161-1,0)+MAX(L161-1,0)+MAX(M161-1,0)</x:f>
        <x:v>1</x:v>
      </x:c>
      <x:c r="O161" s="19" t="n">
        <x:f>IF(AND(SUM(K161:M161)&lt;9,OR(M161=0,N161&lt;6)),1,0)</x:f>
        <x:v>1</x:v>
      </x:c>
      <x:c r="P161" s="19" t="n">
        <x:f>IF(AND(SUM(K161:M161)&lt;9,OR(L161=0,N161&lt;6)),1,0)</x:f>
        <x:v>1</x:v>
      </x:c>
      <x:c r="Q161" s="19" t="n">
        <x:f>IF(AND(SUM(K161:M161)&lt;9,OR(K161=0,N161&lt;6)),1,0)</x:f>
        <x:v>1</x:v>
      </x:c>
      <x:c r="R161" s="22" t="str">
        <x:f>O161&amp;P161&amp;Q161</x:f>
        <x:v>111</x:v>
      </x:c>
      <x:c r="S161" s="19" t="n">
        <x:f>IF(I161=1,IF(J161=0,Q161,IF(J161=1,P161,IF(J161=2,O161,0))),0)</x:f>
        <x:v>1</x:v>
      </x:c>
      <x:c r="T161" s="19" t="n">
        <x:f>K161+IF(AND(S161=1,J161=0),1,0)</x:f>
        <x:v>1</x:v>
      </x:c>
      <x:c r="U161" s="19" t="n">
        <x:f>L161+IF(AND(S161=1,J161=1),1,0)</x:f>
        <x:v>2</x:v>
      </x:c>
      <x:c r="V161" s="19" t="n">
        <x:f>M161+IF(AND(S161=1,J161=2),1,0)</x:f>
        <x:v>0</x:v>
      </x:c>
      <x:c r="W161" s="19" t="n">
        <x:f>SUM(T161:V161)</x:f>
        <x:v>3</x:v>
      </x:c>
      <x:c r="X161" s="19" t="n">
        <x:f>W161-G161</x:f>
        <x:v>1</x:v>
      </x:c>
      <x:c r="Y161" s="19" t="n">
        <x:f>MAX(T161,1)+MAX(U161,1)+MAX(V161,1)</x:f>
        <x:v>4</x:v>
      </x:c>
      <x:c r="Z161" s="21" t="str">
        <x:f>IF(AND(MIN(D161:F161)&gt;=0,MAX(D161:F161)&lt;=7,MAX(D161,1)+MAX(E161,1)+MAX(F161,1)&lt;=9,OR(H161="-",AND(H161=0,D161&gt;0),AND(H161=1,E161&gt;0),AND(H161=2,F161&gt;0)),OR(I161=0,AND(I161=1,OR(J161=0,J161=1,J161=2),R161&lt;&gt;"000")),Y161&lt;=9,MIN(T161:V161)&gt;=0),"合法","输入违约")</x:f>
        <x:v>合法</x:v>
      </x:c>
    </x:row>
    <x:row r="162" ht="23" customHeight="1">
      <x:c r="A162" s="3" t="str">
        <x:v>CT-0155</x:v>
      </x:c>
      <x:c r="B162" s="3" t="str">
        <x:v>ST-007</x:v>
      </x:c>
      <x:c r="C162" s="3" t="str">
        <x:v>仅AR接收</x:v>
      </x:c>
      <x:c r="D162" s="25" t="n">
        <x:v>0</x:v>
      </x:c>
      <x:c r="E162" s="25" t="n">
        <x:v>2</x:v>
      </x:c>
      <x:c r="F162" s="25" t="n">
        <x:v>0</x:v>
      </x:c>
      <x:c r="G162" s="19" t="n">
        <x:f>SUM(D162:F162)</x:f>
        <x:v>2</x:v>
      </x:c>
      <x:c r="H162" s="25" t="str">
        <x:v>-</x:v>
      </x:c>
      <x:c r="I162" s="25" t="n">
        <x:v>1</x:v>
      </x:c>
      <x:c r="J162" s="25" t="n">
        <x:v>1</x:v>
      </x:c>
      <x:c r="K162" s="19" t="n">
        <x:f>D162-IF(H162=0,1,0)</x:f>
        <x:v>0</x:v>
      </x:c>
      <x:c r="L162" s="19" t="n">
        <x:f>E162-IF(H162=1,1,0)</x:f>
        <x:v>2</x:v>
      </x:c>
      <x:c r="M162" s="19" t="n">
        <x:f>F162-IF(H162=2,1,0)</x:f>
        <x:v>0</x:v>
      </x:c>
      <x:c r="N162" s="19" t="n">
        <x:f>MAX(K162-1,0)+MAX(L162-1,0)+MAX(M162-1,0)</x:f>
        <x:v>1</x:v>
      </x:c>
      <x:c r="O162" s="19" t="n">
        <x:f>IF(AND(SUM(K162:M162)&lt;9,OR(M162=0,N162&lt;6)),1,0)</x:f>
        <x:v>1</x:v>
      </x:c>
      <x:c r="P162" s="19" t="n">
        <x:f>IF(AND(SUM(K162:M162)&lt;9,OR(L162=0,N162&lt;6)),1,0)</x:f>
        <x:v>1</x:v>
      </x:c>
      <x:c r="Q162" s="19" t="n">
        <x:f>IF(AND(SUM(K162:M162)&lt;9,OR(K162=0,N162&lt;6)),1,0)</x:f>
        <x:v>1</x:v>
      </x:c>
      <x:c r="R162" s="22" t="str">
        <x:f>O162&amp;P162&amp;Q162</x:f>
        <x:v>111</x:v>
      </x:c>
      <x:c r="S162" s="19" t="n">
        <x:f>IF(I162=1,IF(J162=0,Q162,IF(J162=1,P162,IF(J162=2,O162,0))),0)</x:f>
        <x:v>1</x:v>
      </x:c>
      <x:c r="T162" s="19" t="n">
        <x:f>K162+IF(AND(S162=1,J162=0),1,0)</x:f>
        <x:v>0</x:v>
      </x:c>
      <x:c r="U162" s="19" t="n">
        <x:f>L162+IF(AND(S162=1,J162=1),1,0)</x:f>
        <x:v>3</x:v>
      </x:c>
      <x:c r="V162" s="19" t="n">
        <x:f>M162+IF(AND(S162=1,J162=2),1,0)</x:f>
        <x:v>0</x:v>
      </x:c>
      <x:c r="W162" s="19" t="n">
        <x:f>SUM(T162:V162)</x:f>
        <x:v>3</x:v>
      </x:c>
      <x:c r="X162" s="19" t="n">
        <x:f>W162-G162</x:f>
        <x:v>1</x:v>
      </x:c>
      <x:c r="Y162" s="19" t="n">
        <x:f>MAX(T162,1)+MAX(U162,1)+MAX(V162,1)</x:f>
        <x:v>5</x:v>
      </x:c>
      <x:c r="Z162" s="21" t="str">
        <x:f>IF(AND(MIN(D162:F162)&gt;=0,MAX(D162:F162)&lt;=7,MAX(D162,1)+MAX(E162,1)+MAX(F162,1)&lt;=9,OR(H162="-",AND(H162=0,D162&gt;0),AND(H162=1,E162&gt;0),AND(H162=2,F162&gt;0)),OR(I162=0,AND(I162=1,OR(J162=0,J162=1,J162=2),R162&lt;&gt;"000")),Y162&lt;=9,MIN(T162:V162)&gt;=0),"合法","输入违约")</x:f>
        <x:v>合法</x:v>
      </x:c>
    </x:row>
    <x:row r="163" ht="23" customHeight="1">
      <x:c r="A163" s="3" t="str">
        <x:v>CT-0156</x:v>
      </x:c>
      <x:c r="B163" s="3" t="str">
        <x:v>ST-007</x:v>
      </x:c>
      <x:c r="C163" s="3" t="str">
        <x:v>仅AR接收</x:v>
      </x:c>
      <x:c r="D163" s="25" t="n">
        <x:v>0</x:v>
      </x:c>
      <x:c r="E163" s="25" t="n">
        <x:v>2</x:v>
      </x:c>
      <x:c r="F163" s="25" t="n">
        <x:v>0</x:v>
      </x:c>
      <x:c r="G163" s="19" t="n">
        <x:f>SUM(D163:F163)</x:f>
        <x:v>2</x:v>
      </x:c>
      <x:c r="H163" s="25" t="str">
        <x:v>-</x:v>
      </x:c>
      <x:c r="I163" s="25" t="n">
        <x:v>1</x:v>
      </x:c>
      <x:c r="J163" s="25" t="n">
        <x:v>2</x:v>
      </x:c>
      <x:c r="K163" s="19" t="n">
        <x:f>D163-IF(H163=0,1,0)</x:f>
        <x:v>0</x:v>
      </x:c>
      <x:c r="L163" s="19" t="n">
        <x:f>E163-IF(H163=1,1,0)</x:f>
        <x:v>2</x:v>
      </x:c>
      <x:c r="M163" s="19" t="n">
        <x:f>F163-IF(H163=2,1,0)</x:f>
        <x:v>0</x:v>
      </x:c>
      <x:c r="N163" s="19" t="n">
        <x:f>MAX(K163-1,0)+MAX(L163-1,0)+MAX(M163-1,0)</x:f>
        <x:v>1</x:v>
      </x:c>
      <x:c r="O163" s="19" t="n">
        <x:f>IF(AND(SUM(K163:M163)&lt;9,OR(M163=0,N163&lt;6)),1,0)</x:f>
        <x:v>1</x:v>
      </x:c>
      <x:c r="P163" s="19" t="n">
        <x:f>IF(AND(SUM(K163:M163)&lt;9,OR(L163=0,N163&lt;6)),1,0)</x:f>
        <x:v>1</x:v>
      </x:c>
      <x:c r="Q163" s="19" t="n">
        <x:f>IF(AND(SUM(K163:M163)&lt;9,OR(K163=0,N163&lt;6)),1,0)</x:f>
        <x:v>1</x:v>
      </x:c>
      <x:c r="R163" s="22" t="str">
        <x:f>O163&amp;P163&amp;Q163</x:f>
        <x:v>111</x:v>
      </x:c>
      <x:c r="S163" s="19" t="n">
        <x:f>IF(I163=1,IF(J163=0,Q163,IF(J163=1,P163,IF(J163=2,O163,0))),0)</x:f>
        <x:v>1</x:v>
      </x:c>
      <x:c r="T163" s="19" t="n">
        <x:f>K163+IF(AND(S163=1,J163=0),1,0)</x:f>
        <x:v>0</x:v>
      </x:c>
      <x:c r="U163" s="19" t="n">
        <x:f>L163+IF(AND(S163=1,J163=1),1,0)</x:f>
        <x:v>2</x:v>
      </x:c>
      <x:c r="V163" s="19" t="n">
        <x:f>M163+IF(AND(S163=1,J163=2),1,0)</x:f>
        <x:v>1</x:v>
      </x:c>
      <x:c r="W163" s="19" t="n">
        <x:f>SUM(T163:V163)</x:f>
        <x:v>3</x:v>
      </x:c>
      <x:c r="X163" s="19" t="n">
        <x:f>W163-G163</x:f>
        <x:v>1</x:v>
      </x:c>
      <x:c r="Y163" s="19" t="n">
        <x:f>MAX(T163,1)+MAX(U163,1)+MAX(V163,1)</x:f>
        <x:v>4</x:v>
      </x:c>
      <x:c r="Z163" s="21" t="str">
        <x:f>IF(AND(MIN(D163:F163)&gt;=0,MAX(D163:F163)&lt;=7,MAX(D163,1)+MAX(E163,1)+MAX(F163,1)&lt;=9,OR(H163="-",AND(H163=0,D163&gt;0),AND(H163=1,E163&gt;0),AND(H163=2,F163&gt;0)),OR(I163=0,AND(I163=1,OR(J163=0,J163=1,J163=2),R163&lt;&gt;"000")),Y163&lt;=9,MIN(T163:V163)&gt;=0),"合法","输入违约")</x:f>
        <x:v>合法</x:v>
      </x:c>
    </x:row>
    <x:row r="164" ht="23" customHeight="1">
      <x:c r="A164" s="3" t="str">
        <x:v>CT-0157</x:v>
      </x:c>
      <x:c r="B164" s="3" t="str">
        <x:v>ST-007</x:v>
      </x:c>
      <x:c r="C164" s="3" t="str">
        <x:v>仅R回收</x:v>
      </x:c>
      <x:c r="D164" s="25" t="n">
        <x:v>0</x:v>
      </x:c>
      <x:c r="E164" s="25" t="n">
        <x:v>2</x:v>
      </x:c>
      <x:c r="F164" s="25" t="n">
        <x:v>0</x:v>
      </x:c>
      <x:c r="G164" s="19" t="n">
        <x:f>SUM(D164:F164)</x:f>
        <x:v>2</x:v>
      </x:c>
      <x:c r="H164" s="25" t="n">
        <x:v>1</x:v>
      </x:c>
      <x:c r="I164" s="25" t="n">
        <x:v>0</x:v>
      </x:c>
      <x:c r="J164" s="25" t="str">
        <x:v>-</x:v>
      </x:c>
      <x:c r="K164" s="19" t="n">
        <x:f>D164-IF(H164=0,1,0)</x:f>
        <x:v>0</x:v>
      </x:c>
      <x:c r="L164" s="19" t="n">
        <x:f>E164-IF(H164=1,1,0)</x:f>
        <x:v>1</x:v>
      </x:c>
      <x:c r="M164" s="19" t="n">
        <x:f>F164-IF(H164=2,1,0)</x:f>
        <x:v>0</x:v>
      </x:c>
      <x:c r="N164" s="19" t="n">
        <x:f>MAX(K164-1,0)+MAX(L164-1,0)+MAX(M164-1,0)</x:f>
        <x:v>0</x:v>
      </x:c>
      <x:c r="O164" s="19" t="n">
        <x:f>IF(AND(SUM(K164:M164)&lt;9,OR(M164=0,N164&lt;6)),1,0)</x:f>
        <x:v>1</x:v>
      </x:c>
      <x:c r="P164" s="19" t="n">
        <x:f>IF(AND(SUM(K164:M164)&lt;9,OR(L164=0,N164&lt;6)),1,0)</x:f>
        <x:v>1</x:v>
      </x:c>
      <x:c r="Q164" s="19" t="n">
        <x:f>IF(AND(SUM(K164:M164)&lt;9,OR(K164=0,N164&lt;6)),1,0)</x:f>
        <x:v>1</x:v>
      </x:c>
      <x:c r="R164" s="22" t="str">
        <x:f>O164&amp;P164&amp;Q164</x:f>
        <x:v>111</x:v>
      </x:c>
      <x:c r="S164" s="19" t="n">
        <x:f>IF(I164=1,IF(J164=0,Q164,IF(J164=1,P164,IF(J164=2,O164,0))),0)</x:f>
        <x:v>0</x:v>
      </x:c>
      <x:c r="T164" s="19" t="n">
        <x:f>K164+IF(AND(S164=1,J164=0),1,0)</x:f>
        <x:v>0</x:v>
      </x:c>
      <x:c r="U164" s="19" t="n">
        <x:f>L164+IF(AND(S164=1,J164=1),1,0)</x:f>
        <x:v>1</x:v>
      </x:c>
      <x:c r="V164" s="19" t="n">
        <x:f>M164+IF(AND(S164=1,J164=2),1,0)</x:f>
        <x:v>0</x:v>
      </x:c>
      <x:c r="W164" s="19" t="n">
        <x:f>SUM(T164:V164)</x:f>
        <x:v>1</x:v>
      </x:c>
      <x:c r="X164" s="19" t="n">
        <x:f>W164-G164</x:f>
        <x:v>-1</x:v>
      </x:c>
      <x:c r="Y164" s="19" t="n">
        <x:f>MAX(T164,1)+MAX(U164,1)+MAX(V164,1)</x:f>
        <x:v>3</x:v>
      </x:c>
      <x:c r="Z164" s="21" t="str">
        <x:f>IF(AND(MIN(D164:F164)&gt;=0,MAX(D164:F164)&lt;=7,MAX(D164,1)+MAX(E164,1)+MAX(F164,1)&lt;=9,OR(H164="-",AND(H164=0,D164&gt;0),AND(H164=1,E164&gt;0),AND(H164=2,F164&gt;0)),OR(I164=0,AND(I164=1,OR(J164=0,J164=1,J164=2),R164&lt;&gt;"000")),Y164&lt;=9,MIN(T164:V164)&gt;=0),"合法","输入违约")</x:f>
        <x:v>合法</x:v>
      </x:c>
    </x:row>
    <x:row r="165" ht="23" customHeight="1">
      <x:c r="A165" s="3" t="str">
        <x:v>CT-0158</x:v>
      </x:c>
      <x:c r="B165" s="3" t="str">
        <x:v>ST-007</x:v>
      </x:c>
      <x:c r="C165" s="3" t="str">
        <x:v>R+AR同收同发</x:v>
      </x:c>
      <x:c r="D165" s="25" t="n">
        <x:v>0</x:v>
      </x:c>
      <x:c r="E165" s="25" t="n">
        <x:v>2</x:v>
      </x:c>
      <x:c r="F165" s="25" t="n">
        <x:v>0</x:v>
      </x:c>
      <x:c r="G165" s="19" t="n">
        <x:f>SUM(D165:F165)</x:f>
        <x:v>2</x:v>
      </x:c>
      <x:c r="H165" s="25" t="n">
        <x:v>1</x:v>
      </x:c>
      <x:c r="I165" s="25" t="n">
        <x:v>1</x:v>
      </x:c>
      <x:c r="J165" s="25" t="n">
        <x:v>0</x:v>
      </x:c>
      <x:c r="K165" s="19" t="n">
        <x:f>D165-IF(H165=0,1,0)</x:f>
        <x:v>0</x:v>
      </x:c>
      <x:c r="L165" s="19" t="n">
        <x:f>E165-IF(H165=1,1,0)</x:f>
        <x:v>1</x:v>
      </x:c>
      <x:c r="M165" s="19" t="n">
        <x:f>F165-IF(H165=2,1,0)</x:f>
        <x:v>0</x:v>
      </x:c>
      <x:c r="N165" s="19" t="n">
        <x:f>MAX(K165-1,0)+MAX(L165-1,0)+MAX(M165-1,0)</x:f>
        <x:v>0</x:v>
      </x:c>
      <x:c r="O165" s="19" t="n">
        <x:f>IF(AND(SUM(K165:M165)&lt;9,OR(M165=0,N165&lt;6)),1,0)</x:f>
        <x:v>1</x:v>
      </x:c>
      <x:c r="P165" s="19" t="n">
        <x:f>IF(AND(SUM(K165:M165)&lt;9,OR(L165=0,N165&lt;6)),1,0)</x:f>
        <x:v>1</x:v>
      </x:c>
      <x:c r="Q165" s="19" t="n">
        <x:f>IF(AND(SUM(K165:M165)&lt;9,OR(K165=0,N165&lt;6)),1,0)</x:f>
        <x:v>1</x:v>
      </x:c>
      <x:c r="R165" s="22" t="str">
        <x:f>O165&amp;P165&amp;Q165</x:f>
        <x:v>111</x:v>
      </x:c>
      <x:c r="S165" s="19" t="n">
        <x:f>IF(I165=1,IF(J165=0,Q165,IF(J165=1,P165,IF(J165=2,O165,0))),0)</x:f>
        <x:v>1</x:v>
      </x:c>
      <x:c r="T165" s="19" t="n">
        <x:f>K165+IF(AND(S165=1,J165=0),1,0)</x:f>
        <x:v>1</x:v>
      </x:c>
      <x:c r="U165" s="19" t="n">
        <x:f>L165+IF(AND(S165=1,J165=1),1,0)</x:f>
        <x:v>1</x:v>
      </x:c>
      <x:c r="V165" s="19" t="n">
        <x:f>M165+IF(AND(S165=1,J165=2),1,0)</x:f>
        <x:v>0</x:v>
      </x:c>
      <x:c r="W165" s="19" t="n">
        <x:f>SUM(T165:V165)</x:f>
        <x:v>2</x:v>
      </x:c>
      <x:c r="X165" s="19" t="n">
        <x:f>W165-G165</x:f>
        <x:v>0</x:v>
      </x:c>
      <x:c r="Y165" s="19" t="n">
        <x:f>MAX(T165,1)+MAX(U165,1)+MAX(V165,1)</x:f>
        <x:v>3</x:v>
      </x:c>
      <x:c r="Z165" s="21" t="str">
        <x:f>IF(AND(MIN(D165:F165)&gt;=0,MAX(D165:F165)&lt;=7,MAX(D165,1)+MAX(E165,1)+MAX(F165,1)&lt;=9,OR(H165="-",AND(H165=0,D165&gt;0),AND(H165=1,E165&gt;0),AND(H165=2,F165&gt;0)),OR(I165=0,AND(I165=1,OR(J165=0,J165=1,J165=2),R165&lt;&gt;"000")),Y165&lt;=9,MIN(T165:V165)&gt;=0),"合法","输入违约")</x:f>
        <x:v>合法</x:v>
      </x:c>
    </x:row>
    <x:row r="166" ht="23" customHeight="1">
      <x:c r="A166" s="3" t="str">
        <x:v>CT-0159</x:v>
      </x:c>
      <x:c r="B166" s="3" t="str">
        <x:v>ST-007</x:v>
      </x:c>
      <x:c r="C166" s="3" t="str">
        <x:v>R+AR同收同发</x:v>
      </x:c>
      <x:c r="D166" s="25" t="n">
        <x:v>0</x:v>
      </x:c>
      <x:c r="E166" s="25" t="n">
        <x:v>2</x:v>
      </x:c>
      <x:c r="F166" s="25" t="n">
        <x:v>0</x:v>
      </x:c>
      <x:c r="G166" s="19" t="n">
        <x:f>SUM(D166:F166)</x:f>
        <x:v>2</x:v>
      </x:c>
      <x:c r="H166" s="25" t="n">
        <x:v>1</x:v>
      </x:c>
      <x:c r="I166" s="25" t="n">
        <x:v>1</x:v>
      </x:c>
      <x:c r="J166" s="25" t="n">
        <x:v>1</x:v>
      </x:c>
      <x:c r="K166" s="19" t="n">
        <x:f>D166-IF(H166=0,1,0)</x:f>
        <x:v>0</x:v>
      </x:c>
      <x:c r="L166" s="19" t="n">
        <x:f>E166-IF(H166=1,1,0)</x:f>
        <x:v>1</x:v>
      </x:c>
      <x:c r="M166" s="19" t="n">
        <x:f>F166-IF(H166=2,1,0)</x:f>
        <x:v>0</x:v>
      </x:c>
      <x:c r="N166" s="19" t="n">
        <x:f>MAX(K166-1,0)+MAX(L166-1,0)+MAX(M166-1,0)</x:f>
        <x:v>0</x:v>
      </x:c>
      <x:c r="O166" s="19" t="n">
        <x:f>IF(AND(SUM(K166:M166)&lt;9,OR(M166=0,N166&lt;6)),1,0)</x:f>
        <x:v>1</x:v>
      </x:c>
      <x:c r="P166" s="19" t="n">
        <x:f>IF(AND(SUM(K166:M166)&lt;9,OR(L166=0,N166&lt;6)),1,0)</x:f>
        <x:v>1</x:v>
      </x:c>
      <x:c r="Q166" s="19" t="n">
        <x:f>IF(AND(SUM(K166:M166)&lt;9,OR(K166=0,N166&lt;6)),1,0)</x:f>
        <x:v>1</x:v>
      </x:c>
      <x:c r="R166" s="22" t="str">
        <x:f>O166&amp;P166&amp;Q166</x:f>
        <x:v>111</x:v>
      </x:c>
      <x:c r="S166" s="19" t="n">
        <x:f>IF(I166=1,IF(J166=0,Q166,IF(J166=1,P166,IF(J166=2,O166,0))),0)</x:f>
        <x:v>1</x:v>
      </x:c>
      <x:c r="T166" s="19" t="n">
        <x:f>K166+IF(AND(S166=1,J166=0),1,0)</x:f>
        <x:v>0</x:v>
      </x:c>
      <x:c r="U166" s="19" t="n">
        <x:f>L166+IF(AND(S166=1,J166=1),1,0)</x:f>
        <x:v>2</x:v>
      </x:c>
      <x:c r="V166" s="19" t="n">
        <x:f>M166+IF(AND(S166=1,J166=2),1,0)</x:f>
        <x:v>0</x:v>
      </x:c>
      <x:c r="W166" s="19" t="n">
        <x:f>SUM(T166:V166)</x:f>
        <x:v>2</x:v>
      </x:c>
      <x:c r="X166" s="19" t="n">
        <x:f>W166-G166</x:f>
        <x:v>0</x:v>
      </x:c>
      <x:c r="Y166" s="19" t="n">
        <x:f>MAX(T166,1)+MAX(U166,1)+MAX(V166,1)</x:f>
        <x:v>4</x:v>
      </x:c>
      <x:c r="Z166" s="21" t="str">
        <x:f>IF(AND(MIN(D166:F166)&gt;=0,MAX(D166:F166)&lt;=7,MAX(D166,1)+MAX(E166,1)+MAX(F166,1)&lt;=9,OR(H166="-",AND(H166=0,D166&gt;0),AND(H166=1,E166&gt;0),AND(H166=2,F166&gt;0)),OR(I166=0,AND(I166=1,OR(J166=0,J166=1,J166=2),R166&lt;&gt;"000")),Y166&lt;=9,MIN(T166:V166)&gt;=0),"合法","输入违约")</x:f>
        <x:v>合法</x:v>
      </x:c>
    </x:row>
    <x:row r="167" ht="23" customHeight="1">
      <x:c r="A167" s="3" t="str">
        <x:v>CT-0160</x:v>
      </x:c>
      <x:c r="B167" s="3" t="str">
        <x:v>ST-007</x:v>
      </x:c>
      <x:c r="C167" s="3" t="str">
        <x:v>R+AR同收同发</x:v>
      </x:c>
      <x:c r="D167" s="25" t="n">
        <x:v>0</x:v>
      </x:c>
      <x:c r="E167" s="25" t="n">
        <x:v>2</x:v>
      </x:c>
      <x:c r="F167" s="25" t="n">
        <x:v>0</x:v>
      </x:c>
      <x:c r="G167" s="19" t="n">
        <x:f>SUM(D167:F167)</x:f>
        <x:v>2</x:v>
      </x:c>
      <x:c r="H167" s="25" t="n">
        <x:v>1</x:v>
      </x:c>
      <x:c r="I167" s="25" t="n">
        <x:v>1</x:v>
      </x:c>
      <x:c r="J167" s="25" t="n">
        <x:v>2</x:v>
      </x:c>
      <x:c r="K167" s="19" t="n">
        <x:f>D167-IF(H167=0,1,0)</x:f>
        <x:v>0</x:v>
      </x:c>
      <x:c r="L167" s="19" t="n">
        <x:f>E167-IF(H167=1,1,0)</x:f>
        <x:v>1</x:v>
      </x:c>
      <x:c r="M167" s="19" t="n">
        <x:f>F167-IF(H167=2,1,0)</x:f>
        <x:v>0</x:v>
      </x:c>
      <x:c r="N167" s="19" t="n">
        <x:f>MAX(K167-1,0)+MAX(L167-1,0)+MAX(M167-1,0)</x:f>
        <x:v>0</x:v>
      </x:c>
      <x:c r="O167" s="19" t="n">
        <x:f>IF(AND(SUM(K167:M167)&lt;9,OR(M167=0,N167&lt;6)),1,0)</x:f>
        <x:v>1</x:v>
      </x:c>
      <x:c r="P167" s="19" t="n">
        <x:f>IF(AND(SUM(K167:M167)&lt;9,OR(L167=0,N167&lt;6)),1,0)</x:f>
        <x:v>1</x:v>
      </x:c>
      <x:c r="Q167" s="19" t="n">
        <x:f>IF(AND(SUM(K167:M167)&lt;9,OR(K167=0,N167&lt;6)),1,0)</x:f>
        <x:v>1</x:v>
      </x:c>
      <x:c r="R167" s="22" t="str">
        <x:f>O167&amp;P167&amp;Q167</x:f>
        <x:v>111</x:v>
      </x:c>
      <x:c r="S167" s="19" t="n">
        <x:f>IF(I167=1,IF(J167=0,Q167,IF(J167=1,P167,IF(J167=2,O167,0))),0)</x:f>
        <x:v>1</x:v>
      </x:c>
      <x:c r="T167" s="19" t="n">
        <x:f>K167+IF(AND(S167=1,J167=0),1,0)</x:f>
        <x:v>0</x:v>
      </x:c>
      <x:c r="U167" s="19" t="n">
        <x:f>L167+IF(AND(S167=1,J167=1),1,0)</x:f>
        <x:v>1</x:v>
      </x:c>
      <x:c r="V167" s="19" t="n">
        <x:f>M167+IF(AND(S167=1,J167=2),1,0)</x:f>
        <x:v>1</x:v>
      </x:c>
      <x:c r="W167" s="19" t="n">
        <x:f>SUM(T167:V167)</x:f>
        <x:v>2</x:v>
      </x:c>
      <x:c r="X167" s="19" t="n">
        <x:f>W167-G167</x:f>
        <x:v>0</x:v>
      </x:c>
      <x:c r="Y167" s="19" t="n">
        <x:f>MAX(T167,1)+MAX(U167,1)+MAX(V167,1)</x:f>
        <x:v>3</x:v>
      </x:c>
      <x:c r="Z167" s="21" t="str">
        <x:f>IF(AND(MIN(D167:F167)&gt;=0,MAX(D167:F167)&lt;=7,MAX(D167,1)+MAX(E167,1)+MAX(F167,1)&lt;=9,OR(H167="-",AND(H167=0,D167&gt;0),AND(H167=1,E167&gt;0),AND(H167=2,F167&gt;0)),OR(I167=0,AND(I167=1,OR(J167=0,J167=1,J167=2),R167&lt;&gt;"000")),Y167&lt;=9,MIN(T167:V167)&gt;=0),"合法","输入违约")</x:f>
        <x:v>合法</x:v>
      </x:c>
    </x:row>
    <x:row r="168" ht="23" customHeight="1">
      <x:c r="A168" s="3" t="str">
        <x:v>CT-0161</x:v>
      </x:c>
      <x:c r="B168" s="3" t="str">
        <x:v>ST-013</x:v>
      </x:c>
      <x:c r="C168" s="3" t="str">
        <x:v>无AR/R</x:v>
      </x:c>
      <x:c r="D168" s="25" t="n">
        <x:v>0</x:v>
      </x:c>
      <x:c r="E168" s="25" t="n">
        <x:v>2</x:v>
      </x:c>
      <x:c r="F168" s="25" t="n">
        <x:v>1</x:v>
      </x:c>
      <x:c r="G168" s="19" t="n">
        <x:f>SUM(D168:F168)</x:f>
        <x:v>3</x:v>
      </x:c>
      <x:c r="H168" s="25" t="str">
        <x:v>-</x:v>
      </x:c>
      <x:c r="I168" s="25" t="n">
        <x:v>0</x:v>
      </x:c>
      <x:c r="J168" s="25" t="str">
        <x:v>-</x:v>
      </x:c>
      <x:c r="K168" s="19" t="n">
        <x:f>D168-IF(H168=0,1,0)</x:f>
        <x:v>0</x:v>
      </x:c>
      <x:c r="L168" s="19" t="n">
        <x:f>E168-IF(H168=1,1,0)</x:f>
        <x:v>2</x:v>
      </x:c>
      <x:c r="M168" s="19" t="n">
        <x:f>F168-IF(H168=2,1,0)</x:f>
        <x:v>1</x:v>
      </x:c>
      <x:c r="N168" s="19" t="n">
        <x:f>MAX(K168-1,0)+MAX(L168-1,0)+MAX(M168-1,0)</x:f>
        <x:v>1</x:v>
      </x:c>
      <x:c r="O168" s="19" t="n">
        <x:f>IF(AND(SUM(K168:M168)&lt;9,OR(M168=0,N168&lt;6)),1,0)</x:f>
        <x:v>1</x:v>
      </x:c>
      <x:c r="P168" s="19" t="n">
        <x:f>IF(AND(SUM(K168:M168)&lt;9,OR(L168=0,N168&lt;6)),1,0)</x:f>
        <x:v>1</x:v>
      </x:c>
      <x:c r="Q168" s="19" t="n">
        <x:f>IF(AND(SUM(K168:M168)&lt;9,OR(K168=0,N168&lt;6)),1,0)</x:f>
        <x:v>1</x:v>
      </x:c>
      <x:c r="R168" s="22" t="str">
        <x:f>O168&amp;P168&amp;Q168</x:f>
        <x:v>111</x:v>
      </x:c>
      <x:c r="S168" s="19" t="n">
        <x:f>IF(I168=1,IF(J168=0,Q168,IF(J168=1,P168,IF(J168=2,O168,0))),0)</x:f>
        <x:v>0</x:v>
      </x:c>
      <x:c r="T168" s="19" t="n">
        <x:f>K168+IF(AND(S168=1,J168=0),1,0)</x:f>
        <x:v>0</x:v>
      </x:c>
      <x:c r="U168" s="19" t="n">
        <x:f>L168+IF(AND(S168=1,J168=1),1,0)</x:f>
        <x:v>2</x:v>
      </x:c>
      <x:c r="V168" s="19" t="n">
        <x:f>M168+IF(AND(S168=1,J168=2),1,0)</x:f>
        <x:v>1</x:v>
      </x:c>
      <x:c r="W168" s="19" t="n">
        <x:f>SUM(T168:V168)</x:f>
        <x:v>3</x:v>
      </x:c>
      <x:c r="X168" s="19" t="n">
        <x:f>W168-G168</x:f>
        <x:v>0</x:v>
      </x:c>
      <x:c r="Y168" s="19" t="n">
        <x:f>MAX(T168,1)+MAX(U168,1)+MAX(V168,1)</x:f>
        <x:v>4</x:v>
      </x:c>
      <x:c r="Z168" s="21" t="str">
        <x:f>IF(AND(MIN(D168:F168)&gt;=0,MAX(D168:F168)&lt;=7,MAX(D168,1)+MAX(E168,1)+MAX(F168,1)&lt;=9,OR(H168="-",AND(H168=0,D168&gt;0),AND(H168=1,E168&gt;0),AND(H168=2,F168&gt;0)),OR(I168=0,AND(I168=1,OR(J168=0,J168=1,J168=2),R168&lt;&gt;"000")),Y168&lt;=9,MIN(T168:V168)&gt;=0),"合法","输入违约")</x:f>
        <x:v>合法</x:v>
      </x:c>
    </x:row>
    <x:row r="169" ht="23" customHeight="1">
      <x:c r="A169" s="3" t="str">
        <x:v>CT-0162</x:v>
      </x:c>
      <x:c r="B169" s="3" t="str">
        <x:v>ST-013</x:v>
      </x:c>
      <x:c r="C169" s="3" t="str">
        <x:v>仅AR接收</x:v>
      </x:c>
      <x:c r="D169" s="25" t="n">
        <x:v>0</x:v>
      </x:c>
      <x:c r="E169" s="25" t="n">
        <x:v>2</x:v>
      </x:c>
      <x:c r="F169" s="25" t="n">
        <x:v>1</x:v>
      </x:c>
      <x:c r="G169" s="19" t="n">
        <x:f>SUM(D169:F169)</x:f>
        <x:v>3</x:v>
      </x:c>
      <x:c r="H169" s="25" t="str">
        <x:v>-</x:v>
      </x:c>
      <x:c r="I169" s="25" t="n">
        <x:v>1</x:v>
      </x:c>
      <x:c r="J169" s="25" t="n">
        <x:v>0</x:v>
      </x:c>
      <x:c r="K169" s="19" t="n">
        <x:f>D169-IF(H169=0,1,0)</x:f>
        <x:v>0</x:v>
      </x:c>
      <x:c r="L169" s="19" t="n">
        <x:f>E169-IF(H169=1,1,0)</x:f>
        <x:v>2</x:v>
      </x:c>
      <x:c r="M169" s="19" t="n">
        <x:f>F169-IF(H169=2,1,0)</x:f>
        <x:v>1</x:v>
      </x:c>
      <x:c r="N169" s="19" t="n">
        <x:f>MAX(K169-1,0)+MAX(L169-1,0)+MAX(M169-1,0)</x:f>
        <x:v>1</x:v>
      </x:c>
      <x:c r="O169" s="19" t="n">
        <x:f>IF(AND(SUM(K169:M169)&lt;9,OR(M169=0,N169&lt;6)),1,0)</x:f>
        <x:v>1</x:v>
      </x:c>
      <x:c r="P169" s="19" t="n">
        <x:f>IF(AND(SUM(K169:M169)&lt;9,OR(L169=0,N169&lt;6)),1,0)</x:f>
        <x:v>1</x:v>
      </x:c>
      <x:c r="Q169" s="19" t="n">
        <x:f>IF(AND(SUM(K169:M169)&lt;9,OR(K169=0,N169&lt;6)),1,0)</x:f>
        <x:v>1</x:v>
      </x:c>
      <x:c r="R169" s="22" t="str">
        <x:f>O169&amp;P169&amp;Q169</x:f>
        <x:v>111</x:v>
      </x:c>
      <x:c r="S169" s="19" t="n">
        <x:f>IF(I169=1,IF(J169=0,Q169,IF(J169=1,P169,IF(J169=2,O169,0))),0)</x:f>
        <x:v>1</x:v>
      </x:c>
      <x:c r="T169" s="19" t="n">
        <x:f>K169+IF(AND(S169=1,J169=0),1,0)</x:f>
        <x:v>1</x:v>
      </x:c>
      <x:c r="U169" s="19" t="n">
        <x:f>L169+IF(AND(S169=1,J169=1),1,0)</x:f>
        <x:v>2</x:v>
      </x:c>
      <x:c r="V169" s="19" t="n">
        <x:f>M169+IF(AND(S169=1,J169=2),1,0)</x:f>
        <x:v>1</x:v>
      </x:c>
      <x:c r="W169" s="19" t="n">
        <x:f>SUM(T169:V169)</x:f>
        <x:v>4</x:v>
      </x:c>
      <x:c r="X169" s="19" t="n">
        <x:f>W169-G169</x:f>
        <x:v>1</x:v>
      </x:c>
      <x:c r="Y169" s="19" t="n">
        <x:f>MAX(T169,1)+MAX(U169,1)+MAX(V169,1)</x:f>
        <x:v>4</x:v>
      </x:c>
      <x:c r="Z169" s="21" t="str">
        <x:f>IF(AND(MIN(D169:F169)&gt;=0,MAX(D169:F169)&lt;=7,MAX(D169,1)+MAX(E169,1)+MAX(F169,1)&lt;=9,OR(H169="-",AND(H169=0,D169&gt;0),AND(H169=1,E169&gt;0),AND(H169=2,F169&gt;0)),OR(I169=0,AND(I169=1,OR(J169=0,J169=1,J169=2),R169&lt;&gt;"000")),Y169&lt;=9,MIN(T169:V169)&gt;=0),"合法","输入违约")</x:f>
        <x:v>合法</x:v>
      </x:c>
    </x:row>
    <x:row r="170" ht="23" customHeight="1">
      <x:c r="A170" s="3" t="str">
        <x:v>CT-0163</x:v>
      </x:c>
      <x:c r="B170" s="3" t="str">
        <x:v>ST-013</x:v>
      </x:c>
      <x:c r="C170" s="3" t="str">
        <x:v>仅AR接收</x:v>
      </x:c>
      <x:c r="D170" s="25" t="n">
        <x:v>0</x:v>
      </x:c>
      <x:c r="E170" s="25" t="n">
        <x:v>2</x:v>
      </x:c>
      <x:c r="F170" s="25" t="n">
        <x:v>1</x:v>
      </x:c>
      <x:c r="G170" s="19" t="n">
        <x:f>SUM(D170:F170)</x:f>
        <x:v>3</x:v>
      </x:c>
      <x:c r="H170" s="25" t="str">
        <x:v>-</x:v>
      </x:c>
      <x:c r="I170" s="25" t="n">
        <x:v>1</x:v>
      </x:c>
      <x:c r="J170" s="25" t="n">
        <x:v>1</x:v>
      </x:c>
      <x:c r="K170" s="19" t="n">
        <x:f>D170-IF(H170=0,1,0)</x:f>
        <x:v>0</x:v>
      </x:c>
      <x:c r="L170" s="19" t="n">
        <x:f>E170-IF(H170=1,1,0)</x:f>
        <x:v>2</x:v>
      </x:c>
      <x:c r="M170" s="19" t="n">
        <x:f>F170-IF(H170=2,1,0)</x:f>
        <x:v>1</x:v>
      </x:c>
      <x:c r="N170" s="19" t="n">
        <x:f>MAX(K170-1,0)+MAX(L170-1,0)+MAX(M170-1,0)</x:f>
        <x:v>1</x:v>
      </x:c>
      <x:c r="O170" s="19" t="n">
        <x:f>IF(AND(SUM(K170:M170)&lt;9,OR(M170=0,N170&lt;6)),1,0)</x:f>
        <x:v>1</x:v>
      </x:c>
      <x:c r="P170" s="19" t="n">
        <x:f>IF(AND(SUM(K170:M170)&lt;9,OR(L170=0,N170&lt;6)),1,0)</x:f>
        <x:v>1</x:v>
      </x:c>
      <x:c r="Q170" s="19" t="n">
        <x:f>IF(AND(SUM(K170:M170)&lt;9,OR(K170=0,N170&lt;6)),1,0)</x:f>
        <x:v>1</x:v>
      </x:c>
      <x:c r="R170" s="22" t="str">
        <x:f>O170&amp;P170&amp;Q170</x:f>
        <x:v>111</x:v>
      </x:c>
      <x:c r="S170" s="19" t="n">
        <x:f>IF(I170=1,IF(J170=0,Q170,IF(J170=1,P170,IF(J170=2,O170,0))),0)</x:f>
        <x:v>1</x:v>
      </x:c>
      <x:c r="T170" s="19" t="n">
        <x:f>K170+IF(AND(S170=1,J170=0),1,0)</x:f>
        <x:v>0</x:v>
      </x:c>
      <x:c r="U170" s="19" t="n">
        <x:f>L170+IF(AND(S170=1,J170=1),1,0)</x:f>
        <x:v>3</x:v>
      </x:c>
      <x:c r="V170" s="19" t="n">
        <x:f>M170+IF(AND(S170=1,J170=2),1,0)</x:f>
        <x:v>1</x:v>
      </x:c>
      <x:c r="W170" s="19" t="n">
        <x:f>SUM(T170:V170)</x:f>
        <x:v>4</x:v>
      </x:c>
      <x:c r="X170" s="19" t="n">
        <x:f>W170-G170</x:f>
        <x:v>1</x:v>
      </x:c>
      <x:c r="Y170" s="19" t="n">
        <x:f>MAX(T170,1)+MAX(U170,1)+MAX(V170,1)</x:f>
        <x:v>5</x:v>
      </x:c>
      <x:c r="Z170" s="21" t="str">
        <x:f>IF(AND(MIN(D170:F170)&gt;=0,MAX(D170:F170)&lt;=7,MAX(D170,1)+MAX(E170,1)+MAX(F170,1)&lt;=9,OR(H170="-",AND(H170=0,D170&gt;0),AND(H170=1,E170&gt;0),AND(H170=2,F170&gt;0)),OR(I170=0,AND(I170=1,OR(J170=0,J170=1,J170=2),R170&lt;&gt;"000")),Y170&lt;=9,MIN(T170:V170)&gt;=0),"合法","输入违约")</x:f>
        <x:v>合法</x:v>
      </x:c>
    </x:row>
    <x:row r="171" ht="23" customHeight="1">
      <x:c r="A171" s="3" t="str">
        <x:v>CT-0164</x:v>
      </x:c>
      <x:c r="B171" s="3" t="str">
        <x:v>ST-013</x:v>
      </x:c>
      <x:c r="C171" s="3" t="str">
        <x:v>仅AR接收</x:v>
      </x:c>
      <x:c r="D171" s="25" t="n">
        <x:v>0</x:v>
      </x:c>
      <x:c r="E171" s="25" t="n">
        <x:v>2</x:v>
      </x:c>
      <x:c r="F171" s="25" t="n">
        <x:v>1</x:v>
      </x:c>
      <x:c r="G171" s="19" t="n">
        <x:f>SUM(D171:F171)</x:f>
        <x:v>3</x:v>
      </x:c>
      <x:c r="H171" s="25" t="str">
        <x:v>-</x:v>
      </x:c>
      <x:c r="I171" s="25" t="n">
        <x:v>1</x:v>
      </x:c>
      <x:c r="J171" s="25" t="n">
        <x:v>2</x:v>
      </x:c>
      <x:c r="K171" s="19" t="n">
        <x:f>D171-IF(H171=0,1,0)</x:f>
        <x:v>0</x:v>
      </x:c>
      <x:c r="L171" s="19" t="n">
        <x:f>E171-IF(H171=1,1,0)</x:f>
        <x:v>2</x:v>
      </x:c>
      <x:c r="M171" s="19" t="n">
        <x:f>F171-IF(H171=2,1,0)</x:f>
        <x:v>1</x:v>
      </x:c>
      <x:c r="N171" s="19" t="n">
        <x:f>MAX(K171-1,0)+MAX(L171-1,0)+MAX(M171-1,0)</x:f>
        <x:v>1</x:v>
      </x:c>
      <x:c r="O171" s="19" t="n">
        <x:f>IF(AND(SUM(K171:M171)&lt;9,OR(M171=0,N171&lt;6)),1,0)</x:f>
        <x:v>1</x:v>
      </x:c>
      <x:c r="P171" s="19" t="n">
        <x:f>IF(AND(SUM(K171:M171)&lt;9,OR(L171=0,N171&lt;6)),1,0)</x:f>
        <x:v>1</x:v>
      </x:c>
      <x:c r="Q171" s="19" t="n">
        <x:f>IF(AND(SUM(K171:M171)&lt;9,OR(K171=0,N171&lt;6)),1,0)</x:f>
        <x:v>1</x:v>
      </x:c>
      <x:c r="R171" s="22" t="str">
        <x:f>O171&amp;P171&amp;Q171</x:f>
        <x:v>111</x:v>
      </x:c>
      <x:c r="S171" s="19" t="n">
        <x:f>IF(I171=1,IF(J171=0,Q171,IF(J171=1,P171,IF(J171=2,O171,0))),0)</x:f>
        <x:v>1</x:v>
      </x:c>
      <x:c r="T171" s="19" t="n">
        <x:f>K171+IF(AND(S171=1,J171=0),1,0)</x:f>
        <x:v>0</x:v>
      </x:c>
      <x:c r="U171" s="19" t="n">
        <x:f>L171+IF(AND(S171=1,J171=1),1,0)</x:f>
        <x:v>2</x:v>
      </x:c>
      <x:c r="V171" s="19" t="n">
        <x:f>M171+IF(AND(S171=1,J171=2),1,0)</x:f>
        <x:v>2</x:v>
      </x:c>
      <x:c r="W171" s="19" t="n">
        <x:f>SUM(T171:V171)</x:f>
        <x:v>4</x:v>
      </x:c>
      <x:c r="X171" s="19" t="n">
        <x:f>W171-G171</x:f>
        <x:v>1</x:v>
      </x:c>
      <x:c r="Y171" s="19" t="n">
        <x:f>MAX(T171,1)+MAX(U171,1)+MAX(V171,1)</x:f>
        <x:v>5</x:v>
      </x:c>
      <x:c r="Z171" s="21" t="str">
        <x:f>IF(AND(MIN(D171:F171)&gt;=0,MAX(D171:F171)&lt;=7,MAX(D171,1)+MAX(E171,1)+MAX(F171,1)&lt;=9,OR(H171="-",AND(H171=0,D171&gt;0),AND(H171=1,E171&gt;0),AND(H171=2,F171&gt;0)),OR(I171=0,AND(I171=1,OR(J171=0,J171=1,J171=2),R171&lt;&gt;"000")),Y171&lt;=9,MIN(T171:V171)&gt;=0),"合法","输入违约")</x:f>
        <x:v>合法</x:v>
      </x:c>
    </x:row>
    <x:row r="172" ht="23" customHeight="1">
      <x:c r="A172" s="3" t="str">
        <x:v>CT-0165</x:v>
      </x:c>
      <x:c r="B172" s="3" t="str">
        <x:v>ST-013</x:v>
      </x:c>
      <x:c r="C172" s="3" t="str">
        <x:v>仅R回收</x:v>
      </x:c>
      <x:c r="D172" s="25" t="n">
        <x:v>0</x:v>
      </x:c>
      <x:c r="E172" s="25" t="n">
        <x:v>2</x:v>
      </x:c>
      <x:c r="F172" s="25" t="n">
        <x:v>1</x:v>
      </x:c>
      <x:c r="G172" s="19" t="n">
        <x:f>SUM(D172:F172)</x:f>
        <x:v>3</x:v>
      </x:c>
      <x:c r="H172" s="25" t="n">
        <x:v>1</x:v>
      </x:c>
      <x:c r="I172" s="25" t="n">
        <x:v>0</x:v>
      </x:c>
      <x:c r="J172" s="25" t="str">
        <x:v>-</x:v>
      </x:c>
      <x:c r="K172" s="19" t="n">
        <x:f>D172-IF(H172=0,1,0)</x:f>
        <x:v>0</x:v>
      </x:c>
      <x:c r="L172" s="19" t="n">
        <x:f>E172-IF(H172=1,1,0)</x:f>
        <x:v>1</x:v>
      </x:c>
      <x:c r="M172" s="19" t="n">
        <x:f>F172-IF(H172=2,1,0)</x:f>
        <x:v>1</x:v>
      </x:c>
      <x:c r="N172" s="19" t="n">
        <x:f>MAX(K172-1,0)+MAX(L172-1,0)+MAX(M172-1,0)</x:f>
        <x:v>0</x:v>
      </x:c>
      <x:c r="O172" s="19" t="n">
        <x:f>IF(AND(SUM(K172:M172)&lt;9,OR(M172=0,N172&lt;6)),1,0)</x:f>
        <x:v>1</x:v>
      </x:c>
      <x:c r="P172" s="19" t="n">
        <x:f>IF(AND(SUM(K172:M172)&lt;9,OR(L172=0,N172&lt;6)),1,0)</x:f>
        <x:v>1</x:v>
      </x:c>
      <x:c r="Q172" s="19" t="n">
        <x:f>IF(AND(SUM(K172:M172)&lt;9,OR(K172=0,N172&lt;6)),1,0)</x:f>
        <x:v>1</x:v>
      </x:c>
      <x:c r="R172" s="22" t="str">
        <x:f>O172&amp;P172&amp;Q172</x:f>
        <x:v>111</x:v>
      </x:c>
      <x:c r="S172" s="19" t="n">
        <x:f>IF(I172=1,IF(J172=0,Q172,IF(J172=1,P172,IF(J172=2,O172,0))),0)</x:f>
        <x:v>0</x:v>
      </x:c>
      <x:c r="T172" s="19" t="n">
        <x:f>K172+IF(AND(S172=1,J172=0),1,0)</x:f>
        <x:v>0</x:v>
      </x:c>
      <x:c r="U172" s="19" t="n">
        <x:f>L172+IF(AND(S172=1,J172=1),1,0)</x:f>
        <x:v>1</x:v>
      </x:c>
      <x:c r="V172" s="19" t="n">
        <x:f>M172+IF(AND(S172=1,J172=2),1,0)</x:f>
        <x:v>1</x:v>
      </x:c>
      <x:c r="W172" s="19" t="n">
        <x:f>SUM(T172:V172)</x:f>
        <x:v>2</x:v>
      </x:c>
      <x:c r="X172" s="19" t="n">
        <x:f>W172-G172</x:f>
        <x:v>-1</x:v>
      </x:c>
      <x:c r="Y172" s="19" t="n">
        <x:f>MAX(T172,1)+MAX(U172,1)+MAX(V172,1)</x:f>
        <x:v>3</x:v>
      </x:c>
      <x:c r="Z172" s="21" t="str">
        <x:f>IF(AND(MIN(D172:F172)&gt;=0,MAX(D172:F172)&lt;=7,MAX(D172,1)+MAX(E172,1)+MAX(F172,1)&lt;=9,OR(H172="-",AND(H172=0,D172&gt;0),AND(H172=1,E172&gt;0),AND(H172=2,F172&gt;0)),OR(I172=0,AND(I172=1,OR(J172=0,J172=1,J172=2),R172&lt;&gt;"000")),Y172&lt;=9,MIN(T172:V172)&gt;=0),"合法","输入违约")</x:f>
        <x:v>合法</x:v>
      </x:c>
    </x:row>
    <x:row r="173" ht="23" customHeight="1">
      <x:c r="A173" s="3" t="str">
        <x:v>CT-0166</x:v>
      </x:c>
      <x:c r="B173" s="3" t="str">
        <x:v>ST-013</x:v>
      </x:c>
      <x:c r="C173" s="3" t="str">
        <x:v>R+AR同收同发</x:v>
      </x:c>
      <x:c r="D173" s="25" t="n">
        <x:v>0</x:v>
      </x:c>
      <x:c r="E173" s="25" t="n">
        <x:v>2</x:v>
      </x:c>
      <x:c r="F173" s="25" t="n">
        <x:v>1</x:v>
      </x:c>
      <x:c r="G173" s="19" t="n">
        <x:f>SUM(D173:F173)</x:f>
        <x:v>3</x:v>
      </x:c>
      <x:c r="H173" s="25" t="n">
        <x:v>1</x:v>
      </x:c>
      <x:c r="I173" s="25" t="n">
        <x:v>1</x:v>
      </x:c>
      <x:c r="J173" s="25" t="n">
        <x:v>0</x:v>
      </x:c>
      <x:c r="K173" s="19" t="n">
        <x:f>D173-IF(H173=0,1,0)</x:f>
        <x:v>0</x:v>
      </x:c>
      <x:c r="L173" s="19" t="n">
        <x:f>E173-IF(H173=1,1,0)</x:f>
        <x:v>1</x:v>
      </x:c>
      <x:c r="M173" s="19" t="n">
        <x:f>F173-IF(H173=2,1,0)</x:f>
        <x:v>1</x:v>
      </x:c>
      <x:c r="N173" s="19" t="n">
        <x:f>MAX(K173-1,0)+MAX(L173-1,0)+MAX(M173-1,0)</x:f>
        <x:v>0</x:v>
      </x:c>
      <x:c r="O173" s="19" t="n">
        <x:f>IF(AND(SUM(K173:M173)&lt;9,OR(M173=0,N173&lt;6)),1,0)</x:f>
        <x:v>1</x:v>
      </x:c>
      <x:c r="P173" s="19" t="n">
        <x:f>IF(AND(SUM(K173:M173)&lt;9,OR(L173=0,N173&lt;6)),1,0)</x:f>
        <x:v>1</x:v>
      </x:c>
      <x:c r="Q173" s="19" t="n">
        <x:f>IF(AND(SUM(K173:M173)&lt;9,OR(K173=0,N173&lt;6)),1,0)</x:f>
        <x:v>1</x:v>
      </x:c>
      <x:c r="R173" s="22" t="str">
        <x:f>O173&amp;P173&amp;Q173</x:f>
        <x:v>111</x:v>
      </x:c>
      <x:c r="S173" s="19" t="n">
        <x:f>IF(I173=1,IF(J173=0,Q173,IF(J173=1,P173,IF(J173=2,O173,0))),0)</x:f>
        <x:v>1</x:v>
      </x:c>
      <x:c r="T173" s="19" t="n">
        <x:f>K173+IF(AND(S173=1,J173=0),1,0)</x:f>
        <x:v>1</x:v>
      </x:c>
      <x:c r="U173" s="19" t="n">
        <x:f>L173+IF(AND(S173=1,J173=1),1,0)</x:f>
        <x:v>1</x:v>
      </x:c>
      <x:c r="V173" s="19" t="n">
        <x:f>M173+IF(AND(S173=1,J173=2),1,0)</x:f>
        <x:v>1</x:v>
      </x:c>
      <x:c r="W173" s="19" t="n">
        <x:f>SUM(T173:V173)</x:f>
        <x:v>3</x:v>
      </x:c>
      <x:c r="X173" s="19" t="n">
        <x:f>W173-G173</x:f>
        <x:v>0</x:v>
      </x:c>
      <x:c r="Y173" s="19" t="n">
        <x:f>MAX(T173,1)+MAX(U173,1)+MAX(V173,1)</x:f>
        <x:v>3</x:v>
      </x:c>
      <x:c r="Z173" s="21" t="str">
        <x:f>IF(AND(MIN(D173:F173)&gt;=0,MAX(D173:F173)&lt;=7,MAX(D173,1)+MAX(E173,1)+MAX(F173,1)&lt;=9,OR(H173="-",AND(H173=0,D173&gt;0),AND(H173=1,E173&gt;0),AND(H173=2,F173&gt;0)),OR(I173=0,AND(I173=1,OR(J173=0,J173=1,J173=2),R173&lt;&gt;"000")),Y173&lt;=9,MIN(T173:V173)&gt;=0),"合法","输入违约")</x:f>
        <x:v>合法</x:v>
      </x:c>
    </x:row>
    <x:row r="174" ht="23" customHeight="1">
      <x:c r="A174" s="3" t="str">
        <x:v>CT-0167</x:v>
      </x:c>
      <x:c r="B174" s="3" t="str">
        <x:v>ST-013</x:v>
      </x:c>
      <x:c r="C174" s="3" t="str">
        <x:v>R+AR同收同发</x:v>
      </x:c>
      <x:c r="D174" s="25" t="n">
        <x:v>0</x:v>
      </x:c>
      <x:c r="E174" s="25" t="n">
        <x:v>2</x:v>
      </x:c>
      <x:c r="F174" s="25" t="n">
        <x:v>1</x:v>
      </x:c>
      <x:c r="G174" s="19" t="n">
        <x:f>SUM(D174:F174)</x:f>
        <x:v>3</x:v>
      </x:c>
      <x:c r="H174" s="25" t="n">
        <x:v>1</x:v>
      </x:c>
      <x:c r="I174" s="25" t="n">
        <x:v>1</x:v>
      </x:c>
      <x:c r="J174" s="25" t="n">
        <x:v>1</x:v>
      </x:c>
      <x:c r="K174" s="19" t="n">
        <x:f>D174-IF(H174=0,1,0)</x:f>
        <x:v>0</x:v>
      </x:c>
      <x:c r="L174" s="19" t="n">
        <x:f>E174-IF(H174=1,1,0)</x:f>
        <x:v>1</x:v>
      </x:c>
      <x:c r="M174" s="19" t="n">
        <x:f>F174-IF(H174=2,1,0)</x:f>
        <x:v>1</x:v>
      </x:c>
      <x:c r="N174" s="19" t="n">
        <x:f>MAX(K174-1,0)+MAX(L174-1,0)+MAX(M174-1,0)</x:f>
        <x:v>0</x:v>
      </x:c>
      <x:c r="O174" s="19" t="n">
        <x:f>IF(AND(SUM(K174:M174)&lt;9,OR(M174=0,N174&lt;6)),1,0)</x:f>
        <x:v>1</x:v>
      </x:c>
      <x:c r="P174" s="19" t="n">
        <x:f>IF(AND(SUM(K174:M174)&lt;9,OR(L174=0,N174&lt;6)),1,0)</x:f>
        <x:v>1</x:v>
      </x:c>
      <x:c r="Q174" s="19" t="n">
        <x:f>IF(AND(SUM(K174:M174)&lt;9,OR(K174=0,N174&lt;6)),1,0)</x:f>
        <x:v>1</x:v>
      </x:c>
      <x:c r="R174" s="22" t="str">
        <x:f>O174&amp;P174&amp;Q174</x:f>
        <x:v>111</x:v>
      </x:c>
      <x:c r="S174" s="19" t="n">
        <x:f>IF(I174=1,IF(J174=0,Q174,IF(J174=1,P174,IF(J174=2,O174,0))),0)</x:f>
        <x:v>1</x:v>
      </x:c>
      <x:c r="T174" s="19" t="n">
        <x:f>K174+IF(AND(S174=1,J174=0),1,0)</x:f>
        <x:v>0</x:v>
      </x:c>
      <x:c r="U174" s="19" t="n">
        <x:f>L174+IF(AND(S174=1,J174=1),1,0)</x:f>
        <x:v>2</x:v>
      </x:c>
      <x:c r="V174" s="19" t="n">
        <x:f>M174+IF(AND(S174=1,J174=2),1,0)</x:f>
        <x:v>1</x:v>
      </x:c>
      <x:c r="W174" s="19" t="n">
        <x:f>SUM(T174:V174)</x:f>
        <x:v>3</x:v>
      </x:c>
      <x:c r="X174" s="19" t="n">
        <x:f>W174-G174</x:f>
        <x:v>0</x:v>
      </x:c>
      <x:c r="Y174" s="19" t="n">
        <x:f>MAX(T174,1)+MAX(U174,1)+MAX(V174,1)</x:f>
        <x:v>4</x:v>
      </x:c>
      <x:c r="Z174" s="21" t="str">
        <x:f>IF(AND(MIN(D174:F174)&gt;=0,MAX(D174:F174)&lt;=7,MAX(D174,1)+MAX(E174,1)+MAX(F174,1)&lt;=9,OR(H174="-",AND(H174=0,D174&gt;0),AND(H174=1,E174&gt;0),AND(H174=2,F174&gt;0)),OR(I174=0,AND(I174=1,OR(J174=0,J174=1,J174=2),R174&lt;&gt;"000")),Y174&lt;=9,MIN(T174:V174)&gt;=0),"合法","输入违约")</x:f>
        <x:v>合法</x:v>
      </x:c>
    </x:row>
    <x:row r="175" ht="23" customHeight="1">
      <x:c r="A175" s="3" t="str">
        <x:v>CT-0168</x:v>
      </x:c>
      <x:c r="B175" s="3" t="str">
        <x:v>ST-013</x:v>
      </x:c>
      <x:c r="C175" s="3" t="str">
        <x:v>R+AR同收同发</x:v>
      </x:c>
      <x:c r="D175" s="25" t="n">
        <x:v>0</x:v>
      </x:c>
      <x:c r="E175" s="25" t="n">
        <x:v>2</x:v>
      </x:c>
      <x:c r="F175" s="25" t="n">
        <x:v>1</x:v>
      </x:c>
      <x:c r="G175" s="19" t="n">
        <x:f>SUM(D175:F175)</x:f>
        <x:v>3</x:v>
      </x:c>
      <x:c r="H175" s="25" t="n">
        <x:v>1</x:v>
      </x:c>
      <x:c r="I175" s="25" t="n">
        <x:v>1</x:v>
      </x:c>
      <x:c r="J175" s="25" t="n">
        <x:v>2</x:v>
      </x:c>
      <x:c r="K175" s="19" t="n">
        <x:f>D175-IF(H175=0,1,0)</x:f>
        <x:v>0</x:v>
      </x:c>
      <x:c r="L175" s="19" t="n">
        <x:f>E175-IF(H175=1,1,0)</x:f>
        <x:v>1</x:v>
      </x:c>
      <x:c r="M175" s="19" t="n">
        <x:f>F175-IF(H175=2,1,0)</x:f>
        <x:v>1</x:v>
      </x:c>
      <x:c r="N175" s="19" t="n">
        <x:f>MAX(K175-1,0)+MAX(L175-1,0)+MAX(M175-1,0)</x:f>
        <x:v>0</x:v>
      </x:c>
      <x:c r="O175" s="19" t="n">
        <x:f>IF(AND(SUM(K175:M175)&lt;9,OR(M175=0,N175&lt;6)),1,0)</x:f>
        <x:v>1</x:v>
      </x:c>
      <x:c r="P175" s="19" t="n">
        <x:f>IF(AND(SUM(K175:M175)&lt;9,OR(L175=0,N175&lt;6)),1,0)</x:f>
        <x:v>1</x:v>
      </x:c>
      <x:c r="Q175" s="19" t="n">
        <x:f>IF(AND(SUM(K175:M175)&lt;9,OR(K175=0,N175&lt;6)),1,0)</x:f>
        <x:v>1</x:v>
      </x:c>
      <x:c r="R175" s="22" t="str">
        <x:f>O175&amp;P175&amp;Q175</x:f>
        <x:v>111</x:v>
      </x:c>
      <x:c r="S175" s="19" t="n">
        <x:f>IF(I175=1,IF(J175=0,Q175,IF(J175=1,P175,IF(J175=2,O175,0))),0)</x:f>
        <x:v>1</x:v>
      </x:c>
      <x:c r="T175" s="19" t="n">
        <x:f>K175+IF(AND(S175=1,J175=0),1,0)</x:f>
        <x:v>0</x:v>
      </x:c>
      <x:c r="U175" s="19" t="n">
        <x:f>L175+IF(AND(S175=1,J175=1),1,0)</x:f>
        <x:v>1</x:v>
      </x:c>
      <x:c r="V175" s="19" t="n">
        <x:f>M175+IF(AND(S175=1,J175=2),1,0)</x:f>
        <x:v>2</x:v>
      </x:c>
      <x:c r="W175" s="19" t="n">
        <x:f>SUM(T175:V175)</x:f>
        <x:v>3</x:v>
      </x:c>
      <x:c r="X175" s="19" t="n">
        <x:f>W175-G175</x:f>
        <x:v>0</x:v>
      </x:c>
      <x:c r="Y175" s="19" t="n">
        <x:f>MAX(T175,1)+MAX(U175,1)+MAX(V175,1)</x:f>
        <x:v>4</x:v>
      </x:c>
      <x:c r="Z175" s="21" t="str">
        <x:f>IF(AND(MIN(D175:F175)&gt;=0,MAX(D175:F175)&lt;=7,MAX(D175,1)+MAX(E175,1)+MAX(F175,1)&lt;=9,OR(H175="-",AND(H175=0,D175&gt;0),AND(H175=1,E175&gt;0),AND(H175=2,F175&gt;0)),OR(I175=0,AND(I175=1,OR(J175=0,J175=1,J175=2),R175&lt;&gt;"000")),Y175&lt;=9,MIN(T175:V175)&gt;=0),"合法","输入违约")</x:f>
        <x:v>合法</x:v>
      </x:c>
    </x:row>
    <x:row r="176" ht="23" customHeight="1">
      <x:c r="A176" s="3" t="str">
        <x:v>CT-0169</x:v>
      </x:c>
      <x:c r="B176" s="3" t="str">
        <x:v>ST-013</x:v>
      </x:c>
      <x:c r="C176" s="3" t="str">
        <x:v>仅R回收</x:v>
      </x:c>
      <x:c r="D176" s="25" t="n">
        <x:v>0</x:v>
      </x:c>
      <x:c r="E176" s="25" t="n">
        <x:v>2</x:v>
      </x:c>
      <x:c r="F176" s="25" t="n">
        <x:v>1</x:v>
      </x:c>
      <x:c r="G176" s="19" t="n">
        <x:f>SUM(D176:F176)</x:f>
        <x:v>3</x:v>
      </x:c>
      <x:c r="H176" s="25" t="n">
        <x:v>2</x:v>
      </x:c>
      <x:c r="I176" s="25" t="n">
        <x:v>0</x:v>
      </x:c>
      <x:c r="J176" s="25" t="str">
        <x:v>-</x:v>
      </x:c>
      <x:c r="K176" s="19" t="n">
        <x:f>D176-IF(H176=0,1,0)</x:f>
        <x:v>0</x:v>
      </x:c>
      <x:c r="L176" s="19" t="n">
        <x:f>E176-IF(H176=1,1,0)</x:f>
        <x:v>2</x:v>
      </x:c>
      <x:c r="M176" s="19" t="n">
        <x:f>F176-IF(H176=2,1,0)</x:f>
        <x:v>0</x:v>
      </x:c>
      <x:c r="N176" s="19" t="n">
        <x:f>MAX(K176-1,0)+MAX(L176-1,0)+MAX(M176-1,0)</x:f>
        <x:v>1</x:v>
      </x:c>
      <x:c r="O176" s="19" t="n">
        <x:f>IF(AND(SUM(K176:M176)&lt;9,OR(M176=0,N176&lt;6)),1,0)</x:f>
        <x:v>1</x:v>
      </x:c>
      <x:c r="P176" s="19" t="n">
        <x:f>IF(AND(SUM(K176:M176)&lt;9,OR(L176=0,N176&lt;6)),1,0)</x:f>
        <x:v>1</x:v>
      </x:c>
      <x:c r="Q176" s="19" t="n">
        <x:f>IF(AND(SUM(K176:M176)&lt;9,OR(K176=0,N176&lt;6)),1,0)</x:f>
        <x:v>1</x:v>
      </x:c>
      <x:c r="R176" s="22" t="str">
        <x:f>O176&amp;P176&amp;Q176</x:f>
        <x:v>111</x:v>
      </x:c>
      <x:c r="S176" s="19" t="n">
        <x:f>IF(I176=1,IF(J176=0,Q176,IF(J176=1,P176,IF(J176=2,O176,0))),0)</x:f>
        <x:v>0</x:v>
      </x:c>
      <x:c r="T176" s="19" t="n">
        <x:f>K176+IF(AND(S176=1,J176=0),1,0)</x:f>
        <x:v>0</x:v>
      </x:c>
      <x:c r="U176" s="19" t="n">
        <x:f>L176+IF(AND(S176=1,J176=1),1,0)</x:f>
        <x:v>2</x:v>
      </x:c>
      <x:c r="V176" s="19" t="n">
        <x:f>M176+IF(AND(S176=1,J176=2),1,0)</x:f>
        <x:v>0</x:v>
      </x:c>
      <x:c r="W176" s="19" t="n">
        <x:f>SUM(T176:V176)</x:f>
        <x:v>2</x:v>
      </x:c>
      <x:c r="X176" s="19" t="n">
        <x:f>W176-G176</x:f>
        <x:v>-1</x:v>
      </x:c>
      <x:c r="Y176" s="19" t="n">
        <x:f>MAX(T176,1)+MAX(U176,1)+MAX(V176,1)</x:f>
        <x:v>4</x:v>
      </x:c>
      <x:c r="Z176" s="21" t="str">
        <x:f>IF(AND(MIN(D176:F176)&gt;=0,MAX(D176:F176)&lt;=7,MAX(D176,1)+MAX(E176,1)+MAX(F176,1)&lt;=9,OR(H176="-",AND(H176=0,D176&gt;0),AND(H176=1,E176&gt;0),AND(H176=2,F176&gt;0)),OR(I176=0,AND(I176=1,OR(J176=0,J176=1,J176=2),R176&lt;&gt;"000")),Y176&lt;=9,MIN(T176:V176)&gt;=0),"合法","输入违约")</x:f>
        <x:v>合法</x:v>
      </x:c>
    </x:row>
    <x:row r="177" ht="23" customHeight="1">
      <x:c r="A177" s="3" t="str">
        <x:v>CT-0170</x:v>
      </x:c>
      <x:c r="B177" s="3" t="str">
        <x:v>ST-013</x:v>
      </x:c>
      <x:c r="C177" s="3" t="str">
        <x:v>R+AR同收同发</x:v>
      </x:c>
      <x:c r="D177" s="25" t="n">
        <x:v>0</x:v>
      </x:c>
      <x:c r="E177" s="25" t="n">
        <x:v>2</x:v>
      </x:c>
      <x:c r="F177" s="25" t="n">
        <x:v>1</x:v>
      </x:c>
      <x:c r="G177" s="19" t="n">
        <x:f>SUM(D177:F177)</x:f>
        <x:v>3</x:v>
      </x:c>
      <x:c r="H177" s="25" t="n">
        <x:v>2</x:v>
      </x:c>
      <x:c r="I177" s="25" t="n">
        <x:v>1</x:v>
      </x:c>
      <x:c r="J177" s="25" t="n">
        <x:v>0</x:v>
      </x:c>
      <x:c r="K177" s="19" t="n">
        <x:f>D177-IF(H177=0,1,0)</x:f>
        <x:v>0</x:v>
      </x:c>
      <x:c r="L177" s="19" t="n">
        <x:f>E177-IF(H177=1,1,0)</x:f>
        <x:v>2</x:v>
      </x:c>
      <x:c r="M177" s="19" t="n">
        <x:f>F177-IF(H177=2,1,0)</x:f>
        <x:v>0</x:v>
      </x:c>
      <x:c r="N177" s="19" t="n">
        <x:f>MAX(K177-1,0)+MAX(L177-1,0)+MAX(M177-1,0)</x:f>
        <x:v>1</x:v>
      </x:c>
      <x:c r="O177" s="19" t="n">
        <x:f>IF(AND(SUM(K177:M177)&lt;9,OR(M177=0,N177&lt;6)),1,0)</x:f>
        <x:v>1</x:v>
      </x:c>
      <x:c r="P177" s="19" t="n">
        <x:f>IF(AND(SUM(K177:M177)&lt;9,OR(L177=0,N177&lt;6)),1,0)</x:f>
        <x:v>1</x:v>
      </x:c>
      <x:c r="Q177" s="19" t="n">
        <x:f>IF(AND(SUM(K177:M177)&lt;9,OR(K177=0,N177&lt;6)),1,0)</x:f>
        <x:v>1</x:v>
      </x:c>
      <x:c r="R177" s="22" t="str">
        <x:f>O177&amp;P177&amp;Q177</x:f>
        <x:v>111</x:v>
      </x:c>
      <x:c r="S177" s="19" t="n">
        <x:f>IF(I177=1,IF(J177=0,Q177,IF(J177=1,P177,IF(J177=2,O177,0))),0)</x:f>
        <x:v>1</x:v>
      </x:c>
      <x:c r="T177" s="19" t="n">
        <x:f>K177+IF(AND(S177=1,J177=0),1,0)</x:f>
        <x:v>1</x:v>
      </x:c>
      <x:c r="U177" s="19" t="n">
        <x:f>L177+IF(AND(S177=1,J177=1),1,0)</x:f>
        <x:v>2</x:v>
      </x:c>
      <x:c r="V177" s="19" t="n">
        <x:f>M177+IF(AND(S177=1,J177=2),1,0)</x:f>
        <x:v>0</x:v>
      </x:c>
      <x:c r="W177" s="19" t="n">
        <x:f>SUM(T177:V177)</x:f>
        <x:v>3</x:v>
      </x:c>
      <x:c r="X177" s="19" t="n">
        <x:f>W177-G177</x:f>
        <x:v>0</x:v>
      </x:c>
      <x:c r="Y177" s="19" t="n">
        <x:f>MAX(T177,1)+MAX(U177,1)+MAX(V177,1)</x:f>
        <x:v>4</x:v>
      </x:c>
      <x:c r="Z177" s="21" t="str">
        <x:f>IF(AND(MIN(D177:F177)&gt;=0,MAX(D177:F177)&lt;=7,MAX(D177,1)+MAX(E177,1)+MAX(F177,1)&lt;=9,OR(H177="-",AND(H177=0,D177&gt;0),AND(H177=1,E177&gt;0),AND(H177=2,F177&gt;0)),OR(I177=0,AND(I177=1,OR(J177=0,J177=1,J177=2),R177&lt;&gt;"000")),Y177&lt;=9,MIN(T177:V177)&gt;=0),"合法","输入违约")</x:f>
        <x:v>合法</x:v>
      </x:c>
    </x:row>
    <x:row r="178" ht="23" customHeight="1">
      <x:c r="A178" s="3" t="str">
        <x:v>CT-0171</x:v>
      </x:c>
      <x:c r="B178" s="3" t="str">
        <x:v>ST-013</x:v>
      </x:c>
      <x:c r="C178" s="3" t="str">
        <x:v>R+AR同收同发</x:v>
      </x:c>
      <x:c r="D178" s="25" t="n">
        <x:v>0</x:v>
      </x:c>
      <x:c r="E178" s="25" t="n">
        <x:v>2</x:v>
      </x:c>
      <x:c r="F178" s="25" t="n">
        <x:v>1</x:v>
      </x:c>
      <x:c r="G178" s="19" t="n">
        <x:f>SUM(D178:F178)</x:f>
        <x:v>3</x:v>
      </x:c>
      <x:c r="H178" s="25" t="n">
        <x:v>2</x:v>
      </x:c>
      <x:c r="I178" s="25" t="n">
        <x:v>1</x:v>
      </x:c>
      <x:c r="J178" s="25" t="n">
        <x:v>1</x:v>
      </x:c>
      <x:c r="K178" s="19" t="n">
        <x:f>D178-IF(H178=0,1,0)</x:f>
        <x:v>0</x:v>
      </x:c>
      <x:c r="L178" s="19" t="n">
        <x:f>E178-IF(H178=1,1,0)</x:f>
        <x:v>2</x:v>
      </x:c>
      <x:c r="M178" s="19" t="n">
        <x:f>F178-IF(H178=2,1,0)</x:f>
        <x:v>0</x:v>
      </x:c>
      <x:c r="N178" s="19" t="n">
        <x:f>MAX(K178-1,0)+MAX(L178-1,0)+MAX(M178-1,0)</x:f>
        <x:v>1</x:v>
      </x:c>
      <x:c r="O178" s="19" t="n">
        <x:f>IF(AND(SUM(K178:M178)&lt;9,OR(M178=0,N178&lt;6)),1,0)</x:f>
        <x:v>1</x:v>
      </x:c>
      <x:c r="P178" s="19" t="n">
        <x:f>IF(AND(SUM(K178:M178)&lt;9,OR(L178=0,N178&lt;6)),1,0)</x:f>
        <x:v>1</x:v>
      </x:c>
      <x:c r="Q178" s="19" t="n">
        <x:f>IF(AND(SUM(K178:M178)&lt;9,OR(K178=0,N178&lt;6)),1,0)</x:f>
        <x:v>1</x:v>
      </x:c>
      <x:c r="R178" s="22" t="str">
        <x:f>O178&amp;P178&amp;Q178</x:f>
        <x:v>111</x:v>
      </x:c>
      <x:c r="S178" s="19" t="n">
        <x:f>IF(I178=1,IF(J178=0,Q178,IF(J178=1,P178,IF(J178=2,O178,0))),0)</x:f>
        <x:v>1</x:v>
      </x:c>
      <x:c r="T178" s="19" t="n">
        <x:f>K178+IF(AND(S178=1,J178=0),1,0)</x:f>
        <x:v>0</x:v>
      </x:c>
      <x:c r="U178" s="19" t="n">
        <x:f>L178+IF(AND(S178=1,J178=1),1,0)</x:f>
        <x:v>3</x:v>
      </x:c>
      <x:c r="V178" s="19" t="n">
        <x:f>M178+IF(AND(S178=1,J178=2),1,0)</x:f>
        <x:v>0</x:v>
      </x:c>
      <x:c r="W178" s="19" t="n">
        <x:f>SUM(T178:V178)</x:f>
        <x:v>3</x:v>
      </x:c>
      <x:c r="X178" s="19" t="n">
        <x:f>W178-G178</x:f>
        <x:v>0</x:v>
      </x:c>
      <x:c r="Y178" s="19" t="n">
        <x:f>MAX(T178,1)+MAX(U178,1)+MAX(V178,1)</x:f>
        <x:v>5</x:v>
      </x:c>
      <x:c r="Z178" s="21" t="str">
        <x:f>IF(AND(MIN(D178:F178)&gt;=0,MAX(D178:F178)&lt;=7,MAX(D178,1)+MAX(E178,1)+MAX(F178,1)&lt;=9,OR(H178="-",AND(H178=0,D178&gt;0),AND(H178=1,E178&gt;0),AND(H178=2,F178&gt;0)),OR(I178=0,AND(I178=1,OR(J178=0,J178=1,J178=2),R178&lt;&gt;"000")),Y178&lt;=9,MIN(T178:V178)&gt;=0),"合法","输入违约")</x:f>
        <x:v>合法</x:v>
      </x:c>
    </x:row>
    <x:row r="179" ht="23" customHeight="1">
      <x:c r="A179" s="3" t="str">
        <x:v>CT-0172</x:v>
      </x:c>
      <x:c r="B179" s="3" t="str">
        <x:v>ST-013</x:v>
      </x:c>
      <x:c r="C179" s="3" t="str">
        <x:v>R+AR同收同发</x:v>
      </x:c>
      <x:c r="D179" s="25" t="n">
        <x:v>0</x:v>
      </x:c>
      <x:c r="E179" s="25" t="n">
        <x:v>2</x:v>
      </x:c>
      <x:c r="F179" s="25" t="n">
        <x:v>1</x:v>
      </x:c>
      <x:c r="G179" s="19" t="n">
        <x:f>SUM(D179:F179)</x:f>
        <x:v>3</x:v>
      </x:c>
      <x:c r="H179" s="25" t="n">
        <x:v>2</x:v>
      </x:c>
      <x:c r="I179" s="25" t="n">
        <x:v>1</x:v>
      </x:c>
      <x:c r="J179" s="25" t="n">
        <x:v>2</x:v>
      </x:c>
      <x:c r="K179" s="19" t="n">
        <x:f>D179-IF(H179=0,1,0)</x:f>
        <x:v>0</x:v>
      </x:c>
      <x:c r="L179" s="19" t="n">
        <x:f>E179-IF(H179=1,1,0)</x:f>
        <x:v>2</x:v>
      </x:c>
      <x:c r="M179" s="19" t="n">
        <x:f>F179-IF(H179=2,1,0)</x:f>
        <x:v>0</x:v>
      </x:c>
      <x:c r="N179" s="19" t="n">
        <x:f>MAX(K179-1,0)+MAX(L179-1,0)+MAX(M179-1,0)</x:f>
        <x:v>1</x:v>
      </x:c>
      <x:c r="O179" s="19" t="n">
        <x:f>IF(AND(SUM(K179:M179)&lt;9,OR(M179=0,N179&lt;6)),1,0)</x:f>
        <x:v>1</x:v>
      </x:c>
      <x:c r="P179" s="19" t="n">
        <x:f>IF(AND(SUM(K179:M179)&lt;9,OR(L179=0,N179&lt;6)),1,0)</x:f>
        <x:v>1</x:v>
      </x:c>
      <x:c r="Q179" s="19" t="n">
        <x:f>IF(AND(SUM(K179:M179)&lt;9,OR(K179=0,N179&lt;6)),1,0)</x:f>
        <x:v>1</x:v>
      </x:c>
      <x:c r="R179" s="22" t="str">
        <x:f>O179&amp;P179&amp;Q179</x:f>
        <x:v>111</x:v>
      </x:c>
      <x:c r="S179" s="19" t="n">
        <x:f>IF(I179=1,IF(J179=0,Q179,IF(J179=1,P179,IF(J179=2,O179,0))),0)</x:f>
        <x:v>1</x:v>
      </x:c>
      <x:c r="T179" s="19" t="n">
        <x:f>K179+IF(AND(S179=1,J179=0),1,0)</x:f>
        <x:v>0</x:v>
      </x:c>
      <x:c r="U179" s="19" t="n">
        <x:f>L179+IF(AND(S179=1,J179=1),1,0)</x:f>
        <x:v>2</x:v>
      </x:c>
      <x:c r="V179" s="19" t="n">
        <x:f>M179+IF(AND(S179=1,J179=2),1,0)</x:f>
        <x:v>1</x:v>
      </x:c>
      <x:c r="W179" s="19" t="n">
        <x:f>SUM(T179:V179)</x:f>
        <x:v>3</x:v>
      </x:c>
      <x:c r="X179" s="19" t="n">
        <x:f>W179-G179</x:f>
        <x:v>0</x:v>
      </x:c>
      <x:c r="Y179" s="19" t="n">
        <x:f>MAX(T179,1)+MAX(U179,1)+MAX(V179,1)</x:f>
        <x:v>4</x:v>
      </x:c>
      <x:c r="Z179" s="21" t="str">
        <x:f>IF(AND(MIN(D179:F179)&gt;=0,MAX(D179:F179)&lt;=7,MAX(D179,1)+MAX(E179,1)+MAX(F179,1)&lt;=9,OR(H179="-",AND(H179=0,D179&gt;0),AND(H179=1,E179&gt;0),AND(H179=2,F179&gt;0)),OR(I179=0,AND(I179=1,OR(J179=0,J179=1,J179=2),R179&lt;&gt;"000")),Y179&lt;=9,MIN(T179:V179)&gt;=0),"合法","输入违约")</x:f>
        <x:v>合法</x:v>
      </x:c>
    </x:row>
    <x:row r="180" ht="23" customHeight="1">
      <x:c r="A180" s="3" t="str">
        <x:v>CT-0173</x:v>
      </x:c>
      <x:c r="B180" s="3" t="str">
        <x:v>ST-023</x:v>
      </x:c>
      <x:c r="C180" s="3" t="str">
        <x:v>无AR/R</x:v>
      </x:c>
      <x:c r="D180" s="25" t="n">
        <x:v>0</x:v>
      </x:c>
      <x:c r="E180" s="25" t="n">
        <x:v>2</x:v>
      </x:c>
      <x:c r="F180" s="25" t="n">
        <x:v>2</x:v>
      </x:c>
      <x:c r="G180" s="19" t="n">
        <x:f>SUM(D180:F180)</x:f>
        <x:v>4</x:v>
      </x:c>
      <x:c r="H180" s="25" t="str">
        <x:v>-</x:v>
      </x:c>
      <x:c r="I180" s="25" t="n">
        <x:v>0</x:v>
      </x:c>
      <x:c r="J180" s="25" t="str">
        <x:v>-</x:v>
      </x:c>
      <x:c r="K180" s="19" t="n">
        <x:f>D180-IF(H180=0,1,0)</x:f>
        <x:v>0</x:v>
      </x:c>
      <x:c r="L180" s="19" t="n">
        <x:f>E180-IF(H180=1,1,0)</x:f>
        <x:v>2</x:v>
      </x:c>
      <x:c r="M180" s="19" t="n">
        <x:f>F180-IF(H180=2,1,0)</x:f>
        <x:v>2</x:v>
      </x:c>
      <x:c r="N180" s="19" t="n">
        <x:f>MAX(K180-1,0)+MAX(L180-1,0)+MAX(M180-1,0)</x:f>
        <x:v>2</x:v>
      </x:c>
      <x:c r="O180" s="19" t="n">
        <x:f>IF(AND(SUM(K180:M180)&lt;9,OR(M180=0,N180&lt;6)),1,0)</x:f>
        <x:v>1</x:v>
      </x:c>
      <x:c r="P180" s="19" t="n">
        <x:f>IF(AND(SUM(K180:M180)&lt;9,OR(L180=0,N180&lt;6)),1,0)</x:f>
        <x:v>1</x:v>
      </x:c>
      <x:c r="Q180" s="19" t="n">
        <x:f>IF(AND(SUM(K180:M180)&lt;9,OR(K180=0,N180&lt;6)),1,0)</x:f>
        <x:v>1</x:v>
      </x:c>
      <x:c r="R180" s="22" t="str">
        <x:f>O180&amp;P180&amp;Q180</x:f>
        <x:v>111</x:v>
      </x:c>
      <x:c r="S180" s="19" t="n">
        <x:f>IF(I180=1,IF(J180=0,Q180,IF(J180=1,P180,IF(J180=2,O180,0))),0)</x:f>
        <x:v>0</x:v>
      </x:c>
      <x:c r="T180" s="19" t="n">
        <x:f>K180+IF(AND(S180=1,J180=0),1,0)</x:f>
        <x:v>0</x:v>
      </x:c>
      <x:c r="U180" s="19" t="n">
        <x:f>L180+IF(AND(S180=1,J180=1),1,0)</x:f>
        <x:v>2</x:v>
      </x:c>
      <x:c r="V180" s="19" t="n">
        <x:f>M180+IF(AND(S180=1,J180=2),1,0)</x:f>
        <x:v>2</x:v>
      </x:c>
      <x:c r="W180" s="19" t="n">
        <x:f>SUM(T180:V180)</x:f>
        <x:v>4</x:v>
      </x:c>
      <x:c r="X180" s="19" t="n">
        <x:f>W180-G180</x:f>
        <x:v>0</x:v>
      </x:c>
      <x:c r="Y180" s="19" t="n">
        <x:f>MAX(T180,1)+MAX(U180,1)+MAX(V180,1)</x:f>
        <x:v>5</x:v>
      </x:c>
      <x:c r="Z180" s="21" t="str">
        <x:f>IF(AND(MIN(D180:F180)&gt;=0,MAX(D180:F180)&lt;=7,MAX(D180,1)+MAX(E180,1)+MAX(F180,1)&lt;=9,OR(H180="-",AND(H180=0,D180&gt;0),AND(H180=1,E180&gt;0),AND(H180=2,F180&gt;0)),OR(I180=0,AND(I180=1,OR(J180=0,J180=1,J180=2),R180&lt;&gt;"000")),Y180&lt;=9,MIN(T180:V180)&gt;=0),"合法","输入违约")</x:f>
        <x:v>合法</x:v>
      </x:c>
    </x:row>
    <x:row r="181" ht="23" customHeight="1">
      <x:c r="A181" s="3" t="str">
        <x:v>CT-0174</x:v>
      </x:c>
      <x:c r="B181" s="3" t="str">
        <x:v>ST-023</x:v>
      </x:c>
      <x:c r="C181" s="3" t="str">
        <x:v>仅AR接收</x:v>
      </x:c>
      <x:c r="D181" s="25" t="n">
        <x:v>0</x:v>
      </x:c>
      <x:c r="E181" s="25" t="n">
        <x:v>2</x:v>
      </x:c>
      <x:c r="F181" s="25" t="n">
        <x:v>2</x:v>
      </x:c>
      <x:c r="G181" s="19" t="n">
        <x:f>SUM(D181:F181)</x:f>
        <x:v>4</x:v>
      </x:c>
      <x:c r="H181" s="25" t="str">
        <x:v>-</x:v>
      </x:c>
      <x:c r="I181" s="25" t="n">
        <x:v>1</x:v>
      </x:c>
      <x:c r="J181" s="25" t="n">
        <x:v>0</x:v>
      </x:c>
      <x:c r="K181" s="19" t="n">
        <x:f>D181-IF(H181=0,1,0)</x:f>
        <x:v>0</x:v>
      </x:c>
      <x:c r="L181" s="19" t="n">
        <x:f>E181-IF(H181=1,1,0)</x:f>
        <x:v>2</x:v>
      </x:c>
      <x:c r="M181" s="19" t="n">
        <x:f>F181-IF(H181=2,1,0)</x:f>
        <x:v>2</x:v>
      </x:c>
      <x:c r="N181" s="19" t="n">
        <x:f>MAX(K181-1,0)+MAX(L181-1,0)+MAX(M181-1,0)</x:f>
        <x:v>2</x:v>
      </x:c>
      <x:c r="O181" s="19" t="n">
        <x:f>IF(AND(SUM(K181:M181)&lt;9,OR(M181=0,N181&lt;6)),1,0)</x:f>
        <x:v>1</x:v>
      </x:c>
      <x:c r="P181" s="19" t="n">
        <x:f>IF(AND(SUM(K181:M181)&lt;9,OR(L181=0,N181&lt;6)),1,0)</x:f>
        <x:v>1</x:v>
      </x:c>
      <x:c r="Q181" s="19" t="n">
        <x:f>IF(AND(SUM(K181:M181)&lt;9,OR(K181=0,N181&lt;6)),1,0)</x:f>
        <x:v>1</x:v>
      </x:c>
      <x:c r="R181" s="22" t="str">
        <x:f>O181&amp;P181&amp;Q181</x:f>
        <x:v>111</x:v>
      </x:c>
      <x:c r="S181" s="19" t="n">
        <x:f>IF(I181=1,IF(J181=0,Q181,IF(J181=1,P181,IF(J181=2,O181,0))),0)</x:f>
        <x:v>1</x:v>
      </x:c>
      <x:c r="T181" s="19" t="n">
        <x:f>K181+IF(AND(S181=1,J181=0),1,0)</x:f>
        <x:v>1</x:v>
      </x:c>
      <x:c r="U181" s="19" t="n">
        <x:f>L181+IF(AND(S181=1,J181=1),1,0)</x:f>
        <x:v>2</x:v>
      </x:c>
      <x:c r="V181" s="19" t="n">
        <x:f>M181+IF(AND(S181=1,J181=2),1,0)</x:f>
        <x:v>2</x:v>
      </x:c>
      <x:c r="W181" s="19" t="n">
        <x:f>SUM(T181:V181)</x:f>
        <x:v>5</x:v>
      </x:c>
      <x:c r="X181" s="19" t="n">
        <x:f>W181-G181</x:f>
        <x:v>1</x:v>
      </x:c>
      <x:c r="Y181" s="19" t="n">
        <x:f>MAX(T181,1)+MAX(U181,1)+MAX(V181,1)</x:f>
        <x:v>5</x:v>
      </x:c>
      <x:c r="Z181" s="21" t="str">
        <x:f>IF(AND(MIN(D181:F181)&gt;=0,MAX(D181:F181)&lt;=7,MAX(D181,1)+MAX(E181,1)+MAX(F181,1)&lt;=9,OR(H181="-",AND(H181=0,D181&gt;0),AND(H181=1,E181&gt;0),AND(H181=2,F181&gt;0)),OR(I181=0,AND(I181=1,OR(J181=0,J181=1,J181=2),R181&lt;&gt;"000")),Y181&lt;=9,MIN(T181:V181)&gt;=0),"合法","输入违约")</x:f>
        <x:v>合法</x:v>
      </x:c>
    </x:row>
    <x:row r="182" ht="23" customHeight="1">
      <x:c r="A182" s="3" t="str">
        <x:v>CT-0175</x:v>
      </x:c>
      <x:c r="B182" s="3" t="str">
        <x:v>ST-023</x:v>
      </x:c>
      <x:c r="C182" s="3" t="str">
        <x:v>仅AR接收</x:v>
      </x:c>
      <x:c r="D182" s="25" t="n">
        <x:v>0</x:v>
      </x:c>
      <x:c r="E182" s="25" t="n">
        <x:v>2</x:v>
      </x:c>
      <x:c r="F182" s="25" t="n">
        <x:v>2</x:v>
      </x:c>
      <x:c r="G182" s="19" t="n">
        <x:f>SUM(D182:F182)</x:f>
        <x:v>4</x:v>
      </x:c>
      <x:c r="H182" s="25" t="str">
        <x:v>-</x:v>
      </x:c>
      <x:c r="I182" s="25" t="n">
        <x:v>1</x:v>
      </x:c>
      <x:c r="J182" s="25" t="n">
        <x:v>1</x:v>
      </x:c>
      <x:c r="K182" s="19" t="n">
        <x:f>D182-IF(H182=0,1,0)</x:f>
        <x:v>0</x:v>
      </x:c>
      <x:c r="L182" s="19" t="n">
        <x:f>E182-IF(H182=1,1,0)</x:f>
        <x:v>2</x:v>
      </x:c>
      <x:c r="M182" s="19" t="n">
        <x:f>F182-IF(H182=2,1,0)</x:f>
        <x:v>2</x:v>
      </x:c>
      <x:c r="N182" s="19" t="n">
        <x:f>MAX(K182-1,0)+MAX(L182-1,0)+MAX(M182-1,0)</x:f>
        <x:v>2</x:v>
      </x:c>
      <x:c r="O182" s="19" t="n">
        <x:f>IF(AND(SUM(K182:M182)&lt;9,OR(M182=0,N182&lt;6)),1,0)</x:f>
        <x:v>1</x:v>
      </x:c>
      <x:c r="P182" s="19" t="n">
        <x:f>IF(AND(SUM(K182:M182)&lt;9,OR(L182=0,N182&lt;6)),1,0)</x:f>
        <x:v>1</x:v>
      </x:c>
      <x:c r="Q182" s="19" t="n">
        <x:f>IF(AND(SUM(K182:M182)&lt;9,OR(K182=0,N182&lt;6)),1,0)</x:f>
        <x:v>1</x:v>
      </x:c>
      <x:c r="R182" s="22" t="str">
        <x:f>O182&amp;P182&amp;Q182</x:f>
        <x:v>111</x:v>
      </x:c>
      <x:c r="S182" s="19" t="n">
        <x:f>IF(I182=1,IF(J182=0,Q182,IF(J182=1,P182,IF(J182=2,O182,0))),0)</x:f>
        <x:v>1</x:v>
      </x:c>
      <x:c r="T182" s="19" t="n">
        <x:f>K182+IF(AND(S182=1,J182=0),1,0)</x:f>
        <x:v>0</x:v>
      </x:c>
      <x:c r="U182" s="19" t="n">
        <x:f>L182+IF(AND(S182=1,J182=1),1,0)</x:f>
        <x:v>3</x:v>
      </x:c>
      <x:c r="V182" s="19" t="n">
        <x:f>M182+IF(AND(S182=1,J182=2),1,0)</x:f>
        <x:v>2</x:v>
      </x:c>
      <x:c r="W182" s="19" t="n">
        <x:f>SUM(T182:V182)</x:f>
        <x:v>5</x:v>
      </x:c>
      <x:c r="X182" s="19" t="n">
        <x:f>W182-G182</x:f>
        <x:v>1</x:v>
      </x:c>
      <x:c r="Y182" s="19" t="n">
        <x:f>MAX(T182,1)+MAX(U182,1)+MAX(V182,1)</x:f>
        <x:v>6</x:v>
      </x:c>
      <x:c r="Z182" s="21" t="str">
        <x:f>IF(AND(MIN(D182:F182)&gt;=0,MAX(D182:F182)&lt;=7,MAX(D182,1)+MAX(E182,1)+MAX(F182,1)&lt;=9,OR(H182="-",AND(H182=0,D182&gt;0),AND(H182=1,E182&gt;0),AND(H182=2,F182&gt;0)),OR(I182=0,AND(I182=1,OR(J182=0,J182=1,J182=2),R182&lt;&gt;"000")),Y182&lt;=9,MIN(T182:V182)&gt;=0),"合法","输入违约")</x:f>
        <x:v>合法</x:v>
      </x:c>
    </x:row>
    <x:row r="183" ht="23" customHeight="1">
      <x:c r="A183" s="3" t="str">
        <x:v>CT-0176</x:v>
      </x:c>
      <x:c r="B183" s="3" t="str">
        <x:v>ST-023</x:v>
      </x:c>
      <x:c r="C183" s="3" t="str">
        <x:v>仅AR接收</x:v>
      </x:c>
      <x:c r="D183" s="25" t="n">
        <x:v>0</x:v>
      </x:c>
      <x:c r="E183" s="25" t="n">
        <x:v>2</x:v>
      </x:c>
      <x:c r="F183" s="25" t="n">
        <x:v>2</x:v>
      </x:c>
      <x:c r="G183" s="19" t="n">
        <x:f>SUM(D183:F183)</x:f>
        <x:v>4</x:v>
      </x:c>
      <x:c r="H183" s="25" t="str">
        <x:v>-</x:v>
      </x:c>
      <x:c r="I183" s="25" t="n">
        <x:v>1</x:v>
      </x:c>
      <x:c r="J183" s="25" t="n">
        <x:v>2</x:v>
      </x:c>
      <x:c r="K183" s="19" t="n">
        <x:f>D183-IF(H183=0,1,0)</x:f>
        <x:v>0</x:v>
      </x:c>
      <x:c r="L183" s="19" t="n">
        <x:f>E183-IF(H183=1,1,0)</x:f>
        <x:v>2</x:v>
      </x:c>
      <x:c r="M183" s="19" t="n">
        <x:f>F183-IF(H183=2,1,0)</x:f>
        <x:v>2</x:v>
      </x:c>
      <x:c r="N183" s="19" t="n">
        <x:f>MAX(K183-1,0)+MAX(L183-1,0)+MAX(M183-1,0)</x:f>
        <x:v>2</x:v>
      </x:c>
      <x:c r="O183" s="19" t="n">
        <x:f>IF(AND(SUM(K183:M183)&lt;9,OR(M183=0,N183&lt;6)),1,0)</x:f>
        <x:v>1</x:v>
      </x:c>
      <x:c r="P183" s="19" t="n">
        <x:f>IF(AND(SUM(K183:M183)&lt;9,OR(L183=0,N183&lt;6)),1,0)</x:f>
        <x:v>1</x:v>
      </x:c>
      <x:c r="Q183" s="19" t="n">
        <x:f>IF(AND(SUM(K183:M183)&lt;9,OR(K183=0,N183&lt;6)),1,0)</x:f>
        <x:v>1</x:v>
      </x:c>
      <x:c r="R183" s="22" t="str">
        <x:f>O183&amp;P183&amp;Q183</x:f>
        <x:v>111</x:v>
      </x:c>
      <x:c r="S183" s="19" t="n">
        <x:f>IF(I183=1,IF(J183=0,Q183,IF(J183=1,P183,IF(J183=2,O183,0))),0)</x:f>
        <x:v>1</x:v>
      </x:c>
      <x:c r="T183" s="19" t="n">
        <x:f>K183+IF(AND(S183=1,J183=0),1,0)</x:f>
        <x:v>0</x:v>
      </x:c>
      <x:c r="U183" s="19" t="n">
        <x:f>L183+IF(AND(S183=1,J183=1),1,0)</x:f>
        <x:v>2</x:v>
      </x:c>
      <x:c r="V183" s="19" t="n">
        <x:f>M183+IF(AND(S183=1,J183=2),1,0)</x:f>
        <x:v>3</x:v>
      </x:c>
      <x:c r="W183" s="19" t="n">
        <x:f>SUM(T183:V183)</x:f>
        <x:v>5</x:v>
      </x:c>
      <x:c r="X183" s="19" t="n">
        <x:f>W183-G183</x:f>
        <x:v>1</x:v>
      </x:c>
      <x:c r="Y183" s="19" t="n">
        <x:f>MAX(T183,1)+MAX(U183,1)+MAX(V183,1)</x:f>
        <x:v>6</x:v>
      </x:c>
      <x:c r="Z183" s="21" t="str">
        <x:f>IF(AND(MIN(D183:F183)&gt;=0,MAX(D183:F183)&lt;=7,MAX(D183,1)+MAX(E183,1)+MAX(F183,1)&lt;=9,OR(H183="-",AND(H183=0,D183&gt;0),AND(H183=1,E183&gt;0),AND(H183=2,F183&gt;0)),OR(I183=0,AND(I183=1,OR(J183=0,J183=1,J183=2),R183&lt;&gt;"000")),Y183&lt;=9,MIN(T183:V183)&gt;=0),"合法","输入违约")</x:f>
        <x:v>合法</x:v>
      </x:c>
    </x:row>
    <x:row r="184" ht="23" customHeight="1">
      <x:c r="A184" s="3" t="str">
        <x:v>CT-0177</x:v>
      </x:c>
      <x:c r="B184" s="3" t="str">
        <x:v>ST-023</x:v>
      </x:c>
      <x:c r="C184" s="3" t="str">
        <x:v>仅R回收</x:v>
      </x:c>
      <x:c r="D184" s="25" t="n">
        <x:v>0</x:v>
      </x:c>
      <x:c r="E184" s="25" t="n">
        <x:v>2</x:v>
      </x:c>
      <x:c r="F184" s="25" t="n">
        <x:v>2</x:v>
      </x:c>
      <x:c r="G184" s="19" t="n">
        <x:f>SUM(D184:F184)</x:f>
        <x:v>4</x:v>
      </x:c>
      <x:c r="H184" s="25" t="n">
        <x:v>1</x:v>
      </x:c>
      <x:c r="I184" s="25" t="n">
        <x:v>0</x:v>
      </x:c>
      <x:c r="J184" s="25" t="str">
        <x:v>-</x:v>
      </x:c>
      <x:c r="K184" s="19" t="n">
        <x:f>D184-IF(H184=0,1,0)</x:f>
        <x:v>0</x:v>
      </x:c>
      <x:c r="L184" s="19" t="n">
        <x:f>E184-IF(H184=1,1,0)</x:f>
        <x:v>1</x:v>
      </x:c>
      <x:c r="M184" s="19" t="n">
        <x:f>F184-IF(H184=2,1,0)</x:f>
        <x:v>2</x:v>
      </x:c>
      <x:c r="N184" s="19" t="n">
        <x:f>MAX(K184-1,0)+MAX(L184-1,0)+MAX(M184-1,0)</x:f>
        <x:v>1</x:v>
      </x:c>
      <x:c r="O184" s="19" t="n">
        <x:f>IF(AND(SUM(K184:M184)&lt;9,OR(M184=0,N184&lt;6)),1,0)</x:f>
        <x:v>1</x:v>
      </x:c>
      <x:c r="P184" s="19" t="n">
        <x:f>IF(AND(SUM(K184:M184)&lt;9,OR(L184=0,N184&lt;6)),1,0)</x:f>
        <x:v>1</x:v>
      </x:c>
      <x:c r="Q184" s="19" t="n">
        <x:f>IF(AND(SUM(K184:M184)&lt;9,OR(K184=0,N184&lt;6)),1,0)</x:f>
        <x:v>1</x:v>
      </x:c>
      <x:c r="R184" s="22" t="str">
        <x:f>O184&amp;P184&amp;Q184</x:f>
        <x:v>111</x:v>
      </x:c>
      <x:c r="S184" s="19" t="n">
        <x:f>IF(I184=1,IF(J184=0,Q184,IF(J184=1,P184,IF(J184=2,O184,0))),0)</x:f>
        <x:v>0</x:v>
      </x:c>
      <x:c r="T184" s="19" t="n">
        <x:f>K184+IF(AND(S184=1,J184=0),1,0)</x:f>
        <x:v>0</x:v>
      </x:c>
      <x:c r="U184" s="19" t="n">
        <x:f>L184+IF(AND(S184=1,J184=1),1,0)</x:f>
        <x:v>1</x:v>
      </x:c>
      <x:c r="V184" s="19" t="n">
        <x:f>M184+IF(AND(S184=1,J184=2),1,0)</x:f>
        <x:v>2</x:v>
      </x:c>
      <x:c r="W184" s="19" t="n">
        <x:f>SUM(T184:V184)</x:f>
        <x:v>3</x:v>
      </x:c>
      <x:c r="X184" s="19" t="n">
        <x:f>W184-G184</x:f>
        <x:v>-1</x:v>
      </x:c>
      <x:c r="Y184" s="19" t="n">
        <x:f>MAX(T184,1)+MAX(U184,1)+MAX(V184,1)</x:f>
        <x:v>4</x:v>
      </x:c>
      <x:c r="Z184" s="21" t="str">
        <x:f>IF(AND(MIN(D184:F184)&gt;=0,MAX(D184:F184)&lt;=7,MAX(D184,1)+MAX(E184,1)+MAX(F184,1)&lt;=9,OR(H184="-",AND(H184=0,D184&gt;0),AND(H184=1,E184&gt;0),AND(H184=2,F184&gt;0)),OR(I184=0,AND(I184=1,OR(J184=0,J184=1,J184=2),R184&lt;&gt;"000")),Y184&lt;=9,MIN(T184:V184)&gt;=0),"合法","输入违约")</x:f>
        <x:v>合法</x:v>
      </x:c>
    </x:row>
    <x:row r="185" ht="23" customHeight="1">
      <x:c r="A185" s="3" t="str">
        <x:v>CT-0178</x:v>
      </x:c>
      <x:c r="B185" s="3" t="str">
        <x:v>ST-023</x:v>
      </x:c>
      <x:c r="C185" s="3" t="str">
        <x:v>R+AR同收同发</x:v>
      </x:c>
      <x:c r="D185" s="25" t="n">
        <x:v>0</x:v>
      </x:c>
      <x:c r="E185" s="25" t="n">
        <x:v>2</x:v>
      </x:c>
      <x:c r="F185" s="25" t="n">
        <x:v>2</x:v>
      </x:c>
      <x:c r="G185" s="19" t="n">
        <x:f>SUM(D185:F185)</x:f>
        <x:v>4</x:v>
      </x:c>
      <x:c r="H185" s="25" t="n">
        <x:v>1</x:v>
      </x:c>
      <x:c r="I185" s="25" t="n">
        <x:v>1</x:v>
      </x:c>
      <x:c r="J185" s="25" t="n">
        <x:v>0</x:v>
      </x:c>
      <x:c r="K185" s="19" t="n">
        <x:f>D185-IF(H185=0,1,0)</x:f>
        <x:v>0</x:v>
      </x:c>
      <x:c r="L185" s="19" t="n">
        <x:f>E185-IF(H185=1,1,0)</x:f>
        <x:v>1</x:v>
      </x:c>
      <x:c r="M185" s="19" t="n">
        <x:f>F185-IF(H185=2,1,0)</x:f>
        <x:v>2</x:v>
      </x:c>
      <x:c r="N185" s="19" t="n">
        <x:f>MAX(K185-1,0)+MAX(L185-1,0)+MAX(M185-1,0)</x:f>
        <x:v>1</x:v>
      </x:c>
      <x:c r="O185" s="19" t="n">
        <x:f>IF(AND(SUM(K185:M185)&lt;9,OR(M185=0,N185&lt;6)),1,0)</x:f>
        <x:v>1</x:v>
      </x:c>
      <x:c r="P185" s="19" t="n">
        <x:f>IF(AND(SUM(K185:M185)&lt;9,OR(L185=0,N185&lt;6)),1,0)</x:f>
        <x:v>1</x:v>
      </x:c>
      <x:c r="Q185" s="19" t="n">
        <x:f>IF(AND(SUM(K185:M185)&lt;9,OR(K185=0,N185&lt;6)),1,0)</x:f>
        <x:v>1</x:v>
      </x:c>
      <x:c r="R185" s="22" t="str">
        <x:f>O185&amp;P185&amp;Q185</x:f>
        <x:v>111</x:v>
      </x:c>
      <x:c r="S185" s="19" t="n">
        <x:f>IF(I185=1,IF(J185=0,Q185,IF(J185=1,P185,IF(J185=2,O185,0))),0)</x:f>
        <x:v>1</x:v>
      </x:c>
      <x:c r="T185" s="19" t="n">
        <x:f>K185+IF(AND(S185=1,J185=0),1,0)</x:f>
        <x:v>1</x:v>
      </x:c>
      <x:c r="U185" s="19" t="n">
        <x:f>L185+IF(AND(S185=1,J185=1),1,0)</x:f>
        <x:v>1</x:v>
      </x:c>
      <x:c r="V185" s="19" t="n">
        <x:f>M185+IF(AND(S185=1,J185=2),1,0)</x:f>
        <x:v>2</x:v>
      </x:c>
      <x:c r="W185" s="19" t="n">
        <x:f>SUM(T185:V185)</x:f>
        <x:v>4</x:v>
      </x:c>
      <x:c r="X185" s="19" t="n">
        <x:f>W185-G185</x:f>
        <x:v>0</x:v>
      </x:c>
      <x:c r="Y185" s="19" t="n">
        <x:f>MAX(T185,1)+MAX(U185,1)+MAX(V185,1)</x:f>
        <x:v>4</x:v>
      </x:c>
      <x:c r="Z185" s="21" t="str">
        <x:f>IF(AND(MIN(D185:F185)&gt;=0,MAX(D185:F185)&lt;=7,MAX(D185,1)+MAX(E185,1)+MAX(F185,1)&lt;=9,OR(H185="-",AND(H185=0,D185&gt;0),AND(H185=1,E185&gt;0),AND(H185=2,F185&gt;0)),OR(I185=0,AND(I185=1,OR(J185=0,J185=1,J185=2),R185&lt;&gt;"000")),Y185&lt;=9,MIN(T185:V185)&gt;=0),"合法","输入违约")</x:f>
        <x:v>合法</x:v>
      </x:c>
    </x:row>
    <x:row r="186" ht="23" customHeight="1">
      <x:c r="A186" s="3" t="str">
        <x:v>CT-0179</x:v>
      </x:c>
      <x:c r="B186" s="3" t="str">
        <x:v>ST-023</x:v>
      </x:c>
      <x:c r="C186" s="3" t="str">
        <x:v>R+AR同收同发</x:v>
      </x:c>
      <x:c r="D186" s="25" t="n">
        <x:v>0</x:v>
      </x:c>
      <x:c r="E186" s="25" t="n">
        <x:v>2</x:v>
      </x:c>
      <x:c r="F186" s="25" t="n">
        <x:v>2</x:v>
      </x:c>
      <x:c r="G186" s="19" t="n">
        <x:f>SUM(D186:F186)</x:f>
        <x:v>4</x:v>
      </x:c>
      <x:c r="H186" s="25" t="n">
        <x:v>1</x:v>
      </x:c>
      <x:c r="I186" s="25" t="n">
        <x:v>1</x:v>
      </x:c>
      <x:c r="J186" s="25" t="n">
        <x:v>1</x:v>
      </x:c>
      <x:c r="K186" s="19" t="n">
        <x:f>D186-IF(H186=0,1,0)</x:f>
        <x:v>0</x:v>
      </x:c>
      <x:c r="L186" s="19" t="n">
        <x:f>E186-IF(H186=1,1,0)</x:f>
        <x:v>1</x:v>
      </x:c>
      <x:c r="M186" s="19" t="n">
        <x:f>F186-IF(H186=2,1,0)</x:f>
        <x:v>2</x:v>
      </x:c>
      <x:c r="N186" s="19" t="n">
        <x:f>MAX(K186-1,0)+MAX(L186-1,0)+MAX(M186-1,0)</x:f>
        <x:v>1</x:v>
      </x:c>
      <x:c r="O186" s="19" t="n">
        <x:f>IF(AND(SUM(K186:M186)&lt;9,OR(M186=0,N186&lt;6)),1,0)</x:f>
        <x:v>1</x:v>
      </x:c>
      <x:c r="P186" s="19" t="n">
        <x:f>IF(AND(SUM(K186:M186)&lt;9,OR(L186=0,N186&lt;6)),1,0)</x:f>
        <x:v>1</x:v>
      </x:c>
      <x:c r="Q186" s="19" t="n">
        <x:f>IF(AND(SUM(K186:M186)&lt;9,OR(K186=0,N186&lt;6)),1,0)</x:f>
        <x:v>1</x:v>
      </x:c>
      <x:c r="R186" s="22" t="str">
        <x:f>O186&amp;P186&amp;Q186</x:f>
        <x:v>111</x:v>
      </x:c>
      <x:c r="S186" s="19" t="n">
        <x:f>IF(I186=1,IF(J186=0,Q186,IF(J186=1,P186,IF(J186=2,O186,0))),0)</x:f>
        <x:v>1</x:v>
      </x:c>
      <x:c r="T186" s="19" t="n">
        <x:f>K186+IF(AND(S186=1,J186=0),1,0)</x:f>
        <x:v>0</x:v>
      </x:c>
      <x:c r="U186" s="19" t="n">
        <x:f>L186+IF(AND(S186=1,J186=1),1,0)</x:f>
        <x:v>2</x:v>
      </x:c>
      <x:c r="V186" s="19" t="n">
        <x:f>M186+IF(AND(S186=1,J186=2),1,0)</x:f>
        <x:v>2</x:v>
      </x:c>
      <x:c r="W186" s="19" t="n">
        <x:f>SUM(T186:V186)</x:f>
        <x:v>4</x:v>
      </x:c>
      <x:c r="X186" s="19" t="n">
        <x:f>W186-G186</x:f>
        <x:v>0</x:v>
      </x:c>
      <x:c r="Y186" s="19" t="n">
        <x:f>MAX(T186,1)+MAX(U186,1)+MAX(V186,1)</x:f>
        <x:v>5</x:v>
      </x:c>
      <x:c r="Z186" s="21" t="str">
        <x:f>IF(AND(MIN(D186:F186)&gt;=0,MAX(D186:F186)&lt;=7,MAX(D186,1)+MAX(E186,1)+MAX(F186,1)&lt;=9,OR(H186="-",AND(H186=0,D186&gt;0),AND(H186=1,E186&gt;0),AND(H186=2,F186&gt;0)),OR(I186=0,AND(I186=1,OR(J186=0,J186=1,J186=2),R186&lt;&gt;"000")),Y186&lt;=9,MIN(T186:V186)&gt;=0),"合法","输入违约")</x:f>
        <x:v>合法</x:v>
      </x:c>
    </x:row>
    <x:row r="187" ht="23" customHeight="1">
      <x:c r="A187" s="3" t="str">
        <x:v>CT-0180</x:v>
      </x:c>
      <x:c r="B187" s="3" t="str">
        <x:v>ST-023</x:v>
      </x:c>
      <x:c r="C187" s="3" t="str">
        <x:v>R+AR同收同发</x:v>
      </x:c>
      <x:c r="D187" s="25" t="n">
        <x:v>0</x:v>
      </x:c>
      <x:c r="E187" s="25" t="n">
        <x:v>2</x:v>
      </x:c>
      <x:c r="F187" s="25" t="n">
        <x:v>2</x:v>
      </x:c>
      <x:c r="G187" s="19" t="n">
        <x:f>SUM(D187:F187)</x:f>
        <x:v>4</x:v>
      </x:c>
      <x:c r="H187" s="25" t="n">
        <x:v>1</x:v>
      </x:c>
      <x:c r="I187" s="25" t="n">
        <x:v>1</x:v>
      </x:c>
      <x:c r="J187" s="25" t="n">
        <x:v>2</x:v>
      </x:c>
      <x:c r="K187" s="19" t="n">
        <x:f>D187-IF(H187=0,1,0)</x:f>
        <x:v>0</x:v>
      </x:c>
      <x:c r="L187" s="19" t="n">
        <x:f>E187-IF(H187=1,1,0)</x:f>
        <x:v>1</x:v>
      </x:c>
      <x:c r="M187" s="19" t="n">
        <x:f>F187-IF(H187=2,1,0)</x:f>
        <x:v>2</x:v>
      </x:c>
      <x:c r="N187" s="19" t="n">
        <x:f>MAX(K187-1,0)+MAX(L187-1,0)+MAX(M187-1,0)</x:f>
        <x:v>1</x:v>
      </x:c>
      <x:c r="O187" s="19" t="n">
        <x:f>IF(AND(SUM(K187:M187)&lt;9,OR(M187=0,N187&lt;6)),1,0)</x:f>
        <x:v>1</x:v>
      </x:c>
      <x:c r="P187" s="19" t="n">
        <x:f>IF(AND(SUM(K187:M187)&lt;9,OR(L187=0,N187&lt;6)),1,0)</x:f>
        <x:v>1</x:v>
      </x:c>
      <x:c r="Q187" s="19" t="n">
        <x:f>IF(AND(SUM(K187:M187)&lt;9,OR(K187=0,N187&lt;6)),1,0)</x:f>
        <x:v>1</x:v>
      </x:c>
      <x:c r="R187" s="22" t="str">
        <x:f>O187&amp;P187&amp;Q187</x:f>
        <x:v>111</x:v>
      </x:c>
      <x:c r="S187" s="19" t="n">
        <x:f>IF(I187=1,IF(J187=0,Q187,IF(J187=1,P187,IF(J187=2,O187,0))),0)</x:f>
        <x:v>1</x:v>
      </x:c>
      <x:c r="T187" s="19" t="n">
        <x:f>K187+IF(AND(S187=1,J187=0),1,0)</x:f>
        <x:v>0</x:v>
      </x:c>
      <x:c r="U187" s="19" t="n">
        <x:f>L187+IF(AND(S187=1,J187=1),1,0)</x:f>
        <x:v>1</x:v>
      </x:c>
      <x:c r="V187" s="19" t="n">
        <x:f>M187+IF(AND(S187=1,J187=2),1,0)</x:f>
        <x:v>3</x:v>
      </x:c>
      <x:c r="W187" s="19" t="n">
        <x:f>SUM(T187:V187)</x:f>
        <x:v>4</x:v>
      </x:c>
      <x:c r="X187" s="19" t="n">
        <x:f>W187-G187</x:f>
        <x:v>0</x:v>
      </x:c>
      <x:c r="Y187" s="19" t="n">
        <x:f>MAX(T187,1)+MAX(U187,1)+MAX(V187,1)</x:f>
        <x:v>5</x:v>
      </x:c>
      <x:c r="Z187" s="21" t="str">
        <x:f>IF(AND(MIN(D187:F187)&gt;=0,MAX(D187:F187)&lt;=7,MAX(D187,1)+MAX(E187,1)+MAX(F187,1)&lt;=9,OR(H187="-",AND(H187=0,D187&gt;0),AND(H187=1,E187&gt;0),AND(H187=2,F187&gt;0)),OR(I187=0,AND(I187=1,OR(J187=0,J187=1,J187=2),R187&lt;&gt;"000")),Y187&lt;=9,MIN(T187:V187)&gt;=0),"合法","输入违约")</x:f>
        <x:v>合法</x:v>
      </x:c>
    </x:row>
    <x:row r="188" ht="23" customHeight="1">
      <x:c r="A188" s="3" t="str">
        <x:v>CT-0181</x:v>
      </x:c>
      <x:c r="B188" s="3" t="str">
        <x:v>ST-023</x:v>
      </x:c>
      <x:c r="C188" s="3" t="str">
        <x:v>仅R回收</x:v>
      </x:c>
      <x:c r="D188" s="25" t="n">
        <x:v>0</x:v>
      </x:c>
      <x:c r="E188" s="25" t="n">
        <x:v>2</x:v>
      </x:c>
      <x:c r="F188" s="25" t="n">
        <x:v>2</x:v>
      </x:c>
      <x:c r="G188" s="19" t="n">
        <x:f>SUM(D188:F188)</x:f>
        <x:v>4</x:v>
      </x:c>
      <x:c r="H188" s="25" t="n">
        <x:v>2</x:v>
      </x:c>
      <x:c r="I188" s="25" t="n">
        <x:v>0</x:v>
      </x:c>
      <x:c r="J188" s="25" t="str">
        <x:v>-</x:v>
      </x:c>
      <x:c r="K188" s="19" t="n">
        <x:f>D188-IF(H188=0,1,0)</x:f>
        <x:v>0</x:v>
      </x:c>
      <x:c r="L188" s="19" t="n">
        <x:f>E188-IF(H188=1,1,0)</x:f>
        <x:v>2</x:v>
      </x:c>
      <x:c r="M188" s="19" t="n">
        <x:f>F188-IF(H188=2,1,0)</x:f>
        <x:v>1</x:v>
      </x:c>
      <x:c r="N188" s="19" t="n">
        <x:f>MAX(K188-1,0)+MAX(L188-1,0)+MAX(M188-1,0)</x:f>
        <x:v>1</x:v>
      </x:c>
      <x:c r="O188" s="19" t="n">
        <x:f>IF(AND(SUM(K188:M188)&lt;9,OR(M188=0,N188&lt;6)),1,0)</x:f>
        <x:v>1</x:v>
      </x:c>
      <x:c r="P188" s="19" t="n">
        <x:f>IF(AND(SUM(K188:M188)&lt;9,OR(L188=0,N188&lt;6)),1,0)</x:f>
        <x:v>1</x:v>
      </x:c>
      <x:c r="Q188" s="19" t="n">
        <x:f>IF(AND(SUM(K188:M188)&lt;9,OR(K188=0,N188&lt;6)),1,0)</x:f>
        <x:v>1</x:v>
      </x:c>
      <x:c r="R188" s="22" t="str">
        <x:f>O188&amp;P188&amp;Q188</x:f>
        <x:v>111</x:v>
      </x:c>
      <x:c r="S188" s="19" t="n">
        <x:f>IF(I188=1,IF(J188=0,Q188,IF(J188=1,P188,IF(J188=2,O188,0))),0)</x:f>
        <x:v>0</x:v>
      </x:c>
      <x:c r="T188" s="19" t="n">
        <x:f>K188+IF(AND(S188=1,J188=0),1,0)</x:f>
        <x:v>0</x:v>
      </x:c>
      <x:c r="U188" s="19" t="n">
        <x:f>L188+IF(AND(S188=1,J188=1),1,0)</x:f>
        <x:v>2</x:v>
      </x:c>
      <x:c r="V188" s="19" t="n">
        <x:f>M188+IF(AND(S188=1,J188=2),1,0)</x:f>
        <x:v>1</x:v>
      </x:c>
      <x:c r="W188" s="19" t="n">
        <x:f>SUM(T188:V188)</x:f>
        <x:v>3</x:v>
      </x:c>
      <x:c r="X188" s="19" t="n">
        <x:f>W188-G188</x:f>
        <x:v>-1</x:v>
      </x:c>
      <x:c r="Y188" s="19" t="n">
        <x:f>MAX(T188,1)+MAX(U188,1)+MAX(V188,1)</x:f>
        <x:v>4</x:v>
      </x:c>
      <x:c r="Z188" s="21" t="str">
        <x:f>IF(AND(MIN(D188:F188)&gt;=0,MAX(D188:F188)&lt;=7,MAX(D188,1)+MAX(E188,1)+MAX(F188,1)&lt;=9,OR(H188="-",AND(H188=0,D188&gt;0),AND(H188=1,E188&gt;0),AND(H188=2,F188&gt;0)),OR(I188=0,AND(I188=1,OR(J188=0,J188=1,J188=2),R188&lt;&gt;"000")),Y188&lt;=9,MIN(T188:V188)&gt;=0),"合法","输入违约")</x:f>
        <x:v>合法</x:v>
      </x:c>
    </x:row>
    <x:row r="189" ht="23" customHeight="1">
      <x:c r="A189" s="3" t="str">
        <x:v>CT-0182</x:v>
      </x:c>
      <x:c r="B189" s="3" t="str">
        <x:v>ST-023</x:v>
      </x:c>
      <x:c r="C189" s="3" t="str">
        <x:v>R+AR同收同发</x:v>
      </x:c>
      <x:c r="D189" s="25" t="n">
        <x:v>0</x:v>
      </x:c>
      <x:c r="E189" s="25" t="n">
        <x:v>2</x:v>
      </x:c>
      <x:c r="F189" s="25" t="n">
        <x:v>2</x:v>
      </x:c>
      <x:c r="G189" s="19" t="n">
        <x:f>SUM(D189:F189)</x:f>
        <x:v>4</x:v>
      </x:c>
      <x:c r="H189" s="25" t="n">
        <x:v>2</x:v>
      </x:c>
      <x:c r="I189" s="25" t="n">
        <x:v>1</x:v>
      </x:c>
      <x:c r="J189" s="25" t="n">
        <x:v>0</x:v>
      </x:c>
      <x:c r="K189" s="19" t="n">
        <x:f>D189-IF(H189=0,1,0)</x:f>
        <x:v>0</x:v>
      </x:c>
      <x:c r="L189" s="19" t="n">
        <x:f>E189-IF(H189=1,1,0)</x:f>
        <x:v>2</x:v>
      </x:c>
      <x:c r="M189" s="19" t="n">
        <x:f>F189-IF(H189=2,1,0)</x:f>
        <x:v>1</x:v>
      </x:c>
      <x:c r="N189" s="19" t="n">
        <x:f>MAX(K189-1,0)+MAX(L189-1,0)+MAX(M189-1,0)</x:f>
        <x:v>1</x:v>
      </x:c>
      <x:c r="O189" s="19" t="n">
        <x:f>IF(AND(SUM(K189:M189)&lt;9,OR(M189=0,N189&lt;6)),1,0)</x:f>
        <x:v>1</x:v>
      </x:c>
      <x:c r="P189" s="19" t="n">
        <x:f>IF(AND(SUM(K189:M189)&lt;9,OR(L189=0,N189&lt;6)),1,0)</x:f>
        <x:v>1</x:v>
      </x:c>
      <x:c r="Q189" s="19" t="n">
        <x:f>IF(AND(SUM(K189:M189)&lt;9,OR(K189=0,N189&lt;6)),1,0)</x:f>
        <x:v>1</x:v>
      </x:c>
      <x:c r="R189" s="22" t="str">
        <x:f>O189&amp;P189&amp;Q189</x:f>
        <x:v>111</x:v>
      </x:c>
      <x:c r="S189" s="19" t="n">
        <x:f>IF(I189=1,IF(J189=0,Q189,IF(J189=1,P189,IF(J189=2,O189,0))),0)</x:f>
        <x:v>1</x:v>
      </x:c>
      <x:c r="T189" s="19" t="n">
        <x:f>K189+IF(AND(S189=1,J189=0),1,0)</x:f>
        <x:v>1</x:v>
      </x:c>
      <x:c r="U189" s="19" t="n">
        <x:f>L189+IF(AND(S189=1,J189=1),1,0)</x:f>
        <x:v>2</x:v>
      </x:c>
      <x:c r="V189" s="19" t="n">
        <x:f>M189+IF(AND(S189=1,J189=2),1,0)</x:f>
        <x:v>1</x:v>
      </x:c>
      <x:c r="W189" s="19" t="n">
        <x:f>SUM(T189:V189)</x:f>
        <x:v>4</x:v>
      </x:c>
      <x:c r="X189" s="19" t="n">
        <x:f>W189-G189</x:f>
        <x:v>0</x:v>
      </x:c>
      <x:c r="Y189" s="19" t="n">
        <x:f>MAX(T189,1)+MAX(U189,1)+MAX(V189,1)</x:f>
        <x:v>4</x:v>
      </x:c>
      <x:c r="Z189" s="21" t="str">
        <x:f>IF(AND(MIN(D189:F189)&gt;=0,MAX(D189:F189)&lt;=7,MAX(D189,1)+MAX(E189,1)+MAX(F189,1)&lt;=9,OR(H189="-",AND(H189=0,D189&gt;0),AND(H189=1,E189&gt;0),AND(H189=2,F189&gt;0)),OR(I189=0,AND(I189=1,OR(J189=0,J189=1,J189=2),R189&lt;&gt;"000")),Y189&lt;=9,MIN(T189:V189)&gt;=0),"合法","输入违约")</x:f>
        <x:v>合法</x:v>
      </x:c>
    </x:row>
    <x:row r="190" ht="23" customHeight="1">
      <x:c r="A190" s="3" t="str">
        <x:v>CT-0183</x:v>
      </x:c>
      <x:c r="B190" s="3" t="str">
        <x:v>ST-023</x:v>
      </x:c>
      <x:c r="C190" s="3" t="str">
        <x:v>R+AR同收同发</x:v>
      </x:c>
      <x:c r="D190" s="25" t="n">
        <x:v>0</x:v>
      </x:c>
      <x:c r="E190" s="25" t="n">
        <x:v>2</x:v>
      </x:c>
      <x:c r="F190" s="25" t="n">
        <x:v>2</x:v>
      </x:c>
      <x:c r="G190" s="19" t="n">
        <x:f>SUM(D190:F190)</x:f>
        <x:v>4</x:v>
      </x:c>
      <x:c r="H190" s="25" t="n">
        <x:v>2</x:v>
      </x:c>
      <x:c r="I190" s="25" t="n">
        <x:v>1</x:v>
      </x:c>
      <x:c r="J190" s="25" t="n">
        <x:v>1</x:v>
      </x:c>
      <x:c r="K190" s="19" t="n">
        <x:f>D190-IF(H190=0,1,0)</x:f>
        <x:v>0</x:v>
      </x:c>
      <x:c r="L190" s="19" t="n">
        <x:f>E190-IF(H190=1,1,0)</x:f>
        <x:v>2</x:v>
      </x:c>
      <x:c r="M190" s="19" t="n">
        <x:f>F190-IF(H190=2,1,0)</x:f>
        <x:v>1</x:v>
      </x:c>
      <x:c r="N190" s="19" t="n">
        <x:f>MAX(K190-1,0)+MAX(L190-1,0)+MAX(M190-1,0)</x:f>
        <x:v>1</x:v>
      </x:c>
      <x:c r="O190" s="19" t="n">
        <x:f>IF(AND(SUM(K190:M190)&lt;9,OR(M190=0,N190&lt;6)),1,0)</x:f>
        <x:v>1</x:v>
      </x:c>
      <x:c r="P190" s="19" t="n">
        <x:f>IF(AND(SUM(K190:M190)&lt;9,OR(L190=0,N190&lt;6)),1,0)</x:f>
        <x:v>1</x:v>
      </x:c>
      <x:c r="Q190" s="19" t="n">
        <x:f>IF(AND(SUM(K190:M190)&lt;9,OR(K190=0,N190&lt;6)),1,0)</x:f>
        <x:v>1</x:v>
      </x:c>
      <x:c r="R190" s="22" t="str">
        <x:f>O190&amp;P190&amp;Q190</x:f>
        <x:v>111</x:v>
      </x:c>
      <x:c r="S190" s="19" t="n">
        <x:f>IF(I190=1,IF(J190=0,Q190,IF(J190=1,P190,IF(J190=2,O190,0))),0)</x:f>
        <x:v>1</x:v>
      </x:c>
      <x:c r="T190" s="19" t="n">
        <x:f>K190+IF(AND(S190=1,J190=0),1,0)</x:f>
        <x:v>0</x:v>
      </x:c>
      <x:c r="U190" s="19" t="n">
        <x:f>L190+IF(AND(S190=1,J190=1),1,0)</x:f>
        <x:v>3</x:v>
      </x:c>
      <x:c r="V190" s="19" t="n">
        <x:f>M190+IF(AND(S190=1,J190=2),1,0)</x:f>
        <x:v>1</x:v>
      </x:c>
      <x:c r="W190" s="19" t="n">
        <x:f>SUM(T190:V190)</x:f>
        <x:v>4</x:v>
      </x:c>
      <x:c r="X190" s="19" t="n">
        <x:f>W190-G190</x:f>
        <x:v>0</x:v>
      </x:c>
      <x:c r="Y190" s="19" t="n">
        <x:f>MAX(T190,1)+MAX(U190,1)+MAX(V190,1)</x:f>
        <x:v>5</x:v>
      </x:c>
      <x:c r="Z190" s="21" t="str">
        <x:f>IF(AND(MIN(D190:F190)&gt;=0,MAX(D190:F190)&lt;=7,MAX(D190,1)+MAX(E190,1)+MAX(F190,1)&lt;=9,OR(H190="-",AND(H190=0,D190&gt;0),AND(H190=1,E190&gt;0),AND(H190=2,F190&gt;0)),OR(I190=0,AND(I190=1,OR(J190=0,J190=1,J190=2),R190&lt;&gt;"000")),Y190&lt;=9,MIN(T190:V190)&gt;=0),"合法","输入违约")</x:f>
        <x:v>合法</x:v>
      </x:c>
    </x:row>
    <x:row r="191" ht="23" customHeight="1">
      <x:c r="A191" s="3" t="str">
        <x:v>CT-0184</x:v>
      </x:c>
      <x:c r="B191" s="3" t="str">
        <x:v>ST-023</x:v>
      </x:c>
      <x:c r="C191" s="3" t="str">
        <x:v>R+AR同收同发</x:v>
      </x:c>
      <x:c r="D191" s="25" t="n">
        <x:v>0</x:v>
      </x:c>
      <x:c r="E191" s="25" t="n">
        <x:v>2</x:v>
      </x:c>
      <x:c r="F191" s="25" t="n">
        <x:v>2</x:v>
      </x:c>
      <x:c r="G191" s="19" t="n">
        <x:f>SUM(D191:F191)</x:f>
        <x:v>4</x:v>
      </x:c>
      <x:c r="H191" s="25" t="n">
        <x:v>2</x:v>
      </x:c>
      <x:c r="I191" s="25" t="n">
        <x:v>1</x:v>
      </x:c>
      <x:c r="J191" s="25" t="n">
        <x:v>2</x:v>
      </x:c>
      <x:c r="K191" s="19" t="n">
        <x:f>D191-IF(H191=0,1,0)</x:f>
        <x:v>0</x:v>
      </x:c>
      <x:c r="L191" s="19" t="n">
        <x:f>E191-IF(H191=1,1,0)</x:f>
        <x:v>2</x:v>
      </x:c>
      <x:c r="M191" s="19" t="n">
        <x:f>F191-IF(H191=2,1,0)</x:f>
        <x:v>1</x:v>
      </x:c>
      <x:c r="N191" s="19" t="n">
        <x:f>MAX(K191-1,0)+MAX(L191-1,0)+MAX(M191-1,0)</x:f>
        <x:v>1</x:v>
      </x:c>
      <x:c r="O191" s="19" t="n">
        <x:f>IF(AND(SUM(K191:M191)&lt;9,OR(M191=0,N191&lt;6)),1,0)</x:f>
        <x:v>1</x:v>
      </x:c>
      <x:c r="P191" s="19" t="n">
        <x:f>IF(AND(SUM(K191:M191)&lt;9,OR(L191=0,N191&lt;6)),1,0)</x:f>
        <x:v>1</x:v>
      </x:c>
      <x:c r="Q191" s="19" t="n">
        <x:f>IF(AND(SUM(K191:M191)&lt;9,OR(K191=0,N191&lt;6)),1,0)</x:f>
        <x:v>1</x:v>
      </x:c>
      <x:c r="R191" s="22" t="str">
        <x:f>O191&amp;P191&amp;Q191</x:f>
        <x:v>111</x:v>
      </x:c>
      <x:c r="S191" s="19" t="n">
        <x:f>IF(I191=1,IF(J191=0,Q191,IF(J191=1,P191,IF(J191=2,O191,0))),0)</x:f>
        <x:v>1</x:v>
      </x:c>
      <x:c r="T191" s="19" t="n">
        <x:f>K191+IF(AND(S191=1,J191=0),1,0)</x:f>
        <x:v>0</x:v>
      </x:c>
      <x:c r="U191" s="19" t="n">
        <x:f>L191+IF(AND(S191=1,J191=1),1,0)</x:f>
        <x:v>2</x:v>
      </x:c>
      <x:c r="V191" s="19" t="n">
        <x:f>M191+IF(AND(S191=1,J191=2),1,0)</x:f>
        <x:v>2</x:v>
      </x:c>
      <x:c r="W191" s="19" t="n">
        <x:f>SUM(T191:V191)</x:f>
        <x:v>4</x:v>
      </x:c>
      <x:c r="X191" s="19" t="n">
        <x:f>W191-G191</x:f>
        <x:v>0</x:v>
      </x:c>
      <x:c r="Y191" s="19" t="n">
        <x:f>MAX(T191,1)+MAX(U191,1)+MAX(V191,1)</x:f>
        <x:v>5</x:v>
      </x:c>
      <x:c r="Z191" s="21" t="str">
        <x:f>IF(AND(MIN(D191:F191)&gt;=0,MAX(D191:F191)&lt;=7,MAX(D191,1)+MAX(E191,1)+MAX(F191,1)&lt;=9,OR(H191="-",AND(H191=0,D191&gt;0),AND(H191=1,E191&gt;0),AND(H191=2,F191&gt;0)),OR(I191=0,AND(I191=1,OR(J191=0,J191=1,J191=2),R191&lt;&gt;"000")),Y191&lt;=9,MIN(T191:V191)&gt;=0),"合法","输入违约")</x:f>
        <x:v>合法</x:v>
      </x:c>
    </x:row>
    <x:row r="192" ht="23" customHeight="1">
      <x:c r="A192" s="3" t="str">
        <x:v>CT-0185</x:v>
      </x:c>
      <x:c r="B192" s="3" t="str">
        <x:v>ST-038</x:v>
      </x:c>
      <x:c r="C192" s="3" t="str">
        <x:v>无AR/R</x:v>
      </x:c>
      <x:c r="D192" s="25" t="n">
        <x:v>0</x:v>
      </x:c>
      <x:c r="E192" s="25" t="n">
        <x:v>2</x:v>
      </x:c>
      <x:c r="F192" s="25" t="n">
        <x:v>3</x:v>
      </x:c>
      <x:c r="G192" s="19" t="n">
        <x:f>SUM(D192:F192)</x:f>
        <x:v>5</x:v>
      </x:c>
      <x:c r="H192" s="25" t="str">
        <x:v>-</x:v>
      </x:c>
      <x:c r="I192" s="25" t="n">
        <x:v>0</x:v>
      </x:c>
      <x:c r="J192" s="25" t="str">
        <x:v>-</x:v>
      </x:c>
      <x:c r="K192" s="19" t="n">
        <x:f>D192-IF(H192=0,1,0)</x:f>
        <x:v>0</x:v>
      </x:c>
      <x:c r="L192" s="19" t="n">
        <x:f>E192-IF(H192=1,1,0)</x:f>
        <x:v>2</x:v>
      </x:c>
      <x:c r="M192" s="19" t="n">
        <x:f>F192-IF(H192=2,1,0)</x:f>
        <x:v>3</x:v>
      </x:c>
      <x:c r="N192" s="19" t="n">
        <x:f>MAX(K192-1,0)+MAX(L192-1,0)+MAX(M192-1,0)</x:f>
        <x:v>3</x:v>
      </x:c>
      <x:c r="O192" s="19" t="n">
        <x:f>IF(AND(SUM(K192:M192)&lt;9,OR(M192=0,N192&lt;6)),1,0)</x:f>
        <x:v>1</x:v>
      </x:c>
      <x:c r="P192" s="19" t="n">
        <x:f>IF(AND(SUM(K192:M192)&lt;9,OR(L192=0,N192&lt;6)),1,0)</x:f>
        <x:v>1</x:v>
      </x:c>
      <x:c r="Q192" s="19" t="n">
        <x:f>IF(AND(SUM(K192:M192)&lt;9,OR(K192=0,N192&lt;6)),1,0)</x:f>
        <x:v>1</x:v>
      </x:c>
      <x:c r="R192" s="22" t="str">
        <x:f>O192&amp;P192&amp;Q192</x:f>
        <x:v>111</x:v>
      </x:c>
      <x:c r="S192" s="19" t="n">
        <x:f>IF(I192=1,IF(J192=0,Q192,IF(J192=1,P192,IF(J192=2,O192,0))),0)</x:f>
        <x:v>0</x:v>
      </x:c>
      <x:c r="T192" s="19" t="n">
        <x:f>K192+IF(AND(S192=1,J192=0),1,0)</x:f>
        <x:v>0</x:v>
      </x:c>
      <x:c r="U192" s="19" t="n">
        <x:f>L192+IF(AND(S192=1,J192=1),1,0)</x:f>
        <x:v>2</x:v>
      </x:c>
      <x:c r="V192" s="19" t="n">
        <x:f>M192+IF(AND(S192=1,J192=2),1,0)</x:f>
        <x:v>3</x:v>
      </x:c>
      <x:c r="W192" s="19" t="n">
        <x:f>SUM(T192:V192)</x:f>
        <x:v>5</x:v>
      </x:c>
      <x:c r="X192" s="19" t="n">
        <x:f>W192-G192</x:f>
        <x:v>0</x:v>
      </x:c>
      <x:c r="Y192" s="19" t="n">
        <x:f>MAX(T192,1)+MAX(U192,1)+MAX(V192,1)</x:f>
        <x:v>6</x:v>
      </x:c>
      <x:c r="Z192" s="21" t="str">
        <x:f>IF(AND(MIN(D192:F192)&gt;=0,MAX(D192:F192)&lt;=7,MAX(D192,1)+MAX(E192,1)+MAX(F192,1)&lt;=9,OR(H192="-",AND(H192=0,D192&gt;0),AND(H192=1,E192&gt;0),AND(H192=2,F192&gt;0)),OR(I192=0,AND(I192=1,OR(J192=0,J192=1,J192=2),R192&lt;&gt;"000")),Y192&lt;=9,MIN(T192:V192)&gt;=0),"合法","输入违约")</x:f>
        <x:v>合法</x:v>
      </x:c>
    </x:row>
    <x:row r="193" ht="23" customHeight="1">
      <x:c r="A193" s="3" t="str">
        <x:v>CT-0186</x:v>
      </x:c>
      <x:c r="B193" s="3" t="str">
        <x:v>ST-038</x:v>
      </x:c>
      <x:c r="C193" s="3" t="str">
        <x:v>仅AR接收</x:v>
      </x:c>
      <x:c r="D193" s="25" t="n">
        <x:v>0</x:v>
      </x:c>
      <x:c r="E193" s="25" t="n">
        <x:v>2</x:v>
      </x:c>
      <x:c r="F193" s="25" t="n">
        <x:v>3</x:v>
      </x:c>
      <x:c r="G193" s="19" t="n">
        <x:f>SUM(D193:F193)</x:f>
        <x:v>5</x:v>
      </x:c>
      <x:c r="H193" s="25" t="str">
        <x:v>-</x:v>
      </x:c>
      <x:c r="I193" s="25" t="n">
        <x:v>1</x:v>
      </x:c>
      <x:c r="J193" s="25" t="n">
        <x:v>0</x:v>
      </x:c>
      <x:c r="K193" s="19" t="n">
        <x:f>D193-IF(H193=0,1,0)</x:f>
        <x:v>0</x:v>
      </x:c>
      <x:c r="L193" s="19" t="n">
        <x:f>E193-IF(H193=1,1,0)</x:f>
        <x:v>2</x:v>
      </x:c>
      <x:c r="M193" s="19" t="n">
        <x:f>F193-IF(H193=2,1,0)</x:f>
        <x:v>3</x:v>
      </x:c>
      <x:c r="N193" s="19" t="n">
        <x:f>MAX(K193-1,0)+MAX(L193-1,0)+MAX(M193-1,0)</x:f>
        <x:v>3</x:v>
      </x:c>
      <x:c r="O193" s="19" t="n">
        <x:f>IF(AND(SUM(K193:M193)&lt;9,OR(M193=0,N193&lt;6)),1,0)</x:f>
        <x:v>1</x:v>
      </x:c>
      <x:c r="P193" s="19" t="n">
        <x:f>IF(AND(SUM(K193:M193)&lt;9,OR(L193=0,N193&lt;6)),1,0)</x:f>
        <x:v>1</x:v>
      </x:c>
      <x:c r="Q193" s="19" t="n">
        <x:f>IF(AND(SUM(K193:M193)&lt;9,OR(K193=0,N193&lt;6)),1,0)</x:f>
        <x:v>1</x:v>
      </x:c>
      <x:c r="R193" s="22" t="str">
        <x:f>O193&amp;P193&amp;Q193</x:f>
        <x:v>111</x:v>
      </x:c>
      <x:c r="S193" s="19" t="n">
        <x:f>IF(I193=1,IF(J193=0,Q193,IF(J193=1,P193,IF(J193=2,O193,0))),0)</x:f>
        <x:v>1</x:v>
      </x:c>
      <x:c r="T193" s="19" t="n">
        <x:f>K193+IF(AND(S193=1,J193=0),1,0)</x:f>
        <x:v>1</x:v>
      </x:c>
      <x:c r="U193" s="19" t="n">
        <x:f>L193+IF(AND(S193=1,J193=1),1,0)</x:f>
        <x:v>2</x:v>
      </x:c>
      <x:c r="V193" s="19" t="n">
        <x:f>M193+IF(AND(S193=1,J193=2),1,0)</x:f>
        <x:v>3</x:v>
      </x:c>
      <x:c r="W193" s="19" t="n">
        <x:f>SUM(T193:V193)</x:f>
        <x:v>6</x:v>
      </x:c>
      <x:c r="X193" s="19" t="n">
        <x:f>W193-G193</x:f>
        <x:v>1</x:v>
      </x:c>
      <x:c r="Y193" s="19" t="n">
        <x:f>MAX(T193,1)+MAX(U193,1)+MAX(V193,1)</x:f>
        <x:v>6</x:v>
      </x:c>
      <x:c r="Z193" s="21" t="str">
        <x:f>IF(AND(MIN(D193:F193)&gt;=0,MAX(D193:F193)&lt;=7,MAX(D193,1)+MAX(E193,1)+MAX(F193,1)&lt;=9,OR(H193="-",AND(H193=0,D193&gt;0),AND(H193=1,E193&gt;0),AND(H193=2,F193&gt;0)),OR(I193=0,AND(I193=1,OR(J193=0,J193=1,J193=2),R193&lt;&gt;"000")),Y193&lt;=9,MIN(T193:V193)&gt;=0),"合法","输入违约")</x:f>
        <x:v>合法</x:v>
      </x:c>
    </x:row>
    <x:row r="194" ht="23" customHeight="1">
      <x:c r="A194" s="3" t="str">
        <x:v>CT-0187</x:v>
      </x:c>
      <x:c r="B194" s="3" t="str">
        <x:v>ST-038</x:v>
      </x:c>
      <x:c r="C194" s="3" t="str">
        <x:v>仅AR接收</x:v>
      </x:c>
      <x:c r="D194" s="25" t="n">
        <x:v>0</x:v>
      </x:c>
      <x:c r="E194" s="25" t="n">
        <x:v>2</x:v>
      </x:c>
      <x:c r="F194" s="25" t="n">
        <x:v>3</x:v>
      </x:c>
      <x:c r="G194" s="19" t="n">
        <x:f>SUM(D194:F194)</x:f>
        <x:v>5</x:v>
      </x:c>
      <x:c r="H194" s="25" t="str">
        <x:v>-</x:v>
      </x:c>
      <x:c r="I194" s="25" t="n">
        <x:v>1</x:v>
      </x:c>
      <x:c r="J194" s="25" t="n">
        <x:v>1</x:v>
      </x:c>
      <x:c r="K194" s="19" t="n">
        <x:f>D194-IF(H194=0,1,0)</x:f>
        <x:v>0</x:v>
      </x:c>
      <x:c r="L194" s="19" t="n">
        <x:f>E194-IF(H194=1,1,0)</x:f>
        <x:v>2</x:v>
      </x:c>
      <x:c r="M194" s="19" t="n">
        <x:f>F194-IF(H194=2,1,0)</x:f>
        <x:v>3</x:v>
      </x:c>
      <x:c r="N194" s="19" t="n">
        <x:f>MAX(K194-1,0)+MAX(L194-1,0)+MAX(M194-1,0)</x:f>
        <x:v>3</x:v>
      </x:c>
      <x:c r="O194" s="19" t="n">
        <x:f>IF(AND(SUM(K194:M194)&lt;9,OR(M194=0,N194&lt;6)),1,0)</x:f>
        <x:v>1</x:v>
      </x:c>
      <x:c r="P194" s="19" t="n">
        <x:f>IF(AND(SUM(K194:M194)&lt;9,OR(L194=0,N194&lt;6)),1,0)</x:f>
        <x:v>1</x:v>
      </x:c>
      <x:c r="Q194" s="19" t="n">
        <x:f>IF(AND(SUM(K194:M194)&lt;9,OR(K194=0,N194&lt;6)),1,0)</x:f>
        <x:v>1</x:v>
      </x:c>
      <x:c r="R194" s="22" t="str">
        <x:f>O194&amp;P194&amp;Q194</x:f>
        <x:v>111</x:v>
      </x:c>
      <x:c r="S194" s="19" t="n">
        <x:f>IF(I194=1,IF(J194=0,Q194,IF(J194=1,P194,IF(J194=2,O194,0))),0)</x:f>
        <x:v>1</x:v>
      </x:c>
      <x:c r="T194" s="19" t="n">
        <x:f>K194+IF(AND(S194=1,J194=0),1,0)</x:f>
        <x:v>0</x:v>
      </x:c>
      <x:c r="U194" s="19" t="n">
        <x:f>L194+IF(AND(S194=1,J194=1),1,0)</x:f>
        <x:v>3</x:v>
      </x:c>
      <x:c r="V194" s="19" t="n">
        <x:f>M194+IF(AND(S194=1,J194=2),1,0)</x:f>
        <x:v>3</x:v>
      </x:c>
      <x:c r="W194" s="19" t="n">
        <x:f>SUM(T194:V194)</x:f>
        <x:v>6</x:v>
      </x:c>
      <x:c r="X194" s="19" t="n">
        <x:f>W194-G194</x:f>
        <x:v>1</x:v>
      </x:c>
      <x:c r="Y194" s="19" t="n">
        <x:f>MAX(T194,1)+MAX(U194,1)+MAX(V194,1)</x:f>
        <x:v>7</x:v>
      </x:c>
      <x:c r="Z194" s="21" t="str">
        <x:f>IF(AND(MIN(D194:F194)&gt;=0,MAX(D194:F194)&lt;=7,MAX(D194,1)+MAX(E194,1)+MAX(F194,1)&lt;=9,OR(H194="-",AND(H194=0,D194&gt;0),AND(H194=1,E194&gt;0),AND(H194=2,F194&gt;0)),OR(I194=0,AND(I194=1,OR(J194=0,J194=1,J194=2),R194&lt;&gt;"000")),Y194&lt;=9,MIN(T194:V194)&gt;=0),"合法","输入违约")</x:f>
        <x:v>合法</x:v>
      </x:c>
    </x:row>
    <x:row r="195" ht="23" customHeight="1">
      <x:c r="A195" s="3" t="str">
        <x:v>CT-0188</x:v>
      </x:c>
      <x:c r="B195" s="3" t="str">
        <x:v>ST-038</x:v>
      </x:c>
      <x:c r="C195" s="3" t="str">
        <x:v>仅AR接收</x:v>
      </x:c>
      <x:c r="D195" s="25" t="n">
        <x:v>0</x:v>
      </x:c>
      <x:c r="E195" s="25" t="n">
        <x:v>2</x:v>
      </x:c>
      <x:c r="F195" s="25" t="n">
        <x:v>3</x:v>
      </x:c>
      <x:c r="G195" s="19" t="n">
        <x:f>SUM(D195:F195)</x:f>
        <x:v>5</x:v>
      </x:c>
      <x:c r="H195" s="25" t="str">
        <x:v>-</x:v>
      </x:c>
      <x:c r="I195" s="25" t="n">
        <x:v>1</x:v>
      </x:c>
      <x:c r="J195" s="25" t="n">
        <x:v>2</x:v>
      </x:c>
      <x:c r="K195" s="19" t="n">
        <x:f>D195-IF(H195=0,1,0)</x:f>
        <x:v>0</x:v>
      </x:c>
      <x:c r="L195" s="19" t="n">
        <x:f>E195-IF(H195=1,1,0)</x:f>
        <x:v>2</x:v>
      </x:c>
      <x:c r="M195" s="19" t="n">
        <x:f>F195-IF(H195=2,1,0)</x:f>
        <x:v>3</x:v>
      </x:c>
      <x:c r="N195" s="19" t="n">
        <x:f>MAX(K195-1,0)+MAX(L195-1,0)+MAX(M195-1,0)</x:f>
        <x:v>3</x:v>
      </x:c>
      <x:c r="O195" s="19" t="n">
        <x:f>IF(AND(SUM(K195:M195)&lt;9,OR(M195=0,N195&lt;6)),1,0)</x:f>
        <x:v>1</x:v>
      </x:c>
      <x:c r="P195" s="19" t="n">
        <x:f>IF(AND(SUM(K195:M195)&lt;9,OR(L195=0,N195&lt;6)),1,0)</x:f>
        <x:v>1</x:v>
      </x:c>
      <x:c r="Q195" s="19" t="n">
        <x:f>IF(AND(SUM(K195:M195)&lt;9,OR(K195=0,N195&lt;6)),1,0)</x:f>
        <x:v>1</x:v>
      </x:c>
      <x:c r="R195" s="22" t="str">
        <x:f>O195&amp;P195&amp;Q195</x:f>
        <x:v>111</x:v>
      </x:c>
      <x:c r="S195" s="19" t="n">
        <x:f>IF(I195=1,IF(J195=0,Q195,IF(J195=1,P195,IF(J195=2,O195,0))),0)</x:f>
        <x:v>1</x:v>
      </x:c>
      <x:c r="T195" s="19" t="n">
        <x:f>K195+IF(AND(S195=1,J195=0),1,0)</x:f>
        <x:v>0</x:v>
      </x:c>
      <x:c r="U195" s="19" t="n">
        <x:f>L195+IF(AND(S195=1,J195=1),1,0)</x:f>
        <x:v>2</x:v>
      </x:c>
      <x:c r="V195" s="19" t="n">
        <x:f>M195+IF(AND(S195=1,J195=2),1,0)</x:f>
        <x:v>4</x:v>
      </x:c>
      <x:c r="W195" s="19" t="n">
        <x:f>SUM(T195:V195)</x:f>
        <x:v>6</x:v>
      </x:c>
      <x:c r="X195" s="19" t="n">
        <x:f>W195-G195</x:f>
        <x:v>1</x:v>
      </x:c>
      <x:c r="Y195" s="19" t="n">
        <x:f>MAX(T195,1)+MAX(U195,1)+MAX(V195,1)</x:f>
        <x:v>7</x:v>
      </x:c>
      <x:c r="Z195" s="21" t="str">
        <x:f>IF(AND(MIN(D195:F195)&gt;=0,MAX(D195:F195)&lt;=7,MAX(D195,1)+MAX(E195,1)+MAX(F195,1)&lt;=9,OR(H195="-",AND(H195=0,D195&gt;0),AND(H195=1,E195&gt;0),AND(H195=2,F195&gt;0)),OR(I195=0,AND(I195=1,OR(J195=0,J195=1,J195=2),R195&lt;&gt;"000")),Y195&lt;=9,MIN(T195:V195)&gt;=0),"合法","输入违约")</x:f>
        <x:v>合法</x:v>
      </x:c>
    </x:row>
    <x:row r="196" ht="23" customHeight="1">
      <x:c r="A196" s="3" t="str">
        <x:v>CT-0189</x:v>
      </x:c>
      <x:c r="B196" s="3" t="str">
        <x:v>ST-038</x:v>
      </x:c>
      <x:c r="C196" s="3" t="str">
        <x:v>仅R回收</x:v>
      </x:c>
      <x:c r="D196" s="25" t="n">
        <x:v>0</x:v>
      </x:c>
      <x:c r="E196" s="25" t="n">
        <x:v>2</x:v>
      </x:c>
      <x:c r="F196" s="25" t="n">
        <x:v>3</x:v>
      </x:c>
      <x:c r="G196" s="19" t="n">
        <x:f>SUM(D196:F196)</x:f>
        <x:v>5</x:v>
      </x:c>
      <x:c r="H196" s="25" t="n">
        <x:v>1</x:v>
      </x:c>
      <x:c r="I196" s="25" t="n">
        <x:v>0</x:v>
      </x:c>
      <x:c r="J196" s="25" t="str">
        <x:v>-</x:v>
      </x:c>
      <x:c r="K196" s="19" t="n">
        <x:f>D196-IF(H196=0,1,0)</x:f>
        <x:v>0</x:v>
      </x:c>
      <x:c r="L196" s="19" t="n">
        <x:f>E196-IF(H196=1,1,0)</x:f>
        <x:v>1</x:v>
      </x:c>
      <x:c r="M196" s="19" t="n">
        <x:f>F196-IF(H196=2,1,0)</x:f>
        <x:v>3</x:v>
      </x:c>
      <x:c r="N196" s="19" t="n">
        <x:f>MAX(K196-1,0)+MAX(L196-1,0)+MAX(M196-1,0)</x:f>
        <x:v>2</x:v>
      </x:c>
      <x:c r="O196" s="19" t="n">
        <x:f>IF(AND(SUM(K196:M196)&lt;9,OR(M196=0,N196&lt;6)),1,0)</x:f>
        <x:v>1</x:v>
      </x:c>
      <x:c r="P196" s="19" t="n">
        <x:f>IF(AND(SUM(K196:M196)&lt;9,OR(L196=0,N196&lt;6)),1,0)</x:f>
        <x:v>1</x:v>
      </x:c>
      <x:c r="Q196" s="19" t="n">
        <x:f>IF(AND(SUM(K196:M196)&lt;9,OR(K196=0,N196&lt;6)),1,0)</x:f>
        <x:v>1</x:v>
      </x:c>
      <x:c r="R196" s="22" t="str">
        <x:f>O196&amp;P196&amp;Q196</x:f>
        <x:v>111</x:v>
      </x:c>
      <x:c r="S196" s="19" t="n">
        <x:f>IF(I196=1,IF(J196=0,Q196,IF(J196=1,P196,IF(J196=2,O196,0))),0)</x:f>
        <x:v>0</x:v>
      </x:c>
      <x:c r="T196" s="19" t="n">
        <x:f>K196+IF(AND(S196=1,J196=0),1,0)</x:f>
        <x:v>0</x:v>
      </x:c>
      <x:c r="U196" s="19" t="n">
        <x:f>L196+IF(AND(S196=1,J196=1),1,0)</x:f>
        <x:v>1</x:v>
      </x:c>
      <x:c r="V196" s="19" t="n">
        <x:f>M196+IF(AND(S196=1,J196=2),1,0)</x:f>
        <x:v>3</x:v>
      </x:c>
      <x:c r="W196" s="19" t="n">
        <x:f>SUM(T196:V196)</x:f>
        <x:v>4</x:v>
      </x:c>
      <x:c r="X196" s="19" t="n">
        <x:f>W196-G196</x:f>
        <x:v>-1</x:v>
      </x:c>
      <x:c r="Y196" s="19" t="n">
        <x:f>MAX(T196,1)+MAX(U196,1)+MAX(V196,1)</x:f>
        <x:v>5</x:v>
      </x:c>
      <x:c r="Z196" s="21" t="str">
        <x:f>IF(AND(MIN(D196:F196)&gt;=0,MAX(D196:F196)&lt;=7,MAX(D196,1)+MAX(E196,1)+MAX(F196,1)&lt;=9,OR(H196="-",AND(H196=0,D196&gt;0),AND(H196=1,E196&gt;0),AND(H196=2,F196&gt;0)),OR(I196=0,AND(I196=1,OR(J196=0,J196=1,J196=2),R196&lt;&gt;"000")),Y196&lt;=9,MIN(T196:V196)&gt;=0),"合法","输入违约")</x:f>
        <x:v>合法</x:v>
      </x:c>
    </x:row>
    <x:row r="197" ht="23" customHeight="1">
      <x:c r="A197" s="3" t="str">
        <x:v>CT-0190</x:v>
      </x:c>
      <x:c r="B197" s="3" t="str">
        <x:v>ST-038</x:v>
      </x:c>
      <x:c r="C197" s="3" t="str">
        <x:v>R+AR同收同发</x:v>
      </x:c>
      <x:c r="D197" s="25" t="n">
        <x:v>0</x:v>
      </x:c>
      <x:c r="E197" s="25" t="n">
        <x:v>2</x:v>
      </x:c>
      <x:c r="F197" s="25" t="n">
        <x:v>3</x:v>
      </x:c>
      <x:c r="G197" s="19" t="n">
        <x:f>SUM(D197:F197)</x:f>
        <x:v>5</x:v>
      </x:c>
      <x:c r="H197" s="25" t="n">
        <x:v>1</x:v>
      </x:c>
      <x:c r="I197" s="25" t="n">
        <x:v>1</x:v>
      </x:c>
      <x:c r="J197" s="25" t="n">
        <x:v>0</x:v>
      </x:c>
      <x:c r="K197" s="19" t="n">
        <x:f>D197-IF(H197=0,1,0)</x:f>
        <x:v>0</x:v>
      </x:c>
      <x:c r="L197" s="19" t="n">
        <x:f>E197-IF(H197=1,1,0)</x:f>
        <x:v>1</x:v>
      </x:c>
      <x:c r="M197" s="19" t="n">
        <x:f>F197-IF(H197=2,1,0)</x:f>
        <x:v>3</x:v>
      </x:c>
      <x:c r="N197" s="19" t="n">
        <x:f>MAX(K197-1,0)+MAX(L197-1,0)+MAX(M197-1,0)</x:f>
        <x:v>2</x:v>
      </x:c>
      <x:c r="O197" s="19" t="n">
        <x:f>IF(AND(SUM(K197:M197)&lt;9,OR(M197=0,N197&lt;6)),1,0)</x:f>
        <x:v>1</x:v>
      </x:c>
      <x:c r="P197" s="19" t="n">
        <x:f>IF(AND(SUM(K197:M197)&lt;9,OR(L197=0,N197&lt;6)),1,0)</x:f>
        <x:v>1</x:v>
      </x:c>
      <x:c r="Q197" s="19" t="n">
        <x:f>IF(AND(SUM(K197:M197)&lt;9,OR(K197=0,N197&lt;6)),1,0)</x:f>
        <x:v>1</x:v>
      </x:c>
      <x:c r="R197" s="22" t="str">
        <x:f>O197&amp;P197&amp;Q197</x:f>
        <x:v>111</x:v>
      </x:c>
      <x:c r="S197" s="19" t="n">
        <x:f>IF(I197=1,IF(J197=0,Q197,IF(J197=1,P197,IF(J197=2,O197,0))),0)</x:f>
        <x:v>1</x:v>
      </x:c>
      <x:c r="T197" s="19" t="n">
        <x:f>K197+IF(AND(S197=1,J197=0),1,0)</x:f>
        <x:v>1</x:v>
      </x:c>
      <x:c r="U197" s="19" t="n">
        <x:f>L197+IF(AND(S197=1,J197=1),1,0)</x:f>
        <x:v>1</x:v>
      </x:c>
      <x:c r="V197" s="19" t="n">
        <x:f>M197+IF(AND(S197=1,J197=2),1,0)</x:f>
        <x:v>3</x:v>
      </x:c>
      <x:c r="W197" s="19" t="n">
        <x:f>SUM(T197:V197)</x:f>
        <x:v>5</x:v>
      </x:c>
      <x:c r="X197" s="19" t="n">
        <x:f>W197-G197</x:f>
        <x:v>0</x:v>
      </x:c>
      <x:c r="Y197" s="19" t="n">
        <x:f>MAX(T197,1)+MAX(U197,1)+MAX(V197,1)</x:f>
        <x:v>5</x:v>
      </x:c>
      <x:c r="Z197" s="21" t="str">
        <x:f>IF(AND(MIN(D197:F197)&gt;=0,MAX(D197:F197)&lt;=7,MAX(D197,1)+MAX(E197,1)+MAX(F197,1)&lt;=9,OR(H197="-",AND(H197=0,D197&gt;0),AND(H197=1,E197&gt;0),AND(H197=2,F197&gt;0)),OR(I197=0,AND(I197=1,OR(J197=0,J197=1,J197=2),R197&lt;&gt;"000")),Y197&lt;=9,MIN(T197:V197)&gt;=0),"合法","输入违约")</x:f>
        <x:v>合法</x:v>
      </x:c>
    </x:row>
    <x:row r="198" ht="23" customHeight="1">
      <x:c r="A198" s="3" t="str">
        <x:v>CT-0191</x:v>
      </x:c>
      <x:c r="B198" s="3" t="str">
        <x:v>ST-038</x:v>
      </x:c>
      <x:c r="C198" s="3" t="str">
        <x:v>R+AR同收同发</x:v>
      </x:c>
      <x:c r="D198" s="25" t="n">
        <x:v>0</x:v>
      </x:c>
      <x:c r="E198" s="25" t="n">
        <x:v>2</x:v>
      </x:c>
      <x:c r="F198" s="25" t="n">
        <x:v>3</x:v>
      </x:c>
      <x:c r="G198" s="19" t="n">
        <x:f>SUM(D198:F198)</x:f>
        <x:v>5</x:v>
      </x:c>
      <x:c r="H198" s="25" t="n">
        <x:v>1</x:v>
      </x:c>
      <x:c r="I198" s="25" t="n">
        <x:v>1</x:v>
      </x:c>
      <x:c r="J198" s="25" t="n">
        <x:v>1</x:v>
      </x:c>
      <x:c r="K198" s="19" t="n">
        <x:f>D198-IF(H198=0,1,0)</x:f>
        <x:v>0</x:v>
      </x:c>
      <x:c r="L198" s="19" t="n">
        <x:f>E198-IF(H198=1,1,0)</x:f>
        <x:v>1</x:v>
      </x:c>
      <x:c r="M198" s="19" t="n">
        <x:f>F198-IF(H198=2,1,0)</x:f>
        <x:v>3</x:v>
      </x:c>
      <x:c r="N198" s="19" t="n">
        <x:f>MAX(K198-1,0)+MAX(L198-1,0)+MAX(M198-1,0)</x:f>
        <x:v>2</x:v>
      </x:c>
      <x:c r="O198" s="19" t="n">
        <x:f>IF(AND(SUM(K198:M198)&lt;9,OR(M198=0,N198&lt;6)),1,0)</x:f>
        <x:v>1</x:v>
      </x:c>
      <x:c r="P198" s="19" t="n">
        <x:f>IF(AND(SUM(K198:M198)&lt;9,OR(L198=0,N198&lt;6)),1,0)</x:f>
        <x:v>1</x:v>
      </x:c>
      <x:c r="Q198" s="19" t="n">
        <x:f>IF(AND(SUM(K198:M198)&lt;9,OR(K198=0,N198&lt;6)),1,0)</x:f>
        <x:v>1</x:v>
      </x:c>
      <x:c r="R198" s="22" t="str">
        <x:f>O198&amp;P198&amp;Q198</x:f>
        <x:v>111</x:v>
      </x:c>
      <x:c r="S198" s="19" t="n">
        <x:f>IF(I198=1,IF(J198=0,Q198,IF(J198=1,P198,IF(J198=2,O198,0))),0)</x:f>
        <x:v>1</x:v>
      </x:c>
      <x:c r="T198" s="19" t="n">
        <x:f>K198+IF(AND(S198=1,J198=0),1,0)</x:f>
        <x:v>0</x:v>
      </x:c>
      <x:c r="U198" s="19" t="n">
        <x:f>L198+IF(AND(S198=1,J198=1),1,0)</x:f>
        <x:v>2</x:v>
      </x:c>
      <x:c r="V198" s="19" t="n">
        <x:f>M198+IF(AND(S198=1,J198=2),1,0)</x:f>
        <x:v>3</x:v>
      </x:c>
      <x:c r="W198" s="19" t="n">
        <x:f>SUM(T198:V198)</x:f>
        <x:v>5</x:v>
      </x:c>
      <x:c r="X198" s="19" t="n">
        <x:f>W198-G198</x:f>
        <x:v>0</x:v>
      </x:c>
      <x:c r="Y198" s="19" t="n">
        <x:f>MAX(T198,1)+MAX(U198,1)+MAX(V198,1)</x:f>
        <x:v>6</x:v>
      </x:c>
      <x:c r="Z198" s="21" t="str">
        <x:f>IF(AND(MIN(D198:F198)&gt;=0,MAX(D198:F198)&lt;=7,MAX(D198,1)+MAX(E198,1)+MAX(F198,1)&lt;=9,OR(H198="-",AND(H198=0,D198&gt;0),AND(H198=1,E198&gt;0),AND(H198=2,F198&gt;0)),OR(I198=0,AND(I198=1,OR(J198=0,J198=1,J198=2),R198&lt;&gt;"000")),Y198&lt;=9,MIN(T198:V198)&gt;=0),"合法","输入违约")</x:f>
        <x:v>合法</x:v>
      </x:c>
    </x:row>
    <x:row r="199" ht="23" customHeight="1">
      <x:c r="A199" s="3" t="str">
        <x:v>CT-0192</x:v>
      </x:c>
      <x:c r="B199" s="3" t="str">
        <x:v>ST-038</x:v>
      </x:c>
      <x:c r="C199" s="3" t="str">
        <x:v>R+AR同收同发</x:v>
      </x:c>
      <x:c r="D199" s="25" t="n">
        <x:v>0</x:v>
      </x:c>
      <x:c r="E199" s="25" t="n">
        <x:v>2</x:v>
      </x:c>
      <x:c r="F199" s="25" t="n">
        <x:v>3</x:v>
      </x:c>
      <x:c r="G199" s="19" t="n">
        <x:f>SUM(D199:F199)</x:f>
        <x:v>5</x:v>
      </x:c>
      <x:c r="H199" s="25" t="n">
        <x:v>1</x:v>
      </x:c>
      <x:c r="I199" s="25" t="n">
        <x:v>1</x:v>
      </x:c>
      <x:c r="J199" s="25" t="n">
        <x:v>2</x:v>
      </x:c>
      <x:c r="K199" s="19" t="n">
        <x:f>D199-IF(H199=0,1,0)</x:f>
        <x:v>0</x:v>
      </x:c>
      <x:c r="L199" s="19" t="n">
        <x:f>E199-IF(H199=1,1,0)</x:f>
        <x:v>1</x:v>
      </x:c>
      <x:c r="M199" s="19" t="n">
        <x:f>F199-IF(H199=2,1,0)</x:f>
        <x:v>3</x:v>
      </x:c>
      <x:c r="N199" s="19" t="n">
        <x:f>MAX(K199-1,0)+MAX(L199-1,0)+MAX(M199-1,0)</x:f>
        <x:v>2</x:v>
      </x:c>
      <x:c r="O199" s="19" t="n">
        <x:f>IF(AND(SUM(K199:M199)&lt;9,OR(M199=0,N199&lt;6)),1,0)</x:f>
        <x:v>1</x:v>
      </x:c>
      <x:c r="P199" s="19" t="n">
        <x:f>IF(AND(SUM(K199:M199)&lt;9,OR(L199=0,N199&lt;6)),1,0)</x:f>
        <x:v>1</x:v>
      </x:c>
      <x:c r="Q199" s="19" t="n">
        <x:f>IF(AND(SUM(K199:M199)&lt;9,OR(K199=0,N199&lt;6)),1,0)</x:f>
        <x:v>1</x:v>
      </x:c>
      <x:c r="R199" s="22" t="str">
        <x:f>O199&amp;P199&amp;Q199</x:f>
        <x:v>111</x:v>
      </x:c>
      <x:c r="S199" s="19" t="n">
        <x:f>IF(I199=1,IF(J199=0,Q199,IF(J199=1,P199,IF(J199=2,O199,0))),0)</x:f>
        <x:v>1</x:v>
      </x:c>
      <x:c r="T199" s="19" t="n">
        <x:f>K199+IF(AND(S199=1,J199=0),1,0)</x:f>
        <x:v>0</x:v>
      </x:c>
      <x:c r="U199" s="19" t="n">
        <x:f>L199+IF(AND(S199=1,J199=1),1,0)</x:f>
        <x:v>1</x:v>
      </x:c>
      <x:c r="V199" s="19" t="n">
        <x:f>M199+IF(AND(S199=1,J199=2),1,0)</x:f>
        <x:v>4</x:v>
      </x:c>
      <x:c r="W199" s="19" t="n">
        <x:f>SUM(T199:V199)</x:f>
        <x:v>5</x:v>
      </x:c>
      <x:c r="X199" s="19" t="n">
        <x:f>W199-G199</x:f>
        <x:v>0</x:v>
      </x:c>
      <x:c r="Y199" s="19" t="n">
        <x:f>MAX(T199,1)+MAX(U199,1)+MAX(V199,1)</x:f>
        <x:v>6</x:v>
      </x:c>
      <x:c r="Z199" s="21" t="str">
        <x:f>IF(AND(MIN(D199:F199)&gt;=0,MAX(D199:F199)&lt;=7,MAX(D199,1)+MAX(E199,1)+MAX(F199,1)&lt;=9,OR(H199="-",AND(H199=0,D199&gt;0),AND(H199=1,E199&gt;0),AND(H199=2,F199&gt;0)),OR(I199=0,AND(I199=1,OR(J199=0,J199=1,J199=2),R199&lt;&gt;"000")),Y199&lt;=9,MIN(T199:V199)&gt;=0),"合法","输入违约")</x:f>
        <x:v>合法</x:v>
      </x:c>
    </x:row>
    <x:row r="200" ht="23" customHeight="1">
      <x:c r="A200" s="3" t="str">
        <x:v>CT-0193</x:v>
      </x:c>
      <x:c r="B200" s="3" t="str">
        <x:v>ST-038</x:v>
      </x:c>
      <x:c r="C200" s="3" t="str">
        <x:v>仅R回收</x:v>
      </x:c>
      <x:c r="D200" s="25" t="n">
        <x:v>0</x:v>
      </x:c>
      <x:c r="E200" s="25" t="n">
        <x:v>2</x:v>
      </x:c>
      <x:c r="F200" s="25" t="n">
        <x:v>3</x:v>
      </x:c>
      <x:c r="G200" s="19" t="n">
        <x:f>SUM(D200:F200)</x:f>
        <x:v>5</x:v>
      </x:c>
      <x:c r="H200" s="25" t="n">
        <x:v>2</x:v>
      </x:c>
      <x:c r="I200" s="25" t="n">
        <x:v>0</x:v>
      </x:c>
      <x:c r="J200" s="25" t="str">
        <x:v>-</x:v>
      </x:c>
      <x:c r="K200" s="19" t="n">
        <x:f>D200-IF(H200=0,1,0)</x:f>
        <x:v>0</x:v>
      </x:c>
      <x:c r="L200" s="19" t="n">
        <x:f>E200-IF(H200=1,1,0)</x:f>
        <x:v>2</x:v>
      </x:c>
      <x:c r="M200" s="19" t="n">
        <x:f>F200-IF(H200=2,1,0)</x:f>
        <x:v>2</x:v>
      </x:c>
      <x:c r="N200" s="19" t="n">
        <x:f>MAX(K200-1,0)+MAX(L200-1,0)+MAX(M200-1,0)</x:f>
        <x:v>2</x:v>
      </x:c>
      <x:c r="O200" s="19" t="n">
        <x:f>IF(AND(SUM(K200:M200)&lt;9,OR(M200=0,N200&lt;6)),1,0)</x:f>
        <x:v>1</x:v>
      </x:c>
      <x:c r="P200" s="19" t="n">
        <x:f>IF(AND(SUM(K200:M200)&lt;9,OR(L200=0,N200&lt;6)),1,0)</x:f>
        <x:v>1</x:v>
      </x:c>
      <x:c r="Q200" s="19" t="n">
        <x:f>IF(AND(SUM(K200:M200)&lt;9,OR(K200=0,N200&lt;6)),1,0)</x:f>
        <x:v>1</x:v>
      </x:c>
      <x:c r="R200" s="22" t="str">
        <x:f>O200&amp;P200&amp;Q200</x:f>
        <x:v>111</x:v>
      </x:c>
      <x:c r="S200" s="19" t="n">
        <x:f>IF(I200=1,IF(J200=0,Q200,IF(J200=1,P200,IF(J200=2,O200,0))),0)</x:f>
        <x:v>0</x:v>
      </x:c>
      <x:c r="T200" s="19" t="n">
        <x:f>K200+IF(AND(S200=1,J200=0),1,0)</x:f>
        <x:v>0</x:v>
      </x:c>
      <x:c r="U200" s="19" t="n">
        <x:f>L200+IF(AND(S200=1,J200=1),1,0)</x:f>
        <x:v>2</x:v>
      </x:c>
      <x:c r="V200" s="19" t="n">
        <x:f>M200+IF(AND(S200=1,J200=2),1,0)</x:f>
        <x:v>2</x:v>
      </x:c>
      <x:c r="W200" s="19" t="n">
        <x:f>SUM(T200:V200)</x:f>
        <x:v>4</x:v>
      </x:c>
      <x:c r="X200" s="19" t="n">
        <x:f>W200-G200</x:f>
        <x:v>-1</x:v>
      </x:c>
      <x:c r="Y200" s="19" t="n">
        <x:f>MAX(T200,1)+MAX(U200,1)+MAX(V200,1)</x:f>
        <x:v>5</x:v>
      </x:c>
      <x:c r="Z200" s="21" t="str">
        <x:f>IF(AND(MIN(D200:F200)&gt;=0,MAX(D200:F200)&lt;=7,MAX(D200,1)+MAX(E200,1)+MAX(F200,1)&lt;=9,OR(H200="-",AND(H200=0,D200&gt;0),AND(H200=1,E200&gt;0),AND(H200=2,F200&gt;0)),OR(I200=0,AND(I200=1,OR(J200=0,J200=1,J200=2),R200&lt;&gt;"000")),Y200&lt;=9,MIN(T200:V200)&gt;=0),"合法","输入违约")</x:f>
        <x:v>合法</x:v>
      </x:c>
    </x:row>
    <x:row r="201" ht="23" customHeight="1">
      <x:c r="A201" s="3" t="str">
        <x:v>CT-0194</x:v>
      </x:c>
      <x:c r="B201" s="3" t="str">
        <x:v>ST-038</x:v>
      </x:c>
      <x:c r="C201" s="3" t="str">
        <x:v>R+AR同收同发</x:v>
      </x:c>
      <x:c r="D201" s="25" t="n">
        <x:v>0</x:v>
      </x:c>
      <x:c r="E201" s="25" t="n">
        <x:v>2</x:v>
      </x:c>
      <x:c r="F201" s="25" t="n">
        <x:v>3</x:v>
      </x:c>
      <x:c r="G201" s="19" t="n">
        <x:f>SUM(D201:F201)</x:f>
        <x:v>5</x:v>
      </x:c>
      <x:c r="H201" s="25" t="n">
        <x:v>2</x:v>
      </x:c>
      <x:c r="I201" s="25" t="n">
        <x:v>1</x:v>
      </x:c>
      <x:c r="J201" s="25" t="n">
        <x:v>0</x:v>
      </x:c>
      <x:c r="K201" s="19" t="n">
        <x:f>D201-IF(H201=0,1,0)</x:f>
        <x:v>0</x:v>
      </x:c>
      <x:c r="L201" s="19" t="n">
        <x:f>E201-IF(H201=1,1,0)</x:f>
        <x:v>2</x:v>
      </x:c>
      <x:c r="M201" s="19" t="n">
        <x:f>F201-IF(H201=2,1,0)</x:f>
        <x:v>2</x:v>
      </x:c>
      <x:c r="N201" s="19" t="n">
        <x:f>MAX(K201-1,0)+MAX(L201-1,0)+MAX(M201-1,0)</x:f>
        <x:v>2</x:v>
      </x:c>
      <x:c r="O201" s="19" t="n">
        <x:f>IF(AND(SUM(K201:M201)&lt;9,OR(M201=0,N201&lt;6)),1,0)</x:f>
        <x:v>1</x:v>
      </x:c>
      <x:c r="P201" s="19" t="n">
        <x:f>IF(AND(SUM(K201:M201)&lt;9,OR(L201=0,N201&lt;6)),1,0)</x:f>
        <x:v>1</x:v>
      </x:c>
      <x:c r="Q201" s="19" t="n">
        <x:f>IF(AND(SUM(K201:M201)&lt;9,OR(K201=0,N201&lt;6)),1,0)</x:f>
        <x:v>1</x:v>
      </x:c>
      <x:c r="R201" s="22" t="str">
        <x:f>O201&amp;P201&amp;Q201</x:f>
        <x:v>111</x:v>
      </x:c>
      <x:c r="S201" s="19" t="n">
        <x:f>IF(I201=1,IF(J201=0,Q201,IF(J201=1,P201,IF(J201=2,O201,0))),0)</x:f>
        <x:v>1</x:v>
      </x:c>
      <x:c r="T201" s="19" t="n">
        <x:f>K201+IF(AND(S201=1,J201=0),1,0)</x:f>
        <x:v>1</x:v>
      </x:c>
      <x:c r="U201" s="19" t="n">
        <x:f>L201+IF(AND(S201=1,J201=1),1,0)</x:f>
        <x:v>2</x:v>
      </x:c>
      <x:c r="V201" s="19" t="n">
        <x:f>M201+IF(AND(S201=1,J201=2),1,0)</x:f>
        <x:v>2</x:v>
      </x:c>
      <x:c r="W201" s="19" t="n">
        <x:f>SUM(T201:V201)</x:f>
        <x:v>5</x:v>
      </x:c>
      <x:c r="X201" s="19" t="n">
        <x:f>W201-G201</x:f>
        <x:v>0</x:v>
      </x:c>
      <x:c r="Y201" s="19" t="n">
        <x:f>MAX(T201,1)+MAX(U201,1)+MAX(V201,1)</x:f>
        <x:v>5</x:v>
      </x:c>
      <x:c r="Z201" s="21" t="str">
        <x:f>IF(AND(MIN(D201:F201)&gt;=0,MAX(D201:F201)&lt;=7,MAX(D201,1)+MAX(E201,1)+MAX(F201,1)&lt;=9,OR(H201="-",AND(H201=0,D201&gt;0),AND(H201=1,E201&gt;0),AND(H201=2,F201&gt;0)),OR(I201=0,AND(I201=1,OR(J201=0,J201=1,J201=2),R201&lt;&gt;"000")),Y201&lt;=9,MIN(T201:V201)&gt;=0),"合法","输入违约")</x:f>
        <x:v>合法</x:v>
      </x:c>
    </x:row>
    <x:row r="202" ht="23" customHeight="1">
      <x:c r="A202" s="3" t="str">
        <x:v>CT-0195</x:v>
      </x:c>
      <x:c r="B202" s="3" t="str">
        <x:v>ST-038</x:v>
      </x:c>
      <x:c r="C202" s="3" t="str">
        <x:v>R+AR同收同发</x:v>
      </x:c>
      <x:c r="D202" s="25" t="n">
        <x:v>0</x:v>
      </x:c>
      <x:c r="E202" s="25" t="n">
        <x:v>2</x:v>
      </x:c>
      <x:c r="F202" s="25" t="n">
        <x:v>3</x:v>
      </x:c>
      <x:c r="G202" s="19" t="n">
        <x:f>SUM(D202:F202)</x:f>
        <x:v>5</x:v>
      </x:c>
      <x:c r="H202" s="25" t="n">
        <x:v>2</x:v>
      </x:c>
      <x:c r="I202" s="25" t="n">
        <x:v>1</x:v>
      </x:c>
      <x:c r="J202" s="25" t="n">
        <x:v>1</x:v>
      </x:c>
      <x:c r="K202" s="19" t="n">
        <x:f>D202-IF(H202=0,1,0)</x:f>
        <x:v>0</x:v>
      </x:c>
      <x:c r="L202" s="19" t="n">
        <x:f>E202-IF(H202=1,1,0)</x:f>
        <x:v>2</x:v>
      </x:c>
      <x:c r="M202" s="19" t="n">
        <x:f>F202-IF(H202=2,1,0)</x:f>
        <x:v>2</x:v>
      </x:c>
      <x:c r="N202" s="19" t="n">
        <x:f>MAX(K202-1,0)+MAX(L202-1,0)+MAX(M202-1,0)</x:f>
        <x:v>2</x:v>
      </x:c>
      <x:c r="O202" s="19" t="n">
        <x:f>IF(AND(SUM(K202:M202)&lt;9,OR(M202=0,N202&lt;6)),1,0)</x:f>
        <x:v>1</x:v>
      </x:c>
      <x:c r="P202" s="19" t="n">
        <x:f>IF(AND(SUM(K202:M202)&lt;9,OR(L202=0,N202&lt;6)),1,0)</x:f>
        <x:v>1</x:v>
      </x:c>
      <x:c r="Q202" s="19" t="n">
        <x:f>IF(AND(SUM(K202:M202)&lt;9,OR(K202=0,N202&lt;6)),1,0)</x:f>
        <x:v>1</x:v>
      </x:c>
      <x:c r="R202" s="22" t="str">
        <x:f>O202&amp;P202&amp;Q202</x:f>
        <x:v>111</x:v>
      </x:c>
      <x:c r="S202" s="19" t="n">
        <x:f>IF(I202=1,IF(J202=0,Q202,IF(J202=1,P202,IF(J202=2,O202,0))),0)</x:f>
        <x:v>1</x:v>
      </x:c>
      <x:c r="T202" s="19" t="n">
        <x:f>K202+IF(AND(S202=1,J202=0),1,0)</x:f>
        <x:v>0</x:v>
      </x:c>
      <x:c r="U202" s="19" t="n">
        <x:f>L202+IF(AND(S202=1,J202=1),1,0)</x:f>
        <x:v>3</x:v>
      </x:c>
      <x:c r="V202" s="19" t="n">
        <x:f>M202+IF(AND(S202=1,J202=2),1,0)</x:f>
        <x:v>2</x:v>
      </x:c>
      <x:c r="W202" s="19" t="n">
        <x:f>SUM(T202:V202)</x:f>
        <x:v>5</x:v>
      </x:c>
      <x:c r="X202" s="19" t="n">
        <x:f>W202-G202</x:f>
        <x:v>0</x:v>
      </x:c>
      <x:c r="Y202" s="19" t="n">
        <x:f>MAX(T202,1)+MAX(U202,1)+MAX(V202,1)</x:f>
        <x:v>6</x:v>
      </x:c>
      <x:c r="Z202" s="21" t="str">
        <x:f>IF(AND(MIN(D202:F202)&gt;=0,MAX(D202:F202)&lt;=7,MAX(D202,1)+MAX(E202,1)+MAX(F202,1)&lt;=9,OR(H202="-",AND(H202=0,D202&gt;0),AND(H202=1,E202&gt;0),AND(H202=2,F202&gt;0)),OR(I202=0,AND(I202=1,OR(J202=0,J202=1,J202=2),R202&lt;&gt;"000")),Y202&lt;=9,MIN(T202:V202)&gt;=0),"合法","输入违约")</x:f>
        <x:v>合法</x:v>
      </x:c>
    </x:row>
    <x:row r="203" ht="23" customHeight="1">
      <x:c r="A203" s="3" t="str">
        <x:v>CT-0196</x:v>
      </x:c>
      <x:c r="B203" s="3" t="str">
        <x:v>ST-038</x:v>
      </x:c>
      <x:c r="C203" s="3" t="str">
        <x:v>R+AR同收同发</x:v>
      </x:c>
      <x:c r="D203" s="25" t="n">
        <x:v>0</x:v>
      </x:c>
      <x:c r="E203" s="25" t="n">
        <x:v>2</x:v>
      </x:c>
      <x:c r="F203" s="25" t="n">
        <x:v>3</x:v>
      </x:c>
      <x:c r="G203" s="19" t="n">
        <x:f>SUM(D203:F203)</x:f>
        <x:v>5</x:v>
      </x:c>
      <x:c r="H203" s="25" t="n">
        <x:v>2</x:v>
      </x:c>
      <x:c r="I203" s="25" t="n">
        <x:v>1</x:v>
      </x:c>
      <x:c r="J203" s="25" t="n">
        <x:v>2</x:v>
      </x:c>
      <x:c r="K203" s="19" t="n">
        <x:f>D203-IF(H203=0,1,0)</x:f>
        <x:v>0</x:v>
      </x:c>
      <x:c r="L203" s="19" t="n">
        <x:f>E203-IF(H203=1,1,0)</x:f>
        <x:v>2</x:v>
      </x:c>
      <x:c r="M203" s="19" t="n">
        <x:f>F203-IF(H203=2,1,0)</x:f>
        <x:v>2</x:v>
      </x:c>
      <x:c r="N203" s="19" t="n">
        <x:f>MAX(K203-1,0)+MAX(L203-1,0)+MAX(M203-1,0)</x:f>
        <x:v>2</x:v>
      </x:c>
      <x:c r="O203" s="19" t="n">
        <x:f>IF(AND(SUM(K203:M203)&lt;9,OR(M203=0,N203&lt;6)),1,0)</x:f>
        <x:v>1</x:v>
      </x:c>
      <x:c r="P203" s="19" t="n">
        <x:f>IF(AND(SUM(K203:M203)&lt;9,OR(L203=0,N203&lt;6)),1,0)</x:f>
        <x:v>1</x:v>
      </x:c>
      <x:c r="Q203" s="19" t="n">
        <x:f>IF(AND(SUM(K203:M203)&lt;9,OR(K203=0,N203&lt;6)),1,0)</x:f>
        <x:v>1</x:v>
      </x:c>
      <x:c r="R203" s="22" t="str">
        <x:f>O203&amp;P203&amp;Q203</x:f>
        <x:v>111</x:v>
      </x:c>
      <x:c r="S203" s="19" t="n">
        <x:f>IF(I203=1,IF(J203=0,Q203,IF(J203=1,P203,IF(J203=2,O203,0))),0)</x:f>
        <x:v>1</x:v>
      </x:c>
      <x:c r="T203" s="19" t="n">
        <x:f>K203+IF(AND(S203=1,J203=0),1,0)</x:f>
        <x:v>0</x:v>
      </x:c>
      <x:c r="U203" s="19" t="n">
        <x:f>L203+IF(AND(S203=1,J203=1),1,0)</x:f>
        <x:v>2</x:v>
      </x:c>
      <x:c r="V203" s="19" t="n">
        <x:f>M203+IF(AND(S203=1,J203=2),1,0)</x:f>
        <x:v>3</x:v>
      </x:c>
      <x:c r="W203" s="19" t="n">
        <x:f>SUM(T203:V203)</x:f>
        <x:v>5</x:v>
      </x:c>
      <x:c r="X203" s="19" t="n">
        <x:f>W203-G203</x:f>
        <x:v>0</x:v>
      </x:c>
      <x:c r="Y203" s="19" t="n">
        <x:f>MAX(T203,1)+MAX(U203,1)+MAX(V203,1)</x:f>
        <x:v>6</x:v>
      </x:c>
      <x:c r="Z203" s="21" t="str">
        <x:f>IF(AND(MIN(D203:F203)&gt;=0,MAX(D203:F203)&lt;=7,MAX(D203,1)+MAX(E203,1)+MAX(F203,1)&lt;=9,OR(H203="-",AND(H203=0,D203&gt;0),AND(H203=1,E203&gt;0),AND(H203=2,F203&gt;0)),OR(I203=0,AND(I203=1,OR(J203=0,J203=1,J203=2),R203&lt;&gt;"000")),Y203&lt;=9,MIN(T203:V203)&gt;=0),"合法","输入违约")</x:f>
        <x:v>合法</x:v>
      </x:c>
    </x:row>
    <x:row r="204" ht="23" customHeight="1">
      <x:c r="A204" s="3" t="str">
        <x:v>CT-0197</x:v>
      </x:c>
      <x:c r="B204" s="3" t="str">
        <x:v>ST-059</x:v>
      </x:c>
      <x:c r="C204" s="3" t="str">
        <x:v>无AR/R</x:v>
      </x:c>
      <x:c r="D204" s="25" t="n">
        <x:v>0</x:v>
      </x:c>
      <x:c r="E204" s="25" t="n">
        <x:v>2</x:v>
      </x:c>
      <x:c r="F204" s="25" t="n">
        <x:v>4</x:v>
      </x:c>
      <x:c r="G204" s="19" t="n">
        <x:f>SUM(D204:F204)</x:f>
        <x:v>6</x:v>
      </x:c>
      <x:c r="H204" s="25" t="str">
        <x:v>-</x:v>
      </x:c>
      <x:c r="I204" s="25" t="n">
        <x:v>0</x:v>
      </x:c>
      <x:c r="J204" s="25" t="str">
        <x:v>-</x:v>
      </x:c>
      <x:c r="K204" s="19" t="n">
        <x:f>D204-IF(H204=0,1,0)</x:f>
        <x:v>0</x:v>
      </x:c>
      <x:c r="L204" s="19" t="n">
        <x:f>E204-IF(H204=1,1,0)</x:f>
        <x:v>2</x:v>
      </x:c>
      <x:c r="M204" s="19" t="n">
        <x:f>F204-IF(H204=2,1,0)</x:f>
        <x:v>4</x:v>
      </x:c>
      <x:c r="N204" s="19" t="n">
        <x:f>MAX(K204-1,0)+MAX(L204-1,0)+MAX(M204-1,0)</x:f>
        <x:v>4</x:v>
      </x:c>
      <x:c r="O204" s="19" t="n">
        <x:f>IF(AND(SUM(K204:M204)&lt;9,OR(M204=0,N204&lt;6)),1,0)</x:f>
        <x:v>1</x:v>
      </x:c>
      <x:c r="P204" s="19" t="n">
        <x:f>IF(AND(SUM(K204:M204)&lt;9,OR(L204=0,N204&lt;6)),1,0)</x:f>
        <x:v>1</x:v>
      </x:c>
      <x:c r="Q204" s="19" t="n">
        <x:f>IF(AND(SUM(K204:M204)&lt;9,OR(K204=0,N204&lt;6)),1,0)</x:f>
        <x:v>1</x:v>
      </x:c>
      <x:c r="R204" s="22" t="str">
        <x:f>O204&amp;P204&amp;Q204</x:f>
        <x:v>111</x:v>
      </x:c>
      <x:c r="S204" s="19" t="n">
        <x:f>IF(I204=1,IF(J204=0,Q204,IF(J204=1,P204,IF(J204=2,O204,0))),0)</x:f>
        <x:v>0</x:v>
      </x:c>
      <x:c r="T204" s="19" t="n">
        <x:f>K204+IF(AND(S204=1,J204=0),1,0)</x:f>
        <x:v>0</x:v>
      </x:c>
      <x:c r="U204" s="19" t="n">
        <x:f>L204+IF(AND(S204=1,J204=1),1,0)</x:f>
        <x:v>2</x:v>
      </x:c>
      <x:c r="V204" s="19" t="n">
        <x:f>M204+IF(AND(S204=1,J204=2),1,0)</x:f>
        <x:v>4</x:v>
      </x:c>
      <x:c r="W204" s="19" t="n">
        <x:f>SUM(T204:V204)</x:f>
        <x:v>6</x:v>
      </x:c>
      <x:c r="X204" s="19" t="n">
        <x:f>W204-G204</x:f>
        <x:v>0</x:v>
      </x:c>
      <x:c r="Y204" s="19" t="n">
        <x:f>MAX(T204,1)+MAX(U204,1)+MAX(V204,1)</x:f>
        <x:v>7</x:v>
      </x:c>
      <x:c r="Z204" s="21" t="str">
        <x:f>IF(AND(MIN(D204:F204)&gt;=0,MAX(D204:F204)&lt;=7,MAX(D204,1)+MAX(E204,1)+MAX(F204,1)&lt;=9,OR(H204="-",AND(H204=0,D204&gt;0),AND(H204=1,E204&gt;0),AND(H204=2,F204&gt;0)),OR(I204=0,AND(I204=1,OR(J204=0,J204=1,J204=2),R204&lt;&gt;"000")),Y204&lt;=9,MIN(T204:V204)&gt;=0),"合法","输入违约")</x:f>
        <x:v>合法</x:v>
      </x:c>
    </x:row>
    <x:row r="205" ht="23" customHeight="1">
      <x:c r="A205" s="3" t="str">
        <x:v>CT-0198</x:v>
      </x:c>
      <x:c r="B205" s="3" t="str">
        <x:v>ST-059</x:v>
      </x:c>
      <x:c r="C205" s="3" t="str">
        <x:v>仅AR接收</x:v>
      </x:c>
      <x:c r="D205" s="25" t="n">
        <x:v>0</x:v>
      </x:c>
      <x:c r="E205" s="25" t="n">
        <x:v>2</x:v>
      </x:c>
      <x:c r="F205" s="25" t="n">
        <x:v>4</x:v>
      </x:c>
      <x:c r="G205" s="19" t="n">
        <x:f>SUM(D205:F205)</x:f>
        <x:v>6</x:v>
      </x:c>
      <x:c r="H205" s="25" t="str">
        <x:v>-</x:v>
      </x:c>
      <x:c r="I205" s="25" t="n">
        <x:v>1</x:v>
      </x:c>
      <x:c r="J205" s="25" t="n">
        <x:v>0</x:v>
      </x:c>
      <x:c r="K205" s="19" t="n">
        <x:f>D205-IF(H205=0,1,0)</x:f>
        <x:v>0</x:v>
      </x:c>
      <x:c r="L205" s="19" t="n">
        <x:f>E205-IF(H205=1,1,0)</x:f>
        <x:v>2</x:v>
      </x:c>
      <x:c r="M205" s="19" t="n">
        <x:f>F205-IF(H205=2,1,0)</x:f>
        <x:v>4</x:v>
      </x:c>
      <x:c r="N205" s="19" t="n">
        <x:f>MAX(K205-1,0)+MAX(L205-1,0)+MAX(M205-1,0)</x:f>
        <x:v>4</x:v>
      </x:c>
      <x:c r="O205" s="19" t="n">
        <x:f>IF(AND(SUM(K205:M205)&lt;9,OR(M205=0,N205&lt;6)),1,0)</x:f>
        <x:v>1</x:v>
      </x:c>
      <x:c r="P205" s="19" t="n">
        <x:f>IF(AND(SUM(K205:M205)&lt;9,OR(L205=0,N205&lt;6)),1,0)</x:f>
        <x:v>1</x:v>
      </x:c>
      <x:c r="Q205" s="19" t="n">
        <x:f>IF(AND(SUM(K205:M205)&lt;9,OR(K205=0,N205&lt;6)),1,0)</x:f>
        <x:v>1</x:v>
      </x:c>
      <x:c r="R205" s="22" t="str">
        <x:f>O205&amp;P205&amp;Q205</x:f>
        <x:v>111</x:v>
      </x:c>
      <x:c r="S205" s="19" t="n">
        <x:f>IF(I205=1,IF(J205=0,Q205,IF(J205=1,P205,IF(J205=2,O205,0))),0)</x:f>
        <x:v>1</x:v>
      </x:c>
      <x:c r="T205" s="19" t="n">
        <x:f>K205+IF(AND(S205=1,J205=0),1,0)</x:f>
        <x:v>1</x:v>
      </x:c>
      <x:c r="U205" s="19" t="n">
        <x:f>L205+IF(AND(S205=1,J205=1),1,0)</x:f>
        <x:v>2</x:v>
      </x:c>
      <x:c r="V205" s="19" t="n">
        <x:f>M205+IF(AND(S205=1,J205=2),1,0)</x:f>
        <x:v>4</x:v>
      </x:c>
      <x:c r="W205" s="19" t="n">
        <x:f>SUM(T205:V205)</x:f>
        <x:v>7</x:v>
      </x:c>
      <x:c r="X205" s="19" t="n">
        <x:f>W205-G205</x:f>
        <x:v>1</x:v>
      </x:c>
      <x:c r="Y205" s="19" t="n">
        <x:f>MAX(T205,1)+MAX(U205,1)+MAX(V205,1)</x:f>
        <x:v>7</x:v>
      </x:c>
      <x:c r="Z205" s="21" t="str">
        <x:f>IF(AND(MIN(D205:F205)&gt;=0,MAX(D205:F205)&lt;=7,MAX(D205,1)+MAX(E205,1)+MAX(F205,1)&lt;=9,OR(H205="-",AND(H205=0,D205&gt;0),AND(H205=1,E205&gt;0),AND(H205=2,F205&gt;0)),OR(I205=0,AND(I205=1,OR(J205=0,J205=1,J205=2),R205&lt;&gt;"000")),Y205&lt;=9,MIN(T205:V205)&gt;=0),"合法","输入违约")</x:f>
        <x:v>合法</x:v>
      </x:c>
    </x:row>
    <x:row r="206" ht="23" customHeight="1">
      <x:c r="A206" s="3" t="str">
        <x:v>CT-0199</x:v>
      </x:c>
      <x:c r="B206" s="3" t="str">
        <x:v>ST-059</x:v>
      </x:c>
      <x:c r="C206" s="3" t="str">
        <x:v>仅AR接收</x:v>
      </x:c>
      <x:c r="D206" s="25" t="n">
        <x:v>0</x:v>
      </x:c>
      <x:c r="E206" s="25" t="n">
        <x:v>2</x:v>
      </x:c>
      <x:c r="F206" s="25" t="n">
        <x:v>4</x:v>
      </x:c>
      <x:c r="G206" s="19" t="n">
        <x:f>SUM(D206:F206)</x:f>
        <x:v>6</x:v>
      </x:c>
      <x:c r="H206" s="25" t="str">
        <x:v>-</x:v>
      </x:c>
      <x:c r="I206" s="25" t="n">
        <x:v>1</x:v>
      </x:c>
      <x:c r="J206" s="25" t="n">
        <x:v>1</x:v>
      </x:c>
      <x:c r="K206" s="19" t="n">
        <x:f>D206-IF(H206=0,1,0)</x:f>
        <x:v>0</x:v>
      </x:c>
      <x:c r="L206" s="19" t="n">
        <x:f>E206-IF(H206=1,1,0)</x:f>
        <x:v>2</x:v>
      </x:c>
      <x:c r="M206" s="19" t="n">
        <x:f>F206-IF(H206=2,1,0)</x:f>
        <x:v>4</x:v>
      </x:c>
      <x:c r="N206" s="19" t="n">
        <x:f>MAX(K206-1,0)+MAX(L206-1,0)+MAX(M206-1,0)</x:f>
        <x:v>4</x:v>
      </x:c>
      <x:c r="O206" s="19" t="n">
        <x:f>IF(AND(SUM(K206:M206)&lt;9,OR(M206=0,N206&lt;6)),1,0)</x:f>
        <x:v>1</x:v>
      </x:c>
      <x:c r="P206" s="19" t="n">
        <x:f>IF(AND(SUM(K206:M206)&lt;9,OR(L206=0,N206&lt;6)),1,0)</x:f>
        <x:v>1</x:v>
      </x:c>
      <x:c r="Q206" s="19" t="n">
        <x:f>IF(AND(SUM(K206:M206)&lt;9,OR(K206=0,N206&lt;6)),1,0)</x:f>
        <x:v>1</x:v>
      </x:c>
      <x:c r="R206" s="22" t="str">
        <x:f>O206&amp;P206&amp;Q206</x:f>
        <x:v>111</x:v>
      </x:c>
      <x:c r="S206" s="19" t="n">
        <x:f>IF(I206=1,IF(J206=0,Q206,IF(J206=1,P206,IF(J206=2,O206,0))),0)</x:f>
        <x:v>1</x:v>
      </x:c>
      <x:c r="T206" s="19" t="n">
        <x:f>K206+IF(AND(S206=1,J206=0),1,0)</x:f>
        <x:v>0</x:v>
      </x:c>
      <x:c r="U206" s="19" t="n">
        <x:f>L206+IF(AND(S206=1,J206=1),1,0)</x:f>
        <x:v>3</x:v>
      </x:c>
      <x:c r="V206" s="19" t="n">
        <x:f>M206+IF(AND(S206=1,J206=2),1,0)</x:f>
        <x:v>4</x:v>
      </x:c>
      <x:c r="W206" s="19" t="n">
        <x:f>SUM(T206:V206)</x:f>
        <x:v>7</x:v>
      </x:c>
      <x:c r="X206" s="19" t="n">
        <x:f>W206-G206</x:f>
        <x:v>1</x:v>
      </x:c>
      <x:c r="Y206" s="19" t="n">
        <x:f>MAX(T206,1)+MAX(U206,1)+MAX(V206,1)</x:f>
        <x:v>8</x:v>
      </x:c>
      <x:c r="Z206" s="21" t="str">
        <x:f>IF(AND(MIN(D206:F206)&gt;=0,MAX(D206:F206)&lt;=7,MAX(D206,1)+MAX(E206,1)+MAX(F206,1)&lt;=9,OR(H206="-",AND(H206=0,D206&gt;0),AND(H206=1,E206&gt;0),AND(H206=2,F206&gt;0)),OR(I206=0,AND(I206=1,OR(J206=0,J206=1,J206=2),R206&lt;&gt;"000")),Y206&lt;=9,MIN(T206:V206)&gt;=0),"合法","输入违约")</x:f>
        <x:v>合法</x:v>
      </x:c>
    </x:row>
    <x:row r="207" ht="23" customHeight="1">
      <x:c r="A207" s="3" t="str">
        <x:v>CT-0200</x:v>
      </x:c>
      <x:c r="B207" s="3" t="str">
        <x:v>ST-059</x:v>
      </x:c>
      <x:c r="C207" s="3" t="str">
        <x:v>仅AR接收</x:v>
      </x:c>
      <x:c r="D207" s="25" t="n">
        <x:v>0</x:v>
      </x:c>
      <x:c r="E207" s="25" t="n">
        <x:v>2</x:v>
      </x:c>
      <x:c r="F207" s="25" t="n">
        <x:v>4</x:v>
      </x:c>
      <x:c r="G207" s="19" t="n">
        <x:f>SUM(D207:F207)</x:f>
        <x:v>6</x:v>
      </x:c>
      <x:c r="H207" s="25" t="str">
        <x:v>-</x:v>
      </x:c>
      <x:c r="I207" s="25" t="n">
        <x:v>1</x:v>
      </x:c>
      <x:c r="J207" s="25" t="n">
        <x:v>2</x:v>
      </x:c>
      <x:c r="K207" s="19" t="n">
        <x:f>D207-IF(H207=0,1,0)</x:f>
        <x:v>0</x:v>
      </x:c>
      <x:c r="L207" s="19" t="n">
        <x:f>E207-IF(H207=1,1,0)</x:f>
        <x:v>2</x:v>
      </x:c>
      <x:c r="M207" s="19" t="n">
        <x:f>F207-IF(H207=2,1,0)</x:f>
        <x:v>4</x:v>
      </x:c>
      <x:c r="N207" s="19" t="n">
        <x:f>MAX(K207-1,0)+MAX(L207-1,0)+MAX(M207-1,0)</x:f>
        <x:v>4</x:v>
      </x:c>
      <x:c r="O207" s="19" t="n">
        <x:f>IF(AND(SUM(K207:M207)&lt;9,OR(M207=0,N207&lt;6)),1,0)</x:f>
        <x:v>1</x:v>
      </x:c>
      <x:c r="P207" s="19" t="n">
        <x:f>IF(AND(SUM(K207:M207)&lt;9,OR(L207=0,N207&lt;6)),1,0)</x:f>
        <x:v>1</x:v>
      </x:c>
      <x:c r="Q207" s="19" t="n">
        <x:f>IF(AND(SUM(K207:M207)&lt;9,OR(K207=0,N207&lt;6)),1,0)</x:f>
        <x:v>1</x:v>
      </x:c>
      <x:c r="R207" s="22" t="str">
        <x:f>O207&amp;P207&amp;Q207</x:f>
        <x:v>111</x:v>
      </x:c>
      <x:c r="S207" s="19" t="n">
        <x:f>IF(I207=1,IF(J207=0,Q207,IF(J207=1,P207,IF(J207=2,O207,0))),0)</x:f>
        <x:v>1</x:v>
      </x:c>
      <x:c r="T207" s="19" t="n">
        <x:f>K207+IF(AND(S207=1,J207=0),1,0)</x:f>
        <x:v>0</x:v>
      </x:c>
      <x:c r="U207" s="19" t="n">
        <x:f>L207+IF(AND(S207=1,J207=1),1,0)</x:f>
        <x:v>2</x:v>
      </x:c>
      <x:c r="V207" s="19" t="n">
        <x:f>M207+IF(AND(S207=1,J207=2),1,0)</x:f>
        <x:v>5</x:v>
      </x:c>
      <x:c r="W207" s="19" t="n">
        <x:f>SUM(T207:V207)</x:f>
        <x:v>7</x:v>
      </x:c>
      <x:c r="X207" s="19" t="n">
        <x:f>W207-G207</x:f>
        <x:v>1</x:v>
      </x:c>
      <x:c r="Y207" s="19" t="n">
        <x:f>MAX(T207,1)+MAX(U207,1)+MAX(V207,1)</x:f>
        <x:v>8</x:v>
      </x:c>
      <x:c r="Z207" s="21" t="str">
        <x:f>IF(AND(MIN(D207:F207)&gt;=0,MAX(D207:F207)&lt;=7,MAX(D207,1)+MAX(E207,1)+MAX(F207,1)&lt;=9,OR(H207="-",AND(H207=0,D207&gt;0),AND(H207=1,E207&gt;0),AND(H207=2,F207&gt;0)),OR(I207=0,AND(I207=1,OR(J207=0,J207=1,J207=2),R207&lt;&gt;"000")),Y207&lt;=9,MIN(T207:V207)&gt;=0),"合法","输入违约")</x:f>
        <x:v>合法</x:v>
      </x:c>
    </x:row>
    <x:row r="208" ht="23" customHeight="1">
      <x:c r="A208" s="3" t="str">
        <x:v>CT-0201</x:v>
      </x:c>
      <x:c r="B208" s="3" t="str">
        <x:v>ST-059</x:v>
      </x:c>
      <x:c r="C208" s="3" t="str">
        <x:v>仅R回收</x:v>
      </x:c>
      <x:c r="D208" s="25" t="n">
        <x:v>0</x:v>
      </x:c>
      <x:c r="E208" s="25" t="n">
        <x:v>2</x:v>
      </x:c>
      <x:c r="F208" s="25" t="n">
        <x:v>4</x:v>
      </x:c>
      <x:c r="G208" s="19" t="n">
        <x:f>SUM(D208:F208)</x:f>
        <x:v>6</x:v>
      </x:c>
      <x:c r="H208" s="25" t="n">
        <x:v>1</x:v>
      </x:c>
      <x:c r="I208" s="25" t="n">
        <x:v>0</x:v>
      </x:c>
      <x:c r="J208" s="25" t="str">
        <x:v>-</x:v>
      </x:c>
      <x:c r="K208" s="19" t="n">
        <x:f>D208-IF(H208=0,1,0)</x:f>
        <x:v>0</x:v>
      </x:c>
      <x:c r="L208" s="19" t="n">
        <x:f>E208-IF(H208=1,1,0)</x:f>
        <x:v>1</x:v>
      </x:c>
      <x:c r="M208" s="19" t="n">
        <x:f>F208-IF(H208=2,1,0)</x:f>
        <x:v>4</x:v>
      </x:c>
      <x:c r="N208" s="19" t="n">
        <x:f>MAX(K208-1,0)+MAX(L208-1,0)+MAX(M208-1,0)</x:f>
        <x:v>3</x:v>
      </x:c>
      <x:c r="O208" s="19" t="n">
        <x:f>IF(AND(SUM(K208:M208)&lt;9,OR(M208=0,N208&lt;6)),1,0)</x:f>
        <x:v>1</x:v>
      </x:c>
      <x:c r="P208" s="19" t="n">
        <x:f>IF(AND(SUM(K208:M208)&lt;9,OR(L208=0,N208&lt;6)),1,0)</x:f>
        <x:v>1</x:v>
      </x:c>
      <x:c r="Q208" s="19" t="n">
        <x:f>IF(AND(SUM(K208:M208)&lt;9,OR(K208=0,N208&lt;6)),1,0)</x:f>
        <x:v>1</x:v>
      </x:c>
      <x:c r="R208" s="22" t="str">
        <x:f>O208&amp;P208&amp;Q208</x:f>
        <x:v>111</x:v>
      </x:c>
      <x:c r="S208" s="19" t="n">
        <x:f>IF(I208=1,IF(J208=0,Q208,IF(J208=1,P208,IF(J208=2,O208,0))),0)</x:f>
        <x:v>0</x:v>
      </x:c>
      <x:c r="T208" s="19" t="n">
        <x:f>K208+IF(AND(S208=1,J208=0),1,0)</x:f>
        <x:v>0</x:v>
      </x:c>
      <x:c r="U208" s="19" t="n">
        <x:f>L208+IF(AND(S208=1,J208=1),1,0)</x:f>
        <x:v>1</x:v>
      </x:c>
      <x:c r="V208" s="19" t="n">
        <x:f>M208+IF(AND(S208=1,J208=2),1,0)</x:f>
        <x:v>4</x:v>
      </x:c>
      <x:c r="W208" s="19" t="n">
        <x:f>SUM(T208:V208)</x:f>
        <x:v>5</x:v>
      </x:c>
      <x:c r="X208" s="19" t="n">
        <x:f>W208-G208</x:f>
        <x:v>-1</x:v>
      </x:c>
      <x:c r="Y208" s="19" t="n">
        <x:f>MAX(T208,1)+MAX(U208,1)+MAX(V208,1)</x:f>
        <x:v>6</x:v>
      </x:c>
      <x:c r="Z208" s="21" t="str">
        <x:f>IF(AND(MIN(D208:F208)&gt;=0,MAX(D208:F208)&lt;=7,MAX(D208,1)+MAX(E208,1)+MAX(F208,1)&lt;=9,OR(H208="-",AND(H208=0,D208&gt;0),AND(H208=1,E208&gt;0),AND(H208=2,F208&gt;0)),OR(I208=0,AND(I208=1,OR(J208=0,J208=1,J208=2),R208&lt;&gt;"000")),Y208&lt;=9,MIN(T208:V208)&gt;=0),"合法","输入违约")</x:f>
        <x:v>合法</x:v>
      </x:c>
    </x:row>
    <x:row r="209" ht="23" customHeight="1">
      <x:c r="A209" s="3" t="str">
        <x:v>CT-0202</x:v>
      </x:c>
      <x:c r="B209" s="3" t="str">
        <x:v>ST-059</x:v>
      </x:c>
      <x:c r="C209" s="3" t="str">
        <x:v>R+AR同收同发</x:v>
      </x:c>
      <x:c r="D209" s="25" t="n">
        <x:v>0</x:v>
      </x:c>
      <x:c r="E209" s="25" t="n">
        <x:v>2</x:v>
      </x:c>
      <x:c r="F209" s="25" t="n">
        <x:v>4</x:v>
      </x:c>
      <x:c r="G209" s="19" t="n">
        <x:f>SUM(D209:F209)</x:f>
        <x:v>6</x:v>
      </x:c>
      <x:c r="H209" s="25" t="n">
        <x:v>1</x:v>
      </x:c>
      <x:c r="I209" s="25" t="n">
        <x:v>1</x:v>
      </x:c>
      <x:c r="J209" s="25" t="n">
        <x:v>0</x:v>
      </x:c>
      <x:c r="K209" s="19" t="n">
        <x:f>D209-IF(H209=0,1,0)</x:f>
        <x:v>0</x:v>
      </x:c>
      <x:c r="L209" s="19" t="n">
        <x:f>E209-IF(H209=1,1,0)</x:f>
        <x:v>1</x:v>
      </x:c>
      <x:c r="M209" s="19" t="n">
        <x:f>F209-IF(H209=2,1,0)</x:f>
        <x:v>4</x:v>
      </x:c>
      <x:c r="N209" s="19" t="n">
        <x:f>MAX(K209-1,0)+MAX(L209-1,0)+MAX(M209-1,0)</x:f>
        <x:v>3</x:v>
      </x:c>
      <x:c r="O209" s="19" t="n">
        <x:f>IF(AND(SUM(K209:M209)&lt;9,OR(M209=0,N209&lt;6)),1,0)</x:f>
        <x:v>1</x:v>
      </x:c>
      <x:c r="P209" s="19" t="n">
        <x:f>IF(AND(SUM(K209:M209)&lt;9,OR(L209=0,N209&lt;6)),1,0)</x:f>
        <x:v>1</x:v>
      </x:c>
      <x:c r="Q209" s="19" t="n">
        <x:f>IF(AND(SUM(K209:M209)&lt;9,OR(K209=0,N209&lt;6)),1,0)</x:f>
        <x:v>1</x:v>
      </x:c>
      <x:c r="R209" s="22" t="str">
        <x:f>O209&amp;P209&amp;Q209</x:f>
        <x:v>111</x:v>
      </x:c>
      <x:c r="S209" s="19" t="n">
        <x:f>IF(I209=1,IF(J209=0,Q209,IF(J209=1,P209,IF(J209=2,O209,0))),0)</x:f>
        <x:v>1</x:v>
      </x:c>
      <x:c r="T209" s="19" t="n">
        <x:f>K209+IF(AND(S209=1,J209=0),1,0)</x:f>
        <x:v>1</x:v>
      </x:c>
      <x:c r="U209" s="19" t="n">
        <x:f>L209+IF(AND(S209=1,J209=1),1,0)</x:f>
        <x:v>1</x:v>
      </x:c>
      <x:c r="V209" s="19" t="n">
        <x:f>M209+IF(AND(S209=1,J209=2),1,0)</x:f>
        <x:v>4</x:v>
      </x:c>
      <x:c r="W209" s="19" t="n">
        <x:f>SUM(T209:V209)</x:f>
        <x:v>6</x:v>
      </x:c>
      <x:c r="X209" s="19" t="n">
        <x:f>W209-G209</x:f>
        <x:v>0</x:v>
      </x:c>
      <x:c r="Y209" s="19" t="n">
        <x:f>MAX(T209,1)+MAX(U209,1)+MAX(V209,1)</x:f>
        <x:v>6</x:v>
      </x:c>
      <x:c r="Z209" s="21" t="str">
        <x:f>IF(AND(MIN(D209:F209)&gt;=0,MAX(D209:F209)&lt;=7,MAX(D209,1)+MAX(E209,1)+MAX(F209,1)&lt;=9,OR(H209="-",AND(H209=0,D209&gt;0),AND(H209=1,E209&gt;0),AND(H209=2,F209&gt;0)),OR(I209=0,AND(I209=1,OR(J209=0,J209=1,J209=2),R209&lt;&gt;"000")),Y209&lt;=9,MIN(T209:V209)&gt;=0),"合法","输入违约")</x:f>
        <x:v>合法</x:v>
      </x:c>
    </x:row>
    <x:row r="210" ht="23" customHeight="1">
      <x:c r="A210" s="3" t="str">
        <x:v>CT-0203</x:v>
      </x:c>
      <x:c r="B210" s="3" t="str">
        <x:v>ST-059</x:v>
      </x:c>
      <x:c r="C210" s="3" t="str">
        <x:v>R+AR同收同发</x:v>
      </x:c>
      <x:c r="D210" s="25" t="n">
        <x:v>0</x:v>
      </x:c>
      <x:c r="E210" s="25" t="n">
        <x:v>2</x:v>
      </x:c>
      <x:c r="F210" s="25" t="n">
        <x:v>4</x:v>
      </x:c>
      <x:c r="G210" s="19" t="n">
        <x:f>SUM(D210:F210)</x:f>
        <x:v>6</x:v>
      </x:c>
      <x:c r="H210" s="25" t="n">
        <x:v>1</x:v>
      </x:c>
      <x:c r="I210" s="25" t="n">
        <x:v>1</x:v>
      </x:c>
      <x:c r="J210" s="25" t="n">
        <x:v>1</x:v>
      </x:c>
      <x:c r="K210" s="19" t="n">
        <x:f>D210-IF(H210=0,1,0)</x:f>
        <x:v>0</x:v>
      </x:c>
      <x:c r="L210" s="19" t="n">
        <x:f>E210-IF(H210=1,1,0)</x:f>
        <x:v>1</x:v>
      </x:c>
      <x:c r="M210" s="19" t="n">
        <x:f>F210-IF(H210=2,1,0)</x:f>
        <x:v>4</x:v>
      </x:c>
      <x:c r="N210" s="19" t="n">
        <x:f>MAX(K210-1,0)+MAX(L210-1,0)+MAX(M210-1,0)</x:f>
        <x:v>3</x:v>
      </x:c>
      <x:c r="O210" s="19" t="n">
        <x:f>IF(AND(SUM(K210:M210)&lt;9,OR(M210=0,N210&lt;6)),1,0)</x:f>
        <x:v>1</x:v>
      </x:c>
      <x:c r="P210" s="19" t="n">
        <x:f>IF(AND(SUM(K210:M210)&lt;9,OR(L210=0,N210&lt;6)),1,0)</x:f>
        <x:v>1</x:v>
      </x:c>
      <x:c r="Q210" s="19" t="n">
        <x:f>IF(AND(SUM(K210:M210)&lt;9,OR(K210=0,N210&lt;6)),1,0)</x:f>
        <x:v>1</x:v>
      </x:c>
      <x:c r="R210" s="22" t="str">
        <x:f>O210&amp;P210&amp;Q210</x:f>
        <x:v>111</x:v>
      </x:c>
      <x:c r="S210" s="19" t="n">
        <x:f>IF(I210=1,IF(J210=0,Q210,IF(J210=1,P210,IF(J210=2,O210,0))),0)</x:f>
        <x:v>1</x:v>
      </x:c>
      <x:c r="T210" s="19" t="n">
        <x:f>K210+IF(AND(S210=1,J210=0),1,0)</x:f>
        <x:v>0</x:v>
      </x:c>
      <x:c r="U210" s="19" t="n">
        <x:f>L210+IF(AND(S210=1,J210=1),1,0)</x:f>
        <x:v>2</x:v>
      </x:c>
      <x:c r="V210" s="19" t="n">
        <x:f>M210+IF(AND(S210=1,J210=2),1,0)</x:f>
        <x:v>4</x:v>
      </x:c>
      <x:c r="W210" s="19" t="n">
        <x:f>SUM(T210:V210)</x:f>
        <x:v>6</x:v>
      </x:c>
      <x:c r="X210" s="19" t="n">
        <x:f>W210-G210</x:f>
        <x:v>0</x:v>
      </x:c>
      <x:c r="Y210" s="19" t="n">
        <x:f>MAX(T210,1)+MAX(U210,1)+MAX(V210,1)</x:f>
        <x:v>7</x:v>
      </x:c>
      <x:c r="Z210" s="21" t="str">
        <x:f>IF(AND(MIN(D210:F210)&gt;=0,MAX(D210:F210)&lt;=7,MAX(D210,1)+MAX(E210,1)+MAX(F210,1)&lt;=9,OR(H210="-",AND(H210=0,D210&gt;0),AND(H210=1,E210&gt;0),AND(H210=2,F210&gt;0)),OR(I210=0,AND(I210=1,OR(J210=0,J210=1,J210=2),R210&lt;&gt;"000")),Y210&lt;=9,MIN(T210:V210)&gt;=0),"合法","输入违约")</x:f>
        <x:v>合法</x:v>
      </x:c>
    </x:row>
    <x:row r="211" ht="23" customHeight="1">
      <x:c r="A211" s="3" t="str">
        <x:v>CT-0204</x:v>
      </x:c>
      <x:c r="B211" s="3" t="str">
        <x:v>ST-059</x:v>
      </x:c>
      <x:c r="C211" s="3" t="str">
        <x:v>R+AR同收同发</x:v>
      </x:c>
      <x:c r="D211" s="25" t="n">
        <x:v>0</x:v>
      </x:c>
      <x:c r="E211" s="25" t="n">
        <x:v>2</x:v>
      </x:c>
      <x:c r="F211" s="25" t="n">
        <x:v>4</x:v>
      </x:c>
      <x:c r="G211" s="19" t="n">
        <x:f>SUM(D211:F211)</x:f>
        <x:v>6</x:v>
      </x:c>
      <x:c r="H211" s="25" t="n">
        <x:v>1</x:v>
      </x:c>
      <x:c r="I211" s="25" t="n">
        <x:v>1</x:v>
      </x:c>
      <x:c r="J211" s="25" t="n">
        <x:v>2</x:v>
      </x:c>
      <x:c r="K211" s="19" t="n">
        <x:f>D211-IF(H211=0,1,0)</x:f>
        <x:v>0</x:v>
      </x:c>
      <x:c r="L211" s="19" t="n">
        <x:f>E211-IF(H211=1,1,0)</x:f>
        <x:v>1</x:v>
      </x:c>
      <x:c r="M211" s="19" t="n">
        <x:f>F211-IF(H211=2,1,0)</x:f>
        <x:v>4</x:v>
      </x:c>
      <x:c r="N211" s="19" t="n">
        <x:f>MAX(K211-1,0)+MAX(L211-1,0)+MAX(M211-1,0)</x:f>
        <x:v>3</x:v>
      </x:c>
      <x:c r="O211" s="19" t="n">
        <x:f>IF(AND(SUM(K211:M211)&lt;9,OR(M211=0,N211&lt;6)),1,0)</x:f>
        <x:v>1</x:v>
      </x:c>
      <x:c r="P211" s="19" t="n">
        <x:f>IF(AND(SUM(K211:M211)&lt;9,OR(L211=0,N211&lt;6)),1,0)</x:f>
        <x:v>1</x:v>
      </x:c>
      <x:c r="Q211" s="19" t="n">
        <x:f>IF(AND(SUM(K211:M211)&lt;9,OR(K211=0,N211&lt;6)),1,0)</x:f>
        <x:v>1</x:v>
      </x:c>
      <x:c r="R211" s="22" t="str">
        <x:f>O211&amp;P211&amp;Q211</x:f>
        <x:v>111</x:v>
      </x:c>
      <x:c r="S211" s="19" t="n">
        <x:f>IF(I211=1,IF(J211=0,Q211,IF(J211=1,P211,IF(J211=2,O211,0))),0)</x:f>
        <x:v>1</x:v>
      </x:c>
      <x:c r="T211" s="19" t="n">
        <x:f>K211+IF(AND(S211=1,J211=0),1,0)</x:f>
        <x:v>0</x:v>
      </x:c>
      <x:c r="U211" s="19" t="n">
        <x:f>L211+IF(AND(S211=1,J211=1),1,0)</x:f>
        <x:v>1</x:v>
      </x:c>
      <x:c r="V211" s="19" t="n">
        <x:f>M211+IF(AND(S211=1,J211=2),1,0)</x:f>
        <x:v>5</x:v>
      </x:c>
      <x:c r="W211" s="19" t="n">
        <x:f>SUM(T211:V211)</x:f>
        <x:v>6</x:v>
      </x:c>
      <x:c r="X211" s="19" t="n">
        <x:f>W211-G211</x:f>
        <x:v>0</x:v>
      </x:c>
      <x:c r="Y211" s="19" t="n">
        <x:f>MAX(T211,1)+MAX(U211,1)+MAX(V211,1)</x:f>
        <x:v>7</x:v>
      </x:c>
      <x:c r="Z211" s="21" t="str">
        <x:f>IF(AND(MIN(D211:F211)&gt;=0,MAX(D211:F211)&lt;=7,MAX(D211,1)+MAX(E211,1)+MAX(F211,1)&lt;=9,OR(H211="-",AND(H211=0,D211&gt;0),AND(H211=1,E211&gt;0),AND(H211=2,F211&gt;0)),OR(I211=0,AND(I211=1,OR(J211=0,J211=1,J211=2),R211&lt;&gt;"000")),Y211&lt;=9,MIN(T211:V211)&gt;=0),"合法","输入违约")</x:f>
        <x:v>合法</x:v>
      </x:c>
    </x:row>
    <x:row r="212" ht="23" customHeight="1">
      <x:c r="A212" s="3" t="str">
        <x:v>CT-0205</x:v>
      </x:c>
      <x:c r="B212" s="3" t="str">
        <x:v>ST-059</x:v>
      </x:c>
      <x:c r="C212" s="3" t="str">
        <x:v>仅R回收</x:v>
      </x:c>
      <x:c r="D212" s="25" t="n">
        <x:v>0</x:v>
      </x:c>
      <x:c r="E212" s="25" t="n">
        <x:v>2</x:v>
      </x:c>
      <x:c r="F212" s="25" t="n">
        <x:v>4</x:v>
      </x:c>
      <x:c r="G212" s="19" t="n">
        <x:f>SUM(D212:F212)</x:f>
        <x:v>6</x:v>
      </x:c>
      <x:c r="H212" s="25" t="n">
        <x:v>2</x:v>
      </x:c>
      <x:c r="I212" s="25" t="n">
        <x:v>0</x:v>
      </x:c>
      <x:c r="J212" s="25" t="str">
        <x:v>-</x:v>
      </x:c>
      <x:c r="K212" s="19" t="n">
        <x:f>D212-IF(H212=0,1,0)</x:f>
        <x:v>0</x:v>
      </x:c>
      <x:c r="L212" s="19" t="n">
        <x:f>E212-IF(H212=1,1,0)</x:f>
        <x:v>2</x:v>
      </x:c>
      <x:c r="M212" s="19" t="n">
        <x:f>F212-IF(H212=2,1,0)</x:f>
        <x:v>3</x:v>
      </x:c>
      <x:c r="N212" s="19" t="n">
        <x:f>MAX(K212-1,0)+MAX(L212-1,0)+MAX(M212-1,0)</x:f>
        <x:v>3</x:v>
      </x:c>
      <x:c r="O212" s="19" t="n">
        <x:f>IF(AND(SUM(K212:M212)&lt;9,OR(M212=0,N212&lt;6)),1,0)</x:f>
        <x:v>1</x:v>
      </x:c>
      <x:c r="P212" s="19" t="n">
        <x:f>IF(AND(SUM(K212:M212)&lt;9,OR(L212=0,N212&lt;6)),1,0)</x:f>
        <x:v>1</x:v>
      </x:c>
      <x:c r="Q212" s="19" t="n">
        <x:f>IF(AND(SUM(K212:M212)&lt;9,OR(K212=0,N212&lt;6)),1,0)</x:f>
        <x:v>1</x:v>
      </x:c>
      <x:c r="R212" s="22" t="str">
        <x:f>O212&amp;P212&amp;Q212</x:f>
        <x:v>111</x:v>
      </x:c>
      <x:c r="S212" s="19" t="n">
        <x:f>IF(I212=1,IF(J212=0,Q212,IF(J212=1,P212,IF(J212=2,O212,0))),0)</x:f>
        <x:v>0</x:v>
      </x:c>
      <x:c r="T212" s="19" t="n">
        <x:f>K212+IF(AND(S212=1,J212=0),1,0)</x:f>
        <x:v>0</x:v>
      </x:c>
      <x:c r="U212" s="19" t="n">
        <x:f>L212+IF(AND(S212=1,J212=1),1,0)</x:f>
        <x:v>2</x:v>
      </x:c>
      <x:c r="V212" s="19" t="n">
        <x:f>M212+IF(AND(S212=1,J212=2),1,0)</x:f>
        <x:v>3</x:v>
      </x:c>
      <x:c r="W212" s="19" t="n">
        <x:f>SUM(T212:V212)</x:f>
        <x:v>5</x:v>
      </x:c>
      <x:c r="X212" s="19" t="n">
        <x:f>W212-G212</x:f>
        <x:v>-1</x:v>
      </x:c>
      <x:c r="Y212" s="19" t="n">
        <x:f>MAX(T212,1)+MAX(U212,1)+MAX(V212,1)</x:f>
        <x:v>6</x:v>
      </x:c>
      <x:c r="Z212" s="21" t="str">
        <x:f>IF(AND(MIN(D212:F212)&gt;=0,MAX(D212:F212)&lt;=7,MAX(D212,1)+MAX(E212,1)+MAX(F212,1)&lt;=9,OR(H212="-",AND(H212=0,D212&gt;0),AND(H212=1,E212&gt;0),AND(H212=2,F212&gt;0)),OR(I212=0,AND(I212=1,OR(J212=0,J212=1,J212=2),R212&lt;&gt;"000")),Y212&lt;=9,MIN(T212:V212)&gt;=0),"合法","输入违约")</x:f>
        <x:v>合法</x:v>
      </x:c>
    </x:row>
    <x:row r="213" ht="23" customHeight="1">
      <x:c r="A213" s="3" t="str">
        <x:v>CT-0206</x:v>
      </x:c>
      <x:c r="B213" s="3" t="str">
        <x:v>ST-059</x:v>
      </x:c>
      <x:c r="C213" s="3" t="str">
        <x:v>R+AR同收同发</x:v>
      </x:c>
      <x:c r="D213" s="25" t="n">
        <x:v>0</x:v>
      </x:c>
      <x:c r="E213" s="25" t="n">
        <x:v>2</x:v>
      </x:c>
      <x:c r="F213" s="25" t="n">
        <x:v>4</x:v>
      </x:c>
      <x:c r="G213" s="19" t="n">
        <x:f>SUM(D213:F213)</x:f>
        <x:v>6</x:v>
      </x:c>
      <x:c r="H213" s="25" t="n">
        <x:v>2</x:v>
      </x:c>
      <x:c r="I213" s="25" t="n">
        <x:v>1</x:v>
      </x:c>
      <x:c r="J213" s="25" t="n">
        <x:v>0</x:v>
      </x:c>
      <x:c r="K213" s="19" t="n">
        <x:f>D213-IF(H213=0,1,0)</x:f>
        <x:v>0</x:v>
      </x:c>
      <x:c r="L213" s="19" t="n">
        <x:f>E213-IF(H213=1,1,0)</x:f>
        <x:v>2</x:v>
      </x:c>
      <x:c r="M213" s="19" t="n">
        <x:f>F213-IF(H213=2,1,0)</x:f>
        <x:v>3</x:v>
      </x:c>
      <x:c r="N213" s="19" t="n">
        <x:f>MAX(K213-1,0)+MAX(L213-1,0)+MAX(M213-1,0)</x:f>
        <x:v>3</x:v>
      </x:c>
      <x:c r="O213" s="19" t="n">
        <x:f>IF(AND(SUM(K213:M213)&lt;9,OR(M213=0,N213&lt;6)),1,0)</x:f>
        <x:v>1</x:v>
      </x:c>
      <x:c r="P213" s="19" t="n">
        <x:f>IF(AND(SUM(K213:M213)&lt;9,OR(L213=0,N213&lt;6)),1,0)</x:f>
        <x:v>1</x:v>
      </x:c>
      <x:c r="Q213" s="19" t="n">
        <x:f>IF(AND(SUM(K213:M213)&lt;9,OR(K213=0,N213&lt;6)),1,0)</x:f>
        <x:v>1</x:v>
      </x:c>
      <x:c r="R213" s="22" t="str">
        <x:f>O213&amp;P213&amp;Q213</x:f>
        <x:v>111</x:v>
      </x:c>
      <x:c r="S213" s="19" t="n">
        <x:f>IF(I213=1,IF(J213=0,Q213,IF(J213=1,P213,IF(J213=2,O213,0))),0)</x:f>
        <x:v>1</x:v>
      </x:c>
      <x:c r="T213" s="19" t="n">
        <x:f>K213+IF(AND(S213=1,J213=0),1,0)</x:f>
        <x:v>1</x:v>
      </x:c>
      <x:c r="U213" s="19" t="n">
        <x:f>L213+IF(AND(S213=1,J213=1),1,0)</x:f>
        <x:v>2</x:v>
      </x:c>
      <x:c r="V213" s="19" t="n">
        <x:f>M213+IF(AND(S213=1,J213=2),1,0)</x:f>
        <x:v>3</x:v>
      </x:c>
      <x:c r="W213" s="19" t="n">
        <x:f>SUM(T213:V213)</x:f>
        <x:v>6</x:v>
      </x:c>
      <x:c r="X213" s="19" t="n">
        <x:f>W213-G213</x:f>
        <x:v>0</x:v>
      </x:c>
      <x:c r="Y213" s="19" t="n">
        <x:f>MAX(T213,1)+MAX(U213,1)+MAX(V213,1)</x:f>
        <x:v>6</x:v>
      </x:c>
      <x:c r="Z213" s="21" t="str">
        <x:f>IF(AND(MIN(D213:F213)&gt;=0,MAX(D213:F213)&lt;=7,MAX(D213,1)+MAX(E213,1)+MAX(F213,1)&lt;=9,OR(H213="-",AND(H213=0,D213&gt;0),AND(H213=1,E213&gt;0),AND(H213=2,F213&gt;0)),OR(I213=0,AND(I213=1,OR(J213=0,J213=1,J213=2),R213&lt;&gt;"000")),Y213&lt;=9,MIN(T213:V213)&gt;=0),"合法","输入违约")</x:f>
        <x:v>合法</x:v>
      </x:c>
    </x:row>
    <x:row r="214" ht="23" customHeight="1">
      <x:c r="A214" s="3" t="str">
        <x:v>CT-0207</x:v>
      </x:c>
      <x:c r="B214" s="3" t="str">
        <x:v>ST-059</x:v>
      </x:c>
      <x:c r="C214" s="3" t="str">
        <x:v>R+AR同收同发</x:v>
      </x:c>
      <x:c r="D214" s="25" t="n">
        <x:v>0</x:v>
      </x:c>
      <x:c r="E214" s="25" t="n">
        <x:v>2</x:v>
      </x:c>
      <x:c r="F214" s="25" t="n">
        <x:v>4</x:v>
      </x:c>
      <x:c r="G214" s="19" t="n">
        <x:f>SUM(D214:F214)</x:f>
        <x:v>6</x:v>
      </x:c>
      <x:c r="H214" s="25" t="n">
        <x:v>2</x:v>
      </x:c>
      <x:c r="I214" s="25" t="n">
        <x:v>1</x:v>
      </x:c>
      <x:c r="J214" s="25" t="n">
        <x:v>1</x:v>
      </x:c>
      <x:c r="K214" s="19" t="n">
        <x:f>D214-IF(H214=0,1,0)</x:f>
        <x:v>0</x:v>
      </x:c>
      <x:c r="L214" s="19" t="n">
        <x:f>E214-IF(H214=1,1,0)</x:f>
        <x:v>2</x:v>
      </x:c>
      <x:c r="M214" s="19" t="n">
        <x:f>F214-IF(H214=2,1,0)</x:f>
        <x:v>3</x:v>
      </x:c>
      <x:c r="N214" s="19" t="n">
        <x:f>MAX(K214-1,0)+MAX(L214-1,0)+MAX(M214-1,0)</x:f>
        <x:v>3</x:v>
      </x:c>
      <x:c r="O214" s="19" t="n">
        <x:f>IF(AND(SUM(K214:M214)&lt;9,OR(M214=0,N214&lt;6)),1,0)</x:f>
        <x:v>1</x:v>
      </x:c>
      <x:c r="P214" s="19" t="n">
        <x:f>IF(AND(SUM(K214:M214)&lt;9,OR(L214=0,N214&lt;6)),1,0)</x:f>
        <x:v>1</x:v>
      </x:c>
      <x:c r="Q214" s="19" t="n">
        <x:f>IF(AND(SUM(K214:M214)&lt;9,OR(K214=0,N214&lt;6)),1,0)</x:f>
        <x:v>1</x:v>
      </x:c>
      <x:c r="R214" s="22" t="str">
        <x:f>O214&amp;P214&amp;Q214</x:f>
        <x:v>111</x:v>
      </x:c>
      <x:c r="S214" s="19" t="n">
        <x:f>IF(I214=1,IF(J214=0,Q214,IF(J214=1,P214,IF(J214=2,O214,0))),0)</x:f>
        <x:v>1</x:v>
      </x:c>
      <x:c r="T214" s="19" t="n">
        <x:f>K214+IF(AND(S214=1,J214=0),1,0)</x:f>
        <x:v>0</x:v>
      </x:c>
      <x:c r="U214" s="19" t="n">
        <x:f>L214+IF(AND(S214=1,J214=1),1,0)</x:f>
        <x:v>3</x:v>
      </x:c>
      <x:c r="V214" s="19" t="n">
        <x:f>M214+IF(AND(S214=1,J214=2),1,0)</x:f>
        <x:v>3</x:v>
      </x:c>
      <x:c r="W214" s="19" t="n">
        <x:f>SUM(T214:V214)</x:f>
        <x:v>6</x:v>
      </x:c>
      <x:c r="X214" s="19" t="n">
        <x:f>W214-G214</x:f>
        <x:v>0</x:v>
      </x:c>
      <x:c r="Y214" s="19" t="n">
        <x:f>MAX(T214,1)+MAX(U214,1)+MAX(V214,1)</x:f>
        <x:v>7</x:v>
      </x:c>
      <x:c r="Z214" s="21" t="str">
        <x:f>IF(AND(MIN(D214:F214)&gt;=0,MAX(D214:F214)&lt;=7,MAX(D214,1)+MAX(E214,1)+MAX(F214,1)&lt;=9,OR(H214="-",AND(H214=0,D214&gt;0),AND(H214=1,E214&gt;0),AND(H214=2,F214&gt;0)),OR(I214=0,AND(I214=1,OR(J214=0,J214=1,J214=2),R214&lt;&gt;"000")),Y214&lt;=9,MIN(T214:V214)&gt;=0),"合法","输入违约")</x:f>
        <x:v>合法</x:v>
      </x:c>
    </x:row>
    <x:row r="215" ht="23" customHeight="1">
      <x:c r="A215" s="3" t="str">
        <x:v>CT-0208</x:v>
      </x:c>
      <x:c r="B215" s="3" t="str">
        <x:v>ST-059</x:v>
      </x:c>
      <x:c r="C215" s="3" t="str">
        <x:v>R+AR同收同发</x:v>
      </x:c>
      <x:c r="D215" s="25" t="n">
        <x:v>0</x:v>
      </x:c>
      <x:c r="E215" s="25" t="n">
        <x:v>2</x:v>
      </x:c>
      <x:c r="F215" s="25" t="n">
        <x:v>4</x:v>
      </x:c>
      <x:c r="G215" s="19" t="n">
        <x:f>SUM(D215:F215)</x:f>
        <x:v>6</x:v>
      </x:c>
      <x:c r="H215" s="25" t="n">
        <x:v>2</x:v>
      </x:c>
      <x:c r="I215" s="25" t="n">
        <x:v>1</x:v>
      </x:c>
      <x:c r="J215" s="25" t="n">
        <x:v>2</x:v>
      </x:c>
      <x:c r="K215" s="19" t="n">
        <x:f>D215-IF(H215=0,1,0)</x:f>
        <x:v>0</x:v>
      </x:c>
      <x:c r="L215" s="19" t="n">
        <x:f>E215-IF(H215=1,1,0)</x:f>
        <x:v>2</x:v>
      </x:c>
      <x:c r="M215" s="19" t="n">
        <x:f>F215-IF(H215=2,1,0)</x:f>
        <x:v>3</x:v>
      </x:c>
      <x:c r="N215" s="19" t="n">
        <x:f>MAX(K215-1,0)+MAX(L215-1,0)+MAX(M215-1,0)</x:f>
        <x:v>3</x:v>
      </x:c>
      <x:c r="O215" s="19" t="n">
        <x:f>IF(AND(SUM(K215:M215)&lt;9,OR(M215=0,N215&lt;6)),1,0)</x:f>
        <x:v>1</x:v>
      </x:c>
      <x:c r="P215" s="19" t="n">
        <x:f>IF(AND(SUM(K215:M215)&lt;9,OR(L215=0,N215&lt;6)),1,0)</x:f>
        <x:v>1</x:v>
      </x:c>
      <x:c r="Q215" s="19" t="n">
        <x:f>IF(AND(SUM(K215:M215)&lt;9,OR(K215=0,N215&lt;6)),1,0)</x:f>
        <x:v>1</x:v>
      </x:c>
      <x:c r="R215" s="22" t="str">
        <x:f>O215&amp;P215&amp;Q215</x:f>
        <x:v>111</x:v>
      </x:c>
      <x:c r="S215" s="19" t="n">
        <x:f>IF(I215=1,IF(J215=0,Q215,IF(J215=1,P215,IF(J215=2,O215,0))),0)</x:f>
        <x:v>1</x:v>
      </x:c>
      <x:c r="T215" s="19" t="n">
        <x:f>K215+IF(AND(S215=1,J215=0),1,0)</x:f>
        <x:v>0</x:v>
      </x:c>
      <x:c r="U215" s="19" t="n">
        <x:f>L215+IF(AND(S215=1,J215=1),1,0)</x:f>
        <x:v>2</x:v>
      </x:c>
      <x:c r="V215" s="19" t="n">
        <x:f>M215+IF(AND(S215=1,J215=2),1,0)</x:f>
        <x:v>4</x:v>
      </x:c>
      <x:c r="W215" s="19" t="n">
        <x:f>SUM(T215:V215)</x:f>
        <x:v>6</x:v>
      </x:c>
      <x:c r="X215" s="19" t="n">
        <x:f>W215-G215</x:f>
        <x:v>0</x:v>
      </x:c>
      <x:c r="Y215" s="19" t="n">
        <x:f>MAX(T215,1)+MAX(U215,1)+MAX(V215,1)</x:f>
        <x:v>7</x:v>
      </x:c>
      <x:c r="Z215" s="21" t="str">
        <x:f>IF(AND(MIN(D215:F215)&gt;=0,MAX(D215:F215)&lt;=7,MAX(D215,1)+MAX(E215,1)+MAX(F215,1)&lt;=9,OR(H215="-",AND(H215=0,D215&gt;0),AND(H215=1,E215&gt;0),AND(H215=2,F215&gt;0)),OR(I215=0,AND(I215=1,OR(J215=0,J215=1,J215=2),R215&lt;&gt;"000")),Y215&lt;=9,MIN(T215:V215)&gt;=0),"合法","输入违约")</x:f>
        <x:v>合法</x:v>
      </x:c>
    </x:row>
    <x:row r="216" ht="23" customHeight="1">
      <x:c r="A216" s="3" t="str">
        <x:v>CT-0209</x:v>
      </x:c>
      <x:c r="B216" s="3" t="str">
        <x:v>ST-087</x:v>
      </x:c>
      <x:c r="C216" s="3" t="str">
        <x:v>无AR/R</x:v>
      </x:c>
      <x:c r="D216" s="25" t="n">
        <x:v>0</x:v>
      </x:c>
      <x:c r="E216" s="25" t="n">
        <x:v>2</x:v>
      </x:c>
      <x:c r="F216" s="25" t="n">
        <x:v>5</x:v>
      </x:c>
      <x:c r="G216" s="19" t="n">
        <x:f>SUM(D216:F216)</x:f>
        <x:v>7</x:v>
      </x:c>
      <x:c r="H216" s="25" t="str">
        <x:v>-</x:v>
      </x:c>
      <x:c r="I216" s="25" t="n">
        <x:v>0</x:v>
      </x:c>
      <x:c r="J216" s="25" t="str">
        <x:v>-</x:v>
      </x:c>
      <x:c r="K216" s="19" t="n">
        <x:f>D216-IF(H216=0,1,0)</x:f>
        <x:v>0</x:v>
      </x:c>
      <x:c r="L216" s="19" t="n">
        <x:f>E216-IF(H216=1,1,0)</x:f>
        <x:v>2</x:v>
      </x:c>
      <x:c r="M216" s="19" t="n">
        <x:f>F216-IF(H216=2,1,0)</x:f>
        <x:v>5</x:v>
      </x:c>
      <x:c r="N216" s="19" t="n">
        <x:f>MAX(K216-1,0)+MAX(L216-1,0)+MAX(M216-1,0)</x:f>
        <x:v>5</x:v>
      </x:c>
      <x:c r="O216" s="19" t="n">
        <x:f>IF(AND(SUM(K216:M216)&lt;9,OR(M216=0,N216&lt;6)),1,0)</x:f>
        <x:v>1</x:v>
      </x:c>
      <x:c r="P216" s="19" t="n">
        <x:f>IF(AND(SUM(K216:M216)&lt;9,OR(L216=0,N216&lt;6)),1,0)</x:f>
        <x:v>1</x:v>
      </x:c>
      <x:c r="Q216" s="19" t="n">
        <x:f>IF(AND(SUM(K216:M216)&lt;9,OR(K216=0,N216&lt;6)),1,0)</x:f>
        <x:v>1</x:v>
      </x:c>
      <x:c r="R216" s="22" t="str">
        <x:f>O216&amp;P216&amp;Q216</x:f>
        <x:v>111</x:v>
      </x:c>
      <x:c r="S216" s="19" t="n">
        <x:f>IF(I216=1,IF(J216=0,Q216,IF(J216=1,P216,IF(J216=2,O216,0))),0)</x:f>
        <x:v>0</x:v>
      </x:c>
      <x:c r="T216" s="19" t="n">
        <x:f>K216+IF(AND(S216=1,J216=0),1,0)</x:f>
        <x:v>0</x:v>
      </x:c>
      <x:c r="U216" s="19" t="n">
        <x:f>L216+IF(AND(S216=1,J216=1),1,0)</x:f>
        <x:v>2</x:v>
      </x:c>
      <x:c r="V216" s="19" t="n">
        <x:f>M216+IF(AND(S216=1,J216=2),1,0)</x:f>
        <x:v>5</x:v>
      </x:c>
      <x:c r="W216" s="19" t="n">
        <x:f>SUM(T216:V216)</x:f>
        <x:v>7</x:v>
      </x:c>
      <x:c r="X216" s="19" t="n">
        <x:f>W216-G216</x:f>
        <x:v>0</x:v>
      </x:c>
      <x:c r="Y216" s="19" t="n">
        <x:f>MAX(T216,1)+MAX(U216,1)+MAX(V216,1)</x:f>
        <x:v>8</x:v>
      </x:c>
      <x:c r="Z216" s="21" t="str">
        <x:f>IF(AND(MIN(D216:F216)&gt;=0,MAX(D216:F216)&lt;=7,MAX(D216,1)+MAX(E216,1)+MAX(F216,1)&lt;=9,OR(H216="-",AND(H216=0,D216&gt;0),AND(H216=1,E216&gt;0),AND(H216=2,F216&gt;0)),OR(I216=0,AND(I216=1,OR(J216=0,J216=1,J216=2),R216&lt;&gt;"000")),Y216&lt;=9,MIN(T216:V216)&gt;=0),"合法","输入违约")</x:f>
        <x:v>合法</x:v>
      </x:c>
    </x:row>
    <x:row r="217" ht="23" customHeight="1">
      <x:c r="A217" s="3" t="str">
        <x:v>CT-0210</x:v>
      </x:c>
      <x:c r="B217" s="3" t="str">
        <x:v>ST-087</x:v>
      </x:c>
      <x:c r="C217" s="3" t="str">
        <x:v>仅AR接收</x:v>
      </x:c>
      <x:c r="D217" s="25" t="n">
        <x:v>0</x:v>
      </x:c>
      <x:c r="E217" s="25" t="n">
        <x:v>2</x:v>
      </x:c>
      <x:c r="F217" s="25" t="n">
        <x:v>5</x:v>
      </x:c>
      <x:c r="G217" s="19" t="n">
        <x:f>SUM(D217:F217)</x:f>
        <x:v>7</x:v>
      </x:c>
      <x:c r="H217" s="25" t="str">
        <x:v>-</x:v>
      </x:c>
      <x:c r="I217" s="25" t="n">
        <x:v>1</x:v>
      </x:c>
      <x:c r="J217" s="25" t="n">
        <x:v>0</x:v>
      </x:c>
      <x:c r="K217" s="19" t="n">
        <x:f>D217-IF(H217=0,1,0)</x:f>
        <x:v>0</x:v>
      </x:c>
      <x:c r="L217" s="19" t="n">
        <x:f>E217-IF(H217=1,1,0)</x:f>
        <x:v>2</x:v>
      </x:c>
      <x:c r="M217" s="19" t="n">
        <x:f>F217-IF(H217=2,1,0)</x:f>
        <x:v>5</x:v>
      </x:c>
      <x:c r="N217" s="19" t="n">
        <x:f>MAX(K217-1,0)+MAX(L217-1,0)+MAX(M217-1,0)</x:f>
        <x:v>5</x:v>
      </x:c>
      <x:c r="O217" s="19" t="n">
        <x:f>IF(AND(SUM(K217:M217)&lt;9,OR(M217=0,N217&lt;6)),1,0)</x:f>
        <x:v>1</x:v>
      </x:c>
      <x:c r="P217" s="19" t="n">
        <x:f>IF(AND(SUM(K217:M217)&lt;9,OR(L217=0,N217&lt;6)),1,0)</x:f>
        <x:v>1</x:v>
      </x:c>
      <x:c r="Q217" s="19" t="n">
        <x:f>IF(AND(SUM(K217:M217)&lt;9,OR(K217=0,N217&lt;6)),1,0)</x:f>
        <x:v>1</x:v>
      </x:c>
      <x:c r="R217" s="22" t="str">
        <x:f>O217&amp;P217&amp;Q217</x:f>
        <x:v>111</x:v>
      </x:c>
      <x:c r="S217" s="19" t="n">
        <x:f>IF(I217=1,IF(J217=0,Q217,IF(J217=1,P217,IF(J217=2,O217,0))),0)</x:f>
        <x:v>1</x:v>
      </x:c>
      <x:c r="T217" s="19" t="n">
        <x:f>K217+IF(AND(S217=1,J217=0),1,0)</x:f>
        <x:v>1</x:v>
      </x:c>
      <x:c r="U217" s="19" t="n">
        <x:f>L217+IF(AND(S217=1,J217=1),1,0)</x:f>
        <x:v>2</x:v>
      </x:c>
      <x:c r="V217" s="19" t="n">
        <x:f>M217+IF(AND(S217=1,J217=2),1,0)</x:f>
        <x:v>5</x:v>
      </x:c>
      <x:c r="W217" s="19" t="n">
        <x:f>SUM(T217:V217)</x:f>
        <x:v>8</x:v>
      </x:c>
      <x:c r="X217" s="19" t="n">
        <x:f>W217-G217</x:f>
        <x:v>1</x:v>
      </x:c>
      <x:c r="Y217" s="19" t="n">
        <x:f>MAX(T217,1)+MAX(U217,1)+MAX(V217,1)</x:f>
        <x:v>8</x:v>
      </x:c>
      <x:c r="Z217" s="21" t="str">
        <x:f>IF(AND(MIN(D217:F217)&gt;=0,MAX(D217:F217)&lt;=7,MAX(D217,1)+MAX(E217,1)+MAX(F217,1)&lt;=9,OR(H217="-",AND(H217=0,D217&gt;0),AND(H217=1,E217&gt;0),AND(H217=2,F217&gt;0)),OR(I217=0,AND(I217=1,OR(J217=0,J217=1,J217=2),R217&lt;&gt;"000")),Y217&lt;=9,MIN(T217:V217)&gt;=0),"合法","输入违约")</x:f>
        <x:v>合法</x:v>
      </x:c>
    </x:row>
    <x:row r="218" ht="23" customHeight="1">
      <x:c r="A218" s="3" t="str">
        <x:v>CT-0211</x:v>
      </x:c>
      <x:c r="B218" s="3" t="str">
        <x:v>ST-087</x:v>
      </x:c>
      <x:c r="C218" s="3" t="str">
        <x:v>仅AR接收</x:v>
      </x:c>
      <x:c r="D218" s="25" t="n">
        <x:v>0</x:v>
      </x:c>
      <x:c r="E218" s="25" t="n">
        <x:v>2</x:v>
      </x:c>
      <x:c r="F218" s="25" t="n">
        <x:v>5</x:v>
      </x:c>
      <x:c r="G218" s="19" t="n">
        <x:f>SUM(D218:F218)</x:f>
        <x:v>7</x:v>
      </x:c>
      <x:c r="H218" s="25" t="str">
        <x:v>-</x:v>
      </x:c>
      <x:c r="I218" s="25" t="n">
        <x:v>1</x:v>
      </x:c>
      <x:c r="J218" s="25" t="n">
        <x:v>1</x:v>
      </x:c>
      <x:c r="K218" s="19" t="n">
        <x:f>D218-IF(H218=0,1,0)</x:f>
        <x:v>0</x:v>
      </x:c>
      <x:c r="L218" s="19" t="n">
        <x:f>E218-IF(H218=1,1,0)</x:f>
        <x:v>2</x:v>
      </x:c>
      <x:c r="M218" s="19" t="n">
        <x:f>F218-IF(H218=2,1,0)</x:f>
        <x:v>5</x:v>
      </x:c>
      <x:c r="N218" s="19" t="n">
        <x:f>MAX(K218-1,0)+MAX(L218-1,0)+MAX(M218-1,0)</x:f>
        <x:v>5</x:v>
      </x:c>
      <x:c r="O218" s="19" t="n">
        <x:f>IF(AND(SUM(K218:M218)&lt;9,OR(M218=0,N218&lt;6)),1,0)</x:f>
        <x:v>1</x:v>
      </x:c>
      <x:c r="P218" s="19" t="n">
        <x:f>IF(AND(SUM(K218:M218)&lt;9,OR(L218=0,N218&lt;6)),1,0)</x:f>
        <x:v>1</x:v>
      </x:c>
      <x:c r="Q218" s="19" t="n">
        <x:f>IF(AND(SUM(K218:M218)&lt;9,OR(K218=0,N218&lt;6)),1,0)</x:f>
        <x:v>1</x:v>
      </x:c>
      <x:c r="R218" s="22" t="str">
        <x:f>O218&amp;P218&amp;Q218</x:f>
        <x:v>111</x:v>
      </x:c>
      <x:c r="S218" s="19" t="n">
        <x:f>IF(I218=1,IF(J218=0,Q218,IF(J218=1,P218,IF(J218=2,O218,0))),0)</x:f>
        <x:v>1</x:v>
      </x:c>
      <x:c r="T218" s="19" t="n">
        <x:f>K218+IF(AND(S218=1,J218=0),1,0)</x:f>
        <x:v>0</x:v>
      </x:c>
      <x:c r="U218" s="19" t="n">
        <x:f>L218+IF(AND(S218=1,J218=1),1,0)</x:f>
        <x:v>3</x:v>
      </x:c>
      <x:c r="V218" s="19" t="n">
        <x:f>M218+IF(AND(S218=1,J218=2),1,0)</x:f>
        <x:v>5</x:v>
      </x:c>
      <x:c r="W218" s="19" t="n">
        <x:f>SUM(T218:V218)</x:f>
        <x:v>8</x:v>
      </x:c>
      <x:c r="X218" s="19" t="n">
        <x:f>W218-G218</x:f>
        <x:v>1</x:v>
      </x:c>
      <x:c r="Y218" s="19" t="n">
        <x:f>MAX(T218,1)+MAX(U218,1)+MAX(V218,1)</x:f>
        <x:v>9</x:v>
      </x:c>
      <x:c r="Z218" s="21" t="str">
        <x:f>IF(AND(MIN(D218:F218)&gt;=0,MAX(D218:F218)&lt;=7,MAX(D218,1)+MAX(E218,1)+MAX(F218,1)&lt;=9,OR(H218="-",AND(H218=0,D218&gt;0),AND(H218=1,E218&gt;0),AND(H218=2,F218&gt;0)),OR(I218=0,AND(I218=1,OR(J218=0,J218=1,J218=2),R218&lt;&gt;"000")),Y218&lt;=9,MIN(T218:V218)&gt;=0),"合法","输入违约")</x:f>
        <x:v>合法</x:v>
      </x:c>
    </x:row>
    <x:row r="219" ht="23" customHeight="1">
      <x:c r="A219" s="3" t="str">
        <x:v>CT-0212</x:v>
      </x:c>
      <x:c r="B219" s="3" t="str">
        <x:v>ST-087</x:v>
      </x:c>
      <x:c r="C219" s="3" t="str">
        <x:v>仅AR接收</x:v>
      </x:c>
      <x:c r="D219" s="25" t="n">
        <x:v>0</x:v>
      </x:c>
      <x:c r="E219" s="25" t="n">
        <x:v>2</x:v>
      </x:c>
      <x:c r="F219" s="25" t="n">
        <x:v>5</x:v>
      </x:c>
      <x:c r="G219" s="19" t="n">
        <x:f>SUM(D219:F219)</x:f>
        <x:v>7</x:v>
      </x:c>
      <x:c r="H219" s="25" t="str">
        <x:v>-</x:v>
      </x:c>
      <x:c r="I219" s="25" t="n">
        <x:v>1</x:v>
      </x:c>
      <x:c r="J219" s="25" t="n">
        <x:v>2</x:v>
      </x:c>
      <x:c r="K219" s="19" t="n">
        <x:f>D219-IF(H219=0,1,0)</x:f>
        <x:v>0</x:v>
      </x:c>
      <x:c r="L219" s="19" t="n">
        <x:f>E219-IF(H219=1,1,0)</x:f>
        <x:v>2</x:v>
      </x:c>
      <x:c r="M219" s="19" t="n">
        <x:f>F219-IF(H219=2,1,0)</x:f>
        <x:v>5</x:v>
      </x:c>
      <x:c r="N219" s="19" t="n">
        <x:f>MAX(K219-1,0)+MAX(L219-1,0)+MAX(M219-1,0)</x:f>
        <x:v>5</x:v>
      </x:c>
      <x:c r="O219" s="19" t="n">
        <x:f>IF(AND(SUM(K219:M219)&lt;9,OR(M219=0,N219&lt;6)),1,0)</x:f>
        <x:v>1</x:v>
      </x:c>
      <x:c r="P219" s="19" t="n">
        <x:f>IF(AND(SUM(K219:M219)&lt;9,OR(L219=0,N219&lt;6)),1,0)</x:f>
        <x:v>1</x:v>
      </x:c>
      <x:c r="Q219" s="19" t="n">
        <x:f>IF(AND(SUM(K219:M219)&lt;9,OR(K219=0,N219&lt;6)),1,0)</x:f>
        <x:v>1</x:v>
      </x:c>
      <x:c r="R219" s="22" t="str">
        <x:f>O219&amp;P219&amp;Q219</x:f>
        <x:v>111</x:v>
      </x:c>
      <x:c r="S219" s="19" t="n">
        <x:f>IF(I219=1,IF(J219=0,Q219,IF(J219=1,P219,IF(J219=2,O219,0))),0)</x:f>
        <x:v>1</x:v>
      </x:c>
      <x:c r="T219" s="19" t="n">
        <x:f>K219+IF(AND(S219=1,J219=0),1,0)</x:f>
        <x:v>0</x:v>
      </x:c>
      <x:c r="U219" s="19" t="n">
        <x:f>L219+IF(AND(S219=1,J219=1),1,0)</x:f>
        <x:v>2</x:v>
      </x:c>
      <x:c r="V219" s="19" t="n">
        <x:f>M219+IF(AND(S219=1,J219=2),1,0)</x:f>
        <x:v>6</x:v>
      </x:c>
      <x:c r="W219" s="19" t="n">
        <x:f>SUM(T219:V219)</x:f>
        <x:v>8</x:v>
      </x:c>
      <x:c r="X219" s="19" t="n">
        <x:f>W219-G219</x:f>
        <x:v>1</x:v>
      </x:c>
      <x:c r="Y219" s="19" t="n">
        <x:f>MAX(T219,1)+MAX(U219,1)+MAX(V219,1)</x:f>
        <x:v>9</x:v>
      </x:c>
      <x:c r="Z219" s="21" t="str">
        <x:f>IF(AND(MIN(D219:F219)&gt;=0,MAX(D219:F219)&lt;=7,MAX(D219,1)+MAX(E219,1)+MAX(F219,1)&lt;=9,OR(H219="-",AND(H219=0,D219&gt;0),AND(H219=1,E219&gt;0),AND(H219=2,F219&gt;0)),OR(I219=0,AND(I219=1,OR(J219=0,J219=1,J219=2),R219&lt;&gt;"000")),Y219&lt;=9,MIN(T219:V219)&gt;=0),"合法","输入违约")</x:f>
        <x:v>合法</x:v>
      </x:c>
    </x:row>
    <x:row r="220" ht="23" customHeight="1">
      <x:c r="A220" s="3" t="str">
        <x:v>CT-0213</x:v>
      </x:c>
      <x:c r="B220" s="3" t="str">
        <x:v>ST-087</x:v>
      </x:c>
      <x:c r="C220" s="3" t="str">
        <x:v>仅R回收</x:v>
      </x:c>
      <x:c r="D220" s="25" t="n">
        <x:v>0</x:v>
      </x:c>
      <x:c r="E220" s="25" t="n">
        <x:v>2</x:v>
      </x:c>
      <x:c r="F220" s="25" t="n">
        <x:v>5</x:v>
      </x:c>
      <x:c r="G220" s="19" t="n">
        <x:f>SUM(D220:F220)</x:f>
        <x:v>7</x:v>
      </x:c>
      <x:c r="H220" s="25" t="n">
        <x:v>1</x:v>
      </x:c>
      <x:c r="I220" s="25" t="n">
        <x:v>0</x:v>
      </x:c>
      <x:c r="J220" s="25" t="str">
        <x:v>-</x:v>
      </x:c>
      <x:c r="K220" s="19" t="n">
        <x:f>D220-IF(H220=0,1,0)</x:f>
        <x:v>0</x:v>
      </x:c>
      <x:c r="L220" s="19" t="n">
        <x:f>E220-IF(H220=1,1,0)</x:f>
        <x:v>1</x:v>
      </x:c>
      <x:c r="M220" s="19" t="n">
        <x:f>F220-IF(H220=2,1,0)</x:f>
        <x:v>5</x:v>
      </x:c>
      <x:c r="N220" s="19" t="n">
        <x:f>MAX(K220-1,0)+MAX(L220-1,0)+MAX(M220-1,0)</x:f>
        <x:v>4</x:v>
      </x:c>
      <x:c r="O220" s="19" t="n">
        <x:f>IF(AND(SUM(K220:M220)&lt;9,OR(M220=0,N220&lt;6)),1,0)</x:f>
        <x:v>1</x:v>
      </x:c>
      <x:c r="P220" s="19" t="n">
        <x:f>IF(AND(SUM(K220:M220)&lt;9,OR(L220=0,N220&lt;6)),1,0)</x:f>
        <x:v>1</x:v>
      </x:c>
      <x:c r="Q220" s="19" t="n">
        <x:f>IF(AND(SUM(K220:M220)&lt;9,OR(K220=0,N220&lt;6)),1,0)</x:f>
        <x:v>1</x:v>
      </x:c>
      <x:c r="R220" s="22" t="str">
        <x:f>O220&amp;P220&amp;Q220</x:f>
        <x:v>111</x:v>
      </x:c>
      <x:c r="S220" s="19" t="n">
        <x:f>IF(I220=1,IF(J220=0,Q220,IF(J220=1,P220,IF(J220=2,O220,0))),0)</x:f>
        <x:v>0</x:v>
      </x:c>
      <x:c r="T220" s="19" t="n">
        <x:f>K220+IF(AND(S220=1,J220=0),1,0)</x:f>
        <x:v>0</x:v>
      </x:c>
      <x:c r="U220" s="19" t="n">
        <x:f>L220+IF(AND(S220=1,J220=1),1,0)</x:f>
        <x:v>1</x:v>
      </x:c>
      <x:c r="V220" s="19" t="n">
        <x:f>M220+IF(AND(S220=1,J220=2),1,0)</x:f>
        <x:v>5</x:v>
      </x:c>
      <x:c r="W220" s="19" t="n">
        <x:f>SUM(T220:V220)</x:f>
        <x:v>6</x:v>
      </x:c>
      <x:c r="X220" s="19" t="n">
        <x:f>W220-G220</x:f>
        <x:v>-1</x:v>
      </x:c>
      <x:c r="Y220" s="19" t="n">
        <x:f>MAX(T220,1)+MAX(U220,1)+MAX(V220,1)</x:f>
        <x:v>7</x:v>
      </x:c>
      <x:c r="Z220" s="21" t="str">
        <x:f>IF(AND(MIN(D220:F220)&gt;=0,MAX(D220:F220)&lt;=7,MAX(D220,1)+MAX(E220,1)+MAX(F220,1)&lt;=9,OR(H220="-",AND(H220=0,D220&gt;0),AND(H220=1,E220&gt;0),AND(H220=2,F220&gt;0)),OR(I220=0,AND(I220=1,OR(J220=0,J220=1,J220=2),R220&lt;&gt;"000")),Y220&lt;=9,MIN(T220:V220)&gt;=0),"合法","输入违约")</x:f>
        <x:v>合法</x:v>
      </x:c>
    </x:row>
    <x:row r="221" ht="23" customHeight="1">
      <x:c r="A221" s="3" t="str">
        <x:v>CT-0214</x:v>
      </x:c>
      <x:c r="B221" s="3" t="str">
        <x:v>ST-087</x:v>
      </x:c>
      <x:c r="C221" s="3" t="str">
        <x:v>R+AR同收同发</x:v>
      </x:c>
      <x:c r="D221" s="25" t="n">
        <x:v>0</x:v>
      </x:c>
      <x:c r="E221" s="25" t="n">
        <x:v>2</x:v>
      </x:c>
      <x:c r="F221" s="25" t="n">
        <x:v>5</x:v>
      </x:c>
      <x:c r="G221" s="19" t="n">
        <x:f>SUM(D221:F221)</x:f>
        <x:v>7</x:v>
      </x:c>
      <x:c r="H221" s="25" t="n">
        <x:v>1</x:v>
      </x:c>
      <x:c r="I221" s="25" t="n">
        <x:v>1</x:v>
      </x:c>
      <x:c r="J221" s="25" t="n">
        <x:v>0</x:v>
      </x:c>
      <x:c r="K221" s="19" t="n">
        <x:f>D221-IF(H221=0,1,0)</x:f>
        <x:v>0</x:v>
      </x:c>
      <x:c r="L221" s="19" t="n">
        <x:f>E221-IF(H221=1,1,0)</x:f>
        <x:v>1</x:v>
      </x:c>
      <x:c r="M221" s="19" t="n">
        <x:f>F221-IF(H221=2,1,0)</x:f>
        <x:v>5</x:v>
      </x:c>
      <x:c r="N221" s="19" t="n">
        <x:f>MAX(K221-1,0)+MAX(L221-1,0)+MAX(M221-1,0)</x:f>
        <x:v>4</x:v>
      </x:c>
      <x:c r="O221" s="19" t="n">
        <x:f>IF(AND(SUM(K221:M221)&lt;9,OR(M221=0,N221&lt;6)),1,0)</x:f>
        <x:v>1</x:v>
      </x:c>
      <x:c r="P221" s="19" t="n">
        <x:f>IF(AND(SUM(K221:M221)&lt;9,OR(L221=0,N221&lt;6)),1,0)</x:f>
        <x:v>1</x:v>
      </x:c>
      <x:c r="Q221" s="19" t="n">
        <x:f>IF(AND(SUM(K221:M221)&lt;9,OR(K221=0,N221&lt;6)),1,0)</x:f>
        <x:v>1</x:v>
      </x:c>
      <x:c r="R221" s="22" t="str">
        <x:f>O221&amp;P221&amp;Q221</x:f>
        <x:v>111</x:v>
      </x:c>
      <x:c r="S221" s="19" t="n">
        <x:f>IF(I221=1,IF(J221=0,Q221,IF(J221=1,P221,IF(J221=2,O221,0))),0)</x:f>
        <x:v>1</x:v>
      </x:c>
      <x:c r="T221" s="19" t="n">
        <x:f>K221+IF(AND(S221=1,J221=0),1,0)</x:f>
        <x:v>1</x:v>
      </x:c>
      <x:c r="U221" s="19" t="n">
        <x:f>L221+IF(AND(S221=1,J221=1),1,0)</x:f>
        <x:v>1</x:v>
      </x:c>
      <x:c r="V221" s="19" t="n">
        <x:f>M221+IF(AND(S221=1,J221=2),1,0)</x:f>
        <x:v>5</x:v>
      </x:c>
      <x:c r="W221" s="19" t="n">
        <x:f>SUM(T221:V221)</x:f>
        <x:v>7</x:v>
      </x:c>
      <x:c r="X221" s="19" t="n">
        <x:f>W221-G221</x:f>
        <x:v>0</x:v>
      </x:c>
      <x:c r="Y221" s="19" t="n">
        <x:f>MAX(T221,1)+MAX(U221,1)+MAX(V221,1)</x:f>
        <x:v>7</x:v>
      </x:c>
      <x:c r="Z221" s="21" t="str">
        <x:f>IF(AND(MIN(D221:F221)&gt;=0,MAX(D221:F221)&lt;=7,MAX(D221,1)+MAX(E221,1)+MAX(F221,1)&lt;=9,OR(H221="-",AND(H221=0,D221&gt;0),AND(H221=1,E221&gt;0),AND(H221=2,F221&gt;0)),OR(I221=0,AND(I221=1,OR(J221=0,J221=1,J221=2),R221&lt;&gt;"000")),Y221&lt;=9,MIN(T221:V221)&gt;=0),"合法","输入违约")</x:f>
        <x:v>合法</x:v>
      </x:c>
    </x:row>
    <x:row r="222" ht="23" customHeight="1">
      <x:c r="A222" s="3" t="str">
        <x:v>CT-0215</x:v>
      </x:c>
      <x:c r="B222" s="3" t="str">
        <x:v>ST-087</x:v>
      </x:c>
      <x:c r="C222" s="3" t="str">
        <x:v>R+AR同收同发</x:v>
      </x:c>
      <x:c r="D222" s="25" t="n">
        <x:v>0</x:v>
      </x:c>
      <x:c r="E222" s="25" t="n">
        <x:v>2</x:v>
      </x:c>
      <x:c r="F222" s="25" t="n">
        <x:v>5</x:v>
      </x:c>
      <x:c r="G222" s="19" t="n">
        <x:f>SUM(D222:F222)</x:f>
        <x:v>7</x:v>
      </x:c>
      <x:c r="H222" s="25" t="n">
        <x:v>1</x:v>
      </x:c>
      <x:c r="I222" s="25" t="n">
        <x:v>1</x:v>
      </x:c>
      <x:c r="J222" s="25" t="n">
        <x:v>1</x:v>
      </x:c>
      <x:c r="K222" s="19" t="n">
        <x:f>D222-IF(H222=0,1,0)</x:f>
        <x:v>0</x:v>
      </x:c>
      <x:c r="L222" s="19" t="n">
        <x:f>E222-IF(H222=1,1,0)</x:f>
        <x:v>1</x:v>
      </x:c>
      <x:c r="M222" s="19" t="n">
        <x:f>F222-IF(H222=2,1,0)</x:f>
        <x:v>5</x:v>
      </x:c>
      <x:c r="N222" s="19" t="n">
        <x:f>MAX(K222-1,0)+MAX(L222-1,0)+MAX(M222-1,0)</x:f>
        <x:v>4</x:v>
      </x:c>
      <x:c r="O222" s="19" t="n">
        <x:f>IF(AND(SUM(K222:M222)&lt;9,OR(M222=0,N222&lt;6)),1,0)</x:f>
        <x:v>1</x:v>
      </x:c>
      <x:c r="P222" s="19" t="n">
        <x:f>IF(AND(SUM(K222:M222)&lt;9,OR(L222=0,N222&lt;6)),1,0)</x:f>
        <x:v>1</x:v>
      </x:c>
      <x:c r="Q222" s="19" t="n">
        <x:f>IF(AND(SUM(K222:M222)&lt;9,OR(K222=0,N222&lt;6)),1,0)</x:f>
        <x:v>1</x:v>
      </x:c>
      <x:c r="R222" s="22" t="str">
        <x:f>O222&amp;P222&amp;Q222</x:f>
        <x:v>111</x:v>
      </x:c>
      <x:c r="S222" s="19" t="n">
        <x:f>IF(I222=1,IF(J222=0,Q222,IF(J222=1,P222,IF(J222=2,O222,0))),0)</x:f>
        <x:v>1</x:v>
      </x:c>
      <x:c r="T222" s="19" t="n">
        <x:f>K222+IF(AND(S222=1,J222=0),1,0)</x:f>
        <x:v>0</x:v>
      </x:c>
      <x:c r="U222" s="19" t="n">
        <x:f>L222+IF(AND(S222=1,J222=1),1,0)</x:f>
        <x:v>2</x:v>
      </x:c>
      <x:c r="V222" s="19" t="n">
        <x:f>M222+IF(AND(S222=1,J222=2),1,0)</x:f>
        <x:v>5</x:v>
      </x:c>
      <x:c r="W222" s="19" t="n">
        <x:f>SUM(T222:V222)</x:f>
        <x:v>7</x:v>
      </x:c>
      <x:c r="X222" s="19" t="n">
        <x:f>W222-G222</x:f>
        <x:v>0</x:v>
      </x:c>
      <x:c r="Y222" s="19" t="n">
        <x:f>MAX(T222,1)+MAX(U222,1)+MAX(V222,1)</x:f>
        <x:v>8</x:v>
      </x:c>
      <x:c r="Z222" s="21" t="str">
        <x:f>IF(AND(MIN(D222:F222)&gt;=0,MAX(D222:F222)&lt;=7,MAX(D222,1)+MAX(E222,1)+MAX(F222,1)&lt;=9,OR(H222="-",AND(H222=0,D222&gt;0),AND(H222=1,E222&gt;0),AND(H222=2,F222&gt;0)),OR(I222=0,AND(I222=1,OR(J222=0,J222=1,J222=2),R222&lt;&gt;"000")),Y222&lt;=9,MIN(T222:V222)&gt;=0),"合法","输入违约")</x:f>
        <x:v>合法</x:v>
      </x:c>
    </x:row>
    <x:row r="223" ht="23" customHeight="1">
      <x:c r="A223" s="3" t="str">
        <x:v>CT-0216</x:v>
      </x:c>
      <x:c r="B223" s="3" t="str">
        <x:v>ST-087</x:v>
      </x:c>
      <x:c r="C223" s="3" t="str">
        <x:v>R+AR同收同发</x:v>
      </x:c>
      <x:c r="D223" s="25" t="n">
        <x:v>0</x:v>
      </x:c>
      <x:c r="E223" s="25" t="n">
        <x:v>2</x:v>
      </x:c>
      <x:c r="F223" s="25" t="n">
        <x:v>5</x:v>
      </x:c>
      <x:c r="G223" s="19" t="n">
        <x:f>SUM(D223:F223)</x:f>
        <x:v>7</x:v>
      </x:c>
      <x:c r="H223" s="25" t="n">
        <x:v>1</x:v>
      </x:c>
      <x:c r="I223" s="25" t="n">
        <x:v>1</x:v>
      </x:c>
      <x:c r="J223" s="25" t="n">
        <x:v>2</x:v>
      </x:c>
      <x:c r="K223" s="19" t="n">
        <x:f>D223-IF(H223=0,1,0)</x:f>
        <x:v>0</x:v>
      </x:c>
      <x:c r="L223" s="19" t="n">
        <x:f>E223-IF(H223=1,1,0)</x:f>
        <x:v>1</x:v>
      </x:c>
      <x:c r="M223" s="19" t="n">
        <x:f>F223-IF(H223=2,1,0)</x:f>
        <x:v>5</x:v>
      </x:c>
      <x:c r="N223" s="19" t="n">
        <x:f>MAX(K223-1,0)+MAX(L223-1,0)+MAX(M223-1,0)</x:f>
        <x:v>4</x:v>
      </x:c>
      <x:c r="O223" s="19" t="n">
        <x:f>IF(AND(SUM(K223:M223)&lt;9,OR(M223=0,N223&lt;6)),1,0)</x:f>
        <x:v>1</x:v>
      </x:c>
      <x:c r="P223" s="19" t="n">
        <x:f>IF(AND(SUM(K223:M223)&lt;9,OR(L223=0,N223&lt;6)),1,0)</x:f>
        <x:v>1</x:v>
      </x:c>
      <x:c r="Q223" s="19" t="n">
        <x:f>IF(AND(SUM(K223:M223)&lt;9,OR(K223=0,N223&lt;6)),1,0)</x:f>
        <x:v>1</x:v>
      </x:c>
      <x:c r="R223" s="22" t="str">
        <x:f>O223&amp;P223&amp;Q223</x:f>
        <x:v>111</x:v>
      </x:c>
      <x:c r="S223" s="19" t="n">
        <x:f>IF(I223=1,IF(J223=0,Q223,IF(J223=1,P223,IF(J223=2,O223,0))),0)</x:f>
        <x:v>1</x:v>
      </x:c>
      <x:c r="T223" s="19" t="n">
        <x:f>K223+IF(AND(S223=1,J223=0),1,0)</x:f>
        <x:v>0</x:v>
      </x:c>
      <x:c r="U223" s="19" t="n">
        <x:f>L223+IF(AND(S223=1,J223=1),1,0)</x:f>
        <x:v>1</x:v>
      </x:c>
      <x:c r="V223" s="19" t="n">
        <x:f>M223+IF(AND(S223=1,J223=2),1,0)</x:f>
        <x:v>6</x:v>
      </x:c>
      <x:c r="W223" s="19" t="n">
        <x:f>SUM(T223:V223)</x:f>
        <x:v>7</x:v>
      </x:c>
      <x:c r="X223" s="19" t="n">
        <x:f>W223-G223</x:f>
        <x:v>0</x:v>
      </x:c>
      <x:c r="Y223" s="19" t="n">
        <x:f>MAX(T223,1)+MAX(U223,1)+MAX(V223,1)</x:f>
        <x:v>8</x:v>
      </x:c>
      <x:c r="Z223" s="21" t="str">
        <x:f>IF(AND(MIN(D223:F223)&gt;=0,MAX(D223:F223)&lt;=7,MAX(D223,1)+MAX(E223,1)+MAX(F223,1)&lt;=9,OR(H223="-",AND(H223=0,D223&gt;0),AND(H223=1,E223&gt;0),AND(H223=2,F223&gt;0)),OR(I223=0,AND(I223=1,OR(J223=0,J223=1,J223=2),R223&lt;&gt;"000")),Y223&lt;=9,MIN(T223:V223)&gt;=0),"合法","输入违约")</x:f>
        <x:v>合法</x:v>
      </x:c>
    </x:row>
    <x:row r="224" ht="23" customHeight="1">
      <x:c r="A224" s="3" t="str">
        <x:v>CT-0217</x:v>
      </x:c>
      <x:c r="B224" s="3" t="str">
        <x:v>ST-087</x:v>
      </x:c>
      <x:c r="C224" s="3" t="str">
        <x:v>仅R回收</x:v>
      </x:c>
      <x:c r="D224" s="25" t="n">
        <x:v>0</x:v>
      </x:c>
      <x:c r="E224" s="25" t="n">
        <x:v>2</x:v>
      </x:c>
      <x:c r="F224" s="25" t="n">
        <x:v>5</x:v>
      </x:c>
      <x:c r="G224" s="19" t="n">
        <x:f>SUM(D224:F224)</x:f>
        <x:v>7</x:v>
      </x:c>
      <x:c r="H224" s="25" t="n">
        <x:v>2</x:v>
      </x:c>
      <x:c r="I224" s="25" t="n">
        <x:v>0</x:v>
      </x:c>
      <x:c r="J224" s="25" t="str">
        <x:v>-</x:v>
      </x:c>
      <x:c r="K224" s="19" t="n">
        <x:f>D224-IF(H224=0,1,0)</x:f>
        <x:v>0</x:v>
      </x:c>
      <x:c r="L224" s="19" t="n">
        <x:f>E224-IF(H224=1,1,0)</x:f>
        <x:v>2</x:v>
      </x:c>
      <x:c r="M224" s="19" t="n">
        <x:f>F224-IF(H224=2,1,0)</x:f>
        <x:v>4</x:v>
      </x:c>
      <x:c r="N224" s="19" t="n">
        <x:f>MAX(K224-1,0)+MAX(L224-1,0)+MAX(M224-1,0)</x:f>
        <x:v>4</x:v>
      </x:c>
      <x:c r="O224" s="19" t="n">
        <x:f>IF(AND(SUM(K224:M224)&lt;9,OR(M224=0,N224&lt;6)),1,0)</x:f>
        <x:v>1</x:v>
      </x:c>
      <x:c r="P224" s="19" t="n">
        <x:f>IF(AND(SUM(K224:M224)&lt;9,OR(L224=0,N224&lt;6)),1,0)</x:f>
        <x:v>1</x:v>
      </x:c>
      <x:c r="Q224" s="19" t="n">
        <x:f>IF(AND(SUM(K224:M224)&lt;9,OR(K224=0,N224&lt;6)),1,0)</x:f>
        <x:v>1</x:v>
      </x:c>
      <x:c r="R224" s="22" t="str">
        <x:f>O224&amp;P224&amp;Q224</x:f>
        <x:v>111</x:v>
      </x:c>
      <x:c r="S224" s="19" t="n">
        <x:f>IF(I224=1,IF(J224=0,Q224,IF(J224=1,P224,IF(J224=2,O224,0))),0)</x:f>
        <x:v>0</x:v>
      </x:c>
      <x:c r="T224" s="19" t="n">
        <x:f>K224+IF(AND(S224=1,J224=0),1,0)</x:f>
        <x:v>0</x:v>
      </x:c>
      <x:c r="U224" s="19" t="n">
        <x:f>L224+IF(AND(S224=1,J224=1),1,0)</x:f>
        <x:v>2</x:v>
      </x:c>
      <x:c r="V224" s="19" t="n">
        <x:f>M224+IF(AND(S224=1,J224=2),1,0)</x:f>
        <x:v>4</x:v>
      </x:c>
      <x:c r="W224" s="19" t="n">
        <x:f>SUM(T224:V224)</x:f>
        <x:v>6</x:v>
      </x:c>
      <x:c r="X224" s="19" t="n">
        <x:f>W224-G224</x:f>
        <x:v>-1</x:v>
      </x:c>
      <x:c r="Y224" s="19" t="n">
        <x:f>MAX(T224,1)+MAX(U224,1)+MAX(V224,1)</x:f>
        <x:v>7</x:v>
      </x:c>
      <x:c r="Z224" s="21" t="str">
        <x:f>IF(AND(MIN(D224:F224)&gt;=0,MAX(D224:F224)&lt;=7,MAX(D224,1)+MAX(E224,1)+MAX(F224,1)&lt;=9,OR(H224="-",AND(H224=0,D224&gt;0),AND(H224=1,E224&gt;0),AND(H224=2,F224&gt;0)),OR(I224=0,AND(I224=1,OR(J224=0,J224=1,J224=2),R224&lt;&gt;"000")),Y224&lt;=9,MIN(T224:V224)&gt;=0),"合法","输入违约")</x:f>
        <x:v>合法</x:v>
      </x:c>
    </x:row>
    <x:row r="225" ht="23" customHeight="1">
      <x:c r="A225" s="3" t="str">
        <x:v>CT-0218</x:v>
      </x:c>
      <x:c r="B225" s="3" t="str">
        <x:v>ST-087</x:v>
      </x:c>
      <x:c r="C225" s="3" t="str">
        <x:v>R+AR同收同发</x:v>
      </x:c>
      <x:c r="D225" s="25" t="n">
        <x:v>0</x:v>
      </x:c>
      <x:c r="E225" s="25" t="n">
        <x:v>2</x:v>
      </x:c>
      <x:c r="F225" s="25" t="n">
        <x:v>5</x:v>
      </x:c>
      <x:c r="G225" s="19" t="n">
        <x:f>SUM(D225:F225)</x:f>
        <x:v>7</x:v>
      </x:c>
      <x:c r="H225" s="25" t="n">
        <x:v>2</x:v>
      </x:c>
      <x:c r="I225" s="25" t="n">
        <x:v>1</x:v>
      </x:c>
      <x:c r="J225" s="25" t="n">
        <x:v>0</x:v>
      </x:c>
      <x:c r="K225" s="19" t="n">
        <x:f>D225-IF(H225=0,1,0)</x:f>
        <x:v>0</x:v>
      </x:c>
      <x:c r="L225" s="19" t="n">
        <x:f>E225-IF(H225=1,1,0)</x:f>
        <x:v>2</x:v>
      </x:c>
      <x:c r="M225" s="19" t="n">
        <x:f>F225-IF(H225=2,1,0)</x:f>
        <x:v>4</x:v>
      </x:c>
      <x:c r="N225" s="19" t="n">
        <x:f>MAX(K225-1,0)+MAX(L225-1,0)+MAX(M225-1,0)</x:f>
        <x:v>4</x:v>
      </x:c>
      <x:c r="O225" s="19" t="n">
        <x:f>IF(AND(SUM(K225:M225)&lt;9,OR(M225=0,N225&lt;6)),1,0)</x:f>
        <x:v>1</x:v>
      </x:c>
      <x:c r="P225" s="19" t="n">
        <x:f>IF(AND(SUM(K225:M225)&lt;9,OR(L225=0,N225&lt;6)),1,0)</x:f>
        <x:v>1</x:v>
      </x:c>
      <x:c r="Q225" s="19" t="n">
        <x:f>IF(AND(SUM(K225:M225)&lt;9,OR(K225=0,N225&lt;6)),1,0)</x:f>
        <x:v>1</x:v>
      </x:c>
      <x:c r="R225" s="22" t="str">
        <x:f>O225&amp;P225&amp;Q225</x:f>
        <x:v>111</x:v>
      </x:c>
      <x:c r="S225" s="19" t="n">
        <x:f>IF(I225=1,IF(J225=0,Q225,IF(J225=1,P225,IF(J225=2,O225,0))),0)</x:f>
        <x:v>1</x:v>
      </x:c>
      <x:c r="T225" s="19" t="n">
        <x:f>K225+IF(AND(S225=1,J225=0),1,0)</x:f>
        <x:v>1</x:v>
      </x:c>
      <x:c r="U225" s="19" t="n">
        <x:f>L225+IF(AND(S225=1,J225=1),1,0)</x:f>
        <x:v>2</x:v>
      </x:c>
      <x:c r="V225" s="19" t="n">
        <x:f>M225+IF(AND(S225=1,J225=2),1,0)</x:f>
        <x:v>4</x:v>
      </x:c>
      <x:c r="W225" s="19" t="n">
        <x:f>SUM(T225:V225)</x:f>
        <x:v>7</x:v>
      </x:c>
      <x:c r="X225" s="19" t="n">
        <x:f>W225-G225</x:f>
        <x:v>0</x:v>
      </x:c>
      <x:c r="Y225" s="19" t="n">
        <x:f>MAX(T225,1)+MAX(U225,1)+MAX(V225,1)</x:f>
        <x:v>7</x:v>
      </x:c>
      <x:c r="Z225" s="21" t="str">
        <x:f>IF(AND(MIN(D225:F225)&gt;=0,MAX(D225:F225)&lt;=7,MAX(D225,1)+MAX(E225,1)+MAX(F225,1)&lt;=9,OR(H225="-",AND(H225=0,D225&gt;0),AND(H225=1,E225&gt;0),AND(H225=2,F225&gt;0)),OR(I225=0,AND(I225=1,OR(J225=0,J225=1,J225=2),R225&lt;&gt;"000")),Y225&lt;=9,MIN(T225:V225)&gt;=0),"合法","输入违约")</x:f>
        <x:v>合法</x:v>
      </x:c>
    </x:row>
    <x:row r="226" ht="23" customHeight="1">
      <x:c r="A226" s="3" t="str">
        <x:v>CT-0219</x:v>
      </x:c>
      <x:c r="B226" s="3" t="str">
        <x:v>ST-087</x:v>
      </x:c>
      <x:c r="C226" s="3" t="str">
        <x:v>R+AR同收同发</x:v>
      </x:c>
      <x:c r="D226" s="25" t="n">
        <x:v>0</x:v>
      </x:c>
      <x:c r="E226" s="25" t="n">
        <x:v>2</x:v>
      </x:c>
      <x:c r="F226" s="25" t="n">
        <x:v>5</x:v>
      </x:c>
      <x:c r="G226" s="19" t="n">
        <x:f>SUM(D226:F226)</x:f>
        <x:v>7</x:v>
      </x:c>
      <x:c r="H226" s="25" t="n">
        <x:v>2</x:v>
      </x:c>
      <x:c r="I226" s="25" t="n">
        <x:v>1</x:v>
      </x:c>
      <x:c r="J226" s="25" t="n">
        <x:v>1</x:v>
      </x:c>
      <x:c r="K226" s="19" t="n">
        <x:f>D226-IF(H226=0,1,0)</x:f>
        <x:v>0</x:v>
      </x:c>
      <x:c r="L226" s="19" t="n">
        <x:f>E226-IF(H226=1,1,0)</x:f>
        <x:v>2</x:v>
      </x:c>
      <x:c r="M226" s="19" t="n">
        <x:f>F226-IF(H226=2,1,0)</x:f>
        <x:v>4</x:v>
      </x:c>
      <x:c r="N226" s="19" t="n">
        <x:f>MAX(K226-1,0)+MAX(L226-1,0)+MAX(M226-1,0)</x:f>
        <x:v>4</x:v>
      </x:c>
      <x:c r="O226" s="19" t="n">
        <x:f>IF(AND(SUM(K226:M226)&lt;9,OR(M226=0,N226&lt;6)),1,0)</x:f>
        <x:v>1</x:v>
      </x:c>
      <x:c r="P226" s="19" t="n">
        <x:f>IF(AND(SUM(K226:M226)&lt;9,OR(L226=0,N226&lt;6)),1,0)</x:f>
        <x:v>1</x:v>
      </x:c>
      <x:c r="Q226" s="19" t="n">
        <x:f>IF(AND(SUM(K226:M226)&lt;9,OR(K226=0,N226&lt;6)),1,0)</x:f>
        <x:v>1</x:v>
      </x:c>
      <x:c r="R226" s="22" t="str">
        <x:f>O226&amp;P226&amp;Q226</x:f>
        <x:v>111</x:v>
      </x:c>
      <x:c r="S226" s="19" t="n">
        <x:f>IF(I226=1,IF(J226=0,Q226,IF(J226=1,P226,IF(J226=2,O226,0))),0)</x:f>
        <x:v>1</x:v>
      </x:c>
      <x:c r="T226" s="19" t="n">
        <x:f>K226+IF(AND(S226=1,J226=0),1,0)</x:f>
        <x:v>0</x:v>
      </x:c>
      <x:c r="U226" s="19" t="n">
        <x:f>L226+IF(AND(S226=1,J226=1),1,0)</x:f>
        <x:v>3</x:v>
      </x:c>
      <x:c r="V226" s="19" t="n">
        <x:f>M226+IF(AND(S226=1,J226=2),1,0)</x:f>
        <x:v>4</x:v>
      </x:c>
      <x:c r="W226" s="19" t="n">
        <x:f>SUM(T226:V226)</x:f>
        <x:v>7</x:v>
      </x:c>
      <x:c r="X226" s="19" t="n">
        <x:f>W226-G226</x:f>
        <x:v>0</x:v>
      </x:c>
      <x:c r="Y226" s="19" t="n">
        <x:f>MAX(T226,1)+MAX(U226,1)+MAX(V226,1)</x:f>
        <x:v>8</x:v>
      </x:c>
      <x:c r="Z226" s="21" t="str">
        <x:f>IF(AND(MIN(D226:F226)&gt;=0,MAX(D226:F226)&lt;=7,MAX(D226,1)+MAX(E226,1)+MAX(F226,1)&lt;=9,OR(H226="-",AND(H226=0,D226&gt;0),AND(H226=1,E226&gt;0),AND(H226=2,F226&gt;0)),OR(I226=0,AND(I226=1,OR(J226=0,J226=1,J226=2),R226&lt;&gt;"000")),Y226&lt;=9,MIN(T226:V226)&gt;=0),"合法","输入违约")</x:f>
        <x:v>合法</x:v>
      </x:c>
    </x:row>
    <x:row r="227" ht="23" customHeight="1">
      <x:c r="A227" s="3" t="str">
        <x:v>CT-0220</x:v>
      </x:c>
      <x:c r="B227" s="3" t="str">
        <x:v>ST-087</x:v>
      </x:c>
      <x:c r="C227" s="3" t="str">
        <x:v>R+AR同收同发</x:v>
      </x:c>
      <x:c r="D227" s="25" t="n">
        <x:v>0</x:v>
      </x:c>
      <x:c r="E227" s="25" t="n">
        <x:v>2</x:v>
      </x:c>
      <x:c r="F227" s="25" t="n">
        <x:v>5</x:v>
      </x:c>
      <x:c r="G227" s="19" t="n">
        <x:f>SUM(D227:F227)</x:f>
        <x:v>7</x:v>
      </x:c>
      <x:c r="H227" s="25" t="n">
        <x:v>2</x:v>
      </x:c>
      <x:c r="I227" s="25" t="n">
        <x:v>1</x:v>
      </x:c>
      <x:c r="J227" s="25" t="n">
        <x:v>2</x:v>
      </x:c>
      <x:c r="K227" s="19" t="n">
        <x:f>D227-IF(H227=0,1,0)</x:f>
        <x:v>0</x:v>
      </x:c>
      <x:c r="L227" s="19" t="n">
        <x:f>E227-IF(H227=1,1,0)</x:f>
        <x:v>2</x:v>
      </x:c>
      <x:c r="M227" s="19" t="n">
        <x:f>F227-IF(H227=2,1,0)</x:f>
        <x:v>4</x:v>
      </x:c>
      <x:c r="N227" s="19" t="n">
        <x:f>MAX(K227-1,0)+MAX(L227-1,0)+MAX(M227-1,0)</x:f>
        <x:v>4</x:v>
      </x:c>
      <x:c r="O227" s="19" t="n">
        <x:f>IF(AND(SUM(K227:M227)&lt;9,OR(M227=0,N227&lt;6)),1,0)</x:f>
        <x:v>1</x:v>
      </x:c>
      <x:c r="P227" s="19" t="n">
        <x:f>IF(AND(SUM(K227:M227)&lt;9,OR(L227=0,N227&lt;6)),1,0)</x:f>
        <x:v>1</x:v>
      </x:c>
      <x:c r="Q227" s="19" t="n">
        <x:f>IF(AND(SUM(K227:M227)&lt;9,OR(K227=0,N227&lt;6)),1,0)</x:f>
        <x:v>1</x:v>
      </x:c>
      <x:c r="R227" s="22" t="str">
        <x:f>O227&amp;P227&amp;Q227</x:f>
        <x:v>111</x:v>
      </x:c>
      <x:c r="S227" s="19" t="n">
        <x:f>IF(I227=1,IF(J227=0,Q227,IF(J227=1,P227,IF(J227=2,O227,0))),0)</x:f>
        <x:v>1</x:v>
      </x:c>
      <x:c r="T227" s="19" t="n">
        <x:f>K227+IF(AND(S227=1,J227=0),1,0)</x:f>
        <x:v>0</x:v>
      </x:c>
      <x:c r="U227" s="19" t="n">
        <x:f>L227+IF(AND(S227=1,J227=1),1,0)</x:f>
        <x:v>2</x:v>
      </x:c>
      <x:c r="V227" s="19" t="n">
        <x:f>M227+IF(AND(S227=1,J227=2),1,0)</x:f>
        <x:v>5</x:v>
      </x:c>
      <x:c r="W227" s="19" t="n">
        <x:f>SUM(T227:V227)</x:f>
        <x:v>7</x:v>
      </x:c>
      <x:c r="X227" s="19" t="n">
        <x:f>W227-G227</x:f>
        <x:v>0</x:v>
      </x:c>
      <x:c r="Y227" s="19" t="n">
        <x:f>MAX(T227,1)+MAX(U227,1)+MAX(V227,1)</x:f>
        <x:v>8</x:v>
      </x:c>
      <x:c r="Z227" s="21" t="str">
        <x:f>IF(AND(MIN(D227:F227)&gt;=0,MAX(D227:F227)&lt;=7,MAX(D227,1)+MAX(E227,1)+MAX(F227,1)&lt;=9,OR(H227="-",AND(H227=0,D227&gt;0),AND(H227=1,E227&gt;0),AND(H227=2,F227&gt;0)),OR(I227=0,AND(I227=1,OR(J227=0,J227=1,J227=2),R227&lt;&gt;"000")),Y227&lt;=9,MIN(T227:V227)&gt;=0),"合法","输入违约")</x:f>
        <x:v>合法</x:v>
      </x:c>
    </x:row>
    <x:row r="228" ht="23" customHeight="1">
      <x:c r="A228" s="3" t="str">
        <x:v>CT-0221</x:v>
      </x:c>
      <x:c r="B228" s="3" t="str">
        <x:v>ST-122</x:v>
      </x:c>
      <x:c r="C228" s="3" t="str">
        <x:v>无AR/R</x:v>
      </x:c>
      <x:c r="D228" s="25" t="n">
        <x:v>0</x:v>
      </x:c>
      <x:c r="E228" s="25" t="n">
        <x:v>2</x:v>
      </x:c>
      <x:c r="F228" s="25" t="n">
        <x:v>6</x:v>
      </x:c>
      <x:c r="G228" s="19" t="n">
        <x:f>SUM(D228:F228)</x:f>
        <x:v>8</x:v>
      </x:c>
      <x:c r="H228" s="25" t="str">
        <x:v>-</x:v>
      </x:c>
      <x:c r="I228" s="25" t="n">
        <x:v>0</x:v>
      </x:c>
      <x:c r="J228" s="25" t="str">
        <x:v>-</x:v>
      </x:c>
      <x:c r="K228" s="19" t="n">
        <x:f>D228-IF(H228=0,1,0)</x:f>
        <x:v>0</x:v>
      </x:c>
      <x:c r="L228" s="19" t="n">
        <x:f>E228-IF(H228=1,1,0)</x:f>
        <x:v>2</x:v>
      </x:c>
      <x:c r="M228" s="19" t="n">
        <x:f>F228-IF(H228=2,1,0)</x:f>
        <x:v>6</x:v>
      </x:c>
      <x:c r="N228" s="19" t="n">
        <x:f>MAX(K228-1,0)+MAX(L228-1,0)+MAX(M228-1,0)</x:f>
        <x:v>6</x:v>
      </x:c>
      <x:c r="O228" s="19" t="n">
        <x:f>IF(AND(SUM(K228:M228)&lt;9,OR(M228=0,N228&lt;6)),1,0)</x:f>
        <x:v>0</x:v>
      </x:c>
      <x:c r="P228" s="19" t="n">
        <x:f>IF(AND(SUM(K228:M228)&lt;9,OR(L228=0,N228&lt;6)),1,0)</x:f>
        <x:v>0</x:v>
      </x:c>
      <x:c r="Q228" s="19" t="n">
        <x:f>IF(AND(SUM(K228:M228)&lt;9,OR(K228=0,N228&lt;6)),1,0)</x:f>
        <x:v>1</x:v>
      </x:c>
      <x:c r="R228" s="22" t="str">
        <x:f>O228&amp;P228&amp;Q228</x:f>
        <x:v>001</x:v>
      </x:c>
      <x:c r="S228" s="19" t="n">
        <x:f>IF(I228=1,IF(J228=0,Q228,IF(J228=1,P228,IF(J228=2,O228,0))),0)</x:f>
        <x:v>0</x:v>
      </x:c>
      <x:c r="T228" s="19" t="n">
        <x:f>K228+IF(AND(S228=1,J228=0),1,0)</x:f>
        <x:v>0</x:v>
      </x:c>
      <x:c r="U228" s="19" t="n">
        <x:f>L228+IF(AND(S228=1,J228=1),1,0)</x:f>
        <x:v>2</x:v>
      </x:c>
      <x:c r="V228" s="19" t="n">
        <x:f>M228+IF(AND(S228=1,J228=2),1,0)</x:f>
        <x:v>6</x:v>
      </x:c>
      <x:c r="W228" s="19" t="n">
        <x:f>SUM(T228:V228)</x:f>
        <x:v>8</x:v>
      </x:c>
      <x:c r="X228" s="19" t="n">
        <x:f>W228-G228</x:f>
        <x:v>0</x:v>
      </x:c>
      <x:c r="Y228" s="19" t="n">
        <x:f>MAX(T228,1)+MAX(U228,1)+MAX(V228,1)</x:f>
        <x:v>9</x:v>
      </x:c>
      <x:c r="Z228" s="21" t="str">
        <x:f>IF(AND(MIN(D228:F228)&gt;=0,MAX(D228:F228)&lt;=7,MAX(D228,1)+MAX(E228,1)+MAX(F228,1)&lt;=9,OR(H228="-",AND(H228=0,D228&gt;0),AND(H228=1,E228&gt;0),AND(H228=2,F228&gt;0)),OR(I228=0,AND(I228=1,OR(J228=0,J228=1,J228=2),R228&lt;&gt;"000")),Y228&lt;=9,MIN(T228:V228)&gt;=0),"合法","输入违约")</x:f>
        <x:v>合法</x:v>
      </x:c>
    </x:row>
    <x:row r="229" ht="23" customHeight="1">
      <x:c r="A229" s="3" t="str">
        <x:v>CT-0222</x:v>
      </x:c>
      <x:c r="B229" s="3" t="str">
        <x:v>ST-122</x:v>
      </x:c>
      <x:c r="C229" s="3" t="str">
        <x:v>仅AR接收</x:v>
      </x:c>
      <x:c r="D229" s="25" t="n">
        <x:v>0</x:v>
      </x:c>
      <x:c r="E229" s="25" t="n">
        <x:v>2</x:v>
      </x:c>
      <x:c r="F229" s="25" t="n">
        <x:v>6</x:v>
      </x:c>
      <x:c r="G229" s="19" t="n">
        <x:f>SUM(D229:F229)</x:f>
        <x:v>8</x:v>
      </x:c>
      <x:c r="H229" s="25" t="str">
        <x:v>-</x:v>
      </x:c>
      <x:c r="I229" s="25" t="n">
        <x:v>1</x:v>
      </x:c>
      <x:c r="J229" s="25" t="n">
        <x:v>0</x:v>
      </x:c>
      <x:c r="K229" s="19" t="n">
        <x:f>D229-IF(H229=0,1,0)</x:f>
        <x:v>0</x:v>
      </x:c>
      <x:c r="L229" s="19" t="n">
        <x:f>E229-IF(H229=1,1,0)</x:f>
        <x:v>2</x:v>
      </x:c>
      <x:c r="M229" s="19" t="n">
        <x:f>F229-IF(H229=2,1,0)</x:f>
        <x:v>6</x:v>
      </x:c>
      <x:c r="N229" s="19" t="n">
        <x:f>MAX(K229-1,0)+MAX(L229-1,0)+MAX(M229-1,0)</x:f>
        <x:v>6</x:v>
      </x:c>
      <x:c r="O229" s="19" t="n">
        <x:f>IF(AND(SUM(K229:M229)&lt;9,OR(M229=0,N229&lt;6)),1,0)</x:f>
        <x:v>0</x:v>
      </x:c>
      <x:c r="P229" s="19" t="n">
        <x:f>IF(AND(SUM(K229:M229)&lt;9,OR(L229=0,N229&lt;6)),1,0)</x:f>
        <x:v>0</x:v>
      </x:c>
      <x:c r="Q229" s="19" t="n">
        <x:f>IF(AND(SUM(K229:M229)&lt;9,OR(K229=0,N229&lt;6)),1,0)</x:f>
        <x:v>1</x:v>
      </x:c>
      <x:c r="R229" s="22" t="str">
        <x:f>O229&amp;P229&amp;Q229</x:f>
        <x:v>001</x:v>
      </x:c>
      <x:c r="S229" s="19" t="n">
        <x:f>IF(I229=1,IF(J229=0,Q229,IF(J229=1,P229,IF(J229=2,O229,0))),0)</x:f>
        <x:v>1</x:v>
      </x:c>
      <x:c r="T229" s="19" t="n">
        <x:f>K229+IF(AND(S229=1,J229=0),1,0)</x:f>
        <x:v>1</x:v>
      </x:c>
      <x:c r="U229" s="19" t="n">
        <x:f>L229+IF(AND(S229=1,J229=1),1,0)</x:f>
        <x:v>2</x:v>
      </x:c>
      <x:c r="V229" s="19" t="n">
        <x:f>M229+IF(AND(S229=1,J229=2),1,0)</x:f>
        <x:v>6</x:v>
      </x:c>
      <x:c r="W229" s="19" t="n">
        <x:f>SUM(T229:V229)</x:f>
        <x:v>9</x:v>
      </x:c>
      <x:c r="X229" s="19" t="n">
        <x:f>W229-G229</x:f>
        <x:v>1</x:v>
      </x:c>
      <x:c r="Y229" s="19" t="n">
        <x:f>MAX(T229,1)+MAX(U229,1)+MAX(V229,1)</x:f>
        <x:v>9</x:v>
      </x:c>
      <x:c r="Z229" s="21" t="str">
        <x:f>IF(AND(MIN(D229:F229)&gt;=0,MAX(D229:F229)&lt;=7,MAX(D229,1)+MAX(E229,1)+MAX(F229,1)&lt;=9,OR(H229="-",AND(H229=0,D229&gt;0),AND(H229=1,E229&gt;0),AND(H229=2,F229&gt;0)),OR(I229=0,AND(I229=1,OR(J229=0,J229=1,J229=2),R229&lt;&gt;"000")),Y229&lt;=9,MIN(T229:V229)&gt;=0),"合法","输入违约")</x:f>
        <x:v>合法</x:v>
      </x:c>
    </x:row>
    <x:row r="230" ht="23" customHeight="1">
      <x:c r="A230" s="3" t="str">
        <x:v>CT-0223</x:v>
      </x:c>
      <x:c r="B230" s="3" t="str">
        <x:v>ST-122</x:v>
      </x:c>
      <x:c r="C230" s="3" t="str">
        <x:v>所选源被阻塞</x:v>
      </x:c>
      <x:c r="D230" s="25" t="n">
        <x:v>0</x:v>
      </x:c>
      <x:c r="E230" s="25" t="n">
        <x:v>2</x:v>
      </x:c>
      <x:c r="F230" s="25" t="n">
        <x:v>6</x:v>
      </x:c>
      <x:c r="G230" s="19" t="n">
        <x:f>SUM(D230:F230)</x:f>
        <x:v>8</x:v>
      </x:c>
      <x:c r="H230" s="25" t="str">
        <x:v>-</x:v>
      </x:c>
      <x:c r="I230" s="25" t="n">
        <x:v>1</x:v>
      </x:c>
      <x:c r="J230" s="25" t="n">
        <x:v>1</x:v>
      </x:c>
      <x:c r="K230" s="19" t="n">
        <x:f>D230-IF(H230=0,1,0)</x:f>
        <x:v>0</x:v>
      </x:c>
      <x:c r="L230" s="19" t="n">
        <x:f>E230-IF(H230=1,1,0)</x:f>
        <x:v>2</x:v>
      </x:c>
      <x:c r="M230" s="19" t="n">
        <x:f>F230-IF(H230=2,1,0)</x:f>
        <x:v>6</x:v>
      </x:c>
      <x:c r="N230" s="19" t="n">
        <x:f>MAX(K230-1,0)+MAX(L230-1,0)+MAX(M230-1,0)</x:f>
        <x:v>6</x:v>
      </x:c>
      <x:c r="O230" s="19" t="n">
        <x:f>IF(AND(SUM(K230:M230)&lt;9,OR(M230=0,N230&lt;6)),1,0)</x:f>
        <x:v>0</x:v>
      </x:c>
      <x:c r="P230" s="19" t="n">
        <x:f>IF(AND(SUM(K230:M230)&lt;9,OR(L230=0,N230&lt;6)),1,0)</x:f>
        <x:v>0</x:v>
      </x:c>
      <x:c r="Q230" s="19" t="n">
        <x:f>IF(AND(SUM(K230:M230)&lt;9,OR(K230=0,N230&lt;6)),1,0)</x:f>
        <x:v>1</x:v>
      </x:c>
      <x:c r="R230" s="22" t="str">
        <x:f>O230&amp;P230&amp;Q230</x:f>
        <x:v>001</x:v>
      </x:c>
      <x:c r="S230" s="19" t="n">
        <x:f>IF(I230=1,IF(J230=0,Q230,IF(J230=1,P230,IF(J230=2,O230,0))),0)</x:f>
        <x:v>0</x:v>
      </x:c>
      <x:c r="T230" s="19" t="n">
        <x:f>K230+IF(AND(S230=1,J230=0),1,0)</x:f>
        <x:v>0</x:v>
      </x:c>
      <x:c r="U230" s="19" t="n">
        <x:f>L230+IF(AND(S230=1,J230=1),1,0)</x:f>
        <x:v>2</x:v>
      </x:c>
      <x:c r="V230" s="19" t="n">
        <x:f>M230+IF(AND(S230=1,J230=2),1,0)</x:f>
        <x:v>6</x:v>
      </x:c>
      <x:c r="W230" s="19" t="n">
        <x:f>SUM(T230:V230)</x:f>
        <x:v>8</x:v>
      </x:c>
      <x:c r="X230" s="19" t="n">
        <x:f>W230-G230</x:f>
        <x:v>0</x:v>
      </x:c>
      <x:c r="Y230" s="19" t="n">
        <x:f>MAX(T230,1)+MAX(U230,1)+MAX(V230,1)</x:f>
        <x:v>9</x:v>
      </x:c>
      <x:c r="Z230" s="21" t="str">
        <x:f>IF(AND(MIN(D230:F230)&gt;=0,MAX(D230:F230)&lt;=7,MAX(D230,1)+MAX(E230,1)+MAX(F230,1)&lt;=9,OR(H230="-",AND(H230=0,D230&gt;0),AND(H230=1,E230&gt;0),AND(H230=2,F230&gt;0)),OR(I230=0,AND(I230=1,OR(J230=0,J230=1,J230=2),R230&lt;&gt;"000")),Y230&lt;=9,MIN(T230:V230)&gt;=0),"合法","输入违约")</x:f>
        <x:v>合法</x:v>
      </x:c>
    </x:row>
    <x:row r="231" ht="23" customHeight="1">
      <x:c r="A231" s="3" t="str">
        <x:v>CT-0224</x:v>
      </x:c>
      <x:c r="B231" s="3" t="str">
        <x:v>ST-122</x:v>
      </x:c>
      <x:c r="C231" s="3" t="str">
        <x:v>所选源被阻塞</x:v>
      </x:c>
      <x:c r="D231" s="25" t="n">
        <x:v>0</x:v>
      </x:c>
      <x:c r="E231" s="25" t="n">
        <x:v>2</x:v>
      </x:c>
      <x:c r="F231" s="25" t="n">
        <x:v>6</x:v>
      </x:c>
      <x:c r="G231" s="19" t="n">
        <x:f>SUM(D231:F231)</x:f>
        <x:v>8</x:v>
      </x:c>
      <x:c r="H231" s="25" t="str">
        <x:v>-</x:v>
      </x:c>
      <x:c r="I231" s="25" t="n">
        <x:v>1</x:v>
      </x:c>
      <x:c r="J231" s="25" t="n">
        <x:v>2</x:v>
      </x:c>
      <x:c r="K231" s="19" t="n">
        <x:f>D231-IF(H231=0,1,0)</x:f>
        <x:v>0</x:v>
      </x:c>
      <x:c r="L231" s="19" t="n">
        <x:f>E231-IF(H231=1,1,0)</x:f>
        <x:v>2</x:v>
      </x:c>
      <x:c r="M231" s="19" t="n">
        <x:f>F231-IF(H231=2,1,0)</x:f>
        <x:v>6</x:v>
      </x:c>
      <x:c r="N231" s="19" t="n">
        <x:f>MAX(K231-1,0)+MAX(L231-1,0)+MAX(M231-1,0)</x:f>
        <x:v>6</x:v>
      </x:c>
      <x:c r="O231" s="19" t="n">
        <x:f>IF(AND(SUM(K231:M231)&lt;9,OR(M231=0,N231&lt;6)),1,0)</x:f>
        <x:v>0</x:v>
      </x:c>
      <x:c r="P231" s="19" t="n">
        <x:f>IF(AND(SUM(K231:M231)&lt;9,OR(L231=0,N231&lt;6)),1,0)</x:f>
        <x:v>0</x:v>
      </x:c>
      <x:c r="Q231" s="19" t="n">
        <x:f>IF(AND(SUM(K231:M231)&lt;9,OR(K231=0,N231&lt;6)),1,0)</x:f>
        <x:v>1</x:v>
      </x:c>
      <x:c r="R231" s="22" t="str">
        <x:f>O231&amp;P231&amp;Q231</x:f>
        <x:v>001</x:v>
      </x:c>
      <x:c r="S231" s="19" t="n">
        <x:f>IF(I231=1,IF(J231=0,Q231,IF(J231=1,P231,IF(J231=2,O231,0))),0)</x:f>
        <x:v>0</x:v>
      </x:c>
      <x:c r="T231" s="19" t="n">
        <x:f>K231+IF(AND(S231=1,J231=0),1,0)</x:f>
        <x:v>0</x:v>
      </x:c>
      <x:c r="U231" s="19" t="n">
        <x:f>L231+IF(AND(S231=1,J231=1),1,0)</x:f>
        <x:v>2</x:v>
      </x:c>
      <x:c r="V231" s="19" t="n">
        <x:f>M231+IF(AND(S231=1,J231=2),1,0)</x:f>
        <x:v>6</x:v>
      </x:c>
      <x:c r="W231" s="19" t="n">
        <x:f>SUM(T231:V231)</x:f>
        <x:v>8</x:v>
      </x:c>
      <x:c r="X231" s="19" t="n">
        <x:f>W231-G231</x:f>
        <x:v>0</x:v>
      </x:c>
      <x:c r="Y231" s="19" t="n">
        <x:f>MAX(T231,1)+MAX(U231,1)+MAX(V231,1)</x:f>
        <x:v>9</x:v>
      </x:c>
      <x:c r="Z231" s="21" t="str">
        <x:f>IF(AND(MIN(D231:F231)&gt;=0,MAX(D231:F231)&lt;=7,MAX(D231,1)+MAX(E231,1)+MAX(F231,1)&lt;=9,OR(H231="-",AND(H231=0,D231&gt;0),AND(H231=1,E231&gt;0),AND(H231=2,F231&gt;0)),OR(I231=0,AND(I231=1,OR(J231=0,J231=1,J231=2),R231&lt;&gt;"000")),Y231&lt;=9,MIN(T231:V231)&gt;=0),"合法","输入违约")</x:f>
        <x:v>合法</x:v>
      </x:c>
    </x:row>
    <x:row r="232" ht="23" customHeight="1">
      <x:c r="A232" s="3" t="str">
        <x:v>CT-0225</x:v>
      </x:c>
      <x:c r="B232" s="3" t="str">
        <x:v>ST-122</x:v>
      </x:c>
      <x:c r="C232" s="3" t="str">
        <x:v>仅R回收</x:v>
      </x:c>
      <x:c r="D232" s="25" t="n">
        <x:v>0</x:v>
      </x:c>
      <x:c r="E232" s="25" t="n">
        <x:v>2</x:v>
      </x:c>
      <x:c r="F232" s="25" t="n">
        <x:v>6</x:v>
      </x:c>
      <x:c r="G232" s="19" t="n">
        <x:f>SUM(D232:F232)</x:f>
        <x:v>8</x:v>
      </x:c>
      <x:c r="H232" s="25" t="n">
        <x:v>1</x:v>
      </x:c>
      <x:c r="I232" s="25" t="n">
        <x:v>0</x:v>
      </x:c>
      <x:c r="J232" s="25" t="str">
        <x:v>-</x:v>
      </x:c>
      <x:c r="K232" s="19" t="n">
        <x:f>D232-IF(H232=0,1,0)</x:f>
        <x:v>0</x:v>
      </x:c>
      <x:c r="L232" s="19" t="n">
        <x:f>E232-IF(H232=1,1,0)</x:f>
        <x:v>1</x:v>
      </x:c>
      <x:c r="M232" s="19" t="n">
        <x:f>F232-IF(H232=2,1,0)</x:f>
        <x:v>6</x:v>
      </x:c>
      <x:c r="N232" s="19" t="n">
        <x:f>MAX(K232-1,0)+MAX(L232-1,0)+MAX(M232-1,0)</x:f>
        <x:v>5</x:v>
      </x:c>
      <x:c r="O232" s="19" t="n">
        <x:f>IF(AND(SUM(K232:M232)&lt;9,OR(M232=0,N232&lt;6)),1,0)</x:f>
        <x:v>1</x:v>
      </x:c>
      <x:c r="P232" s="19" t="n">
        <x:f>IF(AND(SUM(K232:M232)&lt;9,OR(L232=0,N232&lt;6)),1,0)</x:f>
        <x:v>1</x:v>
      </x:c>
      <x:c r="Q232" s="19" t="n">
        <x:f>IF(AND(SUM(K232:M232)&lt;9,OR(K232=0,N232&lt;6)),1,0)</x:f>
        <x:v>1</x:v>
      </x:c>
      <x:c r="R232" s="22" t="str">
        <x:f>O232&amp;P232&amp;Q232</x:f>
        <x:v>111</x:v>
      </x:c>
      <x:c r="S232" s="19" t="n">
        <x:f>IF(I232=1,IF(J232=0,Q232,IF(J232=1,P232,IF(J232=2,O232,0))),0)</x:f>
        <x:v>0</x:v>
      </x:c>
      <x:c r="T232" s="19" t="n">
        <x:f>K232+IF(AND(S232=1,J232=0),1,0)</x:f>
        <x:v>0</x:v>
      </x:c>
      <x:c r="U232" s="19" t="n">
        <x:f>L232+IF(AND(S232=1,J232=1),1,0)</x:f>
        <x:v>1</x:v>
      </x:c>
      <x:c r="V232" s="19" t="n">
        <x:f>M232+IF(AND(S232=1,J232=2),1,0)</x:f>
        <x:v>6</x:v>
      </x:c>
      <x:c r="W232" s="19" t="n">
        <x:f>SUM(T232:V232)</x:f>
        <x:v>7</x:v>
      </x:c>
      <x:c r="X232" s="19" t="n">
        <x:f>W232-G232</x:f>
        <x:v>-1</x:v>
      </x:c>
      <x:c r="Y232" s="19" t="n">
        <x:f>MAX(T232,1)+MAX(U232,1)+MAX(V232,1)</x:f>
        <x:v>8</x:v>
      </x:c>
      <x:c r="Z232" s="21" t="str">
        <x:f>IF(AND(MIN(D232:F232)&gt;=0,MAX(D232:F232)&lt;=7,MAX(D232,1)+MAX(E232,1)+MAX(F232,1)&lt;=9,OR(H232="-",AND(H232=0,D232&gt;0),AND(H232=1,E232&gt;0),AND(H232=2,F232&gt;0)),OR(I232=0,AND(I232=1,OR(J232=0,J232=1,J232=2),R232&lt;&gt;"000")),Y232&lt;=9,MIN(T232:V232)&gt;=0),"合法","输入违约")</x:f>
        <x:v>合法</x:v>
      </x:c>
    </x:row>
    <x:row r="233" ht="23" customHeight="1">
      <x:c r="A233" s="3" t="str">
        <x:v>CT-0226</x:v>
      </x:c>
      <x:c r="B233" s="3" t="str">
        <x:v>ST-122</x:v>
      </x:c>
      <x:c r="C233" s="3" t="str">
        <x:v>R+AR同收同发</x:v>
      </x:c>
      <x:c r="D233" s="25" t="n">
        <x:v>0</x:v>
      </x:c>
      <x:c r="E233" s="25" t="n">
        <x:v>2</x:v>
      </x:c>
      <x:c r="F233" s="25" t="n">
        <x:v>6</x:v>
      </x:c>
      <x:c r="G233" s="19" t="n">
        <x:f>SUM(D233:F233)</x:f>
        <x:v>8</x:v>
      </x:c>
      <x:c r="H233" s="25" t="n">
        <x:v>1</x:v>
      </x:c>
      <x:c r="I233" s="25" t="n">
        <x:v>1</x:v>
      </x:c>
      <x:c r="J233" s="25" t="n">
        <x:v>0</x:v>
      </x:c>
      <x:c r="K233" s="19" t="n">
        <x:f>D233-IF(H233=0,1,0)</x:f>
        <x:v>0</x:v>
      </x:c>
      <x:c r="L233" s="19" t="n">
        <x:f>E233-IF(H233=1,1,0)</x:f>
        <x:v>1</x:v>
      </x:c>
      <x:c r="M233" s="19" t="n">
        <x:f>F233-IF(H233=2,1,0)</x:f>
        <x:v>6</x:v>
      </x:c>
      <x:c r="N233" s="19" t="n">
        <x:f>MAX(K233-1,0)+MAX(L233-1,0)+MAX(M233-1,0)</x:f>
        <x:v>5</x:v>
      </x:c>
      <x:c r="O233" s="19" t="n">
        <x:f>IF(AND(SUM(K233:M233)&lt;9,OR(M233=0,N233&lt;6)),1,0)</x:f>
        <x:v>1</x:v>
      </x:c>
      <x:c r="P233" s="19" t="n">
        <x:f>IF(AND(SUM(K233:M233)&lt;9,OR(L233=0,N233&lt;6)),1,0)</x:f>
        <x:v>1</x:v>
      </x:c>
      <x:c r="Q233" s="19" t="n">
        <x:f>IF(AND(SUM(K233:M233)&lt;9,OR(K233=0,N233&lt;6)),1,0)</x:f>
        <x:v>1</x:v>
      </x:c>
      <x:c r="R233" s="22" t="str">
        <x:f>O233&amp;P233&amp;Q233</x:f>
        <x:v>111</x:v>
      </x:c>
      <x:c r="S233" s="19" t="n">
        <x:f>IF(I233=1,IF(J233=0,Q233,IF(J233=1,P233,IF(J233=2,O233,0))),0)</x:f>
        <x:v>1</x:v>
      </x:c>
      <x:c r="T233" s="19" t="n">
        <x:f>K233+IF(AND(S233=1,J233=0),1,0)</x:f>
        <x:v>1</x:v>
      </x:c>
      <x:c r="U233" s="19" t="n">
        <x:f>L233+IF(AND(S233=1,J233=1),1,0)</x:f>
        <x:v>1</x:v>
      </x:c>
      <x:c r="V233" s="19" t="n">
        <x:f>M233+IF(AND(S233=1,J233=2),1,0)</x:f>
        <x:v>6</x:v>
      </x:c>
      <x:c r="W233" s="19" t="n">
        <x:f>SUM(T233:V233)</x:f>
        <x:v>8</x:v>
      </x:c>
      <x:c r="X233" s="19" t="n">
        <x:f>W233-G233</x:f>
        <x:v>0</x:v>
      </x:c>
      <x:c r="Y233" s="19" t="n">
        <x:f>MAX(T233,1)+MAX(U233,1)+MAX(V233,1)</x:f>
        <x:v>8</x:v>
      </x:c>
      <x:c r="Z233" s="21" t="str">
        <x:f>IF(AND(MIN(D233:F233)&gt;=0,MAX(D233:F233)&lt;=7,MAX(D233,1)+MAX(E233,1)+MAX(F233,1)&lt;=9,OR(H233="-",AND(H233=0,D233&gt;0),AND(H233=1,E233&gt;0),AND(H233=2,F233&gt;0)),OR(I233=0,AND(I233=1,OR(J233=0,J233=1,J233=2),R233&lt;&gt;"000")),Y233&lt;=9,MIN(T233:V233)&gt;=0),"合法","输入违约")</x:f>
        <x:v>合法</x:v>
      </x:c>
    </x:row>
    <x:row r="234" ht="23" customHeight="1">
      <x:c r="A234" s="3" t="str">
        <x:v>CT-0227</x:v>
      </x:c>
      <x:c r="B234" s="3" t="str">
        <x:v>ST-122</x:v>
      </x:c>
      <x:c r="C234" s="3" t="str">
        <x:v>R+AR同收同发</x:v>
      </x:c>
      <x:c r="D234" s="25" t="n">
        <x:v>0</x:v>
      </x:c>
      <x:c r="E234" s="25" t="n">
        <x:v>2</x:v>
      </x:c>
      <x:c r="F234" s="25" t="n">
        <x:v>6</x:v>
      </x:c>
      <x:c r="G234" s="19" t="n">
        <x:f>SUM(D234:F234)</x:f>
        <x:v>8</x:v>
      </x:c>
      <x:c r="H234" s="25" t="n">
        <x:v>1</x:v>
      </x:c>
      <x:c r="I234" s="25" t="n">
        <x:v>1</x:v>
      </x:c>
      <x:c r="J234" s="25" t="n">
        <x:v>1</x:v>
      </x:c>
      <x:c r="K234" s="19" t="n">
        <x:f>D234-IF(H234=0,1,0)</x:f>
        <x:v>0</x:v>
      </x:c>
      <x:c r="L234" s="19" t="n">
        <x:f>E234-IF(H234=1,1,0)</x:f>
        <x:v>1</x:v>
      </x:c>
      <x:c r="M234" s="19" t="n">
        <x:f>F234-IF(H234=2,1,0)</x:f>
        <x:v>6</x:v>
      </x:c>
      <x:c r="N234" s="19" t="n">
        <x:f>MAX(K234-1,0)+MAX(L234-1,0)+MAX(M234-1,0)</x:f>
        <x:v>5</x:v>
      </x:c>
      <x:c r="O234" s="19" t="n">
        <x:f>IF(AND(SUM(K234:M234)&lt;9,OR(M234=0,N234&lt;6)),1,0)</x:f>
        <x:v>1</x:v>
      </x:c>
      <x:c r="P234" s="19" t="n">
        <x:f>IF(AND(SUM(K234:M234)&lt;9,OR(L234=0,N234&lt;6)),1,0)</x:f>
        <x:v>1</x:v>
      </x:c>
      <x:c r="Q234" s="19" t="n">
        <x:f>IF(AND(SUM(K234:M234)&lt;9,OR(K234=0,N234&lt;6)),1,0)</x:f>
        <x:v>1</x:v>
      </x:c>
      <x:c r="R234" s="22" t="str">
        <x:f>O234&amp;P234&amp;Q234</x:f>
        <x:v>111</x:v>
      </x:c>
      <x:c r="S234" s="19" t="n">
        <x:f>IF(I234=1,IF(J234=0,Q234,IF(J234=1,P234,IF(J234=2,O234,0))),0)</x:f>
        <x:v>1</x:v>
      </x:c>
      <x:c r="T234" s="19" t="n">
        <x:f>K234+IF(AND(S234=1,J234=0),1,0)</x:f>
        <x:v>0</x:v>
      </x:c>
      <x:c r="U234" s="19" t="n">
        <x:f>L234+IF(AND(S234=1,J234=1),1,0)</x:f>
        <x:v>2</x:v>
      </x:c>
      <x:c r="V234" s="19" t="n">
        <x:f>M234+IF(AND(S234=1,J234=2),1,0)</x:f>
        <x:v>6</x:v>
      </x:c>
      <x:c r="W234" s="19" t="n">
        <x:f>SUM(T234:V234)</x:f>
        <x:v>8</x:v>
      </x:c>
      <x:c r="X234" s="19" t="n">
        <x:f>W234-G234</x:f>
        <x:v>0</x:v>
      </x:c>
      <x:c r="Y234" s="19" t="n">
        <x:f>MAX(T234,1)+MAX(U234,1)+MAX(V234,1)</x:f>
        <x:v>9</x:v>
      </x:c>
      <x:c r="Z234" s="21" t="str">
        <x:f>IF(AND(MIN(D234:F234)&gt;=0,MAX(D234:F234)&lt;=7,MAX(D234,1)+MAX(E234,1)+MAX(F234,1)&lt;=9,OR(H234="-",AND(H234=0,D234&gt;0),AND(H234=1,E234&gt;0),AND(H234=2,F234&gt;0)),OR(I234=0,AND(I234=1,OR(J234=0,J234=1,J234=2),R234&lt;&gt;"000")),Y234&lt;=9,MIN(T234:V234)&gt;=0),"合法","输入违约")</x:f>
        <x:v>合法</x:v>
      </x:c>
    </x:row>
    <x:row r="235" ht="23" customHeight="1">
      <x:c r="A235" s="3" t="str">
        <x:v>CT-0228</x:v>
      </x:c>
      <x:c r="B235" s="3" t="str">
        <x:v>ST-122</x:v>
      </x:c>
      <x:c r="C235" s="3" t="str">
        <x:v>R+AR同收同发</x:v>
      </x:c>
      <x:c r="D235" s="25" t="n">
        <x:v>0</x:v>
      </x:c>
      <x:c r="E235" s="25" t="n">
        <x:v>2</x:v>
      </x:c>
      <x:c r="F235" s="25" t="n">
        <x:v>6</x:v>
      </x:c>
      <x:c r="G235" s="19" t="n">
        <x:f>SUM(D235:F235)</x:f>
        <x:v>8</x:v>
      </x:c>
      <x:c r="H235" s="25" t="n">
        <x:v>1</x:v>
      </x:c>
      <x:c r="I235" s="25" t="n">
        <x:v>1</x:v>
      </x:c>
      <x:c r="J235" s="25" t="n">
        <x:v>2</x:v>
      </x:c>
      <x:c r="K235" s="19" t="n">
        <x:f>D235-IF(H235=0,1,0)</x:f>
        <x:v>0</x:v>
      </x:c>
      <x:c r="L235" s="19" t="n">
        <x:f>E235-IF(H235=1,1,0)</x:f>
        <x:v>1</x:v>
      </x:c>
      <x:c r="M235" s="19" t="n">
        <x:f>F235-IF(H235=2,1,0)</x:f>
        <x:v>6</x:v>
      </x:c>
      <x:c r="N235" s="19" t="n">
        <x:f>MAX(K235-1,0)+MAX(L235-1,0)+MAX(M235-1,0)</x:f>
        <x:v>5</x:v>
      </x:c>
      <x:c r="O235" s="19" t="n">
        <x:f>IF(AND(SUM(K235:M235)&lt;9,OR(M235=0,N235&lt;6)),1,0)</x:f>
        <x:v>1</x:v>
      </x:c>
      <x:c r="P235" s="19" t="n">
        <x:f>IF(AND(SUM(K235:M235)&lt;9,OR(L235=0,N235&lt;6)),1,0)</x:f>
        <x:v>1</x:v>
      </x:c>
      <x:c r="Q235" s="19" t="n">
        <x:f>IF(AND(SUM(K235:M235)&lt;9,OR(K235=0,N235&lt;6)),1,0)</x:f>
        <x:v>1</x:v>
      </x:c>
      <x:c r="R235" s="22" t="str">
        <x:f>O235&amp;P235&amp;Q235</x:f>
        <x:v>111</x:v>
      </x:c>
      <x:c r="S235" s="19" t="n">
        <x:f>IF(I235=1,IF(J235=0,Q235,IF(J235=1,P235,IF(J235=2,O235,0))),0)</x:f>
        <x:v>1</x:v>
      </x:c>
      <x:c r="T235" s="19" t="n">
        <x:f>K235+IF(AND(S235=1,J235=0),1,0)</x:f>
        <x:v>0</x:v>
      </x:c>
      <x:c r="U235" s="19" t="n">
        <x:f>L235+IF(AND(S235=1,J235=1),1,0)</x:f>
        <x:v>1</x:v>
      </x:c>
      <x:c r="V235" s="19" t="n">
        <x:f>M235+IF(AND(S235=1,J235=2),1,0)</x:f>
        <x:v>7</x:v>
      </x:c>
      <x:c r="W235" s="19" t="n">
        <x:f>SUM(T235:V235)</x:f>
        <x:v>8</x:v>
      </x:c>
      <x:c r="X235" s="19" t="n">
        <x:f>W235-G235</x:f>
        <x:v>0</x:v>
      </x:c>
      <x:c r="Y235" s="19" t="n">
        <x:f>MAX(T235,1)+MAX(U235,1)+MAX(V235,1)</x:f>
        <x:v>9</x:v>
      </x:c>
      <x:c r="Z235" s="21" t="str">
        <x:f>IF(AND(MIN(D235:F235)&gt;=0,MAX(D235:F235)&lt;=7,MAX(D235,1)+MAX(E235,1)+MAX(F235,1)&lt;=9,OR(H235="-",AND(H235=0,D235&gt;0),AND(H235=1,E235&gt;0),AND(H235=2,F235&gt;0)),OR(I235=0,AND(I235=1,OR(J235=0,J235=1,J235=2),R235&lt;&gt;"000")),Y235&lt;=9,MIN(T235:V235)&gt;=0),"合法","输入违约")</x:f>
        <x:v>合法</x:v>
      </x:c>
    </x:row>
    <x:row r="236" ht="23" customHeight="1">
      <x:c r="A236" s="3" t="str">
        <x:v>CT-0229</x:v>
      </x:c>
      <x:c r="B236" s="3" t="str">
        <x:v>ST-122</x:v>
      </x:c>
      <x:c r="C236" s="3" t="str">
        <x:v>仅R回收</x:v>
      </x:c>
      <x:c r="D236" s="25" t="n">
        <x:v>0</x:v>
      </x:c>
      <x:c r="E236" s="25" t="n">
        <x:v>2</x:v>
      </x:c>
      <x:c r="F236" s="25" t="n">
        <x:v>6</x:v>
      </x:c>
      <x:c r="G236" s="19" t="n">
        <x:f>SUM(D236:F236)</x:f>
        <x:v>8</x:v>
      </x:c>
      <x:c r="H236" s="25" t="n">
        <x:v>2</x:v>
      </x:c>
      <x:c r="I236" s="25" t="n">
        <x:v>0</x:v>
      </x:c>
      <x:c r="J236" s="25" t="str">
        <x:v>-</x:v>
      </x:c>
      <x:c r="K236" s="19" t="n">
        <x:f>D236-IF(H236=0,1,0)</x:f>
        <x:v>0</x:v>
      </x:c>
      <x:c r="L236" s="19" t="n">
        <x:f>E236-IF(H236=1,1,0)</x:f>
        <x:v>2</x:v>
      </x:c>
      <x:c r="M236" s="19" t="n">
        <x:f>F236-IF(H236=2,1,0)</x:f>
        <x:v>5</x:v>
      </x:c>
      <x:c r="N236" s="19" t="n">
        <x:f>MAX(K236-1,0)+MAX(L236-1,0)+MAX(M236-1,0)</x:f>
        <x:v>5</x:v>
      </x:c>
      <x:c r="O236" s="19" t="n">
        <x:f>IF(AND(SUM(K236:M236)&lt;9,OR(M236=0,N236&lt;6)),1,0)</x:f>
        <x:v>1</x:v>
      </x:c>
      <x:c r="P236" s="19" t="n">
        <x:f>IF(AND(SUM(K236:M236)&lt;9,OR(L236=0,N236&lt;6)),1,0)</x:f>
        <x:v>1</x:v>
      </x:c>
      <x:c r="Q236" s="19" t="n">
        <x:f>IF(AND(SUM(K236:M236)&lt;9,OR(K236=0,N236&lt;6)),1,0)</x:f>
        <x:v>1</x:v>
      </x:c>
      <x:c r="R236" s="22" t="str">
        <x:f>O236&amp;P236&amp;Q236</x:f>
        <x:v>111</x:v>
      </x:c>
      <x:c r="S236" s="19" t="n">
        <x:f>IF(I236=1,IF(J236=0,Q236,IF(J236=1,P236,IF(J236=2,O236,0))),0)</x:f>
        <x:v>0</x:v>
      </x:c>
      <x:c r="T236" s="19" t="n">
        <x:f>K236+IF(AND(S236=1,J236=0),1,0)</x:f>
        <x:v>0</x:v>
      </x:c>
      <x:c r="U236" s="19" t="n">
        <x:f>L236+IF(AND(S236=1,J236=1),1,0)</x:f>
        <x:v>2</x:v>
      </x:c>
      <x:c r="V236" s="19" t="n">
        <x:f>M236+IF(AND(S236=1,J236=2),1,0)</x:f>
        <x:v>5</x:v>
      </x:c>
      <x:c r="W236" s="19" t="n">
        <x:f>SUM(T236:V236)</x:f>
        <x:v>7</x:v>
      </x:c>
      <x:c r="X236" s="19" t="n">
        <x:f>W236-G236</x:f>
        <x:v>-1</x:v>
      </x:c>
      <x:c r="Y236" s="19" t="n">
        <x:f>MAX(T236,1)+MAX(U236,1)+MAX(V236,1)</x:f>
        <x:v>8</x:v>
      </x:c>
      <x:c r="Z236" s="21" t="str">
        <x:f>IF(AND(MIN(D236:F236)&gt;=0,MAX(D236:F236)&lt;=7,MAX(D236,1)+MAX(E236,1)+MAX(F236,1)&lt;=9,OR(H236="-",AND(H236=0,D236&gt;0),AND(H236=1,E236&gt;0),AND(H236=2,F236&gt;0)),OR(I236=0,AND(I236=1,OR(J236=0,J236=1,J236=2),R236&lt;&gt;"000")),Y236&lt;=9,MIN(T236:V236)&gt;=0),"合法","输入违约")</x:f>
        <x:v>合法</x:v>
      </x:c>
    </x:row>
    <x:row r="237" ht="23" customHeight="1">
      <x:c r="A237" s="3" t="str">
        <x:v>CT-0230</x:v>
      </x:c>
      <x:c r="B237" s="3" t="str">
        <x:v>ST-122</x:v>
      </x:c>
      <x:c r="C237" s="3" t="str">
        <x:v>R+AR同收同发</x:v>
      </x:c>
      <x:c r="D237" s="25" t="n">
        <x:v>0</x:v>
      </x:c>
      <x:c r="E237" s="25" t="n">
        <x:v>2</x:v>
      </x:c>
      <x:c r="F237" s="25" t="n">
        <x:v>6</x:v>
      </x:c>
      <x:c r="G237" s="19" t="n">
        <x:f>SUM(D237:F237)</x:f>
        <x:v>8</x:v>
      </x:c>
      <x:c r="H237" s="25" t="n">
        <x:v>2</x:v>
      </x:c>
      <x:c r="I237" s="25" t="n">
        <x:v>1</x:v>
      </x:c>
      <x:c r="J237" s="25" t="n">
        <x:v>0</x:v>
      </x:c>
      <x:c r="K237" s="19" t="n">
        <x:f>D237-IF(H237=0,1,0)</x:f>
        <x:v>0</x:v>
      </x:c>
      <x:c r="L237" s="19" t="n">
        <x:f>E237-IF(H237=1,1,0)</x:f>
        <x:v>2</x:v>
      </x:c>
      <x:c r="M237" s="19" t="n">
        <x:f>F237-IF(H237=2,1,0)</x:f>
        <x:v>5</x:v>
      </x:c>
      <x:c r="N237" s="19" t="n">
        <x:f>MAX(K237-1,0)+MAX(L237-1,0)+MAX(M237-1,0)</x:f>
        <x:v>5</x:v>
      </x:c>
      <x:c r="O237" s="19" t="n">
        <x:f>IF(AND(SUM(K237:M237)&lt;9,OR(M237=0,N237&lt;6)),1,0)</x:f>
        <x:v>1</x:v>
      </x:c>
      <x:c r="P237" s="19" t="n">
        <x:f>IF(AND(SUM(K237:M237)&lt;9,OR(L237=0,N237&lt;6)),1,0)</x:f>
        <x:v>1</x:v>
      </x:c>
      <x:c r="Q237" s="19" t="n">
        <x:f>IF(AND(SUM(K237:M237)&lt;9,OR(K237=0,N237&lt;6)),1,0)</x:f>
        <x:v>1</x:v>
      </x:c>
      <x:c r="R237" s="22" t="str">
        <x:f>O237&amp;P237&amp;Q237</x:f>
        <x:v>111</x:v>
      </x:c>
      <x:c r="S237" s="19" t="n">
        <x:f>IF(I237=1,IF(J237=0,Q237,IF(J237=1,P237,IF(J237=2,O237,0))),0)</x:f>
        <x:v>1</x:v>
      </x:c>
      <x:c r="T237" s="19" t="n">
        <x:f>K237+IF(AND(S237=1,J237=0),1,0)</x:f>
        <x:v>1</x:v>
      </x:c>
      <x:c r="U237" s="19" t="n">
        <x:f>L237+IF(AND(S237=1,J237=1),1,0)</x:f>
        <x:v>2</x:v>
      </x:c>
      <x:c r="V237" s="19" t="n">
        <x:f>M237+IF(AND(S237=1,J237=2),1,0)</x:f>
        <x:v>5</x:v>
      </x:c>
      <x:c r="W237" s="19" t="n">
        <x:f>SUM(T237:V237)</x:f>
        <x:v>8</x:v>
      </x:c>
      <x:c r="X237" s="19" t="n">
        <x:f>W237-G237</x:f>
        <x:v>0</x:v>
      </x:c>
      <x:c r="Y237" s="19" t="n">
        <x:f>MAX(T237,1)+MAX(U237,1)+MAX(V237,1)</x:f>
        <x:v>8</x:v>
      </x:c>
      <x:c r="Z237" s="21" t="str">
        <x:f>IF(AND(MIN(D237:F237)&gt;=0,MAX(D237:F237)&lt;=7,MAX(D237,1)+MAX(E237,1)+MAX(F237,1)&lt;=9,OR(H237="-",AND(H237=0,D237&gt;0),AND(H237=1,E237&gt;0),AND(H237=2,F237&gt;0)),OR(I237=0,AND(I237=1,OR(J237=0,J237=1,J237=2),R237&lt;&gt;"000")),Y237&lt;=9,MIN(T237:V237)&gt;=0),"合法","输入违约")</x:f>
        <x:v>合法</x:v>
      </x:c>
    </x:row>
    <x:row r="238" ht="23" customHeight="1">
      <x:c r="A238" s="3" t="str">
        <x:v>CT-0231</x:v>
      </x:c>
      <x:c r="B238" s="3" t="str">
        <x:v>ST-122</x:v>
      </x:c>
      <x:c r="C238" s="3" t="str">
        <x:v>R+AR同收同发</x:v>
      </x:c>
      <x:c r="D238" s="25" t="n">
        <x:v>0</x:v>
      </x:c>
      <x:c r="E238" s="25" t="n">
        <x:v>2</x:v>
      </x:c>
      <x:c r="F238" s="25" t="n">
        <x:v>6</x:v>
      </x:c>
      <x:c r="G238" s="19" t="n">
        <x:f>SUM(D238:F238)</x:f>
        <x:v>8</x:v>
      </x:c>
      <x:c r="H238" s="25" t="n">
        <x:v>2</x:v>
      </x:c>
      <x:c r="I238" s="25" t="n">
        <x:v>1</x:v>
      </x:c>
      <x:c r="J238" s="25" t="n">
        <x:v>1</x:v>
      </x:c>
      <x:c r="K238" s="19" t="n">
        <x:f>D238-IF(H238=0,1,0)</x:f>
        <x:v>0</x:v>
      </x:c>
      <x:c r="L238" s="19" t="n">
        <x:f>E238-IF(H238=1,1,0)</x:f>
        <x:v>2</x:v>
      </x:c>
      <x:c r="M238" s="19" t="n">
        <x:f>F238-IF(H238=2,1,0)</x:f>
        <x:v>5</x:v>
      </x:c>
      <x:c r="N238" s="19" t="n">
        <x:f>MAX(K238-1,0)+MAX(L238-1,0)+MAX(M238-1,0)</x:f>
        <x:v>5</x:v>
      </x:c>
      <x:c r="O238" s="19" t="n">
        <x:f>IF(AND(SUM(K238:M238)&lt;9,OR(M238=0,N238&lt;6)),1,0)</x:f>
        <x:v>1</x:v>
      </x:c>
      <x:c r="P238" s="19" t="n">
        <x:f>IF(AND(SUM(K238:M238)&lt;9,OR(L238=0,N238&lt;6)),1,0)</x:f>
        <x:v>1</x:v>
      </x:c>
      <x:c r="Q238" s="19" t="n">
        <x:f>IF(AND(SUM(K238:M238)&lt;9,OR(K238=0,N238&lt;6)),1,0)</x:f>
        <x:v>1</x:v>
      </x:c>
      <x:c r="R238" s="22" t="str">
        <x:f>O238&amp;P238&amp;Q238</x:f>
        <x:v>111</x:v>
      </x:c>
      <x:c r="S238" s="19" t="n">
        <x:f>IF(I238=1,IF(J238=0,Q238,IF(J238=1,P238,IF(J238=2,O238,0))),0)</x:f>
        <x:v>1</x:v>
      </x:c>
      <x:c r="T238" s="19" t="n">
        <x:f>K238+IF(AND(S238=1,J238=0),1,0)</x:f>
        <x:v>0</x:v>
      </x:c>
      <x:c r="U238" s="19" t="n">
        <x:f>L238+IF(AND(S238=1,J238=1),1,0)</x:f>
        <x:v>3</x:v>
      </x:c>
      <x:c r="V238" s="19" t="n">
        <x:f>M238+IF(AND(S238=1,J238=2),1,0)</x:f>
        <x:v>5</x:v>
      </x:c>
      <x:c r="W238" s="19" t="n">
        <x:f>SUM(T238:V238)</x:f>
        <x:v>8</x:v>
      </x:c>
      <x:c r="X238" s="19" t="n">
        <x:f>W238-G238</x:f>
        <x:v>0</x:v>
      </x:c>
      <x:c r="Y238" s="19" t="n">
        <x:f>MAX(T238,1)+MAX(U238,1)+MAX(V238,1)</x:f>
        <x:v>9</x:v>
      </x:c>
      <x:c r="Z238" s="21" t="str">
        <x:f>IF(AND(MIN(D238:F238)&gt;=0,MAX(D238:F238)&lt;=7,MAX(D238,1)+MAX(E238,1)+MAX(F238,1)&lt;=9,OR(H238="-",AND(H238=0,D238&gt;0),AND(H238=1,E238&gt;0),AND(H238=2,F238&gt;0)),OR(I238=0,AND(I238=1,OR(J238=0,J238=1,J238=2),R238&lt;&gt;"000")),Y238&lt;=9,MIN(T238:V238)&gt;=0),"合法","输入违约")</x:f>
        <x:v>合法</x:v>
      </x:c>
    </x:row>
    <x:row r="239" ht="23" customHeight="1">
      <x:c r="A239" s="3" t="str">
        <x:v>CT-0232</x:v>
      </x:c>
      <x:c r="B239" s="3" t="str">
        <x:v>ST-122</x:v>
      </x:c>
      <x:c r="C239" s="3" t="str">
        <x:v>R+AR同收同发</x:v>
      </x:c>
      <x:c r="D239" s="25" t="n">
        <x:v>0</x:v>
      </x:c>
      <x:c r="E239" s="25" t="n">
        <x:v>2</x:v>
      </x:c>
      <x:c r="F239" s="25" t="n">
        <x:v>6</x:v>
      </x:c>
      <x:c r="G239" s="19" t="n">
        <x:f>SUM(D239:F239)</x:f>
        <x:v>8</x:v>
      </x:c>
      <x:c r="H239" s="25" t="n">
        <x:v>2</x:v>
      </x:c>
      <x:c r="I239" s="25" t="n">
        <x:v>1</x:v>
      </x:c>
      <x:c r="J239" s="25" t="n">
        <x:v>2</x:v>
      </x:c>
      <x:c r="K239" s="19" t="n">
        <x:f>D239-IF(H239=0,1,0)</x:f>
        <x:v>0</x:v>
      </x:c>
      <x:c r="L239" s="19" t="n">
        <x:f>E239-IF(H239=1,1,0)</x:f>
        <x:v>2</x:v>
      </x:c>
      <x:c r="M239" s="19" t="n">
        <x:f>F239-IF(H239=2,1,0)</x:f>
        <x:v>5</x:v>
      </x:c>
      <x:c r="N239" s="19" t="n">
        <x:f>MAX(K239-1,0)+MAX(L239-1,0)+MAX(M239-1,0)</x:f>
        <x:v>5</x:v>
      </x:c>
      <x:c r="O239" s="19" t="n">
        <x:f>IF(AND(SUM(K239:M239)&lt;9,OR(M239=0,N239&lt;6)),1,0)</x:f>
        <x:v>1</x:v>
      </x:c>
      <x:c r="P239" s="19" t="n">
        <x:f>IF(AND(SUM(K239:M239)&lt;9,OR(L239=0,N239&lt;6)),1,0)</x:f>
        <x:v>1</x:v>
      </x:c>
      <x:c r="Q239" s="19" t="n">
        <x:f>IF(AND(SUM(K239:M239)&lt;9,OR(K239=0,N239&lt;6)),1,0)</x:f>
        <x:v>1</x:v>
      </x:c>
      <x:c r="R239" s="22" t="str">
        <x:f>O239&amp;P239&amp;Q239</x:f>
        <x:v>111</x:v>
      </x:c>
      <x:c r="S239" s="19" t="n">
        <x:f>IF(I239=1,IF(J239=0,Q239,IF(J239=1,P239,IF(J239=2,O239,0))),0)</x:f>
        <x:v>1</x:v>
      </x:c>
      <x:c r="T239" s="19" t="n">
        <x:f>K239+IF(AND(S239=1,J239=0),1,0)</x:f>
        <x:v>0</x:v>
      </x:c>
      <x:c r="U239" s="19" t="n">
        <x:f>L239+IF(AND(S239=1,J239=1),1,0)</x:f>
        <x:v>2</x:v>
      </x:c>
      <x:c r="V239" s="19" t="n">
        <x:f>M239+IF(AND(S239=1,J239=2),1,0)</x:f>
        <x:v>6</x:v>
      </x:c>
      <x:c r="W239" s="19" t="n">
        <x:f>SUM(T239:V239)</x:f>
        <x:v>8</x:v>
      </x:c>
      <x:c r="X239" s="19" t="n">
        <x:f>W239-G239</x:f>
        <x:v>0</x:v>
      </x:c>
      <x:c r="Y239" s="19" t="n">
        <x:f>MAX(T239,1)+MAX(U239,1)+MAX(V239,1)</x:f>
        <x:v>9</x:v>
      </x:c>
      <x:c r="Z239" s="21" t="str">
        <x:f>IF(AND(MIN(D239:F239)&gt;=0,MAX(D239:F239)&lt;=7,MAX(D239,1)+MAX(E239,1)+MAX(F239,1)&lt;=9,OR(H239="-",AND(H239=0,D239&gt;0),AND(H239=1,E239&gt;0),AND(H239=2,F239&gt;0)),OR(I239=0,AND(I239=1,OR(J239=0,J239=1,J239=2),R239&lt;&gt;"000")),Y239&lt;=9,MIN(T239:V239)&gt;=0),"合法","输入违约")</x:f>
        <x:v>合法</x:v>
      </x:c>
    </x:row>
    <x:row r="240" ht="23" customHeight="1">
      <x:c r="A240" s="3" t="str">
        <x:v>CT-0233</x:v>
      </x:c>
      <x:c r="B240" s="3" t="str">
        <x:v>ST-014</x:v>
      </x:c>
      <x:c r="C240" s="3" t="str">
        <x:v>无AR/R</x:v>
      </x:c>
      <x:c r="D240" s="25" t="n">
        <x:v>0</x:v>
      </x:c>
      <x:c r="E240" s="25" t="n">
        <x:v>3</x:v>
      </x:c>
      <x:c r="F240" s="25" t="n">
        <x:v>0</x:v>
      </x:c>
      <x:c r="G240" s="19" t="n">
        <x:f>SUM(D240:F240)</x:f>
        <x:v>3</x:v>
      </x:c>
      <x:c r="H240" s="25" t="str">
        <x:v>-</x:v>
      </x:c>
      <x:c r="I240" s="25" t="n">
        <x:v>0</x:v>
      </x:c>
      <x:c r="J240" s="25" t="str">
        <x:v>-</x:v>
      </x:c>
      <x:c r="K240" s="19" t="n">
        <x:f>D240-IF(H240=0,1,0)</x:f>
        <x:v>0</x:v>
      </x:c>
      <x:c r="L240" s="19" t="n">
        <x:f>E240-IF(H240=1,1,0)</x:f>
        <x:v>3</x:v>
      </x:c>
      <x:c r="M240" s="19" t="n">
        <x:f>F240-IF(H240=2,1,0)</x:f>
        <x:v>0</x:v>
      </x:c>
      <x:c r="N240" s="19" t="n">
        <x:f>MAX(K240-1,0)+MAX(L240-1,0)+MAX(M240-1,0)</x:f>
        <x:v>2</x:v>
      </x:c>
      <x:c r="O240" s="19" t="n">
        <x:f>IF(AND(SUM(K240:M240)&lt;9,OR(M240=0,N240&lt;6)),1,0)</x:f>
        <x:v>1</x:v>
      </x:c>
      <x:c r="P240" s="19" t="n">
        <x:f>IF(AND(SUM(K240:M240)&lt;9,OR(L240=0,N240&lt;6)),1,0)</x:f>
        <x:v>1</x:v>
      </x:c>
      <x:c r="Q240" s="19" t="n">
        <x:f>IF(AND(SUM(K240:M240)&lt;9,OR(K240=0,N240&lt;6)),1,0)</x:f>
        <x:v>1</x:v>
      </x:c>
      <x:c r="R240" s="22" t="str">
        <x:f>O240&amp;P240&amp;Q240</x:f>
        <x:v>111</x:v>
      </x:c>
      <x:c r="S240" s="19" t="n">
        <x:f>IF(I240=1,IF(J240=0,Q240,IF(J240=1,P240,IF(J240=2,O240,0))),0)</x:f>
        <x:v>0</x:v>
      </x:c>
      <x:c r="T240" s="19" t="n">
        <x:f>K240+IF(AND(S240=1,J240=0),1,0)</x:f>
        <x:v>0</x:v>
      </x:c>
      <x:c r="U240" s="19" t="n">
        <x:f>L240+IF(AND(S240=1,J240=1),1,0)</x:f>
        <x:v>3</x:v>
      </x:c>
      <x:c r="V240" s="19" t="n">
        <x:f>M240+IF(AND(S240=1,J240=2),1,0)</x:f>
        <x:v>0</x:v>
      </x:c>
      <x:c r="W240" s="19" t="n">
        <x:f>SUM(T240:V240)</x:f>
        <x:v>3</x:v>
      </x:c>
      <x:c r="X240" s="19" t="n">
        <x:f>W240-G240</x:f>
        <x:v>0</x:v>
      </x:c>
      <x:c r="Y240" s="19" t="n">
        <x:f>MAX(T240,1)+MAX(U240,1)+MAX(V240,1)</x:f>
        <x:v>5</x:v>
      </x:c>
      <x:c r="Z240" s="21" t="str">
        <x:f>IF(AND(MIN(D240:F240)&gt;=0,MAX(D240:F240)&lt;=7,MAX(D240,1)+MAX(E240,1)+MAX(F240,1)&lt;=9,OR(H240="-",AND(H240=0,D240&gt;0),AND(H240=1,E240&gt;0),AND(H240=2,F240&gt;0)),OR(I240=0,AND(I240=1,OR(J240=0,J240=1,J240=2),R240&lt;&gt;"000")),Y240&lt;=9,MIN(T240:V240)&gt;=0),"合法","输入违约")</x:f>
        <x:v>合法</x:v>
      </x:c>
    </x:row>
    <x:row r="241" ht="23" customHeight="1">
      <x:c r="A241" s="3" t="str">
        <x:v>CT-0234</x:v>
      </x:c>
      <x:c r="B241" s="3" t="str">
        <x:v>ST-014</x:v>
      </x:c>
      <x:c r="C241" s="3" t="str">
        <x:v>仅AR接收</x:v>
      </x:c>
      <x:c r="D241" s="25" t="n">
        <x:v>0</x:v>
      </x:c>
      <x:c r="E241" s="25" t="n">
        <x:v>3</x:v>
      </x:c>
      <x:c r="F241" s="25" t="n">
        <x:v>0</x:v>
      </x:c>
      <x:c r="G241" s="19" t="n">
        <x:f>SUM(D241:F241)</x:f>
        <x:v>3</x:v>
      </x:c>
      <x:c r="H241" s="25" t="str">
        <x:v>-</x:v>
      </x:c>
      <x:c r="I241" s="25" t="n">
        <x:v>1</x:v>
      </x:c>
      <x:c r="J241" s="25" t="n">
        <x:v>0</x:v>
      </x:c>
      <x:c r="K241" s="19" t="n">
        <x:f>D241-IF(H241=0,1,0)</x:f>
        <x:v>0</x:v>
      </x:c>
      <x:c r="L241" s="19" t="n">
        <x:f>E241-IF(H241=1,1,0)</x:f>
        <x:v>3</x:v>
      </x:c>
      <x:c r="M241" s="19" t="n">
        <x:f>F241-IF(H241=2,1,0)</x:f>
        <x:v>0</x:v>
      </x:c>
      <x:c r="N241" s="19" t="n">
        <x:f>MAX(K241-1,0)+MAX(L241-1,0)+MAX(M241-1,0)</x:f>
        <x:v>2</x:v>
      </x:c>
      <x:c r="O241" s="19" t="n">
        <x:f>IF(AND(SUM(K241:M241)&lt;9,OR(M241=0,N241&lt;6)),1,0)</x:f>
        <x:v>1</x:v>
      </x:c>
      <x:c r="P241" s="19" t="n">
        <x:f>IF(AND(SUM(K241:M241)&lt;9,OR(L241=0,N241&lt;6)),1,0)</x:f>
        <x:v>1</x:v>
      </x:c>
      <x:c r="Q241" s="19" t="n">
        <x:f>IF(AND(SUM(K241:M241)&lt;9,OR(K241=0,N241&lt;6)),1,0)</x:f>
        <x:v>1</x:v>
      </x:c>
      <x:c r="R241" s="22" t="str">
        <x:f>O241&amp;P241&amp;Q241</x:f>
        <x:v>111</x:v>
      </x:c>
      <x:c r="S241" s="19" t="n">
        <x:f>IF(I241=1,IF(J241=0,Q241,IF(J241=1,P241,IF(J241=2,O241,0))),0)</x:f>
        <x:v>1</x:v>
      </x:c>
      <x:c r="T241" s="19" t="n">
        <x:f>K241+IF(AND(S241=1,J241=0),1,0)</x:f>
        <x:v>1</x:v>
      </x:c>
      <x:c r="U241" s="19" t="n">
        <x:f>L241+IF(AND(S241=1,J241=1),1,0)</x:f>
        <x:v>3</x:v>
      </x:c>
      <x:c r="V241" s="19" t="n">
        <x:f>M241+IF(AND(S241=1,J241=2),1,0)</x:f>
        <x:v>0</x:v>
      </x:c>
      <x:c r="W241" s="19" t="n">
        <x:f>SUM(T241:V241)</x:f>
        <x:v>4</x:v>
      </x:c>
      <x:c r="X241" s="19" t="n">
        <x:f>W241-G241</x:f>
        <x:v>1</x:v>
      </x:c>
      <x:c r="Y241" s="19" t="n">
        <x:f>MAX(T241,1)+MAX(U241,1)+MAX(V241,1)</x:f>
        <x:v>5</x:v>
      </x:c>
      <x:c r="Z241" s="21" t="str">
        <x:f>IF(AND(MIN(D241:F241)&gt;=0,MAX(D241:F241)&lt;=7,MAX(D241,1)+MAX(E241,1)+MAX(F241,1)&lt;=9,OR(H241="-",AND(H241=0,D241&gt;0),AND(H241=1,E241&gt;0),AND(H241=2,F241&gt;0)),OR(I241=0,AND(I241=1,OR(J241=0,J241=1,J241=2),R241&lt;&gt;"000")),Y241&lt;=9,MIN(T241:V241)&gt;=0),"合法","输入违约")</x:f>
        <x:v>合法</x:v>
      </x:c>
    </x:row>
    <x:row r="242" ht="23" customHeight="1">
      <x:c r="A242" s="3" t="str">
        <x:v>CT-0235</x:v>
      </x:c>
      <x:c r="B242" s="3" t="str">
        <x:v>ST-014</x:v>
      </x:c>
      <x:c r="C242" s="3" t="str">
        <x:v>仅AR接收</x:v>
      </x:c>
      <x:c r="D242" s="25" t="n">
        <x:v>0</x:v>
      </x:c>
      <x:c r="E242" s="25" t="n">
        <x:v>3</x:v>
      </x:c>
      <x:c r="F242" s="25" t="n">
        <x:v>0</x:v>
      </x:c>
      <x:c r="G242" s="19" t="n">
        <x:f>SUM(D242:F242)</x:f>
        <x:v>3</x:v>
      </x:c>
      <x:c r="H242" s="25" t="str">
        <x:v>-</x:v>
      </x:c>
      <x:c r="I242" s="25" t="n">
        <x:v>1</x:v>
      </x:c>
      <x:c r="J242" s="25" t="n">
        <x:v>1</x:v>
      </x:c>
      <x:c r="K242" s="19" t="n">
        <x:f>D242-IF(H242=0,1,0)</x:f>
        <x:v>0</x:v>
      </x:c>
      <x:c r="L242" s="19" t="n">
        <x:f>E242-IF(H242=1,1,0)</x:f>
        <x:v>3</x:v>
      </x:c>
      <x:c r="M242" s="19" t="n">
        <x:f>F242-IF(H242=2,1,0)</x:f>
        <x:v>0</x:v>
      </x:c>
      <x:c r="N242" s="19" t="n">
        <x:f>MAX(K242-1,0)+MAX(L242-1,0)+MAX(M242-1,0)</x:f>
        <x:v>2</x:v>
      </x:c>
      <x:c r="O242" s="19" t="n">
        <x:f>IF(AND(SUM(K242:M242)&lt;9,OR(M242=0,N242&lt;6)),1,0)</x:f>
        <x:v>1</x:v>
      </x:c>
      <x:c r="P242" s="19" t="n">
        <x:f>IF(AND(SUM(K242:M242)&lt;9,OR(L242=0,N242&lt;6)),1,0)</x:f>
        <x:v>1</x:v>
      </x:c>
      <x:c r="Q242" s="19" t="n">
        <x:f>IF(AND(SUM(K242:M242)&lt;9,OR(K242=0,N242&lt;6)),1,0)</x:f>
        <x:v>1</x:v>
      </x:c>
      <x:c r="R242" s="22" t="str">
        <x:f>O242&amp;P242&amp;Q242</x:f>
        <x:v>111</x:v>
      </x:c>
      <x:c r="S242" s="19" t="n">
        <x:f>IF(I242=1,IF(J242=0,Q242,IF(J242=1,P242,IF(J242=2,O242,0))),0)</x:f>
        <x:v>1</x:v>
      </x:c>
      <x:c r="T242" s="19" t="n">
        <x:f>K242+IF(AND(S242=1,J242=0),1,0)</x:f>
        <x:v>0</x:v>
      </x:c>
      <x:c r="U242" s="19" t="n">
        <x:f>L242+IF(AND(S242=1,J242=1),1,0)</x:f>
        <x:v>4</x:v>
      </x:c>
      <x:c r="V242" s="19" t="n">
        <x:f>M242+IF(AND(S242=1,J242=2),1,0)</x:f>
        <x:v>0</x:v>
      </x:c>
      <x:c r="W242" s="19" t="n">
        <x:f>SUM(T242:V242)</x:f>
        <x:v>4</x:v>
      </x:c>
      <x:c r="X242" s="19" t="n">
        <x:f>W242-G242</x:f>
        <x:v>1</x:v>
      </x:c>
      <x:c r="Y242" s="19" t="n">
        <x:f>MAX(T242,1)+MAX(U242,1)+MAX(V242,1)</x:f>
        <x:v>6</x:v>
      </x:c>
      <x:c r="Z242" s="21" t="str">
        <x:f>IF(AND(MIN(D242:F242)&gt;=0,MAX(D242:F242)&lt;=7,MAX(D242,1)+MAX(E242,1)+MAX(F242,1)&lt;=9,OR(H242="-",AND(H242=0,D242&gt;0),AND(H242=1,E242&gt;0),AND(H242=2,F242&gt;0)),OR(I242=0,AND(I242=1,OR(J242=0,J242=1,J242=2),R242&lt;&gt;"000")),Y242&lt;=9,MIN(T242:V242)&gt;=0),"合法","输入违约")</x:f>
        <x:v>合法</x:v>
      </x:c>
    </x:row>
    <x:row r="243" ht="23" customHeight="1">
      <x:c r="A243" s="3" t="str">
        <x:v>CT-0236</x:v>
      </x:c>
      <x:c r="B243" s="3" t="str">
        <x:v>ST-014</x:v>
      </x:c>
      <x:c r="C243" s="3" t="str">
        <x:v>仅AR接收</x:v>
      </x:c>
      <x:c r="D243" s="25" t="n">
        <x:v>0</x:v>
      </x:c>
      <x:c r="E243" s="25" t="n">
        <x:v>3</x:v>
      </x:c>
      <x:c r="F243" s="25" t="n">
        <x:v>0</x:v>
      </x:c>
      <x:c r="G243" s="19" t="n">
        <x:f>SUM(D243:F243)</x:f>
        <x:v>3</x:v>
      </x:c>
      <x:c r="H243" s="25" t="str">
        <x:v>-</x:v>
      </x:c>
      <x:c r="I243" s="25" t="n">
        <x:v>1</x:v>
      </x:c>
      <x:c r="J243" s="25" t="n">
        <x:v>2</x:v>
      </x:c>
      <x:c r="K243" s="19" t="n">
        <x:f>D243-IF(H243=0,1,0)</x:f>
        <x:v>0</x:v>
      </x:c>
      <x:c r="L243" s="19" t="n">
        <x:f>E243-IF(H243=1,1,0)</x:f>
        <x:v>3</x:v>
      </x:c>
      <x:c r="M243" s="19" t="n">
        <x:f>F243-IF(H243=2,1,0)</x:f>
        <x:v>0</x:v>
      </x:c>
      <x:c r="N243" s="19" t="n">
        <x:f>MAX(K243-1,0)+MAX(L243-1,0)+MAX(M243-1,0)</x:f>
        <x:v>2</x:v>
      </x:c>
      <x:c r="O243" s="19" t="n">
        <x:f>IF(AND(SUM(K243:M243)&lt;9,OR(M243=0,N243&lt;6)),1,0)</x:f>
        <x:v>1</x:v>
      </x:c>
      <x:c r="P243" s="19" t="n">
        <x:f>IF(AND(SUM(K243:M243)&lt;9,OR(L243=0,N243&lt;6)),1,0)</x:f>
        <x:v>1</x:v>
      </x:c>
      <x:c r="Q243" s="19" t="n">
        <x:f>IF(AND(SUM(K243:M243)&lt;9,OR(K243=0,N243&lt;6)),1,0)</x:f>
        <x:v>1</x:v>
      </x:c>
      <x:c r="R243" s="22" t="str">
        <x:f>O243&amp;P243&amp;Q243</x:f>
        <x:v>111</x:v>
      </x:c>
      <x:c r="S243" s="19" t="n">
        <x:f>IF(I243=1,IF(J243=0,Q243,IF(J243=1,P243,IF(J243=2,O243,0))),0)</x:f>
        <x:v>1</x:v>
      </x:c>
      <x:c r="T243" s="19" t="n">
        <x:f>K243+IF(AND(S243=1,J243=0),1,0)</x:f>
        <x:v>0</x:v>
      </x:c>
      <x:c r="U243" s="19" t="n">
        <x:f>L243+IF(AND(S243=1,J243=1),1,0)</x:f>
        <x:v>3</x:v>
      </x:c>
      <x:c r="V243" s="19" t="n">
        <x:f>M243+IF(AND(S243=1,J243=2),1,0)</x:f>
        <x:v>1</x:v>
      </x:c>
      <x:c r="W243" s="19" t="n">
        <x:f>SUM(T243:V243)</x:f>
        <x:v>4</x:v>
      </x:c>
      <x:c r="X243" s="19" t="n">
        <x:f>W243-G243</x:f>
        <x:v>1</x:v>
      </x:c>
      <x:c r="Y243" s="19" t="n">
        <x:f>MAX(T243,1)+MAX(U243,1)+MAX(V243,1)</x:f>
        <x:v>5</x:v>
      </x:c>
      <x:c r="Z243" s="21" t="str">
        <x:f>IF(AND(MIN(D243:F243)&gt;=0,MAX(D243:F243)&lt;=7,MAX(D243,1)+MAX(E243,1)+MAX(F243,1)&lt;=9,OR(H243="-",AND(H243=0,D243&gt;0),AND(H243=1,E243&gt;0),AND(H243=2,F243&gt;0)),OR(I243=0,AND(I243=1,OR(J243=0,J243=1,J243=2),R243&lt;&gt;"000")),Y243&lt;=9,MIN(T243:V243)&gt;=0),"合法","输入违约")</x:f>
        <x:v>合法</x:v>
      </x:c>
    </x:row>
    <x:row r="244" ht="23" customHeight="1">
      <x:c r="A244" s="3" t="str">
        <x:v>CT-0237</x:v>
      </x:c>
      <x:c r="B244" s="3" t="str">
        <x:v>ST-014</x:v>
      </x:c>
      <x:c r="C244" s="3" t="str">
        <x:v>仅R回收</x:v>
      </x:c>
      <x:c r="D244" s="25" t="n">
        <x:v>0</x:v>
      </x:c>
      <x:c r="E244" s="25" t="n">
        <x:v>3</x:v>
      </x:c>
      <x:c r="F244" s="25" t="n">
        <x:v>0</x:v>
      </x:c>
      <x:c r="G244" s="19" t="n">
        <x:f>SUM(D244:F244)</x:f>
        <x:v>3</x:v>
      </x:c>
      <x:c r="H244" s="25" t="n">
        <x:v>1</x:v>
      </x:c>
      <x:c r="I244" s="25" t="n">
        <x:v>0</x:v>
      </x:c>
      <x:c r="J244" s="25" t="str">
        <x:v>-</x:v>
      </x:c>
      <x:c r="K244" s="19" t="n">
        <x:f>D244-IF(H244=0,1,0)</x:f>
        <x:v>0</x:v>
      </x:c>
      <x:c r="L244" s="19" t="n">
        <x:f>E244-IF(H244=1,1,0)</x:f>
        <x:v>2</x:v>
      </x:c>
      <x:c r="M244" s="19" t="n">
        <x:f>F244-IF(H244=2,1,0)</x:f>
        <x:v>0</x:v>
      </x:c>
      <x:c r="N244" s="19" t="n">
        <x:f>MAX(K244-1,0)+MAX(L244-1,0)+MAX(M244-1,0)</x:f>
        <x:v>1</x:v>
      </x:c>
      <x:c r="O244" s="19" t="n">
        <x:f>IF(AND(SUM(K244:M244)&lt;9,OR(M244=0,N244&lt;6)),1,0)</x:f>
        <x:v>1</x:v>
      </x:c>
      <x:c r="P244" s="19" t="n">
        <x:f>IF(AND(SUM(K244:M244)&lt;9,OR(L244=0,N244&lt;6)),1,0)</x:f>
        <x:v>1</x:v>
      </x:c>
      <x:c r="Q244" s="19" t="n">
        <x:f>IF(AND(SUM(K244:M244)&lt;9,OR(K244=0,N244&lt;6)),1,0)</x:f>
        <x:v>1</x:v>
      </x:c>
      <x:c r="R244" s="22" t="str">
        <x:f>O244&amp;P244&amp;Q244</x:f>
        <x:v>111</x:v>
      </x:c>
      <x:c r="S244" s="19" t="n">
        <x:f>IF(I244=1,IF(J244=0,Q244,IF(J244=1,P244,IF(J244=2,O244,0))),0)</x:f>
        <x:v>0</x:v>
      </x:c>
      <x:c r="T244" s="19" t="n">
        <x:f>K244+IF(AND(S244=1,J244=0),1,0)</x:f>
        <x:v>0</x:v>
      </x:c>
      <x:c r="U244" s="19" t="n">
        <x:f>L244+IF(AND(S244=1,J244=1),1,0)</x:f>
        <x:v>2</x:v>
      </x:c>
      <x:c r="V244" s="19" t="n">
        <x:f>M244+IF(AND(S244=1,J244=2),1,0)</x:f>
        <x:v>0</x:v>
      </x:c>
      <x:c r="W244" s="19" t="n">
        <x:f>SUM(T244:V244)</x:f>
        <x:v>2</x:v>
      </x:c>
      <x:c r="X244" s="19" t="n">
        <x:f>W244-G244</x:f>
        <x:v>-1</x:v>
      </x:c>
      <x:c r="Y244" s="19" t="n">
        <x:f>MAX(T244,1)+MAX(U244,1)+MAX(V244,1)</x:f>
        <x:v>4</x:v>
      </x:c>
      <x:c r="Z244" s="21" t="str">
        <x:f>IF(AND(MIN(D244:F244)&gt;=0,MAX(D244:F244)&lt;=7,MAX(D244,1)+MAX(E244,1)+MAX(F244,1)&lt;=9,OR(H244="-",AND(H244=0,D244&gt;0),AND(H244=1,E244&gt;0),AND(H244=2,F244&gt;0)),OR(I244=0,AND(I244=1,OR(J244=0,J244=1,J244=2),R244&lt;&gt;"000")),Y244&lt;=9,MIN(T244:V244)&gt;=0),"合法","输入违约")</x:f>
        <x:v>合法</x:v>
      </x:c>
    </x:row>
    <x:row r="245" ht="23" customHeight="1">
      <x:c r="A245" s="3" t="str">
        <x:v>CT-0238</x:v>
      </x:c>
      <x:c r="B245" s="3" t="str">
        <x:v>ST-014</x:v>
      </x:c>
      <x:c r="C245" s="3" t="str">
        <x:v>R+AR同收同发</x:v>
      </x:c>
      <x:c r="D245" s="25" t="n">
        <x:v>0</x:v>
      </x:c>
      <x:c r="E245" s="25" t="n">
        <x:v>3</x:v>
      </x:c>
      <x:c r="F245" s="25" t="n">
        <x:v>0</x:v>
      </x:c>
      <x:c r="G245" s="19" t="n">
        <x:f>SUM(D245:F245)</x:f>
        <x:v>3</x:v>
      </x:c>
      <x:c r="H245" s="25" t="n">
        <x:v>1</x:v>
      </x:c>
      <x:c r="I245" s="25" t="n">
        <x:v>1</x:v>
      </x:c>
      <x:c r="J245" s="25" t="n">
        <x:v>0</x:v>
      </x:c>
      <x:c r="K245" s="19" t="n">
        <x:f>D245-IF(H245=0,1,0)</x:f>
        <x:v>0</x:v>
      </x:c>
      <x:c r="L245" s="19" t="n">
        <x:f>E245-IF(H245=1,1,0)</x:f>
        <x:v>2</x:v>
      </x:c>
      <x:c r="M245" s="19" t="n">
        <x:f>F245-IF(H245=2,1,0)</x:f>
        <x:v>0</x:v>
      </x:c>
      <x:c r="N245" s="19" t="n">
        <x:f>MAX(K245-1,0)+MAX(L245-1,0)+MAX(M245-1,0)</x:f>
        <x:v>1</x:v>
      </x:c>
      <x:c r="O245" s="19" t="n">
        <x:f>IF(AND(SUM(K245:M245)&lt;9,OR(M245=0,N245&lt;6)),1,0)</x:f>
        <x:v>1</x:v>
      </x:c>
      <x:c r="P245" s="19" t="n">
        <x:f>IF(AND(SUM(K245:M245)&lt;9,OR(L245=0,N245&lt;6)),1,0)</x:f>
        <x:v>1</x:v>
      </x:c>
      <x:c r="Q245" s="19" t="n">
        <x:f>IF(AND(SUM(K245:M245)&lt;9,OR(K245=0,N245&lt;6)),1,0)</x:f>
        <x:v>1</x:v>
      </x:c>
      <x:c r="R245" s="22" t="str">
        <x:f>O245&amp;P245&amp;Q245</x:f>
        <x:v>111</x:v>
      </x:c>
      <x:c r="S245" s="19" t="n">
        <x:f>IF(I245=1,IF(J245=0,Q245,IF(J245=1,P245,IF(J245=2,O245,0))),0)</x:f>
        <x:v>1</x:v>
      </x:c>
      <x:c r="T245" s="19" t="n">
        <x:f>K245+IF(AND(S245=1,J245=0),1,0)</x:f>
        <x:v>1</x:v>
      </x:c>
      <x:c r="U245" s="19" t="n">
        <x:f>L245+IF(AND(S245=1,J245=1),1,0)</x:f>
        <x:v>2</x:v>
      </x:c>
      <x:c r="V245" s="19" t="n">
        <x:f>M245+IF(AND(S245=1,J245=2),1,0)</x:f>
        <x:v>0</x:v>
      </x:c>
      <x:c r="W245" s="19" t="n">
        <x:f>SUM(T245:V245)</x:f>
        <x:v>3</x:v>
      </x:c>
      <x:c r="X245" s="19" t="n">
        <x:f>W245-G245</x:f>
        <x:v>0</x:v>
      </x:c>
      <x:c r="Y245" s="19" t="n">
        <x:f>MAX(T245,1)+MAX(U245,1)+MAX(V245,1)</x:f>
        <x:v>4</x:v>
      </x:c>
      <x:c r="Z245" s="21" t="str">
        <x:f>IF(AND(MIN(D245:F245)&gt;=0,MAX(D245:F245)&lt;=7,MAX(D245,1)+MAX(E245,1)+MAX(F245,1)&lt;=9,OR(H245="-",AND(H245=0,D245&gt;0),AND(H245=1,E245&gt;0),AND(H245=2,F245&gt;0)),OR(I245=0,AND(I245=1,OR(J245=0,J245=1,J245=2),R245&lt;&gt;"000")),Y245&lt;=9,MIN(T245:V245)&gt;=0),"合法","输入违约")</x:f>
        <x:v>合法</x:v>
      </x:c>
    </x:row>
    <x:row r="246" ht="23" customHeight="1">
      <x:c r="A246" s="3" t="str">
        <x:v>CT-0239</x:v>
      </x:c>
      <x:c r="B246" s="3" t="str">
        <x:v>ST-014</x:v>
      </x:c>
      <x:c r="C246" s="3" t="str">
        <x:v>R+AR同收同发</x:v>
      </x:c>
      <x:c r="D246" s="25" t="n">
        <x:v>0</x:v>
      </x:c>
      <x:c r="E246" s="25" t="n">
        <x:v>3</x:v>
      </x:c>
      <x:c r="F246" s="25" t="n">
        <x:v>0</x:v>
      </x:c>
      <x:c r="G246" s="19" t="n">
        <x:f>SUM(D246:F246)</x:f>
        <x:v>3</x:v>
      </x:c>
      <x:c r="H246" s="25" t="n">
        <x:v>1</x:v>
      </x:c>
      <x:c r="I246" s="25" t="n">
        <x:v>1</x:v>
      </x:c>
      <x:c r="J246" s="25" t="n">
        <x:v>1</x:v>
      </x:c>
      <x:c r="K246" s="19" t="n">
        <x:f>D246-IF(H246=0,1,0)</x:f>
        <x:v>0</x:v>
      </x:c>
      <x:c r="L246" s="19" t="n">
        <x:f>E246-IF(H246=1,1,0)</x:f>
        <x:v>2</x:v>
      </x:c>
      <x:c r="M246" s="19" t="n">
        <x:f>F246-IF(H246=2,1,0)</x:f>
        <x:v>0</x:v>
      </x:c>
      <x:c r="N246" s="19" t="n">
        <x:f>MAX(K246-1,0)+MAX(L246-1,0)+MAX(M246-1,0)</x:f>
        <x:v>1</x:v>
      </x:c>
      <x:c r="O246" s="19" t="n">
        <x:f>IF(AND(SUM(K246:M246)&lt;9,OR(M246=0,N246&lt;6)),1,0)</x:f>
        <x:v>1</x:v>
      </x:c>
      <x:c r="P246" s="19" t="n">
        <x:f>IF(AND(SUM(K246:M246)&lt;9,OR(L246=0,N246&lt;6)),1,0)</x:f>
        <x:v>1</x:v>
      </x:c>
      <x:c r="Q246" s="19" t="n">
        <x:f>IF(AND(SUM(K246:M246)&lt;9,OR(K246=0,N246&lt;6)),1,0)</x:f>
        <x:v>1</x:v>
      </x:c>
      <x:c r="R246" s="22" t="str">
        <x:f>O246&amp;P246&amp;Q246</x:f>
        <x:v>111</x:v>
      </x:c>
      <x:c r="S246" s="19" t="n">
        <x:f>IF(I246=1,IF(J246=0,Q246,IF(J246=1,P246,IF(J246=2,O246,0))),0)</x:f>
        <x:v>1</x:v>
      </x:c>
      <x:c r="T246" s="19" t="n">
        <x:f>K246+IF(AND(S246=1,J246=0),1,0)</x:f>
        <x:v>0</x:v>
      </x:c>
      <x:c r="U246" s="19" t="n">
        <x:f>L246+IF(AND(S246=1,J246=1),1,0)</x:f>
        <x:v>3</x:v>
      </x:c>
      <x:c r="V246" s="19" t="n">
        <x:f>M246+IF(AND(S246=1,J246=2),1,0)</x:f>
        <x:v>0</x:v>
      </x:c>
      <x:c r="W246" s="19" t="n">
        <x:f>SUM(T246:V246)</x:f>
        <x:v>3</x:v>
      </x:c>
      <x:c r="X246" s="19" t="n">
        <x:f>W246-G246</x:f>
        <x:v>0</x:v>
      </x:c>
      <x:c r="Y246" s="19" t="n">
        <x:f>MAX(T246,1)+MAX(U246,1)+MAX(V246,1)</x:f>
        <x:v>5</x:v>
      </x:c>
      <x:c r="Z246" s="21" t="str">
        <x:f>IF(AND(MIN(D246:F246)&gt;=0,MAX(D246:F246)&lt;=7,MAX(D246,1)+MAX(E246,1)+MAX(F246,1)&lt;=9,OR(H246="-",AND(H246=0,D246&gt;0),AND(H246=1,E246&gt;0),AND(H246=2,F246&gt;0)),OR(I246=0,AND(I246=1,OR(J246=0,J246=1,J246=2),R246&lt;&gt;"000")),Y246&lt;=9,MIN(T246:V246)&gt;=0),"合法","输入违约")</x:f>
        <x:v>合法</x:v>
      </x:c>
    </x:row>
    <x:row r="247" ht="23" customHeight="1">
      <x:c r="A247" s="3" t="str">
        <x:v>CT-0240</x:v>
      </x:c>
      <x:c r="B247" s="3" t="str">
        <x:v>ST-014</x:v>
      </x:c>
      <x:c r="C247" s="3" t="str">
        <x:v>R+AR同收同发</x:v>
      </x:c>
      <x:c r="D247" s="25" t="n">
        <x:v>0</x:v>
      </x:c>
      <x:c r="E247" s="25" t="n">
        <x:v>3</x:v>
      </x:c>
      <x:c r="F247" s="25" t="n">
        <x:v>0</x:v>
      </x:c>
      <x:c r="G247" s="19" t="n">
        <x:f>SUM(D247:F247)</x:f>
        <x:v>3</x:v>
      </x:c>
      <x:c r="H247" s="25" t="n">
        <x:v>1</x:v>
      </x:c>
      <x:c r="I247" s="25" t="n">
        <x:v>1</x:v>
      </x:c>
      <x:c r="J247" s="25" t="n">
        <x:v>2</x:v>
      </x:c>
      <x:c r="K247" s="19" t="n">
        <x:f>D247-IF(H247=0,1,0)</x:f>
        <x:v>0</x:v>
      </x:c>
      <x:c r="L247" s="19" t="n">
        <x:f>E247-IF(H247=1,1,0)</x:f>
        <x:v>2</x:v>
      </x:c>
      <x:c r="M247" s="19" t="n">
        <x:f>F247-IF(H247=2,1,0)</x:f>
        <x:v>0</x:v>
      </x:c>
      <x:c r="N247" s="19" t="n">
        <x:f>MAX(K247-1,0)+MAX(L247-1,0)+MAX(M247-1,0)</x:f>
        <x:v>1</x:v>
      </x:c>
      <x:c r="O247" s="19" t="n">
        <x:f>IF(AND(SUM(K247:M247)&lt;9,OR(M247=0,N247&lt;6)),1,0)</x:f>
        <x:v>1</x:v>
      </x:c>
      <x:c r="P247" s="19" t="n">
        <x:f>IF(AND(SUM(K247:M247)&lt;9,OR(L247=0,N247&lt;6)),1,0)</x:f>
        <x:v>1</x:v>
      </x:c>
      <x:c r="Q247" s="19" t="n">
        <x:f>IF(AND(SUM(K247:M247)&lt;9,OR(K247=0,N247&lt;6)),1,0)</x:f>
        <x:v>1</x:v>
      </x:c>
      <x:c r="R247" s="22" t="str">
        <x:f>O247&amp;P247&amp;Q247</x:f>
        <x:v>111</x:v>
      </x:c>
      <x:c r="S247" s="19" t="n">
        <x:f>IF(I247=1,IF(J247=0,Q247,IF(J247=1,P247,IF(J247=2,O247,0))),0)</x:f>
        <x:v>1</x:v>
      </x:c>
      <x:c r="T247" s="19" t="n">
        <x:f>K247+IF(AND(S247=1,J247=0),1,0)</x:f>
        <x:v>0</x:v>
      </x:c>
      <x:c r="U247" s="19" t="n">
        <x:f>L247+IF(AND(S247=1,J247=1),1,0)</x:f>
        <x:v>2</x:v>
      </x:c>
      <x:c r="V247" s="19" t="n">
        <x:f>M247+IF(AND(S247=1,J247=2),1,0)</x:f>
        <x:v>1</x:v>
      </x:c>
      <x:c r="W247" s="19" t="n">
        <x:f>SUM(T247:V247)</x:f>
        <x:v>3</x:v>
      </x:c>
      <x:c r="X247" s="19" t="n">
        <x:f>W247-G247</x:f>
        <x:v>0</x:v>
      </x:c>
      <x:c r="Y247" s="19" t="n">
        <x:f>MAX(T247,1)+MAX(U247,1)+MAX(V247,1)</x:f>
        <x:v>4</x:v>
      </x:c>
      <x:c r="Z247" s="21" t="str">
        <x:f>IF(AND(MIN(D247:F247)&gt;=0,MAX(D247:F247)&lt;=7,MAX(D247,1)+MAX(E247,1)+MAX(F247,1)&lt;=9,OR(H247="-",AND(H247=0,D247&gt;0),AND(H247=1,E247&gt;0),AND(H247=2,F247&gt;0)),OR(I247=0,AND(I247=1,OR(J247=0,J247=1,J247=2),R247&lt;&gt;"000")),Y247&lt;=9,MIN(T247:V247)&gt;=0),"合法","输入违约")</x:f>
        <x:v>合法</x:v>
      </x:c>
    </x:row>
    <x:row r="248" ht="23" customHeight="1">
      <x:c r="A248" s="3" t="str">
        <x:v>CT-0241</x:v>
      </x:c>
      <x:c r="B248" s="3" t="str">
        <x:v>ST-024</x:v>
      </x:c>
      <x:c r="C248" s="3" t="str">
        <x:v>无AR/R</x:v>
      </x:c>
      <x:c r="D248" s="25" t="n">
        <x:v>0</x:v>
      </x:c>
      <x:c r="E248" s="25" t="n">
        <x:v>3</x:v>
      </x:c>
      <x:c r="F248" s="25" t="n">
        <x:v>1</x:v>
      </x:c>
      <x:c r="G248" s="19" t="n">
        <x:f>SUM(D248:F248)</x:f>
        <x:v>4</x:v>
      </x:c>
      <x:c r="H248" s="25" t="str">
        <x:v>-</x:v>
      </x:c>
      <x:c r="I248" s="25" t="n">
        <x:v>0</x:v>
      </x:c>
      <x:c r="J248" s="25" t="str">
        <x:v>-</x:v>
      </x:c>
      <x:c r="K248" s="19" t="n">
        <x:f>D248-IF(H248=0,1,0)</x:f>
        <x:v>0</x:v>
      </x:c>
      <x:c r="L248" s="19" t="n">
        <x:f>E248-IF(H248=1,1,0)</x:f>
        <x:v>3</x:v>
      </x:c>
      <x:c r="M248" s="19" t="n">
        <x:f>F248-IF(H248=2,1,0)</x:f>
        <x:v>1</x:v>
      </x:c>
      <x:c r="N248" s="19" t="n">
        <x:f>MAX(K248-1,0)+MAX(L248-1,0)+MAX(M248-1,0)</x:f>
        <x:v>2</x:v>
      </x:c>
      <x:c r="O248" s="19" t="n">
        <x:f>IF(AND(SUM(K248:M248)&lt;9,OR(M248=0,N248&lt;6)),1,0)</x:f>
        <x:v>1</x:v>
      </x:c>
      <x:c r="P248" s="19" t="n">
        <x:f>IF(AND(SUM(K248:M248)&lt;9,OR(L248=0,N248&lt;6)),1,0)</x:f>
        <x:v>1</x:v>
      </x:c>
      <x:c r="Q248" s="19" t="n">
        <x:f>IF(AND(SUM(K248:M248)&lt;9,OR(K248=0,N248&lt;6)),1,0)</x:f>
        <x:v>1</x:v>
      </x:c>
      <x:c r="R248" s="22" t="str">
        <x:f>O248&amp;P248&amp;Q248</x:f>
        <x:v>111</x:v>
      </x:c>
      <x:c r="S248" s="19" t="n">
        <x:f>IF(I248=1,IF(J248=0,Q248,IF(J248=1,P248,IF(J248=2,O248,0))),0)</x:f>
        <x:v>0</x:v>
      </x:c>
      <x:c r="T248" s="19" t="n">
        <x:f>K248+IF(AND(S248=1,J248=0),1,0)</x:f>
        <x:v>0</x:v>
      </x:c>
      <x:c r="U248" s="19" t="n">
        <x:f>L248+IF(AND(S248=1,J248=1),1,0)</x:f>
        <x:v>3</x:v>
      </x:c>
      <x:c r="V248" s="19" t="n">
        <x:f>M248+IF(AND(S248=1,J248=2),1,0)</x:f>
        <x:v>1</x:v>
      </x:c>
      <x:c r="W248" s="19" t="n">
        <x:f>SUM(T248:V248)</x:f>
        <x:v>4</x:v>
      </x:c>
      <x:c r="X248" s="19" t="n">
        <x:f>W248-G248</x:f>
        <x:v>0</x:v>
      </x:c>
      <x:c r="Y248" s="19" t="n">
        <x:f>MAX(T248,1)+MAX(U248,1)+MAX(V248,1)</x:f>
        <x:v>5</x:v>
      </x:c>
      <x:c r="Z248" s="21" t="str">
        <x:f>IF(AND(MIN(D248:F248)&gt;=0,MAX(D248:F248)&lt;=7,MAX(D248,1)+MAX(E248,1)+MAX(F248,1)&lt;=9,OR(H248="-",AND(H248=0,D248&gt;0),AND(H248=1,E248&gt;0),AND(H248=2,F248&gt;0)),OR(I248=0,AND(I248=1,OR(J248=0,J248=1,J248=2),R248&lt;&gt;"000")),Y248&lt;=9,MIN(T248:V248)&gt;=0),"合法","输入违约")</x:f>
        <x:v>合法</x:v>
      </x:c>
    </x:row>
    <x:row r="249" ht="23" customHeight="1">
      <x:c r="A249" s="3" t="str">
        <x:v>CT-0242</x:v>
      </x:c>
      <x:c r="B249" s="3" t="str">
        <x:v>ST-024</x:v>
      </x:c>
      <x:c r="C249" s="3" t="str">
        <x:v>仅AR接收</x:v>
      </x:c>
      <x:c r="D249" s="25" t="n">
        <x:v>0</x:v>
      </x:c>
      <x:c r="E249" s="25" t="n">
        <x:v>3</x:v>
      </x:c>
      <x:c r="F249" s="25" t="n">
        <x:v>1</x:v>
      </x:c>
      <x:c r="G249" s="19" t="n">
        <x:f>SUM(D249:F249)</x:f>
        <x:v>4</x:v>
      </x:c>
      <x:c r="H249" s="25" t="str">
        <x:v>-</x:v>
      </x:c>
      <x:c r="I249" s="25" t="n">
        <x:v>1</x:v>
      </x:c>
      <x:c r="J249" s="25" t="n">
        <x:v>0</x:v>
      </x:c>
      <x:c r="K249" s="19" t="n">
        <x:f>D249-IF(H249=0,1,0)</x:f>
        <x:v>0</x:v>
      </x:c>
      <x:c r="L249" s="19" t="n">
        <x:f>E249-IF(H249=1,1,0)</x:f>
        <x:v>3</x:v>
      </x:c>
      <x:c r="M249" s="19" t="n">
        <x:f>F249-IF(H249=2,1,0)</x:f>
        <x:v>1</x:v>
      </x:c>
      <x:c r="N249" s="19" t="n">
        <x:f>MAX(K249-1,0)+MAX(L249-1,0)+MAX(M249-1,0)</x:f>
        <x:v>2</x:v>
      </x:c>
      <x:c r="O249" s="19" t="n">
        <x:f>IF(AND(SUM(K249:M249)&lt;9,OR(M249=0,N249&lt;6)),1,0)</x:f>
        <x:v>1</x:v>
      </x:c>
      <x:c r="P249" s="19" t="n">
        <x:f>IF(AND(SUM(K249:M249)&lt;9,OR(L249=0,N249&lt;6)),1,0)</x:f>
        <x:v>1</x:v>
      </x:c>
      <x:c r="Q249" s="19" t="n">
        <x:f>IF(AND(SUM(K249:M249)&lt;9,OR(K249=0,N249&lt;6)),1,0)</x:f>
        <x:v>1</x:v>
      </x:c>
      <x:c r="R249" s="22" t="str">
        <x:f>O249&amp;P249&amp;Q249</x:f>
        <x:v>111</x:v>
      </x:c>
      <x:c r="S249" s="19" t="n">
        <x:f>IF(I249=1,IF(J249=0,Q249,IF(J249=1,P249,IF(J249=2,O249,0))),0)</x:f>
        <x:v>1</x:v>
      </x:c>
      <x:c r="T249" s="19" t="n">
        <x:f>K249+IF(AND(S249=1,J249=0),1,0)</x:f>
        <x:v>1</x:v>
      </x:c>
      <x:c r="U249" s="19" t="n">
        <x:f>L249+IF(AND(S249=1,J249=1),1,0)</x:f>
        <x:v>3</x:v>
      </x:c>
      <x:c r="V249" s="19" t="n">
        <x:f>M249+IF(AND(S249=1,J249=2),1,0)</x:f>
        <x:v>1</x:v>
      </x:c>
      <x:c r="W249" s="19" t="n">
        <x:f>SUM(T249:V249)</x:f>
        <x:v>5</x:v>
      </x:c>
      <x:c r="X249" s="19" t="n">
        <x:f>W249-G249</x:f>
        <x:v>1</x:v>
      </x:c>
      <x:c r="Y249" s="19" t="n">
        <x:f>MAX(T249,1)+MAX(U249,1)+MAX(V249,1)</x:f>
        <x:v>5</x:v>
      </x:c>
      <x:c r="Z249" s="21" t="str">
        <x:f>IF(AND(MIN(D249:F249)&gt;=0,MAX(D249:F249)&lt;=7,MAX(D249,1)+MAX(E249,1)+MAX(F249,1)&lt;=9,OR(H249="-",AND(H249=0,D249&gt;0),AND(H249=1,E249&gt;0),AND(H249=2,F249&gt;0)),OR(I249=0,AND(I249=1,OR(J249=0,J249=1,J249=2),R249&lt;&gt;"000")),Y249&lt;=9,MIN(T249:V249)&gt;=0),"合法","输入违约")</x:f>
        <x:v>合法</x:v>
      </x:c>
    </x:row>
    <x:row r="250" ht="23" customHeight="1">
      <x:c r="A250" s="3" t="str">
        <x:v>CT-0243</x:v>
      </x:c>
      <x:c r="B250" s="3" t="str">
        <x:v>ST-024</x:v>
      </x:c>
      <x:c r="C250" s="3" t="str">
        <x:v>仅AR接收</x:v>
      </x:c>
      <x:c r="D250" s="25" t="n">
        <x:v>0</x:v>
      </x:c>
      <x:c r="E250" s="25" t="n">
        <x:v>3</x:v>
      </x:c>
      <x:c r="F250" s="25" t="n">
        <x:v>1</x:v>
      </x:c>
      <x:c r="G250" s="19" t="n">
        <x:f>SUM(D250:F250)</x:f>
        <x:v>4</x:v>
      </x:c>
      <x:c r="H250" s="25" t="str">
        <x:v>-</x:v>
      </x:c>
      <x:c r="I250" s="25" t="n">
        <x:v>1</x:v>
      </x:c>
      <x:c r="J250" s="25" t="n">
        <x:v>1</x:v>
      </x:c>
      <x:c r="K250" s="19" t="n">
        <x:f>D250-IF(H250=0,1,0)</x:f>
        <x:v>0</x:v>
      </x:c>
      <x:c r="L250" s="19" t="n">
        <x:f>E250-IF(H250=1,1,0)</x:f>
        <x:v>3</x:v>
      </x:c>
      <x:c r="M250" s="19" t="n">
        <x:f>F250-IF(H250=2,1,0)</x:f>
        <x:v>1</x:v>
      </x:c>
      <x:c r="N250" s="19" t="n">
        <x:f>MAX(K250-1,0)+MAX(L250-1,0)+MAX(M250-1,0)</x:f>
        <x:v>2</x:v>
      </x:c>
      <x:c r="O250" s="19" t="n">
        <x:f>IF(AND(SUM(K250:M250)&lt;9,OR(M250=0,N250&lt;6)),1,0)</x:f>
        <x:v>1</x:v>
      </x:c>
      <x:c r="P250" s="19" t="n">
        <x:f>IF(AND(SUM(K250:M250)&lt;9,OR(L250=0,N250&lt;6)),1,0)</x:f>
        <x:v>1</x:v>
      </x:c>
      <x:c r="Q250" s="19" t="n">
        <x:f>IF(AND(SUM(K250:M250)&lt;9,OR(K250=0,N250&lt;6)),1,0)</x:f>
        <x:v>1</x:v>
      </x:c>
      <x:c r="R250" s="22" t="str">
        <x:f>O250&amp;P250&amp;Q250</x:f>
        <x:v>111</x:v>
      </x:c>
      <x:c r="S250" s="19" t="n">
        <x:f>IF(I250=1,IF(J250=0,Q250,IF(J250=1,P250,IF(J250=2,O250,0))),0)</x:f>
        <x:v>1</x:v>
      </x:c>
      <x:c r="T250" s="19" t="n">
        <x:f>K250+IF(AND(S250=1,J250=0),1,0)</x:f>
        <x:v>0</x:v>
      </x:c>
      <x:c r="U250" s="19" t="n">
        <x:f>L250+IF(AND(S250=1,J250=1),1,0)</x:f>
        <x:v>4</x:v>
      </x:c>
      <x:c r="V250" s="19" t="n">
        <x:f>M250+IF(AND(S250=1,J250=2),1,0)</x:f>
        <x:v>1</x:v>
      </x:c>
      <x:c r="W250" s="19" t="n">
        <x:f>SUM(T250:V250)</x:f>
        <x:v>5</x:v>
      </x:c>
      <x:c r="X250" s="19" t="n">
        <x:f>W250-G250</x:f>
        <x:v>1</x:v>
      </x:c>
      <x:c r="Y250" s="19" t="n">
        <x:f>MAX(T250,1)+MAX(U250,1)+MAX(V250,1)</x:f>
        <x:v>6</x:v>
      </x:c>
      <x:c r="Z250" s="21" t="str">
        <x:f>IF(AND(MIN(D250:F250)&gt;=0,MAX(D250:F250)&lt;=7,MAX(D250,1)+MAX(E250,1)+MAX(F250,1)&lt;=9,OR(H250="-",AND(H250=0,D250&gt;0),AND(H250=1,E250&gt;0),AND(H250=2,F250&gt;0)),OR(I250=0,AND(I250=1,OR(J250=0,J250=1,J250=2),R250&lt;&gt;"000")),Y250&lt;=9,MIN(T250:V250)&gt;=0),"合法","输入违约")</x:f>
        <x:v>合法</x:v>
      </x:c>
    </x:row>
    <x:row r="251" ht="23" customHeight="1">
      <x:c r="A251" s="3" t="str">
        <x:v>CT-0244</x:v>
      </x:c>
      <x:c r="B251" s="3" t="str">
        <x:v>ST-024</x:v>
      </x:c>
      <x:c r="C251" s="3" t="str">
        <x:v>仅AR接收</x:v>
      </x:c>
      <x:c r="D251" s="25" t="n">
        <x:v>0</x:v>
      </x:c>
      <x:c r="E251" s="25" t="n">
        <x:v>3</x:v>
      </x:c>
      <x:c r="F251" s="25" t="n">
        <x:v>1</x:v>
      </x:c>
      <x:c r="G251" s="19" t="n">
        <x:f>SUM(D251:F251)</x:f>
        <x:v>4</x:v>
      </x:c>
      <x:c r="H251" s="25" t="str">
        <x:v>-</x:v>
      </x:c>
      <x:c r="I251" s="25" t="n">
        <x:v>1</x:v>
      </x:c>
      <x:c r="J251" s="25" t="n">
        <x:v>2</x:v>
      </x:c>
      <x:c r="K251" s="19" t="n">
        <x:f>D251-IF(H251=0,1,0)</x:f>
        <x:v>0</x:v>
      </x:c>
      <x:c r="L251" s="19" t="n">
        <x:f>E251-IF(H251=1,1,0)</x:f>
        <x:v>3</x:v>
      </x:c>
      <x:c r="M251" s="19" t="n">
        <x:f>F251-IF(H251=2,1,0)</x:f>
        <x:v>1</x:v>
      </x:c>
      <x:c r="N251" s="19" t="n">
        <x:f>MAX(K251-1,0)+MAX(L251-1,0)+MAX(M251-1,0)</x:f>
        <x:v>2</x:v>
      </x:c>
      <x:c r="O251" s="19" t="n">
        <x:f>IF(AND(SUM(K251:M251)&lt;9,OR(M251=0,N251&lt;6)),1,0)</x:f>
        <x:v>1</x:v>
      </x:c>
      <x:c r="P251" s="19" t="n">
        <x:f>IF(AND(SUM(K251:M251)&lt;9,OR(L251=0,N251&lt;6)),1,0)</x:f>
        <x:v>1</x:v>
      </x:c>
      <x:c r="Q251" s="19" t="n">
        <x:f>IF(AND(SUM(K251:M251)&lt;9,OR(K251=0,N251&lt;6)),1,0)</x:f>
        <x:v>1</x:v>
      </x:c>
      <x:c r="R251" s="22" t="str">
        <x:f>O251&amp;P251&amp;Q251</x:f>
        <x:v>111</x:v>
      </x:c>
      <x:c r="S251" s="19" t="n">
        <x:f>IF(I251=1,IF(J251=0,Q251,IF(J251=1,P251,IF(J251=2,O251,0))),0)</x:f>
        <x:v>1</x:v>
      </x:c>
      <x:c r="T251" s="19" t="n">
        <x:f>K251+IF(AND(S251=1,J251=0),1,0)</x:f>
        <x:v>0</x:v>
      </x:c>
      <x:c r="U251" s="19" t="n">
        <x:f>L251+IF(AND(S251=1,J251=1),1,0)</x:f>
        <x:v>3</x:v>
      </x:c>
      <x:c r="V251" s="19" t="n">
        <x:f>M251+IF(AND(S251=1,J251=2),1,0)</x:f>
        <x:v>2</x:v>
      </x:c>
      <x:c r="W251" s="19" t="n">
        <x:f>SUM(T251:V251)</x:f>
        <x:v>5</x:v>
      </x:c>
      <x:c r="X251" s="19" t="n">
        <x:f>W251-G251</x:f>
        <x:v>1</x:v>
      </x:c>
      <x:c r="Y251" s="19" t="n">
        <x:f>MAX(T251,1)+MAX(U251,1)+MAX(V251,1)</x:f>
        <x:v>6</x:v>
      </x:c>
      <x:c r="Z251" s="21" t="str">
        <x:f>IF(AND(MIN(D251:F251)&gt;=0,MAX(D251:F251)&lt;=7,MAX(D251,1)+MAX(E251,1)+MAX(F251,1)&lt;=9,OR(H251="-",AND(H251=0,D251&gt;0),AND(H251=1,E251&gt;0),AND(H251=2,F251&gt;0)),OR(I251=0,AND(I251=1,OR(J251=0,J251=1,J251=2),R251&lt;&gt;"000")),Y251&lt;=9,MIN(T251:V251)&gt;=0),"合法","输入违约")</x:f>
        <x:v>合法</x:v>
      </x:c>
    </x:row>
    <x:row r="252" ht="23" customHeight="1">
      <x:c r="A252" s="3" t="str">
        <x:v>CT-0245</x:v>
      </x:c>
      <x:c r="B252" s="3" t="str">
        <x:v>ST-024</x:v>
      </x:c>
      <x:c r="C252" s="3" t="str">
        <x:v>仅R回收</x:v>
      </x:c>
      <x:c r="D252" s="25" t="n">
        <x:v>0</x:v>
      </x:c>
      <x:c r="E252" s="25" t="n">
        <x:v>3</x:v>
      </x:c>
      <x:c r="F252" s="25" t="n">
        <x:v>1</x:v>
      </x:c>
      <x:c r="G252" s="19" t="n">
        <x:f>SUM(D252:F252)</x:f>
        <x:v>4</x:v>
      </x:c>
      <x:c r="H252" s="25" t="n">
        <x:v>1</x:v>
      </x:c>
      <x:c r="I252" s="25" t="n">
        <x:v>0</x:v>
      </x:c>
      <x:c r="J252" s="25" t="str">
        <x:v>-</x:v>
      </x:c>
      <x:c r="K252" s="19" t="n">
        <x:f>D252-IF(H252=0,1,0)</x:f>
        <x:v>0</x:v>
      </x:c>
      <x:c r="L252" s="19" t="n">
        <x:f>E252-IF(H252=1,1,0)</x:f>
        <x:v>2</x:v>
      </x:c>
      <x:c r="M252" s="19" t="n">
        <x:f>F252-IF(H252=2,1,0)</x:f>
        <x:v>1</x:v>
      </x:c>
      <x:c r="N252" s="19" t="n">
        <x:f>MAX(K252-1,0)+MAX(L252-1,0)+MAX(M252-1,0)</x:f>
        <x:v>1</x:v>
      </x:c>
      <x:c r="O252" s="19" t="n">
        <x:f>IF(AND(SUM(K252:M252)&lt;9,OR(M252=0,N252&lt;6)),1,0)</x:f>
        <x:v>1</x:v>
      </x:c>
      <x:c r="P252" s="19" t="n">
        <x:f>IF(AND(SUM(K252:M252)&lt;9,OR(L252=0,N252&lt;6)),1,0)</x:f>
        <x:v>1</x:v>
      </x:c>
      <x:c r="Q252" s="19" t="n">
        <x:f>IF(AND(SUM(K252:M252)&lt;9,OR(K252=0,N252&lt;6)),1,0)</x:f>
        <x:v>1</x:v>
      </x:c>
      <x:c r="R252" s="22" t="str">
        <x:f>O252&amp;P252&amp;Q252</x:f>
        <x:v>111</x:v>
      </x:c>
      <x:c r="S252" s="19" t="n">
        <x:f>IF(I252=1,IF(J252=0,Q252,IF(J252=1,P252,IF(J252=2,O252,0))),0)</x:f>
        <x:v>0</x:v>
      </x:c>
      <x:c r="T252" s="19" t="n">
        <x:f>K252+IF(AND(S252=1,J252=0),1,0)</x:f>
        <x:v>0</x:v>
      </x:c>
      <x:c r="U252" s="19" t="n">
        <x:f>L252+IF(AND(S252=1,J252=1),1,0)</x:f>
        <x:v>2</x:v>
      </x:c>
      <x:c r="V252" s="19" t="n">
        <x:f>M252+IF(AND(S252=1,J252=2),1,0)</x:f>
        <x:v>1</x:v>
      </x:c>
      <x:c r="W252" s="19" t="n">
        <x:f>SUM(T252:V252)</x:f>
        <x:v>3</x:v>
      </x:c>
      <x:c r="X252" s="19" t="n">
        <x:f>W252-G252</x:f>
        <x:v>-1</x:v>
      </x:c>
      <x:c r="Y252" s="19" t="n">
        <x:f>MAX(T252,1)+MAX(U252,1)+MAX(V252,1)</x:f>
        <x:v>4</x:v>
      </x:c>
      <x:c r="Z252" s="21" t="str">
        <x:f>IF(AND(MIN(D252:F252)&gt;=0,MAX(D252:F252)&lt;=7,MAX(D252,1)+MAX(E252,1)+MAX(F252,1)&lt;=9,OR(H252="-",AND(H252=0,D252&gt;0),AND(H252=1,E252&gt;0),AND(H252=2,F252&gt;0)),OR(I252=0,AND(I252=1,OR(J252=0,J252=1,J252=2),R252&lt;&gt;"000")),Y252&lt;=9,MIN(T252:V252)&gt;=0),"合法","输入违约")</x:f>
        <x:v>合法</x:v>
      </x:c>
    </x:row>
    <x:row r="253" ht="23" customHeight="1">
      <x:c r="A253" s="3" t="str">
        <x:v>CT-0246</x:v>
      </x:c>
      <x:c r="B253" s="3" t="str">
        <x:v>ST-024</x:v>
      </x:c>
      <x:c r="C253" s="3" t="str">
        <x:v>R+AR同收同发</x:v>
      </x:c>
      <x:c r="D253" s="25" t="n">
        <x:v>0</x:v>
      </x:c>
      <x:c r="E253" s="25" t="n">
        <x:v>3</x:v>
      </x:c>
      <x:c r="F253" s="25" t="n">
        <x:v>1</x:v>
      </x:c>
      <x:c r="G253" s="19" t="n">
        <x:f>SUM(D253:F253)</x:f>
        <x:v>4</x:v>
      </x:c>
      <x:c r="H253" s="25" t="n">
        <x:v>1</x:v>
      </x:c>
      <x:c r="I253" s="25" t="n">
        <x:v>1</x:v>
      </x:c>
      <x:c r="J253" s="25" t="n">
        <x:v>0</x:v>
      </x:c>
      <x:c r="K253" s="19" t="n">
        <x:f>D253-IF(H253=0,1,0)</x:f>
        <x:v>0</x:v>
      </x:c>
      <x:c r="L253" s="19" t="n">
        <x:f>E253-IF(H253=1,1,0)</x:f>
        <x:v>2</x:v>
      </x:c>
      <x:c r="M253" s="19" t="n">
        <x:f>F253-IF(H253=2,1,0)</x:f>
        <x:v>1</x:v>
      </x:c>
      <x:c r="N253" s="19" t="n">
        <x:f>MAX(K253-1,0)+MAX(L253-1,0)+MAX(M253-1,0)</x:f>
        <x:v>1</x:v>
      </x:c>
      <x:c r="O253" s="19" t="n">
        <x:f>IF(AND(SUM(K253:M253)&lt;9,OR(M253=0,N253&lt;6)),1,0)</x:f>
        <x:v>1</x:v>
      </x:c>
      <x:c r="P253" s="19" t="n">
        <x:f>IF(AND(SUM(K253:M253)&lt;9,OR(L253=0,N253&lt;6)),1,0)</x:f>
        <x:v>1</x:v>
      </x:c>
      <x:c r="Q253" s="19" t="n">
        <x:f>IF(AND(SUM(K253:M253)&lt;9,OR(K253=0,N253&lt;6)),1,0)</x:f>
        <x:v>1</x:v>
      </x:c>
      <x:c r="R253" s="22" t="str">
        <x:f>O253&amp;P253&amp;Q253</x:f>
        <x:v>111</x:v>
      </x:c>
      <x:c r="S253" s="19" t="n">
        <x:f>IF(I253=1,IF(J253=0,Q253,IF(J253=1,P253,IF(J253=2,O253,0))),0)</x:f>
        <x:v>1</x:v>
      </x:c>
      <x:c r="T253" s="19" t="n">
        <x:f>K253+IF(AND(S253=1,J253=0),1,0)</x:f>
        <x:v>1</x:v>
      </x:c>
      <x:c r="U253" s="19" t="n">
        <x:f>L253+IF(AND(S253=1,J253=1),1,0)</x:f>
        <x:v>2</x:v>
      </x:c>
      <x:c r="V253" s="19" t="n">
        <x:f>M253+IF(AND(S253=1,J253=2),1,0)</x:f>
        <x:v>1</x:v>
      </x:c>
      <x:c r="W253" s="19" t="n">
        <x:f>SUM(T253:V253)</x:f>
        <x:v>4</x:v>
      </x:c>
      <x:c r="X253" s="19" t="n">
        <x:f>W253-G253</x:f>
        <x:v>0</x:v>
      </x:c>
      <x:c r="Y253" s="19" t="n">
        <x:f>MAX(T253,1)+MAX(U253,1)+MAX(V253,1)</x:f>
        <x:v>4</x:v>
      </x:c>
      <x:c r="Z253" s="21" t="str">
        <x:f>IF(AND(MIN(D253:F253)&gt;=0,MAX(D253:F253)&lt;=7,MAX(D253,1)+MAX(E253,1)+MAX(F253,1)&lt;=9,OR(H253="-",AND(H253=0,D253&gt;0),AND(H253=1,E253&gt;0),AND(H253=2,F253&gt;0)),OR(I253=0,AND(I253=1,OR(J253=0,J253=1,J253=2),R253&lt;&gt;"000")),Y253&lt;=9,MIN(T253:V253)&gt;=0),"合法","输入违约")</x:f>
        <x:v>合法</x:v>
      </x:c>
    </x:row>
    <x:row r="254" ht="23" customHeight="1">
      <x:c r="A254" s="3" t="str">
        <x:v>CT-0247</x:v>
      </x:c>
      <x:c r="B254" s="3" t="str">
        <x:v>ST-024</x:v>
      </x:c>
      <x:c r="C254" s="3" t="str">
        <x:v>R+AR同收同发</x:v>
      </x:c>
      <x:c r="D254" s="25" t="n">
        <x:v>0</x:v>
      </x:c>
      <x:c r="E254" s="25" t="n">
        <x:v>3</x:v>
      </x:c>
      <x:c r="F254" s="25" t="n">
        <x:v>1</x:v>
      </x:c>
      <x:c r="G254" s="19" t="n">
        <x:f>SUM(D254:F254)</x:f>
        <x:v>4</x:v>
      </x:c>
      <x:c r="H254" s="25" t="n">
        <x:v>1</x:v>
      </x:c>
      <x:c r="I254" s="25" t="n">
        <x:v>1</x:v>
      </x:c>
      <x:c r="J254" s="25" t="n">
        <x:v>1</x:v>
      </x:c>
      <x:c r="K254" s="19" t="n">
        <x:f>D254-IF(H254=0,1,0)</x:f>
        <x:v>0</x:v>
      </x:c>
      <x:c r="L254" s="19" t="n">
        <x:f>E254-IF(H254=1,1,0)</x:f>
        <x:v>2</x:v>
      </x:c>
      <x:c r="M254" s="19" t="n">
        <x:f>F254-IF(H254=2,1,0)</x:f>
        <x:v>1</x:v>
      </x:c>
      <x:c r="N254" s="19" t="n">
        <x:f>MAX(K254-1,0)+MAX(L254-1,0)+MAX(M254-1,0)</x:f>
        <x:v>1</x:v>
      </x:c>
      <x:c r="O254" s="19" t="n">
        <x:f>IF(AND(SUM(K254:M254)&lt;9,OR(M254=0,N254&lt;6)),1,0)</x:f>
        <x:v>1</x:v>
      </x:c>
      <x:c r="P254" s="19" t="n">
        <x:f>IF(AND(SUM(K254:M254)&lt;9,OR(L254=0,N254&lt;6)),1,0)</x:f>
        <x:v>1</x:v>
      </x:c>
      <x:c r="Q254" s="19" t="n">
        <x:f>IF(AND(SUM(K254:M254)&lt;9,OR(K254=0,N254&lt;6)),1,0)</x:f>
        <x:v>1</x:v>
      </x:c>
      <x:c r="R254" s="22" t="str">
        <x:f>O254&amp;P254&amp;Q254</x:f>
        <x:v>111</x:v>
      </x:c>
      <x:c r="S254" s="19" t="n">
        <x:f>IF(I254=1,IF(J254=0,Q254,IF(J254=1,P254,IF(J254=2,O254,0))),0)</x:f>
        <x:v>1</x:v>
      </x:c>
      <x:c r="T254" s="19" t="n">
        <x:f>K254+IF(AND(S254=1,J254=0),1,0)</x:f>
        <x:v>0</x:v>
      </x:c>
      <x:c r="U254" s="19" t="n">
        <x:f>L254+IF(AND(S254=1,J254=1),1,0)</x:f>
        <x:v>3</x:v>
      </x:c>
      <x:c r="V254" s="19" t="n">
        <x:f>M254+IF(AND(S254=1,J254=2),1,0)</x:f>
        <x:v>1</x:v>
      </x:c>
      <x:c r="W254" s="19" t="n">
        <x:f>SUM(T254:V254)</x:f>
        <x:v>4</x:v>
      </x:c>
      <x:c r="X254" s="19" t="n">
        <x:f>W254-G254</x:f>
        <x:v>0</x:v>
      </x:c>
      <x:c r="Y254" s="19" t="n">
        <x:f>MAX(T254,1)+MAX(U254,1)+MAX(V254,1)</x:f>
        <x:v>5</x:v>
      </x:c>
      <x:c r="Z254" s="21" t="str">
        <x:f>IF(AND(MIN(D254:F254)&gt;=0,MAX(D254:F254)&lt;=7,MAX(D254,1)+MAX(E254,1)+MAX(F254,1)&lt;=9,OR(H254="-",AND(H254=0,D254&gt;0),AND(H254=1,E254&gt;0),AND(H254=2,F254&gt;0)),OR(I254=0,AND(I254=1,OR(J254=0,J254=1,J254=2),R254&lt;&gt;"000")),Y254&lt;=9,MIN(T254:V254)&gt;=0),"合法","输入违约")</x:f>
        <x:v>合法</x:v>
      </x:c>
    </x:row>
    <x:row r="255" ht="23" customHeight="1">
      <x:c r="A255" s="3" t="str">
        <x:v>CT-0248</x:v>
      </x:c>
      <x:c r="B255" s="3" t="str">
        <x:v>ST-024</x:v>
      </x:c>
      <x:c r="C255" s="3" t="str">
        <x:v>R+AR同收同发</x:v>
      </x:c>
      <x:c r="D255" s="25" t="n">
        <x:v>0</x:v>
      </x:c>
      <x:c r="E255" s="25" t="n">
        <x:v>3</x:v>
      </x:c>
      <x:c r="F255" s="25" t="n">
        <x:v>1</x:v>
      </x:c>
      <x:c r="G255" s="19" t="n">
        <x:f>SUM(D255:F255)</x:f>
        <x:v>4</x:v>
      </x:c>
      <x:c r="H255" s="25" t="n">
        <x:v>1</x:v>
      </x:c>
      <x:c r="I255" s="25" t="n">
        <x:v>1</x:v>
      </x:c>
      <x:c r="J255" s="25" t="n">
        <x:v>2</x:v>
      </x:c>
      <x:c r="K255" s="19" t="n">
        <x:f>D255-IF(H255=0,1,0)</x:f>
        <x:v>0</x:v>
      </x:c>
      <x:c r="L255" s="19" t="n">
        <x:f>E255-IF(H255=1,1,0)</x:f>
        <x:v>2</x:v>
      </x:c>
      <x:c r="M255" s="19" t="n">
        <x:f>F255-IF(H255=2,1,0)</x:f>
        <x:v>1</x:v>
      </x:c>
      <x:c r="N255" s="19" t="n">
        <x:f>MAX(K255-1,0)+MAX(L255-1,0)+MAX(M255-1,0)</x:f>
        <x:v>1</x:v>
      </x:c>
      <x:c r="O255" s="19" t="n">
        <x:f>IF(AND(SUM(K255:M255)&lt;9,OR(M255=0,N255&lt;6)),1,0)</x:f>
        <x:v>1</x:v>
      </x:c>
      <x:c r="P255" s="19" t="n">
        <x:f>IF(AND(SUM(K255:M255)&lt;9,OR(L255=0,N255&lt;6)),1,0)</x:f>
        <x:v>1</x:v>
      </x:c>
      <x:c r="Q255" s="19" t="n">
        <x:f>IF(AND(SUM(K255:M255)&lt;9,OR(K255=0,N255&lt;6)),1,0)</x:f>
        <x:v>1</x:v>
      </x:c>
      <x:c r="R255" s="22" t="str">
        <x:f>O255&amp;P255&amp;Q255</x:f>
        <x:v>111</x:v>
      </x:c>
      <x:c r="S255" s="19" t="n">
        <x:f>IF(I255=1,IF(J255=0,Q255,IF(J255=1,P255,IF(J255=2,O255,0))),0)</x:f>
        <x:v>1</x:v>
      </x:c>
      <x:c r="T255" s="19" t="n">
        <x:f>K255+IF(AND(S255=1,J255=0),1,0)</x:f>
        <x:v>0</x:v>
      </x:c>
      <x:c r="U255" s="19" t="n">
        <x:f>L255+IF(AND(S255=1,J255=1),1,0)</x:f>
        <x:v>2</x:v>
      </x:c>
      <x:c r="V255" s="19" t="n">
        <x:f>M255+IF(AND(S255=1,J255=2),1,0)</x:f>
        <x:v>2</x:v>
      </x:c>
      <x:c r="W255" s="19" t="n">
        <x:f>SUM(T255:V255)</x:f>
        <x:v>4</x:v>
      </x:c>
      <x:c r="X255" s="19" t="n">
        <x:f>W255-G255</x:f>
        <x:v>0</x:v>
      </x:c>
      <x:c r="Y255" s="19" t="n">
        <x:f>MAX(T255,1)+MAX(U255,1)+MAX(V255,1)</x:f>
        <x:v>5</x:v>
      </x:c>
      <x:c r="Z255" s="21" t="str">
        <x:f>IF(AND(MIN(D255:F255)&gt;=0,MAX(D255:F255)&lt;=7,MAX(D255,1)+MAX(E255,1)+MAX(F255,1)&lt;=9,OR(H255="-",AND(H255=0,D255&gt;0),AND(H255=1,E255&gt;0),AND(H255=2,F255&gt;0)),OR(I255=0,AND(I255=1,OR(J255=0,J255=1,J255=2),R255&lt;&gt;"000")),Y255&lt;=9,MIN(T255:V255)&gt;=0),"合法","输入违约")</x:f>
        <x:v>合法</x:v>
      </x:c>
    </x:row>
    <x:row r="256" ht="23" customHeight="1">
      <x:c r="A256" s="3" t="str">
        <x:v>CT-0249</x:v>
      </x:c>
      <x:c r="B256" s="3" t="str">
        <x:v>ST-024</x:v>
      </x:c>
      <x:c r="C256" s="3" t="str">
        <x:v>仅R回收</x:v>
      </x:c>
      <x:c r="D256" s="25" t="n">
        <x:v>0</x:v>
      </x:c>
      <x:c r="E256" s="25" t="n">
        <x:v>3</x:v>
      </x:c>
      <x:c r="F256" s="25" t="n">
        <x:v>1</x:v>
      </x:c>
      <x:c r="G256" s="19" t="n">
        <x:f>SUM(D256:F256)</x:f>
        <x:v>4</x:v>
      </x:c>
      <x:c r="H256" s="25" t="n">
        <x:v>2</x:v>
      </x:c>
      <x:c r="I256" s="25" t="n">
        <x:v>0</x:v>
      </x:c>
      <x:c r="J256" s="25" t="str">
        <x:v>-</x:v>
      </x:c>
      <x:c r="K256" s="19" t="n">
        <x:f>D256-IF(H256=0,1,0)</x:f>
        <x:v>0</x:v>
      </x:c>
      <x:c r="L256" s="19" t="n">
        <x:f>E256-IF(H256=1,1,0)</x:f>
        <x:v>3</x:v>
      </x:c>
      <x:c r="M256" s="19" t="n">
        <x:f>F256-IF(H256=2,1,0)</x:f>
        <x:v>0</x:v>
      </x:c>
      <x:c r="N256" s="19" t="n">
        <x:f>MAX(K256-1,0)+MAX(L256-1,0)+MAX(M256-1,0)</x:f>
        <x:v>2</x:v>
      </x:c>
      <x:c r="O256" s="19" t="n">
        <x:f>IF(AND(SUM(K256:M256)&lt;9,OR(M256=0,N256&lt;6)),1,0)</x:f>
        <x:v>1</x:v>
      </x:c>
      <x:c r="P256" s="19" t="n">
        <x:f>IF(AND(SUM(K256:M256)&lt;9,OR(L256=0,N256&lt;6)),1,0)</x:f>
        <x:v>1</x:v>
      </x:c>
      <x:c r="Q256" s="19" t="n">
        <x:f>IF(AND(SUM(K256:M256)&lt;9,OR(K256=0,N256&lt;6)),1,0)</x:f>
        <x:v>1</x:v>
      </x:c>
      <x:c r="R256" s="22" t="str">
        <x:f>O256&amp;P256&amp;Q256</x:f>
        <x:v>111</x:v>
      </x:c>
      <x:c r="S256" s="19" t="n">
        <x:f>IF(I256=1,IF(J256=0,Q256,IF(J256=1,P256,IF(J256=2,O256,0))),0)</x:f>
        <x:v>0</x:v>
      </x:c>
      <x:c r="T256" s="19" t="n">
        <x:f>K256+IF(AND(S256=1,J256=0),1,0)</x:f>
        <x:v>0</x:v>
      </x:c>
      <x:c r="U256" s="19" t="n">
        <x:f>L256+IF(AND(S256=1,J256=1),1,0)</x:f>
        <x:v>3</x:v>
      </x:c>
      <x:c r="V256" s="19" t="n">
        <x:f>M256+IF(AND(S256=1,J256=2),1,0)</x:f>
        <x:v>0</x:v>
      </x:c>
      <x:c r="W256" s="19" t="n">
        <x:f>SUM(T256:V256)</x:f>
        <x:v>3</x:v>
      </x:c>
      <x:c r="X256" s="19" t="n">
        <x:f>W256-G256</x:f>
        <x:v>-1</x:v>
      </x:c>
      <x:c r="Y256" s="19" t="n">
        <x:f>MAX(T256,1)+MAX(U256,1)+MAX(V256,1)</x:f>
        <x:v>5</x:v>
      </x:c>
      <x:c r="Z256" s="21" t="str">
        <x:f>IF(AND(MIN(D256:F256)&gt;=0,MAX(D256:F256)&lt;=7,MAX(D256,1)+MAX(E256,1)+MAX(F256,1)&lt;=9,OR(H256="-",AND(H256=0,D256&gt;0),AND(H256=1,E256&gt;0),AND(H256=2,F256&gt;0)),OR(I256=0,AND(I256=1,OR(J256=0,J256=1,J256=2),R256&lt;&gt;"000")),Y256&lt;=9,MIN(T256:V256)&gt;=0),"合法","输入违约")</x:f>
        <x:v>合法</x:v>
      </x:c>
    </x:row>
    <x:row r="257" ht="23" customHeight="1">
      <x:c r="A257" s="3" t="str">
        <x:v>CT-0250</x:v>
      </x:c>
      <x:c r="B257" s="3" t="str">
        <x:v>ST-024</x:v>
      </x:c>
      <x:c r="C257" s="3" t="str">
        <x:v>R+AR同收同发</x:v>
      </x:c>
      <x:c r="D257" s="25" t="n">
        <x:v>0</x:v>
      </x:c>
      <x:c r="E257" s="25" t="n">
        <x:v>3</x:v>
      </x:c>
      <x:c r="F257" s="25" t="n">
        <x:v>1</x:v>
      </x:c>
      <x:c r="G257" s="19" t="n">
        <x:f>SUM(D257:F257)</x:f>
        <x:v>4</x:v>
      </x:c>
      <x:c r="H257" s="25" t="n">
        <x:v>2</x:v>
      </x:c>
      <x:c r="I257" s="25" t="n">
        <x:v>1</x:v>
      </x:c>
      <x:c r="J257" s="25" t="n">
        <x:v>0</x:v>
      </x:c>
      <x:c r="K257" s="19" t="n">
        <x:f>D257-IF(H257=0,1,0)</x:f>
        <x:v>0</x:v>
      </x:c>
      <x:c r="L257" s="19" t="n">
        <x:f>E257-IF(H257=1,1,0)</x:f>
        <x:v>3</x:v>
      </x:c>
      <x:c r="M257" s="19" t="n">
        <x:f>F257-IF(H257=2,1,0)</x:f>
        <x:v>0</x:v>
      </x:c>
      <x:c r="N257" s="19" t="n">
        <x:f>MAX(K257-1,0)+MAX(L257-1,0)+MAX(M257-1,0)</x:f>
        <x:v>2</x:v>
      </x:c>
      <x:c r="O257" s="19" t="n">
        <x:f>IF(AND(SUM(K257:M257)&lt;9,OR(M257=0,N257&lt;6)),1,0)</x:f>
        <x:v>1</x:v>
      </x:c>
      <x:c r="P257" s="19" t="n">
        <x:f>IF(AND(SUM(K257:M257)&lt;9,OR(L257=0,N257&lt;6)),1,0)</x:f>
        <x:v>1</x:v>
      </x:c>
      <x:c r="Q257" s="19" t="n">
        <x:f>IF(AND(SUM(K257:M257)&lt;9,OR(K257=0,N257&lt;6)),1,0)</x:f>
        <x:v>1</x:v>
      </x:c>
      <x:c r="R257" s="22" t="str">
        <x:f>O257&amp;P257&amp;Q257</x:f>
        <x:v>111</x:v>
      </x:c>
      <x:c r="S257" s="19" t="n">
        <x:f>IF(I257=1,IF(J257=0,Q257,IF(J257=1,P257,IF(J257=2,O257,0))),0)</x:f>
        <x:v>1</x:v>
      </x:c>
      <x:c r="T257" s="19" t="n">
        <x:f>K257+IF(AND(S257=1,J257=0),1,0)</x:f>
        <x:v>1</x:v>
      </x:c>
      <x:c r="U257" s="19" t="n">
        <x:f>L257+IF(AND(S257=1,J257=1),1,0)</x:f>
        <x:v>3</x:v>
      </x:c>
      <x:c r="V257" s="19" t="n">
        <x:f>M257+IF(AND(S257=1,J257=2),1,0)</x:f>
        <x:v>0</x:v>
      </x:c>
      <x:c r="W257" s="19" t="n">
        <x:f>SUM(T257:V257)</x:f>
        <x:v>4</x:v>
      </x:c>
      <x:c r="X257" s="19" t="n">
        <x:f>W257-G257</x:f>
        <x:v>0</x:v>
      </x:c>
      <x:c r="Y257" s="19" t="n">
        <x:f>MAX(T257,1)+MAX(U257,1)+MAX(V257,1)</x:f>
        <x:v>5</x:v>
      </x:c>
      <x:c r="Z257" s="21" t="str">
        <x:f>IF(AND(MIN(D257:F257)&gt;=0,MAX(D257:F257)&lt;=7,MAX(D257,1)+MAX(E257,1)+MAX(F257,1)&lt;=9,OR(H257="-",AND(H257=0,D257&gt;0),AND(H257=1,E257&gt;0),AND(H257=2,F257&gt;0)),OR(I257=0,AND(I257=1,OR(J257=0,J257=1,J257=2),R257&lt;&gt;"000")),Y257&lt;=9,MIN(T257:V257)&gt;=0),"合法","输入违约")</x:f>
        <x:v>合法</x:v>
      </x:c>
    </x:row>
    <x:row r="258" ht="23" customHeight="1">
      <x:c r="A258" s="3" t="str">
        <x:v>CT-0251</x:v>
      </x:c>
      <x:c r="B258" s="3" t="str">
        <x:v>ST-024</x:v>
      </x:c>
      <x:c r="C258" s="3" t="str">
        <x:v>R+AR同收同发</x:v>
      </x:c>
      <x:c r="D258" s="25" t="n">
        <x:v>0</x:v>
      </x:c>
      <x:c r="E258" s="25" t="n">
        <x:v>3</x:v>
      </x:c>
      <x:c r="F258" s="25" t="n">
        <x:v>1</x:v>
      </x:c>
      <x:c r="G258" s="19" t="n">
        <x:f>SUM(D258:F258)</x:f>
        <x:v>4</x:v>
      </x:c>
      <x:c r="H258" s="25" t="n">
        <x:v>2</x:v>
      </x:c>
      <x:c r="I258" s="25" t="n">
        <x:v>1</x:v>
      </x:c>
      <x:c r="J258" s="25" t="n">
        <x:v>1</x:v>
      </x:c>
      <x:c r="K258" s="19" t="n">
        <x:f>D258-IF(H258=0,1,0)</x:f>
        <x:v>0</x:v>
      </x:c>
      <x:c r="L258" s="19" t="n">
        <x:f>E258-IF(H258=1,1,0)</x:f>
        <x:v>3</x:v>
      </x:c>
      <x:c r="M258" s="19" t="n">
        <x:f>F258-IF(H258=2,1,0)</x:f>
        <x:v>0</x:v>
      </x:c>
      <x:c r="N258" s="19" t="n">
        <x:f>MAX(K258-1,0)+MAX(L258-1,0)+MAX(M258-1,0)</x:f>
        <x:v>2</x:v>
      </x:c>
      <x:c r="O258" s="19" t="n">
        <x:f>IF(AND(SUM(K258:M258)&lt;9,OR(M258=0,N258&lt;6)),1,0)</x:f>
        <x:v>1</x:v>
      </x:c>
      <x:c r="P258" s="19" t="n">
        <x:f>IF(AND(SUM(K258:M258)&lt;9,OR(L258=0,N258&lt;6)),1,0)</x:f>
        <x:v>1</x:v>
      </x:c>
      <x:c r="Q258" s="19" t="n">
        <x:f>IF(AND(SUM(K258:M258)&lt;9,OR(K258=0,N258&lt;6)),1,0)</x:f>
        <x:v>1</x:v>
      </x:c>
      <x:c r="R258" s="22" t="str">
        <x:f>O258&amp;P258&amp;Q258</x:f>
        <x:v>111</x:v>
      </x:c>
      <x:c r="S258" s="19" t="n">
        <x:f>IF(I258=1,IF(J258=0,Q258,IF(J258=1,P258,IF(J258=2,O258,0))),0)</x:f>
        <x:v>1</x:v>
      </x:c>
      <x:c r="T258" s="19" t="n">
        <x:f>K258+IF(AND(S258=1,J258=0),1,0)</x:f>
        <x:v>0</x:v>
      </x:c>
      <x:c r="U258" s="19" t="n">
        <x:f>L258+IF(AND(S258=1,J258=1),1,0)</x:f>
        <x:v>4</x:v>
      </x:c>
      <x:c r="V258" s="19" t="n">
        <x:f>M258+IF(AND(S258=1,J258=2),1,0)</x:f>
        <x:v>0</x:v>
      </x:c>
      <x:c r="W258" s="19" t="n">
        <x:f>SUM(T258:V258)</x:f>
        <x:v>4</x:v>
      </x:c>
      <x:c r="X258" s="19" t="n">
        <x:f>W258-G258</x:f>
        <x:v>0</x:v>
      </x:c>
      <x:c r="Y258" s="19" t="n">
        <x:f>MAX(T258,1)+MAX(U258,1)+MAX(V258,1)</x:f>
        <x:v>6</x:v>
      </x:c>
      <x:c r="Z258" s="21" t="str">
        <x:f>IF(AND(MIN(D258:F258)&gt;=0,MAX(D258:F258)&lt;=7,MAX(D258,1)+MAX(E258,1)+MAX(F258,1)&lt;=9,OR(H258="-",AND(H258=0,D258&gt;0),AND(H258=1,E258&gt;0),AND(H258=2,F258&gt;0)),OR(I258=0,AND(I258=1,OR(J258=0,J258=1,J258=2),R258&lt;&gt;"000")),Y258&lt;=9,MIN(T258:V258)&gt;=0),"合法","输入违约")</x:f>
        <x:v>合法</x:v>
      </x:c>
    </x:row>
    <x:row r="259" ht="23" customHeight="1">
      <x:c r="A259" s="3" t="str">
        <x:v>CT-0252</x:v>
      </x:c>
      <x:c r="B259" s="3" t="str">
        <x:v>ST-024</x:v>
      </x:c>
      <x:c r="C259" s="3" t="str">
        <x:v>R+AR同收同发</x:v>
      </x:c>
      <x:c r="D259" s="25" t="n">
        <x:v>0</x:v>
      </x:c>
      <x:c r="E259" s="25" t="n">
        <x:v>3</x:v>
      </x:c>
      <x:c r="F259" s="25" t="n">
        <x:v>1</x:v>
      </x:c>
      <x:c r="G259" s="19" t="n">
        <x:f>SUM(D259:F259)</x:f>
        <x:v>4</x:v>
      </x:c>
      <x:c r="H259" s="25" t="n">
        <x:v>2</x:v>
      </x:c>
      <x:c r="I259" s="25" t="n">
        <x:v>1</x:v>
      </x:c>
      <x:c r="J259" s="25" t="n">
        <x:v>2</x:v>
      </x:c>
      <x:c r="K259" s="19" t="n">
        <x:f>D259-IF(H259=0,1,0)</x:f>
        <x:v>0</x:v>
      </x:c>
      <x:c r="L259" s="19" t="n">
        <x:f>E259-IF(H259=1,1,0)</x:f>
        <x:v>3</x:v>
      </x:c>
      <x:c r="M259" s="19" t="n">
        <x:f>F259-IF(H259=2,1,0)</x:f>
        <x:v>0</x:v>
      </x:c>
      <x:c r="N259" s="19" t="n">
        <x:f>MAX(K259-1,0)+MAX(L259-1,0)+MAX(M259-1,0)</x:f>
        <x:v>2</x:v>
      </x:c>
      <x:c r="O259" s="19" t="n">
        <x:f>IF(AND(SUM(K259:M259)&lt;9,OR(M259=0,N259&lt;6)),1,0)</x:f>
        <x:v>1</x:v>
      </x:c>
      <x:c r="P259" s="19" t="n">
        <x:f>IF(AND(SUM(K259:M259)&lt;9,OR(L259=0,N259&lt;6)),1,0)</x:f>
        <x:v>1</x:v>
      </x:c>
      <x:c r="Q259" s="19" t="n">
        <x:f>IF(AND(SUM(K259:M259)&lt;9,OR(K259=0,N259&lt;6)),1,0)</x:f>
        <x:v>1</x:v>
      </x:c>
      <x:c r="R259" s="22" t="str">
        <x:f>O259&amp;P259&amp;Q259</x:f>
        <x:v>111</x:v>
      </x:c>
      <x:c r="S259" s="19" t="n">
        <x:f>IF(I259=1,IF(J259=0,Q259,IF(J259=1,P259,IF(J259=2,O259,0))),0)</x:f>
        <x:v>1</x:v>
      </x:c>
      <x:c r="T259" s="19" t="n">
        <x:f>K259+IF(AND(S259=1,J259=0),1,0)</x:f>
        <x:v>0</x:v>
      </x:c>
      <x:c r="U259" s="19" t="n">
        <x:f>L259+IF(AND(S259=1,J259=1),1,0)</x:f>
        <x:v>3</x:v>
      </x:c>
      <x:c r="V259" s="19" t="n">
        <x:f>M259+IF(AND(S259=1,J259=2),1,0)</x:f>
        <x:v>1</x:v>
      </x:c>
      <x:c r="W259" s="19" t="n">
        <x:f>SUM(T259:V259)</x:f>
        <x:v>4</x:v>
      </x:c>
      <x:c r="X259" s="19" t="n">
        <x:f>W259-G259</x:f>
        <x:v>0</x:v>
      </x:c>
      <x:c r="Y259" s="19" t="n">
        <x:f>MAX(T259,1)+MAX(U259,1)+MAX(V259,1)</x:f>
        <x:v>5</x:v>
      </x:c>
      <x:c r="Z259" s="21" t="str">
        <x:f>IF(AND(MIN(D259:F259)&gt;=0,MAX(D259:F259)&lt;=7,MAX(D259,1)+MAX(E259,1)+MAX(F259,1)&lt;=9,OR(H259="-",AND(H259=0,D259&gt;0),AND(H259=1,E259&gt;0),AND(H259=2,F259&gt;0)),OR(I259=0,AND(I259=1,OR(J259=0,J259=1,J259=2),R259&lt;&gt;"000")),Y259&lt;=9,MIN(T259:V259)&gt;=0),"合法","输入违约")</x:f>
        <x:v>合法</x:v>
      </x:c>
    </x:row>
    <x:row r="260" ht="23" customHeight="1">
      <x:c r="A260" s="3" t="str">
        <x:v>CT-0253</x:v>
      </x:c>
      <x:c r="B260" s="3" t="str">
        <x:v>ST-039</x:v>
      </x:c>
      <x:c r="C260" s="3" t="str">
        <x:v>无AR/R</x:v>
      </x:c>
      <x:c r="D260" s="25" t="n">
        <x:v>0</x:v>
      </x:c>
      <x:c r="E260" s="25" t="n">
        <x:v>3</x:v>
      </x:c>
      <x:c r="F260" s="25" t="n">
        <x:v>2</x:v>
      </x:c>
      <x:c r="G260" s="19" t="n">
        <x:f>SUM(D260:F260)</x:f>
        <x:v>5</x:v>
      </x:c>
      <x:c r="H260" s="25" t="str">
        <x:v>-</x:v>
      </x:c>
      <x:c r="I260" s="25" t="n">
        <x:v>0</x:v>
      </x:c>
      <x:c r="J260" s="25" t="str">
        <x:v>-</x:v>
      </x:c>
      <x:c r="K260" s="19" t="n">
        <x:f>D260-IF(H260=0,1,0)</x:f>
        <x:v>0</x:v>
      </x:c>
      <x:c r="L260" s="19" t="n">
        <x:f>E260-IF(H260=1,1,0)</x:f>
        <x:v>3</x:v>
      </x:c>
      <x:c r="M260" s="19" t="n">
        <x:f>F260-IF(H260=2,1,0)</x:f>
        <x:v>2</x:v>
      </x:c>
      <x:c r="N260" s="19" t="n">
        <x:f>MAX(K260-1,0)+MAX(L260-1,0)+MAX(M260-1,0)</x:f>
        <x:v>3</x:v>
      </x:c>
      <x:c r="O260" s="19" t="n">
        <x:f>IF(AND(SUM(K260:M260)&lt;9,OR(M260=0,N260&lt;6)),1,0)</x:f>
        <x:v>1</x:v>
      </x:c>
      <x:c r="P260" s="19" t="n">
        <x:f>IF(AND(SUM(K260:M260)&lt;9,OR(L260=0,N260&lt;6)),1,0)</x:f>
        <x:v>1</x:v>
      </x:c>
      <x:c r="Q260" s="19" t="n">
        <x:f>IF(AND(SUM(K260:M260)&lt;9,OR(K260=0,N260&lt;6)),1,0)</x:f>
        <x:v>1</x:v>
      </x:c>
      <x:c r="R260" s="22" t="str">
        <x:f>O260&amp;P260&amp;Q260</x:f>
        <x:v>111</x:v>
      </x:c>
      <x:c r="S260" s="19" t="n">
        <x:f>IF(I260=1,IF(J260=0,Q260,IF(J260=1,P260,IF(J260=2,O260,0))),0)</x:f>
        <x:v>0</x:v>
      </x:c>
      <x:c r="T260" s="19" t="n">
        <x:f>K260+IF(AND(S260=1,J260=0),1,0)</x:f>
        <x:v>0</x:v>
      </x:c>
      <x:c r="U260" s="19" t="n">
        <x:f>L260+IF(AND(S260=1,J260=1),1,0)</x:f>
        <x:v>3</x:v>
      </x:c>
      <x:c r="V260" s="19" t="n">
        <x:f>M260+IF(AND(S260=1,J260=2),1,0)</x:f>
        <x:v>2</x:v>
      </x:c>
      <x:c r="W260" s="19" t="n">
        <x:f>SUM(T260:V260)</x:f>
        <x:v>5</x:v>
      </x:c>
      <x:c r="X260" s="19" t="n">
        <x:f>W260-G260</x:f>
        <x:v>0</x:v>
      </x:c>
      <x:c r="Y260" s="19" t="n">
        <x:f>MAX(T260,1)+MAX(U260,1)+MAX(V260,1)</x:f>
        <x:v>6</x:v>
      </x:c>
      <x:c r="Z260" s="21" t="str">
        <x:f>IF(AND(MIN(D260:F260)&gt;=0,MAX(D260:F260)&lt;=7,MAX(D260,1)+MAX(E260,1)+MAX(F260,1)&lt;=9,OR(H260="-",AND(H260=0,D260&gt;0),AND(H260=1,E260&gt;0),AND(H260=2,F260&gt;0)),OR(I260=0,AND(I260=1,OR(J260=0,J260=1,J260=2),R260&lt;&gt;"000")),Y260&lt;=9,MIN(T260:V260)&gt;=0),"合法","输入违约")</x:f>
        <x:v>合法</x:v>
      </x:c>
    </x:row>
    <x:row r="261" ht="23" customHeight="1">
      <x:c r="A261" s="3" t="str">
        <x:v>CT-0254</x:v>
      </x:c>
      <x:c r="B261" s="3" t="str">
        <x:v>ST-039</x:v>
      </x:c>
      <x:c r="C261" s="3" t="str">
        <x:v>仅AR接收</x:v>
      </x:c>
      <x:c r="D261" s="25" t="n">
        <x:v>0</x:v>
      </x:c>
      <x:c r="E261" s="25" t="n">
        <x:v>3</x:v>
      </x:c>
      <x:c r="F261" s="25" t="n">
        <x:v>2</x:v>
      </x:c>
      <x:c r="G261" s="19" t="n">
        <x:f>SUM(D261:F261)</x:f>
        <x:v>5</x:v>
      </x:c>
      <x:c r="H261" s="25" t="str">
        <x:v>-</x:v>
      </x:c>
      <x:c r="I261" s="25" t="n">
        <x:v>1</x:v>
      </x:c>
      <x:c r="J261" s="25" t="n">
        <x:v>0</x:v>
      </x:c>
      <x:c r="K261" s="19" t="n">
        <x:f>D261-IF(H261=0,1,0)</x:f>
        <x:v>0</x:v>
      </x:c>
      <x:c r="L261" s="19" t="n">
        <x:f>E261-IF(H261=1,1,0)</x:f>
        <x:v>3</x:v>
      </x:c>
      <x:c r="M261" s="19" t="n">
        <x:f>F261-IF(H261=2,1,0)</x:f>
        <x:v>2</x:v>
      </x:c>
      <x:c r="N261" s="19" t="n">
        <x:f>MAX(K261-1,0)+MAX(L261-1,0)+MAX(M261-1,0)</x:f>
        <x:v>3</x:v>
      </x:c>
      <x:c r="O261" s="19" t="n">
        <x:f>IF(AND(SUM(K261:M261)&lt;9,OR(M261=0,N261&lt;6)),1,0)</x:f>
        <x:v>1</x:v>
      </x:c>
      <x:c r="P261" s="19" t="n">
        <x:f>IF(AND(SUM(K261:M261)&lt;9,OR(L261=0,N261&lt;6)),1,0)</x:f>
        <x:v>1</x:v>
      </x:c>
      <x:c r="Q261" s="19" t="n">
        <x:f>IF(AND(SUM(K261:M261)&lt;9,OR(K261=0,N261&lt;6)),1,0)</x:f>
        <x:v>1</x:v>
      </x:c>
      <x:c r="R261" s="22" t="str">
        <x:f>O261&amp;P261&amp;Q261</x:f>
        <x:v>111</x:v>
      </x:c>
      <x:c r="S261" s="19" t="n">
        <x:f>IF(I261=1,IF(J261=0,Q261,IF(J261=1,P261,IF(J261=2,O261,0))),0)</x:f>
        <x:v>1</x:v>
      </x:c>
      <x:c r="T261" s="19" t="n">
        <x:f>K261+IF(AND(S261=1,J261=0),1,0)</x:f>
        <x:v>1</x:v>
      </x:c>
      <x:c r="U261" s="19" t="n">
        <x:f>L261+IF(AND(S261=1,J261=1),1,0)</x:f>
        <x:v>3</x:v>
      </x:c>
      <x:c r="V261" s="19" t="n">
        <x:f>M261+IF(AND(S261=1,J261=2),1,0)</x:f>
        <x:v>2</x:v>
      </x:c>
      <x:c r="W261" s="19" t="n">
        <x:f>SUM(T261:V261)</x:f>
        <x:v>6</x:v>
      </x:c>
      <x:c r="X261" s="19" t="n">
        <x:f>W261-G261</x:f>
        <x:v>1</x:v>
      </x:c>
      <x:c r="Y261" s="19" t="n">
        <x:f>MAX(T261,1)+MAX(U261,1)+MAX(V261,1)</x:f>
        <x:v>6</x:v>
      </x:c>
      <x:c r="Z261" s="21" t="str">
        <x:f>IF(AND(MIN(D261:F261)&gt;=0,MAX(D261:F261)&lt;=7,MAX(D261,1)+MAX(E261,1)+MAX(F261,1)&lt;=9,OR(H261="-",AND(H261=0,D261&gt;0),AND(H261=1,E261&gt;0),AND(H261=2,F261&gt;0)),OR(I261=0,AND(I261=1,OR(J261=0,J261=1,J261=2),R261&lt;&gt;"000")),Y261&lt;=9,MIN(T261:V261)&gt;=0),"合法","输入违约")</x:f>
        <x:v>合法</x:v>
      </x:c>
    </x:row>
    <x:row r="262" ht="23" customHeight="1">
      <x:c r="A262" s="3" t="str">
        <x:v>CT-0255</x:v>
      </x:c>
      <x:c r="B262" s="3" t="str">
        <x:v>ST-039</x:v>
      </x:c>
      <x:c r="C262" s="3" t="str">
        <x:v>仅AR接收</x:v>
      </x:c>
      <x:c r="D262" s="25" t="n">
        <x:v>0</x:v>
      </x:c>
      <x:c r="E262" s="25" t="n">
        <x:v>3</x:v>
      </x:c>
      <x:c r="F262" s="25" t="n">
        <x:v>2</x:v>
      </x:c>
      <x:c r="G262" s="19" t="n">
        <x:f>SUM(D262:F262)</x:f>
        <x:v>5</x:v>
      </x:c>
      <x:c r="H262" s="25" t="str">
        <x:v>-</x:v>
      </x:c>
      <x:c r="I262" s="25" t="n">
        <x:v>1</x:v>
      </x:c>
      <x:c r="J262" s="25" t="n">
        <x:v>1</x:v>
      </x:c>
      <x:c r="K262" s="19" t="n">
        <x:f>D262-IF(H262=0,1,0)</x:f>
        <x:v>0</x:v>
      </x:c>
      <x:c r="L262" s="19" t="n">
        <x:f>E262-IF(H262=1,1,0)</x:f>
        <x:v>3</x:v>
      </x:c>
      <x:c r="M262" s="19" t="n">
        <x:f>F262-IF(H262=2,1,0)</x:f>
        <x:v>2</x:v>
      </x:c>
      <x:c r="N262" s="19" t="n">
        <x:f>MAX(K262-1,0)+MAX(L262-1,0)+MAX(M262-1,0)</x:f>
        <x:v>3</x:v>
      </x:c>
      <x:c r="O262" s="19" t="n">
        <x:f>IF(AND(SUM(K262:M262)&lt;9,OR(M262=0,N262&lt;6)),1,0)</x:f>
        <x:v>1</x:v>
      </x:c>
      <x:c r="P262" s="19" t="n">
        <x:f>IF(AND(SUM(K262:M262)&lt;9,OR(L262=0,N262&lt;6)),1,0)</x:f>
        <x:v>1</x:v>
      </x:c>
      <x:c r="Q262" s="19" t="n">
        <x:f>IF(AND(SUM(K262:M262)&lt;9,OR(K262=0,N262&lt;6)),1,0)</x:f>
        <x:v>1</x:v>
      </x:c>
      <x:c r="R262" s="22" t="str">
        <x:f>O262&amp;P262&amp;Q262</x:f>
        <x:v>111</x:v>
      </x:c>
      <x:c r="S262" s="19" t="n">
        <x:f>IF(I262=1,IF(J262=0,Q262,IF(J262=1,P262,IF(J262=2,O262,0))),0)</x:f>
        <x:v>1</x:v>
      </x:c>
      <x:c r="T262" s="19" t="n">
        <x:f>K262+IF(AND(S262=1,J262=0),1,0)</x:f>
        <x:v>0</x:v>
      </x:c>
      <x:c r="U262" s="19" t="n">
        <x:f>L262+IF(AND(S262=1,J262=1),1,0)</x:f>
        <x:v>4</x:v>
      </x:c>
      <x:c r="V262" s="19" t="n">
        <x:f>M262+IF(AND(S262=1,J262=2),1,0)</x:f>
        <x:v>2</x:v>
      </x:c>
      <x:c r="W262" s="19" t="n">
        <x:f>SUM(T262:V262)</x:f>
        <x:v>6</x:v>
      </x:c>
      <x:c r="X262" s="19" t="n">
        <x:f>W262-G262</x:f>
        <x:v>1</x:v>
      </x:c>
      <x:c r="Y262" s="19" t="n">
        <x:f>MAX(T262,1)+MAX(U262,1)+MAX(V262,1)</x:f>
        <x:v>7</x:v>
      </x:c>
      <x:c r="Z262" s="21" t="str">
        <x:f>IF(AND(MIN(D262:F262)&gt;=0,MAX(D262:F262)&lt;=7,MAX(D262,1)+MAX(E262,1)+MAX(F262,1)&lt;=9,OR(H262="-",AND(H262=0,D262&gt;0),AND(H262=1,E262&gt;0),AND(H262=2,F262&gt;0)),OR(I262=0,AND(I262=1,OR(J262=0,J262=1,J262=2),R262&lt;&gt;"000")),Y262&lt;=9,MIN(T262:V262)&gt;=0),"合法","输入违约")</x:f>
        <x:v>合法</x:v>
      </x:c>
    </x:row>
    <x:row r="263" ht="23" customHeight="1">
      <x:c r="A263" s="3" t="str">
        <x:v>CT-0256</x:v>
      </x:c>
      <x:c r="B263" s="3" t="str">
        <x:v>ST-039</x:v>
      </x:c>
      <x:c r="C263" s="3" t="str">
        <x:v>仅AR接收</x:v>
      </x:c>
      <x:c r="D263" s="25" t="n">
        <x:v>0</x:v>
      </x:c>
      <x:c r="E263" s="25" t="n">
        <x:v>3</x:v>
      </x:c>
      <x:c r="F263" s="25" t="n">
        <x:v>2</x:v>
      </x:c>
      <x:c r="G263" s="19" t="n">
        <x:f>SUM(D263:F263)</x:f>
        <x:v>5</x:v>
      </x:c>
      <x:c r="H263" s="25" t="str">
        <x:v>-</x:v>
      </x:c>
      <x:c r="I263" s="25" t="n">
        <x:v>1</x:v>
      </x:c>
      <x:c r="J263" s="25" t="n">
        <x:v>2</x:v>
      </x:c>
      <x:c r="K263" s="19" t="n">
        <x:f>D263-IF(H263=0,1,0)</x:f>
        <x:v>0</x:v>
      </x:c>
      <x:c r="L263" s="19" t="n">
        <x:f>E263-IF(H263=1,1,0)</x:f>
        <x:v>3</x:v>
      </x:c>
      <x:c r="M263" s="19" t="n">
        <x:f>F263-IF(H263=2,1,0)</x:f>
        <x:v>2</x:v>
      </x:c>
      <x:c r="N263" s="19" t="n">
        <x:f>MAX(K263-1,0)+MAX(L263-1,0)+MAX(M263-1,0)</x:f>
        <x:v>3</x:v>
      </x:c>
      <x:c r="O263" s="19" t="n">
        <x:f>IF(AND(SUM(K263:M263)&lt;9,OR(M263=0,N263&lt;6)),1,0)</x:f>
        <x:v>1</x:v>
      </x:c>
      <x:c r="P263" s="19" t="n">
        <x:f>IF(AND(SUM(K263:M263)&lt;9,OR(L263=0,N263&lt;6)),1,0)</x:f>
        <x:v>1</x:v>
      </x:c>
      <x:c r="Q263" s="19" t="n">
        <x:f>IF(AND(SUM(K263:M263)&lt;9,OR(K263=0,N263&lt;6)),1,0)</x:f>
        <x:v>1</x:v>
      </x:c>
      <x:c r="R263" s="22" t="str">
        <x:f>O263&amp;P263&amp;Q263</x:f>
        <x:v>111</x:v>
      </x:c>
      <x:c r="S263" s="19" t="n">
        <x:f>IF(I263=1,IF(J263=0,Q263,IF(J263=1,P263,IF(J263=2,O263,0))),0)</x:f>
        <x:v>1</x:v>
      </x:c>
      <x:c r="T263" s="19" t="n">
        <x:f>K263+IF(AND(S263=1,J263=0),1,0)</x:f>
        <x:v>0</x:v>
      </x:c>
      <x:c r="U263" s="19" t="n">
        <x:f>L263+IF(AND(S263=1,J263=1),1,0)</x:f>
        <x:v>3</x:v>
      </x:c>
      <x:c r="V263" s="19" t="n">
        <x:f>M263+IF(AND(S263=1,J263=2),1,0)</x:f>
        <x:v>3</x:v>
      </x:c>
      <x:c r="W263" s="19" t="n">
        <x:f>SUM(T263:V263)</x:f>
        <x:v>6</x:v>
      </x:c>
      <x:c r="X263" s="19" t="n">
        <x:f>W263-G263</x:f>
        <x:v>1</x:v>
      </x:c>
      <x:c r="Y263" s="19" t="n">
        <x:f>MAX(T263,1)+MAX(U263,1)+MAX(V263,1)</x:f>
        <x:v>7</x:v>
      </x:c>
      <x:c r="Z263" s="21" t="str">
        <x:f>IF(AND(MIN(D263:F263)&gt;=0,MAX(D263:F263)&lt;=7,MAX(D263,1)+MAX(E263,1)+MAX(F263,1)&lt;=9,OR(H263="-",AND(H263=0,D263&gt;0),AND(H263=1,E263&gt;0),AND(H263=2,F263&gt;0)),OR(I263=0,AND(I263=1,OR(J263=0,J263=1,J263=2),R263&lt;&gt;"000")),Y263&lt;=9,MIN(T263:V263)&gt;=0),"合法","输入违约")</x:f>
        <x:v>合法</x:v>
      </x:c>
    </x:row>
    <x:row r="264" ht="23" customHeight="1">
      <x:c r="A264" s="3" t="str">
        <x:v>CT-0257</x:v>
      </x:c>
      <x:c r="B264" s="3" t="str">
        <x:v>ST-039</x:v>
      </x:c>
      <x:c r="C264" s="3" t="str">
        <x:v>仅R回收</x:v>
      </x:c>
      <x:c r="D264" s="25" t="n">
        <x:v>0</x:v>
      </x:c>
      <x:c r="E264" s="25" t="n">
        <x:v>3</x:v>
      </x:c>
      <x:c r="F264" s="25" t="n">
        <x:v>2</x:v>
      </x:c>
      <x:c r="G264" s="19" t="n">
        <x:f>SUM(D264:F264)</x:f>
        <x:v>5</x:v>
      </x:c>
      <x:c r="H264" s="25" t="n">
        <x:v>1</x:v>
      </x:c>
      <x:c r="I264" s="25" t="n">
        <x:v>0</x:v>
      </x:c>
      <x:c r="J264" s="25" t="str">
        <x:v>-</x:v>
      </x:c>
      <x:c r="K264" s="19" t="n">
        <x:f>D264-IF(H264=0,1,0)</x:f>
        <x:v>0</x:v>
      </x:c>
      <x:c r="L264" s="19" t="n">
        <x:f>E264-IF(H264=1,1,0)</x:f>
        <x:v>2</x:v>
      </x:c>
      <x:c r="M264" s="19" t="n">
        <x:f>F264-IF(H264=2,1,0)</x:f>
        <x:v>2</x:v>
      </x:c>
      <x:c r="N264" s="19" t="n">
        <x:f>MAX(K264-1,0)+MAX(L264-1,0)+MAX(M264-1,0)</x:f>
        <x:v>2</x:v>
      </x:c>
      <x:c r="O264" s="19" t="n">
        <x:f>IF(AND(SUM(K264:M264)&lt;9,OR(M264=0,N264&lt;6)),1,0)</x:f>
        <x:v>1</x:v>
      </x:c>
      <x:c r="P264" s="19" t="n">
        <x:f>IF(AND(SUM(K264:M264)&lt;9,OR(L264=0,N264&lt;6)),1,0)</x:f>
        <x:v>1</x:v>
      </x:c>
      <x:c r="Q264" s="19" t="n">
        <x:f>IF(AND(SUM(K264:M264)&lt;9,OR(K264=0,N264&lt;6)),1,0)</x:f>
        <x:v>1</x:v>
      </x:c>
      <x:c r="R264" s="22" t="str">
        <x:f>O264&amp;P264&amp;Q264</x:f>
        <x:v>111</x:v>
      </x:c>
      <x:c r="S264" s="19" t="n">
        <x:f>IF(I264=1,IF(J264=0,Q264,IF(J264=1,P264,IF(J264=2,O264,0))),0)</x:f>
        <x:v>0</x:v>
      </x:c>
      <x:c r="T264" s="19" t="n">
        <x:f>K264+IF(AND(S264=1,J264=0),1,0)</x:f>
        <x:v>0</x:v>
      </x:c>
      <x:c r="U264" s="19" t="n">
        <x:f>L264+IF(AND(S264=1,J264=1),1,0)</x:f>
        <x:v>2</x:v>
      </x:c>
      <x:c r="V264" s="19" t="n">
        <x:f>M264+IF(AND(S264=1,J264=2),1,0)</x:f>
        <x:v>2</x:v>
      </x:c>
      <x:c r="W264" s="19" t="n">
        <x:f>SUM(T264:V264)</x:f>
        <x:v>4</x:v>
      </x:c>
      <x:c r="X264" s="19" t="n">
        <x:f>W264-G264</x:f>
        <x:v>-1</x:v>
      </x:c>
      <x:c r="Y264" s="19" t="n">
        <x:f>MAX(T264,1)+MAX(U264,1)+MAX(V264,1)</x:f>
        <x:v>5</x:v>
      </x:c>
      <x:c r="Z264" s="21" t="str">
        <x:f>IF(AND(MIN(D264:F264)&gt;=0,MAX(D264:F264)&lt;=7,MAX(D264,1)+MAX(E264,1)+MAX(F264,1)&lt;=9,OR(H264="-",AND(H264=0,D264&gt;0),AND(H264=1,E264&gt;0),AND(H264=2,F264&gt;0)),OR(I264=0,AND(I264=1,OR(J264=0,J264=1,J264=2),R264&lt;&gt;"000")),Y264&lt;=9,MIN(T264:V264)&gt;=0),"合法","输入违约")</x:f>
        <x:v>合法</x:v>
      </x:c>
    </x:row>
    <x:row r="265" ht="23" customHeight="1">
      <x:c r="A265" s="3" t="str">
        <x:v>CT-0258</x:v>
      </x:c>
      <x:c r="B265" s="3" t="str">
        <x:v>ST-039</x:v>
      </x:c>
      <x:c r="C265" s="3" t="str">
        <x:v>R+AR同收同发</x:v>
      </x:c>
      <x:c r="D265" s="25" t="n">
        <x:v>0</x:v>
      </x:c>
      <x:c r="E265" s="25" t="n">
        <x:v>3</x:v>
      </x:c>
      <x:c r="F265" s="25" t="n">
        <x:v>2</x:v>
      </x:c>
      <x:c r="G265" s="19" t="n">
        <x:f>SUM(D265:F265)</x:f>
        <x:v>5</x:v>
      </x:c>
      <x:c r="H265" s="25" t="n">
        <x:v>1</x:v>
      </x:c>
      <x:c r="I265" s="25" t="n">
        <x:v>1</x:v>
      </x:c>
      <x:c r="J265" s="25" t="n">
        <x:v>0</x:v>
      </x:c>
      <x:c r="K265" s="19" t="n">
        <x:f>D265-IF(H265=0,1,0)</x:f>
        <x:v>0</x:v>
      </x:c>
      <x:c r="L265" s="19" t="n">
        <x:f>E265-IF(H265=1,1,0)</x:f>
        <x:v>2</x:v>
      </x:c>
      <x:c r="M265" s="19" t="n">
        <x:f>F265-IF(H265=2,1,0)</x:f>
        <x:v>2</x:v>
      </x:c>
      <x:c r="N265" s="19" t="n">
        <x:f>MAX(K265-1,0)+MAX(L265-1,0)+MAX(M265-1,0)</x:f>
        <x:v>2</x:v>
      </x:c>
      <x:c r="O265" s="19" t="n">
        <x:f>IF(AND(SUM(K265:M265)&lt;9,OR(M265=0,N265&lt;6)),1,0)</x:f>
        <x:v>1</x:v>
      </x:c>
      <x:c r="P265" s="19" t="n">
        <x:f>IF(AND(SUM(K265:M265)&lt;9,OR(L265=0,N265&lt;6)),1,0)</x:f>
        <x:v>1</x:v>
      </x:c>
      <x:c r="Q265" s="19" t="n">
        <x:f>IF(AND(SUM(K265:M265)&lt;9,OR(K265=0,N265&lt;6)),1,0)</x:f>
        <x:v>1</x:v>
      </x:c>
      <x:c r="R265" s="22" t="str">
        <x:f>O265&amp;P265&amp;Q265</x:f>
        <x:v>111</x:v>
      </x:c>
      <x:c r="S265" s="19" t="n">
        <x:f>IF(I265=1,IF(J265=0,Q265,IF(J265=1,P265,IF(J265=2,O265,0))),0)</x:f>
        <x:v>1</x:v>
      </x:c>
      <x:c r="T265" s="19" t="n">
        <x:f>K265+IF(AND(S265=1,J265=0),1,0)</x:f>
        <x:v>1</x:v>
      </x:c>
      <x:c r="U265" s="19" t="n">
        <x:f>L265+IF(AND(S265=1,J265=1),1,0)</x:f>
        <x:v>2</x:v>
      </x:c>
      <x:c r="V265" s="19" t="n">
        <x:f>M265+IF(AND(S265=1,J265=2),1,0)</x:f>
        <x:v>2</x:v>
      </x:c>
      <x:c r="W265" s="19" t="n">
        <x:f>SUM(T265:V265)</x:f>
        <x:v>5</x:v>
      </x:c>
      <x:c r="X265" s="19" t="n">
        <x:f>W265-G265</x:f>
        <x:v>0</x:v>
      </x:c>
      <x:c r="Y265" s="19" t="n">
        <x:f>MAX(T265,1)+MAX(U265,1)+MAX(V265,1)</x:f>
        <x:v>5</x:v>
      </x:c>
      <x:c r="Z265" s="21" t="str">
        <x:f>IF(AND(MIN(D265:F265)&gt;=0,MAX(D265:F265)&lt;=7,MAX(D265,1)+MAX(E265,1)+MAX(F265,1)&lt;=9,OR(H265="-",AND(H265=0,D265&gt;0),AND(H265=1,E265&gt;0),AND(H265=2,F265&gt;0)),OR(I265=0,AND(I265=1,OR(J265=0,J265=1,J265=2),R265&lt;&gt;"000")),Y265&lt;=9,MIN(T265:V265)&gt;=0),"合法","输入违约")</x:f>
        <x:v>合法</x:v>
      </x:c>
    </x:row>
    <x:row r="266" ht="23" customHeight="1">
      <x:c r="A266" s="3" t="str">
        <x:v>CT-0259</x:v>
      </x:c>
      <x:c r="B266" s="3" t="str">
        <x:v>ST-039</x:v>
      </x:c>
      <x:c r="C266" s="3" t="str">
        <x:v>R+AR同收同发</x:v>
      </x:c>
      <x:c r="D266" s="25" t="n">
        <x:v>0</x:v>
      </x:c>
      <x:c r="E266" s="25" t="n">
        <x:v>3</x:v>
      </x:c>
      <x:c r="F266" s="25" t="n">
        <x:v>2</x:v>
      </x:c>
      <x:c r="G266" s="19" t="n">
        <x:f>SUM(D266:F266)</x:f>
        <x:v>5</x:v>
      </x:c>
      <x:c r="H266" s="25" t="n">
        <x:v>1</x:v>
      </x:c>
      <x:c r="I266" s="25" t="n">
        <x:v>1</x:v>
      </x:c>
      <x:c r="J266" s="25" t="n">
        <x:v>1</x:v>
      </x:c>
      <x:c r="K266" s="19" t="n">
        <x:f>D266-IF(H266=0,1,0)</x:f>
        <x:v>0</x:v>
      </x:c>
      <x:c r="L266" s="19" t="n">
        <x:f>E266-IF(H266=1,1,0)</x:f>
        <x:v>2</x:v>
      </x:c>
      <x:c r="M266" s="19" t="n">
        <x:f>F266-IF(H266=2,1,0)</x:f>
        <x:v>2</x:v>
      </x:c>
      <x:c r="N266" s="19" t="n">
        <x:f>MAX(K266-1,0)+MAX(L266-1,0)+MAX(M266-1,0)</x:f>
        <x:v>2</x:v>
      </x:c>
      <x:c r="O266" s="19" t="n">
        <x:f>IF(AND(SUM(K266:M266)&lt;9,OR(M266=0,N266&lt;6)),1,0)</x:f>
        <x:v>1</x:v>
      </x:c>
      <x:c r="P266" s="19" t="n">
        <x:f>IF(AND(SUM(K266:M266)&lt;9,OR(L266=0,N266&lt;6)),1,0)</x:f>
        <x:v>1</x:v>
      </x:c>
      <x:c r="Q266" s="19" t="n">
        <x:f>IF(AND(SUM(K266:M266)&lt;9,OR(K266=0,N266&lt;6)),1,0)</x:f>
        <x:v>1</x:v>
      </x:c>
      <x:c r="R266" s="22" t="str">
        <x:f>O266&amp;P266&amp;Q266</x:f>
        <x:v>111</x:v>
      </x:c>
      <x:c r="S266" s="19" t="n">
        <x:f>IF(I266=1,IF(J266=0,Q266,IF(J266=1,P266,IF(J266=2,O266,0))),0)</x:f>
        <x:v>1</x:v>
      </x:c>
      <x:c r="T266" s="19" t="n">
        <x:f>K266+IF(AND(S266=1,J266=0),1,0)</x:f>
        <x:v>0</x:v>
      </x:c>
      <x:c r="U266" s="19" t="n">
        <x:f>L266+IF(AND(S266=1,J266=1),1,0)</x:f>
        <x:v>3</x:v>
      </x:c>
      <x:c r="V266" s="19" t="n">
        <x:f>M266+IF(AND(S266=1,J266=2),1,0)</x:f>
        <x:v>2</x:v>
      </x:c>
      <x:c r="W266" s="19" t="n">
        <x:f>SUM(T266:V266)</x:f>
        <x:v>5</x:v>
      </x:c>
      <x:c r="X266" s="19" t="n">
        <x:f>W266-G266</x:f>
        <x:v>0</x:v>
      </x:c>
      <x:c r="Y266" s="19" t="n">
        <x:f>MAX(T266,1)+MAX(U266,1)+MAX(V266,1)</x:f>
        <x:v>6</x:v>
      </x:c>
      <x:c r="Z266" s="21" t="str">
        <x:f>IF(AND(MIN(D266:F266)&gt;=0,MAX(D266:F266)&lt;=7,MAX(D266,1)+MAX(E266,1)+MAX(F266,1)&lt;=9,OR(H266="-",AND(H266=0,D266&gt;0),AND(H266=1,E266&gt;0),AND(H266=2,F266&gt;0)),OR(I266=0,AND(I266=1,OR(J266=0,J266=1,J266=2),R266&lt;&gt;"000")),Y266&lt;=9,MIN(T266:V266)&gt;=0),"合法","输入违约")</x:f>
        <x:v>合法</x:v>
      </x:c>
    </x:row>
    <x:row r="267" ht="23" customHeight="1">
      <x:c r="A267" s="3" t="str">
        <x:v>CT-0260</x:v>
      </x:c>
      <x:c r="B267" s="3" t="str">
        <x:v>ST-039</x:v>
      </x:c>
      <x:c r="C267" s="3" t="str">
        <x:v>R+AR同收同发</x:v>
      </x:c>
      <x:c r="D267" s="25" t="n">
        <x:v>0</x:v>
      </x:c>
      <x:c r="E267" s="25" t="n">
        <x:v>3</x:v>
      </x:c>
      <x:c r="F267" s="25" t="n">
        <x:v>2</x:v>
      </x:c>
      <x:c r="G267" s="19" t="n">
        <x:f>SUM(D267:F267)</x:f>
        <x:v>5</x:v>
      </x:c>
      <x:c r="H267" s="25" t="n">
        <x:v>1</x:v>
      </x:c>
      <x:c r="I267" s="25" t="n">
        <x:v>1</x:v>
      </x:c>
      <x:c r="J267" s="25" t="n">
        <x:v>2</x:v>
      </x:c>
      <x:c r="K267" s="19" t="n">
        <x:f>D267-IF(H267=0,1,0)</x:f>
        <x:v>0</x:v>
      </x:c>
      <x:c r="L267" s="19" t="n">
        <x:f>E267-IF(H267=1,1,0)</x:f>
        <x:v>2</x:v>
      </x:c>
      <x:c r="M267" s="19" t="n">
        <x:f>F267-IF(H267=2,1,0)</x:f>
        <x:v>2</x:v>
      </x:c>
      <x:c r="N267" s="19" t="n">
        <x:f>MAX(K267-1,0)+MAX(L267-1,0)+MAX(M267-1,0)</x:f>
        <x:v>2</x:v>
      </x:c>
      <x:c r="O267" s="19" t="n">
        <x:f>IF(AND(SUM(K267:M267)&lt;9,OR(M267=0,N267&lt;6)),1,0)</x:f>
        <x:v>1</x:v>
      </x:c>
      <x:c r="P267" s="19" t="n">
        <x:f>IF(AND(SUM(K267:M267)&lt;9,OR(L267=0,N267&lt;6)),1,0)</x:f>
        <x:v>1</x:v>
      </x:c>
      <x:c r="Q267" s="19" t="n">
        <x:f>IF(AND(SUM(K267:M267)&lt;9,OR(K267=0,N267&lt;6)),1,0)</x:f>
        <x:v>1</x:v>
      </x:c>
      <x:c r="R267" s="22" t="str">
        <x:f>O267&amp;P267&amp;Q267</x:f>
        <x:v>111</x:v>
      </x:c>
      <x:c r="S267" s="19" t="n">
        <x:f>IF(I267=1,IF(J267=0,Q267,IF(J267=1,P267,IF(J267=2,O267,0))),0)</x:f>
        <x:v>1</x:v>
      </x:c>
      <x:c r="T267" s="19" t="n">
        <x:f>K267+IF(AND(S267=1,J267=0),1,0)</x:f>
        <x:v>0</x:v>
      </x:c>
      <x:c r="U267" s="19" t="n">
        <x:f>L267+IF(AND(S267=1,J267=1),1,0)</x:f>
        <x:v>2</x:v>
      </x:c>
      <x:c r="V267" s="19" t="n">
        <x:f>M267+IF(AND(S267=1,J267=2),1,0)</x:f>
        <x:v>3</x:v>
      </x:c>
      <x:c r="W267" s="19" t="n">
        <x:f>SUM(T267:V267)</x:f>
        <x:v>5</x:v>
      </x:c>
      <x:c r="X267" s="19" t="n">
        <x:f>W267-G267</x:f>
        <x:v>0</x:v>
      </x:c>
      <x:c r="Y267" s="19" t="n">
        <x:f>MAX(T267,1)+MAX(U267,1)+MAX(V267,1)</x:f>
        <x:v>6</x:v>
      </x:c>
      <x:c r="Z267" s="21" t="str">
        <x:f>IF(AND(MIN(D267:F267)&gt;=0,MAX(D267:F267)&lt;=7,MAX(D267,1)+MAX(E267,1)+MAX(F267,1)&lt;=9,OR(H267="-",AND(H267=0,D267&gt;0),AND(H267=1,E267&gt;0),AND(H267=2,F267&gt;0)),OR(I267=0,AND(I267=1,OR(J267=0,J267=1,J267=2),R267&lt;&gt;"000")),Y267&lt;=9,MIN(T267:V267)&gt;=0),"合法","输入违约")</x:f>
        <x:v>合法</x:v>
      </x:c>
    </x:row>
    <x:row r="268" ht="23" customHeight="1">
      <x:c r="A268" s="3" t="str">
        <x:v>CT-0261</x:v>
      </x:c>
      <x:c r="B268" s="3" t="str">
        <x:v>ST-039</x:v>
      </x:c>
      <x:c r="C268" s="3" t="str">
        <x:v>仅R回收</x:v>
      </x:c>
      <x:c r="D268" s="25" t="n">
        <x:v>0</x:v>
      </x:c>
      <x:c r="E268" s="25" t="n">
        <x:v>3</x:v>
      </x:c>
      <x:c r="F268" s="25" t="n">
        <x:v>2</x:v>
      </x:c>
      <x:c r="G268" s="19" t="n">
        <x:f>SUM(D268:F268)</x:f>
        <x:v>5</x:v>
      </x:c>
      <x:c r="H268" s="25" t="n">
        <x:v>2</x:v>
      </x:c>
      <x:c r="I268" s="25" t="n">
        <x:v>0</x:v>
      </x:c>
      <x:c r="J268" s="25" t="str">
        <x:v>-</x:v>
      </x:c>
      <x:c r="K268" s="19" t="n">
        <x:f>D268-IF(H268=0,1,0)</x:f>
        <x:v>0</x:v>
      </x:c>
      <x:c r="L268" s="19" t="n">
        <x:f>E268-IF(H268=1,1,0)</x:f>
        <x:v>3</x:v>
      </x:c>
      <x:c r="M268" s="19" t="n">
        <x:f>F268-IF(H268=2,1,0)</x:f>
        <x:v>1</x:v>
      </x:c>
      <x:c r="N268" s="19" t="n">
        <x:f>MAX(K268-1,0)+MAX(L268-1,0)+MAX(M268-1,0)</x:f>
        <x:v>2</x:v>
      </x:c>
      <x:c r="O268" s="19" t="n">
        <x:f>IF(AND(SUM(K268:M268)&lt;9,OR(M268=0,N268&lt;6)),1,0)</x:f>
        <x:v>1</x:v>
      </x:c>
      <x:c r="P268" s="19" t="n">
        <x:f>IF(AND(SUM(K268:M268)&lt;9,OR(L268=0,N268&lt;6)),1,0)</x:f>
        <x:v>1</x:v>
      </x:c>
      <x:c r="Q268" s="19" t="n">
        <x:f>IF(AND(SUM(K268:M268)&lt;9,OR(K268=0,N268&lt;6)),1,0)</x:f>
        <x:v>1</x:v>
      </x:c>
      <x:c r="R268" s="22" t="str">
        <x:f>O268&amp;P268&amp;Q268</x:f>
        <x:v>111</x:v>
      </x:c>
      <x:c r="S268" s="19" t="n">
        <x:f>IF(I268=1,IF(J268=0,Q268,IF(J268=1,P268,IF(J268=2,O268,0))),0)</x:f>
        <x:v>0</x:v>
      </x:c>
      <x:c r="T268" s="19" t="n">
        <x:f>K268+IF(AND(S268=1,J268=0),1,0)</x:f>
        <x:v>0</x:v>
      </x:c>
      <x:c r="U268" s="19" t="n">
        <x:f>L268+IF(AND(S268=1,J268=1),1,0)</x:f>
        <x:v>3</x:v>
      </x:c>
      <x:c r="V268" s="19" t="n">
        <x:f>M268+IF(AND(S268=1,J268=2),1,0)</x:f>
        <x:v>1</x:v>
      </x:c>
      <x:c r="W268" s="19" t="n">
        <x:f>SUM(T268:V268)</x:f>
        <x:v>4</x:v>
      </x:c>
      <x:c r="X268" s="19" t="n">
        <x:f>W268-G268</x:f>
        <x:v>-1</x:v>
      </x:c>
      <x:c r="Y268" s="19" t="n">
        <x:f>MAX(T268,1)+MAX(U268,1)+MAX(V268,1)</x:f>
        <x:v>5</x:v>
      </x:c>
      <x:c r="Z268" s="21" t="str">
        <x:f>IF(AND(MIN(D268:F268)&gt;=0,MAX(D268:F268)&lt;=7,MAX(D268,1)+MAX(E268,1)+MAX(F268,1)&lt;=9,OR(H268="-",AND(H268=0,D268&gt;0),AND(H268=1,E268&gt;0),AND(H268=2,F268&gt;0)),OR(I268=0,AND(I268=1,OR(J268=0,J268=1,J268=2),R268&lt;&gt;"000")),Y268&lt;=9,MIN(T268:V268)&gt;=0),"合法","输入违约")</x:f>
        <x:v>合法</x:v>
      </x:c>
    </x:row>
    <x:row r="269" ht="23" customHeight="1">
      <x:c r="A269" s="3" t="str">
        <x:v>CT-0262</x:v>
      </x:c>
      <x:c r="B269" s="3" t="str">
        <x:v>ST-039</x:v>
      </x:c>
      <x:c r="C269" s="3" t="str">
        <x:v>R+AR同收同发</x:v>
      </x:c>
      <x:c r="D269" s="25" t="n">
        <x:v>0</x:v>
      </x:c>
      <x:c r="E269" s="25" t="n">
        <x:v>3</x:v>
      </x:c>
      <x:c r="F269" s="25" t="n">
        <x:v>2</x:v>
      </x:c>
      <x:c r="G269" s="19" t="n">
        <x:f>SUM(D269:F269)</x:f>
        <x:v>5</x:v>
      </x:c>
      <x:c r="H269" s="25" t="n">
        <x:v>2</x:v>
      </x:c>
      <x:c r="I269" s="25" t="n">
        <x:v>1</x:v>
      </x:c>
      <x:c r="J269" s="25" t="n">
        <x:v>0</x:v>
      </x:c>
      <x:c r="K269" s="19" t="n">
        <x:f>D269-IF(H269=0,1,0)</x:f>
        <x:v>0</x:v>
      </x:c>
      <x:c r="L269" s="19" t="n">
        <x:f>E269-IF(H269=1,1,0)</x:f>
        <x:v>3</x:v>
      </x:c>
      <x:c r="M269" s="19" t="n">
        <x:f>F269-IF(H269=2,1,0)</x:f>
        <x:v>1</x:v>
      </x:c>
      <x:c r="N269" s="19" t="n">
        <x:f>MAX(K269-1,0)+MAX(L269-1,0)+MAX(M269-1,0)</x:f>
        <x:v>2</x:v>
      </x:c>
      <x:c r="O269" s="19" t="n">
        <x:f>IF(AND(SUM(K269:M269)&lt;9,OR(M269=0,N269&lt;6)),1,0)</x:f>
        <x:v>1</x:v>
      </x:c>
      <x:c r="P269" s="19" t="n">
        <x:f>IF(AND(SUM(K269:M269)&lt;9,OR(L269=0,N269&lt;6)),1,0)</x:f>
        <x:v>1</x:v>
      </x:c>
      <x:c r="Q269" s="19" t="n">
        <x:f>IF(AND(SUM(K269:M269)&lt;9,OR(K269=0,N269&lt;6)),1,0)</x:f>
        <x:v>1</x:v>
      </x:c>
      <x:c r="R269" s="22" t="str">
        <x:f>O269&amp;P269&amp;Q269</x:f>
        <x:v>111</x:v>
      </x:c>
      <x:c r="S269" s="19" t="n">
        <x:f>IF(I269=1,IF(J269=0,Q269,IF(J269=1,P269,IF(J269=2,O269,0))),0)</x:f>
        <x:v>1</x:v>
      </x:c>
      <x:c r="T269" s="19" t="n">
        <x:f>K269+IF(AND(S269=1,J269=0),1,0)</x:f>
        <x:v>1</x:v>
      </x:c>
      <x:c r="U269" s="19" t="n">
        <x:f>L269+IF(AND(S269=1,J269=1),1,0)</x:f>
        <x:v>3</x:v>
      </x:c>
      <x:c r="V269" s="19" t="n">
        <x:f>M269+IF(AND(S269=1,J269=2),1,0)</x:f>
        <x:v>1</x:v>
      </x:c>
      <x:c r="W269" s="19" t="n">
        <x:f>SUM(T269:V269)</x:f>
        <x:v>5</x:v>
      </x:c>
      <x:c r="X269" s="19" t="n">
        <x:f>W269-G269</x:f>
        <x:v>0</x:v>
      </x:c>
      <x:c r="Y269" s="19" t="n">
        <x:f>MAX(T269,1)+MAX(U269,1)+MAX(V269,1)</x:f>
        <x:v>5</x:v>
      </x:c>
      <x:c r="Z269" s="21" t="str">
        <x:f>IF(AND(MIN(D269:F269)&gt;=0,MAX(D269:F269)&lt;=7,MAX(D269,1)+MAX(E269,1)+MAX(F269,1)&lt;=9,OR(H269="-",AND(H269=0,D269&gt;0),AND(H269=1,E269&gt;0),AND(H269=2,F269&gt;0)),OR(I269=0,AND(I269=1,OR(J269=0,J269=1,J269=2),R269&lt;&gt;"000")),Y269&lt;=9,MIN(T269:V269)&gt;=0),"合法","输入违约")</x:f>
        <x:v>合法</x:v>
      </x:c>
    </x:row>
    <x:row r="270" ht="23" customHeight="1">
      <x:c r="A270" s="3" t="str">
        <x:v>CT-0263</x:v>
      </x:c>
      <x:c r="B270" s="3" t="str">
        <x:v>ST-039</x:v>
      </x:c>
      <x:c r="C270" s="3" t="str">
        <x:v>R+AR同收同发</x:v>
      </x:c>
      <x:c r="D270" s="25" t="n">
        <x:v>0</x:v>
      </x:c>
      <x:c r="E270" s="25" t="n">
        <x:v>3</x:v>
      </x:c>
      <x:c r="F270" s="25" t="n">
        <x:v>2</x:v>
      </x:c>
      <x:c r="G270" s="19" t="n">
        <x:f>SUM(D270:F270)</x:f>
        <x:v>5</x:v>
      </x:c>
      <x:c r="H270" s="25" t="n">
        <x:v>2</x:v>
      </x:c>
      <x:c r="I270" s="25" t="n">
        <x:v>1</x:v>
      </x:c>
      <x:c r="J270" s="25" t="n">
        <x:v>1</x:v>
      </x:c>
      <x:c r="K270" s="19" t="n">
        <x:f>D270-IF(H270=0,1,0)</x:f>
        <x:v>0</x:v>
      </x:c>
      <x:c r="L270" s="19" t="n">
        <x:f>E270-IF(H270=1,1,0)</x:f>
        <x:v>3</x:v>
      </x:c>
      <x:c r="M270" s="19" t="n">
        <x:f>F270-IF(H270=2,1,0)</x:f>
        <x:v>1</x:v>
      </x:c>
      <x:c r="N270" s="19" t="n">
        <x:f>MAX(K270-1,0)+MAX(L270-1,0)+MAX(M270-1,0)</x:f>
        <x:v>2</x:v>
      </x:c>
      <x:c r="O270" s="19" t="n">
        <x:f>IF(AND(SUM(K270:M270)&lt;9,OR(M270=0,N270&lt;6)),1,0)</x:f>
        <x:v>1</x:v>
      </x:c>
      <x:c r="P270" s="19" t="n">
        <x:f>IF(AND(SUM(K270:M270)&lt;9,OR(L270=0,N270&lt;6)),1,0)</x:f>
        <x:v>1</x:v>
      </x:c>
      <x:c r="Q270" s="19" t="n">
        <x:f>IF(AND(SUM(K270:M270)&lt;9,OR(K270=0,N270&lt;6)),1,0)</x:f>
        <x:v>1</x:v>
      </x:c>
      <x:c r="R270" s="22" t="str">
        <x:f>O270&amp;P270&amp;Q270</x:f>
        <x:v>111</x:v>
      </x:c>
      <x:c r="S270" s="19" t="n">
        <x:f>IF(I270=1,IF(J270=0,Q270,IF(J270=1,P270,IF(J270=2,O270,0))),0)</x:f>
        <x:v>1</x:v>
      </x:c>
      <x:c r="T270" s="19" t="n">
        <x:f>K270+IF(AND(S270=1,J270=0),1,0)</x:f>
        <x:v>0</x:v>
      </x:c>
      <x:c r="U270" s="19" t="n">
        <x:f>L270+IF(AND(S270=1,J270=1),1,0)</x:f>
        <x:v>4</x:v>
      </x:c>
      <x:c r="V270" s="19" t="n">
        <x:f>M270+IF(AND(S270=1,J270=2),1,0)</x:f>
        <x:v>1</x:v>
      </x:c>
      <x:c r="W270" s="19" t="n">
        <x:f>SUM(T270:V270)</x:f>
        <x:v>5</x:v>
      </x:c>
      <x:c r="X270" s="19" t="n">
        <x:f>W270-G270</x:f>
        <x:v>0</x:v>
      </x:c>
      <x:c r="Y270" s="19" t="n">
        <x:f>MAX(T270,1)+MAX(U270,1)+MAX(V270,1)</x:f>
        <x:v>6</x:v>
      </x:c>
      <x:c r="Z270" s="21" t="str">
        <x:f>IF(AND(MIN(D270:F270)&gt;=0,MAX(D270:F270)&lt;=7,MAX(D270,1)+MAX(E270,1)+MAX(F270,1)&lt;=9,OR(H270="-",AND(H270=0,D270&gt;0),AND(H270=1,E270&gt;0),AND(H270=2,F270&gt;0)),OR(I270=0,AND(I270=1,OR(J270=0,J270=1,J270=2),R270&lt;&gt;"000")),Y270&lt;=9,MIN(T270:V270)&gt;=0),"合法","输入违约")</x:f>
        <x:v>合法</x:v>
      </x:c>
    </x:row>
    <x:row r="271" ht="23" customHeight="1">
      <x:c r="A271" s="3" t="str">
        <x:v>CT-0264</x:v>
      </x:c>
      <x:c r="B271" s="3" t="str">
        <x:v>ST-039</x:v>
      </x:c>
      <x:c r="C271" s="3" t="str">
        <x:v>R+AR同收同发</x:v>
      </x:c>
      <x:c r="D271" s="25" t="n">
        <x:v>0</x:v>
      </x:c>
      <x:c r="E271" s="25" t="n">
        <x:v>3</x:v>
      </x:c>
      <x:c r="F271" s="25" t="n">
        <x:v>2</x:v>
      </x:c>
      <x:c r="G271" s="19" t="n">
        <x:f>SUM(D271:F271)</x:f>
        <x:v>5</x:v>
      </x:c>
      <x:c r="H271" s="25" t="n">
        <x:v>2</x:v>
      </x:c>
      <x:c r="I271" s="25" t="n">
        <x:v>1</x:v>
      </x:c>
      <x:c r="J271" s="25" t="n">
        <x:v>2</x:v>
      </x:c>
      <x:c r="K271" s="19" t="n">
        <x:f>D271-IF(H271=0,1,0)</x:f>
        <x:v>0</x:v>
      </x:c>
      <x:c r="L271" s="19" t="n">
        <x:f>E271-IF(H271=1,1,0)</x:f>
        <x:v>3</x:v>
      </x:c>
      <x:c r="M271" s="19" t="n">
        <x:f>F271-IF(H271=2,1,0)</x:f>
        <x:v>1</x:v>
      </x:c>
      <x:c r="N271" s="19" t="n">
        <x:f>MAX(K271-1,0)+MAX(L271-1,0)+MAX(M271-1,0)</x:f>
        <x:v>2</x:v>
      </x:c>
      <x:c r="O271" s="19" t="n">
        <x:f>IF(AND(SUM(K271:M271)&lt;9,OR(M271=0,N271&lt;6)),1,0)</x:f>
        <x:v>1</x:v>
      </x:c>
      <x:c r="P271" s="19" t="n">
        <x:f>IF(AND(SUM(K271:M271)&lt;9,OR(L271=0,N271&lt;6)),1,0)</x:f>
        <x:v>1</x:v>
      </x:c>
      <x:c r="Q271" s="19" t="n">
        <x:f>IF(AND(SUM(K271:M271)&lt;9,OR(K271=0,N271&lt;6)),1,0)</x:f>
        <x:v>1</x:v>
      </x:c>
      <x:c r="R271" s="22" t="str">
        <x:f>O271&amp;P271&amp;Q271</x:f>
        <x:v>111</x:v>
      </x:c>
      <x:c r="S271" s="19" t="n">
        <x:f>IF(I271=1,IF(J271=0,Q271,IF(J271=1,P271,IF(J271=2,O271,0))),0)</x:f>
        <x:v>1</x:v>
      </x:c>
      <x:c r="T271" s="19" t="n">
        <x:f>K271+IF(AND(S271=1,J271=0),1,0)</x:f>
        <x:v>0</x:v>
      </x:c>
      <x:c r="U271" s="19" t="n">
        <x:f>L271+IF(AND(S271=1,J271=1),1,0)</x:f>
        <x:v>3</x:v>
      </x:c>
      <x:c r="V271" s="19" t="n">
        <x:f>M271+IF(AND(S271=1,J271=2),1,0)</x:f>
        <x:v>2</x:v>
      </x:c>
      <x:c r="W271" s="19" t="n">
        <x:f>SUM(T271:V271)</x:f>
        <x:v>5</x:v>
      </x:c>
      <x:c r="X271" s="19" t="n">
        <x:f>W271-G271</x:f>
        <x:v>0</x:v>
      </x:c>
      <x:c r="Y271" s="19" t="n">
        <x:f>MAX(T271,1)+MAX(U271,1)+MAX(V271,1)</x:f>
        <x:v>6</x:v>
      </x:c>
      <x:c r="Z271" s="21" t="str">
        <x:f>IF(AND(MIN(D271:F271)&gt;=0,MAX(D271:F271)&lt;=7,MAX(D271,1)+MAX(E271,1)+MAX(F271,1)&lt;=9,OR(H271="-",AND(H271=0,D271&gt;0),AND(H271=1,E271&gt;0),AND(H271=2,F271&gt;0)),OR(I271=0,AND(I271=1,OR(J271=0,J271=1,J271=2),R271&lt;&gt;"000")),Y271&lt;=9,MIN(T271:V271)&gt;=0),"合法","输入违约")</x:f>
        <x:v>合法</x:v>
      </x:c>
    </x:row>
    <x:row r="272" ht="23" customHeight="1">
      <x:c r="A272" s="3" t="str">
        <x:v>CT-0265</x:v>
      </x:c>
      <x:c r="B272" s="3" t="str">
        <x:v>ST-060</x:v>
      </x:c>
      <x:c r="C272" s="3" t="str">
        <x:v>无AR/R</x:v>
      </x:c>
      <x:c r="D272" s="25" t="n">
        <x:v>0</x:v>
      </x:c>
      <x:c r="E272" s="25" t="n">
        <x:v>3</x:v>
      </x:c>
      <x:c r="F272" s="25" t="n">
        <x:v>3</x:v>
      </x:c>
      <x:c r="G272" s="19" t="n">
        <x:f>SUM(D272:F272)</x:f>
        <x:v>6</x:v>
      </x:c>
      <x:c r="H272" s="25" t="str">
        <x:v>-</x:v>
      </x:c>
      <x:c r="I272" s="25" t="n">
        <x:v>0</x:v>
      </x:c>
      <x:c r="J272" s="25" t="str">
        <x:v>-</x:v>
      </x:c>
      <x:c r="K272" s="19" t="n">
        <x:f>D272-IF(H272=0,1,0)</x:f>
        <x:v>0</x:v>
      </x:c>
      <x:c r="L272" s="19" t="n">
        <x:f>E272-IF(H272=1,1,0)</x:f>
        <x:v>3</x:v>
      </x:c>
      <x:c r="M272" s="19" t="n">
        <x:f>F272-IF(H272=2,1,0)</x:f>
        <x:v>3</x:v>
      </x:c>
      <x:c r="N272" s="19" t="n">
        <x:f>MAX(K272-1,0)+MAX(L272-1,0)+MAX(M272-1,0)</x:f>
        <x:v>4</x:v>
      </x:c>
      <x:c r="O272" s="19" t="n">
        <x:f>IF(AND(SUM(K272:M272)&lt;9,OR(M272=0,N272&lt;6)),1,0)</x:f>
        <x:v>1</x:v>
      </x:c>
      <x:c r="P272" s="19" t="n">
        <x:f>IF(AND(SUM(K272:M272)&lt;9,OR(L272=0,N272&lt;6)),1,0)</x:f>
        <x:v>1</x:v>
      </x:c>
      <x:c r="Q272" s="19" t="n">
        <x:f>IF(AND(SUM(K272:M272)&lt;9,OR(K272=0,N272&lt;6)),1,0)</x:f>
        <x:v>1</x:v>
      </x:c>
      <x:c r="R272" s="22" t="str">
        <x:f>O272&amp;P272&amp;Q272</x:f>
        <x:v>111</x:v>
      </x:c>
      <x:c r="S272" s="19" t="n">
        <x:f>IF(I272=1,IF(J272=0,Q272,IF(J272=1,P272,IF(J272=2,O272,0))),0)</x:f>
        <x:v>0</x:v>
      </x:c>
      <x:c r="T272" s="19" t="n">
        <x:f>K272+IF(AND(S272=1,J272=0),1,0)</x:f>
        <x:v>0</x:v>
      </x:c>
      <x:c r="U272" s="19" t="n">
        <x:f>L272+IF(AND(S272=1,J272=1),1,0)</x:f>
        <x:v>3</x:v>
      </x:c>
      <x:c r="V272" s="19" t="n">
        <x:f>M272+IF(AND(S272=1,J272=2),1,0)</x:f>
        <x:v>3</x:v>
      </x:c>
      <x:c r="W272" s="19" t="n">
        <x:f>SUM(T272:V272)</x:f>
        <x:v>6</x:v>
      </x:c>
      <x:c r="X272" s="19" t="n">
        <x:f>W272-G272</x:f>
        <x:v>0</x:v>
      </x:c>
      <x:c r="Y272" s="19" t="n">
        <x:f>MAX(T272,1)+MAX(U272,1)+MAX(V272,1)</x:f>
        <x:v>7</x:v>
      </x:c>
      <x:c r="Z272" s="21" t="str">
        <x:f>IF(AND(MIN(D272:F272)&gt;=0,MAX(D272:F272)&lt;=7,MAX(D272,1)+MAX(E272,1)+MAX(F272,1)&lt;=9,OR(H272="-",AND(H272=0,D272&gt;0),AND(H272=1,E272&gt;0),AND(H272=2,F272&gt;0)),OR(I272=0,AND(I272=1,OR(J272=0,J272=1,J272=2),R272&lt;&gt;"000")),Y272&lt;=9,MIN(T272:V272)&gt;=0),"合法","输入违约")</x:f>
        <x:v>合法</x:v>
      </x:c>
    </x:row>
    <x:row r="273" ht="23" customHeight="1">
      <x:c r="A273" s="3" t="str">
        <x:v>CT-0266</x:v>
      </x:c>
      <x:c r="B273" s="3" t="str">
        <x:v>ST-060</x:v>
      </x:c>
      <x:c r="C273" s="3" t="str">
        <x:v>仅AR接收</x:v>
      </x:c>
      <x:c r="D273" s="25" t="n">
        <x:v>0</x:v>
      </x:c>
      <x:c r="E273" s="25" t="n">
        <x:v>3</x:v>
      </x:c>
      <x:c r="F273" s="25" t="n">
        <x:v>3</x:v>
      </x:c>
      <x:c r="G273" s="19" t="n">
        <x:f>SUM(D273:F273)</x:f>
        <x:v>6</x:v>
      </x:c>
      <x:c r="H273" s="25" t="str">
        <x:v>-</x:v>
      </x:c>
      <x:c r="I273" s="25" t="n">
        <x:v>1</x:v>
      </x:c>
      <x:c r="J273" s="25" t="n">
        <x:v>0</x:v>
      </x:c>
      <x:c r="K273" s="19" t="n">
        <x:f>D273-IF(H273=0,1,0)</x:f>
        <x:v>0</x:v>
      </x:c>
      <x:c r="L273" s="19" t="n">
        <x:f>E273-IF(H273=1,1,0)</x:f>
        <x:v>3</x:v>
      </x:c>
      <x:c r="M273" s="19" t="n">
        <x:f>F273-IF(H273=2,1,0)</x:f>
        <x:v>3</x:v>
      </x:c>
      <x:c r="N273" s="19" t="n">
        <x:f>MAX(K273-1,0)+MAX(L273-1,0)+MAX(M273-1,0)</x:f>
        <x:v>4</x:v>
      </x:c>
      <x:c r="O273" s="19" t="n">
        <x:f>IF(AND(SUM(K273:M273)&lt;9,OR(M273=0,N273&lt;6)),1,0)</x:f>
        <x:v>1</x:v>
      </x:c>
      <x:c r="P273" s="19" t="n">
        <x:f>IF(AND(SUM(K273:M273)&lt;9,OR(L273=0,N273&lt;6)),1,0)</x:f>
        <x:v>1</x:v>
      </x:c>
      <x:c r="Q273" s="19" t="n">
        <x:f>IF(AND(SUM(K273:M273)&lt;9,OR(K273=0,N273&lt;6)),1,0)</x:f>
        <x:v>1</x:v>
      </x:c>
      <x:c r="R273" s="22" t="str">
        <x:f>O273&amp;P273&amp;Q273</x:f>
        <x:v>111</x:v>
      </x:c>
      <x:c r="S273" s="19" t="n">
        <x:f>IF(I273=1,IF(J273=0,Q273,IF(J273=1,P273,IF(J273=2,O273,0))),0)</x:f>
        <x:v>1</x:v>
      </x:c>
      <x:c r="T273" s="19" t="n">
        <x:f>K273+IF(AND(S273=1,J273=0),1,0)</x:f>
        <x:v>1</x:v>
      </x:c>
      <x:c r="U273" s="19" t="n">
        <x:f>L273+IF(AND(S273=1,J273=1),1,0)</x:f>
        <x:v>3</x:v>
      </x:c>
      <x:c r="V273" s="19" t="n">
        <x:f>M273+IF(AND(S273=1,J273=2),1,0)</x:f>
        <x:v>3</x:v>
      </x:c>
      <x:c r="W273" s="19" t="n">
        <x:f>SUM(T273:V273)</x:f>
        <x:v>7</x:v>
      </x:c>
      <x:c r="X273" s="19" t="n">
        <x:f>W273-G273</x:f>
        <x:v>1</x:v>
      </x:c>
      <x:c r="Y273" s="19" t="n">
        <x:f>MAX(T273,1)+MAX(U273,1)+MAX(V273,1)</x:f>
        <x:v>7</x:v>
      </x:c>
      <x:c r="Z273" s="21" t="str">
        <x:f>IF(AND(MIN(D273:F273)&gt;=0,MAX(D273:F273)&lt;=7,MAX(D273,1)+MAX(E273,1)+MAX(F273,1)&lt;=9,OR(H273="-",AND(H273=0,D273&gt;0),AND(H273=1,E273&gt;0),AND(H273=2,F273&gt;0)),OR(I273=0,AND(I273=1,OR(J273=0,J273=1,J273=2),R273&lt;&gt;"000")),Y273&lt;=9,MIN(T273:V273)&gt;=0),"合法","输入违约")</x:f>
        <x:v>合法</x:v>
      </x:c>
    </x:row>
    <x:row r="274" ht="23" customHeight="1">
      <x:c r="A274" s="3" t="str">
        <x:v>CT-0267</x:v>
      </x:c>
      <x:c r="B274" s="3" t="str">
        <x:v>ST-060</x:v>
      </x:c>
      <x:c r="C274" s="3" t="str">
        <x:v>仅AR接收</x:v>
      </x:c>
      <x:c r="D274" s="25" t="n">
        <x:v>0</x:v>
      </x:c>
      <x:c r="E274" s="25" t="n">
        <x:v>3</x:v>
      </x:c>
      <x:c r="F274" s="25" t="n">
        <x:v>3</x:v>
      </x:c>
      <x:c r="G274" s="19" t="n">
        <x:f>SUM(D274:F274)</x:f>
        <x:v>6</x:v>
      </x:c>
      <x:c r="H274" s="25" t="str">
        <x:v>-</x:v>
      </x:c>
      <x:c r="I274" s="25" t="n">
        <x:v>1</x:v>
      </x:c>
      <x:c r="J274" s="25" t="n">
        <x:v>1</x:v>
      </x:c>
      <x:c r="K274" s="19" t="n">
        <x:f>D274-IF(H274=0,1,0)</x:f>
        <x:v>0</x:v>
      </x:c>
      <x:c r="L274" s="19" t="n">
        <x:f>E274-IF(H274=1,1,0)</x:f>
        <x:v>3</x:v>
      </x:c>
      <x:c r="M274" s="19" t="n">
        <x:f>F274-IF(H274=2,1,0)</x:f>
        <x:v>3</x:v>
      </x:c>
      <x:c r="N274" s="19" t="n">
        <x:f>MAX(K274-1,0)+MAX(L274-1,0)+MAX(M274-1,0)</x:f>
        <x:v>4</x:v>
      </x:c>
      <x:c r="O274" s="19" t="n">
        <x:f>IF(AND(SUM(K274:M274)&lt;9,OR(M274=0,N274&lt;6)),1,0)</x:f>
        <x:v>1</x:v>
      </x:c>
      <x:c r="P274" s="19" t="n">
        <x:f>IF(AND(SUM(K274:M274)&lt;9,OR(L274=0,N274&lt;6)),1,0)</x:f>
        <x:v>1</x:v>
      </x:c>
      <x:c r="Q274" s="19" t="n">
        <x:f>IF(AND(SUM(K274:M274)&lt;9,OR(K274=0,N274&lt;6)),1,0)</x:f>
        <x:v>1</x:v>
      </x:c>
      <x:c r="R274" s="22" t="str">
        <x:f>O274&amp;P274&amp;Q274</x:f>
        <x:v>111</x:v>
      </x:c>
      <x:c r="S274" s="19" t="n">
        <x:f>IF(I274=1,IF(J274=0,Q274,IF(J274=1,P274,IF(J274=2,O274,0))),0)</x:f>
        <x:v>1</x:v>
      </x:c>
      <x:c r="T274" s="19" t="n">
        <x:f>K274+IF(AND(S274=1,J274=0),1,0)</x:f>
        <x:v>0</x:v>
      </x:c>
      <x:c r="U274" s="19" t="n">
        <x:f>L274+IF(AND(S274=1,J274=1),1,0)</x:f>
        <x:v>4</x:v>
      </x:c>
      <x:c r="V274" s="19" t="n">
        <x:f>M274+IF(AND(S274=1,J274=2),1,0)</x:f>
        <x:v>3</x:v>
      </x:c>
      <x:c r="W274" s="19" t="n">
        <x:f>SUM(T274:V274)</x:f>
        <x:v>7</x:v>
      </x:c>
      <x:c r="X274" s="19" t="n">
        <x:f>W274-G274</x:f>
        <x:v>1</x:v>
      </x:c>
      <x:c r="Y274" s="19" t="n">
        <x:f>MAX(T274,1)+MAX(U274,1)+MAX(V274,1)</x:f>
        <x:v>8</x:v>
      </x:c>
      <x:c r="Z274" s="21" t="str">
        <x:f>IF(AND(MIN(D274:F274)&gt;=0,MAX(D274:F274)&lt;=7,MAX(D274,1)+MAX(E274,1)+MAX(F274,1)&lt;=9,OR(H274="-",AND(H274=0,D274&gt;0),AND(H274=1,E274&gt;0),AND(H274=2,F274&gt;0)),OR(I274=0,AND(I274=1,OR(J274=0,J274=1,J274=2),R274&lt;&gt;"000")),Y274&lt;=9,MIN(T274:V274)&gt;=0),"合法","输入违约")</x:f>
        <x:v>合法</x:v>
      </x:c>
    </x:row>
    <x:row r="275" ht="23" customHeight="1">
      <x:c r="A275" s="3" t="str">
        <x:v>CT-0268</x:v>
      </x:c>
      <x:c r="B275" s="3" t="str">
        <x:v>ST-060</x:v>
      </x:c>
      <x:c r="C275" s="3" t="str">
        <x:v>仅AR接收</x:v>
      </x:c>
      <x:c r="D275" s="25" t="n">
        <x:v>0</x:v>
      </x:c>
      <x:c r="E275" s="25" t="n">
        <x:v>3</x:v>
      </x:c>
      <x:c r="F275" s="25" t="n">
        <x:v>3</x:v>
      </x:c>
      <x:c r="G275" s="19" t="n">
        <x:f>SUM(D275:F275)</x:f>
        <x:v>6</x:v>
      </x:c>
      <x:c r="H275" s="25" t="str">
        <x:v>-</x:v>
      </x:c>
      <x:c r="I275" s="25" t="n">
        <x:v>1</x:v>
      </x:c>
      <x:c r="J275" s="25" t="n">
        <x:v>2</x:v>
      </x:c>
      <x:c r="K275" s="19" t="n">
        <x:f>D275-IF(H275=0,1,0)</x:f>
        <x:v>0</x:v>
      </x:c>
      <x:c r="L275" s="19" t="n">
        <x:f>E275-IF(H275=1,1,0)</x:f>
        <x:v>3</x:v>
      </x:c>
      <x:c r="M275" s="19" t="n">
        <x:f>F275-IF(H275=2,1,0)</x:f>
        <x:v>3</x:v>
      </x:c>
      <x:c r="N275" s="19" t="n">
        <x:f>MAX(K275-1,0)+MAX(L275-1,0)+MAX(M275-1,0)</x:f>
        <x:v>4</x:v>
      </x:c>
      <x:c r="O275" s="19" t="n">
        <x:f>IF(AND(SUM(K275:M275)&lt;9,OR(M275=0,N275&lt;6)),1,0)</x:f>
        <x:v>1</x:v>
      </x:c>
      <x:c r="P275" s="19" t="n">
        <x:f>IF(AND(SUM(K275:M275)&lt;9,OR(L275=0,N275&lt;6)),1,0)</x:f>
        <x:v>1</x:v>
      </x:c>
      <x:c r="Q275" s="19" t="n">
        <x:f>IF(AND(SUM(K275:M275)&lt;9,OR(K275=0,N275&lt;6)),1,0)</x:f>
        <x:v>1</x:v>
      </x:c>
      <x:c r="R275" s="22" t="str">
        <x:f>O275&amp;P275&amp;Q275</x:f>
        <x:v>111</x:v>
      </x:c>
      <x:c r="S275" s="19" t="n">
        <x:f>IF(I275=1,IF(J275=0,Q275,IF(J275=1,P275,IF(J275=2,O275,0))),0)</x:f>
        <x:v>1</x:v>
      </x:c>
      <x:c r="T275" s="19" t="n">
        <x:f>K275+IF(AND(S275=1,J275=0),1,0)</x:f>
        <x:v>0</x:v>
      </x:c>
      <x:c r="U275" s="19" t="n">
        <x:f>L275+IF(AND(S275=1,J275=1),1,0)</x:f>
        <x:v>3</x:v>
      </x:c>
      <x:c r="V275" s="19" t="n">
        <x:f>M275+IF(AND(S275=1,J275=2),1,0)</x:f>
        <x:v>4</x:v>
      </x:c>
      <x:c r="W275" s="19" t="n">
        <x:f>SUM(T275:V275)</x:f>
        <x:v>7</x:v>
      </x:c>
      <x:c r="X275" s="19" t="n">
        <x:f>W275-G275</x:f>
        <x:v>1</x:v>
      </x:c>
      <x:c r="Y275" s="19" t="n">
        <x:f>MAX(T275,1)+MAX(U275,1)+MAX(V275,1)</x:f>
        <x:v>8</x:v>
      </x:c>
      <x:c r="Z275" s="21" t="str">
        <x:f>IF(AND(MIN(D275:F275)&gt;=0,MAX(D275:F275)&lt;=7,MAX(D275,1)+MAX(E275,1)+MAX(F275,1)&lt;=9,OR(H275="-",AND(H275=0,D275&gt;0),AND(H275=1,E275&gt;0),AND(H275=2,F275&gt;0)),OR(I275=0,AND(I275=1,OR(J275=0,J275=1,J275=2),R275&lt;&gt;"000")),Y275&lt;=9,MIN(T275:V275)&gt;=0),"合法","输入违约")</x:f>
        <x:v>合法</x:v>
      </x:c>
    </x:row>
    <x:row r="276" ht="23" customHeight="1">
      <x:c r="A276" s="3" t="str">
        <x:v>CT-0269</x:v>
      </x:c>
      <x:c r="B276" s="3" t="str">
        <x:v>ST-060</x:v>
      </x:c>
      <x:c r="C276" s="3" t="str">
        <x:v>仅R回收</x:v>
      </x:c>
      <x:c r="D276" s="25" t="n">
        <x:v>0</x:v>
      </x:c>
      <x:c r="E276" s="25" t="n">
        <x:v>3</x:v>
      </x:c>
      <x:c r="F276" s="25" t="n">
        <x:v>3</x:v>
      </x:c>
      <x:c r="G276" s="19" t="n">
        <x:f>SUM(D276:F276)</x:f>
        <x:v>6</x:v>
      </x:c>
      <x:c r="H276" s="25" t="n">
        <x:v>1</x:v>
      </x:c>
      <x:c r="I276" s="25" t="n">
        <x:v>0</x:v>
      </x:c>
      <x:c r="J276" s="25" t="str">
        <x:v>-</x:v>
      </x:c>
      <x:c r="K276" s="19" t="n">
        <x:f>D276-IF(H276=0,1,0)</x:f>
        <x:v>0</x:v>
      </x:c>
      <x:c r="L276" s="19" t="n">
        <x:f>E276-IF(H276=1,1,0)</x:f>
        <x:v>2</x:v>
      </x:c>
      <x:c r="M276" s="19" t="n">
        <x:f>F276-IF(H276=2,1,0)</x:f>
        <x:v>3</x:v>
      </x:c>
      <x:c r="N276" s="19" t="n">
        <x:f>MAX(K276-1,0)+MAX(L276-1,0)+MAX(M276-1,0)</x:f>
        <x:v>3</x:v>
      </x:c>
      <x:c r="O276" s="19" t="n">
        <x:f>IF(AND(SUM(K276:M276)&lt;9,OR(M276=0,N276&lt;6)),1,0)</x:f>
        <x:v>1</x:v>
      </x:c>
      <x:c r="P276" s="19" t="n">
        <x:f>IF(AND(SUM(K276:M276)&lt;9,OR(L276=0,N276&lt;6)),1,0)</x:f>
        <x:v>1</x:v>
      </x:c>
      <x:c r="Q276" s="19" t="n">
        <x:f>IF(AND(SUM(K276:M276)&lt;9,OR(K276=0,N276&lt;6)),1,0)</x:f>
        <x:v>1</x:v>
      </x:c>
      <x:c r="R276" s="22" t="str">
        <x:f>O276&amp;P276&amp;Q276</x:f>
        <x:v>111</x:v>
      </x:c>
      <x:c r="S276" s="19" t="n">
        <x:f>IF(I276=1,IF(J276=0,Q276,IF(J276=1,P276,IF(J276=2,O276,0))),0)</x:f>
        <x:v>0</x:v>
      </x:c>
      <x:c r="T276" s="19" t="n">
        <x:f>K276+IF(AND(S276=1,J276=0),1,0)</x:f>
        <x:v>0</x:v>
      </x:c>
      <x:c r="U276" s="19" t="n">
        <x:f>L276+IF(AND(S276=1,J276=1),1,0)</x:f>
        <x:v>2</x:v>
      </x:c>
      <x:c r="V276" s="19" t="n">
        <x:f>M276+IF(AND(S276=1,J276=2),1,0)</x:f>
        <x:v>3</x:v>
      </x:c>
      <x:c r="W276" s="19" t="n">
        <x:f>SUM(T276:V276)</x:f>
        <x:v>5</x:v>
      </x:c>
      <x:c r="X276" s="19" t="n">
        <x:f>W276-G276</x:f>
        <x:v>-1</x:v>
      </x:c>
      <x:c r="Y276" s="19" t="n">
        <x:f>MAX(T276,1)+MAX(U276,1)+MAX(V276,1)</x:f>
        <x:v>6</x:v>
      </x:c>
      <x:c r="Z276" s="21" t="str">
        <x:f>IF(AND(MIN(D276:F276)&gt;=0,MAX(D276:F276)&lt;=7,MAX(D276,1)+MAX(E276,1)+MAX(F276,1)&lt;=9,OR(H276="-",AND(H276=0,D276&gt;0),AND(H276=1,E276&gt;0),AND(H276=2,F276&gt;0)),OR(I276=0,AND(I276=1,OR(J276=0,J276=1,J276=2),R276&lt;&gt;"000")),Y276&lt;=9,MIN(T276:V276)&gt;=0),"合法","输入违约")</x:f>
        <x:v>合法</x:v>
      </x:c>
    </x:row>
    <x:row r="277" ht="23" customHeight="1">
      <x:c r="A277" s="3" t="str">
        <x:v>CT-0270</x:v>
      </x:c>
      <x:c r="B277" s="3" t="str">
        <x:v>ST-060</x:v>
      </x:c>
      <x:c r="C277" s="3" t="str">
        <x:v>R+AR同收同发</x:v>
      </x:c>
      <x:c r="D277" s="25" t="n">
        <x:v>0</x:v>
      </x:c>
      <x:c r="E277" s="25" t="n">
        <x:v>3</x:v>
      </x:c>
      <x:c r="F277" s="25" t="n">
        <x:v>3</x:v>
      </x:c>
      <x:c r="G277" s="19" t="n">
        <x:f>SUM(D277:F277)</x:f>
        <x:v>6</x:v>
      </x:c>
      <x:c r="H277" s="25" t="n">
        <x:v>1</x:v>
      </x:c>
      <x:c r="I277" s="25" t="n">
        <x:v>1</x:v>
      </x:c>
      <x:c r="J277" s="25" t="n">
        <x:v>0</x:v>
      </x:c>
      <x:c r="K277" s="19" t="n">
        <x:f>D277-IF(H277=0,1,0)</x:f>
        <x:v>0</x:v>
      </x:c>
      <x:c r="L277" s="19" t="n">
        <x:f>E277-IF(H277=1,1,0)</x:f>
        <x:v>2</x:v>
      </x:c>
      <x:c r="M277" s="19" t="n">
        <x:f>F277-IF(H277=2,1,0)</x:f>
        <x:v>3</x:v>
      </x:c>
      <x:c r="N277" s="19" t="n">
        <x:f>MAX(K277-1,0)+MAX(L277-1,0)+MAX(M277-1,0)</x:f>
        <x:v>3</x:v>
      </x:c>
      <x:c r="O277" s="19" t="n">
        <x:f>IF(AND(SUM(K277:M277)&lt;9,OR(M277=0,N277&lt;6)),1,0)</x:f>
        <x:v>1</x:v>
      </x:c>
      <x:c r="P277" s="19" t="n">
        <x:f>IF(AND(SUM(K277:M277)&lt;9,OR(L277=0,N277&lt;6)),1,0)</x:f>
        <x:v>1</x:v>
      </x:c>
      <x:c r="Q277" s="19" t="n">
        <x:f>IF(AND(SUM(K277:M277)&lt;9,OR(K277=0,N277&lt;6)),1,0)</x:f>
        <x:v>1</x:v>
      </x:c>
      <x:c r="R277" s="22" t="str">
        <x:f>O277&amp;P277&amp;Q277</x:f>
        <x:v>111</x:v>
      </x:c>
      <x:c r="S277" s="19" t="n">
        <x:f>IF(I277=1,IF(J277=0,Q277,IF(J277=1,P277,IF(J277=2,O277,0))),0)</x:f>
        <x:v>1</x:v>
      </x:c>
      <x:c r="T277" s="19" t="n">
        <x:f>K277+IF(AND(S277=1,J277=0),1,0)</x:f>
        <x:v>1</x:v>
      </x:c>
      <x:c r="U277" s="19" t="n">
        <x:f>L277+IF(AND(S277=1,J277=1),1,0)</x:f>
        <x:v>2</x:v>
      </x:c>
      <x:c r="V277" s="19" t="n">
        <x:f>M277+IF(AND(S277=1,J277=2),1,0)</x:f>
        <x:v>3</x:v>
      </x:c>
      <x:c r="W277" s="19" t="n">
        <x:f>SUM(T277:V277)</x:f>
        <x:v>6</x:v>
      </x:c>
      <x:c r="X277" s="19" t="n">
        <x:f>W277-G277</x:f>
        <x:v>0</x:v>
      </x:c>
      <x:c r="Y277" s="19" t="n">
        <x:f>MAX(T277,1)+MAX(U277,1)+MAX(V277,1)</x:f>
        <x:v>6</x:v>
      </x:c>
      <x:c r="Z277" s="21" t="str">
        <x:f>IF(AND(MIN(D277:F277)&gt;=0,MAX(D277:F277)&lt;=7,MAX(D277,1)+MAX(E277,1)+MAX(F277,1)&lt;=9,OR(H277="-",AND(H277=0,D277&gt;0),AND(H277=1,E277&gt;0),AND(H277=2,F277&gt;0)),OR(I277=0,AND(I277=1,OR(J277=0,J277=1,J277=2),R277&lt;&gt;"000")),Y277&lt;=9,MIN(T277:V277)&gt;=0),"合法","输入违约")</x:f>
        <x:v>合法</x:v>
      </x:c>
    </x:row>
    <x:row r="278" ht="23" customHeight="1">
      <x:c r="A278" s="3" t="str">
        <x:v>CT-0271</x:v>
      </x:c>
      <x:c r="B278" s="3" t="str">
        <x:v>ST-060</x:v>
      </x:c>
      <x:c r="C278" s="3" t="str">
        <x:v>R+AR同收同发</x:v>
      </x:c>
      <x:c r="D278" s="25" t="n">
        <x:v>0</x:v>
      </x:c>
      <x:c r="E278" s="25" t="n">
        <x:v>3</x:v>
      </x:c>
      <x:c r="F278" s="25" t="n">
        <x:v>3</x:v>
      </x:c>
      <x:c r="G278" s="19" t="n">
        <x:f>SUM(D278:F278)</x:f>
        <x:v>6</x:v>
      </x:c>
      <x:c r="H278" s="25" t="n">
        <x:v>1</x:v>
      </x:c>
      <x:c r="I278" s="25" t="n">
        <x:v>1</x:v>
      </x:c>
      <x:c r="J278" s="25" t="n">
        <x:v>1</x:v>
      </x:c>
      <x:c r="K278" s="19" t="n">
        <x:f>D278-IF(H278=0,1,0)</x:f>
        <x:v>0</x:v>
      </x:c>
      <x:c r="L278" s="19" t="n">
        <x:f>E278-IF(H278=1,1,0)</x:f>
        <x:v>2</x:v>
      </x:c>
      <x:c r="M278" s="19" t="n">
        <x:f>F278-IF(H278=2,1,0)</x:f>
        <x:v>3</x:v>
      </x:c>
      <x:c r="N278" s="19" t="n">
        <x:f>MAX(K278-1,0)+MAX(L278-1,0)+MAX(M278-1,0)</x:f>
        <x:v>3</x:v>
      </x:c>
      <x:c r="O278" s="19" t="n">
        <x:f>IF(AND(SUM(K278:M278)&lt;9,OR(M278=0,N278&lt;6)),1,0)</x:f>
        <x:v>1</x:v>
      </x:c>
      <x:c r="P278" s="19" t="n">
        <x:f>IF(AND(SUM(K278:M278)&lt;9,OR(L278=0,N278&lt;6)),1,0)</x:f>
        <x:v>1</x:v>
      </x:c>
      <x:c r="Q278" s="19" t="n">
        <x:f>IF(AND(SUM(K278:M278)&lt;9,OR(K278=0,N278&lt;6)),1,0)</x:f>
        <x:v>1</x:v>
      </x:c>
      <x:c r="R278" s="22" t="str">
        <x:f>O278&amp;P278&amp;Q278</x:f>
        <x:v>111</x:v>
      </x:c>
      <x:c r="S278" s="19" t="n">
        <x:f>IF(I278=1,IF(J278=0,Q278,IF(J278=1,P278,IF(J278=2,O278,0))),0)</x:f>
        <x:v>1</x:v>
      </x:c>
      <x:c r="T278" s="19" t="n">
        <x:f>K278+IF(AND(S278=1,J278=0),1,0)</x:f>
        <x:v>0</x:v>
      </x:c>
      <x:c r="U278" s="19" t="n">
        <x:f>L278+IF(AND(S278=1,J278=1),1,0)</x:f>
        <x:v>3</x:v>
      </x:c>
      <x:c r="V278" s="19" t="n">
        <x:f>M278+IF(AND(S278=1,J278=2),1,0)</x:f>
        <x:v>3</x:v>
      </x:c>
      <x:c r="W278" s="19" t="n">
        <x:f>SUM(T278:V278)</x:f>
        <x:v>6</x:v>
      </x:c>
      <x:c r="X278" s="19" t="n">
        <x:f>W278-G278</x:f>
        <x:v>0</x:v>
      </x:c>
      <x:c r="Y278" s="19" t="n">
        <x:f>MAX(T278,1)+MAX(U278,1)+MAX(V278,1)</x:f>
        <x:v>7</x:v>
      </x:c>
      <x:c r="Z278" s="21" t="str">
        <x:f>IF(AND(MIN(D278:F278)&gt;=0,MAX(D278:F278)&lt;=7,MAX(D278,1)+MAX(E278,1)+MAX(F278,1)&lt;=9,OR(H278="-",AND(H278=0,D278&gt;0),AND(H278=1,E278&gt;0),AND(H278=2,F278&gt;0)),OR(I278=0,AND(I278=1,OR(J278=0,J278=1,J278=2),R278&lt;&gt;"000")),Y278&lt;=9,MIN(T278:V278)&gt;=0),"合法","输入违约")</x:f>
        <x:v>合法</x:v>
      </x:c>
    </x:row>
    <x:row r="279" ht="23" customHeight="1">
      <x:c r="A279" s="3" t="str">
        <x:v>CT-0272</x:v>
      </x:c>
      <x:c r="B279" s="3" t="str">
        <x:v>ST-060</x:v>
      </x:c>
      <x:c r="C279" s="3" t="str">
        <x:v>R+AR同收同发</x:v>
      </x:c>
      <x:c r="D279" s="25" t="n">
        <x:v>0</x:v>
      </x:c>
      <x:c r="E279" s="25" t="n">
        <x:v>3</x:v>
      </x:c>
      <x:c r="F279" s="25" t="n">
        <x:v>3</x:v>
      </x:c>
      <x:c r="G279" s="19" t="n">
        <x:f>SUM(D279:F279)</x:f>
        <x:v>6</x:v>
      </x:c>
      <x:c r="H279" s="25" t="n">
        <x:v>1</x:v>
      </x:c>
      <x:c r="I279" s="25" t="n">
        <x:v>1</x:v>
      </x:c>
      <x:c r="J279" s="25" t="n">
        <x:v>2</x:v>
      </x:c>
      <x:c r="K279" s="19" t="n">
        <x:f>D279-IF(H279=0,1,0)</x:f>
        <x:v>0</x:v>
      </x:c>
      <x:c r="L279" s="19" t="n">
        <x:f>E279-IF(H279=1,1,0)</x:f>
        <x:v>2</x:v>
      </x:c>
      <x:c r="M279" s="19" t="n">
        <x:f>F279-IF(H279=2,1,0)</x:f>
        <x:v>3</x:v>
      </x:c>
      <x:c r="N279" s="19" t="n">
        <x:f>MAX(K279-1,0)+MAX(L279-1,0)+MAX(M279-1,0)</x:f>
        <x:v>3</x:v>
      </x:c>
      <x:c r="O279" s="19" t="n">
        <x:f>IF(AND(SUM(K279:M279)&lt;9,OR(M279=0,N279&lt;6)),1,0)</x:f>
        <x:v>1</x:v>
      </x:c>
      <x:c r="P279" s="19" t="n">
        <x:f>IF(AND(SUM(K279:M279)&lt;9,OR(L279=0,N279&lt;6)),1,0)</x:f>
        <x:v>1</x:v>
      </x:c>
      <x:c r="Q279" s="19" t="n">
        <x:f>IF(AND(SUM(K279:M279)&lt;9,OR(K279=0,N279&lt;6)),1,0)</x:f>
        <x:v>1</x:v>
      </x:c>
      <x:c r="R279" s="22" t="str">
        <x:f>O279&amp;P279&amp;Q279</x:f>
        <x:v>111</x:v>
      </x:c>
      <x:c r="S279" s="19" t="n">
        <x:f>IF(I279=1,IF(J279=0,Q279,IF(J279=1,P279,IF(J279=2,O279,0))),0)</x:f>
        <x:v>1</x:v>
      </x:c>
      <x:c r="T279" s="19" t="n">
        <x:f>K279+IF(AND(S279=1,J279=0),1,0)</x:f>
        <x:v>0</x:v>
      </x:c>
      <x:c r="U279" s="19" t="n">
        <x:f>L279+IF(AND(S279=1,J279=1),1,0)</x:f>
        <x:v>2</x:v>
      </x:c>
      <x:c r="V279" s="19" t="n">
        <x:f>M279+IF(AND(S279=1,J279=2),1,0)</x:f>
        <x:v>4</x:v>
      </x:c>
      <x:c r="W279" s="19" t="n">
        <x:f>SUM(T279:V279)</x:f>
        <x:v>6</x:v>
      </x:c>
      <x:c r="X279" s="19" t="n">
        <x:f>W279-G279</x:f>
        <x:v>0</x:v>
      </x:c>
      <x:c r="Y279" s="19" t="n">
        <x:f>MAX(T279,1)+MAX(U279,1)+MAX(V279,1)</x:f>
        <x:v>7</x:v>
      </x:c>
      <x:c r="Z279" s="21" t="str">
        <x:f>IF(AND(MIN(D279:F279)&gt;=0,MAX(D279:F279)&lt;=7,MAX(D279,1)+MAX(E279,1)+MAX(F279,1)&lt;=9,OR(H279="-",AND(H279=0,D279&gt;0),AND(H279=1,E279&gt;0),AND(H279=2,F279&gt;0)),OR(I279=0,AND(I279=1,OR(J279=0,J279=1,J279=2),R279&lt;&gt;"000")),Y279&lt;=9,MIN(T279:V279)&gt;=0),"合法","输入违约")</x:f>
        <x:v>合法</x:v>
      </x:c>
    </x:row>
    <x:row r="280" ht="23" customHeight="1">
      <x:c r="A280" s="3" t="str">
        <x:v>CT-0273</x:v>
      </x:c>
      <x:c r="B280" s="3" t="str">
        <x:v>ST-060</x:v>
      </x:c>
      <x:c r="C280" s="3" t="str">
        <x:v>仅R回收</x:v>
      </x:c>
      <x:c r="D280" s="25" t="n">
        <x:v>0</x:v>
      </x:c>
      <x:c r="E280" s="25" t="n">
        <x:v>3</x:v>
      </x:c>
      <x:c r="F280" s="25" t="n">
        <x:v>3</x:v>
      </x:c>
      <x:c r="G280" s="19" t="n">
        <x:f>SUM(D280:F280)</x:f>
        <x:v>6</x:v>
      </x:c>
      <x:c r="H280" s="25" t="n">
        <x:v>2</x:v>
      </x:c>
      <x:c r="I280" s="25" t="n">
        <x:v>0</x:v>
      </x:c>
      <x:c r="J280" s="25" t="str">
        <x:v>-</x:v>
      </x:c>
      <x:c r="K280" s="19" t="n">
        <x:f>D280-IF(H280=0,1,0)</x:f>
        <x:v>0</x:v>
      </x:c>
      <x:c r="L280" s="19" t="n">
        <x:f>E280-IF(H280=1,1,0)</x:f>
        <x:v>3</x:v>
      </x:c>
      <x:c r="M280" s="19" t="n">
        <x:f>F280-IF(H280=2,1,0)</x:f>
        <x:v>2</x:v>
      </x:c>
      <x:c r="N280" s="19" t="n">
        <x:f>MAX(K280-1,0)+MAX(L280-1,0)+MAX(M280-1,0)</x:f>
        <x:v>3</x:v>
      </x:c>
      <x:c r="O280" s="19" t="n">
        <x:f>IF(AND(SUM(K280:M280)&lt;9,OR(M280=0,N280&lt;6)),1,0)</x:f>
        <x:v>1</x:v>
      </x:c>
      <x:c r="P280" s="19" t="n">
        <x:f>IF(AND(SUM(K280:M280)&lt;9,OR(L280=0,N280&lt;6)),1,0)</x:f>
        <x:v>1</x:v>
      </x:c>
      <x:c r="Q280" s="19" t="n">
        <x:f>IF(AND(SUM(K280:M280)&lt;9,OR(K280=0,N280&lt;6)),1,0)</x:f>
        <x:v>1</x:v>
      </x:c>
      <x:c r="R280" s="22" t="str">
        <x:f>O280&amp;P280&amp;Q280</x:f>
        <x:v>111</x:v>
      </x:c>
      <x:c r="S280" s="19" t="n">
        <x:f>IF(I280=1,IF(J280=0,Q280,IF(J280=1,P280,IF(J280=2,O280,0))),0)</x:f>
        <x:v>0</x:v>
      </x:c>
      <x:c r="T280" s="19" t="n">
        <x:f>K280+IF(AND(S280=1,J280=0),1,0)</x:f>
        <x:v>0</x:v>
      </x:c>
      <x:c r="U280" s="19" t="n">
        <x:f>L280+IF(AND(S280=1,J280=1),1,0)</x:f>
        <x:v>3</x:v>
      </x:c>
      <x:c r="V280" s="19" t="n">
        <x:f>M280+IF(AND(S280=1,J280=2),1,0)</x:f>
        <x:v>2</x:v>
      </x:c>
      <x:c r="W280" s="19" t="n">
        <x:f>SUM(T280:V280)</x:f>
        <x:v>5</x:v>
      </x:c>
      <x:c r="X280" s="19" t="n">
        <x:f>W280-G280</x:f>
        <x:v>-1</x:v>
      </x:c>
      <x:c r="Y280" s="19" t="n">
        <x:f>MAX(T280,1)+MAX(U280,1)+MAX(V280,1)</x:f>
        <x:v>6</x:v>
      </x:c>
      <x:c r="Z280" s="21" t="str">
        <x:f>IF(AND(MIN(D280:F280)&gt;=0,MAX(D280:F280)&lt;=7,MAX(D280,1)+MAX(E280,1)+MAX(F280,1)&lt;=9,OR(H280="-",AND(H280=0,D280&gt;0),AND(H280=1,E280&gt;0),AND(H280=2,F280&gt;0)),OR(I280=0,AND(I280=1,OR(J280=0,J280=1,J280=2),R280&lt;&gt;"000")),Y280&lt;=9,MIN(T280:V280)&gt;=0),"合法","输入违约")</x:f>
        <x:v>合法</x:v>
      </x:c>
    </x:row>
    <x:row r="281" ht="23" customHeight="1">
      <x:c r="A281" s="3" t="str">
        <x:v>CT-0274</x:v>
      </x:c>
      <x:c r="B281" s="3" t="str">
        <x:v>ST-060</x:v>
      </x:c>
      <x:c r="C281" s="3" t="str">
        <x:v>R+AR同收同发</x:v>
      </x:c>
      <x:c r="D281" s="25" t="n">
        <x:v>0</x:v>
      </x:c>
      <x:c r="E281" s="25" t="n">
        <x:v>3</x:v>
      </x:c>
      <x:c r="F281" s="25" t="n">
        <x:v>3</x:v>
      </x:c>
      <x:c r="G281" s="19" t="n">
        <x:f>SUM(D281:F281)</x:f>
        <x:v>6</x:v>
      </x:c>
      <x:c r="H281" s="25" t="n">
        <x:v>2</x:v>
      </x:c>
      <x:c r="I281" s="25" t="n">
        <x:v>1</x:v>
      </x:c>
      <x:c r="J281" s="25" t="n">
        <x:v>0</x:v>
      </x:c>
      <x:c r="K281" s="19" t="n">
        <x:f>D281-IF(H281=0,1,0)</x:f>
        <x:v>0</x:v>
      </x:c>
      <x:c r="L281" s="19" t="n">
        <x:f>E281-IF(H281=1,1,0)</x:f>
        <x:v>3</x:v>
      </x:c>
      <x:c r="M281" s="19" t="n">
        <x:f>F281-IF(H281=2,1,0)</x:f>
        <x:v>2</x:v>
      </x:c>
      <x:c r="N281" s="19" t="n">
        <x:f>MAX(K281-1,0)+MAX(L281-1,0)+MAX(M281-1,0)</x:f>
        <x:v>3</x:v>
      </x:c>
      <x:c r="O281" s="19" t="n">
        <x:f>IF(AND(SUM(K281:M281)&lt;9,OR(M281=0,N281&lt;6)),1,0)</x:f>
        <x:v>1</x:v>
      </x:c>
      <x:c r="P281" s="19" t="n">
        <x:f>IF(AND(SUM(K281:M281)&lt;9,OR(L281=0,N281&lt;6)),1,0)</x:f>
        <x:v>1</x:v>
      </x:c>
      <x:c r="Q281" s="19" t="n">
        <x:f>IF(AND(SUM(K281:M281)&lt;9,OR(K281=0,N281&lt;6)),1,0)</x:f>
        <x:v>1</x:v>
      </x:c>
      <x:c r="R281" s="22" t="str">
        <x:f>O281&amp;P281&amp;Q281</x:f>
        <x:v>111</x:v>
      </x:c>
      <x:c r="S281" s="19" t="n">
        <x:f>IF(I281=1,IF(J281=0,Q281,IF(J281=1,P281,IF(J281=2,O281,0))),0)</x:f>
        <x:v>1</x:v>
      </x:c>
      <x:c r="T281" s="19" t="n">
        <x:f>K281+IF(AND(S281=1,J281=0),1,0)</x:f>
        <x:v>1</x:v>
      </x:c>
      <x:c r="U281" s="19" t="n">
        <x:f>L281+IF(AND(S281=1,J281=1),1,0)</x:f>
        <x:v>3</x:v>
      </x:c>
      <x:c r="V281" s="19" t="n">
        <x:f>M281+IF(AND(S281=1,J281=2),1,0)</x:f>
        <x:v>2</x:v>
      </x:c>
      <x:c r="W281" s="19" t="n">
        <x:f>SUM(T281:V281)</x:f>
        <x:v>6</x:v>
      </x:c>
      <x:c r="X281" s="19" t="n">
        <x:f>W281-G281</x:f>
        <x:v>0</x:v>
      </x:c>
      <x:c r="Y281" s="19" t="n">
        <x:f>MAX(T281,1)+MAX(U281,1)+MAX(V281,1)</x:f>
        <x:v>6</x:v>
      </x:c>
      <x:c r="Z281" s="21" t="str">
        <x:f>IF(AND(MIN(D281:F281)&gt;=0,MAX(D281:F281)&lt;=7,MAX(D281,1)+MAX(E281,1)+MAX(F281,1)&lt;=9,OR(H281="-",AND(H281=0,D281&gt;0),AND(H281=1,E281&gt;0),AND(H281=2,F281&gt;0)),OR(I281=0,AND(I281=1,OR(J281=0,J281=1,J281=2),R281&lt;&gt;"000")),Y281&lt;=9,MIN(T281:V281)&gt;=0),"合法","输入违约")</x:f>
        <x:v>合法</x:v>
      </x:c>
    </x:row>
    <x:row r="282" ht="23" customHeight="1">
      <x:c r="A282" s="3" t="str">
        <x:v>CT-0275</x:v>
      </x:c>
      <x:c r="B282" s="3" t="str">
        <x:v>ST-060</x:v>
      </x:c>
      <x:c r="C282" s="3" t="str">
        <x:v>R+AR同收同发</x:v>
      </x:c>
      <x:c r="D282" s="25" t="n">
        <x:v>0</x:v>
      </x:c>
      <x:c r="E282" s="25" t="n">
        <x:v>3</x:v>
      </x:c>
      <x:c r="F282" s="25" t="n">
        <x:v>3</x:v>
      </x:c>
      <x:c r="G282" s="19" t="n">
        <x:f>SUM(D282:F282)</x:f>
        <x:v>6</x:v>
      </x:c>
      <x:c r="H282" s="25" t="n">
        <x:v>2</x:v>
      </x:c>
      <x:c r="I282" s="25" t="n">
        <x:v>1</x:v>
      </x:c>
      <x:c r="J282" s="25" t="n">
        <x:v>1</x:v>
      </x:c>
      <x:c r="K282" s="19" t="n">
        <x:f>D282-IF(H282=0,1,0)</x:f>
        <x:v>0</x:v>
      </x:c>
      <x:c r="L282" s="19" t="n">
        <x:f>E282-IF(H282=1,1,0)</x:f>
        <x:v>3</x:v>
      </x:c>
      <x:c r="M282" s="19" t="n">
        <x:f>F282-IF(H282=2,1,0)</x:f>
        <x:v>2</x:v>
      </x:c>
      <x:c r="N282" s="19" t="n">
        <x:f>MAX(K282-1,0)+MAX(L282-1,0)+MAX(M282-1,0)</x:f>
        <x:v>3</x:v>
      </x:c>
      <x:c r="O282" s="19" t="n">
        <x:f>IF(AND(SUM(K282:M282)&lt;9,OR(M282=0,N282&lt;6)),1,0)</x:f>
        <x:v>1</x:v>
      </x:c>
      <x:c r="P282" s="19" t="n">
        <x:f>IF(AND(SUM(K282:M282)&lt;9,OR(L282=0,N282&lt;6)),1,0)</x:f>
        <x:v>1</x:v>
      </x:c>
      <x:c r="Q282" s="19" t="n">
        <x:f>IF(AND(SUM(K282:M282)&lt;9,OR(K282=0,N282&lt;6)),1,0)</x:f>
        <x:v>1</x:v>
      </x:c>
      <x:c r="R282" s="22" t="str">
        <x:f>O282&amp;P282&amp;Q282</x:f>
        <x:v>111</x:v>
      </x:c>
      <x:c r="S282" s="19" t="n">
        <x:f>IF(I282=1,IF(J282=0,Q282,IF(J282=1,P282,IF(J282=2,O282,0))),0)</x:f>
        <x:v>1</x:v>
      </x:c>
      <x:c r="T282" s="19" t="n">
        <x:f>K282+IF(AND(S282=1,J282=0),1,0)</x:f>
        <x:v>0</x:v>
      </x:c>
      <x:c r="U282" s="19" t="n">
        <x:f>L282+IF(AND(S282=1,J282=1),1,0)</x:f>
        <x:v>4</x:v>
      </x:c>
      <x:c r="V282" s="19" t="n">
        <x:f>M282+IF(AND(S282=1,J282=2),1,0)</x:f>
        <x:v>2</x:v>
      </x:c>
      <x:c r="W282" s="19" t="n">
        <x:f>SUM(T282:V282)</x:f>
        <x:v>6</x:v>
      </x:c>
      <x:c r="X282" s="19" t="n">
        <x:f>W282-G282</x:f>
        <x:v>0</x:v>
      </x:c>
      <x:c r="Y282" s="19" t="n">
        <x:f>MAX(T282,1)+MAX(U282,1)+MAX(V282,1)</x:f>
        <x:v>7</x:v>
      </x:c>
      <x:c r="Z282" s="21" t="str">
        <x:f>IF(AND(MIN(D282:F282)&gt;=0,MAX(D282:F282)&lt;=7,MAX(D282,1)+MAX(E282,1)+MAX(F282,1)&lt;=9,OR(H282="-",AND(H282=0,D282&gt;0),AND(H282=1,E282&gt;0),AND(H282=2,F282&gt;0)),OR(I282=0,AND(I282=1,OR(J282=0,J282=1,J282=2),R282&lt;&gt;"000")),Y282&lt;=9,MIN(T282:V282)&gt;=0),"合法","输入违约")</x:f>
        <x:v>合法</x:v>
      </x:c>
    </x:row>
    <x:row r="283" ht="23" customHeight="1">
      <x:c r="A283" s="3" t="str">
        <x:v>CT-0276</x:v>
      </x:c>
      <x:c r="B283" s="3" t="str">
        <x:v>ST-060</x:v>
      </x:c>
      <x:c r="C283" s="3" t="str">
        <x:v>R+AR同收同发</x:v>
      </x:c>
      <x:c r="D283" s="25" t="n">
        <x:v>0</x:v>
      </x:c>
      <x:c r="E283" s="25" t="n">
        <x:v>3</x:v>
      </x:c>
      <x:c r="F283" s="25" t="n">
        <x:v>3</x:v>
      </x:c>
      <x:c r="G283" s="19" t="n">
        <x:f>SUM(D283:F283)</x:f>
        <x:v>6</x:v>
      </x:c>
      <x:c r="H283" s="25" t="n">
        <x:v>2</x:v>
      </x:c>
      <x:c r="I283" s="25" t="n">
        <x:v>1</x:v>
      </x:c>
      <x:c r="J283" s="25" t="n">
        <x:v>2</x:v>
      </x:c>
      <x:c r="K283" s="19" t="n">
        <x:f>D283-IF(H283=0,1,0)</x:f>
        <x:v>0</x:v>
      </x:c>
      <x:c r="L283" s="19" t="n">
        <x:f>E283-IF(H283=1,1,0)</x:f>
        <x:v>3</x:v>
      </x:c>
      <x:c r="M283" s="19" t="n">
        <x:f>F283-IF(H283=2,1,0)</x:f>
        <x:v>2</x:v>
      </x:c>
      <x:c r="N283" s="19" t="n">
        <x:f>MAX(K283-1,0)+MAX(L283-1,0)+MAX(M283-1,0)</x:f>
        <x:v>3</x:v>
      </x:c>
      <x:c r="O283" s="19" t="n">
        <x:f>IF(AND(SUM(K283:M283)&lt;9,OR(M283=0,N283&lt;6)),1,0)</x:f>
        <x:v>1</x:v>
      </x:c>
      <x:c r="P283" s="19" t="n">
        <x:f>IF(AND(SUM(K283:M283)&lt;9,OR(L283=0,N283&lt;6)),1,0)</x:f>
        <x:v>1</x:v>
      </x:c>
      <x:c r="Q283" s="19" t="n">
        <x:f>IF(AND(SUM(K283:M283)&lt;9,OR(K283=0,N283&lt;6)),1,0)</x:f>
        <x:v>1</x:v>
      </x:c>
      <x:c r="R283" s="22" t="str">
        <x:f>O283&amp;P283&amp;Q283</x:f>
        <x:v>111</x:v>
      </x:c>
      <x:c r="S283" s="19" t="n">
        <x:f>IF(I283=1,IF(J283=0,Q283,IF(J283=1,P283,IF(J283=2,O283,0))),0)</x:f>
        <x:v>1</x:v>
      </x:c>
      <x:c r="T283" s="19" t="n">
        <x:f>K283+IF(AND(S283=1,J283=0),1,0)</x:f>
        <x:v>0</x:v>
      </x:c>
      <x:c r="U283" s="19" t="n">
        <x:f>L283+IF(AND(S283=1,J283=1),1,0)</x:f>
        <x:v>3</x:v>
      </x:c>
      <x:c r="V283" s="19" t="n">
        <x:f>M283+IF(AND(S283=1,J283=2),1,0)</x:f>
        <x:v>3</x:v>
      </x:c>
      <x:c r="W283" s="19" t="n">
        <x:f>SUM(T283:V283)</x:f>
        <x:v>6</x:v>
      </x:c>
      <x:c r="X283" s="19" t="n">
        <x:f>W283-G283</x:f>
        <x:v>0</x:v>
      </x:c>
      <x:c r="Y283" s="19" t="n">
        <x:f>MAX(T283,1)+MAX(U283,1)+MAX(V283,1)</x:f>
        <x:v>7</x:v>
      </x:c>
      <x:c r="Z283" s="21" t="str">
        <x:f>IF(AND(MIN(D283:F283)&gt;=0,MAX(D283:F283)&lt;=7,MAX(D283,1)+MAX(E283,1)+MAX(F283,1)&lt;=9,OR(H283="-",AND(H283=0,D283&gt;0),AND(H283=1,E283&gt;0),AND(H283=2,F283&gt;0)),OR(I283=0,AND(I283=1,OR(J283=0,J283=1,J283=2),R283&lt;&gt;"000")),Y283&lt;=9,MIN(T283:V283)&gt;=0),"合法","输入违约")</x:f>
        <x:v>合法</x:v>
      </x:c>
    </x:row>
    <x:row r="284" ht="23" customHeight="1">
      <x:c r="A284" s="3" t="str">
        <x:v>CT-0277</x:v>
      </x:c>
      <x:c r="B284" s="3" t="str">
        <x:v>ST-088</x:v>
      </x:c>
      <x:c r="C284" s="3" t="str">
        <x:v>无AR/R</x:v>
      </x:c>
      <x:c r="D284" s="25" t="n">
        <x:v>0</x:v>
      </x:c>
      <x:c r="E284" s="25" t="n">
        <x:v>3</x:v>
      </x:c>
      <x:c r="F284" s="25" t="n">
        <x:v>4</x:v>
      </x:c>
      <x:c r="G284" s="19" t="n">
        <x:f>SUM(D284:F284)</x:f>
        <x:v>7</x:v>
      </x:c>
      <x:c r="H284" s="25" t="str">
        <x:v>-</x:v>
      </x:c>
      <x:c r="I284" s="25" t="n">
        <x:v>0</x:v>
      </x:c>
      <x:c r="J284" s="25" t="str">
        <x:v>-</x:v>
      </x:c>
      <x:c r="K284" s="19" t="n">
        <x:f>D284-IF(H284=0,1,0)</x:f>
        <x:v>0</x:v>
      </x:c>
      <x:c r="L284" s="19" t="n">
        <x:f>E284-IF(H284=1,1,0)</x:f>
        <x:v>3</x:v>
      </x:c>
      <x:c r="M284" s="19" t="n">
        <x:f>F284-IF(H284=2,1,0)</x:f>
        <x:v>4</x:v>
      </x:c>
      <x:c r="N284" s="19" t="n">
        <x:f>MAX(K284-1,0)+MAX(L284-1,0)+MAX(M284-1,0)</x:f>
        <x:v>5</x:v>
      </x:c>
      <x:c r="O284" s="19" t="n">
        <x:f>IF(AND(SUM(K284:M284)&lt;9,OR(M284=0,N284&lt;6)),1,0)</x:f>
        <x:v>1</x:v>
      </x:c>
      <x:c r="P284" s="19" t="n">
        <x:f>IF(AND(SUM(K284:M284)&lt;9,OR(L284=0,N284&lt;6)),1,0)</x:f>
        <x:v>1</x:v>
      </x:c>
      <x:c r="Q284" s="19" t="n">
        <x:f>IF(AND(SUM(K284:M284)&lt;9,OR(K284=0,N284&lt;6)),1,0)</x:f>
        <x:v>1</x:v>
      </x:c>
      <x:c r="R284" s="22" t="str">
        <x:f>O284&amp;P284&amp;Q284</x:f>
        <x:v>111</x:v>
      </x:c>
      <x:c r="S284" s="19" t="n">
        <x:f>IF(I284=1,IF(J284=0,Q284,IF(J284=1,P284,IF(J284=2,O284,0))),0)</x:f>
        <x:v>0</x:v>
      </x:c>
      <x:c r="T284" s="19" t="n">
        <x:f>K284+IF(AND(S284=1,J284=0),1,0)</x:f>
        <x:v>0</x:v>
      </x:c>
      <x:c r="U284" s="19" t="n">
        <x:f>L284+IF(AND(S284=1,J284=1),1,0)</x:f>
        <x:v>3</x:v>
      </x:c>
      <x:c r="V284" s="19" t="n">
        <x:f>M284+IF(AND(S284=1,J284=2),1,0)</x:f>
        <x:v>4</x:v>
      </x:c>
      <x:c r="W284" s="19" t="n">
        <x:f>SUM(T284:V284)</x:f>
        <x:v>7</x:v>
      </x:c>
      <x:c r="X284" s="19" t="n">
        <x:f>W284-G284</x:f>
        <x:v>0</x:v>
      </x:c>
      <x:c r="Y284" s="19" t="n">
        <x:f>MAX(T284,1)+MAX(U284,1)+MAX(V284,1)</x:f>
        <x:v>8</x:v>
      </x:c>
      <x:c r="Z284" s="21" t="str">
        <x:f>IF(AND(MIN(D284:F284)&gt;=0,MAX(D284:F284)&lt;=7,MAX(D284,1)+MAX(E284,1)+MAX(F284,1)&lt;=9,OR(H284="-",AND(H284=0,D284&gt;0),AND(H284=1,E284&gt;0),AND(H284=2,F284&gt;0)),OR(I284=0,AND(I284=1,OR(J284=0,J284=1,J284=2),R284&lt;&gt;"000")),Y284&lt;=9,MIN(T284:V284)&gt;=0),"合法","输入违约")</x:f>
        <x:v>合法</x:v>
      </x:c>
    </x:row>
    <x:row r="285" ht="23" customHeight="1">
      <x:c r="A285" s="3" t="str">
        <x:v>CT-0278</x:v>
      </x:c>
      <x:c r="B285" s="3" t="str">
        <x:v>ST-088</x:v>
      </x:c>
      <x:c r="C285" s="3" t="str">
        <x:v>仅AR接收</x:v>
      </x:c>
      <x:c r="D285" s="25" t="n">
        <x:v>0</x:v>
      </x:c>
      <x:c r="E285" s="25" t="n">
        <x:v>3</x:v>
      </x:c>
      <x:c r="F285" s="25" t="n">
        <x:v>4</x:v>
      </x:c>
      <x:c r="G285" s="19" t="n">
        <x:f>SUM(D285:F285)</x:f>
        <x:v>7</x:v>
      </x:c>
      <x:c r="H285" s="25" t="str">
        <x:v>-</x:v>
      </x:c>
      <x:c r="I285" s="25" t="n">
        <x:v>1</x:v>
      </x:c>
      <x:c r="J285" s="25" t="n">
        <x:v>0</x:v>
      </x:c>
      <x:c r="K285" s="19" t="n">
        <x:f>D285-IF(H285=0,1,0)</x:f>
        <x:v>0</x:v>
      </x:c>
      <x:c r="L285" s="19" t="n">
        <x:f>E285-IF(H285=1,1,0)</x:f>
        <x:v>3</x:v>
      </x:c>
      <x:c r="M285" s="19" t="n">
        <x:f>F285-IF(H285=2,1,0)</x:f>
        <x:v>4</x:v>
      </x:c>
      <x:c r="N285" s="19" t="n">
        <x:f>MAX(K285-1,0)+MAX(L285-1,0)+MAX(M285-1,0)</x:f>
        <x:v>5</x:v>
      </x:c>
      <x:c r="O285" s="19" t="n">
        <x:f>IF(AND(SUM(K285:M285)&lt;9,OR(M285=0,N285&lt;6)),1,0)</x:f>
        <x:v>1</x:v>
      </x:c>
      <x:c r="P285" s="19" t="n">
        <x:f>IF(AND(SUM(K285:M285)&lt;9,OR(L285=0,N285&lt;6)),1,0)</x:f>
        <x:v>1</x:v>
      </x:c>
      <x:c r="Q285" s="19" t="n">
        <x:f>IF(AND(SUM(K285:M285)&lt;9,OR(K285=0,N285&lt;6)),1,0)</x:f>
        <x:v>1</x:v>
      </x:c>
      <x:c r="R285" s="22" t="str">
        <x:f>O285&amp;P285&amp;Q285</x:f>
        <x:v>111</x:v>
      </x:c>
      <x:c r="S285" s="19" t="n">
        <x:f>IF(I285=1,IF(J285=0,Q285,IF(J285=1,P285,IF(J285=2,O285,0))),0)</x:f>
        <x:v>1</x:v>
      </x:c>
      <x:c r="T285" s="19" t="n">
        <x:f>K285+IF(AND(S285=1,J285=0),1,0)</x:f>
        <x:v>1</x:v>
      </x:c>
      <x:c r="U285" s="19" t="n">
        <x:f>L285+IF(AND(S285=1,J285=1),1,0)</x:f>
        <x:v>3</x:v>
      </x:c>
      <x:c r="V285" s="19" t="n">
        <x:f>M285+IF(AND(S285=1,J285=2),1,0)</x:f>
        <x:v>4</x:v>
      </x:c>
      <x:c r="W285" s="19" t="n">
        <x:f>SUM(T285:V285)</x:f>
        <x:v>8</x:v>
      </x:c>
      <x:c r="X285" s="19" t="n">
        <x:f>W285-G285</x:f>
        <x:v>1</x:v>
      </x:c>
      <x:c r="Y285" s="19" t="n">
        <x:f>MAX(T285,1)+MAX(U285,1)+MAX(V285,1)</x:f>
        <x:v>8</x:v>
      </x:c>
      <x:c r="Z285" s="21" t="str">
        <x:f>IF(AND(MIN(D285:F285)&gt;=0,MAX(D285:F285)&lt;=7,MAX(D285,1)+MAX(E285,1)+MAX(F285,1)&lt;=9,OR(H285="-",AND(H285=0,D285&gt;0),AND(H285=1,E285&gt;0),AND(H285=2,F285&gt;0)),OR(I285=0,AND(I285=1,OR(J285=0,J285=1,J285=2),R285&lt;&gt;"000")),Y285&lt;=9,MIN(T285:V285)&gt;=0),"合法","输入违约")</x:f>
        <x:v>合法</x:v>
      </x:c>
    </x:row>
    <x:row r="286" ht="23" customHeight="1">
      <x:c r="A286" s="3" t="str">
        <x:v>CT-0279</x:v>
      </x:c>
      <x:c r="B286" s="3" t="str">
        <x:v>ST-088</x:v>
      </x:c>
      <x:c r="C286" s="3" t="str">
        <x:v>仅AR接收</x:v>
      </x:c>
      <x:c r="D286" s="25" t="n">
        <x:v>0</x:v>
      </x:c>
      <x:c r="E286" s="25" t="n">
        <x:v>3</x:v>
      </x:c>
      <x:c r="F286" s="25" t="n">
        <x:v>4</x:v>
      </x:c>
      <x:c r="G286" s="19" t="n">
        <x:f>SUM(D286:F286)</x:f>
        <x:v>7</x:v>
      </x:c>
      <x:c r="H286" s="25" t="str">
        <x:v>-</x:v>
      </x:c>
      <x:c r="I286" s="25" t="n">
        <x:v>1</x:v>
      </x:c>
      <x:c r="J286" s="25" t="n">
        <x:v>1</x:v>
      </x:c>
      <x:c r="K286" s="19" t="n">
        <x:f>D286-IF(H286=0,1,0)</x:f>
        <x:v>0</x:v>
      </x:c>
      <x:c r="L286" s="19" t="n">
        <x:f>E286-IF(H286=1,1,0)</x:f>
        <x:v>3</x:v>
      </x:c>
      <x:c r="M286" s="19" t="n">
        <x:f>F286-IF(H286=2,1,0)</x:f>
        <x:v>4</x:v>
      </x:c>
      <x:c r="N286" s="19" t="n">
        <x:f>MAX(K286-1,0)+MAX(L286-1,0)+MAX(M286-1,0)</x:f>
        <x:v>5</x:v>
      </x:c>
      <x:c r="O286" s="19" t="n">
        <x:f>IF(AND(SUM(K286:M286)&lt;9,OR(M286=0,N286&lt;6)),1,0)</x:f>
        <x:v>1</x:v>
      </x:c>
      <x:c r="P286" s="19" t="n">
        <x:f>IF(AND(SUM(K286:M286)&lt;9,OR(L286=0,N286&lt;6)),1,0)</x:f>
        <x:v>1</x:v>
      </x:c>
      <x:c r="Q286" s="19" t="n">
        <x:f>IF(AND(SUM(K286:M286)&lt;9,OR(K286=0,N286&lt;6)),1,0)</x:f>
        <x:v>1</x:v>
      </x:c>
      <x:c r="R286" s="22" t="str">
        <x:f>O286&amp;P286&amp;Q286</x:f>
        <x:v>111</x:v>
      </x:c>
      <x:c r="S286" s="19" t="n">
        <x:f>IF(I286=1,IF(J286=0,Q286,IF(J286=1,P286,IF(J286=2,O286,0))),0)</x:f>
        <x:v>1</x:v>
      </x:c>
      <x:c r="T286" s="19" t="n">
        <x:f>K286+IF(AND(S286=1,J286=0),1,0)</x:f>
        <x:v>0</x:v>
      </x:c>
      <x:c r="U286" s="19" t="n">
        <x:f>L286+IF(AND(S286=1,J286=1),1,0)</x:f>
        <x:v>4</x:v>
      </x:c>
      <x:c r="V286" s="19" t="n">
        <x:f>M286+IF(AND(S286=1,J286=2),1,0)</x:f>
        <x:v>4</x:v>
      </x:c>
      <x:c r="W286" s="19" t="n">
        <x:f>SUM(T286:V286)</x:f>
        <x:v>8</x:v>
      </x:c>
      <x:c r="X286" s="19" t="n">
        <x:f>W286-G286</x:f>
        <x:v>1</x:v>
      </x:c>
      <x:c r="Y286" s="19" t="n">
        <x:f>MAX(T286,1)+MAX(U286,1)+MAX(V286,1)</x:f>
        <x:v>9</x:v>
      </x:c>
      <x:c r="Z286" s="21" t="str">
        <x:f>IF(AND(MIN(D286:F286)&gt;=0,MAX(D286:F286)&lt;=7,MAX(D286,1)+MAX(E286,1)+MAX(F286,1)&lt;=9,OR(H286="-",AND(H286=0,D286&gt;0),AND(H286=1,E286&gt;0),AND(H286=2,F286&gt;0)),OR(I286=0,AND(I286=1,OR(J286=0,J286=1,J286=2),R286&lt;&gt;"000")),Y286&lt;=9,MIN(T286:V286)&gt;=0),"合法","输入违约")</x:f>
        <x:v>合法</x:v>
      </x:c>
    </x:row>
    <x:row r="287" ht="23" customHeight="1">
      <x:c r="A287" s="3" t="str">
        <x:v>CT-0280</x:v>
      </x:c>
      <x:c r="B287" s="3" t="str">
        <x:v>ST-088</x:v>
      </x:c>
      <x:c r="C287" s="3" t="str">
        <x:v>仅AR接收</x:v>
      </x:c>
      <x:c r="D287" s="25" t="n">
        <x:v>0</x:v>
      </x:c>
      <x:c r="E287" s="25" t="n">
        <x:v>3</x:v>
      </x:c>
      <x:c r="F287" s="25" t="n">
        <x:v>4</x:v>
      </x:c>
      <x:c r="G287" s="19" t="n">
        <x:f>SUM(D287:F287)</x:f>
        <x:v>7</x:v>
      </x:c>
      <x:c r="H287" s="25" t="str">
        <x:v>-</x:v>
      </x:c>
      <x:c r="I287" s="25" t="n">
        <x:v>1</x:v>
      </x:c>
      <x:c r="J287" s="25" t="n">
        <x:v>2</x:v>
      </x:c>
      <x:c r="K287" s="19" t="n">
        <x:f>D287-IF(H287=0,1,0)</x:f>
        <x:v>0</x:v>
      </x:c>
      <x:c r="L287" s="19" t="n">
        <x:f>E287-IF(H287=1,1,0)</x:f>
        <x:v>3</x:v>
      </x:c>
      <x:c r="M287" s="19" t="n">
        <x:f>F287-IF(H287=2,1,0)</x:f>
        <x:v>4</x:v>
      </x:c>
      <x:c r="N287" s="19" t="n">
        <x:f>MAX(K287-1,0)+MAX(L287-1,0)+MAX(M287-1,0)</x:f>
        <x:v>5</x:v>
      </x:c>
      <x:c r="O287" s="19" t="n">
        <x:f>IF(AND(SUM(K287:M287)&lt;9,OR(M287=0,N287&lt;6)),1,0)</x:f>
        <x:v>1</x:v>
      </x:c>
      <x:c r="P287" s="19" t="n">
        <x:f>IF(AND(SUM(K287:M287)&lt;9,OR(L287=0,N287&lt;6)),1,0)</x:f>
        <x:v>1</x:v>
      </x:c>
      <x:c r="Q287" s="19" t="n">
        <x:f>IF(AND(SUM(K287:M287)&lt;9,OR(K287=0,N287&lt;6)),1,0)</x:f>
        <x:v>1</x:v>
      </x:c>
      <x:c r="R287" s="22" t="str">
        <x:f>O287&amp;P287&amp;Q287</x:f>
        <x:v>111</x:v>
      </x:c>
      <x:c r="S287" s="19" t="n">
        <x:f>IF(I287=1,IF(J287=0,Q287,IF(J287=1,P287,IF(J287=2,O287,0))),0)</x:f>
        <x:v>1</x:v>
      </x:c>
      <x:c r="T287" s="19" t="n">
        <x:f>K287+IF(AND(S287=1,J287=0),1,0)</x:f>
        <x:v>0</x:v>
      </x:c>
      <x:c r="U287" s="19" t="n">
        <x:f>L287+IF(AND(S287=1,J287=1),1,0)</x:f>
        <x:v>3</x:v>
      </x:c>
      <x:c r="V287" s="19" t="n">
        <x:f>M287+IF(AND(S287=1,J287=2),1,0)</x:f>
        <x:v>5</x:v>
      </x:c>
      <x:c r="W287" s="19" t="n">
        <x:f>SUM(T287:V287)</x:f>
        <x:v>8</x:v>
      </x:c>
      <x:c r="X287" s="19" t="n">
        <x:f>W287-G287</x:f>
        <x:v>1</x:v>
      </x:c>
      <x:c r="Y287" s="19" t="n">
        <x:f>MAX(T287,1)+MAX(U287,1)+MAX(V287,1)</x:f>
        <x:v>9</x:v>
      </x:c>
      <x:c r="Z287" s="21" t="str">
        <x:f>IF(AND(MIN(D287:F287)&gt;=0,MAX(D287:F287)&lt;=7,MAX(D287,1)+MAX(E287,1)+MAX(F287,1)&lt;=9,OR(H287="-",AND(H287=0,D287&gt;0),AND(H287=1,E287&gt;0),AND(H287=2,F287&gt;0)),OR(I287=0,AND(I287=1,OR(J287=0,J287=1,J287=2),R287&lt;&gt;"000")),Y287&lt;=9,MIN(T287:V287)&gt;=0),"合法","输入违约")</x:f>
        <x:v>合法</x:v>
      </x:c>
    </x:row>
    <x:row r="288" ht="23" customHeight="1">
      <x:c r="A288" s="3" t="str">
        <x:v>CT-0281</x:v>
      </x:c>
      <x:c r="B288" s="3" t="str">
        <x:v>ST-088</x:v>
      </x:c>
      <x:c r="C288" s="3" t="str">
        <x:v>仅R回收</x:v>
      </x:c>
      <x:c r="D288" s="25" t="n">
        <x:v>0</x:v>
      </x:c>
      <x:c r="E288" s="25" t="n">
        <x:v>3</x:v>
      </x:c>
      <x:c r="F288" s="25" t="n">
        <x:v>4</x:v>
      </x:c>
      <x:c r="G288" s="19" t="n">
        <x:f>SUM(D288:F288)</x:f>
        <x:v>7</x:v>
      </x:c>
      <x:c r="H288" s="25" t="n">
        <x:v>1</x:v>
      </x:c>
      <x:c r="I288" s="25" t="n">
        <x:v>0</x:v>
      </x:c>
      <x:c r="J288" s="25" t="str">
        <x:v>-</x:v>
      </x:c>
      <x:c r="K288" s="19" t="n">
        <x:f>D288-IF(H288=0,1,0)</x:f>
        <x:v>0</x:v>
      </x:c>
      <x:c r="L288" s="19" t="n">
        <x:f>E288-IF(H288=1,1,0)</x:f>
        <x:v>2</x:v>
      </x:c>
      <x:c r="M288" s="19" t="n">
        <x:f>F288-IF(H288=2,1,0)</x:f>
        <x:v>4</x:v>
      </x:c>
      <x:c r="N288" s="19" t="n">
        <x:f>MAX(K288-1,0)+MAX(L288-1,0)+MAX(M288-1,0)</x:f>
        <x:v>4</x:v>
      </x:c>
      <x:c r="O288" s="19" t="n">
        <x:f>IF(AND(SUM(K288:M288)&lt;9,OR(M288=0,N288&lt;6)),1,0)</x:f>
        <x:v>1</x:v>
      </x:c>
      <x:c r="P288" s="19" t="n">
        <x:f>IF(AND(SUM(K288:M288)&lt;9,OR(L288=0,N288&lt;6)),1,0)</x:f>
        <x:v>1</x:v>
      </x:c>
      <x:c r="Q288" s="19" t="n">
        <x:f>IF(AND(SUM(K288:M288)&lt;9,OR(K288=0,N288&lt;6)),1,0)</x:f>
        <x:v>1</x:v>
      </x:c>
      <x:c r="R288" s="22" t="str">
        <x:f>O288&amp;P288&amp;Q288</x:f>
        <x:v>111</x:v>
      </x:c>
      <x:c r="S288" s="19" t="n">
        <x:f>IF(I288=1,IF(J288=0,Q288,IF(J288=1,P288,IF(J288=2,O288,0))),0)</x:f>
        <x:v>0</x:v>
      </x:c>
      <x:c r="T288" s="19" t="n">
        <x:f>K288+IF(AND(S288=1,J288=0),1,0)</x:f>
        <x:v>0</x:v>
      </x:c>
      <x:c r="U288" s="19" t="n">
        <x:f>L288+IF(AND(S288=1,J288=1),1,0)</x:f>
        <x:v>2</x:v>
      </x:c>
      <x:c r="V288" s="19" t="n">
        <x:f>M288+IF(AND(S288=1,J288=2),1,0)</x:f>
        <x:v>4</x:v>
      </x:c>
      <x:c r="W288" s="19" t="n">
        <x:f>SUM(T288:V288)</x:f>
        <x:v>6</x:v>
      </x:c>
      <x:c r="X288" s="19" t="n">
        <x:f>W288-G288</x:f>
        <x:v>-1</x:v>
      </x:c>
      <x:c r="Y288" s="19" t="n">
        <x:f>MAX(T288,1)+MAX(U288,1)+MAX(V288,1)</x:f>
        <x:v>7</x:v>
      </x:c>
      <x:c r="Z288" s="21" t="str">
        <x:f>IF(AND(MIN(D288:F288)&gt;=0,MAX(D288:F288)&lt;=7,MAX(D288,1)+MAX(E288,1)+MAX(F288,1)&lt;=9,OR(H288="-",AND(H288=0,D288&gt;0),AND(H288=1,E288&gt;0),AND(H288=2,F288&gt;0)),OR(I288=0,AND(I288=1,OR(J288=0,J288=1,J288=2),R288&lt;&gt;"000")),Y288&lt;=9,MIN(T288:V288)&gt;=0),"合法","输入违约")</x:f>
        <x:v>合法</x:v>
      </x:c>
    </x:row>
    <x:row r="289" ht="23" customHeight="1">
      <x:c r="A289" s="3" t="str">
        <x:v>CT-0282</x:v>
      </x:c>
      <x:c r="B289" s="3" t="str">
        <x:v>ST-088</x:v>
      </x:c>
      <x:c r="C289" s="3" t="str">
        <x:v>R+AR同收同发</x:v>
      </x:c>
      <x:c r="D289" s="25" t="n">
        <x:v>0</x:v>
      </x:c>
      <x:c r="E289" s="25" t="n">
        <x:v>3</x:v>
      </x:c>
      <x:c r="F289" s="25" t="n">
        <x:v>4</x:v>
      </x:c>
      <x:c r="G289" s="19" t="n">
        <x:f>SUM(D289:F289)</x:f>
        <x:v>7</x:v>
      </x:c>
      <x:c r="H289" s="25" t="n">
        <x:v>1</x:v>
      </x:c>
      <x:c r="I289" s="25" t="n">
        <x:v>1</x:v>
      </x:c>
      <x:c r="J289" s="25" t="n">
        <x:v>0</x:v>
      </x:c>
      <x:c r="K289" s="19" t="n">
        <x:f>D289-IF(H289=0,1,0)</x:f>
        <x:v>0</x:v>
      </x:c>
      <x:c r="L289" s="19" t="n">
        <x:f>E289-IF(H289=1,1,0)</x:f>
        <x:v>2</x:v>
      </x:c>
      <x:c r="M289" s="19" t="n">
        <x:f>F289-IF(H289=2,1,0)</x:f>
        <x:v>4</x:v>
      </x:c>
      <x:c r="N289" s="19" t="n">
        <x:f>MAX(K289-1,0)+MAX(L289-1,0)+MAX(M289-1,0)</x:f>
        <x:v>4</x:v>
      </x:c>
      <x:c r="O289" s="19" t="n">
        <x:f>IF(AND(SUM(K289:M289)&lt;9,OR(M289=0,N289&lt;6)),1,0)</x:f>
        <x:v>1</x:v>
      </x:c>
      <x:c r="P289" s="19" t="n">
        <x:f>IF(AND(SUM(K289:M289)&lt;9,OR(L289=0,N289&lt;6)),1,0)</x:f>
        <x:v>1</x:v>
      </x:c>
      <x:c r="Q289" s="19" t="n">
        <x:f>IF(AND(SUM(K289:M289)&lt;9,OR(K289=0,N289&lt;6)),1,0)</x:f>
        <x:v>1</x:v>
      </x:c>
      <x:c r="R289" s="22" t="str">
        <x:f>O289&amp;P289&amp;Q289</x:f>
        <x:v>111</x:v>
      </x:c>
      <x:c r="S289" s="19" t="n">
        <x:f>IF(I289=1,IF(J289=0,Q289,IF(J289=1,P289,IF(J289=2,O289,0))),0)</x:f>
        <x:v>1</x:v>
      </x:c>
      <x:c r="T289" s="19" t="n">
        <x:f>K289+IF(AND(S289=1,J289=0),1,0)</x:f>
        <x:v>1</x:v>
      </x:c>
      <x:c r="U289" s="19" t="n">
        <x:f>L289+IF(AND(S289=1,J289=1),1,0)</x:f>
        <x:v>2</x:v>
      </x:c>
      <x:c r="V289" s="19" t="n">
        <x:f>M289+IF(AND(S289=1,J289=2),1,0)</x:f>
        <x:v>4</x:v>
      </x:c>
      <x:c r="W289" s="19" t="n">
        <x:f>SUM(T289:V289)</x:f>
        <x:v>7</x:v>
      </x:c>
      <x:c r="X289" s="19" t="n">
        <x:f>W289-G289</x:f>
        <x:v>0</x:v>
      </x:c>
      <x:c r="Y289" s="19" t="n">
        <x:f>MAX(T289,1)+MAX(U289,1)+MAX(V289,1)</x:f>
        <x:v>7</x:v>
      </x:c>
      <x:c r="Z289" s="21" t="str">
        <x:f>IF(AND(MIN(D289:F289)&gt;=0,MAX(D289:F289)&lt;=7,MAX(D289,1)+MAX(E289,1)+MAX(F289,1)&lt;=9,OR(H289="-",AND(H289=0,D289&gt;0),AND(H289=1,E289&gt;0),AND(H289=2,F289&gt;0)),OR(I289=0,AND(I289=1,OR(J289=0,J289=1,J289=2),R289&lt;&gt;"000")),Y289&lt;=9,MIN(T289:V289)&gt;=0),"合法","输入违约")</x:f>
        <x:v>合法</x:v>
      </x:c>
    </x:row>
    <x:row r="290" ht="23" customHeight="1">
      <x:c r="A290" s="3" t="str">
        <x:v>CT-0283</x:v>
      </x:c>
      <x:c r="B290" s="3" t="str">
        <x:v>ST-088</x:v>
      </x:c>
      <x:c r="C290" s="3" t="str">
        <x:v>R+AR同收同发</x:v>
      </x:c>
      <x:c r="D290" s="25" t="n">
        <x:v>0</x:v>
      </x:c>
      <x:c r="E290" s="25" t="n">
        <x:v>3</x:v>
      </x:c>
      <x:c r="F290" s="25" t="n">
        <x:v>4</x:v>
      </x:c>
      <x:c r="G290" s="19" t="n">
        <x:f>SUM(D290:F290)</x:f>
        <x:v>7</x:v>
      </x:c>
      <x:c r="H290" s="25" t="n">
        <x:v>1</x:v>
      </x:c>
      <x:c r="I290" s="25" t="n">
        <x:v>1</x:v>
      </x:c>
      <x:c r="J290" s="25" t="n">
        <x:v>1</x:v>
      </x:c>
      <x:c r="K290" s="19" t="n">
        <x:f>D290-IF(H290=0,1,0)</x:f>
        <x:v>0</x:v>
      </x:c>
      <x:c r="L290" s="19" t="n">
        <x:f>E290-IF(H290=1,1,0)</x:f>
        <x:v>2</x:v>
      </x:c>
      <x:c r="M290" s="19" t="n">
        <x:f>F290-IF(H290=2,1,0)</x:f>
        <x:v>4</x:v>
      </x:c>
      <x:c r="N290" s="19" t="n">
        <x:f>MAX(K290-1,0)+MAX(L290-1,0)+MAX(M290-1,0)</x:f>
        <x:v>4</x:v>
      </x:c>
      <x:c r="O290" s="19" t="n">
        <x:f>IF(AND(SUM(K290:M290)&lt;9,OR(M290=0,N290&lt;6)),1,0)</x:f>
        <x:v>1</x:v>
      </x:c>
      <x:c r="P290" s="19" t="n">
        <x:f>IF(AND(SUM(K290:M290)&lt;9,OR(L290=0,N290&lt;6)),1,0)</x:f>
        <x:v>1</x:v>
      </x:c>
      <x:c r="Q290" s="19" t="n">
        <x:f>IF(AND(SUM(K290:M290)&lt;9,OR(K290=0,N290&lt;6)),1,0)</x:f>
        <x:v>1</x:v>
      </x:c>
      <x:c r="R290" s="22" t="str">
        <x:f>O290&amp;P290&amp;Q290</x:f>
        <x:v>111</x:v>
      </x:c>
      <x:c r="S290" s="19" t="n">
        <x:f>IF(I290=1,IF(J290=0,Q290,IF(J290=1,P290,IF(J290=2,O290,0))),0)</x:f>
        <x:v>1</x:v>
      </x:c>
      <x:c r="T290" s="19" t="n">
        <x:f>K290+IF(AND(S290=1,J290=0),1,0)</x:f>
        <x:v>0</x:v>
      </x:c>
      <x:c r="U290" s="19" t="n">
        <x:f>L290+IF(AND(S290=1,J290=1),1,0)</x:f>
        <x:v>3</x:v>
      </x:c>
      <x:c r="V290" s="19" t="n">
        <x:f>M290+IF(AND(S290=1,J290=2),1,0)</x:f>
        <x:v>4</x:v>
      </x:c>
      <x:c r="W290" s="19" t="n">
        <x:f>SUM(T290:V290)</x:f>
        <x:v>7</x:v>
      </x:c>
      <x:c r="X290" s="19" t="n">
        <x:f>W290-G290</x:f>
        <x:v>0</x:v>
      </x:c>
      <x:c r="Y290" s="19" t="n">
        <x:f>MAX(T290,1)+MAX(U290,1)+MAX(V290,1)</x:f>
        <x:v>8</x:v>
      </x:c>
      <x:c r="Z290" s="21" t="str">
        <x:f>IF(AND(MIN(D290:F290)&gt;=0,MAX(D290:F290)&lt;=7,MAX(D290,1)+MAX(E290,1)+MAX(F290,1)&lt;=9,OR(H290="-",AND(H290=0,D290&gt;0),AND(H290=1,E290&gt;0),AND(H290=2,F290&gt;0)),OR(I290=0,AND(I290=1,OR(J290=0,J290=1,J290=2),R290&lt;&gt;"000")),Y290&lt;=9,MIN(T290:V290)&gt;=0),"合法","输入违约")</x:f>
        <x:v>合法</x:v>
      </x:c>
    </x:row>
    <x:row r="291" ht="23" customHeight="1">
      <x:c r="A291" s="3" t="str">
        <x:v>CT-0284</x:v>
      </x:c>
      <x:c r="B291" s="3" t="str">
        <x:v>ST-088</x:v>
      </x:c>
      <x:c r="C291" s="3" t="str">
        <x:v>R+AR同收同发</x:v>
      </x:c>
      <x:c r="D291" s="25" t="n">
        <x:v>0</x:v>
      </x:c>
      <x:c r="E291" s="25" t="n">
        <x:v>3</x:v>
      </x:c>
      <x:c r="F291" s="25" t="n">
        <x:v>4</x:v>
      </x:c>
      <x:c r="G291" s="19" t="n">
        <x:f>SUM(D291:F291)</x:f>
        <x:v>7</x:v>
      </x:c>
      <x:c r="H291" s="25" t="n">
        <x:v>1</x:v>
      </x:c>
      <x:c r="I291" s="25" t="n">
        <x:v>1</x:v>
      </x:c>
      <x:c r="J291" s="25" t="n">
        <x:v>2</x:v>
      </x:c>
      <x:c r="K291" s="19" t="n">
        <x:f>D291-IF(H291=0,1,0)</x:f>
        <x:v>0</x:v>
      </x:c>
      <x:c r="L291" s="19" t="n">
        <x:f>E291-IF(H291=1,1,0)</x:f>
        <x:v>2</x:v>
      </x:c>
      <x:c r="M291" s="19" t="n">
        <x:f>F291-IF(H291=2,1,0)</x:f>
        <x:v>4</x:v>
      </x:c>
      <x:c r="N291" s="19" t="n">
        <x:f>MAX(K291-1,0)+MAX(L291-1,0)+MAX(M291-1,0)</x:f>
        <x:v>4</x:v>
      </x:c>
      <x:c r="O291" s="19" t="n">
        <x:f>IF(AND(SUM(K291:M291)&lt;9,OR(M291=0,N291&lt;6)),1,0)</x:f>
        <x:v>1</x:v>
      </x:c>
      <x:c r="P291" s="19" t="n">
        <x:f>IF(AND(SUM(K291:M291)&lt;9,OR(L291=0,N291&lt;6)),1,0)</x:f>
        <x:v>1</x:v>
      </x:c>
      <x:c r="Q291" s="19" t="n">
        <x:f>IF(AND(SUM(K291:M291)&lt;9,OR(K291=0,N291&lt;6)),1,0)</x:f>
        <x:v>1</x:v>
      </x:c>
      <x:c r="R291" s="22" t="str">
        <x:f>O291&amp;P291&amp;Q291</x:f>
        <x:v>111</x:v>
      </x:c>
      <x:c r="S291" s="19" t="n">
        <x:f>IF(I291=1,IF(J291=0,Q291,IF(J291=1,P291,IF(J291=2,O291,0))),0)</x:f>
        <x:v>1</x:v>
      </x:c>
      <x:c r="T291" s="19" t="n">
        <x:f>K291+IF(AND(S291=1,J291=0),1,0)</x:f>
        <x:v>0</x:v>
      </x:c>
      <x:c r="U291" s="19" t="n">
        <x:f>L291+IF(AND(S291=1,J291=1),1,0)</x:f>
        <x:v>2</x:v>
      </x:c>
      <x:c r="V291" s="19" t="n">
        <x:f>M291+IF(AND(S291=1,J291=2),1,0)</x:f>
        <x:v>5</x:v>
      </x:c>
      <x:c r="W291" s="19" t="n">
        <x:f>SUM(T291:V291)</x:f>
        <x:v>7</x:v>
      </x:c>
      <x:c r="X291" s="19" t="n">
        <x:f>W291-G291</x:f>
        <x:v>0</x:v>
      </x:c>
      <x:c r="Y291" s="19" t="n">
        <x:f>MAX(T291,1)+MAX(U291,1)+MAX(V291,1)</x:f>
        <x:v>8</x:v>
      </x:c>
      <x:c r="Z291" s="21" t="str">
        <x:f>IF(AND(MIN(D291:F291)&gt;=0,MAX(D291:F291)&lt;=7,MAX(D291,1)+MAX(E291,1)+MAX(F291,1)&lt;=9,OR(H291="-",AND(H291=0,D291&gt;0),AND(H291=1,E291&gt;0),AND(H291=2,F291&gt;0)),OR(I291=0,AND(I291=1,OR(J291=0,J291=1,J291=2),R291&lt;&gt;"000")),Y291&lt;=9,MIN(T291:V291)&gt;=0),"合法","输入违约")</x:f>
        <x:v>合法</x:v>
      </x:c>
    </x:row>
    <x:row r="292" ht="23" customHeight="1">
      <x:c r="A292" s="3" t="str">
        <x:v>CT-0285</x:v>
      </x:c>
      <x:c r="B292" s="3" t="str">
        <x:v>ST-088</x:v>
      </x:c>
      <x:c r="C292" s="3" t="str">
        <x:v>仅R回收</x:v>
      </x:c>
      <x:c r="D292" s="25" t="n">
        <x:v>0</x:v>
      </x:c>
      <x:c r="E292" s="25" t="n">
        <x:v>3</x:v>
      </x:c>
      <x:c r="F292" s="25" t="n">
        <x:v>4</x:v>
      </x:c>
      <x:c r="G292" s="19" t="n">
        <x:f>SUM(D292:F292)</x:f>
        <x:v>7</x:v>
      </x:c>
      <x:c r="H292" s="25" t="n">
        <x:v>2</x:v>
      </x:c>
      <x:c r="I292" s="25" t="n">
        <x:v>0</x:v>
      </x:c>
      <x:c r="J292" s="25" t="str">
        <x:v>-</x:v>
      </x:c>
      <x:c r="K292" s="19" t="n">
        <x:f>D292-IF(H292=0,1,0)</x:f>
        <x:v>0</x:v>
      </x:c>
      <x:c r="L292" s="19" t="n">
        <x:f>E292-IF(H292=1,1,0)</x:f>
        <x:v>3</x:v>
      </x:c>
      <x:c r="M292" s="19" t="n">
        <x:f>F292-IF(H292=2,1,0)</x:f>
        <x:v>3</x:v>
      </x:c>
      <x:c r="N292" s="19" t="n">
        <x:f>MAX(K292-1,0)+MAX(L292-1,0)+MAX(M292-1,0)</x:f>
        <x:v>4</x:v>
      </x:c>
      <x:c r="O292" s="19" t="n">
        <x:f>IF(AND(SUM(K292:M292)&lt;9,OR(M292=0,N292&lt;6)),1,0)</x:f>
        <x:v>1</x:v>
      </x:c>
      <x:c r="P292" s="19" t="n">
        <x:f>IF(AND(SUM(K292:M292)&lt;9,OR(L292=0,N292&lt;6)),1,0)</x:f>
        <x:v>1</x:v>
      </x:c>
      <x:c r="Q292" s="19" t="n">
        <x:f>IF(AND(SUM(K292:M292)&lt;9,OR(K292=0,N292&lt;6)),1,0)</x:f>
        <x:v>1</x:v>
      </x:c>
      <x:c r="R292" s="22" t="str">
        <x:f>O292&amp;P292&amp;Q292</x:f>
        <x:v>111</x:v>
      </x:c>
      <x:c r="S292" s="19" t="n">
        <x:f>IF(I292=1,IF(J292=0,Q292,IF(J292=1,P292,IF(J292=2,O292,0))),0)</x:f>
        <x:v>0</x:v>
      </x:c>
      <x:c r="T292" s="19" t="n">
        <x:f>K292+IF(AND(S292=1,J292=0),1,0)</x:f>
        <x:v>0</x:v>
      </x:c>
      <x:c r="U292" s="19" t="n">
        <x:f>L292+IF(AND(S292=1,J292=1),1,0)</x:f>
        <x:v>3</x:v>
      </x:c>
      <x:c r="V292" s="19" t="n">
        <x:f>M292+IF(AND(S292=1,J292=2),1,0)</x:f>
        <x:v>3</x:v>
      </x:c>
      <x:c r="W292" s="19" t="n">
        <x:f>SUM(T292:V292)</x:f>
        <x:v>6</x:v>
      </x:c>
      <x:c r="X292" s="19" t="n">
        <x:f>W292-G292</x:f>
        <x:v>-1</x:v>
      </x:c>
      <x:c r="Y292" s="19" t="n">
        <x:f>MAX(T292,1)+MAX(U292,1)+MAX(V292,1)</x:f>
        <x:v>7</x:v>
      </x:c>
      <x:c r="Z292" s="21" t="str">
        <x:f>IF(AND(MIN(D292:F292)&gt;=0,MAX(D292:F292)&lt;=7,MAX(D292,1)+MAX(E292,1)+MAX(F292,1)&lt;=9,OR(H292="-",AND(H292=0,D292&gt;0),AND(H292=1,E292&gt;0),AND(H292=2,F292&gt;0)),OR(I292=0,AND(I292=1,OR(J292=0,J292=1,J292=2),R292&lt;&gt;"000")),Y292&lt;=9,MIN(T292:V292)&gt;=0),"合法","输入违约")</x:f>
        <x:v>合法</x:v>
      </x:c>
    </x:row>
    <x:row r="293" ht="23" customHeight="1">
      <x:c r="A293" s="3" t="str">
        <x:v>CT-0286</x:v>
      </x:c>
      <x:c r="B293" s="3" t="str">
        <x:v>ST-088</x:v>
      </x:c>
      <x:c r="C293" s="3" t="str">
        <x:v>R+AR同收同发</x:v>
      </x:c>
      <x:c r="D293" s="25" t="n">
        <x:v>0</x:v>
      </x:c>
      <x:c r="E293" s="25" t="n">
        <x:v>3</x:v>
      </x:c>
      <x:c r="F293" s="25" t="n">
        <x:v>4</x:v>
      </x:c>
      <x:c r="G293" s="19" t="n">
        <x:f>SUM(D293:F293)</x:f>
        <x:v>7</x:v>
      </x:c>
      <x:c r="H293" s="25" t="n">
        <x:v>2</x:v>
      </x:c>
      <x:c r="I293" s="25" t="n">
        <x:v>1</x:v>
      </x:c>
      <x:c r="J293" s="25" t="n">
        <x:v>0</x:v>
      </x:c>
      <x:c r="K293" s="19" t="n">
        <x:f>D293-IF(H293=0,1,0)</x:f>
        <x:v>0</x:v>
      </x:c>
      <x:c r="L293" s="19" t="n">
        <x:f>E293-IF(H293=1,1,0)</x:f>
        <x:v>3</x:v>
      </x:c>
      <x:c r="M293" s="19" t="n">
        <x:f>F293-IF(H293=2,1,0)</x:f>
        <x:v>3</x:v>
      </x:c>
      <x:c r="N293" s="19" t="n">
        <x:f>MAX(K293-1,0)+MAX(L293-1,0)+MAX(M293-1,0)</x:f>
        <x:v>4</x:v>
      </x:c>
      <x:c r="O293" s="19" t="n">
        <x:f>IF(AND(SUM(K293:M293)&lt;9,OR(M293=0,N293&lt;6)),1,0)</x:f>
        <x:v>1</x:v>
      </x:c>
      <x:c r="P293" s="19" t="n">
        <x:f>IF(AND(SUM(K293:M293)&lt;9,OR(L293=0,N293&lt;6)),1,0)</x:f>
        <x:v>1</x:v>
      </x:c>
      <x:c r="Q293" s="19" t="n">
        <x:f>IF(AND(SUM(K293:M293)&lt;9,OR(K293=0,N293&lt;6)),1,0)</x:f>
        <x:v>1</x:v>
      </x:c>
      <x:c r="R293" s="22" t="str">
        <x:f>O293&amp;P293&amp;Q293</x:f>
        <x:v>111</x:v>
      </x:c>
      <x:c r="S293" s="19" t="n">
        <x:f>IF(I293=1,IF(J293=0,Q293,IF(J293=1,P293,IF(J293=2,O293,0))),0)</x:f>
        <x:v>1</x:v>
      </x:c>
      <x:c r="T293" s="19" t="n">
        <x:f>K293+IF(AND(S293=1,J293=0),1,0)</x:f>
        <x:v>1</x:v>
      </x:c>
      <x:c r="U293" s="19" t="n">
        <x:f>L293+IF(AND(S293=1,J293=1),1,0)</x:f>
        <x:v>3</x:v>
      </x:c>
      <x:c r="V293" s="19" t="n">
        <x:f>M293+IF(AND(S293=1,J293=2),1,0)</x:f>
        <x:v>3</x:v>
      </x:c>
      <x:c r="W293" s="19" t="n">
        <x:f>SUM(T293:V293)</x:f>
        <x:v>7</x:v>
      </x:c>
      <x:c r="X293" s="19" t="n">
        <x:f>W293-G293</x:f>
        <x:v>0</x:v>
      </x:c>
      <x:c r="Y293" s="19" t="n">
        <x:f>MAX(T293,1)+MAX(U293,1)+MAX(V293,1)</x:f>
        <x:v>7</x:v>
      </x:c>
      <x:c r="Z293" s="21" t="str">
        <x:f>IF(AND(MIN(D293:F293)&gt;=0,MAX(D293:F293)&lt;=7,MAX(D293,1)+MAX(E293,1)+MAX(F293,1)&lt;=9,OR(H293="-",AND(H293=0,D293&gt;0),AND(H293=1,E293&gt;0),AND(H293=2,F293&gt;0)),OR(I293=0,AND(I293=1,OR(J293=0,J293=1,J293=2),R293&lt;&gt;"000")),Y293&lt;=9,MIN(T293:V293)&gt;=0),"合法","输入违约")</x:f>
        <x:v>合法</x:v>
      </x:c>
    </x:row>
    <x:row r="294" ht="23" customHeight="1">
      <x:c r="A294" s="3" t="str">
        <x:v>CT-0287</x:v>
      </x:c>
      <x:c r="B294" s="3" t="str">
        <x:v>ST-088</x:v>
      </x:c>
      <x:c r="C294" s="3" t="str">
        <x:v>R+AR同收同发</x:v>
      </x:c>
      <x:c r="D294" s="25" t="n">
        <x:v>0</x:v>
      </x:c>
      <x:c r="E294" s="25" t="n">
        <x:v>3</x:v>
      </x:c>
      <x:c r="F294" s="25" t="n">
        <x:v>4</x:v>
      </x:c>
      <x:c r="G294" s="19" t="n">
        <x:f>SUM(D294:F294)</x:f>
        <x:v>7</x:v>
      </x:c>
      <x:c r="H294" s="25" t="n">
        <x:v>2</x:v>
      </x:c>
      <x:c r="I294" s="25" t="n">
        <x:v>1</x:v>
      </x:c>
      <x:c r="J294" s="25" t="n">
        <x:v>1</x:v>
      </x:c>
      <x:c r="K294" s="19" t="n">
        <x:f>D294-IF(H294=0,1,0)</x:f>
        <x:v>0</x:v>
      </x:c>
      <x:c r="L294" s="19" t="n">
        <x:f>E294-IF(H294=1,1,0)</x:f>
        <x:v>3</x:v>
      </x:c>
      <x:c r="M294" s="19" t="n">
        <x:f>F294-IF(H294=2,1,0)</x:f>
        <x:v>3</x:v>
      </x:c>
      <x:c r="N294" s="19" t="n">
        <x:f>MAX(K294-1,0)+MAX(L294-1,0)+MAX(M294-1,0)</x:f>
        <x:v>4</x:v>
      </x:c>
      <x:c r="O294" s="19" t="n">
        <x:f>IF(AND(SUM(K294:M294)&lt;9,OR(M294=0,N294&lt;6)),1,0)</x:f>
        <x:v>1</x:v>
      </x:c>
      <x:c r="P294" s="19" t="n">
        <x:f>IF(AND(SUM(K294:M294)&lt;9,OR(L294=0,N294&lt;6)),1,0)</x:f>
        <x:v>1</x:v>
      </x:c>
      <x:c r="Q294" s="19" t="n">
        <x:f>IF(AND(SUM(K294:M294)&lt;9,OR(K294=0,N294&lt;6)),1,0)</x:f>
        <x:v>1</x:v>
      </x:c>
      <x:c r="R294" s="22" t="str">
        <x:f>O294&amp;P294&amp;Q294</x:f>
        <x:v>111</x:v>
      </x:c>
      <x:c r="S294" s="19" t="n">
        <x:f>IF(I294=1,IF(J294=0,Q294,IF(J294=1,P294,IF(J294=2,O294,0))),0)</x:f>
        <x:v>1</x:v>
      </x:c>
      <x:c r="T294" s="19" t="n">
        <x:f>K294+IF(AND(S294=1,J294=0),1,0)</x:f>
        <x:v>0</x:v>
      </x:c>
      <x:c r="U294" s="19" t="n">
        <x:f>L294+IF(AND(S294=1,J294=1),1,0)</x:f>
        <x:v>4</x:v>
      </x:c>
      <x:c r="V294" s="19" t="n">
        <x:f>M294+IF(AND(S294=1,J294=2),1,0)</x:f>
        <x:v>3</x:v>
      </x:c>
      <x:c r="W294" s="19" t="n">
        <x:f>SUM(T294:V294)</x:f>
        <x:v>7</x:v>
      </x:c>
      <x:c r="X294" s="19" t="n">
        <x:f>W294-G294</x:f>
        <x:v>0</x:v>
      </x:c>
      <x:c r="Y294" s="19" t="n">
        <x:f>MAX(T294,1)+MAX(U294,1)+MAX(V294,1)</x:f>
        <x:v>8</x:v>
      </x:c>
      <x:c r="Z294" s="21" t="str">
        <x:f>IF(AND(MIN(D294:F294)&gt;=0,MAX(D294:F294)&lt;=7,MAX(D294,1)+MAX(E294,1)+MAX(F294,1)&lt;=9,OR(H294="-",AND(H294=0,D294&gt;0),AND(H294=1,E294&gt;0),AND(H294=2,F294&gt;0)),OR(I294=0,AND(I294=1,OR(J294=0,J294=1,J294=2),R294&lt;&gt;"000")),Y294&lt;=9,MIN(T294:V294)&gt;=0),"合法","输入违约")</x:f>
        <x:v>合法</x:v>
      </x:c>
    </x:row>
    <x:row r="295" ht="23" customHeight="1">
      <x:c r="A295" s="3" t="str">
        <x:v>CT-0288</x:v>
      </x:c>
      <x:c r="B295" s="3" t="str">
        <x:v>ST-088</x:v>
      </x:c>
      <x:c r="C295" s="3" t="str">
        <x:v>R+AR同收同发</x:v>
      </x:c>
      <x:c r="D295" s="25" t="n">
        <x:v>0</x:v>
      </x:c>
      <x:c r="E295" s="25" t="n">
        <x:v>3</x:v>
      </x:c>
      <x:c r="F295" s="25" t="n">
        <x:v>4</x:v>
      </x:c>
      <x:c r="G295" s="19" t="n">
        <x:f>SUM(D295:F295)</x:f>
        <x:v>7</x:v>
      </x:c>
      <x:c r="H295" s="25" t="n">
        <x:v>2</x:v>
      </x:c>
      <x:c r="I295" s="25" t="n">
        <x:v>1</x:v>
      </x:c>
      <x:c r="J295" s="25" t="n">
        <x:v>2</x:v>
      </x:c>
      <x:c r="K295" s="19" t="n">
        <x:f>D295-IF(H295=0,1,0)</x:f>
        <x:v>0</x:v>
      </x:c>
      <x:c r="L295" s="19" t="n">
        <x:f>E295-IF(H295=1,1,0)</x:f>
        <x:v>3</x:v>
      </x:c>
      <x:c r="M295" s="19" t="n">
        <x:f>F295-IF(H295=2,1,0)</x:f>
        <x:v>3</x:v>
      </x:c>
      <x:c r="N295" s="19" t="n">
        <x:f>MAX(K295-1,0)+MAX(L295-1,0)+MAX(M295-1,0)</x:f>
        <x:v>4</x:v>
      </x:c>
      <x:c r="O295" s="19" t="n">
        <x:f>IF(AND(SUM(K295:M295)&lt;9,OR(M295=0,N295&lt;6)),1,0)</x:f>
        <x:v>1</x:v>
      </x:c>
      <x:c r="P295" s="19" t="n">
        <x:f>IF(AND(SUM(K295:M295)&lt;9,OR(L295=0,N295&lt;6)),1,0)</x:f>
        <x:v>1</x:v>
      </x:c>
      <x:c r="Q295" s="19" t="n">
        <x:f>IF(AND(SUM(K295:M295)&lt;9,OR(K295=0,N295&lt;6)),1,0)</x:f>
        <x:v>1</x:v>
      </x:c>
      <x:c r="R295" s="22" t="str">
        <x:f>O295&amp;P295&amp;Q295</x:f>
        <x:v>111</x:v>
      </x:c>
      <x:c r="S295" s="19" t="n">
        <x:f>IF(I295=1,IF(J295=0,Q295,IF(J295=1,P295,IF(J295=2,O295,0))),0)</x:f>
        <x:v>1</x:v>
      </x:c>
      <x:c r="T295" s="19" t="n">
        <x:f>K295+IF(AND(S295=1,J295=0),1,0)</x:f>
        <x:v>0</x:v>
      </x:c>
      <x:c r="U295" s="19" t="n">
        <x:f>L295+IF(AND(S295=1,J295=1),1,0)</x:f>
        <x:v>3</x:v>
      </x:c>
      <x:c r="V295" s="19" t="n">
        <x:f>M295+IF(AND(S295=1,J295=2),1,0)</x:f>
        <x:v>4</x:v>
      </x:c>
      <x:c r="W295" s="19" t="n">
        <x:f>SUM(T295:V295)</x:f>
        <x:v>7</x:v>
      </x:c>
      <x:c r="X295" s="19" t="n">
        <x:f>W295-G295</x:f>
        <x:v>0</x:v>
      </x:c>
      <x:c r="Y295" s="19" t="n">
        <x:f>MAX(T295,1)+MAX(U295,1)+MAX(V295,1)</x:f>
        <x:v>8</x:v>
      </x:c>
      <x:c r="Z295" s="21" t="str">
        <x:f>IF(AND(MIN(D295:F295)&gt;=0,MAX(D295:F295)&lt;=7,MAX(D295,1)+MAX(E295,1)+MAX(F295,1)&lt;=9,OR(H295="-",AND(H295=0,D295&gt;0),AND(H295=1,E295&gt;0),AND(H295=2,F295&gt;0)),OR(I295=0,AND(I295=1,OR(J295=0,J295=1,J295=2),R295&lt;&gt;"000")),Y295&lt;=9,MIN(T295:V295)&gt;=0),"合法","输入违约")</x:f>
        <x:v>合法</x:v>
      </x:c>
    </x:row>
    <x:row r="296" ht="23" customHeight="1">
      <x:c r="A296" s="3" t="str">
        <x:v>CT-0289</x:v>
      </x:c>
      <x:c r="B296" s="3" t="str">
        <x:v>ST-123</x:v>
      </x:c>
      <x:c r="C296" s="3" t="str">
        <x:v>无AR/R</x:v>
      </x:c>
      <x:c r="D296" s="25" t="n">
        <x:v>0</x:v>
      </x:c>
      <x:c r="E296" s="25" t="n">
        <x:v>3</x:v>
      </x:c>
      <x:c r="F296" s="25" t="n">
        <x:v>5</x:v>
      </x:c>
      <x:c r="G296" s="19" t="n">
        <x:f>SUM(D296:F296)</x:f>
        <x:v>8</x:v>
      </x:c>
      <x:c r="H296" s="25" t="str">
        <x:v>-</x:v>
      </x:c>
      <x:c r="I296" s="25" t="n">
        <x:v>0</x:v>
      </x:c>
      <x:c r="J296" s="25" t="str">
        <x:v>-</x:v>
      </x:c>
      <x:c r="K296" s="19" t="n">
        <x:f>D296-IF(H296=0,1,0)</x:f>
        <x:v>0</x:v>
      </x:c>
      <x:c r="L296" s="19" t="n">
        <x:f>E296-IF(H296=1,1,0)</x:f>
        <x:v>3</x:v>
      </x:c>
      <x:c r="M296" s="19" t="n">
        <x:f>F296-IF(H296=2,1,0)</x:f>
        <x:v>5</x:v>
      </x:c>
      <x:c r="N296" s="19" t="n">
        <x:f>MAX(K296-1,0)+MAX(L296-1,0)+MAX(M296-1,0)</x:f>
        <x:v>6</x:v>
      </x:c>
      <x:c r="O296" s="19" t="n">
        <x:f>IF(AND(SUM(K296:M296)&lt;9,OR(M296=0,N296&lt;6)),1,0)</x:f>
        <x:v>0</x:v>
      </x:c>
      <x:c r="P296" s="19" t="n">
        <x:f>IF(AND(SUM(K296:M296)&lt;9,OR(L296=0,N296&lt;6)),1,0)</x:f>
        <x:v>0</x:v>
      </x:c>
      <x:c r="Q296" s="19" t="n">
        <x:f>IF(AND(SUM(K296:M296)&lt;9,OR(K296=0,N296&lt;6)),1,0)</x:f>
        <x:v>1</x:v>
      </x:c>
      <x:c r="R296" s="22" t="str">
        <x:f>O296&amp;P296&amp;Q296</x:f>
        <x:v>001</x:v>
      </x:c>
      <x:c r="S296" s="19" t="n">
        <x:f>IF(I296=1,IF(J296=0,Q296,IF(J296=1,P296,IF(J296=2,O296,0))),0)</x:f>
        <x:v>0</x:v>
      </x:c>
      <x:c r="T296" s="19" t="n">
        <x:f>K296+IF(AND(S296=1,J296=0),1,0)</x:f>
        <x:v>0</x:v>
      </x:c>
      <x:c r="U296" s="19" t="n">
        <x:f>L296+IF(AND(S296=1,J296=1),1,0)</x:f>
        <x:v>3</x:v>
      </x:c>
      <x:c r="V296" s="19" t="n">
        <x:f>M296+IF(AND(S296=1,J296=2),1,0)</x:f>
        <x:v>5</x:v>
      </x:c>
      <x:c r="W296" s="19" t="n">
        <x:f>SUM(T296:V296)</x:f>
        <x:v>8</x:v>
      </x:c>
      <x:c r="X296" s="19" t="n">
        <x:f>W296-G296</x:f>
        <x:v>0</x:v>
      </x:c>
      <x:c r="Y296" s="19" t="n">
        <x:f>MAX(T296,1)+MAX(U296,1)+MAX(V296,1)</x:f>
        <x:v>9</x:v>
      </x:c>
      <x:c r="Z296" s="21" t="str">
        <x:f>IF(AND(MIN(D296:F296)&gt;=0,MAX(D296:F296)&lt;=7,MAX(D296,1)+MAX(E296,1)+MAX(F296,1)&lt;=9,OR(H296="-",AND(H296=0,D296&gt;0),AND(H296=1,E296&gt;0),AND(H296=2,F296&gt;0)),OR(I296=0,AND(I296=1,OR(J296=0,J296=1,J296=2),R296&lt;&gt;"000")),Y296&lt;=9,MIN(T296:V296)&gt;=0),"合法","输入违约")</x:f>
        <x:v>合法</x:v>
      </x:c>
    </x:row>
    <x:row r="297" ht="23" customHeight="1">
      <x:c r="A297" s="3" t="str">
        <x:v>CT-0290</x:v>
      </x:c>
      <x:c r="B297" s="3" t="str">
        <x:v>ST-123</x:v>
      </x:c>
      <x:c r="C297" s="3" t="str">
        <x:v>仅AR接收</x:v>
      </x:c>
      <x:c r="D297" s="25" t="n">
        <x:v>0</x:v>
      </x:c>
      <x:c r="E297" s="25" t="n">
        <x:v>3</x:v>
      </x:c>
      <x:c r="F297" s="25" t="n">
        <x:v>5</x:v>
      </x:c>
      <x:c r="G297" s="19" t="n">
        <x:f>SUM(D297:F297)</x:f>
        <x:v>8</x:v>
      </x:c>
      <x:c r="H297" s="25" t="str">
        <x:v>-</x:v>
      </x:c>
      <x:c r="I297" s="25" t="n">
        <x:v>1</x:v>
      </x:c>
      <x:c r="J297" s="25" t="n">
        <x:v>0</x:v>
      </x:c>
      <x:c r="K297" s="19" t="n">
        <x:f>D297-IF(H297=0,1,0)</x:f>
        <x:v>0</x:v>
      </x:c>
      <x:c r="L297" s="19" t="n">
        <x:f>E297-IF(H297=1,1,0)</x:f>
        <x:v>3</x:v>
      </x:c>
      <x:c r="M297" s="19" t="n">
        <x:f>F297-IF(H297=2,1,0)</x:f>
        <x:v>5</x:v>
      </x:c>
      <x:c r="N297" s="19" t="n">
        <x:f>MAX(K297-1,0)+MAX(L297-1,0)+MAX(M297-1,0)</x:f>
        <x:v>6</x:v>
      </x:c>
      <x:c r="O297" s="19" t="n">
        <x:f>IF(AND(SUM(K297:M297)&lt;9,OR(M297=0,N297&lt;6)),1,0)</x:f>
        <x:v>0</x:v>
      </x:c>
      <x:c r="P297" s="19" t="n">
        <x:f>IF(AND(SUM(K297:M297)&lt;9,OR(L297=0,N297&lt;6)),1,0)</x:f>
        <x:v>0</x:v>
      </x:c>
      <x:c r="Q297" s="19" t="n">
        <x:f>IF(AND(SUM(K297:M297)&lt;9,OR(K297=0,N297&lt;6)),1,0)</x:f>
        <x:v>1</x:v>
      </x:c>
      <x:c r="R297" s="22" t="str">
        <x:f>O297&amp;P297&amp;Q297</x:f>
        <x:v>001</x:v>
      </x:c>
      <x:c r="S297" s="19" t="n">
        <x:f>IF(I297=1,IF(J297=0,Q297,IF(J297=1,P297,IF(J297=2,O297,0))),0)</x:f>
        <x:v>1</x:v>
      </x:c>
      <x:c r="T297" s="19" t="n">
        <x:f>K297+IF(AND(S297=1,J297=0),1,0)</x:f>
        <x:v>1</x:v>
      </x:c>
      <x:c r="U297" s="19" t="n">
        <x:f>L297+IF(AND(S297=1,J297=1),1,0)</x:f>
        <x:v>3</x:v>
      </x:c>
      <x:c r="V297" s="19" t="n">
        <x:f>M297+IF(AND(S297=1,J297=2),1,0)</x:f>
        <x:v>5</x:v>
      </x:c>
      <x:c r="W297" s="19" t="n">
        <x:f>SUM(T297:V297)</x:f>
        <x:v>9</x:v>
      </x:c>
      <x:c r="X297" s="19" t="n">
        <x:f>W297-G297</x:f>
        <x:v>1</x:v>
      </x:c>
      <x:c r="Y297" s="19" t="n">
        <x:f>MAX(T297,1)+MAX(U297,1)+MAX(V297,1)</x:f>
        <x:v>9</x:v>
      </x:c>
      <x:c r="Z297" s="21" t="str">
        <x:f>IF(AND(MIN(D297:F297)&gt;=0,MAX(D297:F297)&lt;=7,MAX(D297,1)+MAX(E297,1)+MAX(F297,1)&lt;=9,OR(H297="-",AND(H297=0,D297&gt;0),AND(H297=1,E297&gt;0),AND(H297=2,F297&gt;0)),OR(I297=0,AND(I297=1,OR(J297=0,J297=1,J297=2),R297&lt;&gt;"000")),Y297&lt;=9,MIN(T297:V297)&gt;=0),"合法","输入违约")</x:f>
        <x:v>合法</x:v>
      </x:c>
    </x:row>
    <x:row r="298" ht="23" customHeight="1">
      <x:c r="A298" s="3" t="str">
        <x:v>CT-0291</x:v>
      </x:c>
      <x:c r="B298" s="3" t="str">
        <x:v>ST-123</x:v>
      </x:c>
      <x:c r="C298" s="3" t="str">
        <x:v>所选源被阻塞</x:v>
      </x:c>
      <x:c r="D298" s="25" t="n">
        <x:v>0</x:v>
      </x:c>
      <x:c r="E298" s="25" t="n">
        <x:v>3</x:v>
      </x:c>
      <x:c r="F298" s="25" t="n">
        <x:v>5</x:v>
      </x:c>
      <x:c r="G298" s="19" t="n">
        <x:f>SUM(D298:F298)</x:f>
        <x:v>8</x:v>
      </x:c>
      <x:c r="H298" s="25" t="str">
        <x:v>-</x:v>
      </x:c>
      <x:c r="I298" s="25" t="n">
        <x:v>1</x:v>
      </x:c>
      <x:c r="J298" s="25" t="n">
        <x:v>1</x:v>
      </x:c>
      <x:c r="K298" s="19" t="n">
        <x:f>D298-IF(H298=0,1,0)</x:f>
        <x:v>0</x:v>
      </x:c>
      <x:c r="L298" s="19" t="n">
        <x:f>E298-IF(H298=1,1,0)</x:f>
        <x:v>3</x:v>
      </x:c>
      <x:c r="M298" s="19" t="n">
        <x:f>F298-IF(H298=2,1,0)</x:f>
        <x:v>5</x:v>
      </x:c>
      <x:c r="N298" s="19" t="n">
        <x:f>MAX(K298-1,0)+MAX(L298-1,0)+MAX(M298-1,0)</x:f>
        <x:v>6</x:v>
      </x:c>
      <x:c r="O298" s="19" t="n">
        <x:f>IF(AND(SUM(K298:M298)&lt;9,OR(M298=0,N298&lt;6)),1,0)</x:f>
        <x:v>0</x:v>
      </x:c>
      <x:c r="P298" s="19" t="n">
        <x:f>IF(AND(SUM(K298:M298)&lt;9,OR(L298=0,N298&lt;6)),1,0)</x:f>
        <x:v>0</x:v>
      </x:c>
      <x:c r="Q298" s="19" t="n">
        <x:f>IF(AND(SUM(K298:M298)&lt;9,OR(K298=0,N298&lt;6)),1,0)</x:f>
        <x:v>1</x:v>
      </x:c>
      <x:c r="R298" s="22" t="str">
        <x:f>O298&amp;P298&amp;Q298</x:f>
        <x:v>001</x:v>
      </x:c>
      <x:c r="S298" s="19" t="n">
        <x:f>IF(I298=1,IF(J298=0,Q298,IF(J298=1,P298,IF(J298=2,O298,0))),0)</x:f>
        <x:v>0</x:v>
      </x:c>
      <x:c r="T298" s="19" t="n">
        <x:f>K298+IF(AND(S298=1,J298=0),1,0)</x:f>
        <x:v>0</x:v>
      </x:c>
      <x:c r="U298" s="19" t="n">
        <x:f>L298+IF(AND(S298=1,J298=1),1,0)</x:f>
        <x:v>3</x:v>
      </x:c>
      <x:c r="V298" s="19" t="n">
        <x:f>M298+IF(AND(S298=1,J298=2),1,0)</x:f>
        <x:v>5</x:v>
      </x:c>
      <x:c r="W298" s="19" t="n">
        <x:f>SUM(T298:V298)</x:f>
        <x:v>8</x:v>
      </x:c>
      <x:c r="X298" s="19" t="n">
        <x:f>W298-G298</x:f>
        <x:v>0</x:v>
      </x:c>
      <x:c r="Y298" s="19" t="n">
        <x:f>MAX(T298,1)+MAX(U298,1)+MAX(V298,1)</x:f>
        <x:v>9</x:v>
      </x:c>
      <x:c r="Z298" s="21" t="str">
        <x:f>IF(AND(MIN(D298:F298)&gt;=0,MAX(D298:F298)&lt;=7,MAX(D298,1)+MAX(E298,1)+MAX(F298,1)&lt;=9,OR(H298="-",AND(H298=0,D298&gt;0),AND(H298=1,E298&gt;0),AND(H298=2,F298&gt;0)),OR(I298=0,AND(I298=1,OR(J298=0,J298=1,J298=2),R298&lt;&gt;"000")),Y298&lt;=9,MIN(T298:V298)&gt;=0),"合法","输入违约")</x:f>
        <x:v>合法</x:v>
      </x:c>
    </x:row>
    <x:row r="299" ht="23" customHeight="1">
      <x:c r="A299" s="3" t="str">
        <x:v>CT-0292</x:v>
      </x:c>
      <x:c r="B299" s="3" t="str">
        <x:v>ST-123</x:v>
      </x:c>
      <x:c r="C299" s="3" t="str">
        <x:v>所选源被阻塞</x:v>
      </x:c>
      <x:c r="D299" s="25" t="n">
        <x:v>0</x:v>
      </x:c>
      <x:c r="E299" s="25" t="n">
        <x:v>3</x:v>
      </x:c>
      <x:c r="F299" s="25" t="n">
        <x:v>5</x:v>
      </x:c>
      <x:c r="G299" s="19" t="n">
        <x:f>SUM(D299:F299)</x:f>
        <x:v>8</x:v>
      </x:c>
      <x:c r="H299" s="25" t="str">
        <x:v>-</x:v>
      </x:c>
      <x:c r="I299" s="25" t="n">
        <x:v>1</x:v>
      </x:c>
      <x:c r="J299" s="25" t="n">
        <x:v>2</x:v>
      </x:c>
      <x:c r="K299" s="19" t="n">
        <x:f>D299-IF(H299=0,1,0)</x:f>
        <x:v>0</x:v>
      </x:c>
      <x:c r="L299" s="19" t="n">
        <x:f>E299-IF(H299=1,1,0)</x:f>
        <x:v>3</x:v>
      </x:c>
      <x:c r="M299" s="19" t="n">
        <x:f>F299-IF(H299=2,1,0)</x:f>
        <x:v>5</x:v>
      </x:c>
      <x:c r="N299" s="19" t="n">
        <x:f>MAX(K299-1,0)+MAX(L299-1,0)+MAX(M299-1,0)</x:f>
        <x:v>6</x:v>
      </x:c>
      <x:c r="O299" s="19" t="n">
        <x:f>IF(AND(SUM(K299:M299)&lt;9,OR(M299=0,N299&lt;6)),1,0)</x:f>
        <x:v>0</x:v>
      </x:c>
      <x:c r="P299" s="19" t="n">
        <x:f>IF(AND(SUM(K299:M299)&lt;9,OR(L299=0,N299&lt;6)),1,0)</x:f>
        <x:v>0</x:v>
      </x:c>
      <x:c r="Q299" s="19" t="n">
        <x:f>IF(AND(SUM(K299:M299)&lt;9,OR(K299=0,N299&lt;6)),1,0)</x:f>
        <x:v>1</x:v>
      </x:c>
      <x:c r="R299" s="22" t="str">
        <x:f>O299&amp;P299&amp;Q299</x:f>
        <x:v>001</x:v>
      </x:c>
      <x:c r="S299" s="19" t="n">
        <x:f>IF(I299=1,IF(J299=0,Q299,IF(J299=1,P299,IF(J299=2,O299,0))),0)</x:f>
        <x:v>0</x:v>
      </x:c>
      <x:c r="T299" s="19" t="n">
        <x:f>K299+IF(AND(S299=1,J299=0),1,0)</x:f>
        <x:v>0</x:v>
      </x:c>
      <x:c r="U299" s="19" t="n">
        <x:f>L299+IF(AND(S299=1,J299=1),1,0)</x:f>
        <x:v>3</x:v>
      </x:c>
      <x:c r="V299" s="19" t="n">
        <x:f>M299+IF(AND(S299=1,J299=2),1,0)</x:f>
        <x:v>5</x:v>
      </x:c>
      <x:c r="W299" s="19" t="n">
        <x:f>SUM(T299:V299)</x:f>
        <x:v>8</x:v>
      </x:c>
      <x:c r="X299" s="19" t="n">
        <x:f>W299-G299</x:f>
        <x:v>0</x:v>
      </x:c>
      <x:c r="Y299" s="19" t="n">
        <x:f>MAX(T299,1)+MAX(U299,1)+MAX(V299,1)</x:f>
        <x:v>9</x:v>
      </x:c>
      <x:c r="Z299" s="21" t="str">
        <x:f>IF(AND(MIN(D299:F299)&gt;=0,MAX(D299:F299)&lt;=7,MAX(D299,1)+MAX(E299,1)+MAX(F299,1)&lt;=9,OR(H299="-",AND(H299=0,D299&gt;0),AND(H299=1,E299&gt;0),AND(H299=2,F299&gt;0)),OR(I299=0,AND(I299=1,OR(J299=0,J299=1,J299=2),R299&lt;&gt;"000")),Y299&lt;=9,MIN(T299:V299)&gt;=0),"合法","输入违约")</x:f>
        <x:v>合法</x:v>
      </x:c>
    </x:row>
    <x:row r="300" ht="23" customHeight="1">
      <x:c r="A300" s="3" t="str">
        <x:v>CT-0293</x:v>
      </x:c>
      <x:c r="B300" s="3" t="str">
        <x:v>ST-123</x:v>
      </x:c>
      <x:c r="C300" s="3" t="str">
        <x:v>仅R回收</x:v>
      </x:c>
      <x:c r="D300" s="25" t="n">
        <x:v>0</x:v>
      </x:c>
      <x:c r="E300" s="25" t="n">
        <x:v>3</x:v>
      </x:c>
      <x:c r="F300" s="25" t="n">
        <x:v>5</x:v>
      </x:c>
      <x:c r="G300" s="19" t="n">
        <x:f>SUM(D300:F300)</x:f>
        <x:v>8</x:v>
      </x:c>
      <x:c r="H300" s="25" t="n">
        <x:v>1</x:v>
      </x:c>
      <x:c r="I300" s="25" t="n">
        <x:v>0</x:v>
      </x:c>
      <x:c r="J300" s="25" t="str">
        <x:v>-</x:v>
      </x:c>
      <x:c r="K300" s="19" t="n">
        <x:f>D300-IF(H300=0,1,0)</x:f>
        <x:v>0</x:v>
      </x:c>
      <x:c r="L300" s="19" t="n">
        <x:f>E300-IF(H300=1,1,0)</x:f>
        <x:v>2</x:v>
      </x:c>
      <x:c r="M300" s="19" t="n">
        <x:f>F300-IF(H300=2,1,0)</x:f>
        <x:v>5</x:v>
      </x:c>
      <x:c r="N300" s="19" t="n">
        <x:f>MAX(K300-1,0)+MAX(L300-1,0)+MAX(M300-1,0)</x:f>
        <x:v>5</x:v>
      </x:c>
      <x:c r="O300" s="19" t="n">
        <x:f>IF(AND(SUM(K300:M300)&lt;9,OR(M300=0,N300&lt;6)),1,0)</x:f>
        <x:v>1</x:v>
      </x:c>
      <x:c r="P300" s="19" t="n">
        <x:f>IF(AND(SUM(K300:M300)&lt;9,OR(L300=0,N300&lt;6)),1,0)</x:f>
        <x:v>1</x:v>
      </x:c>
      <x:c r="Q300" s="19" t="n">
        <x:f>IF(AND(SUM(K300:M300)&lt;9,OR(K300=0,N300&lt;6)),1,0)</x:f>
        <x:v>1</x:v>
      </x:c>
      <x:c r="R300" s="22" t="str">
        <x:f>O300&amp;P300&amp;Q300</x:f>
        <x:v>111</x:v>
      </x:c>
      <x:c r="S300" s="19" t="n">
        <x:f>IF(I300=1,IF(J300=0,Q300,IF(J300=1,P300,IF(J300=2,O300,0))),0)</x:f>
        <x:v>0</x:v>
      </x:c>
      <x:c r="T300" s="19" t="n">
        <x:f>K300+IF(AND(S300=1,J300=0),1,0)</x:f>
        <x:v>0</x:v>
      </x:c>
      <x:c r="U300" s="19" t="n">
        <x:f>L300+IF(AND(S300=1,J300=1),1,0)</x:f>
        <x:v>2</x:v>
      </x:c>
      <x:c r="V300" s="19" t="n">
        <x:f>M300+IF(AND(S300=1,J300=2),1,0)</x:f>
        <x:v>5</x:v>
      </x:c>
      <x:c r="W300" s="19" t="n">
        <x:f>SUM(T300:V300)</x:f>
        <x:v>7</x:v>
      </x:c>
      <x:c r="X300" s="19" t="n">
        <x:f>W300-G300</x:f>
        <x:v>-1</x:v>
      </x:c>
      <x:c r="Y300" s="19" t="n">
        <x:f>MAX(T300,1)+MAX(U300,1)+MAX(V300,1)</x:f>
        <x:v>8</x:v>
      </x:c>
      <x:c r="Z300" s="21" t="str">
        <x:f>IF(AND(MIN(D300:F300)&gt;=0,MAX(D300:F300)&lt;=7,MAX(D300,1)+MAX(E300,1)+MAX(F300,1)&lt;=9,OR(H300="-",AND(H300=0,D300&gt;0),AND(H300=1,E300&gt;0),AND(H300=2,F300&gt;0)),OR(I300=0,AND(I300=1,OR(J300=0,J300=1,J300=2),R300&lt;&gt;"000")),Y300&lt;=9,MIN(T300:V300)&gt;=0),"合法","输入违约")</x:f>
        <x:v>合法</x:v>
      </x:c>
    </x:row>
    <x:row r="301" ht="23" customHeight="1">
      <x:c r="A301" s="3" t="str">
        <x:v>CT-0294</x:v>
      </x:c>
      <x:c r="B301" s="3" t="str">
        <x:v>ST-123</x:v>
      </x:c>
      <x:c r="C301" s="3" t="str">
        <x:v>R+AR同收同发</x:v>
      </x:c>
      <x:c r="D301" s="25" t="n">
        <x:v>0</x:v>
      </x:c>
      <x:c r="E301" s="25" t="n">
        <x:v>3</x:v>
      </x:c>
      <x:c r="F301" s="25" t="n">
        <x:v>5</x:v>
      </x:c>
      <x:c r="G301" s="19" t="n">
        <x:f>SUM(D301:F301)</x:f>
        <x:v>8</x:v>
      </x:c>
      <x:c r="H301" s="25" t="n">
        <x:v>1</x:v>
      </x:c>
      <x:c r="I301" s="25" t="n">
        <x:v>1</x:v>
      </x:c>
      <x:c r="J301" s="25" t="n">
        <x:v>0</x:v>
      </x:c>
      <x:c r="K301" s="19" t="n">
        <x:f>D301-IF(H301=0,1,0)</x:f>
        <x:v>0</x:v>
      </x:c>
      <x:c r="L301" s="19" t="n">
        <x:f>E301-IF(H301=1,1,0)</x:f>
        <x:v>2</x:v>
      </x:c>
      <x:c r="M301" s="19" t="n">
        <x:f>F301-IF(H301=2,1,0)</x:f>
        <x:v>5</x:v>
      </x:c>
      <x:c r="N301" s="19" t="n">
        <x:f>MAX(K301-1,0)+MAX(L301-1,0)+MAX(M301-1,0)</x:f>
        <x:v>5</x:v>
      </x:c>
      <x:c r="O301" s="19" t="n">
        <x:f>IF(AND(SUM(K301:M301)&lt;9,OR(M301=0,N301&lt;6)),1,0)</x:f>
        <x:v>1</x:v>
      </x:c>
      <x:c r="P301" s="19" t="n">
        <x:f>IF(AND(SUM(K301:M301)&lt;9,OR(L301=0,N301&lt;6)),1,0)</x:f>
        <x:v>1</x:v>
      </x:c>
      <x:c r="Q301" s="19" t="n">
        <x:f>IF(AND(SUM(K301:M301)&lt;9,OR(K301=0,N301&lt;6)),1,0)</x:f>
        <x:v>1</x:v>
      </x:c>
      <x:c r="R301" s="22" t="str">
        <x:f>O301&amp;P301&amp;Q301</x:f>
        <x:v>111</x:v>
      </x:c>
      <x:c r="S301" s="19" t="n">
        <x:f>IF(I301=1,IF(J301=0,Q301,IF(J301=1,P301,IF(J301=2,O301,0))),0)</x:f>
        <x:v>1</x:v>
      </x:c>
      <x:c r="T301" s="19" t="n">
        <x:f>K301+IF(AND(S301=1,J301=0),1,0)</x:f>
        <x:v>1</x:v>
      </x:c>
      <x:c r="U301" s="19" t="n">
        <x:f>L301+IF(AND(S301=1,J301=1),1,0)</x:f>
        <x:v>2</x:v>
      </x:c>
      <x:c r="V301" s="19" t="n">
        <x:f>M301+IF(AND(S301=1,J301=2),1,0)</x:f>
        <x:v>5</x:v>
      </x:c>
      <x:c r="W301" s="19" t="n">
        <x:f>SUM(T301:V301)</x:f>
        <x:v>8</x:v>
      </x:c>
      <x:c r="X301" s="19" t="n">
        <x:f>W301-G301</x:f>
        <x:v>0</x:v>
      </x:c>
      <x:c r="Y301" s="19" t="n">
        <x:f>MAX(T301,1)+MAX(U301,1)+MAX(V301,1)</x:f>
        <x:v>8</x:v>
      </x:c>
      <x:c r="Z301" s="21" t="str">
        <x:f>IF(AND(MIN(D301:F301)&gt;=0,MAX(D301:F301)&lt;=7,MAX(D301,1)+MAX(E301,1)+MAX(F301,1)&lt;=9,OR(H301="-",AND(H301=0,D301&gt;0),AND(H301=1,E301&gt;0),AND(H301=2,F301&gt;0)),OR(I301=0,AND(I301=1,OR(J301=0,J301=1,J301=2),R301&lt;&gt;"000")),Y301&lt;=9,MIN(T301:V301)&gt;=0),"合法","输入违约")</x:f>
        <x:v>合法</x:v>
      </x:c>
    </x:row>
    <x:row r="302" ht="23" customHeight="1">
      <x:c r="A302" s="3" t="str">
        <x:v>CT-0295</x:v>
      </x:c>
      <x:c r="B302" s="3" t="str">
        <x:v>ST-123</x:v>
      </x:c>
      <x:c r="C302" s="3" t="str">
        <x:v>R+AR同收同发</x:v>
      </x:c>
      <x:c r="D302" s="25" t="n">
        <x:v>0</x:v>
      </x:c>
      <x:c r="E302" s="25" t="n">
        <x:v>3</x:v>
      </x:c>
      <x:c r="F302" s="25" t="n">
        <x:v>5</x:v>
      </x:c>
      <x:c r="G302" s="19" t="n">
        <x:f>SUM(D302:F302)</x:f>
        <x:v>8</x:v>
      </x:c>
      <x:c r="H302" s="25" t="n">
        <x:v>1</x:v>
      </x:c>
      <x:c r="I302" s="25" t="n">
        <x:v>1</x:v>
      </x:c>
      <x:c r="J302" s="25" t="n">
        <x:v>1</x:v>
      </x:c>
      <x:c r="K302" s="19" t="n">
        <x:f>D302-IF(H302=0,1,0)</x:f>
        <x:v>0</x:v>
      </x:c>
      <x:c r="L302" s="19" t="n">
        <x:f>E302-IF(H302=1,1,0)</x:f>
        <x:v>2</x:v>
      </x:c>
      <x:c r="M302" s="19" t="n">
        <x:f>F302-IF(H302=2,1,0)</x:f>
        <x:v>5</x:v>
      </x:c>
      <x:c r="N302" s="19" t="n">
        <x:f>MAX(K302-1,0)+MAX(L302-1,0)+MAX(M302-1,0)</x:f>
        <x:v>5</x:v>
      </x:c>
      <x:c r="O302" s="19" t="n">
        <x:f>IF(AND(SUM(K302:M302)&lt;9,OR(M302=0,N302&lt;6)),1,0)</x:f>
        <x:v>1</x:v>
      </x:c>
      <x:c r="P302" s="19" t="n">
        <x:f>IF(AND(SUM(K302:M302)&lt;9,OR(L302=0,N302&lt;6)),1,0)</x:f>
        <x:v>1</x:v>
      </x:c>
      <x:c r="Q302" s="19" t="n">
        <x:f>IF(AND(SUM(K302:M302)&lt;9,OR(K302=0,N302&lt;6)),1,0)</x:f>
        <x:v>1</x:v>
      </x:c>
      <x:c r="R302" s="22" t="str">
        <x:f>O302&amp;P302&amp;Q302</x:f>
        <x:v>111</x:v>
      </x:c>
      <x:c r="S302" s="19" t="n">
        <x:f>IF(I302=1,IF(J302=0,Q302,IF(J302=1,P302,IF(J302=2,O302,0))),0)</x:f>
        <x:v>1</x:v>
      </x:c>
      <x:c r="T302" s="19" t="n">
        <x:f>K302+IF(AND(S302=1,J302=0),1,0)</x:f>
        <x:v>0</x:v>
      </x:c>
      <x:c r="U302" s="19" t="n">
        <x:f>L302+IF(AND(S302=1,J302=1),1,0)</x:f>
        <x:v>3</x:v>
      </x:c>
      <x:c r="V302" s="19" t="n">
        <x:f>M302+IF(AND(S302=1,J302=2),1,0)</x:f>
        <x:v>5</x:v>
      </x:c>
      <x:c r="W302" s="19" t="n">
        <x:f>SUM(T302:V302)</x:f>
        <x:v>8</x:v>
      </x:c>
      <x:c r="X302" s="19" t="n">
        <x:f>W302-G302</x:f>
        <x:v>0</x:v>
      </x:c>
      <x:c r="Y302" s="19" t="n">
        <x:f>MAX(T302,1)+MAX(U302,1)+MAX(V302,1)</x:f>
        <x:v>9</x:v>
      </x:c>
      <x:c r="Z302" s="21" t="str">
        <x:f>IF(AND(MIN(D302:F302)&gt;=0,MAX(D302:F302)&lt;=7,MAX(D302,1)+MAX(E302,1)+MAX(F302,1)&lt;=9,OR(H302="-",AND(H302=0,D302&gt;0),AND(H302=1,E302&gt;0),AND(H302=2,F302&gt;0)),OR(I302=0,AND(I302=1,OR(J302=0,J302=1,J302=2),R302&lt;&gt;"000")),Y302&lt;=9,MIN(T302:V302)&gt;=0),"合法","输入违约")</x:f>
        <x:v>合法</x:v>
      </x:c>
    </x:row>
    <x:row r="303" ht="23" customHeight="1">
      <x:c r="A303" s="3" t="str">
        <x:v>CT-0296</x:v>
      </x:c>
      <x:c r="B303" s="3" t="str">
        <x:v>ST-123</x:v>
      </x:c>
      <x:c r="C303" s="3" t="str">
        <x:v>R+AR同收同发</x:v>
      </x:c>
      <x:c r="D303" s="25" t="n">
        <x:v>0</x:v>
      </x:c>
      <x:c r="E303" s="25" t="n">
        <x:v>3</x:v>
      </x:c>
      <x:c r="F303" s="25" t="n">
        <x:v>5</x:v>
      </x:c>
      <x:c r="G303" s="19" t="n">
        <x:f>SUM(D303:F303)</x:f>
        <x:v>8</x:v>
      </x:c>
      <x:c r="H303" s="25" t="n">
        <x:v>1</x:v>
      </x:c>
      <x:c r="I303" s="25" t="n">
        <x:v>1</x:v>
      </x:c>
      <x:c r="J303" s="25" t="n">
        <x:v>2</x:v>
      </x:c>
      <x:c r="K303" s="19" t="n">
        <x:f>D303-IF(H303=0,1,0)</x:f>
        <x:v>0</x:v>
      </x:c>
      <x:c r="L303" s="19" t="n">
        <x:f>E303-IF(H303=1,1,0)</x:f>
        <x:v>2</x:v>
      </x:c>
      <x:c r="M303" s="19" t="n">
        <x:f>F303-IF(H303=2,1,0)</x:f>
        <x:v>5</x:v>
      </x:c>
      <x:c r="N303" s="19" t="n">
        <x:f>MAX(K303-1,0)+MAX(L303-1,0)+MAX(M303-1,0)</x:f>
        <x:v>5</x:v>
      </x:c>
      <x:c r="O303" s="19" t="n">
        <x:f>IF(AND(SUM(K303:M303)&lt;9,OR(M303=0,N303&lt;6)),1,0)</x:f>
        <x:v>1</x:v>
      </x:c>
      <x:c r="P303" s="19" t="n">
        <x:f>IF(AND(SUM(K303:M303)&lt;9,OR(L303=0,N303&lt;6)),1,0)</x:f>
        <x:v>1</x:v>
      </x:c>
      <x:c r="Q303" s="19" t="n">
        <x:f>IF(AND(SUM(K303:M303)&lt;9,OR(K303=0,N303&lt;6)),1,0)</x:f>
        <x:v>1</x:v>
      </x:c>
      <x:c r="R303" s="22" t="str">
        <x:f>O303&amp;P303&amp;Q303</x:f>
        <x:v>111</x:v>
      </x:c>
      <x:c r="S303" s="19" t="n">
        <x:f>IF(I303=1,IF(J303=0,Q303,IF(J303=1,P303,IF(J303=2,O303,0))),0)</x:f>
        <x:v>1</x:v>
      </x:c>
      <x:c r="T303" s="19" t="n">
        <x:f>K303+IF(AND(S303=1,J303=0),1,0)</x:f>
        <x:v>0</x:v>
      </x:c>
      <x:c r="U303" s="19" t="n">
        <x:f>L303+IF(AND(S303=1,J303=1),1,0)</x:f>
        <x:v>2</x:v>
      </x:c>
      <x:c r="V303" s="19" t="n">
        <x:f>M303+IF(AND(S303=1,J303=2),1,0)</x:f>
        <x:v>6</x:v>
      </x:c>
      <x:c r="W303" s="19" t="n">
        <x:f>SUM(T303:V303)</x:f>
        <x:v>8</x:v>
      </x:c>
      <x:c r="X303" s="19" t="n">
        <x:f>W303-G303</x:f>
        <x:v>0</x:v>
      </x:c>
      <x:c r="Y303" s="19" t="n">
        <x:f>MAX(T303,1)+MAX(U303,1)+MAX(V303,1)</x:f>
        <x:v>9</x:v>
      </x:c>
      <x:c r="Z303" s="21" t="str">
        <x:f>IF(AND(MIN(D303:F303)&gt;=0,MAX(D303:F303)&lt;=7,MAX(D303,1)+MAX(E303,1)+MAX(F303,1)&lt;=9,OR(H303="-",AND(H303=0,D303&gt;0),AND(H303=1,E303&gt;0),AND(H303=2,F303&gt;0)),OR(I303=0,AND(I303=1,OR(J303=0,J303=1,J303=2),R303&lt;&gt;"000")),Y303&lt;=9,MIN(T303:V303)&gt;=0),"合法","输入违约")</x:f>
        <x:v>合法</x:v>
      </x:c>
    </x:row>
    <x:row r="304" ht="23" customHeight="1">
      <x:c r="A304" s="3" t="str">
        <x:v>CT-0297</x:v>
      </x:c>
      <x:c r="B304" s="3" t="str">
        <x:v>ST-123</x:v>
      </x:c>
      <x:c r="C304" s="3" t="str">
        <x:v>仅R回收</x:v>
      </x:c>
      <x:c r="D304" s="25" t="n">
        <x:v>0</x:v>
      </x:c>
      <x:c r="E304" s="25" t="n">
        <x:v>3</x:v>
      </x:c>
      <x:c r="F304" s="25" t="n">
        <x:v>5</x:v>
      </x:c>
      <x:c r="G304" s="19" t="n">
        <x:f>SUM(D304:F304)</x:f>
        <x:v>8</x:v>
      </x:c>
      <x:c r="H304" s="25" t="n">
        <x:v>2</x:v>
      </x:c>
      <x:c r="I304" s="25" t="n">
        <x:v>0</x:v>
      </x:c>
      <x:c r="J304" s="25" t="str">
        <x:v>-</x:v>
      </x:c>
      <x:c r="K304" s="19" t="n">
        <x:f>D304-IF(H304=0,1,0)</x:f>
        <x:v>0</x:v>
      </x:c>
      <x:c r="L304" s="19" t="n">
        <x:f>E304-IF(H304=1,1,0)</x:f>
        <x:v>3</x:v>
      </x:c>
      <x:c r="M304" s="19" t="n">
        <x:f>F304-IF(H304=2,1,0)</x:f>
        <x:v>4</x:v>
      </x:c>
      <x:c r="N304" s="19" t="n">
        <x:f>MAX(K304-1,0)+MAX(L304-1,0)+MAX(M304-1,0)</x:f>
        <x:v>5</x:v>
      </x:c>
      <x:c r="O304" s="19" t="n">
        <x:f>IF(AND(SUM(K304:M304)&lt;9,OR(M304=0,N304&lt;6)),1,0)</x:f>
        <x:v>1</x:v>
      </x:c>
      <x:c r="P304" s="19" t="n">
        <x:f>IF(AND(SUM(K304:M304)&lt;9,OR(L304=0,N304&lt;6)),1,0)</x:f>
        <x:v>1</x:v>
      </x:c>
      <x:c r="Q304" s="19" t="n">
        <x:f>IF(AND(SUM(K304:M304)&lt;9,OR(K304=0,N304&lt;6)),1,0)</x:f>
        <x:v>1</x:v>
      </x:c>
      <x:c r="R304" s="22" t="str">
        <x:f>O304&amp;P304&amp;Q304</x:f>
        <x:v>111</x:v>
      </x:c>
      <x:c r="S304" s="19" t="n">
        <x:f>IF(I304=1,IF(J304=0,Q304,IF(J304=1,P304,IF(J304=2,O304,0))),0)</x:f>
        <x:v>0</x:v>
      </x:c>
      <x:c r="T304" s="19" t="n">
        <x:f>K304+IF(AND(S304=1,J304=0),1,0)</x:f>
        <x:v>0</x:v>
      </x:c>
      <x:c r="U304" s="19" t="n">
        <x:f>L304+IF(AND(S304=1,J304=1),1,0)</x:f>
        <x:v>3</x:v>
      </x:c>
      <x:c r="V304" s="19" t="n">
        <x:f>M304+IF(AND(S304=1,J304=2),1,0)</x:f>
        <x:v>4</x:v>
      </x:c>
      <x:c r="W304" s="19" t="n">
        <x:f>SUM(T304:V304)</x:f>
        <x:v>7</x:v>
      </x:c>
      <x:c r="X304" s="19" t="n">
        <x:f>W304-G304</x:f>
        <x:v>-1</x:v>
      </x:c>
      <x:c r="Y304" s="19" t="n">
        <x:f>MAX(T304,1)+MAX(U304,1)+MAX(V304,1)</x:f>
        <x:v>8</x:v>
      </x:c>
      <x:c r="Z304" s="21" t="str">
        <x:f>IF(AND(MIN(D304:F304)&gt;=0,MAX(D304:F304)&lt;=7,MAX(D304,1)+MAX(E304,1)+MAX(F304,1)&lt;=9,OR(H304="-",AND(H304=0,D304&gt;0),AND(H304=1,E304&gt;0),AND(H304=2,F304&gt;0)),OR(I304=0,AND(I304=1,OR(J304=0,J304=1,J304=2),R304&lt;&gt;"000")),Y304&lt;=9,MIN(T304:V304)&gt;=0),"合法","输入违约")</x:f>
        <x:v>合法</x:v>
      </x:c>
    </x:row>
    <x:row r="305" ht="23" customHeight="1">
      <x:c r="A305" s="3" t="str">
        <x:v>CT-0298</x:v>
      </x:c>
      <x:c r="B305" s="3" t="str">
        <x:v>ST-123</x:v>
      </x:c>
      <x:c r="C305" s="3" t="str">
        <x:v>R+AR同收同发</x:v>
      </x:c>
      <x:c r="D305" s="25" t="n">
        <x:v>0</x:v>
      </x:c>
      <x:c r="E305" s="25" t="n">
        <x:v>3</x:v>
      </x:c>
      <x:c r="F305" s="25" t="n">
        <x:v>5</x:v>
      </x:c>
      <x:c r="G305" s="19" t="n">
        <x:f>SUM(D305:F305)</x:f>
        <x:v>8</x:v>
      </x:c>
      <x:c r="H305" s="25" t="n">
        <x:v>2</x:v>
      </x:c>
      <x:c r="I305" s="25" t="n">
        <x:v>1</x:v>
      </x:c>
      <x:c r="J305" s="25" t="n">
        <x:v>0</x:v>
      </x:c>
      <x:c r="K305" s="19" t="n">
        <x:f>D305-IF(H305=0,1,0)</x:f>
        <x:v>0</x:v>
      </x:c>
      <x:c r="L305" s="19" t="n">
        <x:f>E305-IF(H305=1,1,0)</x:f>
        <x:v>3</x:v>
      </x:c>
      <x:c r="M305" s="19" t="n">
        <x:f>F305-IF(H305=2,1,0)</x:f>
        <x:v>4</x:v>
      </x:c>
      <x:c r="N305" s="19" t="n">
        <x:f>MAX(K305-1,0)+MAX(L305-1,0)+MAX(M305-1,0)</x:f>
        <x:v>5</x:v>
      </x:c>
      <x:c r="O305" s="19" t="n">
        <x:f>IF(AND(SUM(K305:M305)&lt;9,OR(M305=0,N305&lt;6)),1,0)</x:f>
        <x:v>1</x:v>
      </x:c>
      <x:c r="P305" s="19" t="n">
        <x:f>IF(AND(SUM(K305:M305)&lt;9,OR(L305=0,N305&lt;6)),1,0)</x:f>
        <x:v>1</x:v>
      </x:c>
      <x:c r="Q305" s="19" t="n">
        <x:f>IF(AND(SUM(K305:M305)&lt;9,OR(K305=0,N305&lt;6)),1,0)</x:f>
        <x:v>1</x:v>
      </x:c>
      <x:c r="R305" s="22" t="str">
        <x:f>O305&amp;P305&amp;Q305</x:f>
        <x:v>111</x:v>
      </x:c>
      <x:c r="S305" s="19" t="n">
        <x:f>IF(I305=1,IF(J305=0,Q305,IF(J305=1,P305,IF(J305=2,O305,0))),0)</x:f>
        <x:v>1</x:v>
      </x:c>
      <x:c r="T305" s="19" t="n">
        <x:f>K305+IF(AND(S305=1,J305=0),1,0)</x:f>
        <x:v>1</x:v>
      </x:c>
      <x:c r="U305" s="19" t="n">
        <x:f>L305+IF(AND(S305=1,J305=1),1,0)</x:f>
        <x:v>3</x:v>
      </x:c>
      <x:c r="V305" s="19" t="n">
        <x:f>M305+IF(AND(S305=1,J305=2),1,0)</x:f>
        <x:v>4</x:v>
      </x:c>
      <x:c r="W305" s="19" t="n">
        <x:f>SUM(T305:V305)</x:f>
        <x:v>8</x:v>
      </x:c>
      <x:c r="X305" s="19" t="n">
        <x:f>W305-G305</x:f>
        <x:v>0</x:v>
      </x:c>
      <x:c r="Y305" s="19" t="n">
        <x:f>MAX(T305,1)+MAX(U305,1)+MAX(V305,1)</x:f>
        <x:v>8</x:v>
      </x:c>
      <x:c r="Z305" s="21" t="str">
        <x:f>IF(AND(MIN(D305:F305)&gt;=0,MAX(D305:F305)&lt;=7,MAX(D305,1)+MAX(E305,1)+MAX(F305,1)&lt;=9,OR(H305="-",AND(H305=0,D305&gt;0),AND(H305=1,E305&gt;0),AND(H305=2,F305&gt;0)),OR(I305=0,AND(I305=1,OR(J305=0,J305=1,J305=2),R305&lt;&gt;"000")),Y305&lt;=9,MIN(T305:V305)&gt;=0),"合法","输入违约")</x:f>
        <x:v>合法</x:v>
      </x:c>
    </x:row>
    <x:row r="306" ht="23" customHeight="1">
      <x:c r="A306" s="3" t="str">
        <x:v>CT-0299</x:v>
      </x:c>
      <x:c r="B306" s="3" t="str">
        <x:v>ST-123</x:v>
      </x:c>
      <x:c r="C306" s="3" t="str">
        <x:v>R+AR同收同发</x:v>
      </x:c>
      <x:c r="D306" s="25" t="n">
        <x:v>0</x:v>
      </x:c>
      <x:c r="E306" s="25" t="n">
        <x:v>3</x:v>
      </x:c>
      <x:c r="F306" s="25" t="n">
        <x:v>5</x:v>
      </x:c>
      <x:c r="G306" s="19" t="n">
        <x:f>SUM(D306:F306)</x:f>
        <x:v>8</x:v>
      </x:c>
      <x:c r="H306" s="25" t="n">
        <x:v>2</x:v>
      </x:c>
      <x:c r="I306" s="25" t="n">
        <x:v>1</x:v>
      </x:c>
      <x:c r="J306" s="25" t="n">
        <x:v>1</x:v>
      </x:c>
      <x:c r="K306" s="19" t="n">
        <x:f>D306-IF(H306=0,1,0)</x:f>
        <x:v>0</x:v>
      </x:c>
      <x:c r="L306" s="19" t="n">
        <x:f>E306-IF(H306=1,1,0)</x:f>
        <x:v>3</x:v>
      </x:c>
      <x:c r="M306" s="19" t="n">
        <x:f>F306-IF(H306=2,1,0)</x:f>
        <x:v>4</x:v>
      </x:c>
      <x:c r="N306" s="19" t="n">
        <x:f>MAX(K306-1,0)+MAX(L306-1,0)+MAX(M306-1,0)</x:f>
        <x:v>5</x:v>
      </x:c>
      <x:c r="O306" s="19" t="n">
        <x:f>IF(AND(SUM(K306:M306)&lt;9,OR(M306=0,N306&lt;6)),1,0)</x:f>
        <x:v>1</x:v>
      </x:c>
      <x:c r="P306" s="19" t="n">
        <x:f>IF(AND(SUM(K306:M306)&lt;9,OR(L306=0,N306&lt;6)),1,0)</x:f>
        <x:v>1</x:v>
      </x:c>
      <x:c r="Q306" s="19" t="n">
        <x:f>IF(AND(SUM(K306:M306)&lt;9,OR(K306=0,N306&lt;6)),1,0)</x:f>
        <x:v>1</x:v>
      </x:c>
      <x:c r="R306" s="22" t="str">
        <x:f>O306&amp;P306&amp;Q306</x:f>
        <x:v>111</x:v>
      </x:c>
      <x:c r="S306" s="19" t="n">
        <x:f>IF(I306=1,IF(J306=0,Q306,IF(J306=1,P306,IF(J306=2,O306,0))),0)</x:f>
        <x:v>1</x:v>
      </x:c>
      <x:c r="T306" s="19" t="n">
        <x:f>K306+IF(AND(S306=1,J306=0),1,0)</x:f>
        <x:v>0</x:v>
      </x:c>
      <x:c r="U306" s="19" t="n">
        <x:f>L306+IF(AND(S306=1,J306=1),1,0)</x:f>
        <x:v>4</x:v>
      </x:c>
      <x:c r="V306" s="19" t="n">
        <x:f>M306+IF(AND(S306=1,J306=2),1,0)</x:f>
        <x:v>4</x:v>
      </x:c>
      <x:c r="W306" s="19" t="n">
        <x:f>SUM(T306:V306)</x:f>
        <x:v>8</x:v>
      </x:c>
      <x:c r="X306" s="19" t="n">
        <x:f>W306-G306</x:f>
        <x:v>0</x:v>
      </x:c>
      <x:c r="Y306" s="19" t="n">
        <x:f>MAX(T306,1)+MAX(U306,1)+MAX(V306,1)</x:f>
        <x:v>9</x:v>
      </x:c>
      <x:c r="Z306" s="21" t="str">
        <x:f>IF(AND(MIN(D306:F306)&gt;=0,MAX(D306:F306)&lt;=7,MAX(D306,1)+MAX(E306,1)+MAX(F306,1)&lt;=9,OR(H306="-",AND(H306=0,D306&gt;0),AND(H306=1,E306&gt;0),AND(H306=2,F306&gt;0)),OR(I306=0,AND(I306=1,OR(J306=0,J306=1,J306=2),R306&lt;&gt;"000")),Y306&lt;=9,MIN(T306:V306)&gt;=0),"合法","输入违约")</x:f>
        <x:v>合法</x:v>
      </x:c>
    </x:row>
    <x:row r="307" ht="23" customHeight="1">
      <x:c r="A307" s="3" t="str">
        <x:v>CT-0300</x:v>
      </x:c>
      <x:c r="B307" s="3" t="str">
        <x:v>ST-123</x:v>
      </x:c>
      <x:c r="C307" s="3" t="str">
        <x:v>R+AR同收同发</x:v>
      </x:c>
      <x:c r="D307" s="25" t="n">
        <x:v>0</x:v>
      </x:c>
      <x:c r="E307" s="25" t="n">
        <x:v>3</x:v>
      </x:c>
      <x:c r="F307" s="25" t="n">
        <x:v>5</x:v>
      </x:c>
      <x:c r="G307" s="19" t="n">
        <x:f>SUM(D307:F307)</x:f>
        <x:v>8</x:v>
      </x:c>
      <x:c r="H307" s="25" t="n">
        <x:v>2</x:v>
      </x:c>
      <x:c r="I307" s="25" t="n">
        <x:v>1</x:v>
      </x:c>
      <x:c r="J307" s="25" t="n">
        <x:v>2</x:v>
      </x:c>
      <x:c r="K307" s="19" t="n">
        <x:f>D307-IF(H307=0,1,0)</x:f>
        <x:v>0</x:v>
      </x:c>
      <x:c r="L307" s="19" t="n">
        <x:f>E307-IF(H307=1,1,0)</x:f>
        <x:v>3</x:v>
      </x:c>
      <x:c r="M307" s="19" t="n">
        <x:f>F307-IF(H307=2,1,0)</x:f>
        <x:v>4</x:v>
      </x:c>
      <x:c r="N307" s="19" t="n">
        <x:f>MAX(K307-1,0)+MAX(L307-1,0)+MAX(M307-1,0)</x:f>
        <x:v>5</x:v>
      </x:c>
      <x:c r="O307" s="19" t="n">
        <x:f>IF(AND(SUM(K307:M307)&lt;9,OR(M307=0,N307&lt;6)),1,0)</x:f>
        <x:v>1</x:v>
      </x:c>
      <x:c r="P307" s="19" t="n">
        <x:f>IF(AND(SUM(K307:M307)&lt;9,OR(L307=0,N307&lt;6)),1,0)</x:f>
        <x:v>1</x:v>
      </x:c>
      <x:c r="Q307" s="19" t="n">
        <x:f>IF(AND(SUM(K307:M307)&lt;9,OR(K307=0,N307&lt;6)),1,0)</x:f>
        <x:v>1</x:v>
      </x:c>
      <x:c r="R307" s="22" t="str">
        <x:f>O307&amp;P307&amp;Q307</x:f>
        <x:v>111</x:v>
      </x:c>
      <x:c r="S307" s="19" t="n">
        <x:f>IF(I307=1,IF(J307=0,Q307,IF(J307=1,P307,IF(J307=2,O307,0))),0)</x:f>
        <x:v>1</x:v>
      </x:c>
      <x:c r="T307" s="19" t="n">
        <x:f>K307+IF(AND(S307=1,J307=0),1,0)</x:f>
        <x:v>0</x:v>
      </x:c>
      <x:c r="U307" s="19" t="n">
        <x:f>L307+IF(AND(S307=1,J307=1),1,0)</x:f>
        <x:v>3</x:v>
      </x:c>
      <x:c r="V307" s="19" t="n">
        <x:f>M307+IF(AND(S307=1,J307=2),1,0)</x:f>
        <x:v>5</x:v>
      </x:c>
      <x:c r="W307" s="19" t="n">
        <x:f>SUM(T307:V307)</x:f>
        <x:v>8</x:v>
      </x:c>
      <x:c r="X307" s="19" t="n">
        <x:f>W307-G307</x:f>
        <x:v>0</x:v>
      </x:c>
      <x:c r="Y307" s="19" t="n">
        <x:f>MAX(T307,1)+MAX(U307,1)+MAX(V307,1)</x:f>
        <x:v>9</x:v>
      </x:c>
      <x:c r="Z307" s="21" t="str">
        <x:f>IF(AND(MIN(D307:F307)&gt;=0,MAX(D307:F307)&lt;=7,MAX(D307,1)+MAX(E307,1)+MAX(F307,1)&lt;=9,OR(H307="-",AND(H307=0,D307&gt;0),AND(H307=1,E307&gt;0),AND(H307=2,F307&gt;0)),OR(I307=0,AND(I307=1,OR(J307=0,J307=1,J307=2),R307&lt;&gt;"000")),Y307&lt;=9,MIN(T307:V307)&gt;=0),"合法","输入违约")</x:f>
        <x:v>合法</x:v>
      </x:c>
    </x:row>
    <x:row r="308" ht="23" customHeight="1">
      <x:c r="A308" s="3" t="str">
        <x:v>CT-0301</x:v>
      </x:c>
      <x:c r="B308" s="3" t="str">
        <x:v>ST-025</x:v>
      </x:c>
      <x:c r="C308" s="3" t="str">
        <x:v>无AR/R</x:v>
      </x:c>
      <x:c r="D308" s="25" t="n">
        <x:v>0</x:v>
      </x:c>
      <x:c r="E308" s="25" t="n">
        <x:v>4</x:v>
      </x:c>
      <x:c r="F308" s="25" t="n">
        <x:v>0</x:v>
      </x:c>
      <x:c r="G308" s="19" t="n">
        <x:f>SUM(D308:F308)</x:f>
        <x:v>4</x:v>
      </x:c>
      <x:c r="H308" s="25" t="str">
        <x:v>-</x:v>
      </x:c>
      <x:c r="I308" s="25" t="n">
        <x:v>0</x:v>
      </x:c>
      <x:c r="J308" s="25" t="str">
        <x:v>-</x:v>
      </x:c>
      <x:c r="K308" s="19" t="n">
        <x:f>D308-IF(H308=0,1,0)</x:f>
        <x:v>0</x:v>
      </x:c>
      <x:c r="L308" s="19" t="n">
        <x:f>E308-IF(H308=1,1,0)</x:f>
        <x:v>4</x:v>
      </x:c>
      <x:c r="M308" s="19" t="n">
        <x:f>F308-IF(H308=2,1,0)</x:f>
        <x:v>0</x:v>
      </x:c>
      <x:c r="N308" s="19" t="n">
        <x:f>MAX(K308-1,0)+MAX(L308-1,0)+MAX(M308-1,0)</x:f>
        <x:v>3</x:v>
      </x:c>
      <x:c r="O308" s="19" t="n">
        <x:f>IF(AND(SUM(K308:M308)&lt;9,OR(M308=0,N308&lt;6)),1,0)</x:f>
        <x:v>1</x:v>
      </x:c>
      <x:c r="P308" s="19" t="n">
        <x:f>IF(AND(SUM(K308:M308)&lt;9,OR(L308=0,N308&lt;6)),1,0)</x:f>
        <x:v>1</x:v>
      </x:c>
      <x:c r="Q308" s="19" t="n">
        <x:f>IF(AND(SUM(K308:M308)&lt;9,OR(K308=0,N308&lt;6)),1,0)</x:f>
        <x:v>1</x:v>
      </x:c>
      <x:c r="R308" s="22" t="str">
        <x:f>O308&amp;P308&amp;Q308</x:f>
        <x:v>111</x:v>
      </x:c>
      <x:c r="S308" s="19" t="n">
        <x:f>IF(I308=1,IF(J308=0,Q308,IF(J308=1,P308,IF(J308=2,O308,0))),0)</x:f>
        <x:v>0</x:v>
      </x:c>
      <x:c r="T308" s="19" t="n">
        <x:f>K308+IF(AND(S308=1,J308=0),1,0)</x:f>
        <x:v>0</x:v>
      </x:c>
      <x:c r="U308" s="19" t="n">
        <x:f>L308+IF(AND(S308=1,J308=1),1,0)</x:f>
        <x:v>4</x:v>
      </x:c>
      <x:c r="V308" s="19" t="n">
        <x:f>M308+IF(AND(S308=1,J308=2),1,0)</x:f>
        <x:v>0</x:v>
      </x:c>
      <x:c r="W308" s="19" t="n">
        <x:f>SUM(T308:V308)</x:f>
        <x:v>4</x:v>
      </x:c>
      <x:c r="X308" s="19" t="n">
        <x:f>W308-G308</x:f>
        <x:v>0</x:v>
      </x:c>
      <x:c r="Y308" s="19" t="n">
        <x:f>MAX(T308,1)+MAX(U308,1)+MAX(V308,1)</x:f>
        <x:v>6</x:v>
      </x:c>
      <x:c r="Z308" s="21" t="str">
        <x:f>IF(AND(MIN(D308:F308)&gt;=0,MAX(D308:F308)&lt;=7,MAX(D308,1)+MAX(E308,1)+MAX(F308,1)&lt;=9,OR(H308="-",AND(H308=0,D308&gt;0),AND(H308=1,E308&gt;0),AND(H308=2,F308&gt;0)),OR(I308=0,AND(I308=1,OR(J308=0,J308=1,J308=2),R308&lt;&gt;"000")),Y308&lt;=9,MIN(T308:V308)&gt;=0),"合法","输入违约")</x:f>
        <x:v>合法</x:v>
      </x:c>
    </x:row>
    <x:row r="309" ht="23" customHeight="1">
      <x:c r="A309" s="3" t="str">
        <x:v>CT-0302</x:v>
      </x:c>
      <x:c r="B309" s="3" t="str">
        <x:v>ST-025</x:v>
      </x:c>
      <x:c r="C309" s="3" t="str">
        <x:v>仅AR接收</x:v>
      </x:c>
      <x:c r="D309" s="25" t="n">
        <x:v>0</x:v>
      </x:c>
      <x:c r="E309" s="25" t="n">
        <x:v>4</x:v>
      </x:c>
      <x:c r="F309" s="25" t="n">
        <x:v>0</x:v>
      </x:c>
      <x:c r="G309" s="19" t="n">
        <x:f>SUM(D309:F309)</x:f>
        <x:v>4</x:v>
      </x:c>
      <x:c r="H309" s="25" t="str">
        <x:v>-</x:v>
      </x:c>
      <x:c r="I309" s="25" t="n">
        <x:v>1</x:v>
      </x:c>
      <x:c r="J309" s="25" t="n">
        <x:v>0</x:v>
      </x:c>
      <x:c r="K309" s="19" t="n">
        <x:f>D309-IF(H309=0,1,0)</x:f>
        <x:v>0</x:v>
      </x:c>
      <x:c r="L309" s="19" t="n">
        <x:f>E309-IF(H309=1,1,0)</x:f>
        <x:v>4</x:v>
      </x:c>
      <x:c r="M309" s="19" t="n">
        <x:f>F309-IF(H309=2,1,0)</x:f>
        <x:v>0</x:v>
      </x:c>
      <x:c r="N309" s="19" t="n">
        <x:f>MAX(K309-1,0)+MAX(L309-1,0)+MAX(M309-1,0)</x:f>
        <x:v>3</x:v>
      </x:c>
      <x:c r="O309" s="19" t="n">
        <x:f>IF(AND(SUM(K309:M309)&lt;9,OR(M309=0,N309&lt;6)),1,0)</x:f>
        <x:v>1</x:v>
      </x:c>
      <x:c r="P309" s="19" t="n">
        <x:f>IF(AND(SUM(K309:M309)&lt;9,OR(L309=0,N309&lt;6)),1,0)</x:f>
        <x:v>1</x:v>
      </x:c>
      <x:c r="Q309" s="19" t="n">
        <x:f>IF(AND(SUM(K309:M309)&lt;9,OR(K309=0,N309&lt;6)),1,0)</x:f>
        <x:v>1</x:v>
      </x:c>
      <x:c r="R309" s="22" t="str">
        <x:f>O309&amp;P309&amp;Q309</x:f>
        <x:v>111</x:v>
      </x:c>
      <x:c r="S309" s="19" t="n">
        <x:f>IF(I309=1,IF(J309=0,Q309,IF(J309=1,P309,IF(J309=2,O309,0))),0)</x:f>
        <x:v>1</x:v>
      </x:c>
      <x:c r="T309" s="19" t="n">
        <x:f>K309+IF(AND(S309=1,J309=0),1,0)</x:f>
        <x:v>1</x:v>
      </x:c>
      <x:c r="U309" s="19" t="n">
        <x:f>L309+IF(AND(S309=1,J309=1),1,0)</x:f>
        <x:v>4</x:v>
      </x:c>
      <x:c r="V309" s="19" t="n">
        <x:f>M309+IF(AND(S309=1,J309=2),1,0)</x:f>
        <x:v>0</x:v>
      </x:c>
      <x:c r="W309" s="19" t="n">
        <x:f>SUM(T309:V309)</x:f>
        <x:v>5</x:v>
      </x:c>
      <x:c r="X309" s="19" t="n">
        <x:f>W309-G309</x:f>
        <x:v>1</x:v>
      </x:c>
      <x:c r="Y309" s="19" t="n">
        <x:f>MAX(T309,1)+MAX(U309,1)+MAX(V309,1)</x:f>
        <x:v>6</x:v>
      </x:c>
      <x:c r="Z309" s="21" t="str">
        <x:f>IF(AND(MIN(D309:F309)&gt;=0,MAX(D309:F309)&lt;=7,MAX(D309,1)+MAX(E309,1)+MAX(F309,1)&lt;=9,OR(H309="-",AND(H309=0,D309&gt;0),AND(H309=1,E309&gt;0),AND(H309=2,F309&gt;0)),OR(I309=0,AND(I309=1,OR(J309=0,J309=1,J309=2),R309&lt;&gt;"000")),Y309&lt;=9,MIN(T309:V309)&gt;=0),"合法","输入违约")</x:f>
        <x:v>合法</x:v>
      </x:c>
    </x:row>
    <x:row r="310" ht="23" customHeight="1">
      <x:c r="A310" s="3" t="str">
        <x:v>CT-0303</x:v>
      </x:c>
      <x:c r="B310" s="3" t="str">
        <x:v>ST-025</x:v>
      </x:c>
      <x:c r="C310" s="3" t="str">
        <x:v>仅AR接收</x:v>
      </x:c>
      <x:c r="D310" s="25" t="n">
        <x:v>0</x:v>
      </x:c>
      <x:c r="E310" s="25" t="n">
        <x:v>4</x:v>
      </x:c>
      <x:c r="F310" s="25" t="n">
        <x:v>0</x:v>
      </x:c>
      <x:c r="G310" s="19" t="n">
        <x:f>SUM(D310:F310)</x:f>
        <x:v>4</x:v>
      </x:c>
      <x:c r="H310" s="25" t="str">
        <x:v>-</x:v>
      </x:c>
      <x:c r="I310" s="25" t="n">
        <x:v>1</x:v>
      </x:c>
      <x:c r="J310" s="25" t="n">
        <x:v>1</x:v>
      </x:c>
      <x:c r="K310" s="19" t="n">
        <x:f>D310-IF(H310=0,1,0)</x:f>
        <x:v>0</x:v>
      </x:c>
      <x:c r="L310" s="19" t="n">
        <x:f>E310-IF(H310=1,1,0)</x:f>
        <x:v>4</x:v>
      </x:c>
      <x:c r="M310" s="19" t="n">
        <x:f>F310-IF(H310=2,1,0)</x:f>
        <x:v>0</x:v>
      </x:c>
      <x:c r="N310" s="19" t="n">
        <x:f>MAX(K310-1,0)+MAX(L310-1,0)+MAX(M310-1,0)</x:f>
        <x:v>3</x:v>
      </x:c>
      <x:c r="O310" s="19" t="n">
        <x:f>IF(AND(SUM(K310:M310)&lt;9,OR(M310=0,N310&lt;6)),1,0)</x:f>
        <x:v>1</x:v>
      </x:c>
      <x:c r="P310" s="19" t="n">
        <x:f>IF(AND(SUM(K310:M310)&lt;9,OR(L310=0,N310&lt;6)),1,0)</x:f>
        <x:v>1</x:v>
      </x:c>
      <x:c r="Q310" s="19" t="n">
        <x:f>IF(AND(SUM(K310:M310)&lt;9,OR(K310=0,N310&lt;6)),1,0)</x:f>
        <x:v>1</x:v>
      </x:c>
      <x:c r="R310" s="22" t="str">
        <x:f>O310&amp;P310&amp;Q310</x:f>
        <x:v>111</x:v>
      </x:c>
      <x:c r="S310" s="19" t="n">
        <x:f>IF(I310=1,IF(J310=0,Q310,IF(J310=1,P310,IF(J310=2,O310,0))),0)</x:f>
        <x:v>1</x:v>
      </x:c>
      <x:c r="T310" s="19" t="n">
        <x:f>K310+IF(AND(S310=1,J310=0),1,0)</x:f>
        <x:v>0</x:v>
      </x:c>
      <x:c r="U310" s="19" t="n">
        <x:f>L310+IF(AND(S310=1,J310=1),1,0)</x:f>
        <x:v>5</x:v>
      </x:c>
      <x:c r="V310" s="19" t="n">
        <x:f>M310+IF(AND(S310=1,J310=2),1,0)</x:f>
        <x:v>0</x:v>
      </x:c>
      <x:c r="W310" s="19" t="n">
        <x:f>SUM(T310:V310)</x:f>
        <x:v>5</x:v>
      </x:c>
      <x:c r="X310" s="19" t="n">
        <x:f>W310-G310</x:f>
        <x:v>1</x:v>
      </x:c>
      <x:c r="Y310" s="19" t="n">
        <x:f>MAX(T310,1)+MAX(U310,1)+MAX(V310,1)</x:f>
        <x:v>7</x:v>
      </x:c>
      <x:c r="Z310" s="21" t="str">
        <x:f>IF(AND(MIN(D310:F310)&gt;=0,MAX(D310:F310)&lt;=7,MAX(D310,1)+MAX(E310,1)+MAX(F310,1)&lt;=9,OR(H310="-",AND(H310=0,D310&gt;0),AND(H310=1,E310&gt;0),AND(H310=2,F310&gt;0)),OR(I310=0,AND(I310=1,OR(J310=0,J310=1,J310=2),R310&lt;&gt;"000")),Y310&lt;=9,MIN(T310:V310)&gt;=0),"合法","输入违约")</x:f>
        <x:v>合法</x:v>
      </x:c>
    </x:row>
    <x:row r="311" ht="23" customHeight="1">
      <x:c r="A311" s="3" t="str">
        <x:v>CT-0304</x:v>
      </x:c>
      <x:c r="B311" s="3" t="str">
        <x:v>ST-025</x:v>
      </x:c>
      <x:c r="C311" s="3" t="str">
        <x:v>仅AR接收</x:v>
      </x:c>
      <x:c r="D311" s="25" t="n">
        <x:v>0</x:v>
      </x:c>
      <x:c r="E311" s="25" t="n">
        <x:v>4</x:v>
      </x:c>
      <x:c r="F311" s="25" t="n">
        <x:v>0</x:v>
      </x:c>
      <x:c r="G311" s="19" t="n">
        <x:f>SUM(D311:F311)</x:f>
        <x:v>4</x:v>
      </x:c>
      <x:c r="H311" s="25" t="str">
        <x:v>-</x:v>
      </x:c>
      <x:c r="I311" s="25" t="n">
        <x:v>1</x:v>
      </x:c>
      <x:c r="J311" s="25" t="n">
        <x:v>2</x:v>
      </x:c>
      <x:c r="K311" s="19" t="n">
        <x:f>D311-IF(H311=0,1,0)</x:f>
        <x:v>0</x:v>
      </x:c>
      <x:c r="L311" s="19" t="n">
        <x:f>E311-IF(H311=1,1,0)</x:f>
        <x:v>4</x:v>
      </x:c>
      <x:c r="M311" s="19" t="n">
        <x:f>F311-IF(H311=2,1,0)</x:f>
        <x:v>0</x:v>
      </x:c>
      <x:c r="N311" s="19" t="n">
        <x:f>MAX(K311-1,0)+MAX(L311-1,0)+MAX(M311-1,0)</x:f>
        <x:v>3</x:v>
      </x:c>
      <x:c r="O311" s="19" t="n">
        <x:f>IF(AND(SUM(K311:M311)&lt;9,OR(M311=0,N311&lt;6)),1,0)</x:f>
        <x:v>1</x:v>
      </x:c>
      <x:c r="P311" s="19" t="n">
        <x:f>IF(AND(SUM(K311:M311)&lt;9,OR(L311=0,N311&lt;6)),1,0)</x:f>
        <x:v>1</x:v>
      </x:c>
      <x:c r="Q311" s="19" t="n">
        <x:f>IF(AND(SUM(K311:M311)&lt;9,OR(K311=0,N311&lt;6)),1,0)</x:f>
        <x:v>1</x:v>
      </x:c>
      <x:c r="R311" s="22" t="str">
        <x:f>O311&amp;P311&amp;Q311</x:f>
        <x:v>111</x:v>
      </x:c>
      <x:c r="S311" s="19" t="n">
        <x:f>IF(I311=1,IF(J311=0,Q311,IF(J311=1,P311,IF(J311=2,O311,0))),0)</x:f>
        <x:v>1</x:v>
      </x:c>
      <x:c r="T311" s="19" t="n">
        <x:f>K311+IF(AND(S311=1,J311=0),1,0)</x:f>
        <x:v>0</x:v>
      </x:c>
      <x:c r="U311" s="19" t="n">
        <x:f>L311+IF(AND(S311=1,J311=1),1,0)</x:f>
        <x:v>4</x:v>
      </x:c>
      <x:c r="V311" s="19" t="n">
        <x:f>M311+IF(AND(S311=1,J311=2),1,0)</x:f>
        <x:v>1</x:v>
      </x:c>
      <x:c r="W311" s="19" t="n">
        <x:f>SUM(T311:V311)</x:f>
        <x:v>5</x:v>
      </x:c>
      <x:c r="X311" s="19" t="n">
        <x:f>W311-G311</x:f>
        <x:v>1</x:v>
      </x:c>
      <x:c r="Y311" s="19" t="n">
        <x:f>MAX(T311,1)+MAX(U311,1)+MAX(V311,1)</x:f>
        <x:v>6</x:v>
      </x:c>
      <x:c r="Z311" s="21" t="str">
        <x:f>IF(AND(MIN(D311:F311)&gt;=0,MAX(D311:F311)&lt;=7,MAX(D311,1)+MAX(E311,1)+MAX(F311,1)&lt;=9,OR(H311="-",AND(H311=0,D311&gt;0),AND(H311=1,E311&gt;0),AND(H311=2,F311&gt;0)),OR(I311=0,AND(I311=1,OR(J311=0,J311=1,J311=2),R311&lt;&gt;"000")),Y311&lt;=9,MIN(T311:V311)&gt;=0),"合法","输入违约")</x:f>
        <x:v>合法</x:v>
      </x:c>
    </x:row>
    <x:row r="312" ht="23" customHeight="1">
      <x:c r="A312" s="3" t="str">
        <x:v>CT-0305</x:v>
      </x:c>
      <x:c r="B312" s="3" t="str">
        <x:v>ST-025</x:v>
      </x:c>
      <x:c r="C312" s="3" t="str">
        <x:v>仅R回收</x:v>
      </x:c>
      <x:c r="D312" s="25" t="n">
        <x:v>0</x:v>
      </x:c>
      <x:c r="E312" s="25" t="n">
        <x:v>4</x:v>
      </x:c>
      <x:c r="F312" s="25" t="n">
        <x:v>0</x:v>
      </x:c>
      <x:c r="G312" s="19" t="n">
        <x:f>SUM(D312:F312)</x:f>
        <x:v>4</x:v>
      </x:c>
      <x:c r="H312" s="25" t="n">
        <x:v>1</x:v>
      </x:c>
      <x:c r="I312" s="25" t="n">
        <x:v>0</x:v>
      </x:c>
      <x:c r="J312" s="25" t="str">
        <x:v>-</x:v>
      </x:c>
      <x:c r="K312" s="19" t="n">
        <x:f>D312-IF(H312=0,1,0)</x:f>
        <x:v>0</x:v>
      </x:c>
      <x:c r="L312" s="19" t="n">
        <x:f>E312-IF(H312=1,1,0)</x:f>
        <x:v>3</x:v>
      </x:c>
      <x:c r="M312" s="19" t="n">
        <x:f>F312-IF(H312=2,1,0)</x:f>
        <x:v>0</x:v>
      </x:c>
      <x:c r="N312" s="19" t="n">
        <x:f>MAX(K312-1,0)+MAX(L312-1,0)+MAX(M312-1,0)</x:f>
        <x:v>2</x:v>
      </x:c>
      <x:c r="O312" s="19" t="n">
        <x:f>IF(AND(SUM(K312:M312)&lt;9,OR(M312=0,N312&lt;6)),1,0)</x:f>
        <x:v>1</x:v>
      </x:c>
      <x:c r="P312" s="19" t="n">
        <x:f>IF(AND(SUM(K312:M312)&lt;9,OR(L312=0,N312&lt;6)),1,0)</x:f>
        <x:v>1</x:v>
      </x:c>
      <x:c r="Q312" s="19" t="n">
        <x:f>IF(AND(SUM(K312:M312)&lt;9,OR(K312=0,N312&lt;6)),1,0)</x:f>
        <x:v>1</x:v>
      </x:c>
      <x:c r="R312" s="22" t="str">
        <x:f>O312&amp;P312&amp;Q312</x:f>
        <x:v>111</x:v>
      </x:c>
      <x:c r="S312" s="19" t="n">
        <x:f>IF(I312=1,IF(J312=0,Q312,IF(J312=1,P312,IF(J312=2,O312,0))),0)</x:f>
        <x:v>0</x:v>
      </x:c>
      <x:c r="T312" s="19" t="n">
        <x:f>K312+IF(AND(S312=1,J312=0),1,0)</x:f>
        <x:v>0</x:v>
      </x:c>
      <x:c r="U312" s="19" t="n">
        <x:f>L312+IF(AND(S312=1,J312=1),1,0)</x:f>
        <x:v>3</x:v>
      </x:c>
      <x:c r="V312" s="19" t="n">
        <x:f>M312+IF(AND(S312=1,J312=2),1,0)</x:f>
        <x:v>0</x:v>
      </x:c>
      <x:c r="W312" s="19" t="n">
        <x:f>SUM(T312:V312)</x:f>
        <x:v>3</x:v>
      </x:c>
      <x:c r="X312" s="19" t="n">
        <x:f>W312-G312</x:f>
        <x:v>-1</x:v>
      </x:c>
      <x:c r="Y312" s="19" t="n">
        <x:f>MAX(T312,1)+MAX(U312,1)+MAX(V312,1)</x:f>
        <x:v>5</x:v>
      </x:c>
      <x:c r="Z312" s="21" t="str">
        <x:f>IF(AND(MIN(D312:F312)&gt;=0,MAX(D312:F312)&lt;=7,MAX(D312,1)+MAX(E312,1)+MAX(F312,1)&lt;=9,OR(H312="-",AND(H312=0,D312&gt;0),AND(H312=1,E312&gt;0),AND(H312=2,F312&gt;0)),OR(I312=0,AND(I312=1,OR(J312=0,J312=1,J312=2),R312&lt;&gt;"000")),Y312&lt;=9,MIN(T312:V312)&gt;=0),"合法","输入违约")</x:f>
        <x:v>合法</x:v>
      </x:c>
    </x:row>
    <x:row r="313" ht="23" customHeight="1">
      <x:c r="A313" s="3" t="str">
        <x:v>CT-0306</x:v>
      </x:c>
      <x:c r="B313" s="3" t="str">
        <x:v>ST-025</x:v>
      </x:c>
      <x:c r="C313" s="3" t="str">
        <x:v>R+AR同收同发</x:v>
      </x:c>
      <x:c r="D313" s="25" t="n">
        <x:v>0</x:v>
      </x:c>
      <x:c r="E313" s="25" t="n">
        <x:v>4</x:v>
      </x:c>
      <x:c r="F313" s="25" t="n">
        <x:v>0</x:v>
      </x:c>
      <x:c r="G313" s="19" t="n">
        <x:f>SUM(D313:F313)</x:f>
        <x:v>4</x:v>
      </x:c>
      <x:c r="H313" s="25" t="n">
        <x:v>1</x:v>
      </x:c>
      <x:c r="I313" s="25" t="n">
        <x:v>1</x:v>
      </x:c>
      <x:c r="J313" s="25" t="n">
        <x:v>0</x:v>
      </x:c>
      <x:c r="K313" s="19" t="n">
        <x:f>D313-IF(H313=0,1,0)</x:f>
        <x:v>0</x:v>
      </x:c>
      <x:c r="L313" s="19" t="n">
        <x:f>E313-IF(H313=1,1,0)</x:f>
        <x:v>3</x:v>
      </x:c>
      <x:c r="M313" s="19" t="n">
        <x:f>F313-IF(H313=2,1,0)</x:f>
        <x:v>0</x:v>
      </x:c>
      <x:c r="N313" s="19" t="n">
        <x:f>MAX(K313-1,0)+MAX(L313-1,0)+MAX(M313-1,0)</x:f>
        <x:v>2</x:v>
      </x:c>
      <x:c r="O313" s="19" t="n">
        <x:f>IF(AND(SUM(K313:M313)&lt;9,OR(M313=0,N313&lt;6)),1,0)</x:f>
        <x:v>1</x:v>
      </x:c>
      <x:c r="P313" s="19" t="n">
        <x:f>IF(AND(SUM(K313:M313)&lt;9,OR(L313=0,N313&lt;6)),1,0)</x:f>
        <x:v>1</x:v>
      </x:c>
      <x:c r="Q313" s="19" t="n">
        <x:f>IF(AND(SUM(K313:M313)&lt;9,OR(K313=0,N313&lt;6)),1,0)</x:f>
        <x:v>1</x:v>
      </x:c>
      <x:c r="R313" s="22" t="str">
        <x:f>O313&amp;P313&amp;Q313</x:f>
        <x:v>111</x:v>
      </x:c>
      <x:c r="S313" s="19" t="n">
        <x:f>IF(I313=1,IF(J313=0,Q313,IF(J313=1,P313,IF(J313=2,O313,0))),0)</x:f>
        <x:v>1</x:v>
      </x:c>
      <x:c r="T313" s="19" t="n">
        <x:f>K313+IF(AND(S313=1,J313=0),1,0)</x:f>
        <x:v>1</x:v>
      </x:c>
      <x:c r="U313" s="19" t="n">
        <x:f>L313+IF(AND(S313=1,J313=1),1,0)</x:f>
        <x:v>3</x:v>
      </x:c>
      <x:c r="V313" s="19" t="n">
        <x:f>M313+IF(AND(S313=1,J313=2),1,0)</x:f>
        <x:v>0</x:v>
      </x:c>
      <x:c r="W313" s="19" t="n">
        <x:f>SUM(T313:V313)</x:f>
        <x:v>4</x:v>
      </x:c>
      <x:c r="X313" s="19" t="n">
        <x:f>W313-G313</x:f>
        <x:v>0</x:v>
      </x:c>
      <x:c r="Y313" s="19" t="n">
        <x:f>MAX(T313,1)+MAX(U313,1)+MAX(V313,1)</x:f>
        <x:v>5</x:v>
      </x:c>
      <x:c r="Z313" s="21" t="str">
        <x:f>IF(AND(MIN(D313:F313)&gt;=0,MAX(D313:F313)&lt;=7,MAX(D313,1)+MAX(E313,1)+MAX(F313,1)&lt;=9,OR(H313="-",AND(H313=0,D313&gt;0),AND(H313=1,E313&gt;0),AND(H313=2,F313&gt;0)),OR(I313=0,AND(I313=1,OR(J313=0,J313=1,J313=2),R313&lt;&gt;"000")),Y313&lt;=9,MIN(T313:V313)&gt;=0),"合法","输入违约")</x:f>
        <x:v>合法</x:v>
      </x:c>
    </x:row>
    <x:row r="314" ht="23" customHeight="1">
      <x:c r="A314" s="3" t="str">
        <x:v>CT-0307</x:v>
      </x:c>
      <x:c r="B314" s="3" t="str">
        <x:v>ST-025</x:v>
      </x:c>
      <x:c r="C314" s="3" t="str">
        <x:v>R+AR同收同发</x:v>
      </x:c>
      <x:c r="D314" s="25" t="n">
        <x:v>0</x:v>
      </x:c>
      <x:c r="E314" s="25" t="n">
        <x:v>4</x:v>
      </x:c>
      <x:c r="F314" s="25" t="n">
        <x:v>0</x:v>
      </x:c>
      <x:c r="G314" s="19" t="n">
        <x:f>SUM(D314:F314)</x:f>
        <x:v>4</x:v>
      </x:c>
      <x:c r="H314" s="25" t="n">
        <x:v>1</x:v>
      </x:c>
      <x:c r="I314" s="25" t="n">
        <x:v>1</x:v>
      </x:c>
      <x:c r="J314" s="25" t="n">
        <x:v>1</x:v>
      </x:c>
      <x:c r="K314" s="19" t="n">
        <x:f>D314-IF(H314=0,1,0)</x:f>
        <x:v>0</x:v>
      </x:c>
      <x:c r="L314" s="19" t="n">
        <x:f>E314-IF(H314=1,1,0)</x:f>
        <x:v>3</x:v>
      </x:c>
      <x:c r="M314" s="19" t="n">
        <x:f>F314-IF(H314=2,1,0)</x:f>
        <x:v>0</x:v>
      </x:c>
      <x:c r="N314" s="19" t="n">
        <x:f>MAX(K314-1,0)+MAX(L314-1,0)+MAX(M314-1,0)</x:f>
        <x:v>2</x:v>
      </x:c>
      <x:c r="O314" s="19" t="n">
        <x:f>IF(AND(SUM(K314:M314)&lt;9,OR(M314=0,N314&lt;6)),1,0)</x:f>
        <x:v>1</x:v>
      </x:c>
      <x:c r="P314" s="19" t="n">
        <x:f>IF(AND(SUM(K314:M314)&lt;9,OR(L314=0,N314&lt;6)),1,0)</x:f>
        <x:v>1</x:v>
      </x:c>
      <x:c r="Q314" s="19" t="n">
        <x:f>IF(AND(SUM(K314:M314)&lt;9,OR(K314=0,N314&lt;6)),1,0)</x:f>
        <x:v>1</x:v>
      </x:c>
      <x:c r="R314" s="22" t="str">
        <x:f>O314&amp;P314&amp;Q314</x:f>
        <x:v>111</x:v>
      </x:c>
      <x:c r="S314" s="19" t="n">
        <x:f>IF(I314=1,IF(J314=0,Q314,IF(J314=1,P314,IF(J314=2,O314,0))),0)</x:f>
        <x:v>1</x:v>
      </x:c>
      <x:c r="T314" s="19" t="n">
        <x:f>K314+IF(AND(S314=1,J314=0),1,0)</x:f>
        <x:v>0</x:v>
      </x:c>
      <x:c r="U314" s="19" t="n">
        <x:f>L314+IF(AND(S314=1,J314=1),1,0)</x:f>
        <x:v>4</x:v>
      </x:c>
      <x:c r="V314" s="19" t="n">
        <x:f>M314+IF(AND(S314=1,J314=2),1,0)</x:f>
        <x:v>0</x:v>
      </x:c>
      <x:c r="W314" s="19" t="n">
        <x:f>SUM(T314:V314)</x:f>
        <x:v>4</x:v>
      </x:c>
      <x:c r="X314" s="19" t="n">
        <x:f>W314-G314</x:f>
        <x:v>0</x:v>
      </x:c>
      <x:c r="Y314" s="19" t="n">
        <x:f>MAX(T314,1)+MAX(U314,1)+MAX(V314,1)</x:f>
        <x:v>6</x:v>
      </x:c>
      <x:c r="Z314" s="21" t="str">
        <x:f>IF(AND(MIN(D314:F314)&gt;=0,MAX(D314:F314)&lt;=7,MAX(D314,1)+MAX(E314,1)+MAX(F314,1)&lt;=9,OR(H314="-",AND(H314=0,D314&gt;0),AND(H314=1,E314&gt;0),AND(H314=2,F314&gt;0)),OR(I314=0,AND(I314=1,OR(J314=0,J314=1,J314=2),R314&lt;&gt;"000")),Y314&lt;=9,MIN(T314:V314)&gt;=0),"合法","输入违约")</x:f>
        <x:v>合法</x:v>
      </x:c>
    </x:row>
    <x:row r="315" ht="23" customHeight="1">
      <x:c r="A315" s="3" t="str">
        <x:v>CT-0308</x:v>
      </x:c>
      <x:c r="B315" s="3" t="str">
        <x:v>ST-025</x:v>
      </x:c>
      <x:c r="C315" s="3" t="str">
        <x:v>R+AR同收同发</x:v>
      </x:c>
      <x:c r="D315" s="25" t="n">
        <x:v>0</x:v>
      </x:c>
      <x:c r="E315" s="25" t="n">
        <x:v>4</x:v>
      </x:c>
      <x:c r="F315" s="25" t="n">
        <x:v>0</x:v>
      </x:c>
      <x:c r="G315" s="19" t="n">
        <x:f>SUM(D315:F315)</x:f>
        <x:v>4</x:v>
      </x:c>
      <x:c r="H315" s="25" t="n">
        <x:v>1</x:v>
      </x:c>
      <x:c r="I315" s="25" t="n">
        <x:v>1</x:v>
      </x:c>
      <x:c r="J315" s="25" t="n">
        <x:v>2</x:v>
      </x:c>
      <x:c r="K315" s="19" t="n">
        <x:f>D315-IF(H315=0,1,0)</x:f>
        <x:v>0</x:v>
      </x:c>
      <x:c r="L315" s="19" t="n">
        <x:f>E315-IF(H315=1,1,0)</x:f>
        <x:v>3</x:v>
      </x:c>
      <x:c r="M315" s="19" t="n">
        <x:f>F315-IF(H315=2,1,0)</x:f>
        <x:v>0</x:v>
      </x:c>
      <x:c r="N315" s="19" t="n">
        <x:f>MAX(K315-1,0)+MAX(L315-1,0)+MAX(M315-1,0)</x:f>
        <x:v>2</x:v>
      </x:c>
      <x:c r="O315" s="19" t="n">
        <x:f>IF(AND(SUM(K315:M315)&lt;9,OR(M315=0,N315&lt;6)),1,0)</x:f>
        <x:v>1</x:v>
      </x:c>
      <x:c r="P315" s="19" t="n">
        <x:f>IF(AND(SUM(K315:M315)&lt;9,OR(L315=0,N315&lt;6)),1,0)</x:f>
        <x:v>1</x:v>
      </x:c>
      <x:c r="Q315" s="19" t="n">
        <x:f>IF(AND(SUM(K315:M315)&lt;9,OR(K315=0,N315&lt;6)),1,0)</x:f>
        <x:v>1</x:v>
      </x:c>
      <x:c r="R315" s="22" t="str">
        <x:f>O315&amp;P315&amp;Q315</x:f>
        <x:v>111</x:v>
      </x:c>
      <x:c r="S315" s="19" t="n">
        <x:f>IF(I315=1,IF(J315=0,Q315,IF(J315=1,P315,IF(J315=2,O315,0))),0)</x:f>
        <x:v>1</x:v>
      </x:c>
      <x:c r="T315" s="19" t="n">
        <x:f>K315+IF(AND(S315=1,J315=0),1,0)</x:f>
        <x:v>0</x:v>
      </x:c>
      <x:c r="U315" s="19" t="n">
        <x:f>L315+IF(AND(S315=1,J315=1),1,0)</x:f>
        <x:v>3</x:v>
      </x:c>
      <x:c r="V315" s="19" t="n">
        <x:f>M315+IF(AND(S315=1,J315=2),1,0)</x:f>
        <x:v>1</x:v>
      </x:c>
      <x:c r="W315" s="19" t="n">
        <x:f>SUM(T315:V315)</x:f>
        <x:v>4</x:v>
      </x:c>
      <x:c r="X315" s="19" t="n">
        <x:f>W315-G315</x:f>
        <x:v>0</x:v>
      </x:c>
      <x:c r="Y315" s="19" t="n">
        <x:f>MAX(T315,1)+MAX(U315,1)+MAX(V315,1)</x:f>
        <x:v>5</x:v>
      </x:c>
      <x:c r="Z315" s="21" t="str">
        <x:f>IF(AND(MIN(D315:F315)&gt;=0,MAX(D315:F315)&lt;=7,MAX(D315,1)+MAX(E315,1)+MAX(F315,1)&lt;=9,OR(H315="-",AND(H315=0,D315&gt;0),AND(H315=1,E315&gt;0),AND(H315=2,F315&gt;0)),OR(I315=0,AND(I315=1,OR(J315=0,J315=1,J315=2),R315&lt;&gt;"000")),Y315&lt;=9,MIN(T315:V315)&gt;=0),"合法","输入违约")</x:f>
        <x:v>合法</x:v>
      </x:c>
    </x:row>
    <x:row r="316" ht="23" customHeight="1">
      <x:c r="A316" s="3" t="str">
        <x:v>CT-0309</x:v>
      </x:c>
      <x:c r="B316" s="3" t="str">
        <x:v>ST-040</x:v>
      </x:c>
      <x:c r="C316" s="3" t="str">
        <x:v>无AR/R</x:v>
      </x:c>
      <x:c r="D316" s="25" t="n">
        <x:v>0</x:v>
      </x:c>
      <x:c r="E316" s="25" t="n">
        <x:v>4</x:v>
      </x:c>
      <x:c r="F316" s="25" t="n">
        <x:v>1</x:v>
      </x:c>
      <x:c r="G316" s="19" t="n">
        <x:f>SUM(D316:F316)</x:f>
        <x:v>5</x:v>
      </x:c>
      <x:c r="H316" s="25" t="str">
        <x:v>-</x:v>
      </x:c>
      <x:c r="I316" s="25" t="n">
        <x:v>0</x:v>
      </x:c>
      <x:c r="J316" s="25" t="str">
        <x:v>-</x:v>
      </x:c>
      <x:c r="K316" s="19" t="n">
        <x:f>D316-IF(H316=0,1,0)</x:f>
        <x:v>0</x:v>
      </x:c>
      <x:c r="L316" s="19" t="n">
        <x:f>E316-IF(H316=1,1,0)</x:f>
        <x:v>4</x:v>
      </x:c>
      <x:c r="M316" s="19" t="n">
        <x:f>F316-IF(H316=2,1,0)</x:f>
        <x:v>1</x:v>
      </x:c>
      <x:c r="N316" s="19" t="n">
        <x:f>MAX(K316-1,0)+MAX(L316-1,0)+MAX(M316-1,0)</x:f>
        <x:v>3</x:v>
      </x:c>
      <x:c r="O316" s="19" t="n">
        <x:f>IF(AND(SUM(K316:M316)&lt;9,OR(M316=0,N316&lt;6)),1,0)</x:f>
        <x:v>1</x:v>
      </x:c>
      <x:c r="P316" s="19" t="n">
        <x:f>IF(AND(SUM(K316:M316)&lt;9,OR(L316=0,N316&lt;6)),1,0)</x:f>
        <x:v>1</x:v>
      </x:c>
      <x:c r="Q316" s="19" t="n">
        <x:f>IF(AND(SUM(K316:M316)&lt;9,OR(K316=0,N316&lt;6)),1,0)</x:f>
        <x:v>1</x:v>
      </x:c>
      <x:c r="R316" s="22" t="str">
        <x:f>O316&amp;P316&amp;Q316</x:f>
        <x:v>111</x:v>
      </x:c>
      <x:c r="S316" s="19" t="n">
        <x:f>IF(I316=1,IF(J316=0,Q316,IF(J316=1,P316,IF(J316=2,O316,0))),0)</x:f>
        <x:v>0</x:v>
      </x:c>
      <x:c r="T316" s="19" t="n">
        <x:f>K316+IF(AND(S316=1,J316=0),1,0)</x:f>
        <x:v>0</x:v>
      </x:c>
      <x:c r="U316" s="19" t="n">
        <x:f>L316+IF(AND(S316=1,J316=1),1,0)</x:f>
        <x:v>4</x:v>
      </x:c>
      <x:c r="V316" s="19" t="n">
        <x:f>M316+IF(AND(S316=1,J316=2),1,0)</x:f>
        <x:v>1</x:v>
      </x:c>
      <x:c r="W316" s="19" t="n">
        <x:f>SUM(T316:V316)</x:f>
        <x:v>5</x:v>
      </x:c>
      <x:c r="X316" s="19" t="n">
        <x:f>W316-G316</x:f>
        <x:v>0</x:v>
      </x:c>
      <x:c r="Y316" s="19" t="n">
        <x:f>MAX(T316,1)+MAX(U316,1)+MAX(V316,1)</x:f>
        <x:v>6</x:v>
      </x:c>
      <x:c r="Z316" s="21" t="str">
        <x:f>IF(AND(MIN(D316:F316)&gt;=0,MAX(D316:F316)&lt;=7,MAX(D316,1)+MAX(E316,1)+MAX(F316,1)&lt;=9,OR(H316="-",AND(H316=0,D316&gt;0),AND(H316=1,E316&gt;0),AND(H316=2,F316&gt;0)),OR(I316=0,AND(I316=1,OR(J316=0,J316=1,J316=2),R316&lt;&gt;"000")),Y316&lt;=9,MIN(T316:V316)&gt;=0),"合法","输入违约")</x:f>
        <x:v>合法</x:v>
      </x:c>
    </x:row>
    <x:row r="317" ht="23" customHeight="1">
      <x:c r="A317" s="3" t="str">
        <x:v>CT-0310</x:v>
      </x:c>
      <x:c r="B317" s="3" t="str">
        <x:v>ST-040</x:v>
      </x:c>
      <x:c r="C317" s="3" t="str">
        <x:v>仅AR接收</x:v>
      </x:c>
      <x:c r="D317" s="25" t="n">
        <x:v>0</x:v>
      </x:c>
      <x:c r="E317" s="25" t="n">
        <x:v>4</x:v>
      </x:c>
      <x:c r="F317" s="25" t="n">
        <x:v>1</x:v>
      </x:c>
      <x:c r="G317" s="19" t="n">
        <x:f>SUM(D317:F317)</x:f>
        <x:v>5</x:v>
      </x:c>
      <x:c r="H317" s="25" t="str">
        <x:v>-</x:v>
      </x:c>
      <x:c r="I317" s="25" t="n">
        <x:v>1</x:v>
      </x:c>
      <x:c r="J317" s="25" t="n">
        <x:v>0</x:v>
      </x:c>
      <x:c r="K317" s="19" t="n">
        <x:f>D317-IF(H317=0,1,0)</x:f>
        <x:v>0</x:v>
      </x:c>
      <x:c r="L317" s="19" t="n">
        <x:f>E317-IF(H317=1,1,0)</x:f>
        <x:v>4</x:v>
      </x:c>
      <x:c r="M317" s="19" t="n">
        <x:f>F317-IF(H317=2,1,0)</x:f>
        <x:v>1</x:v>
      </x:c>
      <x:c r="N317" s="19" t="n">
        <x:f>MAX(K317-1,0)+MAX(L317-1,0)+MAX(M317-1,0)</x:f>
        <x:v>3</x:v>
      </x:c>
      <x:c r="O317" s="19" t="n">
        <x:f>IF(AND(SUM(K317:M317)&lt;9,OR(M317=0,N317&lt;6)),1,0)</x:f>
        <x:v>1</x:v>
      </x:c>
      <x:c r="P317" s="19" t="n">
        <x:f>IF(AND(SUM(K317:M317)&lt;9,OR(L317=0,N317&lt;6)),1,0)</x:f>
        <x:v>1</x:v>
      </x:c>
      <x:c r="Q317" s="19" t="n">
        <x:f>IF(AND(SUM(K317:M317)&lt;9,OR(K317=0,N317&lt;6)),1,0)</x:f>
        <x:v>1</x:v>
      </x:c>
      <x:c r="R317" s="22" t="str">
        <x:f>O317&amp;P317&amp;Q317</x:f>
        <x:v>111</x:v>
      </x:c>
      <x:c r="S317" s="19" t="n">
        <x:f>IF(I317=1,IF(J317=0,Q317,IF(J317=1,P317,IF(J317=2,O317,0))),0)</x:f>
        <x:v>1</x:v>
      </x:c>
      <x:c r="T317" s="19" t="n">
        <x:f>K317+IF(AND(S317=1,J317=0),1,0)</x:f>
        <x:v>1</x:v>
      </x:c>
      <x:c r="U317" s="19" t="n">
        <x:f>L317+IF(AND(S317=1,J317=1),1,0)</x:f>
        <x:v>4</x:v>
      </x:c>
      <x:c r="V317" s="19" t="n">
        <x:f>M317+IF(AND(S317=1,J317=2),1,0)</x:f>
        <x:v>1</x:v>
      </x:c>
      <x:c r="W317" s="19" t="n">
        <x:f>SUM(T317:V317)</x:f>
        <x:v>6</x:v>
      </x:c>
      <x:c r="X317" s="19" t="n">
        <x:f>W317-G317</x:f>
        <x:v>1</x:v>
      </x:c>
      <x:c r="Y317" s="19" t="n">
        <x:f>MAX(T317,1)+MAX(U317,1)+MAX(V317,1)</x:f>
        <x:v>6</x:v>
      </x:c>
      <x:c r="Z317" s="21" t="str">
        <x:f>IF(AND(MIN(D317:F317)&gt;=0,MAX(D317:F317)&lt;=7,MAX(D317,1)+MAX(E317,1)+MAX(F317,1)&lt;=9,OR(H317="-",AND(H317=0,D317&gt;0),AND(H317=1,E317&gt;0),AND(H317=2,F317&gt;0)),OR(I317=0,AND(I317=1,OR(J317=0,J317=1,J317=2),R317&lt;&gt;"000")),Y317&lt;=9,MIN(T317:V317)&gt;=0),"合法","输入违约")</x:f>
        <x:v>合法</x:v>
      </x:c>
    </x:row>
    <x:row r="318" ht="23" customHeight="1">
      <x:c r="A318" s="3" t="str">
        <x:v>CT-0311</x:v>
      </x:c>
      <x:c r="B318" s="3" t="str">
        <x:v>ST-040</x:v>
      </x:c>
      <x:c r="C318" s="3" t="str">
        <x:v>仅AR接收</x:v>
      </x:c>
      <x:c r="D318" s="25" t="n">
        <x:v>0</x:v>
      </x:c>
      <x:c r="E318" s="25" t="n">
        <x:v>4</x:v>
      </x:c>
      <x:c r="F318" s="25" t="n">
        <x:v>1</x:v>
      </x:c>
      <x:c r="G318" s="19" t="n">
        <x:f>SUM(D318:F318)</x:f>
        <x:v>5</x:v>
      </x:c>
      <x:c r="H318" s="25" t="str">
        <x:v>-</x:v>
      </x:c>
      <x:c r="I318" s="25" t="n">
        <x:v>1</x:v>
      </x:c>
      <x:c r="J318" s="25" t="n">
        <x:v>1</x:v>
      </x:c>
      <x:c r="K318" s="19" t="n">
        <x:f>D318-IF(H318=0,1,0)</x:f>
        <x:v>0</x:v>
      </x:c>
      <x:c r="L318" s="19" t="n">
        <x:f>E318-IF(H318=1,1,0)</x:f>
        <x:v>4</x:v>
      </x:c>
      <x:c r="M318" s="19" t="n">
        <x:f>F318-IF(H318=2,1,0)</x:f>
        <x:v>1</x:v>
      </x:c>
      <x:c r="N318" s="19" t="n">
        <x:f>MAX(K318-1,0)+MAX(L318-1,0)+MAX(M318-1,0)</x:f>
        <x:v>3</x:v>
      </x:c>
      <x:c r="O318" s="19" t="n">
        <x:f>IF(AND(SUM(K318:M318)&lt;9,OR(M318=0,N318&lt;6)),1,0)</x:f>
        <x:v>1</x:v>
      </x:c>
      <x:c r="P318" s="19" t="n">
        <x:f>IF(AND(SUM(K318:M318)&lt;9,OR(L318=0,N318&lt;6)),1,0)</x:f>
        <x:v>1</x:v>
      </x:c>
      <x:c r="Q318" s="19" t="n">
        <x:f>IF(AND(SUM(K318:M318)&lt;9,OR(K318=0,N318&lt;6)),1,0)</x:f>
        <x:v>1</x:v>
      </x:c>
      <x:c r="R318" s="22" t="str">
        <x:f>O318&amp;P318&amp;Q318</x:f>
        <x:v>111</x:v>
      </x:c>
      <x:c r="S318" s="19" t="n">
        <x:f>IF(I318=1,IF(J318=0,Q318,IF(J318=1,P318,IF(J318=2,O318,0))),0)</x:f>
        <x:v>1</x:v>
      </x:c>
      <x:c r="T318" s="19" t="n">
        <x:f>K318+IF(AND(S318=1,J318=0),1,0)</x:f>
        <x:v>0</x:v>
      </x:c>
      <x:c r="U318" s="19" t="n">
        <x:f>L318+IF(AND(S318=1,J318=1),1,0)</x:f>
        <x:v>5</x:v>
      </x:c>
      <x:c r="V318" s="19" t="n">
        <x:f>M318+IF(AND(S318=1,J318=2),1,0)</x:f>
        <x:v>1</x:v>
      </x:c>
      <x:c r="W318" s="19" t="n">
        <x:f>SUM(T318:V318)</x:f>
        <x:v>6</x:v>
      </x:c>
      <x:c r="X318" s="19" t="n">
        <x:f>W318-G318</x:f>
        <x:v>1</x:v>
      </x:c>
      <x:c r="Y318" s="19" t="n">
        <x:f>MAX(T318,1)+MAX(U318,1)+MAX(V318,1)</x:f>
        <x:v>7</x:v>
      </x:c>
      <x:c r="Z318" s="21" t="str">
        <x:f>IF(AND(MIN(D318:F318)&gt;=0,MAX(D318:F318)&lt;=7,MAX(D318,1)+MAX(E318,1)+MAX(F318,1)&lt;=9,OR(H318="-",AND(H318=0,D318&gt;0),AND(H318=1,E318&gt;0),AND(H318=2,F318&gt;0)),OR(I318=0,AND(I318=1,OR(J318=0,J318=1,J318=2),R318&lt;&gt;"000")),Y318&lt;=9,MIN(T318:V318)&gt;=0),"合法","输入违约")</x:f>
        <x:v>合法</x:v>
      </x:c>
    </x:row>
    <x:row r="319" ht="23" customHeight="1">
      <x:c r="A319" s="3" t="str">
        <x:v>CT-0312</x:v>
      </x:c>
      <x:c r="B319" s="3" t="str">
        <x:v>ST-040</x:v>
      </x:c>
      <x:c r="C319" s="3" t="str">
        <x:v>仅AR接收</x:v>
      </x:c>
      <x:c r="D319" s="25" t="n">
        <x:v>0</x:v>
      </x:c>
      <x:c r="E319" s="25" t="n">
        <x:v>4</x:v>
      </x:c>
      <x:c r="F319" s="25" t="n">
        <x:v>1</x:v>
      </x:c>
      <x:c r="G319" s="19" t="n">
        <x:f>SUM(D319:F319)</x:f>
        <x:v>5</x:v>
      </x:c>
      <x:c r="H319" s="25" t="str">
        <x:v>-</x:v>
      </x:c>
      <x:c r="I319" s="25" t="n">
        <x:v>1</x:v>
      </x:c>
      <x:c r="J319" s="25" t="n">
        <x:v>2</x:v>
      </x:c>
      <x:c r="K319" s="19" t="n">
        <x:f>D319-IF(H319=0,1,0)</x:f>
        <x:v>0</x:v>
      </x:c>
      <x:c r="L319" s="19" t="n">
        <x:f>E319-IF(H319=1,1,0)</x:f>
        <x:v>4</x:v>
      </x:c>
      <x:c r="M319" s="19" t="n">
        <x:f>F319-IF(H319=2,1,0)</x:f>
        <x:v>1</x:v>
      </x:c>
      <x:c r="N319" s="19" t="n">
        <x:f>MAX(K319-1,0)+MAX(L319-1,0)+MAX(M319-1,0)</x:f>
        <x:v>3</x:v>
      </x:c>
      <x:c r="O319" s="19" t="n">
        <x:f>IF(AND(SUM(K319:M319)&lt;9,OR(M319=0,N319&lt;6)),1,0)</x:f>
        <x:v>1</x:v>
      </x:c>
      <x:c r="P319" s="19" t="n">
        <x:f>IF(AND(SUM(K319:M319)&lt;9,OR(L319=0,N319&lt;6)),1,0)</x:f>
        <x:v>1</x:v>
      </x:c>
      <x:c r="Q319" s="19" t="n">
        <x:f>IF(AND(SUM(K319:M319)&lt;9,OR(K319=0,N319&lt;6)),1,0)</x:f>
        <x:v>1</x:v>
      </x:c>
      <x:c r="R319" s="22" t="str">
        <x:f>O319&amp;P319&amp;Q319</x:f>
        <x:v>111</x:v>
      </x:c>
      <x:c r="S319" s="19" t="n">
        <x:f>IF(I319=1,IF(J319=0,Q319,IF(J319=1,P319,IF(J319=2,O319,0))),0)</x:f>
        <x:v>1</x:v>
      </x:c>
      <x:c r="T319" s="19" t="n">
        <x:f>K319+IF(AND(S319=1,J319=0),1,0)</x:f>
        <x:v>0</x:v>
      </x:c>
      <x:c r="U319" s="19" t="n">
        <x:f>L319+IF(AND(S319=1,J319=1),1,0)</x:f>
        <x:v>4</x:v>
      </x:c>
      <x:c r="V319" s="19" t="n">
        <x:f>M319+IF(AND(S319=1,J319=2),1,0)</x:f>
        <x:v>2</x:v>
      </x:c>
      <x:c r="W319" s="19" t="n">
        <x:f>SUM(T319:V319)</x:f>
        <x:v>6</x:v>
      </x:c>
      <x:c r="X319" s="19" t="n">
        <x:f>W319-G319</x:f>
        <x:v>1</x:v>
      </x:c>
      <x:c r="Y319" s="19" t="n">
        <x:f>MAX(T319,1)+MAX(U319,1)+MAX(V319,1)</x:f>
        <x:v>7</x:v>
      </x:c>
      <x:c r="Z319" s="21" t="str">
        <x:f>IF(AND(MIN(D319:F319)&gt;=0,MAX(D319:F319)&lt;=7,MAX(D319,1)+MAX(E319,1)+MAX(F319,1)&lt;=9,OR(H319="-",AND(H319=0,D319&gt;0),AND(H319=1,E319&gt;0),AND(H319=2,F319&gt;0)),OR(I319=0,AND(I319=1,OR(J319=0,J319=1,J319=2),R319&lt;&gt;"000")),Y319&lt;=9,MIN(T319:V319)&gt;=0),"合法","输入违约")</x:f>
        <x:v>合法</x:v>
      </x:c>
    </x:row>
    <x:row r="320" ht="23" customHeight="1">
      <x:c r="A320" s="3" t="str">
        <x:v>CT-0313</x:v>
      </x:c>
      <x:c r="B320" s="3" t="str">
        <x:v>ST-040</x:v>
      </x:c>
      <x:c r="C320" s="3" t="str">
        <x:v>仅R回收</x:v>
      </x:c>
      <x:c r="D320" s="25" t="n">
        <x:v>0</x:v>
      </x:c>
      <x:c r="E320" s="25" t="n">
        <x:v>4</x:v>
      </x:c>
      <x:c r="F320" s="25" t="n">
        <x:v>1</x:v>
      </x:c>
      <x:c r="G320" s="19" t="n">
        <x:f>SUM(D320:F320)</x:f>
        <x:v>5</x:v>
      </x:c>
      <x:c r="H320" s="25" t="n">
        <x:v>1</x:v>
      </x:c>
      <x:c r="I320" s="25" t="n">
        <x:v>0</x:v>
      </x:c>
      <x:c r="J320" s="25" t="str">
        <x:v>-</x:v>
      </x:c>
      <x:c r="K320" s="19" t="n">
        <x:f>D320-IF(H320=0,1,0)</x:f>
        <x:v>0</x:v>
      </x:c>
      <x:c r="L320" s="19" t="n">
        <x:f>E320-IF(H320=1,1,0)</x:f>
        <x:v>3</x:v>
      </x:c>
      <x:c r="M320" s="19" t="n">
        <x:f>F320-IF(H320=2,1,0)</x:f>
        <x:v>1</x:v>
      </x:c>
      <x:c r="N320" s="19" t="n">
        <x:f>MAX(K320-1,0)+MAX(L320-1,0)+MAX(M320-1,0)</x:f>
        <x:v>2</x:v>
      </x:c>
      <x:c r="O320" s="19" t="n">
        <x:f>IF(AND(SUM(K320:M320)&lt;9,OR(M320=0,N320&lt;6)),1,0)</x:f>
        <x:v>1</x:v>
      </x:c>
      <x:c r="P320" s="19" t="n">
        <x:f>IF(AND(SUM(K320:M320)&lt;9,OR(L320=0,N320&lt;6)),1,0)</x:f>
        <x:v>1</x:v>
      </x:c>
      <x:c r="Q320" s="19" t="n">
        <x:f>IF(AND(SUM(K320:M320)&lt;9,OR(K320=0,N320&lt;6)),1,0)</x:f>
        <x:v>1</x:v>
      </x:c>
      <x:c r="R320" s="22" t="str">
        <x:f>O320&amp;P320&amp;Q320</x:f>
        <x:v>111</x:v>
      </x:c>
      <x:c r="S320" s="19" t="n">
        <x:f>IF(I320=1,IF(J320=0,Q320,IF(J320=1,P320,IF(J320=2,O320,0))),0)</x:f>
        <x:v>0</x:v>
      </x:c>
      <x:c r="T320" s="19" t="n">
        <x:f>K320+IF(AND(S320=1,J320=0),1,0)</x:f>
        <x:v>0</x:v>
      </x:c>
      <x:c r="U320" s="19" t="n">
        <x:f>L320+IF(AND(S320=1,J320=1),1,0)</x:f>
        <x:v>3</x:v>
      </x:c>
      <x:c r="V320" s="19" t="n">
        <x:f>M320+IF(AND(S320=1,J320=2),1,0)</x:f>
        <x:v>1</x:v>
      </x:c>
      <x:c r="W320" s="19" t="n">
        <x:f>SUM(T320:V320)</x:f>
        <x:v>4</x:v>
      </x:c>
      <x:c r="X320" s="19" t="n">
        <x:f>W320-G320</x:f>
        <x:v>-1</x:v>
      </x:c>
      <x:c r="Y320" s="19" t="n">
        <x:f>MAX(T320,1)+MAX(U320,1)+MAX(V320,1)</x:f>
        <x:v>5</x:v>
      </x:c>
      <x:c r="Z320" s="21" t="str">
        <x:f>IF(AND(MIN(D320:F320)&gt;=0,MAX(D320:F320)&lt;=7,MAX(D320,1)+MAX(E320,1)+MAX(F320,1)&lt;=9,OR(H320="-",AND(H320=0,D320&gt;0),AND(H320=1,E320&gt;0),AND(H320=2,F320&gt;0)),OR(I320=0,AND(I320=1,OR(J320=0,J320=1,J320=2),R320&lt;&gt;"000")),Y320&lt;=9,MIN(T320:V320)&gt;=0),"合法","输入违约")</x:f>
        <x:v>合法</x:v>
      </x:c>
    </x:row>
    <x:row r="321" ht="23" customHeight="1">
      <x:c r="A321" s="3" t="str">
        <x:v>CT-0314</x:v>
      </x:c>
      <x:c r="B321" s="3" t="str">
        <x:v>ST-040</x:v>
      </x:c>
      <x:c r="C321" s="3" t="str">
        <x:v>R+AR同收同发</x:v>
      </x:c>
      <x:c r="D321" s="25" t="n">
        <x:v>0</x:v>
      </x:c>
      <x:c r="E321" s="25" t="n">
        <x:v>4</x:v>
      </x:c>
      <x:c r="F321" s="25" t="n">
        <x:v>1</x:v>
      </x:c>
      <x:c r="G321" s="19" t="n">
        <x:f>SUM(D321:F321)</x:f>
        <x:v>5</x:v>
      </x:c>
      <x:c r="H321" s="25" t="n">
        <x:v>1</x:v>
      </x:c>
      <x:c r="I321" s="25" t="n">
        <x:v>1</x:v>
      </x:c>
      <x:c r="J321" s="25" t="n">
        <x:v>0</x:v>
      </x:c>
      <x:c r="K321" s="19" t="n">
        <x:f>D321-IF(H321=0,1,0)</x:f>
        <x:v>0</x:v>
      </x:c>
      <x:c r="L321" s="19" t="n">
        <x:f>E321-IF(H321=1,1,0)</x:f>
        <x:v>3</x:v>
      </x:c>
      <x:c r="M321" s="19" t="n">
        <x:f>F321-IF(H321=2,1,0)</x:f>
        <x:v>1</x:v>
      </x:c>
      <x:c r="N321" s="19" t="n">
        <x:f>MAX(K321-1,0)+MAX(L321-1,0)+MAX(M321-1,0)</x:f>
        <x:v>2</x:v>
      </x:c>
      <x:c r="O321" s="19" t="n">
        <x:f>IF(AND(SUM(K321:M321)&lt;9,OR(M321=0,N321&lt;6)),1,0)</x:f>
        <x:v>1</x:v>
      </x:c>
      <x:c r="P321" s="19" t="n">
        <x:f>IF(AND(SUM(K321:M321)&lt;9,OR(L321=0,N321&lt;6)),1,0)</x:f>
        <x:v>1</x:v>
      </x:c>
      <x:c r="Q321" s="19" t="n">
        <x:f>IF(AND(SUM(K321:M321)&lt;9,OR(K321=0,N321&lt;6)),1,0)</x:f>
        <x:v>1</x:v>
      </x:c>
      <x:c r="R321" s="22" t="str">
        <x:f>O321&amp;P321&amp;Q321</x:f>
        <x:v>111</x:v>
      </x:c>
      <x:c r="S321" s="19" t="n">
        <x:f>IF(I321=1,IF(J321=0,Q321,IF(J321=1,P321,IF(J321=2,O321,0))),0)</x:f>
        <x:v>1</x:v>
      </x:c>
      <x:c r="T321" s="19" t="n">
        <x:f>K321+IF(AND(S321=1,J321=0),1,0)</x:f>
        <x:v>1</x:v>
      </x:c>
      <x:c r="U321" s="19" t="n">
        <x:f>L321+IF(AND(S321=1,J321=1),1,0)</x:f>
        <x:v>3</x:v>
      </x:c>
      <x:c r="V321" s="19" t="n">
        <x:f>M321+IF(AND(S321=1,J321=2),1,0)</x:f>
        <x:v>1</x:v>
      </x:c>
      <x:c r="W321" s="19" t="n">
        <x:f>SUM(T321:V321)</x:f>
        <x:v>5</x:v>
      </x:c>
      <x:c r="X321" s="19" t="n">
        <x:f>W321-G321</x:f>
        <x:v>0</x:v>
      </x:c>
      <x:c r="Y321" s="19" t="n">
        <x:f>MAX(T321,1)+MAX(U321,1)+MAX(V321,1)</x:f>
        <x:v>5</x:v>
      </x:c>
      <x:c r="Z321" s="21" t="str">
        <x:f>IF(AND(MIN(D321:F321)&gt;=0,MAX(D321:F321)&lt;=7,MAX(D321,1)+MAX(E321,1)+MAX(F321,1)&lt;=9,OR(H321="-",AND(H321=0,D321&gt;0),AND(H321=1,E321&gt;0),AND(H321=2,F321&gt;0)),OR(I321=0,AND(I321=1,OR(J321=0,J321=1,J321=2),R321&lt;&gt;"000")),Y321&lt;=9,MIN(T321:V321)&gt;=0),"合法","输入违约")</x:f>
        <x:v>合法</x:v>
      </x:c>
    </x:row>
    <x:row r="322" ht="23" customHeight="1">
      <x:c r="A322" s="3" t="str">
        <x:v>CT-0315</x:v>
      </x:c>
      <x:c r="B322" s="3" t="str">
        <x:v>ST-040</x:v>
      </x:c>
      <x:c r="C322" s="3" t="str">
        <x:v>R+AR同收同发</x:v>
      </x:c>
      <x:c r="D322" s="25" t="n">
        <x:v>0</x:v>
      </x:c>
      <x:c r="E322" s="25" t="n">
        <x:v>4</x:v>
      </x:c>
      <x:c r="F322" s="25" t="n">
        <x:v>1</x:v>
      </x:c>
      <x:c r="G322" s="19" t="n">
        <x:f>SUM(D322:F322)</x:f>
        <x:v>5</x:v>
      </x:c>
      <x:c r="H322" s="25" t="n">
        <x:v>1</x:v>
      </x:c>
      <x:c r="I322" s="25" t="n">
        <x:v>1</x:v>
      </x:c>
      <x:c r="J322" s="25" t="n">
        <x:v>1</x:v>
      </x:c>
      <x:c r="K322" s="19" t="n">
        <x:f>D322-IF(H322=0,1,0)</x:f>
        <x:v>0</x:v>
      </x:c>
      <x:c r="L322" s="19" t="n">
        <x:f>E322-IF(H322=1,1,0)</x:f>
        <x:v>3</x:v>
      </x:c>
      <x:c r="M322" s="19" t="n">
        <x:f>F322-IF(H322=2,1,0)</x:f>
        <x:v>1</x:v>
      </x:c>
      <x:c r="N322" s="19" t="n">
        <x:f>MAX(K322-1,0)+MAX(L322-1,0)+MAX(M322-1,0)</x:f>
        <x:v>2</x:v>
      </x:c>
      <x:c r="O322" s="19" t="n">
        <x:f>IF(AND(SUM(K322:M322)&lt;9,OR(M322=0,N322&lt;6)),1,0)</x:f>
        <x:v>1</x:v>
      </x:c>
      <x:c r="P322" s="19" t="n">
        <x:f>IF(AND(SUM(K322:M322)&lt;9,OR(L322=0,N322&lt;6)),1,0)</x:f>
        <x:v>1</x:v>
      </x:c>
      <x:c r="Q322" s="19" t="n">
        <x:f>IF(AND(SUM(K322:M322)&lt;9,OR(K322=0,N322&lt;6)),1,0)</x:f>
        <x:v>1</x:v>
      </x:c>
      <x:c r="R322" s="22" t="str">
        <x:f>O322&amp;P322&amp;Q322</x:f>
        <x:v>111</x:v>
      </x:c>
      <x:c r="S322" s="19" t="n">
        <x:f>IF(I322=1,IF(J322=0,Q322,IF(J322=1,P322,IF(J322=2,O322,0))),0)</x:f>
        <x:v>1</x:v>
      </x:c>
      <x:c r="T322" s="19" t="n">
        <x:f>K322+IF(AND(S322=1,J322=0),1,0)</x:f>
        <x:v>0</x:v>
      </x:c>
      <x:c r="U322" s="19" t="n">
        <x:f>L322+IF(AND(S322=1,J322=1),1,0)</x:f>
        <x:v>4</x:v>
      </x:c>
      <x:c r="V322" s="19" t="n">
        <x:f>M322+IF(AND(S322=1,J322=2),1,0)</x:f>
        <x:v>1</x:v>
      </x:c>
      <x:c r="W322" s="19" t="n">
        <x:f>SUM(T322:V322)</x:f>
        <x:v>5</x:v>
      </x:c>
      <x:c r="X322" s="19" t="n">
        <x:f>W322-G322</x:f>
        <x:v>0</x:v>
      </x:c>
      <x:c r="Y322" s="19" t="n">
        <x:f>MAX(T322,1)+MAX(U322,1)+MAX(V322,1)</x:f>
        <x:v>6</x:v>
      </x:c>
      <x:c r="Z322" s="21" t="str">
        <x:f>IF(AND(MIN(D322:F322)&gt;=0,MAX(D322:F322)&lt;=7,MAX(D322,1)+MAX(E322,1)+MAX(F322,1)&lt;=9,OR(H322="-",AND(H322=0,D322&gt;0),AND(H322=1,E322&gt;0),AND(H322=2,F322&gt;0)),OR(I322=0,AND(I322=1,OR(J322=0,J322=1,J322=2),R322&lt;&gt;"000")),Y322&lt;=9,MIN(T322:V322)&gt;=0),"合法","输入违约")</x:f>
        <x:v>合法</x:v>
      </x:c>
    </x:row>
    <x:row r="323" ht="23" customHeight="1">
      <x:c r="A323" s="3" t="str">
        <x:v>CT-0316</x:v>
      </x:c>
      <x:c r="B323" s="3" t="str">
        <x:v>ST-040</x:v>
      </x:c>
      <x:c r="C323" s="3" t="str">
        <x:v>R+AR同收同发</x:v>
      </x:c>
      <x:c r="D323" s="25" t="n">
        <x:v>0</x:v>
      </x:c>
      <x:c r="E323" s="25" t="n">
        <x:v>4</x:v>
      </x:c>
      <x:c r="F323" s="25" t="n">
        <x:v>1</x:v>
      </x:c>
      <x:c r="G323" s="19" t="n">
        <x:f>SUM(D323:F323)</x:f>
        <x:v>5</x:v>
      </x:c>
      <x:c r="H323" s="25" t="n">
        <x:v>1</x:v>
      </x:c>
      <x:c r="I323" s="25" t="n">
        <x:v>1</x:v>
      </x:c>
      <x:c r="J323" s="25" t="n">
        <x:v>2</x:v>
      </x:c>
      <x:c r="K323" s="19" t="n">
        <x:f>D323-IF(H323=0,1,0)</x:f>
        <x:v>0</x:v>
      </x:c>
      <x:c r="L323" s="19" t="n">
        <x:f>E323-IF(H323=1,1,0)</x:f>
        <x:v>3</x:v>
      </x:c>
      <x:c r="M323" s="19" t="n">
        <x:f>F323-IF(H323=2,1,0)</x:f>
        <x:v>1</x:v>
      </x:c>
      <x:c r="N323" s="19" t="n">
        <x:f>MAX(K323-1,0)+MAX(L323-1,0)+MAX(M323-1,0)</x:f>
        <x:v>2</x:v>
      </x:c>
      <x:c r="O323" s="19" t="n">
        <x:f>IF(AND(SUM(K323:M323)&lt;9,OR(M323=0,N323&lt;6)),1,0)</x:f>
        <x:v>1</x:v>
      </x:c>
      <x:c r="P323" s="19" t="n">
        <x:f>IF(AND(SUM(K323:M323)&lt;9,OR(L323=0,N323&lt;6)),1,0)</x:f>
        <x:v>1</x:v>
      </x:c>
      <x:c r="Q323" s="19" t="n">
        <x:f>IF(AND(SUM(K323:M323)&lt;9,OR(K323=0,N323&lt;6)),1,0)</x:f>
        <x:v>1</x:v>
      </x:c>
      <x:c r="R323" s="22" t="str">
        <x:f>O323&amp;P323&amp;Q323</x:f>
        <x:v>111</x:v>
      </x:c>
      <x:c r="S323" s="19" t="n">
        <x:f>IF(I323=1,IF(J323=0,Q323,IF(J323=1,P323,IF(J323=2,O323,0))),0)</x:f>
        <x:v>1</x:v>
      </x:c>
      <x:c r="T323" s="19" t="n">
        <x:f>K323+IF(AND(S323=1,J323=0),1,0)</x:f>
        <x:v>0</x:v>
      </x:c>
      <x:c r="U323" s="19" t="n">
        <x:f>L323+IF(AND(S323=1,J323=1),1,0)</x:f>
        <x:v>3</x:v>
      </x:c>
      <x:c r="V323" s="19" t="n">
        <x:f>M323+IF(AND(S323=1,J323=2),1,0)</x:f>
        <x:v>2</x:v>
      </x:c>
      <x:c r="W323" s="19" t="n">
        <x:f>SUM(T323:V323)</x:f>
        <x:v>5</x:v>
      </x:c>
      <x:c r="X323" s="19" t="n">
        <x:f>W323-G323</x:f>
        <x:v>0</x:v>
      </x:c>
      <x:c r="Y323" s="19" t="n">
        <x:f>MAX(T323,1)+MAX(U323,1)+MAX(V323,1)</x:f>
        <x:v>6</x:v>
      </x:c>
      <x:c r="Z323" s="21" t="str">
        <x:f>IF(AND(MIN(D323:F323)&gt;=0,MAX(D323:F323)&lt;=7,MAX(D323,1)+MAX(E323,1)+MAX(F323,1)&lt;=9,OR(H323="-",AND(H323=0,D323&gt;0),AND(H323=1,E323&gt;0),AND(H323=2,F323&gt;0)),OR(I323=0,AND(I323=1,OR(J323=0,J323=1,J323=2),R323&lt;&gt;"000")),Y323&lt;=9,MIN(T323:V323)&gt;=0),"合法","输入违约")</x:f>
        <x:v>合法</x:v>
      </x:c>
    </x:row>
    <x:row r="324" ht="23" customHeight="1">
      <x:c r="A324" s="3" t="str">
        <x:v>CT-0317</x:v>
      </x:c>
      <x:c r="B324" s="3" t="str">
        <x:v>ST-040</x:v>
      </x:c>
      <x:c r="C324" s="3" t="str">
        <x:v>仅R回收</x:v>
      </x:c>
      <x:c r="D324" s="25" t="n">
        <x:v>0</x:v>
      </x:c>
      <x:c r="E324" s="25" t="n">
        <x:v>4</x:v>
      </x:c>
      <x:c r="F324" s="25" t="n">
        <x:v>1</x:v>
      </x:c>
      <x:c r="G324" s="19" t="n">
        <x:f>SUM(D324:F324)</x:f>
        <x:v>5</x:v>
      </x:c>
      <x:c r="H324" s="25" t="n">
        <x:v>2</x:v>
      </x:c>
      <x:c r="I324" s="25" t="n">
        <x:v>0</x:v>
      </x:c>
      <x:c r="J324" s="25" t="str">
        <x:v>-</x:v>
      </x:c>
      <x:c r="K324" s="19" t="n">
        <x:f>D324-IF(H324=0,1,0)</x:f>
        <x:v>0</x:v>
      </x:c>
      <x:c r="L324" s="19" t="n">
        <x:f>E324-IF(H324=1,1,0)</x:f>
        <x:v>4</x:v>
      </x:c>
      <x:c r="M324" s="19" t="n">
        <x:f>F324-IF(H324=2,1,0)</x:f>
        <x:v>0</x:v>
      </x:c>
      <x:c r="N324" s="19" t="n">
        <x:f>MAX(K324-1,0)+MAX(L324-1,0)+MAX(M324-1,0)</x:f>
        <x:v>3</x:v>
      </x:c>
      <x:c r="O324" s="19" t="n">
        <x:f>IF(AND(SUM(K324:M324)&lt;9,OR(M324=0,N324&lt;6)),1,0)</x:f>
        <x:v>1</x:v>
      </x:c>
      <x:c r="P324" s="19" t="n">
        <x:f>IF(AND(SUM(K324:M324)&lt;9,OR(L324=0,N324&lt;6)),1,0)</x:f>
        <x:v>1</x:v>
      </x:c>
      <x:c r="Q324" s="19" t="n">
        <x:f>IF(AND(SUM(K324:M324)&lt;9,OR(K324=0,N324&lt;6)),1,0)</x:f>
        <x:v>1</x:v>
      </x:c>
      <x:c r="R324" s="22" t="str">
        <x:f>O324&amp;P324&amp;Q324</x:f>
        <x:v>111</x:v>
      </x:c>
      <x:c r="S324" s="19" t="n">
        <x:f>IF(I324=1,IF(J324=0,Q324,IF(J324=1,P324,IF(J324=2,O324,0))),0)</x:f>
        <x:v>0</x:v>
      </x:c>
      <x:c r="T324" s="19" t="n">
        <x:f>K324+IF(AND(S324=1,J324=0),1,0)</x:f>
        <x:v>0</x:v>
      </x:c>
      <x:c r="U324" s="19" t="n">
        <x:f>L324+IF(AND(S324=1,J324=1),1,0)</x:f>
        <x:v>4</x:v>
      </x:c>
      <x:c r="V324" s="19" t="n">
        <x:f>M324+IF(AND(S324=1,J324=2),1,0)</x:f>
        <x:v>0</x:v>
      </x:c>
      <x:c r="W324" s="19" t="n">
        <x:f>SUM(T324:V324)</x:f>
        <x:v>4</x:v>
      </x:c>
      <x:c r="X324" s="19" t="n">
        <x:f>W324-G324</x:f>
        <x:v>-1</x:v>
      </x:c>
      <x:c r="Y324" s="19" t="n">
        <x:f>MAX(T324,1)+MAX(U324,1)+MAX(V324,1)</x:f>
        <x:v>6</x:v>
      </x:c>
      <x:c r="Z324" s="21" t="str">
        <x:f>IF(AND(MIN(D324:F324)&gt;=0,MAX(D324:F324)&lt;=7,MAX(D324,1)+MAX(E324,1)+MAX(F324,1)&lt;=9,OR(H324="-",AND(H324=0,D324&gt;0),AND(H324=1,E324&gt;0),AND(H324=2,F324&gt;0)),OR(I324=0,AND(I324=1,OR(J324=0,J324=1,J324=2),R324&lt;&gt;"000")),Y324&lt;=9,MIN(T324:V324)&gt;=0),"合法","输入违约")</x:f>
        <x:v>合法</x:v>
      </x:c>
    </x:row>
    <x:row r="325" ht="23" customHeight="1">
      <x:c r="A325" s="3" t="str">
        <x:v>CT-0318</x:v>
      </x:c>
      <x:c r="B325" s="3" t="str">
        <x:v>ST-040</x:v>
      </x:c>
      <x:c r="C325" s="3" t="str">
        <x:v>R+AR同收同发</x:v>
      </x:c>
      <x:c r="D325" s="25" t="n">
        <x:v>0</x:v>
      </x:c>
      <x:c r="E325" s="25" t="n">
        <x:v>4</x:v>
      </x:c>
      <x:c r="F325" s="25" t="n">
        <x:v>1</x:v>
      </x:c>
      <x:c r="G325" s="19" t="n">
        <x:f>SUM(D325:F325)</x:f>
        <x:v>5</x:v>
      </x:c>
      <x:c r="H325" s="25" t="n">
        <x:v>2</x:v>
      </x:c>
      <x:c r="I325" s="25" t="n">
        <x:v>1</x:v>
      </x:c>
      <x:c r="J325" s="25" t="n">
        <x:v>0</x:v>
      </x:c>
      <x:c r="K325" s="19" t="n">
        <x:f>D325-IF(H325=0,1,0)</x:f>
        <x:v>0</x:v>
      </x:c>
      <x:c r="L325" s="19" t="n">
        <x:f>E325-IF(H325=1,1,0)</x:f>
        <x:v>4</x:v>
      </x:c>
      <x:c r="M325" s="19" t="n">
        <x:f>F325-IF(H325=2,1,0)</x:f>
        <x:v>0</x:v>
      </x:c>
      <x:c r="N325" s="19" t="n">
        <x:f>MAX(K325-1,0)+MAX(L325-1,0)+MAX(M325-1,0)</x:f>
        <x:v>3</x:v>
      </x:c>
      <x:c r="O325" s="19" t="n">
        <x:f>IF(AND(SUM(K325:M325)&lt;9,OR(M325=0,N325&lt;6)),1,0)</x:f>
        <x:v>1</x:v>
      </x:c>
      <x:c r="P325" s="19" t="n">
        <x:f>IF(AND(SUM(K325:M325)&lt;9,OR(L325=0,N325&lt;6)),1,0)</x:f>
        <x:v>1</x:v>
      </x:c>
      <x:c r="Q325" s="19" t="n">
        <x:f>IF(AND(SUM(K325:M325)&lt;9,OR(K325=0,N325&lt;6)),1,0)</x:f>
        <x:v>1</x:v>
      </x:c>
      <x:c r="R325" s="22" t="str">
        <x:f>O325&amp;P325&amp;Q325</x:f>
        <x:v>111</x:v>
      </x:c>
      <x:c r="S325" s="19" t="n">
        <x:f>IF(I325=1,IF(J325=0,Q325,IF(J325=1,P325,IF(J325=2,O325,0))),0)</x:f>
        <x:v>1</x:v>
      </x:c>
      <x:c r="T325" s="19" t="n">
        <x:f>K325+IF(AND(S325=1,J325=0),1,0)</x:f>
        <x:v>1</x:v>
      </x:c>
      <x:c r="U325" s="19" t="n">
        <x:f>L325+IF(AND(S325=1,J325=1),1,0)</x:f>
        <x:v>4</x:v>
      </x:c>
      <x:c r="V325" s="19" t="n">
        <x:f>M325+IF(AND(S325=1,J325=2),1,0)</x:f>
        <x:v>0</x:v>
      </x:c>
      <x:c r="W325" s="19" t="n">
        <x:f>SUM(T325:V325)</x:f>
        <x:v>5</x:v>
      </x:c>
      <x:c r="X325" s="19" t="n">
        <x:f>W325-G325</x:f>
        <x:v>0</x:v>
      </x:c>
      <x:c r="Y325" s="19" t="n">
        <x:f>MAX(T325,1)+MAX(U325,1)+MAX(V325,1)</x:f>
        <x:v>6</x:v>
      </x:c>
      <x:c r="Z325" s="21" t="str">
        <x:f>IF(AND(MIN(D325:F325)&gt;=0,MAX(D325:F325)&lt;=7,MAX(D325,1)+MAX(E325,1)+MAX(F325,1)&lt;=9,OR(H325="-",AND(H325=0,D325&gt;0),AND(H325=1,E325&gt;0),AND(H325=2,F325&gt;0)),OR(I325=0,AND(I325=1,OR(J325=0,J325=1,J325=2),R325&lt;&gt;"000")),Y325&lt;=9,MIN(T325:V325)&gt;=0),"合法","输入违约")</x:f>
        <x:v>合法</x:v>
      </x:c>
    </x:row>
    <x:row r="326" ht="23" customHeight="1">
      <x:c r="A326" s="3" t="str">
        <x:v>CT-0319</x:v>
      </x:c>
      <x:c r="B326" s="3" t="str">
        <x:v>ST-040</x:v>
      </x:c>
      <x:c r="C326" s="3" t="str">
        <x:v>R+AR同收同发</x:v>
      </x:c>
      <x:c r="D326" s="25" t="n">
        <x:v>0</x:v>
      </x:c>
      <x:c r="E326" s="25" t="n">
        <x:v>4</x:v>
      </x:c>
      <x:c r="F326" s="25" t="n">
        <x:v>1</x:v>
      </x:c>
      <x:c r="G326" s="19" t="n">
        <x:f>SUM(D326:F326)</x:f>
        <x:v>5</x:v>
      </x:c>
      <x:c r="H326" s="25" t="n">
        <x:v>2</x:v>
      </x:c>
      <x:c r="I326" s="25" t="n">
        <x:v>1</x:v>
      </x:c>
      <x:c r="J326" s="25" t="n">
        <x:v>1</x:v>
      </x:c>
      <x:c r="K326" s="19" t="n">
        <x:f>D326-IF(H326=0,1,0)</x:f>
        <x:v>0</x:v>
      </x:c>
      <x:c r="L326" s="19" t="n">
        <x:f>E326-IF(H326=1,1,0)</x:f>
        <x:v>4</x:v>
      </x:c>
      <x:c r="M326" s="19" t="n">
        <x:f>F326-IF(H326=2,1,0)</x:f>
        <x:v>0</x:v>
      </x:c>
      <x:c r="N326" s="19" t="n">
        <x:f>MAX(K326-1,0)+MAX(L326-1,0)+MAX(M326-1,0)</x:f>
        <x:v>3</x:v>
      </x:c>
      <x:c r="O326" s="19" t="n">
        <x:f>IF(AND(SUM(K326:M326)&lt;9,OR(M326=0,N326&lt;6)),1,0)</x:f>
        <x:v>1</x:v>
      </x:c>
      <x:c r="P326" s="19" t="n">
        <x:f>IF(AND(SUM(K326:M326)&lt;9,OR(L326=0,N326&lt;6)),1,0)</x:f>
        <x:v>1</x:v>
      </x:c>
      <x:c r="Q326" s="19" t="n">
        <x:f>IF(AND(SUM(K326:M326)&lt;9,OR(K326=0,N326&lt;6)),1,0)</x:f>
        <x:v>1</x:v>
      </x:c>
      <x:c r="R326" s="22" t="str">
        <x:f>O326&amp;P326&amp;Q326</x:f>
        <x:v>111</x:v>
      </x:c>
      <x:c r="S326" s="19" t="n">
        <x:f>IF(I326=1,IF(J326=0,Q326,IF(J326=1,P326,IF(J326=2,O326,0))),0)</x:f>
        <x:v>1</x:v>
      </x:c>
      <x:c r="T326" s="19" t="n">
        <x:f>K326+IF(AND(S326=1,J326=0),1,0)</x:f>
        <x:v>0</x:v>
      </x:c>
      <x:c r="U326" s="19" t="n">
        <x:f>L326+IF(AND(S326=1,J326=1),1,0)</x:f>
        <x:v>5</x:v>
      </x:c>
      <x:c r="V326" s="19" t="n">
        <x:f>M326+IF(AND(S326=1,J326=2),1,0)</x:f>
        <x:v>0</x:v>
      </x:c>
      <x:c r="W326" s="19" t="n">
        <x:f>SUM(T326:V326)</x:f>
        <x:v>5</x:v>
      </x:c>
      <x:c r="X326" s="19" t="n">
        <x:f>W326-G326</x:f>
        <x:v>0</x:v>
      </x:c>
      <x:c r="Y326" s="19" t="n">
        <x:f>MAX(T326,1)+MAX(U326,1)+MAX(V326,1)</x:f>
        <x:v>7</x:v>
      </x:c>
      <x:c r="Z326" s="21" t="str">
        <x:f>IF(AND(MIN(D326:F326)&gt;=0,MAX(D326:F326)&lt;=7,MAX(D326,1)+MAX(E326,1)+MAX(F326,1)&lt;=9,OR(H326="-",AND(H326=0,D326&gt;0),AND(H326=1,E326&gt;0),AND(H326=2,F326&gt;0)),OR(I326=0,AND(I326=1,OR(J326=0,J326=1,J326=2),R326&lt;&gt;"000")),Y326&lt;=9,MIN(T326:V326)&gt;=0),"合法","输入违约")</x:f>
        <x:v>合法</x:v>
      </x:c>
    </x:row>
    <x:row r="327" ht="23" customHeight="1">
      <x:c r="A327" s="3" t="str">
        <x:v>CT-0320</x:v>
      </x:c>
      <x:c r="B327" s="3" t="str">
        <x:v>ST-040</x:v>
      </x:c>
      <x:c r="C327" s="3" t="str">
        <x:v>R+AR同收同发</x:v>
      </x:c>
      <x:c r="D327" s="25" t="n">
        <x:v>0</x:v>
      </x:c>
      <x:c r="E327" s="25" t="n">
        <x:v>4</x:v>
      </x:c>
      <x:c r="F327" s="25" t="n">
        <x:v>1</x:v>
      </x:c>
      <x:c r="G327" s="19" t="n">
        <x:f>SUM(D327:F327)</x:f>
        <x:v>5</x:v>
      </x:c>
      <x:c r="H327" s="25" t="n">
        <x:v>2</x:v>
      </x:c>
      <x:c r="I327" s="25" t="n">
        <x:v>1</x:v>
      </x:c>
      <x:c r="J327" s="25" t="n">
        <x:v>2</x:v>
      </x:c>
      <x:c r="K327" s="19" t="n">
        <x:f>D327-IF(H327=0,1,0)</x:f>
        <x:v>0</x:v>
      </x:c>
      <x:c r="L327" s="19" t="n">
        <x:f>E327-IF(H327=1,1,0)</x:f>
        <x:v>4</x:v>
      </x:c>
      <x:c r="M327" s="19" t="n">
        <x:f>F327-IF(H327=2,1,0)</x:f>
        <x:v>0</x:v>
      </x:c>
      <x:c r="N327" s="19" t="n">
        <x:f>MAX(K327-1,0)+MAX(L327-1,0)+MAX(M327-1,0)</x:f>
        <x:v>3</x:v>
      </x:c>
      <x:c r="O327" s="19" t="n">
        <x:f>IF(AND(SUM(K327:M327)&lt;9,OR(M327=0,N327&lt;6)),1,0)</x:f>
        <x:v>1</x:v>
      </x:c>
      <x:c r="P327" s="19" t="n">
        <x:f>IF(AND(SUM(K327:M327)&lt;9,OR(L327=0,N327&lt;6)),1,0)</x:f>
        <x:v>1</x:v>
      </x:c>
      <x:c r="Q327" s="19" t="n">
        <x:f>IF(AND(SUM(K327:M327)&lt;9,OR(K327=0,N327&lt;6)),1,0)</x:f>
        <x:v>1</x:v>
      </x:c>
      <x:c r="R327" s="22" t="str">
        <x:f>O327&amp;P327&amp;Q327</x:f>
        <x:v>111</x:v>
      </x:c>
      <x:c r="S327" s="19" t="n">
        <x:f>IF(I327=1,IF(J327=0,Q327,IF(J327=1,P327,IF(J327=2,O327,0))),0)</x:f>
        <x:v>1</x:v>
      </x:c>
      <x:c r="T327" s="19" t="n">
        <x:f>K327+IF(AND(S327=1,J327=0),1,0)</x:f>
        <x:v>0</x:v>
      </x:c>
      <x:c r="U327" s="19" t="n">
        <x:f>L327+IF(AND(S327=1,J327=1),1,0)</x:f>
        <x:v>4</x:v>
      </x:c>
      <x:c r="V327" s="19" t="n">
        <x:f>M327+IF(AND(S327=1,J327=2),1,0)</x:f>
        <x:v>1</x:v>
      </x:c>
      <x:c r="W327" s="19" t="n">
        <x:f>SUM(T327:V327)</x:f>
        <x:v>5</x:v>
      </x:c>
      <x:c r="X327" s="19" t="n">
        <x:f>W327-G327</x:f>
        <x:v>0</x:v>
      </x:c>
      <x:c r="Y327" s="19" t="n">
        <x:f>MAX(T327,1)+MAX(U327,1)+MAX(V327,1)</x:f>
        <x:v>6</x:v>
      </x:c>
      <x:c r="Z327" s="21" t="str">
        <x:f>IF(AND(MIN(D327:F327)&gt;=0,MAX(D327:F327)&lt;=7,MAX(D327,1)+MAX(E327,1)+MAX(F327,1)&lt;=9,OR(H327="-",AND(H327=0,D327&gt;0),AND(H327=1,E327&gt;0),AND(H327=2,F327&gt;0)),OR(I327=0,AND(I327=1,OR(J327=0,J327=1,J327=2),R327&lt;&gt;"000")),Y327&lt;=9,MIN(T327:V327)&gt;=0),"合法","输入违约")</x:f>
        <x:v>合法</x:v>
      </x:c>
    </x:row>
    <x:row r="328" ht="23" customHeight="1">
      <x:c r="A328" s="3" t="str">
        <x:v>CT-0321</x:v>
      </x:c>
      <x:c r="B328" s="3" t="str">
        <x:v>ST-061</x:v>
      </x:c>
      <x:c r="C328" s="3" t="str">
        <x:v>无AR/R</x:v>
      </x:c>
      <x:c r="D328" s="25" t="n">
        <x:v>0</x:v>
      </x:c>
      <x:c r="E328" s="25" t="n">
        <x:v>4</x:v>
      </x:c>
      <x:c r="F328" s="25" t="n">
        <x:v>2</x:v>
      </x:c>
      <x:c r="G328" s="19" t="n">
        <x:f>SUM(D328:F328)</x:f>
        <x:v>6</x:v>
      </x:c>
      <x:c r="H328" s="25" t="str">
        <x:v>-</x:v>
      </x:c>
      <x:c r="I328" s="25" t="n">
        <x:v>0</x:v>
      </x:c>
      <x:c r="J328" s="25" t="str">
        <x:v>-</x:v>
      </x:c>
      <x:c r="K328" s="19" t="n">
        <x:f>D328-IF(H328=0,1,0)</x:f>
        <x:v>0</x:v>
      </x:c>
      <x:c r="L328" s="19" t="n">
        <x:f>E328-IF(H328=1,1,0)</x:f>
        <x:v>4</x:v>
      </x:c>
      <x:c r="M328" s="19" t="n">
        <x:f>F328-IF(H328=2,1,0)</x:f>
        <x:v>2</x:v>
      </x:c>
      <x:c r="N328" s="19" t="n">
        <x:f>MAX(K328-1,0)+MAX(L328-1,0)+MAX(M328-1,0)</x:f>
        <x:v>4</x:v>
      </x:c>
      <x:c r="O328" s="19" t="n">
        <x:f>IF(AND(SUM(K328:M328)&lt;9,OR(M328=0,N328&lt;6)),1,0)</x:f>
        <x:v>1</x:v>
      </x:c>
      <x:c r="P328" s="19" t="n">
        <x:f>IF(AND(SUM(K328:M328)&lt;9,OR(L328=0,N328&lt;6)),1,0)</x:f>
        <x:v>1</x:v>
      </x:c>
      <x:c r="Q328" s="19" t="n">
        <x:f>IF(AND(SUM(K328:M328)&lt;9,OR(K328=0,N328&lt;6)),1,0)</x:f>
        <x:v>1</x:v>
      </x:c>
      <x:c r="R328" s="22" t="str">
        <x:f>O328&amp;P328&amp;Q328</x:f>
        <x:v>111</x:v>
      </x:c>
      <x:c r="S328" s="19" t="n">
        <x:f>IF(I328=1,IF(J328=0,Q328,IF(J328=1,P328,IF(J328=2,O328,0))),0)</x:f>
        <x:v>0</x:v>
      </x:c>
      <x:c r="T328" s="19" t="n">
        <x:f>K328+IF(AND(S328=1,J328=0),1,0)</x:f>
        <x:v>0</x:v>
      </x:c>
      <x:c r="U328" s="19" t="n">
        <x:f>L328+IF(AND(S328=1,J328=1),1,0)</x:f>
        <x:v>4</x:v>
      </x:c>
      <x:c r="V328" s="19" t="n">
        <x:f>M328+IF(AND(S328=1,J328=2),1,0)</x:f>
        <x:v>2</x:v>
      </x:c>
      <x:c r="W328" s="19" t="n">
        <x:f>SUM(T328:V328)</x:f>
        <x:v>6</x:v>
      </x:c>
      <x:c r="X328" s="19" t="n">
        <x:f>W328-G328</x:f>
        <x:v>0</x:v>
      </x:c>
      <x:c r="Y328" s="19" t="n">
        <x:f>MAX(T328,1)+MAX(U328,1)+MAX(V328,1)</x:f>
        <x:v>7</x:v>
      </x:c>
      <x:c r="Z328" s="21" t="str">
        <x:f>IF(AND(MIN(D328:F328)&gt;=0,MAX(D328:F328)&lt;=7,MAX(D328,1)+MAX(E328,1)+MAX(F328,1)&lt;=9,OR(H328="-",AND(H328=0,D328&gt;0),AND(H328=1,E328&gt;0),AND(H328=2,F328&gt;0)),OR(I328=0,AND(I328=1,OR(J328=0,J328=1,J328=2),R328&lt;&gt;"000")),Y328&lt;=9,MIN(T328:V328)&gt;=0),"合法","输入违约")</x:f>
        <x:v>合法</x:v>
      </x:c>
    </x:row>
    <x:row r="329" ht="23" customHeight="1">
      <x:c r="A329" s="3" t="str">
        <x:v>CT-0322</x:v>
      </x:c>
      <x:c r="B329" s="3" t="str">
        <x:v>ST-061</x:v>
      </x:c>
      <x:c r="C329" s="3" t="str">
        <x:v>仅AR接收</x:v>
      </x:c>
      <x:c r="D329" s="25" t="n">
        <x:v>0</x:v>
      </x:c>
      <x:c r="E329" s="25" t="n">
        <x:v>4</x:v>
      </x:c>
      <x:c r="F329" s="25" t="n">
        <x:v>2</x:v>
      </x:c>
      <x:c r="G329" s="19" t="n">
        <x:f>SUM(D329:F329)</x:f>
        <x:v>6</x:v>
      </x:c>
      <x:c r="H329" s="25" t="str">
        <x:v>-</x:v>
      </x:c>
      <x:c r="I329" s="25" t="n">
        <x:v>1</x:v>
      </x:c>
      <x:c r="J329" s="25" t="n">
        <x:v>0</x:v>
      </x:c>
      <x:c r="K329" s="19" t="n">
        <x:f>D329-IF(H329=0,1,0)</x:f>
        <x:v>0</x:v>
      </x:c>
      <x:c r="L329" s="19" t="n">
        <x:f>E329-IF(H329=1,1,0)</x:f>
        <x:v>4</x:v>
      </x:c>
      <x:c r="M329" s="19" t="n">
        <x:f>F329-IF(H329=2,1,0)</x:f>
        <x:v>2</x:v>
      </x:c>
      <x:c r="N329" s="19" t="n">
        <x:f>MAX(K329-1,0)+MAX(L329-1,0)+MAX(M329-1,0)</x:f>
        <x:v>4</x:v>
      </x:c>
      <x:c r="O329" s="19" t="n">
        <x:f>IF(AND(SUM(K329:M329)&lt;9,OR(M329=0,N329&lt;6)),1,0)</x:f>
        <x:v>1</x:v>
      </x:c>
      <x:c r="P329" s="19" t="n">
        <x:f>IF(AND(SUM(K329:M329)&lt;9,OR(L329=0,N329&lt;6)),1,0)</x:f>
        <x:v>1</x:v>
      </x:c>
      <x:c r="Q329" s="19" t="n">
        <x:f>IF(AND(SUM(K329:M329)&lt;9,OR(K329=0,N329&lt;6)),1,0)</x:f>
        <x:v>1</x:v>
      </x:c>
      <x:c r="R329" s="22" t="str">
        <x:f>O329&amp;P329&amp;Q329</x:f>
        <x:v>111</x:v>
      </x:c>
      <x:c r="S329" s="19" t="n">
        <x:f>IF(I329=1,IF(J329=0,Q329,IF(J329=1,P329,IF(J329=2,O329,0))),0)</x:f>
        <x:v>1</x:v>
      </x:c>
      <x:c r="T329" s="19" t="n">
        <x:f>K329+IF(AND(S329=1,J329=0),1,0)</x:f>
        <x:v>1</x:v>
      </x:c>
      <x:c r="U329" s="19" t="n">
        <x:f>L329+IF(AND(S329=1,J329=1),1,0)</x:f>
        <x:v>4</x:v>
      </x:c>
      <x:c r="V329" s="19" t="n">
        <x:f>M329+IF(AND(S329=1,J329=2),1,0)</x:f>
        <x:v>2</x:v>
      </x:c>
      <x:c r="W329" s="19" t="n">
        <x:f>SUM(T329:V329)</x:f>
        <x:v>7</x:v>
      </x:c>
      <x:c r="X329" s="19" t="n">
        <x:f>W329-G329</x:f>
        <x:v>1</x:v>
      </x:c>
      <x:c r="Y329" s="19" t="n">
        <x:f>MAX(T329,1)+MAX(U329,1)+MAX(V329,1)</x:f>
        <x:v>7</x:v>
      </x:c>
      <x:c r="Z329" s="21" t="str">
        <x:f>IF(AND(MIN(D329:F329)&gt;=0,MAX(D329:F329)&lt;=7,MAX(D329,1)+MAX(E329,1)+MAX(F329,1)&lt;=9,OR(H329="-",AND(H329=0,D329&gt;0),AND(H329=1,E329&gt;0),AND(H329=2,F329&gt;0)),OR(I329=0,AND(I329=1,OR(J329=0,J329=1,J329=2),R329&lt;&gt;"000")),Y329&lt;=9,MIN(T329:V329)&gt;=0),"合法","输入违约")</x:f>
        <x:v>合法</x:v>
      </x:c>
    </x:row>
    <x:row r="330" ht="23" customHeight="1">
      <x:c r="A330" s="3" t="str">
        <x:v>CT-0323</x:v>
      </x:c>
      <x:c r="B330" s="3" t="str">
        <x:v>ST-061</x:v>
      </x:c>
      <x:c r="C330" s="3" t="str">
        <x:v>仅AR接收</x:v>
      </x:c>
      <x:c r="D330" s="25" t="n">
        <x:v>0</x:v>
      </x:c>
      <x:c r="E330" s="25" t="n">
        <x:v>4</x:v>
      </x:c>
      <x:c r="F330" s="25" t="n">
        <x:v>2</x:v>
      </x:c>
      <x:c r="G330" s="19" t="n">
        <x:f>SUM(D330:F330)</x:f>
        <x:v>6</x:v>
      </x:c>
      <x:c r="H330" s="25" t="str">
        <x:v>-</x:v>
      </x:c>
      <x:c r="I330" s="25" t="n">
        <x:v>1</x:v>
      </x:c>
      <x:c r="J330" s="25" t="n">
        <x:v>1</x:v>
      </x:c>
      <x:c r="K330" s="19" t="n">
        <x:f>D330-IF(H330=0,1,0)</x:f>
        <x:v>0</x:v>
      </x:c>
      <x:c r="L330" s="19" t="n">
        <x:f>E330-IF(H330=1,1,0)</x:f>
        <x:v>4</x:v>
      </x:c>
      <x:c r="M330" s="19" t="n">
        <x:f>F330-IF(H330=2,1,0)</x:f>
        <x:v>2</x:v>
      </x:c>
      <x:c r="N330" s="19" t="n">
        <x:f>MAX(K330-1,0)+MAX(L330-1,0)+MAX(M330-1,0)</x:f>
        <x:v>4</x:v>
      </x:c>
      <x:c r="O330" s="19" t="n">
        <x:f>IF(AND(SUM(K330:M330)&lt;9,OR(M330=0,N330&lt;6)),1,0)</x:f>
        <x:v>1</x:v>
      </x:c>
      <x:c r="P330" s="19" t="n">
        <x:f>IF(AND(SUM(K330:M330)&lt;9,OR(L330=0,N330&lt;6)),1,0)</x:f>
        <x:v>1</x:v>
      </x:c>
      <x:c r="Q330" s="19" t="n">
        <x:f>IF(AND(SUM(K330:M330)&lt;9,OR(K330=0,N330&lt;6)),1,0)</x:f>
        <x:v>1</x:v>
      </x:c>
      <x:c r="R330" s="22" t="str">
        <x:f>O330&amp;P330&amp;Q330</x:f>
        <x:v>111</x:v>
      </x:c>
      <x:c r="S330" s="19" t="n">
        <x:f>IF(I330=1,IF(J330=0,Q330,IF(J330=1,P330,IF(J330=2,O330,0))),0)</x:f>
        <x:v>1</x:v>
      </x:c>
      <x:c r="T330" s="19" t="n">
        <x:f>K330+IF(AND(S330=1,J330=0),1,0)</x:f>
        <x:v>0</x:v>
      </x:c>
      <x:c r="U330" s="19" t="n">
        <x:f>L330+IF(AND(S330=1,J330=1),1,0)</x:f>
        <x:v>5</x:v>
      </x:c>
      <x:c r="V330" s="19" t="n">
        <x:f>M330+IF(AND(S330=1,J330=2),1,0)</x:f>
        <x:v>2</x:v>
      </x:c>
      <x:c r="W330" s="19" t="n">
        <x:f>SUM(T330:V330)</x:f>
        <x:v>7</x:v>
      </x:c>
      <x:c r="X330" s="19" t="n">
        <x:f>W330-G330</x:f>
        <x:v>1</x:v>
      </x:c>
      <x:c r="Y330" s="19" t="n">
        <x:f>MAX(T330,1)+MAX(U330,1)+MAX(V330,1)</x:f>
        <x:v>8</x:v>
      </x:c>
      <x:c r="Z330" s="21" t="str">
        <x:f>IF(AND(MIN(D330:F330)&gt;=0,MAX(D330:F330)&lt;=7,MAX(D330,1)+MAX(E330,1)+MAX(F330,1)&lt;=9,OR(H330="-",AND(H330=0,D330&gt;0),AND(H330=1,E330&gt;0),AND(H330=2,F330&gt;0)),OR(I330=0,AND(I330=1,OR(J330=0,J330=1,J330=2),R330&lt;&gt;"000")),Y330&lt;=9,MIN(T330:V330)&gt;=0),"合法","输入违约")</x:f>
        <x:v>合法</x:v>
      </x:c>
    </x:row>
    <x:row r="331" ht="23" customHeight="1">
      <x:c r="A331" s="3" t="str">
        <x:v>CT-0324</x:v>
      </x:c>
      <x:c r="B331" s="3" t="str">
        <x:v>ST-061</x:v>
      </x:c>
      <x:c r="C331" s="3" t="str">
        <x:v>仅AR接收</x:v>
      </x:c>
      <x:c r="D331" s="25" t="n">
        <x:v>0</x:v>
      </x:c>
      <x:c r="E331" s="25" t="n">
        <x:v>4</x:v>
      </x:c>
      <x:c r="F331" s="25" t="n">
        <x:v>2</x:v>
      </x:c>
      <x:c r="G331" s="19" t="n">
        <x:f>SUM(D331:F331)</x:f>
        <x:v>6</x:v>
      </x:c>
      <x:c r="H331" s="25" t="str">
        <x:v>-</x:v>
      </x:c>
      <x:c r="I331" s="25" t="n">
        <x:v>1</x:v>
      </x:c>
      <x:c r="J331" s="25" t="n">
        <x:v>2</x:v>
      </x:c>
      <x:c r="K331" s="19" t="n">
        <x:f>D331-IF(H331=0,1,0)</x:f>
        <x:v>0</x:v>
      </x:c>
      <x:c r="L331" s="19" t="n">
        <x:f>E331-IF(H331=1,1,0)</x:f>
        <x:v>4</x:v>
      </x:c>
      <x:c r="M331" s="19" t="n">
        <x:f>F331-IF(H331=2,1,0)</x:f>
        <x:v>2</x:v>
      </x:c>
      <x:c r="N331" s="19" t="n">
        <x:f>MAX(K331-1,0)+MAX(L331-1,0)+MAX(M331-1,0)</x:f>
        <x:v>4</x:v>
      </x:c>
      <x:c r="O331" s="19" t="n">
        <x:f>IF(AND(SUM(K331:M331)&lt;9,OR(M331=0,N331&lt;6)),1,0)</x:f>
        <x:v>1</x:v>
      </x:c>
      <x:c r="P331" s="19" t="n">
        <x:f>IF(AND(SUM(K331:M331)&lt;9,OR(L331=0,N331&lt;6)),1,0)</x:f>
        <x:v>1</x:v>
      </x:c>
      <x:c r="Q331" s="19" t="n">
        <x:f>IF(AND(SUM(K331:M331)&lt;9,OR(K331=0,N331&lt;6)),1,0)</x:f>
        <x:v>1</x:v>
      </x:c>
      <x:c r="R331" s="22" t="str">
        <x:f>O331&amp;P331&amp;Q331</x:f>
        <x:v>111</x:v>
      </x:c>
      <x:c r="S331" s="19" t="n">
        <x:f>IF(I331=1,IF(J331=0,Q331,IF(J331=1,P331,IF(J331=2,O331,0))),0)</x:f>
        <x:v>1</x:v>
      </x:c>
      <x:c r="T331" s="19" t="n">
        <x:f>K331+IF(AND(S331=1,J331=0),1,0)</x:f>
        <x:v>0</x:v>
      </x:c>
      <x:c r="U331" s="19" t="n">
        <x:f>L331+IF(AND(S331=1,J331=1),1,0)</x:f>
        <x:v>4</x:v>
      </x:c>
      <x:c r="V331" s="19" t="n">
        <x:f>M331+IF(AND(S331=1,J331=2),1,0)</x:f>
        <x:v>3</x:v>
      </x:c>
      <x:c r="W331" s="19" t="n">
        <x:f>SUM(T331:V331)</x:f>
        <x:v>7</x:v>
      </x:c>
      <x:c r="X331" s="19" t="n">
        <x:f>W331-G331</x:f>
        <x:v>1</x:v>
      </x:c>
      <x:c r="Y331" s="19" t="n">
        <x:f>MAX(T331,1)+MAX(U331,1)+MAX(V331,1)</x:f>
        <x:v>8</x:v>
      </x:c>
      <x:c r="Z331" s="21" t="str">
        <x:f>IF(AND(MIN(D331:F331)&gt;=0,MAX(D331:F331)&lt;=7,MAX(D331,1)+MAX(E331,1)+MAX(F331,1)&lt;=9,OR(H331="-",AND(H331=0,D331&gt;0),AND(H331=1,E331&gt;0),AND(H331=2,F331&gt;0)),OR(I331=0,AND(I331=1,OR(J331=0,J331=1,J331=2),R331&lt;&gt;"000")),Y331&lt;=9,MIN(T331:V331)&gt;=0),"合法","输入违约")</x:f>
        <x:v>合法</x:v>
      </x:c>
    </x:row>
    <x:row r="332" ht="23" customHeight="1">
      <x:c r="A332" s="3" t="str">
        <x:v>CT-0325</x:v>
      </x:c>
      <x:c r="B332" s="3" t="str">
        <x:v>ST-061</x:v>
      </x:c>
      <x:c r="C332" s="3" t="str">
        <x:v>仅R回收</x:v>
      </x:c>
      <x:c r="D332" s="25" t="n">
        <x:v>0</x:v>
      </x:c>
      <x:c r="E332" s="25" t="n">
        <x:v>4</x:v>
      </x:c>
      <x:c r="F332" s="25" t="n">
        <x:v>2</x:v>
      </x:c>
      <x:c r="G332" s="19" t="n">
        <x:f>SUM(D332:F332)</x:f>
        <x:v>6</x:v>
      </x:c>
      <x:c r="H332" s="25" t="n">
        <x:v>1</x:v>
      </x:c>
      <x:c r="I332" s="25" t="n">
        <x:v>0</x:v>
      </x:c>
      <x:c r="J332" s="25" t="str">
        <x:v>-</x:v>
      </x:c>
      <x:c r="K332" s="19" t="n">
        <x:f>D332-IF(H332=0,1,0)</x:f>
        <x:v>0</x:v>
      </x:c>
      <x:c r="L332" s="19" t="n">
        <x:f>E332-IF(H332=1,1,0)</x:f>
        <x:v>3</x:v>
      </x:c>
      <x:c r="M332" s="19" t="n">
        <x:f>F332-IF(H332=2,1,0)</x:f>
        <x:v>2</x:v>
      </x:c>
      <x:c r="N332" s="19" t="n">
        <x:f>MAX(K332-1,0)+MAX(L332-1,0)+MAX(M332-1,0)</x:f>
        <x:v>3</x:v>
      </x:c>
      <x:c r="O332" s="19" t="n">
        <x:f>IF(AND(SUM(K332:M332)&lt;9,OR(M332=0,N332&lt;6)),1,0)</x:f>
        <x:v>1</x:v>
      </x:c>
      <x:c r="P332" s="19" t="n">
        <x:f>IF(AND(SUM(K332:M332)&lt;9,OR(L332=0,N332&lt;6)),1,0)</x:f>
        <x:v>1</x:v>
      </x:c>
      <x:c r="Q332" s="19" t="n">
        <x:f>IF(AND(SUM(K332:M332)&lt;9,OR(K332=0,N332&lt;6)),1,0)</x:f>
        <x:v>1</x:v>
      </x:c>
      <x:c r="R332" s="22" t="str">
        <x:f>O332&amp;P332&amp;Q332</x:f>
        <x:v>111</x:v>
      </x:c>
      <x:c r="S332" s="19" t="n">
        <x:f>IF(I332=1,IF(J332=0,Q332,IF(J332=1,P332,IF(J332=2,O332,0))),0)</x:f>
        <x:v>0</x:v>
      </x:c>
      <x:c r="T332" s="19" t="n">
        <x:f>K332+IF(AND(S332=1,J332=0),1,0)</x:f>
        <x:v>0</x:v>
      </x:c>
      <x:c r="U332" s="19" t="n">
        <x:f>L332+IF(AND(S332=1,J332=1),1,0)</x:f>
        <x:v>3</x:v>
      </x:c>
      <x:c r="V332" s="19" t="n">
        <x:f>M332+IF(AND(S332=1,J332=2),1,0)</x:f>
        <x:v>2</x:v>
      </x:c>
      <x:c r="W332" s="19" t="n">
        <x:f>SUM(T332:V332)</x:f>
        <x:v>5</x:v>
      </x:c>
      <x:c r="X332" s="19" t="n">
        <x:f>W332-G332</x:f>
        <x:v>-1</x:v>
      </x:c>
      <x:c r="Y332" s="19" t="n">
        <x:f>MAX(T332,1)+MAX(U332,1)+MAX(V332,1)</x:f>
        <x:v>6</x:v>
      </x:c>
      <x:c r="Z332" s="21" t="str">
        <x:f>IF(AND(MIN(D332:F332)&gt;=0,MAX(D332:F332)&lt;=7,MAX(D332,1)+MAX(E332,1)+MAX(F332,1)&lt;=9,OR(H332="-",AND(H332=0,D332&gt;0),AND(H332=1,E332&gt;0),AND(H332=2,F332&gt;0)),OR(I332=0,AND(I332=1,OR(J332=0,J332=1,J332=2),R332&lt;&gt;"000")),Y332&lt;=9,MIN(T332:V332)&gt;=0),"合法","输入违约")</x:f>
        <x:v>合法</x:v>
      </x:c>
    </x:row>
    <x:row r="333" ht="23" customHeight="1">
      <x:c r="A333" s="3" t="str">
        <x:v>CT-0326</x:v>
      </x:c>
      <x:c r="B333" s="3" t="str">
        <x:v>ST-061</x:v>
      </x:c>
      <x:c r="C333" s="3" t="str">
        <x:v>R+AR同收同发</x:v>
      </x:c>
      <x:c r="D333" s="25" t="n">
        <x:v>0</x:v>
      </x:c>
      <x:c r="E333" s="25" t="n">
        <x:v>4</x:v>
      </x:c>
      <x:c r="F333" s="25" t="n">
        <x:v>2</x:v>
      </x:c>
      <x:c r="G333" s="19" t="n">
        <x:f>SUM(D333:F333)</x:f>
        <x:v>6</x:v>
      </x:c>
      <x:c r="H333" s="25" t="n">
        <x:v>1</x:v>
      </x:c>
      <x:c r="I333" s="25" t="n">
        <x:v>1</x:v>
      </x:c>
      <x:c r="J333" s="25" t="n">
        <x:v>0</x:v>
      </x:c>
      <x:c r="K333" s="19" t="n">
        <x:f>D333-IF(H333=0,1,0)</x:f>
        <x:v>0</x:v>
      </x:c>
      <x:c r="L333" s="19" t="n">
        <x:f>E333-IF(H333=1,1,0)</x:f>
        <x:v>3</x:v>
      </x:c>
      <x:c r="M333" s="19" t="n">
        <x:f>F333-IF(H333=2,1,0)</x:f>
        <x:v>2</x:v>
      </x:c>
      <x:c r="N333" s="19" t="n">
        <x:f>MAX(K333-1,0)+MAX(L333-1,0)+MAX(M333-1,0)</x:f>
        <x:v>3</x:v>
      </x:c>
      <x:c r="O333" s="19" t="n">
        <x:f>IF(AND(SUM(K333:M333)&lt;9,OR(M333=0,N333&lt;6)),1,0)</x:f>
        <x:v>1</x:v>
      </x:c>
      <x:c r="P333" s="19" t="n">
        <x:f>IF(AND(SUM(K333:M333)&lt;9,OR(L333=0,N333&lt;6)),1,0)</x:f>
        <x:v>1</x:v>
      </x:c>
      <x:c r="Q333" s="19" t="n">
        <x:f>IF(AND(SUM(K333:M333)&lt;9,OR(K333=0,N333&lt;6)),1,0)</x:f>
        <x:v>1</x:v>
      </x:c>
      <x:c r="R333" s="22" t="str">
        <x:f>O333&amp;P333&amp;Q333</x:f>
        <x:v>111</x:v>
      </x:c>
      <x:c r="S333" s="19" t="n">
        <x:f>IF(I333=1,IF(J333=0,Q333,IF(J333=1,P333,IF(J333=2,O333,0))),0)</x:f>
        <x:v>1</x:v>
      </x:c>
      <x:c r="T333" s="19" t="n">
        <x:f>K333+IF(AND(S333=1,J333=0),1,0)</x:f>
        <x:v>1</x:v>
      </x:c>
      <x:c r="U333" s="19" t="n">
        <x:f>L333+IF(AND(S333=1,J333=1),1,0)</x:f>
        <x:v>3</x:v>
      </x:c>
      <x:c r="V333" s="19" t="n">
        <x:f>M333+IF(AND(S333=1,J333=2),1,0)</x:f>
        <x:v>2</x:v>
      </x:c>
      <x:c r="W333" s="19" t="n">
        <x:f>SUM(T333:V333)</x:f>
        <x:v>6</x:v>
      </x:c>
      <x:c r="X333" s="19" t="n">
        <x:f>W333-G333</x:f>
        <x:v>0</x:v>
      </x:c>
      <x:c r="Y333" s="19" t="n">
        <x:f>MAX(T333,1)+MAX(U333,1)+MAX(V333,1)</x:f>
        <x:v>6</x:v>
      </x:c>
      <x:c r="Z333" s="21" t="str">
        <x:f>IF(AND(MIN(D333:F333)&gt;=0,MAX(D333:F333)&lt;=7,MAX(D333,1)+MAX(E333,1)+MAX(F333,1)&lt;=9,OR(H333="-",AND(H333=0,D333&gt;0),AND(H333=1,E333&gt;0),AND(H333=2,F333&gt;0)),OR(I333=0,AND(I333=1,OR(J333=0,J333=1,J333=2),R333&lt;&gt;"000")),Y333&lt;=9,MIN(T333:V333)&gt;=0),"合法","输入违约")</x:f>
        <x:v>合法</x:v>
      </x:c>
    </x:row>
    <x:row r="334" ht="23" customHeight="1">
      <x:c r="A334" s="3" t="str">
        <x:v>CT-0327</x:v>
      </x:c>
      <x:c r="B334" s="3" t="str">
        <x:v>ST-061</x:v>
      </x:c>
      <x:c r="C334" s="3" t="str">
        <x:v>R+AR同收同发</x:v>
      </x:c>
      <x:c r="D334" s="25" t="n">
        <x:v>0</x:v>
      </x:c>
      <x:c r="E334" s="25" t="n">
        <x:v>4</x:v>
      </x:c>
      <x:c r="F334" s="25" t="n">
        <x:v>2</x:v>
      </x:c>
      <x:c r="G334" s="19" t="n">
        <x:f>SUM(D334:F334)</x:f>
        <x:v>6</x:v>
      </x:c>
      <x:c r="H334" s="25" t="n">
        <x:v>1</x:v>
      </x:c>
      <x:c r="I334" s="25" t="n">
        <x:v>1</x:v>
      </x:c>
      <x:c r="J334" s="25" t="n">
        <x:v>1</x:v>
      </x:c>
      <x:c r="K334" s="19" t="n">
        <x:f>D334-IF(H334=0,1,0)</x:f>
        <x:v>0</x:v>
      </x:c>
      <x:c r="L334" s="19" t="n">
        <x:f>E334-IF(H334=1,1,0)</x:f>
        <x:v>3</x:v>
      </x:c>
      <x:c r="M334" s="19" t="n">
        <x:f>F334-IF(H334=2,1,0)</x:f>
        <x:v>2</x:v>
      </x:c>
      <x:c r="N334" s="19" t="n">
        <x:f>MAX(K334-1,0)+MAX(L334-1,0)+MAX(M334-1,0)</x:f>
        <x:v>3</x:v>
      </x:c>
      <x:c r="O334" s="19" t="n">
        <x:f>IF(AND(SUM(K334:M334)&lt;9,OR(M334=0,N334&lt;6)),1,0)</x:f>
        <x:v>1</x:v>
      </x:c>
      <x:c r="P334" s="19" t="n">
        <x:f>IF(AND(SUM(K334:M334)&lt;9,OR(L334=0,N334&lt;6)),1,0)</x:f>
        <x:v>1</x:v>
      </x:c>
      <x:c r="Q334" s="19" t="n">
        <x:f>IF(AND(SUM(K334:M334)&lt;9,OR(K334=0,N334&lt;6)),1,0)</x:f>
        <x:v>1</x:v>
      </x:c>
      <x:c r="R334" s="22" t="str">
        <x:f>O334&amp;P334&amp;Q334</x:f>
        <x:v>111</x:v>
      </x:c>
      <x:c r="S334" s="19" t="n">
        <x:f>IF(I334=1,IF(J334=0,Q334,IF(J334=1,P334,IF(J334=2,O334,0))),0)</x:f>
        <x:v>1</x:v>
      </x:c>
      <x:c r="T334" s="19" t="n">
        <x:f>K334+IF(AND(S334=1,J334=0),1,0)</x:f>
        <x:v>0</x:v>
      </x:c>
      <x:c r="U334" s="19" t="n">
        <x:f>L334+IF(AND(S334=1,J334=1),1,0)</x:f>
        <x:v>4</x:v>
      </x:c>
      <x:c r="V334" s="19" t="n">
        <x:f>M334+IF(AND(S334=1,J334=2),1,0)</x:f>
        <x:v>2</x:v>
      </x:c>
      <x:c r="W334" s="19" t="n">
        <x:f>SUM(T334:V334)</x:f>
        <x:v>6</x:v>
      </x:c>
      <x:c r="X334" s="19" t="n">
        <x:f>W334-G334</x:f>
        <x:v>0</x:v>
      </x:c>
      <x:c r="Y334" s="19" t="n">
        <x:f>MAX(T334,1)+MAX(U334,1)+MAX(V334,1)</x:f>
        <x:v>7</x:v>
      </x:c>
      <x:c r="Z334" s="21" t="str">
        <x:f>IF(AND(MIN(D334:F334)&gt;=0,MAX(D334:F334)&lt;=7,MAX(D334,1)+MAX(E334,1)+MAX(F334,1)&lt;=9,OR(H334="-",AND(H334=0,D334&gt;0),AND(H334=1,E334&gt;0),AND(H334=2,F334&gt;0)),OR(I334=0,AND(I334=1,OR(J334=0,J334=1,J334=2),R334&lt;&gt;"000")),Y334&lt;=9,MIN(T334:V334)&gt;=0),"合法","输入违约")</x:f>
        <x:v>合法</x:v>
      </x:c>
    </x:row>
    <x:row r="335" ht="23" customHeight="1">
      <x:c r="A335" s="3" t="str">
        <x:v>CT-0328</x:v>
      </x:c>
      <x:c r="B335" s="3" t="str">
        <x:v>ST-061</x:v>
      </x:c>
      <x:c r="C335" s="3" t="str">
        <x:v>R+AR同收同发</x:v>
      </x:c>
      <x:c r="D335" s="25" t="n">
        <x:v>0</x:v>
      </x:c>
      <x:c r="E335" s="25" t="n">
        <x:v>4</x:v>
      </x:c>
      <x:c r="F335" s="25" t="n">
        <x:v>2</x:v>
      </x:c>
      <x:c r="G335" s="19" t="n">
        <x:f>SUM(D335:F335)</x:f>
        <x:v>6</x:v>
      </x:c>
      <x:c r="H335" s="25" t="n">
        <x:v>1</x:v>
      </x:c>
      <x:c r="I335" s="25" t="n">
        <x:v>1</x:v>
      </x:c>
      <x:c r="J335" s="25" t="n">
        <x:v>2</x:v>
      </x:c>
      <x:c r="K335" s="19" t="n">
        <x:f>D335-IF(H335=0,1,0)</x:f>
        <x:v>0</x:v>
      </x:c>
      <x:c r="L335" s="19" t="n">
        <x:f>E335-IF(H335=1,1,0)</x:f>
        <x:v>3</x:v>
      </x:c>
      <x:c r="M335" s="19" t="n">
        <x:f>F335-IF(H335=2,1,0)</x:f>
        <x:v>2</x:v>
      </x:c>
      <x:c r="N335" s="19" t="n">
        <x:f>MAX(K335-1,0)+MAX(L335-1,0)+MAX(M335-1,0)</x:f>
        <x:v>3</x:v>
      </x:c>
      <x:c r="O335" s="19" t="n">
        <x:f>IF(AND(SUM(K335:M335)&lt;9,OR(M335=0,N335&lt;6)),1,0)</x:f>
        <x:v>1</x:v>
      </x:c>
      <x:c r="P335" s="19" t="n">
        <x:f>IF(AND(SUM(K335:M335)&lt;9,OR(L335=0,N335&lt;6)),1,0)</x:f>
        <x:v>1</x:v>
      </x:c>
      <x:c r="Q335" s="19" t="n">
        <x:f>IF(AND(SUM(K335:M335)&lt;9,OR(K335=0,N335&lt;6)),1,0)</x:f>
        <x:v>1</x:v>
      </x:c>
      <x:c r="R335" s="22" t="str">
        <x:f>O335&amp;P335&amp;Q335</x:f>
        <x:v>111</x:v>
      </x:c>
      <x:c r="S335" s="19" t="n">
        <x:f>IF(I335=1,IF(J335=0,Q335,IF(J335=1,P335,IF(J335=2,O335,0))),0)</x:f>
        <x:v>1</x:v>
      </x:c>
      <x:c r="T335" s="19" t="n">
        <x:f>K335+IF(AND(S335=1,J335=0),1,0)</x:f>
        <x:v>0</x:v>
      </x:c>
      <x:c r="U335" s="19" t="n">
        <x:f>L335+IF(AND(S335=1,J335=1),1,0)</x:f>
        <x:v>3</x:v>
      </x:c>
      <x:c r="V335" s="19" t="n">
        <x:f>M335+IF(AND(S335=1,J335=2),1,0)</x:f>
        <x:v>3</x:v>
      </x:c>
      <x:c r="W335" s="19" t="n">
        <x:f>SUM(T335:V335)</x:f>
        <x:v>6</x:v>
      </x:c>
      <x:c r="X335" s="19" t="n">
        <x:f>W335-G335</x:f>
        <x:v>0</x:v>
      </x:c>
      <x:c r="Y335" s="19" t="n">
        <x:f>MAX(T335,1)+MAX(U335,1)+MAX(V335,1)</x:f>
        <x:v>7</x:v>
      </x:c>
      <x:c r="Z335" s="21" t="str">
        <x:f>IF(AND(MIN(D335:F335)&gt;=0,MAX(D335:F335)&lt;=7,MAX(D335,1)+MAX(E335,1)+MAX(F335,1)&lt;=9,OR(H335="-",AND(H335=0,D335&gt;0),AND(H335=1,E335&gt;0),AND(H335=2,F335&gt;0)),OR(I335=0,AND(I335=1,OR(J335=0,J335=1,J335=2),R335&lt;&gt;"000")),Y335&lt;=9,MIN(T335:V335)&gt;=0),"合法","输入违约")</x:f>
        <x:v>合法</x:v>
      </x:c>
    </x:row>
    <x:row r="336" ht="23" customHeight="1">
      <x:c r="A336" s="3" t="str">
        <x:v>CT-0329</x:v>
      </x:c>
      <x:c r="B336" s="3" t="str">
        <x:v>ST-061</x:v>
      </x:c>
      <x:c r="C336" s="3" t="str">
        <x:v>仅R回收</x:v>
      </x:c>
      <x:c r="D336" s="25" t="n">
        <x:v>0</x:v>
      </x:c>
      <x:c r="E336" s="25" t="n">
        <x:v>4</x:v>
      </x:c>
      <x:c r="F336" s="25" t="n">
        <x:v>2</x:v>
      </x:c>
      <x:c r="G336" s="19" t="n">
        <x:f>SUM(D336:F336)</x:f>
        <x:v>6</x:v>
      </x:c>
      <x:c r="H336" s="25" t="n">
        <x:v>2</x:v>
      </x:c>
      <x:c r="I336" s="25" t="n">
        <x:v>0</x:v>
      </x:c>
      <x:c r="J336" s="25" t="str">
        <x:v>-</x:v>
      </x:c>
      <x:c r="K336" s="19" t="n">
        <x:f>D336-IF(H336=0,1,0)</x:f>
        <x:v>0</x:v>
      </x:c>
      <x:c r="L336" s="19" t="n">
        <x:f>E336-IF(H336=1,1,0)</x:f>
        <x:v>4</x:v>
      </x:c>
      <x:c r="M336" s="19" t="n">
        <x:f>F336-IF(H336=2,1,0)</x:f>
        <x:v>1</x:v>
      </x:c>
      <x:c r="N336" s="19" t="n">
        <x:f>MAX(K336-1,0)+MAX(L336-1,0)+MAX(M336-1,0)</x:f>
        <x:v>3</x:v>
      </x:c>
      <x:c r="O336" s="19" t="n">
        <x:f>IF(AND(SUM(K336:M336)&lt;9,OR(M336=0,N336&lt;6)),1,0)</x:f>
        <x:v>1</x:v>
      </x:c>
      <x:c r="P336" s="19" t="n">
        <x:f>IF(AND(SUM(K336:M336)&lt;9,OR(L336=0,N336&lt;6)),1,0)</x:f>
        <x:v>1</x:v>
      </x:c>
      <x:c r="Q336" s="19" t="n">
        <x:f>IF(AND(SUM(K336:M336)&lt;9,OR(K336=0,N336&lt;6)),1,0)</x:f>
        <x:v>1</x:v>
      </x:c>
      <x:c r="R336" s="22" t="str">
        <x:f>O336&amp;P336&amp;Q336</x:f>
        <x:v>111</x:v>
      </x:c>
      <x:c r="S336" s="19" t="n">
        <x:f>IF(I336=1,IF(J336=0,Q336,IF(J336=1,P336,IF(J336=2,O336,0))),0)</x:f>
        <x:v>0</x:v>
      </x:c>
      <x:c r="T336" s="19" t="n">
        <x:f>K336+IF(AND(S336=1,J336=0),1,0)</x:f>
        <x:v>0</x:v>
      </x:c>
      <x:c r="U336" s="19" t="n">
        <x:f>L336+IF(AND(S336=1,J336=1),1,0)</x:f>
        <x:v>4</x:v>
      </x:c>
      <x:c r="V336" s="19" t="n">
        <x:f>M336+IF(AND(S336=1,J336=2),1,0)</x:f>
        <x:v>1</x:v>
      </x:c>
      <x:c r="W336" s="19" t="n">
        <x:f>SUM(T336:V336)</x:f>
        <x:v>5</x:v>
      </x:c>
      <x:c r="X336" s="19" t="n">
        <x:f>W336-G336</x:f>
        <x:v>-1</x:v>
      </x:c>
      <x:c r="Y336" s="19" t="n">
        <x:f>MAX(T336,1)+MAX(U336,1)+MAX(V336,1)</x:f>
        <x:v>6</x:v>
      </x:c>
      <x:c r="Z336" s="21" t="str">
        <x:f>IF(AND(MIN(D336:F336)&gt;=0,MAX(D336:F336)&lt;=7,MAX(D336,1)+MAX(E336,1)+MAX(F336,1)&lt;=9,OR(H336="-",AND(H336=0,D336&gt;0),AND(H336=1,E336&gt;0),AND(H336=2,F336&gt;0)),OR(I336=0,AND(I336=1,OR(J336=0,J336=1,J336=2),R336&lt;&gt;"000")),Y336&lt;=9,MIN(T336:V336)&gt;=0),"合法","输入违约")</x:f>
        <x:v>合法</x:v>
      </x:c>
    </x:row>
    <x:row r="337" ht="23" customHeight="1">
      <x:c r="A337" s="3" t="str">
        <x:v>CT-0330</x:v>
      </x:c>
      <x:c r="B337" s="3" t="str">
        <x:v>ST-061</x:v>
      </x:c>
      <x:c r="C337" s="3" t="str">
        <x:v>R+AR同收同发</x:v>
      </x:c>
      <x:c r="D337" s="25" t="n">
        <x:v>0</x:v>
      </x:c>
      <x:c r="E337" s="25" t="n">
        <x:v>4</x:v>
      </x:c>
      <x:c r="F337" s="25" t="n">
        <x:v>2</x:v>
      </x:c>
      <x:c r="G337" s="19" t="n">
        <x:f>SUM(D337:F337)</x:f>
        <x:v>6</x:v>
      </x:c>
      <x:c r="H337" s="25" t="n">
        <x:v>2</x:v>
      </x:c>
      <x:c r="I337" s="25" t="n">
        <x:v>1</x:v>
      </x:c>
      <x:c r="J337" s="25" t="n">
        <x:v>0</x:v>
      </x:c>
      <x:c r="K337" s="19" t="n">
        <x:f>D337-IF(H337=0,1,0)</x:f>
        <x:v>0</x:v>
      </x:c>
      <x:c r="L337" s="19" t="n">
        <x:f>E337-IF(H337=1,1,0)</x:f>
        <x:v>4</x:v>
      </x:c>
      <x:c r="M337" s="19" t="n">
        <x:f>F337-IF(H337=2,1,0)</x:f>
        <x:v>1</x:v>
      </x:c>
      <x:c r="N337" s="19" t="n">
        <x:f>MAX(K337-1,0)+MAX(L337-1,0)+MAX(M337-1,0)</x:f>
        <x:v>3</x:v>
      </x:c>
      <x:c r="O337" s="19" t="n">
        <x:f>IF(AND(SUM(K337:M337)&lt;9,OR(M337=0,N337&lt;6)),1,0)</x:f>
        <x:v>1</x:v>
      </x:c>
      <x:c r="P337" s="19" t="n">
        <x:f>IF(AND(SUM(K337:M337)&lt;9,OR(L337=0,N337&lt;6)),1,0)</x:f>
        <x:v>1</x:v>
      </x:c>
      <x:c r="Q337" s="19" t="n">
        <x:f>IF(AND(SUM(K337:M337)&lt;9,OR(K337=0,N337&lt;6)),1,0)</x:f>
        <x:v>1</x:v>
      </x:c>
      <x:c r="R337" s="22" t="str">
        <x:f>O337&amp;P337&amp;Q337</x:f>
        <x:v>111</x:v>
      </x:c>
      <x:c r="S337" s="19" t="n">
        <x:f>IF(I337=1,IF(J337=0,Q337,IF(J337=1,P337,IF(J337=2,O337,0))),0)</x:f>
        <x:v>1</x:v>
      </x:c>
      <x:c r="T337" s="19" t="n">
        <x:f>K337+IF(AND(S337=1,J337=0),1,0)</x:f>
        <x:v>1</x:v>
      </x:c>
      <x:c r="U337" s="19" t="n">
        <x:f>L337+IF(AND(S337=1,J337=1),1,0)</x:f>
        <x:v>4</x:v>
      </x:c>
      <x:c r="V337" s="19" t="n">
        <x:f>M337+IF(AND(S337=1,J337=2),1,0)</x:f>
        <x:v>1</x:v>
      </x:c>
      <x:c r="W337" s="19" t="n">
        <x:f>SUM(T337:V337)</x:f>
        <x:v>6</x:v>
      </x:c>
      <x:c r="X337" s="19" t="n">
        <x:f>W337-G337</x:f>
        <x:v>0</x:v>
      </x:c>
      <x:c r="Y337" s="19" t="n">
        <x:f>MAX(T337,1)+MAX(U337,1)+MAX(V337,1)</x:f>
        <x:v>6</x:v>
      </x:c>
      <x:c r="Z337" s="21" t="str">
        <x:f>IF(AND(MIN(D337:F337)&gt;=0,MAX(D337:F337)&lt;=7,MAX(D337,1)+MAX(E337,1)+MAX(F337,1)&lt;=9,OR(H337="-",AND(H337=0,D337&gt;0),AND(H337=1,E337&gt;0),AND(H337=2,F337&gt;0)),OR(I337=0,AND(I337=1,OR(J337=0,J337=1,J337=2),R337&lt;&gt;"000")),Y337&lt;=9,MIN(T337:V337)&gt;=0),"合法","输入违约")</x:f>
        <x:v>合法</x:v>
      </x:c>
    </x:row>
    <x:row r="338" ht="23" customHeight="1">
      <x:c r="A338" s="3" t="str">
        <x:v>CT-0331</x:v>
      </x:c>
      <x:c r="B338" s="3" t="str">
        <x:v>ST-061</x:v>
      </x:c>
      <x:c r="C338" s="3" t="str">
        <x:v>R+AR同收同发</x:v>
      </x:c>
      <x:c r="D338" s="25" t="n">
        <x:v>0</x:v>
      </x:c>
      <x:c r="E338" s="25" t="n">
        <x:v>4</x:v>
      </x:c>
      <x:c r="F338" s="25" t="n">
        <x:v>2</x:v>
      </x:c>
      <x:c r="G338" s="19" t="n">
        <x:f>SUM(D338:F338)</x:f>
        <x:v>6</x:v>
      </x:c>
      <x:c r="H338" s="25" t="n">
        <x:v>2</x:v>
      </x:c>
      <x:c r="I338" s="25" t="n">
        <x:v>1</x:v>
      </x:c>
      <x:c r="J338" s="25" t="n">
        <x:v>1</x:v>
      </x:c>
      <x:c r="K338" s="19" t="n">
        <x:f>D338-IF(H338=0,1,0)</x:f>
        <x:v>0</x:v>
      </x:c>
      <x:c r="L338" s="19" t="n">
        <x:f>E338-IF(H338=1,1,0)</x:f>
        <x:v>4</x:v>
      </x:c>
      <x:c r="M338" s="19" t="n">
        <x:f>F338-IF(H338=2,1,0)</x:f>
        <x:v>1</x:v>
      </x:c>
      <x:c r="N338" s="19" t="n">
        <x:f>MAX(K338-1,0)+MAX(L338-1,0)+MAX(M338-1,0)</x:f>
        <x:v>3</x:v>
      </x:c>
      <x:c r="O338" s="19" t="n">
        <x:f>IF(AND(SUM(K338:M338)&lt;9,OR(M338=0,N338&lt;6)),1,0)</x:f>
        <x:v>1</x:v>
      </x:c>
      <x:c r="P338" s="19" t="n">
        <x:f>IF(AND(SUM(K338:M338)&lt;9,OR(L338=0,N338&lt;6)),1,0)</x:f>
        <x:v>1</x:v>
      </x:c>
      <x:c r="Q338" s="19" t="n">
        <x:f>IF(AND(SUM(K338:M338)&lt;9,OR(K338=0,N338&lt;6)),1,0)</x:f>
        <x:v>1</x:v>
      </x:c>
      <x:c r="R338" s="22" t="str">
        <x:f>O338&amp;P338&amp;Q338</x:f>
        <x:v>111</x:v>
      </x:c>
      <x:c r="S338" s="19" t="n">
        <x:f>IF(I338=1,IF(J338=0,Q338,IF(J338=1,P338,IF(J338=2,O338,0))),0)</x:f>
        <x:v>1</x:v>
      </x:c>
      <x:c r="T338" s="19" t="n">
        <x:f>K338+IF(AND(S338=1,J338=0),1,0)</x:f>
        <x:v>0</x:v>
      </x:c>
      <x:c r="U338" s="19" t="n">
        <x:f>L338+IF(AND(S338=1,J338=1),1,0)</x:f>
        <x:v>5</x:v>
      </x:c>
      <x:c r="V338" s="19" t="n">
        <x:f>M338+IF(AND(S338=1,J338=2),1,0)</x:f>
        <x:v>1</x:v>
      </x:c>
      <x:c r="W338" s="19" t="n">
        <x:f>SUM(T338:V338)</x:f>
        <x:v>6</x:v>
      </x:c>
      <x:c r="X338" s="19" t="n">
        <x:f>W338-G338</x:f>
        <x:v>0</x:v>
      </x:c>
      <x:c r="Y338" s="19" t="n">
        <x:f>MAX(T338,1)+MAX(U338,1)+MAX(V338,1)</x:f>
        <x:v>7</x:v>
      </x:c>
      <x:c r="Z338" s="21" t="str">
        <x:f>IF(AND(MIN(D338:F338)&gt;=0,MAX(D338:F338)&lt;=7,MAX(D338,1)+MAX(E338,1)+MAX(F338,1)&lt;=9,OR(H338="-",AND(H338=0,D338&gt;0),AND(H338=1,E338&gt;0),AND(H338=2,F338&gt;0)),OR(I338=0,AND(I338=1,OR(J338=0,J338=1,J338=2),R338&lt;&gt;"000")),Y338&lt;=9,MIN(T338:V338)&gt;=0),"合法","输入违约")</x:f>
        <x:v>合法</x:v>
      </x:c>
    </x:row>
    <x:row r="339" ht="23" customHeight="1">
      <x:c r="A339" s="3" t="str">
        <x:v>CT-0332</x:v>
      </x:c>
      <x:c r="B339" s="3" t="str">
        <x:v>ST-061</x:v>
      </x:c>
      <x:c r="C339" s="3" t="str">
        <x:v>R+AR同收同发</x:v>
      </x:c>
      <x:c r="D339" s="25" t="n">
        <x:v>0</x:v>
      </x:c>
      <x:c r="E339" s="25" t="n">
        <x:v>4</x:v>
      </x:c>
      <x:c r="F339" s="25" t="n">
        <x:v>2</x:v>
      </x:c>
      <x:c r="G339" s="19" t="n">
        <x:f>SUM(D339:F339)</x:f>
        <x:v>6</x:v>
      </x:c>
      <x:c r="H339" s="25" t="n">
        <x:v>2</x:v>
      </x:c>
      <x:c r="I339" s="25" t="n">
        <x:v>1</x:v>
      </x:c>
      <x:c r="J339" s="25" t="n">
        <x:v>2</x:v>
      </x:c>
      <x:c r="K339" s="19" t="n">
        <x:f>D339-IF(H339=0,1,0)</x:f>
        <x:v>0</x:v>
      </x:c>
      <x:c r="L339" s="19" t="n">
        <x:f>E339-IF(H339=1,1,0)</x:f>
        <x:v>4</x:v>
      </x:c>
      <x:c r="M339" s="19" t="n">
        <x:f>F339-IF(H339=2,1,0)</x:f>
        <x:v>1</x:v>
      </x:c>
      <x:c r="N339" s="19" t="n">
        <x:f>MAX(K339-1,0)+MAX(L339-1,0)+MAX(M339-1,0)</x:f>
        <x:v>3</x:v>
      </x:c>
      <x:c r="O339" s="19" t="n">
        <x:f>IF(AND(SUM(K339:M339)&lt;9,OR(M339=0,N339&lt;6)),1,0)</x:f>
        <x:v>1</x:v>
      </x:c>
      <x:c r="P339" s="19" t="n">
        <x:f>IF(AND(SUM(K339:M339)&lt;9,OR(L339=0,N339&lt;6)),1,0)</x:f>
        <x:v>1</x:v>
      </x:c>
      <x:c r="Q339" s="19" t="n">
        <x:f>IF(AND(SUM(K339:M339)&lt;9,OR(K339=0,N339&lt;6)),1,0)</x:f>
        <x:v>1</x:v>
      </x:c>
      <x:c r="R339" s="22" t="str">
        <x:f>O339&amp;P339&amp;Q339</x:f>
        <x:v>111</x:v>
      </x:c>
      <x:c r="S339" s="19" t="n">
        <x:f>IF(I339=1,IF(J339=0,Q339,IF(J339=1,P339,IF(J339=2,O339,0))),0)</x:f>
        <x:v>1</x:v>
      </x:c>
      <x:c r="T339" s="19" t="n">
        <x:f>K339+IF(AND(S339=1,J339=0),1,0)</x:f>
        <x:v>0</x:v>
      </x:c>
      <x:c r="U339" s="19" t="n">
        <x:f>L339+IF(AND(S339=1,J339=1),1,0)</x:f>
        <x:v>4</x:v>
      </x:c>
      <x:c r="V339" s="19" t="n">
        <x:f>M339+IF(AND(S339=1,J339=2),1,0)</x:f>
        <x:v>2</x:v>
      </x:c>
      <x:c r="W339" s="19" t="n">
        <x:f>SUM(T339:V339)</x:f>
        <x:v>6</x:v>
      </x:c>
      <x:c r="X339" s="19" t="n">
        <x:f>W339-G339</x:f>
        <x:v>0</x:v>
      </x:c>
      <x:c r="Y339" s="19" t="n">
        <x:f>MAX(T339,1)+MAX(U339,1)+MAX(V339,1)</x:f>
        <x:v>7</x:v>
      </x:c>
      <x:c r="Z339" s="21" t="str">
        <x:f>IF(AND(MIN(D339:F339)&gt;=0,MAX(D339:F339)&lt;=7,MAX(D339,1)+MAX(E339,1)+MAX(F339,1)&lt;=9,OR(H339="-",AND(H339=0,D339&gt;0),AND(H339=1,E339&gt;0),AND(H339=2,F339&gt;0)),OR(I339=0,AND(I339=1,OR(J339=0,J339=1,J339=2),R339&lt;&gt;"000")),Y339&lt;=9,MIN(T339:V339)&gt;=0),"合法","输入违约")</x:f>
        <x:v>合法</x:v>
      </x:c>
    </x:row>
    <x:row r="340" ht="23" customHeight="1">
      <x:c r="A340" s="3" t="str">
        <x:v>CT-0333</x:v>
      </x:c>
      <x:c r="B340" s="3" t="str">
        <x:v>ST-089</x:v>
      </x:c>
      <x:c r="C340" s="3" t="str">
        <x:v>无AR/R</x:v>
      </x:c>
      <x:c r="D340" s="25" t="n">
        <x:v>0</x:v>
      </x:c>
      <x:c r="E340" s="25" t="n">
        <x:v>4</x:v>
      </x:c>
      <x:c r="F340" s="25" t="n">
        <x:v>3</x:v>
      </x:c>
      <x:c r="G340" s="19" t="n">
        <x:f>SUM(D340:F340)</x:f>
        <x:v>7</x:v>
      </x:c>
      <x:c r="H340" s="25" t="str">
        <x:v>-</x:v>
      </x:c>
      <x:c r="I340" s="25" t="n">
        <x:v>0</x:v>
      </x:c>
      <x:c r="J340" s="25" t="str">
        <x:v>-</x:v>
      </x:c>
      <x:c r="K340" s="19" t="n">
        <x:f>D340-IF(H340=0,1,0)</x:f>
        <x:v>0</x:v>
      </x:c>
      <x:c r="L340" s="19" t="n">
        <x:f>E340-IF(H340=1,1,0)</x:f>
        <x:v>4</x:v>
      </x:c>
      <x:c r="M340" s="19" t="n">
        <x:f>F340-IF(H340=2,1,0)</x:f>
        <x:v>3</x:v>
      </x:c>
      <x:c r="N340" s="19" t="n">
        <x:f>MAX(K340-1,0)+MAX(L340-1,0)+MAX(M340-1,0)</x:f>
        <x:v>5</x:v>
      </x:c>
      <x:c r="O340" s="19" t="n">
        <x:f>IF(AND(SUM(K340:M340)&lt;9,OR(M340=0,N340&lt;6)),1,0)</x:f>
        <x:v>1</x:v>
      </x:c>
      <x:c r="P340" s="19" t="n">
        <x:f>IF(AND(SUM(K340:M340)&lt;9,OR(L340=0,N340&lt;6)),1,0)</x:f>
        <x:v>1</x:v>
      </x:c>
      <x:c r="Q340" s="19" t="n">
        <x:f>IF(AND(SUM(K340:M340)&lt;9,OR(K340=0,N340&lt;6)),1,0)</x:f>
        <x:v>1</x:v>
      </x:c>
      <x:c r="R340" s="22" t="str">
        <x:f>O340&amp;P340&amp;Q340</x:f>
        <x:v>111</x:v>
      </x:c>
      <x:c r="S340" s="19" t="n">
        <x:f>IF(I340=1,IF(J340=0,Q340,IF(J340=1,P340,IF(J340=2,O340,0))),0)</x:f>
        <x:v>0</x:v>
      </x:c>
      <x:c r="T340" s="19" t="n">
        <x:f>K340+IF(AND(S340=1,J340=0),1,0)</x:f>
        <x:v>0</x:v>
      </x:c>
      <x:c r="U340" s="19" t="n">
        <x:f>L340+IF(AND(S340=1,J340=1),1,0)</x:f>
        <x:v>4</x:v>
      </x:c>
      <x:c r="V340" s="19" t="n">
        <x:f>M340+IF(AND(S340=1,J340=2),1,0)</x:f>
        <x:v>3</x:v>
      </x:c>
      <x:c r="W340" s="19" t="n">
        <x:f>SUM(T340:V340)</x:f>
        <x:v>7</x:v>
      </x:c>
      <x:c r="X340" s="19" t="n">
        <x:f>W340-G340</x:f>
        <x:v>0</x:v>
      </x:c>
      <x:c r="Y340" s="19" t="n">
        <x:f>MAX(T340,1)+MAX(U340,1)+MAX(V340,1)</x:f>
        <x:v>8</x:v>
      </x:c>
      <x:c r="Z340" s="21" t="str">
        <x:f>IF(AND(MIN(D340:F340)&gt;=0,MAX(D340:F340)&lt;=7,MAX(D340,1)+MAX(E340,1)+MAX(F340,1)&lt;=9,OR(H340="-",AND(H340=0,D340&gt;0),AND(H340=1,E340&gt;0),AND(H340=2,F340&gt;0)),OR(I340=0,AND(I340=1,OR(J340=0,J340=1,J340=2),R340&lt;&gt;"000")),Y340&lt;=9,MIN(T340:V340)&gt;=0),"合法","输入违约")</x:f>
        <x:v>合法</x:v>
      </x:c>
    </x:row>
    <x:row r="341" ht="23" customHeight="1">
      <x:c r="A341" s="3" t="str">
        <x:v>CT-0334</x:v>
      </x:c>
      <x:c r="B341" s="3" t="str">
        <x:v>ST-089</x:v>
      </x:c>
      <x:c r="C341" s="3" t="str">
        <x:v>仅AR接收</x:v>
      </x:c>
      <x:c r="D341" s="25" t="n">
        <x:v>0</x:v>
      </x:c>
      <x:c r="E341" s="25" t="n">
        <x:v>4</x:v>
      </x:c>
      <x:c r="F341" s="25" t="n">
        <x:v>3</x:v>
      </x:c>
      <x:c r="G341" s="19" t="n">
        <x:f>SUM(D341:F341)</x:f>
        <x:v>7</x:v>
      </x:c>
      <x:c r="H341" s="25" t="str">
        <x:v>-</x:v>
      </x:c>
      <x:c r="I341" s="25" t="n">
        <x:v>1</x:v>
      </x:c>
      <x:c r="J341" s="25" t="n">
        <x:v>0</x:v>
      </x:c>
      <x:c r="K341" s="19" t="n">
        <x:f>D341-IF(H341=0,1,0)</x:f>
        <x:v>0</x:v>
      </x:c>
      <x:c r="L341" s="19" t="n">
        <x:f>E341-IF(H341=1,1,0)</x:f>
        <x:v>4</x:v>
      </x:c>
      <x:c r="M341" s="19" t="n">
        <x:f>F341-IF(H341=2,1,0)</x:f>
        <x:v>3</x:v>
      </x:c>
      <x:c r="N341" s="19" t="n">
        <x:f>MAX(K341-1,0)+MAX(L341-1,0)+MAX(M341-1,0)</x:f>
        <x:v>5</x:v>
      </x:c>
      <x:c r="O341" s="19" t="n">
        <x:f>IF(AND(SUM(K341:M341)&lt;9,OR(M341=0,N341&lt;6)),1,0)</x:f>
        <x:v>1</x:v>
      </x:c>
      <x:c r="P341" s="19" t="n">
        <x:f>IF(AND(SUM(K341:M341)&lt;9,OR(L341=0,N341&lt;6)),1,0)</x:f>
        <x:v>1</x:v>
      </x:c>
      <x:c r="Q341" s="19" t="n">
        <x:f>IF(AND(SUM(K341:M341)&lt;9,OR(K341=0,N341&lt;6)),1,0)</x:f>
        <x:v>1</x:v>
      </x:c>
      <x:c r="R341" s="22" t="str">
        <x:f>O341&amp;P341&amp;Q341</x:f>
        <x:v>111</x:v>
      </x:c>
      <x:c r="S341" s="19" t="n">
        <x:f>IF(I341=1,IF(J341=0,Q341,IF(J341=1,P341,IF(J341=2,O341,0))),0)</x:f>
        <x:v>1</x:v>
      </x:c>
      <x:c r="T341" s="19" t="n">
        <x:f>K341+IF(AND(S341=1,J341=0),1,0)</x:f>
        <x:v>1</x:v>
      </x:c>
      <x:c r="U341" s="19" t="n">
        <x:f>L341+IF(AND(S341=1,J341=1),1,0)</x:f>
        <x:v>4</x:v>
      </x:c>
      <x:c r="V341" s="19" t="n">
        <x:f>M341+IF(AND(S341=1,J341=2),1,0)</x:f>
        <x:v>3</x:v>
      </x:c>
      <x:c r="W341" s="19" t="n">
        <x:f>SUM(T341:V341)</x:f>
        <x:v>8</x:v>
      </x:c>
      <x:c r="X341" s="19" t="n">
        <x:f>W341-G341</x:f>
        <x:v>1</x:v>
      </x:c>
      <x:c r="Y341" s="19" t="n">
        <x:f>MAX(T341,1)+MAX(U341,1)+MAX(V341,1)</x:f>
        <x:v>8</x:v>
      </x:c>
      <x:c r="Z341" s="21" t="str">
        <x:f>IF(AND(MIN(D341:F341)&gt;=0,MAX(D341:F341)&lt;=7,MAX(D341,1)+MAX(E341,1)+MAX(F341,1)&lt;=9,OR(H341="-",AND(H341=0,D341&gt;0),AND(H341=1,E341&gt;0),AND(H341=2,F341&gt;0)),OR(I341=0,AND(I341=1,OR(J341=0,J341=1,J341=2),R341&lt;&gt;"000")),Y341&lt;=9,MIN(T341:V341)&gt;=0),"合法","输入违约")</x:f>
        <x:v>合法</x:v>
      </x:c>
    </x:row>
    <x:row r="342" ht="23" customHeight="1">
      <x:c r="A342" s="3" t="str">
        <x:v>CT-0335</x:v>
      </x:c>
      <x:c r="B342" s="3" t="str">
        <x:v>ST-089</x:v>
      </x:c>
      <x:c r="C342" s="3" t="str">
        <x:v>仅AR接收</x:v>
      </x:c>
      <x:c r="D342" s="25" t="n">
        <x:v>0</x:v>
      </x:c>
      <x:c r="E342" s="25" t="n">
        <x:v>4</x:v>
      </x:c>
      <x:c r="F342" s="25" t="n">
        <x:v>3</x:v>
      </x:c>
      <x:c r="G342" s="19" t="n">
        <x:f>SUM(D342:F342)</x:f>
        <x:v>7</x:v>
      </x:c>
      <x:c r="H342" s="25" t="str">
        <x:v>-</x:v>
      </x:c>
      <x:c r="I342" s="25" t="n">
        <x:v>1</x:v>
      </x:c>
      <x:c r="J342" s="25" t="n">
        <x:v>1</x:v>
      </x:c>
      <x:c r="K342" s="19" t="n">
        <x:f>D342-IF(H342=0,1,0)</x:f>
        <x:v>0</x:v>
      </x:c>
      <x:c r="L342" s="19" t="n">
        <x:f>E342-IF(H342=1,1,0)</x:f>
        <x:v>4</x:v>
      </x:c>
      <x:c r="M342" s="19" t="n">
        <x:f>F342-IF(H342=2,1,0)</x:f>
        <x:v>3</x:v>
      </x:c>
      <x:c r="N342" s="19" t="n">
        <x:f>MAX(K342-1,0)+MAX(L342-1,0)+MAX(M342-1,0)</x:f>
        <x:v>5</x:v>
      </x:c>
      <x:c r="O342" s="19" t="n">
        <x:f>IF(AND(SUM(K342:M342)&lt;9,OR(M342=0,N342&lt;6)),1,0)</x:f>
        <x:v>1</x:v>
      </x:c>
      <x:c r="P342" s="19" t="n">
        <x:f>IF(AND(SUM(K342:M342)&lt;9,OR(L342=0,N342&lt;6)),1,0)</x:f>
        <x:v>1</x:v>
      </x:c>
      <x:c r="Q342" s="19" t="n">
        <x:f>IF(AND(SUM(K342:M342)&lt;9,OR(K342=0,N342&lt;6)),1,0)</x:f>
        <x:v>1</x:v>
      </x:c>
      <x:c r="R342" s="22" t="str">
        <x:f>O342&amp;P342&amp;Q342</x:f>
        <x:v>111</x:v>
      </x:c>
      <x:c r="S342" s="19" t="n">
        <x:f>IF(I342=1,IF(J342=0,Q342,IF(J342=1,P342,IF(J342=2,O342,0))),0)</x:f>
        <x:v>1</x:v>
      </x:c>
      <x:c r="T342" s="19" t="n">
        <x:f>K342+IF(AND(S342=1,J342=0),1,0)</x:f>
        <x:v>0</x:v>
      </x:c>
      <x:c r="U342" s="19" t="n">
        <x:f>L342+IF(AND(S342=1,J342=1),1,0)</x:f>
        <x:v>5</x:v>
      </x:c>
      <x:c r="V342" s="19" t="n">
        <x:f>M342+IF(AND(S342=1,J342=2),1,0)</x:f>
        <x:v>3</x:v>
      </x:c>
      <x:c r="W342" s="19" t="n">
        <x:f>SUM(T342:V342)</x:f>
        <x:v>8</x:v>
      </x:c>
      <x:c r="X342" s="19" t="n">
        <x:f>W342-G342</x:f>
        <x:v>1</x:v>
      </x:c>
      <x:c r="Y342" s="19" t="n">
        <x:f>MAX(T342,1)+MAX(U342,1)+MAX(V342,1)</x:f>
        <x:v>9</x:v>
      </x:c>
      <x:c r="Z342" s="21" t="str">
        <x:f>IF(AND(MIN(D342:F342)&gt;=0,MAX(D342:F342)&lt;=7,MAX(D342,1)+MAX(E342,1)+MAX(F342,1)&lt;=9,OR(H342="-",AND(H342=0,D342&gt;0),AND(H342=1,E342&gt;0),AND(H342=2,F342&gt;0)),OR(I342=0,AND(I342=1,OR(J342=0,J342=1,J342=2),R342&lt;&gt;"000")),Y342&lt;=9,MIN(T342:V342)&gt;=0),"合法","输入违约")</x:f>
        <x:v>合法</x:v>
      </x:c>
    </x:row>
    <x:row r="343" ht="23" customHeight="1">
      <x:c r="A343" s="3" t="str">
        <x:v>CT-0336</x:v>
      </x:c>
      <x:c r="B343" s="3" t="str">
        <x:v>ST-089</x:v>
      </x:c>
      <x:c r="C343" s="3" t="str">
        <x:v>仅AR接收</x:v>
      </x:c>
      <x:c r="D343" s="25" t="n">
        <x:v>0</x:v>
      </x:c>
      <x:c r="E343" s="25" t="n">
        <x:v>4</x:v>
      </x:c>
      <x:c r="F343" s="25" t="n">
        <x:v>3</x:v>
      </x:c>
      <x:c r="G343" s="19" t="n">
        <x:f>SUM(D343:F343)</x:f>
        <x:v>7</x:v>
      </x:c>
      <x:c r="H343" s="25" t="str">
        <x:v>-</x:v>
      </x:c>
      <x:c r="I343" s="25" t="n">
        <x:v>1</x:v>
      </x:c>
      <x:c r="J343" s="25" t="n">
        <x:v>2</x:v>
      </x:c>
      <x:c r="K343" s="19" t="n">
        <x:f>D343-IF(H343=0,1,0)</x:f>
        <x:v>0</x:v>
      </x:c>
      <x:c r="L343" s="19" t="n">
        <x:f>E343-IF(H343=1,1,0)</x:f>
        <x:v>4</x:v>
      </x:c>
      <x:c r="M343" s="19" t="n">
        <x:f>F343-IF(H343=2,1,0)</x:f>
        <x:v>3</x:v>
      </x:c>
      <x:c r="N343" s="19" t="n">
        <x:f>MAX(K343-1,0)+MAX(L343-1,0)+MAX(M343-1,0)</x:f>
        <x:v>5</x:v>
      </x:c>
      <x:c r="O343" s="19" t="n">
        <x:f>IF(AND(SUM(K343:M343)&lt;9,OR(M343=0,N343&lt;6)),1,0)</x:f>
        <x:v>1</x:v>
      </x:c>
      <x:c r="P343" s="19" t="n">
        <x:f>IF(AND(SUM(K343:M343)&lt;9,OR(L343=0,N343&lt;6)),1,0)</x:f>
        <x:v>1</x:v>
      </x:c>
      <x:c r="Q343" s="19" t="n">
        <x:f>IF(AND(SUM(K343:M343)&lt;9,OR(K343=0,N343&lt;6)),1,0)</x:f>
        <x:v>1</x:v>
      </x:c>
      <x:c r="R343" s="22" t="str">
        <x:f>O343&amp;P343&amp;Q343</x:f>
        <x:v>111</x:v>
      </x:c>
      <x:c r="S343" s="19" t="n">
        <x:f>IF(I343=1,IF(J343=0,Q343,IF(J343=1,P343,IF(J343=2,O343,0))),0)</x:f>
        <x:v>1</x:v>
      </x:c>
      <x:c r="T343" s="19" t="n">
        <x:f>K343+IF(AND(S343=1,J343=0),1,0)</x:f>
        <x:v>0</x:v>
      </x:c>
      <x:c r="U343" s="19" t="n">
        <x:f>L343+IF(AND(S343=1,J343=1),1,0)</x:f>
        <x:v>4</x:v>
      </x:c>
      <x:c r="V343" s="19" t="n">
        <x:f>M343+IF(AND(S343=1,J343=2),1,0)</x:f>
        <x:v>4</x:v>
      </x:c>
      <x:c r="W343" s="19" t="n">
        <x:f>SUM(T343:V343)</x:f>
        <x:v>8</x:v>
      </x:c>
      <x:c r="X343" s="19" t="n">
        <x:f>W343-G343</x:f>
        <x:v>1</x:v>
      </x:c>
      <x:c r="Y343" s="19" t="n">
        <x:f>MAX(T343,1)+MAX(U343,1)+MAX(V343,1)</x:f>
        <x:v>9</x:v>
      </x:c>
      <x:c r="Z343" s="21" t="str">
        <x:f>IF(AND(MIN(D343:F343)&gt;=0,MAX(D343:F343)&lt;=7,MAX(D343,1)+MAX(E343,1)+MAX(F343,1)&lt;=9,OR(H343="-",AND(H343=0,D343&gt;0),AND(H343=1,E343&gt;0),AND(H343=2,F343&gt;0)),OR(I343=0,AND(I343=1,OR(J343=0,J343=1,J343=2),R343&lt;&gt;"000")),Y343&lt;=9,MIN(T343:V343)&gt;=0),"合法","输入违约")</x:f>
        <x:v>合法</x:v>
      </x:c>
    </x:row>
    <x:row r="344" ht="23" customHeight="1">
      <x:c r="A344" s="3" t="str">
        <x:v>CT-0337</x:v>
      </x:c>
      <x:c r="B344" s="3" t="str">
        <x:v>ST-089</x:v>
      </x:c>
      <x:c r="C344" s="3" t="str">
        <x:v>仅R回收</x:v>
      </x:c>
      <x:c r="D344" s="25" t="n">
        <x:v>0</x:v>
      </x:c>
      <x:c r="E344" s="25" t="n">
        <x:v>4</x:v>
      </x:c>
      <x:c r="F344" s="25" t="n">
        <x:v>3</x:v>
      </x:c>
      <x:c r="G344" s="19" t="n">
        <x:f>SUM(D344:F344)</x:f>
        <x:v>7</x:v>
      </x:c>
      <x:c r="H344" s="25" t="n">
        <x:v>1</x:v>
      </x:c>
      <x:c r="I344" s="25" t="n">
        <x:v>0</x:v>
      </x:c>
      <x:c r="J344" s="25" t="str">
        <x:v>-</x:v>
      </x:c>
      <x:c r="K344" s="19" t="n">
        <x:f>D344-IF(H344=0,1,0)</x:f>
        <x:v>0</x:v>
      </x:c>
      <x:c r="L344" s="19" t="n">
        <x:f>E344-IF(H344=1,1,0)</x:f>
        <x:v>3</x:v>
      </x:c>
      <x:c r="M344" s="19" t="n">
        <x:f>F344-IF(H344=2,1,0)</x:f>
        <x:v>3</x:v>
      </x:c>
      <x:c r="N344" s="19" t="n">
        <x:f>MAX(K344-1,0)+MAX(L344-1,0)+MAX(M344-1,0)</x:f>
        <x:v>4</x:v>
      </x:c>
      <x:c r="O344" s="19" t="n">
        <x:f>IF(AND(SUM(K344:M344)&lt;9,OR(M344=0,N344&lt;6)),1,0)</x:f>
        <x:v>1</x:v>
      </x:c>
      <x:c r="P344" s="19" t="n">
        <x:f>IF(AND(SUM(K344:M344)&lt;9,OR(L344=0,N344&lt;6)),1,0)</x:f>
        <x:v>1</x:v>
      </x:c>
      <x:c r="Q344" s="19" t="n">
        <x:f>IF(AND(SUM(K344:M344)&lt;9,OR(K344=0,N344&lt;6)),1,0)</x:f>
        <x:v>1</x:v>
      </x:c>
      <x:c r="R344" s="22" t="str">
        <x:f>O344&amp;P344&amp;Q344</x:f>
        <x:v>111</x:v>
      </x:c>
      <x:c r="S344" s="19" t="n">
        <x:f>IF(I344=1,IF(J344=0,Q344,IF(J344=1,P344,IF(J344=2,O344,0))),0)</x:f>
        <x:v>0</x:v>
      </x:c>
      <x:c r="T344" s="19" t="n">
        <x:f>K344+IF(AND(S344=1,J344=0),1,0)</x:f>
        <x:v>0</x:v>
      </x:c>
      <x:c r="U344" s="19" t="n">
        <x:f>L344+IF(AND(S344=1,J344=1),1,0)</x:f>
        <x:v>3</x:v>
      </x:c>
      <x:c r="V344" s="19" t="n">
        <x:f>M344+IF(AND(S344=1,J344=2),1,0)</x:f>
        <x:v>3</x:v>
      </x:c>
      <x:c r="W344" s="19" t="n">
        <x:f>SUM(T344:V344)</x:f>
        <x:v>6</x:v>
      </x:c>
      <x:c r="X344" s="19" t="n">
        <x:f>W344-G344</x:f>
        <x:v>-1</x:v>
      </x:c>
      <x:c r="Y344" s="19" t="n">
        <x:f>MAX(T344,1)+MAX(U344,1)+MAX(V344,1)</x:f>
        <x:v>7</x:v>
      </x:c>
      <x:c r="Z344" s="21" t="str">
        <x:f>IF(AND(MIN(D344:F344)&gt;=0,MAX(D344:F344)&lt;=7,MAX(D344,1)+MAX(E344,1)+MAX(F344,1)&lt;=9,OR(H344="-",AND(H344=0,D344&gt;0),AND(H344=1,E344&gt;0),AND(H344=2,F344&gt;0)),OR(I344=0,AND(I344=1,OR(J344=0,J344=1,J344=2),R344&lt;&gt;"000")),Y344&lt;=9,MIN(T344:V344)&gt;=0),"合法","输入违约")</x:f>
        <x:v>合法</x:v>
      </x:c>
    </x:row>
    <x:row r="345" ht="23" customHeight="1">
      <x:c r="A345" s="3" t="str">
        <x:v>CT-0338</x:v>
      </x:c>
      <x:c r="B345" s="3" t="str">
        <x:v>ST-089</x:v>
      </x:c>
      <x:c r="C345" s="3" t="str">
        <x:v>R+AR同收同发</x:v>
      </x:c>
      <x:c r="D345" s="25" t="n">
        <x:v>0</x:v>
      </x:c>
      <x:c r="E345" s="25" t="n">
        <x:v>4</x:v>
      </x:c>
      <x:c r="F345" s="25" t="n">
        <x:v>3</x:v>
      </x:c>
      <x:c r="G345" s="19" t="n">
        <x:f>SUM(D345:F345)</x:f>
        <x:v>7</x:v>
      </x:c>
      <x:c r="H345" s="25" t="n">
        <x:v>1</x:v>
      </x:c>
      <x:c r="I345" s="25" t="n">
        <x:v>1</x:v>
      </x:c>
      <x:c r="J345" s="25" t="n">
        <x:v>0</x:v>
      </x:c>
      <x:c r="K345" s="19" t="n">
        <x:f>D345-IF(H345=0,1,0)</x:f>
        <x:v>0</x:v>
      </x:c>
      <x:c r="L345" s="19" t="n">
        <x:f>E345-IF(H345=1,1,0)</x:f>
        <x:v>3</x:v>
      </x:c>
      <x:c r="M345" s="19" t="n">
        <x:f>F345-IF(H345=2,1,0)</x:f>
        <x:v>3</x:v>
      </x:c>
      <x:c r="N345" s="19" t="n">
        <x:f>MAX(K345-1,0)+MAX(L345-1,0)+MAX(M345-1,0)</x:f>
        <x:v>4</x:v>
      </x:c>
      <x:c r="O345" s="19" t="n">
        <x:f>IF(AND(SUM(K345:M345)&lt;9,OR(M345=0,N345&lt;6)),1,0)</x:f>
        <x:v>1</x:v>
      </x:c>
      <x:c r="P345" s="19" t="n">
        <x:f>IF(AND(SUM(K345:M345)&lt;9,OR(L345=0,N345&lt;6)),1,0)</x:f>
        <x:v>1</x:v>
      </x:c>
      <x:c r="Q345" s="19" t="n">
        <x:f>IF(AND(SUM(K345:M345)&lt;9,OR(K345=0,N345&lt;6)),1,0)</x:f>
        <x:v>1</x:v>
      </x:c>
      <x:c r="R345" s="22" t="str">
        <x:f>O345&amp;P345&amp;Q345</x:f>
        <x:v>111</x:v>
      </x:c>
      <x:c r="S345" s="19" t="n">
        <x:f>IF(I345=1,IF(J345=0,Q345,IF(J345=1,P345,IF(J345=2,O345,0))),0)</x:f>
        <x:v>1</x:v>
      </x:c>
      <x:c r="T345" s="19" t="n">
        <x:f>K345+IF(AND(S345=1,J345=0),1,0)</x:f>
        <x:v>1</x:v>
      </x:c>
      <x:c r="U345" s="19" t="n">
        <x:f>L345+IF(AND(S345=1,J345=1),1,0)</x:f>
        <x:v>3</x:v>
      </x:c>
      <x:c r="V345" s="19" t="n">
        <x:f>M345+IF(AND(S345=1,J345=2),1,0)</x:f>
        <x:v>3</x:v>
      </x:c>
      <x:c r="W345" s="19" t="n">
        <x:f>SUM(T345:V345)</x:f>
        <x:v>7</x:v>
      </x:c>
      <x:c r="X345" s="19" t="n">
        <x:f>W345-G345</x:f>
        <x:v>0</x:v>
      </x:c>
      <x:c r="Y345" s="19" t="n">
        <x:f>MAX(T345,1)+MAX(U345,1)+MAX(V345,1)</x:f>
        <x:v>7</x:v>
      </x:c>
      <x:c r="Z345" s="21" t="str">
        <x:f>IF(AND(MIN(D345:F345)&gt;=0,MAX(D345:F345)&lt;=7,MAX(D345,1)+MAX(E345,1)+MAX(F345,1)&lt;=9,OR(H345="-",AND(H345=0,D345&gt;0),AND(H345=1,E345&gt;0),AND(H345=2,F345&gt;0)),OR(I345=0,AND(I345=1,OR(J345=0,J345=1,J345=2),R345&lt;&gt;"000")),Y345&lt;=9,MIN(T345:V345)&gt;=0),"合法","输入违约")</x:f>
        <x:v>合法</x:v>
      </x:c>
    </x:row>
    <x:row r="346" ht="23" customHeight="1">
      <x:c r="A346" s="3" t="str">
        <x:v>CT-0339</x:v>
      </x:c>
      <x:c r="B346" s="3" t="str">
        <x:v>ST-089</x:v>
      </x:c>
      <x:c r="C346" s="3" t="str">
        <x:v>R+AR同收同发</x:v>
      </x:c>
      <x:c r="D346" s="25" t="n">
        <x:v>0</x:v>
      </x:c>
      <x:c r="E346" s="25" t="n">
        <x:v>4</x:v>
      </x:c>
      <x:c r="F346" s="25" t="n">
        <x:v>3</x:v>
      </x:c>
      <x:c r="G346" s="19" t="n">
        <x:f>SUM(D346:F346)</x:f>
        <x:v>7</x:v>
      </x:c>
      <x:c r="H346" s="25" t="n">
        <x:v>1</x:v>
      </x:c>
      <x:c r="I346" s="25" t="n">
        <x:v>1</x:v>
      </x:c>
      <x:c r="J346" s="25" t="n">
        <x:v>1</x:v>
      </x:c>
      <x:c r="K346" s="19" t="n">
        <x:f>D346-IF(H346=0,1,0)</x:f>
        <x:v>0</x:v>
      </x:c>
      <x:c r="L346" s="19" t="n">
        <x:f>E346-IF(H346=1,1,0)</x:f>
        <x:v>3</x:v>
      </x:c>
      <x:c r="M346" s="19" t="n">
        <x:f>F346-IF(H346=2,1,0)</x:f>
        <x:v>3</x:v>
      </x:c>
      <x:c r="N346" s="19" t="n">
        <x:f>MAX(K346-1,0)+MAX(L346-1,0)+MAX(M346-1,0)</x:f>
        <x:v>4</x:v>
      </x:c>
      <x:c r="O346" s="19" t="n">
        <x:f>IF(AND(SUM(K346:M346)&lt;9,OR(M346=0,N346&lt;6)),1,0)</x:f>
        <x:v>1</x:v>
      </x:c>
      <x:c r="P346" s="19" t="n">
        <x:f>IF(AND(SUM(K346:M346)&lt;9,OR(L346=0,N346&lt;6)),1,0)</x:f>
        <x:v>1</x:v>
      </x:c>
      <x:c r="Q346" s="19" t="n">
        <x:f>IF(AND(SUM(K346:M346)&lt;9,OR(K346=0,N346&lt;6)),1,0)</x:f>
        <x:v>1</x:v>
      </x:c>
      <x:c r="R346" s="22" t="str">
        <x:f>O346&amp;P346&amp;Q346</x:f>
        <x:v>111</x:v>
      </x:c>
      <x:c r="S346" s="19" t="n">
        <x:f>IF(I346=1,IF(J346=0,Q346,IF(J346=1,P346,IF(J346=2,O346,0))),0)</x:f>
        <x:v>1</x:v>
      </x:c>
      <x:c r="T346" s="19" t="n">
        <x:f>K346+IF(AND(S346=1,J346=0),1,0)</x:f>
        <x:v>0</x:v>
      </x:c>
      <x:c r="U346" s="19" t="n">
        <x:f>L346+IF(AND(S346=1,J346=1),1,0)</x:f>
        <x:v>4</x:v>
      </x:c>
      <x:c r="V346" s="19" t="n">
        <x:f>M346+IF(AND(S346=1,J346=2),1,0)</x:f>
        <x:v>3</x:v>
      </x:c>
      <x:c r="W346" s="19" t="n">
        <x:f>SUM(T346:V346)</x:f>
        <x:v>7</x:v>
      </x:c>
      <x:c r="X346" s="19" t="n">
        <x:f>W346-G346</x:f>
        <x:v>0</x:v>
      </x:c>
      <x:c r="Y346" s="19" t="n">
        <x:f>MAX(T346,1)+MAX(U346,1)+MAX(V346,1)</x:f>
        <x:v>8</x:v>
      </x:c>
      <x:c r="Z346" s="21" t="str">
        <x:f>IF(AND(MIN(D346:F346)&gt;=0,MAX(D346:F346)&lt;=7,MAX(D346,1)+MAX(E346,1)+MAX(F346,1)&lt;=9,OR(H346="-",AND(H346=0,D346&gt;0),AND(H346=1,E346&gt;0),AND(H346=2,F346&gt;0)),OR(I346=0,AND(I346=1,OR(J346=0,J346=1,J346=2),R346&lt;&gt;"000")),Y346&lt;=9,MIN(T346:V346)&gt;=0),"合法","输入违约")</x:f>
        <x:v>合法</x:v>
      </x:c>
    </x:row>
    <x:row r="347" ht="23" customHeight="1">
      <x:c r="A347" s="3" t="str">
        <x:v>CT-0340</x:v>
      </x:c>
      <x:c r="B347" s="3" t="str">
        <x:v>ST-089</x:v>
      </x:c>
      <x:c r="C347" s="3" t="str">
        <x:v>R+AR同收同发</x:v>
      </x:c>
      <x:c r="D347" s="25" t="n">
        <x:v>0</x:v>
      </x:c>
      <x:c r="E347" s="25" t="n">
        <x:v>4</x:v>
      </x:c>
      <x:c r="F347" s="25" t="n">
        <x:v>3</x:v>
      </x:c>
      <x:c r="G347" s="19" t="n">
        <x:f>SUM(D347:F347)</x:f>
        <x:v>7</x:v>
      </x:c>
      <x:c r="H347" s="25" t="n">
        <x:v>1</x:v>
      </x:c>
      <x:c r="I347" s="25" t="n">
        <x:v>1</x:v>
      </x:c>
      <x:c r="J347" s="25" t="n">
        <x:v>2</x:v>
      </x:c>
      <x:c r="K347" s="19" t="n">
        <x:f>D347-IF(H347=0,1,0)</x:f>
        <x:v>0</x:v>
      </x:c>
      <x:c r="L347" s="19" t="n">
        <x:f>E347-IF(H347=1,1,0)</x:f>
        <x:v>3</x:v>
      </x:c>
      <x:c r="M347" s="19" t="n">
        <x:f>F347-IF(H347=2,1,0)</x:f>
        <x:v>3</x:v>
      </x:c>
      <x:c r="N347" s="19" t="n">
        <x:f>MAX(K347-1,0)+MAX(L347-1,0)+MAX(M347-1,0)</x:f>
        <x:v>4</x:v>
      </x:c>
      <x:c r="O347" s="19" t="n">
        <x:f>IF(AND(SUM(K347:M347)&lt;9,OR(M347=0,N347&lt;6)),1,0)</x:f>
        <x:v>1</x:v>
      </x:c>
      <x:c r="P347" s="19" t="n">
        <x:f>IF(AND(SUM(K347:M347)&lt;9,OR(L347=0,N347&lt;6)),1,0)</x:f>
        <x:v>1</x:v>
      </x:c>
      <x:c r="Q347" s="19" t="n">
        <x:f>IF(AND(SUM(K347:M347)&lt;9,OR(K347=0,N347&lt;6)),1,0)</x:f>
        <x:v>1</x:v>
      </x:c>
      <x:c r="R347" s="22" t="str">
        <x:f>O347&amp;P347&amp;Q347</x:f>
        <x:v>111</x:v>
      </x:c>
      <x:c r="S347" s="19" t="n">
        <x:f>IF(I347=1,IF(J347=0,Q347,IF(J347=1,P347,IF(J347=2,O347,0))),0)</x:f>
        <x:v>1</x:v>
      </x:c>
      <x:c r="T347" s="19" t="n">
        <x:f>K347+IF(AND(S347=1,J347=0),1,0)</x:f>
        <x:v>0</x:v>
      </x:c>
      <x:c r="U347" s="19" t="n">
        <x:f>L347+IF(AND(S347=1,J347=1),1,0)</x:f>
        <x:v>3</x:v>
      </x:c>
      <x:c r="V347" s="19" t="n">
        <x:f>M347+IF(AND(S347=1,J347=2),1,0)</x:f>
        <x:v>4</x:v>
      </x:c>
      <x:c r="W347" s="19" t="n">
        <x:f>SUM(T347:V347)</x:f>
        <x:v>7</x:v>
      </x:c>
      <x:c r="X347" s="19" t="n">
        <x:f>W347-G347</x:f>
        <x:v>0</x:v>
      </x:c>
      <x:c r="Y347" s="19" t="n">
        <x:f>MAX(T347,1)+MAX(U347,1)+MAX(V347,1)</x:f>
        <x:v>8</x:v>
      </x:c>
      <x:c r="Z347" s="21" t="str">
        <x:f>IF(AND(MIN(D347:F347)&gt;=0,MAX(D347:F347)&lt;=7,MAX(D347,1)+MAX(E347,1)+MAX(F347,1)&lt;=9,OR(H347="-",AND(H347=0,D347&gt;0),AND(H347=1,E347&gt;0),AND(H347=2,F347&gt;0)),OR(I347=0,AND(I347=1,OR(J347=0,J347=1,J347=2),R347&lt;&gt;"000")),Y347&lt;=9,MIN(T347:V347)&gt;=0),"合法","输入违约")</x:f>
        <x:v>合法</x:v>
      </x:c>
    </x:row>
    <x:row r="348" ht="23" customHeight="1">
      <x:c r="A348" s="3" t="str">
        <x:v>CT-0341</x:v>
      </x:c>
      <x:c r="B348" s="3" t="str">
        <x:v>ST-089</x:v>
      </x:c>
      <x:c r="C348" s="3" t="str">
        <x:v>仅R回收</x:v>
      </x:c>
      <x:c r="D348" s="25" t="n">
        <x:v>0</x:v>
      </x:c>
      <x:c r="E348" s="25" t="n">
        <x:v>4</x:v>
      </x:c>
      <x:c r="F348" s="25" t="n">
        <x:v>3</x:v>
      </x:c>
      <x:c r="G348" s="19" t="n">
        <x:f>SUM(D348:F348)</x:f>
        <x:v>7</x:v>
      </x:c>
      <x:c r="H348" s="25" t="n">
        <x:v>2</x:v>
      </x:c>
      <x:c r="I348" s="25" t="n">
        <x:v>0</x:v>
      </x:c>
      <x:c r="J348" s="25" t="str">
        <x:v>-</x:v>
      </x:c>
      <x:c r="K348" s="19" t="n">
        <x:f>D348-IF(H348=0,1,0)</x:f>
        <x:v>0</x:v>
      </x:c>
      <x:c r="L348" s="19" t="n">
        <x:f>E348-IF(H348=1,1,0)</x:f>
        <x:v>4</x:v>
      </x:c>
      <x:c r="M348" s="19" t="n">
        <x:f>F348-IF(H348=2,1,0)</x:f>
        <x:v>2</x:v>
      </x:c>
      <x:c r="N348" s="19" t="n">
        <x:f>MAX(K348-1,0)+MAX(L348-1,0)+MAX(M348-1,0)</x:f>
        <x:v>4</x:v>
      </x:c>
      <x:c r="O348" s="19" t="n">
        <x:f>IF(AND(SUM(K348:M348)&lt;9,OR(M348=0,N348&lt;6)),1,0)</x:f>
        <x:v>1</x:v>
      </x:c>
      <x:c r="P348" s="19" t="n">
        <x:f>IF(AND(SUM(K348:M348)&lt;9,OR(L348=0,N348&lt;6)),1,0)</x:f>
        <x:v>1</x:v>
      </x:c>
      <x:c r="Q348" s="19" t="n">
        <x:f>IF(AND(SUM(K348:M348)&lt;9,OR(K348=0,N348&lt;6)),1,0)</x:f>
        <x:v>1</x:v>
      </x:c>
      <x:c r="R348" s="22" t="str">
        <x:f>O348&amp;P348&amp;Q348</x:f>
        <x:v>111</x:v>
      </x:c>
      <x:c r="S348" s="19" t="n">
        <x:f>IF(I348=1,IF(J348=0,Q348,IF(J348=1,P348,IF(J348=2,O348,0))),0)</x:f>
        <x:v>0</x:v>
      </x:c>
      <x:c r="T348" s="19" t="n">
        <x:f>K348+IF(AND(S348=1,J348=0),1,0)</x:f>
        <x:v>0</x:v>
      </x:c>
      <x:c r="U348" s="19" t="n">
        <x:f>L348+IF(AND(S348=1,J348=1),1,0)</x:f>
        <x:v>4</x:v>
      </x:c>
      <x:c r="V348" s="19" t="n">
        <x:f>M348+IF(AND(S348=1,J348=2),1,0)</x:f>
        <x:v>2</x:v>
      </x:c>
      <x:c r="W348" s="19" t="n">
        <x:f>SUM(T348:V348)</x:f>
        <x:v>6</x:v>
      </x:c>
      <x:c r="X348" s="19" t="n">
        <x:f>W348-G348</x:f>
        <x:v>-1</x:v>
      </x:c>
      <x:c r="Y348" s="19" t="n">
        <x:f>MAX(T348,1)+MAX(U348,1)+MAX(V348,1)</x:f>
        <x:v>7</x:v>
      </x:c>
      <x:c r="Z348" s="21" t="str">
        <x:f>IF(AND(MIN(D348:F348)&gt;=0,MAX(D348:F348)&lt;=7,MAX(D348,1)+MAX(E348,1)+MAX(F348,1)&lt;=9,OR(H348="-",AND(H348=0,D348&gt;0),AND(H348=1,E348&gt;0),AND(H348=2,F348&gt;0)),OR(I348=0,AND(I348=1,OR(J348=0,J348=1,J348=2),R348&lt;&gt;"000")),Y348&lt;=9,MIN(T348:V348)&gt;=0),"合法","输入违约")</x:f>
        <x:v>合法</x:v>
      </x:c>
    </x:row>
    <x:row r="349" ht="23" customHeight="1">
      <x:c r="A349" s="3" t="str">
        <x:v>CT-0342</x:v>
      </x:c>
      <x:c r="B349" s="3" t="str">
        <x:v>ST-089</x:v>
      </x:c>
      <x:c r="C349" s="3" t="str">
        <x:v>R+AR同收同发</x:v>
      </x:c>
      <x:c r="D349" s="25" t="n">
        <x:v>0</x:v>
      </x:c>
      <x:c r="E349" s="25" t="n">
        <x:v>4</x:v>
      </x:c>
      <x:c r="F349" s="25" t="n">
        <x:v>3</x:v>
      </x:c>
      <x:c r="G349" s="19" t="n">
        <x:f>SUM(D349:F349)</x:f>
        <x:v>7</x:v>
      </x:c>
      <x:c r="H349" s="25" t="n">
        <x:v>2</x:v>
      </x:c>
      <x:c r="I349" s="25" t="n">
        <x:v>1</x:v>
      </x:c>
      <x:c r="J349" s="25" t="n">
        <x:v>0</x:v>
      </x:c>
      <x:c r="K349" s="19" t="n">
        <x:f>D349-IF(H349=0,1,0)</x:f>
        <x:v>0</x:v>
      </x:c>
      <x:c r="L349" s="19" t="n">
        <x:f>E349-IF(H349=1,1,0)</x:f>
        <x:v>4</x:v>
      </x:c>
      <x:c r="M349" s="19" t="n">
        <x:f>F349-IF(H349=2,1,0)</x:f>
        <x:v>2</x:v>
      </x:c>
      <x:c r="N349" s="19" t="n">
        <x:f>MAX(K349-1,0)+MAX(L349-1,0)+MAX(M349-1,0)</x:f>
        <x:v>4</x:v>
      </x:c>
      <x:c r="O349" s="19" t="n">
        <x:f>IF(AND(SUM(K349:M349)&lt;9,OR(M349=0,N349&lt;6)),1,0)</x:f>
        <x:v>1</x:v>
      </x:c>
      <x:c r="P349" s="19" t="n">
        <x:f>IF(AND(SUM(K349:M349)&lt;9,OR(L349=0,N349&lt;6)),1,0)</x:f>
        <x:v>1</x:v>
      </x:c>
      <x:c r="Q349" s="19" t="n">
        <x:f>IF(AND(SUM(K349:M349)&lt;9,OR(K349=0,N349&lt;6)),1,0)</x:f>
        <x:v>1</x:v>
      </x:c>
      <x:c r="R349" s="22" t="str">
        <x:f>O349&amp;P349&amp;Q349</x:f>
        <x:v>111</x:v>
      </x:c>
      <x:c r="S349" s="19" t="n">
        <x:f>IF(I349=1,IF(J349=0,Q349,IF(J349=1,P349,IF(J349=2,O349,0))),0)</x:f>
        <x:v>1</x:v>
      </x:c>
      <x:c r="T349" s="19" t="n">
        <x:f>K349+IF(AND(S349=1,J349=0),1,0)</x:f>
        <x:v>1</x:v>
      </x:c>
      <x:c r="U349" s="19" t="n">
        <x:f>L349+IF(AND(S349=1,J349=1),1,0)</x:f>
        <x:v>4</x:v>
      </x:c>
      <x:c r="V349" s="19" t="n">
        <x:f>M349+IF(AND(S349=1,J349=2),1,0)</x:f>
        <x:v>2</x:v>
      </x:c>
      <x:c r="W349" s="19" t="n">
        <x:f>SUM(T349:V349)</x:f>
        <x:v>7</x:v>
      </x:c>
      <x:c r="X349" s="19" t="n">
        <x:f>W349-G349</x:f>
        <x:v>0</x:v>
      </x:c>
      <x:c r="Y349" s="19" t="n">
        <x:f>MAX(T349,1)+MAX(U349,1)+MAX(V349,1)</x:f>
        <x:v>7</x:v>
      </x:c>
      <x:c r="Z349" s="21" t="str">
        <x:f>IF(AND(MIN(D349:F349)&gt;=0,MAX(D349:F349)&lt;=7,MAX(D349,1)+MAX(E349,1)+MAX(F349,1)&lt;=9,OR(H349="-",AND(H349=0,D349&gt;0),AND(H349=1,E349&gt;0),AND(H349=2,F349&gt;0)),OR(I349=0,AND(I349=1,OR(J349=0,J349=1,J349=2),R349&lt;&gt;"000")),Y349&lt;=9,MIN(T349:V349)&gt;=0),"合法","输入违约")</x:f>
        <x:v>合法</x:v>
      </x:c>
    </x:row>
    <x:row r="350" ht="23" customHeight="1">
      <x:c r="A350" s="3" t="str">
        <x:v>CT-0343</x:v>
      </x:c>
      <x:c r="B350" s="3" t="str">
        <x:v>ST-089</x:v>
      </x:c>
      <x:c r="C350" s="3" t="str">
        <x:v>R+AR同收同发</x:v>
      </x:c>
      <x:c r="D350" s="25" t="n">
        <x:v>0</x:v>
      </x:c>
      <x:c r="E350" s="25" t="n">
        <x:v>4</x:v>
      </x:c>
      <x:c r="F350" s="25" t="n">
        <x:v>3</x:v>
      </x:c>
      <x:c r="G350" s="19" t="n">
        <x:f>SUM(D350:F350)</x:f>
        <x:v>7</x:v>
      </x:c>
      <x:c r="H350" s="25" t="n">
        <x:v>2</x:v>
      </x:c>
      <x:c r="I350" s="25" t="n">
        <x:v>1</x:v>
      </x:c>
      <x:c r="J350" s="25" t="n">
        <x:v>1</x:v>
      </x:c>
      <x:c r="K350" s="19" t="n">
        <x:f>D350-IF(H350=0,1,0)</x:f>
        <x:v>0</x:v>
      </x:c>
      <x:c r="L350" s="19" t="n">
        <x:f>E350-IF(H350=1,1,0)</x:f>
        <x:v>4</x:v>
      </x:c>
      <x:c r="M350" s="19" t="n">
        <x:f>F350-IF(H350=2,1,0)</x:f>
        <x:v>2</x:v>
      </x:c>
      <x:c r="N350" s="19" t="n">
        <x:f>MAX(K350-1,0)+MAX(L350-1,0)+MAX(M350-1,0)</x:f>
        <x:v>4</x:v>
      </x:c>
      <x:c r="O350" s="19" t="n">
        <x:f>IF(AND(SUM(K350:M350)&lt;9,OR(M350=0,N350&lt;6)),1,0)</x:f>
        <x:v>1</x:v>
      </x:c>
      <x:c r="P350" s="19" t="n">
        <x:f>IF(AND(SUM(K350:M350)&lt;9,OR(L350=0,N350&lt;6)),1,0)</x:f>
        <x:v>1</x:v>
      </x:c>
      <x:c r="Q350" s="19" t="n">
        <x:f>IF(AND(SUM(K350:M350)&lt;9,OR(K350=0,N350&lt;6)),1,0)</x:f>
        <x:v>1</x:v>
      </x:c>
      <x:c r="R350" s="22" t="str">
        <x:f>O350&amp;P350&amp;Q350</x:f>
        <x:v>111</x:v>
      </x:c>
      <x:c r="S350" s="19" t="n">
        <x:f>IF(I350=1,IF(J350=0,Q350,IF(J350=1,P350,IF(J350=2,O350,0))),0)</x:f>
        <x:v>1</x:v>
      </x:c>
      <x:c r="T350" s="19" t="n">
        <x:f>K350+IF(AND(S350=1,J350=0),1,0)</x:f>
        <x:v>0</x:v>
      </x:c>
      <x:c r="U350" s="19" t="n">
        <x:f>L350+IF(AND(S350=1,J350=1),1,0)</x:f>
        <x:v>5</x:v>
      </x:c>
      <x:c r="V350" s="19" t="n">
        <x:f>M350+IF(AND(S350=1,J350=2),1,0)</x:f>
        <x:v>2</x:v>
      </x:c>
      <x:c r="W350" s="19" t="n">
        <x:f>SUM(T350:V350)</x:f>
        <x:v>7</x:v>
      </x:c>
      <x:c r="X350" s="19" t="n">
        <x:f>W350-G350</x:f>
        <x:v>0</x:v>
      </x:c>
      <x:c r="Y350" s="19" t="n">
        <x:f>MAX(T350,1)+MAX(U350,1)+MAX(V350,1)</x:f>
        <x:v>8</x:v>
      </x:c>
      <x:c r="Z350" s="21" t="str">
        <x:f>IF(AND(MIN(D350:F350)&gt;=0,MAX(D350:F350)&lt;=7,MAX(D350,1)+MAX(E350,1)+MAX(F350,1)&lt;=9,OR(H350="-",AND(H350=0,D350&gt;0),AND(H350=1,E350&gt;0),AND(H350=2,F350&gt;0)),OR(I350=0,AND(I350=1,OR(J350=0,J350=1,J350=2),R350&lt;&gt;"000")),Y350&lt;=9,MIN(T350:V350)&gt;=0),"合法","输入违约")</x:f>
        <x:v>合法</x:v>
      </x:c>
    </x:row>
    <x:row r="351" ht="23" customHeight="1">
      <x:c r="A351" s="3" t="str">
        <x:v>CT-0344</x:v>
      </x:c>
      <x:c r="B351" s="3" t="str">
        <x:v>ST-089</x:v>
      </x:c>
      <x:c r="C351" s="3" t="str">
        <x:v>R+AR同收同发</x:v>
      </x:c>
      <x:c r="D351" s="25" t="n">
        <x:v>0</x:v>
      </x:c>
      <x:c r="E351" s="25" t="n">
        <x:v>4</x:v>
      </x:c>
      <x:c r="F351" s="25" t="n">
        <x:v>3</x:v>
      </x:c>
      <x:c r="G351" s="19" t="n">
        <x:f>SUM(D351:F351)</x:f>
        <x:v>7</x:v>
      </x:c>
      <x:c r="H351" s="25" t="n">
        <x:v>2</x:v>
      </x:c>
      <x:c r="I351" s="25" t="n">
        <x:v>1</x:v>
      </x:c>
      <x:c r="J351" s="25" t="n">
        <x:v>2</x:v>
      </x:c>
      <x:c r="K351" s="19" t="n">
        <x:f>D351-IF(H351=0,1,0)</x:f>
        <x:v>0</x:v>
      </x:c>
      <x:c r="L351" s="19" t="n">
        <x:f>E351-IF(H351=1,1,0)</x:f>
        <x:v>4</x:v>
      </x:c>
      <x:c r="M351" s="19" t="n">
        <x:f>F351-IF(H351=2,1,0)</x:f>
        <x:v>2</x:v>
      </x:c>
      <x:c r="N351" s="19" t="n">
        <x:f>MAX(K351-1,0)+MAX(L351-1,0)+MAX(M351-1,0)</x:f>
        <x:v>4</x:v>
      </x:c>
      <x:c r="O351" s="19" t="n">
        <x:f>IF(AND(SUM(K351:M351)&lt;9,OR(M351=0,N351&lt;6)),1,0)</x:f>
        <x:v>1</x:v>
      </x:c>
      <x:c r="P351" s="19" t="n">
        <x:f>IF(AND(SUM(K351:M351)&lt;9,OR(L351=0,N351&lt;6)),1,0)</x:f>
        <x:v>1</x:v>
      </x:c>
      <x:c r="Q351" s="19" t="n">
        <x:f>IF(AND(SUM(K351:M351)&lt;9,OR(K351=0,N351&lt;6)),1,0)</x:f>
        <x:v>1</x:v>
      </x:c>
      <x:c r="R351" s="22" t="str">
        <x:f>O351&amp;P351&amp;Q351</x:f>
        <x:v>111</x:v>
      </x:c>
      <x:c r="S351" s="19" t="n">
        <x:f>IF(I351=1,IF(J351=0,Q351,IF(J351=1,P351,IF(J351=2,O351,0))),0)</x:f>
        <x:v>1</x:v>
      </x:c>
      <x:c r="T351" s="19" t="n">
        <x:f>K351+IF(AND(S351=1,J351=0),1,0)</x:f>
        <x:v>0</x:v>
      </x:c>
      <x:c r="U351" s="19" t="n">
        <x:f>L351+IF(AND(S351=1,J351=1),1,0)</x:f>
        <x:v>4</x:v>
      </x:c>
      <x:c r="V351" s="19" t="n">
        <x:f>M351+IF(AND(S351=1,J351=2),1,0)</x:f>
        <x:v>3</x:v>
      </x:c>
      <x:c r="W351" s="19" t="n">
        <x:f>SUM(T351:V351)</x:f>
        <x:v>7</x:v>
      </x:c>
      <x:c r="X351" s="19" t="n">
        <x:f>W351-G351</x:f>
        <x:v>0</x:v>
      </x:c>
      <x:c r="Y351" s="19" t="n">
        <x:f>MAX(T351,1)+MAX(U351,1)+MAX(V351,1)</x:f>
        <x:v>8</x:v>
      </x:c>
      <x:c r="Z351" s="21" t="str">
        <x:f>IF(AND(MIN(D351:F351)&gt;=0,MAX(D351:F351)&lt;=7,MAX(D351,1)+MAX(E351,1)+MAX(F351,1)&lt;=9,OR(H351="-",AND(H351=0,D351&gt;0),AND(H351=1,E351&gt;0),AND(H351=2,F351&gt;0)),OR(I351=0,AND(I351=1,OR(J351=0,J351=1,J351=2),R351&lt;&gt;"000")),Y351&lt;=9,MIN(T351:V351)&gt;=0),"合法","输入违约")</x:f>
        <x:v>合法</x:v>
      </x:c>
    </x:row>
    <x:row r="352" ht="23" customHeight="1">
      <x:c r="A352" s="3" t="str">
        <x:v>CT-0345</x:v>
      </x:c>
      <x:c r="B352" s="3" t="str">
        <x:v>ST-124</x:v>
      </x:c>
      <x:c r="C352" s="3" t="str">
        <x:v>无AR/R</x:v>
      </x:c>
      <x:c r="D352" s="25" t="n">
        <x:v>0</x:v>
      </x:c>
      <x:c r="E352" s="25" t="n">
        <x:v>4</x:v>
      </x:c>
      <x:c r="F352" s="25" t="n">
        <x:v>4</x:v>
      </x:c>
      <x:c r="G352" s="19" t="n">
        <x:f>SUM(D352:F352)</x:f>
        <x:v>8</x:v>
      </x:c>
      <x:c r="H352" s="25" t="str">
        <x:v>-</x:v>
      </x:c>
      <x:c r="I352" s="25" t="n">
        <x:v>0</x:v>
      </x:c>
      <x:c r="J352" s="25" t="str">
        <x:v>-</x:v>
      </x:c>
      <x:c r="K352" s="19" t="n">
        <x:f>D352-IF(H352=0,1,0)</x:f>
        <x:v>0</x:v>
      </x:c>
      <x:c r="L352" s="19" t="n">
        <x:f>E352-IF(H352=1,1,0)</x:f>
        <x:v>4</x:v>
      </x:c>
      <x:c r="M352" s="19" t="n">
        <x:f>F352-IF(H352=2,1,0)</x:f>
        <x:v>4</x:v>
      </x:c>
      <x:c r="N352" s="19" t="n">
        <x:f>MAX(K352-1,0)+MAX(L352-1,0)+MAX(M352-1,0)</x:f>
        <x:v>6</x:v>
      </x:c>
      <x:c r="O352" s="19" t="n">
        <x:f>IF(AND(SUM(K352:M352)&lt;9,OR(M352=0,N352&lt;6)),1,0)</x:f>
        <x:v>0</x:v>
      </x:c>
      <x:c r="P352" s="19" t="n">
        <x:f>IF(AND(SUM(K352:M352)&lt;9,OR(L352=0,N352&lt;6)),1,0)</x:f>
        <x:v>0</x:v>
      </x:c>
      <x:c r="Q352" s="19" t="n">
        <x:f>IF(AND(SUM(K352:M352)&lt;9,OR(K352=0,N352&lt;6)),1,0)</x:f>
        <x:v>1</x:v>
      </x:c>
      <x:c r="R352" s="22" t="str">
        <x:f>O352&amp;P352&amp;Q352</x:f>
        <x:v>001</x:v>
      </x:c>
      <x:c r="S352" s="19" t="n">
        <x:f>IF(I352=1,IF(J352=0,Q352,IF(J352=1,P352,IF(J352=2,O352,0))),0)</x:f>
        <x:v>0</x:v>
      </x:c>
      <x:c r="T352" s="19" t="n">
        <x:f>K352+IF(AND(S352=1,J352=0),1,0)</x:f>
        <x:v>0</x:v>
      </x:c>
      <x:c r="U352" s="19" t="n">
        <x:f>L352+IF(AND(S352=1,J352=1),1,0)</x:f>
        <x:v>4</x:v>
      </x:c>
      <x:c r="V352" s="19" t="n">
        <x:f>M352+IF(AND(S352=1,J352=2),1,0)</x:f>
        <x:v>4</x:v>
      </x:c>
      <x:c r="W352" s="19" t="n">
        <x:f>SUM(T352:V352)</x:f>
        <x:v>8</x:v>
      </x:c>
      <x:c r="X352" s="19" t="n">
        <x:f>W352-G352</x:f>
        <x:v>0</x:v>
      </x:c>
      <x:c r="Y352" s="19" t="n">
        <x:f>MAX(T352,1)+MAX(U352,1)+MAX(V352,1)</x:f>
        <x:v>9</x:v>
      </x:c>
      <x:c r="Z352" s="21" t="str">
        <x:f>IF(AND(MIN(D352:F352)&gt;=0,MAX(D352:F352)&lt;=7,MAX(D352,1)+MAX(E352,1)+MAX(F352,1)&lt;=9,OR(H352="-",AND(H352=0,D352&gt;0),AND(H352=1,E352&gt;0),AND(H352=2,F352&gt;0)),OR(I352=0,AND(I352=1,OR(J352=0,J352=1,J352=2),R352&lt;&gt;"000")),Y352&lt;=9,MIN(T352:V352)&gt;=0),"合法","输入违约")</x:f>
        <x:v>合法</x:v>
      </x:c>
    </x:row>
    <x:row r="353" ht="23" customHeight="1">
      <x:c r="A353" s="3" t="str">
        <x:v>CT-0346</x:v>
      </x:c>
      <x:c r="B353" s="3" t="str">
        <x:v>ST-124</x:v>
      </x:c>
      <x:c r="C353" s="3" t="str">
        <x:v>仅AR接收</x:v>
      </x:c>
      <x:c r="D353" s="25" t="n">
        <x:v>0</x:v>
      </x:c>
      <x:c r="E353" s="25" t="n">
        <x:v>4</x:v>
      </x:c>
      <x:c r="F353" s="25" t="n">
        <x:v>4</x:v>
      </x:c>
      <x:c r="G353" s="19" t="n">
        <x:f>SUM(D353:F353)</x:f>
        <x:v>8</x:v>
      </x:c>
      <x:c r="H353" s="25" t="str">
        <x:v>-</x:v>
      </x:c>
      <x:c r="I353" s="25" t="n">
        <x:v>1</x:v>
      </x:c>
      <x:c r="J353" s="25" t="n">
        <x:v>0</x:v>
      </x:c>
      <x:c r="K353" s="19" t="n">
        <x:f>D353-IF(H353=0,1,0)</x:f>
        <x:v>0</x:v>
      </x:c>
      <x:c r="L353" s="19" t="n">
        <x:f>E353-IF(H353=1,1,0)</x:f>
        <x:v>4</x:v>
      </x:c>
      <x:c r="M353" s="19" t="n">
        <x:f>F353-IF(H353=2,1,0)</x:f>
        <x:v>4</x:v>
      </x:c>
      <x:c r="N353" s="19" t="n">
        <x:f>MAX(K353-1,0)+MAX(L353-1,0)+MAX(M353-1,0)</x:f>
        <x:v>6</x:v>
      </x:c>
      <x:c r="O353" s="19" t="n">
        <x:f>IF(AND(SUM(K353:M353)&lt;9,OR(M353=0,N353&lt;6)),1,0)</x:f>
        <x:v>0</x:v>
      </x:c>
      <x:c r="P353" s="19" t="n">
        <x:f>IF(AND(SUM(K353:M353)&lt;9,OR(L353=0,N353&lt;6)),1,0)</x:f>
        <x:v>0</x:v>
      </x:c>
      <x:c r="Q353" s="19" t="n">
        <x:f>IF(AND(SUM(K353:M353)&lt;9,OR(K353=0,N353&lt;6)),1,0)</x:f>
        <x:v>1</x:v>
      </x:c>
      <x:c r="R353" s="22" t="str">
        <x:f>O353&amp;P353&amp;Q353</x:f>
        <x:v>001</x:v>
      </x:c>
      <x:c r="S353" s="19" t="n">
        <x:f>IF(I353=1,IF(J353=0,Q353,IF(J353=1,P353,IF(J353=2,O353,0))),0)</x:f>
        <x:v>1</x:v>
      </x:c>
      <x:c r="T353" s="19" t="n">
        <x:f>K353+IF(AND(S353=1,J353=0),1,0)</x:f>
        <x:v>1</x:v>
      </x:c>
      <x:c r="U353" s="19" t="n">
        <x:f>L353+IF(AND(S353=1,J353=1),1,0)</x:f>
        <x:v>4</x:v>
      </x:c>
      <x:c r="V353" s="19" t="n">
        <x:f>M353+IF(AND(S353=1,J353=2),1,0)</x:f>
        <x:v>4</x:v>
      </x:c>
      <x:c r="W353" s="19" t="n">
        <x:f>SUM(T353:V353)</x:f>
        <x:v>9</x:v>
      </x:c>
      <x:c r="X353" s="19" t="n">
        <x:f>W353-G353</x:f>
        <x:v>1</x:v>
      </x:c>
      <x:c r="Y353" s="19" t="n">
        <x:f>MAX(T353,1)+MAX(U353,1)+MAX(V353,1)</x:f>
        <x:v>9</x:v>
      </x:c>
      <x:c r="Z353" s="21" t="str">
        <x:f>IF(AND(MIN(D353:F353)&gt;=0,MAX(D353:F353)&lt;=7,MAX(D353,1)+MAX(E353,1)+MAX(F353,1)&lt;=9,OR(H353="-",AND(H353=0,D353&gt;0),AND(H353=1,E353&gt;0),AND(H353=2,F353&gt;0)),OR(I353=0,AND(I353=1,OR(J353=0,J353=1,J353=2),R353&lt;&gt;"000")),Y353&lt;=9,MIN(T353:V353)&gt;=0),"合法","输入违约")</x:f>
        <x:v>合法</x:v>
      </x:c>
    </x:row>
    <x:row r="354" ht="23" customHeight="1">
      <x:c r="A354" s="3" t="str">
        <x:v>CT-0347</x:v>
      </x:c>
      <x:c r="B354" s="3" t="str">
        <x:v>ST-124</x:v>
      </x:c>
      <x:c r="C354" s="3" t="str">
        <x:v>所选源被阻塞</x:v>
      </x:c>
      <x:c r="D354" s="25" t="n">
        <x:v>0</x:v>
      </x:c>
      <x:c r="E354" s="25" t="n">
        <x:v>4</x:v>
      </x:c>
      <x:c r="F354" s="25" t="n">
        <x:v>4</x:v>
      </x:c>
      <x:c r="G354" s="19" t="n">
        <x:f>SUM(D354:F354)</x:f>
        <x:v>8</x:v>
      </x:c>
      <x:c r="H354" s="25" t="str">
        <x:v>-</x:v>
      </x:c>
      <x:c r="I354" s="25" t="n">
        <x:v>1</x:v>
      </x:c>
      <x:c r="J354" s="25" t="n">
        <x:v>1</x:v>
      </x:c>
      <x:c r="K354" s="19" t="n">
        <x:f>D354-IF(H354=0,1,0)</x:f>
        <x:v>0</x:v>
      </x:c>
      <x:c r="L354" s="19" t="n">
        <x:f>E354-IF(H354=1,1,0)</x:f>
        <x:v>4</x:v>
      </x:c>
      <x:c r="M354" s="19" t="n">
        <x:f>F354-IF(H354=2,1,0)</x:f>
        <x:v>4</x:v>
      </x:c>
      <x:c r="N354" s="19" t="n">
        <x:f>MAX(K354-1,0)+MAX(L354-1,0)+MAX(M354-1,0)</x:f>
        <x:v>6</x:v>
      </x:c>
      <x:c r="O354" s="19" t="n">
        <x:f>IF(AND(SUM(K354:M354)&lt;9,OR(M354=0,N354&lt;6)),1,0)</x:f>
        <x:v>0</x:v>
      </x:c>
      <x:c r="P354" s="19" t="n">
        <x:f>IF(AND(SUM(K354:M354)&lt;9,OR(L354=0,N354&lt;6)),1,0)</x:f>
        <x:v>0</x:v>
      </x:c>
      <x:c r="Q354" s="19" t="n">
        <x:f>IF(AND(SUM(K354:M354)&lt;9,OR(K354=0,N354&lt;6)),1,0)</x:f>
        <x:v>1</x:v>
      </x:c>
      <x:c r="R354" s="22" t="str">
        <x:f>O354&amp;P354&amp;Q354</x:f>
        <x:v>001</x:v>
      </x:c>
      <x:c r="S354" s="19" t="n">
        <x:f>IF(I354=1,IF(J354=0,Q354,IF(J354=1,P354,IF(J354=2,O354,0))),0)</x:f>
        <x:v>0</x:v>
      </x:c>
      <x:c r="T354" s="19" t="n">
        <x:f>K354+IF(AND(S354=1,J354=0),1,0)</x:f>
        <x:v>0</x:v>
      </x:c>
      <x:c r="U354" s="19" t="n">
        <x:f>L354+IF(AND(S354=1,J354=1),1,0)</x:f>
        <x:v>4</x:v>
      </x:c>
      <x:c r="V354" s="19" t="n">
        <x:f>M354+IF(AND(S354=1,J354=2),1,0)</x:f>
        <x:v>4</x:v>
      </x:c>
      <x:c r="W354" s="19" t="n">
        <x:f>SUM(T354:V354)</x:f>
        <x:v>8</x:v>
      </x:c>
      <x:c r="X354" s="19" t="n">
        <x:f>W354-G354</x:f>
        <x:v>0</x:v>
      </x:c>
      <x:c r="Y354" s="19" t="n">
        <x:f>MAX(T354,1)+MAX(U354,1)+MAX(V354,1)</x:f>
        <x:v>9</x:v>
      </x:c>
      <x:c r="Z354" s="21" t="str">
        <x:f>IF(AND(MIN(D354:F354)&gt;=0,MAX(D354:F354)&lt;=7,MAX(D354,1)+MAX(E354,1)+MAX(F354,1)&lt;=9,OR(H354="-",AND(H354=0,D354&gt;0),AND(H354=1,E354&gt;0),AND(H354=2,F354&gt;0)),OR(I354=0,AND(I354=1,OR(J354=0,J354=1,J354=2),R354&lt;&gt;"000")),Y354&lt;=9,MIN(T354:V354)&gt;=0),"合法","输入违约")</x:f>
        <x:v>合法</x:v>
      </x:c>
    </x:row>
    <x:row r="355" ht="23" customHeight="1">
      <x:c r="A355" s="3" t="str">
        <x:v>CT-0348</x:v>
      </x:c>
      <x:c r="B355" s="3" t="str">
        <x:v>ST-124</x:v>
      </x:c>
      <x:c r="C355" s="3" t="str">
        <x:v>所选源被阻塞</x:v>
      </x:c>
      <x:c r="D355" s="25" t="n">
        <x:v>0</x:v>
      </x:c>
      <x:c r="E355" s="25" t="n">
        <x:v>4</x:v>
      </x:c>
      <x:c r="F355" s="25" t="n">
        <x:v>4</x:v>
      </x:c>
      <x:c r="G355" s="19" t="n">
        <x:f>SUM(D355:F355)</x:f>
        <x:v>8</x:v>
      </x:c>
      <x:c r="H355" s="25" t="str">
        <x:v>-</x:v>
      </x:c>
      <x:c r="I355" s="25" t="n">
        <x:v>1</x:v>
      </x:c>
      <x:c r="J355" s="25" t="n">
        <x:v>2</x:v>
      </x:c>
      <x:c r="K355" s="19" t="n">
        <x:f>D355-IF(H355=0,1,0)</x:f>
        <x:v>0</x:v>
      </x:c>
      <x:c r="L355" s="19" t="n">
        <x:f>E355-IF(H355=1,1,0)</x:f>
        <x:v>4</x:v>
      </x:c>
      <x:c r="M355" s="19" t="n">
        <x:f>F355-IF(H355=2,1,0)</x:f>
        <x:v>4</x:v>
      </x:c>
      <x:c r="N355" s="19" t="n">
        <x:f>MAX(K355-1,0)+MAX(L355-1,0)+MAX(M355-1,0)</x:f>
        <x:v>6</x:v>
      </x:c>
      <x:c r="O355" s="19" t="n">
        <x:f>IF(AND(SUM(K355:M355)&lt;9,OR(M355=0,N355&lt;6)),1,0)</x:f>
        <x:v>0</x:v>
      </x:c>
      <x:c r="P355" s="19" t="n">
        <x:f>IF(AND(SUM(K355:M355)&lt;9,OR(L355=0,N355&lt;6)),1,0)</x:f>
        <x:v>0</x:v>
      </x:c>
      <x:c r="Q355" s="19" t="n">
        <x:f>IF(AND(SUM(K355:M355)&lt;9,OR(K355=0,N355&lt;6)),1,0)</x:f>
        <x:v>1</x:v>
      </x:c>
      <x:c r="R355" s="22" t="str">
        <x:f>O355&amp;P355&amp;Q355</x:f>
        <x:v>001</x:v>
      </x:c>
      <x:c r="S355" s="19" t="n">
        <x:f>IF(I355=1,IF(J355=0,Q355,IF(J355=1,P355,IF(J355=2,O355,0))),0)</x:f>
        <x:v>0</x:v>
      </x:c>
      <x:c r="T355" s="19" t="n">
        <x:f>K355+IF(AND(S355=1,J355=0),1,0)</x:f>
        <x:v>0</x:v>
      </x:c>
      <x:c r="U355" s="19" t="n">
        <x:f>L355+IF(AND(S355=1,J355=1),1,0)</x:f>
        <x:v>4</x:v>
      </x:c>
      <x:c r="V355" s="19" t="n">
        <x:f>M355+IF(AND(S355=1,J355=2),1,0)</x:f>
        <x:v>4</x:v>
      </x:c>
      <x:c r="W355" s="19" t="n">
        <x:f>SUM(T355:V355)</x:f>
        <x:v>8</x:v>
      </x:c>
      <x:c r="X355" s="19" t="n">
        <x:f>W355-G355</x:f>
        <x:v>0</x:v>
      </x:c>
      <x:c r="Y355" s="19" t="n">
        <x:f>MAX(T355,1)+MAX(U355,1)+MAX(V355,1)</x:f>
        <x:v>9</x:v>
      </x:c>
      <x:c r="Z355" s="21" t="str">
        <x:f>IF(AND(MIN(D355:F355)&gt;=0,MAX(D355:F355)&lt;=7,MAX(D355,1)+MAX(E355,1)+MAX(F355,1)&lt;=9,OR(H355="-",AND(H355=0,D355&gt;0),AND(H355=1,E355&gt;0),AND(H355=2,F355&gt;0)),OR(I355=0,AND(I355=1,OR(J355=0,J355=1,J355=2),R355&lt;&gt;"000")),Y355&lt;=9,MIN(T355:V355)&gt;=0),"合法","输入违约")</x:f>
        <x:v>合法</x:v>
      </x:c>
    </x:row>
    <x:row r="356" ht="23" customHeight="1">
      <x:c r="A356" s="3" t="str">
        <x:v>CT-0349</x:v>
      </x:c>
      <x:c r="B356" s="3" t="str">
        <x:v>ST-124</x:v>
      </x:c>
      <x:c r="C356" s="3" t="str">
        <x:v>仅R回收</x:v>
      </x:c>
      <x:c r="D356" s="25" t="n">
        <x:v>0</x:v>
      </x:c>
      <x:c r="E356" s="25" t="n">
        <x:v>4</x:v>
      </x:c>
      <x:c r="F356" s="25" t="n">
        <x:v>4</x:v>
      </x:c>
      <x:c r="G356" s="19" t="n">
        <x:f>SUM(D356:F356)</x:f>
        <x:v>8</x:v>
      </x:c>
      <x:c r="H356" s="25" t="n">
        <x:v>1</x:v>
      </x:c>
      <x:c r="I356" s="25" t="n">
        <x:v>0</x:v>
      </x:c>
      <x:c r="J356" s="25" t="str">
        <x:v>-</x:v>
      </x:c>
      <x:c r="K356" s="19" t="n">
        <x:f>D356-IF(H356=0,1,0)</x:f>
        <x:v>0</x:v>
      </x:c>
      <x:c r="L356" s="19" t="n">
        <x:f>E356-IF(H356=1,1,0)</x:f>
        <x:v>3</x:v>
      </x:c>
      <x:c r="M356" s="19" t="n">
        <x:f>F356-IF(H356=2,1,0)</x:f>
        <x:v>4</x:v>
      </x:c>
      <x:c r="N356" s="19" t="n">
        <x:f>MAX(K356-1,0)+MAX(L356-1,0)+MAX(M356-1,0)</x:f>
        <x:v>5</x:v>
      </x:c>
      <x:c r="O356" s="19" t="n">
        <x:f>IF(AND(SUM(K356:M356)&lt;9,OR(M356=0,N356&lt;6)),1,0)</x:f>
        <x:v>1</x:v>
      </x:c>
      <x:c r="P356" s="19" t="n">
        <x:f>IF(AND(SUM(K356:M356)&lt;9,OR(L356=0,N356&lt;6)),1,0)</x:f>
        <x:v>1</x:v>
      </x:c>
      <x:c r="Q356" s="19" t="n">
        <x:f>IF(AND(SUM(K356:M356)&lt;9,OR(K356=0,N356&lt;6)),1,0)</x:f>
        <x:v>1</x:v>
      </x:c>
      <x:c r="R356" s="22" t="str">
        <x:f>O356&amp;P356&amp;Q356</x:f>
        <x:v>111</x:v>
      </x:c>
      <x:c r="S356" s="19" t="n">
        <x:f>IF(I356=1,IF(J356=0,Q356,IF(J356=1,P356,IF(J356=2,O356,0))),0)</x:f>
        <x:v>0</x:v>
      </x:c>
      <x:c r="T356" s="19" t="n">
        <x:f>K356+IF(AND(S356=1,J356=0),1,0)</x:f>
        <x:v>0</x:v>
      </x:c>
      <x:c r="U356" s="19" t="n">
        <x:f>L356+IF(AND(S356=1,J356=1),1,0)</x:f>
        <x:v>3</x:v>
      </x:c>
      <x:c r="V356" s="19" t="n">
        <x:f>M356+IF(AND(S356=1,J356=2),1,0)</x:f>
        <x:v>4</x:v>
      </x:c>
      <x:c r="W356" s="19" t="n">
        <x:f>SUM(T356:V356)</x:f>
        <x:v>7</x:v>
      </x:c>
      <x:c r="X356" s="19" t="n">
        <x:f>W356-G356</x:f>
        <x:v>-1</x:v>
      </x:c>
      <x:c r="Y356" s="19" t="n">
        <x:f>MAX(T356,1)+MAX(U356,1)+MAX(V356,1)</x:f>
        <x:v>8</x:v>
      </x:c>
      <x:c r="Z356" s="21" t="str">
        <x:f>IF(AND(MIN(D356:F356)&gt;=0,MAX(D356:F356)&lt;=7,MAX(D356,1)+MAX(E356,1)+MAX(F356,1)&lt;=9,OR(H356="-",AND(H356=0,D356&gt;0),AND(H356=1,E356&gt;0),AND(H356=2,F356&gt;0)),OR(I356=0,AND(I356=1,OR(J356=0,J356=1,J356=2),R356&lt;&gt;"000")),Y356&lt;=9,MIN(T356:V356)&gt;=0),"合法","输入违约")</x:f>
        <x:v>合法</x:v>
      </x:c>
    </x:row>
    <x:row r="357" ht="23" customHeight="1">
      <x:c r="A357" s="3" t="str">
        <x:v>CT-0350</x:v>
      </x:c>
      <x:c r="B357" s="3" t="str">
        <x:v>ST-124</x:v>
      </x:c>
      <x:c r="C357" s="3" t="str">
        <x:v>R+AR同收同发</x:v>
      </x:c>
      <x:c r="D357" s="25" t="n">
        <x:v>0</x:v>
      </x:c>
      <x:c r="E357" s="25" t="n">
        <x:v>4</x:v>
      </x:c>
      <x:c r="F357" s="25" t="n">
        <x:v>4</x:v>
      </x:c>
      <x:c r="G357" s="19" t="n">
        <x:f>SUM(D357:F357)</x:f>
        <x:v>8</x:v>
      </x:c>
      <x:c r="H357" s="25" t="n">
        <x:v>1</x:v>
      </x:c>
      <x:c r="I357" s="25" t="n">
        <x:v>1</x:v>
      </x:c>
      <x:c r="J357" s="25" t="n">
        <x:v>0</x:v>
      </x:c>
      <x:c r="K357" s="19" t="n">
        <x:f>D357-IF(H357=0,1,0)</x:f>
        <x:v>0</x:v>
      </x:c>
      <x:c r="L357" s="19" t="n">
        <x:f>E357-IF(H357=1,1,0)</x:f>
        <x:v>3</x:v>
      </x:c>
      <x:c r="M357" s="19" t="n">
        <x:f>F357-IF(H357=2,1,0)</x:f>
        <x:v>4</x:v>
      </x:c>
      <x:c r="N357" s="19" t="n">
        <x:f>MAX(K357-1,0)+MAX(L357-1,0)+MAX(M357-1,0)</x:f>
        <x:v>5</x:v>
      </x:c>
      <x:c r="O357" s="19" t="n">
        <x:f>IF(AND(SUM(K357:M357)&lt;9,OR(M357=0,N357&lt;6)),1,0)</x:f>
        <x:v>1</x:v>
      </x:c>
      <x:c r="P357" s="19" t="n">
        <x:f>IF(AND(SUM(K357:M357)&lt;9,OR(L357=0,N357&lt;6)),1,0)</x:f>
        <x:v>1</x:v>
      </x:c>
      <x:c r="Q357" s="19" t="n">
        <x:f>IF(AND(SUM(K357:M357)&lt;9,OR(K357=0,N357&lt;6)),1,0)</x:f>
        <x:v>1</x:v>
      </x:c>
      <x:c r="R357" s="22" t="str">
        <x:f>O357&amp;P357&amp;Q357</x:f>
        <x:v>111</x:v>
      </x:c>
      <x:c r="S357" s="19" t="n">
        <x:f>IF(I357=1,IF(J357=0,Q357,IF(J357=1,P357,IF(J357=2,O357,0))),0)</x:f>
        <x:v>1</x:v>
      </x:c>
      <x:c r="T357" s="19" t="n">
        <x:f>K357+IF(AND(S357=1,J357=0),1,0)</x:f>
        <x:v>1</x:v>
      </x:c>
      <x:c r="U357" s="19" t="n">
        <x:f>L357+IF(AND(S357=1,J357=1),1,0)</x:f>
        <x:v>3</x:v>
      </x:c>
      <x:c r="V357" s="19" t="n">
        <x:f>M357+IF(AND(S357=1,J357=2),1,0)</x:f>
        <x:v>4</x:v>
      </x:c>
      <x:c r="W357" s="19" t="n">
        <x:f>SUM(T357:V357)</x:f>
        <x:v>8</x:v>
      </x:c>
      <x:c r="X357" s="19" t="n">
        <x:f>W357-G357</x:f>
        <x:v>0</x:v>
      </x:c>
      <x:c r="Y357" s="19" t="n">
        <x:f>MAX(T357,1)+MAX(U357,1)+MAX(V357,1)</x:f>
        <x:v>8</x:v>
      </x:c>
      <x:c r="Z357" s="21" t="str">
        <x:f>IF(AND(MIN(D357:F357)&gt;=0,MAX(D357:F357)&lt;=7,MAX(D357,1)+MAX(E357,1)+MAX(F357,1)&lt;=9,OR(H357="-",AND(H357=0,D357&gt;0),AND(H357=1,E357&gt;0),AND(H357=2,F357&gt;0)),OR(I357=0,AND(I357=1,OR(J357=0,J357=1,J357=2),R357&lt;&gt;"000")),Y357&lt;=9,MIN(T357:V357)&gt;=0),"合法","输入违约")</x:f>
        <x:v>合法</x:v>
      </x:c>
    </x:row>
    <x:row r="358" ht="23" customHeight="1">
      <x:c r="A358" s="3" t="str">
        <x:v>CT-0351</x:v>
      </x:c>
      <x:c r="B358" s="3" t="str">
        <x:v>ST-124</x:v>
      </x:c>
      <x:c r="C358" s="3" t="str">
        <x:v>R+AR同收同发</x:v>
      </x:c>
      <x:c r="D358" s="25" t="n">
        <x:v>0</x:v>
      </x:c>
      <x:c r="E358" s="25" t="n">
        <x:v>4</x:v>
      </x:c>
      <x:c r="F358" s="25" t="n">
        <x:v>4</x:v>
      </x:c>
      <x:c r="G358" s="19" t="n">
        <x:f>SUM(D358:F358)</x:f>
        <x:v>8</x:v>
      </x:c>
      <x:c r="H358" s="25" t="n">
        <x:v>1</x:v>
      </x:c>
      <x:c r="I358" s="25" t="n">
        <x:v>1</x:v>
      </x:c>
      <x:c r="J358" s="25" t="n">
        <x:v>1</x:v>
      </x:c>
      <x:c r="K358" s="19" t="n">
        <x:f>D358-IF(H358=0,1,0)</x:f>
        <x:v>0</x:v>
      </x:c>
      <x:c r="L358" s="19" t="n">
        <x:f>E358-IF(H358=1,1,0)</x:f>
        <x:v>3</x:v>
      </x:c>
      <x:c r="M358" s="19" t="n">
        <x:f>F358-IF(H358=2,1,0)</x:f>
        <x:v>4</x:v>
      </x:c>
      <x:c r="N358" s="19" t="n">
        <x:f>MAX(K358-1,0)+MAX(L358-1,0)+MAX(M358-1,0)</x:f>
        <x:v>5</x:v>
      </x:c>
      <x:c r="O358" s="19" t="n">
        <x:f>IF(AND(SUM(K358:M358)&lt;9,OR(M358=0,N358&lt;6)),1,0)</x:f>
        <x:v>1</x:v>
      </x:c>
      <x:c r="P358" s="19" t="n">
        <x:f>IF(AND(SUM(K358:M358)&lt;9,OR(L358=0,N358&lt;6)),1,0)</x:f>
        <x:v>1</x:v>
      </x:c>
      <x:c r="Q358" s="19" t="n">
        <x:f>IF(AND(SUM(K358:M358)&lt;9,OR(K358=0,N358&lt;6)),1,0)</x:f>
        <x:v>1</x:v>
      </x:c>
      <x:c r="R358" s="22" t="str">
        <x:f>O358&amp;P358&amp;Q358</x:f>
        <x:v>111</x:v>
      </x:c>
      <x:c r="S358" s="19" t="n">
        <x:f>IF(I358=1,IF(J358=0,Q358,IF(J358=1,P358,IF(J358=2,O358,0))),0)</x:f>
        <x:v>1</x:v>
      </x:c>
      <x:c r="T358" s="19" t="n">
        <x:f>K358+IF(AND(S358=1,J358=0),1,0)</x:f>
        <x:v>0</x:v>
      </x:c>
      <x:c r="U358" s="19" t="n">
        <x:f>L358+IF(AND(S358=1,J358=1),1,0)</x:f>
        <x:v>4</x:v>
      </x:c>
      <x:c r="V358" s="19" t="n">
        <x:f>M358+IF(AND(S358=1,J358=2),1,0)</x:f>
        <x:v>4</x:v>
      </x:c>
      <x:c r="W358" s="19" t="n">
        <x:f>SUM(T358:V358)</x:f>
        <x:v>8</x:v>
      </x:c>
      <x:c r="X358" s="19" t="n">
        <x:f>W358-G358</x:f>
        <x:v>0</x:v>
      </x:c>
      <x:c r="Y358" s="19" t="n">
        <x:f>MAX(T358,1)+MAX(U358,1)+MAX(V358,1)</x:f>
        <x:v>9</x:v>
      </x:c>
      <x:c r="Z358" s="21" t="str">
        <x:f>IF(AND(MIN(D358:F358)&gt;=0,MAX(D358:F358)&lt;=7,MAX(D358,1)+MAX(E358,1)+MAX(F358,1)&lt;=9,OR(H358="-",AND(H358=0,D358&gt;0),AND(H358=1,E358&gt;0),AND(H358=2,F358&gt;0)),OR(I358=0,AND(I358=1,OR(J358=0,J358=1,J358=2),R358&lt;&gt;"000")),Y358&lt;=9,MIN(T358:V358)&gt;=0),"合法","输入违约")</x:f>
        <x:v>合法</x:v>
      </x:c>
    </x:row>
    <x:row r="359" ht="23" customHeight="1">
      <x:c r="A359" s="3" t="str">
        <x:v>CT-0352</x:v>
      </x:c>
      <x:c r="B359" s="3" t="str">
        <x:v>ST-124</x:v>
      </x:c>
      <x:c r="C359" s="3" t="str">
        <x:v>R+AR同收同发</x:v>
      </x:c>
      <x:c r="D359" s="25" t="n">
        <x:v>0</x:v>
      </x:c>
      <x:c r="E359" s="25" t="n">
        <x:v>4</x:v>
      </x:c>
      <x:c r="F359" s="25" t="n">
        <x:v>4</x:v>
      </x:c>
      <x:c r="G359" s="19" t="n">
        <x:f>SUM(D359:F359)</x:f>
        <x:v>8</x:v>
      </x:c>
      <x:c r="H359" s="25" t="n">
        <x:v>1</x:v>
      </x:c>
      <x:c r="I359" s="25" t="n">
        <x:v>1</x:v>
      </x:c>
      <x:c r="J359" s="25" t="n">
        <x:v>2</x:v>
      </x:c>
      <x:c r="K359" s="19" t="n">
        <x:f>D359-IF(H359=0,1,0)</x:f>
        <x:v>0</x:v>
      </x:c>
      <x:c r="L359" s="19" t="n">
        <x:f>E359-IF(H359=1,1,0)</x:f>
        <x:v>3</x:v>
      </x:c>
      <x:c r="M359" s="19" t="n">
        <x:f>F359-IF(H359=2,1,0)</x:f>
        <x:v>4</x:v>
      </x:c>
      <x:c r="N359" s="19" t="n">
        <x:f>MAX(K359-1,0)+MAX(L359-1,0)+MAX(M359-1,0)</x:f>
        <x:v>5</x:v>
      </x:c>
      <x:c r="O359" s="19" t="n">
        <x:f>IF(AND(SUM(K359:M359)&lt;9,OR(M359=0,N359&lt;6)),1,0)</x:f>
        <x:v>1</x:v>
      </x:c>
      <x:c r="P359" s="19" t="n">
        <x:f>IF(AND(SUM(K359:M359)&lt;9,OR(L359=0,N359&lt;6)),1,0)</x:f>
        <x:v>1</x:v>
      </x:c>
      <x:c r="Q359" s="19" t="n">
        <x:f>IF(AND(SUM(K359:M359)&lt;9,OR(K359=0,N359&lt;6)),1,0)</x:f>
        <x:v>1</x:v>
      </x:c>
      <x:c r="R359" s="22" t="str">
        <x:f>O359&amp;P359&amp;Q359</x:f>
        <x:v>111</x:v>
      </x:c>
      <x:c r="S359" s="19" t="n">
        <x:f>IF(I359=1,IF(J359=0,Q359,IF(J359=1,P359,IF(J359=2,O359,0))),0)</x:f>
        <x:v>1</x:v>
      </x:c>
      <x:c r="T359" s="19" t="n">
        <x:f>K359+IF(AND(S359=1,J359=0),1,0)</x:f>
        <x:v>0</x:v>
      </x:c>
      <x:c r="U359" s="19" t="n">
        <x:f>L359+IF(AND(S359=1,J359=1),1,0)</x:f>
        <x:v>3</x:v>
      </x:c>
      <x:c r="V359" s="19" t="n">
        <x:f>M359+IF(AND(S359=1,J359=2),1,0)</x:f>
        <x:v>5</x:v>
      </x:c>
      <x:c r="W359" s="19" t="n">
        <x:f>SUM(T359:V359)</x:f>
        <x:v>8</x:v>
      </x:c>
      <x:c r="X359" s="19" t="n">
        <x:f>W359-G359</x:f>
        <x:v>0</x:v>
      </x:c>
      <x:c r="Y359" s="19" t="n">
        <x:f>MAX(T359,1)+MAX(U359,1)+MAX(V359,1)</x:f>
        <x:v>9</x:v>
      </x:c>
      <x:c r="Z359" s="21" t="str">
        <x:f>IF(AND(MIN(D359:F359)&gt;=0,MAX(D359:F359)&lt;=7,MAX(D359,1)+MAX(E359,1)+MAX(F359,1)&lt;=9,OR(H359="-",AND(H359=0,D359&gt;0),AND(H359=1,E359&gt;0),AND(H359=2,F359&gt;0)),OR(I359=0,AND(I359=1,OR(J359=0,J359=1,J359=2),R359&lt;&gt;"000")),Y359&lt;=9,MIN(T359:V359)&gt;=0),"合法","输入违约")</x:f>
        <x:v>合法</x:v>
      </x:c>
    </x:row>
    <x:row r="360" ht="23" customHeight="1">
      <x:c r="A360" s="3" t="str">
        <x:v>CT-0353</x:v>
      </x:c>
      <x:c r="B360" s="3" t="str">
        <x:v>ST-124</x:v>
      </x:c>
      <x:c r="C360" s="3" t="str">
        <x:v>仅R回收</x:v>
      </x:c>
      <x:c r="D360" s="25" t="n">
        <x:v>0</x:v>
      </x:c>
      <x:c r="E360" s="25" t="n">
        <x:v>4</x:v>
      </x:c>
      <x:c r="F360" s="25" t="n">
        <x:v>4</x:v>
      </x:c>
      <x:c r="G360" s="19" t="n">
        <x:f>SUM(D360:F360)</x:f>
        <x:v>8</x:v>
      </x:c>
      <x:c r="H360" s="25" t="n">
        <x:v>2</x:v>
      </x:c>
      <x:c r="I360" s="25" t="n">
        <x:v>0</x:v>
      </x:c>
      <x:c r="J360" s="25" t="str">
        <x:v>-</x:v>
      </x:c>
      <x:c r="K360" s="19" t="n">
        <x:f>D360-IF(H360=0,1,0)</x:f>
        <x:v>0</x:v>
      </x:c>
      <x:c r="L360" s="19" t="n">
        <x:f>E360-IF(H360=1,1,0)</x:f>
        <x:v>4</x:v>
      </x:c>
      <x:c r="M360" s="19" t="n">
        <x:f>F360-IF(H360=2,1,0)</x:f>
        <x:v>3</x:v>
      </x:c>
      <x:c r="N360" s="19" t="n">
        <x:f>MAX(K360-1,0)+MAX(L360-1,0)+MAX(M360-1,0)</x:f>
        <x:v>5</x:v>
      </x:c>
      <x:c r="O360" s="19" t="n">
        <x:f>IF(AND(SUM(K360:M360)&lt;9,OR(M360=0,N360&lt;6)),1,0)</x:f>
        <x:v>1</x:v>
      </x:c>
      <x:c r="P360" s="19" t="n">
        <x:f>IF(AND(SUM(K360:M360)&lt;9,OR(L360=0,N360&lt;6)),1,0)</x:f>
        <x:v>1</x:v>
      </x:c>
      <x:c r="Q360" s="19" t="n">
        <x:f>IF(AND(SUM(K360:M360)&lt;9,OR(K360=0,N360&lt;6)),1,0)</x:f>
        <x:v>1</x:v>
      </x:c>
      <x:c r="R360" s="22" t="str">
        <x:f>O360&amp;P360&amp;Q360</x:f>
        <x:v>111</x:v>
      </x:c>
      <x:c r="S360" s="19" t="n">
        <x:f>IF(I360=1,IF(J360=0,Q360,IF(J360=1,P360,IF(J360=2,O360,0))),0)</x:f>
        <x:v>0</x:v>
      </x:c>
      <x:c r="T360" s="19" t="n">
        <x:f>K360+IF(AND(S360=1,J360=0),1,0)</x:f>
        <x:v>0</x:v>
      </x:c>
      <x:c r="U360" s="19" t="n">
        <x:f>L360+IF(AND(S360=1,J360=1),1,0)</x:f>
        <x:v>4</x:v>
      </x:c>
      <x:c r="V360" s="19" t="n">
        <x:f>M360+IF(AND(S360=1,J360=2),1,0)</x:f>
        <x:v>3</x:v>
      </x:c>
      <x:c r="W360" s="19" t="n">
        <x:f>SUM(T360:V360)</x:f>
        <x:v>7</x:v>
      </x:c>
      <x:c r="X360" s="19" t="n">
        <x:f>W360-G360</x:f>
        <x:v>-1</x:v>
      </x:c>
      <x:c r="Y360" s="19" t="n">
        <x:f>MAX(T360,1)+MAX(U360,1)+MAX(V360,1)</x:f>
        <x:v>8</x:v>
      </x:c>
      <x:c r="Z360" s="21" t="str">
        <x:f>IF(AND(MIN(D360:F360)&gt;=0,MAX(D360:F360)&lt;=7,MAX(D360,1)+MAX(E360,1)+MAX(F360,1)&lt;=9,OR(H360="-",AND(H360=0,D360&gt;0),AND(H360=1,E360&gt;0),AND(H360=2,F360&gt;0)),OR(I360=0,AND(I360=1,OR(J360=0,J360=1,J360=2),R360&lt;&gt;"000")),Y360&lt;=9,MIN(T360:V360)&gt;=0),"合法","输入违约")</x:f>
        <x:v>合法</x:v>
      </x:c>
    </x:row>
    <x:row r="361" ht="23" customHeight="1">
      <x:c r="A361" s="3" t="str">
        <x:v>CT-0354</x:v>
      </x:c>
      <x:c r="B361" s="3" t="str">
        <x:v>ST-124</x:v>
      </x:c>
      <x:c r="C361" s="3" t="str">
        <x:v>R+AR同收同发</x:v>
      </x:c>
      <x:c r="D361" s="25" t="n">
        <x:v>0</x:v>
      </x:c>
      <x:c r="E361" s="25" t="n">
        <x:v>4</x:v>
      </x:c>
      <x:c r="F361" s="25" t="n">
        <x:v>4</x:v>
      </x:c>
      <x:c r="G361" s="19" t="n">
        <x:f>SUM(D361:F361)</x:f>
        <x:v>8</x:v>
      </x:c>
      <x:c r="H361" s="25" t="n">
        <x:v>2</x:v>
      </x:c>
      <x:c r="I361" s="25" t="n">
        <x:v>1</x:v>
      </x:c>
      <x:c r="J361" s="25" t="n">
        <x:v>0</x:v>
      </x:c>
      <x:c r="K361" s="19" t="n">
        <x:f>D361-IF(H361=0,1,0)</x:f>
        <x:v>0</x:v>
      </x:c>
      <x:c r="L361" s="19" t="n">
        <x:f>E361-IF(H361=1,1,0)</x:f>
        <x:v>4</x:v>
      </x:c>
      <x:c r="M361" s="19" t="n">
        <x:f>F361-IF(H361=2,1,0)</x:f>
        <x:v>3</x:v>
      </x:c>
      <x:c r="N361" s="19" t="n">
        <x:f>MAX(K361-1,0)+MAX(L361-1,0)+MAX(M361-1,0)</x:f>
        <x:v>5</x:v>
      </x:c>
      <x:c r="O361" s="19" t="n">
        <x:f>IF(AND(SUM(K361:M361)&lt;9,OR(M361=0,N361&lt;6)),1,0)</x:f>
        <x:v>1</x:v>
      </x:c>
      <x:c r="P361" s="19" t="n">
        <x:f>IF(AND(SUM(K361:M361)&lt;9,OR(L361=0,N361&lt;6)),1,0)</x:f>
        <x:v>1</x:v>
      </x:c>
      <x:c r="Q361" s="19" t="n">
        <x:f>IF(AND(SUM(K361:M361)&lt;9,OR(K361=0,N361&lt;6)),1,0)</x:f>
        <x:v>1</x:v>
      </x:c>
      <x:c r="R361" s="22" t="str">
        <x:f>O361&amp;P361&amp;Q361</x:f>
        <x:v>111</x:v>
      </x:c>
      <x:c r="S361" s="19" t="n">
        <x:f>IF(I361=1,IF(J361=0,Q361,IF(J361=1,P361,IF(J361=2,O361,0))),0)</x:f>
        <x:v>1</x:v>
      </x:c>
      <x:c r="T361" s="19" t="n">
        <x:f>K361+IF(AND(S361=1,J361=0),1,0)</x:f>
        <x:v>1</x:v>
      </x:c>
      <x:c r="U361" s="19" t="n">
        <x:f>L361+IF(AND(S361=1,J361=1),1,0)</x:f>
        <x:v>4</x:v>
      </x:c>
      <x:c r="V361" s="19" t="n">
        <x:f>M361+IF(AND(S361=1,J361=2),1,0)</x:f>
        <x:v>3</x:v>
      </x:c>
      <x:c r="W361" s="19" t="n">
        <x:f>SUM(T361:V361)</x:f>
        <x:v>8</x:v>
      </x:c>
      <x:c r="X361" s="19" t="n">
        <x:f>W361-G361</x:f>
        <x:v>0</x:v>
      </x:c>
      <x:c r="Y361" s="19" t="n">
        <x:f>MAX(T361,1)+MAX(U361,1)+MAX(V361,1)</x:f>
        <x:v>8</x:v>
      </x:c>
      <x:c r="Z361" s="21" t="str">
        <x:f>IF(AND(MIN(D361:F361)&gt;=0,MAX(D361:F361)&lt;=7,MAX(D361,1)+MAX(E361,1)+MAX(F361,1)&lt;=9,OR(H361="-",AND(H361=0,D361&gt;0),AND(H361=1,E361&gt;0),AND(H361=2,F361&gt;0)),OR(I361=0,AND(I361=1,OR(J361=0,J361=1,J361=2),R361&lt;&gt;"000")),Y361&lt;=9,MIN(T361:V361)&gt;=0),"合法","输入违约")</x:f>
        <x:v>合法</x:v>
      </x:c>
    </x:row>
    <x:row r="362" ht="23" customHeight="1">
      <x:c r="A362" s="3" t="str">
        <x:v>CT-0355</x:v>
      </x:c>
      <x:c r="B362" s="3" t="str">
        <x:v>ST-124</x:v>
      </x:c>
      <x:c r="C362" s="3" t="str">
        <x:v>R+AR同收同发</x:v>
      </x:c>
      <x:c r="D362" s="25" t="n">
        <x:v>0</x:v>
      </x:c>
      <x:c r="E362" s="25" t="n">
        <x:v>4</x:v>
      </x:c>
      <x:c r="F362" s="25" t="n">
        <x:v>4</x:v>
      </x:c>
      <x:c r="G362" s="19" t="n">
        <x:f>SUM(D362:F362)</x:f>
        <x:v>8</x:v>
      </x:c>
      <x:c r="H362" s="25" t="n">
        <x:v>2</x:v>
      </x:c>
      <x:c r="I362" s="25" t="n">
        <x:v>1</x:v>
      </x:c>
      <x:c r="J362" s="25" t="n">
        <x:v>1</x:v>
      </x:c>
      <x:c r="K362" s="19" t="n">
        <x:f>D362-IF(H362=0,1,0)</x:f>
        <x:v>0</x:v>
      </x:c>
      <x:c r="L362" s="19" t="n">
        <x:f>E362-IF(H362=1,1,0)</x:f>
        <x:v>4</x:v>
      </x:c>
      <x:c r="M362" s="19" t="n">
        <x:f>F362-IF(H362=2,1,0)</x:f>
        <x:v>3</x:v>
      </x:c>
      <x:c r="N362" s="19" t="n">
        <x:f>MAX(K362-1,0)+MAX(L362-1,0)+MAX(M362-1,0)</x:f>
        <x:v>5</x:v>
      </x:c>
      <x:c r="O362" s="19" t="n">
        <x:f>IF(AND(SUM(K362:M362)&lt;9,OR(M362=0,N362&lt;6)),1,0)</x:f>
        <x:v>1</x:v>
      </x:c>
      <x:c r="P362" s="19" t="n">
        <x:f>IF(AND(SUM(K362:M362)&lt;9,OR(L362=0,N362&lt;6)),1,0)</x:f>
        <x:v>1</x:v>
      </x:c>
      <x:c r="Q362" s="19" t="n">
        <x:f>IF(AND(SUM(K362:M362)&lt;9,OR(K362=0,N362&lt;6)),1,0)</x:f>
        <x:v>1</x:v>
      </x:c>
      <x:c r="R362" s="22" t="str">
        <x:f>O362&amp;P362&amp;Q362</x:f>
        <x:v>111</x:v>
      </x:c>
      <x:c r="S362" s="19" t="n">
        <x:f>IF(I362=1,IF(J362=0,Q362,IF(J362=1,P362,IF(J362=2,O362,0))),0)</x:f>
        <x:v>1</x:v>
      </x:c>
      <x:c r="T362" s="19" t="n">
        <x:f>K362+IF(AND(S362=1,J362=0),1,0)</x:f>
        <x:v>0</x:v>
      </x:c>
      <x:c r="U362" s="19" t="n">
        <x:f>L362+IF(AND(S362=1,J362=1),1,0)</x:f>
        <x:v>5</x:v>
      </x:c>
      <x:c r="V362" s="19" t="n">
        <x:f>M362+IF(AND(S362=1,J362=2),1,0)</x:f>
        <x:v>3</x:v>
      </x:c>
      <x:c r="W362" s="19" t="n">
        <x:f>SUM(T362:V362)</x:f>
        <x:v>8</x:v>
      </x:c>
      <x:c r="X362" s="19" t="n">
        <x:f>W362-G362</x:f>
        <x:v>0</x:v>
      </x:c>
      <x:c r="Y362" s="19" t="n">
        <x:f>MAX(T362,1)+MAX(U362,1)+MAX(V362,1)</x:f>
        <x:v>9</x:v>
      </x:c>
      <x:c r="Z362" s="21" t="str">
        <x:f>IF(AND(MIN(D362:F362)&gt;=0,MAX(D362:F362)&lt;=7,MAX(D362,1)+MAX(E362,1)+MAX(F362,1)&lt;=9,OR(H362="-",AND(H362=0,D362&gt;0),AND(H362=1,E362&gt;0),AND(H362=2,F362&gt;0)),OR(I362=0,AND(I362=1,OR(J362=0,J362=1,J362=2),R362&lt;&gt;"000")),Y362&lt;=9,MIN(T362:V362)&gt;=0),"合法","输入违约")</x:f>
        <x:v>合法</x:v>
      </x:c>
    </x:row>
    <x:row r="363" ht="23" customHeight="1">
      <x:c r="A363" s="3" t="str">
        <x:v>CT-0356</x:v>
      </x:c>
      <x:c r="B363" s="3" t="str">
        <x:v>ST-124</x:v>
      </x:c>
      <x:c r="C363" s="3" t="str">
        <x:v>R+AR同收同发</x:v>
      </x:c>
      <x:c r="D363" s="25" t="n">
        <x:v>0</x:v>
      </x:c>
      <x:c r="E363" s="25" t="n">
        <x:v>4</x:v>
      </x:c>
      <x:c r="F363" s="25" t="n">
        <x:v>4</x:v>
      </x:c>
      <x:c r="G363" s="19" t="n">
        <x:f>SUM(D363:F363)</x:f>
        <x:v>8</x:v>
      </x:c>
      <x:c r="H363" s="25" t="n">
        <x:v>2</x:v>
      </x:c>
      <x:c r="I363" s="25" t="n">
        <x:v>1</x:v>
      </x:c>
      <x:c r="J363" s="25" t="n">
        <x:v>2</x:v>
      </x:c>
      <x:c r="K363" s="19" t="n">
        <x:f>D363-IF(H363=0,1,0)</x:f>
        <x:v>0</x:v>
      </x:c>
      <x:c r="L363" s="19" t="n">
        <x:f>E363-IF(H363=1,1,0)</x:f>
        <x:v>4</x:v>
      </x:c>
      <x:c r="M363" s="19" t="n">
        <x:f>F363-IF(H363=2,1,0)</x:f>
        <x:v>3</x:v>
      </x:c>
      <x:c r="N363" s="19" t="n">
        <x:f>MAX(K363-1,0)+MAX(L363-1,0)+MAX(M363-1,0)</x:f>
        <x:v>5</x:v>
      </x:c>
      <x:c r="O363" s="19" t="n">
        <x:f>IF(AND(SUM(K363:M363)&lt;9,OR(M363=0,N363&lt;6)),1,0)</x:f>
        <x:v>1</x:v>
      </x:c>
      <x:c r="P363" s="19" t="n">
        <x:f>IF(AND(SUM(K363:M363)&lt;9,OR(L363=0,N363&lt;6)),1,0)</x:f>
        <x:v>1</x:v>
      </x:c>
      <x:c r="Q363" s="19" t="n">
        <x:f>IF(AND(SUM(K363:M363)&lt;9,OR(K363=0,N363&lt;6)),1,0)</x:f>
        <x:v>1</x:v>
      </x:c>
      <x:c r="R363" s="22" t="str">
        <x:f>O363&amp;P363&amp;Q363</x:f>
        <x:v>111</x:v>
      </x:c>
      <x:c r="S363" s="19" t="n">
        <x:f>IF(I363=1,IF(J363=0,Q363,IF(J363=1,P363,IF(J363=2,O363,0))),0)</x:f>
        <x:v>1</x:v>
      </x:c>
      <x:c r="T363" s="19" t="n">
        <x:f>K363+IF(AND(S363=1,J363=0),1,0)</x:f>
        <x:v>0</x:v>
      </x:c>
      <x:c r="U363" s="19" t="n">
        <x:f>L363+IF(AND(S363=1,J363=1),1,0)</x:f>
        <x:v>4</x:v>
      </x:c>
      <x:c r="V363" s="19" t="n">
        <x:f>M363+IF(AND(S363=1,J363=2),1,0)</x:f>
        <x:v>4</x:v>
      </x:c>
      <x:c r="W363" s="19" t="n">
        <x:f>SUM(T363:V363)</x:f>
        <x:v>8</x:v>
      </x:c>
      <x:c r="X363" s="19" t="n">
        <x:f>W363-G363</x:f>
        <x:v>0</x:v>
      </x:c>
      <x:c r="Y363" s="19" t="n">
        <x:f>MAX(T363,1)+MAX(U363,1)+MAX(V363,1)</x:f>
        <x:v>9</x:v>
      </x:c>
      <x:c r="Z363" s="21" t="str">
        <x:f>IF(AND(MIN(D363:F363)&gt;=0,MAX(D363:F363)&lt;=7,MAX(D363,1)+MAX(E363,1)+MAX(F363,1)&lt;=9,OR(H363="-",AND(H363=0,D363&gt;0),AND(H363=1,E363&gt;0),AND(H363=2,F363&gt;0)),OR(I363=0,AND(I363=1,OR(J363=0,J363=1,J363=2),R363&lt;&gt;"000")),Y363&lt;=9,MIN(T363:V363)&gt;=0),"合法","输入违约")</x:f>
        <x:v>合法</x:v>
      </x:c>
    </x:row>
    <x:row r="364" ht="23" customHeight="1">
      <x:c r="A364" s="3" t="str">
        <x:v>CT-0357</x:v>
      </x:c>
      <x:c r="B364" s="3" t="str">
        <x:v>ST-041</x:v>
      </x:c>
      <x:c r="C364" s="3" t="str">
        <x:v>无AR/R</x:v>
      </x:c>
      <x:c r="D364" s="25" t="n">
        <x:v>0</x:v>
      </x:c>
      <x:c r="E364" s="25" t="n">
        <x:v>5</x:v>
      </x:c>
      <x:c r="F364" s="25" t="n">
        <x:v>0</x:v>
      </x:c>
      <x:c r="G364" s="19" t="n">
        <x:f>SUM(D364:F364)</x:f>
        <x:v>5</x:v>
      </x:c>
      <x:c r="H364" s="25" t="str">
        <x:v>-</x:v>
      </x:c>
      <x:c r="I364" s="25" t="n">
        <x:v>0</x:v>
      </x:c>
      <x:c r="J364" s="25" t="str">
        <x:v>-</x:v>
      </x:c>
      <x:c r="K364" s="19" t="n">
        <x:f>D364-IF(H364=0,1,0)</x:f>
        <x:v>0</x:v>
      </x:c>
      <x:c r="L364" s="19" t="n">
        <x:f>E364-IF(H364=1,1,0)</x:f>
        <x:v>5</x:v>
      </x:c>
      <x:c r="M364" s="19" t="n">
        <x:f>F364-IF(H364=2,1,0)</x:f>
        <x:v>0</x:v>
      </x:c>
      <x:c r="N364" s="19" t="n">
        <x:f>MAX(K364-1,0)+MAX(L364-1,0)+MAX(M364-1,0)</x:f>
        <x:v>4</x:v>
      </x:c>
      <x:c r="O364" s="19" t="n">
        <x:f>IF(AND(SUM(K364:M364)&lt;9,OR(M364=0,N364&lt;6)),1,0)</x:f>
        <x:v>1</x:v>
      </x:c>
      <x:c r="P364" s="19" t="n">
        <x:f>IF(AND(SUM(K364:M364)&lt;9,OR(L364=0,N364&lt;6)),1,0)</x:f>
        <x:v>1</x:v>
      </x:c>
      <x:c r="Q364" s="19" t="n">
        <x:f>IF(AND(SUM(K364:M364)&lt;9,OR(K364=0,N364&lt;6)),1,0)</x:f>
        <x:v>1</x:v>
      </x:c>
      <x:c r="R364" s="22" t="str">
        <x:f>O364&amp;P364&amp;Q364</x:f>
        <x:v>111</x:v>
      </x:c>
      <x:c r="S364" s="19" t="n">
        <x:f>IF(I364=1,IF(J364=0,Q364,IF(J364=1,P364,IF(J364=2,O364,0))),0)</x:f>
        <x:v>0</x:v>
      </x:c>
      <x:c r="T364" s="19" t="n">
        <x:f>K364+IF(AND(S364=1,J364=0),1,0)</x:f>
        <x:v>0</x:v>
      </x:c>
      <x:c r="U364" s="19" t="n">
        <x:f>L364+IF(AND(S364=1,J364=1),1,0)</x:f>
        <x:v>5</x:v>
      </x:c>
      <x:c r="V364" s="19" t="n">
        <x:f>M364+IF(AND(S364=1,J364=2),1,0)</x:f>
        <x:v>0</x:v>
      </x:c>
      <x:c r="W364" s="19" t="n">
        <x:f>SUM(T364:V364)</x:f>
        <x:v>5</x:v>
      </x:c>
      <x:c r="X364" s="19" t="n">
        <x:f>W364-G364</x:f>
        <x:v>0</x:v>
      </x:c>
      <x:c r="Y364" s="19" t="n">
        <x:f>MAX(T364,1)+MAX(U364,1)+MAX(V364,1)</x:f>
        <x:v>7</x:v>
      </x:c>
      <x:c r="Z364" s="21" t="str">
        <x:f>IF(AND(MIN(D364:F364)&gt;=0,MAX(D364:F364)&lt;=7,MAX(D364,1)+MAX(E364,1)+MAX(F364,1)&lt;=9,OR(H364="-",AND(H364=0,D364&gt;0),AND(H364=1,E364&gt;0),AND(H364=2,F364&gt;0)),OR(I364=0,AND(I364=1,OR(J364=0,J364=1,J364=2),R364&lt;&gt;"000")),Y364&lt;=9,MIN(T364:V364)&gt;=0),"合法","输入违约")</x:f>
        <x:v>合法</x:v>
      </x:c>
    </x:row>
    <x:row r="365" ht="23" customHeight="1">
      <x:c r="A365" s="3" t="str">
        <x:v>CT-0358</x:v>
      </x:c>
      <x:c r="B365" s="3" t="str">
        <x:v>ST-041</x:v>
      </x:c>
      <x:c r="C365" s="3" t="str">
        <x:v>仅AR接收</x:v>
      </x:c>
      <x:c r="D365" s="25" t="n">
        <x:v>0</x:v>
      </x:c>
      <x:c r="E365" s="25" t="n">
        <x:v>5</x:v>
      </x:c>
      <x:c r="F365" s="25" t="n">
        <x:v>0</x:v>
      </x:c>
      <x:c r="G365" s="19" t="n">
        <x:f>SUM(D365:F365)</x:f>
        <x:v>5</x:v>
      </x:c>
      <x:c r="H365" s="25" t="str">
        <x:v>-</x:v>
      </x:c>
      <x:c r="I365" s="25" t="n">
        <x:v>1</x:v>
      </x:c>
      <x:c r="J365" s="25" t="n">
        <x:v>0</x:v>
      </x:c>
      <x:c r="K365" s="19" t="n">
        <x:f>D365-IF(H365=0,1,0)</x:f>
        <x:v>0</x:v>
      </x:c>
      <x:c r="L365" s="19" t="n">
        <x:f>E365-IF(H365=1,1,0)</x:f>
        <x:v>5</x:v>
      </x:c>
      <x:c r="M365" s="19" t="n">
        <x:f>F365-IF(H365=2,1,0)</x:f>
        <x:v>0</x:v>
      </x:c>
      <x:c r="N365" s="19" t="n">
        <x:f>MAX(K365-1,0)+MAX(L365-1,0)+MAX(M365-1,0)</x:f>
        <x:v>4</x:v>
      </x:c>
      <x:c r="O365" s="19" t="n">
        <x:f>IF(AND(SUM(K365:M365)&lt;9,OR(M365=0,N365&lt;6)),1,0)</x:f>
        <x:v>1</x:v>
      </x:c>
      <x:c r="P365" s="19" t="n">
        <x:f>IF(AND(SUM(K365:M365)&lt;9,OR(L365=0,N365&lt;6)),1,0)</x:f>
        <x:v>1</x:v>
      </x:c>
      <x:c r="Q365" s="19" t="n">
        <x:f>IF(AND(SUM(K365:M365)&lt;9,OR(K365=0,N365&lt;6)),1,0)</x:f>
        <x:v>1</x:v>
      </x:c>
      <x:c r="R365" s="22" t="str">
        <x:f>O365&amp;P365&amp;Q365</x:f>
        <x:v>111</x:v>
      </x:c>
      <x:c r="S365" s="19" t="n">
        <x:f>IF(I365=1,IF(J365=0,Q365,IF(J365=1,P365,IF(J365=2,O365,0))),0)</x:f>
        <x:v>1</x:v>
      </x:c>
      <x:c r="T365" s="19" t="n">
        <x:f>K365+IF(AND(S365=1,J365=0),1,0)</x:f>
        <x:v>1</x:v>
      </x:c>
      <x:c r="U365" s="19" t="n">
        <x:f>L365+IF(AND(S365=1,J365=1),1,0)</x:f>
        <x:v>5</x:v>
      </x:c>
      <x:c r="V365" s="19" t="n">
        <x:f>M365+IF(AND(S365=1,J365=2),1,0)</x:f>
        <x:v>0</x:v>
      </x:c>
      <x:c r="W365" s="19" t="n">
        <x:f>SUM(T365:V365)</x:f>
        <x:v>6</x:v>
      </x:c>
      <x:c r="X365" s="19" t="n">
        <x:f>W365-G365</x:f>
        <x:v>1</x:v>
      </x:c>
      <x:c r="Y365" s="19" t="n">
        <x:f>MAX(T365,1)+MAX(U365,1)+MAX(V365,1)</x:f>
        <x:v>7</x:v>
      </x:c>
      <x:c r="Z365" s="21" t="str">
        <x:f>IF(AND(MIN(D365:F365)&gt;=0,MAX(D365:F365)&lt;=7,MAX(D365,1)+MAX(E365,1)+MAX(F365,1)&lt;=9,OR(H365="-",AND(H365=0,D365&gt;0),AND(H365=1,E365&gt;0),AND(H365=2,F365&gt;0)),OR(I365=0,AND(I365=1,OR(J365=0,J365=1,J365=2),R365&lt;&gt;"000")),Y365&lt;=9,MIN(T365:V365)&gt;=0),"合法","输入违约")</x:f>
        <x:v>合法</x:v>
      </x:c>
    </x:row>
    <x:row r="366" ht="23" customHeight="1">
      <x:c r="A366" s="3" t="str">
        <x:v>CT-0359</x:v>
      </x:c>
      <x:c r="B366" s="3" t="str">
        <x:v>ST-041</x:v>
      </x:c>
      <x:c r="C366" s="3" t="str">
        <x:v>仅AR接收</x:v>
      </x:c>
      <x:c r="D366" s="25" t="n">
        <x:v>0</x:v>
      </x:c>
      <x:c r="E366" s="25" t="n">
        <x:v>5</x:v>
      </x:c>
      <x:c r="F366" s="25" t="n">
        <x:v>0</x:v>
      </x:c>
      <x:c r="G366" s="19" t="n">
        <x:f>SUM(D366:F366)</x:f>
        <x:v>5</x:v>
      </x:c>
      <x:c r="H366" s="25" t="str">
        <x:v>-</x:v>
      </x:c>
      <x:c r="I366" s="25" t="n">
        <x:v>1</x:v>
      </x:c>
      <x:c r="J366" s="25" t="n">
        <x:v>1</x:v>
      </x:c>
      <x:c r="K366" s="19" t="n">
        <x:f>D366-IF(H366=0,1,0)</x:f>
        <x:v>0</x:v>
      </x:c>
      <x:c r="L366" s="19" t="n">
        <x:f>E366-IF(H366=1,1,0)</x:f>
        <x:v>5</x:v>
      </x:c>
      <x:c r="M366" s="19" t="n">
        <x:f>F366-IF(H366=2,1,0)</x:f>
        <x:v>0</x:v>
      </x:c>
      <x:c r="N366" s="19" t="n">
        <x:f>MAX(K366-1,0)+MAX(L366-1,0)+MAX(M366-1,0)</x:f>
        <x:v>4</x:v>
      </x:c>
      <x:c r="O366" s="19" t="n">
        <x:f>IF(AND(SUM(K366:M366)&lt;9,OR(M366=0,N366&lt;6)),1,0)</x:f>
        <x:v>1</x:v>
      </x:c>
      <x:c r="P366" s="19" t="n">
        <x:f>IF(AND(SUM(K366:M366)&lt;9,OR(L366=0,N366&lt;6)),1,0)</x:f>
        <x:v>1</x:v>
      </x:c>
      <x:c r="Q366" s="19" t="n">
        <x:f>IF(AND(SUM(K366:M366)&lt;9,OR(K366=0,N366&lt;6)),1,0)</x:f>
        <x:v>1</x:v>
      </x:c>
      <x:c r="R366" s="22" t="str">
        <x:f>O366&amp;P366&amp;Q366</x:f>
        <x:v>111</x:v>
      </x:c>
      <x:c r="S366" s="19" t="n">
        <x:f>IF(I366=1,IF(J366=0,Q366,IF(J366=1,P366,IF(J366=2,O366,0))),0)</x:f>
        <x:v>1</x:v>
      </x:c>
      <x:c r="T366" s="19" t="n">
        <x:f>K366+IF(AND(S366=1,J366=0),1,0)</x:f>
        <x:v>0</x:v>
      </x:c>
      <x:c r="U366" s="19" t="n">
        <x:f>L366+IF(AND(S366=1,J366=1),1,0)</x:f>
        <x:v>6</x:v>
      </x:c>
      <x:c r="V366" s="19" t="n">
        <x:f>M366+IF(AND(S366=1,J366=2),1,0)</x:f>
        <x:v>0</x:v>
      </x:c>
      <x:c r="W366" s="19" t="n">
        <x:f>SUM(T366:V366)</x:f>
        <x:v>6</x:v>
      </x:c>
      <x:c r="X366" s="19" t="n">
        <x:f>W366-G366</x:f>
        <x:v>1</x:v>
      </x:c>
      <x:c r="Y366" s="19" t="n">
        <x:f>MAX(T366,1)+MAX(U366,1)+MAX(V366,1)</x:f>
        <x:v>8</x:v>
      </x:c>
      <x:c r="Z366" s="21" t="str">
        <x:f>IF(AND(MIN(D366:F366)&gt;=0,MAX(D366:F366)&lt;=7,MAX(D366,1)+MAX(E366,1)+MAX(F366,1)&lt;=9,OR(H366="-",AND(H366=0,D366&gt;0),AND(H366=1,E366&gt;0),AND(H366=2,F366&gt;0)),OR(I366=0,AND(I366=1,OR(J366=0,J366=1,J366=2),R366&lt;&gt;"000")),Y366&lt;=9,MIN(T366:V366)&gt;=0),"合法","输入违约")</x:f>
        <x:v>合法</x:v>
      </x:c>
    </x:row>
    <x:row r="367" ht="23" customHeight="1">
      <x:c r="A367" s="3" t="str">
        <x:v>CT-0360</x:v>
      </x:c>
      <x:c r="B367" s="3" t="str">
        <x:v>ST-041</x:v>
      </x:c>
      <x:c r="C367" s="3" t="str">
        <x:v>仅AR接收</x:v>
      </x:c>
      <x:c r="D367" s="25" t="n">
        <x:v>0</x:v>
      </x:c>
      <x:c r="E367" s="25" t="n">
        <x:v>5</x:v>
      </x:c>
      <x:c r="F367" s="25" t="n">
        <x:v>0</x:v>
      </x:c>
      <x:c r="G367" s="19" t="n">
        <x:f>SUM(D367:F367)</x:f>
        <x:v>5</x:v>
      </x:c>
      <x:c r="H367" s="25" t="str">
        <x:v>-</x:v>
      </x:c>
      <x:c r="I367" s="25" t="n">
        <x:v>1</x:v>
      </x:c>
      <x:c r="J367" s="25" t="n">
        <x:v>2</x:v>
      </x:c>
      <x:c r="K367" s="19" t="n">
        <x:f>D367-IF(H367=0,1,0)</x:f>
        <x:v>0</x:v>
      </x:c>
      <x:c r="L367" s="19" t="n">
        <x:f>E367-IF(H367=1,1,0)</x:f>
        <x:v>5</x:v>
      </x:c>
      <x:c r="M367" s="19" t="n">
        <x:f>F367-IF(H367=2,1,0)</x:f>
        <x:v>0</x:v>
      </x:c>
      <x:c r="N367" s="19" t="n">
        <x:f>MAX(K367-1,0)+MAX(L367-1,0)+MAX(M367-1,0)</x:f>
        <x:v>4</x:v>
      </x:c>
      <x:c r="O367" s="19" t="n">
        <x:f>IF(AND(SUM(K367:M367)&lt;9,OR(M367=0,N367&lt;6)),1,0)</x:f>
        <x:v>1</x:v>
      </x:c>
      <x:c r="P367" s="19" t="n">
        <x:f>IF(AND(SUM(K367:M367)&lt;9,OR(L367=0,N367&lt;6)),1,0)</x:f>
        <x:v>1</x:v>
      </x:c>
      <x:c r="Q367" s="19" t="n">
        <x:f>IF(AND(SUM(K367:M367)&lt;9,OR(K367=0,N367&lt;6)),1,0)</x:f>
        <x:v>1</x:v>
      </x:c>
      <x:c r="R367" s="22" t="str">
        <x:f>O367&amp;P367&amp;Q367</x:f>
        <x:v>111</x:v>
      </x:c>
      <x:c r="S367" s="19" t="n">
        <x:f>IF(I367=1,IF(J367=0,Q367,IF(J367=1,P367,IF(J367=2,O367,0))),0)</x:f>
        <x:v>1</x:v>
      </x:c>
      <x:c r="T367" s="19" t="n">
        <x:f>K367+IF(AND(S367=1,J367=0),1,0)</x:f>
        <x:v>0</x:v>
      </x:c>
      <x:c r="U367" s="19" t="n">
        <x:f>L367+IF(AND(S367=1,J367=1),1,0)</x:f>
        <x:v>5</x:v>
      </x:c>
      <x:c r="V367" s="19" t="n">
        <x:f>M367+IF(AND(S367=1,J367=2),1,0)</x:f>
        <x:v>1</x:v>
      </x:c>
      <x:c r="W367" s="19" t="n">
        <x:f>SUM(T367:V367)</x:f>
        <x:v>6</x:v>
      </x:c>
      <x:c r="X367" s="19" t="n">
        <x:f>W367-G367</x:f>
        <x:v>1</x:v>
      </x:c>
      <x:c r="Y367" s="19" t="n">
        <x:f>MAX(T367,1)+MAX(U367,1)+MAX(V367,1)</x:f>
        <x:v>7</x:v>
      </x:c>
      <x:c r="Z367" s="21" t="str">
        <x:f>IF(AND(MIN(D367:F367)&gt;=0,MAX(D367:F367)&lt;=7,MAX(D367,1)+MAX(E367,1)+MAX(F367,1)&lt;=9,OR(H367="-",AND(H367=0,D367&gt;0),AND(H367=1,E367&gt;0),AND(H367=2,F367&gt;0)),OR(I367=0,AND(I367=1,OR(J367=0,J367=1,J367=2),R367&lt;&gt;"000")),Y367&lt;=9,MIN(T367:V367)&gt;=0),"合法","输入违约")</x:f>
        <x:v>合法</x:v>
      </x:c>
    </x:row>
    <x:row r="368" ht="23" customHeight="1">
      <x:c r="A368" s="3" t="str">
        <x:v>CT-0361</x:v>
      </x:c>
      <x:c r="B368" s="3" t="str">
        <x:v>ST-041</x:v>
      </x:c>
      <x:c r="C368" s="3" t="str">
        <x:v>仅R回收</x:v>
      </x:c>
      <x:c r="D368" s="25" t="n">
        <x:v>0</x:v>
      </x:c>
      <x:c r="E368" s="25" t="n">
        <x:v>5</x:v>
      </x:c>
      <x:c r="F368" s="25" t="n">
        <x:v>0</x:v>
      </x:c>
      <x:c r="G368" s="19" t="n">
        <x:f>SUM(D368:F368)</x:f>
        <x:v>5</x:v>
      </x:c>
      <x:c r="H368" s="25" t="n">
        <x:v>1</x:v>
      </x:c>
      <x:c r="I368" s="25" t="n">
        <x:v>0</x:v>
      </x:c>
      <x:c r="J368" s="25" t="str">
        <x:v>-</x:v>
      </x:c>
      <x:c r="K368" s="19" t="n">
        <x:f>D368-IF(H368=0,1,0)</x:f>
        <x:v>0</x:v>
      </x:c>
      <x:c r="L368" s="19" t="n">
        <x:f>E368-IF(H368=1,1,0)</x:f>
        <x:v>4</x:v>
      </x:c>
      <x:c r="M368" s="19" t="n">
        <x:f>F368-IF(H368=2,1,0)</x:f>
        <x:v>0</x:v>
      </x:c>
      <x:c r="N368" s="19" t="n">
        <x:f>MAX(K368-1,0)+MAX(L368-1,0)+MAX(M368-1,0)</x:f>
        <x:v>3</x:v>
      </x:c>
      <x:c r="O368" s="19" t="n">
        <x:f>IF(AND(SUM(K368:M368)&lt;9,OR(M368=0,N368&lt;6)),1,0)</x:f>
        <x:v>1</x:v>
      </x:c>
      <x:c r="P368" s="19" t="n">
        <x:f>IF(AND(SUM(K368:M368)&lt;9,OR(L368=0,N368&lt;6)),1,0)</x:f>
        <x:v>1</x:v>
      </x:c>
      <x:c r="Q368" s="19" t="n">
        <x:f>IF(AND(SUM(K368:M368)&lt;9,OR(K368=0,N368&lt;6)),1,0)</x:f>
        <x:v>1</x:v>
      </x:c>
      <x:c r="R368" s="22" t="str">
        <x:f>O368&amp;P368&amp;Q368</x:f>
        <x:v>111</x:v>
      </x:c>
      <x:c r="S368" s="19" t="n">
        <x:f>IF(I368=1,IF(J368=0,Q368,IF(J368=1,P368,IF(J368=2,O368,0))),0)</x:f>
        <x:v>0</x:v>
      </x:c>
      <x:c r="T368" s="19" t="n">
        <x:f>K368+IF(AND(S368=1,J368=0),1,0)</x:f>
        <x:v>0</x:v>
      </x:c>
      <x:c r="U368" s="19" t="n">
        <x:f>L368+IF(AND(S368=1,J368=1),1,0)</x:f>
        <x:v>4</x:v>
      </x:c>
      <x:c r="V368" s="19" t="n">
        <x:f>M368+IF(AND(S368=1,J368=2),1,0)</x:f>
        <x:v>0</x:v>
      </x:c>
      <x:c r="W368" s="19" t="n">
        <x:f>SUM(T368:V368)</x:f>
        <x:v>4</x:v>
      </x:c>
      <x:c r="X368" s="19" t="n">
        <x:f>W368-G368</x:f>
        <x:v>-1</x:v>
      </x:c>
      <x:c r="Y368" s="19" t="n">
        <x:f>MAX(T368,1)+MAX(U368,1)+MAX(V368,1)</x:f>
        <x:v>6</x:v>
      </x:c>
      <x:c r="Z368" s="21" t="str">
        <x:f>IF(AND(MIN(D368:F368)&gt;=0,MAX(D368:F368)&lt;=7,MAX(D368,1)+MAX(E368,1)+MAX(F368,1)&lt;=9,OR(H368="-",AND(H368=0,D368&gt;0),AND(H368=1,E368&gt;0),AND(H368=2,F368&gt;0)),OR(I368=0,AND(I368=1,OR(J368=0,J368=1,J368=2),R368&lt;&gt;"000")),Y368&lt;=9,MIN(T368:V368)&gt;=0),"合法","输入违约")</x:f>
        <x:v>合法</x:v>
      </x:c>
    </x:row>
    <x:row r="369" ht="23" customHeight="1">
      <x:c r="A369" s="3" t="str">
        <x:v>CT-0362</x:v>
      </x:c>
      <x:c r="B369" s="3" t="str">
        <x:v>ST-041</x:v>
      </x:c>
      <x:c r="C369" s="3" t="str">
        <x:v>R+AR同收同发</x:v>
      </x:c>
      <x:c r="D369" s="25" t="n">
        <x:v>0</x:v>
      </x:c>
      <x:c r="E369" s="25" t="n">
        <x:v>5</x:v>
      </x:c>
      <x:c r="F369" s="25" t="n">
        <x:v>0</x:v>
      </x:c>
      <x:c r="G369" s="19" t="n">
        <x:f>SUM(D369:F369)</x:f>
        <x:v>5</x:v>
      </x:c>
      <x:c r="H369" s="25" t="n">
        <x:v>1</x:v>
      </x:c>
      <x:c r="I369" s="25" t="n">
        <x:v>1</x:v>
      </x:c>
      <x:c r="J369" s="25" t="n">
        <x:v>0</x:v>
      </x:c>
      <x:c r="K369" s="19" t="n">
        <x:f>D369-IF(H369=0,1,0)</x:f>
        <x:v>0</x:v>
      </x:c>
      <x:c r="L369" s="19" t="n">
        <x:f>E369-IF(H369=1,1,0)</x:f>
        <x:v>4</x:v>
      </x:c>
      <x:c r="M369" s="19" t="n">
        <x:f>F369-IF(H369=2,1,0)</x:f>
        <x:v>0</x:v>
      </x:c>
      <x:c r="N369" s="19" t="n">
        <x:f>MAX(K369-1,0)+MAX(L369-1,0)+MAX(M369-1,0)</x:f>
        <x:v>3</x:v>
      </x:c>
      <x:c r="O369" s="19" t="n">
        <x:f>IF(AND(SUM(K369:M369)&lt;9,OR(M369=0,N369&lt;6)),1,0)</x:f>
        <x:v>1</x:v>
      </x:c>
      <x:c r="P369" s="19" t="n">
        <x:f>IF(AND(SUM(K369:M369)&lt;9,OR(L369=0,N369&lt;6)),1,0)</x:f>
        <x:v>1</x:v>
      </x:c>
      <x:c r="Q369" s="19" t="n">
        <x:f>IF(AND(SUM(K369:M369)&lt;9,OR(K369=0,N369&lt;6)),1,0)</x:f>
        <x:v>1</x:v>
      </x:c>
      <x:c r="R369" s="22" t="str">
        <x:f>O369&amp;P369&amp;Q369</x:f>
        <x:v>111</x:v>
      </x:c>
      <x:c r="S369" s="19" t="n">
        <x:f>IF(I369=1,IF(J369=0,Q369,IF(J369=1,P369,IF(J369=2,O369,0))),0)</x:f>
        <x:v>1</x:v>
      </x:c>
      <x:c r="T369" s="19" t="n">
        <x:f>K369+IF(AND(S369=1,J369=0),1,0)</x:f>
        <x:v>1</x:v>
      </x:c>
      <x:c r="U369" s="19" t="n">
        <x:f>L369+IF(AND(S369=1,J369=1),1,0)</x:f>
        <x:v>4</x:v>
      </x:c>
      <x:c r="V369" s="19" t="n">
        <x:f>M369+IF(AND(S369=1,J369=2),1,0)</x:f>
        <x:v>0</x:v>
      </x:c>
      <x:c r="W369" s="19" t="n">
        <x:f>SUM(T369:V369)</x:f>
        <x:v>5</x:v>
      </x:c>
      <x:c r="X369" s="19" t="n">
        <x:f>W369-G369</x:f>
        <x:v>0</x:v>
      </x:c>
      <x:c r="Y369" s="19" t="n">
        <x:f>MAX(T369,1)+MAX(U369,1)+MAX(V369,1)</x:f>
        <x:v>6</x:v>
      </x:c>
      <x:c r="Z369" s="21" t="str">
        <x:f>IF(AND(MIN(D369:F369)&gt;=0,MAX(D369:F369)&lt;=7,MAX(D369,1)+MAX(E369,1)+MAX(F369,1)&lt;=9,OR(H369="-",AND(H369=0,D369&gt;0),AND(H369=1,E369&gt;0),AND(H369=2,F369&gt;0)),OR(I369=0,AND(I369=1,OR(J369=0,J369=1,J369=2),R369&lt;&gt;"000")),Y369&lt;=9,MIN(T369:V369)&gt;=0),"合法","输入违约")</x:f>
        <x:v>合法</x:v>
      </x:c>
    </x:row>
    <x:row r="370" ht="23" customHeight="1">
      <x:c r="A370" s="3" t="str">
        <x:v>CT-0363</x:v>
      </x:c>
      <x:c r="B370" s="3" t="str">
        <x:v>ST-041</x:v>
      </x:c>
      <x:c r="C370" s="3" t="str">
        <x:v>R+AR同收同发</x:v>
      </x:c>
      <x:c r="D370" s="25" t="n">
        <x:v>0</x:v>
      </x:c>
      <x:c r="E370" s="25" t="n">
        <x:v>5</x:v>
      </x:c>
      <x:c r="F370" s="25" t="n">
        <x:v>0</x:v>
      </x:c>
      <x:c r="G370" s="19" t="n">
        <x:f>SUM(D370:F370)</x:f>
        <x:v>5</x:v>
      </x:c>
      <x:c r="H370" s="25" t="n">
        <x:v>1</x:v>
      </x:c>
      <x:c r="I370" s="25" t="n">
        <x:v>1</x:v>
      </x:c>
      <x:c r="J370" s="25" t="n">
        <x:v>1</x:v>
      </x:c>
      <x:c r="K370" s="19" t="n">
        <x:f>D370-IF(H370=0,1,0)</x:f>
        <x:v>0</x:v>
      </x:c>
      <x:c r="L370" s="19" t="n">
        <x:f>E370-IF(H370=1,1,0)</x:f>
        <x:v>4</x:v>
      </x:c>
      <x:c r="M370" s="19" t="n">
        <x:f>F370-IF(H370=2,1,0)</x:f>
        <x:v>0</x:v>
      </x:c>
      <x:c r="N370" s="19" t="n">
        <x:f>MAX(K370-1,0)+MAX(L370-1,0)+MAX(M370-1,0)</x:f>
        <x:v>3</x:v>
      </x:c>
      <x:c r="O370" s="19" t="n">
        <x:f>IF(AND(SUM(K370:M370)&lt;9,OR(M370=0,N370&lt;6)),1,0)</x:f>
        <x:v>1</x:v>
      </x:c>
      <x:c r="P370" s="19" t="n">
        <x:f>IF(AND(SUM(K370:M370)&lt;9,OR(L370=0,N370&lt;6)),1,0)</x:f>
        <x:v>1</x:v>
      </x:c>
      <x:c r="Q370" s="19" t="n">
        <x:f>IF(AND(SUM(K370:M370)&lt;9,OR(K370=0,N370&lt;6)),1,0)</x:f>
        <x:v>1</x:v>
      </x:c>
      <x:c r="R370" s="22" t="str">
        <x:f>O370&amp;P370&amp;Q370</x:f>
        <x:v>111</x:v>
      </x:c>
      <x:c r="S370" s="19" t="n">
        <x:f>IF(I370=1,IF(J370=0,Q370,IF(J370=1,P370,IF(J370=2,O370,0))),0)</x:f>
        <x:v>1</x:v>
      </x:c>
      <x:c r="T370" s="19" t="n">
        <x:f>K370+IF(AND(S370=1,J370=0),1,0)</x:f>
        <x:v>0</x:v>
      </x:c>
      <x:c r="U370" s="19" t="n">
        <x:f>L370+IF(AND(S370=1,J370=1),1,0)</x:f>
        <x:v>5</x:v>
      </x:c>
      <x:c r="V370" s="19" t="n">
        <x:f>M370+IF(AND(S370=1,J370=2),1,0)</x:f>
        <x:v>0</x:v>
      </x:c>
      <x:c r="W370" s="19" t="n">
        <x:f>SUM(T370:V370)</x:f>
        <x:v>5</x:v>
      </x:c>
      <x:c r="X370" s="19" t="n">
        <x:f>W370-G370</x:f>
        <x:v>0</x:v>
      </x:c>
      <x:c r="Y370" s="19" t="n">
        <x:f>MAX(T370,1)+MAX(U370,1)+MAX(V370,1)</x:f>
        <x:v>7</x:v>
      </x:c>
      <x:c r="Z370" s="21" t="str">
        <x:f>IF(AND(MIN(D370:F370)&gt;=0,MAX(D370:F370)&lt;=7,MAX(D370,1)+MAX(E370,1)+MAX(F370,1)&lt;=9,OR(H370="-",AND(H370=0,D370&gt;0),AND(H370=1,E370&gt;0),AND(H370=2,F370&gt;0)),OR(I370=0,AND(I370=1,OR(J370=0,J370=1,J370=2),R370&lt;&gt;"000")),Y370&lt;=9,MIN(T370:V370)&gt;=0),"合法","输入违约")</x:f>
        <x:v>合法</x:v>
      </x:c>
    </x:row>
    <x:row r="371" ht="23" customHeight="1">
      <x:c r="A371" s="3" t="str">
        <x:v>CT-0364</x:v>
      </x:c>
      <x:c r="B371" s="3" t="str">
        <x:v>ST-041</x:v>
      </x:c>
      <x:c r="C371" s="3" t="str">
        <x:v>R+AR同收同发</x:v>
      </x:c>
      <x:c r="D371" s="25" t="n">
        <x:v>0</x:v>
      </x:c>
      <x:c r="E371" s="25" t="n">
        <x:v>5</x:v>
      </x:c>
      <x:c r="F371" s="25" t="n">
        <x:v>0</x:v>
      </x:c>
      <x:c r="G371" s="19" t="n">
        <x:f>SUM(D371:F371)</x:f>
        <x:v>5</x:v>
      </x:c>
      <x:c r="H371" s="25" t="n">
        <x:v>1</x:v>
      </x:c>
      <x:c r="I371" s="25" t="n">
        <x:v>1</x:v>
      </x:c>
      <x:c r="J371" s="25" t="n">
        <x:v>2</x:v>
      </x:c>
      <x:c r="K371" s="19" t="n">
        <x:f>D371-IF(H371=0,1,0)</x:f>
        <x:v>0</x:v>
      </x:c>
      <x:c r="L371" s="19" t="n">
        <x:f>E371-IF(H371=1,1,0)</x:f>
        <x:v>4</x:v>
      </x:c>
      <x:c r="M371" s="19" t="n">
        <x:f>F371-IF(H371=2,1,0)</x:f>
        <x:v>0</x:v>
      </x:c>
      <x:c r="N371" s="19" t="n">
        <x:f>MAX(K371-1,0)+MAX(L371-1,0)+MAX(M371-1,0)</x:f>
        <x:v>3</x:v>
      </x:c>
      <x:c r="O371" s="19" t="n">
        <x:f>IF(AND(SUM(K371:M371)&lt;9,OR(M371=0,N371&lt;6)),1,0)</x:f>
        <x:v>1</x:v>
      </x:c>
      <x:c r="P371" s="19" t="n">
        <x:f>IF(AND(SUM(K371:M371)&lt;9,OR(L371=0,N371&lt;6)),1,0)</x:f>
        <x:v>1</x:v>
      </x:c>
      <x:c r="Q371" s="19" t="n">
        <x:f>IF(AND(SUM(K371:M371)&lt;9,OR(K371=0,N371&lt;6)),1,0)</x:f>
        <x:v>1</x:v>
      </x:c>
      <x:c r="R371" s="22" t="str">
        <x:f>O371&amp;P371&amp;Q371</x:f>
        <x:v>111</x:v>
      </x:c>
      <x:c r="S371" s="19" t="n">
        <x:f>IF(I371=1,IF(J371=0,Q371,IF(J371=1,P371,IF(J371=2,O371,0))),0)</x:f>
        <x:v>1</x:v>
      </x:c>
      <x:c r="T371" s="19" t="n">
        <x:f>K371+IF(AND(S371=1,J371=0),1,0)</x:f>
        <x:v>0</x:v>
      </x:c>
      <x:c r="U371" s="19" t="n">
        <x:f>L371+IF(AND(S371=1,J371=1),1,0)</x:f>
        <x:v>4</x:v>
      </x:c>
      <x:c r="V371" s="19" t="n">
        <x:f>M371+IF(AND(S371=1,J371=2),1,0)</x:f>
        <x:v>1</x:v>
      </x:c>
      <x:c r="W371" s="19" t="n">
        <x:f>SUM(T371:V371)</x:f>
        <x:v>5</x:v>
      </x:c>
      <x:c r="X371" s="19" t="n">
        <x:f>W371-G371</x:f>
        <x:v>0</x:v>
      </x:c>
      <x:c r="Y371" s="19" t="n">
        <x:f>MAX(T371,1)+MAX(U371,1)+MAX(V371,1)</x:f>
        <x:v>6</x:v>
      </x:c>
      <x:c r="Z371" s="21" t="str">
        <x:f>IF(AND(MIN(D371:F371)&gt;=0,MAX(D371:F371)&lt;=7,MAX(D371,1)+MAX(E371,1)+MAX(F371,1)&lt;=9,OR(H371="-",AND(H371=0,D371&gt;0),AND(H371=1,E371&gt;0),AND(H371=2,F371&gt;0)),OR(I371=0,AND(I371=1,OR(J371=0,J371=1,J371=2),R371&lt;&gt;"000")),Y371&lt;=9,MIN(T371:V371)&gt;=0),"合法","输入违约")</x:f>
        <x:v>合法</x:v>
      </x:c>
    </x:row>
    <x:row r="372" ht="23" customHeight="1">
      <x:c r="A372" s="3" t="str">
        <x:v>CT-0365</x:v>
      </x:c>
      <x:c r="B372" s="3" t="str">
        <x:v>ST-062</x:v>
      </x:c>
      <x:c r="C372" s="3" t="str">
        <x:v>无AR/R</x:v>
      </x:c>
      <x:c r="D372" s="25" t="n">
        <x:v>0</x:v>
      </x:c>
      <x:c r="E372" s="25" t="n">
        <x:v>5</x:v>
      </x:c>
      <x:c r="F372" s="25" t="n">
        <x:v>1</x:v>
      </x:c>
      <x:c r="G372" s="19" t="n">
        <x:f>SUM(D372:F372)</x:f>
        <x:v>6</x:v>
      </x:c>
      <x:c r="H372" s="25" t="str">
        <x:v>-</x:v>
      </x:c>
      <x:c r="I372" s="25" t="n">
        <x:v>0</x:v>
      </x:c>
      <x:c r="J372" s="25" t="str">
        <x:v>-</x:v>
      </x:c>
      <x:c r="K372" s="19" t="n">
        <x:f>D372-IF(H372=0,1,0)</x:f>
        <x:v>0</x:v>
      </x:c>
      <x:c r="L372" s="19" t="n">
        <x:f>E372-IF(H372=1,1,0)</x:f>
        <x:v>5</x:v>
      </x:c>
      <x:c r="M372" s="19" t="n">
        <x:f>F372-IF(H372=2,1,0)</x:f>
        <x:v>1</x:v>
      </x:c>
      <x:c r="N372" s="19" t="n">
        <x:f>MAX(K372-1,0)+MAX(L372-1,0)+MAX(M372-1,0)</x:f>
        <x:v>4</x:v>
      </x:c>
      <x:c r="O372" s="19" t="n">
        <x:f>IF(AND(SUM(K372:M372)&lt;9,OR(M372=0,N372&lt;6)),1,0)</x:f>
        <x:v>1</x:v>
      </x:c>
      <x:c r="P372" s="19" t="n">
        <x:f>IF(AND(SUM(K372:M372)&lt;9,OR(L372=0,N372&lt;6)),1,0)</x:f>
        <x:v>1</x:v>
      </x:c>
      <x:c r="Q372" s="19" t="n">
        <x:f>IF(AND(SUM(K372:M372)&lt;9,OR(K372=0,N372&lt;6)),1,0)</x:f>
        <x:v>1</x:v>
      </x:c>
      <x:c r="R372" s="22" t="str">
        <x:f>O372&amp;P372&amp;Q372</x:f>
        <x:v>111</x:v>
      </x:c>
      <x:c r="S372" s="19" t="n">
        <x:f>IF(I372=1,IF(J372=0,Q372,IF(J372=1,P372,IF(J372=2,O372,0))),0)</x:f>
        <x:v>0</x:v>
      </x:c>
      <x:c r="T372" s="19" t="n">
        <x:f>K372+IF(AND(S372=1,J372=0),1,0)</x:f>
        <x:v>0</x:v>
      </x:c>
      <x:c r="U372" s="19" t="n">
        <x:f>L372+IF(AND(S372=1,J372=1),1,0)</x:f>
        <x:v>5</x:v>
      </x:c>
      <x:c r="V372" s="19" t="n">
        <x:f>M372+IF(AND(S372=1,J372=2),1,0)</x:f>
        <x:v>1</x:v>
      </x:c>
      <x:c r="W372" s="19" t="n">
        <x:f>SUM(T372:V372)</x:f>
        <x:v>6</x:v>
      </x:c>
      <x:c r="X372" s="19" t="n">
        <x:f>W372-G372</x:f>
        <x:v>0</x:v>
      </x:c>
      <x:c r="Y372" s="19" t="n">
        <x:f>MAX(T372,1)+MAX(U372,1)+MAX(V372,1)</x:f>
        <x:v>7</x:v>
      </x:c>
      <x:c r="Z372" s="21" t="str">
        <x:f>IF(AND(MIN(D372:F372)&gt;=0,MAX(D372:F372)&lt;=7,MAX(D372,1)+MAX(E372,1)+MAX(F372,1)&lt;=9,OR(H372="-",AND(H372=0,D372&gt;0),AND(H372=1,E372&gt;0),AND(H372=2,F372&gt;0)),OR(I372=0,AND(I372=1,OR(J372=0,J372=1,J372=2),R372&lt;&gt;"000")),Y372&lt;=9,MIN(T372:V372)&gt;=0),"合法","输入违约")</x:f>
        <x:v>合法</x:v>
      </x:c>
    </x:row>
    <x:row r="373" ht="23" customHeight="1">
      <x:c r="A373" s="3" t="str">
        <x:v>CT-0366</x:v>
      </x:c>
      <x:c r="B373" s="3" t="str">
        <x:v>ST-062</x:v>
      </x:c>
      <x:c r="C373" s="3" t="str">
        <x:v>仅AR接收</x:v>
      </x:c>
      <x:c r="D373" s="25" t="n">
        <x:v>0</x:v>
      </x:c>
      <x:c r="E373" s="25" t="n">
        <x:v>5</x:v>
      </x:c>
      <x:c r="F373" s="25" t="n">
        <x:v>1</x:v>
      </x:c>
      <x:c r="G373" s="19" t="n">
        <x:f>SUM(D373:F373)</x:f>
        <x:v>6</x:v>
      </x:c>
      <x:c r="H373" s="25" t="str">
        <x:v>-</x:v>
      </x:c>
      <x:c r="I373" s="25" t="n">
        <x:v>1</x:v>
      </x:c>
      <x:c r="J373" s="25" t="n">
        <x:v>0</x:v>
      </x:c>
      <x:c r="K373" s="19" t="n">
        <x:f>D373-IF(H373=0,1,0)</x:f>
        <x:v>0</x:v>
      </x:c>
      <x:c r="L373" s="19" t="n">
        <x:f>E373-IF(H373=1,1,0)</x:f>
        <x:v>5</x:v>
      </x:c>
      <x:c r="M373" s="19" t="n">
        <x:f>F373-IF(H373=2,1,0)</x:f>
        <x:v>1</x:v>
      </x:c>
      <x:c r="N373" s="19" t="n">
        <x:f>MAX(K373-1,0)+MAX(L373-1,0)+MAX(M373-1,0)</x:f>
        <x:v>4</x:v>
      </x:c>
      <x:c r="O373" s="19" t="n">
        <x:f>IF(AND(SUM(K373:M373)&lt;9,OR(M373=0,N373&lt;6)),1,0)</x:f>
        <x:v>1</x:v>
      </x:c>
      <x:c r="P373" s="19" t="n">
        <x:f>IF(AND(SUM(K373:M373)&lt;9,OR(L373=0,N373&lt;6)),1,0)</x:f>
        <x:v>1</x:v>
      </x:c>
      <x:c r="Q373" s="19" t="n">
        <x:f>IF(AND(SUM(K373:M373)&lt;9,OR(K373=0,N373&lt;6)),1,0)</x:f>
        <x:v>1</x:v>
      </x:c>
      <x:c r="R373" s="22" t="str">
        <x:f>O373&amp;P373&amp;Q373</x:f>
        <x:v>111</x:v>
      </x:c>
      <x:c r="S373" s="19" t="n">
        <x:f>IF(I373=1,IF(J373=0,Q373,IF(J373=1,P373,IF(J373=2,O373,0))),0)</x:f>
        <x:v>1</x:v>
      </x:c>
      <x:c r="T373" s="19" t="n">
        <x:f>K373+IF(AND(S373=1,J373=0),1,0)</x:f>
        <x:v>1</x:v>
      </x:c>
      <x:c r="U373" s="19" t="n">
        <x:f>L373+IF(AND(S373=1,J373=1),1,0)</x:f>
        <x:v>5</x:v>
      </x:c>
      <x:c r="V373" s="19" t="n">
        <x:f>M373+IF(AND(S373=1,J373=2),1,0)</x:f>
        <x:v>1</x:v>
      </x:c>
      <x:c r="W373" s="19" t="n">
        <x:f>SUM(T373:V373)</x:f>
        <x:v>7</x:v>
      </x:c>
      <x:c r="X373" s="19" t="n">
        <x:f>W373-G373</x:f>
        <x:v>1</x:v>
      </x:c>
      <x:c r="Y373" s="19" t="n">
        <x:f>MAX(T373,1)+MAX(U373,1)+MAX(V373,1)</x:f>
        <x:v>7</x:v>
      </x:c>
      <x:c r="Z373" s="21" t="str">
        <x:f>IF(AND(MIN(D373:F373)&gt;=0,MAX(D373:F373)&lt;=7,MAX(D373,1)+MAX(E373,1)+MAX(F373,1)&lt;=9,OR(H373="-",AND(H373=0,D373&gt;0),AND(H373=1,E373&gt;0),AND(H373=2,F373&gt;0)),OR(I373=0,AND(I373=1,OR(J373=0,J373=1,J373=2),R373&lt;&gt;"000")),Y373&lt;=9,MIN(T373:V373)&gt;=0),"合法","输入违约")</x:f>
        <x:v>合法</x:v>
      </x:c>
    </x:row>
    <x:row r="374" ht="23" customHeight="1">
      <x:c r="A374" s="3" t="str">
        <x:v>CT-0367</x:v>
      </x:c>
      <x:c r="B374" s="3" t="str">
        <x:v>ST-062</x:v>
      </x:c>
      <x:c r="C374" s="3" t="str">
        <x:v>仅AR接收</x:v>
      </x:c>
      <x:c r="D374" s="25" t="n">
        <x:v>0</x:v>
      </x:c>
      <x:c r="E374" s="25" t="n">
        <x:v>5</x:v>
      </x:c>
      <x:c r="F374" s="25" t="n">
        <x:v>1</x:v>
      </x:c>
      <x:c r="G374" s="19" t="n">
        <x:f>SUM(D374:F374)</x:f>
        <x:v>6</x:v>
      </x:c>
      <x:c r="H374" s="25" t="str">
        <x:v>-</x:v>
      </x:c>
      <x:c r="I374" s="25" t="n">
        <x:v>1</x:v>
      </x:c>
      <x:c r="J374" s="25" t="n">
        <x:v>1</x:v>
      </x:c>
      <x:c r="K374" s="19" t="n">
        <x:f>D374-IF(H374=0,1,0)</x:f>
        <x:v>0</x:v>
      </x:c>
      <x:c r="L374" s="19" t="n">
        <x:f>E374-IF(H374=1,1,0)</x:f>
        <x:v>5</x:v>
      </x:c>
      <x:c r="M374" s="19" t="n">
        <x:f>F374-IF(H374=2,1,0)</x:f>
        <x:v>1</x:v>
      </x:c>
      <x:c r="N374" s="19" t="n">
        <x:f>MAX(K374-1,0)+MAX(L374-1,0)+MAX(M374-1,0)</x:f>
        <x:v>4</x:v>
      </x:c>
      <x:c r="O374" s="19" t="n">
        <x:f>IF(AND(SUM(K374:M374)&lt;9,OR(M374=0,N374&lt;6)),1,0)</x:f>
        <x:v>1</x:v>
      </x:c>
      <x:c r="P374" s="19" t="n">
        <x:f>IF(AND(SUM(K374:M374)&lt;9,OR(L374=0,N374&lt;6)),1,0)</x:f>
        <x:v>1</x:v>
      </x:c>
      <x:c r="Q374" s="19" t="n">
        <x:f>IF(AND(SUM(K374:M374)&lt;9,OR(K374=0,N374&lt;6)),1,0)</x:f>
        <x:v>1</x:v>
      </x:c>
      <x:c r="R374" s="22" t="str">
        <x:f>O374&amp;P374&amp;Q374</x:f>
        <x:v>111</x:v>
      </x:c>
      <x:c r="S374" s="19" t="n">
        <x:f>IF(I374=1,IF(J374=0,Q374,IF(J374=1,P374,IF(J374=2,O374,0))),0)</x:f>
        <x:v>1</x:v>
      </x:c>
      <x:c r="T374" s="19" t="n">
        <x:f>K374+IF(AND(S374=1,J374=0),1,0)</x:f>
        <x:v>0</x:v>
      </x:c>
      <x:c r="U374" s="19" t="n">
        <x:f>L374+IF(AND(S374=1,J374=1),1,0)</x:f>
        <x:v>6</x:v>
      </x:c>
      <x:c r="V374" s="19" t="n">
        <x:f>M374+IF(AND(S374=1,J374=2),1,0)</x:f>
        <x:v>1</x:v>
      </x:c>
      <x:c r="W374" s="19" t="n">
        <x:f>SUM(T374:V374)</x:f>
        <x:v>7</x:v>
      </x:c>
      <x:c r="X374" s="19" t="n">
        <x:f>W374-G374</x:f>
        <x:v>1</x:v>
      </x:c>
      <x:c r="Y374" s="19" t="n">
        <x:f>MAX(T374,1)+MAX(U374,1)+MAX(V374,1)</x:f>
        <x:v>8</x:v>
      </x:c>
      <x:c r="Z374" s="21" t="str">
        <x:f>IF(AND(MIN(D374:F374)&gt;=0,MAX(D374:F374)&lt;=7,MAX(D374,1)+MAX(E374,1)+MAX(F374,1)&lt;=9,OR(H374="-",AND(H374=0,D374&gt;0),AND(H374=1,E374&gt;0),AND(H374=2,F374&gt;0)),OR(I374=0,AND(I374=1,OR(J374=0,J374=1,J374=2),R374&lt;&gt;"000")),Y374&lt;=9,MIN(T374:V374)&gt;=0),"合法","输入违约")</x:f>
        <x:v>合法</x:v>
      </x:c>
    </x:row>
    <x:row r="375" ht="23" customHeight="1">
      <x:c r="A375" s="3" t="str">
        <x:v>CT-0368</x:v>
      </x:c>
      <x:c r="B375" s="3" t="str">
        <x:v>ST-062</x:v>
      </x:c>
      <x:c r="C375" s="3" t="str">
        <x:v>仅AR接收</x:v>
      </x:c>
      <x:c r="D375" s="25" t="n">
        <x:v>0</x:v>
      </x:c>
      <x:c r="E375" s="25" t="n">
        <x:v>5</x:v>
      </x:c>
      <x:c r="F375" s="25" t="n">
        <x:v>1</x:v>
      </x:c>
      <x:c r="G375" s="19" t="n">
        <x:f>SUM(D375:F375)</x:f>
        <x:v>6</x:v>
      </x:c>
      <x:c r="H375" s="25" t="str">
        <x:v>-</x:v>
      </x:c>
      <x:c r="I375" s="25" t="n">
        <x:v>1</x:v>
      </x:c>
      <x:c r="J375" s="25" t="n">
        <x:v>2</x:v>
      </x:c>
      <x:c r="K375" s="19" t="n">
        <x:f>D375-IF(H375=0,1,0)</x:f>
        <x:v>0</x:v>
      </x:c>
      <x:c r="L375" s="19" t="n">
        <x:f>E375-IF(H375=1,1,0)</x:f>
        <x:v>5</x:v>
      </x:c>
      <x:c r="M375" s="19" t="n">
        <x:f>F375-IF(H375=2,1,0)</x:f>
        <x:v>1</x:v>
      </x:c>
      <x:c r="N375" s="19" t="n">
        <x:f>MAX(K375-1,0)+MAX(L375-1,0)+MAX(M375-1,0)</x:f>
        <x:v>4</x:v>
      </x:c>
      <x:c r="O375" s="19" t="n">
        <x:f>IF(AND(SUM(K375:M375)&lt;9,OR(M375=0,N375&lt;6)),1,0)</x:f>
        <x:v>1</x:v>
      </x:c>
      <x:c r="P375" s="19" t="n">
        <x:f>IF(AND(SUM(K375:M375)&lt;9,OR(L375=0,N375&lt;6)),1,0)</x:f>
        <x:v>1</x:v>
      </x:c>
      <x:c r="Q375" s="19" t="n">
        <x:f>IF(AND(SUM(K375:M375)&lt;9,OR(K375=0,N375&lt;6)),1,0)</x:f>
        <x:v>1</x:v>
      </x:c>
      <x:c r="R375" s="22" t="str">
        <x:f>O375&amp;P375&amp;Q375</x:f>
        <x:v>111</x:v>
      </x:c>
      <x:c r="S375" s="19" t="n">
        <x:f>IF(I375=1,IF(J375=0,Q375,IF(J375=1,P375,IF(J375=2,O375,0))),0)</x:f>
        <x:v>1</x:v>
      </x:c>
      <x:c r="T375" s="19" t="n">
        <x:f>K375+IF(AND(S375=1,J375=0),1,0)</x:f>
        <x:v>0</x:v>
      </x:c>
      <x:c r="U375" s="19" t="n">
        <x:f>L375+IF(AND(S375=1,J375=1),1,0)</x:f>
        <x:v>5</x:v>
      </x:c>
      <x:c r="V375" s="19" t="n">
        <x:f>M375+IF(AND(S375=1,J375=2),1,0)</x:f>
        <x:v>2</x:v>
      </x:c>
      <x:c r="W375" s="19" t="n">
        <x:f>SUM(T375:V375)</x:f>
        <x:v>7</x:v>
      </x:c>
      <x:c r="X375" s="19" t="n">
        <x:f>W375-G375</x:f>
        <x:v>1</x:v>
      </x:c>
      <x:c r="Y375" s="19" t="n">
        <x:f>MAX(T375,1)+MAX(U375,1)+MAX(V375,1)</x:f>
        <x:v>8</x:v>
      </x:c>
      <x:c r="Z375" s="21" t="str">
        <x:f>IF(AND(MIN(D375:F375)&gt;=0,MAX(D375:F375)&lt;=7,MAX(D375,1)+MAX(E375,1)+MAX(F375,1)&lt;=9,OR(H375="-",AND(H375=0,D375&gt;0),AND(H375=1,E375&gt;0),AND(H375=2,F375&gt;0)),OR(I375=0,AND(I375=1,OR(J375=0,J375=1,J375=2),R375&lt;&gt;"000")),Y375&lt;=9,MIN(T375:V375)&gt;=0),"合法","输入违约")</x:f>
        <x:v>合法</x:v>
      </x:c>
    </x:row>
    <x:row r="376" ht="23" customHeight="1">
      <x:c r="A376" s="3" t="str">
        <x:v>CT-0369</x:v>
      </x:c>
      <x:c r="B376" s="3" t="str">
        <x:v>ST-062</x:v>
      </x:c>
      <x:c r="C376" s="3" t="str">
        <x:v>仅R回收</x:v>
      </x:c>
      <x:c r="D376" s="25" t="n">
        <x:v>0</x:v>
      </x:c>
      <x:c r="E376" s="25" t="n">
        <x:v>5</x:v>
      </x:c>
      <x:c r="F376" s="25" t="n">
        <x:v>1</x:v>
      </x:c>
      <x:c r="G376" s="19" t="n">
        <x:f>SUM(D376:F376)</x:f>
        <x:v>6</x:v>
      </x:c>
      <x:c r="H376" s="25" t="n">
        <x:v>1</x:v>
      </x:c>
      <x:c r="I376" s="25" t="n">
        <x:v>0</x:v>
      </x:c>
      <x:c r="J376" s="25" t="str">
        <x:v>-</x:v>
      </x:c>
      <x:c r="K376" s="19" t="n">
        <x:f>D376-IF(H376=0,1,0)</x:f>
        <x:v>0</x:v>
      </x:c>
      <x:c r="L376" s="19" t="n">
        <x:f>E376-IF(H376=1,1,0)</x:f>
        <x:v>4</x:v>
      </x:c>
      <x:c r="M376" s="19" t="n">
        <x:f>F376-IF(H376=2,1,0)</x:f>
        <x:v>1</x:v>
      </x:c>
      <x:c r="N376" s="19" t="n">
        <x:f>MAX(K376-1,0)+MAX(L376-1,0)+MAX(M376-1,0)</x:f>
        <x:v>3</x:v>
      </x:c>
      <x:c r="O376" s="19" t="n">
        <x:f>IF(AND(SUM(K376:M376)&lt;9,OR(M376=0,N376&lt;6)),1,0)</x:f>
        <x:v>1</x:v>
      </x:c>
      <x:c r="P376" s="19" t="n">
        <x:f>IF(AND(SUM(K376:M376)&lt;9,OR(L376=0,N376&lt;6)),1,0)</x:f>
        <x:v>1</x:v>
      </x:c>
      <x:c r="Q376" s="19" t="n">
        <x:f>IF(AND(SUM(K376:M376)&lt;9,OR(K376=0,N376&lt;6)),1,0)</x:f>
        <x:v>1</x:v>
      </x:c>
      <x:c r="R376" s="22" t="str">
        <x:f>O376&amp;P376&amp;Q376</x:f>
        <x:v>111</x:v>
      </x:c>
      <x:c r="S376" s="19" t="n">
        <x:f>IF(I376=1,IF(J376=0,Q376,IF(J376=1,P376,IF(J376=2,O376,0))),0)</x:f>
        <x:v>0</x:v>
      </x:c>
      <x:c r="T376" s="19" t="n">
        <x:f>K376+IF(AND(S376=1,J376=0),1,0)</x:f>
        <x:v>0</x:v>
      </x:c>
      <x:c r="U376" s="19" t="n">
        <x:f>L376+IF(AND(S376=1,J376=1),1,0)</x:f>
        <x:v>4</x:v>
      </x:c>
      <x:c r="V376" s="19" t="n">
        <x:f>M376+IF(AND(S376=1,J376=2),1,0)</x:f>
        <x:v>1</x:v>
      </x:c>
      <x:c r="W376" s="19" t="n">
        <x:f>SUM(T376:V376)</x:f>
        <x:v>5</x:v>
      </x:c>
      <x:c r="X376" s="19" t="n">
        <x:f>W376-G376</x:f>
        <x:v>-1</x:v>
      </x:c>
      <x:c r="Y376" s="19" t="n">
        <x:f>MAX(T376,1)+MAX(U376,1)+MAX(V376,1)</x:f>
        <x:v>6</x:v>
      </x:c>
      <x:c r="Z376" s="21" t="str">
        <x:f>IF(AND(MIN(D376:F376)&gt;=0,MAX(D376:F376)&lt;=7,MAX(D376,1)+MAX(E376,1)+MAX(F376,1)&lt;=9,OR(H376="-",AND(H376=0,D376&gt;0),AND(H376=1,E376&gt;0),AND(H376=2,F376&gt;0)),OR(I376=0,AND(I376=1,OR(J376=0,J376=1,J376=2),R376&lt;&gt;"000")),Y376&lt;=9,MIN(T376:V376)&gt;=0),"合法","输入违约")</x:f>
        <x:v>合法</x:v>
      </x:c>
    </x:row>
    <x:row r="377" ht="23" customHeight="1">
      <x:c r="A377" s="3" t="str">
        <x:v>CT-0370</x:v>
      </x:c>
      <x:c r="B377" s="3" t="str">
        <x:v>ST-062</x:v>
      </x:c>
      <x:c r="C377" s="3" t="str">
        <x:v>R+AR同收同发</x:v>
      </x:c>
      <x:c r="D377" s="25" t="n">
        <x:v>0</x:v>
      </x:c>
      <x:c r="E377" s="25" t="n">
        <x:v>5</x:v>
      </x:c>
      <x:c r="F377" s="25" t="n">
        <x:v>1</x:v>
      </x:c>
      <x:c r="G377" s="19" t="n">
        <x:f>SUM(D377:F377)</x:f>
        <x:v>6</x:v>
      </x:c>
      <x:c r="H377" s="25" t="n">
        <x:v>1</x:v>
      </x:c>
      <x:c r="I377" s="25" t="n">
        <x:v>1</x:v>
      </x:c>
      <x:c r="J377" s="25" t="n">
        <x:v>0</x:v>
      </x:c>
      <x:c r="K377" s="19" t="n">
        <x:f>D377-IF(H377=0,1,0)</x:f>
        <x:v>0</x:v>
      </x:c>
      <x:c r="L377" s="19" t="n">
        <x:f>E377-IF(H377=1,1,0)</x:f>
        <x:v>4</x:v>
      </x:c>
      <x:c r="M377" s="19" t="n">
        <x:f>F377-IF(H377=2,1,0)</x:f>
        <x:v>1</x:v>
      </x:c>
      <x:c r="N377" s="19" t="n">
        <x:f>MAX(K377-1,0)+MAX(L377-1,0)+MAX(M377-1,0)</x:f>
        <x:v>3</x:v>
      </x:c>
      <x:c r="O377" s="19" t="n">
        <x:f>IF(AND(SUM(K377:M377)&lt;9,OR(M377=0,N377&lt;6)),1,0)</x:f>
        <x:v>1</x:v>
      </x:c>
      <x:c r="P377" s="19" t="n">
        <x:f>IF(AND(SUM(K377:M377)&lt;9,OR(L377=0,N377&lt;6)),1,0)</x:f>
        <x:v>1</x:v>
      </x:c>
      <x:c r="Q377" s="19" t="n">
        <x:f>IF(AND(SUM(K377:M377)&lt;9,OR(K377=0,N377&lt;6)),1,0)</x:f>
        <x:v>1</x:v>
      </x:c>
      <x:c r="R377" s="22" t="str">
        <x:f>O377&amp;P377&amp;Q377</x:f>
        <x:v>111</x:v>
      </x:c>
      <x:c r="S377" s="19" t="n">
        <x:f>IF(I377=1,IF(J377=0,Q377,IF(J377=1,P377,IF(J377=2,O377,0))),0)</x:f>
        <x:v>1</x:v>
      </x:c>
      <x:c r="T377" s="19" t="n">
        <x:f>K377+IF(AND(S377=1,J377=0),1,0)</x:f>
        <x:v>1</x:v>
      </x:c>
      <x:c r="U377" s="19" t="n">
        <x:f>L377+IF(AND(S377=1,J377=1),1,0)</x:f>
        <x:v>4</x:v>
      </x:c>
      <x:c r="V377" s="19" t="n">
        <x:f>M377+IF(AND(S377=1,J377=2),1,0)</x:f>
        <x:v>1</x:v>
      </x:c>
      <x:c r="W377" s="19" t="n">
        <x:f>SUM(T377:V377)</x:f>
        <x:v>6</x:v>
      </x:c>
      <x:c r="X377" s="19" t="n">
        <x:f>W377-G377</x:f>
        <x:v>0</x:v>
      </x:c>
      <x:c r="Y377" s="19" t="n">
        <x:f>MAX(T377,1)+MAX(U377,1)+MAX(V377,1)</x:f>
        <x:v>6</x:v>
      </x:c>
      <x:c r="Z377" s="21" t="str">
        <x:f>IF(AND(MIN(D377:F377)&gt;=0,MAX(D377:F377)&lt;=7,MAX(D377,1)+MAX(E377,1)+MAX(F377,1)&lt;=9,OR(H377="-",AND(H377=0,D377&gt;0),AND(H377=1,E377&gt;0),AND(H377=2,F377&gt;0)),OR(I377=0,AND(I377=1,OR(J377=0,J377=1,J377=2),R377&lt;&gt;"000")),Y377&lt;=9,MIN(T377:V377)&gt;=0),"合法","输入违约")</x:f>
        <x:v>合法</x:v>
      </x:c>
    </x:row>
    <x:row r="378" ht="23" customHeight="1">
      <x:c r="A378" s="3" t="str">
        <x:v>CT-0371</x:v>
      </x:c>
      <x:c r="B378" s="3" t="str">
        <x:v>ST-062</x:v>
      </x:c>
      <x:c r="C378" s="3" t="str">
        <x:v>R+AR同收同发</x:v>
      </x:c>
      <x:c r="D378" s="25" t="n">
        <x:v>0</x:v>
      </x:c>
      <x:c r="E378" s="25" t="n">
        <x:v>5</x:v>
      </x:c>
      <x:c r="F378" s="25" t="n">
        <x:v>1</x:v>
      </x:c>
      <x:c r="G378" s="19" t="n">
        <x:f>SUM(D378:F378)</x:f>
        <x:v>6</x:v>
      </x:c>
      <x:c r="H378" s="25" t="n">
        <x:v>1</x:v>
      </x:c>
      <x:c r="I378" s="25" t="n">
        <x:v>1</x:v>
      </x:c>
      <x:c r="J378" s="25" t="n">
        <x:v>1</x:v>
      </x:c>
      <x:c r="K378" s="19" t="n">
        <x:f>D378-IF(H378=0,1,0)</x:f>
        <x:v>0</x:v>
      </x:c>
      <x:c r="L378" s="19" t="n">
        <x:f>E378-IF(H378=1,1,0)</x:f>
        <x:v>4</x:v>
      </x:c>
      <x:c r="M378" s="19" t="n">
        <x:f>F378-IF(H378=2,1,0)</x:f>
        <x:v>1</x:v>
      </x:c>
      <x:c r="N378" s="19" t="n">
        <x:f>MAX(K378-1,0)+MAX(L378-1,0)+MAX(M378-1,0)</x:f>
        <x:v>3</x:v>
      </x:c>
      <x:c r="O378" s="19" t="n">
        <x:f>IF(AND(SUM(K378:M378)&lt;9,OR(M378=0,N378&lt;6)),1,0)</x:f>
        <x:v>1</x:v>
      </x:c>
      <x:c r="P378" s="19" t="n">
        <x:f>IF(AND(SUM(K378:M378)&lt;9,OR(L378=0,N378&lt;6)),1,0)</x:f>
        <x:v>1</x:v>
      </x:c>
      <x:c r="Q378" s="19" t="n">
        <x:f>IF(AND(SUM(K378:M378)&lt;9,OR(K378=0,N378&lt;6)),1,0)</x:f>
        <x:v>1</x:v>
      </x:c>
      <x:c r="R378" s="22" t="str">
        <x:f>O378&amp;P378&amp;Q378</x:f>
        <x:v>111</x:v>
      </x:c>
      <x:c r="S378" s="19" t="n">
        <x:f>IF(I378=1,IF(J378=0,Q378,IF(J378=1,P378,IF(J378=2,O378,0))),0)</x:f>
        <x:v>1</x:v>
      </x:c>
      <x:c r="T378" s="19" t="n">
        <x:f>K378+IF(AND(S378=1,J378=0),1,0)</x:f>
        <x:v>0</x:v>
      </x:c>
      <x:c r="U378" s="19" t="n">
        <x:f>L378+IF(AND(S378=1,J378=1),1,0)</x:f>
        <x:v>5</x:v>
      </x:c>
      <x:c r="V378" s="19" t="n">
        <x:f>M378+IF(AND(S378=1,J378=2),1,0)</x:f>
        <x:v>1</x:v>
      </x:c>
      <x:c r="W378" s="19" t="n">
        <x:f>SUM(T378:V378)</x:f>
        <x:v>6</x:v>
      </x:c>
      <x:c r="X378" s="19" t="n">
        <x:f>W378-G378</x:f>
        <x:v>0</x:v>
      </x:c>
      <x:c r="Y378" s="19" t="n">
        <x:f>MAX(T378,1)+MAX(U378,1)+MAX(V378,1)</x:f>
        <x:v>7</x:v>
      </x:c>
      <x:c r="Z378" s="21" t="str">
        <x:f>IF(AND(MIN(D378:F378)&gt;=0,MAX(D378:F378)&lt;=7,MAX(D378,1)+MAX(E378,1)+MAX(F378,1)&lt;=9,OR(H378="-",AND(H378=0,D378&gt;0),AND(H378=1,E378&gt;0),AND(H378=2,F378&gt;0)),OR(I378=0,AND(I378=1,OR(J378=0,J378=1,J378=2),R378&lt;&gt;"000")),Y378&lt;=9,MIN(T378:V378)&gt;=0),"合法","输入违约")</x:f>
        <x:v>合法</x:v>
      </x:c>
    </x:row>
    <x:row r="379" ht="23" customHeight="1">
      <x:c r="A379" s="3" t="str">
        <x:v>CT-0372</x:v>
      </x:c>
      <x:c r="B379" s="3" t="str">
        <x:v>ST-062</x:v>
      </x:c>
      <x:c r="C379" s="3" t="str">
        <x:v>R+AR同收同发</x:v>
      </x:c>
      <x:c r="D379" s="25" t="n">
        <x:v>0</x:v>
      </x:c>
      <x:c r="E379" s="25" t="n">
        <x:v>5</x:v>
      </x:c>
      <x:c r="F379" s="25" t="n">
        <x:v>1</x:v>
      </x:c>
      <x:c r="G379" s="19" t="n">
        <x:f>SUM(D379:F379)</x:f>
        <x:v>6</x:v>
      </x:c>
      <x:c r="H379" s="25" t="n">
        <x:v>1</x:v>
      </x:c>
      <x:c r="I379" s="25" t="n">
        <x:v>1</x:v>
      </x:c>
      <x:c r="J379" s="25" t="n">
        <x:v>2</x:v>
      </x:c>
      <x:c r="K379" s="19" t="n">
        <x:f>D379-IF(H379=0,1,0)</x:f>
        <x:v>0</x:v>
      </x:c>
      <x:c r="L379" s="19" t="n">
        <x:f>E379-IF(H379=1,1,0)</x:f>
        <x:v>4</x:v>
      </x:c>
      <x:c r="M379" s="19" t="n">
        <x:f>F379-IF(H379=2,1,0)</x:f>
        <x:v>1</x:v>
      </x:c>
      <x:c r="N379" s="19" t="n">
        <x:f>MAX(K379-1,0)+MAX(L379-1,0)+MAX(M379-1,0)</x:f>
        <x:v>3</x:v>
      </x:c>
      <x:c r="O379" s="19" t="n">
        <x:f>IF(AND(SUM(K379:M379)&lt;9,OR(M379=0,N379&lt;6)),1,0)</x:f>
        <x:v>1</x:v>
      </x:c>
      <x:c r="P379" s="19" t="n">
        <x:f>IF(AND(SUM(K379:M379)&lt;9,OR(L379=0,N379&lt;6)),1,0)</x:f>
        <x:v>1</x:v>
      </x:c>
      <x:c r="Q379" s="19" t="n">
        <x:f>IF(AND(SUM(K379:M379)&lt;9,OR(K379=0,N379&lt;6)),1,0)</x:f>
        <x:v>1</x:v>
      </x:c>
      <x:c r="R379" s="22" t="str">
        <x:f>O379&amp;P379&amp;Q379</x:f>
        <x:v>111</x:v>
      </x:c>
      <x:c r="S379" s="19" t="n">
        <x:f>IF(I379=1,IF(J379=0,Q379,IF(J379=1,P379,IF(J379=2,O379,0))),0)</x:f>
        <x:v>1</x:v>
      </x:c>
      <x:c r="T379" s="19" t="n">
        <x:f>K379+IF(AND(S379=1,J379=0),1,0)</x:f>
        <x:v>0</x:v>
      </x:c>
      <x:c r="U379" s="19" t="n">
        <x:f>L379+IF(AND(S379=1,J379=1),1,0)</x:f>
        <x:v>4</x:v>
      </x:c>
      <x:c r="V379" s="19" t="n">
        <x:f>M379+IF(AND(S379=1,J379=2),1,0)</x:f>
        <x:v>2</x:v>
      </x:c>
      <x:c r="W379" s="19" t="n">
        <x:f>SUM(T379:V379)</x:f>
        <x:v>6</x:v>
      </x:c>
      <x:c r="X379" s="19" t="n">
        <x:f>W379-G379</x:f>
        <x:v>0</x:v>
      </x:c>
      <x:c r="Y379" s="19" t="n">
        <x:f>MAX(T379,1)+MAX(U379,1)+MAX(V379,1)</x:f>
        <x:v>7</x:v>
      </x:c>
      <x:c r="Z379" s="21" t="str">
        <x:f>IF(AND(MIN(D379:F379)&gt;=0,MAX(D379:F379)&lt;=7,MAX(D379,1)+MAX(E379,1)+MAX(F379,1)&lt;=9,OR(H379="-",AND(H379=0,D379&gt;0),AND(H379=1,E379&gt;0),AND(H379=2,F379&gt;0)),OR(I379=0,AND(I379=1,OR(J379=0,J379=1,J379=2),R379&lt;&gt;"000")),Y379&lt;=9,MIN(T379:V379)&gt;=0),"合法","输入违约")</x:f>
        <x:v>合法</x:v>
      </x:c>
    </x:row>
    <x:row r="380" ht="23" customHeight="1">
      <x:c r="A380" s="3" t="str">
        <x:v>CT-0373</x:v>
      </x:c>
      <x:c r="B380" s="3" t="str">
        <x:v>ST-062</x:v>
      </x:c>
      <x:c r="C380" s="3" t="str">
        <x:v>仅R回收</x:v>
      </x:c>
      <x:c r="D380" s="25" t="n">
        <x:v>0</x:v>
      </x:c>
      <x:c r="E380" s="25" t="n">
        <x:v>5</x:v>
      </x:c>
      <x:c r="F380" s="25" t="n">
        <x:v>1</x:v>
      </x:c>
      <x:c r="G380" s="19" t="n">
        <x:f>SUM(D380:F380)</x:f>
        <x:v>6</x:v>
      </x:c>
      <x:c r="H380" s="25" t="n">
        <x:v>2</x:v>
      </x:c>
      <x:c r="I380" s="25" t="n">
        <x:v>0</x:v>
      </x:c>
      <x:c r="J380" s="25" t="str">
        <x:v>-</x:v>
      </x:c>
      <x:c r="K380" s="19" t="n">
        <x:f>D380-IF(H380=0,1,0)</x:f>
        <x:v>0</x:v>
      </x:c>
      <x:c r="L380" s="19" t="n">
        <x:f>E380-IF(H380=1,1,0)</x:f>
        <x:v>5</x:v>
      </x:c>
      <x:c r="M380" s="19" t="n">
        <x:f>F380-IF(H380=2,1,0)</x:f>
        <x:v>0</x:v>
      </x:c>
      <x:c r="N380" s="19" t="n">
        <x:f>MAX(K380-1,0)+MAX(L380-1,0)+MAX(M380-1,0)</x:f>
        <x:v>4</x:v>
      </x:c>
      <x:c r="O380" s="19" t="n">
        <x:f>IF(AND(SUM(K380:M380)&lt;9,OR(M380=0,N380&lt;6)),1,0)</x:f>
        <x:v>1</x:v>
      </x:c>
      <x:c r="P380" s="19" t="n">
        <x:f>IF(AND(SUM(K380:M380)&lt;9,OR(L380=0,N380&lt;6)),1,0)</x:f>
        <x:v>1</x:v>
      </x:c>
      <x:c r="Q380" s="19" t="n">
        <x:f>IF(AND(SUM(K380:M380)&lt;9,OR(K380=0,N380&lt;6)),1,0)</x:f>
        <x:v>1</x:v>
      </x:c>
      <x:c r="R380" s="22" t="str">
        <x:f>O380&amp;P380&amp;Q380</x:f>
        <x:v>111</x:v>
      </x:c>
      <x:c r="S380" s="19" t="n">
        <x:f>IF(I380=1,IF(J380=0,Q380,IF(J380=1,P380,IF(J380=2,O380,0))),0)</x:f>
        <x:v>0</x:v>
      </x:c>
      <x:c r="T380" s="19" t="n">
        <x:f>K380+IF(AND(S380=1,J380=0),1,0)</x:f>
        <x:v>0</x:v>
      </x:c>
      <x:c r="U380" s="19" t="n">
        <x:f>L380+IF(AND(S380=1,J380=1),1,0)</x:f>
        <x:v>5</x:v>
      </x:c>
      <x:c r="V380" s="19" t="n">
        <x:f>M380+IF(AND(S380=1,J380=2),1,0)</x:f>
        <x:v>0</x:v>
      </x:c>
      <x:c r="W380" s="19" t="n">
        <x:f>SUM(T380:V380)</x:f>
        <x:v>5</x:v>
      </x:c>
      <x:c r="X380" s="19" t="n">
        <x:f>W380-G380</x:f>
        <x:v>-1</x:v>
      </x:c>
      <x:c r="Y380" s="19" t="n">
        <x:f>MAX(T380,1)+MAX(U380,1)+MAX(V380,1)</x:f>
        <x:v>7</x:v>
      </x:c>
      <x:c r="Z380" s="21" t="str">
        <x:f>IF(AND(MIN(D380:F380)&gt;=0,MAX(D380:F380)&lt;=7,MAX(D380,1)+MAX(E380,1)+MAX(F380,1)&lt;=9,OR(H380="-",AND(H380=0,D380&gt;0),AND(H380=1,E380&gt;0),AND(H380=2,F380&gt;0)),OR(I380=0,AND(I380=1,OR(J380=0,J380=1,J380=2),R380&lt;&gt;"000")),Y380&lt;=9,MIN(T380:V380)&gt;=0),"合法","输入违约")</x:f>
        <x:v>合法</x:v>
      </x:c>
    </x:row>
    <x:row r="381" ht="23" customHeight="1">
      <x:c r="A381" s="3" t="str">
        <x:v>CT-0374</x:v>
      </x:c>
      <x:c r="B381" s="3" t="str">
        <x:v>ST-062</x:v>
      </x:c>
      <x:c r="C381" s="3" t="str">
        <x:v>R+AR同收同发</x:v>
      </x:c>
      <x:c r="D381" s="25" t="n">
        <x:v>0</x:v>
      </x:c>
      <x:c r="E381" s="25" t="n">
        <x:v>5</x:v>
      </x:c>
      <x:c r="F381" s="25" t="n">
        <x:v>1</x:v>
      </x:c>
      <x:c r="G381" s="19" t="n">
        <x:f>SUM(D381:F381)</x:f>
        <x:v>6</x:v>
      </x:c>
      <x:c r="H381" s="25" t="n">
        <x:v>2</x:v>
      </x:c>
      <x:c r="I381" s="25" t="n">
        <x:v>1</x:v>
      </x:c>
      <x:c r="J381" s="25" t="n">
        <x:v>0</x:v>
      </x:c>
      <x:c r="K381" s="19" t="n">
        <x:f>D381-IF(H381=0,1,0)</x:f>
        <x:v>0</x:v>
      </x:c>
      <x:c r="L381" s="19" t="n">
        <x:f>E381-IF(H381=1,1,0)</x:f>
        <x:v>5</x:v>
      </x:c>
      <x:c r="M381" s="19" t="n">
        <x:f>F381-IF(H381=2,1,0)</x:f>
        <x:v>0</x:v>
      </x:c>
      <x:c r="N381" s="19" t="n">
        <x:f>MAX(K381-1,0)+MAX(L381-1,0)+MAX(M381-1,0)</x:f>
        <x:v>4</x:v>
      </x:c>
      <x:c r="O381" s="19" t="n">
        <x:f>IF(AND(SUM(K381:M381)&lt;9,OR(M381=0,N381&lt;6)),1,0)</x:f>
        <x:v>1</x:v>
      </x:c>
      <x:c r="P381" s="19" t="n">
        <x:f>IF(AND(SUM(K381:M381)&lt;9,OR(L381=0,N381&lt;6)),1,0)</x:f>
        <x:v>1</x:v>
      </x:c>
      <x:c r="Q381" s="19" t="n">
        <x:f>IF(AND(SUM(K381:M381)&lt;9,OR(K381=0,N381&lt;6)),1,0)</x:f>
        <x:v>1</x:v>
      </x:c>
      <x:c r="R381" s="22" t="str">
        <x:f>O381&amp;P381&amp;Q381</x:f>
        <x:v>111</x:v>
      </x:c>
      <x:c r="S381" s="19" t="n">
        <x:f>IF(I381=1,IF(J381=0,Q381,IF(J381=1,P381,IF(J381=2,O381,0))),0)</x:f>
        <x:v>1</x:v>
      </x:c>
      <x:c r="T381" s="19" t="n">
        <x:f>K381+IF(AND(S381=1,J381=0),1,0)</x:f>
        <x:v>1</x:v>
      </x:c>
      <x:c r="U381" s="19" t="n">
        <x:f>L381+IF(AND(S381=1,J381=1),1,0)</x:f>
        <x:v>5</x:v>
      </x:c>
      <x:c r="V381" s="19" t="n">
        <x:f>M381+IF(AND(S381=1,J381=2),1,0)</x:f>
        <x:v>0</x:v>
      </x:c>
      <x:c r="W381" s="19" t="n">
        <x:f>SUM(T381:V381)</x:f>
        <x:v>6</x:v>
      </x:c>
      <x:c r="X381" s="19" t="n">
        <x:f>W381-G381</x:f>
        <x:v>0</x:v>
      </x:c>
      <x:c r="Y381" s="19" t="n">
        <x:f>MAX(T381,1)+MAX(U381,1)+MAX(V381,1)</x:f>
        <x:v>7</x:v>
      </x:c>
      <x:c r="Z381" s="21" t="str">
        <x:f>IF(AND(MIN(D381:F381)&gt;=0,MAX(D381:F381)&lt;=7,MAX(D381,1)+MAX(E381,1)+MAX(F381,1)&lt;=9,OR(H381="-",AND(H381=0,D381&gt;0),AND(H381=1,E381&gt;0),AND(H381=2,F381&gt;0)),OR(I381=0,AND(I381=1,OR(J381=0,J381=1,J381=2),R381&lt;&gt;"000")),Y381&lt;=9,MIN(T381:V381)&gt;=0),"合法","输入违约")</x:f>
        <x:v>合法</x:v>
      </x:c>
    </x:row>
    <x:row r="382" ht="23" customHeight="1">
      <x:c r="A382" s="3" t="str">
        <x:v>CT-0375</x:v>
      </x:c>
      <x:c r="B382" s="3" t="str">
        <x:v>ST-062</x:v>
      </x:c>
      <x:c r="C382" s="3" t="str">
        <x:v>R+AR同收同发</x:v>
      </x:c>
      <x:c r="D382" s="25" t="n">
        <x:v>0</x:v>
      </x:c>
      <x:c r="E382" s="25" t="n">
        <x:v>5</x:v>
      </x:c>
      <x:c r="F382" s="25" t="n">
        <x:v>1</x:v>
      </x:c>
      <x:c r="G382" s="19" t="n">
        <x:f>SUM(D382:F382)</x:f>
        <x:v>6</x:v>
      </x:c>
      <x:c r="H382" s="25" t="n">
        <x:v>2</x:v>
      </x:c>
      <x:c r="I382" s="25" t="n">
        <x:v>1</x:v>
      </x:c>
      <x:c r="J382" s="25" t="n">
        <x:v>1</x:v>
      </x:c>
      <x:c r="K382" s="19" t="n">
        <x:f>D382-IF(H382=0,1,0)</x:f>
        <x:v>0</x:v>
      </x:c>
      <x:c r="L382" s="19" t="n">
        <x:f>E382-IF(H382=1,1,0)</x:f>
        <x:v>5</x:v>
      </x:c>
      <x:c r="M382" s="19" t="n">
        <x:f>F382-IF(H382=2,1,0)</x:f>
        <x:v>0</x:v>
      </x:c>
      <x:c r="N382" s="19" t="n">
        <x:f>MAX(K382-1,0)+MAX(L382-1,0)+MAX(M382-1,0)</x:f>
        <x:v>4</x:v>
      </x:c>
      <x:c r="O382" s="19" t="n">
        <x:f>IF(AND(SUM(K382:M382)&lt;9,OR(M382=0,N382&lt;6)),1,0)</x:f>
        <x:v>1</x:v>
      </x:c>
      <x:c r="P382" s="19" t="n">
        <x:f>IF(AND(SUM(K382:M382)&lt;9,OR(L382=0,N382&lt;6)),1,0)</x:f>
        <x:v>1</x:v>
      </x:c>
      <x:c r="Q382" s="19" t="n">
        <x:f>IF(AND(SUM(K382:M382)&lt;9,OR(K382=0,N382&lt;6)),1,0)</x:f>
        <x:v>1</x:v>
      </x:c>
      <x:c r="R382" s="22" t="str">
        <x:f>O382&amp;P382&amp;Q382</x:f>
        <x:v>111</x:v>
      </x:c>
      <x:c r="S382" s="19" t="n">
        <x:f>IF(I382=1,IF(J382=0,Q382,IF(J382=1,P382,IF(J382=2,O382,0))),0)</x:f>
        <x:v>1</x:v>
      </x:c>
      <x:c r="T382" s="19" t="n">
        <x:f>K382+IF(AND(S382=1,J382=0),1,0)</x:f>
        <x:v>0</x:v>
      </x:c>
      <x:c r="U382" s="19" t="n">
        <x:f>L382+IF(AND(S382=1,J382=1),1,0)</x:f>
        <x:v>6</x:v>
      </x:c>
      <x:c r="V382" s="19" t="n">
        <x:f>M382+IF(AND(S382=1,J382=2),1,0)</x:f>
        <x:v>0</x:v>
      </x:c>
      <x:c r="W382" s="19" t="n">
        <x:f>SUM(T382:V382)</x:f>
        <x:v>6</x:v>
      </x:c>
      <x:c r="X382" s="19" t="n">
        <x:f>W382-G382</x:f>
        <x:v>0</x:v>
      </x:c>
      <x:c r="Y382" s="19" t="n">
        <x:f>MAX(T382,1)+MAX(U382,1)+MAX(V382,1)</x:f>
        <x:v>8</x:v>
      </x:c>
      <x:c r="Z382" s="21" t="str">
        <x:f>IF(AND(MIN(D382:F382)&gt;=0,MAX(D382:F382)&lt;=7,MAX(D382,1)+MAX(E382,1)+MAX(F382,1)&lt;=9,OR(H382="-",AND(H382=0,D382&gt;0),AND(H382=1,E382&gt;0),AND(H382=2,F382&gt;0)),OR(I382=0,AND(I382=1,OR(J382=0,J382=1,J382=2),R382&lt;&gt;"000")),Y382&lt;=9,MIN(T382:V382)&gt;=0),"合法","输入违约")</x:f>
        <x:v>合法</x:v>
      </x:c>
    </x:row>
    <x:row r="383" ht="23" customHeight="1">
      <x:c r="A383" s="3" t="str">
        <x:v>CT-0376</x:v>
      </x:c>
      <x:c r="B383" s="3" t="str">
        <x:v>ST-062</x:v>
      </x:c>
      <x:c r="C383" s="3" t="str">
        <x:v>R+AR同收同发</x:v>
      </x:c>
      <x:c r="D383" s="25" t="n">
        <x:v>0</x:v>
      </x:c>
      <x:c r="E383" s="25" t="n">
        <x:v>5</x:v>
      </x:c>
      <x:c r="F383" s="25" t="n">
        <x:v>1</x:v>
      </x:c>
      <x:c r="G383" s="19" t="n">
        <x:f>SUM(D383:F383)</x:f>
        <x:v>6</x:v>
      </x:c>
      <x:c r="H383" s="25" t="n">
        <x:v>2</x:v>
      </x:c>
      <x:c r="I383" s="25" t="n">
        <x:v>1</x:v>
      </x:c>
      <x:c r="J383" s="25" t="n">
        <x:v>2</x:v>
      </x:c>
      <x:c r="K383" s="19" t="n">
        <x:f>D383-IF(H383=0,1,0)</x:f>
        <x:v>0</x:v>
      </x:c>
      <x:c r="L383" s="19" t="n">
        <x:f>E383-IF(H383=1,1,0)</x:f>
        <x:v>5</x:v>
      </x:c>
      <x:c r="M383" s="19" t="n">
        <x:f>F383-IF(H383=2,1,0)</x:f>
        <x:v>0</x:v>
      </x:c>
      <x:c r="N383" s="19" t="n">
        <x:f>MAX(K383-1,0)+MAX(L383-1,0)+MAX(M383-1,0)</x:f>
        <x:v>4</x:v>
      </x:c>
      <x:c r="O383" s="19" t="n">
        <x:f>IF(AND(SUM(K383:M383)&lt;9,OR(M383=0,N383&lt;6)),1,0)</x:f>
        <x:v>1</x:v>
      </x:c>
      <x:c r="P383" s="19" t="n">
        <x:f>IF(AND(SUM(K383:M383)&lt;9,OR(L383=0,N383&lt;6)),1,0)</x:f>
        <x:v>1</x:v>
      </x:c>
      <x:c r="Q383" s="19" t="n">
        <x:f>IF(AND(SUM(K383:M383)&lt;9,OR(K383=0,N383&lt;6)),1,0)</x:f>
        <x:v>1</x:v>
      </x:c>
      <x:c r="R383" s="22" t="str">
        <x:f>O383&amp;P383&amp;Q383</x:f>
        <x:v>111</x:v>
      </x:c>
      <x:c r="S383" s="19" t="n">
        <x:f>IF(I383=1,IF(J383=0,Q383,IF(J383=1,P383,IF(J383=2,O383,0))),0)</x:f>
        <x:v>1</x:v>
      </x:c>
      <x:c r="T383" s="19" t="n">
        <x:f>K383+IF(AND(S383=1,J383=0),1,0)</x:f>
        <x:v>0</x:v>
      </x:c>
      <x:c r="U383" s="19" t="n">
        <x:f>L383+IF(AND(S383=1,J383=1),1,0)</x:f>
        <x:v>5</x:v>
      </x:c>
      <x:c r="V383" s="19" t="n">
        <x:f>M383+IF(AND(S383=1,J383=2),1,0)</x:f>
        <x:v>1</x:v>
      </x:c>
      <x:c r="W383" s="19" t="n">
        <x:f>SUM(T383:V383)</x:f>
        <x:v>6</x:v>
      </x:c>
      <x:c r="X383" s="19" t="n">
        <x:f>W383-G383</x:f>
        <x:v>0</x:v>
      </x:c>
      <x:c r="Y383" s="19" t="n">
        <x:f>MAX(T383,1)+MAX(U383,1)+MAX(V383,1)</x:f>
        <x:v>7</x:v>
      </x:c>
      <x:c r="Z383" s="21" t="str">
        <x:f>IF(AND(MIN(D383:F383)&gt;=0,MAX(D383:F383)&lt;=7,MAX(D383,1)+MAX(E383,1)+MAX(F383,1)&lt;=9,OR(H383="-",AND(H383=0,D383&gt;0),AND(H383=1,E383&gt;0),AND(H383=2,F383&gt;0)),OR(I383=0,AND(I383=1,OR(J383=0,J383=1,J383=2),R383&lt;&gt;"000")),Y383&lt;=9,MIN(T383:V383)&gt;=0),"合法","输入违约")</x:f>
        <x:v>合法</x:v>
      </x:c>
    </x:row>
    <x:row r="384" ht="23" customHeight="1">
      <x:c r="A384" s="3" t="str">
        <x:v>CT-0377</x:v>
      </x:c>
      <x:c r="B384" s="3" t="str">
        <x:v>ST-090</x:v>
      </x:c>
      <x:c r="C384" s="3" t="str">
        <x:v>无AR/R</x:v>
      </x:c>
      <x:c r="D384" s="25" t="n">
        <x:v>0</x:v>
      </x:c>
      <x:c r="E384" s="25" t="n">
        <x:v>5</x:v>
      </x:c>
      <x:c r="F384" s="25" t="n">
        <x:v>2</x:v>
      </x:c>
      <x:c r="G384" s="19" t="n">
        <x:f>SUM(D384:F384)</x:f>
        <x:v>7</x:v>
      </x:c>
      <x:c r="H384" s="25" t="str">
        <x:v>-</x:v>
      </x:c>
      <x:c r="I384" s="25" t="n">
        <x:v>0</x:v>
      </x:c>
      <x:c r="J384" s="25" t="str">
        <x:v>-</x:v>
      </x:c>
      <x:c r="K384" s="19" t="n">
        <x:f>D384-IF(H384=0,1,0)</x:f>
        <x:v>0</x:v>
      </x:c>
      <x:c r="L384" s="19" t="n">
        <x:f>E384-IF(H384=1,1,0)</x:f>
        <x:v>5</x:v>
      </x:c>
      <x:c r="M384" s="19" t="n">
        <x:f>F384-IF(H384=2,1,0)</x:f>
        <x:v>2</x:v>
      </x:c>
      <x:c r="N384" s="19" t="n">
        <x:f>MAX(K384-1,0)+MAX(L384-1,0)+MAX(M384-1,0)</x:f>
        <x:v>5</x:v>
      </x:c>
      <x:c r="O384" s="19" t="n">
        <x:f>IF(AND(SUM(K384:M384)&lt;9,OR(M384=0,N384&lt;6)),1,0)</x:f>
        <x:v>1</x:v>
      </x:c>
      <x:c r="P384" s="19" t="n">
        <x:f>IF(AND(SUM(K384:M384)&lt;9,OR(L384=0,N384&lt;6)),1,0)</x:f>
        <x:v>1</x:v>
      </x:c>
      <x:c r="Q384" s="19" t="n">
        <x:f>IF(AND(SUM(K384:M384)&lt;9,OR(K384=0,N384&lt;6)),1,0)</x:f>
        <x:v>1</x:v>
      </x:c>
      <x:c r="R384" s="22" t="str">
        <x:f>O384&amp;P384&amp;Q384</x:f>
        <x:v>111</x:v>
      </x:c>
      <x:c r="S384" s="19" t="n">
        <x:f>IF(I384=1,IF(J384=0,Q384,IF(J384=1,P384,IF(J384=2,O384,0))),0)</x:f>
        <x:v>0</x:v>
      </x:c>
      <x:c r="T384" s="19" t="n">
        <x:f>K384+IF(AND(S384=1,J384=0),1,0)</x:f>
        <x:v>0</x:v>
      </x:c>
      <x:c r="U384" s="19" t="n">
        <x:f>L384+IF(AND(S384=1,J384=1),1,0)</x:f>
        <x:v>5</x:v>
      </x:c>
      <x:c r="V384" s="19" t="n">
        <x:f>M384+IF(AND(S384=1,J384=2),1,0)</x:f>
        <x:v>2</x:v>
      </x:c>
      <x:c r="W384" s="19" t="n">
        <x:f>SUM(T384:V384)</x:f>
        <x:v>7</x:v>
      </x:c>
      <x:c r="X384" s="19" t="n">
        <x:f>W384-G384</x:f>
        <x:v>0</x:v>
      </x:c>
      <x:c r="Y384" s="19" t="n">
        <x:f>MAX(T384,1)+MAX(U384,1)+MAX(V384,1)</x:f>
        <x:v>8</x:v>
      </x:c>
      <x:c r="Z384" s="21" t="str">
        <x:f>IF(AND(MIN(D384:F384)&gt;=0,MAX(D384:F384)&lt;=7,MAX(D384,1)+MAX(E384,1)+MAX(F384,1)&lt;=9,OR(H384="-",AND(H384=0,D384&gt;0),AND(H384=1,E384&gt;0),AND(H384=2,F384&gt;0)),OR(I384=0,AND(I384=1,OR(J384=0,J384=1,J384=2),R384&lt;&gt;"000")),Y384&lt;=9,MIN(T384:V384)&gt;=0),"合法","输入违约")</x:f>
        <x:v>合法</x:v>
      </x:c>
    </x:row>
    <x:row r="385" ht="23" customHeight="1">
      <x:c r="A385" s="3" t="str">
        <x:v>CT-0378</x:v>
      </x:c>
      <x:c r="B385" s="3" t="str">
        <x:v>ST-090</x:v>
      </x:c>
      <x:c r="C385" s="3" t="str">
        <x:v>仅AR接收</x:v>
      </x:c>
      <x:c r="D385" s="25" t="n">
        <x:v>0</x:v>
      </x:c>
      <x:c r="E385" s="25" t="n">
        <x:v>5</x:v>
      </x:c>
      <x:c r="F385" s="25" t="n">
        <x:v>2</x:v>
      </x:c>
      <x:c r="G385" s="19" t="n">
        <x:f>SUM(D385:F385)</x:f>
        <x:v>7</x:v>
      </x:c>
      <x:c r="H385" s="25" t="str">
        <x:v>-</x:v>
      </x:c>
      <x:c r="I385" s="25" t="n">
        <x:v>1</x:v>
      </x:c>
      <x:c r="J385" s="25" t="n">
        <x:v>0</x:v>
      </x:c>
      <x:c r="K385" s="19" t="n">
        <x:f>D385-IF(H385=0,1,0)</x:f>
        <x:v>0</x:v>
      </x:c>
      <x:c r="L385" s="19" t="n">
        <x:f>E385-IF(H385=1,1,0)</x:f>
        <x:v>5</x:v>
      </x:c>
      <x:c r="M385" s="19" t="n">
        <x:f>F385-IF(H385=2,1,0)</x:f>
        <x:v>2</x:v>
      </x:c>
      <x:c r="N385" s="19" t="n">
        <x:f>MAX(K385-1,0)+MAX(L385-1,0)+MAX(M385-1,0)</x:f>
        <x:v>5</x:v>
      </x:c>
      <x:c r="O385" s="19" t="n">
        <x:f>IF(AND(SUM(K385:M385)&lt;9,OR(M385=0,N385&lt;6)),1,0)</x:f>
        <x:v>1</x:v>
      </x:c>
      <x:c r="P385" s="19" t="n">
        <x:f>IF(AND(SUM(K385:M385)&lt;9,OR(L385=0,N385&lt;6)),1,0)</x:f>
        <x:v>1</x:v>
      </x:c>
      <x:c r="Q385" s="19" t="n">
        <x:f>IF(AND(SUM(K385:M385)&lt;9,OR(K385=0,N385&lt;6)),1,0)</x:f>
        <x:v>1</x:v>
      </x:c>
      <x:c r="R385" s="22" t="str">
        <x:f>O385&amp;P385&amp;Q385</x:f>
        <x:v>111</x:v>
      </x:c>
      <x:c r="S385" s="19" t="n">
        <x:f>IF(I385=1,IF(J385=0,Q385,IF(J385=1,P385,IF(J385=2,O385,0))),0)</x:f>
        <x:v>1</x:v>
      </x:c>
      <x:c r="T385" s="19" t="n">
        <x:f>K385+IF(AND(S385=1,J385=0),1,0)</x:f>
        <x:v>1</x:v>
      </x:c>
      <x:c r="U385" s="19" t="n">
        <x:f>L385+IF(AND(S385=1,J385=1),1,0)</x:f>
        <x:v>5</x:v>
      </x:c>
      <x:c r="V385" s="19" t="n">
        <x:f>M385+IF(AND(S385=1,J385=2),1,0)</x:f>
        <x:v>2</x:v>
      </x:c>
      <x:c r="W385" s="19" t="n">
        <x:f>SUM(T385:V385)</x:f>
        <x:v>8</x:v>
      </x:c>
      <x:c r="X385" s="19" t="n">
        <x:f>W385-G385</x:f>
        <x:v>1</x:v>
      </x:c>
      <x:c r="Y385" s="19" t="n">
        <x:f>MAX(T385,1)+MAX(U385,1)+MAX(V385,1)</x:f>
        <x:v>8</x:v>
      </x:c>
      <x:c r="Z385" s="21" t="str">
        <x:f>IF(AND(MIN(D385:F385)&gt;=0,MAX(D385:F385)&lt;=7,MAX(D385,1)+MAX(E385,1)+MAX(F385,1)&lt;=9,OR(H385="-",AND(H385=0,D385&gt;0),AND(H385=1,E385&gt;0),AND(H385=2,F385&gt;0)),OR(I385=0,AND(I385=1,OR(J385=0,J385=1,J385=2),R385&lt;&gt;"000")),Y385&lt;=9,MIN(T385:V385)&gt;=0),"合法","输入违约")</x:f>
        <x:v>合法</x:v>
      </x:c>
    </x:row>
    <x:row r="386" ht="23" customHeight="1">
      <x:c r="A386" s="3" t="str">
        <x:v>CT-0379</x:v>
      </x:c>
      <x:c r="B386" s="3" t="str">
        <x:v>ST-090</x:v>
      </x:c>
      <x:c r="C386" s="3" t="str">
        <x:v>仅AR接收</x:v>
      </x:c>
      <x:c r="D386" s="25" t="n">
        <x:v>0</x:v>
      </x:c>
      <x:c r="E386" s="25" t="n">
        <x:v>5</x:v>
      </x:c>
      <x:c r="F386" s="25" t="n">
        <x:v>2</x:v>
      </x:c>
      <x:c r="G386" s="19" t="n">
        <x:f>SUM(D386:F386)</x:f>
        <x:v>7</x:v>
      </x:c>
      <x:c r="H386" s="25" t="str">
        <x:v>-</x:v>
      </x:c>
      <x:c r="I386" s="25" t="n">
        <x:v>1</x:v>
      </x:c>
      <x:c r="J386" s="25" t="n">
        <x:v>1</x:v>
      </x:c>
      <x:c r="K386" s="19" t="n">
        <x:f>D386-IF(H386=0,1,0)</x:f>
        <x:v>0</x:v>
      </x:c>
      <x:c r="L386" s="19" t="n">
        <x:f>E386-IF(H386=1,1,0)</x:f>
        <x:v>5</x:v>
      </x:c>
      <x:c r="M386" s="19" t="n">
        <x:f>F386-IF(H386=2,1,0)</x:f>
        <x:v>2</x:v>
      </x:c>
      <x:c r="N386" s="19" t="n">
        <x:f>MAX(K386-1,0)+MAX(L386-1,0)+MAX(M386-1,0)</x:f>
        <x:v>5</x:v>
      </x:c>
      <x:c r="O386" s="19" t="n">
        <x:f>IF(AND(SUM(K386:M386)&lt;9,OR(M386=0,N386&lt;6)),1,0)</x:f>
        <x:v>1</x:v>
      </x:c>
      <x:c r="P386" s="19" t="n">
        <x:f>IF(AND(SUM(K386:M386)&lt;9,OR(L386=0,N386&lt;6)),1,0)</x:f>
        <x:v>1</x:v>
      </x:c>
      <x:c r="Q386" s="19" t="n">
        <x:f>IF(AND(SUM(K386:M386)&lt;9,OR(K386=0,N386&lt;6)),1,0)</x:f>
        <x:v>1</x:v>
      </x:c>
      <x:c r="R386" s="22" t="str">
        <x:f>O386&amp;P386&amp;Q386</x:f>
        <x:v>111</x:v>
      </x:c>
      <x:c r="S386" s="19" t="n">
        <x:f>IF(I386=1,IF(J386=0,Q386,IF(J386=1,P386,IF(J386=2,O386,0))),0)</x:f>
        <x:v>1</x:v>
      </x:c>
      <x:c r="T386" s="19" t="n">
        <x:f>K386+IF(AND(S386=1,J386=0),1,0)</x:f>
        <x:v>0</x:v>
      </x:c>
      <x:c r="U386" s="19" t="n">
        <x:f>L386+IF(AND(S386=1,J386=1),1,0)</x:f>
        <x:v>6</x:v>
      </x:c>
      <x:c r="V386" s="19" t="n">
        <x:f>M386+IF(AND(S386=1,J386=2),1,0)</x:f>
        <x:v>2</x:v>
      </x:c>
      <x:c r="W386" s="19" t="n">
        <x:f>SUM(T386:V386)</x:f>
        <x:v>8</x:v>
      </x:c>
      <x:c r="X386" s="19" t="n">
        <x:f>W386-G386</x:f>
        <x:v>1</x:v>
      </x:c>
      <x:c r="Y386" s="19" t="n">
        <x:f>MAX(T386,1)+MAX(U386,1)+MAX(V386,1)</x:f>
        <x:v>9</x:v>
      </x:c>
      <x:c r="Z386" s="21" t="str">
        <x:f>IF(AND(MIN(D386:F386)&gt;=0,MAX(D386:F386)&lt;=7,MAX(D386,1)+MAX(E386,1)+MAX(F386,1)&lt;=9,OR(H386="-",AND(H386=0,D386&gt;0),AND(H386=1,E386&gt;0),AND(H386=2,F386&gt;0)),OR(I386=0,AND(I386=1,OR(J386=0,J386=1,J386=2),R386&lt;&gt;"000")),Y386&lt;=9,MIN(T386:V386)&gt;=0),"合法","输入违约")</x:f>
        <x:v>合法</x:v>
      </x:c>
    </x:row>
    <x:row r="387" ht="23" customHeight="1">
      <x:c r="A387" s="3" t="str">
        <x:v>CT-0380</x:v>
      </x:c>
      <x:c r="B387" s="3" t="str">
        <x:v>ST-090</x:v>
      </x:c>
      <x:c r="C387" s="3" t="str">
        <x:v>仅AR接收</x:v>
      </x:c>
      <x:c r="D387" s="25" t="n">
        <x:v>0</x:v>
      </x:c>
      <x:c r="E387" s="25" t="n">
        <x:v>5</x:v>
      </x:c>
      <x:c r="F387" s="25" t="n">
        <x:v>2</x:v>
      </x:c>
      <x:c r="G387" s="19" t="n">
        <x:f>SUM(D387:F387)</x:f>
        <x:v>7</x:v>
      </x:c>
      <x:c r="H387" s="25" t="str">
        <x:v>-</x:v>
      </x:c>
      <x:c r="I387" s="25" t="n">
        <x:v>1</x:v>
      </x:c>
      <x:c r="J387" s="25" t="n">
        <x:v>2</x:v>
      </x:c>
      <x:c r="K387" s="19" t="n">
        <x:f>D387-IF(H387=0,1,0)</x:f>
        <x:v>0</x:v>
      </x:c>
      <x:c r="L387" s="19" t="n">
        <x:f>E387-IF(H387=1,1,0)</x:f>
        <x:v>5</x:v>
      </x:c>
      <x:c r="M387" s="19" t="n">
        <x:f>F387-IF(H387=2,1,0)</x:f>
        <x:v>2</x:v>
      </x:c>
      <x:c r="N387" s="19" t="n">
        <x:f>MAX(K387-1,0)+MAX(L387-1,0)+MAX(M387-1,0)</x:f>
        <x:v>5</x:v>
      </x:c>
      <x:c r="O387" s="19" t="n">
        <x:f>IF(AND(SUM(K387:M387)&lt;9,OR(M387=0,N387&lt;6)),1,0)</x:f>
        <x:v>1</x:v>
      </x:c>
      <x:c r="P387" s="19" t="n">
        <x:f>IF(AND(SUM(K387:M387)&lt;9,OR(L387=0,N387&lt;6)),1,0)</x:f>
        <x:v>1</x:v>
      </x:c>
      <x:c r="Q387" s="19" t="n">
        <x:f>IF(AND(SUM(K387:M387)&lt;9,OR(K387=0,N387&lt;6)),1,0)</x:f>
        <x:v>1</x:v>
      </x:c>
      <x:c r="R387" s="22" t="str">
        <x:f>O387&amp;P387&amp;Q387</x:f>
        <x:v>111</x:v>
      </x:c>
      <x:c r="S387" s="19" t="n">
        <x:f>IF(I387=1,IF(J387=0,Q387,IF(J387=1,P387,IF(J387=2,O387,0))),0)</x:f>
        <x:v>1</x:v>
      </x:c>
      <x:c r="T387" s="19" t="n">
        <x:f>K387+IF(AND(S387=1,J387=0),1,0)</x:f>
        <x:v>0</x:v>
      </x:c>
      <x:c r="U387" s="19" t="n">
        <x:f>L387+IF(AND(S387=1,J387=1),1,0)</x:f>
        <x:v>5</x:v>
      </x:c>
      <x:c r="V387" s="19" t="n">
        <x:f>M387+IF(AND(S387=1,J387=2),1,0)</x:f>
        <x:v>3</x:v>
      </x:c>
      <x:c r="W387" s="19" t="n">
        <x:f>SUM(T387:V387)</x:f>
        <x:v>8</x:v>
      </x:c>
      <x:c r="X387" s="19" t="n">
        <x:f>W387-G387</x:f>
        <x:v>1</x:v>
      </x:c>
      <x:c r="Y387" s="19" t="n">
        <x:f>MAX(T387,1)+MAX(U387,1)+MAX(V387,1)</x:f>
        <x:v>9</x:v>
      </x:c>
      <x:c r="Z387" s="21" t="str">
        <x:f>IF(AND(MIN(D387:F387)&gt;=0,MAX(D387:F387)&lt;=7,MAX(D387,1)+MAX(E387,1)+MAX(F387,1)&lt;=9,OR(H387="-",AND(H387=0,D387&gt;0),AND(H387=1,E387&gt;0),AND(H387=2,F387&gt;0)),OR(I387=0,AND(I387=1,OR(J387=0,J387=1,J387=2),R387&lt;&gt;"000")),Y387&lt;=9,MIN(T387:V387)&gt;=0),"合法","输入违约")</x:f>
        <x:v>合法</x:v>
      </x:c>
    </x:row>
    <x:row r="388" ht="23" customHeight="1">
      <x:c r="A388" s="3" t="str">
        <x:v>CT-0381</x:v>
      </x:c>
      <x:c r="B388" s="3" t="str">
        <x:v>ST-090</x:v>
      </x:c>
      <x:c r="C388" s="3" t="str">
        <x:v>仅R回收</x:v>
      </x:c>
      <x:c r="D388" s="25" t="n">
        <x:v>0</x:v>
      </x:c>
      <x:c r="E388" s="25" t="n">
        <x:v>5</x:v>
      </x:c>
      <x:c r="F388" s="25" t="n">
        <x:v>2</x:v>
      </x:c>
      <x:c r="G388" s="19" t="n">
        <x:f>SUM(D388:F388)</x:f>
        <x:v>7</x:v>
      </x:c>
      <x:c r="H388" s="25" t="n">
        <x:v>1</x:v>
      </x:c>
      <x:c r="I388" s="25" t="n">
        <x:v>0</x:v>
      </x:c>
      <x:c r="J388" s="25" t="str">
        <x:v>-</x:v>
      </x:c>
      <x:c r="K388" s="19" t="n">
        <x:f>D388-IF(H388=0,1,0)</x:f>
        <x:v>0</x:v>
      </x:c>
      <x:c r="L388" s="19" t="n">
        <x:f>E388-IF(H388=1,1,0)</x:f>
        <x:v>4</x:v>
      </x:c>
      <x:c r="M388" s="19" t="n">
        <x:f>F388-IF(H388=2,1,0)</x:f>
        <x:v>2</x:v>
      </x:c>
      <x:c r="N388" s="19" t="n">
        <x:f>MAX(K388-1,0)+MAX(L388-1,0)+MAX(M388-1,0)</x:f>
        <x:v>4</x:v>
      </x:c>
      <x:c r="O388" s="19" t="n">
        <x:f>IF(AND(SUM(K388:M388)&lt;9,OR(M388=0,N388&lt;6)),1,0)</x:f>
        <x:v>1</x:v>
      </x:c>
      <x:c r="P388" s="19" t="n">
        <x:f>IF(AND(SUM(K388:M388)&lt;9,OR(L388=0,N388&lt;6)),1,0)</x:f>
        <x:v>1</x:v>
      </x:c>
      <x:c r="Q388" s="19" t="n">
        <x:f>IF(AND(SUM(K388:M388)&lt;9,OR(K388=0,N388&lt;6)),1,0)</x:f>
        <x:v>1</x:v>
      </x:c>
      <x:c r="R388" s="22" t="str">
        <x:f>O388&amp;P388&amp;Q388</x:f>
        <x:v>111</x:v>
      </x:c>
      <x:c r="S388" s="19" t="n">
        <x:f>IF(I388=1,IF(J388=0,Q388,IF(J388=1,P388,IF(J388=2,O388,0))),0)</x:f>
        <x:v>0</x:v>
      </x:c>
      <x:c r="T388" s="19" t="n">
        <x:f>K388+IF(AND(S388=1,J388=0),1,0)</x:f>
        <x:v>0</x:v>
      </x:c>
      <x:c r="U388" s="19" t="n">
        <x:f>L388+IF(AND(S388=1,J388=1),1,0)</x:f>
        <x:v>4</x:v>
      </x:c>
      <x:c r="V388" s="19" t="n">
        <x:f>M388+IF(AND(S388=1,J388=2),1,0)</x:f>
        <x:v>2</x:v>
      </x:c>
      <x:c r="W388" s="19" t="n">
        <x:f>SUM(T388:V388)</x:f>
        <x:v>6</x:v>
      </x:c>
      <x:c r="X388" s="19" t="n">
        <x:f>W388-G388</x:f>
        <x:v>-1</x:v>
      </x:c>
      <x:c r="Y388" s="19" t="n">
        <x:f>MAX(T388,1)+MAX(U388,1)+MAX(V388,1)</x:f>
        <x:v>7</x:v>
      </x:c>
      <x:c r="Z388" s="21" t="str">
        <x:f>IF(AND(MIN(D388:F388)&gt;=0,MAX(D388:F388)&lt;=7,MAX(D388,1)+MAX(E388,1)+MAX(F388,1)&lt;=9,OR(H388="-",AND(H388=0,D388&gt;0),AND(H388=1,E388&gt;0),AND(H388=2,F388&gt;0)),OR(I388=0,AND(I388=1,OR(J388=0,J388=1,J388=2),R388&lt;&gt;"000")),Y388&lt;=9,MIN(T388:V388)&gt;=0),"合法","输入违约")</x:f>
        <x:v>合法</x:v>
      </x:c>
    </x:row>
    <x:row r="389" ht="23" customHeight="1">
      <x:c r="A389" s="3" t="str">
        <x:v>CT-0382</x:v>
      </x:c>
      <x:c r="B389" s="3" t="str">
        <x:v>ST-090</x:v>
      </x:c>
      <x:c r="C389" s="3" t="str">
        <x:v>R+AR同收同发</x:v>
      </x:c>
      <x:c r="D389" s="25" t="n">
        <x:v>0</x:v>
      </x:c>
      <x:c r="E389" s="25" t="n">
        <x:v>5</x:v>
      </x:c>
      <x:c r="F389" s="25" t="n">
        <x:v>2</x:v>
      </x:c>
      <x:c r="G389" s="19" t="n">
        <x:f>SUM(D389:F389)</x:f>
        <x:v>7</x:v>
      </x:c>
      <x:c r="H389" s="25" t="n">
        <x:v>1</x:v>
      </x:c>
      <x:c r="I389" s="25" t="n">
        <x:v>1</x:v>
      </x:c>
      <x:c r="J389" s="25" t="n">
        <x:v>0</x:v>
      </x:c>
      <x:c r="K389" s="19" t="n">
        <x:f>D389-IF(H389=0,1,0)</x:f>
        <x:v>0</x:v>
      </x:c>
      <x:c r="L389" s="19" t="n">
        <x:f>E389-IF(H389=1,1,0)</x:f>
        <x:v>4</x:v>
      </x:c>
      <x:c r="M389" s="19" t="n">
        <x:f>F389-IF(H389=2,1,0)</x:f>
        <x:v>2</x:v>
      </x:c>
      <x:c r="N389" s="19" t="n">
        <x:f>MAX(K389-1,0)+MAX(L389-1,0)+MAX(M389-1,0)</x:f>
        <x:v>4</x:v>
      </x:c>
      <x:c r="O389" s="19" t="n">
        <x:f>IF(AND(SUM(K389:M389)&lt;9,OR(M389=0,N389&lt;6)),1,0)</x:f>
        <x:v>1</x:v>
      </x:c>
      <x:c r="P389" s="19" t="n">
        <x:f>IF(AND(SUM(K389:M389)&lt;9,OR(L389=0,N389&lt;6)),1,0)</x:f>
        <x:v>1</x:v>
      </x:c>
      <x:c r="Q389" s="19" t="n">
        <x:f>IF(AND(SUM(K389:M389)&lt;9,OR(K389=0,N389&lt;6)),1,0)</x:f>
        <x:v>1</x:v>
      </x:c>
      <x:c r="R389" s="22" t="str">
        <x:f>O389&amp;P389&amp;Q389</x:f>
        <x:v>111</x:v>
      </x:c>
      <x:c r="S389" s="19" t="n">
        <x:f>IF(I389=1,IF(J389=0,Q389,IF(J389=1,P389,IF(J389=2,O389,0))),0)</x:f>
        <x:v>1</x:v>
      </x:c>
      <x:c r="T389" s="19" t="n">
        <x:f>K389+IF(AND(S389=1,J389=0),1,0)</x:f>
        <x:v>1</x:v>
      </x:c>
      <x:c r="U389" s="19" t="n">
        <x:f>L389+IF(AND(S389=1,J389=1),1,0)</x:f>
        <x:v>4</x:v>
      </x:c>
      <x:c r="V389" s="19" t="n">
        <x:f>M389+IF(AND(S389=1,J389=2),1,0)</x:f>
        <x:v>2</x:v>
      </x:c>
      <x:c r="W389" s="19" t="n">
        <x:f>SUM(T389:V389)</x:f>
        <x:v>7</x:v>
      </x:c>
      <x:c r="X389" s="19" t="n">
        <x:f>W389-G389</x:f>
        <x:v>0</x:v>
      </x:c>
      <x:c r="Y389" s="19" t="n">
        <x:f>MAX(T389,1)+MAX(U389,1)+MAX(V389,1)</x:f>
        <x:v>7</x:v>
      </x:c>
      <x:c r="Z389" s="21" t="str">
        <x:f>IF(AND(MIN(D389:F389)&gt;=0,MAX(D389:F389)&lt;=7,MAX(D389,1)+MAX(E389,1)+MAX(F389,1)&lt;=9,OR(H389="-",AND(H389=0,D389&gt;0),AND(H389=1,E389&gt;0),AND(H389=2,F389&gt;0)),OR(I389=0,AND(I389=1,OR(J389=0,J389=1,J389=2),R389&lt;&gt;"000")),Y389&lt;=9,MIN(T389:V389)&gt;=0),"合法","输入违约")</x:f>
        <x:v>合法</x:v>
      </x:c>
    </x:row>
    <x:row r="390" ht="23" customHeight="1">
      <x:c r="A390" s="3" t="str">
        <x:v>CT-0383</x:v>
      </x:c>
      <x:c r="B390" s="3" t="str">
        <x:v>ST-090</x:v>
      </x:c>
      <x:c r="C390" s="3" t="str">
        <x:v>R+AR同收同发</x:v>
      </x:c>
      <x:c r="D390" s="25" t="n">
        <x:v>0</x:v>
      </x:c>
      <x:c r="E390" s="25" t="n">
        <x:v>5</x:v>
      </x:c>
      <x:c r="F390" s="25" t="n">
        <x:v>2</x:v>
      </x:c>
      <x:c r="G390" s="19" t="n">
        <x:f>SUM(D390:F390)</x:f>
        <x:v>7</x:v>
      </x:c>
      <x:c r="H390" s="25" t="n">
        <x:v>1</x:v>
      </x:c>
      <x:c r="I390" s="25" t="n">
        <x:v>1</x:v>
      </x:c>
      <x:c r="J390" s="25" t="n">
        <x:v>1</x:v>
      </x:c>
      <x:c r="K390" s="19" t="n">
        <x:f>D390-IF(H390=0,1,0)</x:f>
        <x:v>0</x:v>
      </x:c>
      <x:c r="L390" s="19" t="n">
        <x:f>E390-IF(H390=1,1,0)</x:f>
        <x:v>4</x:v>
      </x:c>
      <x:c r="M390" s="19" t="n">
        <x:f>F390-IF(H390=2,1,0)</x:f>
        <x:v>2</x:v>
      </x:c>
      <x:c r="N390" s="19" t="n">
        <x:f>MAX(K390-1,0)+MAX(L390-1,0)+MAX(M390-1,0)</x:f>
        <x:v>4</x:v>
      </x:c>
      <x:c r="O390" s="19" t="n">
        <x:f>IF(AND(SUM(K390:M390)&lt;9,OR(M390=0,N390&lt;6)),1,0)</x:f>
        <x:v>1</x:v>
      </x:c>
      <x:c r="P390" s="19" t="n">
        <x:f>IF(AND(SUM(K390:M390)&lt;9,OR(L390=0,N390&lt;6)),1,0)</x:f>
        <x:v>1</x:v>
      </x:c>
      <x:c r="Q390" s="19" t="n">
        <x:f>IF(AND(SUM(K390:M390)&lt;9,OR(K390=0,N390&lt;6)),1,0)</x:f>
        <x:v>1</x:v>
      </x:c>
      <x:c r="R390" s="22" t="str">
        <x:f>O390&amp;P390&amp;Q390</x:f>
        <x:v>111</x:v>
      </x:c>
      <x:c r="S390" s="19" t="n">
        <x:f>IF(I390=1,IF(J390=0,Q390,IF(J390=1,P390,IF(J390=2,O390,0))),0)</x:f>
        <x:v>1</x:v>
      </x:c>
      <x:c r="T390" s="19" t="n">
        <x:f>K390+IF(AND(S390=1,J390=0),1,0)</x:f>
        <x:v>0</x:v>
      </x:c>
      <x:c r="U390" s="19" t="n">
        <x:f>L390+IF(AND(S390=1,J390=1),1,0)</x:f>
        <x:v>5</x:v>
      </x:c>
      <x:c r="V390" s="19" t="n">
        <x:f>M390+IF(AND(S390=1,J390=2),1,0)</x:f>
        <x:v>2</x:v>
      </x:c>
      <x:c r="W390" s="19" t="n">
        <x:f>SUM(T390:V390)</x:f>
        <x:v>7</x:v>
      </x:c>
      <x:c r="X390" s="19" t="n">
        <x:f>W390-G390</x:f>
        <x:v>0</x:v>
      </x:c>
      <x:c r="Y390" s="19" t="n">
        <x:f>MAX(T390,1)+MAX(U390,1)+MAX(V390,1)</x:f>
        <x:v>8</x:v>
      </x:c>
      <x:c r="Z390" s="21" t="str">
        <x:f>IF(AND(MIN(D390:F390)&gt;=0,MAX(D390:F390)&lt;=7,MAX(D390,1)+MAX(E390,1)+MAX(F390,1)&lt;=9,OR(H390="-",AND(H390=0,D390&gt;0),AND(H390=1,E390&gt;0),AND(H390=2,F390&gt;0)),OR(I390=0,AND(I390=1,OR(J390=0,J390=1,J390=2),R390&lt;&gt;"000")),Y390&lt;=9,MIN(T390:V390)&gt;=0),"合法","输入违约")</x:f>
        <x:v>合法</x:v>
      </x:c>
    </x:row>
    <x:row r="391" ht="23" customHeight="1">
      <x:c r="A391" s="3" t="str">
        <x:v>CT-0384</x:v>
      </x:c>
      <x:c r="B391" s="3" t="str">
        <x:v>ST-090</x:v>
      </x:c>
      <x:c r="C391" s="3" t="str">
        <x:v>R+AR同收同发</x:v>
      </x:c>
      <x:c r="D391" s="25" t="n">
        <x:v>0</x:v>
      </x:c>
      <x:c r="E391" s="25" t="n">
        <x:v>5</x:v>
      </x:c>
      <x:c r="F391" s="25" t="n">
        <x:v>2</x:v>
      </x:c>
      <x:c r="G391" s="19" t="n">
        <x:f>SUM(D391:F391)</x:f>
        <x:v>7</x:v>
      </x:c>
      <x:c r="H391" s="25" t="n">
        <x:v>1</x:v>
      </x:c>
      <x:c r="I391" s="25" t="n">
        <x:v>1</x:v>
      </x:c>
      <x:c r="J391" s="25" t="n">
        <x:v>2</x:v>
      </x:c>
      <x:c r="K391" s="19" t="n">
        <x:f>D391-IF(H391=0,1,0)</x:f>
        <x:v>0</x:v>
      </x:c>
      <x:c r="L391" s="19" t="n">
        <x:f>E391-IF(H391=1,1,0)</x:f>
        <x:v>4</x:v>
      </x:c>
      <x:c r="M391" s="19" t="n">
        <x:f>F391-IF(H391=2,1,0)</x:f>
        <x:v>2</x:v>
      </x:c>
      <x:c r="N391" s="19" t="n">
        <x:f>MAX(K391-1,0)+MAX(L391-1,0)+MAX(M391-1,0)</x:f>
        <x:v>4</x:v>
      </x:c>
      <x:c r="O391" s="19" t="n">
        <x:f>IF(AND(SUM(K391:M391)&lt;9,OR(M391=0,N391&lt;6)),1,0)</x:f>
        <x:v>1</x:v>
      </x:c>
      <x:c r="P391" s="19" t="n">
        <x:f>IF(AND(SUM(K391:M391)&lt;9,OR(L391=0,N391&lt;6)),1,0)</x:f>
        <x:v>1</x:v>
      </x:c>
      <x:c r="Q391" s="19" t="n">
        <x:f>IF(AND(SUM(K391:M391)&lt;9,OR(K391=0,N391&lt;6)),1,0)</x:f>
        <x:v>1</x:v>
      </x:c>
      <x:c r="R391" s="22" t="str">
        <x:f>O391&amp;P391&amp;Q391</x:f>
        <x:v>111</x:v>
      </x:c>
      <x:c r="S391" s="19" t="n">
        <x:f>IF(I391=1,IF(J391=0,Q391,IF(J391=1,P391,IF(J391=2,O391,0))),0)</x:f>
        <x:v>1</x:v>
      </x:c>
      <x:c r="T391" s="19" t="n">
        <x:f>K391+IF(AND(S391=1,J391=0),1,0)</x:f>
        <x:v>0</x:v>
      </x:c>
      <x:c r="U391" s="19" t="n">
        <x:f>L391+IF(AND(S391=1,J391=1),1,0)</x:f>
        <x:v>4</x:v>
      </x:c>
      <x:c r="V391" s="19" t="n">
        <x:f>M391+IF(AND(S391=1,J391=2),1,0)</x:f>
        <x:v>3</x:v>
      </x:c>
      <x:c r="W391" s="19" t="n">
        <x:f>SUM(T391:V391)</x:f>
        <x:v>7</x:v>
      </x:c>
      <x:c r="X391" s="19" t="n">
        <x:f>W391-G391</x:f>
        <x:v>0</x:v>
      </x:c>
      <x:c r="Y391" s="19" t="n">
        <x:f>MAX(T391,1)+MAX(U391,1)+MAX(V391,1)</x:f>
        <x:v>8</x:v>
      </x:c>
      <x:c r="Z391" s="21" t="str">
        <x:f>IF(AND(MIN(D391:F391)&gt;=0,MAX(D391:F391)&lt;=7,MAX(D391,1)+MAX(E391,1)+MAX(F391,1)&lt;=9,OR(H391="-",AND(H391=0,D391&gt;0),AND(H391=1,E391&gt;0),AND(H391=2,F391&gt;0)),OR(I391=0,AND(I391=1,OR(J391=0,J391=1,J391=2),R391&lt;&gt;"000")),Y391&lt;=9,MIN(T391:V391)&gt;=0),"合法","输入违约")</x:f>
        <x:v>合法</x:v>
      </x:c>
    </x:row>
    <x:row r="392" ht="23" customHeight="1">
      <x:c r="A392" s="3" t="str">
        <x:v>CT-0385</x:v>
      </x:c>
      <x:c r="B392" s="3" t="str">
        <x:v>ST-090</x:v>
      </x:c>
      <x:c r="C392" s="3" t="str">
        <x:v>仅R回收</x:v>
      </x:c>
      <x:c r="D392" s="25" t="n">
        <x:v>0</x:v>
      </x:c>
      <x:c r="E392" s="25" t="n">
        <x:v>5</x:v>
      </x:c>
      <x:c r="F392" s="25" t="n">
        <x:v>2</x:v>
      </x:c>
      <x:c r="G392" s="19" t="n">
        <x:f>SUM(D392:F392)</x:f>
        <x:v>7</x:v>
      </x:c>
      <x:c r="H392" s="25" t="n">
        <x:v>2</x:v>
      </x:c>
      <x:c r="I392" s="25" t="n">
        <x:v>0</x:v>
      </x:c>
      <x:c r="J392" s="25" t="str">
        <x:v>-</x:v>
      </x:c>
      <x:c r="K392" s="19" t="n">
        <x:f>D392-IF(H392=0,1,0)</x:f>
        <x:v>0</x:v>
      </x:c>
      <x:c r="L392" s="19" t="n">
        <x:f>E392-IF(H392=1,1,0)</x:f>
        <x:v>5</x:v>
      </x:c>
      <x:c r="M392" s="19" t="n">
        <x:f>F392-IF(H392=2,1,0)</x:f>
        <x:v>1</x:v>
      </x:c>
      <x:c r="N392" s="19" t="n">
        <x:f>MAX(K392-1,0)+MAX(L392-1,0)+MAX(M392-1,0)</x:f>
        <x:v>4</x:v>
      </x:c>
      <x:c r="O392" s="19" t="n">
        <x:f>IF(AND(SUM(K392:M392)&lt;9,OR(M392=0,N392&lt;6)),1,0)</x:f>
        <x:v>1</x:v>
      </x:c>
      <x:c r="P392" s="19" t="n">
        <x:f>IF(AND(SUM(K392:M392)&lt;9,OR(L392=0,N392&lt;6)),1,0)</x:f>
        <x:v>1</x:v>
      </x:c>
      <x:c r="Q392" s="19" t="n">
        <x:f>IF(AND(SUM(K392:M392)&lt;9,OR(K392=0,N392&lt;6)),1,0)</x:f>
        <x:v>1</x:v>
      </x:c>
      <x:c r="R392" s="22" t="str">
        <x:f>O392&amp;P392&amp;Q392</x:f>
        <x:v>111</x:v>
      </x:c>
      <x:c r="S392" s="19" t="n">
        <x:f>IF(I392=1,IF(J392=0,Q392,IF(J392=1,P392,IF(J392=2,O392,0))),0)</x:f>
        <x:v>0</x:v>
      </x:c>
      <x:c r="T392" s="19" t="n">
        <x:f>K392+IF(AND(S392=1,J392=0),1,0)</x:f>
        <x:v>0</x:v>
      </x:c>
      <x:c r="U392" s="19" t="n">
        <x:f>L392+IF(AND(S392=1,J392=1),1,0)</x:f>
        <x:v>5</x:v>
      </x:c>
      <x:c r="V392" s="19" t="n">
        <x:f>M392+IF(AND(S392=1,J392=2),1,0)</x:f>
        <x:v>1</x:v>
      </x:c>
      <x:c r="W392" s="19" t="n">
        <x:f>SUM(T392:V392)</x:f>
        <x:v>6</x:v>
      </x:c>
      <x:c r="X392" s="19" t="n">
        <x:f>W392-G392</x:f>
        <x:v>-1</x:v>
      </x:c>
      <x:c r="Y392" s="19" t="n">
        <x:f>MAX(T392,1)+MAX(U392,1)+MAX(V392,1)</x:f>
        <x:v>7</x:v>
      </x:c>
      <x:c r="Z392" s="21" t="str">
        <x:f>IF(AND(MIN(D392:F392)&gt;=0,MAX(D392:F392)&lt;=7,MAX(D392,1)+MAX(E392,1)+MAX(F392,1)&lt;=9,OR(H392="-",AND(H392=0,D392&gt;0),AND(H392=1,E392&gt;0),AND(H392=2,F392&gt;0)),OR(I392=0,AND(I392=1,OR(J392=0,J392=1,J392=2),R392&lt;&gt;"000")),Y392&lt;=9,MIN(T392:V392)&gt;=0),"合法","输入违约")</x:f>
        <x:v>合法</x:v>
      </x:c>
    </x:row>
    <x:row r="393" ht="23" customHeight="1">
      <x:c r="A393" s="3" t="str">
        <x:v>CT-0386</x:v>
      </x:c>
      <x:c r="B393" s="3" t="str">
        <x:v>ST-090</x:v>
      </x:c>
      <x:c r="C393" s="3" t="str">
        <x:v>R+AR同收同发</x:v>
      </x:c>
      <x:c r="D393" s="25" t="n">
        <x:v>0</x:v>
      </x:c>
      <x:c r="E393" s="25" t="n">
        <x:v>5</x:v>
      </x:c>
      <x:c r="F393" s="25" t="n">
        <x:v>2</x:v>
      </x:c>
      <x:c r="G393" s="19" t="n">
        <x:f>SUM(D393:F393)</x:f>
        <x:v>7</x:v>
      </x:c>
      <x:c r="H393" s="25" t="n">
        <x:v>2</x:v>
      </x:c>
      <x:c r="I393" s="25" t="n">
        <x:v>1</x:v>
      </x:c>
      <x:c r="J393" s="25" t="n">
        <x:v>0</x:v>
      </x:c>
      <x:c r="K393" s="19" t="n">
        <x:f>D393-IF(H393=0,1,0)</x:f>
        <x:v>0</x:v>
      </x:c>
      <x:c r="L393" s="19" t="n">
        <x:f>E393-IF(H393=1,1,0)</x:f>
        <x:v>5</x:v>
      </x:c>
      <x:c r="M393" s="19" t="n">
        <x:f>F393-IF(H393=2,1,0)</x:f>
        <x:v>1</x:v>
      </x:c>
      <x:c r="N393" s="19" t="n">
        <x:f>MAX(K393-1,0)+MAX(L393-1,0)+MAX(M393-1,0)</x:f>
        <x:v>4</x:v>
      </x:c>
      <x:c r="O393" s="19" t="n">
        <x:f>IF(AND(SUM(K393:M393)&lt;9,OR(M393=0,N393&lt;6)),1,0)</x:f>
        <x:v>1</x:v>
      </x:c>
      <x:c r="P393" s="19" t="n">
        <x:f>IF(AND(SUM(K393:M393)&lt;9,OR(L393=0,N393&lt;6)),1,0)</x:f>
        <x:v>1</x:v>
      </x:c>
      <x:c r="Q393" s="19" t="n">
        <x:f>IF(AND(SUM(K393:M393)&lt;9,OR(K393=0,N393&lt;6)),1,0)</x:f>
        <x:v>1</x:v>
      </x:c>
      <x:c r="R393" s="22" t="str">
        <x:f>O393&amp;P393&amp;Q393</x:f>
        <x:v>111</x:v>
      </x:c>
      <x:c r="S393" s="19" t="n">
        <x:f>IF(I393=1,IF(J393=0,Q393,IF(J393=1,P393,IF(J393=2,O393,0))),0)</x:f>
        <x:v>1</x:v>
      </x:c>
      <x:c r="T393" s="19" t="n">
        <x:f>K393+IF(AND(S393=1,J393=0),1,0)</x:f>
        <x:v>1</x:v>
      </x:c>
      <x:c r="U393" s="19" t="n">
        <x:f>L393+IF(AND(S393=1,J393=1),1,0)</x:f>
        <x:v>5</x:v>
      </x:c>
      <x:c r="V393" s="19" t="n">
        <x:f>M393+IF(AND(S393=1,J393=2),1,0)</x:f>
        <x:v>1</x:v>
      </x:c>
      <x:c r="W393" s="19" t="n">
        <x:f>SUM(T393:V393)</x:f>
        <x:v>7</x:v>
      </x:c>
      <x:c r="X393" s="19" t="n">
        <x:f>W393-G393</x:f>
        <x:v>0</x:v>
      </x:c>
      <x:c r="Y393" s="19" t="n">
        <x:f>MAX(T393,1)+MAX(U393,1)+MAX(V393,1)</x:f>
        <x:v>7</x:v>
      </x:c>
      <x:c r="Z393" s="21" t="str">
        <x:f>IF(AND(MIN(D393:F393)&gt;=0,MAX(D393:F393)&lt;=7,MAX(D393,1)+MAX(E393,1)+MAX(F393,1)&lt;=9,OR(H393="-",AND(H393=0,D393&gt;0),AND(H393=1,E393&gt;0),AND(H393=2,F393&gt;0)),OR(I393=0,AND(I393=1,OR(J393=0,J393=1,J393=2),R393&lt;&gt;"000")),Y393&lt;=9,MIN(T393:V393)&gt;=0),"合法","输入违约")</x:f>
        <x:v>合法</x:v>
      </x:c>
    </x:row>
    <x:row r="394" ht="23" customHeight="1">
      <x:c r="A394" s="3" t="str">
        <x:v>CT-0387</x:v>
      </x:c>
      <x:c r="B394" s="3" t="str">
        <x:v>ST-090</x:v>
      </x:c>
      <x:c r="C394" s="3" t="str">
        <x:v>R+AR同收同发</x:v>
      </x:c>
      <x:c r="D394" s="25" t="n">
        <x:v>0</x:v>
      </x:c>
      <x:c r="E394" s="25" t="n">
        <x:v>5</x:v>
      </x:c>
      <x:c r="F394" s="25" t="n">
        <x:v>2</x:v>
      </x:c>
      <x:c r="G394" s="19" t="n">
        <x:f>SUM(D394:F394)</x:f>
        <x:v>7</x:v>
      </x:c>
      <x:c r="H394" s="25" t="n">
        <x:v>2</x:v>
      </x:c>
      <x:c r="I394" s="25" t="n">
        <x:v>1</x:v>
      </x:c>
      <x:c r="J394" s="25" t="n">
        <x:v>1</x:v>
      </x:c>
      <x:c r="K394" s="19" t="n">
        <x:f>D394-IF(H394=0,1,0)</x:f>
        <x:v>0</x:v>
      </x:c>
      <x:c r="L394" s="19" t="n">
        <x:f>E394-IF(H394=1,1,0)</x:f>
        <x:v>5</x:v>
      </x:c>
      <x:c r="M394" s="19" t="n">
        <x:f>F394-IF(H394=2,1,0)</x:f>
        <x:v>1</x:v>
      </x:c>
      <x:c r="N394" s="19" t="n">
        <x:f>MAX(K394-1,0)+MAX(L394-1,0)+MAX(M394-1,0)</x:f>
        <x:v>4</x:v>
      </x:c>
      <x:c r="O394" s="19" t="n">
        <x:f>IF(AND(SUM(K394:M394)&lt;9,OR(M394=0,N394&lt;6)),1,0)</x:f>
        <x:v>1</x:v>
      </x:c>
      <x:c r="P394" s="19" t="n">
        <x:f>IF(AND(SUM(K394:M394)&lt;9,OR(L394=0,N394&lt;6)),1,0)</x:f>
        <x:v>1</x:v>
      </x:c>
      <x:c r="Q394" s="19" t="n">
        <x:f>IF(AND(SUM(K394:M394)&lt;9,OR(K394=0,N394&lt;6)),1,0)</x:f>
        <x:v>1</x:v>
      </x:c>
      <x:c r="R394" s="22" t="str">
        <x:f>O394&amp;P394&amp;Q394</x:f>
        <x:v>111</x:v>
      </x:c>
      <x:c r="S394" s="19" t="n">
        <x:f>IF(I394=1,IF(J394=0,Q394,IF(J394=1,P394,IF(J394=2,O394,0))),0)</x:f>
        <x:v>1</x:v>
      </x:c>
      <x:c r="T394" s="19" t="n">
        <x:f>K394+IF(AND(S394=1,J394=0),1,0)</x:f>
        <x:v>0</x:v>
      </x:c>
      <x:c r="U394" s="19" t="n">
        <x:f>L394+IF(AND(S394=1,J394=1),1,0)</x:f>
        <x:v>6</x:v>
      </x:c>
      <x:c r="V394" s="19" t="n">
        <x:f>M394+IF(AND(S394=1,J394=2),1,0)</x:f>
        <x:v>1</x:v>
      </x:c>
      <x:c r="W394" s="19" t="n">
        <x:f>SUM(T394:V394)</x:f>
        <x:v>7</x:v>
      </x:c>
      <x:c r="X394" s="19" t="n">
        <x:f>W394-G394</x:f>
        <x:v>0</x:v>
      </x:c>
      <x:c r="Y394" s="19" t="n">
        <x:f>MAX(T394,1)+MAX(U394,1)+MAX(V394,1)</x:f>
        <x:v>8</x:v>
      </x:c>
      <x:c r="Z394" s="21" t="str">
        <x:f>IF(AND(MIN(D394:F394)&gt;=0,MAX(D394:F394)&lt;=7,MAX(D394,1)+MAX(E394,1)+MAX(F394,1)&lt;=9,OR(H394="-",AND(H394=0,D394&gt;0),AND(H394=1,E394&gt;0),AND(H394=2,F394&gt;0)),OR(I394=0,AND(I394=1,OR(J394=0,J394=1,J394=2),R394&lt;&gt;"000")),Y394&lt;=9,MIN(T394:V394)&gt;=0),"合法","输入违约")</x:f>
        <x:v>合法</x:v>
      </x:c>
    </x:row>
    <x:row r="395" ht="23" customHeight="1">
      <x:c r="A395" s="3" t="str">
        <x:v>CT-0388</x:v>
      </x:c>
      <x:c r="B395" s="3" t="str">
        <x:v>ST-090</x:v>
      </x:c>
      <x:c r="C395" s="3" t="str">
        <x:v>R+AR同收同发</x:v>
      </x:c>
      <x:c r="D395" s="25" t="n">
        <x:v>0</x:v>
      </x:c>
      <x:c r="E395" s="25" t="n">
        <x:v>5</x:v>
      </x:c>
      <x:c r="F395" s="25" t="n">
        <x:v>2</x:v>
      </x:c>
      <x:c r="G395" s="19" t="n">
        <x:f>SUM(D395:F395)</x:f>
        <x:v>7</x:v>
      </x:c>
      <x:c r="H395" s="25" t="n">
        <x:v>2</x:v>
      </x:c>
      <x:c r="I395" s="25" t="n">
        <x:v>1</x:v>
      </x:c>
      <x:c r="J395" s="25" t="n">
        <x:v>2</x:v>
      </x:c>
      <x:c r="K395" s="19" t="n">
        <x:f>D395-IF(H395=0,1,0)</x:f>
        <x:v>0</x:v>
      </x:c>
      <x:c r="L395" s="19" t="n">
        <x:f>E395-IF(H395=1,1,0)</x:f>
        <x:v>5</x:v>
      </x:c>
      <x:c r="M395" s="19" t="n">
        <x:f>F395-IF(H395=2,1,0)</x:f>
        <x:v>1</x:v>
      </x:c>
      <x:c r="N395" s="19" t="n">
        <x:f>MAX(K395-1,0)+MAX(L395-1,0)+MAX(M395-1,0)</x:f>
        <x:v>4</x:v>
      </x:c>
      <x:c r="O395" s="19" t="n">
        <x:f>IF(AND(SUM(K395:M395)&lt;9,OR(M395=0,N395&lt;6)),1,0)</x:f>
        <x:v>1</x:v>
      </x:c>
      <x:c r="P395" s="19" t="n">
        <x:f>IF(AND(SUM(K395:M395)&lt;9,OR(L395=0,N395&lt;6)),1,0)</x:f>
        <x:v>1</x:v>
      </x:c>
      <x:c r="Q395" s="19" t="n">
        <x:f>IF(AND(SUM(K395:M395)&lt;9,OR(K395=0,N395&lt;6)),1,0)</x:f>
        <x:v>1</x:v>
      </x:c>
      <x:c r="R395" s="22" t="str">
        <x:f>O395&amp;P395&amp;Q395</x:f>
        <x:v>111</x:v>
      </x:c>
      <x:c r="S395" s="19" t="n">
        <x:f>IF(I395=1,IF(J395=0,Q395,IF(J395=1,P395,IF(J395=2,O395,0))),0)</x:f>
        <x:v>1</x:v>
      </x:c>
      <x:c r="T395" s="19" t="n">
        <x:f>K395+IF(AND(S395=1,J395=0),1,0)</x:f>
        <x:v>0</x:v>
      </x:c>
      <x:c r="U395" s="19" t="n">
        <x:f>L395+IF(AND(S395=1,J395=1),1,0)</x:f>
        <x:v>5</x:v>
      </x:c>
      <x:c r="V395" s="19" t="n">
        <x:f>M395+IF(AND(S395=1,J395=2),1,0)</x:f>
        <x:v>2</x:v>
      </x:c>
      <x:c r="W395" s="19" t="n">
        <x:f>SUM(T395:V395)</x:f>
        <x:v>7</x:v>
      </x:c>
      <x:c r="X395" s="19" t="n">
        <x:f>W395-G395</x:f>
        <x:v>0</x:v>
      </x:c>
      <x:c r="Y395" s="19" t="n">
        <x:f>MAX(T395,1)+MAX(U395,1)+MAX(V395,1)</x:f>
        <x:v>8</x:v>
      </x:c>
      <x:c r="Z395" s="21" t="str">
        <x:f>IF(AND(MIN(D395:F395)&gt;=0,MAX(D395:F395)&lt;=7,MAX(D395,1)+MAX(E395,1)+MAX(F395,1)&lt;=9,OR(H395="-",AND(H395=0,D395&gt;0),AND(H395=1,E395&gt;0),AND(H395=2,F395&gt;0)),OR(I395=0,AND(I395=1,OR(J395=0,J395=1,J395=2),R395&lt;&gt;"000")),Y395&lt;=9,MIN(T395:V395)&gt;=0),"合法","输入违约")</x:f>
        <x:v>合法</x:v>
      </x:c>
    </x:row>
    <x:row r="396" ht="23" customHeight="1">
      <x:c r="A396" s="3" t="str">
        <x:v>CT-0389</x:v>
      </x:c>
      <x:c r="B396" s="3" t="str">
        <x:v>ST-125</x:v>
      </x:c>
      <x:c r="C396" s="3" t="str">
        <x:v>无AR/R</x:v>
      </x:c>
      <x:c r="D396" s="25" t="n">
        <x:v>0</x:v>
      </x:c>
      <x:c r="E396" s="25" t="n">
        <x:v>5</x:v>
      </x:c>
      <x:c r="F396" s="25" t="n">
        <x:v>3</x:v>
      </x:c>
      <x:c r="G396" s="19" t="n">
        <x:f>SUM(D396:F396)</x:f>
        <x:v>8</x:v>
      </x:c>
      <x:c r="H396" s="25" t="str">
        <x:v>-</x:v>
      </x:c>
      <x:c r="I396" s="25" t="n">
        <x:v>0</x:v>
      </x:c>
      <x:c r="J396" s="25" t="str">
        <x:v>-</x:v>
      </x:c>
      <x:c r="K396" s="19" t="n">
        <x:f>D396-IF(H396=0,1,0)</x:f>
        <x:v>0</x:v>
      </x:c>
      <x:c r="L396" s="19" t="n">
        <x:f>E396-IF(H396=1,1,0)</x:f>
        <x:v>5</x:v>
      </x:c>
      <x:c r="M396" s="19" t="n">
        <x:f>F396-IF(H396=2,1,0)</x:f>
        <x:v>3</x:v>
      </x:c>
      <x:c r="N396" s="19" t="n">
        <x:f>MAX(K396-1,0)+MAX(L396-1,0)+MAX(M396-1,0)</x:f>
        <x:v>6</x:v>
      </x:c>
      <x:c r="O396" s="19" t="n">
        <x:f>IF(AND(SUM(K396:M396)&lt;9,OR(M396=0,N396&lt;6)),1,0)</x:f>
        <x:v>0</x:v>
      </x:c>
      <x:c r="P396" s="19" t="n">
        <x:f>IF(AND(SUM(K396:M396)&lt;9,OR(L396=0,N396&lt;6)),1,0)</x:f>
        <x:v>0</x:v>
      </x:c>
      <x:c r="Q396" s="19" t="n">
        <x:f>IF(AND(SUM(K396:M396)&lt;9,OR(K396=0,N396&lt;6)),1,0)</x:f>
        <x:v>1</x:v>
      </x:c>
      <x:c r="R396" s="22" t="str">
        <x:f>O396&amp;P396&amp;Q396</x:f>
        <x:v>001</x:v>
      </x:c>
      <x:c r="S396" s="19" t="n">
        <x:f>IF(I396=1,IF(J396=0,Q396,IF(J396=1,P396,IF(J396=2,O396,0))),0)</x:f>
        <x:v>0</x:v>
      </x:c>
      <x:c r="T396" s="19" t="n">
        <x:f>K396+IF(AND(S396=1,J396=0),1,0)</x:f>
        <x:v>0</x:v>
      </x:c>
      <x:c r="U396" s="19" t="n">
        <x:f>L396+IF(AND(S396=1,J396=1),1,0)</x:f>
        <x:v>5</x:v>
      </x:c>
      <x:c r="V396" s="19" t="n">
        <x:f>M396+IF(AND(S396=1,J396=2),1,0)</x:f>
        <x:v>3</x:v>
      </x:c>
      <x:c r="W396" s="19" t="n">
        <x:f>SUM(T396:V396)</x:f>
        <x:v>8</x:v>
      </x:c>
      <x:c r="X396" s="19" t="n">
        <x:f>W396-G396</x:f>
        <x:v>0</x:v>
      </x:c>
      <x:c r="Y396" s="19" t="n">
        <x:f>MAX(T396,1)+MAX(U396,1)+MAX(V396,1)</x:f>
        <x:v>9</x:v>
      </x:c>
      <x:c r="Z396" s="21" t="str">
        <x:f>IF(AND(MIN(D396:F396)&gt;=0,MAX(D396:F396)&lt;=7,MAX(D396,1)+MAX(E396,1)+MAX(F396,1)&lt;=9,OR(H396="-",AND(H396=0,D396&gt;0),AND(H396=1,E396&gt;0),AND(H396=2,F396&gt;0)),OR(I396=0,AND(I396=1,OR(J396=0,J396=1,J396=2),R396&lt;&gt;"000")),Y396&lt;=9,MIN(T396:V396)&gt;=0),"合法","输入违约")</x:f>
        <x:v>合法</x:v>
      </x:c>
    </x:row>
    <x:row r="397" ht="23" customHeight="1">
      <x:c r="A397" s="3" t="str">
        <x:v>CT-0390</x:v>
      </x:c>
      <x:c r="B397" s="3" t="str">
        <x:v>ST-125</x:v>
      </x:c>
      <x:c r="C397" s="3" t="str">
        <x:v>仅AR接收</x:v>
      </x:c>
      <x:c r="D397" s="25" t="n">
        <x:v>0</x:v>
      </x:c>
      <x:c r="E397" s="25" t="n">
        <x:v>5</x:v>
      </x:c>
      <x:c r="F397" s="25" t="n">
        <x:v>3</x:v>
      </x:c>
      <x:c r="G397" s="19" t="n">
        <x:f>SUM(D397:F397)</x:f>
        <x:v>8</x:v>
      </x:c>
      <x:c r="H397" s="25" t="str">
        <x:v>-</x:v>
      </x:c>
      <x:c r="I397" s="25" t="n">
        <x:v>1</x:v>
      </x:c>
      <x:c r="J397" s="25" t="n">
        <x:v>0</x:v>
      </x:c>
      <x:c r="K397" s="19" t="n">
        <x:f>D397-IF(H397=0,1,0)</x:f>
        <x:v>0</x:v>
      </x:c>
      <x:c r="L397" s="19" t="n">
        <x:f>E397-IF(H397=1,1,0)</x:f>
        <x:v>5</x:v>
      </x:c>
      <x:c r="M397" s="19" t="n">
        <x:f>F397-IF(H397=2,1,0)</x:f>
        <x:v>3</x:v>
      </x:c>
      <x:c r="N397" s="19" t="n">
        <x:f>MAX(K397-1,0)+MAX(L397-1,0)+MAX(M397-1,0)</x:f>
        <x:v>6</x:v>
      </x:c>
      <x:c r="O397" s="19" t="n">
        <x:f>IF(AND(SUM(K397:M397)&lt;9,OR(M397=0,N397&lt;6)),1,0)</x:f>
        <x:v>0</x:v>
      </x:c>
      <x:c r="P397" s="19" t="n">
        <x:f>IF(AND(SUM(K397:M397)&lt;9,OR(L397=0,N397&lt;6)),1,0)</x:f>
        <x:v>0</x:v>
      </x:c>
      <x:c r="Q397" s="19" t="n">
        <x:f>IF(AND(SUM(K397:M397)&lt;9,OR(K397=0,N397&lt;6)),1,0)</x:f>
        <x:v>1</x:v>
      </x:c>
      <x:c r="R397" s="22" t="str">
        <x:f>O397&amp;P397&amp;Q397</x:f>
        <x:v>001</x:v>
      </x:c>
      <x:c r="S397" s="19" t="n">
        <x:f>IF(I397=1,IF(J397=0,Q397,IF(J397=1,P397,IF(J397=2,O397,0))),0)</x:f>
        <x:v>1</x:v>
      </x:c>
      <x:c r="T397" s="19" t="n">
        <x:f>K397+IF(AND(S397=1,J397=0),1,0)</x:f>
        <x:v>1</x:v>
      </x:c>
      <x:c r="U397" s="19" t="n">
        <x:f>L397+IF(AND(S397=1,J397=1),1,0)</x:f>
        <x:v>5</x:v>
      </x:c>
      <x:c r="V397" s="19" t="n">
        <x:f>M397+IF(AND(S397=1,J397=2),1,0)</x:f>
        <x:v>3</x:v>
      </x:c>
      <x:c r="W397" s="19" t="n">
        <x:f>SUM(T397:V397)</x:f>
        <x:v>9</x:v>
      </x:c>
      <x:c r="X397" s="19" t="n">
        <x:f>W397-G397</x:f>
        <x:v>1</x:v>
      </x:c>
      <x:c r="Y397" s="19" t="n">
        <x:f>MAX(T397,1)+MAX(U397,1)+MAX(V397,1)</x:f>
        <x:v>9</x:v>
      </x:c>
      <x:c r="Z397" s="21" t="str">
        <x:f>IF(AND(MIN(D397:F397)&gt;=0,MAX(D397:F397)&lt;=7,MAX(D397,1)+MAX(E397,1)+MAX(F397,1)&lt;=9,OR(H397="-",AND(H397=0,D397&gt;0),AND(H397=1,E397&gt;0),AND(H397=2,F397&gt;0)),OR(I397=0,AND(I397=1,OR(J397=0,J397=1,J397=2),R397&lt;&gt;"000")),Y397&lt;=9,MIN(T397:V397)&gt;=0),"合法","输入违约")</x:f>
        <x:v>合法</x:v>
      </x:c>
    </x:row>
    <x:row r="398" ht="23" customHeight="1">
      <x:c r="A398" s="3" t="str">
        <x:v>CT-0391</x:v>
      </x:c>
      <x:c r="B398" s="3" t="str">
        <x:v>ST-125</x:v>
      </x:c>
      <x:c r="C398" s="3" t="str">
        <x:v>所选源被阻塞</x:v>
      </x:c>
      <x:c r="D398" s="25" t="n">
        <x:v>0</x:v>
      </x:c>
      <x:c r="E398" s="25" t="n">
        <x:v>5</x:v>
      </x:c>
      <x:c r="F398" s="25" t="n">
        <x:v>3</x:v>
      </x:c>
      <x:c r="G398" s="19" t="n">
        <x:f>SUM(D398:F398)</x:f>
        <x:v>8</x:v>
      </x:c>
      <x:c r="H398" s="25" t="str">
        <x:v>-</x:v>
      </x:c>
      <x:c r="I398" s="25" t="n">
        <x:v>1</x:v>
      </x:c>
      <x:c r="J398" s="25" t="n">
        <x:v>1</x:v>
      </x:c>
      <x:c r="K398" s="19" t="n">
        <x:f>D398-IF(H398=0,1,0)</x:f>
        <x:v>0</x:v>
      </x:c>
      <x:c r="L398" s="19" t="n">
        <x:f>E398-IF(H398=1,1,0)</x:f>
        <x:v>5</x:v>
      </x:c>
      <x:c r="M398" s="19" t="n">
        <x:f>F398-IF(H398=2,1,0)</x:f>
        <x:v>3</x:v>
      </x:c>
      <x:c r="N398" s="19" t="n">
        <x:f>MAX(K398-1,0)+MAX(L398-1,0)+MAX(M398-1,0)</x:f>
        <x:v>6</x:v>
      </x:c>
      <x:c r="O398" s="19" t="n">
        <x:f>IF(AND(SUM(K398:M398)&lt;9,OR(M398=0,N398&lt;6)),1,0)</x:f>
        <x:v>0</x:v>
      </x:c>
      <x:c r="P398" s="19" t="n">
        <x:f>IF(AND(SUM(K398:M398)&lt;9,OR(L398=0,N398&lt;6)),1,0)</x:f>
        <x:v>0</x:v>
      </x:c>
      <x:c r="Q398" s="19" t="n">
        <x:f>IF(AND(SUM(K398:M398)&lt;9,OR(K398=0,N398&lt;6)),1,0)</x:f>
        <x:v>1</x:v>
      </x:c>
      <x:c r="R398" s="22" t="str">
        <x:f>O398&amp;P398&amp;Q398</x:f>
        <x:v>001</x:v>
      </x:c>
      <x:c r="S398" s="19" t="n">
        <x:f>IF(I398=1,IF(J398=0,Q398,IF(J398=1,P398,IF(J398=2,O398,0))),0)</x:f>
        <x:v>0</x:v>
      </x:c>
      <x:c r="T398" s="19" t="n">
        <x:f>K398+IF(AND(S398=1,J398=0),1,0)</x:f>
        <x:v>0</x:v>
      </x:c>
      <x:c r="U398" s="19" t="n">
        <x:f>L398+IF(AND(S398=1,J398=1),1,0)</x:f>
        <x:v>5</x:v>
      </x:c>
      <x:c r="V398" s="19" t="n">
        <x:f>M398+IF(AND(S398=1,J398=2),1,0)</x:f>
        <x:v>3</x:v>
      </x:c>
      <x:c r="W398" s="19" t="n">
        <x:f>SUM(T398:V398)</x:f>
        <x:v>8</x:v>
      </x:c>
      <x:c r="X398" s="19" t="n">
        <x:f>W398-G398</x:f>
        <x:v>0</x:v>
      </x:c>
      <x:c r="Y398" s="19" t="n">
        <x:f>MAX(T398,1)+MAX(U398,1)+MAX(V398,1)</x:f>
        <x:v>9</x:v>
      </x:c>
      <x:c r="Z398" s="21" t="str">
        <x:f>IF(AND(MIN(D398:F398)&gt;=0,MAX(D398:F398)&lt;=7,MAX(D398,1)+MAX(E398,1)+MAX(F398,1)&lt;=9,OR(H398="-",AND(H398=0,D398&gt;0),AND(H398=1,E398&gt;0),AND(H398=2,F398&gt;0)),OR(I398=0,AND(I398=1,OR(J398=0,J398=1,J398=2),R398&lt;&gt;"000")),Y398&lt;=9,MIN(T398:V398)&gt;=0),"合法","输入违约")</x:f>
        <x:v>合法</x:v>
      </x:c>
    </x:row>
    <x:row r="399" ht="23" customHeight="1">
      <x:c r="A399" s="3" t="str">
        <x:v>CT-0392</x:v>
      </x:c>
      <x:c r="B399" s="3" t="str">
        <x:v>ST-125</x:v>
      </x:c>
      <x:c r="C399" s="3" t="str">
        <x:v>所选源被阻塞</x:v>
      </x:c>
      <x:c r="D399" s="25" t="n">
        <x:v>0</x:v>
      </x:c>
      <x:c r="E399" s="25" t="n">
        <x:v>5</x:v>
      </x:c>
      <x:c r="F399" s="25" t="n">
        <x:v>3</x:v>
      </x:c>
      <x:c r="G399" s="19" t="n">
        <x:f>SUM(D399:F399)</x:f>
        <x:v>8</x:v>
      </x:c>
      <x:c r="H399" s="25" t="str">
        <x:v>-</x:v>
      </x:c>
      <x:c r="I399" s="25" t="n">
        <x:v>1</x:v>
      </x:c>
      <x:c r="J399" s="25" t="n">
        <x:v>2</x:v>
      </x:c>
      <x:c r="K399" s="19" t="n">
        <x:f>D399-IF(H399=0,1,0)</x:f>
        <x:v>0</x:v>
      </x:c>
      <x:c r="L399" s="19" t="n">
        <x:f>E399-IF(H399=1,1,0)</x:f>
        <x:v>5</x:v>
      </x:c>
      <x:c r="M399" s="19" t="n">
        <x:f>F399-IF(H399=2,1,0)</x:f>
        <x:v>3</x:v>
      </x:c>
      <x:c r="N399" s="19" t="n">
        <x:f>MAX(K399-1,0)+MAX(L399-1,0)+MAX(M399-1,0)</x:f>
        <x:v>6</x:v>
      </x:c>
      <x:c r="O399" s="19" t="n">
        <x:f>IF(AND(SUM(K399:M399)&lt;9,OR(M399=0,N399&lt;6)),1,0)</x:f>
        <x:v>0</x:v>
      </x:c>
      <x:c r="P399" s="19" t="n">
        <x:f>IF(AND(SUM(K399:M399)&lt;9,OR(L399=0,N399&lt;6)),1,0)</x:f>
        <x:v>0</x:v>
      </x:c>
      <x:c r="Q399" s="19" t="n">
        <x:f>IF(AND(SUM(K399:M399)&lt;9,OR(K399=0,N399&lt;6)),1,0)</x:f>
        <x:v>1</x:v>
      </x:c>
      <x:c r="R399" s="22" t="str">
        <x:f>O399&amp;P399&amp;Q399</x:f>
        <x:v>001</x:v>
      </x:c>
      <x:c r="S399" s="19" t="n">
        <x:f>IF(I399=1,IF(J399=0,Q399,IF(J399=1,P399,IF(J399=2,O399,0))),0)</x:f>
        <x:v>0</x:v>
      </x:c>
      <x:c r="T399" s="19" t="n">
        <x:f>K399+IF(AND(S399=1,J399=0),1,0)</x:f>
        <x:v>0</x:v>
      </x:c>
      <x:c r="U399" s="19" t="n">
        <x:f>L399+IF(AND(S399=1,J399=1),1,0)</x:f>
        <x:v>5</x:v>
      </x:c>
      <x:c r="V399" s="19" t="n">
        <x:f>M399+IF(AND(S399=1,J399=2),1,0)</x:f>
        <x:v>3</x:v>
      </x:c>
      <x:c r="W399" s="19" t="n">
        <x:f>SUM(T399:V399)</x:f>
        <x:v>8</x:v>
      </x:c>
      <x:c r="X399" s="19" t="n">
        <x:f>W399-G399</x:f>
        <x:v>0</x:v>
      </x:c>
      <x:c r="Y399" s="19" t="n">
        <x:f>MAX(T399,1)+MAX(U399,1)+MAX(V399,1)</x:f>
        <x:v>9</x:v>
      </x:c>
      <x:c r="Z399" s="21" t="str">
        <x:f>IF(AND(MIN(D399:F399)&gt;=0,MAX(D399:F399)&lt;=7,MAX(D399,1)+MAX(E399,1)+MAX(F399,1)&lt;=9,OR(H399="-",AND(H399=0,D399&gt;0),AND(H399=1,E399&gt;0),AND(H399=2,F399&gt;0)),OR(I399=0,AND(I399=1,OR(J399=0,J399=1,J399=2),R399&lt;&gt;"000")),Y399&lt;=9,MIN(T399:V399)&gt;=0),"合法","输入违约")</x:f>
        <x:v>合法</x:v>
      </x:c>
    </x:row>
    <x:row r="400" ht="23" customHeight="1">
      <x:c r="A400" s="3" t="str">
        <x:v>CT-0393</x:v>
      </x:c>
      <x:c r="B400" s="3" t="str">
        <x:v>ST-125</x:v>
      </x:c>
      <x:c r="C400" s="3" t="str">
        <x:v>仅R回收</x:v>
      </x:c>
      <x:c r="D400" s="25" t="n">
        <x:v>0</x:v>
      </x:c>
      <x:c r="E400" s="25" t="n">
        <x:v>5</x:v>
      </x:c>
      <x:c r="F400" s="25" t="n">
        <x:v>3</x:v>
      </x:c>
      <x:c r="G400" s="19" t="n">
        <x:f>SUM(D400:F400)</x:f>
        <x:v>8</x:v>
      </x:c>
      <x:c r="H400" s="25" t="n">
        <x:v>1</x:v>
      </x:c>
      <x:c r="I400" s="25" t="n">
        <x:v>0</x:v>
      </x:c>
      <x:c r="J400" s="25" t="str">
        <x:v>-</x:v>
      </x:c>
      <x:c r="K400" s="19" t="n">
        <x:f>D400-IF(H400=0,1,0)</x:f>
        <x:v>0</x:v>
      </x:c>
      <x:c r="L400" s="19" t="n">
        <x:f>E400-IF(H400=1,1,0)</x:f>
        <x:v>4</x:v>
      </x:c>
      <x:c r="M400" s="19" t="n">
        <x:f>F400-IF(H400=2,1,0)</x:f>
        <x:v>3</x:v>
      </x:c>
      <x:c r="N400" s="19" t="n">
        <x:f>MAX(K400-1,0)+MAX(L400-1,0)+MAX(M400-1,0)</x:f>
        <x:v>5</x:v>
      </x:c>
      <x:c r="O400" s="19" t="n">
        <x:f>IF(AND(SUM(K400:M400)&lt;9,OR(M400=0,N400&lt;6)),1,0)</x:f>
        <x:v>1</x:v>
      </x:c>
      <x:c r="P400" s="19" t="n">
        <x:f>IF(AND(SUM(K400:M400)&lt;9,OR(L400=0,N400&lt;6)),1,0)</x:f>
        <x:v>1</x:v>
      </x:c>
      <x:c r="Q400" s="19" t="n">
        <x:f>IF(AND(SUM(K400:M400)&lt;9,OR(K400=0,N400&lt;6)),1,0)</x:f>
        <x:v>1</x:v>
      </x:c>
      <x:c r="R400" s="22" t="str">
        <x:f>O400&amp;P400&amp;Q400</x:f>
        <x:v>111</x:v>
      </x:c>
      <x:c r="S400" s="19" t="n">
        <x:f>IF(I400=1,IF(J400=0,Q400,IF(J400=1,P400,IF(J400=2,O400,0))),0)</x:f>
        <x:v>0</x:v>
      </x:c>
      <x:c r="T400" s="19" t="n">
        <x:f>K400+IF(AND(S400=1,J400=0),1,0)</x:f>
        <x:v>0</x:v>
      </x:c>
      <x:c r="U400" s="19" t="n">
        <x:f>L400+IF(AND(S400=1,J400=1),1,0)</x:f>
        <x:v>4</x:v>
      </x:c>
      <x:c r="V400" s="19" t="n">
        <x:f>M400+IF(AND(S400=1,J400=2),1,0)</x:f>
        <x:v>3</x:v>
      </x:c>
      <x:c r="W400" s="19" t="n">
        <x:f>SUM(T400:V400)</x:f>
        <x:v>7</x:v>
      </x:c>
      <x:c r="X400" s="19" t="n">
        <x:f>W400-G400</x:f>
        <x:v>-1</x:v>
      </x:c>
      <x:c r="Y400" s="19" t="n">
        <x:f>MAX(T400,1)+MAX(U400,1)+MAX(V400,1)</x:f>
        <x:v>8</x:v>
      </x:c>
      <x:c r="Z400" s="21" t="str">
        <x:f>IF(AND(MIN(D400:F400)&gt;=0,MAX(D400:F400)&lt;=7,MAX(D400,1)+MAX(E400,1)+MAX(F400,1)&lt;=9,OR(H400="-",AND(H400=0,D400&gt;0),AND(H400=1,E400&gt;0),AND(H400=2,F400&gt;0)),OR(I400=0,AND(I400=1,OR(J400=0,J400=1,J400=2),R400&lt;&gt;"000")),Y400&lt;=9,MIN(T400:V400)&gt;=0),"合法","输入违约")</x:f>
        <x:v>合法</x:v>
      </x:c>
    </x:row>
    <x:row r="401" ht="23" customHeight="1">
      <x:c r="A401" s="3" t="str">
        <x:v>CT-0394</x:v>
      </x:c>
      <x:c r="B401" s="3" t="str">
        <x:v>ST-125</x:v>
      </x:c>
      <x:c r="C401" s="3" t="str">
        <x:v>R+AR同收同发</x:v>
      </x:c>
      <x:c r="D401" s="25" t="n">
        <x:v>0</x:v>
      </x:c>
      <x:c r="E401" s="25" t="n">
        <x:v>5</x:v>
      </x:c>
      <x:c r="F401" s="25" t="n">
        <x:v>3</x:v>
      </x:c>
      <x:c r="G401" s="19" t="n">
        <x:f>SUM(D401:F401)</x:f>
        <x:v>8</x:v>
      </x:c>
      <x:c r="H401" s="25" t="n">
        <x:v>1</x:v>
      </x:c>
      <x:c r="I401" s="25" t="n">
        <x:v>1</x:v>
      </x:c>
      <x:c r="J401" s="25" t="n">
        <x:v>0</x:v>
      </x:c>
      <x:c r="K401" s="19" t="n">
        <x:f>D401-IF(H401=0,1,0)</x:f>
        <x:v>0</x:v>
      </x:c>
      <x:c r="L401" s="19" t="n">
        <x:f>E401-IF(H401=1,1,0)</x:f>
        <x:v>4</x:v>
      </x:c>
      <x:c r="M401" s="19" t="n">
        <x:f>F401-IF(H401=2,1,0)</x:f>
        <x:v>3</x:v>
      </x:c>
      <x:c r="N401" s="19" t="n">
        <x:f>MAX(K401-1,0)+MAX(L401-1,0)+MAX(M401-1,0)</x:f>
        <x:v>5</x:v>
      </x:c>
      <x:c r="O401" s="19" t="n">
        <x:f>IF(AND(SUM(K401:M401)&lt;9,OR(M401=0,N401&lt;6)),1,0)</x:f>
        <x:v>1</x:v>
      </x:c>
      <x:c r="P401" s="19" t="n">
        <x:f>IF(AND(SUM(K401:M401)&lt;9,OR(L401=0,N401&lt;6)),1,0)</x:f>
        <x:v>1</x:v>
      </x:c>
      <x:c r="Q401" s="19" t="n">
        <x:f>IF(AND(SUM(K401:M401)&lt;9,OR(K401=0,N401&lt;6)),1,0)</x:f>
        <x:v>1</x:v>
      </x:c>
      <x:c r="R401" s="22" t="str">
        <x:f>O401&amp;P401&amp;Q401</x:f>
        <x:v>111</x:v>
      </x:c>
      <x:c r="S401" s="19" t="n">
        <x:f>IF(I401=1,IF(J401=0,Q401,IF(J401=1,P401,IF(J401=2,O401,0))),0)</x:f>
        <x:v>1</x:v>
      </x:c>
      <x:c r="T401" s="19" t="n">
        <x:f>K401+IF(AND(S401=1,J401=0),1,0)</x:f>
        <x:v>1</x:v>
      </x:c>
      <x:c r="U401" s="19" t="n">
        <x:f>L401+IF(AND(S401=1,J401=1),1,0)</x:f>
        <x:v>4</x:v>
      </x:c>
      <x:c r="V401" s="19" t="n">
        <x:f>M401+IF(AND(S401=1,J401=2),1,0)</x:f>
        <x:v>3</x:v>
      </x:c>
      <x:c r="W401" s="19" t="n">
        <x:f>SUM(T401:V401)</x:f>
        <x:v>8</x:v>
      </x:c>
      <x:c r="X401" s="19" t="n">
        <x:f>W401-G401</x:f>
        <x:v>0</x:v>
      </x:c>
      <x:c r="Y401" s="19" t="n">
        <x:f>MAX(T401,1)+MAX(U401,1)+MAX(V401,1)</x:f>
        <x:v>8</x:v>
      </x:c>
      <x:c r="Z401" s="21" t="str">
        <x:f>IF(AND(MIN(D401:F401)&gt;=0,MAX(D401:F401)&lt;=7,MAX(D401,1)+MAX(E401,1)+MAX(F401,1)&lt;=9,OR(H401="-",AND(H401=0,D401&gt;0),AND(H401=1,E401&gt;0),AND(H401=2,F401&gt;0)),OR(I401=0,AND(I401=1,OR(J401=0,J401=1,J401=2),R401&lt;&gt;"000")),Y401&lt;=9,MIN(T401:V401)&gt;=0),"合法","输入违约")</x:f>
        <x:v>合法</x:v>
      </x:c>
    </x:row>
    <x:row r="402" ht="23" customHeight="1">
      <x:c r="A402" s="3" t="str">
        <x:v>CT-0395</x:v>
      </x:c>
      <x:c r="B402" s="3" t="str">
        <x:v>ST-125</x:v>
      </x:c>
      <x:c r="C402" s="3" t="str">
        <x:v>R+AR同收同发</x:v>
      </x:c>
      <x:c r="D402" s="25" t="n">
        <x:v>0</x:v>
      </x:c>
      <x:c r="E402" s="25" t="n">
        <x:v>5</x:v>
      </x:c>
      <x:c r="F402" s="25" t="n">
        <x:v>3</x:v>
      </x:c>
      <x:c r="G402" s="19" t="n">
        <x:f>SUM(D402:F402)</x:f>
        <x:v>8</x:v>
      </x:c>
      <x:c r="H402" s="25" t="n">
        <x:v>1</x:v>
      </x:c>
      <x:c r="I402" s="25" t="n">
        <x:v>1</x:v>
      </x:c>
      <x:c r="J402" s="25" t="n">
        <x:v>1</x:v>
      </x:c>
      <x:c r="K402" s="19" t="n">
        <x:f>D402-IF(H402=0,1,0)</x:f>
        <x:v>0</x:v>
      </x:c>
      <x:c r="L402" s="19" t="n">
        <x:f>E402-IF(H402=1,1,0)</x:f>
        <x:v>4</x:v>
      </x:c>
      <x:c r="M402" s="19" t="n">
        <x:f>F402-IF(H402=2,1,0)</x:f>
        <x:v>3</x:v>
      </x:c>
      <x:c r="N402" s="19" t="n">
        <x:f>MAX(K402-1,0)+MAX(L402-1,0)+MAX(M402-1,0)</x:f>
        <x:v>5</x:v>
      </x:c>
      <x:c r="O402" s="19" t="n">
        <x:f>IF(AND(SUM(K402:M402)&lt;9,OR(M402=0,N402&lt;6)),1,0)</x:f>
        <x:v>1</x:v>
      </x:c>
      <x:c r="P402" s="19" t="n">
        <x:f>IF(AND(SUM(K402:M402)&lt;9,OR(L402=0,N402&lt;6)),1,0)</x:f>
        <x:v>1</x:v>
      </x:c>
      <x:c r="Q402" s="19" t="n">
        <x:f>IF(AND(SUM(K402:M402)&lt;9,OR(K402=0,N402&lt;6)),1,0)</x:f>
        <x:v>1</x:v>
      </x:c>
      <x:c r="R402" s="22" t="str">
        <x:f>O402&amp;P402&amp;Q402</x:f>
        <x:v>111</x:v>
      </x:c>
      <x:c r="S402" s="19" t="n">
        <x:f>IF(I402=1,IF(J402=0,Q402,IF(J402=1,P402,IF(J402=2,O402,0))),0)</x:f>
        <x:v>1</x:v>
      </x:c>
      <x:c r="T402" s="19" t="n">
        <x:f>K402+IF(AND(S402=1,J402=0),1,0)</x:f>
        <x:v>0</x:v>
      </x:c>
      <x:c r="U402" s="19" t="n">
        <x:f>L402+IF(AND(S402=1,J402=1),1,0)</x:f>
        <x:v>5</x:v>
      </x:c>
      <x:c r="V402" s="19" t="n">
        <x:f>M402+IF(AND(S402=1,J402=2),1,0)</x:f>
        <x:v>3</x:v>
      </x:c>
      <x:c r="W402" s="19" t="n">
        <x:f>SUM(T402:V402)</x:f>
        <x:v>8</x:v>
      </x:c>
      <x:c r="X402" s="19" t="n">
        <x:f>W402-G402</x:f>
        <x:v>0</x:v>
      </x:c>
      <x:c r="Y402" s="19" t="n">
        <x:f>MAX(T402,1)+MAX(U402,1)+MAX(V402,1)</x:f>
        <x:v>9</x:v>
      </x:c>
      <x:c r="Z402" s="21" t="str">
        <x:f>IF(AND(MIN(D402:F402)&gt;=0,MAX(D402:F402)&lt;=7,MAX(D402,1)+MAX(E402,1)+MAX(F402,1)&lt;=9,OR(H402="-",AND(H402=0,D402&gt;0),AND(H402=1,E402&gt;0),AND(H402=2,F402&gt;0)),OR(I402=0,AND(I402=1,OR(J402=0,J402=1,J402=2),R402&lt;&gt;"000")),Y402&lt;=9,MIN(T402:V402)&gt;=0),"合法","输入违约")</x:f>
        <x:v>合法</x:v>
      </x:c>
    </x:row>
    <x:row r="403" ht="23" customHeight="1">
      <x:c r="A403" s="3" t="str">
        <x:v>CT-0396</x:v>
      </x:c>
      <x:c r="B403" s="3" t="str">
        <x:v>ST-125</x:v>
      </x:c>
      <x:c r="C403" s="3" t="str">
        <x:v>R+AR同收同发</x:v>
      </x:c>
      <x:c r="D403" s="25" t="n">
        <x:v>0</x:v>
      </x:c>
      <x:c r="E403" s="25" t="n">
        <x:v>5</x:v>
      </x:c>
      <x:c r="F403" s="25" t="n">
        <x:v>3</x:v>
      </x:c>
      <x:c r="G403" s="19" t="n">
        <x:f>SUM(D403:F403)</x:f>
        <x:v>8</x:v>
      </x:c>
      <x:c r="H403" s="25" t="n">
        <x:v>1</x:v>
      </x:c>
      <x:c r="I403" s="25" t="n">
        <x:v>1</x:v>
      </x:c>
      <x:c r="J403" s="25" t="n">
        <x:v>2</x:v>
      </x:c>
      <x:c r="K403" s="19" t="n">
        <x:f>D403-IF(H403=0,1,0)</x:f>
        <x:v>0</x:v>
      </x:c>
      <x:c r="L403" s="19" t="n">
        <x:f>E403-IF(H403=1,1,0)</x:f>
        <x:v>4</x:v>
      </x:c>
      <x:c r="M403" s="19" t="n">
        <x:f>F403-IF(H403=2,1,0)</x:f>
        <x:v>3</x:v>
      </x:c>
      <x:c r="N403" s="19" t="n">
        <x:f>MAX(K403-1,0)+MAX(L403-1,0)+MAX(M403-1,0)</x:f>
        <x:v>5</x:v>
      </x:c>
      <x:c r="O403" s="19" t="n">
        <x:f>IF(AND(SUM(K403:M403)&lt;9,OR(M403=0,N403&lt;6)),1,0)</x:f>
        <x:v>1</x:v>
      </x:c>
      <x:c r="P403" s="19" t="n">
        <x:f>IF(AND(SUM(K403:M403)&lt;9,OR(L403=0,N403&lt;6)),1,0)</x:f>
        <x:v>1</x:v>
      </x:c>
      <x:c r="Q403" s="19" t="n">
        <x:f>IF(AND(SUM(K403:M403)&lt;9,OR(K403=0,N403&lt;6)),1,0)</x:f>
        <x:v>1</x:v>
      </x:c>
      <x:c r="R403" s="22" t="str">
        <x:f>O403&amp;P403&amp;Q403</x:f>
        <x:v>111</x:v>
      </x:c>
      <x:c r="S403" s="19" t="n">
        <x:f>IF(I403=1,IF(J403=0,Q403,IF(J403=1,P403,IF(J403=2,O403,0))),0)</x:f>
        <x:v>1</x:v>
      </x:c>
      <x:c r="T403" s="19" t="n">
        <x:f>K403+IF(AND(S403=1,J403=0),1,0)</x:f>
        <x:v>0</x:v>
      </x:c>
      <x:c r="U403" s="19" t="n">
        <x:f>L403+IF(AND(S403=1,J403=1),1,0)</x:f>
        <x:v>4</x:v>
      </x:c>
      <x:c r="V403" s="19" t="n">
        <x:f>M403+IF(AND(S403=1,J403=2),1,0)</x:f>
        <x:v>4</x:v>
      </x:c>
      <x:c r="W403" s="19" t="n">
        <x:f>SUM(T403:V403)</x:f>
        <x:v>8</x:v>
      </x:c>
      <x:c r="X403" s="19" t="n">
        <x:f>W403-G403</x:f>
        <x:v>0</x:v>
      </x:c>
      <x:c r="Y403" s="19" t="n">
        <x:f>MAX(T403,1)+MAX(U403,1)+MAX(V403,1)</x:f>
        <x:v>9</x:v>
      </x:c>
      <x:c r="Z403" s="21" t="str">
        <x:f>IF(AND(MIN(D403:F403)&gt;=0,MAX(D403:F403)&lt;=7,MAX(D403,1)+MAX(E403,1)+MAX(F403,1)&lt;=9,OR(H403="-",AND(H403=0,D403&gt;0),AND(H403=1,E403&gt;0),AND(H403=2,F403&gt;0)),OR(I403=0,AND(I403=1,OR(J403=0,J403=1,J403=2),R403&lt;&gt;"000")),Y403&lt;=9,MIN(T403:V403)&gt;=0),"合法","输入违约")</x:f>
        <x:v>合法</x:v>
      </x:c>
    </x:row>
    <x:row r="404" ht="23" customHeight="1">
      <x:c r="A404" s="3" t="str">
        <x:v>CT-0397</x:v>
      </x:c>
      <x:c r="B404" s="3" t="str">
        <x:v>ST-125</x:v>
      </x:c>
      <x:c r="C404" s="3" t="str">
        <x:v>仅R回收</x:v>
      </x:c>
      <x:c r="D404" s="25" t="n">
        <x:v>0</x:v>
      </x:c>
      <x:c r="E404" s="25" t="n">
        <x:v>5</x:v>
      </x:c>
      <x:c r="F404" s="25" t="n">
        <x:v>3</x:v>
      </x:c>
      <x:c r="G404" s="19" t="n">
        <x:f>SUM(D404:F404)</x:f>
        <x:v>8</x:v>
      </x:c>
      <x:c r="H404" s="25" t="n">
        <x:v>2</x:v>
      </x:c>
      <x:c r="I404" s="25" t="n">
        <x:v>0</x:v>
      </x:c>
      <x:c r="J404" s="25" t="str">
        <x:v>-</x:v>
      </x:c>
      <x:c r="K404" s="19" t="n">
        <x:f>D404-IF(H404=0,1,0)</x:f>
        <x:v>0</x:v>
      </x:c>
      <x:c r="L404" s="19" t="n">
        <x:f>E404-IF(H404=1,1,0)</x:f>
        <x:v>5</x:v>
      </x:c>
      <x:c r="M404" s="19" t="n">
        <x:f>F404-IF(H404=2,1,0)</x:f>
        <x:v>2</x:v>
      </x:c>
      <x:c r="N404" s="19" t="n">
        <x:f>MAX(K404-1,0)+MAX(L404-1,0)+MAX(M404-1,0)</x:f>
        <x:v>5</x:v>
      </x:c>
      <x:c r="O404" s="19" t="n">
        <x:f>IF(AND(SUM(K404:M404)&lt;9,OR(M404=0,N404&lt;6)),1,0)</x:f>
        <x:v>1</x:v>
      </x:c>
      <x:c r="P404" s="19" t="n">
        <x:f>IF(AND(SUM(K404:M404)&lt;9,OR(L404=0,N404&lt;6)),1,0)</x:f>
        <x:v>1</x:v>
      </x:c>
      <x:c r="Q404" s="19" t="n">
        <x:f>IF(AND(SUM(K404:M404)&lt;9,OR(K404=0,N404&lt;6)),1,0)</x:f>
        <x:v>1</x:v>
      </x:c>
      <x:c r="R404" s="22" t="str">
        <x:f>O404&amp;P404&amp;Q404</x:f>
        <x:v>111</x:v>
      </x:c>
      <x:c r="S404" s="19" t="n">
        <x:f>IF(I404=1,IF(J404=0,Q404,IF(J404=1,P404,IF(J404=2,O404,0))),0)</x:f>
        <x:v>0</x:v>
      </x:c>
      <x:c r="T404" s="19" t="n">
        <x:f>K404+IF(AND(S404=1,J404=0),1,0)</x:f>
        <x:v>0</x:v>
      </x:c>
      <x:c r="U404" s="19" t="n">
        <x:f>L404+IF(AND(S404=1,J404=1),1,0)</x:f>
        <x:v>5</x:v>
      </x:c>
      <x:c r="V404" s="19" t="n">
        <x:f>M404+IF(AND(S404=1,J404=2),1,0)</x:f>
        <x:v>2</x:v>
      </x:c>
      <x:c r="W404" s="19" t="n">
        <x:f>SUM(T404:V404)</x:f>
        <x:v>7</x:v>
      </x:c>
      <x:c r="X404" s="19" t="n">
        <x:f>W404-G404</x:f>
        <x:v>-1</x:v>
      </x:c>
      <x:c r="Y404" s="19" t="n">
        <x:f>MAX(T404,1)+MAX(U404,1)+MAX(V404,1)</x:f>
        <x:v>8</x:v>
      </x:c>
      <x:c r="Z404" s="21" t="str">
        <x:f>IF(AND(MIN(D404:F404)&gt;=0,MAX(D404:F404)&lt;=7,MAX(D404,1)+MAX(E404,1)+MAX(F404,1)&lt;=9,OR(H404="-",AND(H404=0,D404&gt;0),AND(H404=1,E404&gt;0),AND(H404=2,F404&gt;0)),OR(I404=0,AND(I404=1,OR(J404=0,J404=1,J404=2),R404&lt;&gt;"000")),Y404&lt;=9,MIN(T404:V404)&gt;=0),"合法","输入违约")</x:f>
        <x:v>合法</x:v>
      </x:c>
    </x:row>
    <x:row r="405" ht="23" customHeight="1">
      <x:c r="A405" s="3" t="str">
        <x:v>CT-0398</x:v>
      </x:c>
      <x:c r="B405" s="3" t="str">
        <x:v>ST-125</x:v>
      </x:c>
      <x:c r="C405" s="3" t="str">
        <x:v>R+AR同收同发</x:v>
      </x:c>
      <x:c r="D405" s="25" t="n">
        <x:v>0</x:v>
      </x:c>
      <x:c r="E405" s="25" t="n">
        <x:v>5</x:v>
      </x:c>
      <x:c r="F405" s="25" t="n">
        <x:v>3</x:v>
      </x:c>
      <x:c r="G405" s="19" t="n">
        <x:f>SUM(D405:F405)</x:f>
        <x:v>8</x:v>
      </x:c>
      <x:c r="H405" s="25" t="n">
        <x:v>2</x:v>
      </x:c>
      <x:c r="I405" s="25" t="n">
        <x:v>1</x:v>
      </x:c>
      <x:c r="J405" s="25" t="n">
        <x:v>0</x:v>
      </x:c>
      <x:c r="K405" s="19" t="n">
        <x:f>D405-IF(H405=0,1,0)</x:f>
        <x:v>0</x:v>
      </x:c>
      <x:c r="L405" s="19" t="n">
        <x:f>E405-IF(H405=1,1,0)</x:f>
        <x:v>5</x:v>
      </x:c>
      <x:c r="M405" s="19" t="n">
        <x:f>F405-IF(H405=2,1,0)</x:f>
        <x:v>2</x:v>
      </x:c>
      <x:c r="N405" s="19" t="n">
        <x:f>MAX(K405-1,0)+MAX(L405-1,0)+MAX(M405-1,0)</x:f>
        <x:v>5</x:v>
      </x:c>
      <x:c r="O405" s="19" t="n">
        <x:f>IF(AND(SUM(K405:M405)&lt;9,OR(M405=0,N405&lt;6)),1,0)</x:f>
        <x:v>1</x:v>
      </x:c>
      <x:c r="P405" s="19" t="n">
        <x:f>IF(AND(SUM(K405:M405)&lt;9,OR(L405=0,N405&lt;6)),1,0)</x:f>
        <x:v>1</x:v>
      </x:c>
      <x:c r="Q405" s="19" t="n">
        <x:f>IF(AND(SUM(K405:M405)&lt;9,OR(K405=0,N405&lt;6)),1,0)</x:f>
        <x:v>1</x:v>
      </x:c>
      <x:c r="R405" s="22" t="str">
        <x:f>O405&amp;P405&amp;Q405</x:f>
        <x:v>111</x:v>
      </x:c>
      <x:c r="S405" s="19" t="n">
        <x:f>IF(I405=1,IF(J405=0,Q405,IF(J405=1,P405,IF(J405=2,O405,0))),0)</x:f>
        <x:v>1</x:v>
      </x:c>
      <x:c r="T405" s="19" t="n">
        <x:f>K405+IF(AND(S405=1,J405=0),1,0)</x:f>
        <x:v>1</x:v>
      </x:c>
      <x:c r="U405" s="19" t="n">
        <x:f>L405+IF(AND(S405=1,J405=1),1,0)</x:f>
        <x:v>5</x:v>
      </x:c>
      <x:c r="V405" s="19" t="n">
        <x:f>M405+IF(AND(S405=1,J405=2),1,0)</x:f>
        <x:v>2</x:v>
      </x:c>
      <x:c r="W405" s="19" t="n">
        <x:f>SUM(T405:V405)</x:f>
        <x:v>8</x:v>
      </x:c>
      <x:c r="X405" s="19" t="n">
        <x:f>W405-G405</x:f>
        <x:v>0</x:v>
      </x:c>
      <x:c r="Y405" s="19" t="n">
        <x:f>MAX(T405,1)+MAX(U405,1)+MAX(V405,1)</x:f>
        <x:v>8</x:v>
      </x:c>
      <x:c r="Z405" s="21" t="str">
        <x:f>IF(AND(MIN(D405:F405)&gt;=0,MAX(D405:F405)&lt;=7,MAX(D405,1)+MAX(E405,1)+MAX(F405,1)&lt;=9,OR(H405="-",AND(H405=0,D405&gt;0),AND(H405=1,E405&gt;0),AND(H405=2,F405&gt;0)),OR(I405=0,AND(I405=1,OR(J405=0,J405=1,J405=2),R405&lt;&gt;"000")),Y405&lt;=9,MIN(T405:V405)&gt;=0),"合法","输入违约")</x:f>
        <x:v>合法</x:v>
      </x:c>
    </x:row>
    <x:row r="406" ht="23" customHeight="1">
      <x:c r="A406" s="3" t="str">
        <x:v>CT-0399</x:v>
      </x:c>
      <x:c r="B406" s="3" t="str">
        <x:v>ST-125</x:v>
      </x:c>
      <x:c r="C406" s="3" t="str">
        <x:v>R+AR同收同发</x:v>
      </x:c>
      <x:c r="D406" s="25" t="n">
        <x:v>0</x:v>
      </x:c>
      <x:c r="E406" s="25" t="n">
        <x:v>5</x:v>
      </x:c>
      <x:c r="F406" s="25" t="n">
        <x:v>3</x:v>
      </x:c>
      <x:c r="G406" s="19" t="n">
        <x:f>SUM(D406:F406)</x:f>
        <x:v>8</x:v>
      </x:c>
      <x:c r="H406" s="25" t="n">
        <x:v>2</x:v>
      </x:c>
      <x:c r="I406" s="25" t="n">
        <x:v>1</x:v>
      </x:c>
      <x:c r="J406" s="25" t="n">
        <x:v>1</x:v>
      </x:c>
      <x:c r="K406" s="19" t="n">
        <x:f>D406-IF(H406=0,1,0)</x:f>
        <x:v>0</x:v>
      </x:c>
      <x:c r="L406" s="19" t="n">
        <x:f>E406-IF(H406=1,1,0)</x:f>
        <x:v>5</x:v>
      </x:c>
      <x:c r="M406" s="19" t="n">
        <x:f>F406-IF(H406=2,1,0)</x:f>
        <x:v>2</x:v>
      </x:c>
      <x:c r="N406" s="19" t="n">
        <x:f>MAX(K406-1,0)+MAX(L406-1,0)+MAX(M406-1,0)</x:f>
        <x:v>5</x:v>
      </x:c>
      <x:c r="O406" s="19" t="n">
        <x:f>IF(AND(SUM(K406:M406)&lt;9,OR(M406=0,N406&lt;6)),1,0)</x:f>
        <x:v>1</x:v>
      </x:c>
      <x:c r="P406" s="19" t="n">
        <x:f>IF(AND(SUM(K406:M406)&lt;9,OR(L406=0,N406&lt;6)),1,0)</x:f>
        <x:v>1</x:v>
      </x:c>
      <x:c r="Q406" s="19" t="n">
        <x:f>IF(AND(SUM(K406:M406)&lt;9,OR(K406=0,N406&lt;6)),1,0)</x:f>
        <x:v>1</x:v>
      </x:c>
      <x:c r="R406" s="22" t="str">
        <x:f>O406&amp;P406&amp;Q406</x:f>
        <x:v>111</x:v>
      </x:c>
      <x:c r="S406" s="19" t="n">
        <x:f>IF(I406=1,IF(J406=0,Q406,IF(J406=1,P406,IF(J406=2,O406,0))),0)</x:f>
        <x:v>1</x:v>
      </x:c>
      <x:c r="T406" s="19" t="n">
        <x:f>K406+IF(AND(S406=1,J406=0),1,0)</x:f>
        <x:v>0</x:v>
      </x:c>
      <x:c r="U406" s="19" t="n">
        <x:f>L406+IF(AND(S406=1,J406=1),1,0)</x:f>
        <x:v>6</x:v>
      </x:c>
      <x:c r="V406" s="19" t="n">
        <x:f>M406+IF(AND(S406=1,J406=2),1,0)</x:f>
        <x:v>2</x:v>
      </x:c>
      <x:c r="W406" s="19" t="n">
        <x:f>SUM(T406:V406)</x:f>
        <x:v>8</x:v>
      </x:c>
      <x:c r="X406" s="19" t="n">
        <x:f>W406-G406</x:f>
        <x:v>0</x:v>
      </x:c>
      <x:c r="Y406" s="19" t="n">
        <x:f>MAX(T406,1)+MAX(U406,1)+MAX(V406,1)</x:f>
        <x:v>9</x:v>
      </x:c>
      <x:c r="Z406" s="21" t="str">
        <x:f>IF(AND(MIN(D406:F406)&gt;=0,MAX(D406:F406)&lt;=7,MAX(D406,1)+MAX(E406,1)+MAX(F406,1)&lt;=9,OR(H406="-",AND(H406=0,D406&gt;0),AND(H406=1,E406&gt;0),AND(H406=2,F406&gt;0)),OR(I406=0,AND(I406=1,OR(J406=0,J406=1,J406=2),R406&lt;&gt;"000")),Y406&lt;=9,MIN(T406:V406)&gt;=0),"合法","输入违约")</x:f>
        <x:v>合法</x:v>
      </x:c>
    </x:row>
    <x:row r="407" ht="23" customHeight="1">
      <x:c r="A407" s="3" t="str">
        <x:v>CT-0400</x:v>
      </x:c>
      <x:c r="B407" s="3" t="str">
        <x:v>ST-125</x:v>
      </x:c>
      <x:c r="C407" s="3" t="str">
        <x:v>R+AR同收同发</x:v>
      </x:c>
      <x:c r="D407" s="25" t="n">
        <x:v>0</x:v>
      </x:c>
      <x:c r="E407" s="25" t="n">
        <x:v>5</x:v>
      </x:c>
      <x:c r="F407" s="25" t="n">
        <x:v>3</x:v>
      </x:c>
      <x:c r="G407" s="19" t="n">
        <x:f>SUM(D407:F407)</x:f>
        <x:v>8</x:v>
      </x:c>
      <x:c r="H407" s="25" t="n">
        <x:v>2</x:v>
      </x:c>
      <x:c r="I407" s="25" t="n">
        <x:v>1</x:v>
      </x:c>
      <x:c r="J407" s="25" t="n">
        <x:v>2</x:v>
      </x:c>
      <x:c r="K407" s="19" t="n">
        <x:f>D407-IF(H407=0,1,0)</x:f>
        <x:v>0</x:v>
      </x:c>
      <x:c r="L407" s="19" t="n">
        <x:f>E407-IF(H407=1,1,0)</x:f>
        <x:v>5</x:v>
      </x:c>
      <x:c r="M407" s="19" t="n">
        <x:f>F407-IF(H407=2,1,0)</x:f>
        <x:v>2</x:v>
      </x:c>
      <x:c r="N407" s="19" t="n">
        <x:f>MAX(K407-1,0)+MAX(L407-1,0)+MAX(M407-1,0)</x:f>
        <x:v>5</x:v>
      </x:c>
      <x:c r="O407" s="19" t="n">
        <x:f>IF(AND(SUM(K407:M407)&lt;9,OR(M407=0,N407&lt;6)),1,0)</x:f>
        <x:v>1</x:v>
      </x:c>
      <x:c r="P407" s="19" t="n">
        <x:f>IF(AND(SUM(K407:M407)&lt;9,OR(L407=0,N407&lt;6)),1,0)</x:f>
        <x:v>1</x:v>
      </x:c>
      <x:c r="Q407" s="19" t="n">
        <x:f>IF(AND(SUM(K407:M407)&lt;9,OR(K407=0,N407&lt;6)),1,0)</x:f>
        <x:v>1</x:v>
      </x:c>
      <x:c r="R407" s="22" t="str">
        <x:f>O407&amp;P407&amp;Q407</x:f>
        <x:v>111</x:v>
      </x:c>
      <x:c r="S407" s="19" t="n">
        <x:f>IF(I407=1,IF(J407=0,Q407,IF(J407=1,P407,IF(J407=2,O407,0))),0)</x:f>
        <x:v>1</x:v>
      </x:c>
      <x:c r="T407" s="19" t="n">
        <x:f>K407+IF(AND(S407=1,J407=0),1,0)</x:f>
        <x:v>0</x:v>
      </x:c>
      <x:c r="U407" s="19" t="n">
        <x:f>L407+IF(AND(S407=1,J407=1),1,0)</x:f>
        <x:v>5</x:v>
      </x:c>
      <x:c r="V407" s="19" t="n">
        <x:f>M407+IF(AND(S407=1,J407=2),1,0)</x:f>
        <x:v>3</x:v>
      </x:c>
      <x:c r="W407" s="19" t="n">
        <x:f>SUM(T407:V407)</x:f>
        <x:v>8</x:v>
      </x:c>
      <x:c r="X407" s="19" t="n">
        <x:f>W407-G407</x:f>
        <x:v>0</x:v>
      </x:c>
      <x:c r="Y407" s="19" t="n">
        <x:f>MAX(T407,1)+MAX(U407,1)+MAX(V407,1)</x:f>
        <x:v>9</x:v>
      </x:c>
      <x:c r="Z407" s="21" t="str">
        <x:f>IF(AND(MIN(D407:F407)&gt;=0,MAX(D407:F407)&lt;=7,MAX(D407,1)+MAX(E407,1)+MAX(F407,1)&lt;=9,OR(H407="-",AND(H407=0,D407&gt;0),AND(H407=1,E407&gt;0),AND(H407=2,F407&gt;0)),OR(I407=0,AND(I407=1,OR(J407=0,J407=1,J407=2),R407&lt;&gt;"000")),Y407&lt;=9,MIN(T407:V407)&gt;=0),"合法","输入违约")</x:f>
        <x:v>合法</x:v>
      </x:c>
    </x:row>
    <x:row r="408" ht="23" customHeight="1">
      <x:c r="A408" s="3" t="str">
        <x:v>CT-0401</x:v>
      </x:c>
      <x:c r="B408" s="3" t="str">
        <x:v>ST-063</x:v>
      </x:c>
      <x:c r="C408" s="3" t="str">
        <x:v>无AR/R</x:v>
      </x:c>
      <x:c r="D408" s="25" t="n">
        <x:v>0</x:v>
      </x:c>
      <x:c r="E408" s="25" t="n">
        <x:v>6</x:v>
      </x:c>
      <x:c r="F408" s="25" t="n">
        <x:v>0</x:v>
      </x:c>
      <x:c r="G408" s="19" t="n">
        <x:f>SUM(D408:F408)</x:f>
        <x:v>6</x:v>
      </x:c>
      <x:c r="H408" s="25" t="str">
        <x:v>-</x:v>
      </x:c>
      <x:c r="I408" s="25" t="n">
        <x:v>0</x:v>
      </x:c>
      <x:c r="J408" s="25" t="str">
        <x:v>-</x:v>
      </x:c>
      <x:c r="K408" s="19" t="n">
        <x:f>D408-IF(H408=0,1,0)</x:f>
        <x:v>0</x:v>
      </x:c>
      <x:c r="L408" s="19" t="n">
        <x:f>E408-IF(H408=1,1,0)</x:f>
        <x:v>6</x:v>
      </x:c>
      <x:c r="M408" s="19" t="n">
        <x:f>F408-IF(H408=2,1,0)</x:f>
        <x:v>0</x:v>
      </x:c>
      <x:c r="N408" s="19" t="n">
        <x:f>MAX(K408-1,0)+MAX(L408-1,0)+MAX(M408-1,0)</x:f>
        <x:v>5</x:v>
      </x:c>
      <x:c r="O408" s="19" t="n">
        <x:f>IF(AND(SUM(K408:M408)&lt;9,OR(M408=0,N408&lt;6)),1,0)</x:f>
        <x:v>1</x:v>
      </x:c>
      <x:c r="P408" s="19" t="n">
        <x:f>IF(AND(SUM(K408:M408)&lt;9,OR(L408=0,N408&lt;6)),1,0)</x:f>
        <x:v>1</x:v>
      </x:c>
      <x:c r="Q408" s="19" t="n">
        <x:f>IF(AND(SUM(K408:M408)&lt;9,OR(K408=0,N408&lt;6)),1,0)</x:f>
        <x:v>1</x:v>
      </x:c>
      <x:c r="R408" s="22" t="str">
        <x:f>O408&amp;P408&amp;Q408</x:f>
        <x:v>111</x:v>
      </x:c>
      <x:c r="S408" s="19" t="n">
        <x:f>IF(I408=1,IF(J408=0,Q408,IF(J408=1,P408,IF(J408=2,O408,0))),0)</x:f>
        <x:v>0</x:v>
      </x:c>
      <x:c r="T408" s="19" t="n">
        <x:f>K408+IF(AND(S408=1,J408=0),1,0)</x:f>
        <x:v>0</x:v>
      </x:c>
      <x:c r="U408" s="19" t="n">
        <x:f>L408+IF(AND(S408=1,J408=1),1,0)</x:f>
        <x:v>6</x:v>
      </x:c>
      <x:c r="V408" s="19" t="n">
        <x:f>M408+IF(AND(S408=1,J408=2),1,0)</x:f>
        <x:v>0</x:v>
      </x:c>
      <x:c r="W408" s="19" t="n">
        <x:f>SUM(T408:V408)</x:f>
        <x:v>6</x:v>
      </x:c>
      <x:c r="X408" s="19" t="n">
        <x:f>W408-G408</x:f>
        <x:v>0</x:v>
      </x:c>
      <x:c r="Y408" s="19" t="n">
        <x:f>MAX(T408,1)+MAX(U408,1)+MAX(V408,1)</x:f>
        <x:v>8</x:v>
      </x:c>
      <x:c r="Z408" s="21" t="str">
        <x:f>IF(AND(MIN(D408:F408)&gt;=0,MAX(D408:F408)&lt;=7,MAX(D408,1)+MAX(E408,1)+MAX(F408,1)&lt;=9,OR(H408="-",AND(H408=0,D408&gt;0),AND(H408=1,E408&gt;0),AND(H408=2,F408&gt;0)),OR(I408=0,AND(I408=1,OR(J408=0,J408=1,J408=2),R408&lt;&gt;"000")),Y408&lt;=9,MIN(T408:V408)&gt;=0),"合法","输入违约")</x:f>
        <x:v>合法</x:v>
      </x:c>
    </x:row>
    <x:row r="409" ht="23" customHeight="1">
      <x:c r="A409" s="3" t="str">
        <x:v>CT-0402</x:v>
      </x:c>
      <x:c r="B409" s="3" t="str">
        <x:v>ST-063</x:v>
      </x:c>
      <x:c r="C409" s="3" t="str">
        <x:v>仅AR接收</x:v>
      </x:c>
      <x:c r="D409" s="25" t="n">
        <x:v>0</x:v>
      </x:c>
      <x:c r="E409" s="25" t="n">
        <x:v>6</x:v>
      </x:c>
      <x:c r="F409" s="25" t="n">
        <x:v>0</x:v>
      </x:c>
      <x:c r="G409" s="19" t="n">
        <x:f>SUM(D409:F409)</x:f>
        <x:v>6</x:v>
      </x:c>
      <x:c r="H409" s="25" t="str">
        <x:v>-</x:v>
      </x:c>
      <x:c r="I409" s="25" t="n">
        <x:v>1</x:v>
      </x:c>
      <x:c r="J409" s="25" t="n">
        <x:v>0</x:v>
      </x:c>
      <x:c r="K409" s="19" t="n">
        <x:f>D409-IF(H409=0,1,0)</x:f>
        <x:v>0</x:v>
      </x:c>
      <x:c r="L409" s="19" t="n">
        <x:f>E409-IF(H409=1,1,0)</x:f>
        <x:v>6</x:v>
      </x:c>
      <x:c r="M409" s="19" t="n">
        <x:f>F409-IF(H409=2,1,0)</x:f>
        <x:v>0</x:v>
      </x:c>
      <x:c r="N409" s="19" t="n">
        <x:f>MAX(K409-1,0)+MAX(L409-1,0)+MAX(M409-1,0)</x:f>
        <x:v>5</x:v>
      </x:c>
      <x:c r="O409" s="19" t="n">
        <x:f>IF(AND(SUM(K409:M409)&lt;9,OR(M409=0,N409&lt;6)),1,0)</x:f>
        <x:v>1</x:v>
      </x:c>
      <x:c r="P409" s="19" t="n">
        <x:f>IF(AND(SUM(K409:M409)&lt;9,OR(L409=0,N409&lt;6)),1,0)</x:f>
        <x:v>1</x:v>
      </x:c>
      <x:c r="Q409" s="19" t="n">
        <x:f>IF(AND(SUM(K409:M409)&lt;9,OR(K409=0,N409&lt;6)),1,0)</x:f>
        <x:v>1</x:v>
      </x:c>
      <x:c r="R409" s="22" t="str">
        <x:f>O409&amp;P409&amp;Q409</x:f>
        <x:v>111</x:v>
      </x:c>
      <x:c r="S409" s="19" t="n">
        <x:f>IF(I409=1,IF(J409=0,Q409,IF(J409=1,P409,IF(J409=2,O409,0))),0)</x:f>
        <x:v>1</x:v>
      </x:c>
      <x:c r="T409" s="19" t="n">
        <x:f>K409+IF(AND(S409=1,J409=0),1,0)</x:f>
        <x:v>1</x:v>
      </x:c>
      <x:c r="U409" s="19" t="n">
        <x:f>L409+IF(AND(S409=1,J409=1),1,0)</x:f>
        <x:v>6</x:v>
      </x:c>
      <x:c r="V409" s="19" t="n">
        <x:f>M409+IF(AND(S409=1,J409=2),1,0)</x:f>
        <x:v>0</x:v>
      </x:c>
      <x:c r="W409" s="19" t="n">
        <x:f>SUM(T409:V409)</x:f>
        <x:v>7</x:v>
      </x:c>
      <x:c r="X409" s="19" t="n">
        <x:f>W409-G409</x:f>
        <x:v>1</x:v>
      </x:c>
      <x:c r="Y409" s="19" t="n">
        <x:f>MAX(T409,1)+MAX(U409,1)+MAX(V409,1)</x:f>
        <x:v>8</x:v>
      </x:c>
      <x:c r="Z409" s="21" t="str">
        <x:f>IF(AND(MIN(D409:F409)&gt;=0,MAX(D409:F409)&lt;=7,MAX(D409,1)+MAX(E409,1)+MAX(F409,1)&lt;=9,OR(H409="-",AND(H409=0,D409&gt;0),AND(H409=1,E409&gt;0),AND(H409=2,F409&gt;0)),OR(I409=0,AND(I409=1,OR(J409=0,J409=1,J409=2),R409&lt;&gt;"000")),Y409&lt;=9,MIN(T409:V409)&gt;=0),"合法","输入违约")</x:f>
        <x:v>合法</x:v>
      </x:c>
    </x:row>
    <x:row r="410" ht="23" customHeight="1">
      <x:c r="A410" s="3" t="str">
        <x:v>CT-0403</x:v>
      </x:c>
      <x:c r="B410" s="3" t="str">
        <x:v>ST-063</x:v>
      </x:c>
      <x:c r="C410" s="3" t="str">
        <x:v>仅AR接收</x:v>
      </x:c>
      <x:c r="D410" s="25" t="n">
        <x:v>0</x:v>
      </x:c>
      <x:c r="E410" s="25" t="n">
        <x:v>6</x:v>
      </x:c>
      <x:c r="F410" s="25" t="n">
        <x:v>0</x:v>
      </x:c>
      <x:c r="G410" s="19" t="n">
        <x:f>SUM(D410:F410)</x:f>
        <x:v>6</x:v>
      </x:c>
      <x:c r="H410" s="25" t="str">
        <x:v>-</x:v>
      </x:c>
      <x:c r="I410" s="25" t="n">
        <x:v>1</x:v>
      </x:c>
      <x:c r="J410" s="25" t="n">
        <x:v>1</x:v>
      </x:c>
      <x:c r="K410" s="19" t="n">
        <x:f>D410-IF(H410=0,1,0)</x:f>
        <x:v>0</x:v>
      </x:c>
      <x:c r="L410" s="19" t="n">
        <x:f>E410-IF(H410=1,1,0)</x:f>
        <x:v>6</x:v>
      </x:c>
      <x:c r="M410" s="19" t="n">
        <x:f>F410-IF(H410=2,1,0)</x:f>
        <x:v>0</x:v>
      </x:c>
      <x:c r="N410" s="19" t="n">
        <x:f>MAX(K410-1,0)+MAX(L410-1,0)+MAX(M410-1,0)</x:f>
        <x:v>5</x:v>
      </x:c>
      <x:c r="O410" s="19" t="n">
        <x:f>IF(AND(SUM(K410:M410)&lt;9,OR(M410=0,N410&lt;6)),1,0)</x:f>
        <x:v>1</x:v>
      </x:c>
      <x:c r="P410" s="19" t="n">
        <x:f>IF(AND(SUM(K410:M410)&lt;9,OR(L410=0,N410&lt;6)),1,0)</x:f>
        <x:v>1</x:v>
      </x:c>
      <x:c r="Q410" s="19" t="n">
        <x:f>IF(AND(SUM(K410:M410)&lt;9,OR(K410=0,N410&lt;6)),1,0)</x:f>
        <x:v>1</x:v>
      </x:c>
      <x:c r="R410" s="22" t="str">
        <x:f>O410&amp;P410&amp;Q410</x:f>
        <x:v>111</x:v>
      </x:c>
      <x:c r="S410" s="19" t="n">
        <x:f>IF(I410=1,IF(J410=0,Q410,IF(J410=1,P410,IF(J410=2,O410,0))),0)</x:f>
        <x:v>1</x:v>
      </x:c>
      <x:c r="T410" s="19" t="n">
        <x:f>K410+IF(AND(S410=1,J410=0),1,0)</x:f>
        <x:v>0</x:v>
      </x:c>
      <x:c r="U410" s="19" t="n">
        <x:f>L410+IF(AND(S410=1,J410=1),1,0)</x:f>
        <x:v>7</x:v>
      </x:c>
      <x:c r="V410" s="19" t="n">
        <x:f>M410+IF(AND(S410=1,J410=2),1,0)</x:f>
        <x:v>0</x:v>
      </x:c>
      <x:c r="W410" s="19" t="n">
        <x:f>SUM(T410:V410)</x:f>
        <x:v>7</x:v>
      </x:c>
      <x:c r="X410" s="19" t="n">
        <x:f>W410-G410</x:f>
        <x:v>1</x:v>
      </x:c>
      <x:c r="Y410" s="19" t="n">
        <x:f>MAX(T410,1)+MAX(U410,1)+MAX(V410,1)</x:f>
        <x:v>9</x:v>
      </x:c>
      <x:c r="Z410" s="21" t="str">
        <x:f>IF(AND(MIN(D410:F410)&gt;=0,MAX(D410:F410)&lt;=7,MAX(D410,1)+MAX(E410,1)+MAX(F410,1)&lt;=9,OR(H410="-",AND(H410=0,D410&gt;0),AND(H410=1,E410&gt;0),AND(H410=2,F410&gt;0)),OR(I410=0,AND(I410=1,OR(J410=0,J410=1,J410=2),R410&lt;&gt;"000")),Y410&lt;=9,MIN(T410:V410)&gt;=0),"合法","输入违约")</x:f>
        <x:v>合法</x:v>
      </x:c>
    </x:row>
    <x:row r="411" ht="23" customHeight="1">
      <x:c r="A411" s="3" t="str">
        <x:v>CT-0404</x:v>
      </x:c>
      <x:c r="B411" s="3" t="str">
        <x:v>ST-063</x:v>
      </x:c>
      <x:c r="C411" s="3" t="str">
        <x:v>仅AR接收</x:v>
      </x:c>
      <x:c r="D411" s="25" t="n">
        <x:v>0</x:v>
      </x:c>
      <x:c r="E411" s="25" t="n">
        <x:v>6</x:v>
      </x:c>
      <x:c r="F411" s="25" t="n">
        <x:v>0</x:v>
      </x:c>
      <x:c r="G411" s="19" t="n">
        <x:f>SUM(D411:F411)</x:f>
        <x:v>6</x:v>
      </x:c>
      <x:c r="H411" s="25" t="str">
        <x:v>-</x:v>
      </x:c>
      <x:c r="I411" s="25" t="n">
        <x:v>1</x:v>
      </x:c>
      <x:c r="J411" s="25" t="n">
        <x:v>2</x:v>
      </x:c>
      <x:c r="K411" s="19" t="n">
        <x:f>D411-IF(H411=0,1,0)</x:f>
        <x:v>0</x:v>
      </x:c>
      <x:c r="L411" s="19" t="n">
        <x:f>E411-IF(H411=1,1,0)</x:f>
        <x:v>6</x:v>
      </x:c>
      <x:c r="M411" s="19" t="n">
        <x:f>F411-IF(H411=2,1,0)</x:f>
        <x:v>0</x:v>
      </x:c>
      <x:c r="N411" s="19" t="n">
        <x:f>MAX(K411-1,0)+MAX(L411-1,0)+MAX(M411-1,0)</x:f>
        <x:v>5</x:v>
      </x:c>
      <x:c r="O411" s="19" t="n">
        <x:f>IF(AND(SUM(K411:M411)&lt;9,OR(M411=0,N411&lt;6)),1,0)</x:f>
        <x:v>1</x:v>
      </x:c>
      <x:c r="P411" s="19" t="n">
        <x:f>IF(AND(SUM(K411:M411)&lt;9,OR(L411=0,N411&lt;6)),1,0)</x:f>
        <x:v>1</x:v>
      </x:c>
      <x:c r="Q411" s="19" t="n">
        <x:f>IF(AND(SUM(K411:M411)&lt;9,OR(K411=0,N411&lt;6)),1,0)</x:f>
        <x:v>1</x:v>
      </x:c>
      <x:c r="R411" s="22" t="str">
        <x:f>O411&amp;P411&amp;Q411</x:f>
        <x:v>111</x:v>
      </x:c>
      <x:c r="S411" s="19" t="n">
        <x:f>IF(I411=1,IF(J411=0,Q411,IF(J411=1,P411,IF(J411=2,O411,0))),0)</x:f>
        <x:v>1</x:v>
      </x:c>
      <x:c r="T411" s="19" t="n">
        <x:f>K411+IF(AND(S411=1,J411=0),1,0)</x:f>
        <x:v>0</x:v>
      </x:c>
      <x:c r="U411" s="19" t="n">
        <x:f>L411+IF(AND(S411=1,J411=1),1,0)</x:f>
        <x:v>6</x:v>
      </x:c>
      <x:c r="V411" s="19" t="n">
        <x:f>M411+IF(AND(S411=1,J411=2),1,0)</x:f>
        <x:v>1</x:v>
      </x:c>
      <x:c r="W411" s="19" t="n">
        <x:f>SUM(T411:V411)</x:f>
        <x:v>7</x:v>
      </x:c>
      <x:c r="X411" s="19" t="n">
        <x:f>W411-G411</x:f>
        <x:v>1</x:v>
      </x:c>
      <x:c r="Y411" s="19" t="n">
        <x:f>MAX(T411,1)+MAX(U411,1)+MAX(V411,1)</x:f>
        <x:v>8</x:v>
      </x:c>
      <x:c r="Z411" s="21" t="str">
        <x:f>IF(AND(MIN(D411:F411)&gt;=0,MAX(D411:F411)&lt;=7,MAX(D411,1)+MAX(E411,1)+MAX(F411,1)&lt;=9,OR(H411="-",AND(H411=0,D411&gt;0),AND(H411=1,E411&gt;0),AND(H411=2,F411&gt;0)),OR(I411=0,AND(I411=1,OR(J411=0,J411=1,J411=2),R411&lt;&gt;"000")),Y411&lt;=9,MIN(T411:V411)&gt;=0),"合法","输入违约")</x:f>
        <x:v>合法</x:v>
      </x:c>
    </x:row>
    <x:row r="412" ht="23" customHeight="1">
      <x:c r="A412" s="3" t="str">
        <x:v>CT-0405</x:v>
      </x:c>
      <x:c r="B412" s="3" t="str">
        <x:v>ST-063</x:v>
      </x:c>
      <x:c r="C412" s="3" t="str">
        <x:v>仅R回收</x:v>
      </x:c>
      <x:c r="D412" s="25" t="n">
        <x:v>0</x:v>
      </x:c>
      <x:c r="E412" s="25" t="n">
        <x:v>6</x:v>
      </x:c>
      <x:c r="F412" s="25" t="n">
        <x:v>0</x:v>
      </x:c>
      <x:c r="G412" s="19" t="n">
        <x:f>SUM(D412:F412)</x:f>
        <x:v>6</x:v>
      </x:c>
      <x:c r="H412" s="25" t="n">
        <x:v>1</x:v>
      </x:c>
      <x:c r="I412" s="25" t="n">
        <x:v>0</x:v>
      </x:c>
      <x:c r="J412" s="25" t="str">
        <x:v>-</x:v>
      </x:c>
      <x:c r="K412" s="19" t="n">
        <x:f>D412-IF(H412=0,1,0)</x:f>
        <x:v>0</x:v>
      </x:c>
      <x:c r="L412" s="19" t="n">
        <x:f>E412-IF(H412=1,1,0)</x:f>
        <x:v>5</x:v>
      </x:c>
      <x:c r="M412" s="19" t="n">
        <x:f>F412-IF(H412=2,1,0)</x:f>
        <x:v>0</x:v>
      </x:c>
      <x:c r="N412" s="19" t="n">
        <x:f>MAX(K412-1,0)+MAX(L412-1,0)+MAX(M412-1,0)</x:f>
        <x:v>4</x:v>
      </x:c>
      <x:c r="O412" s="19" t="n">
        <x:f>IF(AND(SUM(K412:M412)&lt;9,OR(M412=0,N412&lt;6)),1,0)</x:f>
        <x:v>1</x:v>
      </x:c>
      <x:c r="P412" s="19" t="n">
        <x:f>IF(AND(SUM(K412:M412)&lt;9,OR(L412=0,N412&lt;6)),1,0)</x:f>
        <x:v>1</x:v>
      </x:c>
      <x:c r="Q412" s="19" t="n">
        <x:f>IF(AND(SUM(K412:M412)&lt;9,OR(K412=0,N412&lt;6)),1,0)</x:f>
        <x:v>1</x:v>
      </x:c>
      <x:c r="R412" s="22" t="str">
        <x:f>O412&amp;P412&amp;Q412</x:f>
        <x:v>111</x:v>
      </x:c>
      <x:c r="S412" s="19" t="n">
        <x:f>IF(I412=1,IF(J412=0,Q412,IF(J412=1,P412,IF(J412=2,O412,0))),0)</x:f>
        <x:v>0</x:v>
      </x:c>
      <x:c r="T412" s="19" t="n">
        <x:f>K412+IF(AND(S412=1,J412=0),1,0)</x:f>
        <x:v>0</x:v>
      </x:c>
      <x:c r="U412" s="19" t="n">
        <x:f>L412+IF(AND(S412=1,J412=1),1,0)</x:f>
        <x:v>5</x:v>
      </x:c>
      <x:c r="V412" s="19" t="n">
        <x:f>M412+IF(AND(S412=1,J412=2),1,0)</x:f>
        <x:v>0</x:v>
      </x:c>
      <x:c r="W412" s="19" t="n">
        <x:f>SUM(T412:V412)</x:f>
        <x:v>5</x:v>
      </x:c>
      <x:c r="X412" s="19" t="n">
        <x:f>W412-G412</x:f>
        <x:v>-1</x:v>
      </x:c>
      <x:c r="Y412" s="19" t="n">
        <x:f>MAX(T412,1)+MAX(U412,1)+MAX(V412,1)</x:f>
        <x:v>7</x:v>
      </x:c>
      <x:c r="Z412" s="21" t="str">
        <x:f>IF(AND(MIN(D412:F412)&gt;=0,MAX(D412:F412)&lt;=7,MAX(D412,1)+MAX(E412,1)+MAX(F412,1)&lt;=9,OR(H412="-",AND(H412=0,D412&gt;0),AND(H412=1,E412&gt;0),AND(H412=2,F412&gt;0)),OR(I412=0,AND(I412=1,OR(J412=0,J412=1,J412=2),R412&lt;&gt;"000")),Y412&lt;=9,MIN(T412:V412)&gt;=0),"合法","输入违约")</x:f>
        <x:v>合法</x:v>
      </x:c>
    </x:row>
    <x:row r="413" ht="23" customHeight="1">
      <x:c r="A413" s="3" t="str">
        <x:v>CT-0406</x:v>
      </x:c>
      <x:c r="B413" s="3" t="str">
        <x:v>ST-063</x:v>
      </x:c>
      <x:c r="C413" s="3" t="str">
        <x:v>R+AR同收同发</x:v>
      </x:c>
      <x:c r="D413" s="25" t="n">
        <x:v>0</x:v>
      </x:c>
      <x:c r="E413" s="25" t="n">
        <x:v>6</x:v>
      </x:c>
      <x:c r="F413" s="25" t="n">
        <x:v>0</x:v>
      </x:c>
      <x:c r="G413" s="19" t="n">
        <x:f>SUM(D413:F413)</x:f>
        <x:v>6</x:v>
      </x:c>
      <x:c r="H413" s="25" t="n">
        <x:v>1</x:v>
      </x:c>
      <x:c r="I413" s="25" t="n">
        <x:v>1</x:v>
      </x:c>
      <x:c r="J413" s="25" t="n">
        <x:v>0</x:v>
      </x:c>
      <x:c r="K413" s="19" t="n">
        <x:f>D413-IF(H413=0,1,0)</x:f>
        <x:v>0</x:v>
      </x:c>
      <x:c r="L413" s="19" t="n">
        <x:f>E413-IF(H413=1,1,0)</x:f>
        <x:v>5</x:v>
      </x:c>
      <x:c r="M413" s="19" t="n">
        <x:f>F413-IF(H413=2,1,0)</x:f>
        <x:v>0</x:v>
      </x:c>
      <x:c r="N413" s="19" t="n">
        <x:f>MAX(K413-1,0)+MAX(L413-1,0)+MAX(M413-1,0)</x:f>
        <x:v>4</x:v>
      </x:c>
      <x:c r="O413" s="19" t="n">
        <x:f>IF(AND(SUM(K413:M413)&lt;9,OR(M413=0,N413&lt;6)),1,0)</x:f>
        <x:v>1</x:v>
      </x:c>
      <x:c r="P413" s="19" t="n">
        <x:f>IF(AND(SUM(K413:M413)&lt;9,OR(L413=0,N413&lt;6)),1,0)</x:f>
        <x:v>1</x:v>
      </x:c>
      <x:c r="Q413" s="19" t="n">
        <x:f>IF(AND(SUM(K413:M413)&lt;9,OR(K413=0,N413&lt;6)),1,0)</x:f>
        <x:v>1</x:v>
      </x:c>
      <x:c r="R413" s="22" t="str">
        <x:f>O413&amp;P413&amp;Q413</x:f>
        <x:v>111</x:v>
      </x:c>
      <x:c r="S413" s="19" t="n">
        <x:f>IF(I413=1,IF(J413=0,Q413,IF(J413=1,P413,IF(J413=2,O413,0))),0)</x:f>
        <x:v>1</x:v>
      </x:c>
      <x:c r="T413" s="19" t="n">
        <x:f>K413+IF(AND(S413=1,J413=0),1,0)</x:f>
        <x:v>1</x:v>
      </x:c>
      <x:c r="U413" s="19" t="n">
        <x:f>L413+IF(AND(S413=1,J413=1),1,0)</x:f>
        <x:v>5</x:v>
      </x:c>
      <x:c r="V413" s="19" t="n">
        <x:f>M413+IF(AND(S413=1,J413=2),1,0)</x:f>
        <x:v>0</x:v>
      </x:c>
      <x:c r="W413" s="19" t="n">
        <x:f>SUM(T413:V413)</x:f>
        <x:v>6</x:v>
      </x:c>
      <x:c r="X413" s="19" t="n">
        <x:f>W413-G413</x:f>
        <x:v>0</x:v>
      </x:c>
      <x:c r="Y413" s="19" t="n">
        <x:f>MAX(T413,1)+MAX(U413,1)+MAX(V413,1)</x:f>
        <x:v>7</x:v>
      </x:c>
      <x:c r="Z413" s="21" t="str">
        <x:f>IF(AND(MIN(D413:F413)&gt;=0,MAX(D413:F413)&lt;=7,MAX(D413,1)+MAX(E413,1)+MAX(F413,1)&lt;=9,OR(H413="-",AND(H413=0,D413&gt;0),AND(H413=1,E413&gt;0),AND(H413=2,F413&gt;0)),OR(I413=0,AND(I413=1,OR(J413=0,J413=1,J413=2),R413&lt;&gt;"000")),Y413&lt;=9,MIN(T413:V413)&gt;=0),"合法","输入违约")</x:f>
        <x:v>合法</x:v>
      </x:c>
    </x:row>
    <x:row r="414" ht="23" customHeight="1">
      <x:c r="A414" s="3" t="str">
        <x:v>CT-0407</x:v>
      </x:c>
      <x:c r="B414" s="3" t="str">
        <x:v>ST-063</x:v>
      </x:c>
      <x:c r="C414" s="3" t="str">
        <x:v>R+AR同收同发</x:v>
      </x:c>
      <x:c r="D414" s="25" t="n">
        <x:v>0</x:v>
      </x:c>
      <x:c r="E414" s="25" t="n">
        <x:v>6</x:v>
      </x:c>
      <x:c r="F414" s="25" t="n">
        <x:v>0</x:v>
      </x:c>
      <x:c r="G414" s="19" t="n">
        <x:f>SUM(D414:F414)</x:f>
        <x:v>6</x:v>
      </x:c>
      <x:c r="H414" s="25" t="n">
        <x:v>1</x:v>
      </x:c>
      <x:c r="I414" s="25" t="n">
        <x:v>1</x:v>
      </x:c>
      <x:c r="J414" s="25" t="n">
        <x:v>1</x:v>
      </x:c>
      <x:c r="K414" s="19" t="n">
        <x:f>D414-IF(H414=0,1,0)</x:f>
        <x:v>0</x:v>
      </x:c>
      <x:c r="L414" s="19" t="n">
        <x:f>E414-IF(H414=1,1,0)</x:f>
        <x:v>5</x:v>
      </x:c>
      <x:c r="M414" s="19" t="n">
        <x:f>F414-IF(H414=2,1,0)</x:f>
        <x:v>0</x:v>
      </x:c>
      <x:c r="N414" s="19" t="n">
        <x:f>MAX(K414-1,0)+MAX(L414-1,0)+MAX(M414-1,0)</x:f>
        <x:v>4</x:v>
      </x:c>
      <x:c r="O414" s="19" t="n">
        <x:f>IF(AND(SUM(K414:M414)&lt;9,OR(M414=0,N414&lt;6)),1,0)</x:f>
        <x:v>1</x:v>
      </x:c>
      <x:c r="P414" s="19" t="n">
        <x:f>IF(AND(SUM(K414:M414)&lt;9,OR(L414=0,N414&lt;6)),1,0)</x:f>
        <x:v>1</x:v>
      </x:c>
      <x:c r="Q414" s="19" t="n">
        <x:f>IF(AND(SUM(K414:M414)&lt;9,OR(K414=0,N414&lt;6)),1,0)</x:f>
        <x:v>1</x:v>
      </x:c>
      <x:c r="R414" s="22" t="str">
        <x:f>O414&amp;P414&amp;Q414</x:f>
        <x:v>111</x:v>
      </x:c>
      <x:c r="S414" s="19" t="n">
        <x:f>IF(I414=1,IF(J414=0,Q414,IF(J414=1,P414,IF(J414=2,O414,0))),0)</x:f>
        <x:v>1</x:v>
      </x:c>
      <x:c r="T414" s="19" t="n">
        <x:f>K414+IF(AND(S414=1,J414=0),1,0)</x:f>
        <x:v>0</x:v>
      </x:c>
      <x:c r="U414" s="19" t="n">
        <x:f>L414+IF(AND(S414=1,J414=1),1,0)</x:f>
        <x:v>6</x:v>
      </x:c>
      <x:c r="V414" s="19" t="n">
        <x:f>M414+IF(AND(S414=1,J414=2),1,0)</x:f>
        <x:v>0</x:v>
      </x:c>
      <x:c r="W414" s="19" t="n">
        <x:f>SUM(T414:V414)</x:f>
        <x:v>6</x:v>
      </x:c>
      <x:c r="X414" s="19" t="n">
        <x:f>W414-G414</x:f>
        <x:v>0</x:v>
      </x:c>
      <x:c r="Y414" s="19" t="n">
        <x:f>MAX(T414,1)+MAX(U414,1)+MAX(V414,1)</x:f>
        <x:v>8</x:v>
      </x:c>
      <x:c r="Z414" s="21" t="str">
        <x:f>IF(AND(MIN(D414:F414)&gt;=0,MAX(D414:F414)&lt;=7,MAX(D414,1)+MAX(E414,1)+MAX(F414,1)&lt;=9,OR(H414="-",AND(H414=0,D414&gt;0),AND(H414=1,E414&gt;0),AND(H414=2,F414&gt;0)),OR(I414=0,AND(I414=1,OR(J414=0,J414=1,J414=2),R414&lt;&gt;"000")),Y414&lt;=9,MIN(T414:V414)&gt;=0),"合法","输入违约")</x:f>
        <x:v>合法</x:v>
      </x:c>
    </x:row>
    <x:row r="415" ht="23" customHeight="1">
      <x:c r="A415" s="3" t="str">
        <x:v>CT-0408</x:v>
      </x:c>
      <x:c r="B415" s="3" t="str">
        <x:v>ST-063</x:v>
      </x:c>
      <x:c r="C415" s="3" t="str">
        <x:v>R+AR同收同发</x:v>
      </x:c>
      <x:c r="D415" s="25" t="n">
        <x:v>0</x:v>
      </x:c>
      <x:c r="E415" s="25" t="n">
        <x:v>6</x:v>
      </x:c>
      <x:c r="F415" s="25" t="n">
        <x:v>0</x:v>
      </x:c>
      <x:c r="G415" s="19" t="n">
        <x:f>SUM(D415:F415)</x:f>
        <x:v>6</x:v>
      </x:c>
      <x:c r="H415" s="25" t="n">
        <x:v>1</x:v>
      </x:c>
      <x:c r="I415" s="25" t="n">
        <x:v>1</x:v>
      </x:c>
      <x:c r="J415" s="25" t="n">
        <x:v>2</x:v>
      </x:c>
      <x:c r="K415" s="19" t="n">
        <x:f>D415-IF(H415=0,1,0)</x:f>
        <x:v>0</x:v>
      </x:c>
      <x:c r="L415" s="19" t="n">
        <x:f>E415-IF(H415=1,1,0)</x:f>
        <x:v>5</x:v>
      </x:c>
      <x:c r="M415" s="19" t="n">
        <x:f>F415-IF(H415=2,1,0)</x:f>
        <x:v>0</x:v>
      </x:c>
      <x:c r="N415" s="19" t="n">
        <x:f>MAX(K415-1,0)+MAX(L415-1,0)+MAX(M415-1,0)</x:f>
        <x:v>4</x:v>
      </x:c>
      <x:c r="O415" s="19" t="n">
        <x:f>IF(AND(SUM(K415:M415)&lt;9,OR(M415=0,N415&lt;6)),1,0)</x:f>
        <x:v>1</x:v>
      </x:c>
      <x:c r="P415" s="19" t="n">
        <x:f>IF(AND(SUM(K415:M415)&lt;9,OR(L415=0,N415&lt;6)),1,0)</x:f>
        <x:v>1</x:v>
      </x:c>
      <x:c r="Q415" s="19" t="n">
        <x:f>IF(AND(SUM(K415:M415)&lt;9,OR(K415=0,N415&lt;6)),1,0)</x:f>
        <x:v>1</x:v>
      </x:c>
      <x:c r="R415" s="22" t="str">
        <x:f>O415&amp;P415&amp;Q415</x:f>
        <x:v>111</x:v>
      </x:c>
      <x:c r="S415" s="19" t="n">
        <x:f>IF(I415=1,IF(J415=0,Q415,IF(J415=1,P415,IF(J415=2,O415,0))),0)</x:f>
        <x:v>1</x:v>
      </x:c>
      <x:c r="T415" s="19" t="n">
        <x:f>K415+IF(AND(S415=1,J415=0),1,0)</x:f>
        <x:v>0</x:v>
      </x:c>
      <x:c r="U415" s="19" t="n">
        <x:f>L415+IF(AND(S415=1,J415=1),1,0)</x:f>
        <x:v>5</x:v>
      </x:c>
      <x:c r="V415" s="19" t="n">
        <x:f>M415+IF(AND(S415=1,J415=2),1,0)</x:f>
        <x:v>1</x:v>
      </x:c>
      <x:c r="W415" s="19" t="n">
        <x:f>SUM(T415:V415)</x:f>
        <x:v>6</x:v>
      </x:c>
      <x:c r="X415" s="19" t="n">
        <x:f>W415-G415</x:f>
        <x:v>0</x:v>
      </x:c>
      <x:c r="Y415" s="19" t="n">
        <x:f>MAX(T415,1)+MAX(U415,1)+MAX(V415,1)</x:f>
        <x:v>7</x:v>
      </x:c>
      <x:c r="Z415" s="21" t="str">
        <x:f>IF(AND(MIN(D415:F415)&gt;=0,MAX(D415:F415)&lt;=7,MAX(D415,1)+MAX(E415,1)+MAX(F415,1)&lt;=9,OR(H415="-",AND(H415=0,D415&gt;0),AND(H415=1,E415&gt;0),AND(H415=2,F415&gt;0)),OR(I415=0,AND(I415=1,OR(J415=0,J415=1,J415=2),R415&lt;&gt;"000")),Y415&lt;=9,MIN(T415:V415)&gt;=0),"合法","输入违约")</x:f>
        <x:v>合法</x:v>
      </x:c>
    </x:row>
    <x:row r="416" ht="23" customHeight="1">
      <x:c r="A416" s="3" t="str">
        <x:v>CT-0409</x:v>
      </x:c>
      <x:c r="B416" s="3" t="str">
        <x:v>ST-091</x:v>
      </x:c>
      <x:c r="C416" s="3" t="str">
        <x:v>无AR/R</x:v>
      </x:c>
      <x:c r="D416" s="25" t="n">
        <x:v>0</x:v>
      </x:c>
      <x:c r="E416" s="25" t="n">
        <x:v>6</x:v>
      </x:c>
      <x:c r="F416" s="25" t="n">
        <x:v>1</x:v>
      </x:c>
      <x:c r="G416" s="19" t="n">
        <x:f>SUM(D416:F416)</x:f>
        <x:v>7</x:v>
      </x:c>
      <x:c r="H416" s="25" t="str">
        <x:v>-</x:v>
      </x:c>
      <x:c r="I416" s="25" t="n">
        <x:v>0</x:v>
      </x:c>
      <x:c r="J416" s="25" t="str">
        <x:v>-</x:v>
      </x:c>
      <x:c r="K416" s="19" t="n">
        <x:f>D416-IF(H416=0,1,0)</x:f>
        <x:v>0</x:v>
      </x:c>
      <x:c r="L416" s="19" t="n">
        <x:f>E416-IF(H416=1,1,0)</x:f>
        <x:v>6</x:v>
      </x:c>
      <x:c r="M416" s="19" t="n">
        <x:f>F416-IF(H416=2,1,0)</x:f>
        <x:v>1</x:v>
      </x:c>
      <x:c r="N416" s="19" t="n">
        <x:f>MAX(K416-1,0)+MAX(L416-1,0)+MAX(M416-1,0)</x:f>
        <x:v>5</x:v>
      </x:c>
      <x:c r="O416" s="19" t="n">
        <x:f>IF(AND(SUM(K416:M416)&lt;9,OR(M416=0,N416&lt;6)),1,0)</x:f>
        <x:v>1</x:v>
      </x:c>
      <x:c r="P416" s="19" t="n">
        <x:f>IF(AND(SUM(K416:M416)&lt;9,OR(L416=0,N416&lt;6)),1,0)</x:f>
        <x:v>1</x:v>
      </x:c>
      <x:c r="Q416" s="19" t="n">
        <x:f>IF(AND(SUM(K416:M416)&lt;9,OR(K416=0,N416&lt;6)),1,0)</x:f>
        <x:v>1</x:v>
      </x:c>
      <x:c r="R416" s="22" t="str">
        <x:f>O416&amp;P416&amp;Q416</x:f>
        <x:v>111</x:v>
      </x:c>
      <x:c r="S416" s="19" t="n">
        <x:f>IF(I416=1,IF(J416=0,Q416,IF(J416=1,P416,IF(J416=2,O416,0))),0)</x:f>
        <x:v>0</x:v>
      </x:c>
      <x:c r="T416" s="19" t="n">
        <x:f>K416+IF(AND(S416=1,J416=0),1,0)</x:f>
        <x:v>0</x:v>
      </x:c>
      <x:c r="U416" s="19" t="n">
        <x:f>L416+IF(AND(S416=1,J416=1),1,0)</x:f>
        <x:v>6</x:v>
      </x:c>
      <x:c r="V416" s="19" t="n">
        <x:f>M416+IF(AND(S416=1,J416=2),1,0)</x:f>
        <x:v>1</x:v>
      </x:c>
      <x:c r="W416" s="19" t="n">
        <x:f>SUM(T416:V416)</x:f>
        <x:v>7</x:v>
      </x:c>
      <x:c r="X416" s="19" t="n">
        <x:f>W416-G416</x:f>
        <x:v>0</x:v>
      </x:c>
      <x:c r="Y416" s="19" t="n">
        <x:f>MAX(T416,1)+MAX(U416,1)+MAX(V416,1)</x:f>
        <x:v>8</x:v>
      </x:c>
      <x:c r="Z416" s="21" t="str">
        <x:f>IF(AND(MIN(D416:F416)&gt;=0,MAX(D416:F416)&lt;=7,MAX(D416,1)+MAX(E416,1)+MAX(F416,1)&lt;=9,OR(H416="-",AND(H416=0,D416&gt;0),AND(H416=1,E416&gt;0),AND(H416=2,F416&gt;0)),OR(I416=0,AND(I416=1,OR(J416=0,J416=1,J416=2),R416&lt;&gt;"000")),Y416&lt;=9,MIN(T416:V416)&gt;=0),"合法","输入违约")</x:f>
        <x:v>合法</x:v>
      </x:c>
    </x:row>
    <x:row r="417" ht="23" customHeight="1">
      <x:c r="A417" s="3" t="str">
        <x:v>CT-0410</x:v>
      </x:c>
      <x:c r="B417" s="3" t="str">
        <x:v>ST-091</x:v>
      </x:c>
      <x:c r="C417" s="3" t="str">
        <x:v>仅AR接收</x:v>
      </x:c>
      <x:c r="D417" s="25" t="n">
        <x:v>0</x:v>
      </x:c>
      <x:c r="E417" s="25" t="n">
        <x:v>6</x:v>
      </x:c>
      <x:c r="F417" s="25" t="n">
        <x:v>1</x:v>
      </x:c>
      <x:c r="G417" s="19" t="n">
        <x:f>SUM(D417:F417)</x:f>
        <x:v>7</x:v>
      </x:c>
      <x:c r="H417" s="25" t="str">
        <x:v>-</x:v>
      </x:c>
      <x:c r="I417" s="25" t="n">
        <x:v>1</x:v>
      </x:c>
      <x:c r="J417" s="25" t="n">
        <x:v>0</x:v>
      </x:c>
      <x:c r="K417" s="19" t="n">
        <x:f>D417-IF(H417=0,1,0)</x:f>
        <x:v>0</x:v>
      </x:c>
      <x:c r="L417" s="19" t="n">
        <x:f>E417-IF(H417=1,1,0)</x:f>
        <x:v>6</x:v>
      </x:c>
      <x:c r="M417" s="19" t="n">
        <x:f>F417-IF(H417=2,1,0)</x:f>
        <x:v>1</x:v>
      </x:c>
      <x:c r="N417" s="19" t="n">
        <x:f>MAX(K417-1,0)+MAX(L417-1,0)+MAX(M417-1,0)</x:f>
        <x:v>5</x:v>
      </x:c>
      <x:c r="O417" s="19" t="n">
        <x:f>IF(AND(SUM(K417:M417)&lt;9,OR(M417=0,N417&lt;6)),1,0)</x:f>
        <x:v>1</x:v>
      </x:c>
      <x:c r="P417" s="19" t="n">
        <x:f>IF(AND(SUM(K417:M417)&lt;9,OR(L417=0,N417&lt;6)),1,0)</x:f>
        <x:v>1</x:v>
      </x:c>
      <x:c r="Q417" s="19" t="n">
        <x:f>IF(AND(SUM(K417:M417)&lt;9,OR(K417=0,N417&lt;6)),1,0)</x:f>
        <x:v>1</x:v>
      </x:c>
      <x:c r="R417" s="22" t="str">
        <x:f>O417&amp;P417&amp;Q417</x:f>
        <x:v>111</x:v>
      </x:c>
      <x:c r="S417" s="19" t="n">
        <x:f>IF(I417=1,IF(J417=0,Q417,IF(J417=1,P417,IF(J417=2,O417,0))),0)</x:f>
        <x:v>1</x:v>
      </x:c>
      <x:c r="T417" s="19" t="n">
        <x:f>K417+IF(AND(S417=1,J417=0),1,0)</x:f>
        <x:v>1</x:v>
      </x:c>
      <x:c r="U417" s="19" t="n">
        <x:f>L417+IF(AND(S417=1,J417=1),1,0)</x:f>
        <x:v>6</x:v>
      </x:c>
      <x:c r="V417" s="19" t="n">
        <x:f>M417+IF(AND(S417=1,J417=2),1,0)</x:f>
        <x:v>1</x:v>
      </x:c>
      <x:c r="W417" s="19" t="n">
        <x:f>SUM(T417:V417)</x:f>
        <x:v>8</x:v>
      </x:c>
      <x:c r="X417" s="19" t="n">
        <x:f>W417-G417</x:f>
        <x:v>1</x:v>
      </x:c>
      <x:c r="Y417" s="19" t="n">
        <x:f>MAX(T417,1)+MAX(U417,1)+MAX(V417,1)</x:f>
        <x:v>8</x:v>
      </x:c>
      <x:c r="Z417" s="21" t="str">
        <x:f>IF(AND(MIN(D417:F417)&gt;=0,MAX(D417:F417)&lt;=7,MAX(D417,1)+MAX(E417,1)+MAX(F417,1)&lt;=9,OR(H417="-",AND(H417=0,D417&gt;0),AND(H417=1,E417&gt;0),AND(H417=2,F417&gt;0)),OR(I417=0,AND(I417=1,OR(J417=0,J417=1,J417=2),R417&lt;&gt;"000")),Y417&lt;=9,MIN(T417:V417)&gt;=0),"合法","输入违约")</x:f>
        <x:v>合法</x:v>
      </x:c>
    </x:row>
    <x:row r="418" ht="23" customHeight="1">
      <x:c r="A418" s="3" t="str">
        <x:v>CT-0411</x:v>
      </x:c>
      <x:c r="B418" s="3" t="str">
        <x:v>ST-091</x:v>
      </x:c>
      <x:c r="C418" s="3" t="str">
        <x:v>仅AR接收</x:v>
      </x:c>
      <x:c r="D418" s="25" t="n">
        <x:v>0</x:v>
      </x:c>
      <x:c r="E418" s="25" t="n">
        <x:v>6</x:v>
      </x:c>
      <x:c r="F418" s="25" t="n">
        <x:v>1</x:v>
      </x:c>
      <x:c r="G418" s="19" t="n">
        <x:f>SUM(D418:F418)</x:f>
        <x:v>7</x:v>
      </x:c>
      <x:c r="H418" s="25" t="str">
        <x:v>-</x:v>
      </x:c>
      <x:c r="I418" s="25" t="n">
        <x:v>1</x:v>
      </x:c>
      <x:c r="J418" s="25" t="n">
        <x:v>1</x:v>
      </x:c>
      <x:c r="K418" s="19" t="n">
        <x:f>D418-IF(H418=0,1,0)</x:f>
        <x:v>0</x:v>
      </x:c>
      <x:c r="L418" s="19" t="n">
        <x:f>E418-IF(H418=1,1,0)</x:f>
        <x:v>6</x:v>
      </x:c>
      <x:c r="M418" s="19" t="n">
        <x:f>F418-IF(H418=2,1,0)</x:f>
        <x:v>1</x:v>
      </x:c>
      <x:c r="N418" s="19" t="n">
        <x:f>MAX(K418-1,0)+MAX(L418-1,0)+MAX(M418-1,0)</x:f>
        <x:v>5</x:v>
      </x:c>
      <x:c r="O418" s="19" t="n">
        <x:f>IF(AND(SUM(K418:M418)&lt;9,OR(M418=0,N418&lt;6)),1,0)</x:f>
        <x:v>1</x:v>
      </x:c>
      <x:c r="P418" s="19" t="n">
        <x:f>IF(AND(SUM(K418:M418)&lt;9,OR(L418=0,N418&lt;6)),1,0)</x:f>
        <x:v>1</x:v>
      </x:c>
      <x:c r="Q418" s="19" t="n">
        <x:f>IF(AND(SUM(K418:M418)&lt;9,OR(K418=0,N418&lt;6)),1,0)</x:f>
        <x:v>1</x:v>
      </x:c>
      <x:c r="R418" s="22" t="str">
        <x:f>O418&amp;P418&amp;Q418</x:f>
        <x:v>111</x:v>
      </x:c>
      <x:c r="S418" s="19" t="n">
        <x:f>IF(I418=1,IF(J418=0,Q418,IF(J418=1,P418,IF(J418=2,O418,0))),0)</x:f>
        <x:v>1</x:v>
      </x:c>
      <x:c r="T418" s="19" t="n">
        <x:f>K418+IF(AND(S418=1,J418=0),1,0)</x:f>
        <x:v>0</x:v>
      </x:c>
      <x:c r="U418" s="19" t="n">
        <x:f>L418+IF(AND(S418=1,J418=1),1,0)</x:f>
        <x:v>7</x:v>
      </x:c>
      <x:c r="V418" s="19" t="n">
        <x:f>M418+IF(AND(S418=1,J418=2),1,0)</x:f>
        <x:v>1</x:v>
      </x:c>
      <x:c r="W418" s="19" t="n">
        <x:f>SUM(T418:V418)</x:f>
        <x:v>8</x:v>
      </x:c>
      <x:c r="X418" s="19" t="n">
        <x:f>W418-G418</x:f>
        <x:v>1</x:v>
      </x:c>
      <x:c r="Y418" s="19" t="n">
        <x:f>MAX(T418,1)+MAX(U418,1)+MAX(V418,1)</x:f>
        <x:v>9</x:v>
      </x:c>
      <x:c r="Z418" s="21" t="str">
        <x:f>IF(AND(MIN(D418:F418)&gt;=0,MAX(D418:F418)&lt;=7,MAX(D418,1)+MAX(E418,1)+MAX(F418,1)&lt;=9,OR(H418="-",AND(H418=0,D418&gt;0),AND(H418=1,E418&gt;0),AND(H418=2,F418&gt;0)),OR(I418=0,AND(I418=1,OR(J418=0,J418=1,J418=2),R418&lt;&gt;"000")),Y418&lt;=9,MIN(T418:V418)&gt;=0),"合法","输入违约")</x:f>
        <x:v>合法</x:v>
      </x:c>
    </x:row>
    <x:row r="419" ht="23" customHeight="1">
      <x:c r="A419" s="3" t="str">
        <x:v>CT-0412</x:v>
      </x:c>
      <x:c r="B419" s="3" t="str">
        <x:v>ST-091</x:v>
      </x:c>
      <x:c r="C419" s="3" t="str">
        <x:v>仅AR接收</x:v>
      </x:c>
      <x:c r="D419" s="25" t="n">
        <x:v>0</x:v>
      </x:c>
      <x:c r="E419" s="25" t="n">
        <x:v>6</x:v>
      </x:c>
      <x:c r="F419" s="25" t="n">
        <x:v>1</x:v>
      </x:c>
      <x:c r="G419" s="19" t="n">
        <x:f>SUM(D419:F419)</x:f>
        <x:v>7</x:v>
      </x:c>
      <x:c r="H419" s="25" t="str">
        <x:v>-</x:v>
      </x:c>
      <x:c r="I419" s="25" t="n">
        <x:v>1</x:v>
      </x:c>
      <x:c r="J419" s="25" t="n">
        <x:v>2</x:v>
      </x:c>
      <x:c r="K419" s="19" t="n">
        <x:f>D419-IF(H419=0,1,0)</x:f>
        <x:v>0</x:v>
      </x:c>
      <x:c r="L419" s="19" t="n">
        <x:f>E419-IF(H419=1,1,0)</x:f>
        <x:v>6</x:v>
      </x:c>
      <x:c r="M419" s="19" t="n">
        <x:f>F419-IF(H419=2,1,0)</x:f>
        <x:v>1</x:v>
      </x:c>
      <x:c r="N419" s="19" t="n">
        <x:f>MAX(K419-1,0)+MAX(L419-1,0)+MAX(M419-1,0)</x:f>
        <x:v>5</x:v>
      </x:c>
      <x:c r="O419" s="19" t="n">
        <x:f>IF(AND(SUM(K419:M419)&lt;9,OR(M419=0,N419&lt;6)),1,0)</x:f>
        <x:v>1</x:v>
      </x:c>
      <x:c r="P419" s="19" t="n">
        <x:f>IF(AND(SUM(K419:M419)&lt;9,OR(L419=0,N419&lt;6)),1,0)</x:f>
        <x:v>1</x:v>
      </x:c>
      <x:c r="Q419" s="19" t="n">
        <x:f>IF(AND(SUM(K419:M419)&lt;9,OR(K419=0,N419&lt;6)),1,0)</x:f>
        <x:v>1</x:v>
      </x:c>
      <x:c r="R419" s="22" t="str">
        <x:f>O419&amp;P419&amp;Q419</x:f>
        <x:v>111</x:v>
      </x:c>
      <x:c r="S419" s="19" t="n">
        <x:f>IF(I419=1,IF(J419=0,Q419,IF(J419=1,P419,IF(J419=2,O419,0))),0)</x:f>
        <x:v>1</x:v>
      </x:c>
      <x:c r="T419" s="19" t="n">
        <x:f>K419+IF(AND(S419=1,J419=0),1,0)</x:f>
        <x:v>0</x:v>
      </x:c>
      <x:c r="U419" s="19" t="n">
        <x:f>L419+IF(AND(S419=1,J419=1),1,0)</x:f>
        <x:v>6</x:v>
      </x:c>
      <x:c r="V419" s="19" t="n">
        <x:f>M419+IF(AND(S419=1,J419=2),1,0)</x:f>
        <x:v>2</x:v>
      </x:c>
      <x:c r="W419" s="19" t="n">
        <x:f>SUM(T419:V419)</x:f>
        <x:v>8</x:v>
      </x:c>
      <x:c r="X419" s="19" t="n">
        <x:f>W419-G419</x:f>
        <x:v>1</x:v>
      </x:c>
      <x:c r="Y419" s="19" t="n">
        <x:f>MAX(T419,1)+MAX(U419,1)+MAX(V419,1)</x:f>
        <x:v>9</x:v>
      </x:c>
      <x:c r="Z419" s="21" t="str">
        <x:f>IF(AND(MIN(D419:F419)&gt;=0,MAX(D419:F419)&lt;=7,MAX(D419,1)+MAX(E419,1)+MAX(F419,1)&lt;=9,OR(H419="-",AND(H419=0,D419&gt;0),AND(H419=1,E419&gt;0),AND(H419=2,F419&gt;0)),OR(I419=0,AND(I419=1,OR(J419=0,J419=1,J419=2),R419&lt;&gt;"000")),Y419&lt;=9,MIN(T419:V419)&gt;=0),"合法","输入违约")</x:f>
        <x:v>合法</x:v>
      </x:c>
    </x:row>
    <x:row r="420" ht="23" customHeight="1">
      <x:c r="A420" s="3" t="str">
        <x:v>CT-0413</x:v>
      </x:c>
      <x:c r="B420" s="3" t="str">
        <x:v>ST-091</x:v>
      </x:c>
      <x:c r="C420" s="3" t="str">
        <x:v>仅R回收</x:v>
      </x:c>
      <x:c r="D420" s="25" t="n">
        <x:v>0</x:v>
      </x:c>
      <x:c r="E420" s="25" t="n">
        <x:v>6</x:v>
      </x:c>
      <x:c r="F420" s="25" t="n">
        <x:v>1</x:v>
      </x:c>
      <x:c r="G420" s="19" t="n">
        <x:f>SUM(D420:F420)</x:f>
        <x:v>7</x:v>
      </x:c>
      <x:c r="H420" s="25" t="n">
        <x:v>1</x:v>
      </x:c>
      <x:c r="I420" s="25" t="n">
        <x:v>0</x:v>
      </x:c>
      <x:c r="J420" s="25" t="str">
        <x:v>-</x:v>
      </x:c>
      <x:c r="K420" s="19" t="n">
        <x:f>D420-IF(H420=0,1,0)</x:f>
        <x:v>0</x:v>
      </x:c>
      <x:c r="L420" s="19" t="n">
        <x:f>E420-IF(H420=1,1,0)</x:f>
        <x:v>5</x:v>
      </x:c>
      <x:c r="M420" s="19" t="n">
        <x:f>F420-IF(H420=2,1,0)</x:f>
        <x:v>1</x:v>
      </x:c>
      <x:c r="N420" s="19" t="n">
        <x:f>MAX(K420-1,0)+MAX(L420-1,0)+MAX(M420-1,0)</x:f>
        <x:v>4</x:v>
      </x:c>
      <x:c r="O420" s="19" t="n">
        <x:f>IF(AND(SUM(K420:M420)&lt;9,OR(M420=0,N420&lt;6)),1,0)</x:f>
        <x:v>1</x:v>
      </x:c>
      <x:c r="P420" s="19" t="n">
        <x:f>IF(AND(SUM(K420:M420)&lt;9,OR(L420=0,N420&lt;6)),1,0)</x:f>
        <x:v>1</x:v>
      </x:c>
      <x:c r="Q420" s="19" t="n">
        <x:f>IF(AND(SUM(K420:M420)&lt;9,OR(K420=0,N420&lt;6)),1,0)</x:f>
        <x:v>1</x:v>
      </x:c>
      <x:c r="R420" s="22" t="str">
        <x:f>O420&amp;P420&amp;Q420</x:f>
        <x:v>111</x:v>
      </x:c>
      <x:c r="S420" s="19" t="n">
        <x:f>IF(I420=1,IF(J420=0,Q420,IF(J420=1,P420,IF(J420=2,O420,0))),0)</x:f>
        <x:v>0</x:v>
      </x:c>
      <x:c r="T420" s="19" t="n">
        <x:f>K420+IF(AND(S420=1,J420=0),1,0)</x:f>
        <x:v>0</x:v>
      </x:c>
      <x:c r="U420" s="19" t="n">
        <x:f>L420+IF(AND(S420=1,J420=1),1,0)</x:f>
        <x:v>5</x:v>
      </x:c>
      <x:c r="V420" s="19" t="n">
        <x:f>M420+IF(AND(S420=1,J420=2),1,0)</x:f>
        <x:v>1</x:v>
      </x:c>
      <x:c r="W420" s="19" t="n">
        <x:f>SUM(T420:V420)</x:f>
        <x:v>6</x:v>
      </x:c>
      <x:c r="X420" s="19" t="n">
        <x:f>W420-G420</x:f>
        <x:v>-1</x:v>
      </x:c>
      <x:c r="Y420" s="19" t="n">
        <x:f>MAX(T420,1)+MAX(U420,1)+MAX(V420,1)</x:f>
        <x:v>7</x:v>
      </x:c>
      <x:c r="Z420" s="21" t="str">
        <x:f>IF(AND(MIN(D420:F420)&gt;=0,MAX(D420:F420)&lt;=7,MAX(D420,1)+MAX(E420,1)+MAX(F420,1)&lt;=9,OR(H420="-",AND(H420=0,D420&gt;0),AND(H420=1,E420&gt;0),AND(H420=2,F420&gt;0)),OR(I420=0,AND(I420=1,OR(J420=0,J420=1,J420=2),R420&lt;&gt;"000")),Y420&lt;=9,MIN(T420:V420)&gt;=0),"合法","输入违约")</x:f>
        <x:v>合法</x:v>
      </x:c>
    </x:row>
    <x:row r="421" ht="23" customHeight="1">
      <x:c r="A421" s="3" t="str">
        <x:v>CT-0414</x:v>
      </x:c>
      <x:c r="B421" s="3" t="str">
        <x:v>ST-091</x:v>
      </x:c>
      <x:c r="C421" s="3" t="str">
        <x:v>R+AR同收同发</x:v>
      </x:c>
      <x:c r="D421" s="25" t="n">
        <x:v>0</x:v>
      </x:c>
      <x:c r="E421" s="25" t="n">
        <x:v>6</x:v>
      </x:c>
      <x:c r="F421" s="25" t="n">
        <x:v>1</x:v>
      </x:c>
      <x:c r="G421" s="19" t="n">
        <x:f>SUM(D421:F421)</x:f>
        <x:v>7</x:v>
      </x:c>
      <x:c r="H421" s="25" t="n">
        <x:v>1</x:v>
      </x:c>
      <x:c r="I421" s="25" t="n">
        <x:v>1</x:v>
      </x:c>
      <x:c r="J421" s="25" t="n">
        <x:v>0</x:v>
      </x:c>
      <x:c r="K421" s="19" t="n">
        <x:f>D421-IF(H421=0,1,0)</x:f>
        <x:v>0</x:v>
      </x:c>
      <x:c r="L421" s="19" t="n">
        <x:f>E421-IF(H421=1,1,0)</x:f>
        <x:v>5</x:v>
      </x:c>
      <x:c r="M421" s="19" t="n">
        <x:f>F421-IF(H421=2,1,0)</x:f>
        <x:v>1</x:v>
      </x:c>
      <x:c r="N421" s="19" t="n">
        <x:f>MAX(K421-1,0)+MAX(L421-1,0)+MAX(M421-1,0)</x:f>
        <x:v>4</x:v>
      </x:c>
      <x:c r="O421" s="19" t="n">
        <x:f>IF(AND(SUM(K421:M421)&lt;9,OR(M421=0,N421&lt;6)),1,0)</x:f>
        <x:v>1</x:v>
      </x:c>
      <x:c r="P421" s="19" t="n">
        <x:f>IF(AND(SUM(K421:M421)&lt;9,OR(L421=0,N421&lt;6)),1,0)</x:f>
        <x:v>1</x:v>
      </x:c>
      <x:c r="Q421" s="19" t="n">
        <x:f>IF(AND(SUM(K421:M421)&lt;9,OR(K421=0,N421&lt;6)),1,0)</x:f>
        <x:v>1</x:v>
      </x:c>
      <x:c r="R421" s="22" t="str">
        <x:f>O421&amp;P421&amp;Q421</x:f>
        <x:v>111</x:v>
      </x:c>
      <x:c r="S421" s="19" t="n">
        <x:f>IF(I421=1,IF(J421=0,Q421,IF(J421=1,P421,IF(J421=2,O421,0))),0)</x:f>
        <x:v>1</x:v>
      </x:c>
      <x:c r="T421" s="19" t="n">
        <x:f>K421+IF(AND(S421=1,J421=0),1,0)</x:f>
        <x:v>1</x:v>
      </x:c>
      <x:c r="U421" s="19" t="n">
        <x:f>L421+IF(AND(S421=1,J421=1),1,0)</x:f>
        <x:v>5</x:v>
      </x:c>
      <x:c r="V421" s="19" t="n">
        <x:f>M421+IF(AND(S421=1,J421=2),1,0)</x:f>
        <x:v>1</x:v>
      </x:c>
      <x:c r="W421" s="19" t="n">
        <x:f>SUM(T421:V421)</x:f>
        <x:v>7</x:v>
      </x:c>
      <x:c r="X421" s="19" t="n">
        <x:f>W421-G421</x:f>
        <x:v>0</x:v>
      </x:c>
      <x:c r="Y421" s="19" t="n">
        <x:f>MAX(T421,1)+MAX(U421,1)+MAX(V421,1)</x:f>
        <x:v>7</x:v>
      </x:c>
      <x:c r="Z421" s="21" t="str">
        <x:f>IF(AND(MIN(D421:F421)&gt;=0,MAX(D421:F421)&lt;=7,MAX(D421,1)+MAX(E421,1)+MAX(F421,1)&lt;=9,OR(H421="-",AND(H421=0,D421&gt;0),AND(H421=1,E421&gt;0),AND(H421=2,F421&gt;0)),OR(I421=0,AND(I421=1,OR(J421=0,J421=1,J421=2),R421&lt;&gt;"000")),Y421&lt;=9,MIN(T421:V421)&gt;=0),"合法","输入违约")</x:f>
        <x:v>合法</x:v>
      </x:c>
    </x:row>
    <x:row r="422" ht="23" customHeight="1">
      <x:c r="A422" s="3" t="str">
        <x:v>CT-0415</x:v>
      </x:c>
      <x:c r="B422" s="3" t="str">
        <x:v>ST-091</x:v>
      </x:c>
      <x:c r="C422" s="3" t="str">
        <x:v>R+AR同收同发</x:v>
      </x:c>
      <x:c r="D422" s="25" t="n">
        <x:v>0</x:v>
      </x:c>
      <x:c r="E422" s="25" t="n">
        <x:v>6</x:v>
      </x:c>
      <x:c r="F422" s="25" t="n">
        <x:v>1</x:v>
      </x:c>
      <x:c r="G422" s="19" t="n">
        <x:f>SUM(D422:F422)</x:f>
        <x:v>7</x:v>
      </x:c>
      <x:c r="H422" s="25" t="n">
        <x:v>1</x:v>
      </x:c>
      <x:c r="I422" s="25" t="n">
        <x:v>1</x:v>
      </x:c>
      <x:c r="J422" s="25" t="n">
        <x:v>1</x:v>
      </x:c>
      <x:c r="K422" s="19" t="n">
        <x:f>D422-IF(H422=0,1,0)</x:f>
        <x:v>0</x:v>
      </x:c>
      <x:c r="L422" s="19" t="n">
        <x:f>E422-IF(H422=1,1,0)</x:f>
        <x:v>5</x:v>
      </x:c>
      <x:c r="M422" s="19" t="n">
        <x:f>F422-IF(H422=2,1,0)</x:f>
        <x:v>1</x:v>
      </x:c>
      <x:c r="N422" s="19" t="n">
        <x:f>MAX(K422-1,0)+MAX(L422-1,0)+MAX(M422-1,0)</x:f>
        <x:v>4</x:v>
      </x:c>
      <x:c r="O422" s="19" t="n">
        <x:f>IF(AND(SUM(K422:M422)&lt;9,OR(M422=0,N422&lt;6)),1,0)</x:f>
        <x:v>1</x:v>
      </x:c>
      <x:c r="P422" s="19" t="n">
        <x:f>IF(AND(SUM(K422:M422)&lt;9,OR(L422=0,N422&lt;6)),1,0)</x:f>
        <x:v>1</x:v>
      </x:c>
      <x:c r="Q422" s="19" t="n">
        <x:f>IF(AND(SUM(K422:M422)&lt;9,OR(K422=0,N422&lt;6)),1,0)</x:f>
        <x:v>1</x:v>
      </x:c>
      <x:c r="R422" s="22" t="str">
        <x:f>O422&amp;P422&amp;Q422</x:f>
        <x:v>111</x:v>
      </x:c>
      <x:c r="S422" s="19" t="n">
        <x:f>IF(I422=1,IF(J422=0,Q422,IF(J422=1,P422,IF(J422=2,O422,0))),0)</x:f>
        <x:v>1</x:v>
      </x:c>
      <x:c r="T422" s="19" t="n">
        <x:f>K422+IF(AND(S422=1,J422=0),1,0)</x:f>
        <x:v>0</x:v>
      </x:c>
      <x:c r="U422" s="19" t="n">
        <x:f>L422+IF(AND(S422=1,J422=1),1,0)</x:f>
        <x:v>6</x:v>
      </x:c>
      <x:c r="V422" s="19" t="n">
        <x:f>M422+IF(AND(S422=1,J422=2),1,0)</x:f>
        <x:v>1</x:v>
      </x:c>
      <x:c r="W422" s="19" t="n">
        <x:f>SUM(T422:V422)</x:f>
        <x:v>7</x:v>
      </x:c>
      <x:c r="X422" s="19" t="n">
        <x:f>W422-G422</x:f>
        <x:v>0</x:v>
      </x:c>
      <x:c r="Y422" s="19" t="n">
        <x:f>MAX(T422,1)+MAX(U422,1)+MAX(V422,1)</x:f>
        <x:v>8</x:v>
      </x:c>
      <x:c r="Z422" s="21" t="str">
        <x:f>IF(AND(MIN(D422:F422)&gt;=0,MAX(D422:F422)&lt;=7,MAX(D422,1)+MAX(E422,1)+MAX(F422,1)&lt;=9,OR(H422="-",AND(H422=0,D422&gt;0),AND(H422=1,E422&gt;0),AND(H422=2,F422&gt;0)),OR(I422=0,AND(I422=1,OR(J422=0,J422=1,J422=2),R422&lt;&gt;"000")),Y422&lt;=9,MIN(T422:V422)&gt;=0),"合法","输入违约")</x:f>
        <x:v>合法</x:v>
      </x:c>
    </x:row>
    <x:row r="423" ht="23" customHeight="1">
      <x:c r="A423" s="3" t="str">
        <x:v>CT-0416</x:v>
      </x:c>
      <x:c r="B423" s="3" t="str">
        <x:v>ST-091</x:v>
      </x:c>
      <x:c r="C423" s="3" t="str">
        <x:v>R+AR同收同发</x:v>
      </x:c>
      <x:c r="D423" s="25" t="n">
        <x:v>0</x:v>
      </x:c>
      <x:c r="E423" s="25" t="n">
        <x:v>6</x:v>
      </x:c>
      <x:c r="F423" s="25" t="n">
        <x:v>1</x:v>
      </x:c>
      <x:c r="G423" s="19" t="n">
        <x:f>SUM(D423:F423)</x:f>
        <x:v>7</x:v>
      </x:c>
      <x:c r="H423" s="25" t="n">
        <x:v>1</x:v>
      </x:c>
      <x:c r="I423" s="25" t="n">
        <x:v>1</x:v>
      </x:c>
      <x:c r="J423" s="25" t="n">
        <x:v>2</x:v>
      </x:c>
      <x:c r="K423" s="19" t="n">
        <x:f>D423-IF(H423=0,1,0)</x:f>
        <x:v>0</x:v>
      </x:c>
      <x:c r="L423" s="19" t="n">
        <x:f>E423-IF(H423=1,1,0)</x:f>
        <x:v>5</x:v>
      </x:c>
      <x:c r="M423" s="19" t="n">
        <x:f>F423-IF(H423=2,1,0)</x:f>
        <x:v>1</x:v>
      </x:c>
      <x:c r="N423" s="19" t="n">
        <x:f>MAX(K423-1,0)+MAX(L423-1,0)+MAX(M423-1,0)</x:f>
        <x:v>4</x:v>
      </x:c>
      <x:c r="O423" s="19" t="n">
        <x:f>IF(AND(SUM(K423:M423)&lt;9,OR(M423=0,N423&lt;6)),1,0)</x:f>
        <x:v>1</x:v>
      </x:c>
      <x:c r="P423" s="19" t="n">
        <x:f>IF(AND(SUM(K423:M423)&lt;9,OR(L423=0,N423&lt;6)),1,0)</x:f>
        <x:v>1</x:v>
      </x:c>
      <x:c r="Q423" s="19" t="n">
        <x:f>IF(AND(SUM(K423:M423)&lt;9,OR(K423=0,N423&lt;6)),1,0)</x:f>
        <x:v>1</x:v>
      </x:c>
      <x:c r="R423" s="22" t="str">
        <x:f>O423&amp;P423&amp;Q423</x:f>
        <x:v>111</x:v>
      </x:c>
      <x:c r="S423" s="19" t="n">
        <x:f>IF(I423=1,IF(J423=0,Q423,IF(J423=1,P423,IF(J423=2,O423,0))),0)</x:f>
        <x:v>1</x:v>
      </x:c>
      <x:c r="T423" s="19" t="n">
        <x:f>K423+IF(AND(S423=1,J423=0),1,0)</x:f>
        <x:v>0</x:v>
      </x:c>
      <x:c r="U423" s="19" t="n">
        <x:f>L423+IF(AND(S423=1,J423=1),1,0)</x:f>
        <x:v>5</x:v>
      </x:c>
      <x:c r="V423" s="19" t="n">
        <x:f>M423+IF(AND(S423=1,J423=2),1,0)</x:f>
        <x:v>2</x:v>
      </x:c>
      <x:c r="W423" s="19" t="n">
        <x:f>SUM(T423:V423)</x:f>
        <x:v>7</x:v>
      </x:c>
      <x:c r="X423" s="19" t="n">
        <x:f>W423-G423</x:f>
        <x:v>0</x:v>
      </x:c>
      <x:c r="Y423" s="19" t="n">
        <x:f>MAX(T423,1)+MAX(U423,1)+MAX(V423,1)</x:f>
        <x:v>8</x:v>
      </x:c>
      <x:c r="Z423" s="21" t="str">
        <x:f>IF(AND(MIN(D423:F423)&gt;=0,MAX(D423:F423)&lt;=7,MAX(D423,1)+MAX(E423,1)+MAX(F423,1)&lt;=9,OR(H423="-",AND(H423=0,D423&gt;0),AND(H423=1,E423&gt;0),AND(H423=2,F423&gt;0)),OR(I423=0,AND(I423=1,OR(J423=0,J423=1,J423=2),R423&lt;&gt;"000")),Y423&lt;=9,MIN(T423:V423)&gt;=0),"合法","输入违约")</x:f>
        <x:v>合法</x:v>
      </x:c>
    </x:row>
    <x:row r="424" ht="23" customHeight="1">
      <x:c r="A424" s="3" t="str">
        <x:v>CT-0417</x:v>
      </x:c>
      <x:c r="B424" s="3" t="str">
        <x:v>ST-091</x:v>
      </x:c>
      <x:c r="C424" s="3" t="str">
        <x:v>仅R回收</x:v>
      </x:c>
      <x:c r="D424" s="25" t="n">
        <x:v>0</x:v>
      </x:c>
      <x:c r="E424" s="25" t="n">
        <x:v>6</x:v>
      </x:c>
      <x:c r="F424" s="25" t="n">
        <x:v>1</x:v>
      </x:c>
      <x:c r="G424" s="19" t="n">
        <x:f>SUM(D424:F424)</x:f>
        <x:v>7</x:v>
      </x:c>
      <x:c r="H424" s="25" t="n">
        <x:v>2</x:v>
      </x:c>
      <x:c r="I424" s="25" t="n">
        <x:v>0</x:v>
      </x:c>
      <x:c r="J424" s="25" t="str">
        <x:v>-</x:v>
      </x:c>
      <x:c r="K424" s="19" t="n">
        <x:f>D424-IF(H424=0,1,0)</x:f>
        <x:v>0</x:v>
      </x:c>
      <x:c r="L424" s="19" t="n">
        <x:f>E424-IF(H424=1,1,0)</x:f>
        <x:v>6</x:v>
      </x:c>
      <x:c r="M424" s="19" t="n">
        <x:f>F424-IF(H424=2,1,0)</x:f>
        <x:v>0</x:v>
      </x:c>
      <x:c r="N424" s="19" t="n">
        <x:f>MAX(K424-1,0)+MAX(L424-1,0)+MAX(M424-1,0)</x:f>
        <x:v>5</x:v>
      </x:c>
      <x:c r="O424" s="19" t="n">
        <x:f>IF(AND(SUM(K424:M424)&lt;9,OR(M424=0,N424&lt;6)),1,0)</x:f>
        <x:v>1</x:v>
      </x:c>
      <x:c r="P424" s="19" t="n">
        <x:f>IF(AND(SUM(K424:M424)&lt;9,OR(L424=0,N424&lt;6)),1,0)</x:f>
        <x:v>1</x:v>
      </x:c>
      <x:c r="Q424" s="19" t="n">
        <x:f>IF(AND(SUM(K424:M424)&lt;9,OR(K424=0,N424&lt;6)),1,0)</x:f>
        <x:v>1</x:v>
      </x:c>
      <x:c r="R424" s="22" t="str">
        <x:f>O424&amp;P424&amp;Q424</x:f>
        <x:v>111</x:v>
      </x:c>
      <x:c r="S424" s="19" t="n">
        <x:f>IF(I424=1,IF(J424=0,Q424,IF(J424=1,P424,IF(J424=2,O424,0))),0)</x:f>
        <x:v>0</x:v>
      </x:c>
      <x:c r="T424" s="19" t="n">
        <x:f>K424+IF(AND(S424=1,J424=0),1,0)</x:f>
        <x:v>0</x:v>
      </x:c>
      <x:c r="U424" s="19" t="n">
        <x:f>L424+IF(AND(S424=1,J424=1),1,0)</x:f>
        <x:v>6</x:v>
      </x:c>
      <x:c r="V424" s="19" t="n">
        <x:f>M424+IF(AND(S424=1,J424=2),1,0)</x:f>
        <x:v>0</x:v>
      </x:c>
      <x:c r="W424" s="19" t="n">
        <x:f>SUM(T424:V424)</x:f>
        <x:v>6</x:v>
      </x:c>
      <x:c r="X424" s="19" t="n">
        <x:f>W424-G424</x:f>
        <x:v>-1</x:v>
      </x:c>
      <x:c r="Y424" s="19" t="n">
        <x:f>MAX(T424,1)+MAX(U424,1)+MAX(V424,1)</x:f>
        <x:v>8</x:v>
      </x:c>
      <x:c r="Z424" s="21" t="str">
        <x:f>IF(AND(MIN(D424:F424)&gt;=0,MAX(D424:F424)&lt;=7,MAX(D424,1)+MAX(E424,1)+MAX(F424,1)&lt;=9,OR(H424="-",AND(H424=0,D424&gt;0),AND(H424=1,E424&gt;0),AND(H424=2,F424&gt;0)),OR(I424=0,AND(I424=1,OR(J424=0,J424=1,J424=2),R424&lt;&gt;"000")),Y424&lt;=9,MIN(T424:V424)&gt;=0),"合法","输入违约")</x:f>
        <x:v>合法</x:v>
      </x:c>
    </x:row>
    <x:row r="425" ht="23" customHeight="1">
      <x:c r="A425" s="3" t="str">
        <x:v>CT-0418</x:v>
      </x:c>
      <x:c r="B425" s="3" t="str">
        <x:v>ST-091</x:v>
      </x:c>
      <x:c r="C425" s="3" t="str">
        <x:v>R+AR同收同发</x:v>
      </x:c>
      <x:c r="D425" s="25" t="n">
        <x:v>0</x:v>
      </x:c>
      <x:c r="E425" s="25" t="n">
        <x:v>6</x:v>
      </x:c>
      <x:c r="F425" s="25" t="n">
        <x:v>1</x:v>
      </x:c>
      <x:c r="G425" s="19" t="n">
        <x:f>SUM(D425:F425)</x:f>
        <x:v>7</x:v>
      </x:c>
      <x:c r="H425" s="25" t="n">
        <x:v>2</x:v>
      </x:c>
      <x:c r="I425" s="25" t="n">
        <x:v>1</x:v>
      </x:c>
      <x:c r="J425" s="25" t="n">
        <x:v>0</x:v>
      </x:c>
      <x:c r="K425" s="19" t="n">
        <x:f>D425-IF(H425=0,1,0)</x:f>
        <x:v>0</x:v>
      </x:c>
      <x:c r="L425" s="19" t="n">
        <x:f>E425-IF(H425=1,1,0)</x:f>
        <x:v>6</x:v>
      </x:c>
      <x:c r="M425" s="19" t="n">
        <x:f>F425-IF(H425=2,1,0)</x:f>
        <x:v>0</x:v>
      </x:c>
      <x:c r="N425" s="19" t="n">
        <x:f>MAX(K425-1,0)+MAX(L425-1,0)+MAX(M425-1,0)</x:f>
        <x:v>5</x:v>
      </x:c>
      <x:c r="O425" s="19" t="n">
        <x:f>IF(AND(SUM(K425:M425)&lt;9,OR(M425=0,N425&lt;6)),1,0)</x:f>
        <x:v>1</x:v>
      </x:c>
      <x:c r="P425" s="19" t="n">
        <x:f>IF(AND(SUM(K425:M425)&lt;9,OR(L425=0,N425&lt;6)),1,0)</x:f>
        <x:v>1</x:v>
      </x:c>
      <x:c r="Q425" s="19" t="n">
        <x:f>IF(AND(SUM(K425:M425)&lt;9,OR(K425=0,N425&lt;6)),1,0)</x:f>
        <x:v>1</x:v>
      </x:c>
      <x:c r="R425" s="22" t="str">
        <x:f>O425&amp;P425&amp;Q425</x:f>
        <x:v>111</x:v>
      </x:c>
      <x:c r="S425" s="19" t="n">
        <x:f>IF(I425=1,IF(J425=0,Q425,IF(J425=1,P425,IF(J425=2,O425,0))),0)</x:f>
        <x:v>1</x:v>
      </x:c>
      <x:c r="T425" s="19" t="n">
        <x:f>K425+IF(AND(S425=1,J425=0),1,0)</x:f>
        <x:v>1</x:v>
      </x:c>
      <x:c r="U425" s="19" t="n">
        <x:f>L425+IF(AND(S425=1,J425=1),1,0)</x:f>
        <x:v>6</x:v>
      </x:c>
      <x:c r="V425" s="19" t="n">
        <x:f>M425+IF(AND(S425=1,J425=2),1,0)</x:f>
        <x:v>0</x:v>
      </x:c>
      <x:c r="W425" s="19" t="n">
        <x:f>SUM(T425:V425)</x:f>
        <x:v>7</x:v>
      </x:c>
      <x:c r="X425" s="19" t="n">
        <x:f>W425-G425</x:f>
        <x:v>0</x:v>
      </x:c>
      <x:c r="Y425" s="19" t="n">
        <x:f>MAX(T425,1)+MAX(U425,1)+MAX(V425,1)</x:f>
        <x:v>8</x:v>
      </x:c>
      <x:c r="Z425" s="21" t="str">
        <x:f>IF(AND(MIN(D425:F425)&gt;=0,MAX(D425:F425)&lt;=7,MAX(D425,1)+MAX(E425,1)+MAX(F425,1)&lt;=9,OR(H425="-",AND(H425=0,D425&gt;0),AND(H425=1,E425&gt;0),AND(H425=2,F425&gt;0)),OR(I425=0,AND(I425=1,OR(J425=0,J425=1,J425=2),R425&lt;&gt;"000")),Y425&lt;=9,MIN(T425:V425)&gt;=0),"合法","输入违约")</x:f>
        <x:v>合法</x:v>
      </x:c>
    </x:row>
    <x:row r="426" ht="23" customHeight="1">
      <x:c r="A426" s="3" t="str">
        <x:v>CT-0419</x:v>
      </x:c>
      <x:c r="B426" s="3" t="str">
        <x:v>ST-091</x:v>
      </x:c>
      <x:c r="C426" s="3" t="str">
        <x:v>R+AR同收同发</x:v>
      </x:c>
      <x:c r="D426" s="25" t="n">
        <x:v>0</x:v>
      </x:c>
      <x:c r="E426" s="25" t="n">
        <x:v>6</x:v>
      </x:c>
      <x:c r="F426" s="25" t="n">
        <x:v>1</x:v>
      </x:c>
      <x:c r="G426" s="19" t="n">
        <x:f>SUM(D426:F426)</x:f>
        <x:v>7</x:v>
      </x:c>
      <x:c r="H426" s="25" t="n">
        <x:v>2</x:v>
      </x:c>
      <x:c r="I426" s="25" t="n">
        <x:v>1</x:v>
      </x:c>
      <x:c r="J426" s="25" t="n">
        <x:v>1</x:v>
      </x:c>
      <x:c r="K426" s="19" t="n">
        <x:f>D426-IF(H426=0,1,0)</x:f>
        <x:v>0</x:v>
      </x:c>
      <x:c r="L426" s="19" t="n">
        <x:f>E426-IF(H426=1,1,0)</x:f>
        <x:v>6</x:v>
      </x:c>
      <x:c r="M426" s="19" t="n">
        <x:f>F426-IF(H426=2,1,0)</x:f>
        <x:v>0</x:v>
      </x:c>
      <x:c r="N426" s="19" t="n">
        <x:f>MAX(K426-1,0)+MAX(L426-1,0)+MAX(M426-1,0)</x:f>
        <x:v>5</x:v>
      </x:c>
      <x:c r="O426" s="19" t="n">
        <x:f>IF(AND(SUM(K426:M426)&lt;9,OR(M426=0,N426&lt;6)),1,0)</x:f>
        <x:v>1</x:v>
      </x:c>
      <x:c r="P426" s="19" t="n">
        <x:f>IF(AND(SUM(K426:M426)&lt;9,OR(L426=0,N426&lt;6)),1,0)</x:f>
        <x:v>1</x:v>
      </x:c>
      <x:c r="Q426" s="19" t="n">
        <x:f>IF(AND(SUM(K426:M426)&lt;9,OR(K426=0,N426&lt;6)),1,0)</x:f>
        <x:v>1</x:v>
      </x:c>
      <x:c r="R426" s="22" t="str">
        <x:f>O426&amp;P426&amp;Q426</x:f>
        <x:v>111</x:v>
      </x:c>
      <x:c r="S426" s="19" t="n">
        <x:f>IF(I426=1,IF(J426=0,Q426,IF(J426=1,P426,IF(J426=2,O426,0))),0)</x:f>
        <x:v>1</x:v>
      </x:c>
      <x:c r="T426" s="19" t="n">
        <x:f>K426+IF(AND(S426=1,J426=0),1,0)</x:f>
        <x:v>0</x:v>
      </x:c>
      <x:c r="U426" s="19" t="n">
        <x:f>L426+IF(AND(S426=1,J426=1),1,0)</x:f>
        <x:v>7</x:v>
      </x:c>
      <x:c r="V426" s="19" t="n">
        <x:f>M426+IF(AND(S426=1,J426=2),1,0)</x:f>
        <x:v>0</x:v>
      </x:c>
      <x:c r="W426" s="19" t="n">
        <x:f>SUM(T426:V426)</x:f>
        <x:v>7</x:v>
      </x:c>
      <x:c r="X426" s="19" t="n">
        <x:f>W426-G426</x:f>
        <x:v>0</x:v>
      </x:c>
      <x:c r="Y426" s="19" t="n">
        <x:f>MAX(T426,1)+MAX(U426,1)+MAX(V426,1)</x:f>
        <x:v>9</x:v>
      </x:c>
      <x:c r="Z426" s="21" t="str">
        <x:f>IF(AND(MIN(D426:F426)&gt;=0,MAX(D426:F426)&lt;=7,MAX(D426,1)+MAX(E426,1)+MAX(F426,1)&lt;=9,OR(H426="-",AND(H426=0,D426&gt;0),AND(H426=1,E426&gt;0),AND(H426=2,F426&gt;0)),OR(I426=0,AND(I426=1,OR(J426=0,J426=1,J426=2),R426&lt;&gt;"000")),Y426&lt;=9,MIN(T426:V426)&gt;=0),"合法","输入违约")</x:f>
        <x:v>合法</x:v>
      </x:c>
    </x:row>
    <x:row r="427" ht="23" customHeight="1">
      <x:c r="A427" s="3" t="str">
        <x:v>CT-0420</x:v>
      </x:c>
      <x:c r="B427" s="3" t="str">
        <x:v>ST-091</x:v>
      </x:c>
      <x:c r="C427" s="3" t="str">
        <x:v>R+AR同收同发</x:v>
      </x:c>
      <x:c r="D427" s="25" t="n">
        <x:v>0</x:v>
      </x:c>
      <x:c r="E427" s="25" t="n">
        <x:v>6</x:v>
      </x:c>
      <x:c r="F427" s="25" t="n">
        <x:v>1</x:v>
      </x:c>
      <x:c r="G427" s="19" t="n">
        <x:f>SUM(D427:F427)</x:f>
        <x:v>7</x:v>
      </x:c>
      <x:c r="H427" s="25" t="n">
        <x:v>2</x:v>
      </x:c>
      <x:c r="I427" s="25" t="n">
        <x:v>1</x:v>
      </x:c>
      <x:c r="J427" s="25" t="n">
        <x:v>2</x:v>
      </x:c>
      <x:c r="K427" s="19" t="n">
        <x:f>D427-IF(H427=0,1,0)</x:f>
        <x:v>0</x:v>
      </x:c>
      <x:c r="L427" s="19" t="n">
        <x:f>E427-IF(H427=1,1,0)</x:f>
        <x:v>6</x:v>
      </x:c>
      <x:c r="M427" s="19" t="n">
        <x:f>F427-IF(H427=2,1,0)</x:f>
        <x:v>0</x:v>
      </x:c>
      <x:c r="N427" s="19" t="n">
        <x:f>MAX(K427-1,0)+MAX(L427-1,0)+MAX(M427-1,0)</x:f>
        <x:v>5</x:v>
      </x:c>
      <x:c r="O427" s="19" t="n">
        <x:f>IF(AND(SUM(K427:M427)&lt;9,OR(M427=0,N427&lt;6)),1,0)</x:f>
        <x:v>1</x:v>
      </x:c>
      <x:c r="P427" s="19" t="n">
        <x:f>IF(AND(SUM(K427:M427)&lt;9,OR(L427=0,N427&lt;6)),1,0)</x:f>
        <x:v>1</x:v>
      </x:c>
      <x:c r="Q427" s="19" t="n">
        <x:f>IF(AND(SUM(K427:M427)&lt;9,OR(K427=0,N427&lt;6)),1,0)</x:f>
        <x:v>1</x:v>
      </x:c>
      <x:c r="R427" s="22" t="str">
        <x:f>O427&amp;P427&amp;Q427</x:f>
        <x:v>111</x:v>
      </x:c>
      <x:c r="S427" s="19" t="n">
        <x:f>IF(I427=1,IF(J427=0,Q427,IF(J427=1,P427,IF(J427=2,O427,0))),0)</x:f>
        <x:v>1</x:v>
      </x:c>
      <x:c r="T427" s="19" t="n">
        <x:f>K427+IF(AND(S427=1,J427=0),1,0)</x:f>
        <x:v>0</x:v>
      </x:c>
      <x:c r="U427" s="19" t="n">
        <x:f>L427+IF(AND(S427=1,J427=1),1,0)</x:f>
        <x:v>6</x:v>
      </x:c>
      <x:c r="V427" s="19" t="n">
        <x:f>M427+IF(AND(S427=1,J427=2),1,0)</x:f>
        <x:v>1</x:v>
      </x:c>
      <x:c r="W427" s="19" t="n">
        <x:f>SUM(T427:V427)</x:f>
        <x:v>7</x:v>
      </x:c>
      <x:c r="X427" s="19" t="n">
        <x:f>W427-G427</x:f>
        <x:v>0</x:v>
      </x:c>
      <x:c r="Y427" s="19" t="n">
        <x:f>MAX(T427,1)+MAX(U427,1)+MAX(V427,1)</x:f>
        <x:v>8</x:v>
      </x:c>
      <x:c r="Z427" s="21" t="str">
        <x:f>IF(AND(MIN(D427:F427)&gt;=0,MAX(D427:F427)&lt;=7,MAX(D427,1)+MAX(E427,1)+MAX(F427,1)&lt;=9,OR(H427="-",AND(H427=0,D427&gt;0),AND(H427=1,E427&gt;0),AND(H427=2,F427&gt;0)),OR(I427=0,AND(I427=1,OR(J427=0,J427=1,J427=2),R427&lt;&gt;"000")),Y427&lt;=9,MIN(T427:V427)&gt;=0),"合法","输入违约")</x:f>
        <x:v>合法</x:v>
      </x:c>
    </x:row>
    <x:row r="428" ht="23" customHeight="1">
      <x:c r="A428" s="3" t="str">
        <x:v>CT-0421</x:v>
      </x:c>
      <x:c r="B428" s="3" t="str">
        <x:v>ST-126</x:v>
      </x:c>
      <x:c r="C428" s="3" t="str">
        <x:v>无AR/R</x:v>
      </x:c>
      <x:c r="D428" s="25" t="n">
        <x:v>0</x:v>
      </x:c>
      <x:c r="E428" s="25" t="n">
        <x:v>6</x:v>
      </x:c>
      <x:c r="F428" s="25" t="n">
        <x:v>2</x:v>
      </x:c>
      <x:c r="G428" s="19" t="n">
        <x:f>SUM(D428:F428)</x:f>
        <x:v>8</x:v>
      </x:c>
      <x:c r="H428" s="25" t="str">
        <x:v>-</x:v>
      </x:c>
      <x:c r="I428" s="25" t="n">
        <x:v>0</x:v>
      </x:c>
      <x:c r="J428" s="25" t="str">
        <x:v>-</x:v>
      </x:c>
      <x:c r="K428" s="19" t="n">
        <x:f>D428-IF(H428=0,1,0)</x:f>
        <x:v>0</x:v>
      </x:c>
      <x:c r="L428" s="19" t="n">
        <x:f>E428-IF(H428=1,1,0)</x:f>
        <x:v>6</x:v>
      </x:c>
      <x:c r="M428" s="19" t="n">
        <x:f>F428-IF(H428=2,1,0)</x:f>
        <x:v>2</x:v>
      </x:c>
      <x:c r="N428" s="19" t="n">
        <x:f>MAX(K428-1,0)+MAX(L428-1,0)+MAX(M428-1,0)</x:f>
        <x:v>6</x:v>
      </x:c>
      <x:c r="O428" s="19" t="n">
        <x:f>IF(AND(SUM(K428:M428)&lt;9,OR(M428=0,N428&lt;6)),1,0)</x:f>
        <x:v>0</x:v>
      </x:c>
      <x:c r="P428" s="19" t="n">
        <x:f>IF(AND(SUM(K428:M428)&lt;9,OR(L428=0,N428&lt;6)),1,0)</x:f>
        <x:v>0</x:v>
      </x:c>
      <x:c r="Q428" s="19" t="n">
        <x:f>IF(AND(SUM(K428:M428)&lt;9,OR(K428=0,N428&lt;6)),1,0)</x:f>
        <x:v>1</x:v>
      </x:c>
      <x:c r="R428" s="22" t="str">
        <x:f>O428&amp;P428&amp;Q428</x:f>
        <x:v>001</x:v>
      </x:c>
      <x:c r="S428" s="19" t="n">
        <x:f>IF(I428=1,IF(J428=0,Q428,IF(J428=1,P428,IF(J428=2,O428,0))),0)</x:f>
        <x:v>0</x:v>
      </x:c>
      <x:c r="T428" s="19" t="n">
        <x:f>K428+IF(AND(S428=1,J428=0),1,0)</x:f>
        <x:v>0</x:v>
      </x:c>
      <x:c r="U428" s="19" t="n">
        <x:f>L428+IF(AND(S428=1,J428=1),1,0)</x:f>
        <x:v>6</x:v>
      </x:c>
      <x:c r="V428" s="19" t="n">
        <x:f>M428+IF(AND(S428=1,J428=2),1,0)</x:f>
        <x:v>2</x:v>
      </x:c>
      <x:c r="W428" s="19" t="n">
        <x:f>SUM(T428:V428)</x:f>
        <x:v>8</x:v>
      </x:c>
      <x:c r="X428" s="19" t="n">
        <x:f>W428-G428</x:f>
        <x:v>0</x:v>
      </x:c>
      <x:c r="Y428" s="19" t="n">
        <x:f>MAX(T428,1)+MAX(U428,1)+MAX(V428,1)</x:f>
        <x:v>9</x:v>
      </x:c>
      <x:c r="Z428" s="21" t="str">
        <x:f>IF(AND(MIN(D428:F428)&gt;=0,MAX(D428:F428)&lt;=7,MAX(D428,1)+MAX(E428,1)+MAX(F428,1)&lt;=9,OR(H428="-",AND(H428=0,D428&gt;0),AND(H428=1,E428&gt;0),AND(H428=2,F428&gt;0)),OR(I428=0,AND(I428=1,OR(J428=0,J428=1,J428=2),R428&lt;&gt;"000")),Y428&lt;=9,MIN(T428:V428)&gt;=0),"合法","输入违约")</x:f>
        <x:v>合法</x:v>
      </x:c>
    </x:row>
    <x:row r="429" ht="23" customHeight="1">
      <x:c r="A429" s="3" t="str">
        <x:v>CT-0422</x:v>
      </x:c>
      <x:c r="B429" s="3" t="str">
        <x:v>ST-126</x:v>
      </x:c>
      <x:c r="C429" s="3" t="str">
        <x:v>仅AR接收</x:v>
      </x:c>
      <x:c r="D429" s="25" t="n">
        <x:v>0</x:v>
      </x:c>
      <x:c r="E429" s="25" t="n">
        <x:v>6</x:v>
      </x:c>
      <x:c r="F429" s="25" t="n">
        <x:v>2</x:v>
      </x:c>
      <x:c r="G429" s="19" t="n">
        <x:f>SUM(D429:F429)</x:f>
        <x:v>8</x:v>
      </x:c>
      <x:c r="H429" s="25" t="str">
        <x:v>-</x:v>
      </x:c>
      <x:c r="I429" s="25" t="n">
        <x:v>1</x:v>
      </x:c>
      <x:c r="J429" s="25" t="n">
        <x:v>0</x:v>
      </x:c>
      <x:c r="K429" s="19" t="n">
        <x:f>D429-IF(H429=0,1,0)</x:f>
        <x:v>0</x:v>
      </x:c>
      <x:c r="L429" s="19" t="n">
        <x:f>E429-IF(H429=1,1,0)</x:f>
        <x:v>6</x:v>
      </x:c>
      <x:c r="M429" s="19" t="n">
        <x:f>F429-IF(H429=2,1,0)</x:f>
        <x:v>2</x:v>
      </x:c>
      <x:c r="N429" s="19" t="n">
        <x:f>MAX(K429-1,0)+MAX(L429-1,0)+MAX(M429-1,0)</x:f>
        <x:v>6</x:v>
      </x:c>
      <x:c r="O429" s="19" t="n">
        <x:f>IF(AND(SUM(K429:M429)&lt;9,OR(M429=0,N429&lt;6)),1,0)</x:f>
        <x:v>0</x:v>
      </x:c>
      <x:c r="P429" s="19" t="n">
        <x:f>IF(AND(SUM(K429:M429)&lt;9,OR(L429=0,N429&lt;6)),1,0)</x:f>
        <x:v>0</x:v>
      </x:c>
      <x:c r="Q429" s="19" t="n">
        <x:f>IF(AND(SUM(K429:M429)&lt;9,OR(K429=0,N429&lt;6)),1,0)</x:f>
        <x:v>1</x:v>
      </x:c>
      <x:c r="R429" s="22" t="str">
        <x:f>O429&amp;P429&amp;Q429</x:f>
        <x:v>001</x:v>
      </x:c>
      <x:c r="S429" s="19" t="n">
        <x:f>IF(I429=1,IF(J429=0,Q429,IF(J429=1,P429,IF(J429=2,O429,0))),0)</x:f>
        <x:v>1</x:v>
      </x:c>
      <x:c r="T429" s="19" t="n">
        <x:f>K429+IF(AND(S429=1,J429=0),1,0)</x:f>
        <x:v>1</x:v>
      </x:c>
      <x:c r="U429" s="19" t="n">
        <x:f>L429+IF(AND(S429=1,J429=1),1,0)</x:f>
        <x:v>6</x:v>
      </x:c>
      <x:c r="V429" s="19" t="n">
        <x:f>M429+IF(AND(S429=1,J429=2),1,0)</x:f>
        <x:v>2</x:v>
      </x:c>
      <x:c r="W429" s="19" t="n">
        <x:f>SUM(T429:V429)</x:f>
        <x:v>9</x:v>
      </x:c>
      <x:c r="X429" s="19" t="n">
        <x:f>W429-G429</x:f>
        <x:v>1</x:v>
      </x:c>
      <x:c r="Y429" s="19" t="n">
        <x:f>MAX(T429,1)+MAX(U429,1)+MAX(V429,1)</x:f>
        <x:v>9</x:v>
      </x:c>
      <x:c r="Z429" s="21" t="str">
        <x:f>IF(AND(MIN(D429:F429)&gt;=0,MAX(D429:F429)&lt;=7,MAX(D429,1)+MAX(E429,1)+MAX(F429,1)&lt;=9,OR(H429="-",AND(H429=0,D429&gt;0),AND(H429=1,E429&gt;0),AND(H429=2,F429&gt;0)),OR(I429=0,AND(I429=1,OR(J429=0,J429=1,J429=2),R429&lt;&gt;"000")),Y429&lt;=9,MIN(T429:V429)&gt;=0),"合法","输入违约")</x:f>
        <x:v>合法</x:v>
      </x:c>
    </x:row>
    <x:row r="430" ht="23" customHeight="1">
      <x:c r="A430" s="3" t="str">
        <x:v>CT-0423</x:v>
      </x:c>
      <x:c r="B430" s="3" t="str">
        <x:v>ST-126</x:v>
      </x:c>
      <x:c r="C430" s="3" t="str">
        <x:v>所选源被阻塞</x:v>
      </x:c>
      <x:c r="D430" s="25" t="n">
        <x:v>0</x:v>
      </x:c>
      <x:c r="E430" s="25" t="n">
        <x:v>6</x:v>
      </x:c>
      <x:c r="F430" s="25" t="n">
        <x:v>2</x:v>
      </x:c>
      <x:c r="G430" s="19" t="n">
        <x:f>SUM(D430:F430)</x:f>
        <x:v>8</x:v>
      </x:c>
      <x:c r="H430" s="25" t="str">
        <x:v>-</x:v>
      </x:c>
      <x:c r="I430" s="25" t="n">
        <x:v>1</x:v>
      </x:c>
      <x:c r="J430" s="25" t="n">
        <x:v>1</x:v>
      </x:c>
      <x:c r="K430" s="19" t="n">
        <x:f>D430-IF(H430=0,1,0)</x:f>
        <x:v>0</x:v>
      </x:c>
      <x:c r="L430" s="19" t="n">
        <x:f>E430-IF(H430=1,1,0)</x:f>
        <x:v>6</x:v>
      </x:c>
      <x:c r="M430" s="19" t="n">
        <x:f>F430-IF(H430=2,1,0)</x:f>
        <x:v>2</x:v>
      </x:c>
      <x:c r="N430" s="19" t="n">
        <x:f>MAX(K430-1,0)+MAX(L430-1,0)+MAX(M430-1,0)</x:f>
        <x:v>6</x:v>
      </x:c>
      <x:c r="O430" s="19" t="n">
        <x:f>IF(AND(SUM(K430:M430)&lt;9,OR(M430=0,N430&lt;6)),1,0)</x:f>
        <x:v>0</x:v>
      </x:c>
      <x:c r="P430" s="19" t="n">
        <x:f>IF(AND(SUM(K430:M430)&lt;9,OR(L430=0,N430&lt;6)),1,0)</x:f>
        <x:v>0</x:v>
      </x:c>
      <x:c r="Q430" s="19" t="n">
        <x:f>IF(AND(SUM(K430:M430)&lt;9,OR(K430=0,N430&lt;6)),1,0)</x:f>
        <x:v>1</x:v>
      </x:c>
      <x:c r="R430" s="22" t="str">
        <x:f>O430&amp;P430&amp;Q430</x:f>
        <x:v>001</x:v>
      </x:c>
      <x:c r="S430" s="19" t="n">
        <x:f>IF(I430=1,IF(J430=0,Q430,IF(J430=1,P430,IF(J430=2,O430,0))),0)</x:f>
        <x:v>0</x:v>
      </x:c>
      <x:c r="T430" s="19" t="n">
        <x:f>K430+IF(AND(S430=1,J430=0),1,0)</x:f>
        <x:v>0</x:v>
      </x:c>
      <x:c r="U430" s="19" t="n">
        <x:f>L430+IF(AND(S430=1,J430=1),1,0)</x:f>
        <x:v>6</x:v>
      </x:c>
      <x:c r="V430" s="19" t="n">
        <x:f>M430+IF(AND(S430=1,J430=2),1,0)</x:f>
        <x:v>2</x:v>
      </x:c>
      <x:c r="W430" s="19" t="n">
        <x:f>SUM(T430:V430)</x:f>
        <x:v>8</x:v>
      </x:c>
      <x:c r="X430" s="19" t="n">
        <x:f>W430-G430</x:f>
        <x:v>0</x:v>
      </x:c>
      <x:c r="Y430" s="19" t="n">
        <x:f>MAX(T430,1)+MAX(U430,1)+MAX(V430,1)</x:f>
        <x:v>9</x:v>
      </x:c>
      <x:c r="Z430" s="21" t="str">
        <x:f>IF(AND(MIN(D430:F430)&gt;=0,MAX(D430:F430)&lt;=7,MAX(D430,1)+MAX(E430,1)+MAX(F430,1)&lt;=9,OR(H430="-",AND(H430=0,D430&gt;0),AND(H430=1,E430&gt;0),AND(H430=2,F430&gt;0)),OR(I430=0,AND(I430=1,OR(J430=0,J430=1,J430=2),R430&lt;&gt;"000")),Y430&lt;=9,MIN(T430:V430)&gt;=0),"合法","输入违约")</x:f>
        <x:v>合法</x:v>
      </x:c>
    </x:row>
    <x:row r="431" ht="23" customHeight="1">
      <x:c r="A431" s="3" t="str">
        <x:v>CT-0424</x:v>
      </x:c>
      <x:c r="B431" s="3" t="str">
        <x:v>ST-126</x:v>
      </x:c>
      <x:c r="C431" s="3" t="str">
        <x:v>所选源被阻塞</x:v>
      </x:c>
      <x:c r="D431" s="25" t="n">
        <x:v>0</x:v>
      </x:c>
      <x:c r="E431" s="25" t="n">
        <x:v>6</x:v>
      </x:c>
      <x:c r="F431" s="25" t="n">
        <x:v>2</x:v>
      </x:c>
      <x:c r="G431" s="19" t="n">
        <x:f>SUM(D431:F431)</x:f>
        <x:v>8</x:v>
      </x:c>
      <x:c r="H431" s="25" t="str">
        <x:v>-</x:v>
      </x:c>
      <x:c r="I431" s="25" t="n">
        <x:v>1</x:v>
      </x:c>
      <x:c r="J431" s="25" t="n">
        <x:v>2</x:v>
      </x:c>
      <x:c r="K431" s="19" t="n">
        <x:f>D431-IF(H431=0,1,0)</x:f>
        <x:v>0</x:v>
      </x:c>
      <x:c r="L431" s="19" t="n">
        <x:f>E431-IF(H431=1,1,0)</x:f>
        <x:v>6</x:v>
      </x:c>
      <x:c r="M431" s="19" t="n">
        <x:f>F431-IF(H431=2,1,0)</x:f>
        <x:v>2</x:v>
      </x:c>
      <x:c r="N431" s="19" t="n">
        <x:f>MAX(K431-1,0)+MAX(L431-1,0)+MAX(M431-1,0)</x:f>
        <x:v>6</x:v>
      </x:c>
      <x:c r="O431" s="19" t="n">
        <x:f>IF(AND(SUM(K431:M431)&lt;9,OR(M431=0,N431&lt;6)),1,0)</x:f>
        <x:v>0</x:v>
      </x:c>
      <x:c r="P431" s="19" t="n">
        <x:f>IF(AND(SUM(K431:M431)&lt;9,OR(L431=0,N431&lt;6)),1,0)</x:f>
        <x:v>0</x:v>
      </x:c>
      <x:c r="Q431" s="19" t="n">
        <x:f>IF(AND(SUM(K431:M431)&lt;9,OR(K431=0,N431&lt;6)),1,0)</x:f>
        <x:v>1</x:v>
      </x:c>
      <x:c r="R431" s="22" t="str">
        <x:f>O431&amp;P431&amp;Q431</x:f>
        <x:v>001</x:v>
      </x:c>
      <x:c r="S431" s="19" t="n">
        <x:f>IF(I431=1,IF(J431=0,Q431,IF(J431=1,P431,IF(J431=2,O431,0))),0)</x:f>
        <x:v>0</x:v>
      </x:c>
      <x:c r="T431" s="19" t="n">
        <x:f>K431+IF(AND(S431=1,J431=0),1,0)</x:f>
        <x:v>0</x:v>
      </x:c>
      <x:c r="U431" s="19" t="n">
        <x:f>L431+IF(AND(S431=1,J431=1),1,0)</x:f>
        <x:v>6</x:v>
      </x:c>
      <x:c r="V431" s="19" t="n">
        <x:f>M431+IF(AND(S431=1,J431=2),1,0)</x:f>
        <x:v>2</x:v>
      </x:c>
      <x:c r="W431" s="19" t="n">
        <x:f>SUM(T431:V431)</x:f>
        <x:v>8</x:v>
      </x:c>
      <x:c r="X431" s="19" t="n">
        <x:f>W431-G431</x:f>
        <x:v>0</x:v>
      </x:c>
      <x:c r="Y431" s="19" t="n">
        <x:f>MAX(T431,1)+MAX(U431,1)+MAX(V431,1)</x:f>
        <x:v>9</x:v>
      </x:c>
      <x:c r="Z431" s="21" t="str">
        <x:f>IF(AND(MIN(D431:F431)&gt;=0,MAX(D431:F431)&lt;=7,MAX(D431,1)+MAX(E431,1)+MAX(F431,1)&lt;=9,OR(H431="-",AND(H431=0,D431&gt;0),AND(H431=1,E431&gt;0),AND(H431=2,F431&gt;0)),OR(I431=0,AND(I431=1,OR(J431=0,J431=1,J431=2),R431&lt;&gt;"000")),Y431&lt;=9,MIN(T431:V431)&gt;=0),"合法","输入违约")</x:f>
        <x:v>合法</x:v>
      </x:c>
    </x:row>
    <x:row r="432" ht="23" customHeight="1">
      <x:c r="A432" s="3" t="str">
        <x:v>CT-0425</x:v>
      </x:c>
      <x:c r="B432" s="3" t="str">
        <x:v>ST-126</x:v>
      </x:c>
      <x:c r="C432" s="3" t="str">
        <x:v>仅R回收</x:v>
      </x:c>
      <x:c r="D432" s="25" t="n">
        <x:v>0</x:v>
      </x:c>
      <x:c r="E432" s="25" t="n">
        <x:v>6</x:v>
      </x:c>
      <x:c r="F432" s="25" t="n">
        <x:v>2</x:v>
      </x:c>
      <x:c r="G432" s="19" t="n">
        <x:f>SUM(D432:F432)</x:f>
        <x:v>8</x:v>
      </x:c>
      <x:c r="H432" s="25" t="n">
        <x:v>1</x:v>
      </x:c>
      <x:c r="I432" s="25" t="n">
        <x:v>0</x:v>
      </x:c>
      <x:c r="J432" s="25" t="str">
        <x:v>-</x:v>
      </x:c>
      <x:c r="K432" s="19" t="n">
        <x:f>D432-IF(H432=0,1,0)</x:f>
        <x:v>0</x:v>
      </x:c>
      <x:c r="L432" s="19" t="n">
        <x:f>E432-IF(H432=1,1,0)</x:f>
        <x:v>5</x:v>
      </x:c>
      <x:c r="M432" s="19" t="n">
        <x:f>F432-IF(H432=2,1,0)</x:f>
        <x:v>2</x:v>
      </x:c>
      <x:c r="N432" s="19" t="n">
        <x:f>MAX(K432-1,0)+MAX(L432-1,0)+MAX(M432-1,0)</x:f>
        <x:v>5</x:v>
      </x:c>
      <x:c r="O432" s="19" t="n">
        <x:f>IF(AND(SUM(K432:M432)&lt;9,OR(M432=0,N432&lt;6)),1,0)</x:f>
        <x:v>1</x:v>
      </x:c>
      <x:c r="P432" s="19" t="n">
        <x:f>IF(AND(SUM(K432:M432)&lt;9,OR(L432=0,N432&lt;6)),1,0)</x:f>
        <x:v>1</x:v>
      </x:c>
      <x:c r="Q432" s="19" t="n">
        <x:f>IF(AND(SUM(K432:M432)&lt;9,OR(K432=0,N432&lt;6)),1,0)</x:f>
        <x:v>1</x:v>
      </x:c>
      <x:c r="R432" s="22" t="str">
        <x:f>O432&amp;P432&amp;Q432</x:f>
        <x:v>111</x:v>
      </x:c>
      <x:c r="S432" s="19" t="n">
        <x:f>IF(I432=1,IF(J432=0,Q432,IF(J432=1,P432,IF(J432=2,O432,0))),0)</x:f>
        <x:v>0</x:v>
      </x:c>
      <x:c r="T432" s="19" t="n">
        <x:f>K432+IF(AND(S432=1,J432=0),1,0)</x:f>
        <x:v>0</x:v>
      </x:c>
      <x:c r="U432" s="19" t="n">
        <x:f>L432+IF(AND(S432=1,J432=1),1,0)</x:f>
        <x:v>5</x:v>
      </x:c>
      <x:c r="V432" s="19" t="n">
        <x:f>M432+IF(AND(S432=1,J432=2),1,0)</x:f>
        <x:v>2</x:v>
      </x:c>
      <x:c r="W432" s="19" t="n">
        <x:f>SUM(T432:V432)</x:f>
        <x:v>7</x:v>
      </x:c>
      <x:c r="X432" s="19" t="n">
        <x:f>W432-G432</x:f>
        <x:v>-1</x:v>
      </x:c>
      <x:c r="Y432" s="19" t="n">
        <x:f>MAX(T432,1)+MAX(U432,1)+MAX(V432,1)</x:f>
        <x:v>8</x:v>
      </x:c>
      <x:c r="Z432" s="21" t="str">
        <x:f>IF(AND(MIN(D432:F432)&gt;=0,MAX(D432:F432)&lt;=7,MAX(D432,1)+MAX(E432,1)+MAX(F432,1)&lt;=9,OR(H432="-",AND(H432=0,D432&gt;0),AND(H432=1,E432&gt;0),AND(H432=2,F432&gt;0)),OR(I432=0,AND(I432=1,OR(J432=0,J432=1,J432=2),R432&lt;&gt;"000")),Y432&lt;=9,MIN(T432:V432)&gt;=0),"合法","输入违约")</x:f>
        <x:v>合法</x:v>
      </x:c>
    </x:row>
    <x:row r="433" ht="23" customHeight="1">
      <x:c r="A433" s="3" t="str">
        <x:v>CT-0426</x:v>
      </x:c>
      <x:c r="B433" s="3" t="str">
        <x:v>ST-126</x:v>
      </x:c>
      <x:c r="C433" s="3" t="str">
        <x:v>R+AR同收同发</x:v>
      </x:c>
      <x:c r="D433" s="25" t="n">
        <x:v>0</x:v>
      </x:c>
      <x:c r="E433" s="25" t="n">
        <x:v>6</x:v>
      </x:c>
      <x:c r="F433" s="25" t="n">
        <x:v>2</x:v>
      </x:c>
      <x:c r="G433" s="19" t="n">
        <x:f>SUM(D433:F433)</x:f>
        <x:v>8</x:v>
      </x:c>
      <x:c r="H433" s="25" t="n">
        <x:v>1</x:v>
      </x:c>
      <x:c r="I433" s="25" t="n">
        <x:v>1</x:v>
      </x:c>
      <x:c r="J433" s="25" t="n">
        <x:v>0</x:v>
      </x:c>
      <x:c r="K433" s="19" t="n">
        <x:f>D433-IF(H433=0,1,0)</x:f>
        <x:v>0</x:v>
      </x:c>
      <x:c r="L433" s="19" t="n">
        <x:f>E433-IF(H433=1,1,0)</x:f>
        <x:v>5</x:v>
      </x:c>
      <x:c r="M433" s="19" t="n">
        <x:f>F433-IF(H433=2,1,0)</x:f>
        <x:v>2</x:v>
      </x:c>
      <x:c r="N433" s="19" t="n">
        <x:f>MAX(K433-1,0)+MAX(L433-1,0)+MAX(M433-1,0)</x:f>
        <x:v>5</x:v>
      </x:c>
      <x:c r="O433" s="19" t="n">
        <x:f>IF(AND(SUM(K433:M433)&lt;9,OR(M433=0,N433&lt;6)),1,0)</x:f>
        <x:v>1</x:v>
      </x:c>
      <x:c r="P433" s="19" t="n">
        <x:f>IF(AND(SUM(K433:M433)&lt;9,OR(L433=0,N433&lt;6)),1,0)</x:f>
        <x:v>1</x:v>
      </x:c>
      <x:c r="Q433" s="19" t="n">
        <x:f>IF(AND(SUM(K433:M433)&lt;9,OR(K433=0,N433&lt;6)),1,0)</x:f>
        <x:v>1</x:v>
      </x:c>
      <x:c r="R433" s="22" t="str">
        <x:f>O433&amp;P433&amp;Q433</x:f>
        <x:v>111</x:v>
      </x:c>
      <x:c r="S433" s="19" t="n">
        <x:f>IF(I433=1,IF(J433=0,Q433,IF(J433=1,P433,IF(J433=2,O433,0))),0)</x:f>
        <x:v>1</x:v>
      </x:c>
      <x:c r="T433" s="19" t="n">
        <x:f>K433+IF(AND(S433=1,J433=0),1,0)</x:f>
        <x:v>1</x:v>
      </x:c>
      <x:c r="U433" s="19" t="n">
        <x:f>L433+IF(AND(S433=1,J433=1),1,0)</x:f>
        <x:v>5</x:v>
      </x:c>
      <x:c r="V433" s="19" t="n">
        <x:f>M433+IF(AND(S433=1,J433=2),1,0)</x:f>
        <x:v>2</x:v>
      </x:c>
      <x:c r="W433" s="19" t="n">
        <x:f>SUM(T433:V433)</x:f>
        <x:v>8</x:v>
      </x:c>
      <x:c r="X433" s="19" t="n">
        <x:f>W433-G433</x:f>
        <x:v>0</x:v>
      </x:c>
      <x:c r="Y433" s="19" t="n">
        <x:f>MAX(T433,1)+MAX(U433,1)+MAX(V433,1)</x:f>
        <x:v>8</x:v>
      </x:c>
      <x:c r="Z433" s="21" t="str">
        <x:f>IF(AND(MIN(D433:F433)&gt;=0,MAX(D433:F433)&lt;=7,MAX(D433,1)+MAX(E433,1)+MAX(F433,1)&lt;=9,OR(H433="-",AND(H433=0,D433&gt;0),AND(H433=1,E433&gt;0),AND(H433=2,F433&gt;0)),OR(I433=0,AND(I433=1,OR(J433=0,J433=1,J433=2),R433&lt;&gt;"000")),Y433&lt;=9,MIN(T433:V433)&gt;=0),"合法","输入违约")</x:f>
        <x:v>合法</x:v>
      </x:c>
    </x:row>
    <x:row r="434" ht="23" customHeight="1">
      <x:c r="A434" s="3" t="str">
        <x:v>CT-0427</x:v>
      </x:c>
      <x:c r="B434" s="3" t="str">
        <x:v>ST-126</x:v>
      </x:c>
      <x:c r="C434" s="3" t="str">
        <x:v>R+AR同收同发</x:v>
      </x:c>
      <x:c r="D434" s="25" t="n">
        <x:v>0</x:v>
      </x:c>
      <x:c r="E434" s="25" t="n">
        <x:v>6</x:v>
      </x:c>
      <x:c r="F434" s="25" t="n">
        <x:v>2</x:v>
      </x:c>
      <x:c r="G434" s="19" t="n">
        <x:f>SUM(D434:F434)</x:f>
        <x:v>8</x:v>
      </x:c>
      <x:c r="H434" s="25" t="n">
        <x:v>1</x:v>
      </x:c>
      <x:c r="I434" s="25" t="n">
        <x:v>1</x:v>
      </x:c>
      <x:c r="J434" s="25" t="n">
        <x:v>1</x:v>
      </x:c>
      <x:c r="K434" s="19" t="n">
        <x:f>D434-IF(H434=0,1,0)</x:f>
        <x:v>0</x:v>
      </x:c>
      <x:c r="L434" s="19" t="n">
        <x:f>E434-IF(H434=1,1,0)</x:f>
        <x:v>5</x:v>
      </x:c>
      <x:c r="M434" s="19" t="n">
        <x:f>F434-IF(H434=2,1,0)</x:f>
        <x:v>2</x:v>
      </x:c>
      <x:c r="N434" s="19" t="n">
        <x:f>MAX(K434-1,0)+MAX(L434-1,0)+MAX(M434-1,0)</x:f>
        <x:v>5</x:v>
      </x:c>
      <x:c r="O434" s="19" t="n">
        <x:f>IF(AND(SUM(K434:M434)&lt;9,OR(M434=0,N434&lt;6)),1,0)</x:f>
        <x:v>1</x:v>
      </x:c>
      <x:c r="P434" s="19" t="n">
        <x:f>IF(AND(SUM(K434:M434)&lt;9,OR(L434=0,N434&lt;6)),1,0)</x:f>
        <x:v>1</x:v>
      </x:c>
      <x:c r="Q434" s="19" t="n">
        <x:f>IF(AND(SUM(K434:M434)&lt;9,OR(K434=0,N434&lt;6)),1,0)</x:f>
        <x:v>1</x:v>
      </x:c>
      <x:c r="R434" s="22" t="str">
        <x:f>O434&amp;P434&amp;Q434</x:f>
        <x:v>111</x:v>
      </x:c>
      <x:c r="S434" s="19" t="n">
        <x:f>IF(I434=1,IF(J434=0,Q434,IF(J434=1,P434,IF(J434=2,O434,0))),0)</x:f>
        <x:v>1</x:v>
      </x:c>
      <x:c r="T434" s="19" t="n">
        <x:f>K434+IF(AND(S434=1,J434=0),1,0)</x:f>
        <x:v>0</x:v>
      </x:c>
      <x:c r="U434" s="19" t="n">
        <x:f>L434+IF(AND(S434=1,J434=1),1,0)</x:f>
        <x:v>6</x:v>
      </x:c>
      <x:c r="V434" s="19" t="n">
        <x:f>M434+IF(AND(S434=1,J434=2),1,0)</x:f>
        <x:v>2</x:v>
      </x:c>
      <x:c r="W434" s="19" t="n">
        <x:f>SUM(T434:V434)</x:f>
        <x:v>8</x:v>
      </x:c>
      <x:c r="X434" s="19" t="n">
        <x:f>W434-G434</x:f>
        <x:v>0</x:v>
      </x:c>
      <x:c r="Y434" s="19" t="n">
        <x:f>MAX(T434,1)+MAX(U434,1)+MAX(V434,1)</x:f>
        <x:v>9</x:v>
      </x:c>
      <x:c r="Z434" s="21" t="str">
        <x:f>IF(AND(MIN(D434:F434)&gt;=0,MAX(D434:F434)&lt;=7,MAX(D434,1)+MAX(E434,1)+MAX(F434,1)&lt;=9,OR(H434="-",AND(H434=0,D434&gt;0),AND(H434=1,E434&gt;0),AND(H434=2,F434&gt;0)),OR(I434=0,AND(I434=1,OR(J434=0,J434=1,J434=2),R434&lt;&gt;"000")),Y434&lt;=9,MIN(T434:V434)&gt;=0),"合法","输入违约")</x:f>
        <x:v>合法</x:v>
      </x:c>
    </x:row>
    <x:row r="435" ht="23" customHeight="1">
      <x:c r="A435" s="3" t="str">
        <x:v>CT-0428</x:v>
      </x:c>
      <x:c r="B435" s="3" t="str">
        <x:v>ST-126</x:v>
      </x:c>
      <x:c r="C435" s="3" t="str">
        <x:v>R+AR同收同发</x:v>
      </x:c>
      <x:c r="D435" s="25" t="n">
        <x:v>0</x:v>
      </x:c>
      <x:c r="E435" s="25" t="n">
        <x:v>6</x:v>
      </x:c>
      <x:c r="F435" s="25" t="n">
        <x:v>2</x:v>
      </x:c>
      <x:c r="G435" s="19" t="n">
        <x:f>SUM(D435:F435)</x:f>
        <x:v>8</x:v>
      </x:c>
      <x:c r="H435" s="25" t="n">
        <x:v>1</x:v>
      </x:c>
      <x:c r="I435" s="25" t="n">
        <x:v>1</x:v>
      </x:c>
      <x:c r="J435" s="25" t="n">
        <x:v>2</x:v>
      </x:c>
      <x:c r="K435" s="19" t="n">
        <x:f>D435-IF(H435=0,1,0)</x:f>
        <x:v>0</x:v>
      </x:c>
      <x:c r="L435" s="19" t="n">
        <x:f>E435-IF(H435=1,1,0)</x:f>
        <x:v>5</x:v>
      </x:c>
      <x:c r="M435" s="19" t="n">
        <x:f>F435-IF(H435=2,1,0)</x:f>
        <x:v>2</x:v>
      </x:c>
      <x:c r="N435" s="19" t="n">
        <x:f>MAX(K435-1,0)+MAX(L435-1,0)+MAX(M435-1,0)</x:f>
        <x:v>5</x:v>
      </x:c>
      <x:c r="O435" s="19" t="n">
        <x:f>IF(AND(SUM(K435:M435)&lt;9,OR(M435=0,N435&lt;6)),1,0)</x:f>
        <x:v>1</x:v>
      </x:c>
      <x:c r="P435" s="19" t="n">
        <x:f>IF(AND(SUM(K435:M435)&lt;9,OR(L435=0,N435&lt;6)),1,0)</x:f>
        <x:v>1</x:v>
      </x:c>
      <x:c r="Q435" s="19" t="n">
        <x:f>IF(AND(SUM(K435:M435)&lt;9,OR(K435=0,N435&lt;6)),1,0)</x:f>
        <x:v>1</x:v>
      </x:c>
      <x:c r="R435" s="22" t="str">
        <x:f>O435&amp;P435&amp;Q435</x:f>
        <x:v>111</x:v>
      </x:c>
      <x:c r="S435" s="19" t="n">
        <x:f>IF(I435=1,IF(J435=0,Q435,IF(J435=1,P435,IF(J435=2,O435,0))),0)</x:f>
        <x:v>1</x:v>
      </x:c>
      <x:c r="T435" s="19" t="n">
        <x:f>K435+IF(AND(S435=1,J435=0),1,0)</x:f>
        <x:v>0</x:v>
      </x:c>
      <x:c r="U435" s="19" t="n">
        <x:f>L435+IF(AND(S435=1,J435=1),1,0)</x:f>
        <x:v>5</x:v>
      </x:c>
      <x:c r="V435" s="19" t="n">
        <x:f>M435+IF(AND(S435=1,J435=2),1,0)</x:f>
        <x:v>3</x:v>
      </x:c>
      <x:c r="W435" s="19" t="n">
        <x:f>SUM(T435:V435)</x:f>
        <x:v>8</x:v>
      </x:c>
      <x:c r="X435" s="19" t="n">
        <x:f>W435-G435</x:f>
        <x:v>0</x:v>
      </x:c>
      <x:c r="Y435" s="19" t="n">
        <x:f>MAX(T435,1)+MAX(U435,1)+MAX(V435,1)</x:f>
        <x:v>9</x:v>
      </x:c>
      <x:c r="Z435" s="21" t="str">
        <x:f>IF(AND(MIN(D435:F435)&gt;=0,MAX(D435:F435)&lt;=7,MAX(D435,1)+MAX(E435,1)+MAX(F435,1)&lt;=9,OR(H435="-",AND(H435=0,D435&gt;0),AND(H435=1,E435&gt;0),AND(H435=2,F435&gt;0)),OR(I435=0,AND(I435=1,OR(J435=0,J435=1,J435=2),R435&lt;&gt;"000")),Y435&lt;=9,MIN(T435:V435)&gt;=0),"合法","输入违约")</x:f>
        <x:v>合法</x:v>
      </x:c>
    </x:row>
    <x:row r="436" ht="23" customHeight="1">
      <x:c r="A436" s="3" t="str">
        <x:v>CT-0429</x:v>
      </x:c>
      <x:c r="B436" s="3" t="str">
        <x:v>ST-126</x:v>
      </x:c>
      <x:c r="C436" s="3" t="str">
        <x:v>仅R回收</x:v>
      </x:c>
      <x:c r="D436" s="25" t="n">
        <x:v>0</x:v>
      </x:c>
      <x:c r="E436" s="25" t="n">
        <x:v>6</x:v>
      </x:c>
      <x:c r="F436" s="25" t="n">
        <x:v>2</x:v>
      </x:c>
      <x:c r="G436" s="19" t="n">
        <x:f>SUM(D436:F436)</x:f>
        <x:v>8</x:v>
      </x:c>
      <x:c r="H436" s="25" t="n">
        <x:v>2</x:v>
      </x:c>
      <x:c r="I436" s="25" t="n">
        <x:v>0</x:v>
      </x:c>
      <x:c r="J436" s="25" t="str">
        <x:v>-</x:v>
      </x:c>
      <x:c r="K436" s="19" t="n">
        <x:f>D436-IF(H436=0,1,0)</x:f>
        <x:v>0</x:v>
      </x:c>
      <x:c r="L436" s="19" t="n">
        <x:f>E436-IF(H436=1,1,0)</x:f>
        <x:v>6</x:v>
      </x:c>
      <x:c r="M436" s="19" t="n">
        <x:f>F436-IF(H436=2,1,0)</x:f>
        <x:v>1</x:v>
      </x:c>
      <x:c r="N436" s="19" t="n">
        <x:f>MAX(K436-1,0)+MAX(L436-1,0)+MAX(M436-1,0)</x:f>
        <x:v>5</x:v>
      </x:c>
      <x:c r="O436" s="19" t="n">
        <x:f>IF(AND(SUM(K436:M436)&lt;9,OR(M436=0,N436&lt;6)),1,0)</x:f>
        <x:v>1</x:v>
      </x:c>
      <x:c r="P436" s="19" t="n">
        <x:f>IF(AND(SUM(K436:M436)&lt;9,OR(L436=0,N436&lt;6)),1,0)</x:f>
        <x:v>1</x:v>
      </x:c>
      <x:c r="Q436" s="19" t="n">
        <x:f>IF(AND(SUM(K436:M436)&lt;9,OR(K436=0,N436&lt;6)),1,0)</x:f>
        <x:v>1</x:v>
      </x:c>
      <x:c r="R436" s="22" t="str">
        <x:f>O436&amp;P436&amp;Q436</x:f>
        <x:v>111</x:v>
      </x:c>
      <x:c r="S436" s="19" t="n">
        <x:f>IF(I436=1,IF(J436=0,Q436,IF(J436=1,P436,IF(J436=2,O436,0))),0)</x:f>
        <x:v>0</x:v>
      </x:c>
      <x:c r="T436" s="19" t="n">
        <x:f>K436+IF(AND(S436=1,J436=0),1,0)</x:f>
        <x:v>0</x:v>
      </x:c>
      <x:c r="U436" s="19" t="n">
        <x:f>L436+IF(AND(S436=1,J436=1),1,0)</x:f>
        <x:v>6</x:v>
      </x:c>
      <x:c r="V436" s="19" t="n">
        <x:f>M436+IF(AND(S436=1,J436=2),1,0)</x:f>
        <x:v>1</x:v>
      </x:c>
      <x:c r="W436" s="19" t="n">
        <x:f>SUM(T436:V436)</x:f>
        <x:v>7</x:v>
      </x:c>
      <x:c r="X436" s="19" t="n">
        <x:f>W436-G436</x:f>
        <x:v>-1</x:v>
      </x:c>
      <x:c r="Y436" s="19" t="n">
        <x:f>MAX(T436,1)+MAX(U436,1)+MAX(V436,1)</x:f>
        <x:v>8</x:v>
      </x:c>
      <x:c r="Z436" s="21" t="str">
        <x:f>IF(AND(MIN(D436:F436)&gt;=0,MAX(D436:F436)&lt;=7,MAX(D436,1)+MAX(E436,1)+MAX(F436,1)&lt;=9,OR(H436="-",AND(H436=0,D436&gt;0),AND(H436=1,E436&gt;0),AND(H436=2,F436&gt;0)),OR(I436=0,AND(I436=1,OR(J436=0,J436=1,J436=2),R436&lt;&gt;"000")),Y436&lt;=9,MIN(T436:V436)&gt;=0),"合法","输入违约")</x:f>
        <x:v>合法</x:v>
      </x:c>
    </x:row>
    <x:row r="437" ht="23" customHeight="1">
      <x:c r="A437" s="3" t="str">
        <x:v>CT-0430</x:v>
      </x:c>
      <x:c r="B437" s="3" t="str">
        <x:v>ST-126</x:v>
      </x:c>
      <x:c r="C437" s="3" t="str">
        <x:v>R+AR同收同发</x:v>
      </x:c>
      <x:c r="D437" s="25" t="n">
        <x:v>0</x:v>
      </x:c>
      <x:c r="E437" s="25" t="n">
        <x:v>6</x:v>
      </x:c>
      <x:c r="F437" s="25" t="n">
        <x:v>2</x:v>
      </x:c>
      <x:c r="G437" s="19" t="n">
        <x:f>SUM(D437:F437)</x:f>
        <x:v>8</x:v>
      </x:c>
      <x:c r="H437" s="25" t="n">
        <x:v>2</x:v>
      </x:c>
      <x:c r="I437" s="25" t="n">
        <x:v>1</x:v>
      </x:c>
      <x:c r="J437" s="25" t="n">
        <x:v>0</x:v>
      </x:c>
      <x:c r="K437" s="19" t="n">
        <x:f>D437-IF(H437=0,1,0)</x:f>
        <x:v>0</x:v>
      </x:c>
      <x:c r="L437" s="19" t="n">
        <x:f>E437-IF(H437=1,1,0)</x:f>
        <x:v>6</x:v>
      </x:c>
      <x:c r="M437" s="19" t="n">
        <x:f>F437-IF(H437=2,1,0)</x:f>
        <x:v>1</x:v>
      </x:c>
      <x:c r="N437" s="19" t="n">
        <x:f>MAX(K437-1,0)+MAX(L437-1,0)+MAX(M437-1,0)</x:f>
        <x:v>5</x:v>
      </x:c>
      <x:c r="O437" s="19" t="n">
        <x:f>IF(AND(SUM(K437:M437)&lt;9,OR(M437=0,N437&lt;6)),1,0)</x:f>
        <x:v>1</x:v>
      </x:c>
      <x:c r="P437" s="19" t="n">
        <x:f>IF(AND(SUM(K437:M437)&lt;9,OR(L437=0,N437&lt;6)),1,0)</x:f>
        <x:v>1</x:v>
      </x:c>
      <x:c r="Q437" s="19" t="n">
        <x:f>IF(AND(SUM(K437:M437)&lt;9,OR(K437=0,N437&lt;6)),1,0)</x:f>
        <x:v>1</x:v>
      </x:c>
      <x:c r="R437" s="22" t="str">
        <x:f>O437&amp;P437&amp;Q437</x:f>
        <x:v>111</x:v>
      </x:c>
      <x:c r="S437" s="19" t="n">
        <x:f>IF(I437=1,IF(J437=0,Q437,IF(J437=1,P437,IF(J437=2,O437,0))),0)</x:f>
        <x:v>1</x:v>
      </x:c>
      <x:c r="T437" s="19" t="n">
        <x:f>K437+IF(AND(S437=1,J437=0),1,0)</x:f>
        <x:v>1</x:v>
      </x:c>
      <x:c r="U437" s="19" t="n">
        <x:f>L437+IF(AND(S437=1,J437=1),1,0)</x:f>
        <x:v>6</x:v>
      </x:c>
      <x:c r="V437" s="19" t="n">
        <x:f>M437+IF(AND(S437=1,J437=2),1,0)</x:f>
        <x:v>1</x:v>
      </x:c>
      <x:c r="W437" s="19" t="n">
        <x:f>SUM(T437:V437)</x:f>
        <x:v>8</x:v>
      </x:c>
      <x:c r="X437" s="19" t="n">
        <x:f>W437-G437</x:f>
        <x:v>0</x:v>
      </x:c>
      <x:c r="Y437" s="19" t="n">
        <x:f>MAX(T437,1)+MAX(U437,1)+MAX(V437,1)</x:f>
        <x:v>8</x:v>
      </x:c>
      <x:c r="Z437" s="21" t="str">
        <x:f>IF(AND(MIN(D437:F437)&gt;=0,MAX(D437:F437)&lt;=7,MAX(D437,1)+MAX(E437,1)+MAX(F437,1)&lt;=9,OR(H437="-",AND(H437=0,D437&gt;0),AND(H437=1,E437&gt;0),AND(H437=2,F437&gt;0)),OR(I437=0,AND(I437=1,OR(J437=0,J437=1,J437=2),R437&lt;&gt;"000")),Y437&lt;=9,MIN(T437:V437)&gt;=0),"合法","输入违约")</x:f>
        <x:v>合法</x:v>
      </x:c>
    </x:row>
    <x:row r="438" ht="23" customHeight="1">
      <x:c r="A438" s="3" t="str">
        <x:v>CT-0431</x:v>
      </x:c>
      <x:c r="B438" s="3" t="str">
        <x:v>ST-126</x:v>
      </x:c>
      <x:c r="C438" s="3" t="str">
        <x:v>R+AR同收同发</x:v>
      </x:c>
      <x:c r="D438" s="25" t="n">
        <x:v>0</x:v>
      </x:c>
      <x:c r="E438" s="25" t="n">
        <x:v>6</x:v>
      </x:c>
      <x:c r="F438" s="25" t="n">
        <x:v>2</x:v>
      </x:c>
      <x:c r="G438" s="19" t="n">
        <x:f>SUM(D438:F438)</x:f>
        <x:v>8</x:v>
      </x:c>
      <x:c r="H438" s="25" t="n">
        <x:v>2</x:v>
      </x:c>
      <x:c r="I438" s="25" t="n">
        <x:v>1</x:v>
      </x:c>
      <x:c r="J438" s="25" t="n">
        <x:v>1</x:v>
      </x:c>
      <x:c r="K438" s="19" t="n">
        <x:f>D438-IF(H438=0,1,0)</x:f>
        <x:v>0</x:v>
      </x:c>
      <x:c r="L438" s="19" t="n">
        <x:f>E438-IF(H438=1,1,0)</x:f>
        <x:v>6</x:v>
      </x:c>
      <x:c r="M438" s="19" t="n">
        <x:f>F438-IF(H438=2,1,0)</x:f>
        <x:v>1</x:v>
      </x:c>
      <x:c r="N438" s="19" t="n">
        <x:f>MAX(K438-1,0)+MAX(L438-1,0)+MAX(M438-1,0)</x:f>
        <x:v>5</x:v>
      </x:c>
      <x:c r="O438" s="19" t="n">
        <x:f>IF(AND(SUM(K438:M438)&lt;9,OR(M438=0,N438&lt;6)),1,0)</x:f>
        <x:v>1</x:v>
      </x:c>
      <x:c r="P438" s="19" t="n">
        <x:f>IF(AND(SUM(K438:M438)&lt;9,OR(L438=0,N438&lt;6)),1,0)</x:f>
        <x:v>1</x:v>
      </x:c>
      <x:c r="Q438" s="19" t="n">
        <x:f>IF(AND(SUM(K438:M438)&lt;9,OR(K438=0,N438&lt;6)),1,0)</x:f>
        <x:v>1</x:v>
      </x:c>
      <x:c r="R438" s="22" t="str">
        <x:f>O438&amp;P438&amp;Q438</x:f>
        <x:v>111</x:v>
      </x:c>
      <x:c r="S438" s="19" t="n">
        <x:f>IF(I438=1,IF(J438=0,Q438,IF(J438=1,P438,IF(J438=2,O438,0))),0)</x:f>
        <x:v>1</x:v>
      </x:c>
      <x:c r="T438" s="19" t="n">
        <x:f>K438+IF(AND(S438=1,J438=0),1,0)</x:f>
        <x:v>0</x:v>
      </x:c>
      <x:c r="U438" s="19" t="n">
        <x:f>L438+IF(AND(S438=1,J438=1),1,0)</x:f>
        <x:v>7</x:v>
      </x:c>
      <x:c r="V438" s="19" t="n">
        <x:f>M438+IF(AND(S438=1,J438=2),1,0)</x:f>
        <x:v>1</x:v>
      </x:c>
      <x:c r="W438" s="19" t="n">
        <x:f>SUM(T438:V438)</x:f>
        <x:v>8</x:v>
      </x:c>
      <x:c r="X438" s="19" t="n">
        <x:f>W438-G438</x:f>
        <x:v>0</x:v>
      </x:c>
      <x:c r="Y438" s="19" t="n">
        <x:f>MAX(T438,1)+MAX(U438,1)+MAX(V438,1)</x:f>
        <x:v>9</x:v>
      </x:c>
      <x:c r="Z438" s="21" t="str">
        <x:f>IF(AND(MIN(D438:F438)&gt;=0,MAX(D438:F438)&lt;=7,MAX(D438,1)+MAX(E438,1)+MAX(F438,1)&lt;=9,OR(H438="-",AND(H438=0,D438&gt;0),AND(H438=1,E438&gt;0),AND(H438=2,F438&gt;0)),OR(I438=0,AND(I438=1,OR(J438=0,J438=1,J438=2),R438&lt;&gt;"000")),Y438&lt;=9,MIN(T438:V438)&gt;=0),"合法","输入违约")</x:f>
        <x:v>合法</x:v>
      </x:c>
    </x:row>
    <x:row r="439" ht="23" customHeight="1">
      <x:c r="A439" s="3" t="str">
        <x:v>CT-0432</x:v>
      </x:c>
      <x:c r="B439" s="3" t="str">
        <x:v>ST-126</x:v>
      </x:c>
      <x:c r="C439" s="3" t="str">
        <x:v>R+AR同收同发</x:v>
      </x:c>
      <x:c r="D439" s="25" t="n">
        <x:v>0</x:v>
      </x:c>
      <x:c r="E439" s="25" t="n">
        <x:v>6</x:v>
      </x:c>
      <x:c r="F439" s="25" t="n">
        <x:v>2</x:v>
      </x:c>
      <x:c r="G439" s="19" t="n">
        <x:f>SUM(D439:F439)</x:f>
        <x:v>8</x:v>
      </x:c>
      <x:c r="H439" s="25" t="n">
        <x:v>2</x:v>
      </x:c>
      <x:c r="I439" s="25" t="n">
        <x:v>1</x:v>
      </x:c>
      <x:c r="J439" s="25" t="n">
        <x:v>2</x:v>
      </x:c>
      <x:c r="K439" s="19" t="n">
        <x:f>D439-IF(H439=0,1,0)</x:f>
        <x:v>0</x:v>
      </x:c>
      <x:c r="L439" s="19" t="n">
        <x:f>E439-IF(H439=1,1,0)</x:f>
        <x:v>6</x:v>
      </x:c>
      <x:c r="M439" s="19" t="n">
        <x:f>F439-IF(H439=2,1,0)</x:f>
        <x:v>1</x:v>
      </x:c>
      <x:c r="N439" s="19" t="n">
        <x:f>MAX(K439-1,0)+MAX(L439-1,0)+MAX(M439-1,0)</x:f>
        <x:v>5</x:v>
      </x:c>
      <x:c r="O439" s="19" t="n">
        <x:f>IF(AND(SUM(K439:M439)&lt;9,OR(M439=0,N439&lt;6)),1,0)</x:f>
        <x:v>1</x:v>
      </x:c>
      <x:c r="P439" s="19" t="n">
        <x:f>IF(AND(SUM(K439:M439)&lt;9,OR(L439=0,N439&lt;6)),1,0)</x:f>
        <x:v>1</x:v>
      </x:c>
      <x:c r="Q439" s="19" t="n">
        <x:f>IF(AND(SUM(K439:M439)&lt;9,OR(K439=0,N439&lt;6)),1,0)</x:f>
        <x:v>1</x:v>
      </x:c>
      <x:c r="R439" s="22" t="str">
        <x:f>O439&amp;P439&amp;Q439</x:f>
        <x:v>111</x:v>
      </x:c>
      <x:c r="S439" s="19" t="n">
        <x:f>IF(I439=1,IF(J439=0,Q439,IF(J439=1,P439,IF(J439=2,O439,0))),0)</x:f>
        <x:v>1</x:v>
      </x:c>
      <x:c r="T439" s="19" t="n">
        <x:f>K439+IF(AND(S439=1,J439=0),1,0)</x:f>
        <x:v>0</x:v>
      </x:c>
      <x:c r="U439" s="19" t="n">
        <x:f>L439+IF(AND(S439=1,J439=1),1,0)</x:f>
        <x:v>6</x:v>
      </x:c>
      <x:c r="V439" s="19" t="n">
        <x:f>M439+IF(AND(S439=1,J439=2),1,0)</x:f>
        <x:v>2</x:v>
      </x:c>
      <x:c r="W439" s="19" t="n">
        <x:f>SUM(T439:V439)</x:f>
        <x:v>8</x:v>
      </x:c>
      <x:c r="X439" s="19" t="n">
        <x:f>W439-G439</x:f>
        <x:v>0</x:v>
      </x:c>
      <x:c r="Y439" s="19" t="n">
        <x:f>MAX(T439,1)+MAX(U439,1)+MAX(V439,1)</x:f>
        <x:v>9</x:v>
      </x:c>
      <x:c r="Z439" s="21" t="str">
        <x:f>IF(AND(MIN(D439:F439)&gt;=0,MAX(D439:F439)&lt;=7,MAX(D439,1)+MAX(E439,1)+MAX(F439,1)&lt;=9,OR(H439="-",AND(H439=0,D439&gt;0),AND(H439=1,E439&gt;0),AND(H439=2,F439&gt;0)),OR(I439=0,AND(I439=1,OR(J439=0,J439=1,J439=2),R439&lt;&gt;"000")),Y439&lt;=9,MIN(T439:V439)&gt;=0),"合法","输入违约")</x:f>
        <x:v>合法</x:v>
      </x:c>
    </x:row>
    <x:row r="440" ht="23" customHeight="1">
      <x:c r="A440" s="3" t="str">
        <x:v>CT-0433</x:v>
      </x:c>
      <x:c r="B440" s="3" t="str">
        <x:v>ST-092</x:v>
      </x:c>
      <x:c r="C440" s="3" t="str">
        <x:v>无AR/R</x:v>
      </x:c>
      <x:c r="D440" s="25" t="n">
        <x:v>0</x:v>
      </x:c>
      <x:c r="E440" s="25" t="n">
        <x:v>7</x:v>
      </x:c>
      <x:c r="F440" s="25" t="n">
        <x:v>0</x:v>
      </x:c>
      <x:c r="G440" s="19" t="n">
        <x:f>SUM(D440:F440)</x:f>
        <x:v>7</x:v>
      </x:c>
      <x:c r="H440" s="25" t="str">
        <x:v>-</x:v>
      </x:c>
      <x:c r="I440" s="25" t="n">
        <x:v>0</x:v>
      </x:c>
      <x:c r="J440" s="25" t="str">
        <x:v>-</x:v>
      </x:c>
      <x:c r="K440" s="19" t="n">
        <x:f>D440-IF(H440=0,1,0)</x:f>
        <x:v>0</x:v>
      </x:c>
      <x:c r="L440" s="19" t="n">
        <x:f>E440-IF(H440=1,1,0)</x:f>
        <x:v>7</x:v>
      </x:c>
      <x:c r="M440" s="19" t="n">
        <x:f>F440-IF(H440=2,1,0)</x:f>
        <x:v>0</x:v>
      </x:c>
      <x:c r="N440" s="19" t="n">
        <x:f>MAX(K440-1,0)+MAX(L440-1,0)+MAX(M440-1,0)</x:f>
        <x:v>6</x:v>
      </x:c>
      <x:c r="O440" s="19" t="n">
        <x:f>IF(AND(SUM(K440:M440)&lt;9,OR(M440=0,N440&lt;6)),1,0)</x:f>
        <x:v>1</x:v>
      </x:c>
      <x:c r="P440" s="19" t="n">
        <x:f>IF(AND(SUM(K440:M440)&lt;9,OR(L440=0,N440&lt;6)),1,0)</x:f>
        <x:v>0</x:v>
      </x:c>
      <x:c r="Q440" s="19" t="n">
        <x:f>IF(AND(SUM(K440:M440)&lt;9,OR(K440=0,N440&lt;6)),1,0)</x:f>
        <x:v>1</x:v>
      </x:c>
      <x:c r="R440" s="22" t="str">
        <x:f>O440&amp;P440&amp;Q440</x:f>
        <x:v>101</x:v>
      </x:c>
      <x:c r="S440" s="19" t="n">
        <x:f>IF(I440=1,IF(J440=0,Q440,IF(J440=1,P440,IF(J440=2,O440,0))),0)</x:f>
        <x:v>0</x:v>
      </x:c>
      <x:c r="T440" s="19" t="n">
        <x:f>K440+IF(AND(S440=1,J440=0),1,0)</x:f>
        <x:v>0</x:v>
      </x:c>
      <x:c r="U440" s="19" t="n">
        <x:f>L440+IF(AND(S440=1,J440=1),1,0)</x:f>
        <x:v>7</x:v>
      </x:c>
      <x:c r="V440" s="19" t="n">
        <x:f>M440+IF(AND(S440=1,J440=2),1,0)</x:f>
        <x:v>0</x:v>
      </x:c>
      <x:c r="W440" s="19" t="n">
        <x:f>SUM(T440:V440)</x:f>
        <x:v>7</x:v>
      </x:c>
      <x:c r="X440" s="19" t="n">
        <x:f>W440-G440</x:f>
        <x:v>0</x:v>
      </x:c>
      <x:c r="Y440" s="19" t="n">
        <x:f>MAX(T440,1)+MAX(U440,1)+MAX(V440,1)</x:f>
        <x:v>9</x:v>
      </x:c>
      <x:c r="Z440" s="21" t="str">
        <x:f>IF(AND(MIN(D440:F440)&gt;=0,MAX(D440:F440)&lt;=7,MAX(D440,1)+MAX(E440,1)+MAX(F440,1)&lt;=9,OR(H440="-",AND(H440=0,D440&gt;0),AND(H440=1,E440&gt;0),AND(H440=2,F440&gt;0)),OR(I440=0,AND(I440=1,OR(J440=0,J440=1,J440=2),R440&lt;&gt;"000")),Y440&lt;=9,MIN(T440:V440)&gt;=0),"合法","输入违约")</x:f>
        <x:v>合法</x:v>
      </x:c>
    </x:row>
    <x:row r="441" ht="23" customHeight="1">
      <x:c r="A441" s="3" t="str">
        <x:v>CT-0434</x:v>
      </x:c>
      <x:c r="B441" s="3" t="str">
        <x:v>ST-092</x:v>
      </x:c>
      <x:c r="C441" s="3" t="str">
        <x:v>仅AR接收</x:v>
      </x:c>
      <x:c r="D441" s="25" t="n">
        <x:v>0</x:v>
      </x:c>
      <x:c r="E441" s="25" t="n">
        <x:v>7</x:v>
      </x:c>
      <x:c r="F441" s="25" t="n">
        <x:v>0</x:v>
      </x:c>
      <x:c r="G441" s="19" t="n">
        <x:f>SUM(D441:F441)</x:f>
        <x:v>7</x:v>
      </x:c>
      <x:c r="H441" s="25" t="str">
        <x:v>-</x:v>
      </x:c>
      <x:c r="I441" s="25" t="n">
        <x:v>1</x:v>
      </x:c>
      <x:c r="J441" s="25" t="n">
        <x:v>0</x:v>
      </x:c>
      <x:c r="K441" s="19" t="n">
        <x:f>D441-IF(H441=0,1,0)</x:f>
        <x:v>0</x:v>
      </x:c>
      <x:c r="L441" s="19" t="n">
        <x:f>E441-IF(H441=1,1,0)</x:f>
        <x:v>7</x:v>
      </x:c>
      <x:c r="M441" s="19" t="n">
        <x:f>F441-IF(H441=2,1,0)</x:f>
        <x:v>0</x:v>
      </x:c>
      <x:c r="N441" s="19" t="n">
        <x:f>MAX(K441-1,0)+MAX(L441-1,0)+MAX(M441-1,0)</x:f>
        <x:v>6</x:v>
      </x:c>
      <x:c r="O441" s="19" t="n">
        <x:f>IF(AND(SUM(K441:M441)&lt;9,OR(M441=0,N441&lt;6)),1,0)</x:f>
        <x:v>1</x:v>
      </x:c>
      <x:c r="P441" s="19" t="n">
        <x:f>IF(AND(SUM(K441:M441)&lt;9,OR(L441=0,N441&lt;6)),1,0)</x:f>
        <x:v>0</x:v>
      </x:c>
      <x:c r="Q441" s="19" t="n">
        <x:f>IF(AND(SUM(K441:M441)&lt;9,OR(K441=0,N441&lt;6)),1,0)</x:f>
        <x:v>1</x:v>
      </x:c>
      <x:c r="R441" s="22" t="str">
        <x:f>O441&amp;P441&amp;Q441</x:f>
        <x:v>101</x:v>
      </x:c>
      <x:c r="S441" s="19" t="n">
        <x:f>IF(I441=1,IF(J441=0,Q441,IF(J441=1,P441,IF(J441=2,O441,0))),0)</x:f>
        <x:v>1</x:v>
      </x:c>
      <x:c r="T441" s="19" t="n">
        <x:f>K441+IF(AND(S441=1,J441=0),1,0)</x:f>
        <x:v>1</x:v>
      </x:c>
      <x:c r="U441" s="19" t="n">
        <x:f>L441+IF(AND(S441=1,J441=1),1,0)</x:f>
        <x:v>7</x:v>
      </x:c>
      <x:c r="V441" s="19" t="n">
        <x:f>M441+IF(AND(S441=1,J441=2),1,0)</x:f>
        <x:v>0</x:v>
      </x:c>
      <x:c r="W441" s="19" t="n">
        <x:f>SUM(T441:V441)</x:f>
        <x:v>8</x:v>
      </x:c>
      <x:c r="X441" s="19" t="n">
        <x:f>W441-G441</x:f>
        <x:v>1</x:v>
      </x:c>
      <x:c r="Y441" s="19" t="n">
        <x:f>MAX(T441,1)+MAX(U441,1)+MAX(V441,1)</x:f>
        <x:v>9</x:v>
      </x:c>
      <x:c r="Z441" s="21" t="str">
        <x:f>IF(AND(MIN(D441:F441)&gt;=0,MAX(D441:F441)&lt;=7,MAX(D441,1)+MAX(E441,1)+MAX(F441,1)&lt;=9,OR(H441="-",AND(H441=0,D441&gt;0),AND(H441=1,E441&gt;0),AND(H441=2,F441&gt;0)),OR(I441=0,AND(I441=1,OR(J441=0,J441=1,J441=2),R441&lt;&gt;"000")),Y441&lt;=9,MIN(T441:V441)&gt;=0),"合法","输入违约")</x:f>
        <x:v>合法</x:v>
      </x:c>
    </x:row>
    <x:row r="442" ht="23" customHeight="1">
      <x:c r="A442" s="3" t="str">
        <x:v>CT-0435</x:v>
      </x:c>
      <x:c r="B442" s="3" t="str">
        <x:v>ST-092</x:v>
      </x:c>
      <x:c r="C442" s="3" t="str">
        <x:v>所选源被阻塞</x:v>
      </x:c>
      <x:c r="D442" s="25" t="n">
        <x:v>0</x:v>
      </x:c>
      <x:c r="E442" s="25" t="n">
        <x:v>7</x:v>
      </x:c>
      <x:c r="F442" s="25" t="n">
        <x:v>0</x:v>
      </x:c>
      <x:c r="G442" s="19" t="n">
        <x:f>SUM(D442:F442)</x:f>
        <x:v>7</x:v>
      </x:c>
      <x:c r="H442" s="25" t="str">
        <x:v>-</x:v>
      </x:c>
      <x:c r="I442" s="25" t="n">
        <x:v>1</x:v>
      </x:c>
      <x:c r="J442" s="25" t="n">
        <x:v>1</x:v>
      </x:c>
      <x:c r="K442" s="19" t="n">
        <x:f>D442-IF(H442=0,1,0)</x:f>
        <x:v>0</x:v>
      </x:c>
      <x:c r="L442" s="19" t="n">
        <x:f>E442-IF(H442=1,1,0)</x:f>
        <x:v>7</x:v>
      </x:c>
      <x:c r="M442" s="19" t="n">
        <x:f>F442-IF(H442=2,1,0)</x:f>
        <x:v>0</x:v>
      </x:c>
      <x:c r="N442" s="19" t="n">
        <x:f>MAX(K442-1,0)+MAX(L442-1,0)+MAX(M442-1,0)</x:f>
        <x:v>6</x:v>
      </x:c>
      <x:c r="O442" s="19" t="n">
        <x:f>IF(AND(SUM(K442:M442)&lt;9,OR(M442=0,N442&lt;6)),1,0)</x:f>
        <x:v>1</x:v>
      </x:c>
      <x:c r="P442" s="19" t="n">
        <x:f>IF(AND(SUM(K442:M442)&lt;9,OR(L442=0,N442&lt;6)),1,0)</x:f>
        <x:v>0</x:v>
      </x:c>
      <x:c r="Q442" s="19" t="n">
        <x:f>IF(AND(SUM(K442:M442)&lt;9,OR(K442=0,N442&lt;6)),1,0)</x:f>
        <x:v>1</x:v>
      </x:c>
      <x:c r="R442" s="22" t="str">
        <x:f>O442&amp;P442&amp;Q442</x:f>
        <x:v>101</x:v>
      </x:c>
      <x:c r="S442" s="19" t="n">
        <x:f>IF(I442=1,IF(J442=0,Q442,IF(J442=1,P442,IF(J442=2,O442,0))),0)</x:f>
        <x:v>0</x:v>
      </x:c>
      <x:c r="T442" s="19" t="n">
        <x:f>K442+IF(AND(S442=1,J442=0),1,0)</x:f>
        <x:v>0</x:v>
      </x:c>
      <x:c r="U442" s="19" t="n">
        <x:f>L442+IF(AND(S442=1,J442=1),1,0)</x:f>
        <x:v>7</x:v>
      </x:c>
      <x:c r="V442" s="19" t="n">
        <x:f>M442+IF(AND(S442=1,J442=2),1,0)</x:f>
        <x:v>0</x:v>
      </x:c>
      <x:c r="W442" s="19" t="n">
        <x:f>SUM(T442:V442)</x:f>
        <x:v>7</x:v>
      </x:c>
      <x:c r="X442" s="19" t="n">
        <x:f>W442-G442</x:f>
        <x:v>0</x:v>
      </x:c>
      <x:c r="Y442" s="19" t="n">
        <x:f>MAX(T442,1)+MAX(U442,1)+MAX(V442,1)</x:f>
        <x:v>9</x:v>
      </x:c>
      <x:c r="Z442" s="21" t="str">
        <x:f>IF(AND(MIN(D442:F442)&gt;=0,MAX(D442:F442)&lt;=7,MAX(D442,1)+MAX(E442,1)+MAX(F442,1)&lt;=9,OR(H442="-",AND(H442=0,D442&gt;0),AND(H442=1,E442&gt;0),AND(H442=2,F442&gt;0)),OR(I442=0,AND(I442=1,OR(J442=0,J442=1,J442=2),R442&lt;&gt;"000")),Y442&lt;=9,MIN(T442:V442)&gt;=0),"合法","输入违约")</x:f>
        <x:v>合法</x:v>
      </x:c>
    </x:row>
    <x:row r="443" ht="23" customHeight="1">
      <x:c r="A443" s="3" t="str">
        <x:v>CT-0436</x:v>
      </x:c>
      <x:c r="B443" s="3" t="str">
        <x:v>ST-092</x:v>
      </x:c>
      <x:c r="C443" s="3" t="str">
        <x:v>仅AR接收</x:v>
      </x:c>
      <x:c r="D443" s="25" t="n">
        <x:v>0</x:v>
      </x:c>
      <x:c r="E443" s="25" t="n">
        <x:v>7</x:v>
      </x:c>
      <x:c r="F443" s="25" t="n">
        <x:v>0</x:v>
      </x:c>
      <x:c r="G443" s="19" t="n">
        <x:f>SUM(D443:F443)</x:f>
        <x:v>7</x:v>
      </x:c>
      <x:c r="H443" s="25" t="str">
        <x:v>-</x:v>
      </x:c>
      <x:c r="I443" s="25" t="n">
        <x:v>1</x:v>
      </x:c>
      <x:c r="J443" s="25" t="n">
        <x:v>2</x:v>
      </x:c>
      <x:c r="K443" s="19" t="n">
        <x:f>D443-IF(H443=0,1,0)</x:f>
        <x:v>0</x:v>
      </x:c>
      <x:c r="L443" s="19" t="n">
        <x:f>E443-IF(H443=1,1,0)</x:f>
        <x:v>7</x:v>
      </x:c>
      <x:c r="M443" s="19" t="n">
        <x:f>F443-IF(H443=2,1,0)</x:f>
        <x:v>0</x:v>
      </x:c>
      <x:c r="N443" s="19" t="n">
        <x:f>MAX(K443-1,0)+MAX(L443-1,0)+MAX(M443-1,0)</x:f>
        <x:v>6</x:v>
      </x:c>
      <x:c r="O443" s="19" t="n">
        <x:f>IF(AND(SUM(K443:M443)&lt;9,OR(M443=0,N443&lt;6)),1,0)</x:f>
        <x:v>1</x:v>
      </x:c>
      <x:c r="P443" s="19" t="n">
        <x:f>IF(AND(SUM(K443:M443)&lt;9,OR(L443=0,N443&lt;6)),1,0)</x:f>
        <x:v>0</x:v>
      </x:c>
      <x:c r="Q443" s="19" t="n">
        <x:f>IF(AND(SUM(K443:M443)&lt;9,OR(K443=0,N443&lt;6)),1,0)</x:f>
        <x:v>1</x:v>
      </x:c>
      <x:c r="R443" s="22" t="str">
        <x:f>O443&amp;P443&amp;Q443</x:f>
        <x:v>101</x:v>
      </x:c>
      <x:c r="S443" s="19" t="n">
        <x:f>IF(I443=1,IF(J443=0,Q443,IF(J443=1,P443,IF(J443=2,O443,0))),0)</x:f>
        <x:v>1</x:v>
      </x:c>
      <x:c r="T443" s="19" t="n">
        <x:f>K443+IF(AND(S443=1,J443=0),1,0)</x:f>
        <x:v>0</x:v>
      </x:c>
      <x:c r="U443" s="19" t="n">
        <x:f>L443+IF(AND(S443=1,J443=1),1,0)</x:f>
        <x:v>7</x:v>
      </x:c>
      <x:c r="V443" s="19" t="n">
        <x:f>M443+IF(AND(S443=1,J443=2),1,0)</x:f>
        <x:v>1</x:v>
      </x:c>
      <x:c r="W443" s="19" t="n">
        <x:f>SUM(T443:V443)</x:f>
        <x:v>8</x:v>
      </x:c>
      <x:c r="X443" s="19" t="n">
        <x:f>W443-G443</x:f>
        <x:v>1</x:v>
      </x:c>
      <x:c r="Y443" s="19" t="n">
        <x:f>MAX(T443,1)+MAX(U443,1)+MAX(V443,1)</x:f>
        <x:v>9</x:v>
      </x:c>
      <x:c r="Z443" s="21" t="str">
        <x:f>IF(AND(MIN(D443:F443)&gt;=0,MAX(D443:F443)&lt;=7,MAX(D443,1)+MAX(E443,1)+MAX(F443,1)&lt;=9,OR(H443="-",AND(H443=0,D443&gt;0),AND(H443=1,E443&gt;0),AND(H443=2,F443&gt;0)),OR(I443=0,AND(I443=1,OR(J443=0,J443=1,J443=2),R443&lt;&gt;"000")),Y443&lt;=9,MIN(T443:V443)&gt;=0),"合法","输入违约")</x:f>
        <x:v>合法</x:v>
      </x:c>
    </x:row>
    <x:row r="444" ht="23" customHeight="1">
      <x:c r="A444" s="3" t="str">
        <x:v>CT-0437</x:v>
      </x:c>
      <x:c r="B444" s="3" t="str">
        <x:v>ST-092</x:v>
      </x:c>
      <x:c r="C444" s="3" t="str">
        <x:v>仅R回收</x:v>
      </x:c>
      <x:c r="D444" s="25" t="n">
        <x:v>0</x:v>
      </x:c>
      <x:c r="E444" s="25" t="n">
        <x:v>7</x:v>
      </x:c>
      <x:c r="F444" s="25" t="n">
        <x:v>0</x:v>
      </x:c>
      <x:c r="G444" s="19" t="n">
        <x:f>SUM(D444:F444)</x:f>
        <x:v>7</x:v>
      </x:c>
      <x:c r="H444" s="25" t="n">
        <x:v>1</x:v>
      </x:c>
      <x:c r="I444" s="25" t="n">
        <x:v>0</x:v>
      </x:c>
      <x:c r="J444" s="25" t="str">
        <x:v>-</x:v>
      </x:c>
      <x:c r="K444" s="19" t="n">
        <x:f>D444-IF(H444=0,1,0)</x:f>
        <x:v>0</x:v>
      </x:c>
      <x:c r="L444" s="19" t="n">
        <x:f>E444-IF(H444=1,1,0)</x:f>
        <x:v>6</x:v>
      </x:c>
      <x:c r="M444" s="19" t="n">
        <x:f>F444-IF(H444=2,1,0)</x:f>
        <x:v>0</x:v>
      </x:c>
      <x:c r="N444" s="19" t="n">
        <x:f>MAX(K444-1,0)+MAX(L444-1,0)+MAX(M444-1,0)</x:f>
        <x:v>5</x:v>
      </x:c>
      <x:c r="O444" s="19" t="n">
        <x:f>IF(AND(SUM(K444:M444)&lt;9,OR(M444=0,N444&lt;6)),1,0)</x:f>
        <x:v>1</x:v>
      </x:c>
      <x:c r="P444" s="19" t="n">
        <x:f>IF(AND(SUM(K444:M444)&lt;9,OR(L444=0,N444&lt;6)),1,0)</x:f>
        <x:v>1</x:v>
      </x:c>
      <x:c r="Q444" s="19" t="n">
        <x:f>IF(AND(SUM(K444:M444)&lt;9,OR(K444=0,N444&lt;6)),1,0)</x:f>
        <x:v>1</x:v>
      </x:c>
      <x:c r="R444" s="22" t="str">
        <x:f>O444&amp;P444&amp;Q444</x:f>
        <x:v>111</x:v>
      </x:c>
      <x:c r="S444" s="19" t="n">
        <x:f>IF(I444=1,IF(J444=0,Q444,IF(J444=1,P444,IF(J444=2,O444,0))),0)</x:f>
        <x:v>0</x:v>
      </x:c>
      <x:c r="T444" s="19" t="n">
        <x:f>K444+IF(AND(S444=1,J444=0),1,0)</x:f>
        <x:v>0</x:v>
      </x:c>
      <x:c r="U444" s="19" t="n">
        <x:f>L444+IF(AND(S444=1,J444=1),1,0)</x:f>
        <x:v>6</x:v>
      </x:c>
      <x:c r="V444" s="19" t="n">
        <x:f>M444+IF(AND(S444=1,J444=2),1,0)</x:f>
        <x:v>0</x:v>
      </x:c>
      <x:c r="W444" s="19" t="n">
        <x:f>SUM(T444:V444)</x:f>
        <x:v>6</x:v>
      </x:c>
      <x:c r="X444" s="19" t="n">
        <x:f>W444-G444</x:f>
        <x:v>-1</x:v>
      </x:c>
      <x:c r="Y444" s="19" t="n">
        <x:f>MAX(T444,1)+MAX(U444,1)+MAX(V444,1)</x:f>
        <x:v>8</x:v>
      </x:c>
      <x:c r="Z444" s="21" t="str">
        <x:f>IF(AND(MIN(D444:F444)&gt;=0,MAX(D444:F444)&lt;=7,MAX(D444,1)+MAX(E444,1)+MAX(F444,1)&lt;=9,OR(H444="-",AND(H444=0,D444&gt;0),AND(H444=1,E444&gt;0),AND(H444=2,F444&gt;0)),OR(I444=0,AND(I444=1,OR(J444=0,J444=1,J444=2),R444&lt;&gt;"000")),Y444&lt;=9,MIN(T444:V444)&gt;=0),"合法","输入违约")</x:f>
        <x:v>合法</x:v>
      </x:c>
    </x:row>
    <x:row r="445" ht="23" customHeight="1">
      <x:c r="A445" s="3" t="str">
        <x:v>CT-0438</x:v>
      </x:c>
      <x:c r="B445" s="3" t="str">
        <x:v>ST-092</x:v>
      </x:c>
      <x:c r="C445" s="3" t="str">
        <x:v>R+AR同收同发</x:v>
      </x:c>
      <x:c r="D445" s="25" t="n">
        <x:v>0</x:v>
      </x:c>
      <x:c r="E445" s="25" t="n">
        <x:v>7</x:v>
      </x:c>
      <x:c r="F445" s="25" t="n">
        <x:v>0</x:v>
      </x:c>
      <x:c r="G445" s="19" t="n">
        <x:f>SUM(D445:F445)</x:f>
        <x:v>7</x:v>
      </x:c>
      <x:c r="H445" s="25" t="n">
        <x:v>1</x:v>
      </x:c>
      <x:c r="I445" s="25" t="n">
        <x:v>1</x:v>
      </x:c>
      <x:c r="J445" s="25" t="n">
        <x:v>0</x:v>
      </x:c>
      <x:c r="K445" s="19" t="n">
        <x:f>D445-IF(H445=0,1,0)</x:f>
        <x:v>0</x:v>
      </x:c>
      <x:c r="L445" s="19" t="n">
        <x:f>E445-IF(H445=1,1,0)</x:f>
        <x:v>6</x:v>
      </x:c>
      <x:c r="M445" s="19" t="n">
        <x:f>F445-IF(H445=2,1,0)</x:f>
        <x:v>0</x:v>
      </x:c>
      <x:c r="N445" s="19" t="n">
        <x:f>MAX(K445-1,0)+MAX(L445-1,0)+MAX(M445-1,0)</x:f>
        <x:v>5</x:v>
      </x:c>
      <x:c r="O445" s="19" t="n">
        <x:f>IF(AND(SUM(K445:M445)&lt;9,OR(M445=0,N445&lt;6)),1,0)</x:f>
        <x:v>1</x:v>
      </x:c>
      <x:c r="P445" s="19" t="n">
        <x:f>IF(AND(SUM(K445:M445)&lt;9,OR(L445=0,N445&lt;6)),1,0)</x:f>
        <x:v>1</x:v>
      </x:c>
      <x:c r="Q445" s="19" t="n">
        <x:f>IF(AND(SUM(K445:M445)&lt;9,OR(K445=0,N445&lt;6)),1,0)</x:f>
        <x:v>1</x:v>
      </x:c>
      <x:c r="R445" s="22" t="str">
        <x:f>O445&amp;P445&amp;Q445</x:f>
        <x:v>111</x:v>
      </x:c>
      <x:c r="S445" s="19" t="n">
        <x:f>IF(I445=1,IF(J445=0,Q445,IF(J445=1,P445,IF(J445=2,O445,0))),0)</x:f>
        <x:v>1</x:v>
      </x:c>
      <x:c r="T445" s="19" t="n">
        <x:f>K445+IF(AND(S445=1,J445=0),1,0)</x:f>
        <x:v>1</x:v>
      </x:c>
      <x:c r="U445" s="19" t="n">
        <x:f>L445+IF(AND(S445=1,J445=1),1,0)</x:f>
        <x:v>6</x:v>
      </x:c>
      <x:c r="V445" s="19" t="n">
        <x:f>M445+IF(AND(S445=1,J445=2),1,0)</x:f>
        <x:v>0</x:v>
      </x:c>
      <x:c r="W445" s="19" t="n">
        <x:f>SUM(T445:V445)</x:f>
        <x:v>7</x:v>
      </x:c>
      <x:c r="X445" s="19" t="n">
        <x:f>W445-G445</x:f>
        <x:v>0</x:v>
      </x:c>
      <x:c r="Y445" s="19" t="n">
        <x:f>MAX(T445,1)+MAX(U445,1)+MAX(V445,1)</x:f>
        <x:v>8</x:v>
      </x:c>
      <x:c r="Z445" s="21" t="str">
        <x:f>IF(AND(MIN(D445:F445)&gt;=0,MAX(D445:F445)&lt;=7,MAX(D445,1)+MAX(E445,1)+MAX(F445,1)&lt;=9,OR(H445="-",AND(H445=0,D445&gt;0),AND(H445=1,E445&gt;0),AND(H445=2,F445&gt;0)),OR(I445=0,AND(I445=1,OR(J445=0,J445=1,J445=2),R445&lt;&gt;"000")),Y445&lt;=9,MIN(T445:V445)&gt;=0),"合法","输入违约")</x:f>
        <x:v>合法</x:v>
      </x:c>
    </x:row>
    <x:row r="446" ht="23" customHeight="1">
      <x:c r="A446" s="3" t="str">
        <x:v>CT-0439</x:v>
      </x:c>
      <x:c r="B446" s="3" t="str">
        <x:v>ST-092</x:v>
      </x:c>
      <x:c r="C446" s="3" t="str">
        <x:v>R+AR同收同发</x:v>
      </x:c>
      <x:c r="D446" s="25" t="n">
        <x:v>0</x:v>
      </x:c>
      <x:c r="E446" s="25" t="n">
        <x:v>7</x:v>
      </x:c>
      <x:c r="F446" s="25" t="n">
        <x:v>0</x:v>
      </x:c>
      <x:c r="G446" s="19" t="n">
        <x:f>SUM(D446:F446)</x:f>
        <x:v>7</x:v>
      </x:c>
      <x:c r="H446" s="25" t="n">
        <x:v>1</x:v>
      </x:c>
      <x:c r="I446" s="25" t="n">
        <x:v>1</x:v>
      </x:c>
      <x:c r="J446" s="25" t="n">
        <x:v>1</x:v>
      </x:c>
      <x:c r="K446" s="19" t="n">
        <x:f>D446-IF(H446=0,1,0)</x:f>
        <x:v>0</x:v>
      </x:c>
      <x:c r="L446" s="19" t="n">
        <x:f>E446-IF(H446=1,1,0)</x:f>
        <x:v>6</x:v>
      </x:c>
      <x:c r="M446" s="19" t="n">
        <x:f>F446-IF(H446=2,1,0)</x:f>
        <x:v>0</x:v>
      </x:c>
      <x:c r="N446" s="19" t="n">
        <x:f>MAX(K446-1,0)+MAX(L446-1,0)+MAX(M446-1,0)</x:f>
        <x:v>5</x:v>
      </x:c>
      <x:c r="O446" s="19" t="n">
        <x:f>IF(AND(SUM(K446:M446)&lt;9,OR(M446=0,N446&lt;6)),1,0)</x:f>
        <x:v>1</x:v>
      </x:c>
      <x:c r="P446" s="19" t="n">
        <x:f>IF(AND(SUM(K446:M446)&lt;9,OR(L446=0,N446&lt;6)),1,0)</x:f>
        <x:v>1</x:v>
      </x:c>
      <x:c r="Q446" s="19" t="n">
        <x:f>IF(AND(SUM(K446:M446)&lt;9,OR(K446=0,N446&lt;6)),1,0)</x:f>
        <x:v>1</x:v>
      </x:c>
      <x:c r="R446" s="22" t="str">
        <x:f>O446&amp;P446&amp;Q446</x:f>
        <x:v>111</x:v>
      </x:c>
      <x:c r="S446" s="19" t="n">
        <x:f>IF(I446=1,IF(J446=0,Q446,IF(J446=1,P446,IF(J446=2,O446,0))),0)</x:f>
        <x:v>1</x:v>
      </x:c>
      <x:c r="T446" s="19" t="n">
        <x:f>K446+IF(AND(S446=1,J446=0),1,0)</x:f>
        <x:v>0</x:v>
      </x:c>
      <x:c r="U446" s="19" t="n">
        <x:f>L446+IF(AND(S446=1,J446=1),1,0)</x:f>
        <x:v>7</x:v>
      </x:c>
      <x:c r="V446" s="19" t="n">
        <x:f>M446+IF(AND(S446=1,J446=2),1,0)</x:f>
        <x:v>0</x:v>
      </x:c>
      <x:c r="W446" s="19" t="n">
        <x:f>SUM(T446:V446)</x:f>
        <x:v>7</x:v>
      </x:c>
      <x:c r="X446" s="19" t="n">
        <x:f>W446-G446</x:f>
        <x:v>0</x:v>
      </x:c>
      <x:c r="Y446" s="19" t="n">
        <x:f>MAX(T446,1)+MAX(U446,1)+MAX(V446,1)</x:f>
        <x:v>9</x:v>
      </x:c>
      <x:c r="Z446" s="21" t="str">
        <x:f>IF(AND(MIN(D446:F446)&gt;=0,MAX(D446:F446)&lt;=7,MAX(D446,1)+MAX(E446,1)+MAX(F446,1)&lt;=9,OR(H446="-",AND(H446=0,D446&gt;0),AND(H446=1,E446&gt;0),AND(H446=2,F446&gt;0)),OR(I446=0,AND(I446=1,OR(J446=0,J446=1,J446=2),R446&lt;&gt;"000")),Y446&lt;=9,MIN(T446:V446)&gt;=0),"合法","输入违约")</x:f>
        <x:v>合法</x:v>
      </x:c>
    </x:row>
    <x:row r="447" ht="23" customHeight="1">
      <x:c r="A447" s="3" t="str">
        <x:v>CT-0440</x:v>
      </x:c>
      <x:c r="B447" s="3" t="str">
        <x:v>ST-092</x:v>
      </x:c>
      <x:c r="C447" s="3" t="str">
        <x:v>R+AR同收同发</x:v>
      </x:c>
      <x:c r="D447" s="25" t="n">
        <x:v>0</x:v>
      </x:c>
      <x:c r="E447" s="25" t="n">
        <x:v>7</x:v>
      </x:c>
      <x:c r="F447" s="25" t="n">
        <x:v>0</x:v>
      </x:c>
      <x:c r="G447" s="19" t="n">
        <x:f>SUM(D447:F447)</x:f>
        <x:v>7</x:v>
      </x:c>
      <x:c r="H447" s="25" t="n">
        <x:v>1</x:v>
      </x:c>
      <x:c r="I447" s="25" t="n">
        <x:v>1</x:v>
      </x:c>
      <x:c r="J447" s="25" t="n">
        <x:v>2</x:v>
      </x:c>
      <x:c r="K447" s="19" t="n">
        <x:f>D447-IF(H447=0,1,0)</x:f>
        <x:v>0</x:v>
      </x:c>
      <x:c r="L447" s="19" t="n">
        <x:f>E447-IF(H447=1,1,0)</x:f>
        <x:v>6</x:v>
      </x:c>
      <x:c r="M447" s="19" t="n">
        <x:f>F447-IF(H447=2,1,0)</x:f>
        <x:v>0</x:v>
      </x:c>
      <x:c r="N447" s="19" t="n">
        <x:f>MAX(K447-1,0)+MAX(L447-1,0)+MAX(M447-1,0)</x:f>
        <x:v>5</x:v>
      </x:c>
      <x:c r="O447" s="19" t="n">
        <x:f>IF(AND(SUM(K447:M447)&lt;9,OR(M447=0,N447&lt;6)),1,0)</x:f>
        <x:v>1</x:v>
      </x:c>
      <x:c r="P447" s="19" t="n">
        <x:f>IF(AND(SUM(K447:M447)&lt;9,OR(L447=0,N447&lt;6)),1,0)</x:f>
        <x:v>1</x:v>
      </x:c>
      <x:c r="Q447" s="19" t="n">
        <x:f>IF(AND(SUM(K447:M447)&lt;9,OR(K447=0,N447&lt;6)),1,0)</x:f>
        <x:v>1</x:v>
      </x:c>
      <x:c r="R447" s="22" t="str">
        <x:f>O447&amp;P447&amp;Q447</x:f>
        <x:v>111</x:v>
      </x:c>
      <x:c r="S447" s="19" t="n">
        <x:f>IF(I447=1,IF(J447=0,Q447,IF(J447=1,P447,IF(J447=2,O447,0))),0)</x:f>
        <x:v>1</x:v>
      </x:c>
      <x:c r="T447" s="19" t="n">
        <x:f>K447+IF(AND(S447=1,J447=0),1,0)</x:f>
        <x:v>0</x:v>
      </x:c>
      <x:c r="U447" s="19" t="n">
        <x:f>L447+IF(AND(S447=1,J447=1),1,0)</x:f>
        <x:v>6</x:v>
      </x:c>
      <x:c r="V447" s="19" t="n">
        <x:f>M447+IF(AND(S447=1,J447=2),1,0)</x:f>
        <x:v>1</x:v>
      </x:c>
      <x:c r="W447" s="19" t="n">
        <x:f>SUM(T447:V447)</x:f>
        <x:v>7</x:v>
      </x:c>
      <x:c r="X447" s="19" t="n">
        <x:f>W447-G447</x:f>
        <x:v>0</x:v>
      </x:c>
      <x:c r="Y447" s="19" t="n">
        <x:f>MAX(T447,1)+MAX(U447,1)+MAX(V447,1)</x:f>
        <x:v>8</x:v>
      </x:c>
      <x:c r="Z447" s="21" t="str">
        <x:f>IF(AND(MIN(D447:F447)&gt;=0,MAX(D447:F447)&lt;=7,MAX(D447,1)+MAX(E447,1)+MAX(F447,1)&lt;=9,OR(H447="-",AND(H447=0,D447&gt;0),AND(H447=1,E447&gt;0),AND(H447=2,F447&gt;0)),OR(I447=0,AND(I447=1,OR(J447=0,J447=1,J447=2),R447&lt;&gt;"000")),Y447&lt;=9,MIN(T447:V447)&gt;=0),"合法","输入违约")</x:f>
        <x:v>合法</x:v>
      </x:c>
    </x:row>
    <x:row r="448" ht="23" customHeight="1">
      <x:c r="A448" s="3" t="str">
        <x:v>CT-0441</x:v>
      </x:c>
      <x:c r="B448" s="3" t="str">
        <x:v>ST-127</x:v>
      </x:c>
      <x:c r="C448" s="3" t="str">
        <x:v>无AR/R</x:v>
      </x:c>
      <x:c r="D448" s="25" t="n">
        <x:v>0</x:v>
      </x:c>
      <x:c r="E448" s="25" t="n">
        <x:v>7</x:v>
      </x:c>
      <x:c r="F448" s="25" t="n">
        <x:v>1</x:v>
      </x:c>
      <x:c r="G448" s="19" t="n">
        <x:f>SUM(D448:F448)</x:f>
        <x:v>8</x:v>
      </x:c>
      <x:c r="H448" s="25" t="str">
        <x:v>-</x:v>
      </x:c>
      <x:c r="I448" s="25" t="n">
        <x:v>0</x:v>
      </x:c>
      <x:c r="J448" s="25" t="str">
        <x:v>-</x:v>
      </x:c>
      <x:c r="K448" s="19" t="n">
        <x:f>D448-IF(H448=0,1,0)</x:f>
        <x:v>0</x:v>
      </x:c>
      <x:c r="L448" s="19" t="n">
        <x:f>E448-IF(H448=1,1,0)</x:f>
        <x:v>7</x:v>
      </x:c>
      <x:c r="M448" s="19" t="n">
        <x:f>F448-IF(H448=2,1,0)</x:f>
        <x:v>1</x:v>
      </x:c>
      <x:c r="N448" s="19" t="n">
        <x:f>MAX(K448-1,0)+MAX(L448-1,0)+MAX(M448-1,0)</x:f>
        <x:v>6</x:v>
      </x:c>
      <x:c r="O448" s="19" t="n">
        <x:f>IF(AND(SUM(K448:M448)&lt;9,OR(M448=0,N448&lt;6)),1,0)</x:f>
        <x:v>0</x:v>
      </x:c>
      <x:c r="P448" s="19" t="n">
        <x:f>IF(AND(SUM(K448:M448)&lt;9,OR(L448=0,N448&lt;6)),1,0)</x:f>
        <x:v>0</x:v>
      </x:c>
      <x:c r="Q448" s="19" t="n">
        <x:f>IF(AND(SUM(K448:M448)&lt;9,OR(K448=0,N448&lt;6)),1,0)</x:f>
        <x:v>1</x:v>
      </x:c>
      <x:c r="R448" s="22" t="str">
        <x:f>O448&amp;P448&amp;Q448</x:f>
        <x:v>001</x:v>
      </x:c>
      <x:c r="S448" s="19" t="n">
        <x:f>IF(I448=1,IF(J448=0,Q448,IF(J448=1,P448,IF(J448=2,O448,0))),0)</x:f>
        <x:v>0</x:v>
      </x:c>
      <x:c r="T448" s="19" t="n">
        <x:f>K448+IF(AND(S448=1,J448=0),1,0)</x:f>
        <x:v>0</x:v>
      </x:c>
      <x:c r="U448" s="19" t="n">
        <x:f>L448+IF(AND(S448=1,J448=1),1,0)</x:f>
        <x:v>7</x:v>
      </x:c>
      <x:c r="V448" s="19" t="n">
        <x:f>M448+IF(AND(S448=1,J448=2),1,0)</x:f>
        <x:v>1</x:v>
      </x:c>
      <x:c r="W448" s="19" t="n">
        <x:f>SUM(T448:V448)</x:f>
        <x:v>8</x:v>
      </x:c>
      <x:c r="X448" s="19" t="n">
        <x:f>W448-G448</x:f>
        <x:v>0</x:v>
      </x:c>
      <x:c r="Y448" s="19" t="n">
        <x:f>MAX(T448,1)+MAX(U448,1)+MAX(V448,1)</x:f>
        <x:v>9</x:v>
      </x:c>
      <x:c r="Z448" s="21" t="str">
        <x:f>IF(AND(MIN(D448:F448)&gt;=0,MAX(D448:F448)&lt;=7,MAX(D448,1)+MAX(E448,1)+MAX(F448,1)&lt;=9,OR(H448="-",AND(H448=0,D448&gt;0),AND(H448=1,E448&gt;0),AND(H448=2,F448&gt;0)),OR(I448=0,AND(I448=1,OR(J448=0,J448=1,J448=2),R448&lt;&gt;"000")),Y448&lt;=9,MIN(T448:V448)&gt;=0),"合法","输入违约")</x:f>
        <x:v>合法</x:v>
      </x:c>
    </x:row>
    <x:row r="449" ht="23" customHeight="1">
      <x:c r="A449" s="3" t="str">
        <x:v>CT-0442</x:v>
      </x:c>
      <x:c r="B449" s="3" t="str">
        <x:v>ST-127</x:v>
      </x:c>
      <x:c r="C449" s="3" t="str">
        <x:v>仅AR接收</x:v>
      </x:c>
      <x:c r="D449" s="25" t="n">
        <x:v>0</x:v>
      </x:c>
      <x:c r="E449" s="25" t="n">
        <x:v>7</x:v>
      </x:c>
      <x:c r="F449" s="25" t="n">
        <x:v>1</x:v>
      </x:c>
      <x:c r="G449" s="19" t="n">
        <x:f>SUM(D449:F449)</x:f>
        <x:v>8</x:v>
      </x:c>
      <x:c r="H449" s="25" t="str">
        <x:v>-</x:v>
      </x:c>
      <x:c r="I449" s="25" t="n">
        <x:v>1</x:v>
      </x:c>
      <x:c r="J449" s="25" t="n">
        <x:v>0</x:v>
      </x:c>
      <x:c r="K449" s="19" t="n">
        <x:f>D449-IF(H449=0,1,0)</x:f>
        <x:v>0</x:v>
      </x:c>
      <x:c r="L449" s="19" t="n">
        <x:f>E449-IF(H449=1,1,0)</x:f>
        <x:v>7</x:v>
      </x:c>
      <x:c r="M449" s="19" t="n">
        <x:f>F449-IF(H449=2,1,0)</x:f>
        <x:v>1</x:v>
      </x:c>
      <x:c r="N449" s="19" t="n">
        <x:f>MAX(K449-1,0)+MAX(L449-1,0)+MAX(M449-1,0)</x:f>
        <x:v>6</x:v>
      </x:c>
      <x:c r="O449" s="19" t="n">
        <x:f>IF(AND(SUM(K449:M449)&lt;9,OR(M449=0,N449&lt;6)),1,0)</x:f>
        <x:v>0</x:v>
      </x:c>
      <x:c r="P449" s="19" t="n">
        <x:f>IF(AND(SUM(K449:M449)&lt;9,OR(L449=0,N449&lt;6)),1,0)</x:f>
        <x:v>0</x:v>
      </x:c>
      <x:c r="Q449" s="19" t="n">
        <x:f>IF(AND(SUM(K449:M449)&lt;9,OR(K449=0,N449&lt;6)),1,0)</x:f>
        <x:v>1</x:v>
      </x:c>
      <x:c r="R449" s="22" t="str">
        <x:f>O449&amp;P449&amp;Q449</x:f>
        <x:v>001</x:v>
      </x:c>
      <x:c r="S449" s="19" t="n">
        <x:f>IF(I449=1,IF(J449=0,Q449,IF(J449=1,P449,IF(J449=2,O449,0))),0)</x:f>
        <x:v>1</x:v>
      </x:c>
      <x:c r="T449" s="19" t="n">
        <x:f>K449+IF(AND(S449=1,J449=0),1,0)</x:f>
        <x:v>1</x:v>
      </x:c>
      <x:c r="U449" s="19" t="n">
        <x:f>L449+IF(AND(S449=1,J449=1),1,0)</x:f>
        <x:v>7</x:v>
      </x:c>
      <x:c r="V449" s="19" t="n">
        <x:f>M449+IF(AND(S449=1,J449=2),1,0)</x:f>
        <x:v>1</x:v>
      </x:c>
      <x:c r="W449" s="19" t="n">
        <x:f>SUM(T449:V449)</x:f>
        <x:v>9</x:v>
      </x:c>
      <x:c r="X449" s="19" t="n">
        <x:f>W449-G449</x:f>
        <x:v>1</x:v>
      </x:c>
      <x:c r="Y449" s="19" t="n">
        <x:f>MAX(T449,1)+MAX(U449,1)+MAX(V449,1)</x:f>
        <x:v>9</x:v>
      </x:c>
      <x:c r="Z449" s="21" t="str">
        <x:f>IF(AND(MIN(D449:F449)&gt;=0,MAX(D449:F449)&lt;=7,MAX(D449,1)+MAX(E449,1)+MAX(F449,1)&lt;=9,OR(H449="-",AND(H449=0,D449&gt;0),AND(H449=1,E449&gt;0),AND(H449=2,F449&gt;0)),OR(I449=0,AND(I449=1,OR(J449=0,J449=1,J449=2),R449&lt;&gt;"000")),Y449&lt;=9,MIN(T449:V449)&gt;=0),"合法","输入违约")</x:f>
        <x:v>合法</x:v>
      </x:c>
    </x:row>
    <x:row r="450" ht="23" customHeight="1">
      <x:c r="A450" s="3" t="str">
        <x:v>CT-0443</x:v>
      </x:c>
      <x:c r="B450" s="3" t="str">
        <x:v>ST-127</x:v>
      </x:c>
      <x:c r="C450" s="3" t="str">
        <x:v>所选源被阻塞</x:v>
      </x:c>
      <x:c r="D450" s="25" t="n">
        <x:v>0</x:v>
      </x:c>
      <x:c r="E450" s="25" t="n">
        <x:v>7</x:v>
      </x:c>
      <x:c r="F450" s="25" t="n">
        <x:v>1</x:v>
      </x:c>
      <x:c r="G450" s="19" t="n">
        <x:f>SUM(D450:F450)</x:f>
        <x:v>8</x:v>
      </x:c>
      <x:c r="H450" s="25" t="str">
        <x:v>-</x:v>
      </x:c>
      <x:c r="I450" s="25" t="n">
        <x:v>1</x:v>
      </x:c>
      <x:c r="J450" s="25" t="n">
        <x:v>1</x:v>
      </x:c>
      <x:c r="K450" s="19" t="n">
        <x:f>D450-IF(H450=0,1,0)</x:f>
        <x:v>0</x:v>
      </x:c>
      <x:c r="L450" s="19" t="n">
        <x:f>E450-IF(H450=1,1,0)</x:f>
        <x:v>7</x:v>
      </x:c>
      <x:c r="M450" s="19" t="n">
        <x:f>F450-IF(H450=2,1,0)</x:f>
        <x:v>1</x:v>
      </x:c>
      <x:c r="N450" s="19" t="n">
        <x:f>MAX(K450-1,0)+MAX(L450-1,0)+MAX(M450-1,0)</x:f>
        <x:v>6</x:v>
      </x:c>
      <x:c r="O450" s="19" t="n">
        <x:f>IF(AND(SUM(K450:M450)&lt;9,OR(M450=0,N450&lt;6)),1,0)</x:f>
        <x:v>0</x:v>
      </x:c>
      <x:c r="P450" s="19" t="n">
        <x:f>IF(AND(SUM(K450:M450)&lt;9,OR(L450=0,N450&lt;6)),1,0)</x:f>
        <x:v>0</x:v>
      </x:c>
      <x:c r="Q450" s="19" t="n">
        <x:f>IF(AND(SUM(K450:M450)&lt;9,OR(K450=0,N450&lt;6)),1,0)</x:f>
        <x:v>1</x:v>
      </x:c>
      <x:c r="R450" s="22" t="str">
        <x:f>O450&amp;P450&amp;Q450</x:f>
        <x:v>001</x:v>
      </x:c>
      <x:c r="S450" s="19" t="n">
        <x:f>IF(I450=1,IF(J450=0,Q450,IF(J450=1,P450,IF(J450=2,O450,0))),0)</x:f>
        <x:v>0</x:v>
      </x:c>
      <x:c r="T450" s="19" t="n">
        <x:f>K450+IF(AND(S450=1,J450=0),1,0)</x:f>
        <x:v>0</x:v>
      </x:c>
      <x:c r="U450" s="19" t="n">
        <x:f>L450+IF(AND(S450=1,J450=1),1,0)</x:f>
        <x:v>7</x:v>
      </x:c>
      <x:c r="V450" s="19" t="n">
        <x:f>M450+IF(AND(S450=1,J450=2),1,0)</x:f>
        <x:v>1</x:v>
      </x:c>
      <x:c r="W450" s="19" t="n">
        <x:f>SUM(T450:V450)</x:f>
        <x:v>8</x:v>
      </x:c>
      <x:c r="X450" s="19" t="n">
        <x:f>W450-G450</x:f>
        <x:v>0</x:v>
      </x:c>
      <x:c r="Y450" s="19" t="n">
        <x:f>MAX(T450,1)+MAX(U450,1)+MAX(V450,1)</x:f>
        <x:v>9</x:v>
      </x:c>
      <x:c r="Z450" s="21" t="str">
        <x:f>IF(AND(MIN(D450:F450)&gt;=0,MAX(D450:F450)&lt;=7,MAX(D450,1)+MAX(E450,1)+MAX(F450,1)&lt;=9,OR(H450="-",AND(H450=0,D450&gt;0),AND(H450=1,E450&gt;0),AND(H450=2,F450&gt;0)),OR(I450=0,AND(I450=1,OR(J450=0,J450=1,J450=2),R450&lt;&gt;"000")),Y450&lt;=9,MIN(T450:V450)&gt;=0),"合法","输入违约")</x:f>
        <x:v>合法</x:v>
      </x:c>
    </x:row>
    <x:row r="451" ht="23" customHeight="1">
      <x:c r="A451" s="3" t="str">
        <x:v>CT-0444</x:v>
      </x:c>
      <x:c r="B451" s="3" t="str">
        <x:v>ST-127</x:v>
      </x:c>
      <x:c r="C451" s="3" t="str">
        <x:v>所选源被阻塞</x:v>
      </x:c>
      <x:c r="D451" s="25" t="n">
        <x:v>0</x:v>
      </x:c>
      <x:c r="E451" s="25" t="n">
        <x:v>7</x:v>
      </x:c>
      <x:c r="F451" s="25" t="n">
        <x:v>1</x:v>
      </x:c>
      <x:c r="G451" s="19" t="n">
        <x:f>SUM(D451:F451)</x:f>
        <x:v>8</x:v>
      </x:c>
      <x:c r="H451" s="25" t="str">
        <x:v>-</x:v>
      </x:c>
      <x:c r="I451" s="25" t="n">
        <x:v>1</x:v>
      </x:c>
      <x:c r="J451" s="25" t="n">
        <x:v>2</x:v>
      </x:c>
      <x:c r="K451" s="19" t="n">
        <x:f>D451-IF(H451=0,1,0)</x:f>
        <x:v>0</x:v>
      </x:c>
      <x:c r="L451" s="19" t="n">
        <x:f>E451-IF(H451=1,1,0)</x:f>
        <x:v>7</x:v>
      </x:c>
      <x:c r="M451" s="19" t="n">
        <x:f>F451-IF(H451=2,1,0)</x:f>
        <x:v>1</x:v>
      </x:c>
      <x:c r="N451" s="19" t="n">
        <x:f>MAX(K451-1,0)+MAX(L451-1,0)+MAX(M451-1,0)</x:f>
        <x:v>6</x:v>
      </x:c>
      <x:c r="O451" s="19" t="n">
        <x:f>IF(AND(SUM(K451:M451)&lt;9,OR(M451=0,N451&lt;6)),1,0)</x:f>
        <x:v>0</x:v>
      </x:c>
      <x:c r="P451" s="19" t="n">
        <x:f>IF(AND(SUM(K451:M451)&lt;9,OR(L451=0,N451&lt;6)),1,0)</x:f>
        <x:v>0</x:v>
      </x:c>
      <x:c r="Q451" s="19" t="n">
        <x:f>IF(AND(SUM(K451:M451)&lt;9,OR(K451=0,N451&lt;6)),1,0)</x:f>
        <x:v>1</x:v>
      </x:c>
      <x:c r="R451" s="22" t="str">
        <x:f>O451&amp;P451&amp;Q451</x:f>
        <x:v>001</x:v>
      </x:c>
      <x:c r="S451" s="19" t="n">
        <x:f>IF(I451=1,IF(J451=0,Q451,IF(J451=1,P451,IF(J451=2,O451,0))),0)</x:f>
        <x:v>0</x:v>
      </x:c>
      <x:c r="T451" s="19" t="n">
        <x:f>K451+IF(AND(S451=1,J451=0),1,0)</x:f>
        <x:v>0</x:v>
      </x:c>
      <x:c r="U451" s="19" t="n">
        <x:f>L451+IF(AND(S451=1,J451=1),1,0)</x:f>
        <x:v>7</x:v>
      </x:c>
      <x:c r="V451" s="19" t="n">
        <x:f>M451+IF(AND(S451=1,J451=2),1,0)</x:f>
        <x:v>1</x:v>
      </x:c>
      <x:c r="W451" s="19" t="n">
        <x:f>SUM(T451:V451)</x:f>
        <x:v>8</x:v>
      </x:c>
      <x:c r="X451" s="19" t="n">
        <x:f>W451-G451</x:f>
        <x:v>0</x:v>
      </x:c>
      <x:c r="Y451" s="19" t="n">
        <x:f>MAX(T451,1)+MAX(U451,1)+MAX(V451,1)</x:f>
        <x:v>9</x:v>
      </x:c>
      <x:c r="Z451" s="21" t="str">
        <x:f>IF(AND(MIN(D451:F451)&gt;=0,MAX(D451:F451)&lt;=7,MAX(D451,1)+MAX(E451,1)+MAX(F451,1)&lt;=9,OR(H451="-",AND(H451=0,D451&gt;0),AND(H451=1,E451&gt;0),AND(H451=2,F451&gt;0)),OR(I451=0,AND(I451=1,OR(J451=0,J451=1,J451=2),R451&lt;&gt;"000")),Y451&lt;=9,MIN(T451:V451)&gt;=0),"合法","输入违约")</x:f>
        <x:v>合法</x:v>
      </x:c>
    </x:row>
    <x:row r="452" ht="23" customHeight="1">
      <x:c r="A452" s="3" t="str">
        <x:v>CT-0445</x:v>
      </x:c>
      <x:c r="B452" s="3" t="str">
        <x:v>ST-127</x:v>
      </x:c>
      <x:c r="C452" s="3" t="str">
        <x:v>仅R回收</x:v>
      </x:c>
      <x:c r="D452" s="25" t="n">
        <x:v>0</x:v>
      </x:c>
      <x:c r="E452" s="25" t="n">
        <x:v>7</x:v>
      </x:c>
      <x:c r="F452" s="25" t="n">
        <x:v>1</x:v>
      </x:c>
      <x:c r="G452" s="19" t="n">
        <x:f>SUM(D452:F452)</x:f>
        <x:v>8</x:v>
      </x:c>
      <x:c r="H452" s="25" t="n">
        <x:v>1</x:v>
      </x:c>
      <x:c r="I452" s="25" t="n">
        <x:v>0</x:v>
      </x:c>
      <x:c r="J452" s="25" t="str">
        <x:v>-</x:v>
      </x:c>
      <x:c r="K452" s="19" t="n">
        <x:f>D452-IF(H452=0,1,0)</x:f>
        <x:v>0</x:v>
      </x:c>
      <x:c r="L452" s="19" t="n">
        <x:f>E452-IF(H452=1,1,0)</x:f>
        <x:v>6</x:v>
      </x:c>
      <x:c r="M452" s="19" t="n">
        <x:f>F452-IF(H452=2,1,0)</x:f>
        <x:v>1</x:v>
      </x:c>
      <x:c r="N452" s="19" t="n">
        <x:f>MAX(K452-1,0)+MAX(L452-1,0)+MAX(M452-1,0)</x:f>
        <x:v>5</x:v>
      </x:c>
      <x:c r="O452" s="19" t="n">
        <x:f>IF(AND(SUM(K452:M452)&lt;9,OR(M452=0,N452&lt;6)),1,0)</x:f>
        <x:v>1</x:v>
      </x:c>
      <x:c r="P452" s="19" t="n">
        <x:f>IF(AND(SUM(K452:M452)&lt;9,OR(L452=0,N452&lt;6)),1,0)</x:f>
        <x:v>1</x:v>
      </x:c>
      <x:c r="Q452" s="19" t="n">
        <x:f>IF(AND(SUM(K452:M452)&lt;9,OR(K452=0,N452&lt;6)),1,0)</x:f>
        <x:v>1</x:v>
      </x:c>
      <x:c r="R452" s="22" t="str">
        <x:f>O452&amp;P452&amp;Q452</x:f>
        <x:v>111</x:v>
      </x:c>
      <x:c r="S452" s="19" t="n">
        <x:f>IF(I452=1,IF(J452=0,Q452,IF(J452=1,P452,IF(J452=2,O452,0))),0)</x:f>
        <x:v>0</x:v>
      </x:c>
      <x:c r="T452" s="19" t="n">
        <x:f>K452+IF(AND(S452=1,J452=0),1,0)</x:f>
        <x:v>0</x:v>
      </x:c>
      <x:c r="U452" s="19" t="n">
        <x:f>L452+IF(AND(S452=1,J452=1),1,0)</x:f>
        <x:v>6</x:v>
      </x:c>
      <x:c r="V452" s="19" t="n">
        <x:f>M452+IF(AND(S452=1,J452=2),1,0)</x:f>
        <x:v>1</x:v>
      </x:c>
      <x:c r="W452" s="19" t="n">
        <x:f>SUM(T452:V452)</x:f>
        <x:v>7</x:v>
      </x:c>
      <x:c r="X452" s="19" t="n">
        <x:f>W452-G452</x:f>
        <x:v>-1</x:v>
      </x:c>
      <x:c r="Y452" s="19" t="n">
        <x:f>MAX(T452,1)+MAX(U452,1)+MAX(V452,1)</x:f>
        <x:v>8</x:v>
      </x:c>
      <x:c r="Z452" s="21" t="str">
        <x:f>IF(AND(MIN(D452:F452)&gt;=0,MAX(D452:F452)&lt;=7,MAX(D452,1)+MAX(E452,1)+MAX(F452,1)&lt;=9,OR(H452="-",AND(H452=0,D452&gt;0),AND(H452=1,E452&gt;0),AND(H452=2,F452&gt;0)),OR(I452=0,AND(I452=1,OR(J452=0,J452=1,J452=2),R452&lt;&gt;"000")),Y452&lt;=9,MIN(T452:V452)&gt;=0),"合法","输入违约")</x:f>
        <x:v>合法</x:v>
      </x:c>
    </x:row>
    <x:row r="453" ht="23" customHeight="1">
      <x:c r="A453" s="3" t="str">
        <x:v>CT-0446</x:v>
      </x:c>
      <x:c r="B453" s="3" t="str">
        <x:v>ST-127</x:v>
      </x:c>
      <x:c r="C453" s="3" t="str">
        <x:v>R+AR同收同发</x:v>
      </x:c>
      <x:c r="D453" s="25" t="n">
        <x:v>0</x:v>
      </x:c>
      <x:c r="E453" s="25" t="n">
        <x:v>7</x:v>
      </x:c>
      <x:c r="F453" s="25" t="n">
        <x:v>1</x:v>
      </x:c>
      <x:c r="G453" s="19" t="n">
        <x:f>SUM(D453:F453)</x:f>
        <x:v>8</x:v>
      </x:c>
      <x:c r="H453" s="25" t="n">
        <x:v>1</x:v>
      </x:c>
      <x:c r="I453" s="25" t="n">
        <x:v>1</x:v>
      </x:c>
      <x:c r="J453" s="25" t="n">
        <x:v>0</x:v>
      </x:c>
      <x:c r="K453" s="19" t="n">
        <x:f>D453-IF(H453=0,1,0)</x:f>
        <x:v>0</x:v>
      </x:c>
      <x:c r="L453" s="19" t="n">
        <x:f>E453-IF(H453=1,1,0)</x:f>
        <x:v>6</x:v>
      </x:c>
      <x:c r="M453" s="19" t="n">
        <x:f>F453-IF(H453=2,1,0)</x:f>
        <x:v>1</x:v>
      </x:c>
      <x:c r="N453" s="19" t="n">
        <x:f>MAX(K453-1,0)+MAX(L453-1,0)+MAX(M453-1,0)</x:f>
        <x:v>5</x:v>
      </x:c>
      <x:c r="O453" s="19" t="n">
        <x:f>IF(AND(SUM(K453:M453)&lt;9,OR(M453=0,N453&lt;6)),1,0)</x:f>
        <x:v>1</x:v>
      </x:c>
      <x:c r="P453" s="19" t="n">
        <x:f>IF(AND(SUM(K453:M453)&lt;9,OR(L453=0,N453&lt;6)),1,0)</x:f>
        <x:v>1</x:v>
      </x:c>
      <x:c r="Q453" s="19" t="n">
        <x:f>IF(AND(SUM(K453:M453)&lt;9,OR(K453=0,N453&lt;6)),1,0)</x:f>
        <x:v>1</x:v>
      </x:c>
      <x:c r="R453" s="22" t="str">
        <x:f>O453&amp;P453&amp;Q453</x:f>
        <x:v>111</x:v>
      </x:c>
      <x:c r="S453" s="19" t="n">
        <x:f>IF(I453=1,IF(J453=0,Q453,IF(J453=1,P453,IF(J453=2,O453,0))),0)</x:f>
        <x:v>1</x:v>
      </x:c>
      <x:c r="T453" s="19" t="n">
        <x:f>K453+IF(AND(S453=1,J453=0),1,0)</x:f>
        <x:v>1</x:v>
      </x:c>
      <x:c r="U453" s="19" t="n">
        <x:f>L453+IF(AND(S453=1,J453=1),1,0)</x:f>
        <x:v>6</x:v>
      </x:c>
      <x:c r="V453" s="19" t="n">
        <x:f>M453+IF(AND(S453=1,J453=2),1,0)</x:f>
        <x:v>1</x:v>
      </x:c>
      <x:c r="W453" s="19" t="n">
        <x:f>SUM(T453:V453)</x:f>
        <x:v>8</x:v>
      </x:c>
      <x:c r="X453" s="19" t="n">
        <x:f>W453-G453</x:f>
        <x:v>0</x:v>
      </x:c>
      <x:c r="Y453" s="19" t="n">
        <x:f>MAX(T453,1)+MAX(U453,1)+MAX(V453,1)</x:f>
        <x:v>8</x:v>
      </x:c>
      <x:c r="Z453" s="21" t="str">
        <x:f>IF(AND(MIN(D453:F453)&gt;=0,MAX(D453:F453)&lt;=7,MAX(D453,1)+MAX(E453,1)+MAX(F453,1)&lt;=9,OR(H453="-",AND(H453=0,D453&gt;0),AND(H453=1,E453&gt;0),AND(H453=2,F453&gt;0)),OR(I453=0,AND(I453=1,OR(J453=0,J453=1,J453=2),R453&lt;&gt;"000")),Y453&lt;=9,MIN(T453:V453)&gt;=0),"合法","输入违约")</x:f>
        <x:v>合法</x:v>
      </x:c>
    </x:row>
    <x:row r="454" ht="23" customHeight="1">
      <x:c r="A454" s="3" t="str">
        <x:v>CT-0447</x:v>
      </x:c>
      <x:c r="B454" s="3" t="str">
        <x:v>ST-127</x:v>
      </x:c>
      <x:c r="C454" s="3" t="str">
        <x:v>R+AR同收同发</x:v>
      </x:c>
      <x:c r="D454" s="25" t="n">
        <x:v>0</x:v>
      </x:c>
      <x:c r="E454" s="25" t="n">
        <x:v>7</x:v>
      </x:c>
      <x:c r="F454" s="25" t="n">
        <x:v>1</x:v>
      </x:c>
      <x:c r="G454" s="19" t="n">
        <x:f>SUM(D454:F454)</x:f>
        <x:v>8</x:v>
      </x:c>
      <x:c r="H454" s="25" t="n">
        <x:v>1</x:v>
      </x:c>
      <x:c r="I454" s="25" t="n">
        <x:v>1</x:v>
      </x:c>
      <x:c r="J454" s="25" t="n">
        <x:v>1</x:v>
      </x:c>
      <x:c r="K454" s="19" t="n">
        <x:f>D454-IF(H454=0,1,0)</x:f>
        <x:v>0</x:v>
      </x:c>
      <x:c r="L454" s="19" t="n">
        <x:f>E454-IF(H454=1,1,0)</x:f>
        <x:v>6</x:v>
      </x:c>
      <x:c r="M454" s="19" t="n">
        <x:f>F454-IF(H454=2,1,0)</x:f>
        <x:v>1</x:v>
      </x:c>
      <x:c r="N454" s="19" t="n">
        <x:f>MAX(K454-1,0)+MAX(L454-1,0)+MAX(M454-1,0)</x:f>
        <x:v>5</x:v>
      </x:c>
      <x:c r="O454" s="19" t="n">
        <x:f>IF(AND(SUM(K454:M454)&lt;9,OR(M454=0,N454&lt;6)),1,0)</x:f>
        <x:v>1</x:v>
      </x:c>
      <x:c r="P454" s="19" t="n">
        <x:f>IF(AND(SUM(K454:M454)&lt;9,OR(L454=0,N454&lt;6)),1,0)</x:f>
        <x:v>1</x:v>
      </x:c>
      <x:c r="Q454" s="19" t="n">
        <x:f>IF(AND(SUM(K454:M454)&lt;9,OR(K454=0,N454&lt;6)),1,0)</x:f>
        <x:v>1</x:v>
      </x:c>
      <x:c r="R454" s="22" t="str">
        <x:f>O454&amp;P454&amp;Q454</x:f>
        <x:v>111</x:v>
      </x:c>
      <x:c r="S454" s="19" t="n">
        <x:f>IF(I454=1,IF(J454=0,Q454,IF(J454=1,P454,IF(J454=2,O454,0))),0)</x:f>
        <x:v>1</x:v>
      </x:c>
      <x:c r="T454" s="19" t="n">
        <x:f>K454+IF(AND(S454=1,J454=0),1,0)</x:f>
        <x:v>0</x:v>
      </x:c>
      <x:c r="U454" s="19" t="n">
        <x:f>L454+IF(AND(S454=1,J454=1),1,0)</x:f>
        <x:v>7</x:v>
      </x:c>
      <x:c r="V454" s="19" t="n">
        <x:f>M454+IF(AND(S454=1,J454=2),1,0)</x:f>
        <x:v>1</x:v>
      </x:c>
      <x:c r="W454" s="19" t="n">
        <x:f>SUM(T454:V454)</x:f>
        <x:v>8</x:v>
      </x:c>
      <x:c r="X454" s="19" t="n">
        <x:f>W454-G454</x:f>
        <x:v>0</x:v>
      </x:c>
      <x:c r="Y454" s="19" t="n">
        <x:f>MAX(T454,1)+MAX(U454,1)+MAX(V454,1)</x:f>
        <x:v>9</x:v>
      </x:c>
      <x:c r="Z454" s="21" t="str">
        <x:f>IF(AND(MIN(D454:F454)&gt;=0,MAX(D454:F454)&lt;=7,MAX(D454,1)+MAX(E454,1)+MAX(F454,1)&lt;=9,OR(H454="-",AND(H454=0,D454&gt;0),AND(H454=1,E454&gt;0),AND(H454=2,F454&gt;0)),OR(I454=0,AND(I454=1,OR(J454=0,J454=1,J454=2),R454&lt;&gt;"000")),Y454&lt;=9,MIN(T454:V454)&gt;=0),"合法","输入违约")</x:f>
        <x:v>合法</x:v>
      </x:c>
    </x:row>
    <x:row r="455" ht="23" customHeight="1">
      <x:c r="A455" s="3" t="str">
        <x:v>CT-0448</x:v>
      </x:c>
      <x:c r="B455" s="3" t="str">
        <x:v>ST-127</x:v>
      </x:c>
      <x:c r="C455" s="3" t="str">
        <x:v>R+AR同收同发</x:v>
      </x:c>
      <x:c r="D455" s="25" t="n">
        <x:v>0</x:v>
      </x:c>
      <x:c r="E455" s="25" t="n">
        <x:v>7</x:v>
      </x:c>
      <x:c r="F455" s="25" t="n">
        <x:v>1</x:v>
      </x:c>
      <x:c r="G455" s="19" t="n">
        <x:f>SUM(D455:F455)</x:f>
        <x:v>8</x:v>
      </x:c>
      <x:c r="H455" s="25" t="n">
        <x:v>1</x:v>
      </x:c>
      <x:c r="I455" s="25" t="n">
        <x:v>1</x:v>
      </x:c>
      <x:c r="J455" s="25" t="n">
        <x:v>2</x:v>
      </x:c>
      <x:c r="K455" s="19" t="n">
        <x:f>D455-IF(H455=0,1,0)</x:f>
        <x:v>0</x:v>
      </x:c>
      <x:c r="L455" s="19" t="n">
        <x:f>E455-IF(H455=1,1,0)</x:f>
        <x:v>6</x:v>
      </x:c>
      <x:c r="M455" s="19" t="n">
        <x:f>F455-IF(H455=2,1,0)</x:f>
        <x:v>1</x:v>
      </x:c>
      <x:c r="N455" s="19" t="n">
        <x:f>MAX(K455-1,0)+MAX(L455-1,0)+MAX(M455-1,0)</x:f>
        <x:v>5</x:v>
      </x:c>
      <x:c r="O455" s="19" t="n">
        <x:f>IF(AND(SUM(K455:M455)&lt;9,OR(M455=0,N455&lt;6)),1,0)</x:f>
        <x:v>1</x:v>
      </x:c>
      <x:c r="P455" s="19" t="n">
        <x:f>IF(AND(SUM(K455:M455)&lt;9,OR(L455=0,N455&lt;6)),1,0)</x:f>
        <x:v>1</x:v>
      </x:c>
      <x:c r="Q455" s="19" t="n">
        <x:f>IF(AND(SUM(K455:M455)&lt;9,OR(K455=0,N455&lt;6)),1,0)</x:f>
        <x:v>1</x:v>
      </x:c>
      <x:c r="R455" s="22" t="str">
        <x:f>O455&amp;P455&amp;Q455</x:f>
        <x:v>111</x:v>
      </x:c>
      <x:c r="S455" s="19" t="n">
        <x:f>IF(I455=1,IF(J455=0,Q455,IF(J455=1,P455,IF(J455=2,O455,0))),0)</x:f>
        <x:v>1</x:v>
      </x:c>
      <x:c r="T455" s="19" t="n">
        <x:f>K455+IF(AND(S455=1,J455=0),1,0)</x:f>
        <x:v>0</x:v>
      </x:c>
      <x:c r="U455" s="19" t="n">
        <x:f>L455+IF(AND(S455=1,J455=1),1,0)</x:f>
        <x:v>6</x:v>
      </x:c>
      <x:c r="V455" s="19" t="n">
        <x:f>M455+IF(AND(S455=1,J455=2),1,0)</x:f>
        <x:v>2</x:v>
      </x:c>
      <x:c r="W455" s="19" t="n">
        <x:f>SUM(T455:V455)</x:f>
        <x:v>8</x:v>
      </x:c>
      <x:c r="X455" s="19" t="n">
        <x:f>W455-G455</x:f>
        <x:v>0</x:v>
      </x:c>
      <x:c r="Y455" s="19" t="n">
        <x:f>MAX(T455,1)+MAX(U455,1)+MAX(V455,1)</x:f>
        <x:v>9</x:v>
      </x:c>
      <x:c r="Z455" s="21" t="str">
        <x:f>IF(AND(MIN(D455:F455)&gt;=0,MAX(D455:F455)&lt;=7,MAX(D455,1)+MAX(E455,1)+MAX(F455,1)&lt;=9,OR(H455="-",AND(H455=0,D455&gt;0),AND(H455=1,E455&gt;0),AND(H455=2,F455&gt;0)),OR(I455=0,AND(I455=1,OR(J455=0,J455=1,J455=2),R455&lt;&gt;"000")),Y455&lt;=9,MIN(T455:V455)&gt;=0),"合法","输入违约")</x:f>
        <x:v>合法</x:v>
      </x:c>
    </x:row>
    <x:row r="456" ht="23" customHeight="1">
      <x:c r="A456" s="3" t="str">
        <x:v>CT-0449</x:v>
      </x:c>
      <x:c r="B456" s="3" t="str">
        <x:v>ST-127</x:v>
      </x:c>
      <x:c r="C456" s="3" t="str">
        <x:v>仅R回收</x:v>
      </x:c>
      <x:c r="D456" s="25" t="n">
        <x:v>0</x:v>
      </x:c>
      <x:c r="E456" s="25" t="n">
        <x:v>7</x:v>
      </x:c>
      <x:c r="F456" s="25" t="n">
        <x:v>1</x:v>
      </x:c>
      <x:c r="G456" s="19" t="n">
        <x:f>SUM(D456:F456)</x:f>
        <x:v>8</x:v>
      </x:c>
      <x:c r="H456" s="25" t="n">
        <x:v>2</x:v>
      </x:c>
      <x:c r="I456" s="25" t="n">
        <x:v>0</x:v>
      </x:c>
      <x:c r="J456" s="25" t="str">
        <x:v>-</x:v>
      </x:c>
      <x:c r="K456" s="19" t="n">
        <x:f>D456-IF(H456=0,1,0)</x:f>
        <x:v>0</x:v>
      </x:c>
      <x:c r="L456" s="19" t="n">
        <x:f>E456-IF(H456=1,1,0)</x:f>
        <x:v>7</x:v>
      </x:c>
      <x:c r="M456" s="19" t="n">
        <x:f>F456-IF(H456=2,1,0)</x:f>
        <x:v>0</x:v>
      </x:c>
      <x:c r="N456" s="19" t="n">
        <x:f>MAX(K456-1,0)+MAX(L456-1,0)+MAX(M456-1,0)</x:f>
        <x:v>6</x:v>
      </x:c>
      <x:c r="O456" s="19" t="n">
        <x:f>IF(AND(SUM(K456:M456)&lt;9,OR(M456=0,N456&lt;6)),1,0)</x:f>
        <x:v>1</x:v>
      </x:c>
      <x:c r="P456" s="19" t="n">
        <x:f>IF(AND(SUM(K456:M456)&lt;9,OR(L456=0,N456&lt;6)),1,0)</x:f>
        <x:v>0</x:v>
      </x:c>
      <x:c r="Q456" s="19" t="n">
        <x:f>IF(AND(SUM(K456:M456)&lt;9,OR(K456=0,N456&lt;6)),1,0)</x:f>
        <x:v>1</x:v>
      </x:c>
      <x:c r="R456" s="22" t="str">
        <x:f>O456&amp;P456&amp;Q456</x:f>
        <x:v>101</x:v>
      </x:c>
      <x:c r="S456" s="19" t="n">
        <x:f>IF(I456=1,IF(J456=0,Q456,IF(J456=1,P456,IF(J456=2,O456,0))),0)</x:f>
        <x:v>0</x:v>
      </x:c>
      <x:c r="T456" s="19" t="n">
        <x:f>K456+IF(AND(S456=1,J456=0),1,0)</x:f>
        <x:v>0</x:v>
      </x:c>
      <x:c r="U456" s="19" t="n">
        <x:f>L456+IF(AND(S456=1,J456=1),1,0)</x:f>
        <x:v>7</x:v>
      </x:c>
      <x:c r="V456" s="19" t="n">
        <x:f>M456+IF(AND(S456=1,J456=2),1,0)</x:f>
        <x:v>0</x:v>
      </x:c>
      <x:c r="W456" s="19" t="n">
        <x:f>SUM(T456:V456)</x:f>
        <x:v>7</x:v>
      </x:c>
      <x:c r="X456" s="19" t="n">
        <x:f>W456-G456</x:f>
        <x:v>-1</x:v>
      </x:c>
      <x:c r="Y456" s="19" t="n">
        <x:f>MAX(T456,1)+MAX(U456,1)+MAX(V456,1)</x:f>
        <x:v>9</x:v>
      </x:c>
      <x:c r="Z456" s="21" t="str">
        <x:f>IF(AND(MIN(D456:F456)&gt;=0,MAX(D456:F456)&lt;=7,MAX(D456,1)+MAX(E456,1)+MAX(F456,1)&lt;=9,OR(H456="-",AND(H456=0,D456&gt;0),AND(H456=1,E456&gt;0),AND(H456=2,F456&gt;0)),OR(I456=0,AND(I456=1,OR(J456=0,J456=1,J456=2),R456&lt;&gt;"000")),Y456&lt;=9,MIN(T456:V456)&gt;=0),"合法","输入违约")</x:f>
        <x:v>合法</x:v>
      </x:c>
    </x:row>
    <x:row r="457" ht="23" customHeight="1">
      <x:c r="A457" s="3" t="str">
        <x:v>CT-0450</x:v>
      </x:c>
      <x:c r="B457" s="3" t="str">
        <x:v>ST-127</x:v>
      </x:c>
      <x:c r="C457" s="3" t="str">
        <x:v>R+AR同收同发</x:v>
      </x:c>
      <x:c r="D457" s="25" t="n">
        <x:v>0</x:v>
      </x:c>
      <x:c r="E457" s="25" t="n">
        <x:v>7</x:v>
      </x:c>
      <x:c r="F457" s="25" t="n">
        <x:v>1</x:v>
      </x:c>
      <x:c r="G457" s="19" t="n">
        <x:f>SUM(D457:F457)</x:f>
        <x:v>8</x:v>
      </x:c>
      <x:c r="H457" s="25" t="n">
        <x:v>2</x:v>
      </x:c>
      <x:c r="I457" s="25" t="n">
        <x:v>1</x:v>
      </x:c>
      <x:c r="J457" s="25" t="n">
        <x:v>0</x:v>
      </x:c>
      <x:c r="K457" s="19" t="n">
        <x:f>D457-IF(H457=0,1,0)</x:f>
        <x:v>0</x:v>
      </x:c>
      <x:c r="L457" s="19" t="n">
        <x:f>E457-IF(H457=1,1,0)</x:f>
        <x:v>7</x:v>
      </x:c>
      <x:c r="M457" s="19" t="n">
        <x:f>F457-IF(H457=2,1,0)</x:f>
        <x:v>0</x:v>
      </x:c>
      <x:c r="N457" s="19" t="n">
        <x:f>MAX(K457-1,0)+MAX(L457-1,0)+MAX(M457-1,0)</x:f>
        <x:v>6</x:v>
      </x:c>
      <x:c r="O457" s="19" t="n">
        <x:f>IF(AND(SUM(K457:M457)&lt;9,OR(M457=0,N457&lt;6)),1,0)</x:f>
        <x:v>1</x:v>
      </x:c>
      <x:c r="P457" s="19" t="n">
        <x:f>IF(AND(SUM(K457:M457)&lt;9,OR(L457=0,N457&lt;6)),1,0)</x:f>
        <x:v>0</x:v>
      </x:c>
      <x:c r="Q457" s="19" t="n">
        <x:f>IF(AND(SUM(K457:M457)&lt;9,OR(K457=0,N457&lt;6)),1,0)</x:f>
        <x:v>1</x:v>
      </x:c>
      <x:c r="R457" s="22" t="str">
        <x:f>O457&amp;P457&amp;Q457</x:f>
        <x:v>101</x:v>
      </x:c>
      <x:c r="S457" s="19" t="n">
        <x:f>IF(I457=1,IF(J457=0,Q457,IF(J457=1,P457,IF(J457=2,O457,0))),0)</x:f>
        <x:v>1</x:v>
      </x:c>
      <x:c r="T457" s="19" t="n">
        <x:f>K457+IF(AND(S457=1,J457=0),1,0)</x:f>
        <x:v>1</x:v>
      </x:c>
      <x:c r="U457" s="19" t="n">
        <x:f>L457+IF(AND(S457=1,J457=1),1,0)</x:f>
        <x:v>7</x:v>
      </x:c>
      <x:c r="V457" s="19" t="n">
        <x:f>M457+IF(AND(S457=1,J457=2),1,0)</x:f>
        <x:v>0</x:v>
      </x:c>
      <x:c r="W457" s="19" t="n">
        <x:f>SUM(T457:V457)</x:f>
        <x:v>8</x:v>
      </x:c>
      <x:c r="X457" s="19" t="n">
        <x:f>W457-G457</x:f>
        <x:v>0</x:v>
      </x:c>
      <x:c r="Y457" s="19" t="n">
        <x:f>MAX(T457,1)+MAX(U457,1)+MAX(V457,1)</x:f>
        <x:v>9</x:v>
      </x:c>
      <x:c r="Z457" s="21" t="str">
        <x:f>IF(AND(MIN(D457:F457)&gt;=0,MAX(D457:F457)&lt;=7,MAX(D457,1)+MAX(E457,1)+MAX(F457,1)&lt;=9,OR(H457="-",AND(H457=0,D457&gt;0),AND(H457=1,E457&gt;0),AND(H457=2,F457&gt;0)),OR(I457=0,AND(I457=1,OR(J457=0,J457=1,J457=2),R457&lt;&gt;"000")),Y457&lt;=9,MIN(T457:V457)&gt;=0),"合法","输入违约")</x:f>
        <x:v>合法</x:v>
      </x:c>
    </x:row>
    <x:row r="458" ht="23" customHeight="1">
      <x:c r="A458" s="3" t="str">
        <x:v>CT-0451</x:v>
      </x:c>
      <x:c r="B458" s="3" t="str">
        <x:v>ST-127</x:v>
      </x:c>
      <x:c r="C458" s="3" t="str">
        <x:v>仅R回收</x:v>
      </x:c>
      <x:c r="D458" s="25" t="n">
        <x:v>0</x:v>
      </x:c>
      <x:c r="E458" s="25" t="n">
        <x:v>7</x:v>
      </x:c>
      <x:c r="F458" s="25" t="n">
        <x:v>1</x:v>
      </x:c>
      <x:c r="G458" s="19" t="n">
        <x:f>SUM(D458:F458)</x:f>
        <x:v>8</x:v>
      </x:c>
      <x:c r="H458" s="25" t="n">
        <x:v>2</x:v>
      </x:c>
      <x:c r="I458" s="25" t="n">
        <x:v>1</x:v>
      </x:c>
      <x:c r="J458" s="25" t="n">
        <x:v>1</x:v>
      </x:c>
      <x:c r="K458" s="19" t="n">
        <x:f>D458-IF(H458=0,1,0)</x:f>
        <x:v>0</x:v>
      </x:c>
      <x:c r="L458" s="19" t="n">
        <x:f>E458-IF(H458=1,1,0)</x:f>
        <x:v>7</x:v>
      </x:c>
      <x:c r="M458" s="19" t="n">
        <x:f>F458-IF(H458=2,1,0)</x:f>
        <x:v>0</x:v>
      </x:c>
      <x:c r="N458" s="19" t="n">
        <x:f>MAX(K458-1,0)+MAX(L458-1,0)+MAX(M458-1,0)</x:f>
        <x:v>6</x:v>
      </x:c>
      <x:c r="O458" s="19" t="n">
        <x:f>IF(AND(SUM(K458:M458)&lt;9,OR(M458=0,N458&lt;6)),1,0)</x:f>
        <x:v>1</x:v>
      </x:c>
      <x:c r="P458" s="19" t="n">
        <x:f>IF(AND(SUM(K458:M458)&lt;9,OR(L458=0,N458&lt;6)),1,0)</x:f>
        <x:v>0</x:v>
      </x:c>
      <x:c r="Q458" s="19" t="n">
        <x:f>IF(AND(SUM(K458:M458)&lt;9,OR(K458=0,N458&lt;6)),1,0)</x:f>
        <x:v>1</x:v>
      </x:c>
      <x:c r="R458" s="22" t="str">
        <x:f>O458&amp;P458&amp;Q458</x:f>
        <x:v>101</x:v>
      </x:c>
      <x:c r="S458" s="19" t="n">
        <x:f>IF(I458=1,IF(J458=0,Q458,IF(J458=1,P458,IF(J458=2,O458,0))),0)</x:f>
        <x:v>0</x:v>
      </x:c>
      <x:c r="T458" s="19" t="n">
        <x:f>K458+IF(AND(S458=1,J458=0),1,0)</x:f>
        <x:v>0</x:v>
      </x:c>
      <x:c r="U458" s="19" t="n">
        <x:f>L458+IF(AND(S458=1,J458=1),1,0)</x:f>
        <x:v>7</x:v>
      </x:c>
      <x:c r="V458" s="19" t="n">
        <x:f>M458+IF(AND(S458=1,J458=2),1,0)</x:f>
        <x:v>0</x:v>
      </x:c>
      <x:c r="W458" s="19" t="n">
        <x:f>SUM(T458:V458)</x:f>
        <x:v>7</x:v>
      </x:c>
      <x:c r="X458" s="19" t="n">
        <x:f>W458-G458</x:f>
        <x:v>-1</x:v>
      </x:c>
      <x:c r="Y458" s="19" t="n">
        <x:f>MAX(T458,1)+MAX(U458,1)+MAX(V458,1)</x:f>
        <x:v>9</x:v>
      </x:c>
      <x:c r="Z458" s="21" t="str">
        <x:f>IF(AND(MIN(D458:F458)&gt;=0,MAX(D458:F458)&lt;=7,MAX(D458,1)+MAX(E458,1)+MAX(F458,1)&lt;=9,OR(H458="-",AND(H458=0,D458&gt;0),AND(H458=1,E458&gt;0),AND(H458=2,F458&gt;0)),OR(I458=0,AND(I458=1,OR(J458=0,J458=1,J458=2),R458&lt;&gt;"000")),Y458&lt;=9,MIN(T458:V458)&gt;=0),"合法","输入违约")</x:f>
        <x:v>合法</x:v>
      </x:c>
    </x:row>
    <x:row r="459" ht="23" customHeight="1">
      <x:c r="A459" s="3" t="str">
        <x:v>CT-0452</x:v>
      </x:c>
      <x:c r="B459" s="3" t="str">
        <x:v>ST-127</x:v>
      </x:c>
      <x:c r="C459" s="3" t="str">
        <x:v>R+AR同收同发</x:v>
      </x:c>
      <x:c r="D459" s="25" t="n">
        <x:v>0</x:v>
      </x:c>
      <x:c r="E459" s="25" t="n">
        <x:v>7</x:v>
      </x:c>
      <x:c r="F459" s="25" t="n">
        <x:v>1</x:v>
      </x:c>
      <x:c r="G459" s="19" t="n">
        <x:f>SUM(D459:F459)</x:f>
        <x:v>8</x:v>
      </x:c>
      <x:c r="H459" s="25" t="n">
        <x:v>2</x:v>
      </x:c>
      <x:c r="I459" s="25" t="n">
        <x:v>1</x:v>
      </x:c>
      <x:c r="J459" s="25" t="n">
        <x:v>2</x:v>
      </x:c>
      <x:c r="K459" s="19" t="n">
        <x:f>D459-IF(H459=0,1,0)</x:f>
        <x:v>0</x:v>
      </x:c>
      <x:c r="L459" s="19" t="n">
        <x:f>E459-IF(H459=1,1,0)</x:f>
        <x:v>7</x:v>
      </x:c>
      <x:c r="M459" s="19" t="n">
        <x:f>F459-IF(H459=2,1,0)</x:f>
        <x:v>0</x:v>
      </x:c>
      <x:c r="N459" s="19" t="n">
        <x:f>MAX(K459-1,0)+MAX(L459-1,0)+MAX(M459-1,0)</x:f>
        <x:v>6</x:v>
      </x:c>
      <x:c r="O459" s="19" t="n">
        <x:f>IF(AND(SUM(K459:M459)&lt;9,OR(M459=0,N459&lt;6)),1,0)</x:f>
        <x:v>1</x:v>
      </x:c>
      <x:c r="P459" s="19" t="n">
        <x:f>IF(AND(SUM(K459:M459)&lt;9,OR(L459=0,N459&lt;6)),1,0)</x:f>
        <x:v>0</x:v>
      </x:c>
      <x:c r="Q459" s="19" t="n">
        <x:f>IF(AND(SUM(K459:M459)&lt;9,OR(K459=0,N459&lt;6)),1,0)</x:f>
        <x:v>1</x:v>
      </x:c>
      <x:c r="R459" s="22" t="str">
        <x:f>O459&amp;P459&amp;Q459</x:f>
        <x:v>101</x:v>
      </x:c>
      <x:c r="S459" s="19" t="n">
        <x:f>IF(I459=1,IF(J459=0,Q459,IF(J459=1,P459,IF(J459=2,O459,0))),0)</x:f>
        <x:v>1</x:v>
      </x:c>
      <x:c r="T459" s="19" t="n">
        <x:f>K459+IF(AND(S459=1,J459=0),1,0)</x:f>
        <x:v>0</x:v>
      </x:c>
      <x:c r="U459" s="19" t="n">
        <x:f>L459+IF(AND(S459=1,J459=1),1,0)</x:f>
        <x:v>7</x:v>
      </x:c>
      <x:c r="V459" s="19" t="n">
        <x:f>M459+IF(AND(S459=1,J459=2),1,0)</x:f>
        <x:v>1</x:v>
      </x:c>
      <x:c r="W459" s="19" t="n">
        <x:f>SUM(T459:V459)</x:f>
        <x:v>8</x:v>
      </x:c>
      <x:c r="X459" s="19" t="n">
        <x:f>W459-G459</x:f>
        <x:v>0</x:v>
      </x:c>
      <x:c r="Y459" s="19" t="n">
        <x:f>MAX(T459,1)+MAX(U459,1)+MAX(V459,1)</x:f>
        <x:v>9</x:v>
      </x:c>
      <x:c r="Z459" s="21" t="str">
        <x:f>IF(AND(MIN(D459:F459)&gt;=0,MAX(D459:F459)&lt;=7,MAX(D459,1)+MAX(E459,1)+MAX(F459,1)&lt;=9,OR(H459="-",AND(H459=0,D459&gt;0),AND(H459=1,E459&gt;0),AND(H459=2,F459&gt;0)),OR(I459=0,AND(I459=1,OR(J459=0,J459=1,J459=2),R459&lt;&gt;"000")),Y459&lt;=9,MIN(T459:V459)&gt;=0),"合法","输入违约")</x:f>
        <x:v>合法</x:v>
      </x:c>
    </x:row>
    <x:row r="460" ht="23" customHeight="1">
      <x:c r="A460" s="3" t="str">
        <x:v>CT-0453</x:v>
      </x:c>
      <x:c r="B460" s="3" t="str">
        <x:v>ST-004</x:v>
      </x:c>
      <x:c r="C460" s="3" t="str">
        <x:v>无AR/R</x:v>
      </x:c>
      <x:c r="D460" s="25" t="n">
        <x:v>1</x:v>
      </x:c>
      <x:c r="E460" s="25" t="n">
        <x:v>0</x:v>
      </x:c>
      <x:c r="F460" s="25" t="n">
        <x:v>0</x:v>
      </x:c>
      <x:c r="G460" s="19" t="n">
        <x:f>SUM(D460:F460)</x:f>
        <x:v>1</x:v>
      </x:c>
      <x:c r="H460" s="25" t="str">
        <x:v>-</x:v>
      </x:c>
      <x:c r="I460" s="25" t="n">
        <x:v>0</x:v>
      </x:c>
      <x:c r="J460" s="25" t="str">
        <x:v>-</x:v>
      </x:c>
      <x:c r="K460" s="19" t="n">
        <x:f>D460-IF(H460=0,1,0)</x:f>
        <x:v>1</x:v>
      </x:c>
      <x:c r="L460" s="19" t="n">
        <x:f>E460-IF(H460=1,1,0)</x:f>
        <x:v>0</x:v>
      </x:c>
      <x:c r="M460" s="19" t="n">
        <x:f>F460-IF(H460=2,1,0)</x:f>
        <x:v>0</x:v>
      </x:c>
      <x:c r="N460" s="19" t="n">
        <x:f>MAX(K460-1,0)+MAX(L460-1,0)+MAX(M460-1,0)</x:f>
        <x:v>0</x:v>
      </x:c>
      <x:c r="O460" s="19" t="n">
        <x:f>IF(AND(SUM(K460:M460)&lt;9,OR(M460=0,N460&lt;6)),1,0)</x:f>
        <x:v>1</x:v>
      </x:c>
      <x:c r="P460" s="19" t="n">
        <x:f>IF(AND(SUM(K460:M460)&lt;9,OR(L460=0,N460&lt;6)),1,0)</x:f>
        <x:v>1</x:v>
      </x:c>
      <x:c r="Q460" s="19" t="n">
        <x:f>IF(AND(SUM(K460:M460)&lt;9,OR(K460=0,N460&lt;6)),1,0)</x:f>
        <x:v>1</x:v>
      </x:c>
      <x:c r="R460" s="22" t="str">
        <x:f>O460&amp;P460&amp;Q460</x:f>
        <x:v>111</x:v>
      </x:c>
      <x:c r="S460" s="19" t="n">
        <x:f>IF(I460=1,IF(J460=0,Q460,IF(J460=1,P460,IF(J460=2,O460,0))),0)</x:f>
        <x:v>0</x:v>
      </x:c>
      <x:c r="T460" s="19" t="n">
        <x:f>K460+IF(AND(S460=1,J460=0),1,0)</x:f>
        <x:v>1</x:v>
      </x:c>
      <x:c r="U460" s="19" t="n">
        <x:f>L460+IF(AND(S460=1,J460=1),1,0)</x:f>
        <x:v>0</x:v>
      </x:c>
      <x:c r="V460" s="19" t="n">
        <x:f>M460+IF(AND(S460=1,J460=2),1,0)</x:f>
        <x:v>0</x:v>
      </x:c>
      <x:c r="W460" s="19" t="n">
        <x:f>SUM(T460:V460)</x:f>
        <x:v>1</x:v>
      </x:c>
      <x:c r="X460" s="19" t="n">
        <x:f>W460-G460</x:f>
        <x:v>0</x:v>
      </x:c>
      <x:c r="Y460" s="19" t="n">
        <x:f>MAX(T460,1)+MAX(U460,1)+MAX(V460,1)</x:f>
        <x:v>3</x:v>
      </x:c>
      <x:c r="Z460" s="21" t="str">
        <x:f>IF(AND(MIN(D460:F460)&gt;=0,MAX(D460:F460)&lt;=7,MAX(D460,1)+MAX(E460,1)+MAX(F460,1)&lt;=9,OR(H460="-",AND(H460=0,D460&gt;0),AND(H460=1,E460&gt;0),AND(H460=2,F460&gt;0)),OR(I460=0,AND(I460=1,OR(J460=0,J460=1,J460=2),R460&lt;&gt;"000")),Y460&lt;=9,MIN(T460:V460)&gt;=0),"合法","输入违约")</x:f>
        <x:v>合法</x:v>
      </x:c>
    </x:row>
    <x:row r="461" ht="23" customHeight="1">
      <x:c r="A461" s="3" t="str">
        <x:v>CT-0454</x:v>
      </x:c>
      <x:c r="B461" s="3" t="str">
        <x:v>ST-004</x:v>
      </x:c>
      <x:c r="C461" s="3" t="str">
        <x:v>仅AR接收</x:v>
      </x:c>
      <x:c r="D461" s="25" t="n">
        <x:v>1</x:v>
      </x:c>
      <x:c r="E461" s="25" t="n">
        <x:v>0</x:v>
      </x:c>
      <x:c r="F461" s="25" t="n">
        <x:v>0</x:v>
      </x:c>
      <x:c r="G461" s="19" t="n">
        <x:f>SUM(D461:F461)</x:f>
        <x:v>1</x:v>
      </x:c>
      <x:c r="H461" s="25" t="str">
        <x:v>-</x:v>
      </x:c>
      <x:c r="I461" s="25" t="n">
        <x:v>1</x:v>
      </x:c>
      <x:c r="J461" s="25" t="n">
        <x:v>0</x:v>
      </x:c>
      <x:c r="K461" s="19" t="n">
        <x:f>D461-IF(H461=0,1,0)</x:f>
        <x:v>1</x:v>
      </x:c>
      <x:c r="L461" s="19" t="n">
        <x:f>E461-IF(H461=1,1,0)</x:f>
        <x:v>0</x:v>
      </x:c>
      <x:c r="M461" s="19" t="n">
        <x:f>F461-IF(H461=2,1,0)</x:f>
        <x:v>0</x:v>
      </x:c>
      <x:c r="N461" s="19" t="n">
        <x:f>MAX(K461-1,0)+MAX(L461-1,0)+MAX(M461-1,0)</x:f>
        <x:v>0</x:v>
      </x:c>
      <x:c r="O461" s="19" t="n">
        <x:f>IF(AND(SUM(K461:M461)&lt;9,OR(M461=0,N461&lt;6)),1,0)</x:f>
        <x:v>1</x:v>
      </x:c>
      <x:c r="P461" s="19" t="n">
        <x:f>IF(AND(SUM(K461:M461)&lt;9,OR(L461=0,N461&lt;6)),1,0)</x:f>
        <x:v>1</x:v>
      </x:c>
      <x:c r="Q461" s="19" t="n">
        <x:f>IF(AND(SUM(K461:M461)&lt;9,OR(K461=0,N461&lt;6)),1,0)</x:f>
        <x:v>1</x:v>
      </x:c>
      <x:c r="R461" s="22" t="str">
        <x:f>O461&amp;P461&amp;Q461</x:f>
        <x:v>111</x:v>
      </x:c>
      <x:c r="S461" s="19" t="n">
        <x:f>IF(I461=1,IF(J461=0,Q461,IF(J461=1,P461,IF(J461=2,O461,0))),0)</x:f>
        <x:v>1</x:v>
      </x:c>
      <x:c r="T461" s="19" t="n">
        <x:f>K461+IF(AND(S461=1,J461=0),1,0)</x:f>
        <x:v>2</x:v>
      </x:c>
      <x:c r="U461" s="19" t="n">
        <x:f>L461+IF(AND(S461=1,J461=1),1,0)</x:f>
        <x:v>0</x:v>
      </x:c>
      <x:c r="V461" s="19" t="n">
        <x:f>M461+IF(AND(S461=1,J461=2),1,0)</x:f>
        <x:v>0</x:v>
      </x:c>
      <x:c r="W461" s="19" t="n">
        <x:f>SUM(T461:V461)</x:f>
        <x:v>2</x:v>
      </x:c>
      <x:c r="X461" s="19" t="n">
        <x:f>W461-G461</x:f>
        <x:v>1</x:v>
      </x:c>
      <x:c r="Y461" s="19" t="n">
        <x:f>MAX(T461,1)+MAX(U461,1)+MAX(V461,1)</x:f>
        <x:v>4</x:v>
      </x:c>
      <x:c r="Z461" s="21" t="str">
        <x:f>IF(AND(MIN(D461:F461)&gt;=0,MAX(D461:F461)&lt;=7,MAX(D461,1)+MAX(E461,1)+MAX(F461,1)&lt;=9,OR(H461="-",AND(H461=0,D461&gt;0),AND(H461=1,E461&gt;0),AND(H461=2,F461&gt;0)),OR(I461=0,AND(I461=1,OR(J461=0,J461=1,J461=2),R461&lt;&gt;"000")),Y461&lt;=9,MIN(T461:V461)&gt;=0),"合法","输入违约")</x:f>
        <x:v>合法</x:v>
      </x:c>
    </x:row>
    <x:row r="462" ht="23" customHeight="1">
      <x:c r="A462" s="3" t="str">
        <x:v>CT-0455</x:v>
      </x:c>
      <x:c r="B462" s="3" t="str">
        <x:v>ST-004</x:v>
      </x:c>
      <x:c r="C462" s="3" t="str">
        <x:v>仅AR接收</x:v>
      </x:c>
      <x:c r="D462" s="25" t="n">
        <x:v>1</x:v>
      </x:c>
      <x:c r="E462" s="25" t="n">
        <x:v>0</x:v>
      </x:c>
      <x:c r="F462" s="25" t="n">
        <x:v>0</x:v>
      </x:c>
      <x:c r="G462" s="19" t="n">
        <x:f>SUM(D462:F462)</x:f>
        <x:v>1</x:v>
      </x:c>
      <x:c r="H462" s="25" t="str">
        <x:v>-</x:v>
      </x:c>
      <x:c r="I462" s="25" t="n">
        <x:v>1</x:v>
      </x:c>
      <x:c r="J462" s="25" t="n">
        <x:v>1</x:v>
      </x:c>
      <x:c r="K462" s="19" t="n">
        <x:f>D462-IF(H462=0,1,0)</x:f>
        <x:v>1</x:v>
      </x:c>
      <x:c r="L462" s="19" t="n">
        <x:f>E462-IF(H462=1,1,0)</x:f>
        <x:v>0</x:v>
      </x:c>
      <x:c r="M462" s="19" t="n">
        <x:f>F462-IF(H462=2,1,0)</x:f>
        <x:v>0</x:v>
      </x:c>
      <x:c r="N462" s="19" t="n">
        <x:f>MAX(K462-1,0)+MAX(L462-1,0)+MAX(M462-1,0)</x:f>
        <x:v>0</x:v>
      </x:c>
      <x:c r="O462" s="19" t="n">
        <x:f>IF(AND(SUM(K462:M462)&lt;9,OR(M462=0,N462&lt;6)),1,0)</x:f>
        <x:v>1</x:v>
      </x:c>
      <x:c r="P462" s="19" t="n">
        <x:f>IF(AND(SUM(K462:M462)&lt;9,OR(L462=0,N462&lt;6)),1,0)</x:f>
        <x:v>1</x:v>
      </x:c>
      <x:c r="Q462" s="19" t="n">
        <x:f>IF(AND(SUM(K462:M462)&lt;9,OR(K462=0,N462&lt;6)),1,0)</x:f>
        <x:v>1</x:v>
      </x:c>
      <x:c r="R462" s="22" t="str">
        <x:f>O462&amp;P462&amp;Q462</x:f>
        <x:v>111</x:v>
      </x:c>
      <x:c r="S462" s="19" t="n">
        <x:f>IF(I462=1,IF(J462=0,Q462,IF(J462=1,P462,IF(J462=2,O462,0))),0)</x:f>
        <x:v>1</x:v>
      </x:c>
      <x:c r="T462" s="19" t="n">
        <x:f>K462+IF(AND(S462=1,J462=0),1,0)</x:f>
        <x:v>1</x:v>
      </x:c>
      <x:c r="U462" s="19" t="n">
        <x:f>L462+IF(AND(S462=1,J462=1),1,0)</x:f>
        <x:v>1</x:v>
      </x:c>
      <x:c r="V462" s="19" t="n">
        <x:f>M462+IF(AND(S462=1,J462=2),1,0)</x:f>
        <x:v>0</x:v>
      </x:c>
      <x:c r="W462" s="19" t="n">
        <x:f>SUM(T462:V462)</x:f>
        <x:v>2</x:v>
      </x:c>
      <x:c r="X462" s="19" t="n">
        <x:f>W462-G462</x:f>
        <x:v>1</x:v>
      </x:c>
      <x:c r="Y462" s="19" t="n">
        <x:f>MAX(T462,1)+MAX(U462,1)+MAX(V462,1)</x:f>
        <x:v>3</x:v>
      </x:c>
      <x:c r="Z462" s="21" t="str">
        <x:f>IF(AND(MIN(D462:F462)&gt;=0,MAX(D462:F462)&lt;=7,MAX(D462,1)+MAX(E462,1)+MAX(F462,1)&lt;=9,OR(H462="-",AND(H462=0,D462&gt;0),AND(H462=1,E462&gt;0),AND(H462=2,F462&gt;0)),OR(I462=0,AND(I462=1,OR(J462=0,J462=1,J462=2),R462&lt;&gt;"000")),Y462&lt;=9,MIN(T462:V462)&gt;=0),"合法","输入违约")</x:f>
        <x:v>合法</x:v>
      </x:c>
    </x:row>
    <x:row r="463" ht="23" customHeight="1">
      <x:c r="A463" s="3" t="str">
        <x:v>CT-0456</x:v>
      </x:c>
      <x:c r="B463" s="3" t="str">
        <x:v>ST-004</x:v>
      </x:c>
      <x:c r="C463" s="3" t="str">
        <x:v>仅AR接收</x:v>
      </x:c>
      <x:c r="D463" s="25" t="n">
        <x:v>1</x:v>
      </x:c>
      <x:c r="E463" s="25" t="n">
        <x:v>0</x:v>
      </x:c>
      <x:c r="F463" s="25" t="n">
        <x:v>0</x:v>
      </x:c>
      <x:c r="G463" s="19" t="n">
        <x:f>SUM(D463:F463)</x:f>
        <x:v>1</x:v>
      </x:c>
      <x:c r="H463" s="25" t="str">
        <x:v>-</x:v>
      </x:c>
      <x:c r="I463" s="25" t="n">
        <x:v>1</x:v>
      </x:c>
      <x:c r="J463" s="25" t="n">
        <x:v>2</x:v>
      </x:c>
      <x:c r="K463" s="19" t="n">
        <x:f>D463-IF(H463=0,1,0)</x:f>
        <x:v>1</x:v>
      </x:c>
      <x:c r="L463" s="19" t="n">
        <x:f>E463-IF(H463=1,1,0)</x:f>
        <x:v>0</x:v>
      </x:c>
      <x:c r="M463" s="19" t="n">
        <x:f>F463-IF(H463=2,1,0)</x:f>
        <x:v>0</x:v>
      </x:c>
      <x:c r="N463" s="19" t="n">
        <x:f>MAX(K463-1,0)+MAX(L463-1,0)+MAX(M463-1,0)</x:f>
        <x:v>0</x:v>
      </x:c>
      <x:c r="O463" s="19" t="n">
        <x:f>IF(AND(SUM(K463:M463)&lt;9,OR(M463=0,N463&lt;6)),1,0)</x:f>
        <x:v>1</x:v>
      </x:c>
      <x:c r="P463" s="19" t="n">
        <x:f>IF(AND(SUM(K463:M463)&lt;9,OR(L463=0,N463&lt;6)),1,0)</x:f>
        <x:v>1</x:v>
      </x:c>
      <x:c r="Q463" s="19" t="n">
        <x:f>IF(AND(SUM(K463:M463)&lt;9,OR(K463=0,N463&lt;6)),1,0)</x:f>
        <x:v>1</x:v>
      </x:c>
      <x:c r="R463" s="22" t="str">
        <x:f>O463&amp;P463&amp;Q463</x:f>
        <x:v>111</x:v>
      </x:c>
      <x:c r="S463" s="19" t="n">
        <x:f>IF(I463=1,IF(J463=0,Q463,IF(J463=1,P463,IF(J463=2,O463,0))),0)</x:f>
        <x:v>1</x:v>
      </x:c>
      <x:c r="T463" s="19" t="n">
        <x:f>K463+IF(AND(S463=1,J463=0),1,0)</x:f>
        <x:v>1</x:v>
      </x:c>
      <x:c r="U463" s="19" t="n">
        <x:f>L463+IF(AND(S463=1,J463=1),1,0)</x:f>
        <x:v>0</x:v>
      </x:c>
      <x:c r="V463" s="19" t="n">
        <x:f>M463+IF(AND(S463=1,J463=2),1,0)</x:f>
        <x:v>1</x:v>
      </x:c>
      <x:c r="W463" s="19" t="n">
        <x:f>SUM(T463:V463)</x:f>
        <x:v>2</x:v>
      </x:c>
      <x:c r="X463" s="19" t="n">
        <x:f>W463-G463</x:f>
        <x:v>1</x:v>
      </x:c>
      <x:c r="Y463" s="19" t="n">
        <x:f>MAX(T463,1)+MAX(U463,1)+MAX(V463,1)</x:f>
        <x:v>3</x:v>
      </x:c>
      <x:c r="Z463" s="21" t="str">
        <x:f>IF(AND(MIN(D463:F463)&gt;=0,MAX(D463:F463)&lt;=7,MAX(D463,1)+MAX(E463,1)+MAX(F463,1)&lt;=9,OR(H463="-",AND(H463=0,D463&gt;0),AND(H463=1,E463&gt;0),AND(H463=2,F463&gt;0)),OR(I463=0,AND(I463=1,OR(J463=0,J463=1,J463=2),R463&lt;&gt;"000")),Y463&lt;=9,MIN(T463:V463)&gt;=0),"合法","输入违约")</x:f>
        <x:v>合法</x:v>
      </x:c>
    </x:row>
    <x:row r="464" ht="23" customHeight="1">
      <x:c r="A464" s="3" t="str">
        <x:v>CT-0457</x:v>
      </x:c>
      <x:c r="B464" s="3" t="str">
        <x:v>ST-004</x:v>
      </x:c>
      <x:c r="C464" s="3" t="str">
        <x:v>仅R回收</x:v>
      </x:c>
      <x:c r="D464" s="25" t="n">
        <x:v>1</x:v>
      </x:c>
      <x:c r="E464" s="25" t="n">
        <x:v>0</x:v>
      </x:c>
      <x:c r="F464" s="25" t="n">
        <x:v>0</x:v>
      </x:c>
      <x:c r="G464" s="19" t="n">
        <x:f>SUM(D464:F464)</x:f>
        <x:v>1</x:v>
      </x:c>
      <x:c r="H464" s="25" t="n">
        <x:v>0</x:v>
      </x:c>
      <x:c r="I464" s="25" t="n">
        <x:v>0</x:v>
      </x:c>
      <x:c r="J464" s="25" t="str">
        <x:v>-</x:v>
      </x:c>
      <x:c r="K464" s="19" t="n">
        <x:f>D464-IF(H464=0,1,0)</x:f>
        <x:v>0</x:v>
      </x:c>
      <x:c r="L464" s="19" t="n">
        <x:f>E464-IF(H464=1,1,0)</x:f>
        <x:v>0</x:v>
      </x:c>
      <x:c r="M464" s="19" t="n">
        <x:f>F464-IF(H464=2,1,0)</x:f>
        <x:v>0</x:v>
      </x:c>
      <x:c r="N464" s="19" t="n">
        <x:f>MAX(K464-1,0)+MAX(L464-1,0)+MAX(M464-1,0)</x:f>
        <x:v>0</x:v>
      </x:c>
      <x:c r="O464" s="19" t="n">
        <x:f>IF(AND(SUM(K464:M464)&lt;9,OR(M464=0,N464&lt;6)),1,0)</x:f>
        <x:v>1</x:v>
      </x:c>
      <x:c r="P464" s="19" t="n">
        <x:f>IF(AND(SUM(K464:M464)&lt;9,OR(L464=0,N464&lt;6)),1,0)</x:f>
        <x:v>1</x:v>
      </x:c>
      <x:c r="Q464" s="19" t="n">
        <x:f>IF(AND(SUM(K464:M464)&lt;9,OR(K464=0,N464&lt;6)),1,0)</x:f>
        <x:v>1</x:v>
      </x:c>
      <x:c r="R464" s="22" t="str">
        <x:f>O464&amp;P464&amp;Q464</x:f>
        <x:v>111</x:v>
      </x:c>
      <x:c r="S464" s="19" t="n">
        <x:f>IF(I464=1,IF(J464=0,Q464,IF(J464=1,P464,IF(J464=2,O464,0))),0)</x:f>
        <x:v>0</x:v>
      </x:c>
      <x:c r="T464" s="19" t="n">
        <x:f>K464+IF(AND(S464=1,J464=0),1,0)</x:f>
        <x:v>0</x:v>
      </x:c>
      <x:c r="U464" s="19" t="n">
        <x:f>L464+IF(AND(S464=1,J464=1),1,0)</x:f>
        <x:v>0</x:v>
      </x:c>
      <x:c r="V464" s="19" t="n">
        <x:f>M464+IF(AND(S464=1,J464=2),1,0)</x:f>
        <x:v>0</x:v>
      </x:c>
      <x:c r="W464" s="19" t="n">
        <x:f>SUM(T464:V464)</x:f>
        <x:v>0</x:v>
      </x:c>
      <x:c r="X464" s="19" t="n">
        <x:f>W464-G464</x:f>
        <x:v>-1</x:v>
      </x:c>
      <x:c r="Y464" s="19" t="n">
        <x:f>MAX(T464,1)+MAX(U464,1)+MAX(V464,1)</x:f>
        <x:v>3</x:v>
      </x:c>
      <x:c r="Z464" s="21" t="str">
        <x:f>IF(AND(MIN(D464:F464)&gt;=0,MAX(D464:F464)&lt;=7,MAX(D464,1)+MAX(E464,1)+MAX(F464,1)&lt;=9,OR(H464="-",AND(H464=0,D464&gt;0),AND(H464=1,E464&gt;0),AND(H464=2,F464&gt;0)),OR(I464=0,AND(I464=1,OR(J464=0,J464=1,J464=2),R464&lt;&gt;"000")),Y464&lt;=9,MIN(T464:V464)&gt;=0),"合法","输入违约")</x:f>
        <x:v>合法</x:v>
      </x:c>
    </x:row>
    <x:row r="465" ht="23" customHeight="1">
      <x:c r="A465" s="3" t="str">
        <x:v>CT-0458</x:v>
      </x:c>
      <x:c r="B465" s="3" t="str">
        <x:v>ST-004</x:v>
      </x:c>
      <x:c r="C465" s="3" t="str">
        <x:v>R+AR同收同发</x:v>
      </x:c>
      <x:c r="D465" s="25" t="n">
        <x:v>1</x:v>
      </x:c>
      <x:c r="E465" s="25" t="n">
        <x:v>0</x:v>
      </x:c>
      <x:c r="F465" s="25" t="n">
        <x:v>0</x:v>
      </x:c>
      <x:c r="G465" s="19" t="n">
        <x:f>SUM(D465:F465)</x:f>
        <x:v>1</x:v>
      </x:c>
      <x:c r="H465" s="25" t="n">
        <x:v>0</x:v>
      </x:c>
      <x:c r="I465" s="25" t="n">
        <x:v>1</x:v>
      </x:c>
      <x:c r="J465" s="25" t="n">
        <x:v>0</x:v>
      </x:c>
      <x:c r="K465" s="19" t="n">
        <x:f>D465-IF(H465=0,1,0)</x:f>
        <x:v>0</x:v>
      </x:c>
      <x:c r="L465" s="19" t="n">
        <x:f>E465-IF(H465=1,1,0)</x:f>
        <x:v>0</x:v>
      </x:c>
      <x:c r="M465" s="19" t="n">
        <x:f>F465-IF(H465=2,1,0)</x:f>
        <x:v>0</x:v>
      </x:c>
      <x:c r="N465" s="19" t="n">
        <x:f>MAX(K465-1,0)+MAX(L465-1,0)+MAX(M465-1,0)</x:f>
        <x:v>0</x:v>
      </x:c>
      <x:c r="O465" s="19" t="n">
        <x:f>IF(AND(SUM(K465:M465)&lt;9,OR(M465=0,N465&lt;6)),1,0)</x:f>
        <x:v>1</x:v>
      </x:c>
      <x:c r="P465" s="19" t="n">
        <x:f>IF(AND(SUM(K465:M465)&lt;9,OR(L465=0,N465&lt;6)),1,0)</x:f>
        <x:v>1</x:v>
      </x:c>
      <x:c r="Q465" s="19" t="n">
        <x:f>IF(AND(SUM(K465:M465)&lt;9,OR(K465=0,N465&lt;6)),1,0)</x:f>
        <x:v>1</x:v>
      </x:c>
      <x:c r="R465" s="22" t="str">
        <x:f>O465&amp;P465&amp;Q465</x:f>
        <x:v>111</x:v>
      </x:c>
      <x:c r="S465" s="19" t="n">
        <x:f>IF(I465=1,IF(J465=0,Q465,IF(J465=1,P465,IF(J465=2,O465,0))),0)</x:f>
        <x:v>1</x:v>
      </x:c>
      <x:c r="T465" s="19" t="n">
        <x:f>K465+IF(AND(S465=1,J465=0),1,0)</x:f>
        <x:v>1</x:v>
      </x:c>
      <x:c r="U465" s="19" t="n">
        <x:f>L465+IF(AND(S465=1,J465=1),1,0)</x:f>
        <x:v>0</x:v>
      </x:c>
      <x:c r="V465" s="19" t="n">
        <x:f>M465+IF(AND(S465=1,J465=2),1,0)</x:f>
        <x:v>0</x:v>
      </x:c>
      <x:c r="W465" s="19" t="n">
        <x:f>SUM(T465:V465)</x:f>
        <x:v>1</x:v>
      </x:c>
      <x:c r="X465" s="19" t="n">
        <x:f>W465-G465</x:f>
        <x:v>0</x:v>
      </x:c>
      <x:c r="Y465" s="19" t="n">
        <x:f>MAX(T465,1)+MAX(U465,1)+MAX(V465,1)</x:f>
        <x:v>3</x:v>
      </x:c>
      <x:c r="Z465" s="21" t="str">
        <x:f>IF(AND(MIN(D465:F465)&gt;=0,MAX(D465:F465)&lt;=7,MAX(D465,1)+MAX(E465,1)+MAX(F465,1)&lt;=9,OR(H465="-",AND(H465=0,D465&gt;0),AND(H465=1,E465&gt;0),AND(H465=2,F465&gt;0)),OR(I465=0,AND(I465=1,OR(J465=0,J465=1,J465=2),R465&lt;&gt;"000")),Y465&lt;=9,MIN(T465:V465)&gt;=0),"合法","输入违约")</x:f>
        <x:v>合法</x:v>
      </x:c>
    </x:row>
    <x:row r="466" ht="23" customHeight="1">
      <x:c r="A466" s="3" t="str">
        <x:v>CT-0459</x:v>
      </x:c>
      <x:c r="B466" s="3" t="str">
        <x:v>ST-004</x:v>
      </x:c>
      <x:c r="C466" s="3" t="str">
        <x:v>R+AR同收同发</x:v>
      </x:c>
      <x:c r="D466" s="25" t="n">
        <x:v>1</x:v>
      </x:c>
      <x:c r="E466" s="25" t="n">
        <x:v>0</x:v>
      </x:c>
      <x:c r="F466" s="25" t="n">
        <x:v>0</x:v>
      </x:c>
      <x:c r="G466" s="19" t="n">
        <x:f>SUM(D466:F466)</x:f>
        <x:v>1</x:v>
      </x:c>
      <x:c r="H466" s="25" t="n">
        <x:v>0</x:v>
      </x:c>
      <x:c r="I466" s="25" t="n">
        <x:v>1</x:v>
      </x:c>
      <x:c r="J466" s="25" t="n">
        <x:v>1</x:v>
      </x:c>
      <x:c r="K466" s="19" t="n">
        <x:f>D466-IF(H466=0,1,0)</x:f>
        <x:v>0</x:v>
      </x:c>
      <x:c r="L466" s="19" t="n">
        <x:f>E466-IF(H466=1,1,0)</x:f>
        <x:v>0</x:v>
      </x:c>
      <x:c r="M466" s="19" t="n">
        <x:f>F466-IF(H466=2,1,0)</x:f>
        <x:v>0</x:v>
      </x:c>
      <x:c r="N466" s="19" t="n">
        <x:f>MAX(K466-1,0)+MAX(L466-1,0)+MAX(M466-1,0)</x:f>
        <x:v>0</x:v>
      </x:c>
      <x:c r="O466" s="19" t="n">
        <x:f>IF(AND(SUM(K466:M466)&lt;9,OR(M466=0,N466&lt;6)),1,0)</x:f>
        <x:v>1</x:v>
      </x:c>
      <x:c r="P466" s="19" t="n">
        <x:f>IF(AND(SUM(K466:M466)&lt;9,OR(L466=0,N466&lt;6)),1,0)</x:f>
        <x:v>1</x:v>
      </x:c>
      <x:c r="Q466" s="19" t="n">
        <x:f>IF(AND(SUM(K466:M466)&lt;9,OR(K466=0,N466&lt;6)),1,0)</x:f>
        <x:v>1</x:v>
      </x:c>
      <x:c r="R466" s="22" t="str">
        <x:f>O466&amp;P466&amp;Q466</x:f>
        <x:v>111</x:v>
      </x:c>
      <x:c r="S466" s="19" t="n">
        <x:f>IF(I466=1,IF(J466=0,Q466,IF(J466=1,P466,IF(J466=2,O466,0))),0)</x:f>
        <x:v>1</x:v>
      </x:c>
      <x:c r="T466" s="19" t="n">
        <x:f>K466+IF(AND(S466=1,J466=0),1,0)</x:f>
        <x:v>0</x:v>
      </x:c>
      <x:c r="U466" s="19" t="n">
        <x:f>L466+IF(AND(S466=1,J466=1),1,0)</x:f>
        <x:v>1</x:v>
      </x:c>
      <x:c r="V466" s="19" t="n">
        <x:f>M466+IF(AND(S466=1,J466=2),1,0)</x:f>
        <x:v>0</x:v>
      </x:c>
      <x:c r="W466" s="19" t="n">
        <x:f>SUM(T466:V466)</x:f>
        <x:v>1</x:v>
      </x:c>
      <x:c r="X466" s="19" t="n">
        <x:f>W466-G466</x:f>
        <x:v>0</x:v>
      </x:c>
      <x:c r="Y466" s="19" t="n">
        <x:f>MAX(T466,1)+MAX(U466,1)+MAX(V466,1)</x:f>
        <x:v>3</x:v>
      </x:c>
      <x:c r="Z466" s="21" t="str">
        <x:f>IF(AND(MIN(D466:F466)&gt;=0,MAX(D466:F466)&lt;=7,MAX(D466,1)+MAX(E466,1)+MAX(F466,1)&lt;=9,OR(H466="-",AND(H466=0,D466&gt;0),AND(H466=1,E466&gt;0),AND(H466=2,F466&gt;0)),OR(I466=0,AND(I466=1,OR(J466=0,J466=1,J466=2),R466&lt;&gt;"000")),Y466&lt;=9,MIN(T466:V466)&gt;=0),"合法","输入违约")</x:f>
        <x:v>合法</x:v>
      </x:c>
    </x:row>
    <x:row r="467" ht="23" customHeight="1">
      <x:c r="A467" s="3" t="str">
        <x:v>CT-0460</x:v>
      </x:c>
      <x:c r="B467" s="3" t="str">
        <x:v>ST-004</x:v>
      </x:c>
      <x:c r="C467" s="3" t="str">
        <x:v>R+AR同收同发</x:v>
      </x:c>
      <x:c r="D467" s="25" t="n">
        <x:v>1</x:v>
      </x:c>
      <x:c r="E467" s="25" t="n">
        <x:v>0</x:v>
      </x:c>
      <x:c r="F467" s="25" t="n">
        <x:v>0</x:v>
      </x:c>
      <x:c r="G467" s="19" t="n">
        <x:f>SUM(D467:F467)</x:f>
        <x:v>1</x:v>
      </x:c>
      <x:c r="H467" s="25" t="n">
        <x:v>0</x:v>
      </x:c>
      <x:c r="I467" s="25" t="n">
        <x:v>1</x:v>
      </x:c>
      <x:c r="J467" s="25" t="n">
        <x:v>2</x:v>
      </x:c>
      <x:c r="K467" s="19" t="n">
        <x:f>D467-IF(H467=0,1,0)</x:f>
        <x:v>0</x:v>
      </x:c>
      <x:c r="L467" s="19" t="n">
        <x:f>E467-IF(H467=1,1,0)</x:f>
        <x:v>0</x:v>
      </x:c>
      <x:c r="M467" s="19" t="n">
        <x:f>F467-IF(H467=2,1,0)</x:f>
        <x:v>0</x:v>
      </x:c>
      <x:c r="N467" s="19" t="n">
        <x:f>MAX(K467-1,0)+MAX(L467-1,0)+MAX(M467-1,0)</x:f>
        <x:v>0</x:v>
      </x:c>
      <x:c r="O467" s="19" t="n">
        <x:f>IF(AND(SUM(K467:M467)&lt;9,OR(M467=0,N467&lt;6)),1,0)</x:f>
        <x:v>1</x:v>
      </x:c>
      <x:c r="P467" s="19" t="n">
        <x:f>IF(AND(SUM(K467:M467)&lt;9,OR(L467=0,N467&lt;6)),1,0)</x:f>
        <x:v>1</x:v>
      </x:c>
      <x:c r="Q467" s="19" t="n">
        <x:f>IF(AND(SUM(K467:M467)&lt;9,OR(K467=0,N467&lt;6)),1,0)</x:f>
        <x:v>1</x:v>
      </x:c>
      <x:c r="R467" s="22" t="str">
        <x:f>O467&amp;P467&amp;Q467</x:f>
        <x:v>111</x:v>
      </x:c>
      <x:c r="S467" s="19" t="n">
        <x:f>IF(I467=1,IF(J467=0,Q467,IF(J467=1,P467,IF(J467=2,O467,0))),0)</x:f>
        <x:v>1</x:v>
      </x:c>
      <x:c r="T467" s="19" t="n">
        <x:f>K467+IF(AND(S467=1,J467=0),1,0)</x:f>
        <x:v>0</x:v>
      </x:c>
      <x:c r="U467" s="19" t="n">
        <x:f>L467+IF(AND(S467=1,J467=1),1,0)</x:f>
        <x:v>0</x:v>
      </x:c>
      <x:c r="V467" s="19" t="n">
        <x:f>M467+IF(AND(S467=1,J467=2),1,0)</x:f>
        <x:v>1</x:v>
      </x:c>
      <x:c r="W467" s="19" t="n">
        <x:f>SUM(T467:V467)</x:f>
        <x:v>1</x:v>
      </x:c>
      <x:c r="X467" s="19" t="n">
        <x:f>W467-G467</x:f>
        <x:v>0</x:v>
      </x:c>
      <x:c r="Y467" s="19" t="n">
        <x:f>MAX(T467,1)+MAX(U467,1)+MAX(V467,1)</x:f>
        <x:v>3</x:v>
      </x:c>
      <x:c r="Z467" s="21" t="str">
        <x:f>IF(AND(MIN(D467:F467)&gt;=0,MAX(D467:F467)&lt;=7,MAX(D467,1)+MAX(E467,1)+MAX(F467,1)&lt;=9,OR(H467="-",AND(H467=0,D467&gt;0),AND(H467=1,E467&gt;0),AND(H467=2,F467&gt;0)),OR(I467=0,AND(I467=1,OR(J467=0,J467=1,J467=2),R467&lt;&gt;"000")),Y467&lt;=9,MIN(T467:V467)&gt;=0),"合法","输入违约")</x:f>
        <x:v>合法</x:v>
      </x:c>
    </x:row>
    <x:row r="468" ht="23" customHeight="1">
      <x:c r="A468" s="3" t="str">
        <x:v>CT-0461</x:v>
      </x:c>
      <x:c r="B468" s="3" t="str">
        <x:v>ST-008</x:v>
      </x:c>
      <x:c r="C468" s="3" t="str">
        <x:v>无AR/R</x:v>
      </x:c>
      <x:c r="D468" s="25" t="n">
        <x:v>1</x:v>
      </x:c>
      <x:c r="E468" s="25" t="n">
        <x:v>0</x:v>
      </x:c>
      <x:c r="F468" s="25" t="n">
        <x:v>1</x:v>
      </x:c>
      <x:c r="G468" s="19" t="n">
        <x:f>SUM(D468:F468)</x:f>
        <x:v>2</x:v>
      </x:c>
      <x:c r="H468" s="25" t="str">
        <x:v>-</x:v>
      </x:c>
      <x:c r="I468" s="25" t="n">
        <x:v>0</x:v>
      </x:c>
      <x:c r="J468" s="25" t="str">
        <x:v>-</x:v>
      </x:c>
      <x:c r="K468" s="19" t="n">
        <x:f>D468-IF(H468=0,1,0)</x:f>
        <x:v>1</x:v>
      </x:c>
      <x:c r="L468" s="19" t="n">
        <x:f>E468-IF(H468=1,1,0)</x:f>
        <x:v>0</x:v>
      </x:c>
      <x:c r="M468" s="19" t="n">
        <x:f>F468-IF(H468=2,1,0)</x:f>
        <x:v>1</x:v>
      </x:c>
      <x:c r="N468" s="19" t="n">
        <x:f>MAX(K468-1,0)+MAX(L468-1,0)+MAX(M468-1,0)</x:f>
        <x:v>0</x:v>
      </x:c>
      <x:c r="O468" s="19" t="n">
        <x:f>IF(AND(SUM(K468:M468)&lt;9,OR(M468=0,N468&lt;6)),1,0)</x:f>
        <x:v>1</x:v>
      </x:c>
      <x:c r="P468" s="19" t="n">
        <x:f>IF(AND(SUM(K468:M468)&lt;9,OR(L468=0,N468&lt;6)),1,0)</x:f>
        <x:v>1</x:v>
      </x:c>
      <x:c r="Q468" s="19" t="n">
        <x:f>IF(AND(SUM(K468:M468)&lt;9,OR(K468=0,N468&lt;6)),1,0)</x:f>
        <x:v>1</x:v>
      </x:c>
      <x:c r="R468" s="22" t="str">
        <x:f>O468&amp;P468&amp;Q468</x:f>
        <x:v>111</x:v>
      </x:c>
      <x:c r="S468" s="19" t="n">
        <x:f>IF(I468=1,IF(J468=0,Q468,IF(J468=1,P468,IF(J468=2,O468,0))),0)</x:f>
        <x:v>0</x:v>
      </x:c>
      <x:c r="T468" s="19" t="n">
        <x:f>K468+IF(AND(S468=1,J468=0),1,0)</x:f>
        <x:v>1</x:v>
      </x:c>
      <x:c r="U468" s="19" t="n">
        <x:f>L468+IF(AND(S468=1,J468=1),1,0)</x:f>
        <x:v>0</x:v>
      </x:c>
      <x:c r="V468" s="19" t="n">
        <x:f>M468+IF(AND(S468=1,J468=2),1,0)</x:f>
        <x:v>1</x:v>
      </x:c>
      <x:c r="W468" s="19" t="n">
        <x:f>SUM(T468:V468)</x:f>
        <x:v>2</x:v>
      </x:c>
      <x:c r="X468" s="19" t="n">
        <x:f>W468-G468</x:f>
        <x:v>0</x:v>
      </x:c>
      <x:c r="Y468" s="19" t="n">
        <x:f>MAX(T468,1)+MAX(U468,1)+MAX(V468,1)</x:f>
        <x:v>3</x:v>
      </x:c>
      <x:c r="Z468" s="21" t="str">
        <x:f>IF(AND(MIN(D468:F468)&gt;=0,MAX(D468:F468)&lt;=7,MAX(D468,1)+MAX(E468,1)+MAX(F468,1)&lt;=9,OR(H468="-",AND(H468=0,D468&gt;0),AND(H468=1,E468&gt;0),AND(H468=2,F468&gt;0)),OR(I468=0,AND(I468=1,OR(J468=0,J468=1,J468=2),R468&lt;&gt;"000")),Y468&lt;=9,MIN(T468:V468)&gt;=0),"合法","输入违约")</x:f>
        <x:v>合法</x:v>
      </x:c>
    </x:row>
    <x:row r="469" ht="23" customHeight="1">
      <x:c r="A469" s="3" t="str">
        <x:v>CT-0462</x:v>
      </x:c>
      <x:c r="B469" s="3" t="str">
        <x:v>ST-008</x:v>
      </x:c>
      <x:c r="C469" s="3" t="str">
        <x:v>仅AR接收</x:v>
      </x:c>
      <x:c r="D469" s="25" t="n">
        <x:v>1</x:v>
      </x:c>
      <x:c r="E469" s="25" t="n">
        <x:v>0</x:v>
      </x:c>
      <x:c r="F469" s="25" t="n">
        <x:v>1</x:v>
      </x:c>
      <x:c r="G469" s="19" t="n">
        <x:f>SUM(D469:F469)</x:f>
        <x:v>2</x:v>
      </x:c>
      <x:c r="H469" s="25" t="str">
        <x:v>-</x:v>
      </x:c>
      <x:c r="I469" s="25" t="n">
        <x:v>1</x:v>
      </x:c>
      <x:c r="J469" s="25" t="n">
        <x:v>0</x:v>
      </x:c>
      <x:c r="K469" s="19" t="n">
        <x:f>D469-IF(H469=0,1,0)</x:f>
        <x:v>1</x:v>
      </x:c>
      <x:c r="L469" s="19" t="n">
        <x:f>E469-IF(H469=1,1,0)</x:f>
        <x:v>0</x:v>
      </x:c>
      <x:c r="M469" s="19" t="n">
        <x:f>F469-IF(H469=2,1,0)</x:f>
        <x:v>1</x:v>
      </x:c>
      <x:c r="N469" s="19" t="n">
        <x:f>MAX(K469-1,0)+MAX(L469-1,0)+MAX(M469-1,0)</x:f>
        <x:v>0</x:v>
      </x:c>
      <x:c r="O469" s="19" t="n">
        <x:f>IF(AND(SUM(K469:M469)&lt;9,OR(M469=0,N469&lt;6)),1,0)</x:f>
        <x:v>1</x:v>
      </x:c>
      <x:c r="P469" s="19" t="n">
        <x:f>IF(AND(SUM(K469:M469)&lt;9,OR(L469=0,N469&lt;6)),1,0)</x:f>
        <x:v>1</x:v>
      </x:c>
      <x:c r="Q469" s="19" t="n">
        <x:f>IF(AND(SUM(K469:M469)&lt;9,OR(K469=0,N469&lt;6)),1,0)</x:f>
        <x:v>1</x:v>
      </x:c>
      <x:c r="R469" s="22" t="str">
        <x:f>O469&amp;P469&amp;Q469</x:f>
        <x:v>111</x:v>
      </x:c>
      <x:c r="S469" s="19" t="n">
        <x:f>IF(I469=1,IF(J469=0,Q469,IF(J469=1,P469,IF(J469=2,O469,0))),0)</x:f>
        <x:v>1</x:v>
      </x:c>
      <x:c r="T469" s="19" t="n">
        <x:f>K469+IF(AND(S469=1,J469=0),1,0)</x:f>
        <x:v>2</x:v>
      </x:c>
      <x:c r="U469" s="19" t="n">
        <x:f>L469+IF(AND(S469=1,J469=1),1,0)</x:f>
        <x:v>0</x:v>
      </x:c>
      <x:c r="V469" s="19" t="n">
        <x:f>M469+IF(AND(S469=1,J469=2),1,0)</x:f>
        <x:v>1</x:v>
      </x:c>
      <x:c r="W469" s="19" t="n">
        <x:f>SUM(T469:V469)</x:f>
        <x:v>3</x:v>
      </x:c>
      <x:c r="X469" s="19" t="n">
        <x:f>W469-G469</x:f>
        <x:v>1</x:v>
      </x:c>
      <x:c r="Y469" s="19" t="n">
        <x:f>MAX(T469,1)+MAX(U469,1)+MAX(V469,1)</x:f>
        <x:v>4</x:v>
      </x:c>
      <x:c r="Z469" s="21" t="str">
        <x:f>IF(AND(MIN(D469:F469)&gt;=0,MAX(D469:F469)&lt;=7,MAX(D469,1)+MAX(E469,1)+MAX(F469,1)&lt;=9,OR(H469="-",AND(H469=0,D469&gt;0),AND(H469=1,E469&gt;0),AND(H469=2,F469&gt;0)),OR(I469=0,AND(I469=1,OR(J469=0,J469=1,J469=2),R469&lt;&gt;"000")),Y469&lt;=9,MIN(T469:V469)&gt;=0),"合法","输入违约")</x:f>
        <x:v>合法</x:v>
      </x:c>
    </x:row>
    <x:row r="470" ht="23" customHeight="1">
      <x:c r="A470" s="3" t="str">
        <x:v>CT-0463</x:v>
      </x:c>
      <x:c r="B470" s="3" t="str">
        <x:v>ST-008</x:v>
      </x:c>
      <x:c r="C470" s="3" t="str">
        <x:v>仅AR接收</x:v>
      </x:c>
      <x:c r="D470" s="25" t="n">
        <x:v>1</x:v>
      </x:c>
      <x:c r="E470" s="25" t="n">
        <x:v>0</x:v>
      </x:c>
      <x:c r="F470" s="25" t="n">
        <x:v>1</x:v>
      </x:c>
      <x:c r="G470" s="19" t="n">
        <x:f>SUM(D470:F470)</x:f>
        <x:v>2</x:v>
      </x:c>
      <x:c r="H470" s="25" t="str">
        <x:v>-</x:v>
      </x:c>
      <x:c r="I470" s="25" t="n">
        <x:v>1</x:v>
      </x:c>
      <x:c r="J470" s="25" t="n">
        <x:v>1</x:v>
      </x:c>
      <x:c r="K470" s="19" t="n">
        <x:f>D470-IF(H470=0,1,0)</x:f>
        <x:v>1</x:v>
      </x:c>
      <x:c r="L470" s="19" t="n">
        <x:f>E470-IF(H470=1,1,0)</x:f>
        <x:v>0</x:v>
      </x:c>
      <x:c r="M470" s="19" t="n">
        <x:f>F470-IF(H470=2,1,0)</x:f>
        <x:v>1</x:v>
      </x:c>
      <x:c r="N470" s="19" t="n">
        <x:f>MAX(K470-1,0)+MAX(L470-1,0)+MAX(M470-1,0)</x:f>
        <x:v>0</x:v>
      </x:c>
      <x:c r="O470" s="19" t="n">
        <x:f>IF(AND(SUM(K470:M470)&lt;9,OR(M470=0,N470&lt;6)),1,0)</x:f>
        <x:v>1</x:v>
      </x:c>
      <x:c r="P470" s="19" t="n">
        <x:f>IF(AND(SUM(K470:M470)&lt;9,OR(L470=0,N470&lt;6)),1,0)</x:f>
        <x:v>1</x:v>
      </x:c>
      <x:c r="Q470" s="19" t="n">
        <x:f>IF(AND(SUM(K470:M470)&lt;9,OR(K470=0,N470&lt;6)),1,0)</x:f>
        <x:v>1</x:v>
      </x:c>
      <x:c r="R470" s="22" t="str">
        <x:f>O470&amp;P470&amp;Q470</x:f>
        <x:v>111</x:v>
      </x:c>
      <x:c r="S470" s="19" t="n">
        <x:f>IF(I470=1,IF(J470=0,Q470,IF(J470=1,P470,IF(J470=2,O470,0))),0)</x:f>
        <x:v>1</x:v>
      </x:c>
      <x:c r="T470" s="19" t="n">
        <x:f>K470+IF(AND(S470=1,J470=0),1,0)</x:f>
        <x:v>1</x:v>
      </x:c>
      <x:c r="U470" s="19" t="n">
        <x:f>L470+IF(AND(S470=1,J470=1),1,0)</x:f>
        <x:v>1</x:v>
      </x:c>
      <x:c r="V470" s="19" t="n">
        <x:f>M470+IF(AND(S470=1,J470=2),1,0)</x:f>
        <x:v>1</x:v>
      </x:c>
      <x:c r="W470" s="19" t="n">
        <x:f>SUM(T470:V470)</x:f>
        <x:v>3</x:v>
      </x:c>
      <x:c r="X470" s="19" t="n">
        <x:f>W470-G470</x:f>
        <x:v>1</x:v>
      </x:c>
      <x:c r="Y470" s="19" t="n">
        <x:f>MAX(T470,1)+MAX(U470,1)+MAX(V470,1)</x:f>
        <x:v>3</x:v>
      </x:c>
      <x:c r="Z470" s="21" t="str">
        <x:f>IF(AND(MIN(D470:F470)&gt;=0,MAX(D470:F470)&lt;=7,MAX(D470,1)+MAX(E470,1)+MAX(F470,1)&lt;=9,OR(H470="-",AND(H470=0,D470&gt;0),AND(H470=1,E470&gt;0),AND(H470=2,F470&gt;0)),OR(I470=0,AND(I470=1,OR(J470=0,J470=1,J470=2),R470&lt;&gt;"000")),Y470&lt;=9,MIN(T470:V470)&gt;=0),"合法","输入违约")</x:f>
        <x:v>合法</x:v>
      </x:c>
    </x:row>
    <x:row r="471" ht="23" customHeight="1">
      <x:c r="A471" s="3" t="str">
        <x:v>CT-0464</x:v>
      </x:c>
      <x:c r="B471" s="3" t="str">
        <x:v>ST-008</x:v>
      </x:c>
      <x:c r="C471" s="3" t="str">
        <x:v>仅AR接收</x:v>
      </x:c>
      <x:c r="D471" s="25" t="n">
        <x:v>1</x:v>
      </x:c>
      <x:c r="E471" s="25" t="n">
        <x:v>0</x:v>
      </x:c>
      <x:c r="F471" s="25" t="n">
        <x:v>1</x:v>
      </x:c>
      <x:c r="G471" s="19" t="n">
        <x:f>SUM(D471:F471)</x:f>
        <x:v>2</x:v>
      </x:c>
      <x:c r="H471" s="25" t="str">
        <x:v>-</x:v>
      </x:c>
      <x:c r="I471" s="25" t="n">
        <x:v>1</x:v>
      </x:c>
      <x:c r="J471" s="25" t="n">
        <x:v>2</x:v>
      </x:c>
      <x:c r="K471" s="19" t="n">
        <x:f>D471-IF(H471=0,1,0)</x:f>
        <x:v>1</x:v>
      </x:c>
      <x:c r="L471" s="19" t="n">
        <x:f>E471-IF(H471=1,1,0)</x:f>
        <x:v>0</x:v>
      </x:c>
      <x:c r="M471" s="19" t="n">
        <x:f>F471-IF(H471=2,1,0)</x:f>
        <x:v>1</x:v>
      </x:c>
      <x:c r="N471" s="19" t="n">
        <x:f>MAX(K471-1,0)+MAX(L471-1,0)+MAX(M471-1,0)</x:f>
        <x:v>0</x:v>
      </x:c>
      <x:c r="O471" s="19" t="n">
        <x:f>IF(AND(SUM(K471:M471)&lt;9,OR(M471=0,N471&lt;6)),1,0)</x:f>
        <x:v>1</x:v>
      </x:c>
      <x:c r="P471" s="19" t="n">
        <x:f>IF(AND(SUM(K471:M471)&lt;9,OR(L471=0,N471&lt;6)),1,0)</x:f>
        <x:v>1</x:v>
      </x:c>
      <x:c r="Q471" s="19" t="n">
        <x:f>IF(AND(SUM(K471:M471)&lt;9,OR(K471=0,N471&lt;6)),1,0)</x:f>
        <x:v>1</x:v>
      </x:c>
      <x:c r="R471" s="22" t="str">
        <x:f>O471&amp;P471&amp;Q471</x:f>
        <x:v>111</x:v>
      </x:c>
      <x:c r="S471" s="19" t="n">
        <x:f>IF(I471=1,IF(J471=0,Q471,IF(J471=1,P471,IF(J471=2,O471,0))),0)</x:f>
        <x:v>1</x:v>
      </x:c>
      <x:c r="T471" s="19" t="n">
        <x:f>K471+IF(AND(S471=1,J471=0),1,0)</x:f>
        <x:v>1</x:v>
      </x:c>
      <x:c r="U471" s="19" t="n">
        <x:f>L471+IF(AND(S471=1,J471=1),1,0)</x:f>
        <x:v>0</x:v>
      </x:c>
      <x:c r="V471" s="19" t="n">
        <x:f>M471+IF(AND(S471=1,J471=2),1,0)</x:f>
        <x:v>2</x:v>
      </x:c>
      <x:c r="W471" s="19" t="n">
        <x:f>SUM(T471:V471)</x:f>
        <x:v>3</x:v>
      </x:c>
      <x:c r="X471" s="19" t="n">
        <x:f>W471-G471</x:f>
        <x:v>1</x:v>
      </x:c>
      <x:c r="Y471" s="19" t="n">
        <x:f>MAX(T471,1)+MAX(U471,1)+MAX(V471,1)</x:f>
        <x:v>4</x:v>
      </x:c>
      <x:c r="Z471" s="21" t="str">
        <x:f>IF(AND(MIN(D471:F471)&gt;=0,MAX(D471:F471)&lt;=7,MAX(D471,1)+MAX(E471,1)+MAX(F471,1)&lt;=9,OR(H471="-",AND(H471=0,D471&gt;0),AND(H471=1,E471&gt;0),AND(H471=2,F471&gt;0)),OR(I471=0,AND(I471=1,OR(J471=0,J471=1,J471=2),R471&lt;&gt;"000")),Y471&lt;=9,MIN(T471:V471)&gt;=0),"合法","输入违约")</x:f>
        <x:v>合法</x:v>
      </x:c>
    </x:row>
    <x:row r="472" ht="23" customHeight="1">
      <x:c r="A472" s="3" t="str">
        <x:v>CT-0465</x:v>
      </x:c>
      <x:c r="B472" s="3" t="str">
        <x:v>ST-008</x:v>
      </x:c>
      <x:c r="C472" s="3" t="str">
        <x:v>仅R回收</x:v>
      </x:c>
      <x:c r="D472" s="25" t="n">
        <x:v>1</x:v>
      </x:c>
      <x:c r="E472" s="25" t="n">
        <x:v>0</x:v>
      </x:c>
      <x:c r="F472" s="25" t="n">
        <x:v>1</x:v>
      </x:c>
      <x:c r="G472" s="19" t="n">
        <x:f>SUM(D472:F472)</x:f>
        <x:v>2</x:v>
      </x:c>
      <x:c r="H472" s="25" t="n">
        <x:v>0</x:v>
      </x:c>
      <x:c r="I472" s="25" t="n">
        <x:v>0</x:v>
      </x:c>
      <x:c r="J472" s="25" t="str">
        <x:v>-</x:v>
      </x:c>
      <x:c r="K472" s="19" t="n">
        <x:f>D472-IF(H472=0,1,0)</x:f>
        <x:v>0</x:v>
      </x:c>
      <x:c r="L472" s="19" t="n">
        <x:f>E472-IF(H472=1,1,0)</x:f>
        <x:v>0</x:v>
      </x:c>
      <x:c r="M472" s="19" t="n">
        <x:f>F472-IF(H472=2,1,0)</x:f>
        <x:v>1</x:v>
      </x:c>
      <x:c r="N472" s="19" t="n">
        <x:f>MAX(K472-1,0)+MAX(L472-1,0)+MAX(M472-1,0)</x:f>
        <x:v>0</x:v>
      </x:c>
      <x:c r="O472" s="19" t="n">
        <x:f>IF(AND(SUM(K472:M472)&lt;9,OR(M472=0,N472&lt;6)),1,0)</x:f>
        <x:v>1</x:v>
      </x:c>
      <x:c r="P472" s="19" t="n">
        <x:f>IF(AND(SUM(K472:M472)&lt;9,OR(L472=0,N472&lt;6)),1,0)</x:f>
        <x:v>1</x:v>
      </x:c>
      <x:c r="Q472" s="19" t="n">
        <x:f>IF(AND(SUM(K472:M472)&lt;9,OR(K472=0,N472&lt;6)),1,0)</x:f>
        <x:v>1</x:v>
      </x:c>
      <x:c r="R472" s="22" t="str">
        <x:f>O472&amp;P472&amp;Q472</x:f>
        <x:v>111</x:v>
      </x:c>
      <x:c r="S472" s="19" t="n">
        <x:f>IF(I472=1,IF(J472=0,Q472,IF(J472=1,P472,IF(J472=2,O472,0))),0)</x:f>
        <x:v>0</x:v>
      </x:c>
      <x:c r="T472" s="19" t="n">
        <x:f>K472+IF(AND(S472=1,J472=0),1,0)</x:f>
        <x:v>0</x:v>
      </x:c>
      <x:c r="U472" s="19" t="n">
        <x:f>L472+IF(AND(S472=1,J472=1),1,0)</x:f>
        <x:v>0</x:v>
      </x:c>
      <x:c r="V472" s="19" t="n">
        <x:f>M472+IF(AND(S472=1,J472=2),1,0)</x:f>
        <x:v>1</x:v>
      </x:c>
      <x:c r="W472" s="19" t="n">
        <x:f>SUM(T472:V472)</x:f>
        <x:v>1</x:v>
      </x:c>
      <x:c r="X472" s="19" t="n">
        <x:f>W472-G472</x:f>
        <x:v>-1</x:v>
      </x:c>
      <x:c r="Y472" s="19" t="n">
        <x:f>MAX(T472,1)+MAX(U472,1)+MAX(V472,1)</x:f>
        <x:v>3</x:v>
      </x:c>
      <x:c r="Z472" s="21" t="str">
        <x:f>IF(AND(MIN(D472:F472)&gt;=0,MAX(D472:F472)&lt;=7,MAX(D472,1)+MAX(E472,1)+MAX(F472,1)&lt;=9,OR(H472="-",AND(H472=0,D472&gt;0),AND(H472=1,E472&gt;0),AND(H472=2,F472&gt;0)),OR(I472=0,AND(I472=1,OR(J472=0,J472=1,J472=2),R472&lt;&gt;"000")),Y472&lt;=9,MIN(T472:V472)&gt;=0),"合法","输入违约")</x:f>
        <x:v>合法</x:v>
      </x:c>
    </x:row>
    <x:row r="473" ht="23" customHeight="1">
      <x:c r="A473" s="3" t="str">
        <x:v>CT-0466</x:v>
      </x:c>
      <x:c r="B473" s="3" t="str">
        <x:v>ST-008</x:v>
      </x:c>
      <x:c r="C473" s="3" t="str">
        <x:v>R+AR同收同发</x:v>
      </x:c>
      <x:c r="D473" s="25" t="n">
        <x:v>1</x:v>
      </x:c>
      <x:c r="E473" s="25" t="n">
        <x:v>0</x:v>
      </x:c>
      <x:c r="F473" s="25" t="n">
        <x:v>1</x:v>
      </x:c>
      <x:c r="G473" s="19" t="n">
        <x:f>SUM(D473:F473)</x:f>
        <x:v>2</x:v>
      </x:c>
      <x:c r="H473" s="25" t="n">
        <x:v>0</x:v>
      </x:c>
      <x:c r="I473" s="25" t="n">
        <x:v>1</x:v>
      </x:c>
      <x:c r="J473" s="25" t="n">
        <x:v>0</x:v>
      </x:c>
      <x:c r="K473" s="19" t="n">
        <x:f>D473-IF(H473=0,1,0)</x:f>
        <x:v>0</x:v>
      </x:c>
      <x:c r="L473" s="19" t="n">
        <x:f>E473-IF(H473=1,1,0)</x:f>
        <x:v>0</x:v>
      </x:c>
      <x:c r="M473" s="19" t="n">
        <x:f>F473-IF(H473=2,1,0)</x:f>
        <x:v>1</x:v>
      </x:c>
      <x:c r="N473" s="19" t="n">
        <x:f>MAX(K473-1,0)+MAX(L473-1,0)+MAX(M473-1,0)</x:f>
        <x:v>0</x:v>
      </x:c>
      <x:c r="O473" s="19" t="n">
        <x:f>IF(AND(SUM(K473:M473)&lt;9,OR(M473=0,N473&lt;6)),1,0)</x:f>
        <x:v>1</x:v>
      </x:c>
      <x:c r="P473" s="19" t="n">
        <x:f>IF(AND(SUM(K473:M473)&lt;9,OR(L473=0,N473&lt;6)),1,0)</x:f>
        <x:v>1</x:v>
      </x:c>
      <x:c r="Q473" s="19" t="n">
        <x:f>IF(AND(SUM(K473:M473)&lt;9,OR(K473=0,N473&lt;6)),1,0)</x:f>
        <x:v>1</x:v>
      </x:c>
      <x:c r="R473" s="22" t="str">
        <x:f>O473&amp;P473&amp;Q473</x:f>
        <x:v>111</x:v>
      </x:c>
      <x:c r="S473" s="19" t="n">
        <x:f>IF(I473=1,IF(J473=0,Q473,IF(J473=1,P473,IF(J473=2,O473,0))),0)</x:f>
        <x:v>1</x:v>
      </x:c>
      <x:c r="T473" s="19" t="n">
        <x:f>K473+IF(AND(S473=1,J473=0),1,0)</x:f>
        <x:v>1</x:v>
      </x:c>
      <x:c r="U473" s="19" t="n">
        <x:f>L473+IF(AND(S473=1,J473=1),1,0)</x:f>
        <x:v>0</x:v>
      </x:c>
      <x:c r="V473" s="19" t="n">
        <x:f>M473+IF(AND(S473=1,J473=2),1,0)</x:f>
        <x:v>1</x:v>
      </x:c>
      <x:c r="W473" s="19" t="n">
        <x:f>SUM(T473:V473)</x:f>
        <x:v>2</x:v>
      </x:c>
      <x:c r="X473" s="19" t="n">
        <x:f>W473-G473</x:f>
        <x:v>0</x:v>
      </x:c>
      <x:c r="Y473" s="19" t="n">
        <x:f>MAX(T473,1)+MAX(U473,1)+MAX(V473,1)</x:f>
        <x:v>3</x:v>
      </x:c>
      <x:c r="Z473" s="21" t="str">
        <x:f>IF(AND(MIN(D473:F473)&gt;=0,MAX(D473:F473)&lt;=7,MAX(D473,1)+MAX(E473,1)+MAX(F473,1)&lt;=9,OR(H473="-",AND(H473=0,D473&gt;0),AND(H473=1,E473&gt;0),AND(H473=2,F473&gt;0)),OR(I473=0,AND(I473=1,OR(J473=0,J473=1,J473=2),R473&lt;&gt;"000")),Y473&lt;=9,MIN(T473:V473)&gt;=0),"合法","输入违约")</x:f>
        <x:v>合法</x:v>
      </x:c>
    </x:row>
    <x:row r="474" ht="23" customHeight="1">
      <x:c r="A474" s="3" t="str">
        <x:v>CT-0467</x:v>
      </x:c>
      <x:c r="B474" s="3" t="str">
        <x:v>ST-008</x:v>
      </x:c>
      <x:c r="C474" s="3" t="str">
        <x:v>R+AR同收同发</x:v>
      </x:c>
      <x:c r="D474" s="25" t="n">
        <x:v>1</x:v>
      </x:c>
      <x:c r="E474" s="25" t="n">
        <x:v>0</x:v>
      </x:c>
      <x:c r="F474" s="25" t="n">
        <x:v>1</x:v>
      </x:c>
      <x:c r="G474" s="19" t="n">
        <x:f>SUM(D474:F474)</x:f>
        <x:v>2</x:v>
      </x:c>
      <x:c r="H474" s="25" t="n">
        <x:v>0</x:v>
      </x:c>
      <x:c r="I474" s="25" t="n">
        <x:v>1</x:v>
      </x:c>
      <x:c r="J474" s="25" t="n">
        <x:v>1</x:v>
      </x:c>
      <x:c r="K474" s="19" t="n">
        <x:f>D474-IF(H474=0,1,0)</x:f>
        <x:v>0</x:v>
      </x:c>
      <x:c r="L474" s="19" t="n">
        <x:f>E474-IF(H474=1,1,0)</x:f>
        <x:v>0</x:v>
      </x:c>
      <x:c r="M474" s="19" t="n">
        <x:f>F474-IF(H474=2,1,0)</x:f>
        <x:v>1</x:v>
      </x:c>
      <x:c r="N474" s="19" t="n">
        <x:f>MAX(K474-1,0)+MAX(L474-1,0)+MAX(M474-1,0)</x:f>
        <x:v>0</x:v>
      </x:c>
      <x:c r="O474" s="19" t="n">
        <x:f>IF(AND(SUM(K474:M474)&lt;9,OR(M474=0,N474&lt;6)),1,0)</x:f>
        <x:v>1</x:v>
      </x:c>
      <x:c r="P474" s="19" t="n">
        <x:f>IF(AND(SUM(K474:M474)&lt;9,OR(L474=0,N474&lt;6)),1,0)</x:f>
        <x:v>1</x:v>
      </x:c>
      <x:c r="Q474" s="19" t="n">
        <x:f>IF(AND(SUM(K474:M474)&lt;9,OR(K474=0,N474&lt;6)),1,0)</x:f>
        <x:v>1</x:v>
      </x:c>
      <x:c r="R474" s="22" t="str">
        <x:f>O474&amp;P474&amp;Q474</x:f>
        <x:v>111</x:v>
      </x:c>
      <x:c r="S474" s="19" t="n">
        <x:f>IF(I474=1,IF(J474=0,Q474,IF(J474=1,P474,IF(J474=2,O474,0))),0)</x:f>
        <x:v>1</x:v>
      </x:c>
      <x:c r="T474" s="19" t="n">
        <x:f>K474+IF(AND(S474=1,J474=0),1,0)</x:f>
        <x:v>0</x:v>
      </x:c>
      <x:c r="U474" s="19" t="n">
        <x:f>L474+IF(AND(S474=1,J474=1),1,0)</x:f>
        <x:v>1</x:v>
      </x:c>
      <x:c r="V474" s="19" t="n">
        <x:f>M474+IF(AND(S474=1,J474=2),1,0)</x:f>
        <x:v>1</x:v>
      </x:c>
      <x:c r="W474" s="19" t="n">
        <x:f>SUM(T474:V474)</x:f>
        <x:v>2</x:v>
      </x:c>
      <x:c r="X474" s="19" t="n">
        <x:f>W474-G474</x:f>
        <x:v>0</x:v>
      </x:c>
      <x:c r="Y474" s="19" t="n">
        <x:f>MAX(T474,1)+MAX(U474,1)+MAX(V474,1)</x:f>
        <x:v>3</x:v>
      </x:c>
      <x:c r="Z474" s="21" t="str">
        <x:f>IF(AND(MIN(D474:F474)&gt;=0,MAX(D474:F474)&lt;=7,MAX(D474,1)+MAX(E474,1)+MAX(F474,1)&lt;=9,OR(H474="-",AND(H474=0,D474&gt;0),AND(H474=1,E474&gt;0),AND(H474=2,F474&gt;0)),OR(I474=0,AND(I474=1,OR(J474=0,J474=1,J474=2),R474&lt;&gt;"000")),Y474&lt;=9,MIN(T474:V474)&gt;=0),"合法","输入违约")</x:f>
        <x:v>合法</x:v>
      </x:c>
    </x:row>
    <x:row r="475" ht="23" customHeight="1">
      <x:c r="A475" s="3" t="str">
        <x:v>CT-0468</x:v>
      </x:c>
      <x:c r="B475" s="3" t="str">
        <x:v>ST-008</x:v>
      </x:c>
      <x:c r="C475" s="3" t="str">
        <x:v>R+AR同收同发</x:v>
      </x:c>
      <x:c r="D475" s="25" t="n">
        <x:v>1</x:v>
      </x:c>
      <x:c r="E475" s="25" t="n">
        <x:v>0</x:v>
      </x:c>
      <x:c r="F475" s="25" t="n">
        <x:v>1</x:v>
      </x:c>
      <x:c r="G475" s="19" t="n">
        <x:f>SUM(D475:F475)</x:f>
        <x:v>2</x:v>
      </x:c>
      <x:c r="H475" s="25" t="n">
        <x:v>0</x:v>
      </x:c>
      <x:c r="I475" s="25" t="n">
        <x:v>1</x:v>
      </x:c>
      <x:c r="J475" s="25" t="n">
        <x:v>2</x:v>
      </x:c>
      <x:c r="K475" s="19" t="n">
        <x:f>D475-IF(H475=0,1,0)</x:f>
        <x:v>0</x:v>
      </x:c>
      <x:c r="L475" s="19" t="n">
        <x:f>E475-IF(H475=1,1,0)</x:f>
        <x:v>0</x:v>
      </x:c>
      <x:c r="M475" s="19" t="n">
        <x:f>F475-IF(H475=2,1,0)</x:f>
        <x:v>1</x:v>
      </x:c>
      <x:c r="N475" s="19" t="n">
        <x:f>MAX(K475-1,0)+MAX(L475-1,0)+MAX(M475-1,0)</x:f>
        <x:v>0</x:v>
      </x:c>
      <x:c r="O475" s="19" t="n">
        <x:f>IF(AND(SUM(K475:M475)&lt;9,OR(M475=0,N475&lt;6)),1,0)</x:f>
        <x:v>1</x:v>
      </x:c>
      <x:c r="P475" s="19" t="n">
        <x:f>IF(AND(SUM(K475:M475)&lt;9,OR(L475=0,N475&lt;6)),1,0)</x:f>
        <x:v>1</x:v>
      </x:c>
      <x:c r="Q475" s="19" t="n">
        <x:f>IF(AND(SUM(K475:M475)&lt;9,OR(K475=0,N475&lt;6)),1,0)</x:f>
        <x:v>1</x:v>
      </x:c>
      <x:c r="R475" s="22" t="str">
        <x:f>O475&amp;P475&amp;Q475</x:f>
        <x:v>111</x:v>
      </x:c>
      <x:c r="S475" s="19" t="n">
        <x:f>IF(I475=1,IF(J475=0,Q475,IF(J475=1,P475,IF(J475=2,O475,0))),0)</x:f>
        <x:v>1</x:v>
      </x:c>
      <x:c r="T475" s="19" t="n">
        <x:f>K475+IF(AND(S475=1,J475=0),1,0)</x:f>
        <x:v>0</x:v>
      </x:c>
      <x:c r="U475" s="19" t="n">
        <x:f>L475+IF(AND(S475=1,J475=1),1,0)</x:f>
        <x:v>0</x:v>
      </x:c>
      <x:c r="V475" s="19" t="n">
        <x:f>M475+IF(AND(S475=1,J475=2),1,0)</x:f>
        <x:v>2</x:v>
      </x:c>
      <x:c r="W475" s="19" t="n">
        <x:f>SUM(T475:V475)</x:f>
        <x:v>2</x:v>
      </x:c>
      <x:c r="X475" s="19" t="n">
        <x:f>W475-G475</x:f>
        <x:v>0</x:v>
      </x:c>
      <x:c r="Y475" s="19" t="n">
        <x:f>MAX(T475,1)+MAX(U475,1)+MAX(V475,1)</x:f>
        <x:v>4</x:v>
      </x:c>
      <x:c r="Z475" s="21" t="str">
        <x:f>IF(AND(MIN(D475:F475)&gt;=0,MAX(D475:F475)&lt;=7,MAX(D475,1)+MAX(E475,1)+MAX(F475,1)&lt;=9,OR(H475="-",AND(H475=0,D475&gt;0),AND(H475=1,E475&gt;0),AND(H475=2,F475&gt;0)),OR(I475=0,AND(I475=1,OR(J475=0,J475=1,J475=2),R475&lt;&gt;"000")),Y475&lt;=9,MIN(T475:V475)&gt;=0),"合法","输入违约")</x:f>
        <x:v>合法</x:v>
      </x:c>
    </x:row>
    <x:row r="476" ht="23" customHeight="1">
      <x:c r="A476" s="3" t="str">
        <x:v>CT-0469</x:v>
      </x:c>
      <x:c r="B476" s="3" t="str">
        <x:v>ST-008</x:v>
      </x:c>
      <x:c r="C476" s="3" t="str">
        <x:v>仅R回收</x:v>
      </x:c>
      <x:c r="D476" s="25" t="n">
        <x:v>1</x:v>
      </x:c>
      <x:c r="E476" s="25" t="n">
        <x:v>0</x:v>
      </x:c>
      <x:c r="F476" s="25" t="n">
        <x:v>1</x:v>
      </x:c>
      <x:c r="G476" s="19" t="n">
        <x:f>SUM(D476:F476)</x:f>
        <x:v>2</x:v>
      </x:c>
      <x:c r="H476" s="25" t="n">
        <x:v>2</x:v>
      </x:c>
      <x:c r="I476" s="25" t="n">
        <x:v>0</x:v>
      </x:c>
      <x:c r="J476" s="25" t="str">
        <x:v>-</x:v>
      </x:c>
      <x:c r="K476" s="19" t="n">
        <x:f>D476-IF(H476=0,1,0)</x:f>
        <x:v>1</x:v>
      </x:c>
      <x:c r="L476" s="19" t="n">
        <x:f>E476-IF(H476=1,1,0)</x:f>
        <x:v>0</x:v>
      </x:c>
      <x:c r="M476" s="19" t="n">
        <x:f>F476-IF(H476=2,1,0)</x:f>
        <x:v>0</x:v>
      </x:c>
      <x:c r="N476" s="19" t="n">
        <x:f>MAX(K476-1,0)+MAX(L476-1,0)+MAX(M476-1,0)</x:f>
        <x:v>0</x:v>
      </x:c>
      <x:c r="O476" s="19" t="n">
        <x:f>IF(AND(SUM(K476:M476)&lt;9,OR(M476=0,N476&lt;6)),1,0)</x:f>
        <x:v>1</x:v>
      </x:c>
      <x:c r="P476" s="19" t="n">
        <x:f>IF(AND(SUM(K476:M476)&lt;9,OR(L476=0,N476&lt;6)),1,0)</x:f>
        <x:v>1</x:v>
      </x:c>
      <x:c r="Q476" s="19" t="n">
        <x:f>IF(AND(SUM(K476:M476)&lt;9,OR(K476=0,N476&lt;6)),1,0)</x:f>
        <x:v>1</x:v>
      </x:c>
      <x:c r="R476" s="22" t="str">
        <x:f>O476&amp;P476&amp;Q476</x:f>
        <x:v>111</x:v>
      </x:c>
      <x:c r="S476" s="19" t="n">
        <x:f>IF(I476=1,IF(J476=0,Q476,IF(J476=1,P476,IF(J476=2,O476,0))),0)</x:f>
        <x:v>0</x:v>
      </x:c>
      <x:c r="T476" s="19" t="n">
        <x:f>K476+IF(AND(S476=1,J476=0),1,0)</x:f>
        <x:v>1</x:v>
      </x:c>
      <x:c r="U476" s="19" t="n">
        <x:f>L476+IF(AND(S476=1,J476=1),1,0)</x:f>
        <x:v>0</x:v>
      </x:c>
      <x:c r="V476" s="19" t="n">
        <x:f>M476+IF(AND(S476=1,J476=2),1,0)</x:f>
        <x:v>0</x:v>
      </x:c>
      <x:c r="W476" s="19" t="n">
        <x:f>SUM(T476:V476)</x:f>
        <x:v>1</x:v>
      </x:c>
      <x:c r="X476" s="19" t="n">
        <x:f>W476-G476</x:f>
        <x:v>-1</x:v>
      </x:c>
      <x:c r="Y476" s="19" t="n">
        <x:f>MAX(T476,1)+MAX(U476,1)+MAX(V476,1)</x:f>
        <x:v>3</x:v>
      </x:c>
      <x:c r="Z476" s="21" t="str">
        <x:f>IF(AND(MIN(D476:F476)&gt;=0,MAX(D476:F476)&lt;=7,MAX(D476,1)+MAX(E476,1)+MAX(F476,1)&lt;=9,OR(H476="-",AND(H476=0,D476&gt;0),AND(H476=1,E476&gt;0),AND(H476=2,F476&gt;0)),OR(I476=0,AND(I476=1,OR(J476=0,J476=1,J476=2),R476&lt;&gt;"000")),Y476&lt;=9,MIN(T476:V476)&gt;=0),"合法","输入违约")</x:f>
        <x:v>合法</x:v>
      </x:c>
    </x:row>
    <x:row r="477" ht="23" customHeight="1">
      <x:c r="A477" s="3" t="str">
        <x:v>CT-0470</x:v>
      </x:c>
      <x:c r="B477" s="3" t="str">
        <x:v>ST-008</x:v>
      </x:c>
      <x:c r="C477" s="3" t="str">
        <x:v>R+AR同收同发</x:v>
      </x:c>
      <x:c r="D477" s="25" t="n">
        <x:v>1</x:v>
      </x:c>
      <x:c r="E477" s="25" t="n">
        <x:v>0</x:v>
      </x:c>
      <x:c r="F477" s="25" t="n">
        <x:v>1</x:v>
      </x:c>
      <x:c r="G477" s="19" t="n">
        <x:f>SUM(D477:F477)</x:f>
        <x:v>2</x:v>
      </x:c>
      <x:c r="H477" s="25" t="n">
        <x:v>2</x:v>
      </x:c>
      <x:c r="I477" s="25" t="n">
        <x:v>1</x:v>
      </x:c>
      <x:c r="J477" s="25" t="n">
        <x:v>0</x:v>
      </x:c>
      <x:c r="K477" s="19" t="n">
        <x:f>D477-IF(H477=0,1,0)</x:f>
        <x:v>1</x:v>
      </x:c>
      <x:c r="L477" s="19" t="n">
        <x:f>E477-IF(H477=1,1,0)</x:f>
        <x:v>0</x:v>
      </x:c>
      <x:c r="M477" s="19" t="n">
        <x:f>F477-IF(H477=2,1,0)</x:f>
        <x:v>0</x:v>
      </x:c>
      <x:c r="N477" s="19" t="n">
        <x:f>MAX(K477-1,0)+MAX(L477-1,0)+MAX(M477-1,0)</x:f>
        <x:v>0</x:v>
      </x:c>
      <x:c r="O477" s="19" t="n">
        <x:f>IF(AND(SUM(K477:M477)&lt;9,OR(M477=0,N477&lt;6)),1,0)</x:f>
        <x:v>1</x:v>
      </x:c>
      <x:c r="P477" s="19" t="n">
        <x:f>IF(AND(SUM(K477:M477)&lt;9,OR(L477=0,N477&lt;6)),1,0)</x:f>
        <x:v>1</x:v>
      </x:c>
      <x:c r="Q477" s="19" t="n">
        <x:f>IF(AND(SUM(K477:M477)&lt;9,OR(K477=0,N477&lt;6)),1,0)</x:f>
        <x:v>1</x:v>
      </x:c>
      <x:c r="R477" s="22" t="str">
        <x:f>O477&amp;P477&amp;Q477</x:f>
        <x:v>111</x:v>
      </x:c>
      <x:c r="S477" s="19" t="n">
        <x:f>IF(I477=1,IF(J477=0,Q477,IF(J477=1,P477,IF(J477=2,O477,0))),0)</x:f>
        <x:v>1</x:v>
      </x:c>
      <x:c r="T477" s="19" t="n">
        <x:f>K477+IF(AND(S477=1,J477=0),1,0)</x:f>
        <x:v>2</x:v>
      </x:c>
      <x:c r="U477" s="19" t="n">
        <x:f>L477+IF(AND(S477=1,J477=1),1,0)</x:f>
        <x:v>0</x:v>
      </x:c>
      <x:c r="V477" s="19" t="n">
        <x:f>M477+IF(AND(S477=1,J477=2),1,0)</x:f>
        <x:v>0</x:v>
      </x:c>
      <x:c r="W477" s="19" t="n">
        <x:f>SUM(T477:V477)</x:f>
        <x:v>2</x:v>
      </x:c>
      <x:c r="X477" s="19" t="n">
        <x:f>W477-G477</x:f>
        <x:v>0</x:v>
      </x:c>
      <x:c r="Y477" s="19" t="n">
        <x:f>MAX(T477,1)+MAX(U477,1)+MAX(V477,1)</x:f>
        <x:v>4</x:v>
      </x:c>
      <x:c r="Z477" s="21" t="str">
        <x:f>IF(AND(MIN(D477:F477)&gt;=0,MAX(D477:F477)&lt;=7,MAX(D477,1)+MAX(E477,1)+MAX(F477,1)&lt;=9,OR(H477="-",AND(H477=0,D477&gt;0),AND(H477=1,E477&gt;0),AND(H477=2,F477&gt;0)),OR(I477=0,AND(I477=1,OR(J477=0,J477=1,J477=2),R477&lt;&gt;"000")),Y477&lt;=9,MIN(T477:V477)&gt;=0),"合法","输入违约")</x:f>
        <x:v>合法</x:v>
      </x:c>
    </x:row>
    <x:row r="478" ht="23" customHeight="1">
      <x:c r="A478" s="3" t="str">
        <x:v>CT-0471</x:v>
      </x:c>
      <x:c r="B478" s="3" t="str">
        <x:v>ST-008</x:v>
      </x:c>
      <x:c r="C478" s="3" t="str">
        <x:v>R+AR同收同发</x:v>
      </x:c>
      <x:c r="D478" s="25" t="n">
        <x:v>1</x:v>
      </x:c>
      <x:c r="E478" s="25" t="n">
        <x:v>0</x:v>
      </x:c>
      <x:c r="F478" s="25" t="n">
        <x:v>1</x:v>
      </x:c>
      <x:c r="G478" s="19" t="n">
        <x:f>SUM(D478:F478)</x:f>
        <x:v>2</x:v>
      </x:c>
      <x:c r="H478" s="25" t="n">
        <x:v>2</x:v>
      </x:c>
      <x:c r="I478" s="25" t="n">
        <x:v>1</x:v>
      </x:c>
      <x:c r="J478" s="25" t="n">
        <x:v>1</x:v>
      </x:c>
      <x:c r="K478" s="19" t="n">
        <x:f>D478-IF(H478=0,1,0)</x:f>
        <x:v>1</x:v>
      </x:c>
      <x:c r="L478" s="19" t="n">
        <x:f>E478-IF(H478=1,1,0)</x:f>
        <x:v>0</x:v>
      </x:c>
      <x:c r="M478" s="19" t="n">
        <x:f>F478-IF(H478=2,1,0)</x:f>
        <x:v>0</x:v>
      </x:c>
      <x:c r="N478" s="19" t="n">
        <x:f>MAX(K478-1,0)+MAX(L478-1,0)+MAX(M478-1,0)</x:f>
        <x:v>0</x:v>
      </x:c>
      <x:c r="O478" s="19" t="n">
        <x:f>IF(AND(SUM(K478:M478)&lt;9,OR(M478=0,N478&lt;6)),1,0)</x:f>
        <x:v>1</x:v>
      </x:c>
      <x:c r="P478" s="19" t="n">
        <x:f>IF(AND(SUM(K478:M478)&lt;9,OR(L478=0,N478&lt;6)),1,0)</x:f>
        <x:v>1</x:v>
      </x:c>
      <x:c r="Q478" s="19" t="n">
        <x:f>IF(AND(SUM(K478:M478)&lt;9,OR(K478=0,N478&lt;6)),1,0)</x:f>
        <x:v>1</x:v>
      </x:c>
      <x:c r="R478" s="22" t="str">
        <x:f>O478&amp;P478&amp;Q478</x:f>
        <x:v>111</x:v>
      </x:c>
      <x:c r="S478" s="19" t="n">
        <x:f>IF(I478=1,IF(J478=0,Q478,IF(J478=1,P478,IF(J478=2,O478,0))),0)</x:f>
        <x:v>1</x:v>
      </x:c>
      <x:c r="T478" s="19" t="n">
        <x:f>K478+IF(AND(S478=1,J478=0),1,0)</x:f>
        <x:v>1</x:v>
      </x:c>
      <x:c r="U478" s="19" t="n">
        <x:f>L478+IF(AND(S478=1,J478=1),1,0)</x:f>
        <x:v>1</x:v>
      </x:c>
      <x:c r="V478" s="19" t="n">
        <x:f>M478+IF(AND(S478=1,J478=2),1,0)</x:f>
        <x:v>0</x:v>
      </x:c>
      <x:c r="W478" s="19" t="n">
        <x:f>SUM(T478:V478)</x:f>
        <x:v>2</x:v>
      </x:c>
      <x:c r="X478" s="19" t="n">
        <x:f>W478-G478</x:f>
        <x:v>0</x:v>
      </x:c>
      <x:c r="Y478" s="19" t="n">
        <x:f>MAX(T478,1)+MAX(U478,1)+MAX(V478,1)</x:f>
        <x:v>3</x:v>
      </x:c>
      <x:c r="Z478" s="21" t="str">
        <x:f>IF(AND(MIN(D478:F478)&gt;=0,MAX(D478:F478)&lt;=7,MAX(D478,1)+MAX(E478,1)+MAX(F478,1)&lt;=9,OR(H478="-",AND(H478=0,D478&gt;0),AND(H478=1,E478&gt;0),AND(H478=2,F478&gt;0)),OR(I478=0,AND(I478=1,OR(J478=0,J478=1,J478=2),R478&lt;&gt;"000")),Y478&lt;=9,MIN(T478:V478)&gt;=0),"合法","输入违约")</x:f>
        <x:v>合法</x:v>
      </x:c>
    </x:row>
    <x:row r="479" ht="23" customHeight="1">
      <x:c r="A479" s="3" t="str">
        <x:v>CT-0472</x:v>
      </x:c>
      <x:c r="B479" s="3" t="str">
        <x:v>ST-008</x:v>
      </x:c>
      <x:c r="C479" s="3" t="str">
        <x:v>R+AR同收同发</x:v>
      </x:c>
      <x:c r="D479" s="25" t="n">
        <x:v>1</x:v>
      </x:c>
      <x:c r="E479" s="25" t="n">
        <x:v>0</x:v>
      </x:c>
      <x:c r="F479" s="25" t="n">
        <x:v>1</x:v>
      </x:c>
      <x:c r="G479" s="19" t="n">
        <x:f>SUM(D479:F479)</x:f>
        <x:v>2</x:v>
      </x:c>
      <x:c r="H479" s="25" t="n">
        <x:v>2</x:v>
      </x:c>
      <x:c r="I479" s="25" t="n">
        <x:v>1</x:v>
      </x:c>
      <x:c r="J479" s="25" t="n">
        <x:v>2</x:v>
      </x:c>
      <x:c r="K479" s="19" t="n">
        <x:f>D479-IF(H479=0,1,0)</x:f>
        <x:v>1</x:v>
      </x:c>
      <x:c r="L479" s="19" t="n">
        <x:f>E479-IF(H479=1,1,0)</x:f>
        <x:v>0</x:v>
      </x:c>
      <x:c r="M479" s="19" t="n">
        <x:f>F479-IF(H479=2,1,0)</x:f>
        <x:v>0</x:v>
      </x:c>
      <x:c r="N479" s="19" t="n">
        <x:f>MAX(K479-1,0)+MAX(L479-1,0)+MAX(M479-1,0)</x:f>
        <x:v>0</x:v>
      </x:c>
      <x:c r="O479" s="19" t="n">
        <x:f>IF(AND(SUM(K479:M479)&lt;9,OR(M479=0,N479&lt;6)),1,0)</x:f>
        <x:v>1</x:v>
      </x:c>
      <x:c r="P479" s="19" t="n">
        <x:f>IF(AND(SUM(K479:M479)&lt;9,OR(L479=0,N479&lt;6)),1,0)</x:f>
        <x:v>1</x:v>
      </x:c>
      <x:c r="Q479" s="19" t="n">
        <x:f>IF(AND(SUM(K479:M479)&lt;9,OR(K479=0,N479&lt;6)),1,0)</x:f>
        <x:v>1</x:v>
      </x:c>
      <x:c r="R479" s="22" t="str">
        <x:f>O479&amp;P479&amp;Q479</x:f>
        <x:v>111</x:v>
      </x:c>
      <x:c r="S479" s="19" t="n">
        <x:f>IF(I479=1,IF(J479=0,Q479,IF(J479=1,P479,IF(J479=2,O479,0))),0)</x:f>
        <x:v>1</x:v>
      </x:c>
      <x:c r="T479" s="19" t="n">
        <x:f>K479+IF(AND(S479=1,J479=0),1,0)</x:f>
        <x:v>1</x:v>
      </x:c>
      <x:c r="U479" s="19" t="n">
        <x:f>L479+IF(AND(S479=1,J479=1),1,0)</x:f>
        <x:v>0</x:v>
      </x:c>
      <x:c r="V479" s="19" t="n">
        <x:f>M479+IF(AND(S479=1,J479=2),1,0)</x:f>
        <x:v>1</x:v>
      </x:c>
      <x:c r="W479" s="19" t="n">
        <x:f>SUM(T479:V479)</x:f>
        <x:v>2</x:v>
      </x:c>
      <x:c r="X479" s="19" t="n">
        <x:f>W479-G479</x:f>
        <x:v>0</x:v>
      </x:c>
      <x:c r="Y479" s="19" t="n">
        <x:f>MAX(T479,1)+MAX(U479,1)+MAX(V479,1)</x:f>
        <x:v>3</x:v>
      </x:c>
      <x:c r="Z479" s="21" t="str">
        <x:f>IF(AND(MIN(D479:F479)&gt;=0,MAX(D479:F479)&lt;=7,MAX(D479,1)+MAX(E479,1)+MAX(F479,1)&lt;=9,OR(H479="-",AND(H479=0,D479&gt;0),AND(H479=1,E479&gt;0),AND(H479=2,F479&gt;0)),OR(I479=0,AND(I479=1,OR(J479=0,J479=1,J479=2),R479&lt;&gt;"000")),Y479&lt;=9,MIN(T479:V479)&gt;=0),"合法","输入违约")</x:f>
        <x:v>合法</x:v>
      </x:c>
    </x:row>
    <x:row r="480" ht="23" customHeight="1">
      <x:c r="A480" s="3" t="str">
        <x:v>CT-0473</x:v>
      </x:c>
      <x:c r="B480" s="3" t="str">
        <x:v>ST-015</x:v>
      </x:c>
      <x:c r="C480" s="3" t="str">
        <x:v>无AR/R</x:v>
      </x:c>
      <x:c r="D480" s="25" t="n">
        <x:v>1</x:v>
      </x:c>
      <x:c r="E480" s="25" t="n">
        <x:v>0</x:v>
      </x:c>
      <x:c r="F480" s="25" t="n">
        <x:v>2</x:v>
      </x:c>
      <x:c r="G480" s="19" t="n">
        <x:f>SUM(D480:F480)</x:f>
        <x:v>3</x:v>
      </x:c>
      <x:c r="H480" s="25" t="str">
        <x:v>-</x:v>
      </x:c>
      <x:c r="I480" s="25" t="n">
        <x:v>0</x:v>
      </x:c>
      <x:c r="J480" s="25" t="str">
        <x:v>-</x:v>
      </x:c>
      <x:c r="K480" s="19" t="n">
        <x:f>D480-IF(H480=0,1,0)</x:f>
        <x:v>1</x:v>
      </x:c>
      <x:c r="L480" s="19" t="n">
        <x:f>E480-IF(H480=1,1,0)</x:f>
        <x:v>0</x:v>
      </x:c>
      <x:c r="M480" s="19" t="n">
        <x:f>F480-IF(H480=2,1,0)</x:f>
        <x:v>2</x:v>
      </x:c>
      <x:c r="N480" s="19" t="n">
        <x:f>MAX(K480-1,0)+MAX(L480-1,0)+MAX(M480-1,0)</x:f>
        <x:v>1</x:v>
      </x:c>
      <x:c r="O480" s="19" t="n">
        <x:f>IF(AND(SUM(K480:M480)&lt;9,OR(M480=0,N480&lt;6)),1,0)</x:f>
        <x:v>1</x:v>
      </x:c>
      <x:c r="P480" s="19" t="n">
        <x:f>IF(AND(SUM(K480:M480)&lt;9,OR(L480=0,N480&lt;6)),1,0)</x:f>
        <x:v>1</x:v>
      </x:c>
      <x:c r="Q480" s="19" t="n">
        <x:f>IF(AND(SUM(K480:M480)&lt;9,OR(K480=0,N480&lt;6)),1,0)</x:f>
        <x:v>1</x:v>
      </x:c>
      <x:c r="R480" s="22" t="str">
        <x:f>O480&amp;P480&amp;Q480</x:f>
        <x:v>111</x:v>
      </x:c>
      <x:c r="S480" s="19" t="n">
        <x:f>IF(I480=1,IF(J480=0,Q480,IF(J480=1,P480,IF(J480=2,O480,0))),0)</x:f>
        <x:v>0</x:v>
      </x:c>
      <x:c r="T480" s="19" t="n">
        <x:f>K480+IF(AND(S480=1,J480=0),1,0)</x:f>
        <x:v>1</x:v>
      </x:c>
      <x:c r="U480" s="19" t="n">
        <x:f>L480+IF(AND(S480=1,J480=1),1,0)</x:f>
        <x:v>0</x:v>
      </x:c>
      <x:c r="V480" s="19" t="n">
        <x:f>M480+IF(AND(S480=1,J480=2),1,0)</x:f>
        <x:v>2</x:v>
      </x:c>
      <x:c r="W480" s="19" t="n">
        <x:f>SUM(T480:V480)</x:f>
        <x:v>3</x:v>
      </x:c>
      <x:c r="X480" s="19" t="n">
        <x:f>W480-G480</x:f>
        <x:v>0</x:v>
      </x:c>
      <x:c r="Y480" s="19" t="n">
        <x:f>MAX(T480,1)+MAX(U480,1)+MAX(V480,1)</x:f>
        <x:v>4</x:v>
      </x:c>
      <x:c r="Z480" s="21" t="str">
        <x:f>IF(AND(MIN(D480:F480)&gt;=0,MAX(D480:F480)&lt;=7,MAX(D480,1)+MAX(E480,1)+MAX(F480,1)&lt;=9,OR(H480="-",AND(H480=0,D480&gt;0),AND(H480=1,E480&gt;0),AND(H480=2,F480&gt;0)),OR(I480=0,AND(I480=1,OR(J480=0,J480=1,J480=2),R480&lt;&gt;"000")),Y480&lt;=9,MIN(T480:V480)&gt;=0),"合法","输入违约")</x:f>
        <x:v>合法</x:v>
      </x:c>
    </x:row>
    <x:row r="481" ht="23" customHeight="1">
      <x:c r="A481" s="3" t="str">
        <x:v>CT-0474</x:v>
      </x:c>
      <x:c r="B481" s="3" t="str">
        <x:v>ST-015</x:v>
      </x:c>
      <x:c r="C481" s="3" t="str">
        <x:v>仅AR接收</x:v>
      </x:c>
      <x:c r="D481" s="25" t="n">
        <x:v>1</x:v>
      </x:c>
      <x:c r="E481" s="25" t="n">
        <x:v>0</x:v>
      </x:c>
      <x:c r="F481" s="25" t="n">
        <x:v>2</x:v>
      </x:c>
      <x:c r="G481" s="19" t="n">
        <x:f>SUM(D481:F481)</x:f>
        <x:v>3</x:v>
      </x:c>
      <x:c r="H481" s="25" t="str">
        <x:v>-</x:v>
      </x:c>
      <x:c r="I481" s="25" t="n">
        <x:v>1</x:v>
      </x:c>
      <x:c r="J481" s="25" t="n">
        <x:v>0</x:v>
      </x:c>
      <x:c r="K481" s="19" t="n">
        <x:f>D481-IF(H481=0,1,0)</x:f>
        <x:v>1</x:v>
      </x:c>
      <x:c r="L481" s="19" t="n">
        <x:f>E481-IF(H481=1,1,0)</x:f>
        <x:v>0</x:v>
      </x:c>
      <x:c r="M481" s="19" t="n">
        <x:f>F481-IF(H481=2,1,0)</x:f>
        <x:v>2</x:v>
      </x:c>
      <x:c r="N481" s="19" t="n">
        <x:f>MAX(K481-1,0)+MAX(L481-1,0)+MAX(M481-1,0)</x:f>
        <x:v>1</x:v>
      </x:c>
      <x:c r="O481" s="19" t="n">
        <x:f>IF(AND(SUM(K481:M481)&lt;9,OR(M481=0,N481&lt;6)),1,0)</x:f>
        <x:v>1</x:v>
      </x:c>
      <x:c r="P481" s="19" t="n">
        <x:f>IF(AND(SUM(K481:M481)&lt;9,OR(L481=0,N481&lt;6)),1,0)</x:f>
        <x:v>1</x:v>
      </x:c>
      <x:c r="Q481" s="19" t="n">
        <x:f>IF(AND(SUM(K481:M481)&lt;9,OR(K481=0,N481&lt;6)),1,0)</x:f>
        <x:v>1</x:v>
      </x:c>
      <x:c r="R481" s="22" t="str">
        <x:f>O481&amp;P481&amp;Q481</x:f>
        <x:v>111</x:v>
      </x:c>
      <x:c r="S481" s="19" t="n">
        <x:f>IF(I481=1,IF(J481=0,Q481,IF(J481=1,P481,IF(J481=2,O481,0))),0)</x:f>
        <x:v>1</x:v>
      </x:c>
      <x:c r="T481" s="19" t="n">
        <x:f>K481+IF(AND(S481=1,J481=0),1,0)</x:f>
        <x:v>2</x:v>
      </x:c>
      <x:c r="U481" s="19" t="n">
        <x:f>L481+IF(AND(S481=1,J481=1),1,0)</x:f>
        <x:v>0</x:v>
      </x:c>
      <x:c r="V481" s="19" t="n">
        <x:f>M481+IF(AND(S481=1,J481=2),1,0)</x:f>
        <x:v>2</x:v>
      </x:c>
      <x:c r="W481" s="19" t="n">
        <x:f>SUM(T481:V481)</x:f>
        <x:v>4</x:v>
      </x:c>
      <x:c r="X481" s="19" t="n">
        <x:f>W481-G481</x:f>
        <x:v>1</x:v>
      </x:c>
      <x:c r="Y481" s="19" t="n">
        <x:f>MAX(T481,1)+MAX(U481,1)+MAX(V481,1)</x:f>
        <x:v>5</x:v>
      </x:c>
      <x:c r="Z481" s="21" t="str">
        <x:f>IF(AND(MIN(D481:F481)&gt;=0,MAX(D481:F481)&lt;=7,MAX(D481,1)+MAX(E481,1)+MAX(F481,1)&lt;=9,OR(H481="-",AND(H481=0,D481&gt;0),AND(H481=1,E481&gt;0),AND(H481=2,F481&gt;0)),OR(I481=0,AND(I481=1,OR(J481=0,J481=1,J481=2),R481&lt;&gt;"000")),Y481&lt;=9,MIN(T481:V481)&gt;=0),"合法","输入违约")</x:f>
        <x:v>合法</x:v>
      </x:c>
    </x:row>
    <x:row r="482" ht="23" customHeight="1">
      <x:c r="A482" s="3" t="str">
        <x:v>CT-0475</x:v>
      </x:c>
      <x:c r="B482" s="3" t="str">
        <x:v>ST-015</x:v>
      </x:c>
      <x:c r="C482" s="3" t="str">
        <x:v>仅AR接收</x:v>
      </x:c>
      <x:c r="D482" s="25" t="n">
        <x:v>1</x:v>
      </x:c>
      <x:c r="E482" s="25" t="n">
        <x:v>0</x:v>
      </x:c>
      <x:c r="F482" s="25" t="n">
        <x:v>2</x:v>
      </x:c>
      <x:c r="G482" s="19" t="n">
        <x:f>SUM(D482:F482)</x:f>
        <x:v>3</x:v>
      </x:c>
      <x:c r="H482" s="25" t="str">
        <x:v>-</x:v>
      </x:c>
      <x:c r="I482" s="25" t="n">
        <x:v>1</x:v>
      </x:c>
      <x:c r="J482" s="25" t="n">
        <x:v>1</x:v>
      </x:c>
      <x:c r="K482" s="19" t="n">
        <x:f>D482-IF(H482=0,1,0)</x:f>
        <x:v>1</x:v>
      </x:c>
      <x:c r="L482" s="19" t="n">
        <x:f>E482-IF(H482=1,1,0)</x:f>
        <x:v>0</x:v>
      </x:c>
      <x:c r="M482" s="19" t="n">
        <x:f>F482-IF(H482=2,1,0)</x:f>
        <x:v>2</x:v>
      </x:c>
      <x:c r="N482" s="19" t="n">
        <x:f>MAX(K482-1,0)+MAX(L482-1,0)+MAX(M482-1,0)</x:f>
        <x:v>1</x:v>
      </x:c>
      <x:c r="O482" s="19" t="n">
        <x:f>IF(AND(SUM(K482:M482)&lt;9,OR(M482=0,N482&lt;6)),1,0)</x:f>
        <x:v>1</x:v>
      </x:c>
      <x:c r="P482" s="19" t="n">
        <x:f>IF(AND(SUM(K482:M482)&lt;9,OR(L482=0,N482&lt;6)),1,0)</x:f>
        <x:v>1</x:v>
      </x:c>
      <x:c r="Q482" s="19" t="n">
        <x:f>IF(AND(SUM(K482:M482)&lt;9,OR(K482=0,N482&lt;6)),1,0)</x:f>
        <x:v>1</x:v>
      </x:c>
      <x:c r="R482" s="22" t="str">
        <x:f>O482&amp;P482&amp;Q482</x:f>
        <x:v>111</x:v>
      </x:c>
      <x:c r="S482" s="19" t="n">
        <x:f>IF(I482=1,IF(J482=0,Q482,IF(J482=1,P482,IF(J482=2,O482,0))),0)</x:f>
        <x:v>1</x:v>
      </x:c>
      <x:c r="T482" s="19" t="n">
        <x:f>K482+IF(AND(S482=1,J482=0),1,0)</x:f>
        <x:v>1</x:v>
      </x:c>
      <x:c r="U482" s="19" t="n">
        <x:f>L482+IF(AND(S482=1,J482=1),1,0)</x:f>
        <x:v>1</x:v>
      </x:c>
      <x:c r="V482" s="19" t="n">
        <x:f>M482+IF(AND(S482=1,J482=2),1,0)</x:f>
        <x:v>2</x:v>
      </x:c>
      <x:c r="W482" s="19" t="n">
        <x:f>SUM(T482:V482)</x:f>
        <x:v>4</x:v>
      </x:c>
      <x:c r="X482" s="19" t="n">
        <x:f>W482-G482</x:f>
        <x:v>1</x:v>
      </x:c>
      <x:c r="Y482" s="19" t="n">
        <x:f>MAX(T482,1)+MAX(U482,1)+MAX(V482,1)</x:f>
        <x:v>4</x:v>
      </x:c>
      <x:c r="Z482" s="21" t="str">
        <x:f>IF(AND(MIN(D482:F482)&gt;=0,MAX(D482:F482)&lt;=7,MAX(D482,1)+MAX(E482,1)+MAX(F482,1)&lt;=9,OR(H482="-",AND(H482=0,D482&gt;0),AND(H482=1,E482&gt;0),AND(H482=2,F482&gt;0)),OR(I482=0,AND(I482=1,OR(J482=0,J482=1,J482=2),R482&lt;&gt;"000")),Y482&lt;=9,MIN(T482:V482)&gt;=0),"合法","输入违约")</x:f>
        <x:v>合法</x:v>
      </x:c>
    </x:row>
    <x:row r="483" ht="23" customHeight="1">
      <x:c r="A483" s="3" t="str">
        <x:v>CT-0476</x:v>
      </x:c>
      <x:c r="B483" s="3" t="str">
        <x:v>ST-015</x:v>
      </x:c>
      <x:c r="C483" s="3" t="str">
        <x:v>仅AR接收</x:v>
      </x:c>
      <x:c r="D483" s="25" t="n">
        <x:v>1</x:v>
      </x:c>
      <x:c r="E483" s="25" t="n">
        <x:v>0</x:v>
      </x:c>
      <x:c r="F483" s="25" t="n">
        <x:v>2</x:v>
      </x:c>
      <x:c r="G483" s="19" t="n">
        <x:f>SUM(D483:F483)</x:f>
        <x:v>3</x:v>
      </x:c>
      <x:c r="H483" s="25" t="str">
        <x:v>-</x:v>
      </x:c>
      <x:c r="I483" s="25" t="n">
        <x:v>1</x:v>
      </x:c>
      <x:c r="J483" s="25" t="n">
        <x:v>2</x:v>
      </x:c>
      <x:c r="K483" s="19" t="n">
        <x:f>D483-IF(H483=0,1,0)</x:f>
        <x:v>1</x:v>
      </x:c>
      <x:c r="L483" s="19" t="n">
        <x:f>E483-IF(H483=1,1,0)</x:f>
        <x:v>0</x:v>
      </x:c>
      <x:c r="M483" s="19" t="n">
        <x:f>F483-IF(H483=2,1,0)</x:f>
        <x:v>2</x:v>
      </x:c>
      <x:c r="N483" s="19" t="n">
        <x:f>MAX(K483-1,0)+MAX(L483-1,0)+MAX(M483-1,0)</x:f>
        <x:v>1</x:v>
      </x:c>
      <x:c r="O483" s="19" t="n">
        <x:f>IF(AND(SUM(K483:M483)&lt;9,OR(M483=0,N483&lt;6)),1,0)</x:f>
        <x:v>1</x:v>
      </x:c>
      <x:c r="P483" s="19" t="n">
        <x:f>IF(AND(SUM(K483:M483)&lt;9,OR(L483=0,N483&lt;6)),1,0)</x:f>
        <x:v>1</x:v>
      </x:c>
      <x:c r="Q483" s="19" t="n">
        <x:f>IF(AND(SUM(K483:M483)&lt;9,OR(K483=0,N483&lt;6)),1,0)</x:f>
        <x:v>1</x:v>
      </x:c>
      <x:c r="R483" s="22" t="str">
        <x:f>O483&amp;P483&amp;Q483</x:f>
        <x:v>111</x:v>
      </x:c>
      <x:c r="S483" s="19" t="n">
        <x:f>IF(I483=1,IF(J483=0,Q483,IF(J483=1,P483,IF(J483=2,O483,0))),0)</x:f>
        <x:v>1</x:v>
      </x:c>
      <x:c r="T483" s="19" t="n">
        <x:f>K483+IF(AND(S483=1,J483=0),1,0)</x:f>
        <x:v>1</x:v>
      </x:c>
      <x:c r="U483" s="19" t="n">
        <x:f>L483+IF(AND(S483=1,J483=1),1,0)</x:f>
        <x:v>0</x:v>
      </x:c>
      <x:c r="V483" s="19" t="n">
        <x:f>M483+IF(AND(S483=1,J483=2),1,0)</x:f>
        <x:v>3</x:v>
      </x:c>
      <x:c r="W483" s="19" t="n">
        <x:f>SUM(T483:V483)</x:f>
        <x:v>4</x:v>
      </x:c>
      <x:c r="X483" s="19" t="n">
        <x:f>W483-G483</x:f>
        <x:v>1</x:v>
      </x:c>
      <x:c r="Y483" s="19" t="n">
        <x:f>MAX(T483,1)+MAX(U483,1)+MAX(V483,1)</x:f>
        <x:v>5</x:v>
      </x:c>
      <x:c r="Z483" s="21" t="str">
        <x:f>IF(AND(MIN(D483:F483)&gt;=0,MAX(D483:F483)&lt;=7,MAX(D483,1)+MAX(E483,1)+MAX(F483,1)&lt;=9,OR(H483="-",AND(H483=0,D483&gt;0),AND(H483=1,E483&gt;0),AND(H483=2,F483&gt;0)),OR(I483=0,AND(I483=1,OR(J483=0,J483=1,J483=2),R483&lt;&gt;"000")),Y483&lt;=9,MIN(T483:V483)&gt;=0),"合法","输入违约")</x:f>
        <x:v>合法</x:v>
      </x:c>
    </x:row>
    <x:row r="484" ht="23" customHeight="1">
      <x:c r="A484" s="3" t="str">
        <x:v>CT-0477</x:v>
      </x:c>
      <x:c r="B484" s="3" t="str">
        <x:v>ST-015</x:v>
      </x:c>
      <x:c r="C484" s="3" t="str">
        <x:v>仅R回收</x:v>
      </x:c>
      <x:c r="D484" s="25" t="n">
        <x:v>1</x:v>
      </x:c>
      <x:c r="E484" s="25" t="n">
        <x:v>0</x:v>
      </x:c>
      <x:c r="F484" s="25" t="n">
        <x:v>2</x:v>
      </x:c>
      <x:c r="G484" s="19" t="n">
        <x:f>SUM(D484:F484)</x:f>
        <x:v>3</x:v>
      </x:c>
      <x:c r="H484" s="25" t="n">
        <x:v>0</x:v>
      </x:c>
      <x:c r="I484" s="25" t="n">
        <x:v>0</x:v>
      </x:c>
      <x:c r="J484" s="25" t="str">
        <x:v>-</x:v>
      </x:c>
      <x:c r="K484" s="19" t="n">
        <x:f>D484-IF(H484=0,1,0)</x:f>
        <x:v>0</x:v>
      </x:c>
      <x:c r="L484" s="19" t="n">
        <x:f>E484-IF(H484=1,1,0)</x:f>
        <x:v>0</x:v>
      </x:c>
      <x:c r="M484" s="19" t="n">
        <x:f>F484-IF(H484=2,1,0)</x:f>
        <x:v>2</x:v>
      </x:c>
      <x:c r="N484" s="19" t="n">
        <x:f>MAX(K484-1,0)+MAX(L484-1,0)+MAX(M484-1,0)</x:f>
        <x:v>1</x:v>
      </x:c>
      <x:c r="O484" s="19" t="n">
        <x:f>IF(AND(SUM(K484:M484)&lt;9,OR(M484=0,N484&lt;6)),1,0)</x:f>
        <x:v>1</x:v>
      </x:c>
      <x:c r="P484" s="19" t="n">
        <x:f>IF(AND(SUM(K484:M484)&lt;9,OR(L484=0,N484&lt;6)),1,0)</x:f>
        <x:v>1</x:v>
      </x:c>
      <x:c r="Q484" s="19" t="n">
        <x:f>IF(AND(SUM(K484:M484)&lt;9,OR(K484=0,N484&lt;6)),1,0)</x:f>
        <x:v>1</x:v>
      </x:c>
      <x:c r="R484" s="22" t="str">
        <x:f>O484&amp;P484&amp;Q484</x:f>
        <x:v>111</x:v>
      </x:c>
      <x:c r="S484" s="19" t="n">
        <x:f>IF(I484=1,IF(J484=0,Q484,IF(J484=1,P484,IF(J484=2,O484,0))),0)</x:f>
        <x:v>0</x:v>
      </x:c>
      <x:c r="T484" s="19" t="n">
        <x:f>K484+IF(AND(S484=1,J484=0),1,0)</x:f>
        <x:v>0</x:v>
      </x:c>
      <x:c r="U484" s="19" t="n">
        <x:f>L484+IF(AND(S484=1,J484=1),1,0)</x:f>
        <x:v>0</x:v>
      </x:c>
      <x:c r="V484" s="19" t="n">
        <x:f>M484+IF(AND(S484=1,J484=2),1,0)</x:f>
        <x:v>2</x:v>
      </x:c>
      <x:c r="W484" s="19" t="n">
        <x:f>SUM(T484:V484)</x:f>
        <x:v>2</x:v>
      </x:c>
      <x:c r="X484" s="19" t="n">
        <x:f>W484-G484</x:f>
        <x:v>-1</x:v>
      </x:c>
      <x:c r="Y484" s="19" t="n">
        <x:f>MAX(T484,1)+MAX(U484,1)+MAX(V484,1)</x:f>
        <x:v>4</x:v>
      </x:c>
      <x:c r="Z484" s="21" t="str">
        <x:f>IF(AND(MIN(D484:F484)&gt;=0,MAX(D484:F484)&lt;=7,MAX(D484,1)+MAX(E484,1)+MAX(F484,1)&lt;=9,OR(H484="-",AND(H484=0,D484&gt;0),AND(H484=1,E484&gt;0),AND(H484=2,F484&gt;0)),OR(I484=0,AND(I484=1,OR(J484=0,J484=1,J484=2),R484&lt;&gt;"000")),Y484&lt;=9,MIN(T484:V484)&gt;=0),"合法","输入违约")</x:f>
        <x:v>合法</x:v>
      </x:c>
    </x:row>
    <x:row r="485" ht="23" customHeight="1">
      <x:c r="A485" s="3" t="str">
        <x:v>CT-0478</x:v>
      </x:c>
      <x:c r="B485" s="3" t="str">
        <x:v>ST-015</x:v>
      </x:c>
      <x:c r="C485" s="3" t="str">
        <x:v>R+AR同收同发</x:v>
      </x:c>
      <x:c r="D485" s="25" t="n">
        <x:v>1</x:v>
      </x:c>
      <x:c r="E485" s="25" t="n">
        <x:v>0</x:v>
      </x:c>
      <x:c r="F485" s="25" t="n">
        <x:v>2</x:v>
      </x:c>
      <x:c r="G485" s="19" t="n">
        <x:f>SUM(D485:F485)</x:f>
        <x:v>3</x:v>
      </x:c>
      <x:c r="H485" s="25" t="n">
        <x:v>0</x:v>
      </x:c>
      <x:c r="I485" s="25" t="n">
        <x:v>1</x:v>
      </x:c>
      <x:c r="J485" s="25" t="n">
        <x:v>0</x:v>
      </x:c>
      <x:c r="K485" s="19" t="n">
        <x:f>D485-IF(H485=0,1,0)</x:f>
        <x:v>0</x:v>
      </x:c>
      <x:c r="L485" s="19" t="n">
        <x:f>E485-IF(H485=1,1,0)</x:f>
        <x:v>0</x:v>
      </x:c>
      <x:c r="M485" s="19" t="n">
        <x:f>F485-IF(H485=2,1,0)</x:f>
        <x:v>2</x:v>
      </x:c>
      <x:c r="N485" s="19" t="n">
        <x:f>MAX(K485-1,0)+MAX(L485-1,0)+MAX(M485-1,0)</x:f>
        <x:v>1</x:v>
      </x:c>
      <x:c r="O485" s="19" t="n">
        <x:f>IF(AND(SUM(K485:M485)&lt;9,OR(M485=0,N485&lt;6)),1,0)</x:f>
        <x:v>1</x:v>
      </x:c>
      <x:c r="P485" s="19" t="n">
        <x:f>IF(AND(SUM(K485:M485)&lt;9,OR(L485=0,N485&lt;6)),1,0)</x:f>
        <x:v>1</x:v>
      </x:c>
      <x:c r="Q485" s="19" t="n">
        <x:f>IF(AND(SUM(K485:M485)&lt;9,OR(K485=0,N485&lt;6)),1,0)</x:f>
        <x:v>1</x:v>
      </x:c>
      <x:c r="R485" s="22" t="str">
        <x:f>O485&amp;P485&amp;Q485</x:f>
        <x:v>111</x:v>
      </x:c>
      <x:c r="S485" s="19" t="n">
        <x:f>IF(I485=1,IF(J485=0,Q485,IF(J485=1,P485,IF(J485=2,O485,0))),0)</x:f>
        <x:v>1</x:v>
      </x:c>
      <x:c r="T485" s="19" t="n">
        <x:f>K485+IF(AND(S485=1,J485=0),1,0)</x:f>
        <x:v>1</x:v>
      </x:c>
      <x:c r="U485" s="19" t="n">
        <x:f>L485+IF(AND(S485=1,J485=1),1,0)</x:f>
        <x:v>0</x:v>
      </x:c>
      <x:c r="V485" s="19" t="n">
        <x:f>M485+IF(AND(S485=1,J485=2),1,0)</x:f>
        <x:v>2</x:v>
      </x:c>
      <x:c r="W485" s="19" t="n">
        <x:f>SUM(T485:V485)</x:f>
        <x:v>3</x:v>
      </x:c>
      <x:c r="X485" s="19" t="n">
        <x:f>W485-G485</x:f>
        <x:v>0</x:v>
      </x:c>
      <x:c r="Y485" s="19" t="n">
        <x:f>MAX(T485,1)+MAX(U485,1)+MAX(V485,1)</x:f>
        <x:v>4</x:v>
      </x:c>
      <x:c r="Z485" s="21" t="str">
        <x:f>IF(AND(MIN(D485:F485)&gt;=0,MAX(D485:F485)&lt;=7,MAX(D485,1)+MAX(E485,1)+MAX(F485,1)&lt;=9,OR(H485="-",AND(H485=0,D485&gt;0),AND(H485=1,E485&gt;0),AND(H485=2,F485&gt;0)),OR(I485=0,AND(I485=1,OR(J485=0,J485=1,J485=2),R485&lt;&gt;"000")),Y485&lt;=9,MIN(T485:V485)&gt;=0),"合法","输入违约")</x:f>
        <x:v>合法</x:v>
      </x:c>
    </x:row>
    <x:row r="486" ht="23" customHeight="1">
      <x:c r="A486" s="3" t="str">
        <x:v>CT-0479</x:v>
      </x:c>
      <x:c r="B486" s="3" t="str">
        <x:v>ST-015</x:v>
      </x:c>
      <x:c r="C486" s="3" t="str">
        <x:v>R+AR同收同发</x:v>
      </x:c>
      <x:c r="D486" s="25" t="n">
        <x:v>1</x:v>
      </x:c>
      <x:c r="E486" s="25" t="n">
        <x:v>0</x:v>
      </x:c>
      <x:c r="F486" s="25" t="n">
        <x:v>2</x:v>
      </x:c>
      <x:c r="G486" s="19" t="n">
        <x:f>SUM(D486:F486)</x:f>
        <x:v>3</x:v>
      </x:c>
      <x:c r="H486" s="25" t="n">
        <x:v>0</x:v>
      </x:c>
      <x:c r="I486" s="25" t="n">
        <x:v>1</x:v>
      </x:c>
      <x:c r="J486" s="25" t="n">
        <x:v>1</x:v>
      </x:c>
      <x:c r="K486" s="19" t="n">
        <x:f>D486-IF(H486=0,1,0)</x:f>
        <x:v>0</x:v>
      </x:c>
      <x:c r="L486" s="19" t="n">
        <x:f>E486-IF(H486=1,1,0)</x:f>
        <x:v>0</x:v>
      </x:c>
      <x:c r="M486" s="19" t="n">
        <x:f>F486-IF(H486=2,1,0)</x:f>
        <x:v>2</x:v>
      </x:c>
      <x:c r="N486" s="19" t="n">
        <x:f>MAX(K486-1,0)+MAX(L486-1,0)+MAX(M486-1,0)</x:f>
        <x:v>1</x:v>
      </x:c>
      <x:c r="O486" s="19" t="n">
        <x:f>IF(AND(SUM(K486:M486)&lt;9,OR(M486=0,N486&lt;6)),1,0)</x:f>
        <x:v>1</x:v>
      </x:c>
      <x:c r="P486" s="19" t="n">
        <x:f>IF(AND(SUM(K486:M486)&lt;9,OR(L486=0,N486&lt;6)),1,0)</x:f>
        <x:v>1</x:v>
      </x:c>
      <x:c r="Q486" s="19" t="n">
        <x:f>IF(AND(SUM(K486:M486)&lt;9,OR(K486=0,N486&lt;6)),1,0)</x:f>
        <x:v>1</x:v>
      </x:c>
      <x:c r="R486" s="22" t="str">
        <x:f>O486&amp;P486&amp;Q486</x:f>
        <x:v>111</x:v>
      </x:c>
      <x:c r="S486" s="19" t="n">
        <x:f>IF(I486=1,IF(J486=0,Q486,IF(J486=1,P486,IF(J486=2,O486,0))),0)</x:f>
        <x:v>1</x:v>
      </x:c>
      <x:c r="T486" s="19" t="n">
        <x:f>K486+IF(AND(S486=1,J486=0),1,0)</x:f>
        <x:v>0</x:v>
      </x:c>
      <x:c r="U486" s="19" t="n">
        <x:f>L486+IF(AND(S486=1,J486=1),1,0)</x:f>
        <x:v>1</x:v>
      </x:c>
      <x:c r="V486" s="19" t="n">
        <x:f>M486+IF(AND(S486=1,J486=2),1,0)</x:f>
        <x:v>2</x:v>
      </x:c>
      <x:c r="W486" s="19" t="n">
        <x:f>SUM(T486:V486)</x:f>
        <x:v>3</x:v>
      </x:c>
      <x:c r="X486" s="19" t="n">
        <x:f>W486-G486</x:f>
        <x:v>0</x:v>
      </x:c>
      <x:c r="Y486" s="19" t="n">
        <x:f>MAX(T486,1)+MAX(U486,1)+MAX(V486,1)</x:f>
        <x:v>4</x:v>
      </x:c>
      <x:c r="Z486" s="21" t="str">
        <x:f>IF(AND(MIN(D486:F486)&gt;=0,MAX(D486:F486)&lt;=7,MAX(D486,1)+MAX(E486,1)+MAX(F486,1)&lt;=9,OR(H486="-",AND(H486=0,D486&gt;0),AND(H486=1,E486&gt;0),AND(H486=2,F486&gt;0)),OR(I486=0,AND(I486=1,OR(J486=0,J486=1,J486=2),R486&lt;&gt;"000")),Y486&lt;=9,MIN(T486:V486)&gt;=0),"合法","输入违约")</x:f>
        <x:v>合法</x:v>
      </x:c>
    </x:row>
    <x:row r="487" ht="23" customHeight="1">
      <x:c r="A487" s="3" t="str">
        <x:v>CT-0480</x:v>
      </x:c>
      <x:c r="B487" s="3" t="str">
        <x:v>ST-015</x:v>
      </x:c>
      <x:c r="C487" s="3" t="str">
        <x:v>R+AR同收同发</x:v>
      </x:c>
      <x:c r="D487" s="25" t="n">
        <x:v>1</x:v>
      </x:c>
      <x:c r="E487" s="25" t="n">
        <x:v>0</x:v>
      </x:c>
      <x:c r="F487" s="25" t="n">
        <x:v>2</x:v>
      </x:c>
      <x:c r="G487" s="19" t="n">
        <x:f>SUM(D487:F487)</x:f>
        <x:v>3</x:v>
      </x:c>
      <x:c r="H487" s="25" t="n">
        <x:v>0</x:v>
      </x:c>
      <x:c r="I487" s="25" t="n">
        <x:v>1</x:v>
      </x:c>
      <x:c r="J487" s="25" t="n">
        <x:v>2</x:v>
      </x:c>
      <x:c r="K487" s="19" t="n">
        <x:f>D487-IF(H487=0,1,0)</x:f>
        <x:v>0</x:v>
      </x:c>
      <x:c r="L487" s="19" t="n">
        <x:f>E487-IF(H487=1,1,0)</x:f>
        <x:v>0</x:v>
      </x:c>
      <x:c r="M487" s="19" t="n">
        <x:f>F487-IF(H487=2,1,0)</x:f>
        <x:v>2</x:v>
      </x:c>
      <x:c r="N487" s="19" t="n">
        <x:f>MAX(K487-1,0)+MAX(L487-1,0)+MAX(M487-1,0)</x:f>
        <x:v>1</x:v>
      </x:c>
      <x:c r="O487" s="19" t="n">
        <x:f>IF(AND(SUM(K487:M487)&lt;9,OR(M487=0,N487&lt;6)),1,0)</x:f>
        <x:v>1</x:v>
      </x:c>
      <x:c r="P487" s="19" t="n">
        <x:f>IF(AND(SUM(K487:M487)&lt;9,OR(L487=0,N487&lt;6)),1,0)</x:f>
        <x:v>1</x:v>
      </x:c>
      <x:c r="Q487" s="19" t="n">
        <x:f>IF(AND(SUM(K487:M487)&lt;9,OR(K487=0,N487&lt;6)),1,0)</x:f>
        <x:v>1</x:v>
      </x:c>
      <x:c r="R487" s="22" t="str">
        <x:f>O487&amp;P487&amp;Q487</x:f>
        <x:v>111</x:v>
      </x:c>
      <x:c r="S487" s="19" t="n">
        <x:f>IF(I487=1,IF(J487=0,Q487,IF(J487=1,P487,IF(J487=2,O487,0))),0)</x:f>
        <x:v>1</x:v>
      </x:c>
      <x:c r="T487" s="19" t="n">
        <x:f>K487+IF(AND(S487=1,J487=0),1,0)</x:f>
        <x:v>0</x:v>
      </x:c>
      <x:c r="U487" s="19" t="n">
        <x:f>L487+IF(AND(S487=1,J487=1),1,0)</x:f>
        <x:v>0</x:v>
      </x:c>
      <x:c r="V487" s="19" t="n">
        <x:f>M487+IF(AND(S487=1,J487=2),1,0)</x:f>
        <x:v>3</x:v>
      </x:c>
      <x:c r="W487" s="19" t="n">
        <x:f>SUM(T487:V487)</x:f>
        <x:v>3</x:v>
      </x:c>
      <x:c r="X487" s="19" t="n">
        <x:f>W487-G487</x:f>
        <x:v>0</x:v>
      </x:c>
      <x:c r="Y487" s="19" t="n">
        <x:f>MAX(T487,1)+MAX(U487,1)+MAX(V487,1)</x:f>
        <x:v>5</x:v>
      </x:c>
      <x:c r="Z487" s="21" t="str">
        <x:f>IF(AND(MIN(D487:F487)&gt;=0,MAX(D487:F487)&lt;=7,MAX(D487,1)+MAX(E487,1)+MAX(F487,1)&lt;=9,OR(H487="-",AND(H487=0,D487&gt;0),AND(H487=1,E487&gt;0),AND(H487=2,F487&gt;0)),OR(I487=0,AND(I487=1,OR(J487=0,J487=1,J487=2),R487&lt;&gt;"000")),Y487&lt;=9,MIN(T487:V487)&gt;=0),"合法","输入违约")</x:f>
        <x:v>合法</x:v>
      </x:c>
    </x:row>
    <x:row r="488" ht="23" customHeight="1">
      <x:c r="A488" s="3" t="str">
        <x:v>CT-0481</x:v>
      </x:c>
      <x:c r="B488" s="3" t="str">
        <x:v>ST-015</x:v>
      </x:c>
      <x:c r="C488" s="3" t="str">
        <x:v>仅R回收</x:v>
      </x:c>
      <x:c r="D488" s="25" t="n">
        <x:v>1</x:v>
      </x:c>
      <x:c r="E488" s="25" t="n">
        <x:v>0</x:v>
      </x:c>
      <x:c r="F488" s="25" t="n">
        <x:v>2</x:v>
      </x:c>
      <x:c r="G488" s="19" t="n">
        <x:f>SUM(D488:F488)</x:f>
        <x:v>3</x:v>
      </x:c>
      <x:c r="H488" s="25" t="n">
        <x:v>2</x:v>
      </x:c>
      <x:c r="I488" s="25" t="n">
        <x:v>0</x:v>
      </x:c>
      <x:c r="J488" s="25" t="str">
        <x:v>-</x:v>
      </x:c>
      <x:c r="K488" s="19" t="n">
        <x:f>D488-IF(H488=0,1,0)</x:f>
        <x:v>1</x:v>
      </x:c>
      <x:c r="L488" s="19" t="n">
        <x:f>E488-IF(H488=1,1,0)</x:f>
        <x:v>0</x:v>
      </x:c>
      <x:c r="M488" s="19" t="n">
        <x:f>F488-IF(H488=2,1,0)</x:f>
        <x:v>1</x:v>
      </x:c>
      <x:c r="N488" s="19" t="n">
        <x:f>MAX(K488-1,0)+MAX(L488-1,0)+MAX(M488-1,0)</x:f>
        <x:v>0</x:v>
      </x:c>
      <x:c r="O488" s="19" t="n">
        <x:f>IF(AND(SUM(K488:M488)&lt;9,OR(M488=0,N488&lt;6)),1,0)</x:f>
        <x:v>1</x:v>
      </x:c>
      <x:c r="P488" s="19" t="n">
        <x:f>IF(AND(SUM(K488:M488)&lt;9,OR(L488=0,N488&lt;6)),1,0)</x:f>
        <x:v>1</x:v>
      </x:c>
      <x:c r="Q488" s="19" t="n">
        <x:f>IF(AND(SUM(K488:M488)&lt;9,OR(K488=0,N488&lt;6)),1,0)</x:f>
        <x:v>1</x:v>
      </x:c>
      <x:c r="R488" s="22" t="str">
        <x:f>O488&amp;P488&amp;Q488</x:f>
        <x:v>111</x:v>
      </x:c>
      <x:c r="S488" s="19" t="n">
        <x:f>IF(I488=1,IF(J488=0,Q488,IF(J488=1,P488,IF(J488=2,O488,0))),0)</x:f>
        <x:v>0</x:v>
      </x:c>
      <x:c r="T488" s="19" t="n">
        <x:f>K488+IF(AND(S488=1,J488=0),1,0)</x:f>
        <x:v>1</x:v>
      </x:c>
      <x:c r="U488" s="19" t="n">
        <x:f>L488+IF(AND(S488=1,J488=1),1,0)</x:f>
        <x:v>0</x:v>
      </x:c>
      <x:c r="V488" s="19" t="n">
        <x:f>M488+IF(AND(S488=1,J488=2),1,0)</x:f>
        <x:v>1</x:v>
      </x:c>
      <x:c r="W488" s="19" t="n">
        <x:f>SUM(T488:V488)</x:f>
        <x:v>2</x:v>
      </x:c>
      <x:c r="X488" s="19" t="n">
        <x:f>W488-G488</x:f>
        <x:v>-1</x:v>
      </x:c>
      <x:c r="Y488" s="19" t="n">
        <x:f>MAX(T488,1)+MAX(U488,1)+MAX(V488,1)</x:f>
        <x:v>3</x:v>
      </x:c>
      <x:c r="Z488" s="21" t="str">
        <x:f>IF(AND(MIN(D488:F488)&gt;=0,MAX(D488:F488)&lt;=7,MAX(D488,1)+MAX(E488,1)+MAX(F488,1)&lt;=9,OR(H488="-",AND(H488=0,D488&gt;0),AND(H488=1,E488&gt;0),AND(H488=2,F488&gt;0)),OR(I488=0,AND(I488=1,OR(J488=0,J488=1,J488=2),R488&lt;&gt;"000")),Y488&lt;=9,MIN(T488:V488)&gt;=0),"合法","输入违约")</x:f>
        <x:v>合法</x:v>
      </x:c>
    </x:row>
    <x:row r="489" ht="23" customHeight="1">
      <x:c r="A489" s="3" t="str">
        <x:v>CT-0482</x:v>
      </x:c>
      <x:c r="B489" s="3" t="str">
        <x:v>ST-015</x:v>
      </x:c>
      <x:c r="C489" s="3" t="str">
        <x:v>R+AR同收同发</x:v>
      </x:c>
      <x:c r="D489" s="25" t="n">
        <x:v>1</x:v>
      </x:c>
      <x:c r="E489" s="25" t="n">
        <x:v>0</x:v>
      </x:c>
      <x:c r="F489" s="25" t="n">
        <x:v>2</x:v>
      </x:c>
      <x:c r="G489" s="19" t="n">
        <x:f>SUM(D489:F489)</x:f>
        <x:v>3</x:v>
      </x:c>
      <x:c r="H489" s="25" t="n">
        <x:v>2</x:v>
      </x:c>
      <x:c r="I489" s="25" t="n">
        <x:v>1</x:v>
      </x:c>
      <x:c r="J489" s="25" t="n">
        <x:v>0</x:v>
      </x:c>
      <x:c r="K489" s="19" t="n">
        <x:f>D489-IF(H489=0,1,0)</x:f>
        <x:v>1</x:v>
      </x:c>
      <x:c r="L489" s="19" t="n">
        <x:f>E489-IF(H489=1,1,0)</x:f>
        <x:v>0</x:v>
      </x:c>
      <x:c r="M489" s="19" t="n">
        <x:f>F489-IF(H489=2,1,0)</x:f>
        <x:v>1</x:v>
      </x:c>
      <x:c r="N489" s="19" t="n">
        <x:f>MAX(K489-1,0)+MAX(L489-1,0)+MAX(M489-1,0)</x:f>
        <x:v>0</x:v>
      </x:c>
      <x:c r="O489" s="19" t="n">
        <x:f>IF(AND(SUM(K489:M489)&lt;9,OR(M489=0,N489&lt;6)),1,0)</x:f>
        <x:v>1</x:v>
      </x:c>
      <x:c r="P489" s="19" t="n">
        <x:f>IF(AND(SUM(K489:M489)&lt;9,OR(L489=0,N489&lt;6)),1,0)</x:f>
        <x:v>1</x:v>
      </x:c>
      <x:c r="Q489" s="19" t="n">
        <x:f>IF(AND(SUM(K489:M489)&lt;9,OR(K489=0,N489&lt;6)),1,0)</x:f>
        <x:v>1</x:v>
      </x:c>
      <x:c r="R489" s="22" t="str">
        <x:f>O489&amp;P489&amp;Q489</x:f>
        <x:v>111</x:v>
      </x:c>
      <x:c r="S489" s="19" t="n">
        <x:f>IF(I489=1,IF(J489=0,Q489,IF(J489=1,P489,IF(J489=2,O489,0))),0)</x:f>
        <x:v>1</x:v>
      </x:c>
      <x:c r="T489" s="19" t="n">
        <x:f>K489+IF(AND(S489=1,J489=0),1,0)</x:f>
        <x:v>2</x:v>
      </x:c>
      <x:c r="U489" s="19" t="n">
        <x:f>L489+IF(AND(S489=1,J489=1),1,0)</x:f>
        <x:v>0</x:v>
      </x:c>
      <x:c r="V489" s="19" t="n">
        <x:f>M489+IF(AND(S489=1,J489=2),1,0)</x:f>
        <x:v>1</x:v>
      </x:c>
      <x:c r="W489" s="19" t="n">
        <x:f>SUM(T489:V489)</x:f>
        <x:v>3</x:v>
      </x:c>
      <x:c r="X489" s="19" t="n">
        <x:f>W489-G489</x:f>
        <x:v>0</x:v>
      </x:c>
      <x:c r="Y489" s="19" t="n">
        <x:f>MAX(T489,1)+MAX(U489,1)+MAX(V489,1)</x:f>
        <x:v>4</x:v>
      </x:c>
      <x:c r="Z489" s="21" t="str">
        <x:f>IF(AND(MIN(D489:F489)&gt;=0,MAX(D489:F489)&lt;=7,MAX(D489,1)+MAX(E489,1)+MAX(F489,1)&lt;=9,OR(H489="-",AND(H489=0,D489&gt;0),AND(H489=1,E489&gt;0),AND(H489=2,F489&gt;0)),OR(I489=0,AND(I489=1,OR(J489=0,J489=1,J489=2),R489&lt;&gt;"000")),Y489&lt;=9,MIN(T489:V489)&gt;=0),"合法","输入违约")</x:f>
        <x:v>合法</x:v>
      </x:c>
    </x:row>
    <x:row r="490" ht="23" customHeight="1">
      <x:c r="A490" s="3" t="str">
        <x:v>CT-0483</x:v>
      </x:c>
      <x:c r="B490" s="3" t="str">
        <x:v>ST-015</x:v>
      </x:c>
      <x:c r="C490" s="3" t="str">
        <x:v>R+AR同收同发</x:v>
      </x:c>
      <x:c r="D490" s="25" t="n">
        <x:v>1</x:v>
      </x:c>
      <x:c r="E490" s="25" t="n">
        <x:v>0</x:v>
      </x:c>
      <x:c r="F490" s="25" t="n">
        <x:v>2</x:v>
      </x:c>
      <x:c r="G490" s="19" t="n">
        <x:f>SUM(D490:F490)</x:f>
        <x:v>3</x:v>
      </x:c>
      <x:c r="H490" s="25" t="n">
        <x:v>2</x:v>
      </x:c>
      <x:c r="I490" s="25" t="n">
        <x:v>1</x:v>
      </x:c>
      <x:c r="J490" s="25" t="n">
        <x:v>1</x:v>
      </x:c>
      <x:c r="K490" s="19" t="n">
        <x:f>D490-IF(H490=0,1,0)</x:f>
        <x:v>1</x:v>
      </x:c>
      <x:c r="L490" s="19" t="n">
        <x:f>E490-IF(H490=1,1,0)</x:f>
        <x:v>0</x:v>
      </x:c>
      <x:c r="M490" s="19" t="n">
        <x:f>F490-IF(H490=2,1,0)</x:f>
        <x:v>1</x:v>
      </x:c>
      <x:c r="N490" s="19" t="n">
        <x:f>MAX(K490-1,0)+MAX(L490-1,0)+MAX(M490-1,0)</x:f>
        <x:v>0</x:v>
      </x:c>
      <x:c r="O490" s="19" t="n">
        <x:f>IF(AND(SUM(K490:M490)&lt;9,OR(M490=0,N490&lt;6)),1,0)</x:f>
        <x:v>1</x:v>
      </x:c>
      <x:c r="P490" s="19" t="n">
        <x:f>IF(AND(SUM(K490:M490)&lt;9,OR(L490=0,N490&lt;6)),1,0)</x:f>
        <x:v>1</x:v>
      </x:c>
      <x:c r="Q490" s="19" t="n">
        <x:f>IF(AND(SUM(K490:M490)&lt;9,OR(K490=0,N490&lt;6)),1,0)</x:f>
        <x:v>1</x:v>
      </x:c>
      <x:c r="R490" s="22" t="str">
        <x:f>O490&amp;P490&amp;Q490</x:f>
        <x:v>111</x:v>
      </x:c>
      <x:c r="S490" s="19" t="n">
        <x:f>IF(I490=1,IF(J490=0,Q490,IF(J490=1,P490,IF(J490=2,O490,0))),0)</x:f>
        <x:v>1</x:v>
      </x:c>
      <x:c r="T490" s="19" t="n">
        <x:f>K490+IF(AND(S490=1,J490=0),1,0)</x:f>
        <x:v>1</x:v>
      </x:c>
      <x:c r="U490" s="19" t="n">
        <x:f>L490+IF(AND(S490=1,J490=1),1,0)</x:f>
        <x:v>1</x:v>
      </x:c>
      <x:c r="V490" s="19" t="n">
        <x:f>M490+IF(AND(S490=1,J490=2),1,0)</x:f>
        <x:v>1</x:v>
      </x:c>
      <x:c r="W490" s="19" t="n">
        <x:f>SUM(T490:V490)</x:f>
        <x:v>3</x:v>
      </x:c>
      <x:c r="X490" s="19" t="n">
        <x:f>W490-G490</x:f>
        <x:v>0</x:v>
      </x:c>
      <x:c r="Y490" s="19" t="n">
        <x:f>MAX(T490,1)+MAX(U490,1)+MAX(V490,1)</x:f>
        <x:v>3</x:v>
      </x:c>
      <x:c r="Z490" s="21" t="str">
        <x:f>IF(AND(MIN(D490:F490)&gt;=0,MAX(D490:F490)&lt;=7,MAX(D490,1)+MAX(E490,1)+MAX(F490,1)&lt;=9,OR(H490="-",AND(H490=0,D490&gt;0),AND(H490=1,E490&gt;0),AND(H490=2,F490&gt;0)),OR(I490=0,AND(I490=1,OR(J490=0,J490=1,J490=2),R490&lt;&gt;"000")),Y490&lt;=9,MIN(T490:V490)&gt;=0),"合法","输入违约")</x:f>
        <x:v>合法</x:v>
      </x:c>
    </x:row>
    <x:row r="491" ht="23" customHeight="1">
      <x:c r="A491" s="3" t="str">
        <x:v>CT-0484</x:v>
      </x:c>
      <x:c r="B491" s="3" t="str">
        <x:v>ST-015</x:v>
      </x:c>
      <x:c r="C491" s="3" t="str">
        <x:v>R+AR同收同发</x:v>
      </x:c>
      <x:c r="D491" s="25" t="n">
        <x:v>1</x:v>
      </x:c>
      <x:c r="E491" s="25" t="n">
        <x:v>0</x:v>
      </x:c>
      <x:c r="F491" s="25" t="n">
        <x:v>2</x:v>
      </x:c>
      <x:c r="G491" s="19" t="n">
        <x:f>SUM(D491:F491)</x:f>
        <x:v>3</x:v>
      </x:c>
      <x:c r="H491" s="25" t="n">
        <x:v>2</x:v>
      </x:c>
      <x:c r="I491" s="25" t="n">
        <x:v>1</x:v>
      </x:c>
      <x:c r="J491" s="25" t="n">
        <x:v>2</x:v>
      </x:c>
      <x:c r="K491" s="19" t="n">
        <x:f>D491-IF(H491=0,1,0)</x:f>
        <x:v>1</x:v>
      </x:c>
      <x:c r="L491" s="19" t="n">
        <x:f>E491-IF(H491=1,1,0)</x:f>
        <x:v>0</x:v>
      </x:c>
      <x:c r="M491" s="19" t="n">
        <x:f>F491-IF(H491=2,1,0)</x:f>
        <x:v>1</x:v>
      </x:c>
      <x:c r="N491" s="19" t="n">
        <x:f>MAX(K491-1,0)+MAX(L491-1,0)+MAX(M491-1,0)</x:f>
        <x:v>0</x:v>
      </x:c>
      <x:c r="O491" s="19" t="n">
        <x:f>IF(AND(SUM(K491:M491)&lt;9,OR(M491=0,N491&lt;6)),1,0)</x:f>
        <x:v>1</x:v>
      </x:c>
      <x:c r="P491" s="19" t="n">
        <x:f>IF(AND(SUM(K491:M491)&lt;9,OR(L491=0,N491&lt;6)),1,0)</x:f>
        <x:v>1</x:v>
      </x:c>
      <x:c r="Q491" s="19" t="n">
        <x:f>IF(AND(SUM(K491:M491)&lt;9,OR(K491=0,N491&lt;6)),1,0)</x:f>
        <x:v>1</x:v>
      </x:c>
      <x:c r="R491" s="22" t="str">
        <x:f>O491&amp;P491&amp;Q491</x:f>
        <x:v>111</x:v>
      </x:c>
      <x:c r="S491" s="19" t="n">
        <x:f>IF(I491=1,IF(J491=0,Q491,IF(J491=1,P491,IF(J491=2,O491,0))),0)</x:f>
        <x:v>1</x:v>
      </x:c>
      <x:c r="T491" s="19" t="n">
        <x:f>K491+IF(AND(S491=1,J491=0),1,0)</x:f>
        <x:v>1</x:v>
      </x:c>
      <x:c r="U491" s="19" t="n">
        <x:f>L491+IF(AND(S491=1,J491=1),1,0)</x:f>
        <x:v>0</x:v>
      </x:c>
      <x:c r="V491" s="19" t="n">
        <x:f>M491+IF(AND(S491=1,J491=2),1,0)</x:f>
        <x:v>2</x:v>
      </x:c>
      <x:c r="W491" s="19" t="n">
        <x:f>SUM(T491:V491)</x:f>
        <x:v>3</x:v>
      </x:c>
      <x:c r="X491" s="19" t="n">
        <x:f>W491-G491</x:f>
        <x:v>0</x:v>
      </x:c>
      <x:c r="Y491" s="19" t="n">
        <x:f>MAX(T491,1)+MAX(U491,1)+MAX(V491,1)</x:f>
        <x:v>4</x:v>
      </x:c>
      <x:c r="Z491" s="21" t="str">
        <x:f>IF(AND(MIN(D491:F491)&gt;=0,MAX(D491:F491)&lt;=7,MAX(D491,1)+MAX(E491,1)+MAX(F491,1)&lt;=9,OR(H491="-",AND(H491=0,D491&gt;0),AND(H491=1,E491&gt;0),AND(H491=2,F491&gt;0)),OR(I491=0,AND(I491=1,OR(J491=0,J491=1,J491=2),R491&lt;&gt;"000")),Y491&lt;=9,MIN(T491:V491)&gt;=0),"合法","输入违约")</x:f>
        <x:v>合法</x:v>
      </x:c>
    </x:row>
    <x:row r="492" ht="23" customHeight="1">
      <x:c r="A492" s="3" t="str">
        <x:v>CT-0485</x:v>
      </x:c>
      <x:c r="B492" s="3" t="str">
        <x:v>ST-026</x:v>
      </x:c>
      <x:c r="C492" s="3" t="str">
        <x:v>无AR/R</x:v>
      </x:c>
      <x:c r="D492" s="25" t="n">
        <x:v>1</x:v>
      </x:c>
      <x:c r="E492" s="25" t="n">
        <x:v>0</x:v>
      </x:c>
      <x:c r="F492" s="25" t="n">
        <x:v>3</x:v>
      </x:c>
      <x:c r="G492" s="19" t="n">
        <x:f>SUM(D492:F492)</x:f>
        <x:v>4</x:v>
      </x:c>
      <x:c r="H492" s="25" t="str">
        <x:v>-</x:v>
      </x:c>
      <x:c r="I492" s="25" t="n">
        <x:v>0</x:v>
      </x:c>
      <x:c r="J492" s="25" t="str">
        <x:v>-</x:v>
      </x:c>
      <x:c r="K492" s="19" t="n">
        <x:f>D492-IF(H492=0,1,0)</x:f>
        <x:v>1</x:v>
      </x:c>
      <x:c r="L492" s="19" t="n">
        <x:f>E492-IF(H492=1,1,0)</x:f>
        <x:v>0</x:v>
      </x:c>
      <x:c r="M492" s="19" t="n">
        <x:f>F492-IF(H492=2,1,0)</x:f>
        <x:v>3</x:v>
      </x:c>
      <x:c r="N492" s="19" t="n">
        <x:f>MAX(K492-1,0)+MAX(L492-1,0)+MAX(M492-1,0)</x:f>
        <x:v>2</x:v>
      </x:c>
      <x:c r="O492" s="19" t="n">
        <x:f>IF(AND(SUM(K492:M492)&lt;9,OR(M492=0,N492&lt;6)),1,0)</x:f>
        <x:v>1</x:v>
      </x:c>
      <x:c r="P492" s="19" t="n">
        <x:f>IF(AND(SUM(K492:M492)&lt;9,OR(L492=0,N492&lt;6)),1,0)</x:f>
        <x:v>1</x:v>
      </x:c>
      <x:c r="Q492" s="19" t="n">
        <x:f>IF(AND(SUM(K492:M492)&lt;9,OR(K492=0,N492&lt;6)),1,0)</x:f>
        <x:v>1</x:v>
      </x:c>
      <x:c r="R492" s="22" t="str">
        <x:f>O492&amp;P492&amp;Q492</x:f>
        <x:v>111</x:v>
      </x:c>
      <x:c r="S492" s="19" t="n">
        <x:f>IF(I492=1,IF(J492=0,Q492,IF(J492=1,P492,IF(J492=2,O492,0))),0)</x:f>
        <x:v>0</x:v>
      </x:c>
      <x:c r="T492" s="19" t="n">
        <x:f>K492+IF(AND(S492=1,J492=0),1,0)</x:f>
        <x:v>1</x:v>
      </x:c>
      <x:c r="U492" s="19" t="n">
        <x:f>L492+IF(AND(S492=1,J492=1),1,0)</x:f>
        <x:v>0</x:v>
      </x:c>
      <x:c r="V492" s="19" t="n">
        <x:f>M492+IF(AND(S492=1,J492=2),1,0)</x:f>
        <x:v>3</x:v>
      </x:c>
      <x:c r="W492" s="19" t="n">
        <x:f>SUM(T492:V492)</x:f>
        <x:v>4</x:v>
      </x:c>
      <x:c r="X492" s="19" t="n">
        <x:f>W492-G492</x:f>
        <x:v>0</x:v>
      </x:c>
      <x:c r="Y492" s="19" t="n">
        <x:f>MAX(T492,1)+MAX(U492,1)+MAX(V492,1)</x:f>
        <x:v>5</x:v>
      </x:c>
      <x:c r="Z492" s="21" t="str">
        <x:f>IF(AND(MIN(D492:F492)&gt;=0,MAX(D492:F492)&lt;=7,MAX(D492,1)+MAX(E492,1)+MAX(F492,1)&lt;=9,OR(H492="-",AND(H492=0,D492&gt;0),AND(H492=1,E492&gt;0),AND(H492=2,F492&gt;0)),OR(I492=0,AND(I492=1,OR(J492=0,J492=1,J492=2),R492&lt;&gt;"000")),Y492&lt;=9,MIN(T492:V492)&gt;=0),"合法","输入违约")</x:f>
        <x:v>合法</x:v>
      </x:c>
    </x:row>
    <x:row r="493" ht="23" customHeight="1">
      <x:c r="A493" s="3" t="str">
        <x:v>CT-0486</x:v>
      </x:c>
      <x:c r="B493" s="3" t="str">
        <x:v>ST-026</x:v>
      </x:c>
      <x:c r="C493" s="3" t="str">
        <x:v>仅AR接收</x:v>
      </x:c>
      <x:c r="D493" s="25" t="n">
        <x:v>1</x:v>
      </x:c>
      <x:c r="E493" s="25" t="n">
        <x:v>0</x:v>
      </x:c>
      <x:c r="F493" s="25" t="n">
        <x:v>3</x:v>
      </x:c>
      <x:c r="G493" s="19" t="n">
        <x:f>SUM(D493:F493)</x:f>
        <x:v>4</x:v>
      </x:c>
      <x:c r="H493" s="25" t="str">
        <x:v>-</x:v>
      </x:c>
      <x:c r="I493" s="25" t="n">
        <x:v>1</x:v>
      </x:c>
      <x:c r="J493" s="25" t="n">
        <x:v>0</x:v>
      </x:c>
      <x:c r="K493" s="19" t="n">
        <x:f>D493-IF(H493=0,1,0)</x:f>
        <x:v>1</x:v>
      </x:c>
      <x:c r="L493" s="19" t="n">
        <x:f>E493-IF(H493=1,1,0)</x:f>
        <x:v>0</x:v>
      </x:c>
      <x:c r="M493" s="19" t="n">
        <x:f>F493-IF(H493=2,1,0)</x:f>
        <x:v>3</x:v>
      </x:c>
      <x:c r="N493" s="19" t="n">
        <x:f>MAX(K493-1,0)+MAX(L493-1,0)+MAX(M493-1,0)</x:f>
        <x:v>2</x:v>
      </x:c>
      <x:c r="O493" s="19" t="n">
        <x:f>IF(AND(SUM(K493:M493)&lt;9,OR(M493=0,N493&lt;6)),1,0)</x:f>
        <x:v>1</x:v>
      </x:c>
      <x:c r="P493" s="19" t="n">
        <x:f>IF(AND(SUM(K493:M493)&lt;9,OR(L493=0,N493&lt;6)),1,0)</x:f>
        <x:v>1</x:v>
      </x:c>
      <x:c r="Q493" s="19" t="n">
        <x:f>IF(AND(SUM(K493:M493)&lt;9,OR(K493=0,N493&lt;6)),1,0)</x:f>
        <x:v>1</x:v>
      </x:c>
      <x:c r="R493" s="22" t="str">
        <x:f>O493&amp;P493&amp;Q493</x:f>
        <x:v>111</x:v>
      </x:c>
      <x:c r="S493" s="19" t="n">
        <x:f>IF(I493=1,IF(J493=0,Q493,IF(J493=1,P493,IF(J493=2,O493,0))),0)</x:f>
        <x:v>1</x:v>
      </x:c>
      <x:c r="T493" s="19" t="n">
        <x:f>K493+IF(AND(S493=1,J493=0),1,0)</x:f>
        <x:v>2</x:v>
      </x:c>
      <x:c r="U493" s="19" t="n">
        <x:f>L493+IF(AND(S493=1,J493=1),1,0)</x:f>
        <x:v>0</x:v>
      </x:c>
      <x:c r="V493" s="19" t="n">
        <x:f>M493+IF(AND(S493=1,J493=2),1,0)</x:f>
        <x:v>3</x:v>
      </x:c>
      <x:c r="W493" s="19" t="n">
        <x:f>SUM(T493:V493)</x:f>
        <x:v>5</x:v>
      </x:c>
      <x:c r="X493" s="19" t="n">
        <x:f>W493-G493</x:f>
        <x:v>1</x:v>
      </x:c>
      <x:c r="Y493" s="19" t="n">
        <x:f>MAX(T493,1)+MAX(U493,1)+MAX(V493,1)</x:f>
        <x:v>6</x:v>
      </x:c>
      <x:c r="Z493" s="21" t="str">
        <x:f>IF(AND(MIN(D493:F493)&gt;=0,MAX(D493:F493)&lt;=7,MAX(D493,1)+MAX(E493,1)+MAX(F493,1)&lt;=9,OR(H493="-",AND(H493=0,D493&gt;0),AND(H493=1,E493&gt;0),AND(H493=2,F493&gt;0)),OR(I493=0,AND(I493=1,OR(J493=0,J493=1,J493=2),R493&lt;&gt;"000")),Y493&lt;=9,MIN(T493:V493)&gt;=0),"合法","输入违约")</x:f>
        <x:v>合法</x:v>
      </x:c>
    </x:row>
    <x:row r="494" ht="23" customHeight="1">
      <x:c r="A494" s="3" t="str">
        <x:v>CT-0487</x:v>
      </x:c>
      <x:c r="B494" s="3" t="str">
        <x:v>ST-026</x:v>
      </x:c>
      <x:c r="C494" s="3" t="str">
        <x:v>仅AR接收</x:v>
      </x:c>
      <x:c r="D494" s="25" t="n">
        <x:v>1</x:v>
      </x:c>
      <x:c r="E494" s="25" t="n">
        <x:v>0</x:v>
      </x:c>
      <x:c r="F494" s="25" t="n">
        <x:v>3</x:v>
      </x:c>
      <x:c r="G494" s="19" t="n">
        <x:f>SUM(D494:F494)</x:f>
        <x:v>4</x:v>
      </x:c>
      <x:c r="H494" s="25" t="str">
        <x:v>-</x:v>
      </x:c>
      <x:c r="I494" s="25" t="n">
        <x:v>1</x:v>
      </x:c>
      <x:c r="J494" s="25" t="n">
        <x:v>1</x:v>
      </x:c>
      <x:c r="K494" s="19" t="n">
        <x:f>D494-IF(H494=0,1,0)</x:f>
        <x:v>1</x:v>
      </x:c>
      <x:c r="L494" s="19" t="n">
        <x:f>E494-IF(H494=1,1,0)</x:f>
        <x:v>0</x:v>
      </x:c>
      <x:c r="M494" s="19" t="n">
        <x:f>F494-IF(H494=2,1,0)</x:f>
        <x:v>3</x:v>
      </x:c>
      <x:c r="N494" s="19" t="n">
        <x:f>MAX(K494-1,0)+MAX(L494-1,0)+MAX(M494-1,0)</x:f>
        <x:v>2</x:v>
      </x:c>
      <x:c r="O494" s="19" t="n">
        <x:f>IF(AND(SUM(K494:M494)&lt;9,OR(M494=0,N494&lt;6)),1,0)</x:f>
        <x:v>1</x:v>
      </x:c>
      <x:c r="P494" s="19" t="n">
        <x:f>IF(AND(SUM(K494:M494)&lt;9,OR(L494=0,N494&lt;6)),1,0)</x:f>
        <x:v>1</x:v>
      </x:c>
      <x:c r="Q494" s="19" t="n">
        <x:f>IF(AND(SUM(K494:M494)&lt;9,OR(K494=0,N494&lt;6)),1,0)</x:f>
        <x:v>1</x:v>
      </x:c>
      <x:c r="R494" s="22" t="str">
        <x:f>O494&amp;P494&amp;Q494</x:f>
        <x:v>111</x:v>
      </x:c>
      <x:c r="S494" s="19" t="n">
        <x:f>IF(I494=1,IF(J494=0,Q494,IF(J494=1,P494,IF(J494=2,O494,0))),0)</x:f>
        <x:v>1</x:v>
      </x:c>
      <x:c r="T494" s="19" t="n">
        <x:f>K494+IF(AND(S494=1,J494=0),1,0)</x:f>
        <x:v>1</x:v>
      </x:c>
      <x:c r="U494" s="19" t="n">
        <x:f>L494+IF(AND(S494=1,J494=1),1,0)</x:f>
        <x:v>1</x:v>
      </x:c>
      <x:c r="V494" s="19" t="n">
        <x:f>M494+IF(AND(S494=1,J494=2),1,0)</x:f>
        <x:v>3</x:v>
      </x:c>
      <x:c r="W494" s="19" t="n">
        <x:f>SUM(T494:V494)</x:f>
        <x:v>5</x:v>
      </x:c>
      <x:c r="X494" s="19" t="n">
        <x:f>W494-G494</x:f>
        <x:v>1</x:v>
      </x:c>
      <x:c r="Y494" s="19" t="n">
        <x:f>MAX(T494,1)+MAX(U494,1)+MAX(V494,1)</x:f>
        <x:v>5</x:v>
      </x:c>
      <x:c r="Z494" s="21" t="str">
        <x:f>IF(AND(MIN(D494:F494)&gt;=0,MAX(D494:F494)&lt;=7,MAX(D494,1)+MAX(E494,1)+MAX(F494,1)&lt;=9,OR(H494="-",AND(H494=0,D494&gt;0),AND(H494=1,E494&gt;0),AND(H494=2,F494&gt;0)),OR(I494=0,AND(I494=1,OR(J494=0,J494=1,J494=2),R494&lt;&gt;"000")),Y494&lt;=9,MIN(T494:V494)&gt;=0),"合法","输入违约")</x:f>
        <x:v>合法</x:v>
      </x:c>
    </x:row>
    <x:row r="495" ht="23" customHeight="1">
      <x:c r="A495" s="3" t="str">
        <x:v>CT-0488</x:v>
      </x:c>
      <x:c r="B495" s="3" t="str">
        <x:v>ST-026</x:v>
      </x:c>
      <x:c r="C495" s="3" t="str">
        <x:v>仅AR接收</x:v>
      </x:c>
      <x:c r="D495" s="25" t="n">
        <x:v>1</x:v>
      </x:c>
      <x:c r="E495" s="25" t="n">
        <x:v>0</x:v>
      </x:c>
      <x:c r="F495" s="25" t="n">
        <x:v>3</x:v>
      </x:c>
      <x:c r="G495" s="19" t="n">
        <x:f>SUM(D495:F495)</x:f>
        <x:v>4</x:v>
      </x:c>
      <x:c r="H495" s="25" t="str">
        <x:v>-</x:v>
      </x:c>
      <x:c r="I495" s="25" t="n">
        <x:v>1</x:v>
      </x:c>
      <x:c r="J495" s="25" t="n">
        <x:v>2</x:v>
      </x:c>
      <x:c r="K495" s="19" t="n">
        <x:f>D495-IF(H495=0,1,0)</x:f>
        <x:v>1</x:v>
      </x:c>
      <x:c r="L495" s="19" t="n">
        <x:f>E495-IF(H495=1,1,0)</x:f>
        <x:v>0</x:v>
      </x:c>
      <x:c r="M495" s="19" t="n">
        <x:f>F495-IF(H495=2,1,0)</x:f>
        <x:v>3</x:v>
      </x:c>
      <x:c r="N495" s="19" t="n">
        <x:f>MAX(K495-1,0)+MAX(L495-1,0)+MAX(M495-1,0)</x:f>
        <x:v>2</x:v>
      </x:c>
      <x:c r="O495" s="19" t="n">
        <x:f>IF(AND(SUM(K495:M495)&lt;9,OR(M495=0,N495&lt;6)),1,0)</x:f>
        <x:v>1</x:v>
      </x:c>
      <x:c r="P495" s="19" t="n">
        <x:f>IF(AND(SUM(K495:M495)&lt;9,OR(L495=0,N495&lt;6)),1,0)</x:f>
        <x:v>1</x:v>
      </x:c>
      <x:c r="Q495" s="19" t="n">
        <x:f>IF(AND(SUM(K495:M495)&lt;9,OR(K495=0,N495&lt;6)),1,0)</x:f>
        <x:v>1</x:v>
      </x:c>
      <x:c r="R495" s="22" t="str">
        <x:f>O495&amp;P495&amp;Q495</x:f>
        <x:v>111</x:v>
      </x:c>
      <x:c r="S495" s="19" t="n">
        <x:f>IF(I495=1,IF(J495=0,Q495,IF(J495=1,P495,IF(J495=2,O495,0))),0)</x:f>
        <x:v>1</x:v>
      </x:c>
      <x:c r="T495" s="19" t="n">
        <x:f>K495+IF(AND(S495=1,J495=0),1,0)</x:f>
        <x:v>1</x:v>
      </x:c>
      <x:c r="U495" s="19" t="n">
        <x:f>L495+IF(AND(S495=1,J495=1),1,0)</x:f>
        <x:v>0</x:v>
      </x:c>
      <x:c r="V495" s="19" t="n">
        <x:f>M495+IF(AND(S495=1,J495=2),1,0)</x:f>
        <x:v>4</x:v>
      </x:c>
      <x:c r="W495" s="19" t="n">
        <x:f>SUM(T495:V495)</x:f>
        <x:v>5</x:v>
      </x:c>
      <x:c r="X495" s="19" t="n">
        <x:f>W495-G495</x:f>
        <x:v>1</x:v>
      </x:c>
      <x:c r="Y495" s="19" t="n">
        <x:f>MAX(T495,1)+MAX(U495,1)+MAX(V495,1)</x:f>
        <x:v>6</x:v>
      </x:c>
      <x:c r="Z495" s="21" t="str">
        <x:f>IF(AND(MIN(D495:F495)&gt;=0,MAX(D495:F495)&lt;=7,MAX(D495,1)+MAX(E495,1)+MAX(F495,1)&lt;=9,OR(H495="-",AND(H495=0,D495&gt;0),AND(H495=1,E495&gt;0),AND(H495=2,F495&gt;0)),OR(I495=0,AND(I495=1,OR(J495=0,J495=1,J495=2),R495&lt;&gt;"000")),Y495&lt;=9,MIN(T495:V495)&gt;=0),"合法","输入违约")</x:f>
        <x:v>合法</x:v>
      </x:c>
    </x:row>
    <x:row r="496" ht="23" customHeight="1">
      <x:c r="A496" s="3" t="str">
        <x:v>CT-0489</x:v>
      </x:c>
      <x:c r="B496" s="3" t="str">
        <x:v>ST-026</x:v>
      </x:c>
      <x:c r="C496" s="3" t="str">
        <x:v>仅R回收</x:v>
      </x:c>
      <x:c r="D496" s="25" t="n">
        <x:v>1</x:v>
      </x:c>
      <x:c r="E496" s="25" t="n">
        <x:v>0</x:v>
      </x:c>
      <x:c r="F496" s="25" t="n">
        <x:v>3</x:v>
      </x:c>
      <x:c r="G496" s="19" t="n">
        <x:f>SUM(D496:F496)</x:f>
        <x:v>4</x:v>
      </x:c>
      <x:c r="H496" s="25" t="n">
        <x:v>0</x:v>
      </x:c>
      <x:c r="I496" s="25" t="n">
        <x:v>0</x:v>
      </x:c>
      <x:c r="J496" s="25" t="str">
        <x:v>-</x:v>
      </x:c>
      <x:c r="K496" s="19" t="n">
        <x:f>D496-IF(H496=0,1,0)</x:f>
        <x:v>0</x:v>
      </x:c>
      <x:c r="L496" s="19" t="n">
        <x:f>E496-IF(H496=1,1,0)</x:f>
        <x:v>0</x:v>
      </x:c>
      <x:c r="M496" s="19" t="n">
        <x:f>F496-IF(H496=2,1,0)</x:f>
        <x:v>3</x:v>
      </x:c>
      <x:c r="N496" s="19" t="n">
        <x:f>MAX(K496-1,0)+MAX(L496-1,0)+MAX(M496-1,0)</x:f>
        <x:v>2</x:v>
      </x:c>
      <x:c r="O496" s="19" t="n">
        <x:f>IF(AND(SUM(K496:M496)&lt;9,OR(M496=0,N496&lt;6)),1,0)</x:f>
        <x:v>1</x:v>
      </x:c>
      <x:c r="P496" s="19" t="n">
        <x:f>IF(AND(SUM(K496:M496)&lt;9,OR(L496=0,N496&lt;6)),1,0)</x:f>
        <x:v>1</x:v>
      </x:c>
      <x:c r="Q496" s="19" t="n">
        <x:f>IF(AND(SUM(K496:M496)&lt;9,OR(K496=0,N496&lt;6)),1,0)</x:f>
        <x:v>1</x:v>
      </x:c>
      <x:c r="R496" s="22" t="str">
        <x:f>O496&amp;P496&amp;Q496</x:f>
        <x:v>111</x:v>
      </x:c>
      <x:c r="S496" s="19" t="n">
        <x:f>IF(I496=1,IF(J496=0,Q496,IF(J496=1,P496,IF(J496=2,O496,0))),0)</x:f>
        <x:v>0</x:v>
      </x:c>
      <x:c r="T496" s="19" t="n">
        <x:f>K496+IF(AND(S496=1,J496=0),1,0)</x:f>
        <x:v>0</x:v>
      </x:c>
      <x:c r="U496" s="19" t="n">
        <x:f>L496+IF(AND(S496=1,J496=1),1,0)</x:f>
        <x:v>0</x:v>
      </x:c>
      <x:c r="V496" s="19" t="n">
        <x:f>M496+IF(AND(S496=1,J496=2),1,0)</x:f>
        <x:v>3</x:v>
      </x:c>
      <x:c r="W496" s="19" t="n">
        <x:f>SUM(T496:V496)</x:f>
        <x:v>3</x:v>
      </x:c>
      <x:c r="X496" s="19" t="n">
        <x:f>W496-G496</x:f>
        <x:v>-1</x:v>
      </x:c>
      <x:c r="Y496" s="19" t="n">
        <x:f>MAX(T496,1)+MAX(U496,1)+MAX(V496,1)</x:f>
        <x:v>5</x:v>
      </x:c>
      <x:c r="Z496" s="21" t="str">
        <x:f>IF(AND(MIN(D496:F496)&gt;=0,MAX(D496:F496)&lt;=7,MAX(D496,1)+MAX(E496,1)+MAX(F496,1)&lt;=9,OR(H496="-",AND(H496=0,D496&gt;0),AND(H496=1,E496&gt;0),AND(H496=2,F496&gt;0)),OR(I496=0,AND(I496=1,OR(J496=0,J496=1,J496=2),R496&lt;&gt;"000")),Y496&lt;=9,MIN(T496:V496)&gt;=0),"合法","输入违约")</x:f>
        <x:v>合法</x:v>
      </x:c>
    </x:row>
    <x:row r="497" ht="23" customHeight="1">
      <x:c r="A497" s="3" t="str">
        <x:v>CT-0490</x:v>
      </x:c>
      <x:c r="B497" s="3" t="str">
        <x:v>ST-026</x:v>
      </x:c>
      <x:c r="C497" s="3" t="str">
        <x:v>R+AR同收同发</x:v>
      </x:c>
      <x:c r="D497" s="25" t="n">
        <x:v>1</x:v>
      </x:c>
      <x:c r="E497" s="25" t="n">
        <x:v>0</x:v>
      </x:c>
      <x:c r="F497" s="25" t="n">
        <x:v>3</x:v>
      </x:c>
      <x:c r="G497" s="19" t="n">
        <x:f>SUM(D497:F497)</x:f>
        <x:v>4</x:v>
      </x:c>
      <x:c r="H497" s="25" t="n">
        <x:v>0</x:v>
      </x:c>
      <x:c r="I497" s="25" t="n">
        <x:v>1</x:v>
      </x:c>
      <x:c r="J497" s="25" t="n">
        <x:v>0</x:v>
      </x:c>
      <x:c r="K497" s="19" t="n">
        <x:f>D497-IF(H497=0,1,0)</x:f>
        <x:v>0</x:v>
      </x:c>
      <x:c r="L497" s="19" t="n">
        <x:f>E497-IF(H497=1,1,0)</x:f>
        <x:v>0</x:v>
      </x:c>
      <x:c r="M497" s="19" t="n">
        <x:f>F497-IF(H497=2,1,0)</x:f>
        <x:v>3</x:v>
      </x:c>
      <x:c r="N497" s="19" t="n">
        <x:f>MAX(K497-1,0)+MAX(L497-1,0)+MAX(M497-1,0)</x:f>
        <x:v>2</x:v>
      </x:c>
      <x:c r="O497" s="19" t="n">
        <x:f>IF(AND(SUM(K497:M497)&lt;9,OR(M497=0,N497&lt;6)),1,0)</x:f>
        <x:v>1</x:v>
      </x:c>
      <x:c r="P497" s="19" t="n">
        <x:f>IF(AND(SUM(K497:M497)&lt;9,OR(L497=0,N497&lt;6)),1,0)</x:f>
        <x:v>1</x:v>
      </x:c>
      <x:c r="Q497" s="19" t="n">
        <x:f>IF(AND(SUM(K497:M497)&lt;9,OR(K497=0,N497&lt;6)),1,0)</x:f>
        <x:v>1</x:v>
      </x:c>
      <x:c r="R497" s="22" t="str">
        <x:f>O497&amp;P497&amp;Q497</x:f>
        <x:v>111</x:v>
      </x:c>
      <x:c r="S497" s="19" t="n">
        <x:f>IF(I497=1,IF(J497=0,Q497,IF(J497=1,P497,IF(J497=2,O497,0))),0)</x:f>
        <x:v>1</x:v>
      </x:c>
      <x:c r="T497" s="19" t="n">
        <x:f>K497+IF(AND(S497=1,J497=0),1,0)</x:f>
        <x:v>1</x:v>
      </x:c>
      <x:c r="U497" s="19" t="n">
        <x:f>L497+IF(AND(S497=1,J497=1),1,0)</x:f>
        <x:v>0</x:v>
      </x:c>
      <x:c r="V497" s="19" t="n">
        <x:f>M497+IF(AND(S497=1,J497=2),1,0)</x:f>
        <x:v>3</x:v>
      </x:c>
      <x:c r="W497" s="19" t="n">
        <x:f>SUM(T497:V497)</x:f>
        <x:v>4</x:v>
      </x:c>
      <x:c r="X497" s="19" t="n">
        <x:f>W497-G497</x:f>
        <x:v>0</x:v>
      </x:c>
      <x:c r="Y497" s="19" t="n">
        <x:f>MAX(T497,1)+MAX(U497,1)+MAX(V497,1)</x:f>
        <x:v>5</x:v>
      </x:c>
      <x:c r="Z497" s="21" t="str">
        <x:f>IF(AND(MIN(D497:F497)&gt;=0,MAX(D497:F497)&lt;=7,MAX(D497,1)+MAX(E497,1)+MAX(F497,1)&lt;=9,OR(H497="-",AND(H497=0,D497&gt;0),AND(H497=1,E497&gt;0),AND(H497=2,F497&gt;0)),OR(I497=0,AND(I497=1,OR(J497=0,J497=1,J497=2),R497&lt;&gt;"000")),Y497&lt;=9,MIN(T497:V497)&gt;=0),"合法","输入违约")</x:f>
        <x:v>合法</x:v>
      </x:c>
    </x:row>
    <x:row r="498" ht="23" customHeight="1">
      <x:c r="A498" s="3" t="str">
        <x:v>CT-0491</x:v>
      </x:c>
      <x:c r="B498" s="3" t="str">
        <x:v>ST-026</x:v>
      </x:c>
      <x:c r="C498" s="3" t="str">
        <x:v>R+AR同收同发</x:v>
      </x:c>
      <x:c r="D498" s="25" t="n">
        <x:v>1</x:v>
      </x:c>
      <x:c r="E498" s="25" t="n">
        <x:v>0</x:v>
      </x:c>
      <x:c r="F498" s="25" t="n">
        <x:v>3</x:v>
      </x:c>
      <x:c r="G498" s="19" t="n">
        <x:f>SUM(D498:F498)</x:f>
        <x:v>4</x:v>
      </x:c>
      <x:c r="H498" s="25" t="n">
        <x:v>0</x:v>
      </x:c>
      <x:c r="I498" s="25" t="n">
        <x:v>1</x:v>
      </x:c>
      <x:c r="J498" s="25" t="n">
        <x:v>1</x:v>
      </x:c>
      <x:c r="K498" s="19" t="n">
        <x:f>D498-IF(H498=0,1,0)</x:f>
        <x:v>0</x:v>
      </x:c>
      <x:c r="L498" s="19" t="n">
        <x:f>E498-IF(H498=1,1,0)</x:f>
        <x:v>0</x:v>
      </x:c>
      <x:c r="M498" s="19" t="n">
        <x:f>F498-IF(H498=2,1,0)</x:f>
        <x:v>3</x:v>
      </x:c>
      <x:c r="N498" s="19" t="n">
        <x:f>MAX(K498-1,0)+MAX(L498-1,0)+MAX(M498-1,0)</x:f>
        <x:v>2</x:v>
      </x:c>
      <x:c r="O498" s="19" t="n">
        <x:f>IF(AND(SUM(K498:M498)&lt;9,OR(M498=0,N498&lt;6)),1,0)</x:f>
        <x:v>1</x:v>
      </x:c>
      <x:c r="P498" s="19" t="n">
        <x:f>IF(AND(SUM(K498:M498)&lt;9,OR(L498=0,N498&lt;6)),1,0)</x:f>
        <x:v>1</x:v>
      </x:c>
      <x:c r="Q498" s="19" t="n">
        <x:f>IF(AND(SUM(K498:M498)&lt;9,OR(K498=0,N498&lt;6)),1,0)</x:f>
        <x:v>1</x:v>
      </x:c>
      <x:c r="R498" s="22" t="str">
        <x:f>O498&amp;P498&amp;Q498</x:f>
        <x:v>111</x:v>
      </x:c>
      <x:c r="S498" s="19" t="n">
        <x:f>IF(I498=1,IF(J498=0,Q498,IF(J498=1,P498,IF(J498=2,O498,0))),0)</x:f>
        <x:v>1</x:v>
      </x:c>
      <x:c r="T498" s="19" t="n">
        <x:f>K498+IF(AND(S498=1,J498=0),1,0)</x:f>
        <x:v>0</x:v>
      </x:c>
      <x:c r="U498" s="19" t="n">
        <x:f>L498+IF(AND(S498=1,J498=1),1,0)</x:f>
        <x:v>1</x:v>
      </x:c>
      <x:c r="V498" s="19" t="n">
        <x:f>M498+IF(AND(S498=1,J498=2),1,0)</x:f>
        <x:v>3</x:v>
      </x:c>
      <x:c r="W498" s="19" t="n">
        <x:f>SUM(T498:V498)</x:f>
        <x:v>4</x:v>
      </x:c>
      <x:c r="X498" s="19" t="n">
        <x:f>W498-G498</x:f>
        <x:v>0</x:v>
      </x:c>
      <x:c r="Y498" s="19" t="n">
        <x:f>MAX(T498,1)+MAX(U498,1)+MAX(V498,1)</x:f>
        <x:v>5</x:v>
      </x:c>
      <x:c r="Z498" s="21" t="str">
        <x:f>IF(AND(MIN(D498:F498)&gt;=0,MAX(D498:F498)&lt;=7,MAX(D498,1)+MAX(E498,1)+MAX(F498,1)&lt;=9,OR(H498="-",AND(H498=0,D498&gt;0),AND(H498=1,E498&gt;0),AND(H498=2,F498&gt;0)),OR(I498=0,AND(I498=1,OR(J498=0,J498=1,J498=2),R498&lt;&gt;"000")),Y498&lt;=9,MIN(T498:V498)&gt;=0),"合法","输入违约")</x:f>
        <x:v>合法</x:v>
      </x:c>
    </x:row>
    <x:row r="499" ht="23" customHeight="1">
      <x:c r="A499" s="3" t="str">
        <x:v>CT-0492</x:v>
      </x:c>
      <x:c r="B499" s="3" t="str">
        <x:v>ST-026</x:v>
      </x:c>
      <x:c r="C499" s="3" t="str">
        <x:v>R+AR同收同发</x:v>
      </x:c>
      <x:c r="D499" s="25" t="n">
        <x:v>1</x:v>
      </x:c>
      <x:c r="E499" s="25" t="n">
        <x:v>0</x:v>
      </x:c>
      <x:c r="F499" s="25" t="n">
        <x:v>3</x:v>
      </x:c>
      <x:c r="G499" s="19" t="n">
        <x:f>SUM(D499:F499)</x:f>
        <x:v>4</x:v>
      </x:c>
      <x:c r="H499" s="25" t="n">
        <x:v>0</x:v>
      </x:c>
      <x:c r="I499" s="25" t="n">
        <x:v>1</x:v>
      </x:c>
      <x:c r="J499" s="25" t="n">
        <x:v>2</x:v>
      </x:c>
      <x:c r="K499" s="19" t="n">
        <x:f>D499-IF(H499=0,1,0)</x:f>
        <x:v>0</x:v>
      </x:c>
      <x:c r="L499" s="19" t="n">
        <x:f>E499-IF(H499=1,1,0)</x:f>
        <x:v>0</x:v>
      </x:c>
      <x:c r="M499" s="19" t="n">
        <x:f>F499-IF(H499=2,1,0)</x:f>
        <x:v>3</x:v>
      </x:c>
      <x:c r="N499" s="19" t="n">
        <x:f>MAX(K499-1,0)+MAX(L499-1,0)+MAX(M499-1,0)</x:f>
        <x:v>2</x:v>
      </x:c>
      <x:c r="O499" s="19" t="n">
        <x:f>IF(AND(SUM(K499:M499)&lt;9,OR(M499=0,N499&lt;6)),1,0)</x:f>
        <x:v>1</x:v>
      </x:c>
      <x:c r="P499" s="19" t="n">
        <x:f>IF(AND(SUM(K499:M499)&lt;9,OR(L499=0,N499&lt;6)),1,0)</x:f>
        <x:v>1</x:v>
      </x:c>
      <x:c r="Q499" s="19" t="n">
        <x:f>IF(AND(SUM(K499:M499)&lt;9,OR(K499=0,N499&lt;6)),1,0)</x:f>
        <x:v>1</x:v>
      </x:c>
      <x:c r="R499" s="22" t="str">
        <x:f>O499&amp;P499&amp;Q499</x:f>
        <x:v>111</x:v>
      </x:c>
      <x:c r="S499" s="19" t="n">
        <x:f>IF(I499=1,IF(J499=0,Q499,IF(J499=1,P499,IF(J499=2,O499,0))),0)</x:f>
        <x:v>1</x:v>
      </x:c>
      <x:c r="T499" s="19" t="n">
        <x:f>K499+IF(AND(S499=1,J499=0),1,0)</x:f>
        <x:v>0</x:v>
      </x:c>
      <x:c r="U499" s="19" t="n">
        <x:f>L499+IF(AND(S499=1,J499=1),1,0)</x:f>
        <x:v>0</x:v>
      </x:c>
      <x:c r="V499" s="19" t="n">
        <x:f>M499+IF(AND(S499=1,J499=2),1,0)</x:f>
        <x:v>4</x:v>
      </x:c>
      <x:c r="W499" s="19" t="n">
        <x:f>SUM(T499:V499)</x:f>
        <x:v>4</x:v>
      </x:c>
      <x:c r="X499" s="19" t="n">
        <x:f>W499-G499</x:f>
        <x:v>0</x:v>
      </x:c>
      <x:c r="Y499" s="19" t="n">
        <x:f>MAX(T499,1)+MAX(U499,1)+MAX(V499,1)</x:f>
        <x:v>6</x:v>
      </x:c>
      <x:c r="Z499" s="21" t="str">
        <x:f>IF(AND(MIN(D499:F499)&gt;=0,MAX(D499:F499)&lt;=7,MAX(D499,1)+MAX(E499,1)+MAX(F499,1)&lt;=9,OR(H499="-",AND(H499=0,D499&gt;0),AND(H499=1,E499&gt;0),AND(H499=2,F499&gt;0)),OR(I499=0,AND(I499=1,OR(J499=0,J499=1,J499=2),R499&lt;&gt;"000")),Y499&lt;=9,MIN(T499:V499)&gt;=0),"合法","输入违约")</x:f>
        <x:v>合法</x:v>
      </x:c>
    </x:row>
    <x:row r="500" ht="23" customHeight="1">
      <x:c r="A500" s="3" t="str">
        <x:v>CT-0493</x:v>
      </x:c>
      <x:c r="B500" s="3" t="str">
        <x:v>ST-026</x:v>
      </x:c>
      <x:c r="C500" s="3" t="str">
        <x:v>仅R回收</x:v>
      </x:c>
      <x:c r="D500" s="25" t="n">
        <x:v>1</x:v>
      </x:c>
      <x:c r="E500" s="25" t="n">
        <x:v>0</x:v>
      </x:c>
      <x:c r="F500" s="25" t="n">
        <x:v>3</x:v>
      </x:c>
      <x:c r="G500" s="19" t="n">
        <x:f>SUM(D500:F500)</x:f>
        <x:v>4</x:v>
      </x:c>
      <x:c r="H500" s="25" t="n">
        <x:v>2</x:v>
      </x:c>
      <x:c r="I500" s="25" t="n">
        <x:v>0</x:v>
      </x:c>
      <x:c r="J500" s="25" t="str">
        <x:v>-</x:v>
      </x:c>
      <x:c r="K500" s="19" t="n">
        <x:f>D500-IF(H500=0,1,0)</x:f>
        <x:v>1</x:v>
      </x:c>
      <x:c r="L500" s="19" t="n">
        <x:f>E500-IF(H500=1,1,0)</x:f>
        <x:v>0</x:v>
      </x:c>
      <x:c r="M500" s="19" t="n">
        <x:f>F500-IF(H500=2,1,0)</x:f>
        <x:v>2</x:v>
      </x:c>
      <x:c r="N500" s="19" t="n">
        <x:f>MAX(K500-1,0)+MAX(L500-1,0)+MAX(M500-1,0)</x:f>
        <x:v>1</x:v>
      </x:c>
      <x:c r="O500" s="19" t="n">
        <x:f>IF(AND(SUM(K500:M500)&lt;9,OR(M500=0,N500&lt;6)),1,0)</x:f>
        <x:v>1</x:v>
      </x:c>
      <x:c r="P500" s="19" t="n">
        <x:f>IF(AND(SUM(K500:M500)&lt;9,OR(L500=0,N500&lt;6)),1,0)</x:f>
        <x:v>1</x:v>
      </x:c>
      <x:c r="Q500" s="19" t="n">
        <x:f>IF(AND(SUM(K500:M500)&lt;9,OR(K500=0,N500&lt;6)),1,0)</x:f>
        <x:v>1</x:v>
      </x:c>
      <x:c r="R500" s="22" t="str">
        <x:f>O500&amp;P500&amp;Q500</x:f>
        <x:v>111</x:v>
      </x:c>
      <x:c r="S500" s="19" t="n">
        <x:f>IF(I500=1,IF(J500=0,Q500,IF(J500=1,P500,IF(J500=2,O500,0))),0)</x:f>
        <x:v>0</x:v>
      </x:c>
      <x:c r="T500" s="19" t="n">
        <x:f>K500+IF(AND(S500=1,J500=0),1,0)</x:f>
        <x:v>1</x:v>
      </x:c>
      <x:c r="U500" s="19" t="n">
        <x:f>L500+IF(AND(S500=1,J500=1),1,0)</x:f>
        <x:v>0</x:v>
      </x:c>
      <x:c r="V500" s="19" t="n">
        <x:f>M500+IF(AND(S500=1,J500=2),1,0)</x:f>
        <x:v>2</x:v>
      </x:c>
      <x:c r="W500" s="19" t="n">
        <x:f>SUM(T500:V500)</x:f>
        <x:v>3</x:v>
      </x:c>
      <x:c r="X500" s="19" t="n">
        <x:f>W500-G500</x:f>
        <x:v>-1</x:v>
      </x:c>
      <x:c r="Y500" s="19" t="n">
        <x:f>MAX(T500,1)+MAX(U500,1)+MAX(V500,1)</x:f>
        <x:v>4</x:v>
      </x:c>
      <x:c r="Z500" s="21" t="str">
        <x:f>IF(AND(MIN(D500:F500)&gt;=0,MAX(D500:F500)&lt;=7,MAX(D500,1)+MAX(E500,1)+MAX(F500,1)&lt;=9,OR(H500="-",AND(H500=0,D500&gt;0),AND(H500=1,E500&gt;0),AND(H500=2,F500&gt;0)),OR(I500=0,AND(I500=1,OR(J500=0,J500=1,J500=2),R500&lt;&gt;"000")),Y500&lt;=9,MIN(T500:V500)&gt;=0),"合法","输入违约")</x:f>
        <x:v>合法</x:v>
      </x:c>
    </x:row>
    <x:row r="501" ht="23" customHeight="1">
      <x:c r="A501" s="3" t="str">
        <x:v>CT-0494</x:v>
      </x:c>
      <x:c r="B501" s="3" t="str">
        <x:v>ST-026</x:v>
      </x:c>
      <x:c r="C501" s="3" t="str">
        <x:v>R+AR同收同发</x:v>
      </x:c>
      <x:c r="D501" s="25" t="n">
        <x:v>1</x:v>
      </x:c>
      <x:c r="E501" s="25" t="n">
        <x:v>0</x:v>
      </x:c>
      <x:c r="F501" s="25" t="n">
        <x:v>3</x:v>
      </x:c>
      <x:c r="G501" s="19" t="n">
        <x:f>SUM(D501:F501)</x:f>
        <x:v>4</x:v>
      </x:c>
      <x:c r="H501" s="25" t="n">
        <x:v>2</x:v>
      </x:c>
      <x:c r="I501" s="25" t="n">
        <x:v>1</x:v>
      </x:c>
      <x:c r="J501" s="25" t="n">
        <x:v>0</x:v>
      </x:c>
      <x:c r="K501" s="19" t="n">
        <x:f>D501-IF(H501=0,1,0)</x:f>
        <x:v>1</x:v>
      </x:c>
      <x:c r="L501" s="19" t="n">
        <x:f>E501-IF(H501=1,1,0)</x:f>
        <x:v>0</x:v>
      </x:c>
      <x:c r="M501" s="19" t="n">
        <x:f>F501-IF(H501=2,1,0)</x:f>
        <x:v>2</x:v>
      </x:c>
      <x:c r="N501" s="19" t="n">
        <x:f>MAX(K501-1,0)+MAX(L501-1,0)+MAX(M501-1,0)</x:f>
        <x:v>1</x:v>
      </x:c>
      <x:c r="O501" s="19" t="n">
        <x:f>IF(AND(SUM(K501:M501)&lt;9,OR(M501=0,N501&lt;6)),1,0)</x:f>
        <x:v>1</x:v>
      </x:c>
      <x:c r="P501" s="19" t="n">
        <x:f>IF(AND(SUM(K501:M501)&lt;9,OR(L501=0,N501&lt;6)),1,0)</x:f>
        <x:v>1</x:v>
      </x:c>
      <x:c r="Q501" s="19" t="n">
        <x:f>IF(AND(SUM(K501:M501)&lt;9,OR(K501=0,N501&lt;6)),1,0)</x:f>
        <x:v>1</x:v>
      </x:c>
      <x:c r="R501" s="22" t="str">
        <x:f>O501&amp;P501&amp;Q501</x:f>
        <x:v>111</x:v>
      </x:c>
      <x:c r="S501" s="19" t="n">
        <x:f>IF(I501=1,IF(J501=0,Q501,IF(J501=1,P501,IF(J501=2,O501,0))),0)</x:f>
        <x:v>1</x:v>
      </x:c>
      <x:c r="T501" s="19" t="n">
        <x:f>K501+IF(AND(S501=1,J501=0),1,0)</x:f>
        <x:v>2</x:v>
      </x:c>
      <x:c r="U501" s="19" t="n">
        <x:f>L501+IF(AND(S501=1,J501=1),1,0)</x:f>
        <x:v>0</x:v>
      </x:c>
      <x:c r="V501" s="19" t="n">
        <x:f>M501+IF(AND(S501=1,J501=2),1,0)</x:f>
        <x:v>2</x:v>
      </x:c>
      <x:c r="W501" s="19" t="n">
        <x:f>SUM(T501:V501)</x:f>
        <x:v>4</x:v>
      </x:c>
      <x:c r="X501" s="19" t="n">
        <x:f>W501-G501</x:f>
        <x:v>0</x:v>
      </x:c>
      <x:c r="Y501" s="19" t="n">
        <x:f>MAX(T501,1)+MAX(U501,1)+MAX(V501,1)</x:f>
        <x:v>5</x:v>
      </x:c>
      <x:c r="Z501" s="21" t="str">
        <x:f>IF(AND(MIN(D501:F501)&gt;=0,MAX(D501:F501)&lt;=7,MAX(D501,1)+MAX(E501,1)+MAX(F501,1)&lt;=9,OR(H501="-",AND(H501=0,D501&gt;0),AND(H501=1,E501&gt;0),AND(H501=2,F501&gt;0)),OR(I501=0,AND(I501=1,OR(J501=0,J501=1,J501=2),R501&lt;&gt;"000")),Y501&lt;=9,MIN(T501:V501)&gt;=0),"合法","输入违约")</x:f>
        <x:v>合法</x:v>
      </x:c>
    </x:row>
    <x:row r="502" ht="23" customHeight="1">
      <x:c r="A502" s="3" t="str">
        <x:v>CT-0495</x:v>
      </x:c>
      <x:c r="B502" s="3" t="str">
        <x:v>ST-026</x:v>
      </x:c>
      <x:c r="C502" s="3" t="str">
        <x:v>R+AR同收同发</x:v>
      </x:c>
      <x:c r="D502" s="25" t="n">
        <x:v>1</x:v>
      </x:c>
      <x:c r="E502" s="25" t="n">
        <x:v>0</x:v>
      </x:c>
      <x:c r="F502" s="25" t="n">
        <x:v>3</x:v>
      </x:c>
      <x:c r="G502" s="19" t="n">
        <x:f>SUM(D502:F502)</x:f>
        <x:v>4</x:v>
      </x:c>
      <x:c r="H502" s="25" t="n">
        <x:v>2</x:v>
      </x:c>
      <x:c r="I502" s="25" t="n">
        <x:v>1</x:v>
      </x:c>
      <x:c r="J502" s="25" t="n">
        <x:v>1</x:v>
      </x:c>
      <x:c r="K502" s="19" t="n">
        <x:f>D502-IF(H502=0,1,0)</x:f>
        <x:v>1</x:v>
      </x:c>
      <x:c r="L502" s="19" t="n">
        <x:f>E502-IF(H502=1,1,0)</x:f>
        <x:v>0</x:v>
      </x:c>
      <x:c r="M502" s="19" t="n">
        <x:f>F502-IF(H502=2,1,0)</x:f>
        <x:v>2</x:v>
      </x:c>
      <x:c r="N502" s="19" t="n">
        <x:f>MAX(K502-1,0)+MAX(L502-1,0)+MAX(M502-1,0)</x:f>
        <x:v>1</x:v>
      </x:c>
      <x:c r="O502" s="19" t="n">
        <x:f>IF(AND(SUM(K502:M502)&lt;9,OR(M502=0,N502&lt;6)),1,0)</x:f>
        <x:v>1</x:v>
      </x:c>
      <x:c r="P502" s="19" t="n">
        <x:f>IF(AND(SUM(K502:M502)&lt;9,OR(L502=0,N502&lt;6)),1,0)</x:f>
        <x:v>1</x:v>
      </x:c>
      <x:c r="Q502" s="19" t="n">
        <x:f>IF(AND(SUM(K502:M502)&lt;9,OR(K502=0,N502&lt;6)),1,0)</x:f>
        <x:v>1</x:v>
      </x:c>
      <x:c r="R502" s="22" t="str">
        <x:f>O502&amp;P502&amp;Q502</x:f>
        <x:v>111</x:v>
      </x:c>
      <x:c r="S502" s="19" t="n">
        <x:f>IF(I502=1,IF(J502=0,Q502,IF(J502=1,P502,IF(J502=2,O502,0))),0)</x:f>
        <x:v>1</x:v>
      </x:c>
      <x:c r="T502" s="19" t="n">
        <x:f>K502+IF(AND(S502=1,J502=0),1,0)</x:f>
        <x:v>1</x:v>
      </x:c>
      <x:c r="U502" s="19" t="n">
        <x:f>L502+IF(AND(S502=1,J502=1),1,0)</x:f>
        <x:v>1</x:v>
      </x:c>
      <x:c r="V502" s="19" t="n">
        <x:f>M502+IF(AND(S502=1,J502=2),1,0)</x:f>
        <x:v>2</x:v>
      </x:c>
      <x:c r="W502" s="19" t="n">
        <x:f>SUM(T502:V502)</x:f>
        <x:v>4</x:v>
      </x:c>
      <x:c r="X502" s="19" t="n">
        <x:f>W502-G502</x:f>
        <x:v>0</x:v>
      </x:c>
      <x:c r="Y502" s="19" t="n">
        <x:f>MAX(T502,1)+MAX(U502,1)+MAX(V502,1)</x:f>
        <x:v>4</x:v>
      </x:c>
      <x:c r="Z502" s="21" t="str">
        <x:f>IF(AND(MIN(D502:F502)&gt;=0,MAX(D502:F502)&lt;=7,MAX(D502,1)+MAX(E502,1)+MAX(F502,1)&lt;=9,OR(H502="-",AND(H502=0,D502&gt;0),AND(H502=1,E502&gt;0),AND(H502=2,F502&gt;0)),OR(I502=0,AND(I502=1,OR(J502=0,J502=1,J502=2),R502&lt;&gt;"000")),Y502&lt;=9,MIN(T502:V502)&gt;=0),"合法","输入违约")</x:f>
        <x:v>合法</x:v>
      </x:c>
    </x:row>
    <x:row r="503" ht="23" customHeight="1">
      <x:c r="A503" s="3" t="str">
        <x:v>CT-0496</x:v>
      </x:c>
      <x:c r="B503" s="3" t="str">
        <x:v>ST-026</x:v>
      </x:c>
      <x:c r="C503" s="3" t="str">
        <x:v>R+AR同收同发</x:v>
      </x:c>
      <x:c r="D503" s="25" t="n">
        <x:v>1</x:v>
      </x:c>
      <x:c r="E503" s="25" t="n">
        <x:v>0</x:v>
      </x:c>
      <x:c r="F503" s="25" t="n">
        <x:v>3</x:v>
      </x:c>
      <x:c r="G503" s="19" t="n">
        <x:f>SUM(D503:F503)</x:f>
        <x:v>4</x:v>
      </x:c>
      <x:c r="H503" s="25" t="n">
        <x:v>2</x:v>
      </x:c>
      <x:c r="I503" s="25" t="n">
        <x:v>1</x:v>
      </x:c>
      <x:c r="J503" s="25" t="n">
        <x:v>2</x:v>
      </x:c>
      <x:c r="K503" s="19" t="n">
        <x:f>D503-IF(H503=0,1,0)</x:f>
        <x:v>1</x:v>
      </x:c>
      <x:c r="L503" s="19" t="n">
        <x:f>E503-IF(H503=1,1,0)</x:f>
        <x:v>0</x:v>
      </x:c>
      <x:c r="M503" s="19" t="n">
        <x:f>F503-IF(H503=2,1,0)</x:f>
        <x:v>2</x:v>
      </x:c>
      <x:c r="N503" s="19" t="n">
        <x:f>MAX(K503-1,0)+MAX(L503-1,0)+MAX(M503-1,0)</x:f>
        <x:v>1</x:v>
      </x:c>
      <x:c r="O503" s="19" t="n">
        <x:f>IF(AND(SUM(K503:M503)&lt;9,OR(M503=0,N503&lt;6)),1,0)</x:f>
        <x:v>1</x:v>
      </x:c>
      <x:c r="P503" s="19" t="n">
        <x:f>IF(AND(SUM(K503:M503)&lt;9,OR(L503=0,N503&lt;6)),1,0)</x:f>
        <x:v>1</x:v>
      </x:c>
      <x:c r="Q503" s="19" t="n">
        <x:f>IF(AND(SUM(K503:M503)&lt;9,OR(K503=0,N503&lt;6)),1,0)</x:f>
        <x:v>1</x:v>
      </x:c>
      <x:c r="R503" s="22" t="str">
        <x:f>O503&amp;P503&amp;Q503</x:f>
        <x:v>111</x:v>
      </x:c>
      <x:c r="S503" s="19" t="n">
        <x:f>IF(I503=1,IF(J503=0,Q503,IF(J503=1,P503,IF(J503=2,O503,0))),0)</x:f>
        <x:v>1</x:v>
      </x:c>
      <x:c r="T503" s="19" t="n">
        <x:f>K503+IF(AND(S503=1,J503=0),1,0)</x:f>
        <x:v>1</x:v>
      </x:c>
      <x:c r="U503" s="19" t="n">
        <x:f>L503+IF(AND(S503=1,J503=1),1,0)</x:f>
        <x:v>0</x:v>
      </x:c>
      <x:c r="V503" s="19" t="n">
        <x:f>M503+IF(AND(S503=1,J503=2),1,0)</x:f>
        <x:v>3</x:v>
      </x:c>
      <x:c r="W503" s="19" t="n">
        <x:f>SUM(T503:V503)</x:f>
        <x:v>4</x:v>
      </x:c>
      <x:c r="X503" s="19" t="n">
        <x:f>W503-G503</x:f>
        <x:v>0</x:v>
      </x:c>
      <x:c r="Y503" s="19" t="n">
        <x:f>MAX(T503,1)+MAX(U503,1)+MAX(V503,1)</x:f>
        <x:v>5</x:v>
      </x:c>
      <x:c r="Z503" s="21" t="str">
        <x:f>IF(AND(MIN(D503:F503)&gt;=0,MAX(D503:F503)&lt;=7,MAX(D503,1)+MAX(E503,1)+MAX(F503,1)&lt;=9,OR(H503="-",AND(H503=0,D503&gt;0),AND(H503=1,E503&gt;0),AND(H503=2,F503&gt;0)),OR(I503=0,AND(I503=1,OR(J503=0,J503=1,J503=2),R503&lt;&gt;"000")),Y503&lt;=9,MIN(T503:V503)&gt;=0),"合法","输入违约")</x:f>
        <x:v>合法</x:v>
      </x:c>
    </x:row>
    <x:row r="504" ht="23" customHeight="1">
      <x:c r="A504" s="3" t="str">
        <x:v>CT-0497</x:v>
      </x:c>
      <x:c r="B504" s="3" t="str">
        <x:v>ST-042</x:v>
      </x:c>
      <x:c r="C504" s="3" t="str">
        <x:v>无AR/R</x:v>
      </x:c>
      <x:c r="D504" s="25" t="n">
        <x:v>1</x:v>
      </x:c>
      <x:c r="E504" s="25" t="n">
        <x:v>0</x:v>
      </x:c>
      <x:c r="F504" s="25" t="n">
        <x:v>4</x:v>
      </x:c>
      <x:c r="G504" s="19" t="n">
        <x:f>SUM(D504:F504)</x:f>
        <x:v>5</x:v>
      </x:c>
      <x:c r="H504" s="25" t="str">
        <x:v>-</x:v>
      </x:c>
      <x:c r="I504" s="25" t="n">
        <x:v>0</x:v>
      </x:c>
      <x:c r="J504" s="25" t="str">
        <x:v>-</x:v>
      </x:c>
      <x:c r="K504" s="19" t="n">
        <x:f>D504-IF(H504=0,1,0)</x:f>
        <x:v>1</x:v>
      </x:c>
      <x:c r="L504" s="19" t="n">
        <x:f>E504-IF(H504=1,1,0)</x:f>
        <x:v>0</x:v>
      </x:c>
      <x:c r="M504" s="19" t="n">
        <x:f>F504-IF(H504=2,1,0)</x:f>
        <x:v>4</x:v>
      </x:c>
      <x:c r="N504" s="19" t="n">
        <x:f>MAX(K504-1,0)+MAX(L504-1,0)+MAX(M504-1,0)</x:f>
        <x:v>3</x:v>
      </x:c>
      <x:c r="O504" s="19" t="n">
        <x:f>IF(AND(SUM(K504:M504)&lt;9,OR(M504=0,N504&lt;6)),1,0)</x:f>
        <x:v>1</x:v>
      </x:c>
      <x:c r="P504" s="19" t="n">
        <x:f>IF(AND(SUM(K504:M504)&lt;9,OR(L504=0,N504&lt;6)),1,0)</x:f>
        <x:v>1</x:v>
      </x:c>
      <x:c r="Q504" s="19" t="n">
        <x:f>IF(AND(SUM(K504:M504)&lt;9,OR(K504=0,N504&lt;6)),1,0)</x:f>
        <x:v>1</x:v>
      </x:c>
      <x:c r="R504" s="22" t="str">
        <x:f>O504&amp;P504&amp;Q504</x:f>
        <x:v>111</x:v>
      </x:c>
      <x:c r="S504" s="19" t="n">
        <x:f>IF(I504=1,IF(J504=0,Q504,IF(J504=1,P504,IF(J504=2,O504,0))),0)</x:f>
        <x:v>0</x:v>
      </x:c>
      <x:c r="T504" s="19" t="n">
        <x:f>K504+IF(AND(S504=1,J504=0),1,0)</x:f>
        <x:v>1</x:v>
      </x:c>
      <x:c r="U504" s="19" t="n">
        <x:f>L504+IF(AND(S504=1,J504=1),1,0)</x:f>
        <x:v>0</x:v>
      </x:c>
      <x:c r="V504" s="19" t="n">
        <x:f>M504+IF(AND(S504=1,J504=2),1,0)</x:f>
        <x:v>4</x:v>
      </x:c>
      <x:c r="W504" s="19" t="n">
        <x:f>SUM(T504:V504)</x:f>
        <x:v>5</x:v>
      </x:c>
      <x:c r="X504" s="19" t="n">
        <x:f>W504-G504</x:f>
        <x:v>0</x:v>
      </x:c>
      <x:c r="Y504" s="19" t="n">
        <x:f>MAX(T504,1)+MAX(U504,1)+MAX(V504,1)</x:f>
        <x:v>6</x:v>
      </x:c>
      <x:c r="Z504" s="21" t="str">
        <x:f>IF(AND(MIN(D504:F504)&gt;=0,MAX(D504:F504)&lt;=7,MAX(D504,1)+MAX(E504,1)+MAX(F504,1)&lt;=9,OR(H504="-",AND(H504=0,D504&gt;0),AND(H504=1,E504&gt;0),AND(H504=2,F504&gt;0)),OR(I504=0,AND(I504=1,OR(J504=0,J504=1,J504=2),R504&lt;&gt;"000")),Y504&lt;=9,MIN(T504:V504)&gt;=0),"合法","输入违约")</x:f>
        <x:v>合法</x:v>
      </x:c>
    </x:row>
    <x:row r="505" ht="23" customHeight="1">
      <x:c r="A505" s="3" t="str">
        <x:v>CT-0498</x:v>
      </x:c>
      <x:c r="B505" s="3" t="str">
        <x:v>ST-042</x:v>
      </x:c>
      <x:c r="C505" s="3" t="str">
        <x:v>仅AR接收</x:v>
      </x:c>
      <x:c r="D505" s="25" t="n">
        <x:v>1</x:v>
      </x:c>
      <x:c r="E505" s="25" t="n">
        <x:v>0</x:v>
      </x:c>
      <x:c r="F505" s="25" t="n">
        <x:v>4</x:v>
      </x:c>
      <x:c r="G505" s="19" t="n">
        <x:f>SUM(D505:F505)</x:f>
        <x:v>5</x:v>
      </x:c>
      <x:c r="H505" s="25" t="str">
        <x:v>-</x:v>
      </x:c>
      <x:c r="I505" s="25" t="n">
        <x:v>1</x:v>
      </x:c>
      <x:c r="J505" s="25" t="n">
        <x:v>0</x:v>
      </x:c>
      <x:c r="K505" s="19" t="n">
        <x:f>D505-IF(H505=0,1,0)</x:f>
        <x:v>1</x:v>
      </x:c>
      <x:c r="L505" s="19" t="n">
        <x:f>E505-IF(H505=1,1,0)</x:f>
        <x:v>0</x:v>
      </x:c>
      <x:c r="M505" s="19" t="n">
        <x:f>F505-IF(H505=2,1,0)</x:f>
        <x:v>4</x:v>
      </x:c>
      <x:c r="N505" s="19" t="n">
        <x:f>MAX(K505-1,0)+MAX(L505-1,0)+MAX(M505-1,0)</x:f>
        <x:v>3</x:v>
      </x:c>
      <x:c r="O505" s="19" t="n">
        <x:f>IF(AND(SUM(K505:M505)&lt;9,OR(M505=0,N505&lt;6)),1,0)</x:f>
        <x:v>1</x:v>
      </x:c>
      <x:c r="P505" s="19" t="n">
        <x:f>IF(AND(SUM(K505:M505)&lt;9,OR(L505=0,N505&lt;6)),1,0)</x:f>
        <x:v>1</x:v>
      </x:c>
      <x:c r="Q505" s="19" t="n">
        <x:f>IF(AND(SUM(K505:M505)&lt;9,OR(K505=0,N505&lt;6)),1,0)</x:f>
        <x:v>1</x:v>
      </x:c>
      <x:c r="R505" s="22" t="str">
        <x:f>O505&amp;P505&amp;Q505</x:f>
        <x:v>111</x:v>
      </x:c>
      <x:c r="S505" s="19" t="n">
        <x:f>IF(I505=1,IF(J505=0,Q505,IF(J505=1,P505,IF(J505=2,O505,0))),0)</x:f>
        <x:v>1</x:v>
      </x:c>
      <x:c r="T505" s="19" t="n">
        <x:f>K505+IF(AND(S505=1,J505=0),1,0)</x:f>
        <x:v>2</x:v>
      </x:c>
      <x:c r="U505" s="19" t="n">
        <x:f>L505+IF(AND(S505=1,J505=1),1,0)</x:f>
        <x:v>0</x:v>
      </x:c>
      <x:c r="V505" s="19" t="n">
        <x:f>M505+IF(AND(S505=1,J505=2),1,0)</x:f>
        <x:v>4</x:v>
      </x:c>
      <x:c r="W505" s="19" t="n">
        <x:f>SUM(T505:V505)</x:f>
        <x:v>6</x:v>
      </x:c>
      <x:c r="X505" s="19" t="n">
        <x:f>W505-G505</x:f>
        <x:v>1</x:v>
      </x:c>
      <x:c r="Y505" s="19" t="n">
        <x:f>MAX(T505,1)+MAX(U505,1)+MAX(V505,1)</x:f>
        <x:v>7</x:v>
      </x:c>
      <x:c r="Z505" s="21" t="str">
        <x:f>IF(AND(MIN(D505:F505)&gt;=0,MAX(D505:F505)&lt;=7,MAX(D505,1)+MAX(E505,1)+MAX(F505,1)&lt;=9,OR(H505="-",AND(H505=0,D505&gt;0),AND(H505=1,E505&gt;0),AND(H505=2,F505&gt;0)),OR(I505=0,AND(I505=1,OR(J505=0,J505=1,J505=2),R505&lt;&gt;"000")),Y505&lt;=9,MIN(T505:V505)&gt;=0),"合法","输入违约")</x:f>
        <x:v>合法</x:v>
      </x:c>
    </x:row>
    <x:row r="506" ht="23" customHeight="1">
      <x:c r="A506" s="3" t="str">
        <x:v>CT-0499</x:v>
      </x:c>
      <x:c r="B506" s="3" t="str">
        <x:v>ST-042</x:v>
      </x:c>
      <x:c r="C506" s="3" t="str">
        <x:v>仅AR接收</x:v>
      </x:c>
      <x:c r="D506" s="25" t="n">
        <x:v>1</x:v>
      </x:c>
      <x:c r="E506" s="25" t="n">
        <x:v>0</x:v>
      </x:c>
      <x:c r="F506" s="25" t="n">
        <x:v>4</x:v>
      </x:c>
      <x:c r="G506" s="19" t="n">
        <x:f>SUM(D506:F506)</x:f>
        <x:v>5</x:v>
      </x:c>
      <x:c r="H506" s="25" t="str">
        <x:v>-</x:v>
      </x:c>
      <x:c r="I506" s="25" t="n">
        <x:v>1</x:v>
      </x:c>
      <x:c r="J506" s="25" t="n">
        <x:v>1</x:v>
      </x:c>
      <x:c r="K506" s="19" t="n">
        <x:f>D506-IF(H506=0,1,0)</x:f>
        <x:v>1</x:v>
      </x:c>
      <x:c r="L506" s="19" t="n">
        <x:f>E506-IF(H506=1,1,0)</x:f>
        <x:v>0</x:v>
      </x:c>
      <x:c r="M506" s="19" t="n">
        <x:f>F506-IF(H506=2,1,0)</x:f>
        <x:v>4</x:v>
      </x:c>
      <x:c r="N506" s="19" t="n">
        <x:f>MAX(K506-1,0)+MAX(L506-1,0)+MAX(M506-1,0)</x:f>
        <x:v>3</x:v>
      </x:c>
      <x:c r="O506" s="19" t="n">
        <x:f>IF(AND(SUM(K506:M506)&lt;9,OR(M506=0,N506&lt;6)),1,0)</x:f>
        <x:v>1</x:v>
      </x:c>
      <x:c r="P506" s="19" t="n">
        <x:f>IF(AND(SUM(K506:M506)&lt;9,OR(L506=0,N506&lt;6)),1,0)</x:f>
        <x:v>1</x:v>
      </x:c>
      <x:c r="Q506" s="19" t="n">
        <x:f>IF(AND(SUM(K506:M506)&lt;9,OR(K506=0,N506&lt;6)),1,0)</x:f>
        <x:v>1</x:v>
      </x:c>
      <x:c r="R506" s="22" t="str">
        <x:f>O506&amp;P506&amp;Q506</x:f>
        <x:v>111</x:v>
      </x:c>
      <x:c r="S506" s="19" t="n">
        <x:f>IF(I506=1,IF(J506=0,Q506,IF(J506=1,P506,IF(J506=2,O506,0))),0)</x:f>
        <x:v>1</x:v>
      </x:c>
      <x:c r="T506" s="19" t="n">
        <x:f>K506+IF(AND(S506=1,J506=0),1,0)</x:f>
        <x:v>1</x:v>
      </x:c>
      <x:c r="U506" s="19" t="n">
        <x:f>L506+IF(AND(S506=1,J506=1),1,0)</x:f>
        <x:v>1</x:v>
      </x:c>
      <x:c r="V506" s="19" t="n">
        <x:f>M506+IF(AND(S506=1,J506=2),1,0)</x:f>
        <x:v>4</x:v>
      </x:c>
      <x:c r="W506" s="19" t="n">
        <x:f>SUM(T506:V506)</x:f>
        <x:v>6</x:v>
      </x:c>
      <x:c r="X506" s="19" t="n">
        <x:f>W506-G506</x:f>
        <x:v>1</x:v>
      </x:c>
      <x:c r="Y506" s="19" t="n">
        <x:f>MAX(T506,1)+MAX(U506,1)+MAX(V506,1)</x:f>
        <x:v>6</x:v>
      </x:c>
      <x:c r="Z506" s="21" t="str">
        <x:f>IF(AND(MIN(D506:F506)&gt;=0,MAX(D506:F506)&lt;=7,MAX(D506,1)+MAX(E506,1)+MAX(F506,1)&lt;=9,OR(H506="-",AND(H506=0,D506&gt;0),AND(H506=1,E506&gt;0),AND(H506=2,F506&gt;0)),OR(I506=0,AND(I506=1,OR(J506=0,J506=1,J506=2),R506&lt;&gt;"000")),Y506&lt;=9,MIN(T506:V506)&gt;=0),"合法","输入违约")</x:f>
        <x:v>合法</x:v>
      </x:c>
    </x:row>
    <x:row r="507" ht="23" customHeight="1">
      <x:c r="A507" s="3" t="str">
        <x:v>CT-0500</x:v>
      </x:c>
      <x:c r="B507" s="3" t="str">
        <x:v>ST-042</x:v>
      </x:c>
      <x:c r="C507" s="3" t="str">
        <x:v>仅AR接收</x:v>
      </x:c>
      <x:c r="D507" s="25" t="n">
        <x:v>1</x:v>
      </x:c>
      <x:c r="E507" s="25" t="n">
        <x:v>0</x:v>
      </x:c>
      <x:c r="F507" s="25" t="n">
        <x:v>4</x:v>
      </x:c>
      <x:c r="G507" s="19" t="n">
        <x:f>SUM(D507:F507)</x:f>
        <x:v>5</x:v>
      </x:c>
      <x:c r="H507" s="25" t="str">
        <x:v>-</x:v>
      </x:c>
      <x:c r="I507" s="25" t="n">
        <x:v>1</x:v>
      </x:c>
      <x:c r="J507" s="25" t="n">
        <x:v>2</x:v>
      </x:c>
      <x:c r="K507" s="19" t="n">
        <x:f>D507-IF(H507=0,1,0)</x:f>
        <x:v>1</x:v>
      </x:c>
      <x:c r="L507" s="19" t="n">
        <x:f>E507-IF(H507=1,1,0)</x:f>
        <x:v>0</x:v>
      </x:c>
      <x:c r="M507" s="19" t="n">
        <x:f>F507-IF(H507=2,1,0)</x:f>
        <x:v>4</x:v>
      </x:c>
      <x:c r="N507" s="19" t="n">
        <x:f>MAX(K507-1,0)+MAX(L507-1,0)+MAX(M507-1,0)</x:f>
        <x:v>3</x:v>
      </x:c>
      <x:c r="O507" s="19" t="n">
        <x:f>IF(AND(SUM(K507:M507)&lt;9,OR(M507=0,N507&lt;6)),1,0)</x:f>
        <x:v>1</x:v>
      </x:c>
      <x:c r="P507" s="19" t="n">
        <x:f>IF(AND(SUM(K507:M507)&lt;9,OR(L507=0,N507&lt;6)),1,0)</x:f>
        <x:v>1</x:v>
      </x:c>
      <x:c r="Q507" s="19" t="n">
        <x:f>IF(AND(SUM(K507:M507)&lt;9,OR(K507=0,N507&lt;6)),1,0)</x:f>
        <x:v>1</x:v>
      </x:c>
      <x:c r="R507" s="22" t="str">
        <x:f>O507&amp;P507&amp;Q507</x:f>
        <x:v>111</x:v>
      </x:c>
      <x:c r="S507" s="19" t="n">
        <x:f>IF(I507=1,IF(J507=0,Q507,IF(J507=1,P507,IF(J507=2,O507,0))),0)</x:f>
        <x:v>1</x:v>
      </x:c>
      <x:c r="T507" s="19" t="n">
        <x:f>K507+IF(AND(S507=1,J507=0),1,0)</x:f>
        <x:v>1</x:v>
      </x:c>
      <x:c r="U507" s="19" t="n">
        <x:f>L507+IF(AND(S507=1,J507=1),1,0)</x:f>
        <x:v>0</x:v>
      </x:c>
      <x:c r="V507" s="19" t="n">
        <x:f>M507+IF(AND(S507=1,J507=2),1,0)</x:f>
        <x:v>5</x:v>
      </x:c>
      <x:c r="W507" s="19" t="n">
        <x:f>SUM(T507:V507)</x:f>
        <x:v>6</x:v>
      </x:c>
      <x:c r="X507" s="19" t="n">
        <x:f>W507-G507</x:f>
        <x:v>1</x:v>
      </x:c>
      <x:c r="Y507" s="19" t="n">
        <x:f>MAX(T507,1)+MAX(U507,1)+MAX(V507,1)</x:f>
        <x:v>7</x:v>
      </x:c>
      <x:c r="Z507" s="21" t="str">
        <x:f>IF(AND(MIN(D507:F507)&gt;=0,MAX(D507:F507)&lt;=7,MAX(D507,1)+MAX(E507,1)+MAX(F507,1)&lt;=9,OR(H507="-",AND(H507=0,D507&gt;0),AND(H507=1,E507&gt;0),AND(H507=2,F507&gt;0)),OR(I507=0,AND(I507=1,OR(J507=0,J507=1,J507=2),R507&lt;&gt;"000")),Y507&lt;=9,MIN(T507:V507)&gt;=0),"合法","输入违约")</x:f>
        <x:v>合法</x:v>
      </x:c>
    </x:row>
    <x:row r="508" ht="23" customHeight="1">
      <x:c r="A508" s="3" t="str">
        <x:v>CT-0501</x:v>
      </x:c>
      <x:c r="B508" s="3" t="str">
        <x:v>ST-042</x:v>
      </x:c>
      <x:c r="C508" s="3" t="str">
        <x:v>仅R回收</x:v>
      </x:c>
      <x:c r="D508" s="25" t="n">
        <x:v>1</x:v>
      </x:c>
      <x:c r="E508" s="25" t="n">
        <x:v>0</x:v>
      </x:c>
      <x:c r="F508" s="25" t="n">
        <x:v>4</x:v>
      </x:c>
      <x:c r="G508" s="19" t="n">
        <x:f>SUM(D508:F508)</x:f>
        <x:v>5</x:v>
      </x:c>
      <x:c r="H508" s="25" t="n">
        <x:v>0</x:v>
      </x:c>
      <x:c r="I508" s="25" t="n">
        <x:v>0</x:v>
      </x:c>
      <x:c r="J508" s="25" t="str">
        <x:v>-</x:v>
      </x:c>
      <x:c r="K508" s="19" t="n">
        <x:f>D508-IF(H508=0,1,0)</x:f>
        <x:v>0</x:v>
      </x:c>
      <x:c r="L508" s="19" t="n">
        <x:f>E508-IF(H508=1,1,0)</x:f>
        <x:v>0</x:v>
      </x:c>
      <x:c r="M508" s="19" t="n">
        <x:f>F508-IF(H508=2,1,0)</x:f>
        <x:v>4</x:v>
      </x:c>
      <x:c r="N508" s="19" t="n">
        <x:f>MAX(K508-1,0)+MAX(L508-1,0)+MAX(M508-1,0)</x:f>
        <x:v>3</x:v>
      </x:c>
      <x:c r="O508" s="19" t="n">
        <x:f>IF(AND(SUM(K508:M508)&lt;9,OR(M508=0,N508&lt;6)),1,0)</x:f>
        <x:v>1</x:v>
      </x:c>
      <x:c r="P508" s="19" t="n">
        <x:f>IF(AND(SUM(K508:M508)&lt;9,OR(L508=0,N508&lt;6)),1,0)</x:f>
        <x:v>1</x:v>
      </x:c>
      <x:c r="Q508" s="19" t="n">
        <x:f>IF(AND(SUM(K508:M508)&lt;9,OR(K508=0,N508&lt;6)),1,0)</x:f>
        <x:v>1</x:v>
      </x:c>
      <x:c r="R508" s="22" t="str">
        <x:f>O508&amp;P508&amp;Q508</x:f>
        <x:v>111</x:v>
      </x:c>
      <x:c r="S508" s="19" t="n">
        <x:f>IF(I508=1,IF(J508=0,Q508,IF(J508=1,P508,IF(J508=2,O508,0))),0)</x:f>
        <x:v>0</x:v>
      </x:c>
      <x:c r="T508" s="19" t="n">
        <x:f>K508+IF(AND(S508=1,J508=0),1,0)</x:f>
        <x:v>0</x:v>
      </x:c>
      <x:c r="U508" s="19" t="n">
        <x:f>L508+IF(AND(S508=1,J508=1),1,0)</x:f>
        <x:v>0</x:v>
      </x:c>
      <x:c r="V508" s="19" t="n">
        <x:f>M508+IF(AND(S508=1,J508=2),1,0)</x:f>
        <x:v>4</x:v>
      </x:c>
      <x:c r="W508" s="19" t="n">
        <x:f>SUM(T508:V508)</x:f>
        <x:v>4</x:v>
      </x:c>
      <x:c r="X508" s="19" t="n">
        <x:f>W508-G508</x:f>
        <x:v>-1</x:v>
      </x:c>
      <x:c r="Y508" s="19" t="n">
        <x:f>MAX(T508,1)+MAX(U508,1)+MAX(V508,1)</x:f>
        <x:v>6</x:v>
      </x:c>
      <x:c r="Z508" s="21" t="str">
        <x:f>IF(AND(MIN(D508:F508)&gt;=0,MAX(D508:F508)&lt;=7,MAX(D508,1)+MAX(E508,1)+MAX(F508,1)&lt;=9,OR(H508="-",AND(H508=0,D508&gt;0),AND(H508=1,E508&gt;0),AND(H508=2,F508&gt;0)),OR(I508=0,AND(I508=1,OR(J508=0,J508=1,J508=2),R508&lt;&gt;"000")),Y508&lt;=9,MIN(T508:V508)&gt;=0),"合法","输入违约")</x:f>
        <x:v>合法</x:v>
      </x:c>
    </x:row>
    <x:row r="509" ht="23" customHeight="1">
      <x:c r="A509" s="3" t="str">
        <x:v>CT-0502</x:v>
      </x:c>
      <x:c r="B509" s="3" t="str">
        <x:v>ST-042</x:v>
      </x:c>
      <x:c r="C509" s="3" t="str">
        <x:v>R+AR同收同发</x:v>
      </x:c>
      <x:c r="D509" s="25" t="n">
        <x:v>1</x:v>
      </x:c>
      <x:c r="E509" s="25" t="n">
        <x:v>0</x:v>
      </x:c>
      <x:c r="F509" s="25" t="n">
        <x:v>4</x:v>
      </x:c>
      <x:c r="G509" s="19" t="n">
        <x:f>SUM(D509:F509)</x:f>
        <x:v>5</x:v>
      </x:c>
      <x:c r="H509" s="25" t="n">
        <x:v>0</x:v>
      </x:c>
      <x:c r="I509" s="25" t="n">
        <x:v>1</x:v>
      </x:c>
      <x:c r="J509" s="25" t="n">
        <x:v>0</x:v>
      </x:c>
      <x:c r="K509" s="19" t="n">
        <x:f>D509-IF(H509=0,1,0)</x:f>
        <x:v>0</x:v>
      </x:c>
      <x:c r="L509" s="19" t="n">
        <x:f>E509-IF(H509=1,1,0)</x:f>
        <x:v>0</x:v>
      </x:c>
      <x:c r="M509" s="19" t="n">
        <x:f>F509-IF(H509=2,1,0)</x:f>
        <x:v>4</x:v>
      </x:c>
      <x:c r="N509" s="19" t="n">
        <x:f>MAX(K509-1,0)+MAX(L509-1,0)+MAX(M509-1,0)</x:f>
        <x:v>3</x:v>
      </x:c>
      <x:c r="O509" s="19" t="n">
        <x:f>IF(AND(SUM(K509:M509)&lt;9,OR(M509=0,N509&lt;6)),1,0)</x:f>
        <x:v>1</x:v>
      </x:c>
      <x:c r="P509" s="19" t="n">
        <x:f>IF(AND(SUM(K509:M509)&lt;9,OR(L509=0,N509&lt;6)),1,0)</x:f>
        <x:v>1</x:v>
      </x:c>
      <x:c r="Q509" s="19" t="n">
        <x:f>IF(AND(SUM(K509:M509)&lt;9,OR(K509=0,N509&lt;6)),1,0)</x:f>
        <x:v>1</x:v>
      </x:c>
      <x:c r="R509" s="22" t="str">
        <x:f>O509&amp;P509&amp;Q509</x:f>
        <x:v>111</x:v>
      </x:c>
      <x:c r="S509" s="19" t="n">
        <x:f>IF(I509=1,IF(J509=0,Q509,IF(J509=1,P509,IF(J509=2,O509,0))),0)</x:f>
        <x:v>1</x:v>
      </x:c>
      <x:c r="T509" s="19" t="n">
        <x:f>K509+IF(AND(S509=1,J509=0),1,0)</x:f>
        <x:v>1</x:v>
      </x:c>
      <x:c r="U509" s="19" t="n">
        <x:f>L509+IF(AND(S509=1,J509=1),1,0)</x:f>
        <x:v>0</x:v>
      </x:c>
      <x:c r="V509" s="19" t="n">
        <x:f>M509+IF(AND(S509=1,J509=2),1,0)</x:f>
        <x:v>4</x:v>
      </x:c>
      <x:c r="W509" s="19" t="n">
        <x:f>SUM(T509:V509)</x:f>
        <x:v>5</x:v>
      </x:c>
      <x:c r="X509" s="19" t="n">
        <x:f>W509-G509</x:f>
        <x:v>0</x:v>
      </x:c>
      <x:c r="Y509" s="19" t="n">
        <x:f>MAX(T509,1)+MAX(U509,1)+MAX(V509,1)</x:f>
        <x:v>6</x:v>
      </x:c>
      <x:c r="Z509" s="21" t="str">
        <x:f>IF(AND(MIN(D509:F509)&gt;=0,MAX(D509:F509)&lt;=7,MAX(D509,1)+MAX(E509,1)+MAX(F509,1)&lt;=9,OR(H509="-",AND(H509=0,D509&gt;0),AND(H509=1,E509&gt;0),AND(H509=2,F509&gt;0)),OR(I509=0,AND(I509=1,OR(J509=0,J509=1,J509=2),R509&lt;&gt;"000")),Y509&lt;=9,MIN(T509:V509)&gt;=0),"合法","输入违约")</x:f>
        <x:v>合法</x:v>
      </x:c>
    </x:row>
    <x:row r="510" ht="23" customHeight="1">
      <x:c r="A510" s="3" t="str">
        <x:v>CT-0503</x:v>
      </x:c>
      <x:c r="B510" s="3" t="str">
        <x:v>ST-042</x:v>
      </x:c>
      <x:c r="C510" s="3" t="str">
        <x:v>R+AR同收同发</x:v>
      </x:c>
      <x:c r="D510" s="25" t="n">
        <x:v>1</x:v>
      </x:c>
      <x:c r="E510" s="25" t="n">
        <x:v>0</x:v>
      </x:c>
      <x:c r="F510" s="25" t="n">
        <x:v>4</x:v>
      </x:c>
      <x:c r="G510" s="19" t="n">
        <x:f>SUM(D510:F510)</x:f>
        <x:v>5</x:v>
      </x:c>
      <x:c r="H510" s="25" t="n">
        <x:v>0</x:v>
      </x:c>
      <x:c r="I510" s="25" t="n">
        <x:v>1</x:v>
      </x:c>
      <x:c r="J510" s="25" t="n">
        <x:v>1</x:v>
      </x:c>
      <x:c r="K510" s="19" t="n">
        <x:f>D510-IF(H510=0,1,0)</x:f>
        <x:v>0</x:v>
      </x:c>
      <x:c r="L510" s="19" t="n">
        <x:f>E510-IF(H510=1,1,0)</x:f>
        <x:v>0</x:v>
      </x:c>
      <x:c r="M510" s="19" t="n">
        <x:f>F510-IF(H510=2,1,0)</x:f>
        <x:v>4</x:v>
      </x:c>
      <x:c r="N510" s="19" t="n">
        <x:f>MAX(K510-1,0)+MAX(L510-1,0)+MAX(M510-1,0)</x:f>
        <x:v>3</x:v>
      </x:c>
      <x:c r="O510" s="19" t="n">
        <x:f>IF(AND(SUM(K510:M510)&lt;9,OR(M510=0,N510&lt;6)),1,0)</x:f>
        <x:v>1</x:v>
      </x:c>
      <x:c r="P510" s="19" t="n">
        <x:f>IF(AND(SUM(K510:M510)&lt;9,OR(L510=0,N510&lt;6)),1,0)</x:f>
        <x:v>1</x:v>
      </x:c>
      <x:c r="Q510" s="19" t="n">
        <x:f>IF(AND(SUM(K510:M510)&lt;9,OR(K510=0,N510&lt;6)),1,0)</x:f>
        <x:v>1</x:v>
      </x:c>
      <x:c r="R510" s="22" t="str">
        <x:f>O510&amp;P510&amp;Q510</x:f>
        <x:v>111</x:v>
      </x:c>
      <x:c r="S510" s="19" t="n">
        <x:f>IF(I510=1,IF(J510=0,Q510,IF(J510=1,P510,IF(J510=2,O510,0))),0)</x:f>
        <x:v>1</x:v>
      </x:c>
      <x:c r="T510" s="19" t="n">
        <x:f>K510+IF(AND(S510=1,J510=0),1,0)</x:f>
        <x:v>0</x:v>
      </x:c>
      <x:c r="U510" s="19" t="n">
        <x:f>L510+IF(AND(S510=1,J510=1),1,0)</x:f>
        <x:v>1</x:v>
      </x:c>
      <x:c r="V510" s="19" t="n">
        <x:f>M510+IF(AND(S510=1,J510=2),1,0)</x:f>
        <x:v>4</x:v>
      </x:c>
      <x:c r="W510" s="19" t="n">
        <x:f>SUM(T510:V510)</x:f>
        <x:v>5</x:v>
      </x:c>
      <x:c r="X510" s="19" t="n">
        <x:f>W510-G510</x:f>
        <x:v>0</x:v>
      </x:c>
      <x:c r="Y510" s="19" t="n">
        <x:f>MAX(T510,1)+MAX(U510,1)+MAX(V510,1)</x:f>
        <x:v>6</x:v>
      </x:c>
      <x:c r="Z510" s="21" t="str">
        <x:f>IF(AND(MIN(D510:F510)&gt;=0,MAX(D510:F510)&lt;=7,MAX(D510,1)+MAX(E510,1)+MAX(F510,1)&lt;=9,OR(H510="-",AND(H510=0,D510&gt;0),AND(H510=1,E510&gt;0),AND(H510=2,F510&gt;0)),OR(I510=0,AND(I510=1,OR(J510=0,J510=1,J510=2),R510&lt;&gt;"000")),Y510&lt;=9,MIN(T510:V510)&gt;=0),"合法","输入违约")</x:f>
        <x:v>合法</x:v>
      </x:c>
    </x:row>
    <x:row r="511" ht="23" customHeight="1">
      <x:c r="A511" s="3" t="str">
        <x:v>CT-0504</x:v>
      </x:c>
      <x:c r="B511" s="3" t="str">
        <x:v>ST-042</x:v>
      </x:c>
      <x:c r="C511" s="3" t="str">
        <x:v>R+AR同收同发</x:v>
      </x:c>
      <x:c r="D511" s="25" t="n">
        <x:v>1</x:v>
      </x:c>
      <x:c r="E511" s="25" t="n">
        <x:v>0</x:v>
      </x:c>
      <x:c r="F511" s="25" t="n">
        <x:v>4</x:v>
      </x:c>
      <x:c r="G511" s="19" t="n">
        <x:f>SUM(D511:F511)</x:f>
        <x:v>5</x:v>
      </x:c>
      <x:c r="H511" s="25" t="n">
        <x:v>0</x:v>
      </x:c>
      <x:c r="I511" s="25" t="n">
        <x:v>1</x:v>
      </x:c>
      <x:c r="J511" s="25" t="n">
        <x:v>2</x:v>
      </x:c>
      <x:c r="K511" s="19" t="n">
        <x:f>D511-IF(H511=0,1,0)</x:f>
        <x:v>0</x:v>
      </x:c>
      <x:c r="L511" s="19" t="n">
        <x:f>E511-IF(H511=1,1,0)</x:f>
        <x:v>0</x:v>
      </x:c>
      <x:c r="M511" s="19" t="n">
        <x:f>F511-IF(H511=2,1,0)</x:f>
        <x:v>4</x:v>
      </x:c>
      <x:c r="N511" s="19" t="n">
        <x:f>MAX(K511-1,0)+MAX(L511-1,0)+MAX(M511-1,0)</x:f>
        <x:v>3</x:v>
      </x:c>
      <x:c r="O511" s="19" t="n">
        <x:f>IF(AND(SUM(K511:M511)&lt;9,OR(M511=0,N511&lt;6)),1,0)</x:f>
        <x:v>1</x:v>
      </x:c>
      <x:c r="P511" s="19" t="n">
        <x:f>IF(AND(SUM(K511:M511)&lt;9,OR(L511=0,N511&lt;6)),1,0)</x:f>
        <x:v>1</x:v>
      </x:c>
      <x:c r="Q511" s="19" t="n">
        <x:f>IF(AND(SUM(K511:M511)&lt;9,OR(K511=0,N511&lt;6)),1,0)</x:f>
        <x:v>1</x:v>
      </x:c>
      <x:c r="R511" s="22" t="str">
        <x:f>O511&amp;P511&amp;Q511</x:f>
        <x:v>111</x:v>
      </x:c>
      <x:c r="S511" s="19" t="n">
        <x:f>IF(I511=1,IF(J511=0,Q511,IF(J511=1,P511,IF(J511=2,O511,0))),0)</x:f>
        <x:v>1</x:v>
      </x:c>
      <x:c r="T511" s="19" t="n">
        <x:f>K511+IF(AND(S511=1,J511=0),1,0)</x:f>
        <x:v>0</x:v>
      </x:c>
      <x:c r="U511" s="19" t="n">
        <x:f>L511+IF(AND(S511=1,J511=1),1,0)</x:f>
        <x:v>0</x:v>
      </x:c>
      <x:c r="V511" s="19" t="n">
        <x:f>M511+IF(AND(S511=1,J511=2),1,0)</x:f>
        <x:v>5</x:v>
      </x:c>
      <x:c r="W511" s="19" t="n">
        <x:f>SUM(T511:V511)</x:f>
        <x:v>5</x:v>
      </x:c>
      <x:c r="X511" s="19" t="n">
        <x:f>W511-G511</x:f>
        <x:v>0</x:v>
      </x:c>
      <x:c r="Y511" s="19" t="n">
        <x:f>MAX(T511,1)+MAX(U511,1)+MAX(V511,1)</x:f>
        <x:v>7</x:v>
      </x:c>
      <x:c r="Z511" s="21" t="str">
        <x:f>IF(AND(MIN(D511:F511)&gt;=0,MAX(D511:F511)&lt;=7,MAX(D511,1)+MAX(E511,1)+MAX(F511,1)&lt;=9,OR(H511="-",AND(H511=0,D511&gt;0),AND(H511=1,E511&gt;0),AND(H511=2,F511&gt;0)),OR(I511=0,AND(I511=1,OR(J511=0,J511=1,J511=2),R511&lt;&gt;"000")),Y511&lt;=9,MIN(T511:V511)&gt;=0),"合法","输入违约")</x:f>
        <x:v>合法</x:v>
      </x:c>
    </x:row>
    <x:row r="512" ht="23" customHeight="1">
      <x:c r="A512" s="3" t="str">
        <x:v>CT-0505</x:v>
      </x:c>
      <x:c r="B512" s="3" t="str">
        <x:v>ST-042</x:v>
      </x:c>
      <x:c r="C512" s="3" t="str">
        <x:v>仅R回收</x:v>
      </x:c>
      <x:c r="D512" s="25" t="n">
        <x:v>1</x:v>
      </x:c>
      <x:c r="E512" s="25" t="n">
        <x:v>0</x:v>
      </x:c>
      <x:c r="F512" s="25" t="n">
        <x:v>4</x:v>
      </x:c>
      <x:c r="G512" s="19" t="n">
        <x:f>SUM(D512:F512)</x:f>
        <x:v>5</x:v>
      </x:c>
      <x:c r="H512" s="25" t="n">
        <x:v>2</x:v>
      </x:c>
      <x:c r="I512" s="25" t="n">
        <x:v>0</x:v>
      </x:c>
      <x:c r="J512" s="25" t="str">
        <x:v>-</x:v>
      </x:c>
      <x:c r="K512" s="19" t="n">
        <x:f>D512-IF(H512=0,1,0)</x:f>
        <x:v>1</x:v>
      </x:c>
      <x:c r="L512" s="19" t="n">
        <x:f>E512-IF(H512=1,1,0)</x:f>
        <x:v>0</x:v>
      </x:c>
      <x:c r="M512" s="19" t="n">
        <x:f>F512-IF(H512=2,1,0)</x:f>
        <x:v>3</x:v>
      </x:c>
      <x:c r="N512" s="19" t="n">
        <x:f>MAX(K512-1,0)+MAX(L512-1,0)+MAX(M512-1,0)</x:f>
        <x:v>2</x:v>
      </x:c>
      <x:c r="O512" s="19" t="n">
        <x:f>IF(AND(SUM(K512:M512)&lt;9,OR(M512=0,N512&lt;6)),1,0)</x:f>
        <x:v>1</x:v>
      </x:c>
      <x:c r="P512" s="19" t="n">
        <x:f>IF(AND(SUM(K512:M512)&lt;9,OR(L512=0,N512&lt;6)),1,0)</x:f>
        <x:v>1</x:v>
      </x:c>
      <x:c r="Q512" s="19" t="n">
        <x:f>IF(AND(SUM(K512:M512)&lt;9,OR(K512=0,N512&lt;6)),1,0)</x:f>
        <x:v>1</x:v>
      </x:c>
      <x:c r="R512" s="22" t="str">
        <x:f>O512&amp;P512&amp;Q512</x:f>
        <x:v>111</x:v>
      </x:c>
      <x:c r="S512" s="19" t="n">
        <x:f>IF(I512=1,IF(J512=0,Q512,IF(J512=1,P512,IF(J512=2,O512,0))),0)</x:f>
        <x:v>0</x:v>
      </x:c>
      <x:c r="T512" s="19" t="n">
        <x:f>K512+IF(AND(S512=1,J512=0),1,0)</x:f>
        <x:v>1</x:v>
      </x:c>
      <x:c r="U512" s="19" t="n">
        <x:f>L512+IF(AND(S512=1,J512=1),1,0)</x:f>
        <x:v>0</x:v>
      </x:c>
      <x:c r="V512" s="19" t="n">
        <x:f>M512+IF(AND(S512=1,J512=2),1,0)</x:f>
        <x:v>3</x:v>
      </x:c>
      <x:c r="W512" s="19" t="n">
        <x:f>SUM(T512:V512)</x:f>
        <x:v>4</x:v>
      </x:c>
      <x:c r="X512" s="19" t="n">
        <x:f>W512-G512</x:f>
        <x:v>-1</x:v>
      </x:c>
      <x:c r="Y512" s="19" t="n">
        <x:f>MAX(T512,1)+MAX(U512,1)+MAX(V512,1)</x:f>
        <x:v>5</x:v>
      </x:c>
      <x:c r="Z512" s="21" t="str">
        <x:f>IF(AND(MIN(D512:F512)&gt;=0,MAX(D512:F512)&lt;=7,MAX(D512,1)+MAX(E512,1)+MAX(F512,1)&lt;=9,OR(H512="-",AND(H512=0,D512&gt;0),AND(H512=1,E512&gt;0),AND(H512=2,F512&gt;0)),OR(I512=0,AND(I512=1,OR(J512=0,J512=1,J512=2),R512&lt;&gt;"000")),Y512&lt;=9,MIN(T512:V512)&gt;=0),"合法","输入违约")</x:f>
        <x:v>合法</x:v>
      </x:c>
    </x:row>
    <x:row r="513" ht="23" customHeight="1">
      <x:c r="A513" s="3" t="str">
        <x:v>CT-0506</x:v>
      </x:c>
      <x:c r="B513" s="3" t="str">
        <x:v>ST-042</x:v>
      </x:c>
      <x:c r="C513" s="3" t="str">
        <x:v>R+AR同收同发</x:v>
      </x:c>
      <x:c r="D513" s="25" t="n">
        <x:v>1</x:v>
      </x:c>
      <x:c r="E513" s="25" t="n">
        <x:v>0</x:v>
      </x:c>
      <x:c r="F513" s="25" t="n">
        <x:v>4</x:v>
      </x:c>
      <x:c r="G513" s="19" t="n">
        <x:f>SUM(D513:F513)</x:f>
        <x:v>5</x:v>
      </x:c>
      <x:c r="H513" s="25" t="n">
        <x:v>2</x:v>
      </x:c>
      <x:c r="I513" s="25" t="n">
        <x:v>1</x:v>
      </x:c>
      <x:c r="J513" s="25" t="n">
        <x:v>0</x:v>
      </x:c>
      <x:c r="K513" s="19" t="n">
        <x:f>D513-IF(H513=0,1,0)</x:f>
        <x:v>1</x:v>
      </x:c>
      <x:c r="L513" s="19" t="n">
        <x:f>E513-IF(H513=1,1,0)</x:f>
        <x:v>0</x:v>
      </x:c>
      <x:c r="M513" s="19" t="n">
        <x:f>F513-IF(H513=2,1,0)</x:f>
        <x:v>3</x:v>
      </x:c>
      <x:c r="N513" s="19" t="n">
        <x:f>MAX(K513-1,0)+MAX(L513-1,0)+MAX(M513-1,0)</x:f>
        <x:v>2</x:v>
      </x:c>
      <x:c r="O513" s="19" t="n">
        <x:f>IF(AND(SUM(K513:M513)&lt;9,OR(M513=0,N513&lt;6)),1,0)</x:f>
        <x:v>1</x:v>
      </x:c>
      <x:c r="P513" s="19" t="n">
        <x:f>IF(AND(SUM(K513:M513)&lt;9,OR(L513=0,N513&lt;6)),1,0)</x:f>
        <x:v>1</x:v>
      </x:c>
      <x:c r="Q513" s="19" t="n">
        <x:f>IF(AND(SUM(K513:M513)&lt;9,OR(K513=0,N513&lt;6)),1,0)</x:f>
        <x:v>1</x:v>
      </x:c>
      <x:c r="R513" s="22" t="str">
        <x:f>O513&amp;P513&amp;Q513</x:f>
        <x:v>111</x:v>
      </x:c>
      <x:c r="S513" s="19" t="n">
        <x:f>IF(I513=1,IF(J513=0,Q513,IF(J513=1,P513,IF(J513=2,O513,0))),0)</x:f>
        <x:v>1</x:v>
      </x:c>
      <x:c r="T513" s="19" t="n">
        <x:f>K513+IF(AND(S513=1,J513=0),1,0)</x:f>
        <x:v>2</x:v>
      </x:c>
      <x:c r="U513" s="19" t="n">
        <x:f>L513+IF(AND(S513=1,J513=1),1,0)</x:f>
        <x:v>0</x:v>
      </x:c>
      <x:c r="V513" s="19" t="n">
        <x:f>M513+IF(AND(S513=1,J513=2),1,0)</x:f>
        <x:v>3</x:v>
      </x:c>
      <x:c r="W513" s="19" t="n">
        <x:f>SUM(T513:V513)</x:f>
        <x:v>5</x:v>
      </x:c>
      <x:c r="X513" s="19" t="n">
        <x:f>W513-G513</x:f>
        <x:v>0</x:v>
      </x:c>
      <x:c r="Y513" s="19" t="n">
        <x:f>MAX(T513,1)+MAX(U513,1)+MAX(V513,1)</x:f>
        <x:v>6</x:v>
      </x:c>
      <x:c r="Z513" s="21" t="str">
        <x:f>IF(AND(MIN(D513:F513)&gt;=0,MAX(D513:F513)&lt;=7,MAX(D513,1)+MAX(E513,1)+MAX(F513,1)&lt;=9,OR(H513="-",AND(H513=0,D513&gt;0),AND(H513=1,E513&gt;0),AND(H513=2,F513&gt;0)),OR(I513=0,AND(I513=1,OR(J513=0,J513=1,J513=2),R513&lt;&gt;"000")),Y513&lt;=9,MIN(T513:V513)&gt;=0),"合法","输入违约")</x:f>
        <x:v>合法</x:v>
      </x:c>
    </x:row>
    <x:row r="514" ht="23" customHeight="1">
      <x:c r="A514" s="3" t="str">
        <x:v>CT-0507</x:v>
      </x:c>
      <x:c r="B514" s="3" t="str">
        <x:v>ST-042</x:v>
      </x:c>
      <x:c r="C514" s="3" t="str">
        <x:v>R+AR同收同发</x:v>
      </x:c>
      <x:c r="D514" s="25" t="n">
        <x:v>1</x:v>
      </x:c>
      <x:c r="E514" s="25" t="n">
        <x:v>0</x:v>
      </x:c>
      <x:c r="F514" s="25" t="n">
        <x:v>4</x:v>
      </x:c>
      <x:c r="G514" s="19" t="n">
        <x:f>SUM(D514:F514)</x:f>
        <x:v>5</x:v>
      </x:c>
      <x:c r="H514" s="25" t="n">
        <x:v>2</x:v>
      </x:c>
      <x:c r="I514" s="25" t="n">
        <x:v>1</x:v>
      </x:c>
      <x:c r="J514" s="25" t="n">
        <x:v>1</x:v>
      </x:c>
      <x:c r="K514" s="19" t="n">
        <x:f>D514-IF(H514=0,1,0)</x:f>
        <x:v>1</x:v>
      </x:c>
      <x:c r="L514" s="19" t="n">
        <x:f>E514-IF(H514=1,1,0)</x:f>
        <x:v>0</x:v>
      </x:c>
      <x:c r="M514" s="19" t="n">
        <x:f>F514-IF(H514=2,1,0)</x:f>
        <x:v>3</x:v>
      </x:c>
      <x:c r="N514" s="19" t="n">
        <x:f>MAX(K514-1,0)+MAX(L514-1,0)+MAX(M514-1,0)</x:f>
        <x:v>2</x:v>
      </x:c>
      <x:c r="O514" s="19" t="n">
        <x:f>IF(AND(SUM(K514:M514)&lt;9,OR(M514=0,N514&lt;6)),1,0)</x:f>
        <x:v>1</x:v>
      </x:c>
      <x:c r="P514" s="19" t="n">
        <x:f>IF(AND(SUM(K514:M514)&lt;9,OR(L514=0,N514&lt;6)),1,0)</x:f>
        <x:v>1</x:v>
      </x:c>
      <x:c r="Q514" s="19" t="n">
        <x:f>IF(AND(SUM(K514:M514)&lt;9,OR(K514=0,N514&lt;6)),1,0)</x:f>
        <x:v>1</x:v>
      </x:c>
      <x:c r="R514" s="22" t="str">
        <x:f>O514&amp;P514&amp;Q514</x:f>
        <x:v>111</x:v>
      </x:c>
      <x:c r="S514" s="19" t="n">
        <x:f>IF(I514=1,IF(J514=0,Q514,IF(J514=1,P514,IF(J514=2,O514,0))),0)</x:f>
        <x:v>1</x:v>
      </x:c>
      <x:c r="T514" s="19" t="n">
        <x:f>K514+IF(AND(S514=1,J514=0),1,0)</x:f>
        <x:v>1</x:v>
      </x:c>
      <x:c r="U514" s="19" t="n">
        <x:f>L514+IF(AND(S514=1,J514=1),1,0)</x:f>
        <x:v>1</x:v>
      </x:c>
      <x:c r="V514" s="19" t="n">
        <x:f>M514+IF(AND(S514=1,J514=2),1,0)</x:f>
        <x:v>3</x:v>
      </x:c>
      <x:c r="W514" s="19" t="n">
        <x:f>SUM(T514:V514)</x:f>
        <x:v>5</x:v>
      </x:c>
      <x:c r="X514" s="19" t="n">
        <x:f>W514-G514</x:f>
        <x:v>0</x:v>
      </x:c>
      <x:c r="Y514" s="19" t="n">
        <x:f>MAX(T514,1)+MAX(U514,1)+MAX(V514,1)</x:f>
        <x:v>5</x:v>
      </x:c>
      <x:c r="Z514" s="21" t="str">
        <x:f>IF(AND(MIN(D514:F514)&gt;=0,MAX(D514:F514)&lt;=7,MAX(D514,1)+MAX(E514,1)+MAX(F514,1)&lt;=9,OR(H514="-",AND(H514=0,D514&gt;0),AND(H514=1,E514&gt;0),AND(H514=2,F514&gt;0)),OR(I514=0,AND(I514=1,OR(J514=0,J514=1,J514=2),R514&lt;&gt;"000")),Y514&lt;=9,MIN(T514:V514)&gt;=0),"合法","输入违约")</x:f>
        <x:v>合法</x:v>
      </x:c>
    </x:row>
    <x:row r="515" ht="23" customHeight="1">
      <x:c r="A515" s="3" t="str">
        <x:v>CT-0508</x:v>
      </x:c>
      <x:c r="B515" s="3" t="str">
        <x:v>ST-042</x:v>
      </x:c>
      <x:c r="C515" s="3" t="str">
        <x:v>R+AR同收同发</x:v>
      </x:c>
      <x:c r="D515" s="25" t="n">
        <x:v>1</x:v>
      </x:c>
      <x:c r="E515" s="25" t="n">
        <x:v>0</x:v>
      </x:c>
      <x:c r="F515" s="25" t="n">
        <x:v>4</x:v>
      </x:c>
      <x:c r="G515" s="19" t="n">
        <x:f>SUM(D515:F515)</x:f>
        <x:v>5</x:v>
      </x:c>
      <x:c r="H515" s="25" t="n">
        <x:v>2</x:v>
      </x:c>
      <x:c r="I515" s="25" t="n">
        <x:v>1</x:v>
      </x:c>
      <x:c r="J515" s="25" t="n">
        <x:v>2</x:v>
      </x:c>
      <x:c r="K515" s="19" t="n">
        <x:f>D515-IF(H515=0,1,0)</x:f>
        <x:v>1</x:v>
      </x:c>
      <x:c r="L515" s="19" t="n">
        <x:f>E515-IF(H515=1,1,0)</x:f>
        <x:v>0</x:v>
      </x:c>
      <x:c r="M515" s="19" t="n">
        <x:f>F515-IF(H515=2,1,0)</x:f>
        <x:v>3</x:v>
      </x:c>
      <x:c r="N515" s="19" t="n">
        <x:f>MAX(K515-1,0)+MAX(L515-1,0)+MAX(M515-1,0)</x:f>
        <x:v>2</x:v>
      </x:c>
      <x:c r="O515" s="19" t="n">
        <x:f>IF(AND(SUM(K515:M515)&lt;9,OR(M515=0,N515&lt;6)),1,0)</x:f>
        <x:v>1</x:v>
      </x:c>
      <x:c r="P515" s="19" t="n">
        <x:f>IF(AND(SUM(K515:M515)&lt;9,OR(L515=0,N515&lt;6)),1,0)</x:f>
        <x:v>1</x:v>
      </x:c>
      <x:c r="Q515" s="19" t="n">
        <x:f>IF(AND(SUM(K515:M515)&lt;9,OR(K515=0,N515&lt;6)),1,0)</x:f>
        <x:v>1</x:v>
      </x:c>
      <x:c r="R515" s="22" t="str">
        <x:f>O515&amp;P515&amp;Q515</x:f>
        <x:v>111</x:v>
      </x:c>
      <x:c r="S515" s="19" t="n">
        <x:f>IF(I515=1,IF(J515=0,Q515,IF(J515=1,P515,IF(J515=2,O515,0))),0)</x:f>
        <x:v>1</x:v>
      </x:c>
      <x:c r="T515" s="19" t="n">
        <x:f>K515+IF(AND(S515=1,J515=0),1,0)</x:f>
        <x:v>1</x:v>
      </x:c>
      <x:c r="U515" s="19" t="n">
        <x:f>L515+IF(AND(S515=1,J515=1),1,0)</x:f>
        <x:v>0</x:v>
      </x:c>
      <x:c r="V515" s="19" t="n">
        <x:f>M515+IF(AND(S515=1,J515=2),1,0)</x:f>
        <x:v>4</x:v>
      </x:c>
      <x:c r="W515" s="19" t="n">
        <x:f>SUM(T515:V515)</x:f>
        <x:v>5</x:v>
      </x:c>
      <x:c r="X515" s="19" t="n">
        <x:f>W515-G515</x:f>
        <x:v>0</x:v>
      </x:c>
      <x:c r="Y515" s="19" t="n">
        <x:f>MAX(T515,1)+MAX(U515,1)+MAX(V515,1)</x:f>
        <x:v>6</x:v>
      </x:c>
      <x:c r="Z515" s="21" t="str">
        <x:f>IF(AND(MIN(D515:F515)&gt;=0,MAX(D515:F515)&lt;=7,MAX(D515,1)+MAX(E515,1)+MAX(F515,1)&lt;=9,OR(H515="-",AND(H515=0,D515&gt;0),AND(H515=1,E515&gt;0),AND(H515=2,F515&gt;0)),OR(I515=0,AND(I515=1,OR(J515=0,J515=1,J515=2),R515&lt;&gt;"000")),Y515&lt;=9,MIN(T515:V515)&gt;=0),"合法","输入违约")</x:f>
        <x:v>合法</x:v>
      </x:c>
    </x:row>
    <x:row r="516" ht="23" customHeight="1">
      <x:c r="A516" s="3" t="str">
        <x:v>CT-0509</x:v>
      </x:c>
      <x:c r="B516" s="3" t="str">
        <x:v>ST-064</x:v>
      </x:c>
      <x:c r="C516" s="3" t="str">
        <x:v>无AR/R</x:v>
      </x:c>
      <x:c r="D516" s="25" t="n">
        <x:v>1</x:v>
      </x:c>
      <x:c r="E516" s="25" t="n">
        <x:v>0</x:v>
      </x:c>
      <x:c r="F516" s="25" t="n">
        <x:v>5</x:v>
      </x:c>
      <x:c r="G516" s="19" t="n">
        <x:f>SUM(D516:F516)</x:f>
        <x:v>6</x:v>
      </x:c>
      <x:c r="H516" s="25" t="str">
        <x:v>-</x:v>
      </x:c>
      <x:c r="I516" s="25" t="n">
        <x:v>0</x:v>
      </x:c>
      <x:c r="J516" s="25" t="str">
        <x:v>-</x:v>
      </x:c>
      <x:c r="K516" s="19" t="n">
        <x:f>D516-IF(H516=0,1,0)</x:f>
        <x:v>1</x:v>
      </x:c>
      <x:c r="L516" s="19" t="n">
        <x:f>E516-IF(H516=1,1,0)</x:f>
        <x:v>0</x:v>
      </x:c>
      <x:c r="M516" s="19" t="n">
        <x:f>F516-IF(H516=2,1,0)</x:f>
        <x:v>5</x:v>
      </x:c>
      <x:c r="N516" s="19" t="n">
        <x:f>MAX(K516-1,0)+MAX(L516-1,0)+MAX(M516-1,0)</x:f>
        <x:v>4</x:v>
      </x:c>
      <x:c r="O516" s="19" t="n">
        <x:f>IF(AND(SUM(K516:M516)&lt;9,OR(M516=0,N516&lt;6)),1,0)</x:f>
        <x:v>1</x:v>
      </x:c>
      <x:c r="P516" s="19" t="n">
        <x:f>IF(AND(SUM(K516:M516)&lt;9,OR(L516=0,N516&lt;6)),1,0)</x:f>
        <x:v>1</x:v>
      </x:c>
      <x:c r="Q516" s="19" t="n">
        <x:f>IF(AND(SUM(K516:M516)&lt;9,OR(K516=0,N516&lt;6)),1,0)</x:f>
        <x:v>1</x:v>
      </x:c>
      <x:c r="R516" s="22" t="str">
        <x:f>O516&amp;P516&amp;Q516</x:f>
        <x:v>111</x:v>
      </x:c>
      <x:c r="S516" s="19" t="n">
        <x:f>IF(I516=1,IF(J516=0,Q516,IF(J516=1,P516,IF(J516=2,O516,0))),0)</x:f>
        <x:v>0</x:v>
      </x:c>
      <x:c r="T516" s="19" t="n">
        <x:f>K516+IF(AND(S516=1,J516=0),1,0)</x:f>
        <x:v>1</x:v>
      </x:c>
      <x:c r="U516" s="19" t="n">
        <x:f>L516+IF(AND(S516=1,J516=1),1,0)</x:f>
        <x:v>0</x:v>
      </x:c>
      <x:c r="V516" s="19" t="n">
        <x:f>M516+IF(AND(S516=1,J516=2),1,0)</x:f>
        <x:v>5</x:v>
      </x:c>
      <x:c r="W516" s="19" t="n">
        <x:f>SUM(T516:V516)</x:f>
        <x:v>6</x:v>
      </x:c>
      <x:c r="X516" s="19" t="n">
        <x:f>W516-G516</x:f>
        <x:v>0</x:v>
      </x:c>
      <x:c r="Y516" s="19" t="n">
        <x:f>MAX(T516,1)+MAX(U516,1)+MAX(V516,1)</x:f>
        <x:v>7</x:v>
      </x:c>
      <x:c r="Z516" s="21" t="str">
        <x:f>IF(AND(MIN(D516:F516)&gt;=0,MAX(D516:F516)&lt;=7,MAX(D516,1)+MAX(E516,1)+MAX(F516,1)&lt;=9,OR(H516="-",AND(H516=0,D516&gt;0),AND(H516=1,E516&gt;0),AND(H516=2,F516&gt;0)),OR(I516=0,AND(I516=1,OR(J516=0,J516=1,J516=2),R516&lt;&gt;"000")),Y516&lt;=9,MIN(T516:V516)&gt;=0),"合法","输入违约")</x:f>
        <x:v>合法</x:v>
      </x:c>
    </x:row>
    <x:row r="517" ht="23" customHeight="1">
      <x:c r="A517" s="3" t="str">
        <x:v>CT-0510</x:v>
      </x:c>
      <x:c r="B517" s="3" t="str">
        <x:v>ST-064</x:v>
      </x:c>
      <x:c r="C517" s="3" t="str">
        <x:v>仅AR接收</x:v>
      </x:c>
      <x:c r="D517" s="25" t="n">
        <x:v>1</x:v>
      </x:c>
      <x:c r="E517" s="25" t="n">
        <x:v>0</x:v>
      </x:c>
      <x:c r="F517" s="25" t="n">
        <x:v>5</x:v>
      </x:c>
      <x:c r="G517" s="19" t="n">
        <x:f>SUM(D517:F517)</x:f>
        <x:v>6</x:v>
      </x:c>
      <x:c r="H517" s="25" t="str">
        <x:v>-</x:v>
      </x:c>
      <x:c r="I517" s="25" t="n">
        <x:v>1</x:v>
      </x:c>
      <x:c r="J517" s="25" t="n">
        <x:v>0</x:v>
      </x:c>
      <x:c r="K517" s="19" t="n">
        <x:f>D517-IF(H517=0,1,0)</x:f>
        <x:v>1</x:v>
      </x:c>
      <x:c r="L517" s="19" t="n">
        <x:f>E517-IF(H517=1,1,0)</x:f>
        <x:v>0</x:v>
      </x:c>
      <x:c r="M517" s="19" t="n">
        <x:f>F517-IF(H517=2,1,0)</x:f>
        <x:v>5</x:v>
      </x:c>
      <x:c r="N517" s="19" t="n">
        <x:f>MAX(K517-1,0)+MAX(L517-1,0)+MAX(M517-1,0)</x:f>
        <x:v>4</x:v>
      </x:c>
      <x:c r="O517" s="19" t="n">
        <x:f>IF(AND(SUM(K517:M517)&lt;9,OR(M517=0,N517&lt;6)),1,0)</x:f>
        <x:v>1</x:v>
      </x:c>
      <x:c r="P517" s="19" t="n">
        <x:f>IF(AND(SUM(K517:M517)&lt;9,OR(L517=0,N517&lt;6)),1,0)</x:f>
        <x:v>1</x:v>
      </x:c>
      <x:c r="Q517" s="19" t="n">
        <x:f>IF(AND(SUM(K517:M517)&lt;9,OR(K517=0,N517&lt;6)),1,0)</x:f>
        <x:v>1</x:v>
      </x:c>
      <x:c r="R517" s="22" t="str">
        <x:f>O517&amp;P517&amp;Q517</x:f>
        <x:v>111</x:v>
      </x:c>
      <x:c r="S517" s="19" t="n">
        <x:f>IF(I517=1,IF(J517=0,Q517,IF(J517=1,P517,IF(J517=2,O517,0))),0)</x:f>
        <x:v>1</x:v>
      </x:c>
      <x:c r="T517" s="19" t="n">
        <x:f>K517+IF(AND(S517=1,J517=0),1,0)</x:f>
        <x:v>2</x:v>
      </x:c>
      <x:c r="U517" s="19" t="n">
        <x:f>L517+IF(AND(S517=1,J517=1),1,0)</x:f>
        <x:v>0</x:v>
      </x:c>
      <x:c r="V517" s="19" t="n">
        <x:f>M517+IF(AND(S517=1,J517=2),1,0)</x:f>
        <x:v>5</x:v>
      </x:c>
      <x:c r="W517" s="19" t="n">
        <x:f>SUM(T517:V517)</x:f>
        <x:v>7</x:v>
      </x:c>
      <x:c r="X517" s="19" t="n">
        <x:f>W517-G517</x:f>
        <x:v>1</x:v>
      </x:c>
      <x:c r="Y517" s="19" t="n">
        <x:f>MAX(T517,1)+MAX(U517,1)+MAX(V517,1)</x:f>
        <x:v>8</x:v>
      </x:c>
      <x:c r="Z517" s="21" t="str">
        <x:f>IF(AND(MIN(D517:F517)&gt;=0,MAX(D517:F517)&lt;=7,MAX(D517,1)+MAX(E517,1)+MAX(F517,1)&lt;=9,OR(H517="-",AND(H517=0,D517&gt;0),AND(H517=1,E517&gt;0),AND(H517=2,F517&gt;0)),OR(I517=0,AND(I517=1,OR(J517=0,J517=1,J517=2),R517&lt;&gt;"000")),Y517&lt;=9,MIN(T517:V517)&gt;=0),"合法","输入违约")</x:f>
        <x:v>合法</x:v>
      </x:c>
    </x:row>
    <x:row r="518" ht="23" customHeight="1">
      <x:c r="A518" s="3" t="str">
        <x:v>CT-0511</x:v>
      </x:c>
      <x:c r="B518" s="3" t="str">
        <x:v>ST-064</x:v>
      </x:c>
      <x:c r="C518" s="3" t="str">
        <x:v>仅AR接收</x:v>
      </x:c>
      <x:c r="D518" s="25" t="n">
        <x:v>1</x:v>
      </x:c>
      <x:c r="E518" s="25" t="n">
        <x:v>0</x:v>
      </x:c>
      <x:c r="F518" s="25" t="n">
        <x:v>5</x:v>
      </x:c>
      <x:c r="G518" s="19" t="n">
        <x:f>SUM(D518:F518)</x:f>
        <x:v>6</x:v>
      </x:c>
      <x:c r="H518" s="25" t="str">
        <x:v>-</x:v>
      </x:c>
      <x:c r="I518" s="25" t="n">
        <x:v>1</x:v>
      </x:c>
      <x:c r="J518" s="25" t="n">
        <x:v>1</x:v>
      </x:c>
      <x:c r="K518" s="19" t="n">
        <x:f>D518-IF(H518=0,1,0)</x:f>
        <x:v>1</x:v>
      </x:c>
      <x:c r="L518" s="19" t="n">
        <x:f>E518-IF(H518=1,1,0)</x:f>
        <x:v>0</x:v>
      </x:c>
      <x:c r="M518" s="19" t="n">
        <x:f>F518-IF(H518=2,1,0)</x:f>
        <x:v>5</x:v>
      </x:c>
      <x:c r="N518" s="19" t="n">
        <x:f>MAX(K518-1,0)+MAX(L518-1,0)+MAX(M518-1,0)</x:f>
        <x:v>4</x:v>
      </x:c>
      <x:c r="O518" s="19" t="n">
        <x:f>IF(AND(SUM(K518:M518)&lt;9,OR(M518=0,N518&lt;6)),1,0)</x:f>
        <x:v>1</x:v>
      </x:c>
      <x:c r="P518" s="19" t="n">
        <x:f>IF(AND(SUM(K518:M518)&lt;9,OR(L518=0,N518&lt;6)),1,0)</x:f>
        <x:v>1</x:v>
      </x:c>
      <x:c r="Q518" s="19" t="n">
        <x:f>IF(AND(SUM(K518:M518)&lt;9,OR(K518=0,N518&lt;6)),1,0)</x:f>
        <x:v>1</x:v>
      </x:c>
      <x:c r="R518" s="22" t="str">
        <x:f>O518&amp;P518&amp;Q518</x:f>
        <x:v>111</x:v>
      </x:c>
      <x:c r="S518" s="19" t="n">
        <x:f>IF(I518=1,IF(J518=0,Q518,IF(J518=1,P518,IF(J518=2,O518,0))),0)</x:f>
        <x:v>1</x:v>
      </x:c>
      <x:c r="T518" s="19" t="n">
        <x:f>K518+IF(AND(S518=1,J518=0),1,0)</x:f>
        <x:v>1</x:v>
      </x:c>
      <x:c r="U518" s="19" t="n">
        <x:f>L518+IF(AND(S518=1,J518=1),1,0)</x:f>
        <x:v>1</x:v>
      </x:c>
      <x:c r="V518" s="19" t="n">
        <x:f>M518+IF(AND(S518=1,J518=2),1,0)</x:f>
        <x:v>5</x:v>
      </x:c>
      <x:c r="W518" s="19" t="n">
        <x:f>SUM(T518:V518)</x:f>
        <x:v>7</x:v>
      </x:c>
      <x:c r="X518" s="19" t="n">
        <x:f>W518-G518</x:f>
        <x:v>1</x:v>
      </x:c>
      <x:c r="Y518" s="19" t="n">
        <x:f>MAX(T518,1)+MAX(U518,1)+MAX(V518,1)</x:f>
        <x:v>7</x:v>
      </x:c>
      <x:c r="Z518" s="21" t="str">
        <x:f>IF(AND(MIN(D518:F518)&gt;=0,MAX(D518:F518)&lt;=7,MAX(D518,1)+MAX(E518,1)+MAX(F518,1)&lt;=9,OR(H518="-",AND(H518=0,D518&gt;0),AND(H518=1,E518&gt;0),AND(H518=2,F518&gt;0)),OR(I518=0,AND(I518=1,OR(J518=0,J518=1,J518=2),R518&lt;&gt;"000")),Y518&lt;=9,MIN(T518:V518)&gt;=0),"合法","输入违约")</x:f>
        <x:v>合法</x:v>
      </x:c>
    </x:row>
    <x:row r="519" ht="23" customHeight="1">
      <x:c r="A519" s="3" t="str">
        <x:v>CT-0512</x:v>
      </x:c>
      <x:c r="B519" s="3" t="str">
        <x:v>ST-064</x:v>
      </x:c>
      <x:c r="C519" s="3" t="str">
        <x:v>仅AR接收</x:v>
      </x:c>
      <x:c r="D519" s="25" t="n">
        <x:v>1</x:v>
      </x:c>
      <x:c r="E519" s="25" t="n">
        <x:v>0</x:v>
      </x:c>
      <x:c r="F519" s="25" t="n">
        <x:v>5</x:v>
      </x:c>
      <x:c r="G519" s="19" t="n">
        <x:f>SUM(D519:F519)</x:f>
        <x:v>6</x:v>
      </x:c>
      <x:c r="H519" s="25" t="str">
        <x:v>-</x:v>
      </x:c>
      <x:c r="I519" s="25" t="n">
        <x:v>1</x:v>
      </x:c>
      <x:c r="J519" s="25" t="n">
        <x:v>2</x:v>
      </x:c>
      <x:c r="K519" s="19" t="n">
        <x:f>D519-IF(H519=0,1,0)</x:f>
        <x:v>1</x:v>
      </x:c>
      <x:c r="L519" s="19" t="n">
        <x:f>E519-IF(H519=1,1,0)</x:f>
        <x:v>0</x:v>
      </x:c>
      <x:c r="M519" s="19" t="n">
        <x:f>F519-IF(H519=2,1,0)</x:f>
        <x:v>5</x:v>
      </x:c>
      <x:c r="N519" s="19" t="n">
        <x:f>MAX(K519-1,0)+MAX(L519-1,0)+MAX(M519-1,0)</x:f>
        <x:v>4</x:v>
      </x:c>
      <x:c r="O519" s="19" t="n">
        <x:f>IF(AND(SUM(K519:M519)&lt;9,OR(M519=0,N519&lt;6)),1,0)</x:f>
        <x:v>1</x:v>
      </x:c>
      <x:c r="P519" s="19" t="n">
        <x:f>IF(AND(SUM(K519:M519)&lt;9,OR(L519=0,N519&lt;6)),1,0)</x:f>
        <x:v>1</x:v>
      </x:c>
      <x:c r="Q519" s="19" t="n">
        <x:f>IF(AND(SUM(K519:M519)&lt;9,OR(K519=0,N519&lt;6)),1,0)</x:f>
        <x:v>1</x:v>
      </x:c>
      <x:c r="R519" s="22" t="str">
        <x:f>O519&amp;P519&amp;Q519</x:f>
        <x:v>111</x:v>
      </x:c>
      <x:c r="S519" s="19" t="n">
        <x:f>IF(I519=1,IF(J519=0,Q519,IF(J519=1,P519,IF(J519=2,O519,0))),0)</x:f>
        <x:v>1</x:v>
      </x:c>
      <x:c r="T519" s="19" t="n">
        <x:f>K519+IF(AND(S519=1,J519=0),1,0)</x:f>
        <x:v>1</x:v>
      </x:c>
      <x:c r="U519" s="19" t="n">
        <x:f>L519+IF(AND(S519=1,J519=1),1,0)</x:f>
        <x:v>0</x:v>
      </x:c>
      <x:c r="V519" s="19" t="n">
        <x:f>M519+IF(AND(S519=1,J519=2),1,0)</x:f>
        <x:v>6</x:v>
      </x:c>
      <x:c r="W519" s="19" t="n">
        <x:f>SUM(T519:V519)</x:f>
        <x:v>7</x:v>
      </x:c>
      <x:c r="X519" s="19" t="n">
        <x:f>W519-G519</x:f>
        <x:v>1</x:v>
      </x:c>
      <x:c r="Y519" s="19" t="n">
        <x:f>MAX(T519,1)+MAX(U519,1)+MAX(V519,1)</x:f>
        <x:v>8</x:v>
      </x:c>
      <x:c r="Z519" s="21" t="str">
        <x:f>IF(AND(MIN(D519:F519)&gt;=0,MAX(D519:F519)&lt;=7,MAX(D519,1)+MAX(E519,1)+MAX(F519,1)&lt;=9,OR(H519="-",AND(H519=0,D519&gt;0),AND(H519=1,E519&gt;0),AND(H519=2,F519&gt;0)),OR(I519=0,AND(I519=1,OR(J519=0,J519=1,J519=2),R519&lt;&gt;"000")),Y519&lt;=9,MIN(T519:V519)&gt;=0),"合法","输入违约")</x:f>
        <x:v>合法</x:v>
      </x:c>
    </x:row>
    <x:row r="520" ht="23" customHeight="1">
      <x:c r="A520" s="3" t="str">
        <x:v>CT-0513</x:v>
      </x:c>
      <x:c r="B520" s="3" t="str">
        <x:v>ST-064</x:v>
      </x:c>
      <x:c r="C520" s="3" t="str">
        <x:v>仅R回收</x:v>
      </x:c>
      <x:c r="D520" s="25" t="n">
        <x:v>1</x:v>
      </x:c>
      <x:c r="E520" s="25" t="n">
        <x:v>0</x:v>
      </x:c>
      <x:c r="F520" s="25" t="n">
        <x:v>5</x:v>
      </x:c>
      <x:c r="G520" s="19" t="n">
        <x:f>SUM(D520:F520)</x:f>
        <x:v>6</x:v>
      </x:c>
      <x:c r="H520" s="25" t="n">
        <x:v>0</x:v>
      </x:c>
      <x:c r="I520" s="25" t="n">
        <x:v>0</x:v>
      </x:c>
      <x:c r="J520" s="25" t="str">
        <x:v>-</x:v>
      </x:c>
      <x:c r="K520" s="19" t="n">
        <x:f>D520-IF(H520=0,1,0)</x:f>
        <x:v>0</x:v>
      </x:c>
      <x:c r="L520" s="19" t="n">
        <x:f>E520-IF(H520=1,1,0)</x:f>
        <x:v>0</x:v>
      </x:c>
      <x:c r="M520" s="19" t="n">
        <x:f>F520-IF(H520=2,1,0)</x:f>
        <x:v>5</x:v>
      </x:c>
      <x:c r="N520" s="19" t="n">
        <x:f>MAX(K520-1,0)+MAX(L520-1,0)+MAX(M520-1,0)</x:f>
        <x:v>4</x:v>
      </x:c>
      <x:c r="O520" s="19" t="n">
        <x:f>IF(AND(SUM(K520:M520)&lt;9,OR(M520=0,N520&lt;6)),1,0)</x:f>
        <x:v>1</x:v>
      </x:c>
      <x:c r="P520" s="19" t="n">
        <x:f>IF(AND(SUM(K520:M520)&lt;9,OR(L520=0,N520&lt;6)),1,0)</x:f>
        <x:v>1</x:v>
      </x:c>
      <x:c r="Q520" s="19" t="n">
        <x:f>IF(AND(SUM(K520:M520)&lt;9,OR(K520=0,N520&lt;6)),1,0)</x:f>
        <x:v>1</x:v>
      </x:c>
      <x:c r="R520" s="22" t="str">
        <x:f>O520&amp;P520&amp;Q520</x:f>
        <x:v>111</x:v>
      </x:c>
      <x:c r="S520" s="19" t="n">
        <x:f>IF(I520=1,IF(J520=0,Q520,IF(J520=1,P520,IF(J520=2,O520,0))),0)</x:f>
        <x:v>0</x:v>
      </x:c>
      <x:c r="T520" s="19" t="n">
        <x:f>K520+IF(AND(S520=1,J520=0),1,0)</x:f>
        <x:v>0</x:v>
      </x:c>
      <x:c r="U520" s="19" t="n">
        <x:f>L520+IF(AND(S520=1,J520=1),1,0)</x:f>
        <x:v>0</x:v>
      </x:c>
      <x:c r="V520" s="19" t="n">
        <x:f>M520+IF(AND(S520=1,J520=2),1,0)</x:f>
        <x:v>5</x:v>
      </x:c>
      <x:c r="W520" s="19" t="n">
        <x:f>SUM(T520:V520)</x:f>
        <x:v>5</x:v>
      </x:c>
      <x:c r="X520" s="19" t="n">
        <x:f>W520-G520</x:f>
        <x:v>-1</x:v>
      </x:c>
      <x:c r="Y520" s="19" t="n">
        <x:f>MAX(T520,1)+MAX(U520,1)+MAX(V520,1)</x:f>
        <x:v>7</x:v>
      </x:c>
      <x:c r="Z520" s="21" t="str">
        <x:f>IF(AND(MIN(D520:F520)&gt;=0,MAX(D520:F520)&lt;=7,MAX(D520,1)+MAX(E520,1)+MAX(F520,1)&lt;=9,OR(H520="-",AND(H520=0,D520&gt;0),AND(H520=1,E520&gt;0),AND(H520=2,F520&gt;0)),OR(I520=0,AND(I520=1,OR(J520=0,J520=1,J520=2),R520&lt;&gt;"000")),Y520&lt;=9,MIN(T520:V520)&gt;=0),"合法","输入违约")</x:f>
        <x:v>合法</x:v>
      </x:c>
    </x:row>
    <x:row r="521" ht="23" customHeight="1">
      <x:c r="A521" s="3" t="str">
        <x:v>CT-0514</x:v>
      </x:c>
      <x:c r="B521" s="3" t="str">
        <x:v>ST-064</x:v>
      </x:c>
      <x:c r="C521" s="3" t="str">
        <x:v>R+AR同收同发</x:v>
      </x:c>
      <x:c r="D521" s="25" t="n">
        <x:v>1</x:v>
      </x:c>
      <x:c r="E521" s="25" t="n">
        <x:v>0</x:v>
      </x:c>
      <x:c r="F521" s="25" t="n">
        <x:v>5</x:v>
      </x:c>
      <x:c r="G521" s="19" t="n">
        <x:f>SUM(D521:F521)</x:f>
        <x:v>6</x:v>
      </x:c>
      <x:c r="H521" s="25" t="n">
        <x:v>0</x:v>
      </x:c>
      <x:c r="I521" s="25" t="n">
        <x:v>1</x:v>
      </x:c>
      <x:c r="J521" s="25" t="n">
        <x:v>0</x:v>
      </x:c>
      <x:c r="K521" s="19" t="n">
        <x:f>D521-IF(H521=0,1,0)</x:f>
        <x:v>0</x:v>
      </x:c>
      <x:c r="L521" s="19" t="n">
        <x:f>E521-IF(H521=1,1,0)</x:f>
        <x:v>0</x:v>
      </x:c>
      <x:c r="M521" s="19" t="n">
        <x:f>F521-IF(H521=2,1,0)</x:f>
        <x:v>5</x:v>
      </x:c>
      <x:c r="N521" s="19" t="n">
        <x:f>MAX(K521-1,0)+MAX(L521-1,0)+MAX(M521-1,0)</x:f>
        <x:v>4</x:v>
      </x:c>
      <x:c r="O521" s="19" t="n">
        <x:f>IF(AND(SUM(K521:M521)&lt;9,OR(M521=0,N521&lt;6)),1,0)</x:f>
        <x:v>1</x:v>
      </x:c>
      <x:c r="P521" s="19" t="n">
        <x:f>IF(AND(SUM(K521:M521)&lt;9,OR(L521=0,N521&lt;6)),1,0)</x:f>
        <x:v>1</x:v>
      </x:c>
      <x:c r="Q521" s="19" t="n">
        <x:f>IF(AND(SUM(K521:M521)&lt;9,OR(K521=0,N521&lt;6)),1,0)</x:f>
        <x:v>1</x:v>
      </x:c>
      <x:c r="R521" s="22" t="str">
        <x:f>O521&amp;P521&amp;Q521</x:f>
        <x:v>111</x:v>
      </x:c>
      <x:c r="S521" s="19" t="n">
        <x:f>IF(I521=1,IF(J521=0,Q521,IF(J521=1,P521,IF(J521=2,O521,0))),0)</x:f>
        <x:v>1</x:v>
      </x:c>
      <x:c r="T521" s="19" t="n">
        <x:f>K521+IF(AND(S521=1,J521=0),1,0)</x:f>
        <x:v>1</x:v>
      </x:c>
      <x:c r="U521" s="19" t="n">
        <x:f>L521+IF(AND(S521=1,J521=1),1,0)</x:f>
        <x:v>0</x:v>
      </x:c>
      <x:c r="V521" s="19" t="n">
        <x:f>M521+IF(AND(S521=1,J521=2),1,0)</x:f>
        <x:v>5</x:v>
      </x:c>
      <x:c r="W521" s="19" t="n">
        <x:f>SUM(T521:V521)</x:f>
        <x:v>6</x:v>
      </x:c>
      <x:c r="X521" s="19" t="n">
        <x:f>W521-G521</x:f>
        <x:v>0</x:v>
      </x:c>
      <x:c r="Y521" s="19" t="n">
        <x:f>MAX(T521,1)+MAX(U521,1)+MAX(V521,1)</x:f>
        <x:v>7</x:v>
      </x:c>
      <x:c r="Z521" s="21" t="str">
        <x:f>IF(AND(MIN(D521:F521)&gt;=0,MAX(D521:F521)&lt;=7,MAX(D521,1)+MAX(E521,1)+MAX(F521,1)&lt;=9,OR(H521="-",AND(H521=0,D521&gt;0),AND(H521=1,E521&gt;0),AND(H521=2,F521&gt;0)),OR(I521=0,AND(I521=1,OR(J521=0,J521=1,J521=2),R521&lt;&gt;"000")),Y521&lt;=9,MIN(T521:V521)&gt;=0),"合法","输入违约")</x:f>
        <x:v>合法</x:v>
      </x:c>
    </x:row>
    <x:row r="522" ht="23" customHeight="1">
      <x:c r="A522" s="3" t="str">
        <x:v>CT-0515</x:v>
      </x:c>
      <x:c r="B522" s="3" t="str">
        <x:v>ST-064</x:v>
      </x:c>
      <x:c r="C522" s="3" t="str">
        <x:v>R+AR同收同发</x:v>
      </x:c>
      <x:c r="D522" s="25" t="n">
        <x:v>1</x:v>
      </x:c>
      <x:c r="E522" s="25" t="n">
        <x:v>0</x:v>
      </x:c>
      <x:c r="F522" s="25" t="n">
        <x:v>5</x:v>
      </x:c>
      <x:c r="G522" s="19" t="n">
        <x:f>SUM(D522:F522)</x:f>
        <x:v>6</x:v>
      </x:c>
      <x:c r="H522" s="25" t="n">
        <x:v>0</x:v>
      </x:c>
      <x:c r="I522" s="25" t="n">
        <x:v>1</x:v>
      </x:c>
      <x:c r="J522" s="25" t="n">
        <x:v>1</x:v>
      </x:c>
      <x:c r="K522" s="19" t="n">
        <x:f>D522-IF(H522=0,1,0)</x:f>
        <x:v>0</x:v>
      </x:c>
      <x:c r="L522" s="19" t="n">
        <x:f>E522-IF(H522=1,1,0)</x:f>
        <x:v>0</x:v>
      </x:c>
      <x:c r="M522" s="19" t="n">
        <x:f>F522-IF(H522=2,1,0)</x:f>
        <x:v>5</x:v>
      </x:c>
      <x:c r="N522" s="19" t="n">
        <x:f>MAX(K522-1,0)+MAX(L522-1,0)+MAX(M522-1,0)</x:f>
        <x:v>4</x:v>
      </x:c>
      <x:c r="O522" s="19" t="n">
        <x:f>IF(AND(SUM(K522:M522)&lt;9,OR(M522=0,N522&lt;6)),1,0)</x:f>
        <x:v>1</x:v>
      </x:c>
      <x:c r="P522" s="19" t="n">
        <x:f>IF(AND(SUM(K522:M522)&lt;9,OR(L522=0,N522&lt;6)),1,0)</x:f>
        <x:v>1</x:v>
      </x:c>
      <x:c r="Q522" s="19" t="n">
        <x:f>IF(AND(SUM(K522:M522)&lt;9,OR(K522=0,N522&lt;6)),1,0)</x:f>
        <x:v>1</x:v>
      </x:c>
      <x:c r="R522" s="22" t="str">
        <x:f>O522&amp;P522&amp;Q522</x:f>
        <x:v>111</x:v>
      </x:c>
      <x:c r="S522" s="19" t="n">
        <x:f>IF(I522=1,IF(J522=0,Q522,IF(J522=1,P522,IF(J522=2,O522,0))),0)</x:f>
        <x:v>1</x:v>
      </x:c>
      <x:c r="T522" s="19" t="n">
        <x:f>K522+IF(AND(S522=1,J522=0),1,0)</x:f>
        <x:v>0</x:v>
      </x:c>
      <x:c r="U522" s="19" t="n">
        <x:f>L522+IF(AND(S522=1,J522=1),1,0)</x:f>
        <x:v>1</x:v>
      </x:c>
      <x:c r="V522" s="19" t="n">
        <x:f>M522+IF(AND(S522=1,J522=2),1,0)</x:f>
        <x:v>5</x:v>
      </x:c>
      <x:c r="W522" s="19" t="n">
        <x:f>SUM(T522:V522)</x:f>
        <x:v>6</x:v>
      </x:c>
      <x:c r="X522" s="19" t="n">
        <x:f>W522-G522</x:f>
        <x:v>0</x:v>
      </x:c>
      <x:c r="Y522" s="19" t="n">
        <x:f>MAX(T522,1)+MAX(U522,1)+MAX(V522,1)</x:f>
        <x:v>7</x:v>
      </x:c>
      <x:c r="Z522" s="21" t="str">
        <x:f>IF(AND(MIN(D522:F522)&gt;=0,MAX(D522:F522)&lt;=7,MAX(D522,1)+MAX(E522,1)+MAX(F522,1)&lt;=9,OR(H522="-",AND(H522=0,D522&gt;0),AND(H522=1,E522&gt;0),AND(H522=2,F522&gt;0)),OR(I522=0,AND(I522=1,OR(J522=0,J522=1,J522=2),R522&lt;&gt;"000")),Y522&lt;=9,MIN(T522:V522)&gt;=0),"合法","输入违约")</x:f>
        <x:v>合法</x:v>
      </x:c>
    </x:row>
    <x:row r="523" ht="23" customHeight="1">
      <x:c r="A523" s="3" t="str">
        <x:v>CT-0516</x:v>
      </x:c>
      <x:c r="B523" s="3" t="str">
        <x:v>ST-064</x:v>
      </x:c>
      <x:c r="C523" s="3" t="str">
        <x:v>R+AR同收同发</x:v>
      </x:c>
      <x:c r="D523" s="25" t="n">
        <x:v>1</x:v>
      </x:c>
      <x:c r="E523" s="25" t="n">
        <x:v>0</x:v>
      </x:c>
      <x:c r="F523" s="25" t="n">
        <x:v>5</x:v>
      </x:c>
      <x:c r="G523" s="19" t="n">
        <x:f>SUM(D523:F523)</x:f>
        <x:v>6</x:v>
      </x:c>
      <x:c r="H523" s="25" t="n">
        <x:v>0</x:v>
      </x:c>
      <x:c r="I523" s="25" t="n">
        <x:v>1</x:v>
      </x:c>
      <x:c r="J523" s="25" t="n">
        <x:v>2</x:v>
      </x:c>
      <x:c r="K523" s="19" t="n">
        <x:f>D523-IF(H523=0,1,0)</x:f>
        <x:v>0</x:v>
      </x:c>
      <x:c r="L523" s="19" t="n">
        <x:f>E523-IF(H523=1,1,0)</x:f>
        <x:v>0</x:v>
      </x:c>
      <x:c r="M523" s="19" t="n">
        <x:f>F523-IF(H523=2,1,0)</x:f>
        <x:v>5</x:v>
      </x:c>
      <x:c r="N523" s="19" t="n">
        <x:f>MAX(K523-1,0)+MAX(L523-1,0)+MAX(M523-1,0)</x:f>
        <x:v>4</x:v>
      </x:c>
      <x:c r="O523" s="19" t="n">
        <x:f>IF(AND(SUM(K523:M523)&lt;9,OR(M523=0,N523&lt;6)),1,0)</x:f>
        <x:v>1</x:v>
      </x:c>
      <x:c r="P523" s="19" t="n">
        <x:f>IF(AND(SUM(K523:M523)&lt;9,OR(L523=0,N523&lt;6)),1,0)</x:f>
        <x:v>1</x:v>
      </x:c>
      <x:c r="Q523" s="19" t="n">
        <x:f>IF(AND(SUM(K523:M523)&lt;9,OR(K523=0,N523&lt;6)),1,0)</x:f>
        <x:v>1</x:v>
      </x:c>
      <x:c r="R523" s="22" t="str">
        <x:f>O523&amp;P523&amp;Q523</x:f>
        <x:v>111</x:v>
      </x:c>
      <x:c r="S523" s="19" t="n">
        <x:f>IF(I523=1,IF(J523=0,Q523,IF(J523=1,P523,IF(J523=2,O523,0))),0)</x:f>
        <x:v>1</x:v>
      </x:c>
      <x:c r="T523" s="19" t="n">
        <x:f>K523+IF(AND(S523=1,J523=0),1,0)</x:f>
        <x:v>0</x:v>
      </x:c>
      <x:c r="U523" s="19" t="n">
        <x:f>L523+IF(AND(S523=1,J523=1),1,0)</x:f>
        <x:v>0</x:v>
      </x:c>
      <x:c r="V523" s="19" t="n">
        <x:f>M523+IF(AND(S523=1,J523=2),1,0)</x:f>
        <x:v>6</x:v>
      </x:c>
      <x:c r="W523" s="19" t="n">
        <x:f>SUM(T523:V523)</x:f>
        <x:v>6</x:v>
      </x:c>
      <x:c r="X523" s="19" t="n">
        <x:f>W523-G523</x:f>
        <x:v>0</x:v>
      </x:c>
      <x:c r="Y523" s="19" t="n">
        <x:f>MAX(T523,1)+MAX(U523,1)+MAX(V523,1)</x:f>
        <x:v>8</x:v>
      </x:c>
      <x:c r="Z523" s="21" t="str">
        <x:f>IF(AND(MIN(D523:F523)&gt;=0,MAX(D523:F523)&lt;=7,MAX(D523,1)+MAX(E523,1)+MAX(F523,1)&lt;=9,OR(H523="-",AND(H523=0,D523&gt;0),AND(H523=1,E523&gt;0),AND(H523=2,F523&gt;0)),OR(I523=0,AND(I523=1,OR(J523=0,J523=1,J523=2),R523&lt;&gt;"000")),Y523&lt;=9,MIN(T523:V523)&gt;=0),"合法","输入违约")</x:f>
        <x:v>合法</x:v>
      </x:c>
    </x:row>
    <x:row r="524" ht="23" customHeight="1">
      <x:c r="A524" s="3" t="str">
        <x:v>CT-0517</x:v>
      </x:c>
      <x:c r="B524" s="3" t="str">
        <x:v>ST-064</x:v>
      </x:c>
      <x:c r="C524" s="3" t="str">
        <x:v>仅R回收</x:v>
      </x:c>
      <x:c r="D524" s="25" t="n">
        <x:v>1</x:v>
      </x:c>
      <x:c r="E524" s="25" t="n">
        <x:v>0</x:v>
      </x:c>
      <x:c r="F524" s="25" t="n">
        <x:v>5</x:v>
      </x:c>
      <x:c r="G524" s="19" t="n">
        <x:f>SUM(D524:F524)</x:f>
        <x:v>6</x:v>
      </x:c>
      <x:c r="H524" s="25" t="n">
        <x:v>2</x:v>
      </x:c>
      <x:c r="I524" s="25" t="n">
        <x:v>0</x:v>
      </x:c>
      <x:c r="J524" s="25" t="str">
        <x:v>-</x:v>
      </x:c>
      <x:c r="K524" s="19" t="n">
        <x:f>D524-IF(H524=0,1,0)</x:f>
        <x:v>1</x:v>
      </x:c>
      <x:c r="L524" s="19" t="n">
        <x:f>E524-IF(H524=1,1,0)</x:f>
        <x:v>0</x:v>
      </x:c>
      <x:c r="M524" s="19" t="n">
        <x:f>F524-IF(H524=2,1,0)</x:f>
        <x:v>4</x:v>
      </x:c>
      <x:c r="N524" s="19" t="n">
        <x:f>MAX(K524-1,0)+MAX(L524-1,0)+MAX(M524-1,0)</x:f>
        <x:v>3</x:v>
      </x:c>
      <x:c r="O524" s="19" t="n">
        <x:f>IF(AND(SUM(K524:M524)&lt;9,OR(M524=0,N524&lt;6)),1,0)</x:f>
        <x:v>1</x:v>
      </x:c>
      <x:c r="P524" s="19" t="n">
        <x:f>IF(AND(SUM(K524:M524)&lt;9,OR(L524=0,N524&lt;6)),1,0)</x:f>
        <x:v>1</x:v>
      </x:c>
      <x:c r="Q524" s="19" t="n">
        <x:f>IF(AND(SUM(K524:M524)&lt;9,OR(K524=0,N524&lt;6)),1,0)</x:f>
        <x:v>1</x:v>
      </x:c>
      <x:c r="R524" s="22" t="str">
        <x:f>O524&amp;P524&amp;Q524</x:f>
        <x:v>111</x:v>
      </x:c>
      <x:c r="S524" s="19" t="n">
        <x:f>IF(I524=1,IF(J524=0,Q524,IF(J524=1,P524,IF(J524=2,O524,0))),0)</x:f>
        <x:v>0</x:v>
      </x:c>
      <x:c r="T524" s="19" t="n">
        <x:f>K524+IF(AND(S524=1,J524=0),1,0)</x:f>
        <x:v>1</x:v>
      </x:c>
      <x:c r="U524" s="19" t="n">
        <x:f>L524+IF(AND(S524=1,J524=1),1,0)</x:f>
        <x:v>0</x:v>
      </x:c>
      <x:c r="V524" s="19" t="n">
        <x:f>M524+IF(AND(S524=1,J524=2),1,0)</x:f>
        <x:v>4</x:v>
      </x:c>
      <x:c r="W524" s="19" t="n">
        <x:f>SUM(T524:V524)</x:f>
        <x:v>5</x:v>
      </x:c>
      <x:c r="X524" s="19" t="n">
        <x:f>W524-G524</x:f>
        <x:v>-1</x:v>
      </x:c>
      <x:c r="Y524" s="19" t="n">
        <x:f>MAX(T524,1)+MAX(U524,1)+MAX(V524,1)</x:f>
        <x:v>6</x:v>
      </x:c>
      <x:c r="Z524" s="21" t="str">
        <x:f>IF(AND(MIN(D524:F524)&gt;=0,MAX(D524:F524)&lt;=7,MAX(D524,1)+MAX(E524,1)+MAX(F524,1)&lt;=9,OR(H524="-",AND(H524=0,D524&gt;0),AND(H524=1,E524&gt;0),AND(H524=2,F524&gt;0)),OR(I524=0,AND(I524=1,OR(J524=0,J524=1,J524=2),R524&lt;&gt;"000")),Y524&lt;=9,MIN(T524:V524)&gt;=0),"合法","输入违约")</x:f>
        <x:v>合法</x:v>
      </x:c>
    </x:row>
    <x:row r="525" ht="23" customHeight="1">
      <x:c r="A525" s="3" t="str">
        <x:v>CT-0518</x:v>
      </x:c>
      <x:c r="B525" s="3" t="str">
        <x:v>ST-064</x:v>
      </x:c>
      <x:c r="C525" s="3" t="str">
        <x:v>R+AR同收同发</x:v>
      </x:c>
      <x:c r="D525" s="25" t="n">
        <x:v>1</x:v>
      </x:c>
      <x:c r="E525" s="25" t="n">
        <x:v>0</x:v>
      </x:c>
      <x:c r="F525" s="25" t="n">
        <x:v>5</x:v>
      </x:c>
      <x:c r="G525" s="19" t="n">
        <x:f>SUM(D525:F525)</x:f>
        <x:v>6</x:v>
      </x:c>
      <x:c r="H525" s="25" t="n">
        <x:v>2</x:v>
      </x:c>
      <x:c r="I525" s="25" t="n">
        <x:v>1</x:v>
      </x:c>
      <x:c r="J525" s="25" t="n">
        <x:v>0</x:v>
      </x:c>
      <x:c r="K525" s="19" t="n">
        <x:f>D525-IF(H525=0,1,0)</x:f>
        <x:v>1</x:v>
      </x:c>
      <x:c r="L525" s="19" t="n">
        <x:f>E525-IF(H525=1,1,0)</x:f>
        <x:v>0</x:v>
      </x:c>
      <x:c r="M525" s="19" t="n">
        <x:f>F525-IF(H525=2,1,0)</x:f>
        <x:v>4</x:v>
      </x:c>
      <x:c r="N525" s="19" t="n">
        <x:f>MAX(K525-1,0)+MAX(L525-1,0)+MAX(M525-1,0)</x:f>
        <x:v>3</x:v>
      </x:c>
      <x:c r="O525" s="19" t="n">
        <x:f>IF(AND(SUM(K525:M525)&lt;9,OR(M525=0,N525&lt;6)),1,0)</x:f>
        <x:v>1</x:v>
      </x:c>
      <x:c r="P525" s="19" t="n">
        <x:f>IF(AND(SUM(K525:M525)&lt;9,OR(L525=0,N525&lt;6)),1,0)</x:f>
        <x:v>1</x:v>
      </x:c>
      <x:c r="Q525" s="19" t="n">
        <x:f>IF(AND(SUM(K525:M525)&lt;9,OR(K525=0,N525&lt;6)),1,0)</x:f>
        <x:v>1</x:v>
      </x:c>
      <x:c r="R525" s="22" t="str">
        <x:f>O525&amp;P525&amp;Q525</x:f>
        <x:v>111</x:v>
      </x:c>
      <x:c r="S525" s="19" t="n">
        <x:f>IF(I525=1,IF(J525=0,Q525,IF(J525=1,P525,IF(J525=2,O525,0))),0)</x:f>
        <x:v>1</x:v>
      </x:c>
      <x:c r="T525" s="19" t="n">
        <x:f>K525+IF(AND(S525=1,J525=0),1,0)</x:f>
        <x:v>2</x:v>
      </x:c>
      <x:c r="U525" s="19" t="n">
        <x:f>L525+IF(AND(S525=1,J525=1),1,0)</x:f>
        <x:v>0</x:v>
      </x:c>
      <x:c r="V525" s="19" t="n">
        <x:f>M525+IF(AND(S525=1,J525=2),1,0)</x:f>
        <x:v>4</x:v>
      </x:c>
      <x:c r="W525" s="19" t="n">
        <x:f>SUM(T525:V525)</x:f>
        <x:v>6</x:v>
      </x:c>
      <x:c r="X525" s="19" t="n">
        <x:f>W525-G525</x:f>
        <x:v>0</x:v>
      </x:c>
      <x:c r="Y525" s="19" t="n">
        <x:f>MAX(T525,1)+MAX(U525,1)+MAX(V525,1)</x:f>
        <x:v>7</x:v>
      </x:c>
      <x:c r="Z525" s="21" t="str">
        <x:f>IF(AND(MIN(D525:F525)&gt;=0,MAX(D525:F525)&lt;=7,MAX(D525,1)+MAX(E525,1)+MAX(F525,1)&lt;=9,OR(H525="-",AND(H525=0,D525&gt;0),AND(H525=1,E525&gt;0),AND(H525=2,F525&gt;0)),OR(I525=0,AND(I525=1,OR(J525=0,J525=1,J525=2),R525&lt;&gt;"000")),Y525&lt;=9,MIN(T525:V525)&gt;=0),"合法","输入违约")</x:f>
        <x:v>合法</x:v>
      </x:c>
    </x:row>
    <x:row r="526" ht="23" customHeight="1">
      <x:c r="A526" s="3" t="str">
        <x:v>CT-0519</x:v>
      </x:c>
      <x:c r="B526" s="3" t="str">
        <x:v>ST-064</x:v>
      </x:c>
      <x:c r="C526" s="3" t="str">
        <x:v>R+AR同收同发</x:v>
      </x:c>
      <x:c r="D526" s="25" t="n">
        <x:v>1</x:v>
      </x:c>
      <x:c r="E526" s="25" t="n">
        <x:v>0</x:v>
      </x:c>
      <x:c r="F526" s="25" t="n">
        <x:v>5</x:v>
      </x:c>
      <x:c r="G526" s="19" t="n">
        <x:f>SUM(D526:F526)</x:f>
        <x:v>6</x:v>
      </x:c>
      <x:c r="H526" s="25" t="n">
        <x:v>2</x:v>
      </x:c>
      <x:c r="I526" s="25" t="n">
        <x:v>1</x:v>
      </x:c>
      <x:c r="J526" s="25" t="n">
        <x:v>1</x:v>
      </x:c>
      <x:c r="K526" s="19" t="n">
        <x:f>D526-IF(H526=0,1,0)</x:f>
        <x:v>1</x:v>
      </x:c>
      <x:c r="L526" s="19" t="n">
        <x:f>E526-IF(H526=1,1,0)</x:f>
        <x:v>0</x:v>
      </x:c>
      <x:c r="M526" s="19" t="n">
        <x:f>F526-IF(H526=2,1,0)</x:f>
        <x:v>4</x:v>
      </x:c>
      <x:c r="N526" s="19" t="n">
        <x:f>MAX(K526-1,0)+MAX(L526-1,0)+MAX(M526-1,0)</x:f>
        <x:v>3</x:v>
      </x:c>
      <x:c r="O526" s="19" t="n">
        <x:f>IF(AND(SUM(K526:M526)&lt;9,OR(M526=0,N526&lt;6)),1,0)</x:f>
        <x:v>1</x:v>
      </x:c>
      <x:c r="P526" s="19" t="n">
        <x:f>IF(AND(SUM(K526:M526)&lt;9,OR(L526=0,N526&lt;6)),1,0)</x:f>
        <x:v>1</x:v>
      </x:c>
      <x:c r="Q526" s="19" t="n">
        <x:f>IF(AND(SUM(K526:M526)&lt;9,OR(K526=0,N526&lt;6)),1,0)</x:f>
        <x:v>1</x:v>
      </x:c>
      <x:c r="R526" s="22" t="str">
        <x:f>O526&amp;P526&amp;Q526</x:f>
        <x:v>111</x:v>
      </x:c>
      <x:c r="S526" s="19" t="n">
        <x:f>IF(I526=1,IF(J526=0,Q526,IF(J526=1,P526,IF(J526=2,O526,0))),0)</x:f>
        <x:v>1</x:v>
      </x:c>
      <x:c r="T526" s="19" t="n">
        <x:f>K526+IF(AND(S526=1,J526=0),1,0)</x:f>
        <x:v>1</x:v>
      </x:c>
      <x:c r="U526" s="19" t="n">
        <x:f>L526+IF(AND(S526=1,J526=1),1,0)</x:f>
        <x:v>1</x:v>
      </x:c>
      <x:c r="V526" s="19" t="n">
        <x:f>M526+IF(AND(S526=1,J526=2),1,0)</x:f>
        <x:v>4</x:v>
      </x:c>
      <x:c r="W526" s="19" t="n">
        <x:f>SUM(T526:V526)</x:f>
        <x:v>6</x:v>
      </x:c>
      <x:c r="X526" s="19" t="n">
        <x:f>W526-G526</x:f>
        <x:v>0</x:v>
      </x:c>
      <x:c r="Y526" s="19" t="n">
        <x:f>MAX(T526,1)+MAX(U526,1)+MAX(V526,1)</x:f>
        <x:v>6</x:v>
      </x:c>
      <x:c r="Z526" s="21" t="str">
        <x:f>IF(AND(MIN(D526:F526)&gt;=0,MAX(D526:F526)&lt;=7,MAX(D526,1)+MAX(E526,1)+MAX(F526,1)&lt;=9,OR(H526="-",AND(H526=0,D526&gt;0),AND(H526=1,E526&gt;0),AND(H526=2,F526&gt;0)),OR(I526=0,AND(I526=1,OR(J526=0,J526=1,J526=2),R526&lt;&gt;"000")),Y526&lt;=9,MIN(T526:V526)&gt;=0),"合法","输入违约")</x:f>
        <x:v>合法</x:v>
      </x:c>
    </x:row>
    <x:row r="527" ht="23" customHeight="1">
      <x:c r="A527" s="3" t="str">
        <x:v>CT-0520</x:v>
      </x:c>
      <x:c r="B527" s="3" t="str">
        <x:v>ST-064</x:v>
      </x:c>
      <x:c r="C527" s="3" t="str">
        <x:v>R+AR同收同发</x:v>
      </x:c>
      <x:c r="D527" s="25" t="n">
        <x:v>1</x:v>
      </x:c>
      <x:c r="E527" s="25" t="n">
        <x:v>0</x:v>
      </x:c>
      <x:c r="F527" s="25" t="n">
        <x:v>5</x:v>
      </x:c>
      <x:c r="G527" s="19" t="n">
        <x:f>SUM(D527:F527)</x:f>
        <x:v>6</x:v>
      </x:c>
      <x:c r="H527" s="25" t="n">
        <x:v>2</x:v>
      </x:c>
      <x:c r="I527" s="25" t="n">
        <x:v>1</x:v>
      </x:c>
      <x:c r="J527" s="25" t="n">
        <x:v>2</x:v>
      </x:c>
      <x:c r="K527" s="19" t="n">
        <x:f>D527-IF(H527=0,1,0)</x:f>
        <x:v>1</x:v>
      </x:c>
      <x:c r="L527" s="19" t="n">
        <x:f>E527-IF(H527=1,1,0)</x:f>
        <x:v>0</x:v>
      </x:c>
      <x:c r="M527" s="19" t="n">
        <x:f>F527-IF(H527=2,1,0)</x:f>
        <x:v>4</x:v>
      </x:c>
      <x:c r="N527" s="19" t="n">
        <x:f>MAX(K527-1,0)+MAX(L527-1,0)+MAX(M527-1,0)</x:f>
        <x:v>3</x:v>
      </x:c>
      <x:c r="O527" s="19" t="n">
        <x:f>IF(AND(SUM(K527:M527)&lt;9,OR(M527=0,N527&lt;6)),1,0)</x:f>
        <x:v>1</x:v>
      </x:c>
      <x:c r="P527" s="19" t="n">
        <x:f>IF(AND(SUM(K527:M527)&lt;9,OR(L527=0,N527&lt;6)),1,0)</x:f>
        <x:v>1</x:v>
      </x:c>
      <x:c r="Q527" s="19" t="n">
        <x:f>IF(AND(SUM(K527:M527)&lt;9,OR(K527=0,N527&lt;6)),1,0)</x:f>
        <x:v>1</x:v>
      </x:c>
      <x:c r="R527" s="22" t="str">
        <x:f>O527&amp;P527&amp;Q527</x:f>
        <x:v>111</x:v>
      </x:c>
      <x:c r="S527" s="19" t="n">
        <x:f>IF(I527=1,IF(J527=0,Q527,IF(J527=1,P527,IF(J527=2,O527,0))),0)</x:f>
        <x:v>1</x:v>
      </x:c>
      <x:c r="T527" s="19" t="n">
        <x:f>K527+IF(AND(S527=1,J527=0),1,0)</x:f>
        <x:v>1</x:v>
      </x:c>
      <x:c r="U527" s="19" t="n">
        <x:f>L527+IF(AND(S527=1,J527=1),1,0)</x:f>
        <x:v>0</x:v>
      </x:c>
      <x:c r="V527" s="19" t="n">
        <x:f>M527+IF(AND(S527=1,J527=2),1,0)</x:f>
        <x:v>5</x:v>
      </x:c>
      <x:c r="W527" s="19" t="n">
        <x:f>SUM(T527:V527)</x:f>
        <x:v>6</x:v>
      </x:c>
      <x:c r="X527" s="19" t="n">
        <x:f>W527-G527</x:f>
        <x:v>0</x:v>
      </x:c>
      <x:c r="Y527" s="19" t="n">
        <x:f>MAX(T527,1)+MAX(U527,1)+MAX(V527,1)</x:f>
        <x:v>7</x:v>
      </x:c>
      <x:c r="Z527" s="21" t="str">
        <x:f>IF(AND(MIN(D527:F527)&gt;=0,MAX(D527:F527)&lt;=7,MAX(D527,1)+MAX(E527,1)+MAX(F527,1)&lt;=9,OR(H527="-",AND(H527=0,D527&gt;0),AND(H527=1,E527&gt;0),AND(H527=2,F527&gt;0)),OR(I527=0,AND(I527=1,OR(J527=0,J527=1,J527=2),R527&lt;&gt;"000")),Y527&lt;=9,MIN(T527:V527)&gt;=0),"合法","输入违约")</x:f>
        <x:v>合法</x:v>
      </x:c>
    </x:row>
    <x:row r="528" ht="23" customHeight="1">
      <x:c r="A528" s="3" t="str">
        <x:v>CT-0521</x:v>
      </x:c>
      <x:c r="B528" s="3" t="str">
        <x:v>ST-093</x:v>
      </x:c>
      <x:c r="C528" s="3" t="str">
        <x:v>无AR/R</x:v>
      </x:c>
      <x:c r="D528" s="25" t="n">
        <x:v>1</x:v>
      </x:c>
      <x:c r="E528" s="25" t="n">
        <x:v>0</x:v>
      </x:c>
      <x:c r="F528" s="25" t="n">
        <x:v>6</x:v>
      </x:c>
      <x:c r="G528" s="19" t="n">
        <x:f>SUM(D528:F528)</x:f>
        <x:v>7</x:v>
      </x:c>
      <x:c r="H528" s="25" t="str">
        <x:v>-</x:v>
      </x:c>
      <x:c r="I528" s="25" t="n">
        <x:v>0</x:v>
      </x:c>
      <x:c r="J528" s="25" t="str">
        <x:v>-</x:v>
      </x:c>
      <x:c r="K528" s="19" t="n">
        <x:f>D528-IF(H528=0,1,0)</x:f>
        <x:v>1</x:v>
      </x:c>
      <x:c r="L528" s="19" t="n">
        <x:f>E528-IF(H528=1,1,0)</x:f>
        <x:v>0</x:v>
      </x:c>
      <x:c r="M528" s="19" t="n">
        <x:f>F528-IF(H528=2,1,0)</x:f>
        <x:v>6</x:v>
      </x:c>
      <x:c r="N528" s="19" t="n">
        <x:f>MAX(K528-1,0)+MAX(L528-1,0)+MAX(M528-1,0)</x:f>
        <x:v>5</x:v>
      </x:c>
      <x:c r="O528" s="19" t="n">
        <x:f>IF(AND(SUM(K528:M528)&lt;9,OR(M528=0,N528&lt;6)),1,0)</x:f>
        <x:v>1</x:v>
      </x:c>
      <x:c r="P528" s="19" t="n">
        <x:f>IF(AND(SUM(K528:M528)&lt;9,OR(L528=0,N528&lt;6)),1,0)</x:f>
        <x:v>1</x:v>
      </x:c>
      <x:c r="Q528" s="19" t="n">
        <x:f>IF(AND(SUM(K528:M528)&lt;9,OR(K528=0,N528&lt;6)),1,0)</x:f>
        <x:v>1</x:v>
      </x:c>
      <x:c r="R528" s="22" t="str">
        <x:f>O528&amp;P528&amp;Q528</x:f>
        <x:v>111</x:v>
      </x:c>
      <x:c r="S528" s="19" t="n">
        <x:f>IF(I528=1,IF(J528=0,Q528,IF(J528=1,P528,IF(J528=2,O528,0))),0)</x:f>
        <x:v>0</x:v>
      </x:c>
      <x:c r="T528" s="19" t="n">
        <x:f>K528+IF(AND(S528=1,J528=0),1,0)</x:f>
        <x:v>1</x:v>
      </x:c>
      <x:c r="U528" s="19" t="n">
        <x:f>L528+IF(AND(S528=1,J528=1),1,0)</x:f>
        <x:v>0</x:v>
      </x:c>
      <x:c r="V528" s="19" t="n">
        <x:f>M528+IF(AND(S528=1,J528=2),1,0)</x:f>
        <x:v>6</x:v>
      </x:c>
      <x:c r="W528" s="19" t="n">
        <x:f>SUM(T528:V528)</x:f>
        <x:v>7</x:v>
      </x:c>
      <x:c r="X528" s="19" t="n">
        <x:f>W528-G528</x:f>
        <x:v>0</x:v>
      </x:c>
      <x:c r="Y528" s="19" t="n">
        <x:f>MAX(T528,1)+MAX(U528,1)+MAX(V528,1)</x:f>
        <x:v>8</x:v>
      </x:c>
      <x:c r="Z528" s="21" t="str">
        <x:f>IF(AND(MIN(D528:F528)&gt;=0,MAX(D528:F528)&lt;=7,MAX(D528,1)+MAX(E528,1)+MAX(F528,1)&lt;=9,OR(H528="-",AND(H528=0,D528&gt;0),AND(H528=1,E528&gt;0),AND(H528=2,F528&gt;0)),OR(I528=0,AND(I528=1,OR(J528=0,J528=1,J528=2),R528&lt;&gt;"000")),Y528&lt;=9,MIN(T528:V528)&gt;=0),"合法","输入违约")</x:f>
        <x:v>合法</x:v>
      </x:c>
    </x:row>
    <x:row r="529" ht="23" customHeight="1">
      <x:c r="A529" s="3" t="str">
        <x:v>CT-0522</x:v>
      </x:c>
      <x:c r="B529" s="3" t="str">
        <x:v>ST-093</x:v>
      </x:c>
      <x:c r="C529" s="3" t="str">
        <x:v>仅AR接收</x:v>
      </x:c>
      <x:c r="D529" s="25" t="n">
        <x:v>1</x:v>
      </x:c>
      <x:c r="E529" s="25" t="n">
        <x:v>0</x:v>
      </x:c>
      <x:c r="F529" s="25" t="n">
        <x:v>6</x:v>
      </x:c>
      <x:c r="G529" s="19" t="n">
        <x:f>SUM(D529:F529)</x:f>
        <x:v>7</x:v>
      </x:c>
      <x:c r="H529" s="25" t="str">
        <x:v>-</x:v>
      </x:c>
      <x:c r="I529" s="25" t="n">
        <x:v>1</x:v>
      </x:c>
      <x:c r="J529" s="25" t="n">
        <x:v>0</x:v>
      </x:c>
      <x:c r="K529" s="19" t="n">
        <x:f>D529-IF(H529=0,1,0)</x:f>
        <x:v>1</x:v>
      </x:c>
      <x:c r="L529" s="19" t="n">
        <x:f>E529-IF(H529=1,1,0)</x:f>
        <x:v>0</x:v>
      </x:c>
      <x:c r="M529" s="19" t="n">
        <x:f>F529-IF(H529=2,1,0)</x:f>
        <x:v>6</x:v>
      </x:c>
      <x:c r="N529" s="19" t="n">
        <x:f>MAX(K529-1,0)+MAX(L529-1,0)+MAX(M529-1,0)</x:f>
        <x:v>5</x:v>
      </x:c>
      <x:c r="O529" s="19" t="n">
        <x:f>IF(AND(SUM(K529:M529)&lt;9,OR(M529=0,N529&lt;6)),1,0)</x:f>
        <x:v>1</x:v>
      </x:c>
      <x:c r="P529" s="19" t="n">
        <x:f>IF(AND(SUM(K529:M529)&lt;9,OR(L529=0,N529&lt;6)),1,0)</x:f>
        <x:v>1</x:v>
      </x:c>
      <x:c r="Q529" s="19" t="n">
        <x:f>IF(AND(SUM(K529:M529)&lt;9,OR(K529=0,N529&lt;6)),1,0)</x:f>
        <x:v>1</x:v>
      </x:c>
      <x:c r="R529" s="22" t="str">
        <x:f>O529&amp;P529&amp;Q529</x:f>
        <x:v>111</x:v>
      </x:c>
      <x:c r="S529" s="19" t="n">
        <x:f>IF(I529=1,IF(J529=0,Q529,IF(J529=1,P529,IF(J529=2,O529,0))),0)</x:f>
        <x:v>1</x:v>
      </x:c>
      <x:c r="T529" s="19" t="n">
        <x:f>K529+IF(AND(S529=1,J529=0),1,0)</x:f>
        <x:v>2</x:v>
      </x:c>
      <x:c r="U529" s="19" t="n">
        <x:f>L529+IF(AND(S529=1,J529=1),1,0)</x:f>
        <x:v>0</x:v>
      </x:c>
      <x:c r="V529" s="19" t="n">
        <x:f>M529+IF(AND(S529=1,J529=2),1,0)</x:f>
        <x:v>6</x:v>
      </x:c>
      <x:c r="W529" s="19" t="n">
        <x:f>SUM(T529:V529)</x:f>
        <x:v>8</x:v>
      </x:c>
      <x:c r="X529" s="19" t="n">
        <x:f>W529-G529</x:f>
        <x:v>1</x:v>
      </x:c>
      <x:c r="Y529" s="19" t="n">
        <x:f>MAX(T529,1)+MAX(U529,1)+MAX(V529,1)</x:f>
        <x:v>9</x:v>
      </x:c>
      <x:c r="Z529" s="21" t="str">
        <x:f>IF(AND(MIN(D529:F529)&gt;=0,MAX(D529:F529)&lt;=7,MAX(D529,1)+MAX(E529,1)+MAX(F529,1)&lt;=9,OR(H529="-",AND(H529=0,D529&gt;0),AND(H529=1,E529&gt;0),AND(H529=2,F529&gt;0)),OR(I529=0,AND(I529=1,OR(J529=0,J529=1,J529=2),R529&lt;&gt;"000")),Y529&lt;=9,MIN(T529:V529)&gt;=0),"合法","输入违约")</x:f>
        <x:v>合法</x:v>
      </x:c>
    </x:row>
    <x:row r="530" ht="23" customHeight="1">
      <x:c r="A530" s="3" t="str">
        <x:v>CT-0523</x:v>
      </x:c>
      <x:c r="B530" s="3" t="str">
        <x:v>ST-093</x:v>
      </x:c>
      <x:c r="C530" s="3" t="str">
        <x:v>仅AR接收</x:v>
      </x:c>
      <x:c r="D530" s="25" t="n">
        <x:v>1</x:v>
      </x:c>
      <x:c r="E530" s="25" t="n">
        <x:v>0</x:v>
      </x:c>
      <x:c r="F530" s="25" t="n">
        <x:v>6</x:v>
      </x:c>
      <x:c r="G530" s="19" t="n">
        <x:f>SUM(D530:F530)</x:f>
        <x:v>7</x:v>
      </x:c>
      <x:c r="H530" s="25" t="str">
        <x:v>-</x:v>
      </x:c>
      <x:c r="I530" s="25" t="n">
        <x:v>1</x:v>
      </x:c>
      <x:c r="J530" s="25" t="n">
        <x:v>1</x:v>
      </x:c>
      <x:c r="K530" s="19" t="n">
        <x:f>D530-IF(H530=0,1,0)</x:f>
        <x:v>1</x:v>
      </x:c>
      <x:c r="L530" s="19" t="n">
        <x:f>E530-IF(H530=1,1,0)</x:f>
        <x:v>0</x:v>
      </x:c>
      <x:c r="M530" s="19" t="n">
        <x:f>F530-IF(H530=2,1,0)</x:f>
        <x:v>6</x:v>
      </x:c>
      <x:c r="N530" s="19" t="n">
        <x:f>MAX(K530-1,0)+MAX(L530-1,0)+MAX(M530-1,0)</x:f>
        <x:v>5</x:v>
      </x:c>
      <x:c r="O530" s="19" t="n">
        <x:f>IF(AND(SUM(K530:M530)&lt;9,OR(M530=0,N530&lt;6)),1,0)</x:f>
        <x:v>1</x:v>
      </x:c>
      <x:c r="P530" s="19" t="n">
        <x:f>IF(AND(SUM(K530:M530)&lt;9,OR(L530=0,N530&lt;6)),1,0)</x:f>
        <x:v>1</x:v>
      </x:c>
      <x:c r="Q530" s="19" t="n">
        <x:f>IF(AND(SUM(K530:M530)&lt;9,OR(K530=0,N530&lt;6)),1,0)</x:f>
        <x:v>1</x:v>
      </x:c>
      <x:c r="R530" s="22" t="str">
        <x:f>O530&amp;P530&amp;Q530</x:f>
        <x:v>111</x:v>
      </x:c>
      <x:c r="S530" s="19" t="n">
        <x:f>IF(I530=1,IF(J530=0,Q530,IF(J530=1,P530,IF(J530=2,O530,0))),0)</x:f>
        <x:v>1</x:v>
      </x:c>
      <x:c r="T530" s="19" t="n">
        <x:f>K530+IF(AND(S530=1,J530=0),1,0)</x:f>
        <x:v>1</x:v>
      </x:c>
      <x:c r="U530" s="19" t="n">
        <x:f>L530+IF(AND(S530=1,J530=1),1,0)</x:f>
        <x:v>1</x:v>
      </x:c>
      <x:c r="V530" s="19" t="n">
        <x:f>M530+IF(AND(S530=1,J530=2),1,0)</x:f>
        <x:v>6</x:v>
      </x:c>
      <x:c r="W530" s="19" t="n">
        <x:f>SUM(T530:V530)</x:f>
        <x:v>8</x:v>
      </x:c>
      <x:c r="X530" s="19" t="n">
        <x:f>W530-G530</x:f>
        <x:v>1</x:v>
      </x:c>
      <x:c r="Y530" s="19" t="n">
        <x:f>MAX(T530,1)+MAX(U530,1)+MAX(V530,1)</x:f>
        <x:v>8</x:v>
      </x:c>
      <x:c r="Z530" s="21" t="str">
        <x:f>IF(AND(MIN(D530:F530)&gt;=0,MAX(D530:F530)&lt;=7,MAX(D530,1)+MAX(E530,1)+MAX(F530,1)&lt;=9,OR(H530="-",AND(H530=0,D530&gt;0),AND(H530=1,E530&gt;0),AND(H530=2,F530&gt;0)),OR(I530=0,AND(I530=1,OR(J530=0,J530=1,J530=2),R530&lt;&gt;"000")),Y530&lt;=9,MIN(T530:V530)&gt;=0),"合法","输入违约")</x:f>
        <x:v>合法</x:v>
      </x:c>
    </x:row>
    <x:row r="531" ht="23" customHeight="1">
      <x:c r="A531" s="3" t="str">
        <x:v>CT-0524</x:v>
      </x:c>
      <x:c r="B531" s="3" t="str">
        <x:v>ST-093</x:v>
      </x:c>
      <x:c r="C531" s="3" t="str">
        <x:v>仅AR接收</x:v>
      </x:c>
      <x:c r="D531" s="25" t="n">
        <x:v>1</x:v>
      </x:c>
      <x:c r="E531" s="25" t="n">
        <x:v>0</x:v>
      </x:c>
      <x:c r="F531" s="25" t="n">
        <x:v>6</x:v>
      </x:c>
      <x:c r="G531" s="19" t="n">
        <x:f>SUM(D531:F531)</x:f>
        <x:v>7</x:v>
      </x:c>
      <x:c r="H531" s="25" t="str">
        <x:v>-</x:v>
      </x:c>
      <x:c r="I531" s="25" t="n">
        <x:v>1</x:v>
      </x:c>
      <x:c r="J531" s="25" t="n">
        <x:v>2</x:v>
      </x:c>
      <x:c r="K531" s="19" t="n">
        <x:f>D531-IF(H531=0,1,0)</x:f>
        <x:v>1</x:v>
      </x:c>
      <x:c r="L531" s="19" t="n">
        <x:f>E531-IF(H531=1,1,0)</x:f>
        <x:v>0</x:v>
      </x:c>
      <x:c r="M531" s="19" t="n">
        <x:f>F531-IF(H531=2,1,0)</x:f>
        <x:v>6</x:v>
      </x:c>
      <x:c r="N531" s="19" t="n">
        <x:f>MAX(K531-1,0)+MAX(L531-1,0)+MAX(M531-1,0)</x:f>
        <x:v>5</x:v>
      </x:c>
      <x:c r="O531" s="19" t="n">
        <x:f>IF(AND(SUM(K531:M531)&lt;9,OR(M531=0,N531&lt;6)),1,0)</x:f>
        <x:v>1</x:v>
      </x:c>
      <x:c r="P531" s="19" t="n">
        <x:f>IF(AND(SUM(K531:M531)&lt;9,OR(L531=0,N531&lt;6)),1,0)</x:f>
        <x:v>1</x:v>
      </x:c>
      <x:c r="Q531" s="19" t="n">
        <x:f>IF(AND(SUM(K531:M531)&lt;9,OR(K531=0,N531&lt;6)),1,0)</x:f>
        <x:v>1</x:v>
      </x:c>
      <x:c r="R531" s="22" t="str">
        <x:f>O531&amp;P531&amp;Q531</x:f>
        <x:v>111</x:v>
      </x:c>
      <x:c r="S531" s="19" t="n">
        <x:f>IF(I531=1,IF(J531=0,Q531,IF(J531=1,P531,IF(J531=2,O531,0))),0)</x:f>
        <x:v>1</x:v>
      </x:c>
      <x:c r="T531" s="19" t="n">
        <x:f>K531+IF(AND(S531=1,J531=0),1,0)</x:f>
        <x:v>1</x:v>
      </x:c>
      <x:c r="U531" s="19" t="n">
        <x:f>L531+IF(AND(S531=1,J531=1),1,0)</x:f>
        <x:v>0</x:v>
      </x:c>
      <x:c r="V531" s="19" t="n">
        <x:f>M531+IF(AND(S531=1,J531=2),1,0)</x:f>
        <x:v>7</x:v>
      </x:c>
      <x:c r="W531" s="19" t="n">
        <x:f>SUM(T531:V531)</x:f>
        <x:v>8</x:v>
      </x:c>
      <x:c r="X531" s="19" t="n">
        <x:f>W531-G531</x:f>
        <x:v>1</x:v>
      </x:c>
      <x:c r="Y531" s="19" t="n">
        <x:f>MAX(T531,1)+MAX(U531,1)+MAX(V531,1)</x:f>
        <x:v>9</x:v>
      </x:c>
      <x:c r="Z531" s="21" t="str">
        <x:f>IF(AND(MIN(D531:F531)&gt;=0,MAX(D531:F531)&lt;=7,MAX(D531,1)+MAX(E531,1)+MAX(F531,1)&lt;=9,OR(H531="-",AND(H531=0,D531&gt;0),AND(H531=1,E531&gt;0),AND(H531=2,F531&gt;0)),OR(I531=0,AND(I531=1,OR(J531=0,J531=1,J531=2),R531&lt;&gt;"000")),Y531&lt;=9,MIN(T531:V531)&gt;=0),"合法","输入违约")</x:f>
        <x:v>合法</x:v>
      </x:c>
    </x:row>
    <x:row r="532" ht="23" customHeight="1">
      <x:c r="A532" s="3" t="str">
        <x:v>CT-0525</x:v>
      </x:c>
      <x:c r="B532" s="3" t="str">
        <x:v>ST-093</x:v>
      </x:c>
      <x:c r="C532" s="3" t="str">
        <x:v>仅R回收</x:v>
      </x:c>
      <x:c r="D532" s="25" t="n">
        <x:v>1</x:v>
      </x:c>
      <x:c r="E532" s="25" t="n">
        <x:v>0</x:v>
      </x:c>
      <x:c r="F532" s="25" t="n">
        <x:v>6</x:v>
      </x:c>
      <x:c r="G532" s="19" t="n">
        <x:f>SUM(D532:F532)</x:f>
        <x:v>7</x:v>
      </x:c>
      <x:c r="H532" s="25" t="n">
        <x:v>0</x:v>
      </x:c>
      <x:c r="I532" s="25" t="n">
        <x:v>0</x:v>
      </x:c>
      <x:c r="J532" s="25" t="str">
        <x:v>-</x:v>
      </x:c>
      <x:c r="K532" s="19" t="n">
        <x:f>D532-IF(H532=0,1,0)</x:f>
        <x:v>0</x:v>
      </x:c>
      <x:c r="L532" s="19" t="n">
        <x:f>E532-IF(H532=1,1,0)</x:f>
        <x:v>0</x:v>
      </x:c>
      <x:c r="M532" s="19" t="n">
        <x:f>F532-IF(H532=2,1,0)</x:f>
        <x:v>6</x:v>
      </x:c>
      <x:c r="N532" s="19" t="n">
        <x:f>MAX(K532-1,0)+MAX(L532-1,0)+MAX(M532-1,0)</x:f>
        <x:v>5</x:v>
      </x:c>
      <x:c r="O532" s="19" t="n">
        <x:f>IF(AND(SUM(K532:M532)&lt;9,OR(M532=0,N532&lt;6)),1,0)</x:f>
        <x:v>1</x:v>
      </x:c>
      <x:c r="P532" s="19" t="n">
        <x:f>IF(AND(SUM(K532:M532)&lt;9,OR(L532=0,N532&lt;6)),1,0)</x:f>
        <x:v>1</x:v>
      </x:c>
      <x:c r="Q532" s="19" t="n">
        <x:f>IF(AND(SUM(K532:M532)&lt;9,OR(K532=0,N532&lt;6)),1,0)</x:f>
        <x:v>1</x:v>
      </x:c>
      <x:c r="R532" s="22" t="str">
        <x:f>O532&amp;P532&amp;Q532</x:f>
        <x:v>111</x:v>
      </x:c>
      <x:c r="S532" s="19" t="n">
        <x:f>IF(I532=1,IF(J532=0,Q532,IF(J532=1,P532,IF(J532=2,O532,0))),0)</x:f>
        <x:v>0</x:v>
      </x:c>
      <x:c r="T532" s="19" t="n">
        <x:f>K532+IF(AND(S532=1,J532=0),1,0)</x:f>
        <x:v>0</x:v>
      </x:c>
      <x:c r="U532" s="19" t="n">
        <x:f>L532+IF(AND(S532=1,J532=1),1,0)</x:f>
        <x:v>0</x:v>
      </x:c>
      <x:c r="V532" s="19" t="n">
        <x:f>M532+IF(AND(S532=1,J532=2),1,0)</x:f>
        <x:v>6</x:v>
      </x:c>
      <x:c r="W532" s="19" t="n">
        <x:f>SUM(T532:V532)</x:f>
        <x:v>6</x:v>
      </x:c>
      <x:c r="X532" s="19" t="n">
        <x:f>W532-G532</x:f>
        <x:v>-1</x:v>
      </x:c>
      <x:c r="Y532" s="19" t="n">
        <x:f>MAX(T532,1)+MAX(U532,1)+MAX(V532,1)</x:f>
        <x:v>8</x:v>
      </x:c>
      <x:c r="Z532" s="21" t="str">
        <x:f>IF(AND(MIN(D532:F532)&gt;=0,MAX(D532:F532)&lt;=7,MAX(D532,1)+MAX(E532,1)+MAX(F532,1)&lt;=9,OR(H532="-",AND(H532=0,D532&gt;0),AND(H532=1,E532&gt;0),AND(H532=2,F532&gt;0)),OR(I532=0,AND(I532=1,OR(J532=0,J532=1,J532=2),R532&lt;&gt;"000")),Y532&lt;=9,MIN(T532:V532)&gt;=0),"合法","输入违约")</x:f>
        <x:v>合法</x:v>
      </x:c>
    </x:row>
    <x:row r="533" ht="23" customHeight="1">
      <x:c r="A533" s="3" t="str">
        <x:v>CT-0526</x:v>
      </x:c>
      <x:c r="B533" s="3" t="str">
        <x:v>ST-093</x:v>
      </x:c>
      <x:c r="C533" s="3" t="str">
        <x:v>R+AR同收同发</x:v>
      </x:c>
      <x:c r="D533" s="25" t="n">
        <x:v>1</x:v>
      </x:c>
      <x:c r="E533" s="25" t="n">
        <x:v>0</x:v>
      </x:c>
      <x:c r="F533" s="25" t="n">
        <x:v>6</x:v>
      </x:c>
      <x:c r="G533" s="19" t="n">
        <x:f>SUM(D533:F533)</x:f>
        <x:v>7</x:v>
      </x:c>
      <x:c r="H533" s="25" t="n">
        <x:v>0</x:v>
      </x:c>
      <x:c r="I533" s="25" t="n">
        <x:v>1</x:v>
      </x:c>
      <x:c r="J533" s="25" t="n">
        <x:v>0</x:v>
      </x:c>
      <x:c r="K533" s="19" t="n">
        <x:f>D533-IF(H533=0,1,0)</x:f>
        <x:v>0</x:v>
      </x:c>
      <x:c r="L533" s="19" t="n">
        <x:f>E533-IF(H533=1,1,0)</x:f>
        <x:v>0</x:v>
      </x:c>
      <x:c r="M533" s="19" t="n">
        <x:f>F533-IF(H533=2,1,0)</x:f>
        <x:v>6</x:v>
      </x:c>
      <x:c r="N533" s="19" t="n">
        <x:f>MAX(K533-1,0)+MAX(L533-1,0)+MAX(M533-1,0)</x:f>
        <x:v>5</x:v>
      </x:c>
      <x:c r="O533" s="19" t="n">
        <x:f>IF(AND(SUM(K533:M533)&lt;9,OR(M533=0,N533&lt;6)),1,0)</x:f>
        <x:v>1</x:v>
      </x:c>
      <x:c r="P533" s="19" t="n">
        <x:f>IF(AND(SUM(K533:M533)&lt;9,OR(L533=0,N533&lt;6)),1,0)</x:f>
        <x:v>1</x:v>
      </x:c>
      <x:c r="Q533" s="19" t="n">
        <x:f>IF(AND(SUM(K533:M533)&lt;9,OR(K533=0,N533&lt;6)),1,0)</x:f>
        <x:v>1</x:v>
      </x:c>
      <x:c r="R533" s="22" t="str">
        <x:f>O533&amp;P533&amp;Q533</x:f>
        <x:v>111</x:v>
      </x:c>
      <x:c r="S533" s="19" t="n">
        <x:f>IF(I533=1,IF(J533=0,Q533,IF(J533=1,P533,IF(J533=2,O533,0))),0)</x:f>
        <x:v>1</x:v>
      </x:c>
      <x:c r="T533" s="19" t="n">
        <x:f>K533+IF(AND(S533=1,J533=0),1,0)</x:f>
        <x:v>1</x:v>
      </x:c>
      <x:c r="U533" s="19" t="n">
        <x:f>L533+IF(AND(S533=1,J533=1),1,0)</x:f>
        <x:v>0</x:v>
      </x:c>
      <x:c r="V533" s="19" t="n">
        <x:f>M533+IF(AND(S533=1,J533=2),1,0)</x:f>
        <x:v>6</x:v>
      </x:c>
      <x:c r="W533" s="19" t="n">
        <x:f>SUM(T533:V533)</x:f>
        <x:v>7</x:v>
      </x:c>
      <x:c r="X533" s="19" t="n">
        <x:f>W533-G533</x:f>
        <x:v>0</x:v>
      </x:c>
      <x:c r="Y533" s="19" t="n">
        <x:f>MAX(T533,1)+MAX(U533,1)+MAX(V533,1)</x:f>
        <x:v>8</x:v>
      </x:c>
      <x:c r="Z533" s="21" t="str">
        <x:f>IF(AND(MIN(D533:F533)&gt;=0,MAX(D533:F533)&lt;=7,MAX(D533,1)+MAX(E533,1)+MAX(F533,1)&lt;=9,OR(H533="-",AND(H533=0,D533&gt;0),AND(H533=1,E533&gt;0),AND(H533=2,F533&gt;0)),OR(I533=0,AND(I533=1,OR(J533=0,J533=1,J533=2),R533&lt;&gt;"000")),Y533&lt;=9,MIN(T533:V533)&gt;=0),"合法","输入违约")</x:f>
        <x:v>合法</x:v>
      </x:c>
    </x:row>
    <x:row r="534" ht="23" customHeight="1">
      <x:c r="A534" s="3" t="str">
        <x:v>CT-0527</x:v>
      </x:c>
      <x:c r="B534" s="3" t="str">
        <x:v>ST-093</x:v>
      </x:c>
      <x:c r="C534" s="3" t="str">
        <x:v>R+AR同收同发</x:v>
      </x:c>
      <x:c r="D534" s="25" t="n">
        <x:v>1</x:v>
      </x:c>
      <x:c r="E534" s="25" t="n">
        <x:v>0</x:v>
      </x:c>
      <x:c r="F534" s="25" t="n">
        <x:v>6</x:v>
      </x:c>
      <x:c r="G534" s="19" t="n">
        <x:f>SUM(D534:F534)</x:f>
        <x:v>7</x:v>
      </x:c>
      <x:c r="H534" s="25" t="n">
        <x:v>0</x:v>
      </x:c>
      <x:c r="I534" s="25" t="n">
        <x:v>1</x:v>
      </x:c>
      <x:c r="J534" s="25" t="n">
        <x:v>1</x:v>
      </x:c>
      <x:c r="K534" s="19" t="n">
        <x:f>D534-IF(H534=0,1,0)</x:f>
        <x:v>0</x:v>
      </x:c>
      <x:c r="L534" s="19" t="n">
        <x:f>E534-IF(H534=1,1,0)</x:f>
        <x:v>0</x:v>
      </x:c>
      <x:c r="M534" s="19" t="n">
        <x:f>F534-IF(H534=2,1,0)</x:f>
        <x:v>6</x:v>
      </x:c>
      <x:c r="N534" s="19" t="n">
        <x:f>MAX(K534-1,0)+MAX(L534-1,0)+MAX(M534-1,0)</x:f>
        <x:v>5</x:v>
      </x:c>
      <x:c r="O534" s="19" t="n">
        <x:f>IF(AND(SUM(K534:M534)&lt;9,OR(M534=0,N534&lt;6)),1,0)</x:f>
        <x:v>1</x:v>
      </x:c>
      <x:c r="P534" s="19" t="n">
        <x:f>IF(AND(SUM(K534:M534)&lt;9,OR(L534=0,N534&lt;6)),1,0)</x:f>
        <x:v>1</x:v>
      </x:c>
      <x:c r="Q534" s="19" t="n">
        <x:f>IF(AND(SUM(K534:M534)&lt;9,OR(K534=0,N534&lt;6)),1,0)</x:f>
        <x:v>1</x:v>
      </x:c>
      <x:c r="R534" s="22" t="str">
        <x:f>O534&amp;P534&amp;Q534</x:f>
        <x:v>111</x:v>
      </x:c>
      <x:c r="S534" s="19" t="n">
        <x:f>IF(I534=1,IF(J534=0,Q534,IF(J534=1,P534,IF(J534=2,O534,0))),0)</x:f>
        <x:v>1</x:v>
      </x:c>
      <x:c r="T534" s="19" t="n">
        <x:f>K534+IF(AND(S534=1,J534=0),1,0)</x:f>
        <x:v>0</x:v>
      </x:c>
      <x:c r="U534" s="19" t="n">
        <x:f>L534+IF(AND(S534=1,J534=1),1,0)</x:f>
        <x:v>1</x:v>
      </x:c>
      <x:c r="V534" s="19" t="n">
        <x:f>M534+IF(AND(S534=1,J534=2),1,0)</x:f>
        <x:v>6</x:v>
      </x:c>
      <x:c r="W534" s="19" t="n">
        <x:f>SUM(T534:V534)</x:f>
        <x:v>7</x:v>
      </x:c>
      <x:c r="X534" s="19" t="n">
        <x:f>W534-G534</x:f>
        <x:v>0</x:v>
      </x:c>
      <x:c r="Y534" s="19" t="n">
        <x:f>MAX(T534,1)+MAX(U534,1)+MAX(V534,1)</x:f>
        <x:v>8</x:v>
      </x:c>
      <x:c r="Z534" s="21" t="str">
        <x:f>IF(AND(MIN(D534:F534)&gt;=0,MAX(D534:F534)&lt;=7,MAX(D534,1)+MAX(E534,1)+MAX(F534,1)&lt;=9,OR(H534="-",AND(H534=0,D534&gt;0),AND(H534=1,E534&gt;0),AND(H534=2,F534&gt;0)),OR(I534=0,AND(I534=1,OR(J534=0,J534=1,J534=2),R534&lt;&gt;"000")),Y534&lt;=9,MIN(T534:V534)&gt;=0),"合法","输入违约")</x:f>
        <x:v>合法</x:v>
      </x:c>
    </x:row>
    <x:row r="535" ht="23" customHeight="1">
      <x:c r="A535" s="3" t="str">
        <x:v>CT-0528</x:v>
      </x:c>
      <x:c r="B535" s="3" t="str">
        <x:v>ST-093</x:v>
      </x:c>
      <x:c r="C535" s="3" t="str">
        <x:v>R+AR同收同发</x:v>
      </x:c>
      <x:c r="D535" s="25" t="n">
        <x:v>1</x:v>
      </x:c>
      <x:c r="E535" s="25" t="n">
        <x:v>0</x:v>
      </x:c>
      <x:c r="F535" s="25" t="n">
        <x:v>6</x:v>
      </x:c>
      <x:c r="G535" s="19" t="n">
        <x:f>SUM(D535:F535)</x:f>
        <x:v>7</x:v>
      </x:c>
      <x:c r="H535" s="25" t="n">
        <x:v>0</x:v>
      </x:c>
      <x:c r="I535" s="25" t="n">
        <x:v>1</x:v>
      </x:c>
      <x:c r="J535" s="25" t="n">
        <x:v>2</x:v>
      </x:c>
      <x:c r="K535" s="19" t="n">
        <x:f>D535-IF(H535=0,1,0)</x:f>
        <x:v>0</x:v>
      </x:c>
      <x:c r="L535" s="19" t="n">
        <x:f>E535-IF(H535=1,1,0)</x:f>
        <x:v>0</x:v>
      </x:c>
      <x:c r="M535" s="19" t="n">
        <x:f>F535-IF(H535=2,1,0)</x:f>
        <x:v>6</x:v>
      </x:c>
      <x:c r="N535" s="19" t="n">
        <x:f>MAX(K535-1,0)+MAX(L535-1,0)+MAX(M535-1,0)</x:f>
        <x:v>5</x:v>
      </x:c>
      <x:c r="O535" s="19" t="n">
        <x:f>IF(AND(SUM(K535:M535)&lt;9,OR(M535=0,N535&lt;6)),1,0)</x:f>
        <x:v>1</x:v>
      </x:c>
      <x:c r="P535" s="19" t="n">
        <x:f>IF(AND(SUM(K535:M535)&lt;9,OR(L535=0,N535&lt;6)),1,0)</x:f>
        <x:v>1</x:v>
      </x:c>
      <x:c r="Q535" s="19" t="n">
        <x:f>IF(AND(SUM(K535:M535)&lt;9,OR(K535=0,N535&lt;6)),1,0)</x:f>
        <x:v>1</x:v>
      </x:c>
      <x:c r="R535" s="22" t="str">
        <x:f>O535&amp;P535&amp;Q535</x:f>
        <x:v>111</x:v>
      </x:c>
      <x:c r="S535" s="19" t="n">
        <x:f>IF(I535=1,IF(J535=0,Q535,IF(J535=1,P535,IF(J535=2,O535,0))),0)</x:f>
        <x:v>1</x:v>
      </x:c>
      <x:c r="T535" s="19" t="n">
        <x:f>K535+IF(AND(S535=1,J535=0),1,0)</x:f>
        <x:v>0</x:v>
      </x:c>
      <x:c r="U535" s="19" t="n">
        <x:f>L535+IF(AND(S535=1,J535=1),1,0)</x:f>
        <x:v>0</x:v>
      </x:c>
      <x:c r="V535" s="19" t="n">
        <x:f>M535+IF(AND(S535=1,J535=2),1,0)</x:f>
        <x:v>7</x:v>
      </x:c>
      <x:c r="W535" s="19" t="n">
        <x:f>SUM(T535:V535)</x:f>
        <x:v>7</x:v>
      </x:c>
      <x:c r="X535" s="19" t="n">
        <x:f>W535-G535</x:f>
        <x:v>0</x:v>
      </x:c>
      <x:c r="Y535" s="19" t="n">
        <x:f>MAX(T535,1)+MAX(U535,1)+MAX(V535,1)</x:f>
        <x:v>9</x:v>
      </x:c>
      <x:c r="Z535" s="21" t="str">
        <x:f>IF(AND(MIN(D535:F535)&gt;=0,MAX(D535:F535)&lt;=7,MAX(D535,1)+MAX(E535,1)+MAX(F535,1)&lt;=9,OR(H535="-",AND(H535=0,D535&gt;0),AND(H535=1,E535&gt;0),AND(H535=2,F535&gt;0)),OR(I535=0,AND(I535=1,OR(J535=0,J535=1,J535=2),R535&lt;&gt;"000")),Y535&lt;=9,MIN(T535:V535)&gt;=0),"合法","输入违约")</x:f>
        <x:v>合法</x:v>
      </x:c>
    </x:row>
    <x:row r="536" ht="23" customHeight="1">
      <x:c r="A536" s="3" t="str">
        <x:v>CT-0529</x:v>
      </x:c>
      <x:c r="B536" s="3" t="str">
        <x:v>ST-093</x:v>
      </x:c>
      <x:c r="C536" s="3" t="str">
        <x:v>仅R回收</x:v>
      </x:c>
      <x:c r="D536" s="25" t="n">
        <x:v>1</x:v>
      </x:c>
      <x:c r="E536" s="25" t="n">
        <x:v>0</x:v>
      </x:c>
      <x:c r="F536" s="25" t="n">
        <x:v>6</x:v>
      </x:c>
      <x:c r="G536" s="19" t="n">
        <x:f>SUM(D536:F536)</x:f>
        <x:v>7</x:v>
      </x:c>
      <x:c r="H536" s="25" t="n">
        <x:v>2</x:v>
      </x:c>
      <x:c r="I536" s="25" t="n">
        <x:v>0</x:v>
      </x:c>
      <x:c r="J536" s="25" t="str">
        <x:v>-</x:v>
      </x:c>
      <x:c r="K536" s="19" t="n">
        <x:f>D536-IF(H536=0,1,0)</x:f>
        <x:v>1</x:v>
      </x:c>
      <x:c r="L536" s="19" t="n">
        <x:f>E536-IF(H536=1,1,0)</x:f>
        <x:v>0</x:v>
      </x:c>
      <x:c r="M536" s="19" t="n">
        <x:f>F536-IF(H536=2,1,0)</x:f>
        <x:v>5</x:v>
      </x:c>
      <x:c r="N536" s="19" t="n">
        <x:f>MAX(K536-1,0)+MAX(L536-1,0)+MAX(M536-1,0)</x:f>
        <x:v>4</x:v>
      </x:c>
      <x:c r="O536" s="19" t="n">
        <x:f>IF(AND(SUM(K536:M536)&lt;9,OR(M536=0,N536&lt;6)),1,0)</x:f>
        <x:v>1</x:v>
      </x:c>
      <x:c r="P536" s="19" t="n">
        <x:f>IF(AND(SUM(K536:M536)&lt;9,OR(L536=0,N536&lt;6)),1,0)</x:f>
        <x:v>1</x:v>
      </x:c>
      <x:c r="Q536" s="19" t="n">
        <x:f>IF(AND(SUM(K536:M536)&lt;9,OR(K536=0,N536&lt;6)),1,0)</x:f>
        <x:v>1</x:v>
      </x:c>
      <x:c r="R536" s="22" t="str">
        <x:f>O536&amp;P536&amp;Q536</x:f>
        <x:v>111</x:v>
      </x:c>
      <x:c r="S536" s="19" t="n">
        <x:f>IF(I536=1,IF(J536=0,Q536,IF(J536=1,P536,IF(J536=2,O536,0))),0)</x:f>
        <x:v>0</x:v>
      </x:c>
      <x:c r="T536" s="19" t="n">
        <x:f>K536+IF(AND(S536=1,J536=0),1,0)</x:f>
        <x:v>1</x:v>
      </x:c>
      <x:c r="U536" s="19" t="n">
        <x:f>L536+IF(AND(S536=1,J536=1),1,0)</x:f>
        <x:v>0</x:v>
      </x:c>
      <x:c r="V536" s="19" t="n">
        <x:f>M536+IF(AND(S536=1,J536=2),1,0)</x:f>
        <x:v>5</x:v>
      </x:c>
      <x:c r="W536" s="19" t="n">
        <x:f>SUM(T536:V536)</x:f>
        <x:v>6</x:v>
      </x:c>
      <x:c r="X536" s="19" t="n">
        <x:f>W536-G536</x:f>
        <x:v>-1</x:v>
      </x:c>
      <x:c r="Y536" s="19" t="n">
        <x:f>MAX(T536,1)+MAX(U536,1)+MAX(V536,1)</x:f>
        <x:v>7</x:v>
      </x:c>
      <x:c r="Z536" s="21" t="str">
        <x:f>IF(AND(MIN(D536:F536)&gt;=0,MAX(D536:F536)&lt;=7,MAX(D536,1)+MAX(E536,1)+MAX(F536,1)&lt;=9,OR(H536="-",AND(H536=0,D536&gt;0),AND(H536=1,E536&gt;0),AND(H536=2,F536&gt;0)),OR(I536=0,AND(I536=1,OR(J536=0,J536=1,J536=2),R536&lt;&gt;"000")),Y536&lt;=9,MIN(T536:V536)&gt;=0),"合法","输入违约")</x:f>
        <x:v>合法</x:v>
      </x:c>
    </x:row>
    <x:row r="537" ht="23" customHeight="1">
      <x:c r="A537" s="3" t="str">
        <x:v>CT-0530</x:v>
      </x:c>
      <x:c r="B537" s="3" t="str">
        <x:v>ST-093</x:v>
      </x:c>
      <x:c r="C537" s="3" t="str">
        <x:v>R+AR同收同发</x:v>
      </x:c>
      <x:c r="D537" s="25" t="n">
        <x:v>1</x:v>
      </x:c>
      <x:c r="E537" s="25" t="n">
        <x:v>0</x:v>
      </x:c>
      <x:c r="F537" s="25" t="n">
        <x:v>6</x:v>
      </x:c>
      <x:c r="G537" s="19" t="n">
        <x:f>SUM(D537:F537)</x:f>
        <x:v>7</x:v>
      </x:c>
      <x:c r="H537" s="25" t="n">
        <x:v>2</x:v>
      </x:c>
      <x:c r="I537" s="25" t="n">
        <x:v>1</x:v>
      </x:c>
      <x:c r="J537" s="25" t="n">
        <x:v>0</x:v>
      </x:c>
      <x:c r="K537" s="19" t="n">
        <x:f>D537-IF(H537=0,1,0)</x:f>
        <x:v>1</x:v>
      </x:c>
      <x:c r="L537" s="19" t="n">
        <x:f>E537-IF(H537=1,1,0)</x:f>
        <x:v>0</x:v>
      </x:c>
      <x:c r="M537" s="19" t="n">
        <x:f>F537-IF(H537=2,1,0)</x:f>
        <x:v>5</x:v>
      </x:c>
      <x:c r="N537" s="19" t="n">
        <x:f>MAX(K537-1,0)+MAX(L537-1,0)+MAX(M537-1,0)</x:f>
        <x:v>4</x:v>
      </x:c>
      <x:c r="O537" s="19" t="n">
        <x:f>IF(AND(SUM(K537:M537)&lt;9,OR(M537=0,N537&lt;6)),1,0)</x:f>
        <x:v>1</x:v>
      </x:c>
      <x:c r="P537" s="19" t="n">
        <x:f>IF(AND(SUM(K537:M537)&lt;9,OR(L537=0,N537&lt;6)),1,0)</x:f>
        <x:v>1</x:v>
      </x:c>
      <x:c r="Q537" s="19" t="n">
        <x:f>IF(AND(SUM(K537:M537)&lt;9,OR(K537=0,N537&lt;6)),1,0)</x:f>
        <x:v>1</x:v>
      </x:c>
      <x:c r="R537" s="22" t="str">
        <x:f>O537&amp;P537&amp;Q537</x:f>
        <x:v>111</x:v>
      </x:c>
      <x:c r="S537" s="19" t="n">
        <x:f>IF(I537=1,IF(J537=0,Q537,IF(J537=1,P537,IF(J537=2,O537,0))),0)</x:f>
        <x:v>1</x:v>
      </x:c>
      <x:c r="T537" s="19" t="n">
        <x:f>K537+IF(AND(S537=1,J537=0),1,0)</x:f>
        <x:v>2</x:v>
      </x:c>
      <x:c r="U537" s="19" t="n">
        <x:f>L537+IF(AND(S537=1,J537=1),1,0)</x:f>
        <x:v>0</x:v>
      </x:c>
      <x:c r="V537" s="19" t="n">
        <x:f>M537+IF(AND(S537=1,J537=2),1,0)</x:f>
        <x:v>5</x:v>
      </x:c>
      <x:c r="W537" s="19" t="n">
        <x:f>SUM(T537:V537)</x:f>
        <x:v>7</x:v>
      </x:c>
      <x:c r="X537" s="19" t="n">
        <x:f>W537-G537</x:f>
        <x:v>0</x:v>
      </x:c>
      <x:c r="Y537" s="19" t="n">
        <x:f>MAX(T537,1)+MAX(U537,1)+MAX(V537,1)</x:f>
        <x:v>8</x:v>
      </x:c>
      <x:c r="Z537" s="21" t="str">
        <x:f>IF(AND(MIN(D537:F537)&gt;=0,MAX(D537:F537)&lt;=7,MAX(D537,1)+MAX(E537,1)+MAX(F537,1)&lt;=9,OR(H537="-",AND(H537=0,D537&gt;0),AND(H537=1,E537&gt;0),AND(H537=2,F537&gt;0)),OR(I537=0,AND(I537=1,OR(J537=0,J537=1,J537=2),R537&lt;&gt;"000")),Y537&lt;=9,MIN(T537:V537)&gt;=0),"合法","输入违约")</x:f>
        <x:v>合法</x:v>
      </x:c>
    </x:row>
    <x:row r="538" ht="23" customHeight="1">
      <x:c r="A538" s="3" t="str">
        <x:v>CT-0531</x:v>
      </x:c>
      <x:c r="B538" s="3" t="str">
        <x:v>ST-093</x:v>
      </x:c>
      <x:c r="C538" s="3" t="str">
        <x:v>R+AR同收同发</x:v>
      </x:c>
      <x:c r="D538" s="25" t="n">
        <x:v>1</x:v>
      </x:c>
      <x:c r="E538" s="25" t="n">
        <x:v>0</x:v>
      </x:c>
      <x:c r="F538" s="25" t="n">
        <x:v>6</x:v>
      </x:c>
      <x:c r="G538" s="19" t="n">
        <x:f>SUM(D538:F538)</x:f>
        <x:v>7</x:v>
      </x:c>
      <x:c r="H538" s="25" t="n">
        <x:v>2</x:v>
      </x:c>
      <x:c r="I538" s="25" t="n">
        <x:v>1</x:v>
      </x:c>
      <x:c r="J538" s="25" t="n">
        <x:v>1</x:v>
      </x:c>
      <x:c r="K538" s="19" t="n">
        <x:f>D538-IF(H538=0,1,0)</x:f>
        <x:v>1</x:v>
      </x:c>
      <x:c r="L538" s="19" t="n">
        <x:f>E538-IF(H538=1,1,0)</x:f>
        <x:v>0</x:v>
      </x:c>
      <x:c r="M538" s="19" t="n">
        <x:f>F538-IF(H538=2,1,0)</x:f>
        <x:v>5</x:v>
      </x:c>
      <x:c r="N538" s="19" t="n">
        <x:f>MAX(K538-1,0)+MAX(L538-1,0)+MAX(M538-1,0)</x:f>
        <x:v>4</x:v>
      </x:c>
      <x:c r="O538" s="19" t="n">
        <x:f>IF(AND(SUM(K538:M538)&lt;9,OR(M538=0,N538&lt;6)),1,0)</x:f>
        <x:v>1</x:v>
      </x:c>
      <x:c r="P538" s="19" t="n">
        <x:f>IF(AND(SUM(K538:M538)&lt;9,OR(L538=0,N538&lt;6)),1,0)</x:f>
        <x:v>1</x:v>
      </x:c>
      <x:c r="Q538" s="19" t="n">
        <x:f>IF(AND(SUM(K538:M538)&lt;9,OR(K538=0,N538&lt;6)),1,0)</x:f>
        <x:v>1</x:v>
      </x:c>
      <x:c r="R538" s="22" t="str">
        <x:f>O538&amp;P538&amp;Q538</x:f>
        <x:v>111</x:v>
      </x:c>
      <x:c r="S538" s="19" t="n">
        <x:f>IF(I538=1,IF(J538=0,Q538,IF(J538=1,P538,IF(J538=2,O538,0))),0)</x:f>
        <x:v>1</x:v>
      </x:c>
      <x:c r="T538" s="19" t="n">
        <x:f>K538+IF(AND(S538=1,J538=0),1,0)</x:f>
        <x:v>1</x:v>
      </x:c>
      <x:c r="U538" s="19" t="n">
        <x:f>L538+IF(AND(S538=1,J538=1),1,0)</x:f>
        <x:v>1</x:v>
      </x:c>
      <x:c r="V538" s="19" t="n">
        <x:f>M538+IF(AND(S538=1,J538=2),1,0)</x:f>
        <x:v>5</x:v>
      </x:c>
      <x:c r="W538" s="19" t="n">
        <x:f>SUM(T538:V538)</x:f>
        <x:v>7</x:v>
      </x:c>
      <x:c r="X538" s="19" t="n">
        <x:f>W538-G538</x:f>
        <x:v>0</x:v>
      </x:c>
      <x:c r="Y538" s="19" t="n">
        <x:f>MAX(T538,1)+MAX(U538,1)+MAX(V538,1)</x:f>
        <x:v>7</x:v>
      </x:c>
      <x:c r="Z538" s="21" t="str">
        <x:f>IF(AND(MIN(D538:F538)&gt;=0,MAX(D538:F538)&lt;=7,MAX(D538,1)+MAX(E538,1)+MAX(F538,1)&lt;=9,OR(H538="-",AND(H538=0,D538&gt;0),AND(H538=1,E538&gt;0),AND(H538=2,F538&gt;0)),OR(I538=0,AND(I538=1,OR(J538=0,J538=1,J538=2),R538&lt;&gt;"000")),Y538&lt;=9,MIN(T538:V538)&gt;=0),"合法","输入违约")</x:f>
        <x:v>合法</x:v>
      </x:c>
    </x:row>
    <x:row r="539" ht="23" customHeight="1">
      <x:c r="A539" s="3" t="str">
        <x:v>CT-0532</x:v>
      </x:c>
      <x:c r="B539" s="3" t="str">
        <x:v>ST-093</x:v>
      </x:c>
      <x:c r="C539" s="3" t="str">
        <x:v>R+AR同收同发</x:v>
      </x:c>
      <x:c r="D539" s="25" t="n">
        <x:v>1</x:v>
      </x:c>
      <x:c r="E539" s="25" t="n">
        <x:v>0</x:v>
      </x:c>
      <x:c r="F539" s="25" t="n">
        <x:v>6</x:v>
      </x:c>
      <x:c r="G539" s="19" t="n">
        <x:f>SUM(D539:F539)</x:f>
        <x:v>7</x:v>
      </x:c>
      <x:c r="H539" s="25" t="n">
        <x:v>2</x:v>
      </x:c>
      <x:c r="I539" s="25" t="n">
        <x:v>1</x:v>
      </x:c>
      <x:c r="J539" s="25" t="n">
        <x:v>2</x:v>
      </x:c>
      <x:c r="K539" s="19" t="n">
        <x:f>D539-IF(H539=0,1,0)</x:f>
        <x:v>1</x:v>
      </x:c>
      <x:c r="L539" s="19" t="n">
        <x:f>E539-IF(H539=1,1,0)</x:f>
        <x:v>0</x:v>
      </x:c>
      <x:c r="M539" s="19" t="n">
        <x:f>F539-IF(H539=2,1,0)</x:f>
        <x:v>5</x:v>
      </x:c>
      <x:c r="N539" s="19" t="n">
        <x:f>MAX(K539-1,0)+MAX(L539-1,0)+MAX(M539-1,0)</x:f>
        <x:v>4</x:v>
      </x:c>
      <x:c r="O539" s="19" t="n">
        <x:f>IF(AND(SUM(K539:M539)&lt;9,OR(M539=0,N539&lt;6)),1,0)</x:f>
        <x:v>1</x:v>
      </x:c>
      <x:c r="P539" s="19" t="n">
        <x:f>IF(AND(SUM(K539:M539)&lt;9,OR(L539=0,N539&lt;6)),1,0)</x:f>
        <x:v>1</x:v>
      </x:c>
      <x:c r="Q539" s="19" t="n">
        <x:f>IF(AND(SUM(K539:M539)&lt;9,OR(K539=0,N539&lt;6)),1,0)</x:f>
        <x:v>1</x:v>
      </x:c>
      <x:c r="R539" s="22" t="str">
        <x:f>O539&amp;P539&amp;Q539</x:f>
        <x:v>111</x:v>
      </x:c>
      <x:c r="S539" s="19" t="n">
        <x:f>IF(I539=1,IF(J539=0,Q539,IF(J539=1,P539,IF(J539=2,O539,0))),0)</x:f>
        <x:v>1</x:v>
      </x:c>
      <x:c r="T539" s="19" t="n">
        <x:f>K539+IF(AND(S539=1,J539=0),1,0)</x:f>
        <x:v>1</x:v>
      </x:c>
      <x:c r="U539" s="19" t="n">
        <x:f>L539+IF(AND(S539=1,J539=1),1,0)</x:f>
        <x:v>0</x:v>
      </x:c>
      <x:c r="V539" s="19" t="n">
        <x:f>M539+IF(AND(S539=1,J539=2),1,0)</x:f>
        <x:v>6</x:v>
      </x:c>
      <x:c r="W539" s="19" t="n">
        <x:f>SUM(T539:V539)</x:f>
        <x:v>7</x:v>
      </x:c>
      <x:c r="X539" s="19" t="n">
        <x:f>W539-G539</x:f>
        <x:v>0</x:v>
      </x:c>
      <x:c r="Y539" s="19" t="n">
        <x:f>MAX(T539,1)+MAX(U539,1)+MAX(V539,1)</x:f>
        <x:v>8</x:v>
      </x:c>
      <x:c r="Z539" s="21" t="str">
        <x:f>IF(AND(MIN(D539:F539)&gt;=0,MAX(D539:F539)&lt;=7,MAX(D539,1)+MAX(E539,1)+MAX(F539,1)&lt;=9,OR(H539="-",AND(H539=0,D539&gt;0),AND(H539=1,E539&gt;0),AND(H539=2,F539&gt;0)),OR(I539=0,AND(I539=1,OR(J539=0,J539=1,J539=2),R539&lt;&gt;"000")),Y539&lt;=9,MIN(T539:V539)&gt;=0),"合法","输入违约")</x:f>
        <x:v>合法</x:v>
      </x:c>
    </x:row>
    <x:row r="540" ht="23" customHeight="1">
      <x:c r="A540" s="3" t="str">
        <x:v>CT-0533</x:v>
      </x:c>
      <x:c r="B540" s="3" t="str">
        <x:v>ST-128</x:v>
      </x:c>
      <x:c r="C540" s="3" t="str">
        <x:v>无AR/R</x:v>
      </x:c>
      <x:c r="D540" s="25" t="n">
        <x:v>1</x:v>
      </x:c>
      <x:c r="E540" s="25" t="n">
        <x:v>0</x:v>
      </x:c>
      <x:c r="F540" s="25" t="n">
        <x:v>7</x:v>
      </x:c>
      <x:c r="G540" s="19" t="n">
        <x:f>SUM(D540:F540)</x:f>
        <x:v>8</x:v>
      </x:c>
      <x:c r="H540" s="25" t="str">
        <x:v>-</x:v>
      </x:c>
      <x:c r="I540" s="25" t="n">
        <x:v>0</x:v>
      </x:c>
      <x:c r="J540" s="25" t="str">
        <x:v>-</x:v>
      </x:c>
      <x:c r="K540" s="19" t="n">
        <x:f>D540-IF(H540=0,1,0)</x:f>
        <x:v>1</x:v>
      </x:c>
      <x:c r="L540" s="19" t="n">
        <x:f>E540-IF(H540=1,1,0)</x:f>
        <x:v>0</x:v>
      </x:c>
      <x:c r="M540" s="19" t="n">
        <x:f>F540-IF(H540=2,1,0)</x:f>
        <x:v>7</x:v>
      </x:c>
      <x:c r="N540" s="19" t="n">
        <x:f>MAX(K540-1,0)+MAX(L540-1,0)+MAX(M540-1,0)</x:f>
        <x:v>6</x:v>
      </x:c>
      <x:c r="O540" s="19" t="n">
        <x:f>IF(AND(SUM(K540:M540)&lt;9,OR(M540=0,N540&lt;6)),1,0)</x:f>
        <x:v>0</x:v>
      </x:c>
      <x:c r="P540" s="19" t="n">
        <x:f>IF(AND(SUM(K540:M540)&lt;9,OR(L540=0,N540&lt;6)),1,0)</x:f>
        <x:v>1</x:v>
      </x:c>
      <x:c r="Q540" s="19" t="n">
        <x:f>IF(AND(SUM(K540:M540)&lt;9,OR(K540=0,N540&lt;6)),1,0)</x:f>
        <x:v>0</x:v>
      </x:c>
      <x:c r="R540" s="22" t="str">
        <x:f>O540&amp;P540&amp;Q540</x:f>
        <x:v>010</x:v>
      </x:c>
      <x:c r="S540" s="19" t="n">
        <x:f>IF(I540=1,IF(J540=0,Q540,IF(J540=1,P540,IF(J540=2,O540,0))),0)</x:f>
        <x:v>0</x:v>
      </x:c>
      <x:c r="T540" s="19" t="n">
        <x:f>K540+IF(AND(S540=1,J540=0),1,0)</x:f>
        <x:v>1</x:v>
      </x:c>
      <x:c r="U540" s="19" t="n">
        <x:f>L540+IF(AND(S540=1,J540=1),1,0)</x:f>
        <x:v>0</x:v>
      </x:c>
      <x:c r="V540" s="19" t="n">
        <x:f>M540+IF(AND(S540=1,J540=2),1,0)</x:f>
        <x:v>7</x:v>
      </x:c>
      <x:c r="W540" s="19" t="n">
        <x:f>SUM(T540:V540)</x:f>
        <x:v>8</x:v>
      </x:c>
      <x:c r="X540" s="19" t="n">
        <x:f>W540-G540</x:f>
        <x:v>0</x:v>
      </x:c>
      <x:c r="Y540" s="19" t="n">
        <x:f>MAX(T540,1)+MAX(U540,1)+MAX(V540,1)</x:f>
        <x:v>9</x:v>
      </x:c>
      <x:c r="Z540" s="21" t="str">
        <x:f>IF(AND(MIN(D540:F540)&gt;=0,MAX(D540:F540)&lt;=7,MAX(D540,1)+MAX(E540,1)+MAX(F540,1)&lt;=9,OR(H540="-",AND(H540=0,D540&gt;0),AND(H540=1,E540&gt;0),AND(H540=2,F540&gt;0)),OR(I540=0,AND(I540=1,OR(J540=0,J540=1,J540=2),R540&lt;&gt;"000")),Y540&lt;=9,MIN(T540:V540)&gt;=0),"合法","输入违约")</x:f>
        <x:v>合法</x:v>
      </x:c>
    </x:row>
    <x:row r="541" ht="23" customHeight="1">
      <x:c r="A541" s="3" t="str">
        <x:v>CT-0534</x:v>
      </x:c>
      <x:c r="B541" s="3" t="str">
        <x:v>ST-128</x:v>
      </x:c>
      <x:c r="C541" s="3" t="str">
        <x:v>所选源被阻塞</x:v>
      </x:c>
      <x:c r="D541" s="25" t="n">
        <x:v>1</x:v>
      </x:c>
      <x:c r="E541" s="25" t="n">
        <x:v>0</x:v>
      </x:c>
      <x:c r="F541" s="25" t="n">
        <x:v>7</x:v>
      </x:c>
      <x:c r="G541" s="19" t="n">
        <x:f>SUM(D541:F541)</x:f>
        <x:v>8</x:v>
      </x:c>
      <x:c r="H541" s="25" t="str">
        <x:v>-</x:v>
      </x:c>
      <x:c r="I541" s="25" t="n">
        <x:v>1</x:v>
      </x:c>
      <x:c r="J541" s="25" t="n">
        <x:v>0</x:v>
      </x:c>
      <x:c r="K541" s="19" t="n">
        <x:f>D541-IF(H541=0,1,0)</x:f>
        <x:v>1</x:v>
      </x:c>
      <x:c r="L541" s="19" t="n">
        <x:f>E541-IF(H541=1,1,0)</x:f>
        <x:v>0</x:v>
      </x:c>
      <x:c r="M541" s="19" t="n">
        <x:f>F541-IF(H541=2,1,0)</x:f>
        <x:v>7</x:v>
      </x:c>
      <x:c r="N541" s="19" t="n">
        <x:f>MAX(K541-1,0)+MAX(L541-1,0)+MAX(M541-1,0)</x:f>
        <x:v>6</x:v>
      </x:c>
      <x:c r="O541" s="19" t="n">
        <x:f>IF(AND(SUM(K541:M541)&lt;9,OR(M541=0,N541&lt;6)),1,0)</x:f>
        <x:v>0</x:v>
      </x:c>
      <x:c r="P541" s="19" t="n">
        <x:f>IF(AND(SUM(K541:M541)&lt;9,OR(L541=0,N541&lt;6)),1,0)</x:f>
        <x:v>1</x:v>
      </x:c>
      <x:c r="Q541" s="19" t="n">
        <x:f>IF(AND(SUM(K541:M541)&lt;9,OR(K541=0,N541&lt;6)),1,0)</x:f>
        <x:v>0</x:v>
      </x:c>
      <x:c r="R541" s="22" t="str">
        <x:f>O541&amp;P541&amp;Q541</x:f>
        <x:v>010</x:v>
      </x:c>
      <x:c r="S541" s="19" t="n">
        <x:f>IF(I541=1,IF(J541=0,Q541,IF(J541=1,P541,IF(J541=2,O541,0))),0)</x:f>
        <x:v>0</x:v>
      </x:c>
      <x:c r="T541" s="19" t="n">
        <x:f>K541+IF(AND(S541=1,J541=0),1,0)</x:f>
        <x:v>1</x:v>
      </x:c>
      <x:c r="U541" s="19" t="n">
        <x:f>L541+IF(AND(S541=1,J541=1),1,0)</x:f>
        <x:v>0</x:v>
      </x:c>
      <x:c r="V541" s="19" t="n">
        <x:f>M541+IF(AND(S541=1,J541=2),1,0)</x:f>
        <x:v>7</x:v>
      </x:c>
      <x:c r="W541" s="19" t="n">
        <x:f>SUM(T541:V541)</x:f>
        <x:v>8</x:v>
      </x:c>
      <x:c r="X541" s="19" t="n">
        <x:f>W541-G541</x:f>
        <x:v>0</x:v>
      </x:c>
      <x:c r="Y541" s="19" t="n">
        <x:f>MAX(T541,1)+MAX(U541,1)+MAX(V541,1)</x:f>
        <x:v>9</x:v>
      </x:c>
      <x:c r="Z541" s="21" t="str">
        <x:f>IF(AND(MIN(D541:F541)&gt;=0,MAX(D541:F541)&lt;=7,MAX(D541,1)+MAX(E541,1)+MAX(F541,1)&lt;=9,OR(H541="-",AND(H541=0,D541&gt;0),AND(H541=1,E541&gt;0),AND(H541=2,F541&gt;0)),OR(I541=0,AND(I541=1,OR(J541=0,J541=1,J541=2),R541&lt;&gt;"000")),Y541&lt;=9,MIN(T541:V541)&gt;=0),"合法","输入违约")</x:f>
        <x:v>合法</x:v>
      </x:c>
    </x:row>
    <x:row r="542" ht="23" customHeight="1">
      <x:c r="A542" s="3" t="str">
        <x:v>CT-0535</x:v>
      </x:c>
      <x:c r="B542" s="3" t="str">
        <x:v>ST-128</x:v>
      </x:c>
      <x:c r="C542" s="3" t="str">
        <x:v>仅AR接收</x:v>
      </x:c>
      <x:c r="D542" s="25" t="n">
        <x:v>1</x:v>
      </x:c>
      <x:c r="E542" s="25" t="n">
        <x:v>0</x:v>
      </x:c>
      <x:c r="F542" s="25" t="n">
        <x:v>7</x:v>
      </x:c>
      <x:c r="G542" s="19" t="n">
        <x:f>SUM(D542:F542)</x:f>
        <x:v>8</x:v>
      </x:c>
      <x:c r="H542" s="25" t="str">
        <x:v>-</x:v>
      </x:c>
      <x:c r="I542" s="25" t="n">
        <x:v>1</x:v>
      </x:c>
      <x:c r="J542" s="25" t="n">
        <x:v>1</x:v>
      </x:c>
      <x:c r="K542" s="19" t="n">
        <x:f>D542-IF(H542=0,1,0)</x:f>
        <x:v>1</x:v>
      </x:c>
      <x:c r="L542" s="19" t="n">
        <x:f>E542-IF(H542=1,1,0)</x:f>
        <x:v>0</x:v>
      </x:c>
      <x:c r="M542" s="19" t="n">
        <x:f>F542-IF(H542=2,1,0)</x:f>
        <x:v>7</x:v>
      </x:c>
      <x:c r="N542" s="19" t="n">
        <x:f>MAX(K542-1,0)+MAX(L542-1,0)+MAX(M542-1,0)</x:f>
        <x:v>6</x:v>
      </x:c>
      <x:c r="O542" s="19" t="n">
        <x:f>IF(AND(SUM(K542:M542)&lt;9,OR(M542=0,N542&lt;6)),1,0)</x:f>
        <x:v>0</x:v>
      </x:c>
      <x:c r="P542" s="19" t="n">
        <x:f>IF(AND(SUM(K542:M542)&lt;9,OR(L542=0,N542&lt;6)),1,0)</x:f>
        <x:v>1</x:v>
      </x:c>
      <x:c r="Q542" s="19" t="n">
        <x:f>IF(AND(SUM(K542:M542)&lt;9,OR(K542=0,N542&lt;6)),1,0)</x:f>
        <x:v>0</x:v>
      </x:c>
      <x:c r="R542" s="22" t="str">
        <x:f>O542&amp;P542&amp;Q542</x:f>
        <x:v>010</x:v>
      </x:c>
      <x:c r="S542" s="19" t="n">
        <x:f>IF(I542=1,IF(J542=0,Q542,IF(J542=1,P542,IF(J542=2,O542,0))),0)</x:f>
        <x:v>1</x:v>
      </x:c>
      <x:c r="T542" s="19" t="n">
        <x:f>K542+IF(AND(S542=1,J542=0),1,0)</x:f>
        <x:v>1</x:v>
      </x:c>
      <x:c r="U542" s="19" t="n">
        <x:f>L542+IF(AND(S542=1,J542=1),1,0)</x:f>
        <x:v>1</x:v>
      </x:c>
      <x:c r="V542" s="19" t="n">
        <x:f>M542+IF(AND(S542=1,J542=2),1,0)</x:f>
        <x:v>7</x:v>
      </x:c>
      <x:c r="W542" s="19" t="n">
        <x:f>SUM(T542:V542)</x:f>
        <x:v>9</x:v>
      </x:c>
      <x:c r="X542" s="19" t="n">
        <x:f>W542-G542</x:f>
        <x:v>1</x:v>
      </x:c>
      <x:c r="Y542" s="19" t="n">
        <x:f>MAX(T542,1)+MAX(U542,1)+MAX(V542,1)</x:f>
        <x:v>9</x:v>
      </x:c>
      <x:c r="Z542" s="21" t="str">
        <x:f>IF(AND(MIN(D542:F542)&gt;=0,MAX(D542:F542)&lt;=7,MAX(D542,1)+MAX(E542,1)+MAX(F542,1)&lt;=9,OR(H542="-",AND(H542=0,D542&gt;0),AND(H542=1,E542&gt;0),AND(H542=2,F542&gt;0)),OR(I542=0,AND(I542=1,OR(J542=0,J542=1,J542=2),R542&lt;&gt;"000")),Y542&lt;=9,MIN(T542:V542)&gt;=0),"合法","输入违约")</x:f>
        <x:v>合法</x:v>
      </x:c>
    </x:row>
    <x:row r="543" ht="23" customHeight="1">
      <x:c r="A543" s="3" t="str">
        <x:v>CT-0536</x:v>
      </x:c>
      <x:c r="B543" s="3" t="str">
        <x:v>ST-128</x:v>
      </x:c>
      <x:c r="C543" s="3" t="str">
        <x:v>所选源被阻塞</x:v>
      </x:c>
      <x:c r="D543" s="25" t="n">
        <x:v>1</x:v>
      </x:c>
      <x:c r="E543" s="25" t="n">
        <x:v>0</x:v>
      </x:c>
      <x:c r="F543" s="25" t="n">
        <x:v>7</x:v>
      </x:c>
      <x:c r="G543" s="19" t="n">
        <x:f>SUM(D543:F543)</x:f>
        <x:v>8</x:v>
      </x:c>
      <x:c r="H543" s="25" t="str">
        <x:v>-</x:v>
      </x:c>
      <x:c r="I543" s="25" t="n">
        <x:v>1</x:v>
      </x:c>
      <x:c r="J543" s="25" t="n">
        <x:v>2</x:v>
      </x:c>
      <x:c r="K543" s="19" t="n">
        <x:f>D543-IF(H543=0,1,0)</x:f>
        <x:v>1</x:v>
      </x:c>
      <x:c r="L543" s="19" t="n">
        <x:f>E543-IF(H543=1,1,0)</x:f>
        <x:v>0</x:v>
      </x:c>
      <x:c r="M543" s="19" t="n">
        <x:f>F543-IF(H543=2,1,0)</x:f>
        <x:v>7</x:v>
      </x:c>
      <x:c r="N543" s="19" t="n">
        <x:f>MAX(K543-1,0)+MAX(L543-1,0)+MAX(M543-1,0)</x:f>
        <x:v>6</x:v>
      </x:c>
      <x:c r="O543" s="19" t="n">
        <x:f>IF(AND(SUM(K543:M543)&lt;9,OR(M543=0,N543&lt;6)),1,0)</x:f>
        <x:v>0</x:v>
      </x:c>
      <x:c r="P543" s="19" t="n">
        <x:f>IF(AND(SUM(K543:M543)&lt;9,OR(L543=0,N543&lt;6)),1,0)</x:f>
        <x:v>1</x:v>
      </x:c>
      <x:c r="Q543" s="19" t="n">
        <x:f>IF(AND(SUM(K543:M543)&lt;9,OR(K543=0,N543&lt;6)),1,0)</x:f>
        <x:v>0</x:v>
      </x:c>
      <x:c r="R543" s="22" t="str">
        <x:f>O543&amp;P543&amp;Q543</x:f>
        <x:v>010</x:v>
      </x:c>
      <x:c r="S543" s="19" t="n">
        <x:f>IF(I543=1,IF(J543=0,Q543,IF(J543=1,P543,IF(J543=2,O543,0))),0)</x:f>
        <x:v>0</x:v>
      </x:c>
      <x:c r="T543" s="19" t="n">
        <x:f>K543+IF(AND(S543=1,J543=0),1,0)</x:f>
        <x:v>1</x:v>
      </x:c>
      <x:c r="U543" s="19" t="n">
        <x:f>L543+IF(AND(S543=1,J543=1),1,0)</x:f>
        <x:v>0</x:v>
      </x:c>
      <x:c r="V543" s="19" t="n">
        <x:f>M543+IF(AND(S543=1,J543=2),1,0)</x:f>
        <x:v>7</x:v>
      </x:c>
      <x:c r="W543" s="19" t="n">
        <x:f>SUM(T543:V543)</x:f>
        <x:v>8</x:v>
      </x:c>
      <x:c r="X543" s="19" t="n">
        <x:f>W543-G543</x:f>
        <x:v>0</x:v>
      </x:c>
      <x:c r="Y543" s="19" t="n">
        <x:f>MAX(T543,1)+MAX(U543,1)+MAX(V543,1)</x:f>
        <x:v>9</x:v>
      </x:c>
      <x:c r="Z543" s="21" t="str">
        <x:f>IF(AND(MIN(D543:F543)&gt;=0,MAX(D543:F543)&lt;=7,MAX(D543,1)+MAX(E543,1)+MAX(F543,1)&lt;=9,OR(H543="-",AND(H543=0,D543&gt;0),AND(H543=1,E543&gt;0),AND(H543=2,F543&gt;0)),OR(I543=0,AND(I543=1,OR(J543=0,J543=1,J543=2),R543&lt;&gt;"000")),Y543&lt;=9,MIN(T543:V543)&gt;=0),"合法","输入违约")</x:f>
        <x:v>合法</x:v>
      </x:c>
    </x:row>
    <x:row r="544" ht="23" customHeight="1">
      <x:c r="A544" s="3" t="str">
        <x:v>CT-0537</x:v>
      </x:c>
      <x:c r="B544" s="3" t="str">
        <x:v>ST-128</x:v>
      </x:c>
      <x:c r="C544" s="3" t="str">
        <x:v>仅R回收</x:v>
      </x:c>
      <x:c r="D544" s="25" t="n">
        <x:v>1</x:v>
      </x:c>
      <x:c r="E544" s="25" t="n">
        <x:v>0</x:v>
      </x:c>
      <x:c r="F544" s="25" t="n">
        <x:v>7</x:v>
      </x:c>
      <x:c r="G544" s="19" t="n">
        <x:f>SUM(D544:F544)</x:f>
        <x:v>8</x:v>
      </x:c>
      <x:c r="H544" s="25" t="n">
        <x:v>0</x:v>
      </x:c>
      <x:c r="I544" s="25" t="n">
        <x:v>0</x:v>
      </x:c>
      <x:c r="J544" s="25" t="str">
        <x:v>-</x:v>
      </x:c>
      <x:c r="K544" s="19" t="n">
        <x:f>D544-IF(H544=0,1,0)</x:f>
        <x:v>0</x:v>
      </x:c>
      <x:c r="L544" s="19" t="n">
        <x:f>E544-IF(H544=1,1,0)</x:f>
        <x:v>0</x:v>
      </x:c>
      <x:c r="M544" s="19" t="n">
        <x:f>F544-IF(H544=2,1,0)</x:f>
        <x:v>7</x:v>
      </x:c>
      <x:c r="N544" s="19" t="n">
        <x:f>MAX(K544-1,0)+MAX(L544-1,0)+MAX(M544-1,0)</x:f>
        <x:v>6</x:v>
      </x:c>
      <x:c r="O544" s="19" t="n">
        <x:f>IF(AND(SUM(K544:M544)&lt;9,OR(M544=0,N544&lt;6)),1,0)</x:f>
        <x:v>0</x:v>
      </x:c>
      <x:c r="P544" s="19" t="n">
        <x:f>IF(AND(SUM(K544:M544)&lt;9,OR(L544=0,N544&lt;6)),1,0)</x:f>
        <x:v>1</x:v>
      </x:c>
      <x:c r="Q544" s="19" t="n">
        <x:f>IF(AND(SUM(K544:M544)&lt;9,OR(K544=0,N544&lt;6)),1,0)</x:f>
        <x:v>1</x:v>
      </x:c>
      <x:c r="R544" s="22" t="str">
        <x:f>O544&amp;P544&amp;Q544</x:f>
        <x:v>011</x:v>
      </x:c>
      <x:c r="S544" s="19" t="n">
        <x:f>IF(I544=1,IF(J544=0,Q544,IF(J544=1,P544,IF(J544=2,O544,0))),0)</x:f>
        <x:v>0</x:v>
      </x:c>
      <x:c r="T544" s="19" t="n">
        <x:f>K544+IF(AND(S544=1,J544=0),1,0)</x:f>
        <x:v>0</x:v>
      </x:c>
      <x:c r="U544" s="19" t="n">
        <x:f>L544+IF(AND(S544=1,J544=1),1,0)</x:f>
        <x:v>0</x:v>
      </x:c>
      <x:c r="V544" s="19" t="n">
        <x:f>M544+IF(AND(S544=1,J544=2),1,0)</x:f>
        <x:v>7</x:v>
      </x:c>
      <x:c r="W544" s="19" t="n">
        <x:f>SUM(T544:V544)</x:f>
        <x:v>7</x:v>
      </x:c>
      <x:c r="X544" s="19" t="n">
        <x:f>W544-G544</x:f>
        <x:v>-1</x:v>
      </x:c>
      <x:c r="Y544" s="19" t="n">
        <x:f>MAX(T544,1)+MAX(U544,1)+MAX(V544,1)</x:f>
        <x:v>9</x:v>
      </x:c>
      <x:c r="Z544" s="21" t="str">
        <x:f>IF(AND(MIN(D544:F544)&gt;=0,MAX(D544:F544)&lt;=7,MAX(D544,1)+MAX(E544,1)+MAX(F544,1)&lt;=9,OR(H544="-",AND(H544=0,D544&gt;0),AND(H544=1,E544&gt;0),AND(H544=2,F544&gt;0)),OR(I544=0,AND(I544=1,OR(J544=0,J544=1,J544=2),R544&lt;&gt;"000")),Y544&lt;=9,MIN(T544:V544)&gt;=0),"合法","输入违约")</x:f>
        <x:v>合法</x:v>
      </x:c>
    </x:row>
    <x:row r="545" ht="23" customHeight="1">
      <x:c r="A545" s="3" t="str">
        <x:v>CT-0538</x:v>
      </x:c>
      <x:c r="B545" s="3" t="str">
        <x:v>ST-128</x:v>
      </x:c>
      <x:c r="C545" s="3" t="str">
        <x:v>R+AR同收同发</x:v>
      </x:c>
      <x:c r="D545" s="25" t="n">
        <x:v>1</x:v>
      </x:c>
      <x:c r="E545" s="25" t="n">
        <x:v>0</x:v>
      </x:c>
      <x:c r="F545" s="25" t="n">
        <x:v>7</x:v>
      </x:c>
      <x:c r="G545" s="19" t="n">
        <x:f>SUM(D545:F545)</x:f>
        <x:v>8</x:v>
      </x:c>
      <x:c r="H545" s="25" t="n">
        <x:v>0</x:v>
      </x:c>
      <x:c r="I545" s="25" t="n">
        <x:v>1</x:v>
      </x:c>
      <x:c r="J545" s="25" t="n">
        <x:v>0</x:v>
      </x:c>
      <x:c r="K545" s="19" t="n">
        <x:f>D545-IF(H545=0,1,0)</x:f>
        <x:v>0</x:v>
      </x:c>
      <x:c r="L545" s="19" t="n">
        <x:f>E545-IF(H545=1,1,0)</x:f>
        <x:v>0</x:v>
      </x:c>
      <x:c r="M545" s="19" t="n">
        <x:f>F545-IF(H545=2,1,0)</x:f>
        <x:v>7</x:v>
      </x:c>
      <x:c r="N545" s="19" t="n">
        <x:f>MAX(K545-1,0)+MAX(L545-1,0)+MAX(M545-1,0)</x:f>
        <x:v>6</x:v>
      </x:c>
      <x:c r="O545" s="19" t="n">
        <x:f>IF(AND(SUM(K545:M545)&lt;9,OR(M545=0,N545&lt;6)),1,0)</x:f>
        <x:v>0</x:v>
      </x:c>
      <x:c r="P545" s="19" t="n">
        <x:f>IF(AND(SUM(K545:M545)&lt;9,OR(L545=0,N545&lt;6)),1,0)</x:f>
        <x:v>1</x:v>
      </x:c>
      <x:c r="Q545" s="19" t="n">
        <x:f>IF(AND(SUM(K545:M545)&lt;9,OR(K545=0,N545&lt;6)),1,0)</x:f>
        <x:v>1</x:v>
      </x:c>
      <x:c r="R545" s="22" t="str">
        <x:f>O545&amp;P545&amp;Q545</x:f>
        <x:v>011</x:v>
      </x:c>
      <x:c r="S545" s="19" t="n">
        <x:f>IF(I545=1,IF(J545=0,Q545,IF(J545=1,P545,IF(J545=2,O545,0))),0)</x:f>
        <x:v>1</x:v>
      </x:c>
      <x:c r="T545" s="19" t="n">
        <x:f>K545+IF(AND(S545=1,J545=0),1,0)</x:f>
        <x:v>1</x:v>
      </x:c>
      <x:c r="U545" s="19" t="n">
        <x:f>L545+IF(AND(S545=1,J545=1),1,0)</x:f>
        <x:v>0</x:v>
      </x:c>
      <x:c r="V545" s="19" t="n">
        <x:f>M545+IF(AND(S545=1,J545=2),1,0)</x:f>
        <x:v>7</x:v>
      </x:c>
      <x:c r="W545" s="19" t="n">
        <x:f>SUM(T545:V545)</x:f>
        <x:v>8</x:v>
      </x:c>
      <x:c r="X545" s="19" t="n">
        <x:f>W545-G545</x:f>
        <x:v>0</x:v>
      </x:c>
      <x:c r="Y545" s="19" t="n">
        <x:f>MAX(T545,1)+MAX(U545,1)+MAX(V545,1)</x:f>
        <x:v>9</x:v>
      </x:c>
      <x:c r="Z545" s="21" t="str">
        <x:f>IF(AND(MIN(D545:F545)&gt;=0,MAX(D545:F545)&lt;=7,MAX(D545,1)+MAX(E545,1)+MAX(F545,1)&lt;=9,OR(H545="-",AND(H545=0,D545&gt;0),AND(H545=1,E545&gt;0),AND(H545=2,F545&gt;0)),OR(I545=0,AND(I545=1,OR(J545=0,J545=1,J545=2),R545&lt;&gt;"000")),Y545&lt;=9,MIN(T545:V545)&gt;=0),"合法","输入违约")</x:f>
        <x:v>合法</x:v>
      </x:c>
    </x:row>
    <x:row r="546" ht="23" customHeight="1">
      <x:c r="A546" s="3" t="str">
        <x:v>CT-0539</x:v>
      </x:c>
      <x:c r="B546" s="3" t="str">
        <x:v>ST-128</x:v>
      </x:c>
      <x:c r="C546" s="3" t="str">
        <x:v>R+AR同收同发</x:v>
      </x:c>
      <x:c r="D546" s="25" t="n">
        <x:v>1</x:v>
      </x:c>
      <x:c r="E546" s="25" t="n">
        <x:v>0</x:v>
      </x:c>
      <x:c r="F546" s="25" t="n">
        <x:v>7</x:v>
      </x:c>
      <x:c r="G546" s="19" t="n">
        <x:f>SUM(D546:F546)</x:f>
        <x:v>8</x:v>
      </x:c>
      <x:c r="H546" s="25" t="n">
        <x:v>0</x:v>
      </x:c>
      <x:c r="I546" s="25" t="n">
        <x:v>1</x:v>
      </x:c>
      <x:c r="J546" s="25" t="n">
        <x:v>1</x:v>
      </x:c>
      <x:c r="K546" s="19" t="n">
        <x:f>D546-IF(H546=0,1,0)</x:f>
        <x:v>0</x:v>
      </x:c>
      <x:c r="L546" s="19" t="n">
        <x:f>E546-IF(H546=1,1,0)</x:f>
        <x:v>0</x:v>
      </x:c>
      <x:c r="M546" s="19" t="n">
        <x:f>F546-IF(H546=2,1,0)</x:f>
        <x:v>7</x:v>
      </x:c>
      <x:c r="N546" s="19" t="n">
        <x:f>MAX(K546-1,0)+MAX(L546-1,0)+MAX(M546-1,0)</x:f>
        <x:v>6</x:v>
      </x:c>
      <x:c r="O546" s="19" t="n">
        <x:f>IF(AND(SUM(K546:M546)&lt;9,OR(M546=0,N546&lt;6)),1,0)</x:f>
        <x:v>0</x:v>
      </x:c>
      <x:c r="P546" s="19" t="n">
        <x:f>IF(AND(SUM(K546:M546)&lt;9,OR(L546=0,N546&lt;6)),1,0)</x:f>
        <x:v>1</x:v>
      </x:c>
      <x:c r="Q546" s="19" t="n">
        <x:f>IF(AND(SUM(K546:M546)&lt;9,OR(K546=0,N546&lt;6)),1,0)</x:f>
        <x:v>1</x:v>
      </x:c>
      <x:c r="R546" s="22" t="str">
        <x:f>O546&amp;P546&amp;Q546</x:f>
        <x:v>011</x:v>
      </x:c>
      <x:c r="S546" s="19" t="n">
        <x:f>IF(I546=1,IF(J546=0,Q546,IF(J546=1,P546,IF(J546=2,O546,0))),0)</x:f>
        <x:v>1</x:v>
      </x:c>
      <x:c r="T546" s="19" t="n">
        <x:f>K546+IF(AND(S546=1,J546=0),1,0)</x:f>
        <x:v>0</x:v>
      </x:c>
      <x:c r="U546" s="19" t="n">
        <x:f>L546+IF(AND(S546=1,J546=1),1,0)</x:f>
        <x:v>1</x:v>
      </x:c>
      <x:c r="V546" s="19" t="n">
        <x:f>M546+IF(AND(S546=1,J546=2),1,0)</x:f>
        <x:v>7</x:v>
      </x:c>
      <x:c r="W546" s="19" t="n">
        <x:f>SUM(T546:V546)</x:f>
        <x:v>8</x:v>
      </x:c>
      <x:c r="X546" s="19" t="n">
        <x:f>W546-G546</x:f>
        <x:v>0</x:v>
      </x:c>
      <x:c r="Y546" s="19" t="n">
        <x:f>MAX(T546,1)+MAX(U546,1)+MAX(V546,1)</x:f>
        <x:v>9</x:v>
      </x:c>
      <x:c r="Z546" s="21" t="str">
        <x:f>IF(AND(MIN(D546:F546)&gt;=0,MAX(D546:F546)&lt;=7,MAX(D546,1)+MAX(E546,1)+MAX(F546,1)&lt;=9,OR(H546="-",AND(H546=0,D546&gt;0),AND(H546=1,E546&gt;0),AND(H546=2,F546&gt;0)),OR(I546=0,AND(I546=1,OR(J546=0,J546=1,J546=2),R546&lt;&gt;"000")),Y546&lt;=9,MIN(T546:V546)&gt;=0),"合法","输入违约")</x:f>
        <x:v>合法</x:v>
      </x:c>
    </x:row>
    <x:row r="547" ht="23" customHeight="1">
      <x:c r="A547" s="3" t="str">
        <x:v>CT-0540</x:v>
      </x:c>
      <x:c r="B547" s="3" t="str">
        <x:v>ST-128</x:v>
      </x:c>
      <x:c r="C547" s="3" t="str">
        <x:v>仅R回收</x:v>
      </x:c>
      <x:c r="D547" s="25" t="n">
        <x:v>1</x:v>
      </x:c>
      <x:c r="E547" s="25" t="n">
        <x:v>0</x:v>
      </x:c>
      <x:c r="F547" s="25" t="n">
        <x:v>7</x:v>
      </x:c>
      <x:c r="G547" s="19" t="n">
        <x:f>SUM(D547:F547)</x:f>
        <x:v>8</x:v>
      </x:c>
      <x:c r="H547" s="25" t="n">
        <x:v>0</x:v>
      </x:c>
      <x:c r="I547" s="25" t="n">
        <x:v>1</x:v>
      </x:c>
      <x:c r="J547" s="25" t="n">
        <x:v>2</x:v>
      </x:c>
      <x:c r="K547" s="19" t="n">
        <x:f>D547-IF(H547=0,1,0)</x:f>
        <x:v>0</x:v>
      </x:c>
      <x:c r="L547" s="19" t="n">
        <x:f>E547-IF(H547=1,1,0)</x:f>
        <x:v>0</x:v>
      </x:c>
      <x:c r="M547" s="19" t="n">
        <x:f>F547-IF(H547=2,1,0)</x:f>
        <x:v>7</x:v>
      </x:c>
      <x:c r="N547" s="19" t="n">
        <x:f>MAX(K547-1,0)+MAX(L547-1,0)+MAX(M547-1,0)</x:f>
        <x:v>6</x:v>
      </x:c>
      <x:c r="O547" s="19" t="n">
        <x:f>IF(AND(SUM(K547:M547)&lt;9,OR(M547=0,N547&lt;6)),1,0)</x:f>
        <x:v>0</x:v>
      </x:c>
      <x:c r="P547" s="19" t="n">
        <x:f>IF(AND(SUM(K547:M547)&lt;9,OR(L547=0,N547&lt;6)),1,0)</x:f>
        <x:v>1</x:v>
      </x:c>
      <x:c r="Q547" s="19" t="n">
        <x:f>IF(AND(SUM(K547:M547)&lt;9,OR(K547=0,N547&lt;6)),1,0)</x:f>
        <x:v>1</x:v>
      </x:c>
      <x:c r="R547" s="22" t="str">
        <x:f>O547&amp;P547&amp;Q547</x:f>
        <x:v>011</x:v>
      </x:c>
      <x:c r="S547" s="19" t="n">
        <x:f>IF(I547=1,IF(J547=0,Q547,IF(J547=1,P547,IF(J547=2,O547,0))),0)</x:f>
        <x:v>0</x:v>
      </x:c>
      <x:c r="T547" s="19" t="n">
        <x:f>K547+IF(AND(S547=1,J547=0),1,0)</x:f>
        <x:v>0</x:v>
      </x:c>
      <x:c r="U547" s="19" t="n">
        <x:f>L547+IF(AND(S547=1,J547=1),1,0)</x:f>
        <x:v>0</x:v>
      </x:c>
      <x:c r="V547" s="19" t="n">
        <x:f>M547+IF(AND(S547=1,J547=2),1,0)</x:f>
        <x:v>7</x:v>
      </x:c>
      <x:c r="W547" s="19" t="n">
        <x:f>SUM(T547:V547)</x:f>
        <x:v>7</x:v>
      </x:c>
      <x:c r="X547" s="19" t="n">
        <x:f>W547-G547</x:f>
        <x:v>-1</x:v>
      </x:c>
      <x:c r="Y547" s="19" t="n">
        <x:f>MAX(T547,1)+MAX(U547,1)+MAX(V547,1)</x:f>
        <x:v>9</x:v>
      </x:c>
      <x:c r="Z547" s="21" t="str">
        <x:f>IF(AND(MIN(D547:F547)&gt;=0,MAX(D547:F547)&lt;=7,MAX(D547,1)+MAX(E547,1)+MAX(F547,1)&lt;=9,OR(H547="-",AND(H547=0,D547&gt;0),AND(H547=1,E547&gt;0),AND(H547=2,F547&gt;0)),OR(I547=0,AND(I547=1,OR(J547=0,J547=1,J547=2),R547&lt;&gt;"000")),Y547&lt;=9,MIN(T547:V547)&gt;=0),"合法","输入违约")</x:f>
        <x:v>合法</x:v>
      </x:c>
    </x:row>
    <x:row r="548" ht="23" customHeight="1">
      <x:c r="A548" s="3" t="str">
        <x:v>CT-0541</x:v>
      </x:c>
      <x:c r="B548" s="3" t="str">
        <x:v>ST-128</x:v>
      </x:c>
      <x:c r="C548" s="3" t="str">
        <x:v>仅R回收</x:v>
      </x:c>
      <x:c r="D548" s="25" t="n">
        <x:v>1</x:v>
      </x:c>
      <x:c r="E548" s="25" t="n">
        <x:v>0</x:v>
      </x:c>
      <x:c r="F548" s="25" t="n">
        <x:v>7</x:v>
      </x:c>
      <x:c r="G548" s="19" t="n">
        <x:f>SUM(D548:F548)</x:f>
        <x:v>8</x:v>
      </x:c>
      <x:c r="H548" s="25" t="n">
        <x:v>2</x:v>
      </x:c>
      <x:c r="I548" s="25" t="n">
        <x:v>0</x:v>
      </x:c>
      <x:c r="J548" s="25" t="str">
        <x:v>-</x:v>
      </x:c>
      <x:c r="K548" s="19" t="n">
        <x:f>D548-IF(H548=0,1,0)</x:f>
        <x:v>1</x:v>
      </x:c>
      <x:c r="L548" s="19" t="n">
        <x:f>E548-IF(H548=1,1,0)</x:f>
        <x:v>0</x:v>
      </x:c>
      <x:c r="M548" s="19" t="n">
        <x:f>F548-IF(H548=2,1,0)</x:f>
        <x:v>6</x:v>
      </x:c>
      <x:c r="N548" s="19" t="n">
        <x:f>MAX(K548-1,0)+MAX(L548-1,0)+MAX(M548-1,0)</x:f>
        <x:v>5</x:v>
      </x:c>
      <x:c r="O548" s="19" t="n">
        <x:f>IF(AND(SUM(K548:M548)&lt;9,OR(M548=0,N548&lt;6)),1,0)</x:f>
        <x:v>1</x:v>
      </x:c>
      <x:c r="P548" s="19" t="n">
        <x:f>IF(AND(SUM(K548:M548)&lt;9,OR(L548=0,N548&lt;6)),1,0)</x:f>
        <x:v>1</x:v>
      </x:c>
      <x:c r="Q548" s="19" t="n">
        <x:f>IF(AND(SUM(K548:M548)&lt;9,OR(K548=0,N548&lt;6)),1,0)</x:f>
        <x:v>1</x:v>
      </x:c>
      <x:c r="R548" s="22" t="str">
        <x:f>O548&amp;P548&amp;Q548</x:f>
        <x:v>111</x:v>
      </x:c>
      <x:c r="S548" s="19" t="n">
        <x:f>IF(I548=1,IF(J548=0,Q548,IF(J548=1,P548,IF(J548=2,O548,0))),0)</x:f>
        <x:v>0</x:v>
      </x:c>
      <x:c r="T548" s="19" t="n">
        <x:f>K548+IF(AND(S548=1,J548=0),1,0)</x:f>
        <x:v>1</x:v>
      </x:c>
      <x:c r="U548" s="19" t="n">
        <x:f>L548+IF(AND(S548=1,J548=1),1,0)</x:f>
        <x:v>0</x:v>
      </x:c>
      <x:c r="V548" s="19" t="n">
        <x:f>M548+IF(AND(S548=1,J548=2),1,0)</x:f>
        <x:v>6</x:v>
      </x:c>
      <x:c r="W548" s="19" t="n">
        <x:f>SUM(T548:V548)</x:f>
        <x:v>7</x:v>
      </x:c>
      <x:c r="X548" s="19" t="n">
        <x:f>W548-G548</x:f>
        <x:v>-1</x:v>
      </x:c>
      <x:c r="Y548" s="19" t="n">
        <x:f>MAX(T548,1)+MAX(U548,1)+MAX(V548,1)</x:f>
        <x:v>8</x:v>
      </x:c>
      <x:c r="Z548" s="21" t="str">
        <x:f>IF(AND(MIN(D548:F548)&gt;=0,MAX(D548:F548)&lt;=7,MAX(D548,1)+MAX(E548,1)+MAX(F548,1)&lt;=9,OR(H548="-",AND(H548=0,D548&gt;0),AND(H548=1,E548&gt;0),AND(H548=2,F548&gt;0)),OR(I548=0,AND(I548=1,OR(J548=0,J548=1,J548=2),R548&lt;&gt;"000")),Y548&lt;=9,MIN(T548:V548)&gt;=0),"合法","输入违约")</x:f>
        <x:v>合法</x:v>
      </x:c>
    </x:row>
    <x:row r="549" ht="23" customHeight="1">
      <x:c r="A549" s="3" t="str">
        <x:v>CT-0542</x:v>
      </x:c>
      <x:c r="B549" s="3" t="str">
        <x:v>ST-128</x:v>
      </x:c>
      <x:c r="C549" s="3" t="str">
        <x:v>R+AR同收同发</x:v>
      </x:c>
      <x:c r="D549" s="25" t="n">
        <x:v>1</x:v>
      </x:c>
      <x:c r="E549" s="25" t="n">
        <x:v>0</x:v>
      </x:c>
      <x:c r="F549" s="25" t="n">
        <x:v>7</x:v>
      </x:c>
      <x:c r="G549" s="19" t="n">
        <x:f>SUM(D549:F549)</x:f>
        <x:v>8</x:v>
      </x:c>
      <x:c r="H549" s="25" t="n">
        <x:v>2</x:v>
      </x:c>
      <x:c r="I549" s="25" t="n">
        <x:v>1</x:v>
      </x:c>
      <x:c r="J549" s="25" t="n">
        <x:v>0</x:v>
      </x:c>
      <x:c r="K549" s="19" t="n">
        <x:f>D549-IF(H549=0,1,0)</x:f>
        <x:v>1</x:v>
      </x:c>
      <x:c r="L549" s="19" t="n">
        <x:f>E549-IF(H549=1,1,0)</x:f>
        <x:v>0</x:v>
      </x:c>
      <x:c r="M549" s="19" t="n">
        <x:f>F549-IF(H549=2,1,0)</x:f>
        <x:v>6</x:v>
      </x:c>
      <x:c r="N549" s="19" t="n">
        <x:f>MAX(K549-1,0)+MAX(L549-1,0)+MAX(M549-1,0)</x:f>
        <x:v>5</x:v>
      </x:c>
      <x:c r="O549" s="19" t="n">
        <x:f>IF(AND(SUM(K549:M549)&lt;9,OR(M549=0,N549&lt;6)),1,0)</x:f>
        <x:v>1</x:v>
      </x:c>
      <x:c r="P549" s="19" t="n">
        <x:f>IF(AND(SUM(K549:M549)&lt;9,OR(L549=0,N549&lt;6)),1,0)</x:f>
        <x:v>1</x:v>
      </x:c>
      <x:c r="Q549" s="19" t="n">
        <x:f>IF(AND(SUM(K549:M549)&lt;9,OR(K549=0,N549&lt;6)),1,0)</x:f>
        <x:v>1</x:v>
      </x:c>
      <x:c r="R549" s="22" t="str">
        <x:f>O549&amp;P549&amp;Q549</x:f>
        <x:v>111</x:v>
      </x:c>
      <x:c r="S549" s="19" t="n">
        <x:f>IF(I549=1,IF(J549=0,Q549,IF(J549=1,P549,IF(J549=2,O549,0))),0)</x:f>
        <x:v>1</x:v>
      </x:c>
      <x:c r="T549" s="19" t="n">
        <x:f>K549+IF(AND(S549=1,J549=0),1,0)</x:f>
        <x:v>2</x:v>
      </x:c>
      <x:c r="U549" s="19" t="n">
        <x:f>L549+IF(AND(S549=1,J549=1),1,0)</x:f>
        <x:v>0</x:v>
      </x:c>
      <x:c r="V549" s="19" t="n">
        <x:f>M549+IF(AND(S549=1,J549=2),1,0)</x:f>
        <x:v>6</x:v>
      </x:c>
      <x:c r="W549" s="19" t="n">
        <x:f>SUM(T549:V549)</x:f>
        <x:v>8</x:v>
      </x:c>
      <x:c r="X549" s="19" t="n">
        <x:f>W549-G549</x:f>
        <x:v>0</x:v>
      </x:c>
      <x:c r="Y549" s="19" t="n">
        <x:f>MAX(T549,1)+MAX(U549,1)+MAX(V549,1)</x:f>
        <x:v>9</x:v>
      </x:c>
      <x:c r="Z549" s="21" t="str">
        <x:f>IF(AND(MIN(D549:F549)&gt;=0,MAX(D549:F549)&lt;=7,MAX(D549,1)+MAX(E549,1)+MAX(F549,1)&lt;=9,OR(H549="-",AND(H549=0,D549&gt;0),AND(H549=1,E549&gt;0),AND(H549=2,F549&gt;0)),OR(I549=0,AND(I549=1,OR(J549=0,J549=1,J549=2),R549&lt;&gt;"000")),Y549&lt;=9,MIN(T549:V549)&gt;=0),"合法","输入违约")</x:f>
        <x:v>合法</x:v>
      </x:c>
    </x:row>
    <x:row r="550" ht="23" customHeight="1">
      <x:c r="A550" s="3" t="str">
        <x:v>CT-0543</x:v>
      </x:c>
      <x:c r="B550" s="3" t="str">
        <x:v>ST-128</x:v>
      </x:c>
      <x:c r="C550" s="3" t="str">
        <x:v>R+AR同收同发</x:v>
      </x:c>
      <x:c r="D550" s="25" t="n">
        <x:v>1</x:v>
      </x:c>
      <x:c r="E550" s="25" t="n">
        <x:v>0</x:v>
      </x:c>
      <x:c r="F550" s="25" t="n">
        <x:v>7</x:v>
      </x:c>
      <x:c r="G550" s="19" t="n">
        <x:f>SUM(D550:F550)</x:f>
        <x:v>8</x:v>
      </x:c>
      <x:c r="H550" s="25" t="n">
        <x:v>2</x:v>
      </x:c>
      <x:c r="I550" s="25" t="n">
        <x:v>1</x:v>
      </x:c>
      <x:c r="J550" s="25" t="n">
        <x:v>1</x:v>
      </x:c>
      <x:c r="K550" s="19" t="n">
        <x:f>D550-IF(H550=0,1,0)</x:f>
        <x:v>1</x:v>
      </x:c>
      <x:c r="L550" s="19" t="n">
        <x:f>E550-IF(H550=1,1,0)</x:f>
        <x:v>0</x:v>
      </x:c>
      <x:c r="M550" s="19" t="n">
        <x:f>F550-IF(H550=2,1,0)</x:f>
        <x:v>6</x:v>
      </x:c>
      <x:c r="N550" s="19" t="n">
        <x:f>MAX(K550-1,0)+MAX(L550-1,0)+MAX(M550-1,0)</x:f>
        <x:v>5</x:v>
      </x:c>
      <x:c r="O550" s="19" t="n">
        <x:f>IF(AND(SUM(K550:M550)&lt;9,OR(M550=0,N550&lt;6)),1,0)</x:f>
        <x:v>1</x:v>
      </x:c>
      <x:c r="P550" s="19" t="n">
        <x:f>IF(AND(SUM(K550:M550)&lt;9,OR(L550=0,N550&lt;6)),1,0)</x:f>
        <x:v>1</x:v>
      </x:c>
      <x:c r="Q550" s="19" t="n">
        <x:f>IF(AND(SUM(K550:M550)&lt;9,OR(K550=0,N550&lt;6)),1,0)</x:f>
        <x:v>1</x:v>
      </x:c>
      <x:c r="R550" s="22" t="str">
        <x:f>O550&amp;P550&amp;Q550</x:f>
        <x:v>111</x:v>
      </x:c>
      <x:c r="S550" s="19" t="n">
        <x:f>IF(I550=1,IF(J550=0,Q550,IF(J550=1,P550,IF(J550=2,O550,0))),0)</x:f>
        <x:v>1</x:v>
      </x:c>
      <x:c r="T550" s="19" t="n">
        <x:f>K550+IF(AND(S550=1,J550=0),1,0)</x:f>
        <x:v>1</x:v>
      </x:c>
      <x:c r="U550" s="19" t="n">
        <x:f>L550+IF(AND(S550=1,J550=1),1,0)</x:f>
        <x:v>1</x:v>
      </x:c>
      <x:c r="V550" s="19" t="n">
        <x:f>M550+IF(AND(S550=1,J550=2),1,0)</x:f>
        <x:v>6</x:v>
      </x:c>
      <x:c r="W550" s="19" t="n">
        <x:f>SUM(T550:V550)</x:f>
        <x:v>8</x:v>
      </x:c>
      <x:c r="X550" s="19" t="n">
        <x:f>W550-G550</x:f>
        <x:v>0</x:v>
      </x:c>
      <x:c r="Y550" s="19" t="n">
        <x:f>MAX(T550,1)+MAX(U550,1)+MAX(V550,1)</x:f>
        <x:v>8</x:v>
      </x:c>
      <x:c r="Z550" s="21" t="str">
        <x:f>IF(AND(MIN(D550:F550)&gt;=0,MAX(D550:F550)&lt;=7,MAX(D550,1)+MAX(E550,1)+MAX(F550,1)&lt;=9,OR(H550="-",AND(H550=0,D550&gt;0),AND(H550=1,E550&gt;0),AND(H550=2,F550&gt;0)),OR(I550=0,AND(I550=1,OR(J550=0,J550=1,J550=2),R550&lt;&gt;"000")),Y550&lt;=9,MIN(T550:V550)&gt;=0),"合法","输入违约")</x:f>
        <x:v>合法</x:v>
      </x:c>
    </x:row>
    <x:row r="551" ht="23" customHeight="1">
      <x:c r="A551" s="3" t="str">
        <x:v>CT-0544</x:v>
      </x:c>
      <x:c r="B551" s="3" t="str">
        <x:v>ST-128</x:v>
      </x:c>
      <x:c r="C551" s="3" t="str">
        <x:v>R+AR同收同发</x:v>
      </x:c>
      <x:c r="D551" s="25" t="n">
        <x:v>1</x:v>
      </x:c>
      <x:c r="E551" s="25" t="n">
        <x:v>0</x:v>
      </x:c>
      <x:c r="F551" s="25" t="n">
        <x:v>7</x:v>
      </x:c>
      <x:c r="G551" s="19" t="n">
        <x:f>SUM(D551:F551)</x:f>
        <x:v>8</x:v>
      </x:c>
      <x:c r="H551" s="25" t="n">
        <x:v>2</x:v>
      </x:c>
      <x:c r="I551" s="25" t="n">
        <x:v>1</x:v>
      </x:c>
      <x:c r="J551" s="25" t="n">
        <x:v>2</x:v>
      </x:c>
      <x:c r="K551" s="19" t="n">
        <x:f>D551-IF(H551=0,1,0)</x:f>
        <x:v>1</x:v>
      </x:c>
      <x:c r="L551" s="19" t="n">
        <x:f>E551-IF(H551=1,1,0)</x:f>
        <x:v>0</x:v>
      </x:c>
      <x:c r="M551" s="19" t="n">
        <x:f>F551-IF(H551=2,1,0)</x:f>
        <x:v>6</x:v>
      </x:c>
      <x:c r="N551" s="19" t="n">
        <x:f>MAX(K551-1,0)+MAX(L551-1,0)+MAX(M551-1,0)</x:f>
        <x:v>5</x:v>
      </x:c>
      <x:c r="O551" s="19" t="n">
        <x:f>IF(AND(SUM(K551:M551)&lt;9,OR(M551=0,N551&lt;6)),1,0)</x:f>
        <x:v>1</x:v>
      </x:c>
      <x:c r="P551" s="19" t="n">
        <x:f>IF(AND(SUM(K551:M551)&lt;9,OR(L551=0,N551&lt;6)),1,0)</x:f>
        <x:v>1</x:v>
      </x:c>
      <x:c r="Q551" s="19" t="n">
        <x:f>IF(AND(SUM(K551:M551)&lt;9,OR(K551=0,N551&lt;6)),1,0)</x:f>
        <x:v>1</x:v>
      </x:c>
      <x:c r="R551" s="22" t="str">
        <x:f>O551&amp;P551&amp;Q551</x:f>
        <x:v>111</x:v>
      </x:c>
      <x:c r="S551" s="19" t="n">
        <x:f>IF(I551=1,IF(J551=0,Q551,IF(J551=1,P551,IF(J551=2,O551,0))),0)</x:f>
        <x:v>1</x:v>
      </x:c>
      <x:c r="T551" s="19" t="n">
        <x:f>K551+IF(AND(S551=1,J551=0),1,0)</x:f>
        <x:v>1</x:v>
      </x:c>
      <x:c r="U551" s="19" t="n">
        <x:f>L551+IF(AND(S551=1,J551=1),1,0)</x:f>
        <x:v>0</x:v>
      </x:c>
      <x:c r="V551" s="19" t="n">
        <x:f>M551+IF(AND(S551=1,J551=2),1,0)</x:f>
        <x:v>7</x:v>
      </x:c>
      <x:c r="W551" s="19" t="n">
        <x:f>SUM(T551:V551)</x:f>
        <x:v>8</x:v>
      </x:c>
      <x:c r="X551" s="19" t="n">
        <x:f>W551-G551</x:f>
        <x:v>0</x:v>
      </x:c>
      <x:c r="Y551" s="19" t="n">
        <x:f>MAX(T551,1)+MAX(U551,1)+MAX(V551,1)</x:f>
        <x:v>9</x:v>
      </x:c>
      <x:c r="Z551" s="21" t="str">
        <x:f>IF(AND(MIN(D551:F551)&gt;=0,MAX(D551:F551)&lt;=7,MAX(D551,1)+MAX(E551,1)+MAX(F551,1)&lt;=9,OR(H551="-",AND(H551=0,D551&gt;0),AND(H551=1,E551&gt;0),AND(H551=2,F551&gt;0)),OR(I551=0,AND(I551=1,OR(J551=0,J551=1,J551=2),R551&lt;&gt;"000")),Y551&lt;=9,MIN(T551:V551)&gt;=0),"合法","输入违约")</x:f>
        <x:v>合法</x:v>
      </x:c>
    </x:row>
    <x:row r="552" ht="23" customHeight="1">
      <x:c r="A552" s="3" t="str">
        <x:v>CT-0545</x:v>
      </x:c>
      <x:c r="B552" s="3" t="str">
        <x:v>ST-009</x:v>
      </x:c>
      <x:c r="C552" s="3" t="str">
        <x:v>无AR/R</x:v>
      </x:c>
      <x:c r="D552" s="25" t="n">
        <x:v>1</x:v>
      </x:c>
      <x:c r="E552" s="25" t="n">
        <x:v>1</x:v>
      </x:c>
      <x:c r="F552" s="25" t="n">
        <x:v>0</x:v>
      </x:c>
      <x:c r="G552" s="19" t="n">
        <x:f>SUM(D552:F552)</x:f>
        <x:v>2</x:v>
      </x:c>
      <x:c r="H552" s="25" t="str">
        <x:v>-</x:v>
      </x:c>
      <x:c r="I552" s="25" t="n">
        <x:v>0</x:v>
      </x:c>
      <x:c r="J552" s="25" t="str">
        <x:v>-</x:v>
      </x:c>
      <x:c r="K552" s="19" t="n">
        <x:f>D552-IF(H552=0,1,0)</x:f>
        <x:v>1</x:v>
      </x:c>
      <x:c r="L552" s="19" t="n">
        <x:f>E552-IF(H552=1,1,0)</x:f>
        <x:v>1</x:v>
      </x:c>
      <x:c r="M552" s="19" t="n">
        <x:f>F552-IF(H552=2,1,0)</x:f>
        <x:v>0</x:v>
      </x:c>
      <x:c r="N552" s="19" t="n">
        <x:f>MAX(K552-1,0)+MAX(L552-1,0)+MAX(M552-1,0)</x:f>
        <x:v>0</x:v>
      </x:c>
      <x:c r="O552" s="19" t="n">
        <x:f>IF(AND(SUM(K552:M552)&lt;9,OR(M552=0,N552&lt;6)),1,0)</x:f>
        <x:v>1</x:v>
      </x:c>
      <x:c r="P552" s="19" t="n">
        <x:f>IF(AND(SUM(K552:M552)&lt;9,OR(L552=0,N552&lt;6)),1,0)</x:f>
        <x:v>1</x:v>
      </x:c>
      <x:c r="Q552" s="19" t="n">
        <x:f>IF(AND(SUM(K552:M552)&lt;9,OR(K552=0,N552&lt;6)),1,0)</x:f>
        <x:v>1</x:v>
      </x:c>
      <x:c r="R552" s="22" t="str">
        <x:f>O552&amp;P552&amp;Q552</x:f>
        <x:v>111</x:v>
      </x:c>
      <x:c r="S552" s="19" t="n">
        <x:f>IF(I552=1,IF(J552=0,Q552,IF(J552=1,P552,IF(J552=2,O552,0))),0)</x:f>
        <x:v>0</x:v>
      </x:c>
      <x:c r="T552" s="19" t="n">
        <x:f>K552+IF(AND(S552=1,J552=0),1,0)</x:f>
        <x:v>1</x:v>
      </x:c>
      <x:c r="U552" s="19" t="n">
        <x:f>L552+IF(AND(S552=1,J552=1),1,0)</x:f>
        <x:v>1</x:v>
      </x:c>
      <x:c r="V552" s="19" t="n">
        <x:f>M552+IF(AND(S552=1,J552=2),1,0)</x:f>
        <x:v>0</x:v>
      </x:c>
      <x:c r="W552" s="19" t="n">
        <x:f>SUM(T552:V552)</x:f>
        <x:v>2</x:v>
      </x:c>
      <x:c r="X552" s="19" t="n">
        <x:f>W552-G552</x:f>
        <x:v>0</x:v>
      </x:c>
      <x:c r="Y552" s="19" t="n">
        <x:f>MAX(T552,1)+MAX(U552,1)+MAX(V552,1)</x:f>
        <x:v>3</x:v>
      </x:c>
      <x:c r="Z552" s="21" t="str">
        <x:f>IF(AND(MIN(D552:F552)&gt;=0,MAX(D552:F552)&lt;=7,MAX(D552,1)+MAX(E552,1)+MAX(F552,1)&lt;=9,OR(H552="-",AND(H552=0,D552&gt;0),AND(H552=1,E552&gt;0),AND(H552=2,F552&gt;0)),OR(I552=0,AND(I552=1,OR(J552=0,J552=1,J552=2),R552&lt;&gt;"000")),Y552&lt;=9,MIN(T552:V552)&gt;=0),"合法","输入违约")</x:f>
        <x:v>合法</x:v>
      </x:c>
    </x:row>
    <x:row r="553" ht="23" customHeight="1">
      <x:c r="A553" s="3" t="str">
        <x:v>CT-0546</x:v>
      </x:c>
      <x:c r="B553" s="3" t="str">
        <x:v>ST-009</x:v>
      </x:c>
      <x:c r="C553" s="3" t="str">
        <x:v>仅AR接收</x:v>
      </x:c>
      <x:c r="D553" s="25" t="n">
        <x:v>1</x:v>
      </x:c>
      <x:c r="E553" s="25" t="n">
        <x:v>1</x:v>
      </x:c>
      <x:c r="F553" s="25" t="n">
        <x:v>0</x:v>
      </x:c>
      <x:c r="G553" s="19" t="n">
        <x:f>SUM(D553:F553)</x:f>
        <x:v>2</x:v>
      </x:c>
      <x:c r="H553" s="25" t="str">
        <x:v>-</x:v>
      </x:c>
      <x:c r="I553" s="25" t="n">
        <x:v>1</x:v>
      </x:c>
      <x:c r="J553" s="25" t="n">
        <x:v>0</x:v>
      </x:c>
      <x:c r="K553" s="19" t="n">
        <x:f>D553-IF(H553=0,1,0)</x:f>
        <x:v>1</x:v>
      </x:c>
      <x:c r="L553" s="19" t="n">
        <x:f>E553-IF(H553=1,1,0)</x:f>
        <x:v>1</x:v>
      </x:c>
      <x:c r="M553" s="19" t="n">
        <x:f>F553-IF(H553=2,1,0)</x:f>
        <x:v>0</x:v>
      </x:c>
      <x:c r="N553" s="19" t="n">
        <x:f>MAX(K553-1,0)+MAX(L553-1,0)+MAX(M553-1,0)</x:f>
        <x:v>0</x:v>
      </x:c>
      <x:c r="O553" s="19" t="n">
        <x:f>IF(AND(SUM(K553:M553)&lt;9,OR(M553=0,N553&lt;6)),1,0)</x:f>
        <x:v>1</x:v>
      </x:c>
      <x:c r="P553" s="19" t="n">
        <x:f>IF(AND(SUM(K553:M553)&lt;9,OR(L553=0,N553&lt;6)),1,0)</x:f>
        <x:v>1</x:v>
      </x:c>
      <x:c r="Q553" s="19" t="n">
        <x:f>IF(AND(SUM(K553:M553)&lt;9,OR(K553=0,N553&lt;6)),1,0)</x:f>
        <x:v>1</x:v>
      </x:c>
      <x:c r="R553" s="22" t="str">
        <x:f>O553&amp;P553&amp;Q553</x:f>
        <x:v>111</x:v>
      </x:c>
      <x:c r="S553" s="19" t="n">
        <x:f>IF(I553=1,IF(J553=0,Q553,IF(J553=1,P553,IF(J553=2,O553,0))),0)</x:f>
        <x:v>1</x:v>
      </x:c>
      <x:c r="T553" s="19" t="n">
        <x:f>K553+IF(AND(S553=1,J553=0),1,0)</x:f>
        <x:v>2</x:v>
      </x:c>
      <x:c r="U553" s="19" t="n">
        <x:f>L553+IF(AND(S553=1,J553=1),1,0)</x:f>
        <x:v>1</x:v>
      </x:c>
      <x:c r="V553" s="19" t="n">
        <x:f>M553+IF(AND(S553=1,J553=2),1,0)</x:f>
        <x:v>0</x:v>
      </x:c>
      <x:c r="W553" s="19" t="n">
        <x:f>SUM(T553:V553)</x:f>
        <x:v>3</x:v>
      </x:c>
      <x:c r="X553" s="19" t="n">
        <x:f>W553-G553</x:f>
        <x:v>1</x:v>
      </x:c>
      <x:c r="Y553" s="19" t="n">
        <x:f>MAX(T553,1)+MAX(U553,1)+MAX(V553,1)</x:f>
        <x:v>4</x:v>
      </x:c>
      <x:c r="Z553" s="21" t="str">
        <x:f>IF(AND(MIN(D553:F553)&gt;=0,MAX(D553:F553)&lt;=7,MAX(D553,1)+MAX(E553,1)+MAX(F553,1)&lt;=9,OR(H553="-",AND(H553=0,D553&gt;0),AND(H553=1,E553&gt;0),AND(H553=2,F553&gt;0)),OR(I553=0,AND(I553=1,OR(J553=0,J553=1,J553=2),R553&lt;&gt;"000")),Y553&lt;=9,MIN(T553:V553)&gt;=0),"合法","输入违约")</x:f>
        <x:v>合法</x:v>
      </x:c>
    </x:row>
    <x:row r="554" ht="23" customHeight="1">
      <x:c r="A554" s="3" t="str">
        <x:v>CT-0547</x:v>
      </x:c>
      <x:c r="B554" s="3" t="str">
        <x:v>ST-009</x:v>
      </x:c>
      <x:c r="C554" s="3" t="str">
        <x:v>仅AR接收</x:v>
      </x:c>
      <x:c r="D554" s="25" t="n">
        <x:v>1</x:v>
      </x:c>
      <x:c r="E554" s="25" t="n">
        <x:v>1</x:v>
      </x:c>
      <x:c r="F554" s="25" t="n">
        <x:v>0</x:v>
      </x:c>
      <x:c r="G554" s="19" t="n">
        <x:f>SUM(D554:F554)</x:f>
        <x:v>2</x:v>
      </x:c>
      <x:c r="H554" s="25" t="str">
        <x:v>-</x:v>
      </x:c>
      <x:c r="I554" s="25" t="n">
        <x:v>1</x:v>
      </x:c>
      <x:c r="J554" s="25" t="n">
        <x:v>1</x:v>
      </x:c>
      <x:c r="K554" s="19" t="n">
        <x:f>D554-IF(H554=0,1,0)</x:f>
        <x:v>1</x:v>
      </x:c>
      <x:c r="L554" s="19" t="n">
        <x:f>E554-IF(H554=1,1,0)</x:f>
        <x:v>1</x:v>
      </x:c>
      <x:c r="M554" s="19" t="n">
        <x:f>F554-IF(H554=2,1,0)</x:f>
        <x:v>0</x:v>
      </x:c>
      <x:c r="N554" s="19" t="n">
        <x:f>MAX(K554-1,0)+MAX(L554-1,0)+MAX(M554-1,0)</x:f>
        <x:v>0</x:v>
      </x:c>
      <x:c r="O554" s="19" t="n">
        <x:f>IF(AND(SUM(K554:M554)&lt;9,OR(M554=0,N554&lt;6)),1,0)</x:f>
        <x:v>1</x:v>
      </x:c>
      <x:c r="P554" s="19" t="n">
        <x:f>IF(AND(SUM(K554:M554)&lt;9,OR(L554=0,N554&lt;6)),1,0)</x:f>
        <x:v>1</x:v>
      </x:c>
      <x:c r="Q554" s="19" t="n">
        <x:f>IF(AND(SUM(K554:M554)&lt;9,OR(K554=0,N554&lt;6)),1,0)</x:f>
        <x:v>1</x:v>
      </x:c>
      <x:c r="R554" s="22" t="str">
        <x:f>O554&amp;P554&amp;Q554</x:f>
        <x:v>111</x:v>
      </x:c>
      <x:c r="S554" s="19" t="n">
        <x:f>IF(I554=1,IF(J554=0,Q554,IF(J554=1,P554,IF(J554=2,O554,0))),0)</x:f>
        <x:v>1</x:v>
      </x:c>
      <x:c r="T554" s="19" t="n">
        <x:f>K554+IF(AND(S554=1,J554=0),1,0)</x:f>
        <x:v>1</x:v>
      </x:c>
      <x:c r="U554" s="19" t="n">
        <x:f>L554+IF(AND(S554=1,J554=1),1,0)</x:f>
        <x:v>2</x:v>
      </x:c>
      <x:c r="V554" s="19" t="n">
        <x:f>M554+IF(AND(S554=1,J554=2),1,0)</x:f>
        <x:v>0</x:v>
      </x:c>
      <x:c r="W554" s="19" t="n">
        <x:f>SUM(T554:V554)</x:f>
        <x:v>3</x:v>
      </x:c>
      <x:c r="X554" s="19" t="n">
        <x:f>W554-G554</x:f>
        <x:v>1</x:v>
      </x:c>
      <x:c r="Y554" s="19" t="n">
        <x:f>MAX(T554,1)+MAX(U554,1)+MAX(V554,1)</x:f>
        <x:v>4</x:v>
      </x:c>
      <x:c r="Z554" s="21" t="str">
        <x:f>IF(AND(MIN(D554:F554)&gt;=0,MAX(D554:F554)&lt;=7,MAX(D554,1)+MAX(E554,1)+MAX(F554,1)&lt;=9,OR(H554="-",AND(H554=0,D554&gt;0),AND(H554=1,E554&gt;0),AND(H554=2,F554&gt;0)),OR(I554=0,AND(I554=1,OR(J554=0,J554=1,J554=2),R554&lt;&gt;"000")),Y554&lt;=9,MIN(T554:V554)&gt;=0),"合法","输入违约")</x:f>
        <x:v>合法</x:v>
      </x:c>
    </x:row>
    <x:row r="555" ht="23" customHeight="1">
      <x:c r="A555" s="3" t="str">
        <x:v>CT-0548</x:v>
      </x:c>
      <x:c r="B555" s="3" t="str">
        <x:v>ST-009</x:v>
      </x:c>
      <x:c r="C555" s="3" t="str">
        <x:v>仅AR接收</x:v>
      </x:c>
      <x:c r="D555" s="25" t="n">
        <x:v>1</x:v>
      </x:c>
      <x:c r="E555" s="25" t="n">
        <x:v>1</x:v>
      </x:c>
      <x:c r="F555" s="25" t="n">
        <x:v>0</x:v>
      </x:c>
      <x:c r="G555" s="19" t="n">
        <x:f>SUM(D555:F555)</x:f>
        <x:v>2</x:v>
      </x:c>
      <x:c r="H555" s="25" t="str">
        <x:v>-</x:v>
      </x:c>
      <x:c r="I555" s="25" t="n">
        <x:v>1</x:v>
      </x:c>
      <x:c r="J555" s="25" t="n">
        <x:v>2</x:v>
      </x:c>
      <x:c r="K555" s="19" t="n">
        <x:f>D555-IF(H555=0,1,0)</x:f>
        <x:v>1</x:v>
      </x:c>
      <x:c r="L555" s="19" t="n">
        <x:f>E555-IF(H555=1,1,0)</x:f>
        <x:v>1</x:v>
      </x:c>
      <x:c r="M555" s="19" t="n">
        <x:f>F555-IF(H555=2,1,0)</x:f>
        <x:v>0</x:v>
      </x:c>
      <x:c r="N555" s="19" t="n">
        <x:f>MAX(K555-1,0)+MAX(L555-1,0)+MAX(M555-1,0)</x:f>
        <x:v>0</x:v>
      </x:c>
      <x:c r="O555" s="19" t="n">
        <x:f>IF(AND(SUM(K555:M555)&lt;9,OR(M555=0,N555&lt;6)),1,0)</x:f>
        <x:v>1</x:v>
      </x:c>
      <x:c r="P555" s="19" t="n">
        <x:f>IF(AND(SUM(K555:M555)&lt;9,OR(L555=0,N555&lt;6)),1,0)</x:f>
        <x:v>1</x:v>
      </x:c>
      <x:c r="Q555" s="19" t="n">
        <x:f>IF(AND(SUM(K555:M555)&lt;9,OR(K555=0,N555&lt;6)),1,0)</x:f>
        <x:v>1</x:v>
      </x:c>
      <x:c r="R555" s="22" t="str">
        <x:f>O555&amp;P555&amp;Q555</x:f>
        <x:v>111</x:v>
      </x:c>
      <x:c r="S555" s="19" t="n">
        <x:f>IF(I555=1,IF(J555=0,Q555,IF(J555=1,P555,IF(J555=2,O555,0))),0)</x:f>
        <x:v>1</x:v>
      </x:c>
      <x:c r="T555" s="19" t="n">
        <x:f>K555+IF(AND(S555=1,J555=0),1,0)</x:f>
        <x:v>1</x:v>
      </x:c>
      <x:c r="U555" s="19" t="n">
        <x:f>L555+IF(AND(S555=1,J555=1),1,0)</x:f>
        <x:v>1</x:v>
      </x:c>
      <x:c r="V555" s="19" t="n">
        <x:f>M555+IF(AND(S555=1,J555=2),1,0)</x:f>
        <x:v>1</x:v>
      </x:c>
      <x:c r="W555" s="19" t="n">
        <x:f>SUM(T555:V555)</x:f>
        <x:v>3</x:v>
      </x:c>
      <x:c r="X555" s="19" t="n">
        <x:f>W555-G555</x:f>
        <x:v>1</x:v>
      </x:c>
      <x:c r="Y555" s="19" t="n">
        <x:f>MAX(T555,1)+MAX(U555,1)+MAX(V555,1)</x:f>
        <x:v>3</x:v>
      </x:c>
      <x:c r="Z555" s="21" t="str">
        <x:f>IF(AND(MIN(D555:F555)&gt;=0,MAX(D555:F555)&lt;=7,MAX(D555,1)+MAX(E555,1)+MAX(F555,1)&lt;=9,OR(H555="-",AND(H555=0,D555&gt;0),AND(H555=1,E555&gt;0),AND(H555=2,F555&gt;0)),OR(I555=0,AND(I555=1,OR(J555=0,J555=1,J555=2),R555&lt;&gt;"000")),Y555&lt;=9,MIN(T555:V555)&gt;=0),"合法","输入违约")</x:f>
        <x:v>合法</x:v>
      </x:c>
    </x:row>
    <x:row r="556" ht="23" customHeight="1">
      <x:c r="A556" s="3" t="str">
        <x:v>CT-0549</x:v>
      </x:c>
      <x:c r="B556" s="3" t="str">
        <x:v>ST-009</x:v>
      </x:c>
      <x:c r="C556" s="3" t="str">
        <x:v>仅R回收</x:v>
      </x:c>
      <x:c r="D556" s="25" t="n">
        <x:v>1</x:v>
      </x:c>
      <x:c r="E556" s="25" t="n">
        <x:v>1</x:v>
      </x:c>
      <x:c r="F556" s="25" t="n">
        <x:v>0</x:v>
      </x:c>
      <x:c r="G556" s="19" t="n">
        <x:f>SUM(D556:F556)</x:f>
        <x:v>2</x:v>
      </x:c>
      <x:c r="H556" s="25" t="n">
        <x:v>0</x:v>
      </x:c>
      <x:c r="I556" s="25" t="n">
        <x:v>0</x:v>
      </x:c>
      <x:c r="J556" s="25" t="str">
        <x:v>-</x:v>
      </x:c>
      <x:c r="K556" s="19" t="n">
        <x:f>D556-IF(H556=0,1,0)</x:f>
        <x:v>0</x:v>
      </x:c>
      <x:c r="L556" s="19" t="n">
        <x:f>E556-IF(H556=1,1,0)</x:f>
        <x:v>1</x:v>
      </x:c>
      <x:c r="M556" s="19" t="n">
        <x:f>F556-IF(H556=2,1,0)</x:f>
        <x:v>0</x:v>
      </x:c>
      <x:c r="N556" s="19" t="n">
        <x:f>MAX(K556-1,0)+MAX(L556-1,0)+MAX(M556-1,0)</x:f>
        <x:v>0</x:v>
      </x:c>
      <x:c r="O556" s="19" t="n">
        <x:f>IF(AND(SUM(K556:M556)&lt;9,OR(M556=0,N556&lt;6)),1,0)</x:f>
        <x:v>1</x:v>
      </x:c>
      <x:c r="P556" s="19" t="n">
        <x:f>IF(AND(SUM(K556:M556)&lt;9,OR(L556=0,N556&lt;6)),1,0)</x:f>
        <x:v>1</x:v>
      </x:c>
      <x:c r="Q556" s="19" t="n">
        <x:f>IF(AND(SUM(K556:M556)&lt;9,OR(K556=0,N556&lt;6)),1,0)</x:f>
        <x:v>1</x:v>
      </x:c>
      <x:c r="R556" s="22" t="str">
        <x:f>O556&amp;P556&amp;Q556</x:f>
        <x:v>111</x:v>
      </x:c>
      <x:c r="S556" s="19" t="n">
        <x:f>IF(I556=1,IF(J556=0,Q556,IF(J556=1,P556,IF(J556=2,O556,0))),0)</x:f>
        <x:v>0</x:v>
      </x:c>
      <x:c r="T556" s="19" t="n">
        <x:f>K556+IF(AND(S556=1,J556=0),1,0)</x:f>
        <x:v>0</x:v>
      </x:c>
      <x:c r="U556" s="19" t="n">
        <x:f>L556+IF(AND(S556=1,J556=1),1,0)</x:f>
        <x:v>1</x:v>
      </x:c>
      <x:c r="V556" s="19" t="n">
        <x:f>M556+IF(AND(S556=1,J556=2),1,0)</x:f>
        <x:v>0</x:v>
      </x:c>
      <x:c r="W556" s="19" t="n">
        <x:f>SUM(T556:V556)</x:f>
        <x:v>1</x:v>
      </x:c>
      <x:c r="X556" s="19" t="n">
        <x:f>W556-G556</x:f>
        <x:v>-1</x:v>
      </x:c>
      <x:c r="Y556" s="19" t="n">
        <x:f>MAX(T556,1)+MAX(U556,1)+MAX(V556,1)</x:f>
        <x:v>3</x:v>
      </x:c>
      <x:c r="Z556" s="21" t="str">
        <x:f>IF(AND(MIN(D556:F556)&gt;=0,MAX(D556:F556)&lt;=7,MAX(D556,1)+MAX(E556,1)+MAX(F556,1)&lt;=9,OR(H556="-",AND(H556=0,D556&gt;0),AND(H556=1,E556&gt;0),AND(H556=2,F556&gt;0)),OR(I556=0,AND(I556=1,OR(J556=0,J556=1,J556=2),R556&lt;&gt;"000")),Y556&lt;=9,MIN(T556:V556)&gt;=0),"合法","输入违约")</x:f>
        <x:v>合法</x:v>
      </x:c>
    </x:row>
    <x:row r="557" ht="23" customHeight="1">
      <x:c r="A557" s="3" t="str">
        <x:v>CT-0550</x:v>
      </x:c>
      <x:c r="B557" s="3" t="str">
        <x:v>ST-009</x:v>
      </x:c>
      <x:c r="C557" s="3" t="str">
        <x:v>R+AR同收同发</x:v>
      </x:c>
      <x:c r="D557" s="25" t="n">
        <x:v>1</x:v>
      </x:c>
      <x:c r="E557" s="25" t="n">
        <x:v>1</x:v>
      </x:c>
      <x:c r="F557" s="25" t="n">
        <x:v>0</x:v>
      </x:c>
      <x:c r="G557" s="19" t="n">
        <x:f>SUM(D557:F557)</x:f>
        <x:v>2</x:v>
      </x:c>
      <x:c r="H557" s="25" t="n">
        <x:v>0</x:v>
      </x:c>
      <x:c r="I557" s="25" t="n">
        <x:v>1</x:v>
      </x:c>
      <x:c r="J557" s="25" t="n">
        <x:v>0</x:v>
      </x:c>
      <x:c r="K557" s="19" t="n">
        <x:f>D557-IF(H557=0,1,0)</x:f>
        <x:v>0</x:v>
      </x:c>
      <x:c r="L557" s="19" t="n">
        <x:f>E557-IF(H557=1,1,0)</x:f>
        <x:v>1</x:v>
      </x:c>
      <x:c r="M557" s="19" t="n">
        <x:f>F557-IF(H557=2,1,0)</x:f>
        <x:v>0</x:v>
      </x:c>
      <x:c r="N557" s="19" t="n">
        <x:f>MAX(K557-1,0)+MAX(L557-1,0)+MAX(M557-1,0)</x:f>
        <x:v>0</x:v>
      </x:c>
      <x:c r="O557" s="19" t="n">
        <x:f>IF(AND(SUM(K557:M557)&lt;9,OR(M557=0,N557&lt;6)),1,0)</x:f>
        <x:v>1</x:v>
      </x:c>
      <x:c r="P557" s="19" t="n">
        <x:f>IF(AND(SUM(K557:M557)&lt;9,OR(L557=0,N557&lt;6)),1,0)</x:f>
        <x:v>1</x:v>
      </x:c>
      <x:c r="Q557" s="19" t="n">
        <x:f>IF(AND(SUM(K557:M557)&lt;9,OR(K557=0,N557&lt;6)),1,0)</x:f>
        <x:v>1</x:v>
      </x:c>
      <x:c r="R557" s="22" t="str">
        <x:f>O557&amp;P557&amp;Q557</x:f>
        <x:v>111</x:v>
      </x:c>
      <x:c r="S557" s="19" t="n">
        <x:f>IF(I557=1,IF(J557=0,Q557,IF(J557=1,P557,IF(J557=2,O557,0))),0)</x:f>
        <x:v>1</x:v>
      </x:c>
      <x:c r="T557" s="19" t="n">
        <x:f>K557+IF(AND(S557=1,J557=0),1,0)</x:f>
        <x:v>1</x:v>
      </x:c>
      <x:c r="U557" s="19" t="n">
        <x:f>L557+IF(AND(S557=1,J557=1),1,0)</x:f>
        <x:v>1</x:v>
      </x:c>
      <x:c r="V557" s="19" t="n">
        <x:f>M557+IF(AND(S557=1,J557=2),1,0)</x:f>
        <x:v>0</x:v>
      </x:c>
      <x:c r="W557" s="19" t="n">
        <x:f>SUM(T557:V557)</x:f>
        <x:v>2</x:v>
      </x:c>
      <x:c r="X557" s="19" t="n">
        <x:f>W557-G557</x:f>
        <x:v>0</x:v>
      </x:c>
      <x:c r="Y557" s="19" t="n">
        <x:f>MAX(T557,1)+MAX(U557,1)+MAX(V557,1)</x:f>
        <x:v>3</x:v>
      </x:c>
      <x:c r="Z557" s="21" t="str">
        <x:f>IF(AND(MIN(D557:F557)&gt;=0,MAX(D557:F557)&lt;=7,MAX(D557,1)+MAX(E557,1)+MAX(F557,1)&lt;=9,OR(H557="-",AND(H557=0,D557&gt;0),AND(H557=1,E557&gt;0),AND(H557=2,F557&gt;0)),OR(I557=0,AND(I557=1,OR(J557=0,J557=1,J557=2),R557&lt;&gt;"000")),Y557&lt;=9,MIN(T557:V557)&gt;=0),"合法","输入违约")</x:f>
        <x:v>合法</x:v>
      </x:c>
    </x:row>
    <x:row r="558" ht="23" customHeight="1">
      <x:c r="A558" s="3" t="str">
        <x:v>CT-0551</x:v>
      </x:c>
      <x:c r="B558" s="3" t="str">
        <x:v>ST-009</x:v>
      </x:c>
      <x:c r="C558" s="3" t="str">
        <x:v>R+AR同收同发</x:v>
      </x:c>
      <x:c r="D558" s="25" t="n">
        <x:v>1</x:v>
      </x:c>
      <x:c r="E558" s="25" t="n">
        <x:v>1</x:v>
      </x:c>
      <x:c r="F558" s="25" t="n">
        <x:v>0</x:v>
      </x:c>
      <x:c r="G558" s="19" t="n">
        <x:f>SUM(D558:F558)</x:f>
        <x:v>2</x:v>
      </x:c>
      <x:c r="H558" s="25" t="n">
        <x:v>0</x:v>
      </x:c>
      <x:c r="I558" s="25" t="n">
        <x:v>1</x:v>
      </x:c>
      <x:c r="J558" s="25" t="n">
        <x:v>1</x:v>
      </x:c>
      <x:c r="K558" s="19" t="n">
        <x:f>D558-IF(H558=0,1,0)</x:f>
        <x:v>0</x:v>
      </x:c>
      <x:c r="L558" s="19" t="n">
        <x:f>E558-IF(H558=1,1,0)</x:f>
        <x:v>1</x:v>
      </x:c>
      <x:c r="M558" s="19" t="n">
        <x:f>F558-IF(H558=2,1,0)</x:f>
        <x:v>0</x:v>
      </x:c>
      <x:c r="N558" s="19" t="n">
        <x:f>MAX(K558-1,0)+MAX(L558-1,0)+MAX(M558-1,0)</x:f>
        <x:v>0</x:v>
      </x:c>
      <x:c r="O558" s="19" t="n">
        <x:f>IF(AND(SUM(K558:M558)&lt;9,OR(M558=0,N558&lt;6)),1,0)</x:f>
        <x:v>1</x:v>
      </x:c>
      <x:c r="P558" s="19" t="n">
        <x:f>IF(AND(SUM(K558:M558)&lt;9,OR(L558=0,N558&lt;6)),1,0)</x:f>
        <x:v>1</x:v>
      </x:c>
      <x:c r="Q558" s="19" t="n">
        <x:f>IF(AND(SUM(K558:M558)&lt;9,OR(K558=0,N558&lt;6)),1,0)</x:f>
        <x:v>1</x:v>
      </x:c>
      <x:c r="R558" s="22" t="str">
        <x:f>O558&amp;P558&amp;Q558</x:f>
        <x:v>111</x:v>
      </x:c>
      <x:c r="S558" s="19" t="n">
        <x:f>IF(I558=1,IF(J558=0,Q558,IF(J558=1,P558,IF(J558=2,O558,0))),0)</x:f>
        <x:v>1</x:v>
      </x:c>
      <x:c r="T558" s="19" t="n">
        <x:f>K558+IF(AND(S558=1,J558=0),1,0)</x:f>
        <x:v>0</x:v>
      </x:c>
      <x:c r="U558" s="19" t="n">
        <x:f>L558+IF(AND(S558=1,J558=1),1,0)</x:f>
        <x:v>2</x:v>
      </x:c>
      <x:c r="V558" s="19" t="n">
        <x:f>M558+IF(AND(S558=1,J558=2),1,0)</x:f>
        <x:v>0</x:v>
      </x:c>
      <x:c r="W558" s="19" t="n">
        <x:f>SUM(T558:V558)</x:f>
        <x:v>2</x:v>
      </x:c>
      <x:c r="X558" s="19" t="n">
        <x:f>W558-G558</x:f>
        <x:v>0</x:v>
      </x:c>
      <x:c r="Y558" s="19" t="n">
        <x:f>MAX(T558,1)+MAX(U558,1)+MAX(V558,1)</x:f>
        <x:v>4</x:v>
      </x:c>
      <x:c r="Z558" s="21" t="str">
        <x:f>IF(AND(MIN(D558:F558)&gt;=0,MAX(D558:F558)&lt;=7,MAX(D558,1)+MAX(E558,1)+MAX(F558,1)&lt;=9,OR(H558="-",AND(H558=0,D558&gt;0),AND(H558=1,E558&gt;0),AND(H558=2,F558&gt;0)),OR(I558=0,AND(I558=1,OR(J558=0,J558=1,J558=2),R558&lt;&gt;"000")),Y558&lt;=9,MIN(T558:V558)&gt;=0),"合法","输入违约")</x:f>
        <x:v>合法</x:v>
      </x:c>
    </x:row>
    <x:row r="559" ht="23" customHeight="1">
      <x:c r="A559" s="3" t="str">
        <x:v>CT-0552</x:v>
      </x:c>
      <x:c r="B559" s="3" t="str">
        <x:v>ST-009</x:v>
      </x:c>
      <x:c r="C559" s="3" t="str">
        <x:v>R+AR同收同发</x:v>
      </x:c>
      <x:c r="D559" s="25" t="n">
        <x:v>1</x:v>
      </x:c>
      <x:c r="E559" s="25" t="n">
        <x:v>1</x:v>
      </x:c>
      <x:c r="F559" s="25" t="n">
        <x:v>0</x:v>
      </x:c>
      <x:c r="G559" s="19" t="n">
        <x:f>SUM(D559:F559)</x:f>
        <x:v>2</x:v>
      </x:c>
      <x:c r="H559" s="25" t="n">
        <x:v>0</x:v>
      </x:c>
      <x:c r="I559" s="25" t="n">
        <x:v>1</x:v>
      </x:c>
      <x:c r="J559" s="25" t="n">
        <x:v>2</x:v>
      </x:c>
      <x:c r="K559" s="19" t="n">
        <x:f>D559-IF(H559=0,1,0)</x:f>
        <x:v>0</x:v>
      </x:c>
      <x:c r="L559" s="19" t="n">
        <x:f>E559-IF(H559=1,1,0)</x:f>
        <x:v>1</x:v>
      </x:c>
      <x:c r="M559" s="19" t="n">
        <x:f>F559-IF(H559=2,1,0)</x:f>
        <x:v>0</x:v>
      </x:c>
      <x:c r="N559" s="19" t="n">
        <x:f>MAX(K559-1,0)+MAX(L559-1,0)+MAX(M559-1,0)</x:f>
        <x:v>0</x:v>
      </x:c>
      <x:c r="O559" s="19" t="n">
        <x:f>IF(AND(SUM(K559:M559)&lt;9,OR(M559=0,N559&lt;6)),1,0)</x:f>
        <x:v>1</x:v>
      </x:c>
      <x:c r="P559" s="19" t="n">
        <x:f>IF(AND(SUM(K559:M559)&lt;9,OR(L559=0,N559&lt;6)),1,0)</x:f>
        <x:v>1</x:v>
      </x:c>
      <x:c r="Q559" s="19" t="n">
        <x:f>IF(AND(SUM(K559:M559)&lt;9,OR(K559=0,N559&lt;6)),1,0)</x:f>
        <x:v>1</x:v>
      </x:c>
      <x:c r="R559" s="22" t="str">
        <x:f>O559&amp;P559&amp;Q559</x:f>
        <x:v>111</x:v>
      </x:c>
      <x:c r="S559" s="19" t="n">
        <x:f>IF(I559=1,IF(J559=0,Q559,IF(J559=1,P559,IF(J559=2,O559,0))),0)</x:f>
        <x:v>1</x:v>
      </x:c>
      <x:c r="T559" s="19" t="n">
        <x:f>K559+IF(AND(S559=1,J559=0),1,0)</x:f>
        <x:v>0</x:v>
      </x:c>
      <x:c r="U559" s="19" t="n">
        <x:f>L559+IF(AND(S559=1,J559=1),1,0)</x:f>
        <x:v>1</x:v>
      </x:c>
      <x:c r="V559" s="19" t="n">
        <x:f>M559+IF(AND(S559=1,J559=2),1,0)</x:f>
        <x:v>1</x:v>
      </x:c>
      <x:c r="W559" s="19" t="n">
        <x:f>SUM(T559:V559)</x:f>
        <x:v>2</x:v>
      </x:c>
      <x:c r="X559" s="19" t="n">
        <x:f>W559-G559</x:f>
        <x:v>0</x:v>
      </x:c>
      <x:c r="Y559" s="19" t="n">
        <x:f>MAX(T559,1)+MAX(U559,1)+MAX(V559,1)</x:f>
        <x:v>3</x:v>
      </x:c>
      <x:c r="Z559" s="21" t="str">
        <x:f>IF(AND(MIN(D559:F559)&gt;=0,MAX(D559:F559)&lt;=7,MAX(D559,1)+MAX(E559,1)+MAX(F559,1)&lt;=9,OR(H559="-",AND(H559=0,D559&gt;0),AND(H559=1,E559&gt;0),AND(H559=2,F559&gt;0)),OR(I559=0,AND(I559=1,OR(J559=0,J559=1,J559=2),R559&lt;&gt;"000")),Y559&lt;=9,MIN(T559:V559)&gt;=0),"合法","输入违约")</x:f>
        <x:v>合法</x:v>
      </x:c>
    </x:row>
    <x:row r="560" ht="23" customHeight="1">
      <x:c r="A560" s="3" t="str">
        <x:v>CT-0553</x:v>
      </x:c>
      <x:c r="B560" s="3" t="str">
        <x:v>ST-009</x:v>
      </x:c>
      <x:c r="C560" s="3" t="str">
        <x:v>仅R回收</x:v>
      </x:c>
      <x:c r="D560" s="25" t="n">
        <x:v>1</x:v>
      </x:c>
      <x:c r="E560" s="25" t="n">
        <x:v>1</x:v>
      </x:c>
      <x:c r="F560" s="25" t="n">
        <x:v>0</x:v>
      </x:c>
      <x:c r="G560" s="19" t="n">
        <x:f>SUM(D560:F560)</x:f>
        <x:v>2</x:v>
      </x:c>
      <x:c r="H560" s="25" t="n">
        <x:v>1</x:v>
      </x:c>
      <x:c r="I560" s="25" t="n">
        <x:v>0</x:v>
      </x:c>
      <x:c r="J560" s="25" t="str">
        <x:v>-</x:v>
      </x:c>
      <x:c r="K560" s="19" t="n">
        <x:f>D560-IF(H560=0,1,0)</x:f>
        <x:v>1</x:v>
      </x:c>
      <x:c r="L560" s="19" t="n">
        <x:f>E560-IF(H560=1,1,0)</x:f>
        <x:v>0</x:v>
      </x:c>
      <x:c r="M560" s="19" t="n">
        <x:f>F560-IF(H560=2,1,0)</x:f>
        <x:v>0</x:v>
      </x:c>
      <x:c r="N560" s="19" t="n">
        <x:f>MAX(K560-1,0)+MAX(L560-1,0)+MAX(M560-1,0)</x:f>
        <x:v>0</x:v>
      </x:c>
      <x:c r="O560" s="19" t="n">
        <x:f>IF(AND(SUM(K560:M560)&lt;9,OR(M560=0,N560&lt;6)),1,0)</x:f>
        <x:v>1</x:v>
      </x:c>
      <x:c r="P560" s="19" t="n">
        <x:f>IF(AND(SUM(K560:M560)&lt;9,OR(L560=0,N560&lt;6)),1,0)</x:f>
        <x:v>1</x:v>
      </x:c>
      <x:c r="Q560" s="19" t="n">
        <x:f>IF(AND(SUM(K560:M560)&lt;9,OR(K560=0,N560&lt;6)),1,0)</x:f>
        <x:v>1</x:v>
      </x:c>
      <x:c r="R560" s="22" t="str">
        <x:f>O560&amp;P560&amp;Q560</x:f>
        <x:v>111</x:v>
      </x:c>
      <x:c r="S560" s="19" t="n">
        <x:f>IF(I560=1,IF(J560=0,Q560,IF(J560=1,P560,IF(J560=2,O560,0))),0)</x:f>
        <x:v>0</x:v>
      </x:c>
      <x:c r="T560" s="19" t="n">
        <x:f>K560+IF(AND(S560=1,J560=0),1,0)</x:f>
        <x:v>1</x:v>
      </x:c>
      <x:c r="U560" s="19" t="n">
        <x:f>L560+IF(AND(S560=1,J560=1),1,0)</x:f>
        <x:v>0</x:v>
      </x:c>
      <x:c r="V560" s="19" t="n">
        <x:f>M560+IF(AND(S560=1,J560=2),1,0)</x:f>
        <x:v>0</x:v>
      </x:c>
      <x:c r="W560" s="19" t="n">
        <x:f>SUM(T560:V560)</x:f>
        <x:v>1</x:v>
      </x:c>
      <x:c r="X560" s="19" t="n">
        <x:f>W560-G560</x:f>
        <x:v>-1</x:v>
      </x:c>
      <x:c r="Y560" s="19" t="n">
        <x:f>MAX(T560,1)+MAX(U560,1)+MAX(V560,1)</x:f>
        <x:v>3</x:v>
      </x:c>
      <x:c r="Z560" s="21" t="str">
        <x:f>IF(AND(MIN(D560:F560)&gt;=0,MAX(D560:F560)&lt;=7,MAX(D560,1)+MAX(E560,1)+MAX(F560,1)&lt;=9,OR(H560="-",AND(H560=0,D560&gt;0),AND(H560=1,E560&gt;0),AND(H560=2,F560&gt;0)),OR(I560=0,AND(I560=1,OR(J560=0,J560=1,J560=2),R560&lt;&gt;"000")),Y560&lt;=9,MIN(T560:V560)&gt;=0),"合法","输入违约")</x:f>
        <x:v>合法</x:v>
      </x:c>
    </x:row>
    <x:row r="561" ht="23" customHeight="1">
      <x:c r="A561" s="3" t="str">
        <x:v>CT-0554</x:v>
      </x:c>
      <x:c r="B561" s="3" t="str">
        <x:v>ST-009</x:v>
      </x:c>
      <x:c r="C561" s="3" t="str">
        <x:v>R+AR同收同发</x:v>
      </x:c>
      <x:c r="D561" s="25" t="n">
        <x:v>1</x:v>
      </x:c>
      <x:c r="E561" s="25" t="n">
        <x:v>1</x:v>
      </x:c>
      <x:c r="F561" s="25" t="n">
        <x:v>0</x:v>
      </x:c>
      <x:c r="G561" s="19" t="n">
        <x:f>SUM(D561:F561)</x:f>
        <x:v>2</x:v>
      </x:c>
      <x:c r="H561" s="25" t="n">
        <x:v>1</x:v>
      </x:c>
      <x:c r="I561" s="25" t="n">
        <x:v>1</x:v>
      </x:c>
      <x:c r="J561" s="25" t="n">
        <x:v>0</x:v>
      </x:c>
      <x:c r="K561" s="19" t="n">
        <x:f>D561-IF(H561=0,1,0)</x:f>
        <x:v>1</x:v>
      </x:c>
      <x:c r="L561" s="19" t="n">
        <x:f>E561-IF(H561=1,1,0)</x:f>
        <x:v>0</x:v>
      </x:c>
      <x:c r="M561" s="19" t="n">
        <x:f>F561-IF(H561=2,1,0)</x:f>
        <x:v>0</x:v>
      </x:c>
      <x:c r="N561" s="19" t="n">
        <x:f>MAX(K561-1,0)+MAX(L561-1,0)+MAX(M561-1,0)</x:f>
        <x:v>0</x:v>
      </x:c>
      <x:c r="O561" s="19" t="n">
        <x:f>IF(AND(SUM(K561:M561)&lt;9,OR(M561=0,N561&lt;6)),1,0)</x:f>
        <x:v>1</x:v>
      </x:c>
      <x:c r="P561" s="19" t="n">
        <x:f>IF(AND(SUM(K561:M561)&lt;9,OR(L561=0,N561&lt;6)),1,0)</x:f>
        <x:v>1</x:v>
      </x:c>
      <x:c r="Q561" s="19" t="n">
        <x:f>IF(AND(SUM(K561:M561)&lt;9,OR(K561=0,N561&lt;6)),1,0)</x:f>
        <x:v>1</x:v>
      </x:c>
      <x:c r="R561" s="22" t="str">
        <x:f>O561&amp;P561&amp;Q561</x:f>
        <x:v>111</x:v>
      </x:c>
      <x:c r="S561" s="19" t="n">
        <x:f>IF(I561=1,IF(J561=0,Q561,IF(J561=1,P561,IF(J561=2,O561,0))),0)</x:f>
        <x:v>1</x:v>
      </x:c>
      <x:c r="T561" s="19" t="n">
        <x:f>K561+IF(AND(S561=1,J561=0),1,0)</x:f>
        <x:v>2</x:v>
      </x:c>
      <x:c r="U561" s="19" t="n">
        <x:f>L561+IF(AND(S561=1,J561=1),1,0)</x:f>
        <x:v>0</x:v>
      </x:c>
      <x:c r="V561" s="19" t="n">
        <x:f>M561+IF(AND(S561=1,J561=2),1,0)</x:f>
        <x:v>0</x:v>
      </x:c>
      <x:c r="W561" s="19" t="n">
        <x:f>SUM(T561:V561)</x:f>
        <x:v>2</x:v>
      </x:c>
      <x:c r="X561" s="19" t="n">
        <x:f>W561-G561</x:f>
        <x:v>0</x:v>
      </x:c>
      <x:c r="Y561" s="19" t="n">
        <x:f>MAX(T561,1)+MAX(U561,1)+MAX(V561,1)</x:f>
        <x:v>4</x:v>
      </x:c>
      <x:c r="Z561" s="21" t="str">
        <x:f>IF(AND(MIN(D561:F561)&gt;=0,MAX(D561:F561)&lt;=7,MAX(D561,1)+MAX(E561,1)+MAX(F561,1)&lt;=9,OR(H561="-",AND(H561=0,D561&gt;0),AND(H561=1,E561&gt;0),AND(H561=2,F561&gt;0)),OR(I561=0,AND(I561=1,OR(J561=0,J561=1,J561=2),R561&lt;&gt;"000")),Y561&lt;=9,MIN(T561:V561)&gt;=0),"合法","输入违约")</x:f>
        <x:v>合法</x:v>
      </x:c>
    </x:row>
    <x:row r="562" ht="23" customHeight="1">
      <x:c r="A562" s="3" t="str">
        <x:v>CT-0555</x:v>
      </x:c>
      <x:c r="B562" s="3" t="str">
        <x:v>ST-009</x:v>
      </x:c>
      <x:c r="C562" s="3" t="str">
        <x:v>R+AR同收同发</x:v>
      </x:c>
      <x:c r="D562" s="25" t="n">
        <x:v>1</x:v>
      </x:c>
      <x:c r="E562" s="25" t="n">
        <x:v>1</x:v>
      </x:c>
      <x:c r="F562" s="25" t="n">
        <x:v>0</x:v>
      </x:c>
      <x:c r="G562" s="19" t="n">
        <x:f>SUM(D562:F562)</x:f>
        <x:v>2</x:v>
      </x:c>
      <x:c r="H562" s="25" t="n">
        <x:v>1</x:v>
      </x:c>
      <x:c r="I562" s="25" t="n">
        <x:v>1</x:v>
      </x:c>
      <x:c r="J562" s="25" t="n">
        <x:v>1</x:v>
      </x:c>
      <x:c r="K562" s="19" t="n">
        <x:f>D562-IF(H562=0,1,0)</x:f>
        <x:v>1</x:v>
      </x:c>
      <x:c r="L562" s="19" t="n">
        <x:f>E562-IF(H562=1,1,0)</x:f>
        <x:v>0</x:v>
      </x:c>
      <x:c r="M562" s="19" t="n">
        <x:f>F562-IF(H562=2,1,0)</x:f>
        <x:v>0</x:v>
      </x:c>
      <x:c r="N562" s="19" t="n">
        <x:f>MAX(K562-1,0)+MAX(L562-1,0)+MAX(M562-1,0)</x:f>
        <x:v>0</x:v>
      </x:c>
      <x:c r="O562" s="19" t="n">
        <x:f>IF(AND(SUM(K562:M562)&lt;9,OR(M562=0,N562&lt;6)),1,0)</x:f>
        <x:v>1</x:v>
      </x:c>
      <x:c r="P562" s="19" t="n">
        <x:f>IF(AND(SUM(K562:M562)&lt;9,OR(L562=0,N562&lt;6)),1,0)</x:f>
        <x:v>1</x:v>
      </x:c>
      <x:c r="Q562" s="19" t="n">
        <x:f>IF(AND(SUM(K562:M562)&lt;9,OR(K562=0,N562&lt;6)),1,0)</x:f>
        <x:v>1</x:v>
      </x:c>
      <x:c r="R562" s="22" t="str">
        <x:f>O562&amp;P562&amp;Q562</x:f>
        <x:v>111</x:v>
      </x:c>
      <x:c r="S562" s="19" t="n">
        <x:f>IF(I562=1,IF(J562=0,Q562,IF(J562=1,P562,IF(J562=2,O562,0))),0)</x:f>
        <x:v>1</x:v>
      </x:c>
      <x:c r="T562" s="19" t="n">
        <x:f>K562+IF(AND(S562=1,J562=0),1,0)</x:f>
        <x:v>1</x:v>
      </x:c>
      <x:c r="U562" s="19" t="n">
        <x:f>L562+IF(AND(S562=1,J562=1),1,0)</x:f>
        <x:v>1</x:v>
      </x:c>
      <x:c r="V562" s="19" t="n">
        <x:f>M562+IF(AND(S562=1,J562=2),1,0)</x:f>
        <x:v>0</x:v>
      </x:c>
      <x:c r="W562" s="19" t="n">
        <x:f>SUM(T562:V562)</x:f>
        <x:v>2</x:v>
      </x:c>
      <x:c r="X562" s="19" t="n">
        <x:f>W562-G562</x:f>
        <x:v>0</x:v>
      </x:c>
      <x:c r="Y562" s="19" t="n">
        <x:f>MAX(T562,1)+MAX(U562,1)+MAX(V562,1)</x:f>
        <x:v>3</x:v>
      </x:c>
      <x:c r="Z562" s="21" t="str">
        <x:f>IF(AND(MIN(D562:F562)&gt;=0,MAX(D562:F562)&lt;=7,MAX(D562,1)+MAX(E562,1)+MAX(F562,1)&lt;=9,OR(H562="-",AND(H562=0,D562&gt;0),AND(H562=1,E562&gt;0),AND(H562=2,F562&gt;0)),OR(I562=0,AND(I562=1,OR(J562=0,J562=1,J562=2),R562&lt;&gt;"000")),Y562&lt;=9,MIN(T562:V562)&gt;=0),"合法","输入违约")</x:f>
        <x:v>合法</x:v>
      </x:c>
    </x:row>
    <x:row r="563" ht="23" customHeight="1">
      <x:c r="A563" s="3" t="str">
        <x:v>CT-0556</x:v>
      </x:c>
      <x:c r="B563" s="3" t="str">
        <x:v>ST-009</x:v>
      </x:c>
      <x:c r="C563" s="3" t="str">
        <x:v>R+AR同收同发</x:v>
      </x:c>
      <x:c r="D563" s="25" t="n">
        <x:v>1</x:v>
      </x:c>
      <x:c r="E563" s="25" t="n">
        <x:v>1</x:v>
      </x:c>
      <x:c r="F563" s="25" t="n">
        <x:v>0</x:v>
      </x:c>
      <x:c r="G563" s="19" t="n">
        <x:f>SUM(D563:F563)</x:f>
        <x:v>2</x:v>
      </x:c>
      <x:c r="H563" s="25" t="n">
        <x:v>1</x:v>
      </x:c>
      <x:c r="I563" s="25" t="n">
        <x:v>1</x:v>
      </x:c>
      <x:c r="J563" s="25" t="n">
        <x:v>2</x:v>
      </x:c>
      <x:c r="K563" s="19" t="n">
        <x:f>D563-IF(H563=0,1,0)</x:f>
        <x:v>1</x:v>
      </x:c>
      <x:c r="L563" s="19" t="n">
        <x:f>E563-IF(H563=1,1,0)</x:f>
        <x:v>0</x:v>
      </x:c>
      <x:c r="M563" s="19" t="n">
        <x:f>F563-IF(H563=2,1,0)</x:f>
        <x:v>0</x:v>
      </x:c>
      <x:c r="N563" s="19" t="n">
        <x:f>MAX(K563-1,0)+MAX(L563-1,0)+MAX(M563-1,0)</x:f>
        <x:v>0</x:v>
      </x:c>
      <x:c r="O563" s="19" t="n">
        <x:f>IF(AND(SUM(K563:M563)&lt;9,OR(M563=0,N563&lt;6)),1,0)</x:f>
        <x:v>1</x:v>
      </x:c>
      <x:c r="P563" s="19" t="n">
        <x:f>IF(AND(SUM(K563:M563)&lt;9,OR(L563=0,N563&lt;6)),1,0)</x:f>
        <x:v>1</x:v>
      </x:c>
      <x:c r="Q563" s="19" t="n">
        <x:f>IF(AND(SUM(K563:M563)&lt;9,OR(K563=0,N563&lt;6)),1,0)</x:f>
        <x:v>1</x:v>
      </x:c>
      <x:c r="R563" s="22" t="str">
        <x:f>O563&amp;P563&amp;Q563</x:f>
        <x:v>111</x:v>
      </x:c>
      <x:c r="S563" s="19" t="n">
        <x:f>IF(I563=1,IF(J563=0,Q563,IF(J563=1,P563,IF(J563=2,O563,0))),0)</x:f>
        <x:v>1</x:v>
      </x:c>
      <x:c r="T563" s="19" t="n">
        <x:f>K563+IF(AND(S563=1,J563=0),1,0)</x:f>
        <x:v>1</x:v>
      </x:c>
      <x:c r="U563" s="19" t="n">
        <x:f>L563+IF(AND(S563=1,J563=1),1,0)</x:f>
        <x:v>0</x:v>
      </x:c>
      <x:c r="V563" s="19" t="n">
        <x:f>M563+IF(AND(S563=1,J563=2),1,0)</x:f>
        <x:v>1</x:v>
      </x:c>
      <x:c r="W563" s="19" t="n">
        <x:f>SUM(T563:V563)</x:f>
        <x:v>2</x:v>
      </x:c>
      <x:c r="X563" s="19" t="n">
        <x:f>W563-G563</x:f>
        <x:v>0</x:v>
      </x:c>
      <x:c r="Y563" s="19" t="n">
        <x:f>MAX(T563,1)+MAX(U563,1)+MAX(V563,1)</x:f>
        <x:v>3</x:v>
      </x:c>
      <x:c r="Z563" s="21" t="str">
        <x:f>IF(AND(MIN(D563:F563)&gt;=0,MAX(D563:F563)&lt;=7,MAX(D563,1)+MAX(E563,1)+MAX(F563,1)&lt;=9,OR(H563="-",AND(H563=0,D563&gt;0),AND(H563=1,E563&gt;0),AND(H563=2,F563&gt;0)),OR(I563=0,AND(I563=1,OR(J563=0,J563=1,J563=2),R563&lt;&gt;"000")),Y563&lt;=9,MIN(T563:V563)&gt;=0),"合法","输入违约")</x:f>
        <x:v>合法</x:v>
      </x:c>
    </x:row>
    <x:row r="564" ht="23" customHeight="1">
      <x:c r="A564" s="3" t="str">
        <x:v>CT-0557</x:v>
      </x:c>
      <x:c r="B564" s="3" t="str">
        <x:v>ST-016</x:v>
      </x:c>
      <x:c r="C564" s="3" t="str">
        <x:v>无AR/R</x:v>
      </x:c>
      <x:c r="D564" s="25" t="n">
        <x:v>1</x:v>
      </x:c>
      <x:c r="E564" s="25" t="n">
        <x:v>1</x:v>
      </x:c>
      <x:c r="F564" s="25" t="n">
        <x:v>1</x:v>
      </x:c>
      <x:c r="G564" s="19" t="n">
        <x:f>SUM(D564:F564)</x:f>
        <x:v>3</x:v>
      </x:c>
      <x:c r="H564" s="25" t="str">
        <x:v>-</x:v>
      </x:c>
      <x:c r="I564" s="25" t="n">
        <x:v>0</x:v>
      </x:c>
      <x:c r="J564" s="25" t="str">
        <x:v>-</x:v>
      </x:c>
      <x:c r="K564" s="19" t="n">
        <x:f>D564-IF(H564=0,1,0)</x:f>
        <x:v>1</x:v>
      </x:c>
      <x:c r="L564" s="19" t="n">
        <x:f>E564-IF(H564=1,1,0)</x:f>
        <x:v>1</x:v>
      </x:c>
      <x:c r="M564" s="19" t="n">
        <x:f>F564-IF(H564=2,1,0)</x:f>
        <x:v>1</x:v>
      </x:c>
      <x:c r="N564" s="19" t="n">
        <x:f>MAX(K564-1,0)+MAX(L564-1,0)+MAX(M564-1,0)</x:f>
        <x:v>0</x:v>
      </x:c>
      <x:c r="O564" s="19" t="n">
        <x:f>IF(AND(SUM(K564:M564)&lt;9,OR(M564=0,N564&lt;6)),1,0)</x:f>
        <x:v>1</x:v>
      </x:c>
      <x:c r="P564" s="19" t="n">
        <x:f>IF(AND(SUM(K564:M564)&lt;9,OR(L564=0,N564&lt;6)),1,0)</x:f>
        <x:v>1</x:v>
      </x:c>
      <x:c r="Q564" s="19" t="n">
        <x:f>IF(AND(SUM(K564:M564)&lt;9,OR(K564=0,N564&lt;6)),1,0)</x:f>
        <x:v>1</x:v>
      </x:c>
      <x:c r="R564" s="22" t="str">
        <x:f>O564&amp;P564&amp;Q564</x:f>
        <x:v>111</x:v>
      </x:c>
      <x:c r="S564" s="19" t="n">
        <x:f>IF(I564=1,IF(J564=0,Q564,IF(J564=1,P564,IF(J564=2,O564,0))),0)</x:f>
        <x:v>0</x:v>
      </x:c>
      <x:c r="T564" s="19" t="n">
        <x:f>K564+IF(AND(S564=1,J564=0),1,0)</x:f>
        <x:v>1</x:v>
      </x:c>
      <x:c r="U564" s="19" t="n">
        <x:f>L564+IF(AND(S564=1,J564=1),1,0)</x:f>
        <x:v>1</x:v>
      </x:c>
      <x:c r="V564" s="19" t="n">
        <x:f>M564+IF(AND(S564=1,J564=2),1,0)</x:f>
        <x:v>1</x:v>
      </x:c>
      <x:c r="W564" s="19" t="n">
        <x:f>SUM(T564:V564)</x:f>
        <x:v>3</x:v>
      </x:c>
      <x:c r="X564" s="19" t="n">
        <x:f>W564-G564</x:f>
        <x:v>0</x:v>
      </x:c>
      <x:c r="Y564" s="19" t="n">
        <x:f>MAX(T564,1)+MAX(U564,1)+MAX(V564,1)</x:f>
        <x:v>3</x:v>
      </x:c>
      <x:c r="Z564" s="21" t="str">
        <x:f>IF(AND(MIN(D564:F564)&gt;=0,MAX(D564:F564)&lt;=7,MAX(D564,1)+MAX(E564,1)+MAX(F564,1)&lt;=9,OR(H564="-",AND(H564=0,D564&gt;0),AND(H564=1,E564&gt;0),AND(H564=2,F564&gt;0)),OR(I564=0,AND(I564=1,OR(J564=0,J564=1,J564=2),R564&lt;&gt;"000")),Y564&lt;=9,MIN(T564:V564)&gt;=0),"合法","输入违约")</x:f>
        <x:v>合法</x:v>
      </x:c>
    </x:row>
    <x:row r="565" ht="23" customHeight="1">
      <x:c r="A565" s="3" t="str">
        <x:v>CT-0558</x:v>
      </x:c>
      <x:c r="B565" s="3" t="str">
        <x:v>ST-016</x:v>
      </x:c>
      <x:c r="C565" s="3" t="str">
        <x:v>仅AR接收</x:v>
      </x:c>
      <x:c r="D565" s="25" t="n">
        <x:v>1</x:v>
      </x:c>
      <x:c r="E565" s="25" t="n">
        <x:v>1</x:v>
      </x:c>
      <x:c r="F565" s="25" t="n">
        <x:v>1</x:v>
      </x:c>
      <x:c r="G565" s="19" t="n">
        <x:f>SUM(D565:F565)</x:f>
        <x:v>3</x:v>
      </x:c>
      <x:c r="H565" s="25" t="str">
        <x:v>-</x:v>
      </x:c>
      <x:c r="I565" s="25" t="n">
        <x:v>1</x:v>
      </x:c>
      <x:c r="J565" s="25" t="n">
        <x:v>0</x:v>
      </x:c>
      <x:c r="K565" s="19" t="n">
        <x:f>D565-IF(H565=0,1,0)</x:f>
        <x:v>1</x:v>
      </x:c>
      <x:c r="L565" s="19" t="n">
        <x:f>E565-IF(H565=1,1,0)</x:f>
        <x:v>1</x:v>
      </x:c>
      <x:c r="M565" s="19" t="n">
        <x:f>F565-IF(H565=2,1,0)</x:f>
        <x:v>1</x:v>
      </x:c>
      <x:c r="N565" s="19" t="n">
        <x:f>MAX(K565-1,0)+MAX(L565-1,0)+MAX(M565-1,0)</x:f>
        <x:v>0</x:v>
      </x:c>
      <x:c r="O565" s="19" t="n">
        <x:f>IF(AND(SUM(K565:M565)&lt;9,OR(M565=0,N565&lt;6)),1,0)</x:f>
        <x:v>1</x:v>
      </x:c>
      <x:c r="P565" s="19" t="n">
        <x:f>IF(AND(SUM(K565:M565)&lt;9,OR(L565=0,N565&lt;6)),1,0)</x:f>
        <x:v>1</x:v>
      </x:c>
      <x:c r="Q565" s="19" t="n">
        <x:f>IF(AND(SUM(K565:M565)&lt;9,OR(K565=0,N565&lt;6)),1,0)</x:f>
        <x:v>1</x:v>
      </x:c>
      <x:c r="R565" s="22" t="str">
        <x:f>O565&amp;P565&amp;Q565</x:f>
        <x:v>111</x:v>
      </x:c>
      <x:c r="S565" s="19" t="n">
        <x:f>IF(I565=1,IF(J565=0,Q565,IF(J565=1,P565,IF(J565=2,O565,0))),0)</x:f>
        <x:v>1</x:v>
      </x:c>
      <x:c r="T565" s="19" t="n">
        <x:f>K565+IF(AND(S565=1,J565=0),1,0)</x:f>
        <x:v>2</x:v>
      </x:c>
      <x:c r="U565" s="19" t="n">
        <x:f>L565+IF(AND(S565=1,J565=1),1,0)</x:f>
        <x:v>1</x:v>
      </x:c>
      <x:c r="V565" s="19" t="n">
        <x:f>M565+IF(AND(S565=1,J565=2),1,0)</x:f>
        <x:v>1</x:v>
      </x:c>
      <x:c r="W565" s="19" t="n">
        <x:f>SUM(T565:V565)</x:f>
        <x:v>4</x:v>
      </x:c>
      <x:c r="X565" s="19" t="n">
        <x:f>W565-G565</x:f>
        <x:v>1</x:v>
      </x:c>
      <x:c r="Y565" s="19" t="n">
        <x:f>MAX(T565,1)+MAX(U565,1)+MAX(V565,1)</x:f>
        <x:v>4</x:v>
      </x:c>
      <x:c r="Z565" s="21" t="str">
        <x:f>IF(AND(MIN(D565:F565)&gt;=0,MAX(D565:F565)&lt;=7,MAX(D565,1)+MAX(E565,1)+MAX(F565,1)&lt;=9,OR(H565="-",AND(H565=0,D565&gt;0),AND(H565=1,E565&gt;0),AND(H565=2,F565&gt;0)),OR(I565=0,AND(I565=1,OR(J565=0,J565=1,J565=2),R565&lt;&gt;"000")),Y565&lt;=9,MIN(T565:V565)&gt;=0),"合法","输入违约")</x:f>
        <x:v>合法</x:v>
      </x:c>
    </x:row>
    <x:row r="566" ht="23" customHeight="1">
      <x:c r="A566" s="3" t="str">
        <x:v>CT-0559</x:v>
      </x:c>
      <x:c r="B566" s="3" t="str">
        <x:v>ST-016</x:v>
      </x:c>
      <x:c r="C566" s="3" t="str">
        <x:v>仅AR接收</x:v>
      </x:c>
      <x:c r="D566" s="25" t="n">
        <x:v>1</x:v>
      </x:c>
      <x:c r="E566" s="25" t="n">
        <x:v>1</x:v>
      </x:c>
      <x:c r="F566" s="25" t="n">
        <x:v>1</x:v>
      </x:c>
      <x:c r="G566" s="19" t="n">
        <x:f>SUM(D566:F566)</x:f>
        <x:v>3</x:v>
      </x:c>
      <x:c r="H566" s="25" t="str">
        <x:v>-</x:v>
      </x:c>
      <x:c r="I566" s="25" t="n">
        <x:v>1</x:v>
      </x:c>
      <x:c r="J566" s="25" t="n">
        <x:v>1</x:v>
      </x:c>
      <x:c r="K566" s="19" t="n">
        <x:f>D566-IF(H566=0,1,0)</x:f>
        <x:v>1</x:v>
      </x:c>
      <x:c r="L566" s="19" t="n">
        <x:f>E566-IF(H566=1,1,0)</x:f>
        <x:v>1</x:v>
      </x:c>
      <x:c r="M566" s="19" t="n">
        <x:f>F566-IF(H566=2,1,0)</x:f>
        <x:v>1</x:v>
      </x:c>
      <x:c r="N566" s="19" t="n">
        <x:f>MAX(K566-1,0)+MAX(L566-1,0)+MAX(M566-1,0)</x:f>
        <x:v>0</x:v>
      </x:c>
      <x:c r="O566" s="19" t="n">
        <x:f>IF(AND(SUM(K566:M566)&lt;9,OR(M566=0,N566&lt;6)),1,0)</x:f>
        <x:v>1</x:v>
      </x:c>
      <x:c r="P566" s="19" t="n">
        <x:f>IF(AND(SUM(K566:M566)&lt;9,OR(L566=0,N566&lt;6)),1,0)</x:f>
        <x:v>1</x:v>
      </x:c>
      <x:c r="Q566" s="19" t="n">
        <x:f>IF(AND(SUM(K566:M566)&lt;9,OR(K566=0,N566&lt;6)),1,0)</x:f>
        <x:v>1</x:v>
      </x:c>
      <x:c r="R566" s="22" t="str">
        <x:f>O566&amp;P566&amp;Q566</x:f>
        <x:v>111</x:v>
      </x:c>
      <x:c r="S566" s="19" t="n">
        <x:f>IF(I566=1,IF(J566=0,Q566,IF(J566=1,P566,IF(J566=2,O566,0))),0)</x:f>
        <x:v>1</x:v>
      </x:c>
      <x:c r="T566" s="19" t="n">
        <x:f>K566+IF(AND(S566=1,J566=0),1,0)</x:f>
        <x:v>1</x:v>
      </x:c>
      <x:c r="U566" s="19" t="n">
        <x:f>L566+IF(AND(S566=1,J566=1),1,0)</x:f>
        <x:v>2</x:v>
      </x:c>
      <x:c r="V566" s="19" t="n">
        <x:f>M566+IF(AND(S566=1,J566=2),1,0)</x:f>
        <x:v>1</x:v>
      </x:c>
      <x:c r="W566" s="19" t="n">
        <x:f>SUM(T566:V566)</x:f>
        <x:v>4</x:v>
      </x:c>
      <x:c r="X566" s="19" t="n">
        <x:f>W566-G566</x:f>
        <x:v>1</x:v>
      </x:c>
      <x:c r="Y566" s="19" t="n">
        <x:f>MAX(T566,1)+MAX(U566,1)+MAX(V566,1)</x:f>
        <x:v>4</x:v>
      </x:c>
      <x:c r="Z566" s="21" t="str">
        <x:f>IF(AND(MIN(D566:F566)&gt;=0,MAX(D566:F566)&lt;=7,MAX(D566,1)+MAX(E566,1)+MAX(F566,1)&lt;=9,OR(H566="-",AND(H566=0,D566&gt;0),AND(H566=1,E566&gt;0),AND(H566=2,F566&gt;0)),OR(I566=0,AND(I566=1,OR(J566=0,J566=1,J566=2),R566&lt;&gt;"000")),Y566&lt;=9,MIN(T566:V566)&gt;=0),"合法","输入违约")</x:f>
        <x:v>合法</x:v>
      </x:c>
    </x:row>
    <x:row r="567" ht="23" customHeight="1">
      <x:c r="A567" s="3" t="str">
        <x:v>CT-0560</x:v>
      </x:c>
      <x:c r="B567" s="3" t="str">
        <x:v>ST-016</x:v>
      </x:c>
      <x:c r="C567" s="3" t="str">
        <x:v>仅AR接收</x:v>
      </x:c>
      <x:c r="D567" s="25" t="n">
        <x:v>1</x:v>
      </x:c>
      <x:c r="E567" s="25" t="n">
        <x:v>1</x:v>
      </x:c>
      <x:c r="F567" s="25" t="n">
        <x:v>1</x:v>
      </x:c>
      <x:c r="G567" s="19" t="n">
        <x:f>SUM(D567:F567)</x:f>
        <x:v>3</x:v>
      </x:c>
      <x:c r="H567" s="25" t="str">
        <x:v>-</x:v>
      </x:c>
      <x:c r="I567" s="25" t="n">
        <x:v>1</x:v>
      </x:c>
      <x:c r="J567" s="25" t="n">
        <x:v>2</x:v>
      </x:c>
      <x:c r="K567" s="19" t="n">
        <x:f>D567-IF(H567=0,1,0)</x:f>
        <x:v>1</x:v>
      </x:c>
      <x:c r="L567" s="19" t="n">
        <x:f>E567-IF(H567=1,1,0)</x:f>
        <x:v>1</x:v>
      </x:c>
      <x:c r="M567" s="19" t="n">
        <x:f>F567-IF(H567=2,1,0)</x:f>
        <x:v>1</x:v>
      </x:c>
      <x:c r="N567" s="19" t="n">
        <x:f>MAX(K567-1,0)+MAX(L567-1,0)+MAX(M567-1,0)</x:f>
        <x:v>0</x:v>
      </x:c>
      <x:c r="O567" s="19" t="n">
        <x:f>IF(AND(SUM(K567:M567)&lt;9,OR(M567=0,N567&lt;6)),1,0)</x:f>
        <x:v>1</x:v>
      </x:c>
      <x:c r="P567" s="19" t="n">
        <x:f>IF(AND(SUM(K567:M567)&lt;9,OR(L567=0,N567&lt;6)),1,0)</x:f>
        <x:v>1</x:v>
      </x:c>
      <x:c r="Q567" s="19" t="n">
        <x:f>IF(AND(SUM(K567:M567)&lt;9,OR(K567=0,N567&lt;6)),1,0)</x:f>
        <x:v>1</x:v>
      </x:c>
      <x:c r="R567" s="22" t="str">
        <x:f>O567&amp;P567&amp;Q567</x:f>
        <x:v>111</x:v>
      </x:c>
      <x:c r="S567" s="19" t="n">
        <x:f>IF(I567=1,IF(J567=0,Q567,IF(J567=1,P567,IF(J567=2,O567,0))),0)</x:f>
        <x:v>1</x:v>
      </x:c>
      <x:c r="T567" s="19" t="n">
        <x:f>K567+IF(AND(S567=1,J567=0),1,0)</x:f>
        <x:v>1</x:v>
      </x:c>
      <x:c r="U567" s="19" t="n">
        <x:f>L567+IF(AND(S567=1,J567=1),1,0)</x:f>
        <x:v>1</x:v>
      </x:c>
      <x:c r="V567" s="19" t="n">
        <x:f>M567+IF(AND(S567=1,J567=2),1,0)</x:f>
        <x:v>2</x:v>
      </x:c>
      <x:c r="W567" s="19" t="n">
        <x:f>SUM(T567:V567)</x:f>
        <x:v>4</x:v>
      </x:c>
      <x:c r="X567" s="19" t="n">
        <x:f>W567-G567</x:f>
        <x:v>1</x:v>
      </x:c>
      <x:c r="Y567" s="19" t="n">
        <x:f>MAX(T567,1)+MAX(U567,1)+MAX(V567,1)</x:f>
        <x:v>4</x:v>
      </x:c>
      <x:c r="Z567" s="21" t="str">
        <x:f>IF(AND(MIN(D567:F567)&gt;=0,MAX(D567:F567)&lt;=7,MAX(D567,1)+MAX(E567,1)+MAX(F567,1)&lt;=9,OR(H567="-",AND(H567=0,D567&gt;0),AND(H567=1,E567&gt;0),AND(H567=2,F567&gt;0)),OR(I567=0,AND(I567=1,OR(J567=0,J567=1,J567=2),R567&lt;&gt;"000")),Y567&lt;=9,MIN(T567:V567)&gt;=0),"合法","输入违约")</x:f>
        <x:v>合法</x:v>
      </x:c>
    </x:row>
    <x:row r="568" ht="23" customHeight="1">
      <x:c r="A568" s="3" t="str">
        <x:v>CT-0561</x:v>
      </x:c>
      <x:c r="B568" s="3" t="str">
        <x:v>ST-016</x:v>
      </x:c>
      <x:c r="C568" s="3" t="str">
        <x:v>仅R回收</x:v>
      </x:c>
      <x:c r="D568" s="25" t="n">
        <x:v>1</x:v>
      </x:c>
      <x:c r="E568" s="25" t="n">
        <x:v>1</x:v>
      </x:c>
      <x:c r="F568" s="25" t="n">
        <x:v>1</x:v>
      </x:c>
      <x:c r="G568" s="19" t="n">
        <x:f>SUM(D568:F568)</x:f>
        <x:v>3</x:v>
      </x:c>
      <x:c r="H568" s="25" t="n">
        <x:v>0</x:v>
      </x:c>
      <x:c r="I568" s="25" t="n">
        <x:v>0</x:v>
      </x:c>
      <x:c r="J568" s="25" t="str">
        <x:v>-</x:v>
      </x:c>
      <x:c r="K568" s="19" t="n">
        <x:f>D568-IF(H568=0,1,0)</x:f>
        <x:v>0</x:v>
      </x:c>
      <x:c r="L568" s="19" t="n">
        <x:f>E568-IF(H568=1,1,0)</x:f>
        <x:v>1</x:v>
      </x:c>
      <x:c r="M568" s="19" t="n">
        <x:f>F568-IF(H568=2,1,0)</x:f>
        <x:v>1</x:v>
      </x:c>
      <x:c r="N568" s="19" t="n">
        <x:f>MAX(K568-1,0)+MAX(L568-1,0)+MAX(M568-1,0)</x:f>
        <x:v>0</x:v>
      </x:c>
      <x:c r="O568" s="19" t="n">
        <x:f>IF(AND(SUM(K568:M568)&lt;9,OR(M568=0,N568&lt;6)),1,0)</x:f>
        <x:v>1</x:v>
      </x:c>
      <x:c r="P568" s="19" t="n">
        <x:f>IF(AND(SUM(K568:M568)&lt;9,OR(L568=0,N568&lt;6)),1,0)</x:f>
        <x:v>1</x:v>
      </x:c>
      <x:c r="Q568" s="19" t="n">
        <x:f>IF(AND(SUM(K568:M568)&lt;9,OR(K568=0,N568&lt;6)),1,0)</x:f>
        <x:v>1</x:v>
      </x:c>
      <x:c r="R568" s="22" t="str">
        <x:f>O568&amp;P568&amp;Q568</x:f>
        <x:v>111</x:v>
      </x:c>
      <x:c r="S568" s="19" t="n">
        <x:f>IF(I568=1,IF(J568=0,Q568,IF(J568=1,P568,IF(J568=2,O568,0))),0)</x:f>
        <x:v>0</x:v>
      </x:c>
      <x:c r="T568" s="19" t="n">
        <x:f>K568+IF(AND(S568=1,J568=0),1,0)</x:f>
        <x:v>0</x:v>
      </x:c>
      <x:c r="U568" s="19" t="n">
        <x:f>L568+IF(AND(S568=1,J568=1),1,0)</x:f>
        <x:v>1</x:v>
      </x:c>
      <x:c r="V568" s="19" t="n">
        <x:f>M568+IF(AND(S568=1,J568=2),1,0)</x:f>
        <x:v>1</x:v>
      </x:c>
      <x:c r="W568" s="19" t="n">
        <x:f>SUM(T568:V568)</x:f>
        <x:v>2</x:v>
      </x:c>
      <x:c r="X568" s="19" t="n">
        <x:f>W568-G568</x:f>
        <x:v>-1</x:v>
      </x:c>
      <x:c r="Y568" s="19" t="n">
        <x:f>MAX(T568,1)+MAX(U568,1)+MAX(V568,1)</x:f>
        <x:v>3</x:v>
      </x:c>
      <x:c r="Z568" s="21" t="str">
        <x:f>IF(AND(MIN(D568:F568)&gt;=0,MAX(D568:F568)&lt;=7,MAX(D568,1)+MAX(E568,1)+MAX(F568,1)&lt;=9,OR(H568="-",AND(H568=0,D568&gt;0),AND(H568=1,E568&gt;0),AND(H568=2,F568&gt;0)),OR(I568=0,AND(I568=1,OR(J568=0,J568=1,J568=2),R568&lt;&gt;"000")),Y568&lt;=9,MIN(T568:V568)&gt;=0),"合法","输入违约")</x:f>
        <x:v>合法</x:v>
      </x:c>
    </x:row>
    <x:row r="569" ht="23" customHeight="1">
      <x:c r="A569" s="3" t="str">
        <x:v>CT-0562</x:v>
      </x:c>
      <x:c r="B569" s="3" t="str">
        <x:v>ST-016</x:v>
      </x:c>
      <x:c r="C569" s="3" t="str">
        <x:v>R+AR同收同发</x:v>
      </x:c>
      <x:c r="D569" s="25" t="n">
        <x:v>1</x:v>
      </x:c>
      <x:c r="E569" s="25" t="n">
        <x:v>1</x:v>
      </x:c>
      <x:c r="F569" s="25" t="n">
        <x:v>1</x:v>
      </x:c>
      <x:c r="G569" s="19" t="n">
        <x:f>SUM(D569:F569)</x:f>
        <x:v>3</x:v>
      </x:c>
      <x:c r="H569" s="25" t="n">
        <x:v>0</x:v>
      </x:c>
      <x:c r="I569" s="25" t="n">
        <x:v>1</x:v>
      </x:c>
      <x:c r="J569" s="25" t="n">
        <x:v>0</x:v>
      </x:c>
      <x:c r="K569" s="19" t="n">
        <x:f>D569-IF(H569=0,1,0)</x:f>
        <x:v>0</x:v>
      </x:c>
      <x:c r="L569" s="19" t="n">
        <x:f>E569-IF(H569=1,1,0)</x:f>
        <x:v>1</x:v>
      </x:c>
      <x:c r="M569" s="19" t="n">
        <x:f>F569-IF(H569=2,1,0)</x:f>
        <x:v>1</x:v>
      </x:c>
      <x:c r="N569" s="19" t="n">
        <x:f>MAX(K569-1,0)+MAX(L569-1,0)+MAX(M569-1,0)</x:f>
        <x:v>0</x:v>
      </x:c>
      <x:c r="O569" s="19" t="n">
        <x:f>IF(AND(SUM(K569:M569)&lt;9,OR(M569=0,N569&lt;6)),1,0)</x:f>
        <x:v>1</x:v>
      </x:c>
      <x:c r="P569" s="19" t="n">
        <x:f>IF(AND(SUM(K569:M569)&lt;9,OR(L569=0,N569&lt;6)),1,0)</x:f>
        <x:v>1</x:v>
      </x:c>
      <x:c r="Q569" s="19" t="n">
        <x:f>IF(AND(SUM(K569:M569)&lt;9,OR(K569=0,N569&lt;6)),1,0)</x:f>
        <x:v>1</x:v>
      </x:c>
      <x:c r="R569" s="22" t="str">
        <x:f>O569&amp;P569&amp;Q569</x:f>
        <x:v>111</x:v>
      </x:c>
      <x:c r="S569" s="19" t="n">
        <x:f>IF(I569=1,IF(J569=0,Q569,IF(J569=1,P569,IF(J569=2,O569,0))),0)</x:f>
        <x:v>1</x:v>
      </x:c>
      <x:c r="T569" s="19" t="n">
        <x:f>K569+IF(AND(S569=1,J569=0),1,0)</x:f>
        <x:v>1</x:v>
      </x:c>
      <x:c r="U569" s="19" t="n">
        <x:f>L569+IF(AND(S569=1,J569=1),1,0)</x:f>
        <x:v>1</x:v>
      </x:c>
      <x:c r="V569" s="19" t="n">
        <x:f>M569+IF(AND(S569=1,J569=2),1,0)</x:f>
        <x:v>1</x:v>
      </x:c>
      <x:c r="W569" s="19" t="n">
        <x:f>SUM(T569:V569)</x:f>
        <x:v>3</x:v>
      </x:c>
      <x:c r="X569" s="19" t="n">
        <x:f>W569-G569</x:f>
        <x:v>0</x:v>
      </x:c>
      <x:c r="Y569" s="19" t="n">
        <x:f>MAX(T569,1)+MAX(U569,1)+MAX(V569,1)</x:f>
        <x:v>3</x:v>
      </x:c>
      <x:c r="Z569" s="21" t="str">
        <x:f>IF(AND(MIN(D569:F569)&gt;=0,MAX(D569:F569)&lt;=7,MAX(D569,1)+MAX(E569,1)+MAX(F569,1)&lt;=9,OR(H569="-",AND(H569=0,D569&gt;0),AND(H569=1,E569&gt;0),AND(H569=2,F569&gt;0)),OR(I569=0,AND(I569=1,OR(J569=0,J569=1,J569=2),R569&lt;&gt;"000")),Y569&lt;=9,MIN(T569:V569)&gt;=0),"合法","输入违约")</x:f>
        <x:v>合法</x:v>
      </x:c>
    </x:row>
    <x:row r="570" ht="23" customHeight="1">
      <x:c r="A570" s="3" t="str">
        <x:v>CT-0563</x:v>
      </x:c>
      <x:c r="B570" s="3" t="str">
        <x:v>ST-016</x:v>
      </x:c>
      <x:c r="C570" s="3" t="str">
        <x:v>R+AR同收同发</x:v>
      </x:c>
      <x:c r="D570" s="25" t="n">
        <x:v>1</x:v>
      </x:c>
      <x:c r="E570" s="25" t="n">
        <x:v>1</x:v>
      </x:c>
      <x:c r="F570" s="25" t="n">
        <x:v>1</x:v>
      </x:c>
      <x:c r="G570" s="19" t="n">
        <x:f>SUM(D570:F570)</x:f>
        <x:v>3</x:v>
      </x:c>
      <x:c r="H570" s="25" t="n">
        <x:v>0</x:v>
      </x:c>
      <x:c r="I570" s="25" t="n">
        <x:v>1</x:v>
      </x:c>
      <x:c r="J570" s="25" t="n">
        <x:v>1</x:v>
      </x:c>
      <x:c r="K570" s="19" t="n">
        <x:f>D570-IF(H570=0,1,0)</x:f>
        <x:v>0</x:v>
      </x:c>
      <x:c r="L570" s="19" t="n">
        <x:f>E570-IF(H570=1,1,0)</x:f>
        <x:v>1</x:v>
      </x:c>
      <x:c r="M570" s="19" t="n">
        <x:f>F570-IF(H570=2,1,0)</x:f>
        <x:v>1</x:v>
      </x:c>
      <x:c r="N570" s="19" t="n">
        <x:f>MAX(K570-1,0)+MAX(L570-1,0)+MAX(M570-1,0)</x:f>
        <x:v>0</x:v>
      </x:c>
      <x:c r="O570" s="19" t="n">
        <x:f>IF(AND(SUM(K570:M570)&lt;9,OR(M570=0,N570&lt;6)),1,0)</x:f>
        <x:v>1</x:v>
      </x:c>
      <x:c r="P570" s="19" t="n">
        <x:f>IF(AND(SUM(K570:M570)&lt;9,OR(L570=0,N570&lt;6)),1,0)</x:f>
        <x:v>1</x:v>
      </x:c>
      <x:c r="Q570" s="19" t="n">
        <x:f>IF(AND(SUM(K570:M570)&lt;9,OR(K570=0,N570&lt;6)),1,0)</x:f>
        <x:v>1</x:v>
      </x:c>
      <x:c r="R570" s="22" t="str">
        <x:f>O570&amp;P570&amp;Q570</x:f>
        <x:v>111</x:v>
      </x:c>
      <x:c r="S570" s="19" t="n">
        <x:f>IF(I570=1,IF(J570=0,Q570,IF(J570=1,P570,IF(J570=2,O570,0))),0)</x:f>
        <x:v>1</x:v>
      </x:c>
      <x:c r="T570" s="19" t="n">
        <x:f>K570+IF(AND(S570=1,J570=0),1,0)</x:f>
        <x:v>0</x:v>
      </x:c>
      <x:c r="U570" s="19" t="n">
        <x:f>L570+IF(AND(S570=1,J570=1),1,0)</x:f>
        <x:v>2</x:v>
      </x:c>
      <x:c r="V570" s="19" t="n">
        <x:f>M570+IF(AND(S570=1,J570=2),1,0)</x:f>
        <x:v>1</x:v>
      </x:c>
      <x:c r="W570" s="19" t="n">
        <x:f>SUM(T570:V570)</x:f>
        <x:v>3</x:v>
      </x:c>
      <x:c r="X570" s="19" t="n">
        <x:f>W570-G570</x:f>
        <x:v>0</x:v>
      </x:c>
      <x:c r="Y570" s="19" t="n">
        <x:f>MAX(T570,1)+MAX(U570,1)+MAX(V570,1)</x:f>
        <x:v>4</x:v>
      </x:c>
      <x:c r="Z570" s="21" t="str">
        <x:f>IF(AND(MIN(D570:F570)&gt;=0,MAX(D570:F570)&lt;=7,MAX(D570,1)+MAX(E570,1)+MAX(F570,1)&lt;=9,OR(H570="-",AND(H570=0,D570&gt;0),AND(H570=1,E570&gt;0),AND(H570=2,F570&gt;0)),OR(I570=0,AND(I570=1,OR(J570=0,J570=1,J570=2),R570&lt;&gt;"000")),Y570&lt;=9,MIN(T570:V570)&gt;=0),"合法","输入违约")</x:f>
        <x:v>合法</x:v>
      </x:c>
    </x:row>
    <x:row r="571" ht="23" customHeight="1">
      <x:c r="A571" s="3" t="str">
        <x:v>CT-0564</x:v>
      </x:c>
      <x:c r="B571" s="3" t="str">
        <x:v>ST-016</x:v>
      </x:c>
      <x:c r="C571" s="3" t="str">
        <x:v>R+AR同收同发</x:v>
      </x:c>
      <x:c r="D571" s="25" t="n">
        <x:v>1</x:v>
      </x:c>
      <x:c r="E571" s="25" t="n">
        <x:v>1</x:v>
      </x:c>
      <x:c r="F571" s="25" t="n">
        <x:v>1</x:v>
      </x:c>
      <x:c r="G571" s="19" t="n">
        <x:f>SUM(D571:F571)</x:f>
        <x:v>3</x:v>
      </x:c>
      <x:c r="H571" s="25" t="n">
        <x:v>0</x:v>
      </x:c>
      <x:c r="I571" s="25" t="n">
        <x:v>1</x:v>
      </x:c>
      <x:c r="J571" s="25" t="n">
        <x:v>2</x:v>
      </x:c>
      <x:c r="K571" s="19" t="n">
        <x:f>D571-IF(H571=0,1,0)</x:f>
        <x:v>0</x:v>
      </x:c>
      <x:c r="L571" s="19" t="n">
        <x:f>E571-IF(H571=1,1,0)</x:f>
        <x:v>1</x:v>
      </x:c>
      <x:c r="M571" s="19" t="n">
        <x:f>F571-IF(H571=2,1,0)</x:f>
        <x:v>1</x:v>
      </x:c>
      <x:c r="N571" s="19" t="n">
        <x:f>MAX(K571-1,0)+MAX(L571-1,0)+MAX(M571-1,0)</x:f>
        <x:v>0</x:v>
      </x:c>
      <x:c r="O571" s="19" t="n">
        <x:f>IF(AND(SUM(K571:M571)&lt;9,OR(M571=0,N571&lt;6)),1,0)</x:f>
        <x:v>1</x:v>
      </x:c>
      <x:c r="P571" s="19" t="n">
        <x:f>IF(AND(SUM(K571:M571)&lt;9,OR(L571=0,N571&lt;6)),1,0)</x:f>
        <x:v>1</x:v>
      </x:c>
      <x:c r="Q571" s="19" t="n">
        <x:f>IF(AND(SUM(K571:M571)&lt;9,OR(K571=0,N571&lt;6)),1,0)</x:f>
        <x:v>1</x:v>
      </x:c>
      <x:c r="R571" s="22" t="str">
        <x:f>O571&amp;P571&amp;Q571</x:f>
        <x:v>111</x:v>
      </x:c>
      <x:c r="S571" s="19" t="n">
        <x:f>IF(I571=1,IF(J571=0,Q571,IF(J571=1,P571,IF(J571=2,O571,0))),0)</x:f>
        <x:v>1</x:v>
      </x:c>
      <x:c r="T571" s="19" t="n">
        <x:f>K571+IF(AND(S571=1,J571=0),1,0)</x:f>
        <x:v>0</x:v>
      </x:c>
      <x:c r="U571" s="19" t="n">
        <x:f>L571+IF(AND(S571=1,J571=1),1,0)</x:f>
        <x:v>1</x:v>
      </x:c>
      <x:c r="V571" s="19" t="n">
        <x:f>M571+IF(AND(S571=1,J571=2),1,0)</x:f>
        <x:v>2</x:v>
      </x:c>
      <x:c r="W571" s="19" t="n">
        <x:f>SUM(T571:V571)</x:f>
        <x:v>3</x:v>
      </x:c>
      <x:c r="X571" s="19" t="n">
        <x:f>W571-G571</x:f>
        <x:v>0</x:v>
      </x:c>
      <x:c r="Y571" s="19" t="n">
        <x:f>MAX(T571,1)+MAX(U571,1)+MAX(V571,1)</x:f>
        <x:v>4</x:v>
      </x:c>
      <x:c r="Z571" s="21" t="str">
        <x:f>IF(AND(MIN(D571:F571)&gt;=0,MAX(D571:F571)&lt;=7,MAX(D571,1)+MAX(E571,1)+MAX(F571,1)&lt;=9,OR(H571="-",AND(H571=0,D571&gt;0),AND(H571=1,E571&gt;0),AND(H571=2,F571&gt;0)),OR(I571=0,AND(I571=1,OR(J571=0,J571=1,J571=2),R571&lt;&gt;"000")),Y571&lt;=9,MIN(T571:V571)&gt;=0),"合法","输入违约")</x:f>
        <x:v>合法</x:v>
      </x:c>
    </x:row>
    <x:row r="572" ht="23" customHeight="1">
      <x:c r="A572" s="3" t="str">
        <x:v>CT-0565</x:v>
      </x:c>
      <x:c r="B572" s="3" t="str">
        <x:v>ST-016</x:v>
      </x:c>
      <x:c r="C572" s="3" t="str">
        <x:v>仅R回收</x:v>
      </x:c>
      <x:c r="D572" s="25" t="n">
        <x:v>1</x:v>
      </x:c>
      <x:c r="E572" s="25" t="n">
        <x:v>1</x:v>
      </x:c>
      <x:c r="F572" s="25" t="n">
        <x:v>1</x:v>
      </x:c>
      <x:c r="G572" s="19" t="n">
        <x:f>SUM(D572:F572)</x:f>
        <x:v>3</x:v>
      </x:c>
      <x:c r="H572" s="25" t="n">
        <x:v>1</x:v>
      </x:c>
      <x:c r="I572" s="25" t="n">
        <x:v>0</x:v>
      </x:c>
      <x:c r="J572" s="25" t="str">
        <x:v>-</x:v>
      </x:c>
      <x:c r="K572" s="19" t="n">
        <x:f>D572-IF(H572=0,1,0)</x:f>
        <x:v>1</x:v>
      </x:c>
      <x:c r="L572" s="19" t="n">
        <x:f>E572-IF(H572=1,1,0)</x:f>
        <x:v>0</x:v>
      </x:c>
      <x:c r="M572" s="19" t="n">
        <x:f>F572-IF(H572=2,1,0)</x:f>
        <x:v>1</x:v>
      </x:c>
      <x:c r="N572" s="19" t="n">
        <x:f>MAX(K572-1,0)+MAX(L572-1,0)+MAX(M572-1,0)</x:f>
        <x:v>0</x:v>
      </x:c>
      <x:c r="O572" s="19" t="n">
        <x:f>IF(AND(SUM(K572:M572)&lt;9,OR(M572=0,N572&lt;6)),1,0)</x:f>
        <x:v>1</x:v>
      </x:c>
      <x:c r="P572" s="19" t="n">
        <x:f>IF(AND(SUM(K572:M572)&lt;9,OR(L572=0,N572&lt;6)),1,0)</x:f>
        <x:v>1</x:v>
      </x:c>
      <x:c r="Q572" s="19" t="n">
        <x:f>IF(AND(SUM(K572:M572)&lt;9,OR(K572=0,N572&lt;6)),1,0)</x:f>
        <x:v>1</x:v>
      </x:c>
      <x:c r="R572" s="22" t="str">
        <x:f>O572&amp;P572&amp;Q572</x:f>
        <x:v>111</x:v>
      </x:c>
      <x:c r="S572" s="19" t="n">
        <x:f>IF(I572=1,IF(J572=0,Q572,IF(J572=1,P572,IF(J572=2,O572,0))),0)</x:f>
        <x:v>0</x:v>
      </x:c>
      <x:c r="T572" s="19" t="n">
        <x:f>K572+IF(AND(S572=1,J572=0),1,0)</x:f>
        <x:v>1</x:v>
      </x:c>
      <x:c r="U572" s="19" t="n">
        <x:f>L572+IF(AND(S572=1,J572=1),1,0)</x:f>
        <x:v>0</x:v>
      </x:c>
      <x:c r="V572" s="19" t="n">
        <x:f>M572+IF(AND(S572=1,J572=2),1,0)</x:f>
        <x:v>1</x:v>
      </x:c>
      <x:c r="W572" s="19" t="n">
        <x:f>SUM(T572:V572)</x:f>
        <x:v>2</x:v>
      </x:c>
      <x:c r="X572" s="19" t="n">
        <x:f>W572-G572</x:f>
        <x:v>-1</x:v>
      </x:c>
      <x:c r="Y572" s="19" t="n">
        <x:f>MAX(T572,1)+MAX(U572,1)+MAX(V572,1)</x:f>
        <x:v>3</x:v>
      </x:c>
      <x:c r="Z572" s="21" t="str">
        <x:f>IF(AND(MIN(D572:F572)&gt;=0,MAX(D572:F572)&lt;=7,MAX(D572,1)+MAX(E572,1)+MAX(F572,1)&lt;=9,OR(H572="-",AND(H572=0,D572&gt;0),AND(H572=1,E572&gt;0),AND(H572=2,F572&gt;0)),OR(I572=0,AND(I572=1,OR(J572=0,J572=1,J572=2),R572&lt;&gt;"000")),Y572&lt;=9,MIN(T572:V572)&gt;=0),"合法","输入违约")</x:f>
        <x:v>合法</x:v>
      </x:c>
    </x:row>
    <x:row r="573" ht="23" customHeight="1">
      <x:c r="A573" s="3" t="str">
        <x:v>CT-0566</x:v>
      </x:c>
      <x:c r="B573" s="3" t="str">
        <x:v>ST-016</x:v>
      </x:c>
      <x:c r="C573" s="3" t="str">
        <x:v>R+AR同收同发</x:v>
      </x:c>
      <x:c r="D573" s="25" t="n">
        <x:v>1</x:v>
      </x:c>
      <x:c r="E573" s="25" t="n">
        <x:v>1</x:v>
      </x:c>
      <x:c r="F573" s="25" t="n">
        <x:v>1</x:v>
      </x:c>
      <x:c r="G573" s="19" t="n">
        <x:f>SUM(D573:F573)</x:f>
        <x:v>3</x:v>
      </x:c>
      <x:c r="H573" s="25" t="n">
        <x:v>1</x:v>
      </x:c>
      <x:c r="I573" s="25" t="n">
        <x:v>1</x:v>
      </x:c>
      <x:c r="J573" s="25" t="n">
        <x:v>0</x:v>
      </x:c>
      <x:c r="K573" s="19" t="n">
        <x:f>D573-IF(H573=0,1,0)</x:f>
        <x:v>1</x:v>
      </x:c>
      <x:c r="L573" s="19" t="n">
        <x:f>E573-IF(H573=1,1,0)</x:f>
        <x:v>0</x:v>
      </x:c>
      <x:c r="M573" s="19" t="n">
        <x:f>F573-IF(H573=2,1,0)</x:f>
        <x:v>1</x:v>
      </x:c>
      <x:c r="N573" s="19" t="n">
        <x:f>MAX(K573-1,0)+MAX(L573-1,0)+MAX(M573-1,0)</x:f>
        <x:v>0</x:v>
      </x:c>
      <x:c r="O573" s="19" t="n">
        <x:f>IF(AND(SUM(K573:M573)&lt;9,OR(M573=0,N573&lt;6)),1,0)</x:f>
        <x:v>1</x:v>
      </x:c>
      <x:c r="P573" s="19" t="n">
        <x:f>IF(AND(SUM(K573:M573)&lt;9,OR(L573=0,N573&lt;6)),1,0)</x:f>
        <x:v>1</x:v>
      </x:c>
      <x:c r="Q573" s="19" t="n">
        <x:f>IF(AND(SUM(K573:M573)&lt;9,OR(K573=0,N573&lt;6)),1,0)</x:f>
        <x:v>1</x:v>
      </x:c>
      <x:c r="R573" s="22" t="str">
        <x:f>O573&amp;P573&amp;Q573</x:f>
        <x:v>111</x:v>
      </x:c>
      <x:c r="S573" s="19" t="n">
        <x:f>IF(I573=1,IF(J573=0,Q573,IF(J573=1,P573,IF(J573=2,O573,0))),0)</x:f>
        <x:v>1</x:v>
      </x:c>
      <x:c r="T573" s="19" t="n">
        <x:f>K573+IF(AND(S573=1,J573=0),1,0)</x:f>
        <x:v>2</x:v>
      </x:c>
      <x:c r="U573" s="19" t="n">
        <x:f>L573+IF(AND(S573=1,J573=1),1,0)</x:f>
        <x:v>0</x:v>
      </x:c>
      <x:c r="V573" s="19" t="n">
        <x:f>M573+IF(AND(S573=1,J573=2),1,0)</x:f>
        <x:v>1</x:v>
      </x:c>
      <x:c r="W573" s="19" t="n">
        <x:f>SUM(T573:V573)</x:f>
        <x:v>3</x:v>
      </x:c>
      <x:c r="X573" s="19" t="n">
        <x:f>W573-G573</x:f>
        <x:v>0</x:v>
      </x:c>
      <x:c r="Y573" s="19" t="n">
        <x:f>MAX(T573,1)+MAX(U573,1)+MAX(V573,1)</x:f>
        <x:v>4</x:v>
      </x:c>
      <x:c r="Z573" s="21" t="str">
        <x:f>IF(AND(MIN(D573:F573)&gt;=0,MAX(D573:F573)&lt;=7,MAX(D573,1)+MAX(E573,1)+MAX(F573,1)&lt;=9,OR(H573="-",AND(H573=0,D573&gt;0),AND(H573=1,E573&gt;0),AND(H573=2,F573&gt;0)),OR(I573=0,AND(I573=1,OR(J573=0,J573=1,J573=2),R573&lt;&gt;"000")),Y573&lt;=9,MIN(T573:V573)&gt;=0),"合法","输入违约")</x:f>
        <x:v>合法</x:v>
      </x:c>
    </x:row>
    <x:row r="574" ht="23" customHeight="1">
      <x:c r="A574" s="3" t="str">
        <x:v>CT-0567</x:v>
      </x:c>
      <x:c r="B574" s="3" t="str">
        <x:v>ST-016</x:v>
      </x:c>
      <x:c r="C574" s="3" t="str">
        <x:v>R+AR同收同发</x:v>
      </x:c>
      <x:c r="D574" s="25" t="n">
        <x:v>1</x:v>
      </x:c>
      <x:c r="E574" s="25" t="n">
        <x:v>1</x:v>
      </x:c>
      <x:c r="F574" s="25" t="n">
        <x:v>1</x:v>
      </x:c>
      <x:c r="G574" s="19" t="n">
        <x:f>SUM(D574:F574)</x:f>
        <x:v>3</x:v>
      </x:c>
      <x:c r="H574" s="25" t="n">
        <x:v>1</x:v>
      </x:c>
      <x:c r="I574" s="25" t="n">
        <x:v>1</x:v>
      </x:c>
      <x:c r="J574" s="25" t="n">
        <x:v>1</x:v>
      </x:c>
      <x:c r="K574" s="19" t="n">
        <x:f>D574-IF(H574=0,1,0)</x:f>
        <x:v>1</x:v>
      </x:c>
      <x:c r="L574" s="19" t="n">
        <x:f>E574-IF(H574=1,1,0)</x:f>
        <x:v>0</x:v>
      </x:c>
      <x:c r="M574" s="19" t="n">
        <x:f>F574-IF(H574=2,1,0)</x:f>
        <x:v>1</x:v>
      </x:c>
      <x:c r="N574" s="19" t="n">
        <x:f>MAX(K574-1,0)+MAX(L574-1,0)+MAX(M574-1,0)</x:f>
        <x:v>0</x:v>
      </x:c>
      <x:c r="O574" s="19" t="n">
        <x:f>IF(AND(SUM(K574:M574)&lt;9,OR(M574=0,N574&lt;6)),1,0)</x:f>
        <x:v>1</x:v>
      </x:c>
      <x:c r="P574" s="19" t="n">
        <x:f>IF(AND(SUM(K574:M574)&lt;9,OR(L574=0,N574&lt;6)),1,0)</x:f>
        <x:v>1</x:v>
      </x:c>
      <x:c r="Q574" s="19" t="n">
        <x:f>IF(AND(SUM(K574:M574)&lt;9,OR(K574=0,N574&lt;6)),1,0)</x:f>
        <x:v>1</x:v>
      </x:c>
      <x:c r="R574" s="22" t="str">
        <x:f>O574&amp;P574&amp;Q574</x:f>
        <x:v>111</x:v>
      </x:c>
      <x:c r="S574" s="19" t="n">
        <x:f>IF(I574=1,IF(J574=0,Q574,IF(J574=1,P574,IF(J574=2,O574,0))),0)</x:f>
        <x:v>1</x:v>
      </x:c>
      <x:c r="T574" s="19" t="n">
        <x:f>K574+IF(AND(S574=1,J574=0),1,0)</x:f>
        <x:v>1</x:v>
      </x:c>
      <x:c r="U574" s="19" t="n">
        <x:f>L574+IF(AND(S574=1,J574=1),1,0)</x:f>
        <x:v>1</x:v>
      </x:c>
      <x:c r="V574" s="19" t="n">
        <x:f>M574+IF(AND(S574=1,J574=2),1,0)</x:f>
        <x:v>1</x:v>
      </x:c>
      <x:c r="W574" s="19" t="n">
        <x:f>SUM(T574:V574)</x:f>
        <x:v>3</x:v>
      </x:c>
      <x:c r="X574" s="19" t="n">
        <x:f>W574-G574</x:f>
        <x:v>0</x:v>
      </x:c>
      <x:c r="Y574" s="19" t="n">
        <x:f>MAX(T574,1)+MAX(U574,1)+MAX(V574,1)</x:f>
        <x:v>3</x:v>
      </x:c>
      <x:c r="Z574" s="21" t="str">
        <x:f>IF(AND(MIN(D574:F574)&gt;=0,MAX(D574:F574)&lt;=7,MAX(D574,1)+MAX(E574,1)+MAX(F574,1)&lt;=9,OR(H574="-",AND(H574=0,D574&gt;0),AND(H574=1,E574&gt;0),AND(H574=2,F574&gt;0)),OR(I574=0,AND(I574=1,OR(J574=0,J574=1,J574=2),R574&lt;&gt;"000")),Y574&lt;=9,MIN(T574:V574)&gt;=0),"合法","输入违约")</x:f>
        <x:v>合法</x:v>
      </x:c>
    </x:row>
    <x:row r="575" ht="23" customHeight="1">
      <x:c r="A575" s="3" t="str">
        <x:v>CT-0568</x:v>
      </x:c>
      <x:c r="B575" s="3" t="str">
        <x:v>ST-016</x:v>
      </x:c>
      <x:c r="C575" s="3" t="str">
        <x:v>R+AR同收同发</x:v>
      </x:c>
      <x:c r="D575" s="25" t="n">
        <x:v>1</x:v>
      </x:c>
      <x:c r="E575" s="25" t="n">
        <x:v>1</x:v>
      </x:c>
      <x:c r="F575" s="25" t="n">
        <x:v>1</x:v>
      </x:c>
      <x:c r="G575" s="19" t="n">
        <x:f>SUM(D575:F575)</x:f>
        <x:v>3</x:v>
      </x:c>
      <x:c r="H575" s="25" t="n">
        <x:v>1</x:v>
      </x:c>
      <x:c r="I575" s="25" t="n">
        <x:v>1</x:v>
      </x:c>
      <x:c r="J575" s="25" t="n">
        <x:v>2</x:v>
      </x:c>
      <x:c r="K575" s="19" t="n">
        <x:f>D575-IF(H575=0,1,0)</x:f>
        <x:v>1</x:v>
      </x:c>
      <x:c r="L575" s="19" t="n">
        <x:f>E575-IF(H575=1,1,0)</x:f>
        <x:v>0</x:v>
      </x:c>
      <x:c r="M575" s="19" t="n">
        <x:f>F575-IF(H575=2,1,0)</x:f>
        <x:v>1</x:v>
      </x:c>
      <x:c r="N575" s="19" t="n">
        <x:f>MAX(K575-1,0)+MAX(L575-1,0)+MAX(M575-1,0)</x:f>
        <x:v>0</x:v>
      </x:c>
      <x:c r="O575" s="19" t="n">
        <x:f>IF(AND(SUM(K575:M575)&lt;9,OR(M575=0,N575&lt;6)),1,0)</x:f>
        <x:v>1</x:v>
      </x:c>
      <x:c r="P575" s="19" t="n">
        <x:f>IF(AND(SUM(K575:M575)&lt;9,OR(L575=0,N575&lt;6)),1,0)</x:f>
        <x:v>1</x:v>
      </x:c>
      <x:c r="Q575" s="19" t="n">
        <x:f>IF(AND(SUM(K575:M575)&lt;9,OR(K575=0,N575&lt;6)),1,0)</x:f>
        <x:v>1</x:v>
      </x:c>
      <x:c r="R575" s="22" t="str">
        <x:f>O575&amp;P575&amp;Q575</x:f>
        <x:v>111</x:v>
      </x:c>
      <x:c r="S575" s="19" t="n">
        <x:f>IF(I575=1,IF(J575=0,Q575,IF(J575=1,P575,IF(J575=2,O575,0))),0)</x:f>
        <x:v>1</x:v>
      </x:c>
      <x:c r="T575" s="19" t="n">
        <x:f>K575+IF(AND(S575=1,J575=0),1,0)</x:f>
        <x:v>1</x:v>
      </x:c>
      <x:c r="U575" s="19" t="n">
        <x:f>L575+IF(AND(S575=1,J575=1),1,0)</x:f>
        <x:v>0</x:v>
      </x:c>
      <x:c r="V575" s="19" t="n">
        <x:f>M575+IF(AND(S575=1,J575=2),1,0)</x:f>
        <x:v>2</x:v>
      </x:c>
      <x:c r="W575" s="19" t="n">
        <x:f>SUM(T575:V575)</x:f>
        <x:v>3</x:v>
      </x:c>
      <x:c r="X575" s="19" t="n">
        <x:f>W575-G575</x:f>
        <x:v>0</x:v>
      </x:c>
      <x:c r="Y575" s="19" t="n">
        <x:f>MAX(T575,1)+MAX(U575,1)+MAX(V575,1)</x:f>
        <x:v>4</x:v>
      </x:c>
      <x:c r="Z575" s="21" t="str">
        <x:f>IF(AND(MIN(D575:F575)&gt;=0,MAX(D575:F575)&lt;=7,MAX(D575,1)+MAX(E575,1)+MAX(F575,1)&lt;=9,OR(H575="-",AND(H575=0,D575&gt;0),AND(H575=1,E575&gt;0),AND(H575=2,F575&gt;0)),OR(I575=0,AND(I575=1,OR(J575=0,J575=1,J575=2),R575&lt;&gt;"000")),Y575&lt;=9,MIN(T575:V575)&gt;=0),"合法","输入违约")</x:f>
        <x:v>合法</x:v>
      </x:c>
    </x:row>
    <x:row r="576" ht="23" customHeight="1">
      <x:c r="A576" s="3" t="str">
        <x:v>CT-0569</x:v>
      </x:c>
      <x:c r="B576" s="3" t="str">
        <x:v>ST-016</x:v>
      </x:c>
      <x:c r="C576" s="3" t="str">
        <x:v>仅R回收</x:v>
      </x:c>
      <x:c r="D576" s="25" t="n">
        <x:v>1</x:v>
      </x:c>
      <x:c r="E576" s="25" t="n">
        <x:v>1</x:v>
      </x:c>
      <x:c r="F576" s="25" t="n">
        <x:v>1</x:v>
      </x:c>
      <x:c r="G576" s="19" t="n">
        <x:f>SUM(D576:F576)</x:f>
        <x:v>3</x:v>
      </x:c>
      <x:c r="H576" s="25" t="n">
        <x:v>2</x:v>
      </x:c>
      <x:c r="I576" s="25" t="n">
        <x:v>0</x:v>
      </x:c>
      <x:c r="J576" s="25" t="str">
        <x:v>-</x:v>
      </x:c>
      <x:c r="K576" s="19" t="n">
        <x:f>D576-IF(H576=0,1,0)</x:f>
        <x:v>1</x:v>
      </x:c>
      <x:c r="L576" s="19" t="n">
        <x:f>E576-IF(H576=1,1,0)</x:f>
        <x:v>1</x:v>
      </x:c>
      <x:c r="M576" s="19" t="n">
        <x:f>F576-IF(H576=2,1,0)</x:f>
        <x:v>0</x:v>
      </x:c>
      <x:c r="N576" s="19" t="n">
        <x:f>MAX(K576-1,0)+MAX(L576-1,0)+MAX(M576-1,0)</x:f>
        <x:v>0</x:v>
      </x:c>
      <x:c r="O576" s="19" t="n">
        <x:f>IF(AND(SUM(K576:M576)&lt;9,OR(M576=0,N576&lt;6)),1,0)</x:f>
        <x:v>1</x:v>
      </x:c>
      <x:c r="P576" s="19" t="n">
        <x:f>IF(AND(SUM(K576:M576)&lt;9,OR(L576=0,N576&lt;6)),1,0)</x:f>
        <x:v>1</x:v>
      </x:c>
      <x:c r="Q576" s="19" t="n">
        <x:f>IF(AND(SUM(K576:M576)&lt;9,OR(K576=0,N576&lt;6)),1,0)</x:f>
        <x:v>1</x:v>
      </x:c>
      <x:c r="R576" s="22" t="str">
        <x:f>O576&amp;P576&amp;Q576</x:f>
        <x:v>111</x:v>
      </x:c>
      <x:c r="S576" s="19" t="n">
        <x:f>IF(I576=1,IF(J576=0,Q576,IF(J576=1,P576,IF(J576=2,O576,0))),0)</x:f>
        <x:v>0</x:v>
      </x:c>
      <x:c r="T576" s="19" t="n">
        <x:f>K576+IF(AND(S576=1,J576=0),1,0)</x:f>
        <x:v>1</x:v>
      </x:c>
      <x:c r="U576" s="19" t="n">
        <x:f>L576+IF(AND(S576=1,J576=1),1,0)</x:f>
        <x:v>1</x:v>
      </x:c>
      <x:c r="V576" s="19" t="n">
        <x:f>M576+IF(AND(S576=1,J576=2),1,0)</x:f>
        <x:v>0</x:v>
      </x:c>
      <x:c r="W576" s="19" t="n">
        <x:f>SUM(T576:V576)</x:f>
        <x:v>2</x:v>
      </x:c>
      <x:c r="X576" s="19" t="n">
        <x:f>W576-G576</x:f>
        <x:v>-1</x:v>
      </x:c>
      <x:c r="Y576" s="19" t="n">
        <x:f>MAX(T576,1)+MAX(U576,1)+MAX(V576,1)</x:f>
        <x:v>3</x:v>
      </x:c>
      <x:c r="Z576" s="21" t="str">
        <x:f>IF(AND(MIN(D576:F576)&gt;=0,MAX(D576:F576)&lt;=7,MAX(D576,1)+MAX(E576,1)+MAX(F576,1)&lt;=9,OR(H576="-",AND(H576=0,D576&gt;0),AND(H576=1,E576&gt;0),AND(H576=2,F576&gt;0)),OR(I576=0,AND(I576=1,OR(J576=0,J576=1,J576=2),R576&lt;&gt;"000")),Y576&lt;=9,MIN(T576:V576)&gt;=0),"合法","输入违约")</x:f>
        <x:v>合法</x:v>
      </x:c>
    </x:row>
    <x:row r="577" ht="23" customHeight="1">
      <x:c r="A577" s="3" t="str">
        <x:v>CT-0570</x:v>
      </x:c>
      <x:c r="B577" s="3" t="str">
        <x:v>ST-016</x:v>
      </x:c>
      <x:c r="C577" s="3" t="str">
        <x:v>R+AR同收同发</x:v>
      </x:c>
      <x:c r="D577" s="25" t="n">
        <x:v>1</x:v>
      </x:c>
      <x:c r="E577" s="25" t="n">
        <x:v>1</x:v>
      </x:c>
      <x:c r="F577" s="25" t="n">
        <x:v>1</x:v>
      </x:c>
      <x:c r="G577" s="19" t="n">
        <x:f>SUM(D577:F577)</x:f>
        <x:v>3</x:v>
      </x:c>
      <x:c r="H577" s="25" t="n">
        <x:v>2</x:v>
      </x:c>
      <x:c r="I577" s="25" t="n">
        <x:v>1</x:v>
      </x:c>
      <x:c r="J577" s="25" t="n">
        <x:v>0</x:v>
      </x:c>
      <x:c r="K577" s="19" t="n">
        <x:f>D577-IF(H577=0,1,0)</x:f>
        <x:v>1</x:v>
      </x:c>
      <x:c r="L577" s="19" t="n">
        <x:f>E577-IF(H577=1,1,0)</x:f>
        <x:v>1</x:v>
      </x:c>
      <x:c r="M577" s="19" t="n">
        <x:f>F577-IF(H577=2,1,0)</x:f>
        <x:v>0</x:v>
      </x:c>
      <x:c r="N577" s="19" t="n">
        <x:f>MAX(K577-1,0)+MAX(L577-1,0)+MAX(M577-1,0)</x:f>
        <x:v>0</x:v>
      </x:c>
      <x:c r="O577" s="19" t="n">
        <x:f>IF(AND(SUM(K577:M577)&lt;9,OR(M577=0,N577&lt;6)),1,0)</x:f>
        <x:v>1</x:v>
      </x:c>
      <x:c r="P577" s="19" t="n">
        <x:f>IF(AND(SUM(K577:M577)&lt;9,OR(L577=0,N577&lt;6)),1,0)</x:f>
        <x:v>1</x:v>
      </x:c>
      <x:c r="Q577" s="19" t="n">
        <x:f>IF(AND(SUM(K577:M577)&lt;9,OR(K577=0,N577&lt;6)),1,0)</x:f>
        <x:v>1</x:v>
      </x:c>
      <x:c r="R577" s="22" t="str">
        <x:f>O577&amp;P577&amp;Q577</x:f>
        <x:v>111</x:v>
      </x:c>
      <x:c r="S577" s="19" t="n">
        <x:f>IF(I577=1,IF(J577=0,Q577,IF(J577=1,P577,IF(J577=2,O577,0))),0)</x:f>
        <x:v>1</x:v>
      </x:c>
      <x:c r="T577" s="19" t="n">
        <x:f>K577+IF(AND(S577=1,J577=0),1,0)</x:f>
        <x:v>2</x:v>
      </x:c>
      <x:c r="U577" s="19" t="n">
        <x:f>L577+IF(AND(S577=1,J577=1),1,0)</x:f>
        <x:v>1</x:v>
      </x:c>
      <x:c r="V577" s="19" t="n">
        <x:f>M577+IF(AND(S577=1,J577=2),1,0)</x:f>
        <x:v>0</x:v>
      </x:c>
      <x:c r="W577" s="19" t="n">
        <x:f>SUM(T577:V577)</x:f>
        <x:v>3</x:v>
      </x:c>
      <x:c r="X577" s="19" t="n">
        <x:f>W577-G577</x:f>
        <x:v>0</x:v>
      </x:c>
      <x:c r="Y577" s="19" t="n">
        <x:f>MAX(T577,1)+MAX(U577,1)+MAX(V577,1)</x:f>
        <x:v>4</x:v>
      </x:c>
      <x:c r="Z577" s="21" t="str">
        <x:f>IF(AND(MIN(D577:F577)&gt;=0,MAX(D577:F577)&lt;=7,MAX(D577,1)+MAX(E577,1)+MAX(F577,1)&lt;=9,OR(H577="-",AND(H577=0,D577&gt;0),AND(H577=1,E577&gt;0),AND(H577=2,F577&gt;0)),OR(I577=0,AND(I577=1,OR(J577=0,J577=1,J577=2),R577&lt;&gt;"000")),Y577&lt;=9,MIN(T577:V577)&gt;=0),"合法","输入违约")</x:f>
        <x:v>合法</x:v>
      </x:c>
    </x:row>
    <x:row r="578" ht="23" customHeight="1">
      <x:c r="A578" s="3" t="str">
        <x:v>CT-0571</x:v>
      </x:c>
      <x:c r="B578" s="3" t="str">
        <x:v>ST-016</x:v>
      </x:c>
      <x:c r="C578" s="3" t="str">
        <x:v>R+AR同收同发</x:v>
      </x:c>
      <x:c r="D578" s="25" t="n">
        <x:v>1</x:v>
      </x:c>
      <x:c r="E578" s="25" t="n">
        <x:v>1</x:v>
      </x:c>
      <x:c r="F578" s="25" t="n">
        <x:v>1</x:v>
      </x:c>
      <x:c r="G578" s="19" t="n">
        <x:f>SUM(D578:F578)</x:f>
        <x:v>3</x:v>
      </x:c>
      <x:c r="H578" s="25" t="n">
        <x:v>2</x:v>
      </x:c>
      <x:c r="I578" s="25" t="n">
        <x:v>1</x:v>
      </x:c>
      <x:c r="J578" s="25" t="n">
        <x:v>1</x:v>
      </x:c>
      <x:c r="K578" s="19" t="n">
        <x:f>D578-IF(H578=0,1,0)</x:f>
        <x:v>1</x:v>
      </x:c>
      <x:c r="L578" s="19" t="n">
        <x:f>E578-IF(H578=1,1,0)</x:f>
        <x:v>1</x:v>
      </x:c>
      <x:c r="M578" s="19" t="n">
        <x:f>F578-IF(H578=2,1,0)</x:f>
        <x:v>0</x:v>
      </x:c>
      <x:c r="N578" s="19" t="n">
        <x:f>MAX(K578-1,0)+MAX(L578-1,0)+MAX(M578-1,0)</x:f>
        <x:v>0</x:v>
      </x:c>
      <x:c r="O578" s="19" t="n">
        <x:f>IF(AND(SUM(K578:M578)&lt;9,OR(M578=0,N578&lt;6)),1,0)</x:f>
        <x:v>1</x:v>
      </x:c>
      <x:c r="P578" s="19" t="n">
        <x:f>IF(AND(SUM(K578:M578)&lt;9,OR(L578=0,N578&lt;6)),1,0)</x:f>
        <x:v>1</x:v>
      </x:c>
      <x:c r="Q578" s="19" t="n">
        <x:f>IF(AND(SUM(K578:M578)&lt;9,OR(K578=0,N578&lt;6)),1,0)</x:f>
        <x:v>1</x:v>
      </x:c>
      <x:c r="R578" s="22" t="str">
        <x:f>O578&amp;P578&amp;Q578</x:f>
        <x:v>111</x:v>
      </x:c>
      <x:c r="S578" s="19" t="n">
        <x:f>IF(I578=1,IF(J578=0,Q578,IF(J578=1,P578,IF(J578=2,O578,0))),0)</x:f>
        <x:v>1</x:v>
      </x:c>
      <x:c r="T578" s="19" t="n">
        <x:f>K578+IF(AND(S578=1,J578=0),1,0)</x:f>
        <x:v>1</x:v>
      </x:c>
      <x:c r="U578" s="19" t="n">
        <x:f>L578+IF(AND(S578=1,J578=1),1,0)</x:f>
        <x:v>2</x:v>
      </x:c>
      <x:c r="V578" s="19" t="n">
        <x:f>M578+IF(AND(S578=1,J578=2),1,0)</x:f>
        <x:v>0</x:v>
      </x:c>
      <x:c r="W578" s="19" t="n">
        <x:f>SUM(T578:V578)</x:f>
        <x:v>3</x:v>
      </x:c>
      <x:c r="X578" s="19" t="n">
        <x:f>W578-G578</x:f>
        <x:v>0</x:v>
      </x:c>
      <x:c r="Y578" s="19" t="n">
        <x:f>MAX(T578,1)+MAX(U578,1)+MAX(V578,1)</x:f>
        <x:v>4</x:v>
      </x:c>
      <x:c r="Z578" s="21" t="str">
        <x:f>IF(AND(MIN(D578:F578)&gt;=0,MAX(D578:F578)&lt;=7,MAX(D578,1)+MAX(E578,1)+MAX(F578,1)&lt;=9,OR(H578="-",AND(H578=0,D578&gt;0),AND(H578=1,E578&gt;0),AND(H578=2,F578&gt;0)),OR(I578=0,AND(I578=1,OR(J578=0,J578=1,J578=2),R578&lt;&gt;"000")),Y578&lt;=9,MIN(T578:V578)&gt;=0),"合法","输入违约")</x:f>
        <x:v>合法</x:v>
      </x:c>
    </x:row>
    <x:row r="579" ht="23" customHeight="1">
      <x:c r="A579" s="3" t="str">
        <x:v>CT-0572</x:v>
      </x:c>
      <x:c r="B579" s="3" t="str">
        <x:v>ST-016</x:v>
      </x:c>
      <x:c r="C579" s="3" t="str">
        <x:v>R+AR同收同发</x:v>
      </x:c>
      <x:c r="D579" s="25" t="n">
        <x:v>1</x:v>
      </x:c>
      <x:c r="E579" s="25" t="n">
        <x:v>1</x:v>
      </x:c>
      <x:c r="F579" s="25" t="n">
        <x:v>1</x:v>
      </x:c>
      <x:c r="G579" s="19" t="n">
        <x:f>SUM(D579:F579)</x:f>
        <x:v>3</x:v>
      </x:c>
      <x:c r="H579" s="25" t="n">
        <x:v>2</x:v>
      </x:c>
      <x:c r="I579" s="25" t="n">
        <x:v>1</x:v>
      </x:c>
      <x:c r="J579" s="25" t="n">
        <x:v>2</x:v>
      </x:c>
      <x:c r="K579" s="19" t="n">
        <x:f>D579-IF(H579=0,1,0)</x:f>
        <x:v>1</x:v>
      </x:c>
      <x:c r="L579" s="19" t="n">
        <x:f>E579-IF(H579=1,1,0)</x:f>
        <x:v>1</x:v>
      </x:c>
      <x:c r="M579" s="19" t="n">
        <x:f>F579-IF(H579=2,1,0)</x:f>
        <x:v>0</x:v>
      </x:c>
      <x:c r="N579" s="19" t="n">
        <x:f>MAX(K579-1,0)+MAX(L579-1,0)+MAX(M579-1,0)</x:f>
        <x:v>0</x:v>
      </x:c>
      <x:c r="O579" s="19" t="n">
        <x:f>IF(AND(SUM(K579:M579)&lt;9,OR(M579=0,N579&lt;6)),1,0)</x:f>
        <x:v>1</x:v>
      </x:c>
      <x:c r="P579" s="19" t="n">
        <x:f>IF(AND(SUM(K579:M579)&lt;9,OR(L579=0,N579&lt;6)),1,0)</x:f>
        <x:v>1</x:v>
      </x:c>
      <x:c r="Q579" s="19" t="n">
        <x:f>IF(AND(SUM(K579:M579)&lt;9,OR(K579=0,N579&lt;6)),1,0)</x:f>
        <x:v>1</x:v>
      </x:c>
      <x:c r="R579" s="22" t="str">
        <x:f>O579&amp;P579&amp;Q579</x:f>
        <x:v>111</x:v>
      </x:c>
      <x:c r="S579" s="19" t="n">
        <x:f>IF(I579=1,IF(J579=0,Q579,IF(J579=1,P579,IF(J579=2,O579,0))),0)</x:f>
        <x:v>1</x:v>
      </x:c>
      <x:c r="T579" s="19" t="n">
        <x:f>K579+IF(AND(S579=1,J579=0),1,0)</x:f>
        <x:v>1</x:v>
      </x:c>
      <x:c r="U579" s="19" t="n">
        <x:f>L579+IF(AND(S579=1,J579=1),1,0)</x:f>
        <x:v>1</x:v>
      </x:c>
      <x:c r="V579" s="19" t="n">
        <x:f>M579+IF(AND(S579=1,J579=2),1,0)</x:f>
        <x:v>1</x:v>
      </x:c>
      <x:c r="W579" s="19" t="n">
        <x:f>SUM(T579:V579)</x:f>
        <x:v>3</x:v>
      </x:c>
      <x:c r="X579" s="19" t="n">
        <x:f>W579-G579</x:f>
        <x:v>0</x:v>
      </x:c>
      <x:c r="Y579" s="19" t="n">
        <x:f>MAX(T579,1)+MAX(U579,1)+MAX(V579,1)</x:f>
        <x:v>3</x:v>
      </x:c>
      <x:c r="Z579" s="21" t="str">
        <x:f>IF(AND(MIN(D579:F579)&gt;=0,MAX(D579:F579)&lt;=7,MAX(D579,1)+MAX(E579,1)+MAX(F579,1)&lt;=9,OR(H579="-",AND(H579=0,D579&gt;0),AND(H579=1,E579&gt;0),AND(H579=2,F579&gt;0)),OR(I579=0,AND(I579=1,OR(J579=0,J579=1,J579=2),R579&lt;&gt;"000")),Y579&lt;=9,MIN(T579:V579)&gt;=0),"合法","输入违约")</x:f>
        <x:v>合法</x:v>
      </x:c>
    </x:row>
    <x:row r="580" ht="23" customHeight="1">
      <x:c r="A580" s="3" t="str">
        <x:v>CT-0573</x:v>
      </x:c>
      <x:c r="B580" s="3" t="str">
        <x:v>ST-027</x:v>
      </x:c>
      <x:c r="C580" s="3" t="str">
        <x:v>无AR/R</x:v>
      </x:c>
      <x:c r="D580" s="25" t="n">
        <x:v>1</x:v>
      </x:c>
      <x:c r="E580" s="25" t="n">
        <x:v>1</x:v>
      </x:c>
      <x:c r="F580" s="25" t="n">
        <x:v>2</x:v>
      </x:c>
      <x:c r="G580" s="19" t="n">
        <x:f>SUM(D580:F580)</x:f>
        <x:v>4</x:v>
      </x:c>
      <x:c r="H580" s="25" t="str">
        <x:v>-</x:v>
      </x:c>
      <x:c r="I580" s="25" t="n">
        <x:v>0</x:v>
      </x:c>
      <x:c r="J580" s="25" t="str">
        <x:v>-</x:v>
      </x:c>
      <x:c r="K580" s="19" t="n">
        <x:f>D580-IF(H580=0,1,0)</x:f>
        <x:v>1</x:v>
      </x:c>
      <x:c r="L580" s="19" t="n">
        <x:f>E580-IF(H580=1,1,0)</x:f>
        <x:v>1</x:v>
      </x:c>
      <x:c r="M580" s="19" t="n">
        <x:f>F580-IF(H580=2,1,0)</x:f>
        <x:v>2</x:v>
      </x:c>
      <x:c r="N580" s="19" t="n">
        <x:f>MAX(K580-1,0)+MAX(L580-1,0)+MAX(M580-1,0)</x:f>
        <x:v>1</x:v>
      </x:c>
      <x:c r="O580" s="19" t="n">
        <x:f>IF(AND(SUM(K580:M580)&lt;9,OR(M580=0,N580&lt;6)),1,0)</x:f>
        <x:v>1</x:v>
      </x:c>
      <x:c r="P580" s="19" t="n">
        <x:f>IF(AND(SUM(K580:M580)&lt;9,OR(L580=0,N580&lt;6)),1,0)</x:f>
        <x:v>1</x:v>
      </x:c>
      <x:c r="Q580" s="19" t="n">
        <x:f>IF(AND(SUM(K580:M580)&lt;9,OR(K580=0,N580&lt;6)),1,0)</x:f>
        <x:v>1</x:v>
      </x:c>
      <x:c r="R580" s="22" t="str">
        <x:f>O580&amp;P580&amp;Q580</x:f>
        <x:v>111</x:v>
      </x:c>
      <x:c r="S580" s="19" t="n">
        <x:f>IF(I580=1,IF(J580=0,Q580,IF(J580=1,P580,IF(J580=2,O580,0))),0)</x:f>
        <x:v>0</x:v>
      </x:c>
      <x:c r="T580" s="19" t="n">
        <x:f>K580+IF(AND(S580=1,J580=0),1,0)</x:f>
        <x:v>1</x:v>
      </x:c>
      <x:c r="U580" s="19" t="n">
        <x:f>L580+IF(AND(S580=1,J580=1),1,0)</x:f>
        <x:v>1</x:v>
      </x:c>
      <x:c r="V580" s="19" t="n">
        <x:f>M580+IF(AND(S580=1,J580=2),1,0)</x:f>
        <x:v>2</x:v>
      </x:c>
      <x:c r="W580" s="19" t="n">
        <x:f>SUM(T580:V580)</x:f>
        <x:v>4</x:v>
      </x:c>
      <x:c r="X580" s="19" t="n">
        <x:f>W580-G580</x:f>
        <x:v>0</x:v>
      </x:c>
      <x:c r="Y580" s="19" t="n">
        <x:f>MAX(T580,1)+MAX(U580,1)+MAX(V580,1)</x:f>
        <x:v>4</x:v>
      </x:c>
      <x:c r="Z580" s="21" t="str">
        <x:f>IF(AND(MIN(D580:F580)&gt;=0,MAX(D580:F580)&lt;=7,MAX(D580,1)+MAX(E580,1)+MAX(F580,1)&lt;=9,OR(H580="-",AND(H580=0,D580&gt;0),AND(H580=1,E580&gt;0),AND(H580=2,F580&gt;0)),OR(I580=0,AND(I580=1,OR(J580=0,J580=1,J580=2),R580&lt;&gt;"000")),Y580&lt;=9,MIN(T580:V580)&gt;=0),"合法","输入违约")</x:f>
        <x:v>合法</x:v>
      </x:c>
    </x:row>
    <x:row r="581" ht="23" customHeight="1">
      <x:c r="A581" s="3" t="str">
        <x:v>CT-0574</x:v>
      </x:c>
      <x:c r="B581" s="3" t="str">
        <x:v>ST-027</x:v>
      </x:c>
      <x:c r="C581" s="3" t="str">
        <x:v>仅AR接收</x:v>
      </x:c>
      <x:c r="D581" s="25" t="n">
        <x:v>1</x:v>
      </x:c>
      <x:c r="E581" s="25" t="n">
        <x:v>1</x:v>
      </x:c>
      <x:c r="F581" s="25" t="n">
        <x:v>2</x:v>
      </x:c>
      <x:c r="G581" s="19" t="n">
        <x:f>SUM(D581:F581)</x:f>
        <x:v>4</x:v>
      </x:c>
      <x:c r="H581" s="25" t="str">
        <x:v>-</x:v>
      </x:c>
      <x:c r="I581" s="25" t="n">
        <x:v>1</x:v>
      </x:c>
      <x:c r="J581" s="25" t="n">
        <x:v>0</x:v>
      </x:c>
      <x:c r="K581" s="19" t="n">
        <x:f>D581-IF(H581=0,1,0)</x:f>
        <x:v>1</x:v>
      </x:c>
      <x:c r="L581" s="19" t="n">
        <x:f>E581-IF(H581=1,1,0)</x:f>
        <x:v>1</x:v>
      </x:c>
      <x:c r="M581" s="19" t="n">
        <x:f>F581-IF(H581=2,1,0)</x:f>
        <x:v>2</x:v>
      </x:c>
      <x:c r="N581" s="19" t="n">
        <x:f>MAX(K581-1,0)+MAX(L581-1,0)+MAX(M581-1,0)</x:f>
        <x:v>1</x:v>
      </x:c>
      <x:c r="O581" s="19" t="n">
        <x:f>IF(AND(SUM(K581:M581)&lt;9,OR(M581=0,N581&lt;6)),1,0)</x:f>
        <x:v>1</x:v>
      </x:c>
      <x:c r="P581" s="19" t="n">
        <x:f>IF(AND(SUM(K581:M581)&lt;9,OR(L581=0,N581&lt;6)),1,0)</x:f>
        <x:v>1</x:v>
      </x:c>
      <x:c r="Q581" s="19" t="n">
        <x:f>IF(AND(SUM(K581:M581)&lt;9,OR(K581=0,N581&lt;6)),1,0)</x:f>
        <x:v>1</x:v>
      </x:c>
      <x:c r="R581" s="22" t="str">
        <x:f>O581&amp;P581&amp;Q581</x:f>
        <x:v>111</x:v>
      </x:c>
      <x:c r="S581" s="19" t="n">
        <x:f>IF(I581=1,IF(J581=0,Q581,IF(J581=1,P581,IF(J581=2,O581,0))),0)</x:f>
        <x:v>1</x:v>
      </x:c>
      <x:c r="T581" s="19" t="n">
        <x:f>K581+IF(AND(S581=1,J581=0),1,0)</x:f>
        <x:v>2</x:v>
      </x:c>
      <x:c r="U581" s="19" t="n">
        <x:f>L581+IF(AND(S581=1,J581=1),1,0)</x:f>
        <x:v>1</x:v>
      </x:c>
      <x:c r="V581" s="19" t="n">
        <x:f>M581+IF(AND(S581=1,J581=2),1,0)</x:f>
        <x:v>2</x:v>
      </x:c>
      <x:c r="W581" s="19" t="n">
        <x:f>SUM(T581:V581)</x:f>
        <x:v>5</x:v>
      </x:c>
      <x:c r="X581" s="19" t="n">
        <x:f>W581-G581</x:f>
        <x:v>1</x:v>
      </x:c>
      <x:c r="Y581" s="19" t="n">
        <x:f>MAX(T581,1)+MAX(U581,1)+MAX(V581,1)</x:f>
        <x:v>5</x:v>
      </x:c>
      <x:c r="Z581" s="21" t="str">
        <x:f>IF(AND(MIN(D581:F581)&gt;=0,MAX(D581:F581)&lt;=7,MAX(D581,1)+MAX(E581,1)+MAX(F581,1)&lt;=9,OR(H581="-",AND(H581=0,D581&gt;0),AND(H581=1,E581&gt;0),AND(H581=2,F581&gt;0)),OR(I581=0,AND(I581=1,OR(J581=0,J581=1,J581=2),R581&lt;&gt;"000")),Y581&lt;=9,MIN(T581:V581)&gt;=0),"合法","输入违约")</x:f>
        <x:v>合法</x:v>
      </x:c>
    </x:row>
    <x:row r="582" ht="23" customHeight="1">
      <x:c r="A582" s="3" t="str">
        <x:v>CT-0575</x:v>
      </x:c>
      <x:c r="B582" s="3" t="str">
        <x:v>ST-027</x:v>
      </x:c>
      <x:c r="C582" s="3" t="str">
        <x:v>仅AR接收</x:v>
      </x:c>
      <x:c r="D582" s="25" t="n">
        <x:v>1</x:v>
      </x:c>
      <x:c r="E582" s="25" t="n">
        <x:v>1</x:v>
      </x:c>
      <x:c r="F582" s="25" t="n">
        <x:v>2</x:v>
      </x:c>
      <x:c r="G582" s="19" t="n">
        <x:f>SUM(D582:F582)</x:f>
        <x:v>4</x:v>
      </x:c>
      <x:c r="H582" s="25" t="str">
        <x:v>-</x:v>
      </x:c>
      <x:c r="I582" s="25" t="n">
        <x:v>1</x:v>
      </x:c>
      <x:c r="J582" s="25" t="n">
        <x:v>1</x:v>
      </x:c>
      <x:c r="K582" s="19" t="n">
        <x:f>D582-IF(H582=0,1,0)</x:f>
        <x:v>1</x:v>
      </x:c>
      <x:c r="L582" s="19" t="n">
        <x:f>E582-IF(H582=1,1,0)</x:f>
        <x:v>1</x:v>
      </x:c>
      <x:c r="M582" s="19" t="n">
        <x:f>F582-IF(H582=2,1,0)</x:f>
        <x:v>2</x:v>
      </x:c>
      <x:c r="N582" s="19" t="n">
        <x:f>MAX(K582-1,0)+MAX(L582-1,0)+MAX(M582-1,0)</x:f>
        <x:v>1</x:v>
      </x:c>
      <x:c r="O582" s="19" t="n">
        <x:f>IF(AND(SUM(K582:M582)&lt;9,OR(M582=0,N582&lt;6)),1,0)</x:f>
        <x:v>1</x:v>
      </x:c>
      <x:c r="P582" s="19" t="n">
        <x:f>IF(AND(SUM(K582:M582)&lt;9,OR(L582=0,N582&lt;6)),1,0)</x:f>
        <x:v>1</x:v>
      </x:c>
      <x:c r="Q582" s="19" t="n">
        <x:f>IF(AND(SUM(K582:M582)&lt;9,OR(K582=0,N582&lt;6)),1,0)</x:f>
        <x:v>1</x:v>
      </x:c>
      <x:c r="R582" s="22" t="str">
        <x:f>O582&amp;P582&amp;Q582</x:f>
        <x:v>111</x:v>
      </x:c>
      <x:c r="S582" s="19" t="n">
        <x:f>IF(I582=1,IF(J582=0,Q582,IF(J582=1,P582,IF(J582=2,O582,0))),0)</x:f>
        <x:v>1</x:v>
      </x:c>
      <x:c r="T582" s="19" t="n">
        <x:f>K582+IF(AND(S582=1,J582=0),1,0)</x:f>
        <x:v>1</x:v>
      </x:c>
      <x:c r="U582" s="19" t="n">
        <x:f>L582+IF(AND(S582=1,J582=1),1,0)</x:f>
        <x:v>2</x:v>
      </x:c>
      <x:c r="V582" s="19" t="n">
        <x:f>M582+IF(AND(S582=1,J582=2),1,0)</x:f>
        <x:v>2</x:v>
      </x:c>
      <x:c r="W582" s="19" t="n">
        <x:f>SUM(T582:V582)</x:f>
        <x:v>5</x:v>
      </x:c>
      <x:c r="X582" s="19" t="n">
        <x:f>W582-G582</x:f>
        <x:v>1</x:v>
      </x:c>
      <x:c r="Y582" s="19" t="n">
        <x:f>MAX(T582,1)+MAX(U582,1)+MAX(V582,1)</x:f>
        <x:v>5</x:v>
      </x:c>
      <x:c r="Z582" s="21" t="str">
        <x:f>IF(AND(MIN(D582:F582)&gt;=0,MAX(D582:F582)&lt;=7,MAX(D582,1)+MAX(E582,1)+MAX(F582,1)&lt;=9,OR(H582="-",AND(H582=0,D582&gt;0),AND(H582=1,E582&gt;0),AND(H582=2,F582&gt;0)),OR(I582=0,AND(I582=1,OR(J582=0,J582=1,J582=2),R582&lt;&gt;"000")),Y582&lt;=9,MIN(T582:V582)&gt;=0),"合法","输入违约")</x:f>
        <x:v>合法</x:v>
      </x:c>
    </x:row>
    <x:row r="583" ht="23" customHeight="1">
      <x:c r="A583" s="3" t="str">
        <x:v>CT-0576</x:v>
      </x:c>
      <x:c r="B583" s="3" t="str">
        <x:v>ST-027</x:v>
      </x:c>
      <x:c r="C583" s="3" t="str">
        <x:v>仅AR接收</x:v>
      </x:c>
      <x:c r="D583" s="25" t="n">
        <x:v>1</x:v>
      </x:c>
      <x:c r="E583" s="25" t="n">
        <x:v>1</x:v>
      </x:c>
      <x:c r="F583" s="25" t="n">
        <x:v>2</x:v>
      </x:c>
      <x:c r="G583" s="19" t="n">
        <x:f>SUM(D583:F583)</x:f>
        <x:v>4</x:v>
      </x:c>
      <x:c r="H583" s="25" t="str">
        <x:v>-</x:v>
      </x:c>
      <x:c r="I583" s="25" t="n">
        <x:v>1</x:v>
      </x:c>
      <x:c r="J583" s="25" t="n">
        <x:v>2</x:v>
      </x:c>
      <x:c r="K583" s="19" t="n">
        <x:f>D583-IF(H583=0,1,0)</x:f>
        <x:v>1</x:v>
      </x:c>
      <x:c r="L583" s="19" t="n">
        <x:f>E583-IF(H583=1,1,0)</x:f>
        <x:v>1</x:v>
      </x:c>
      <x:c r="M583" s="19" t="n">
        <x:f>F583-IF(H583=2,1,0)</x:f>
        <x:v>2</x:v>
      </x:c>
      <x:c r="N583" s="19" t="n">
        <x:f>MAX(K583-1,0)+MAX(L583-1,0)+MAX(M583-1,0)</x:f>
        <x:v>1</x:v>
      </x:c>
      <x:c r="O583" s="19" t="n">
        <x:f>IF(AND(SUM(K583:M583)&lt;9,OR(M583=0,N583&lt;6)),1,0)</x:f>
        <x:v>1</x:v>
      </x:c>
      <x:c r="P583" s="19" t="n">
        <x:f>IF(AND(SUM(K583:M583)&lt;9,OR(L583=0,N583&lt;6)),1,0)</x:f>
        <x:v>1</x:v>
      </x:c>
      <x:c r="Q583" s="19" t="n">
        <x:f>IF(AND(SUM(K583:M583)&lt;9,OR(K583=0,N583&lt;6)),1,0)</x:f>
        <x:v>1</x:v>
      </x:c>
      <x:c r="R583" s="22" t="str">
        <x:f>O583&amp;P583&amp;Q583</x:f>
        <x:v>111</x:v>
      </x:c>
      <x:c r="S583" s="19" t="n">
        <x:f>IF(I583=1,IF(J583=0,Q583,IF(J583=1,P583,IF(J583=2,O583,0))),0)</x:f>
        <x:v>1</x:v>
      </x:c>
      <x:c r="T583" s="19" t="n">
        <x:f>K583+IF(AND(S583=1,J583=0),1,0)</x:f>
        <x:v>1</x:v>
      </x:c>
      <x:c r="U583" s="19" t="n">
        <x:f>L583+IF(AND(S583=1,J583=1),1,0)</x:f>
        <x:v>1</x:v>
      </x:c>
      <x:c r="V583" s="19" t="n">
        <x:f>M583+IF(AND(S583=1,J583=2),1,0)</x:f>
        <x:v>3</x:v>
      </x:c>
      <x:c r="W583" s="19" t="n">
        <x:f>SUM(T583:V583)</x:f>
        <x:v>5</x:v>
      </x:c>
      <x:c r="X583" s="19" t="n">
        <x:f>W583-G583</x:f>
        <x:v>1</x:v>
      </x:c>
      <x:c r="Y583" s="19" t="n">
        <x:f>MAX(T583,1)+MAX(U583,1)+MAX(V583,1)</x:f>
        <x:v>5</x:v>
      </x:c>
      <x:c r="Z583" s="21" t="str">
        <x:f>IF(AND(MIN(D583:F583)&gt;=0,MAX(D583:F583)&lt;=7,MAX(D583,1)+MAX(E583,1)+MAX(F583,1)&lt;=9,OR(H583="-",AND(H583=0,D583&gt;0),AND(H583=1,E583&gt;0),AND(H583=2,F583&gt;0)),OR(I583=0,AND(I583=1,OR(J583=0,J583=1,J583=2),R583&lt;&gt;"000")),Y583&lt;=9,MIN(T583:V583)&gt;=0),"合法","输入违约")</x:f>
        <x:v>合法</x:v>
      </x:c>
    </x:row>
    <x:row r="584" ht="23" customHeight="1">
      <x:c r="A584" s="3" t="str">
        <x:v>CT-0577</x:v>
      </x:c>
      <x:c r="B584" s="3" t="str">
        <x:v>ST-027</x:v>
      </x:c>
      <x:c r="C584" s="3" t="str">
        <x:v>仅R回收</x:v>
      </x:c>
      <x:c r="D584" s="25" t="n">
        <x:v>1</x:v>
      </x:c>
      <x:c r="E584" s="25" t="n">
        <x:v>1</x:v>
      </x:c>
      <x:c r="F584" s="25" t="n">
        <x:v>2</x:v>
      </x:c>
      <x:c r="G584" s="19" t="n">
        <x:f>SUM(D584:F584)</x:f>
        <x:v>4</x:v>
      </x:c>
      <x:c r="H584" s="25" t="n">
        <x:v>0</x:v>
      </x:c>
      <x:c r="I584" s="25" t="n">
        <x:v>0</x:v>
      </x:c>
      <x:c r="J584" s="25" t="str">
        <x:v>-</x:v>
      </x:c>
      <x:c r="K584" s="19" t="n">
        <x:f>D584-IF(H584=0,1,0)</x:f>
        <x:v>0</x:v>
      </x:c>
      <x:c r="L584" s="19" t="n">
        <x:f>E584-IF(H584=1,1,0)</x:f>
        <x:v>1</x:v>
      </x:c>
      <x:c r="M584" s="19" t="n">
        <x:f>F584-IF(H584=2,1,0)</x:f>
        <x:v>2</x:v>
      </x:c>
      <x:c r="N584" s="19" t="n">
        <x:f>MAX(K584-1,0)+MAX(L584-1,0)+MAX(M584-1,0)</x:f>
        <x:v>1</x:v>
      </x:c>
      <x:c r="O584" s="19" t="n">
        <x:f>IF(AND(SUM(K584:M584)&lt;9,OR(M584=0,N584&lt;6)),1,0)</x:f>
        <x:v>1</x:v>
      </x:c>
      <x:c r="P584" s="19" t="n">
        <x:f>IF(AND(SUM(K584:M584)&lt;9,OR(L584=0,N584&lt;6)),1,0)</x:f>
        <x:v>1</x:v>
      </x:c>
      <x:c r="Q584" s="19" t="n">
        <x:f>IF(AND(SUM(K584:M584)&lt;9,OR(K584=0,N584&lt;6)),1,0)</x:f>
        <x:v>1</x:v>
      </x:c>
      <x:c r="R584" s="22" t="str">
        <x:f>O584&amp;P584&amp;Q584</x:f>
        <x:v>111</x:v>
      </x:c>
      <x:c r="S584" s="19" t="n">
        <x:f>IF(I584=1,IF(J584=0,Q584,IF(J584=1,P584,IF(J584=2,O584,0))),0)</x:f>
        <x:v>0</x:v>
      </x:c>
      <x:c r="T584" s="19" t="n">
        <x:f>K584+IF(AND(S584=1,J584=0),1,0)</x:f>
        <x:v>0</x:v>
      </x:c>
      <x:c r="U584" s="19" t="n">
        <x:f>L584+IF(AND(S584=1,J584=1),1,0)</x:f>
        <x:v>1</x:v>
      </x:c>
      <x:c r="V584" s="19" t="n">
        <x:f>M584+IF(AND(S584=1,J584=2),1,0)</x:f>
        <x:v>2</x:v>
      </x:c>
      <x:c r="W584" s="19" t="n">
        <x:f>SUM(T584:V584)</x:f>
        <x:v>3</x:v>
      </x:c>
      <x:c r="X584" s="19" t="n">
        <x:f>W584-G584</x:f>
        <x:v>-1</x:v>
      </x:c>
      <x:c r="Y584" s="19" t="n">
        <x:f>MAX(T584,1)+MAX(U584,1)+MAX(V584,1)</x:f>
        <x:v>4</x:v>
      </x:c>
      <x:c r="Z584" s="21" t="str">
        <x:f>IF(AND(MIN(D584:F584)&gt;=0,MAX(D584:F584)&lt;=7,MAX(D584,1)+MAX(E584,1)+MAX(F584,1)&lt;=9,OR(H584="-",AND(H584=0,D584&gt;0),AND(H584=1,E584&gt;0),AND(H584=2,F584&gt;0)),OR(I584=0,AND(I584=1,OR(J584=0,J584=1,J584=2),R584&lt;&gt;"000")),Y584&lt;=9,MIN(T584:V584)&gt;=0),"合法","输入违约")</x:f>
        <x:v>合法</x:v>
      </x:c>
    </x:row>
    <x:row r="585" ht="23" customHeight="1">
      <x:c r="A585" s="3" t="str">
        <x:v>CT-0578</x:v>
      </x:c>
      <x:c r="B585" s="3" t="str">
        <x:v>ST-027</x:v>
      </x:c>
      <x:c r="C585" s="3" t="str">
        <x:v>R+AR同收同发</x:v>
      </x:c>
      <x:c r="D585" s="25" t="n">
        <x:v>1</x:v>
      </x:c>
      <x:c r="E585" s="25" t="n">
        <x:v>1</x:v>
      </x:c>
      <x:c r="F585" s="25" t="n">
        <x:v>2</x:v>
      </x:c>
      <x:c r="G585" s="19" t="n">
        <x:f>SUM(D585:F585)</x:f>
        <x:v>4</x:v>
      </x:c>
      <x:c r="H585" s="25" t="n">
        <x:v>0</x:v>
      </x:c>
      <x:c r="I585" s="25" t="n">
        <x:v>1</x:v>
      </x:c>
      <x:c r="J585" s="25" t="n">
        <x:v>0</x:v>
      </x:c>
      <x:c r="K585" s="19" t="n">
        <x:f>D585-IF(H585=0,1,0)</x:f>
        <x:v>0</x:v>
      </x:c>
      <x:c r="L585" s="19" t="n">
        <x:f>E585-IF(H585=1,1,0)</x:f>
        <x:v>1</x:v>
      </x:c>
      <x:c r="M585" s="19" t="n">
        <x:f>F585-IF(H585=2,1,0)</x:f>
        <x:v>2</x:v>
      </x:c>
      <x:c r="N585" s="19" t="n">
        <x:f>MAX(K585-1,0)+MAX(L585-1,0)+MAX(M585-1,0)</x:f>
        <x:v>1</x:v>
      </x:c>
      <x:c r="O585" s="19" t="n">
        <x:f>IF(AND(SUM(K585:M585)&lt;9,OR(M585=0,N585&lt;6)),1,0)</x:f>
        <x:v>1</x:v>
      </x:c>
      <x:c r="P585" s="19" t="n">
        <x:f>IF(AND(SUM(K585:M585)&lt;9,OR(L585=0,N585&lt;6)),1,0)</x:f>
        <x:v>1</x:v>
      </x:c>
      <x:c r="Q585" s="19" t="n">
        <x:f>IF(AND(SUM(K585:M585)&lt;9,OR(K585=0,N585&lt;6)),1,0)</x:f>
        <x:v>1</x:v>
      </x:c>
      <x:c r="R585" s="22" t="str">
        <x:f>O585&amp;P585&amp;Q585</x:f>
        <x:v>111</x:v>
      </x:c>
      <x:c r="S585" s="19" t="n">
        <x:f>IF(I585=1,IF(J585=0,Q585,IF(J585=1,P585,IF(J585=2,O585,0))),0)</x:f>
        <x:v>1</x:v>
      </x:c>
      <x:c r="T585" s="19" t="n">
        <x:f>K585+IF(AND(S585=1,J585=0),1,0)</x:f>
        <x:v>1</x:v>
      </x:c>
      <x:c r="U585" s="19" t="n">
        <x:f>L585+IF(AND(S585=1,J585=1),1,0)</x:f>
        <x:v>1</x:v>
      </x:c>
      <x:c r="V585" s="19" t="n">
        <x:f>M585+IF(AND(S585=1,J585=2),1,0)</x:f>
        <x:v>2</x:v>
      </x:c>
      <x:c r="W585" s="19" t="n">
        <x:f>SUM(T585:V585)</x:f>
        <x:v>4</x:v>
      </x:c>
      <x:c r="X585" s="19" t="n">
        <x:f>W585-G585</x:f>
        <x:v>0</x:v>
      </x:c>
      <x:c r="Y585" s="19" t="n">
        <x:f>MAX(T585,1)+MAX(U585,1)+MAX(V585,1)</x:f>
        <x:v>4</x:v>
      </x:c>
      <x:c r="Z585" s="21" t="str">
        <x:f>IF(AND(MIN(D585:F585)&gt;=0,MAX(D585:F585)&lt;=7,MAX(D585,1)+MAX(E585,1)+MAX(F585,1)&lt;=9,OR(H585="-",AND(H585=0,D585&gt;0),AND(H585=1,E585&gt;0),AND(H585=2,F585&gt;0)),OR(I585=0,AND(I585=1,OR(J585=0,J585=1,J585=2),R585&lt;&gt;"000")),Y585&lt;=9,MIN(T585:V585)&gt;=0),"合法","输入违约")</x:f>
        <x:v>合法</x:v>
      </x:c>
    </x:row>
    <x:row r="586" ht="23" customHeight="1">
      <x:c r="A586" s="3" t="str">
        <x:v>CT-0579</x:v>
      </x:c>
      <x:c r="B586" s="3" t="str">
        <x:v>ST-027</x:v>
      </x:c>
      <x:c r="C586" s="3" t="str">
        <x:v>R+AR同收同发</x:v>
      </x:c>
      <x:c r="D586" s="25" t="n">
        <x:v>1</x:v>
      </x:c>
      <x:c r="E586" s="25" t="n">
        <x:v>1</x:v>
      </x:c>
      <x:c r="F586" s="25" t="n">
        <x:v>2</x:v>
      </x:c>
      <x:c r="G586" s="19" t="n">
        <x:f>SUM(D586:F586)</x:f>
        <x:v>4</x:v>
      </x:c>
      <x:c r="H586" s="25" t="n">
        <x:v>0</x:v>
      </x:c>
      <x:c r="I586" s="25" t="n">
        <x:v>1</x:v>
      </x:c>
      <x:c r="J586" s="25" t="n">
        <x:v>1</x:v>
      </x:c>
      <x:c r="K586" s="19" t="n">
        <x:f>D586-IF(H586=0,1,0)</x:f>
        <x:v>0</x:v>
      </x:c>
      <x:c r="L586" s="19" t="n">
        <x:f>E586-IF(H586=1,1,0)</x:f>
        <x:v>1</x:v>
      </x:c>
      <x:c r="M586" s="19" t="n">
        <x:f>F586-IF(H586=2,1,0)</x:f>
        <x:v>2</x:v>
      </x:c>
      <x:c r="N586" s="19" t="n">
        <x:f>MAX(K586-1,0)+MAX(L586-1,0)+MAX(M586-1,0)</x:f>
        <x:v>1</x:v>
      </x:c>
      <x:c r="O586" s="19" t="n">
        <x:f>IF(AND(SUM(K586:M586)&lt;9,OR(M586=0,N586&lt;6)),1,0)</x:f>
        <x:v>1</x:v>
      </x:c>
      <x:c r="P586" s="19" t="n">
        <x:f>IF(AND(SUM(K586:M586)&lt;9,OR(L586=0,N586&lt;6)),1,0)</x:f>
        <x:v>1</x:v>
      </x:c>
      <x:c r="Q586" s="19" t="n">
        <x:f>IF(AND(SUM(K586:M586)&lt;9,OR(K586=0,N586&lt;6)),1,0)</x:f>
        <x:v>1</x:v>
      </x:c>
      <x:c r="R586" s="22" t="str">
        <x:f>O586&amp;P586&amp;Q586</x:f>
        <x:v>111</x:v>
      </x:c>
      <x:c r="S586" s="19" t="n">
        <x:f>IF(I586=1,IF(J586=0,Q586,IF(J586=1,P586,IF(J586=2,O586,0))),0)</x:f>
        <x:v>1</x:v>
      </x:c>
      <x:c r="T586" s="19" t="n">
        <x:f>K586+IF(AND(S586=1,J586=0),1,0)</x:f>
        <x:v>0</x:v>
      </x:c>
      <x:c r="U586" s="19" t="n">
        <x:f>L586+IF(AND(S586=1,J586=1),1,0)</x:f>
        <x:v>2</x:v>
      </x:c>
      <x:c r="V586" s="19" t="n">
        <x:f>M586+IF(AND(S586=1,J586=2),1,0)</x:f>
        <x:v>2</x:v>
      </x:c>
      <x:c r="W586" s="19" t="n">
        <x:f>SUM(T586:V586)</x:f>
        <x:v>4</x:v>
      </x:c>
      <x:c r="X586" s="19" t="n">
        <x:f>W586-G586</x:f>
        <x:v>0</x:v>
      </x:c>
      <x:c r="Y586" s="19" t="n">
        <x:f>MAX(T586,1)+MAX(U586,1)+MAX(V586,1)</x:f>
        <x:v>5</x:v>
      </x:c>
      <x:c r="Z586" s="21" t="str">
        <x:f>IF(AND(MIN(D586:F586)&gt;=0,MAX(D586:F586)&lt;=7,MAX(D586,1)+MAX(E586,1)+MAX(F586,1)&lt;=9,OR(H586="-",AND(H586=0,D586&gt;0),AND(H586=1,E586&gt;0),AND(H586=2,F586&gt;0)),OR(I586=0,AND(I586=1,OR(J586=0,J586=1,J586=2),R586&lt;&gt;"000")),Y586&lt;=9,MIN(T586:V586)&gt;=0),"合法","输入违约")</x:f>
        <x:v>合法</x:v>
      </x:c>
    </x:row>
    <x:row r="587" ht="23" customHeight="1">
      <x:c r="A587" s="3" t="str">
        <x:v>CT-0580</x:v>
      </x:c>
      <x:c r="B587" s="3" t="str">
        <x:v>ST-027</x:v>
      </x:c>
      <x:c r="C587" s="3" t="str">
        <x:v>R+AR同收同发</x:v>
      </x:c>
      <x:c r="D587" s="25" t="n">
        <x:v>1</x:v>
      </x:c>
      <x:c r="E587" s="25" t="n">
        <x:v>1</x:v>
      </x:c>
      <x:c r="F587" s="25" t="n">
        <x:v>2</x:v>
      </x:c>
      <x:c r="G587" s="19" t="n">
        <x:f>SUM(D587:F587)</x:f>
        <x:v>4</x:v>
      </x:c>
      <x:c r="H587" s="25" t="n">
        <x:v>0</x:v>
      </x:c>
      <x:c r="I587" s="25" t="n">
        <x:v>1</x:v>
      </x:c>
      <x:c r="J587" s="25" t="n">
        <x:v>2</x:v>
      </x:c>
      <x:c r="K587" s="19" t="n">
        <x:f>D587-IF(H587=0,1,0)</x:f>
        <x:v>0</x:v>
      </x:c>
      <x:c r="L587" s="19" t="n">
        <x:f>E587-IF(H587=1,1,0)</x:f>
        <x:v>1</x:v>
      </x:c>
      <x:c r="M587" s="19" t="n">
        <x:f>F587-IF(H587=2,1,0)</x:f>
        <x:v>2</x:v>
      </x:c>
      <x:c r="N587" s="19" t="n">
        <x:f>MAX(K587-1,0)+MAX(L587-1,0)+MAX(M587-1,0)</x:f>
        <x:v>1</x:v>
      </x:c>
      <x:c r="O587" s="19" t="n">
        <x:f>IF(AND(SUM(K587:M587)&lt;9,OR(M587=0,N587&lt;6)),1,0)</x:f>
        <x:v>1</x:v>
      </x:c>
      <x:c r="P587" s="19" t="n">
        <x:f>IF(AND(SUM(K587:M587)&lt;9,OR(L587=0,N587&lt;6)),1,0)</x:f>
        <x:v>1</x:v>
      </x:c>
      <x:c r="Q587" s="19" t="n">
        <x:f>IF(AND(SUM(K587:M587)&lt;9,OR(K587=0,N587&lt;6)),1,0)</x:f>
        <x:v>1</x:v>
      </x:c>
      <x:c r="R587" s="22" t="str">
        <x:f>O587&amp;P587&amp;Q587</x:f>
        <x:v>111</x:v>
      </x:c>
      <x:c r="S587" s="19" t="n">
        <x:f>IF(I587=1,IF(J587=0,Q587,IF(J587=1,P587,IF(J587=2,O587,0))),0)</x:f>
        <x:v>1</x:v>
      </x:c>
      <x:c r="T587" s="19" t="n">
        <x:f>K587+IF(AND(S587=1,J587=0),1,0)</x:f>
        <x:v>0</x:v>
      </x:c>
      <x:c r="U587" s="19" t="n">
        <x:f>L587+IF(AND(S587=1,J587=1),1,0)</x:f>
        <x:v>1</x:v>
      </x:c>
      <x:c r="V587" s="19" t="n">
        <x:f>M587+IF(AND(S587=1,J587=2),1,0)</x:f>
        <x:v>3</x:v>
      </x:c>
      <x:c r="W587" s="19" t="n">
        <x:f>SUM(T587:V587)</x:f>
        <x:v>4</x:v>
      </x:c>
      <x:c r="X587" s="19" t="n">
        <x:f>W587-G587</x:f>
        <x:v>0</x:v>
      </x:c>
      <x:c r="Y587" s="19" t="n">
        <x:f>MAX(T587,1)+MAX(U587,1)+MAX(V587,1)</x:f>
        <x:v>5</x:v>
      </x:c>
      <x:c r="Z587" s="21" t="str">
        <x:f>IF(AND(MIN(D587:F587)&gt;=0,MAX(D587:F587)&lt;=7,MAX(D587,1)+MAX(E587,1)+MAX(F587,1)&lt;=9,OR(H587="-",AND(H587=0,D587&gt;0),AND(H587=1,E587&gt;0),AND(H587=2,F587&gt;0)),OR(I587=0,AND(I587=1,OR(J587=0,J587=1,J587=2),R587&lt;&gt;"000")),Y587&lt;=9,MIN(T587:V587)&gt;=0),"合法","输入违约")</x:f>
        <x:v>合法</x:v>
      </x:c>
    </x:row>
    <x:row r="588" ht="23" customHeight="1">
      <x:c r="A588" s="3" t="str">
        <x:v>CT-0581</x:v>
      </x:c>
      <x:c r="B588" s="3" t="str">
        <x:v>ST-027</x:v>
      </x:c>
      <x:c r="C588" s="3" t="str">
        <x:v>仅R回收</x:v>
      </x:c>
      <x:c r="D588" s="25" t="n">
        <x:v>1</x:v>
      </x:c>
      <x:c r="E588" s="25" t="n">
        <x:v>1</x:v>
      </x:c>
      <x:c r="F588" s="25" t="n">
        <x:v>2</x:v>
      </x:c>
      <x:c r="G588" s="19" t="n">
        <x:f>SUM(D588:F588)</x:f>
        <x:v>4</x:v>
      </x:c>
      <x:c r="H588" s="25" t="n">
        <x:v>1</x:v>
      </x:c>
      <x:c r="I588" s="25" t="n">
        <x:v>0</x:v>
      </x:c>
      <x:c r="J588" s="25" t="str">
        <x:v>-</x:v>
      </x:c>
      <x:c r="K588" s="19" t="n">
        <x:f>D588-IF(H588=0,1,0)</x:f>
        <x:v>1</x:v>
      </x:c>
      <x:c r="L588" s="19" t="n">
        <x:f>E588-IF(H588=1,1,0)</x:f>
        <x:v>0</x:v>
      </x:c>
      <x:c r="M588" s="19" t="n">
        <x:f>F588-IF(H588=2,1,0)</x:f>
        <x:v>2</x:v>
      </x:c>
      <x:c r="N588" s="19" t="n">
        <x:f>MAX(K588-1,0)+MAX(L588-1,0)+MAX(M588-1,0)</x:f>
        <x:v>1</x:v>
      </x:c>
      <x:c r="O588" s="19" t="n">
        <x:f>IF(AND(SUM(K588:M588)&lt;9,OR(M588=0,N588&lt;6)),1,0)</x:f>
        <x:v>1</x:v>
      </x:c>
      <x:c r="P588" s="19" t="n">
        <x:f>IF(AND(SUM(K588:M588)&lt;9,OR(L588=0,N588&lt;6)),1,0)</x:f>
        <x:v>1</x:v>
      </x:c>
      <x:c r="Q588" s="19" t="n">
        <x:f>IF(AND(SUM(K588:M588)&lt;9,OR(K588=0,N588&lt;6)),1,0)</x:f>
        <x:v>1</x:v>
      </x:c>
      <x:c r="R588" s="22" t="str">
        <x:f>O588&amp;P588&amp;Q588</x:f>
        <x:v>111</x:v>
      </x:c>
      <x:c r="S588" s="19" t="n">
        <x:f>IF(I588=1,IF(J588=0,Q588,IF(J588=1,P588,IF(J588=2,O588,0))),0)</x:f>
        <x:v>0</x:v>
      </x:c>
      <x:c r="T588" s="19" t="n">
        <x:f>K588+IF(AND(S588=1,J588=0),1,0)</x:f>
        <x:v>1</x:v>
      </x:c>
      <x:c r="U588" s="19" t="n">
        <x:f>L588+IF(AND(S588=1,J588=1),1,0)</x:f>
        <x:v>0</x:v>
      </x:c>
      <x:c r="V588" s="19" t="n">
        <x:f>M588+IF(AND(S588=1,J588=2),1,0)</x:f>
        <x:v>2</x:v>
      </x:c>
      <x:c r="W588" s="19" t="n">
        <x:f>SUM(T588:V588)</x:f>
        <x:v>3</x:v>
      </x:c>
      <x:c r="X588" s="19" t="n">
        <x:f>W588-G588</x:f>
        <x:v>-1</x:v>
      </x:c>
      <x:c r="Y588" s="19" t="n">
        <x:f>MAX(T588,1)+MAX(U588,1)+MAX(V588,1)</x:f>
        <x:v>4</x:v>
      </x:c>
      <x:c r="Z588" s="21" t="str">
        <x:f>IF(AND(MIN(D588:F588)&gt;=0,MAX(D588:F588)&lt;=7,MAX(D588,1)+MAX(E588,1)+MAX(F588,1)&lt;=9,OR(H588="-",AND(H588=0,D588&gt;0),AND(H588=1,E588&gt;0),AND(H588=2,F588&gt;0)),OR(I588=0,AND(I588=1,OR(J588=0,J588=1,J588=2),R588&lt;&gt;"000")),Y588&lt;=9,MIN(T588:V588)&gt;=0),"合法","输入违约")</x:f>
        <x:v>合法</x:v>
      </x:c>
    </x:row>
    <x:row r="589" ht="23" customHeight="1">
      <x:c r="A589" s="3" t="str">
        <x:v>CT-0582</x:v>
      </x:c>
      <x:c r="B589" s="3" t="str">
        <x:v>ST-027</x:v>
      </x:c>
      <x:c r="C589" s="3" t="str">
        <x:v>R+AR同收同发</x:v>
      </x:c>
      <x:c r="D589" s="25" t="n">
        <x:v>1</x:v>
      </x:c>
      <x:c r="E589" s="25" t="n">
        <x:v>1</x:v>
      </x:c>
      <x:c r="F589" s="25" t="n">
        <x:v>2</x:v>
      </x:c>
      <x:c r="G589" s="19" t="n">
        <x:f>SUM(D589:F589)</x:f>
        <x:v>4</x:v>
      </x:c>
      <x:c r="H589" s="25" t="n">
        <x:v>1</x:v>
      </x:c>
      <x:c r="I589" s="25" t="n">
        <x:v>1</x:v>
      </x:c>
      <x:c r="J589" s="25" t="n">
        <x:v>0</x:v>
      </x:c>
      <x:c r="K589" s="19" t="n">
        <x:f>D589-IF(H589=0,1,0)</x:f>
        <x:v>1</x:v>
      </x:c>
      <x:c r="L589" s="19" t="n">
        <x:f>E589-IF(H589=1,1,0)</x:f>
        <x:v>0</x:v>
      </x:c>
      <x:c r="M589" s="19" t="n">
        <x:f>F589-IF(H589=2,1,0)</x:f>
        <x:v>2</x:v>
      </x:c>
      <x:c r="N589" s="19" t="n">
        <x:f>MAX(K589-1,0)+MAX(L589-1,0)+MAX(M589-1,0)</x:f>
        <x:v>1</x:v>
      </x:c>
      <x:c r="O589" s="19" t="n">
        <x:f>IF(AND(SUM(K589:M589)&lt;9,OR(M589=0,N589&lt;6)),1,0)</x:f>
        <x:v>1</x:v>
      </x:c>
      <x:c r="P589" s="19" t="n">
        <x:f>IF(AND(SUM(K589:M589)&lt;9,OR(L589=0,N589&lt;6)),1,0)</x:f>
        <x:v>1</x:v>
      </x:c>
      <x:c r="Q589" s="19" t="n">
        <x:f>IF(AND(SUM(K589:M589)&lt;9,OR(K589=0,N589&lt;6)),1,0)</x:f>
        <x:v>1</x:v>
      </x:c>
      <x:c r="R589" s="22" t="str">
        <x:f>O589&amp;P589&amp;Q589</x:f>
        <x:v>111</x:v>
      </x:c>
      <x:c r="S589" s="19" t="n">
        <x:f>IF(I589=1,IF(J589=0,Q589,IF(J589=1,P589,IF(J589=2,O589,0))),0)</x:f>
        <x:v>1</x:v>
      </x:c>
      <x:c r="T589" s="19" t="n">
        <x:f>K589+IF(AND(S589=1,J589=0),1,0)</x:f>
        <x:v>2</x:v>
      </x:c>
      <x:c r="U589" s="19" t="n">
        <x:f>L589+IF(AND(S589=1,J589=1),1,0)</x:f>
        <x:v>0</x:v>
      </x:c>
      <x:c r="V589" s="19" t="n">
        <x:f>M589+IF(AND(S589=1,J589=2),1,0)</x:f>
        <x:v>2</x:v>
      </x:c>
      <x:c r="W589" s="19" t="n">
        <x:f>SUM(T589:V589)</x:f>
        <x:v>4</x:v>
      </x:c>
      <x:c r="X589" s="19" t="n">
        <x:f>W589-G589</x:f>
        <x:v>0</x:v>
      </x:c>
      <x:c r="Y589" s="19" t="n">
        <x:f>MAX(T589,1)+MAX(U589,1)+MAX(V589,1)</x:f>
        <x:v>5</x:v>
      </x:c>
      <x:c r="Z589" s="21" t="str">
        <x:f>IF(AND(MIN(D589:F589)&gt;=0,MAX(D589:F589)&lt;=7,MAX(D589,1)+MAX(E589,1)+MAX(F589,1)&lt;=9,OR(H589="-",AND(H589=0,D589&gt;0),AND(H589=1,E589&gt;0),AND(H589=2,F589&gt;0)),OR(I589=0,AND(I589=1,OR(J589=0,J589=1,J589=2),R589&lt;&gt;"000")),Y589&lt;=9,MIN(T589:V589)&gt;=0),"合法","输入违约")</x:f>
        <x:v>合法</x:v>
      </x:c>
    </x:row>
    <x:row r="590" ht="23" customHeight="1">
      <x:c r="A590" s="3" t="str">
        <x:v>CT-0583</x:v>
      </x:c>
      <x:c r="B590" s="3" t="str">
        <x:v>ST-027</x:v>
      </x:c>
      <x:c r="C590" s="3" t="str">
        <x:v>R+AR同收同发</x:v>
      </x:c>
      <x:c r="D590" s="25" t="n">
        <x:v>1</x:v>
      </x:c>
      <x:c r="E590" s="25" t="n">
        <x:v>1</x:v>
      </x:c>
      <x:c r="F590" s="25" t="n">
        <x:v>2</x:v>
      </x:c>
      <x:c r="G590" s="19" t="n">
        <x:f>SUM(D590:F590)</x:f>
        <x:v>4</x:v>
      </x:c>
      <x:c r="H590" s="25" t="n">
        <x:v>1</x:v>
      </x:c>
      <x:c r="I590" s="25" t="n">
        <x:v>1</x:v>
      </x:c>
      <x:c r="J590" s="25" t="n">
        <x:v>1</x:v>
      </x:c>
      <x:c r="K590" s="19" t="n">
        <x:f>D590-IF(H590=0,1,0)</x:f>
        <x:v>1</x:v>
      </x:c>
      <x:c r="L590" s="19" t="n">
        <x:f>E590-IF(H590=1,1,0)</x:f>
        <x:v>0</x:v>
      </x:c>
      <x:c r="M590" s="19" t="n">
        <x:f>F590-IF(H590=2,1,0)</x:f>
        <x:v>2</x:v>
      </x:c>
      <x:c r="N590" s="19" t="n">
        <x:f>MAX(K590-1,0)+MAX(L590-1,0)+MAX(M590-1,0)</x:f>
        <x:v>1</x:v>
      </x:c>
      <x:c r="O590" s="19" t="n">
        <x:f>IF(AND(SUM(K590:M590)&lt;9,OR(M590=0,N590&lt;6)),1,0)</x:f>
        <x:v>1</x:v>
      </x:c>
      <x:c r="P590" s="19" t="n">
        <x:f>IF(AND(SUM(K590:M590)&lt;9,OR(L590=0,N590&lt;6)),1,0)</x:f>
        <x:v>1</x:v>
      </x:c>
      <x:c r="Q590" s="19" t="n">
        <x:f>IF(AND(SUM(K590:M590)&lt;9,OR(K590=0,N590&lt;6)),1,0)</x:f>
        <x:v>1</x:v>
      </x:c>
      <x:c r="R590" s="22" t="str">
        <x:f>O590&amp;P590&amp;Q590</x:f>
        <x:v>111</x:v>
      </x:c>
      <x:c r="S590" s="19" t="n">
        <x:f>IF(I590=1,IF(J590=0,Q590,IF(J590=1,P590,IF(J590=2,O590,0))),0)</x:f>
        <x:v>1</x:v>
      </x:c>
      <x:c r="T590" s="19" t="n">
        <x:f>K590+IF(AND(S590=1,J590=0),1,0)</x:f>
        <x:v>1</x:v>
      </x:c>
      <x:c r="U590" s="19" t="n">
        <x:f>L590+IF(AND(S590=1,J590=1),1,0)</x:f>
        <x:v>1</x:v>
      </x:c>
      <x:c r="V590" s="19" t="n">
        <x:f>M590+IF(AND(S590=1,J590=2),1,0)</x:f>
        <x:v>2</x:v>
      </x:c>
      <x:c r="W590" s="19" t="n">
        <x:f>SUM(T590:V590)</x:f>
        <x:v>4</x:v>
      </x:c>
      <x:c r="X590" s="19" t="n">
        <x:f>W590-G590</x:f>
        <x:v>0</x:v>
      </x:c>
      <x:c r="Y590" s="19" t="n">
        <x:f>MAX(T590,1)+MAX(U590,1)+MAX(V590,1)</x:f>
        <x:v>4</x:v>
      </x:c>
      <x:c r="Z590" s="21" t="str">
        <x:f>IF(AND(MIN(D590:F590)&gt;=0,MAX(D590:F590)&lt;=7,MAX(D590,1)+MAX(E590,1)+MAX(F590,1)&lt;=9,OR(H590="-",AND(H590=0,D590&gt;0),AND(H590=1,E590&gt;0),AND(H590=2,F590&gt;0)),OR(I590=0,AND(I590=1,OR(J590=0,J590=1,J590=2),R590&lt;&gt;"000")),Y590&lt;=9,MIN(T590:V590)&gt;=0),"合法","输入违约")</x:f>
        <x:v>合法</x:v>
      </x:c>
    </x:row>
    <x:row r="591" ht="23" customHeight="1">
      <x:c r="A591" s="3" t="str">
        <x:v>CT-0584</x:v>
      </x:c>
      <x:c r="B591" s="3" t="str">
        <x:v>ST-027</x:v>
      </x:c>
      <x:c r="C591" s="3" t="str">
        <x:v>R+AR同收同发</x:v>
      </x:c>
      <x:c r="D591" s="25" t="n">
        <x:v>1</x:v>
      </x:c>
      <x:c r="E591" s="25" t="n">
        <x:v>1</x:v>
      </x:c>
      <x:c r="F591" s="25" t="n">
        <x:v>2</x:v>
      </x:c>
      <x:c r="G591" s="19" t="n">
        <x:f>SUM(D591:F591)</x:f>
        <x:v>4</x:v>
      </x:c>
      <x:c r="H591" s="25" t="n">
        <x:v>1</x:v>
      </x:c>
      <x:c r="I591" s="25" t="n">
        <x:v>1</x:v>
      </x:c>
      <x:c r="J591" s="25" t="n">
        <x:v>2</x:v>
      </x:c>
      <x:c r="K591" s="19" t="n">
        <x:f>D591-IF(H591=0,1,0)</x:f>
        <x:v>1</x:v>
      </x:c>
      <x:c r="L591" s="19" t="n">
        <x:f>E591-IF(H591=1,1,0)</x:f>
        <x:v>0</x:v>
      </x:c>
      <x:c r="M591" s="19" t="n">
        <x:f>F591-IF(H591=2,1,0)</x:f>
        <x:v>2</x:v>
      </x:c>
      <x:c r="N591" s="19" t="n">
        <x:f>MAX(K591-1,0)+MAX(L591-1,0)+MAX(M591-1,0)</x:f>
        <x:v>1</x:v>
      </x:c>
      <x:c r="O591" s="19" t="n">
        <x:f>IF(AND(SUM(K591:M591)&lt;9,OR(M591=0,N591&lt;6)),1,0)</x:f>
        <x:v>1</x:v>
      </x:c>
      <x:c r="P591" s="19" t="n">
        <x:f>IF(AND(SUM(K591:M591)&lt;9,OR(L591=0,N591&lt;6)),1,0)</x:f>
        <x:v>1</x:v>
      </x:c>
      <x:c r="Q591" s="19" t="n">
        <x:f>IF(AND(SUM(K591:M591)&lt;9,OR(K591=0,N591&lt;6)),1,0)</x:f>
        <x:v>1</x:v>
      </x:c>
      <x:c r="R591" s="22" t="str">
        <x:f>O591&amp;P591&amp;Q591</x:f>
        <x:v>111</x:v>
      </x:c>
      <x:c r="S591" s="19" t="n">
        <x:f>IF(I591=1,IF(J591=0,Q591,IF(J591=1,P591,IF(J591=2,O591,0))),0)</x:f>
        <x:v>1</x:v>
      </x:c>
      <x:c r="T591" s="19" t="n">
        <x:f>K591+IF(AND(S591=1,J591=0),1,0)</x:f>
        <x:v>1</x:v>
      </x:c>
      <x:c r="U591" s="19" t="n">
        <x:f>L591+IF(AND(S591=1,J591=1),1,0)</x:f>
        <x:v>0</x:v>
      </x:c>
      <x:c r="V591" s="19" t="n">
        <x:f>M591+IF(AND(S591=1,J591=2),1,0)</x:f>
        <x:v>3</x:v>
      </x:c>
      <x:c r="W591" s="19" t="n">
        <x:f>SUM(T591:V591)</x:f>
        <x:v>4</x:v>
      </x:c>
      <x:c r="X591" s="19" t="n">
        <x:f>W591-G591</x:f>
        <x:v>0</x:v>
      </x:c>
      <x:c r="Y591" s="19" t="n">
        <x:f>MAX(T591,1)+MAX(U591,1)+MAX(V591,1)</x:f>
        <x:v>5</x:v>
      </x:c>
      <x:c r="Z591" s="21" t="str">
        <x:f>IF(AND(MIN(D591:F591)&gt;=0,MAX(D591:F591)&lt;=7,MAX(D591,1)+MAX(E591,1)+MAX(F591,1)&lt;=9,OR(H591="-",AND(H591=0,D591&gt;0),AND(H591=1,E591&gt;0),AND(H591=2,F591&gt;0)),OR(I591=0,AND(I591=1,OR(J591=0,J591=1,J591=2),R591&lt;&gt;"000")),Y591&lt;=9,MIN(T591:V591)&gt;=0),"合法","输入违约")</x:f>
        <x:v>合法</x:v>
      </x:c>
    </x:row>
    <x:row r="592" ht="23" customHeight="1">
      <x:c r="A592" s="3" t="str">
        <x:v>CT-0585</x:v>
      </x:c>
      <x:c r="B592" s="3" t="str">
        <x:v>ST-027</x:v>
      </x:c>
      <x:c r="C592" s="3" t="str">
        <x:v>仅R回收</x:v>
      </x:c>
      <x:c r="D592" s="25" t="n">
        <x:v>1</x:v>
      </x:c>
      <x:c r="E592" s="25" t="n">
        <x:v>1</x:v>
      </x:c>
      <x:c r="F592" s="25" t="n">
        <x:v>2</x:v>
      </x:c>
      <x:c r="G592" s="19" t="n">
        <x:f>SUM(D592:F592)</x:f>
        <x:v>4</x:v>
      </x:c>
      <x:c r="H592" s="25" t="n">
        <x:v>2</x:v>
      </x:c>
      <x:c r="I592" s="25" t="n">
        <x:v>0</x:v>
      </x:c>
      <x:c r="J592" s="25" t="str">
        <x:v>-</x:v>
      </x:c>
      <x:c r="K592" s="19" t="n">
        <x:f>D592-IF(H592=0,1,0)</x:f>
        <x:v>1</x:v>
      </x:c>
      <x:c r="L592" s="19" t="n">
        <x:f>E592-IF(H592=1,1,0)</x:f>
        <x:v>1</x:v>
      </x:c>
      <x:c r="M592" s="19" t="n">
        <x:f>F592-IF(H592=2,1,0)</x:f>
        <x:v>1</x:v>
      </x:c>
      <x:c r="N592" s="19" t="n">
        <x:f>MAX(K592-1,0)+MAX(L592-1,0)+MAX(M592-1,0)</x:f>
        <x:v>0</x:v>
      </x:c>
      <x:c r="O592" s="19" t="n">
        <x:f>IF(AND(SUM(K592:M592)&lt;9,OR(M592=0,N592&lt;6)),1,0)</x:f>
        <x:v>1</x:v>
      </x:c>
      <x:c r="P592" s="19" t="n">
        <x:f>IF(AND(SUM(K592:M592)&lt;9,OR(L592=0,N592&lt;6)),1,0)</x:f>
        <x:v>1</x:v>
      </x:c>
      <x:c r="Q592" s="19" t="n">
        <x:f>IF(AND(SUM(K592:M592)&lt;9,OR(K592=0,N592&lt;6)),1,0)</x:f>
        <x:v>1</x:v>
      </x:c>
      <x:c r="R592" s="22" t="str">
        <x:f>O592&amp;P592&amp;Q592</x:f>
        <x:v>111</x:v>
      </x:c>
      <x:c r="S592" s="19" t="n">
        <x:f>IF(I592=1,IF(J592=0,Q592,IF(J592=1,P592,IF(J592=2,O592,0))),0)</x:f>
        <x:v>0</x:v>
      </x:c>
      <x:c r="T592" s="19" t="n">
        <x:f>K592+IF(AND(S592=1,J592=0),1,0)</x:f>
        <x:v>1</x:v>
      </x:c>
      <x:c r="U592" s="19" t="n">
        <x:f>L592+IF(AND(S592=1,J592=1),1,0)</x:f>
        <x:v>1</x:v>
      </x:c>
      <x:c r="V592" s="19" t="n">
        <x:f>M592+IF(AND(S592=1,J592=2),1,0)</x:f>
        <x:v>1</x:v>
      </x:c>
      <x:c r="W592" s="19" t="n">
        <x:f>SUM(T592:V592)</x:f>
        <x:v>3</x:v>
      </x:c>
      <x:c r="X592" s="19" t="n">
        <x:f>W592-G592</x:f>
        <x:v>-1</x:v>
      </x:c>
      <x:c r="Y592" s="19" t="n">
        <x:f>MAX(T592,1)+MAX(U592,1)+MAX(V592,1)</x:f>
        <x:v>3</x:v>
      </x:c>
      <x:c r="Z592" s="21" t="str">
        <x:f>IF(AND(MIN(D592:F592)&gt;=0,MAX(D592:F592)&lt;=7,MAX(D592,1)+MAX(E592,1)+MAX(F592,1)&lt;=9,OR(H592="-",AND(H592=0,D592&gt;0),AND(H592=1,E592&gt;0),AND(H592=2,F592&gt;0)),OR(I592=0,AND(I592=1,OR(J592=0,J592=1,J592=2),R592&lt;&gt;"000")),Y592&lt;=9,MIN(T592:V592)&gt;=0),"合法","输入违约")</x:f>
        <x:v>合法</x:v>
      </x:c>
    </x:row>
    <x:row r="593" ht="23" customHeight="1">
      <x:c r="A593" s="3" t="str">
        <x:v>CT-0586</x:v>
      </x:c>
      <x:c r="B593" s="3" t="str">
        <x:v>ST-027</x:v>
      </x:c>
      <x:c r="C593" s="3" t="str">
        <x:v>R+AR同收同发</x:v>
      </x:c>
      <x:c r="D593" s="25" t="n">
        <x:v>1</x:v>
      </x:c>
      <x:c r="E593" s="25" t="n">
        <x:v>1</x:v>
      </x:c>
      <x:c r="F593" s="25" t="n">
        <x:v>2</x:v>
      </x:c>
      <x:c r="G593" s="19" t="n">
        <x:f>SUM(D593:F593)</x:f>
        <x:v>4</x:v>
      </x:c>
      <x:c r="H593" s="25" t="n">
        <x:v>2</x:v>
      </x:c>
      <x:c r="I593" s="25" t="n">
        <x:v>1</x:v>
      </x:c>
      <x:c r="J593" s="25" t="n">
        <x:v>0</x:v>
      </x:c>
      <x:c r="K593" s="19" t="n">
        <x:f>D593-IF(H593=0,1,0)</x:f>
        <x:v>1</x:v>
      </x:c>
      <x:c r="L593" s="19" t="n">
        <x:f>E593-IF(H593=1,1,0)</x:f>
        <x:v>1</x:v>
      </x:c>
      <x:c r="M593" s="19" t="n">
        <x:f>F593-IF(H593=2,1,0)</x:f>
        <x:v>1</x:v>
      </x:c>
      <x:c r="N593" s="19" t="n">
        <x:f>MAX(K593-1,0)+MAX(L593-1,0)+MAX(M593-1,0)</x:f>
        <x:v>0</x:v>
      </x:c>
      <x:c r="O593" s="19" t="n">
        <x:f>IF(AND(SUM(K593:M593)&lt;9,OR(M593=0,N593&lt;6)),1,0)</x:f>
        <x:v>1</x:v>
      </x:c>
      <x:c r="P593" s="19" t="n">
        <x:f>IF(AND(SUM(K593:M593)&lt;9,OR(L593=0,N593&lt;6)),1,0)</x:f>
        <x:v>1</x:v>
      </x:c>
      <x:c r="Q593" s="19" t="n">
        <x:f>IF(AND(SUM(K593:M593)&lt;9,OR(K593=0,N593&lt;6)),1,0)</x:f>
        <x:v>1</x:v>
      </x:c>
      <x:c r="R593" s="22" t="str">
        <x:f>O593&amp;P593&amp;Q593</x:f>
        <x:v>111</x:v>
      </x:c>
      <x:c r="S593" s="19" t="n">
        <x:f>IF(I593=1,IF(J593=0,Q593,IF(J593=1,P593,IF(J593=2,O593,0))),0)</x:f>
        <x:v>1</x:v>
      </x:c>
      <x:c r="T593" s="19" t="n">
        <x:f>K593+IF(AND(S593=1,J593=0),1,0)</x:f>
        <x:v>2</x:v>
      </x:c>
      <x:c r="U593" s="19" t="n">
        <x:f>L593+IF(AND(S593=1,J593=1),1,0)</x:f>
        <x:v>1</x:v>
      </x:c>
      <x:c r="V593" s="19" t="n">
        <x:f>M593+IF(AND(S593=1,J593=2),1,0)</x:f>
        <x:v>1</x:v>
      </x:c>
      <x:c r="W593" s="19" t="n">
        <x:f>SUM(T593:V593)</x:f>
        <x:v>4</x:v>
      </x:c>
      <x:c r="X593" s="19" t="n">
        <x:f>W593-G593</x:f>
        <x:v>0</x:v>
      </x:c>
      <x:c r="Y593" s="19" t="n">
        <x:f>MAX(T593,1)+MAX(U593,1)+MAX(V593,1)</x:f>
        <x:v>4</x:v>
      </x:c>
      <x:c r="Z593" s="21" t="str">
        <x:f>IF(AND(MIN(D593:F593)&gt;=0,MAX(D593:F593)&lt;=7,MAX(D593,1)+MAX(E593,1)+MAX(F593,1)&lt;=9,OR(H593="-",AND(H593=0,D593&gt;0),AND(H593=1,E593&gt;0),AND(H593=2,F593&gt;0)),OR(I593=0,AND(I593=1,OR(J593=0,J593=1,J593=2),R593&lt;&gt;"000")),Y593&lt;=9,MIN(T593:V593)&gt;=0),"合法","输入违约")</x:f>
        <x:v>合法</x:v>
      </x:c>
    </x:row>
    <x:row r="594" ht="23" customHeight="1">
      <x:c r="A594" s="3" t="str">
        <x:v>CT-0587</x:v>
      </x:c>
      <x:c r="B594" s="3" t="str">
        <x:v>ST-027</x:v>
      </x:c>
      <x:c r="C594" s="3" t="str">
        <x:v>R+AR同收同发</x:v>
      </x:c>
      <x:c r="D594" s="25" t="n">
        <x:v>1</x:v>
      </x:c>
      <x:c r="E594" s="25" t="n">
        <x:v>1</x:v>
      </x:c>
      <x:c r="F594" s="25" t="n">
        <x:v>2</x:v>
      </x:c>
      <x:c r="G594" s="19" t="n">
        <x:f>SUM(D594:F594)</x:f>
        <x:v>4</x:v>
      </x:c>
      <x:c r="H594" s="25" t="n">
        <x:v>2</x:v>
      </x:c>
      <x:c r="I594" s="25" t="n">
        <x:v>1</x:v>
      </x:c>
      <x:c r="J594" s="25" t="n">
        <x:v>1</x:v>
      </x:c>
      <x:c r="K594" s="19" t="n">
        <x:f>D594-IF(H594=0,1,0)</x:f>
        <x:v>1</x:v>
      </x:c>
      <x:c r="L594" s="19" t="n">
        <x:f>E594-IF(H594=1,1,0)</x:f>
        <x:v>1</x:v>
      </x:c>
      <x:c r="M594" s="19" t="n">
        <x:f>F594-IF(H594=2,1,0)</x:f>
        <x:v>1</x:v>
      </x:c>
      <x:c r="N594" s="19" t="n">
        <x:f>MAX(K594-1,0)+MAX(L594-1,0)+MAX(M594-1,0)</x:f>
        <x:v>0</x:v>
      </x:c>
      <x:c r="O594" s="19" t="n">
        <x:f>IF(AND(SUM(K594:M594)&lt;9,OR(M594=0,N594&lt;6)),1,0)</x:f>
        <x:v>1</x:v>
      </x:c>
      <x:c r="P594" s="19" t="n">
        <x:f>IF(AND(SUM(K594:M594)&lt;9,OR(L594=0,N594&lt;6)),1,0)</x:f>
        <x:v>1</x:v>
      </x:c>
      <x:c r="Q594" s="19" t="n">
        <x:f>IF(AND(SUM(K594:M594)&lt;9,OR(K594=0,N594&lt;6)),1,0)</x:f>
        <x:v>1</x:v>
      </x:c>
      <x:c r="R594" s="22" t="str">
        <x:f>O594&amp;P594&amp;Q594</x:f>
        <x:v>111</x:v>
      </x:c>
      <x:c r="S594" s="19" t="n">
        <x:f>IF(I594=1,IF(J594=0,Q594,IF(J594=1,P594,IF(J594=2,O594,0))),0)</x:f>
        <x:v>1</x:v>
      </x:c>
      <x:c r="T594" s="19" t="n">
        <x:f>K594+IF(AND(S594=1,J594=0),1,0)</x:f>
        <x:v>1</x:v>
      </x:c>
      <x:c r="U594" s="19" t="n">
        <x:f>L594+IF(AND(S594=1,J594=1),1,0)</x:f>
        <x:v>2</x:v>
      </x:c>
      <x:c r="V594" s="19" t="n">
        <x:f>M594+IF(AND(S594=1,J594=2),1,0)</x:f>
        <x:v>1</x:v>
      </x:c>
      <x:c r="W594" s="19" t="n">
        <x:f>SUM(T594:V594)</x:f>
        <x:v>4</x:v>
      </x:c>
      <x:c r="X594" s="19" t="n">
        <x:f>W594-G594</x:f>
        <x:v>0</x:v>
      </x:c>
      <x:c r="Y594" s="19" t="n">
        <x:f>MAX(T594,1)+MAX(U594,1)+MAX(V594,1)</x:f>
        <x:v>4</x:v>
      </x:c>
      <x:c r="Z594" s="21" t="str">
        <x:f>IF(AND(MIN(D594:F594)&gt;=0,MAX(D594:F594)&lt;=7,MAX(D594,1)+MAX(E594,1)+MAX(F594,1)&lt;=9,OR(H594="-",AND(H594=0,D594&gt;0),AND(H594=1,E594&gt;0),AND(H594=2,F594&gt;0)),OR(I594=0,AND(I594=1,OR(J594=0,J594=1,J594=2),R594&lt;&gt;"000")),Y594&lt;=9,MIN(T594:V594)&gt;=0),"合法","输入违约")</x:f>
        <x:v>合法</x:v>
      </x:c>
    </x:row>
    <x:row r="595" ht="23" customHeight="1">
      <x:c r="A595" s="3" t="str">
        <x:v>CT-0588</x:v>
      </x:c>
      <x:c r="B595" s="3" t="str">
        <x:v>ST-027</x:v>
      </x:c>
      <x:c r="C595" s="3" t="str">
        <x:v>R+AR同收同发</x:v>
      </x:c>
      <x:c r="D595" s="25" t="n">
        <x:v>1</x:v>
      </x:c>
      <x:c r="E595" s="25" t="n">
        <x:v>1</x:v>
      </x:c>
      <x:c r="F595" s="25" t="n">
        <x:v>2</x:v>
      </x:c>
      <x:c r="G595" s="19" t="n">
        <x:f>SUM(D595:F595)</x:f>
        <x:v>4</x:v>
      </x:c>
      <x:c r="H595" s="25" t="n">
        <x:v>2</x:v>
      </x:c>
      <x:c r="I595" s="25" t="n">
        <x:v>1</x:v>
      </x:c>
      <x:c r="J595" s="25" t="n">
        <x:v>2</x:v>
      </x:c>
      <x:c r="K595" s="19" t="n">
        <x:f>D595-IF(H595=0,1,0)</x:f>
        <x:v>1</x:v>
      </x:c>
      <x:c r="L595" s="19" t="n">
        <x:f>E595-IF(H595=1,1,0)</x:f>
        <x:v>1</x:v>
      </x:c>
      <x:c r="M595" s="19" t="n">
        <x:f>F595-IF(H595=2,1,0)</x:f>
        <x:v>1</x:v>
      </x:c>
      <x:c r="N595" s="19" t="n">
        <x:f>MAX(K595-1,0)+MAX(L595-1,0)+MAX(M595-1,0)</x:f>
        <x:v>0</x:v>
      </x:c>
      <x:c r="O595" s="19" t="n">
        <x:f>IF(AND(SUM(K595:M595)&lt;9,OR(M595=0,N595&lt;6)),1,0)</x:f>
        <x:v>1</x:v>
      </x:c>
      <x:c r="P595" s="19" t="n">
        <x:f>IF(AND(SUM(K595:M595)&lt;9,OR(L595=0,N595&lt;6)),1,0)</x:f>
        <x:v>1</x:v>
      </x:c>
      <x:c r="Q595" s="19" t="n">
        <x:f>IF(AND(SUM(K595:M595)&lt;9,OR(K595=0,N595&lt;6)),1,0)</x:f>
        <x:v>1</x:v>
      </x:c>
      <x:c r="R595" s="22" t="str">
        <x:f>O595&amp;P595&amp;Q595</x:f>
        <x:v>111</x:v>
      </x:c>
      <x:c r="S595" s="19" t="n">
        <x:f>IF(I595=1,IF(J595=0,Q595,IF(J595=1,P595,IF(J595=2,O595,0))),0)</x:f>
        <x:v>1</x:v>
      </x:c>
      <x:c r="T595" s="19" t="n">
        <x:f>K595+IF(AND(S595=1,J595=0),1,0)</x:f>
        <x:v>1</x:v>
      </x:c>
      <x:c r="U595" s="19" t="n">
        <x:f>L595+IF(AND(S595=1,J595=1),1,0)</x:f>
        <x:v>1</x:v>
      </x:c>
      <x:c r="V595" s="19" t="n">
        <x:f>M595+IF(AND(S595=1,J595=2),1,0)</x:f>
        <x:v>2</x:v>
      </x:c>
      <x:c r="W595" s="19" t="n">
        <x:f>SUM(T595:V595)</x:f>
        <x:v>4</x:v>
      </x:c>
      <x:c r="X595" s="19" t="n">
        <x:f>W595-G595</x:f>
        <x:v>0</x:v>
      </x:c>
      <x:c r="Y595" s="19" t="n">
        <x:f>MAX(T595,1)+MAX(U595,1)+MAX(V595,1)</x:f>
        <x:v>4</x:v>
      </x:c>
      <x:c r="Z595" s="21" t="str">
        <x:f>IF(AND(MIN(D595:F595)&gt;=0,MAX(D595:F595)&lt;=7,MAX(D595,1)+MAX(E595,1)+MAX(F595,1)&lt;=9,OR(H595="-",AND(H595=0,D595&gt;0),AND(H595=1,E595&gt;0),AND(H595=2,F595&gt;0)),OR(I595=0,AND(I595=1,OR(J595=0,J595=1,J595=2),R595&lt;&gt;"000")),Y595&lt;=9,MIN(T595:V595)&gt;=0),"合法","输入违约")</x:f>
        <x:v>合法</x:v>
      </x:c>
    </x:row>
    <x:row r="596" ht="23" customHeight="1">
      <x:c r="A596" s="3" t="str">
        <x:v>CT-0589</x:v>
      </x:c>
      <x:c r="B596" s="3" t="str">
        <x:v>ST-043</x:v>
      </x:c>
      <x:c r="C596" s="3" t="str">
        <x:v>无AR/R</x:v>
      </x:c>
      <x:c r="D596" s="25" t="n">
        <x:v>1</x:v>
      </x:c>
      <x:c r="E596" s="25" t="n">
        <x:v>1</x:v>
      </x:c>
      <x:c r="F596" s="25" t="n">
        <x:v>3</x:v>
      </x:c>
      <x:c r="G596" s="19" t="n">
        <x:f>SUM(D596:F596)</x:f>
        <x:v>5</x:v>
      </x:c>
      <x:c r="H596" s="25" t="str">
        <x:v>-</x:v>
      </x:c>
      <x:c r="I596" s="25" t="n">
        <x:v>0</x:v>
      </x:c>
      <x:c r="J596" s="25" t="str">
        <x:v>-</x:v>
      </x:c>
      <x:c r="K596" s="19" t="n">
        <x:f>D596-IF(H596=0,1,0)</x:f>
        <x:v>1</x:v>
      </x:c>
      <x:c r="L596" s="19" t="n">
        <x:f>E596-IF(H596=1,1,0)</x:f>
        <x:v>1</x:v>
      </x:c>
      <x:c r="M596" s="19" t="n">
        <x:f>F596-IF(H596=2,1,0)</x:f>
        <x:v>3</x:v>
      </x:c>
      <x:c r="N596" s="19" t="n">
        <x:f>MAX(K596-1,0)+MAX(L596-1,0)+MAX(M596-1,0)</x:f>
        <x:v>2</x:v>
      </x:c>
      <x:c r="O596" s="19" t="n">
        <x:f>IF(AND(SUM(K596:M596)&lt;9,OR(M596=0,N596&lt;6)),1,0)</x:f>
        <x:v>1</x:v>
      </x:c>
      <x:c r="P596" s="19" t="n">
        <x:f>IF(AND(SUM(K596:M596)&lt;9,OR(L596=0,N596&lt;6)),1,0)</x:f>
        <x:v>1</x:v>
      </x:c>
      <x:c r="Q596" s="19" t="n">
        <x:f>IF(AND(SUM(K596:M596)&lt;9,OR(K596=0,N596&lt;6)),1,0)</x:f>
        <x:v>1</x:v>
      </x:c>
      <x:c r="R596" s="22" t="str">
        <x:f>O596&amp;P596&amp;Q596</x:f>
        <x:v>111</x:v>
      </x:c>
      <x:c r="S596" s="19" t="n">
        <x:f>IF(I596=1,IF(J596=0,Q596,IF(J596=1,P596,IF(J596=2,O596,0))),0)</x:f>
        <x:v>0</x:v>
      </x:c>
      <x:c r="T596" s="19" t="n">
        <x:f>K596+IF(AND(S596=1,J596=0),1,0)</x:f>
        <x:v>1</x:v>
      </x:c>
      <x:c r="U596" s="19" t="n">
        <x:f>L596+IF(AND(S596=1,J596=1),1,0)</x:f>
        <x:v>1</x:v>
      </x:c>
      <x:c r="V596" s="19" t="n">
        <x:f>M596+IF(AND(S596=1,J596=2),1,0)</x:f>
        <x:v>3</x:v>
      </x:c>
      <x:c r="W596" s="19" t="n">
        <x:f>SUM(T596:V596)</x:f>
        <x:v>5</x:v>
      </x:c>
      <x:c r="X596" s="19" t="n">
        <x:f>W596-G596</x:f>
        <x:v>0</x:v>
      </x:c>
      <x:c r="Y596" s="19" t="n">
        <x:f>MAX(T596,1)+MAX(U596,1)+MAX(V596,1)</x:f>
        <x:v>5</x:v>
      </x:c>
      <x:c r="Z596" s="21" t="str">
        <x:f>IF(AND(MIN(D596:F596)&gt;=0,MAX(D596:F596)&lt;=7,MAX(D596,1)+MAX(E596,1)+MAX(F596,1)&lt;=9,OR(H596="-",AND(H596=0,D596&gt;0),AND(H596=1,E596&gt;0),AND(H596=2,F596&gt;0)),OR(I596=0,AND(I596=1,OR(J596=0,J596=1,J596=2),R596&lt;&gt;"000")),Y596&lt;=9,MIN(T596:V596)&gt;=0),"合法","输入违约")</x:f>
        <x:v>合法</x:v>
      </x:c>
    </x:row>
    <x:row r="597" ht="23" customHeight="1">
      <x:c r="A597" s="3" t="str">
        <x:v>CT-0590</x:v>
      </x:c>
      <x:c r="B597" s="3" t="str">
        <x:v>ST-043</x:v>
      </x:c>
      <x:c r="C597" s="3" t="str">
        <x:v>仅AR接收</x:v>
      </x:c>
      <x:c r="D597" s="25" t="n">
        <x:v>1</x:v>
      </x:c>
      <x:c r="E597" s="25" t="n">
        <x:v>1</x:v>
      </x:c>
      <x:c r="F597" s="25" t="n">
        <x:v>3</x:v>
      </x:c>
      <x:c r="G597" s="19" t="n">
        <x:f>SUM(D597:F597)</x:f>
        <x:v>5</x:v>
      </x:c>
      <x:c r="H597" s="25" t="str">
        <x:v>-</x:v>
      </x:c>
      <x:c r="I597" s="25" t="n">
        <x:v>1</x:v>
      </x:c>
      <x:c r="J597" s="25" t="n">
        <x:v>0</x:v>
      </x:c>
      <x:c r="K597" s="19" t="n">
        <x:f>D597-IF(H597=0,1,0)</x:f>
        <x:v>1</x:v>
      </x:c>
      <x:c r="L597" s="19" t="n">
        <x:f>E597-IF(H597=1,1,0)</x:f>
        <x:v>1</x:v>
      </x:c>
      <x:c r="M597" s="19" t="n">
        <x:f>F597-IF(H597=2,1,0)</x:f>
        <x:v>3</x:v>
      </x:c>
      <x:c r="N597" s="19" t="n">
        <x:f>MAX(K597-1,0)+MAX(L597-1,0)+MAX(M597-1,0)</x:f>
        <x:v>2</x:v>
      </x:c>
      <x:c r="O597" s="19" t="n">
        <x:f>IF(AND(SUM(K597:M597)&lt;9,OR(M597=0,N597&lt;6)),1,0)</x:f>
        <x:v>1</x:v>
      </x:c>
      <x:c r="P597" s="19" t="n">
        <x:f>IF(AND(SUM(K597:M597)&lt;9,OR(L597=0,N597&lt;6)),1,0)</x:f>
        <x:v>1</x:v>
      </x:c>
      <x:c r="Q597" s="19" t="n">
        <x:f>IF(AND(SUM(K597:M597)&lt;9,OR(K597=0,N597&lt;6)),1,0)</x:f>
        <x:v>1</x:v>
      </x:c>
      <x:c r="R597" s="22" t="str">
        <x:f>O597&amp;P597&amp;Q597</x:f>
        <x:v>111</x:v>
      </x:c>
      <x:c r="S597" s="19" t="n">
        <x:f>IF(I597=1,IF(J597=0,Q597,IF(J597=1,P597,IF(J597=2,O597,0))),0)</x:f>
        <x:v>1</x:v>
      </x:c>
      <x:c r="T597" s="19" t="n">
        <x:f>K597+IF(AND(S597=1,J597=0),1,0)</x:f>
        <x:v>2</x:v>
      </x:c>
      <x:c r="U597" s="19" t="n">
        <x:f>L597+IF(AND(S597=1,J597=1),1,0)</x:f>
        <x:v>1</x:v>
      </x:c>
      <x:c r="V597" s="19" t="n">
        <x:f>M597+IF(AND(S597=1,J597=2),1,0)</x:f>
        <x:v>3</x:v>
      </x:c>
      <x:c r="W597" s="19" t="n">
        <x:f>SUM(T597:V597)</x:f>
        <x:v>6</x:v>
      </x:c>
      <x:c r="X597" s="19" t="n">
        <x:f>W597-G597</x:f>
        <x:v>1</x:v>
      </x:c>
      <x:c r="Y597" s="19" t="n">
        <x:f>MAX(T597,1)+MAX(U597,1)+MAX(V597,1)</x:f>
        <x:v>6</x:v>
      </x:c>
      <x:c r="Z597" s="21" t="str">
        <x:f>IF(AND(MIN(D597:F597)&gt;=0,MAX(D597:F597)&lt;=7,MAX(D597,1)+MAX(E597,1)+MAX(F597,1)&lt;=9,OR(H597="-",AND(H597=0,D597&gt;0),AND(H597=1,E597&gt;0),AND(H597=2,F597&gt;0)),OR(I597=0,AND(I597=1,OR(J597=0,J597=1,J597=2),R597&lt;&gt;"000")),Y597&lt;=9,MIN(T597:V597)&gt;=0),"合法","输入违约")</x:f>
        <x:v>合法</x:v>
      </x:c>
    </x:row>
    <x:row r="598" ht="23" customHeight="1">
      <x:c r="A598" s="3" t="str">
        <x:v>CT-0591</x:v>
      </x:c>
      <x:c r="B598" s="3" t="str">
        <x:v>ST-043</x:v>
      </x:c>
      <x:c r="C598" s="3" t="str">
        <x:v>仅AR接收</x:v>
      </x:c>
      <x:c r="D598" s="25" t="n">
        <x:v>1</x:v>
      </x:c>
      <x:c r="E598" s="25" t="n">
        <x:v>1</x:v>
      </x:c>
      <x:c r="F598" s="25" t="n">
        <x:v>3</x:v>
      </x:c>
      <x:c r="G598" s="19" t="n">
        <x:f>SUM(D598:F598)</x:f>
        <x:v>5</x:v>
      </x:c>
      <x:c r="H598" s="25" t="str">
        <x:v>-</x:v>
      </x:c>
      <x:c r="I598" s="25" t="n">
        <x:v>1</x:v>
      </x:c>
      <x:c r="J598" s="25" t="n">
        <x:v>1</x:v>
      </x:c>
      <x:c r="K598" s="19" t="n">
        <x:f>D598-IF(H598=0,1,0)</x:f>
        <x:v>1</x:v>
      </x:c>
      <x:c r="L598" s="19" t="n">
        <x:f>E598-IF(H598=1,1,0)</x:f>
        <x:v>1</x:v>
      </x:c>
      <x:c r="M598" s="19" t="n">
        <x:f>F598-IF(H598=2,1,0)</x:f>
        <x:v>3</x:v>
      </x:c>
      <x:c r="N598" s="19" t="n">
        <x:f>MAX(K598-1,0)+MAX(L598-1,0)+MAX(M598-1,0)</x:f>
        <x:v>2</x:v>
      </x:c>
      <x:c r="O598" s="19" t="n">
        <x:f>IF(AND(SUM(K598:M598)&lt;9,OR(M598=0,N598&lt;6)),1,0)</x:f>
        <x:v>1</x:v>
      </x:c>
      <x:c r="P598" s="19" t="n">
        <x:f>IF(AND(SUM(K598:M598)&lt;9,OR(L598=0,N598&lt;6)),1,0)</x:f>
        <x:v>1</x:v>
      </x:c>
      <x:c r="Q598" s="19" t="n">
        <x:f>IF(AND(SUM(K598:M598)&lt;9,OR(K598=0,N598&lt;6)),1,0)</x:f>
        <x:v>1</x:v>
      </x:c>
      <x:c r="R598" s="22" t="str">
        <x:f>O598&amp;P598&amp;Q598</x:f>
        <x:v>111</x:v>
      </x:c>
      <x:c r="S598" s="19" t="n">
        <x:f>IF(I598=1,IF(J598=0,Q598,IF(J598=1,P598,IF(J598=2,O598,0))),0)</x:f>
        <x:v>1</x:v>
      </x:c>
      <x:c r="T598" s="19" t="n">
        <x:f>K598+IF(AND(S598=1,J598=0),1,0)</x:f>
        <x:v>1</x:v>
      </x:c>
      <x:c r="U598" s="19" t="n">
        <x:f>L598+IF(AND(S598=1,J598=1),1,0)</x:f>
        <x:v>2</x:v>
      </x:c>
      <x:c r="V598" s="19" t="n">
        <x:f>M598+IF(AND(S598=1,J598=2),1,0)</x:f>
        <x:v>3</x:v>
      </x:c>
      <x:c r="W598" s="19" t="n">
        <x:f>SUM(T598:V598)</x:f>
        <x:v>6</x:v>
      </x:c>
      <x:c r="X598" s="19" t="n">
        <x:f>W598-G598</x:f>
        <x:v>1</x:v>
      </x:c>
      <x:c r="Y598" s="19" t="n">
        <x:f>MAX(T598,1)+MAX(U598,1)+MAX(V598,1)</x:f>
        <x:v>6</x:v>
      </x:c>
      <x:c r="Z598" s="21" t="str">
        <x:f>IF(AND(MIN(D598:F598)&gt;=0,MAX(D598:F598)&lt;=7,MAX(D598,1)+MAX(E598,1)+MAX(F598,1)&lt;=9,OR(H598="-",AND(H598=0,D598&gt;0),AND(H598=1,E598&gt;0),AND(H598=2,F598&gt;0)),OR(I598=0,AND(I598=1,OR(J598=0,J598=1,J598=2),R598&lt;&gt;"000")),Y598&lt;=9,MIN(T598:V598)&gt;=0),"合法","输入违约")</x:f>
        <x:v>合法</x:v>
      </x:c>
    </x:row>
    <x:row r="599" ht="23" customHeight="1">
      <x:c r="A599" s="3" t="str">
        <x:v>CT-0592</x:v>
      </x:c>
      <x:c r="B599" s="3" t="str">
        <x:v>ST-043</x:v>
      </x:c>
      <x:c r="C599" s="3" t="str">
        <x:v>仅AR接收</x:v>
      </x:c>
      <x:c r="D599" s="25" t="n">
        <x:v>1</x:v>
      </x:c>
      <x:c r="E599" s="25" t="n">
        <x:v>1</x:v>
      </x:c>
      <x:c r="F599" s="25" t="n">
        <x:v>3</x:v>
      </x:c>
      <x:c r="G599" s="19" t="n">
        <x:f>SUM(D599:F599)</x:f>
        <x:v>5</x:v>
      </x:c>
      <x:c r="H599" s="25" t="str">
        <x:v>-</x:v>
      </x:c>
      <x:c r="I599" s="25" t="n">
        <x:v>1</x:v>
      </x:c>
      <x:c r="J599" s="25" t="n">
        <x:v>2</x:v>
      </x:c>
      <x:c r="K599" s="19" t="n">
        <x:f>D599-IF(H599=0,1,0)</x:f>
        <x:v>1</x:v>
      </x:c>
      <x:c r="L599" s="19" t="n">
        <x:f>E599-IF(H599=1,1,0)</x:f>
        <x:v>1</x:v>
      </x:c>
      <x:c r="M599" s="19" t="n">
        <x:f>F599-IF(H599=2,1,0)</x:f>
        <x:v>3</x:v>
      </x:c>
      <x:c r="N599" s="19" t="n">
        <x:f>MAX(K599-1,0)+MAX(L599-1,0)+MAX(M599-1,0)</x:f>
        <x:v>2</x:v>
      </x:c>
      <x:c r="O599" s="19" t="n">
        <x:f>IF(AND(SUM(K599:M599)&lt;9,OR(M599=0,N599&lt;6)),1,0)</x:f>
        <x:v>1</x:v>
      </x:c>
      <x:c r="P599" s="19" t="n">
        <x:f>IF(AND(SUM(K599:M599)&lt;9,OR(L599=0,N599&lt;6)),1,0)</x:f>
        <x:v>1</x:v>
      </x:c>
      <x:c r="Q599" s="19" t="n">
        <x:f>IF(AND(SUM(K599:M599)&lt;9,OR(K599=0,N599&lt;6)),1,0)</x:f>
        <x:v>1</x:v>
      </x:c>
      <x:c r="R599" s="22" t="str">
        <x:f>O599&amp;P599&amp;Q599</x:f>
        <x:v>111</x:v>
      </x:c>
      <x:c r="S599" s="19" t="n">
        <x:f>IF(I599=1,IF(J599=0,Q599,IF(J599=1,P599,IF(J599=2,O599,0))),0)</x:f>
        <x:v>1</x:v>
      </x:c>
      <x:c r="T599" s="19" t="n">
        <x:f>K599+IF(AND(S599=1,J599=0),1,0)</x:f>
        <x:v>1</x:v>
      </x:c>
      <x:c r="U599" s="19" t="n">
        <x:f>L599+IF(AND(S599=1,J599=1),1,0)</x:f>
        <x:v>1</x:v>
      </x:c>
      <x:c r="V599" s="19" t="n">
        <x:f>M599+IF(AND(S599=1,J599=2),1,0)</x:f>
        <x:v>4</x:v>
      </x:c>
      <x:c r="W599" s="19" t="n">
        <x:f>SUM(T599:V599)</x:f>
        <x:v>6</x:v>
      </x:c>
      <x:c r="X599" s="19" t="n">
        <x:f>W599-G599</x:f>
        <x:v>1</x:v>
      </x:c>
      <x:c r="Y599" s="19" t="n">
        <x:f>MAX(T599,1)+MAX(U599,1)+MAX(V599,1)</x:f>
        <x:v>6</x:v>
      </x:c>
      <x:c r="Z599" s="21" t="str">
        <x:f>IF(AND(MIN(D599:F599)&gt;=0,MAX(D599:F599)&lt;=7,MAX(D599,1)+MAX(E599,1)+MAX(F599,1)&lt;=9,OR(H599="-",AND(H599=0,D599&gt;0),AND(H599=1,E599&gt;0),AND(H599=2,F599&gt;0)),OR(I599=0,AND(I599=1,OR(J599=0,J599=1,J599=2),R599&lt;&gt;"000")),Y599&lt;=9,MIN(T599:V599)&gt;=0),"合法","输入违约")</x:f>
        <x:v>合法</x:v>
      </x:c>
    </x:row>
    <x:row r="600" ht="23" customHeight="1">
      <x:c r="A600" s="3" t="str">
        <x:v>CT-0593</x:v>
      </x:c>
      <x:c r="B600" s="3" t="str">
        <x:v>ST-043</x:v>
      </x:c>
      <x:c r="C600" s="3" t="str">
        <x:v>仅R回收</x:v>
      </x:c>
      <x:c r="D600" s="25" t="n">
        <x:v>1</x:v>
      </x:c>
      <x:c r="E600" s="25" t="n">
        <x:v>1</x:v>
      </x:c>
      <x:c r="F600" s="25" t="n">
        <x:v>3</x:v>
      </x:c>
      <x:c r="G600" s="19" t="n">
        <x:f>SUM(D600:F600)</x:f>
        <x:v>5</x:v>
      </x:c>
      <x:c r="H600" s="25" t="n">
        <x:v>0</x:v>
      </x:c>
      <x:c r="I600" s="25" t="n">
        <x:v>0</x:v>
      </x:c>
      <x:c r="J600" s="25" t="str">
        <x:v>-</x:v>
      </x:c>
      <x:c r="K600" s="19" t="n">
        <x:f>D600-IF(H600=0,1,0)</x:f>
        <x:v>0</x:v>
      </x:c>
      <x:c r="L600" s="19" t="n">
        <x:f>E600-IF(H600=1,1,0)</x:f>
        <x:v>1</x:v>
      </x:c>
      <x:c r="M600" s="19" t="n">
        <x:f>F600-IF(H600=2,1,0)</x:f>
        <x:v>3</x:v>
      </x:c>
      <x:c r="N600" s="19" t="n">
        <x:f>MAX(K600-1,0)+MAX(L600-1,0)+MAX(M600-1,0)</x:f>
        <x:v>2</x:v>
      </x:c>
      <x:c r="O600" s="19" t="n">
        <x:f>IF(AND(SUM(K600:M600)&lt;9,OR(M600=0,N600&lt;6)),1,0)</x:f>
        <x:v>1</x:v>
      </x:c>
      <x:c r="P600" s="19" t="n">
        <x:f>IF(AND(SUM(K600:M600)&lt;9,OR(L600=0,N600&lt;6)),1,0)</x:f>
        <x:v>1</x:v>
      </x:c>
      <x:c r="Q600" s="19" t="n">
        <x:f>IF(AND(SUM(K600:M600)&lt;9,OR(K600=0,N600&lt;6)),1,0)</x:f>
        <x:v>1</x:v>
      </x:c>
      <x:c r="R600" s="22" t="str">
        <x:f>O600&amp;P600&amp;Q600</x:f>
        <x:v>111</x:v>
      </x:c>
      <x:c r="S600" s="19" t="n">
        <x:f>IF(I600=1,IF(J600=0,Q600,IF(J600=1,P600,IF(J600=2,O600,0))),0)</x:f>
        <x:v>0</x:v>
      </x:c>
      <x:c r="T600" s="19" t="n">
        <x:f>K600+IF(AND(S600=1,J600=0),1,0)</x:f>
        <x:v>0</x:v>
      </x:c>
      <x:c r="U600" s="19" t="n">
        <x:f>L600+IF(AND(S600=1,J600=1),1,0)</x:f>
        <x:v>1</x:v>
      </x:c>
      <x:c r="V600" s="19" t="n">
        <x:f>M600+IF(AND(S600=1,J600=2),1,0)</x:f>
        <x:v>3</x:v>
      </x:c>
      <x:c r="W600" s="19" t="n">
        <x:f>SUM(T600:V600)</x:f>
        <x:v>4</x:v>
      </x:c>
      <x:c r="X600" s="19" t="n">
        <x:f>W600-G600</x:f>
        <x:v>-1</x:v>
      </x:c>
      <x:c r="Y600" s="19" t="n">
        <x:f>MAX(T600,1)+MAX(U600,1)+MAX(V600,1)</x:f>
        <x:v>5</x:v>
      </x:c>
      <x:c r="Z600" s="21" t="str">
        <x:f>IF(AND(MIN(D600:F600)&gt;=0,MAX(D600:F600)&lt;=7,MAX(D600,1)+MAX(E600,1)+MAX(F600,1)&lt;=9,OR(H600="-",AND(H600=0,D600&gt;0),AND(H600=1,E600&gt;0),AND(H600=2,F600&gt;0)),OR(I600=0,AND(I600=1,OR(J600=0,J600=1,J600=2),R600&lt;&gt;"000")),Y600&lt;=9,MIN(T600:V600)&gt;=0),"合法","输入违约")</x:f>
        <x:v>合法</x:v>
      </x:c>
    </x:row>
    <x:row r="601" ht="23" customHeight="1">
      <x:c r="A601" s="3" t="str">
        <x:v>CT-0594</x:v>
      </x:c>
      <x:c r="B601" s="3" t="str">
        <x:v>ST-043</x:v>
      </x:c>
      <x:c r="C601" s="3" t="str">
        <x:v>R+AR同收同发</x:v>
      </x:c>
      <x:c r="D601" s="25" t="n">
        <x:v>1</x:v>
      </x:c>
      <x:c r="E601" s="25" t="n">
        <x:v>1</x:v>
      </x:c>
      <x:c r="F601" s="25" t="n">
        <x:v>3</x:v>
      </x:c>
      <x:c r="G601" s="19" t="n">
        <x:f>SUM(D601:F601)</x:f>
        <x:v>5</x:v>
      </x:c>
      <x:c r="H601" s="25" t="n">
        <x:v>0</x:v>
      </x:c>
      <x:c r="I601" s="25" t="n">
        <x:v>1</x:v>
      </x:c>
      <x:c r="J601" s="25" t="n">
        <x:v>0</x:v>
      </x:c>
      <x:c r="K601" s="19" t="n">
        <x:f>D601-IF(H601=0,1,0)</x:f>
        <x:v>0</x:v>
      </x:c>
      <x:c r="L601" s="19" t="n">
        <x:f>E601-IF(H601=1,1,0)</x:f>
        <x:v>1</x:v>
      </x:c>
      <x:c r="M601" s="19" t="n">
        <x:f>F601-IF(H601=2,1,0)</x:f>
        <x:v>3</x:v>
      </x:c>
      <x:c r="N601" s="19" t="n">
        <x:f>MAX(K601-1,0)+MAX(L601-1,0)+MAX(M601-1,0)</x:f>
        <x:v>2</x:v>
      </x:c>
      <x:c r="O601" s="19" t="n">
        <x:f>IF(AND(SUM(K601:M601)&lt;9,OR(M601=0,N601&lt;6)),1,0)</x:f>
        <x:v>1</x:v>
      </x:c>
      <x:c r="P601" s="19" t="n">
        <x:f>IF(AND(SUM(K601:M601)&lt;9,OR(L601=0,N601&lt;6)),1,0)</x:f>
        <x:v>1</x:v>
      </x:c>
      <x:c r="Q601" s="19" t="n">
        <x:f>IF(AND(SUM(K601:M601)&lt;9,OR(K601=0,N601&lt;6)),1,0)</x:f>
        <x:v>1</x:v>
      </x:c>
      <x:c r="R601" s="22" t="str">
        <x:f>O601&amp;P601&amp;Q601</x:f>
        <x:v>111</x:v>
      </x:c>
      <x:c r="S601" s="19" t="n">
        <x:f>IF(I601=1,IF(J601=0,Q601,IF(J601=1,P601,IF(J601=2,O601,0))),0)</x:f>
        <x:v>1</x:v>
      </x:c>
      <x:c r="T601" s="19" t="n">
        <x:f>K601+IF(AND(S601=1,J601=0),1,0)</x:f>
        <x:v>1</x:v>
      </x:c>
      <x:c r="U601" s="19" t="n">
        <x:f>L601+IF(AND(S601=1,J601=1),1,0)</x:f>
        <x:v>1</x:v>
      </x:c>
      <x:c r="V601" s="19" t="n">
        <x:f>M601+IF(AND(S601=1,J601=2),1,0)</x:f>
        <x:v>3</x:v>
      </x:c>
      <x:c r="W601" s="19" t="n">
        <x:f>SUM(T601:V601)</x:f>
        <x:v>5</x:v>
      </x:c>
      <x:c r="X601" s="19" t="n">
        <x:f>W601-G601</x:f>
        <x:v>0</x:v>
      </x:c>
      <x:c r="Y601" s="19" t="n">
        <x:f>MAX(T601,1)+MAX(U601,1)+MAX(V601,1)</x:f>
        <x:v>5</x:v>
      </x:c>
      <x:c r="Z601" s="21" t="str">
        <x:f>IF(AND(MIN(D601:F601)&gt;=0,MAX(D601:F601)&lt;=7,MAX(D601,1)+MAX(E601,1)+MAX(F601,1)&lt;=9,OR(H601="-",AND(H601=0,D601&gt;0),AND(H601=1,E601&gt;0),AND(H601=2,F601&gt;0)),OR(I601=0,AND(I601=1,OR(J601=0,J601=1,J601=2),R601&lt;&gt;"000")),Y601&lt;=9,MIN(T601:V601)&gt;=0),"合法","输入违约")</x:f>
        <x:v>合法</x:v>
      </x:c>
    </x:row>
    <x:row r="602" ht="23" customHeight="1">
      <x:c r="A602" s="3" t="str">
        <x:v>CT-0595</x:v>
      </x:c>
      <x:c r="B602" s="3" t="str">
        <x:v>ST-043</x:v>
      </x:c>
      <x:c r="C602" s="3" t="str">
        <x:v>R+AR同收同发</x:v>
      </x:c>
      <x:c r="D602" s="25" t="n">
        <x:v>1</x:v>
      </x:c>
      <x:c r="E602" s="25" t="n">
        <x:v>1</x:v>
      </x:c>
      <x:c r="F602" s="25" t="n">
        <x:v>3</x:v>
      </x:c>
      <x:c r="G602" s="19" t="n">
        <x:f>SUM(D602:F602)</x:f>
        <x:v>5</x:v>
      </x:c>
      <x:c r="H602" s="25" t="n">
        <x:v>0</x:v>
      </x:c>
      <x:c r="I602" s="25" t="n">
        <x:v>1</x:v>
      </x:c>
      <x:c r="J602" s="25" t="n">
        <x:v>1</x:v>
      </x:c>
      <x:c r="K602" s="19" t="n">
        <x:f>D602-IF(H602=0,1,0)</x:f>
        <x:v>0</x:v>
      </x:c>
      <x:c r="L602" s="19" t="n">
        <x:f>E602-IF(H602=1,1,0)</x:f>
        <x:v>1</x:v>
      </x:c>
      <x:c r="M602" s="19" t="n">
        <x:f>F602-IF(H602=2,1,0)</x:f>
        <x:v>3</x:v>
      </x:c>
      <x:c r="N602" s="19" t="n">
        <x:f>MAX(K602-1,0)+MAX(L602-1,0)+MAX(M602-1,0)</x:f>
        <x:v>2</x:v>
      </x:c>
      <x:c r="O602" s="19" t="n">
        <x:f>IF(AND(SUM(K602:M602)&lt;9,OR(M602=0,N602&lt;6)),1,0)</x:f>
        <x:v>1</x:v>
      </x:c>
      <x:c r="P602" s="19" t="n">
        <x:f>IF(AND(SUM(K602:M602)&lt;9,OR(L602=0,N602&lt;6)),1,0)</x:f>
        <x:v>1</x:v>
      </x:c>
      <x:c r="Q602" s="19" t="n">
        <x:f>IF(AND(SUM(K602:M602)&lt;9,OR(K602=0,N602&lt;6)),1,0)</x:f>
        <x:v>1</x:v>
      </x:c>
      <x:c r="R602" s="22" t="str">
        <x:f>O602&amp;P602&amp;Q602</x:f>
        <x:v>111</x:v>
      </x:c>
      <x:c r="S602" s="19" t="n">
        <x:f>IF(I602=1,IF(J602=0,Q602,IF(J602=1,P602,IF(J602=2,O602,0))),0)</x:f>
        <x:v>1</x:v>
      </x:c>
      <x:c r="T602" s="19" t="n">
        <x:f>K602+IF(AND(S602=1,J602=0),1,0)</x:f>
        <x:v>0</x:v>
      </x:c>
      <x:c r="U602" s="19" t="n">
        <x:f>L602+IF(AND(S602=1,J602=1),1,0)</x:f>
        <x:v>2</x:v>
      </x:c>
      <x:c r="V602" s="19" t="n">
        <x:f>M602+IF(AND(S602=1,J602=2),1,0)</x:f>
        <x:v>3</x:v>
      </x:c>
      <x:c r="W602" s="19" t="n">
        <x:f>SUM(T602:V602)</x:f>
        <x:v>5</x:v>
      </x:c>
      <x:c r="X602" s="19" t="n">
        <x:f>W602-G602</x:f>
        <x:v>0</x:v>
      </x:c>
      <x:c r="Y602" s="19" t="n">
        <x:f>MAX(T602,1)+MAX(U602,1)+MAX(V602,1)</x:f>
        <x:v>6</x:v>
      </x:c>
      <x:c r="Z602" s="21" t="str">
        <x:f>IF(AND(MIN(D602:F602)&gt;=0,MAX(D602:F602)&lt;=7,MAX(D602,1)+MAX(E602,1)+MAX(F602,1)&lt;=9,OR(H602="-",AND(H602=0,D602&gt;0),AND(H602=1,E602&gt;0),AND(H602=2,F602&gt;0)),OR(I602=0,AND(I602=1,OR(J602=0,J602=1,J602=2),R602&lt;&gt;"000")),Y602&lt;=9,MIN(T602:V602)&gt;=0),"合法","输入违约")</x:f>
        <x:v>合法</x:v>
      </x:c>
    </x:row>
    <x:row r="603" ht="23" customHeight="1">
      <x:c r="A603" s="3" t="str">
        <x:v>CT-0596</x:v>
      </x:c>
      <x:c r="B603" s="3" t="str">
        <x:v>ST-043</x:v>
      </x:c>
      <x:c r="C603" s="3" t="str">
        <x:v>R+AR同收同发</x:v>
      </x:c>
      <x:c r="D603" s="25" t="n">
        <x:v>1</x:v>
      </x:c>
      <x:c r="E603" s="25" t="n">
        <x:v>1</x:v>
      </x:c>
      <x:c r="F603" s="25" t="n">
        <x:v>3</x:v>
      </x:c>
      <x:c r="G603" s="19" t="n">
        <x:f>SUM(D603:F603)</x:f>
        <x:v>5</x:v>
      </x:c>
      <x:c r="H603" s="25" t="n">
        <x:v>0</x:v>
      </x:c>
      <x:c r="I603" s="25" t="n">
        <x:v>1</x:v>
      </x:c>
      <x:c r="J603" s="25" t="n">
        <x:v>2</x:v>
      </x:c>
      <x:c r="K603" s="19" t="n">
        <x:f>D603-IF(H603=0,1,0)</x:f>
        <x:v>0</x:v>
      </x:c>
      <x:c r="L603" s="19" t="n">
        <x:f>E603-IF(H603=1,1,0)</x:f>
        <x:v>1</x:v>
      </x:c>
      <x:c r="M603" s="19" t="n">
        <x:f>F603-IF(H603=2,1,0)</x:f>
        <x:v>3</x:v>
      </x:c>
      <x:c r="N603" s="19" t="n">
        <x:f>MAX(K603-1,0)+MAX(L603-1,0)+MAX(M603-1,0)</x:f>
        <x:v>2</x:v>
      </x:c>
      <x:c r="O603" s="19" t="n">
        <x:f>IF(AND(SUM(K603:M603)&lt;9,OR(M603=0,N603&lt;6)),1,0)</x:f>
        <x:v>1</x:v>
      </x:c>
      <x:c r="P603" s="19" t="n">
        <x:f>IF(AND(SUM(K603:M603)&lt;9,OR(L603=0,N603&lt;6)),1,0)</x:f>
        <x:v>1</x:v>
      </x:c>
      <x:c r="Q603" s="19" t="n">
        <x:f>IF(AND(SUM(K603:M603)&lt;9,OR(K603=0,N603&lt;6)),1,0)</x:f>
        <x:v>1</x:v>
      </x:c>
      <x:c r="R603" s="22" t="str">
        <x:f>O603&amp;P603&amp;Q603</x:f>
        <x:v>111</x:v>
      </x:c>
      <x:c r="S603" s="19" t="n">
        <x:f>IF(I603=1,IF(J603=0,Q603,IF(J603=1,P603,IF(J603=2,O603,0))),0)</x:f>
        <x:v>1</x:v>
      </x:c>
      <x:c r="T603" s="19" t="n">
        <x:f>K603+IF(AND(S603=1,J603=0),1,0)</x:f>
        <x:v>0</x:v>
      </x:c>
      <x:c r="U603" s="19" t="n">
        <x:f>L603+IF(AND(S603=1,J603=1),1,0)</x:f>
        <x:v>1</x:v>
      </x:c>
      <x:c r="V603" s="19" t="n">
        <x:f>M603+IF(AND(S603=1,J603=2),1,0)</x:f>
        <x:v>4</x:v>
      </x:c>
      <x:c r="W603" s="19" t="n">
        <x:f>SUM(T603:V603)</x:f>
        <x:v>5</x:v>
      </x:c>
      <x:c r="X603" s="19" t="n">
        <x:f>W603-G603</x:f>
        <x:v>0</x:v>
      </x:c>
      <x:c r="Y603" s="19" t="n">
        <x:f>MAX(T603,1)+MAX(U603,1)+MAX(V603,1)</x:f>
        <x:v>6</x:v>
      </x:c>
      <x:c r="Z603" s="21" t="str">
        <x:f>IF(AND(MIN(D603:F603)&gt;=0,MAX(D603:F603)&lt;=7,MAX(D603,1)+MAX(E603,1)+MAX(F603,1)&lt;=9,OR(H603="-",AND(H603=0,D603&gt;0),AND(H603=1,E603&gt;0),AND(H603=2,F603&gt;0)),OR(I603=0,AND(I603=1,OR(J603=0,J603=1,J603=2),R603&lt;&gt;"000")),Y603&lt;=9,MIN(T603:V603)&gt;=0),"合法","输入违约")</x:f>
        <x:v>合法</x:v>
      </x:c>
    </x:row>
    <x:row r="604" ht="23" customHeight="1">
      <x:c r="A604" s="3" t="str">
        <x:v>CT-0597</x:v>
      </x:c>
      <x:c r="B604" s="3" t="str">
        <x:v>ST-043</x:v>
      </x:c>
      <x:c r="C604" s="3" t="str">
        <x:v>仅R回收</x:v>
      </x:c>
      <x:c r="D604" s="25" t="n">
        <x:v>1</x:v>
      </x:c>
      <x:c r="E604" s="25" t="n">
        <x:v>1</x:v>
      </x:c>
      <x:c r="F604" s="25" t="n">
        <x:v>3</x:v>
      </x:c>
      <x:c r="G604" s="19" t="n">
        <x:f>SUM(D604:F604)</x:f>
        <x:v>5</x:v>
      </x:c>
      <x:c r="H604" s="25" t="n">
        <x:v>1</x:v>
      </x:c>
      <x:c r="I604" s="25" t="n">
        <x:v>0</x:v>
      </x:c>
      <x:c r="J604" s="25" t="str">
        <x:v>-</x:v>
      </x:c>
      <x:c r="K604" s="19" t="n">
        <x:f>D604-IF(H604=0,1,0)</x:f>
        <x:v>1</x:v>
      </x:c>
      <x:c r="L604" s="19" t="n">
        <x:f>E604-IF(H604=1,1,0)</x:f>
        <x:v>0</x:v>
      </x:c>
      <x:c r="M604" s="19" t="n">
        <x:f>F604-IF(H604=2,1,0)</x:f>
        <x:v>3</x:v>
      </x:c>
      <x:c r="N604" s="19" t="n">
        <x:f>MAX(K604-1,0)+MAX(L604-1,0)+MAX(M604-1,0)</x:f>
        <x:v>2</x:v>
      </x:c>
      <x:c r="O604" s="19" t="n">
        <x:f>IF(AND(SUM(K604:M604)&lt;9,OR(M604=0,N604&lt;6)),1,0)</x:f>
        <x:v>1</x:v>
      </x:c>
      <x:c r="P604" s="19" t="n">
        <x:f>IF(AND(SUM(K604:M604)&lt;9,OR(L604=0,N604&lt;6)),1,0)</x:f>
        <x:v>1</x:v>
      </x:c>
      <x:c r="Q604" s="19" t="n">
        <x:f>IF(AND(SUM(K604:M604)&lt;9,OR(K604=0,N604&lt;6)),1,0)</x:f>
        <x:v>1</x:v>
      </x:c>
      <x:c r="R604" s="22" t="str">
        <x:f>O604&amp;P604&amp;Q604</x:f>
        <x:v>111</x:v>
      </x:c>
      <x:c r="S604" s="19" t="n">
        <x:f>IF(I604=1,IF(J604=0,Q604,IF(J604=1,P604,IF(J604=2,O604,0))),0)</x:f>
        <x:v>0</x:v>
      </x:c>
      <x:c r="T604" s="19" t="n">
        <x:f>K604+IF(AND(S604=1,J604=0),1,0)</x:f>
        <x:v>1</x:v>
      </x:c>
      <x:c r="U604" s="19" t="n">
        <x:f>L604+IF(AND(S604=1,J604=1),1,0)</x:f>
        <x:v>0</x:v>
      </x:c>
      <x:c r="V604" s="19" t="n">
        <x:f>M604+IF(AND(S604=1,J604=2),1,0)</x:f>
        <x:v>3</x:v>
      </x:c>
      <x:c r="W604" s="19" t="n">
        <x:f>SUM(T604:V604)</x:f>
        <x:v>4</x:v>
      </x:c>
      <x:c r="X604" s="19" t="n">
        <x:f>W604-G604</x:f>
        <x:v>-1</x:v>
      </x:c>
      <x:c r="Y604" s="19" t="n">
        <x:f>MAX(T604,1)+MAX(U604,1)+MAX(V604,1)</x:f>
        <x:v>5</x:v>
      </x:c>
      <x:c r="Z604" s="21" t="str">
        <x:f>IF(AND(MIN(D604:F604)&gt;=0,MAX(D604:F604)&lt;=7,MAX(D604,1)+MAX(E604,1)+MAX(F604,1)&lt;=9,OR(H604="-",AND(H604=0,D604&gt;0),AND(H604=1,E604&gt;0),AND(H604=2,F604&gt;0)),OR(I604=0,AND(I604=1,OR(J604=0,J604=1,J604=2),R604&lt;&gt;"000")),Y604&lt;=9,MIN(T604:V604)&gt;=0),"合法","输入违约")</x:f>
        <x:v>合法</x:v>
      </x:c>
    </x:row>
    <x:row r="605" ht="23" customHeight="1">
      <x:c r="A605" s="3" t="str">
        <x:v>CT-0598</x:v>
      </x:c>
      <x:c r="B605" s="3" t="str">
        <x:v>ST-043</x:v>
      </x:c>
      <x:c r="C605" s="3" t="str">
        <x:v>R+AR同收同发</x:v>
      </x:c>
      <x:c r="D605" s="25" t="n">
        <x:v>1</x:v>
      </x:c>
      <x:c r="E605" s="25" t="n">
        <x:v>1</x:v>
      </x:c>
      <x:c r="F605" s="25" t="n">
        <x:v>3</x:v>
      </x:c>
      <x:c r="G605" s="19" t="n">
        <x:f>SUM(D605:F605)</x:f>
        <x:v>5</x:v>
      </x:c>
      <x:c r="H605" s="25" t="n">
        <x:v>1</x:v>
      </x:c>
      <x:c r="I605" s="25" t="n">
        <x:v>1</x:v>
      </x:c>
      <x:c r="J605" s="25" t="n">
        <x:v>0</x:v>
      </x:c>
      <x:c r="K605" s="19" t="n">
        <x:f>D605-IF(H605=0,1,0)</x:f>
        <x:v>1</x:v>
      </x:c>
      <x:c r="L605" s="19" t="n">
        <x:f>E605-IF(H605=1,1,0)</x:f>
        <x:v>0</x:v>
      </x:c>
      <x:c r="M605" s="19" t="n">
        <x:f>F605-IF(H605=2,1,0)</x:f>
        <x:v>3</x:v>
      </x:c>
      <x:c r="N605" s="19" t="n">
        <x:f>MAX(K605-1,0)+MAX(L605-1,0)+MAX(M605-1,0)</x:f>
        <x:v>2</x:v>
      </x:c>
      <x:c r="O605" s="19" t="n">
        <x:f>IF(AND(SUM(K605:M605)&lt;9,OR(M605=0,N605&lt;6)),1,0)</x:f>
        <x:v>1</x:v>
      </x:c>
      <x:c r="P605" s="19" t="n">
        <x:f>IF(AND(SUM(K605:M605)&lt;9,OR(L605=0,N605&lt;6)),1,0)</x:f>
        <x:v>1</x:v>
      </x:c>
      <x:c r="Q605" s="19" t="n">
        <x:f>IF(AND(SUM(K605:M605)&lt;9,OR(K605=0,N605&lt;6)),1,0)</x:f>
        <x:v>1</x:v>
      </x:c>
      <x:c r="R605" s="22" t="str">
        <x:f>O605&amp;P605&amp;Q605</x:f>
        <x:v>111</x:v>
      </x:c>
      <x:c r="S605" s="19" t="n">
        <x:f>IF(I605=1,IF(J605=0,Q605,IF(J605=1,P605,IF(J605=2,O605,0))),0)</x:f>
        <x:v>1</x:v>
      </x:c>
      <x:c r="T605" s="19" t="n">
        <x:f>K605+IF(AND(S605=1,J605=0),1,0)</x:f>
        <x:v>2</x:v>
      </x:c>
      <x:c r="U605" s="19" t="n">
        <x:f>L605+IF(AND(S605=1,J605=1),1,0)</x:f>
        <x:v>0</x:v>
      </x:c>
      <x:c r="V605" s="19" t="n">
        <x:f>M605+IF(AND(S605=1,J605=2),1,0)</x:f>
        <x:v>3</x:v>
      </x:c>
      <x:c r="W605" s="19" t="n">
        <x:f>SUM(T605:V605)</x:f>
        <x:v>5</x:v>
      </x:c>
      <x:c r="X605" s="19" t="n">
        <x:f>W605-G605</x:f>
        <x:v>0</x:v>
      </x:c>
      <x:c r="Y605" s="19" t="n">
        <x:f>MAX(T605,1)+MAX(U605,1)+MAX(V605,1)</x:f>
        <x:v>6</x:v>
      </x:c>
      <x:c r="Z605" s="21" t="str">
        <x:f>IF(AND(MIN(D605:F605)&gt;=0,MAX(D605:F605)&lt;=7,MAX(D605,1)+MAX(E605,1)+MAX(F605,1)&lt;=9,OR(H605="-",AND(H605=0,D605&gt;0),AND(H605=1,E605&gt;0),AND(H605=2,F605&gt;0)),OR(I605=0,AND(I605=1,OR(J605=0,J605=1,J605=2),R605&lt;&gt;"000")),Y605&lt;=9,MIN(T605:V605)&gt;=0),"合法","输入违约")</x:f>
        <x:v>合法</x:v>
      </x:c>
    </x:row>
    <x:row r="606" ht="23" customHeight="1">
      <x:c r="A606" s="3" t="str">
        <x:v>CT-0599</x:v>
      </x:c>
      <x:c r="B606" s="3" t="str">
        <x:v>ST-043</x:v>
      </x:c>
      <x:c r="C606" s="3" t="str">
        <x:v>R+AR同收同发</x:v>
      </x:c>
      <x:c r="D606" s="25" t="n">
        <x:v>1</x:v>
      </x:c>
      <x:c r="E606" s="25" t="n">
        <x:v>1</x:v>
      </x:c>
      <x:c r="F606" s="25" t="n">
        <x:v>3</x:v>
      </x:c>
      <x:c r="G606" s="19" t="n">
        <x:f>SUM(D606:F606)</x:f>
        <x:v>5</x:v>
      </x:c>
      <x:c r="H606" s="25" t="n">
        <x:v>1</x:v>
      </x:c>
      <x:c r="I606" s="25" t="n">
        <x:v>1</x:v>
      </x:c>
      <x:c r="J606" s="25" t="n">
        <x:v>1</x:v>
      </x:c>
      <x:c r="K606" s="19" t="n">
        <x:f>D606-IF(H606=0,1,0)</x:f>
        <x:v>1</x:v>
      </x:c>
      <x:c r="L606" s="19" t="n">
        <x:f>E606-IF(H606=1,1,0)</x:f>
        <x:v>0</x:v>
      </x:c>
      <x:c r="M606" s="19" t="n">
        <x:f>F606-IF(H606=2,1,0)</x:f>
        <x:v>3</x:v>
      </x:c>
      <x:c r="N606" s="19" t="n">
        <x:f>MAX(K606-1,0)+MAX(L606-1,0)+MAX(M606-1,0)</x:f>
        <x:v>2</x:v>
      </x:c>
      <x:c r="O606" s="19" t="n">
        <x:f>IF(AND(SUM(K606:M606)&lt;9,OR(M606=0,N606&lt;6)),1,0)</x:f>
        <x:v>1</x:v>
      </x:c>
      <x:c r="P606" s="19" t="n">
        <x:f>IF(AND(SUM(K606:M606)&lt;9,OR(L606=0,N606&lt;6)),1,0)</x:f>
        <x:v>1</x:v>
      </x:c>
      <x:c r="Q606" s="19" t="n">
        <x:f>IF(AND(SUM(K606:M606)&lt;9,OR(K606=0,N606&lt;6)),1,0)</x:f>
        <x:v>1</x:v>
      </x:c>
      <x:c r="R606" s="22" t="str">
        <x:f>O606&amp;P606&amp;Q606</x:f>
        <x:v>111</x:v>
      </x:c>
      <x:c r="S606" s="19" t="n">
        <x:f>IF(I606=1,IF(J606=0,Q606,IF(J606=1,P606,IF(J606=2,O606,0))),0)</x:f>
        <x:v>1</x:v>
      </x:c>
      <x:c r="T606" s="19" t="n">
        <x:f>K606+IF(AND(S606=1,J606=0),1,0)</x:f>
        <x:v>1</x:v>
      </x:c>
      <x:c r="U606" s="19" t="n">
        <x:f>L606+IF(AND(S606=1,J606=1),1,0)</x:f>
        <x:v>1</x:v>
      </x:c>
      <x:c r="V606" s="19" t="n">
        <x:f>M606+IF(AND(S606=1,J606=2),1,0)</x:f>
        <x:v>3</x:v>
      </x:c>
      <x:c r="W606" s="19" t="n">
        <x:f>SUM(T606:V606)</x:f>
        <x:v>5</x:v>
      </x:c>
      <x:c r="X606" s="19" t="n">
        <x:f>W606-G606</x:f>
        <x:v>0</x:v>
      </x:c>
      <x:c r="Y606" s="19" t="n">
        <x:f>MAX(T606,1)+MAX(U606,1)+MAX(V606,1)</x:f>
        <x:v>5</x:v>
      </x:c>
      <x:c r="Z606" s="21" t="str">
        <x:f>IF(AND(MIN(D606:F606)&gt;=0,MAX(D606:F606)&lt;=7,MAX(D606,1)+MAX(E606,1)+MAX(F606,1)&lt;=9,OR(H606="-",AND(H606=0,D606&gt;0),AND(H606=1,E606&gt;0),AND(H606=2,F606&gt;0)),OR(I606=0,AND(I606=1,OR(J606=0,J606=1,J606=2),R606&lt;&gt;"000")),Y606&lt;=9,MIN(T606:V606)&gt;=0),"合法","输入违约")</x:f>
        <x:v>合法</x:v>
      </x:c>
    </x:row>
    <x:row r="607" ht="23" customHeight="1">
      <x:c r="A607" s="3" t="str">
        <x:v>CT-0600</x:v>
      </x:c>
      <x:c r="B607" s="3" t="str">
        <x:v>ST-043</x:v>
      </x:c>
      <x:c r="C607" s="3" t="str">
        <x:v>R+AR同收同发</x:v>
      </x:c>
      <x:c r="D607" s="25" t="n">
        <x:v>1</x:v>
      </x:c>
      <x:c r="E607" s="25" t="n">
        <x:v>1</x:v>
      </x:c>
      <x:c r="F607" s="25" t="n">
        <x:v>3</x:v>
      </x:c>
      <x:c r="G607" s="19" t="n">
        <x:f>SUM(D607:F607)</x:f>
        <x:v>5</x:v>
      </x:c>
      <x:c r="H607" s="25" t="n">
        <x:v>1</x:v>
      </x:c>
      <x:c r="I607" s="25" t="n">
        <x:v>1</x:v>
      </x:c>
      <x:c r="J607" s="25" t="n">
        <x:v>2</x:v>
      </x:c>
      <x:c r="K607" s="19" t="n">
        <x:f>D607-IF(H607=0,1,0)</x:f>
        <x:v>1</x:v>
      </x:c>
      <x:c r="L607" s="19" t="n">
        <x:f>E607-IF(H607=1,1,0)</x:f>
        <x:v>0</x:v>
      </x:c>
      <x:c r="M607" s="19" t="n">
        <x:f>F607-IF(H607=2,1,0)</x:f>
        <x:v>3</x:v>
      </x:c>
      <x:c r="N607" s="19" t="n">
        <x:f>MAX(K607-1,0)+MAX(L607-1,0)+MAX(M607-1,0)</x:f>
        <x:v>2</x:v>
      </x:c>
      <x:c r="O607" s="19" t="n">
        <x:f>IF(AND(SUM(K607:M607)&lt;9,OR(M607=0,N607&lt;6)),1,0)</x:f>
        <x:v>1</x:v>
      </x:c>
      <x:c r="P607" s="19" t="n">
        <x:f>IF(AND(SUM(K607:M607)&lt;9,OR(L607=0,N607&lt;6)),1,0)</x:f>
        <x:v>1</x:v>
      </x:c>
      <x:c r="Q607" s="19" t="n">
        <x:f>IF(AND(SUM(K607:M607)&lt;9,OR(K607=0,N607&lt;6)),1,0)</x:f>
        <x:v>1</x:v>
      </x:c>
      <x:c r="R607" s="22" t="str">
        <x:f>O607&amp;P607&amp;Q607</x:f>
        <x:v>111</x:v>
      </x:c>
      <x:c r="S607" s="19" t="n">
        <x:f>IF(I607=1,IF(J607=0,Q607,IF(J607=1,P607,IF(J607=2,O607,0))),0)</x:f>
        <x:v>1</x:v>
      </x:c>
      <x:c r="T607" s="19" t="n">
        <x:f>K607+IF(AND(S607=1,J607=0),1,0)</x:f>
        <x:v>1</x:v>
      </x:c>
      <x:c r="U607" s="19" t="n">
        <x:f>L607+IF(AND(S607=1,J607=1),1,0)</x:f>
        <x:v>0</x:v>
      </x:c>
      <x:c r="V607" s="19" t="n">
        <x:f>M607+IF(AND(S607=1,J607=2),1,0)</x:f>
        <x:v>4</x:v>
      </x:c>
      <x:c r="W607" s="19" t="n">
        <x:f>SUM(T607:V607)</x:f>
        <x:v>5</x:v>
      </x:c>
      <x:c r="X607" s="19" t="n">
        <x:f>W607-G607</x:f>
        <x:v>0</x:v>
      </x:c>
      <x:c r="Y607" s="19" t="n">
        <x:f>MAX(T607,1)+MAX(U607,1)+MAX(V607,1)</x:f>
        <x:v>6</x:v>
      </x:c>
      <x:c r="Z607" s="21" t="str">
        <x:f>IF(AND(MIN(D607:F607)&gt;=0,MAX(D607:F607)&lt;=7,MAX(D607,1)+MAX(E607,1)+MAX(F607,1)&lt;=9,OR(H607="-",AND(H607=0,D607&gt;0),AND(H607=1,E607&gt;0),AND(H607=2,F607&gt;0)),OR(I607=0,AND(I607=1,OR(J607=0,J607=1,J607=2),R607&lt;&gt;"000")),Y607&lt;=9,MIN(T607:V607)&gt;=0),"合法","输入违约")</x:f>
        <x:v>合法</x:v>
      </x:c>
    </x:row>
    <x:row r="608" ht="23" customHeight="1">
      <x:c r="A608" s="3" t="str">
        <x:v>CT-0601</x:v>
      </x:c>
      <x:c r="B608" s="3" t="str">
        <x:v>ST-043</x:v>
      </x:c>
      <x:c r="C608" s="3" t="str">
        <x:v>仅R回收</x:v>
      </x:c>
      <x:c r="D608" s="25" t="n">
        <x:v>1</x:v>
      </x:c>
      <x:c r="E608" s="25" t="n">
        <x:v>1</x:v>
      </x:c>
      <x:c r="F608" s="25" t="n">
        <x:v>3</x:v>
      </x:c>
      <x:c r="G608" s="19" t="n">
        <x:f>SUM(D608:F608)</x:f>
        <x:v>5</x:v>
      </x:c>
      <x:c r="H608" s="25" t="n">
        <x:v>2</x:v>
      </x:c>
      <x:c r="I608" s="25" t="n">
        <x:v>0</x:v>
      </x:c>
      <x:c r="J608" s="25" t="str">
        <x:v>-</x:v>
      </x:c>
      <x:c r="K608" s="19" t="n">
        <x:f>D608-IF(H608=0,1,0)</x:f>
        <x:v>1</x:v>
      </x:c>
      <x:c r="L608" s="19" t="n">
        <x:f>E608-IF(H608=1,1,0)</x:f>
        <x:v>1</x:v>
      </x:c>
      <x:c r="M608" s="19" t="n">
        <x:f>F608-IF(H608=2,1,0)</x:f>
        <x:v>2</x:v>
      </x:c>
      <x:c r="N608" s="19" t="n">
        <x:f>MAX(K608-1,0)+MAX(L608-1,0)+MAX(M608-1,0)</x:f>
        <x:v>1</x:v>
      </x:c>
      <x:c r="O608" s="19" t="n">
        <x:f>IF(AND(SUM(K608:M608)&lt;9,OR(M608=0,N608&lt;6)),1,0)</x:f>
        <x:v>1</x:v>
      </x:c>
      <x:c r="P608" s="19" t="n">
        <x:f>IF(AND(SUM(K608:M608)&lt;9,OR(L608=0,N608&lt;6)),1,0)</x:f>
        <x:v>1</x:v>
      </x:c>
      <x:c r="Q608" s="19" t="n">
        <x:f>IF(AND(SUM(K608:M608)&lt;9,OR(K608=0,N608&lt;6)),1,0)</x:f>
        <x:v>1</x:v>
      </x:c>
      <x:c r="R608" s="22" t="str">
        <x:f>O608&amp;P608&amp;Q608</x:f>
        <x:v>111</x:v>
      </x:c>
      <x:c r="S608" s="19" t="n">
        <x:f>IF(I608=1,IF(J608=0,Q608,IF(J608=1,P608,IF(J608=2,O608,0))),0)</x:f>
        <x:v>0</x:v>
      </x:c>
      <x:c r="T608" s="19" t="n">
        <x:f>K608+IF(AND(S608=1,J608=0),1,0)</x:f>
        <x:v>1</x:v>
      </x:c>
      <x:c r="U608" s="19" t="n">
        <x:f>L608+IF(AND(S608=1,J608=1),1,0)</x:f>
        <x:v>1</x:v>
      </x:c>
      <x:c r="V608" s="19" t="n">
        <x:f>M608+IF(AND(S608=1,J608=2),1,0)</x:f>
        <x:v>2</x:v>
      </x:c>
      <x:c r="W608" s="19" t="n">
        <x:f>SUM(T608:V608)</x:f>
        <x:v>4</x:v>
      </x:c>
      <x:c r="X608" s="19" t="n">
        <x:f>W608-G608</x:f>
        <x:v>-1</x:v>
      </x:c>
      <x:c r="Y608" s="19" t="n">
        <x:f>MAX(T608,1)+MAX(U608,1)+MAX(V608,1)</x:f>
        <x:v>4</x:v>
      </x:c>
      <x:c r="Z608" s="21" t="str">
        <x:f>IF(AND(MIN(D608:F608)&gt;=0,MAX(D608:F608)&lt;=7,MAX(D608,1)+MAX(E608,1)+MAX(F608,1)&lt;=9,OR(H608="-",AND(H608=0,D608&gt;0),AND(H608=1,E608&gt;0),AND(H608=2,F608&gt;0)),OR(I608=0,AND(I608=1,OR(J608=0,J608=1,J608=2),R608&lt;&gt;"000")),Y608&lt;=9,MIN(T608:V608)&gt;=0),"合法","输入违约")</x:f>
        <x:v>合法</x:v>
      </x:c>
    </x:row>
    <x:row r="609" ht="23" customHeight="1">
      <x:c r="A609" s="3" t="str">
        <x:v>CT-0602</x:v>
      </x:c>
      <x:c r="B609" s="3" t="str">
        <x:v>ST-043</x:v>
      </x:c>
      <x:c r="C609" s="3" t="str">
        <x:v>R+AR同收同发</x:v>
      </x:c>
      <x:c r="D609" s="25" t="n">
        <x:v>1</x:v>
      </x:c>
      <x:c r="E609" s="25" t="n">
        <x:v>1</x:v>
      </x:c>
      <x:c r="F609" s="25" t="n">
        <x:v>3</x:v>
      </x:c>
      <x:c r="G609" s="19" t="n">
        <x:f>SUM(D609:F609)</x:f>
        <x:v>5</x:v>
      </x:c>
      <x:c r="H609" s="25" t="n">
        <x:v>2</x:v>
      </x:c>
      <x:c r="I609" s="25" t="n">
        <x:v>1</x:v>
      </x:c>
      <x:c r="J609" s="25" t="n">
        <x:v>0</x:v>
      </x:c>
      <x:c r="K609" s="19" t="n">
        <x:f>D609-IF(H609=0,1,0)</x:f>
        <x:v>1</x:v>
      </x:c>
      <x:c r="L609" s="19" t="n">
        <x:f>E609-IF(H609=1,1,0)</x:f>
        <x:v>1</x:v>
      </x:c>
      <x:c r="M609" s="19" t="n">
        <x:f>F609-IF(H609=2,1,0)</x:f>
        <x:v>2</x:v>
      </x:c>
      <x:c r="N609" s="19" t="n">
        <x:f>MAX(K609-1,0)+MAX(L609-1,0)+MAX(M609-1,0)</x:f>
        <x:v>1</x:v>
      </x:c>
      <x:c r="O609" s="19" t="n">
        <x:f>IF(AND(SUM(K609:M609)&lt;9,OR(M609=0,N609&lt;6)),1,0)</x:f>
        <x:v>1</x:v>
      </x:c>
      <x:c r="P609" s="19" t="n">
        <x:f>IF(AND(SUM(K609:M609)&lt;9,OR(L609=0,N609&lt;6)),1,0)</x:f>
        <x:v>1</x:v>
      </x:c>
      <x:c r="Q609" s="19" t="n">
        <x:f>IF(AND(SUM(K609:M609)&lt;9,OR(K609=0,N609&lt;6)),1,0)</x:f>
        <x:v>1</x:v>
      </x:c>
      <x:c r="R609" s="22" t="str">
        <x:f>O609&amp;P609&amp;Q609</x:f>
        <x:v>111</x:v>
      </x:c>
      <x:c r="S609" s="19" t="n">
        <x:f>IF(I609=1,IF(J609=0,Q609,IF(J609=1,P609,IF(J609=2,O609,0))),0)</x:f>
        <x:v>1</x:v>
      </x:c>
      <x:c r="T609" s="19" t="n">
        <x:f>K609+IF(AND(S609=1,J609=0),1,0)</x:f>
        <x:v>2</x:v>
      </x:c>
      <x:c r="U609" s="19" t="n">
        <x:f>L609+IF(AND(S609=1,J609=1),1,0)</x:f>
        <x:v>1</x:v>
      </x:c>
      <x:c r="V609" s="19" t="n">
        <x:f>M609+IF(AND(S609=1,J609=2),1,0)</x:f>
        <x:v>2</x:v>
      </x:c>
      <x:c r="W609" s="19" t="n">
        <x:f>SUM(T609:V609)</x:f>
        <x:v>5</x:v>
      </x:c>
      <x:c r="X609" s="19" t="n">
        <x:f>W609-G609</x:f>
        <x:v>0</x:v>
      </x:c>
      <x:c r="Y609" s="19" t="n">
        <x:f>MAX(T609,1)+MAX(U609,1)+MAX(V609,1)</x:f>
        <x:v>5</x:v>
      </x:c>
      <x:c r="Z609" s="21" t="str">
        <x:f>IF(AND(MIN(D609:F609)&gt;=0,MAX(D609:F609)&lt;=7,MAX(D609,1)+MAX(E609,1)+MAX(F609,1)&lt;=9,OR(H609="-",AND(H609=0,D609&gt;0),AND(H609=1,E609&gt;0),AND(H609=2,F609&gt;0)),OR(I609=0,AND(I609=1,OR(J609=0,J609=1,J609=2),R609&lt;&gt;"000")),Y609&lt;=9,MIN(T609:V609)&gt;=0),"合法","输入违约")</x:f>
        <x:v>合法</x:v>
      </x:c>
    </x:row>
    <x:row r="610" ht="23" customHeight="1">
      <x:c r="A610" s="3" t="str">
        <x:v>CT-0603</x:v>
      </x:c>
      <x:c r="B610" s="3" t="str">
        <x:v>ST-043</x:v>
      </x:c>
      <x:c r="C610" s="3" t="str">
        <x:v>R+AR同收同发</x:v>
      </x:c>
      <x:c r="D610" s="25" t="n">
        <x:v>1</x:v>
      </x:c>
      <x:c r="E610" s="25" t="n">
        <x:v>1</x:v>
      </x:c>
      <x:c r="F610" s="25" t="n">
        <x:v>3</x:v>
      </x:c>
      <x:c r="G610" s="19" t="n">
        <x:f>SUM(D610:F610)</x:f>
        <x:v>5</x:v>
      </x:c>
      <x:c r="H610" s="25" t="n">
        <x:v>2</x:v>
      </x:c>
      <x:c r="I610" s="25" t="n">
        <x:v>1</x:v>
      </x:c>
      <x:c r="J610" s="25" t="n">
        <x:v>1</x:v>
      </x:c>
      <x:c r="K610" s="19" t="n">
        <x:f>D610-IF(H610=0,1,0)</x:f>
        <x:v>1</x:v>
      </x:c>
      <x:c r="L610" s="19" t="n">
        <x:f>E610-IF(H610=1,1,0)</x:f>
        <x:v>1</x:v>
      </x:c>
      <x:c r="M610" s="19" t="n">
        <x:f>F610-IF(H610=2,1,0)</x:f>
        <x:v>2</x:v>
      </x:c>
      <x:c r="N610" s="19" t="n">
        <x:f>MAX(K610-1,0)+MAX(L610-1,0)+MAX(M610-1,0)</x:f>
        <x:v>1</x:v>
      </x:c>
      <x:c r="O610" s="19" t="n">
        <x:f>IF(AND(SUM(K610:M610)&lt;9,OR(M610=0,N610&lt;6)),1,0)</x:f>
        <x:v>1</x:v>
      </x:c>
      <x:c r="P610" s="19" t="n">
        <x:f>IF(AND(SUM(K610:M610)&lt;9,OR(L610=0,N610&lt;6)),1,0)</x:f>
        <x:v>1</x:v>
      </x:c>
      <x:c r="Q610" s="19" t="n">
        <x:f>IF(AND(SUM(K610:M610)&lt;9,OR(K610=0,N610&lt;6)),1,0)</x:f>
        <x:v>1</x:v>
      </x:c>
      <x:c r="R610" s="22" t="str">
        <x:f>O610&amp;P610&amp;Q610</x:f>
        <x:v>111</x:v>
      </x:c>
      <x:c r="S610" s="19" t="n">
        <x:f>IF(I610=1,IF(J610=0,Q610,IF(J610=1,P610,IF(J610=2,O610,0))),0)</x:f>
        <x:v>1</x:v>
      </x:c>
      <x:c r="T610" s="19" t="n">
        <x:f>K610+IF(AND(S610=1,J610=0),1,0)</x:f>
        <x:v>1</x:v>
      </x:c>
      <x:c r="U610" s="19" t="n">
        <x:f>L610+IF(AND(S610=1,J610=1),1,0)</x:f>
        <x:v>2</x:v>
      </x:c>
      <x:c r="V610" s="19" t="n">
        <x:f>M610+IF(AND(S610=1,J610=2),1,0)</x:f>
        <x:v>2</x:v>
      </x:c>
      <x:c r="W610" s="19" t="n">
        <x:f>SUM(T610:V610)</x:f>
        <x:v>5</x:v>
      </x:c>
      <x:c r="X610" s="19" t="n">
        <x:f>W610-G610</x:f>
        <x:v>0</x:v>
      </x:c>
      <x:c r="Y610" s="19" t="n">
        <x:f>MAX(T610,1)+MAX(U610,1)+MAX(V610,1)</x:f>
        <x:v>5</x:v>
      </x:c>
      <x:c r="Z610" s="21" t="str">
        <x:f>IF(AND(MIN(D610:F610)&gt;=0,MAX(D610:F610)&lt;=7,MAX(D610,1)+MAX(E610,1)+MAX(F610,1)&lt;=9,OR(H610="-",AND(H610=0,D610&gt;0),AND(H610=1,E610&gt;0),AND(H610=2,F610&gt;0)),OR(I610=0,AND(I610=1,OR(J610=0,J610=1,J610=2),R610&lt;&gt;"000")),Y610&lt;=9,MIN(T610:V610)&gt;=0),"合法","输入违约")</x:f>
        <x:v>合法</x:v>
      </x:c>
    </x:row>
    <x:row r="611" ht="23" customHeight="1">
      <x:c r="A611" s="3" t="str">
        <x:v>CT-0604</x:v>
      </x:c>
      <x:c r="B611" s="3" t="str">
        <x:v>ST-043</x:v>
      </x:c>
      <x:c r="C611" s="3" t="str">
        <x:v>R+AR同收同发</x:v>
      </x:c>
      <x:c r="D611" s="25" t="n">
        <x:v>1</x:v>
      </x:c>
      <x:c r="E611" s="25" t="n">
        <x:v>1</x:v>
      </x:c>
      <x:c r="F611" s="25" t="n">
        <x:v>3</x:v>
      </x:c>
      <x:c r="G611" s="19" t="n">
        <x:f>SUM(D611:F611)</x:f>
        <x:v>5</x:v>
      </x:c>
      <x:c r="H611" s="25" t="n">
        <x:v>2</x:v>
      </x:c>
      <x:c r="I611" s="25" t="n">
        <x:v>1</x:v>
      </x:c>
      <x:c r="J611" s="25" t="n">
        <x:v>2</x:v>
      </x:c>
      <x:c r="K611" s="19" t="n">
        <x:f>D611-IF(H611=0,1,0)</x:f>
        <x:v>1</x:v>
      </x:c>
      <x:c r="L611" s="19" t="n">
        <x:f>E611-IF(H611=1,1,0)</x:f>
        <x:v>1</x:v>
      </x:c>
      <x:c r="M611" s="19" t="n">
        <x:f>F611-IF(H611=2,1,0)</x:f>
        <x:v>2</x:v>
      </x:c>
      <x:c r="N611" s="19" t="n">
        <x:f>MAX(K611-1,0)+MAX(L611-1,0)+MAX(M611-1,0)</x:f>
        <x:v>1</x:v>
      </x:c>
      <x:c r="O611" s="19" t="n">
        <x:f>IF(AND(SUM(K611:M611)&lt;9,OR(M611=0,N611&lt;6)),1,0)</x:f>
        <x:v>1</x:v>
      </x:c>
      <x:c r="P611" s="19" t="n">
        <x:f>IF(AND(SUM(K611:M611)&lt;9,OR(L611=0,N611&lt;6)),1,0)</x:f>
        <x:v>1</x:v>
      </x:c>
      <x:c r="Q611" s="19" t="n">
        <x:f>IF(AND(SUM(K611:M611)&lt;9,OR(K611=0,N611&lt;6)),1,0)</x:f>
        <x:v>1</x:v>
      </x:c>
      <x:c r="R611" s="22" t="str">
        <x:f>O611&amp;P611&amp;Q611</x:f>
        <x:v>111</x:v>
      </x:c>
      <x:c r="S611" s="19" t="n">
        <x:f>IF(I611=1,IF(J611=0,Q611,IF(J611=1,P611,IF(J611=2,O611,0))),0)</x:f>
        <x:v>1</x:v>
      </x:c>
      <x:c r="T611" s="19" t="n">
        <x:f>K611+IF(AND(S611=1,J611=0),1,0)</x:f>
        <x:v>1</x:v>
      </x:c>
      <x:c r="U611" s="19" t="n">
        <x:f>L611+IF(AND(S611=1,J611=1),1,0)</x:f>
        <x:v>1</x:v>
      </x:c>
      <x:c r="V611" s="19" t="n">
        <x:f>M611+IF(AND(S611=1,J611=2),1,0)</x:f>
        <x:v>3</x:v>
      </x:c>
      <x:c r="W611" s="19" t="n">
        <x:f>SUM(T611:V611)</x:f>
        <x:v>5</x:v>
      </x:c>
      <x:c r="X611" s="19" t="n">
        <x:f>W611-G611</x:f>
        <x:v>0</x:v>
      </x:c>
      <x:c r="Y611" s="19" t="n">
        <x:f>MAX(T611,1)+MAX(U611,1)+MAX(V611,1)</x:f>
        <x:v>5</x:v>
      </x:c>
      <x:c r="Z611" s="21" t="str">
        <x:f>IF(AND(MIN(D611:F611)&gt;=0,MAX(D611:F611)&lt;=7,MAX(D611,1)+MAX(E611,1)+MAX(F611,1)&lt;=9,OR(H611="-",AND(H611=0,D611&gt;0),AND(H611=1,E611&gt;0),AND(H611=2,F611&gt;0)),OR(I611=0,AND(I611=1,OR(J611=0,J611=1,J611=2),R611&lt;&gt;"000")),Y611&lt;=9,MIN(T611:V611)&gt;=0),"合法","输入违约")</x:f>
        <x:v>合法</x:v>
      </x:c>
    </x:row>
    <x:row r="612" ht="23" customHeight="1">
      <x:c r="A612" s="3" t="str">
        <x:v>CT-0605</x:v>
      </x:c>
      <x:c r="B612" s="3" t="str">
        <x:v>ST-065</x:v>
      </x:c>
      <x:c r="C612" s="3" t="str">
        <x:v>无AR/R</x:v>
      </x:c>
      <x:c r="D612" s="25" t="n">
        <x:v>1</x:v>
      </x:c>
      <x:c r="E612" s="25" t="n">
        <x:v>1</x:v>
      </x:c>
      <x:c r="F612" s="25" t="n">
        <x:v>4</x:v>
      </x:c>
      <x:c r="G612" s="19" t="n">
        <x:f>SUM(D612:F612)</x:f>
        <x:v>6</x:v>
      </x:c>
      <x:c r="H612" s="25" t="str">
        <x:v>-</x:v>
      </x:c>
      <x:c r="I612" s="25" t="n">
        <x:v>0</x:v>
      </x:c>
      <x:c r="J612" s="25" t="str">
        <x:v>-</x:v>
      </x:c>
      <x:c r="K612" s="19" t="n">
        <x:f>D612-IF(H612=0,1,0)</x:f>
        <x:v>1</x:v>
      </x:c>
      <x:c r="L612" s="19" t="n">
        <x:f>E612-IF(H612=1,1,0)</x:f>
        <x:v>1</x:v>
      </x:c>
      <x:c r="M612" s="19" t="n">
        <x:f>F612-IF(H612=2,1,0)</x:f>
        <x:v>4</x:v>
      </x:c>
      <x:c r="N612" s="19" t="n">
        <x:f>MAX(K612-1,0)+MAX(L612-1,0)+MAX(M612-1,0)</x:f>
        <x:v>3</x:v>
      </x:c>
      <x:c r="O612" s="19" t="n">
        <x:f>IF(AND(SUM(K612:M612)&lt;9,OR(M612=0,N612&lt;6)),1,0)</x:f>
        <x:v>1</x:v>
      </x:c>
      <x:c r="P612" s="19" t="n">
        <x:f>IF(AND(SUM(K612:M612)&lt;9,OR(L612=0,N612&lt;6)),1,0)</x:f>
        <x:v>1</x:v>
      </x:c>
      <x:c r="Q612" s="19" t="n">
        <x:f>IF(AND(SUM(K612:M612)&lt;9,OR(K612=0,N612&lt;6)),1,0)</x:f>
        <x:v>1</x:v>
      </x:c>
      <x:c r="R612" s="22" t="str">
        <x:f>O612&amp;P612&amp;Q612</x:f>
        <x:v>111</x:v>
      </x:c>
      <x:c r="S612" s="19" t="n">
        <x:f>IF(I612=1,IF(J612=0,Q612,IF(J612=1,P612,IF(J612=2,O612,0))),0)</x:f>
        <x:v>0</x:v>
      </x:c>
      <x:c r="T612" s="19" t="n">
        <x:f>K612+IF(AND(S612=1,J612=0),1,0)</x:f>
        <x:v>1</x:v>
      </x:c>
      <x:c r="U612" s="19" t="n">
        <x:f>L612+IF(AND(S612=1,J612=1),1,0)</x:f>
        <x:v>1</x:v>
      </x:c>
      <x:c r="V612" s="19" t="n">
        <x:f>M612+IF(AND(S612=1,J612=2),1,0)</x:f>
        <x:v>4</x:v>
      </x:c>
      <x:c r="W612" s="19" t="n">
        <x:f>SUM(T612:V612)</x:f>
        <x:v>6</x:v>
      </x:c>
      <x:c r="X612" s="19" t="n">
        <x:f>W612-G612</x:f>
        <x:v>0</x:v>
      </x:c>
      <x:c r="Y612" s="19" t="n">
        <x:f>MAX(T612,1)+MAX(U612,1)+MAX(V612,1)</x:f>
        <x:v>6</x:v>
      </x:c>
      <x:c r="Z612" s="21" t="str">
        <x:f>IF(AND(MIN(D612:F612)&gt;=0,MAX(D612:F612)&lt;=7,MAX(D612,1)+MAX(E612,1)+MAX(F612,1)&lt;=9,OR(H612="-",AND(H612=0,D612&gt;0),AND(H612=1,E612&gt;0),AND(H612=2,F612&gt;0)),OR(I612=0,AND(I612=1,OR(J612=0,J612=1,J612=2),R612&lt;&gt;"000")),Y612&lt;=9,MIN(T612:V612)&gt;=0),"合法","输入违约")</x:f>
        <x:v>合法</x:v>
      </x:c>
    </x:row>
    <x:row r="613" ht="23" customHeight="1">
      <x:c r="A613" s="3" t="str">
        <x:v>CT-0606</x:v>
      </x:c>
      <x:c r="B613" s="3" t="str">
        <x:v>ST-065</x:v>
      </x:c>
      <x:c r="C613" s="3" t="str">
        <x:v>仅AR接收</x:v>
      </x:c>
      <x:c r="D613" s="25" t="n">
        <x:v>1</x:v>
      </x:c>
      <x:c r="E613" s="25" t="n">
        <x:v>1</x:v>
      </x:c>
      <x:c r="F613" s="25" t="n">
        <x:v>4</x:v>
      </x:c>
      <x:c r="G613" s="19" t="n">
        <x:f>SUM(D613:F613)</x:f>
        <x:v>6</x:v>
      </x:c>
      <x:c r="H613" s="25" t="str">
        <x:v>-</x:v>
      </x:c>
      <x:c r="I613" s="25" t="n">
        <x:v>1</x:v>
      </x:c>
      <x:c r="J613" s="25" t="n">
        <x:v>0</x:v>
      </x:c>
      <x:c r="K613" s="19" t="n">
        <x:f>D613-IF(H613=0,1,0)</x:f>
        <x:v>1</x:v>
      </x:c>
      <x:c r="L613" s="19" t="n">
        <x:f>E613-IF(H613=1,1,0)</x:f>
        <x:v>1</x:v>
      </x:c>
      <x:c r="M613" s="19" t="n">
        <x:f>F613-IF(H613=2,1,0)</x:f>
        <x:v>4</x:v>
      </x:c>
      <x:c r="N613" s="19" t="n">
        <x:f>MAX(K613-1,0)+MAX(L613-1,0)+MAX(M613-1,0)</x:f>
        <x:v>3</x:v>
      </x:c>
      <x:c r="O613" s="19" t="n">
        <x:f>IF(AND(SUM(K613:M613)&lt;9,OR(M613=0,N613&lt;6)),1,0)</x:f>
        <x:v>1</x:v>
      </x:c>
      <x:c r="P613" s="19" t="n">
        <x:f>IF(AND(SUM(K613:M613)&lt;9,OR(L613=0,N613&lt;6)),1,0)</x:f>
        <x:v>1</x:v>
      </x:c>
      <x:c r="Q613" s="19" t="n">
        <x:f>IF(AND(SUM(K613:M613)&lt;9,OR(K613=0,N613&lt;6)),1,0)</x:f>
        <x:v>1</x:v>
      </x:c>
      <x:c r="R613" s="22" t="str">
        <x:f>O613&amp;P613&amp;Q613</x:f>
        <x:v>111</x:v>
      </x:c>
      <x:c r="S613" s="19" t="n">
        <x:f>IF(I613=1,IF(J613=0,Q613,IF(J613=1,P613,IF(J613=2,O613,0))),0)</x:f>
        <x:v>1</x:v>
      </x:c>
      <x:c r="T613" s="19" t="n">
        <x:f>K613+IF(AND(S613=1,J613=0),1,0)</x:f>
        <x:v>2</x:v>
      </x:c>
      <x:c r="U613" s="19" t="n">
        <x:f>L613+IF(AND(S613=1,J613=1),1,0)</x:f>
        <x:v>1</x:v>
      </x:c>
      <x:c r="V613" s="19" t="n">
        <x:f>M613+IF(AND(S613=1,J613=2),1,0)</x:f>
        <x:v>4</x:v>
      </x:c>
      <x:c r="W613" s="19" t="n">
        <x:f>SUM(T613:V613)</x:f>
        <x:v>7</x:v>
      </x:c>
      <x:c r="X613" s="19" t="n">
        <x:f>W613-G613</x:f>
        <x:v>1</x:v>
      </x:c>
      <x:c r="Y613" s="19" t="n">
        <x:f>MAX(T613,1)+MAX(U613,1)+MAX(V613,1)</x:f>
        <x:v>7</x:v>
      </x:c>
      <x:c r="Z613" s="21" t="str">
        <x:f>IF(AND(MIN(D613:F613)&gt;=0,MAX(D613:F613)&lt;=7,MAX(D613,1)+MAX(E613,1)+MAX(F613,1)&lt;=9,OR(H613="-",AND(H613=0,D613&gt;0),AND(H613=1,E613&gt;0),AND(H613=2,F613&gt;0)),OR(I613=0,AND(I613=1,OR(J613=0,J613=1,J613=2),R613&lt;&gt;"000")),Y613&lt;=9,MIN(T613:V613)&gt;=0),"合法","输入违约")</x:f>
        <x:v>合法</x:v>
      </x:c>
    </x:row>
    <x:row r="614" ht="23" customHeight="1">
      <x:c r="A614" s="3" t="str">
        <x:v>CT-0607</x:v>
      </x:c>
      <x:c r="B614" s="3" t="str">
        <x:v>ST-065</x:v>
      </x:c>
      <x:c r="C614" s="3" t="str">
        <x:v>仅AR接收</x:v>
      </x:c>
      <x:c r="D614" s="25" t="n">
        <x:v>1</x:v>
      </x:c>
      <x:c r="E614" s="25" t="n">
        <x:v>1</x:v>
      </x:c>
      <x:c r="F614" s="25" t="n">
        <x:v>4</x:v>
      </x:c>
      <x:c r="G614" s="19" t="n">
        <x:f>SUM(D614:F614)</x:f>
        <x:v>6</x:v>
      </x:c>
      <x:c r="H614" s="25" t="str">
        <x:v>-</x:v>
      </x:c>
      <x:c r="I614" s="25" t="n">
        <x:v>1</x:v>
      </x:c>
      <x:c r="J614" s="25" t="n">
        <x:v>1</x:v>
      </x:c>
      <x:c r="K614" s="19" t="n">
        <x:f>D614-IF(H614=0,1,0)</x:f>
        <x:v>1</x:v>
      </x:c>
      <x:c r="L614" s="19" t="n">
        <x:f>E614-IF(H614=1,1,0)</x:f>
        <x:v>1</x:v>
      </x:c>
      <x:c r="M614" s="19" t="n">
        <x:f>F614-IF(H614=2,1,0)</x:f>
        <x:v>4</x:v>
      </x:c>
      <x:c r="N614" s="19" t="n">
        <x:f>MAX(K614-1,0)+MAX(L614-1,0)+MAX(M614-1,0)</x:f>
        <x:v>3</x:v>
      </x:c>
      <x:c r="O614" s="19" t="n">
        <x:f>IF(AND(SUM(K614:M614)&lt;9,OR(M614=0,N614&lt;6)),1,0)</x:f>
        <x:v>1</x:v>
      </x:c>
      <x:c r="P614" s="19" t="n">
        <x:f>IF(AND(SUM(K614:M614)&lt;9,OR(L614=0,N614&lt;6)),1,0)</x:f>
        <x:v>1</x:v>
      </x:c>
      <x:c r="Q614" s="19" t="n">
        <x:f>IF(AND(SUM(K614:M614)&lt;9,OR(K614=0,N614&lt;6)),1,0)</x:f>
        <x:v>1</x:v>
      </x:c>
      <x:c r="R614" s="22" t="str">
        <x:f>O614&amp;P614&amp;Q614</x:f>
        <x:v>111</x:v>
      </x:c>
      <x:c r="S614" s="19" t="n">
        <x:f>IF(I614=1,IF(J614=0,Q614,IF(J614=1,P614,IF(J614=2,O614,0))),0)</x:f>
        <x:v>1</x:v>
      </x:c>
      <x:c r="T614" s="19" t="n">
        <x:f>K614+IF(AND(S614=1,J614=0),1,0)</x:f>
        <x:v>1</x:v>
      </x:c>
      <x:c r="U614" s="19" t="n">
        <x:f>L614+IF(AND(S614=1,J614=1),1,0)</x:f>
        <x:v>2</x:v>
      </x:c>
      <x:c r="V614" s="19" t="n">
        <x:f>M614+IF(AND(S614=1,J614=2),1,0)</x:f>
        <x:v>4</x:v>
      </x:c>
      <x:c r="W614" s="19" t="n">
        <x:f>SUM(T614:V614)</x:f>
        <x:v>7</x:v>
      </x:c>
      <x:c r="X614" s="19" t="n">
        <x:f>W614-G614</x:f>
        <x:v>1</x:v>
      </x:c>
      <x:c r="Y614" s="19" t="n">
        <x:f>MAX(T614,1)+MAX(U614,1)+MAX(V614,1)</x:f>
        <x:v>7</x:v>
      </x:c>
      <x:c r="Z614" s="21" t="str">
        <x:f>IF(AND(MIN(D614:F614)&gt;=0,MAX(D614:F614)&lt;=7,MAX(D614,1)+MAX(E614,1)+MAX(F614,1)&lt;=9,OR(H614="-",AND(H614=0,D614&gt;0),AND(H614=1,E614&gt;0),AND(H614=2,F614&gt;0)),OR(I614=0,AND(I614=1,OR(J614=0,J614=1,J614=2),R614&lt;&gt;"000")),Y614&lt;=9,MIN(T614:V614)&gt;=0),"合法","输入违约")</x:f>
        <x:v>合法</x:v>
      </x:c>
    </x:row>
    <x:row r="615" ht="23" customHeight="1">
      <x:c r="A615" s="3" t="str">
        <x:v>CT-0608</x:v>
      </x:c>
      <x:c r="B615" s="3" t="str">
        <x:v>ST-065</x:v>
      </x:c>
      <x:c r="C615" s="3" t="str">
        <x:v>仅AR接收</x:v>
      </x:c>
      <x:c r="D615" s="25" t="n">
        <x:v>1</x:v>
      </x:c>
      <x:c r="E615" s="25" t="n">
        <x:v>1</x:v>
      </x:c>
      <x:c r="F615" s="25" t="n">
        <x:v>4</x:v>
      </x:c>
      <x:c r="G615" s="19" t="n">
        <x:f>SUM(D615:F615)</x:f>
        <x:v>6</x:v>
      </x:c>
      <x:c r="H615" s="25" t="str">
        <x:v>-</x:v>
      </x:c>
      <x:c r="I615" s="25" t="n">
        <x:v>1</x:v>
      </x:c>
      <x:c r="J615" s="25" t="n">
        <x:v>2</x:v>
      </x:c>
      <x:c r="K615" s="19" t="n">
        <x:f>D615-IF(H615=0,1,0)</x:f>
        <x:v>1</x:v>
      </x:c>
      <x:c r="L615" s="19" t="n">
        <x:f>E615-IF(H615=1,1,0)</x:f>
        <x:v>1</x:v>
      </x:c>
      <x:c r="M615" s="19" t="n">
        <x:f>F615-IF(H615=2,1,0)</x:f>
        <x:v>4</x:v>
      </x:c>
      <x:c r="N615" s="19" t="n">
        <x:f>MAX(K615-1,0)+MAX(L615-1,0)+MAX(M615-1,0)</x:f>
        <x:v>3</x:v>
      </x:c>
      <x:c r="O615" s="19" t="n">
        <x:f>IF(AND(SUM(K615:M615)&lt;9,OR(M615=0,N615&lt;6)),1,0)</x:f>
        <x:v>1</x:v>
      </x:c>
      <x:c r="P615" s="19" t="n">
        <x:f>IF(AND(SUM(K615:M615)&lt;9,OR(L615=0,N615&lt;6)),1,0)</x:f>
        <x:v>1</x:v>
      </x:c>
      <x:c r="Q615" s="19" t="n">
        <x:f>IF(AND(SUM(K615:M615)&lt;9,OR(K615=0,N615&lt;6)),1,0)</x:f>
        <x:v>1</x:v>
      </x:c>
      <x:c r="R615" s="22" t="str">
        <x:f>O615&amp;P615&amp;Q615</x:f>
        <x:v>111</x:v>
      </x:c>
      <x:c r="S615" s="19" t="n">
        <x:f>IF(I615=1,IF(J615=0,Q615,IF(J615=1,P615,IF(J615=2,O615,0))),0)</x:f>
        <x:v>1</x:v>
      </x:c>
      <x:c r="T615" s="19" t="n">
        <x:f>K615+IF(AND(S615=1,J615=0),1,0)</x:f>
        <x:v>1</x:v>
      </x:c>
      <x:c r="U615" s="19" t="n">
        <x:f>L615+IF(AND(S615=1,J615=1),1,0)</x:f>
        <x:v>1</x:v>
      </x:c>
      <x:c r="V615" s="19" t="n">
        <x:f>M615+IF(AND(S615=1,J615=2),1,0)</x:f>
        <x:v>5</x:v>
      </x:c>
      <x:c r="W615" s="19" t="n">
        <x:f>SUM(T615:V615)</x:f>
        <x:v>7</x:v>
      </x:c>
      <x:c r="X615" s="19" t="n">
        <x:f>W615-G615</x:f>
        <x:v>1</x:v>
      </x:c>
      <x:c r="Y615" s="19" t="n">
        <x:f>MAX(T615,1)+MAX(U615,1)+MAX(V615,1)</x:f>
        <x:v>7</x:v>
      </x:c>
      <x:c r="Z615" s="21" t="str">
        <x:f>IF(AND(MIN(D615:F615)&gt;=0,MAX(D615:F615)&lt;=7,MAX(D615,1)+MAX(E615,1)+MAX(F615,1)&lt;=9,OR(H615="-",AND(H615=0,D615&gt;0),AND(H615=1,E615&gt;0),AND(H615=2,F615&gt;0)),OR(I615=0,AND(I615=1,OR(J615=0,J615=1,J615=2),R615&lt;&gt;"000")),Y615&lt;=9,MIN(T615:V615)&gt;=0),"合法","输入违约")</x:f>
        <x:v>合法</x:v>
      </x:c>
    </x:row>
    <x:row r="616" ht="23" customHeight="1">
      <x:c r="A616" s="3" t="str">
        <x:v>CT-0609</x:v>
      </x:c>
      <x:c r="B616" s="3" t="str">
        <x:v>ST-065</x:v>
      </x:c>
      <x:c r="C616" s="3" t="str">
        <x:v>仅R回收</x:v>
      </x:c>
      <x:c r="D616" s="25" t="n">
        <x:v>1</x:v>
      </x:c>
      <x:c r="E616" s="25" t="n">
        <x:v>1</x:v>
      </x:c>
      <x:c r="F616" s="25" t="n">
        <x:v>4</x:v>
      </x:c>
      <x:c r="G616" s="19" t="n">
        <x:f>SUM(D616:F616)</x:f>
        <x:v>6</x:v>
      </x:c>
      <x:c r="H616" s="25" t="n">
        <x:v>0</x:v>
      </x:c>
      <x:c r="I616" s="25" t="n">
        <x:v>0</x:v>
      </x:c>
      <x:c r="J616" s="25" t="str">
        <x:v>-</x:v>
      </x:c>
      <x:c r="K616" s="19" t="n">
        <x:f>D616-IF(H616=0,1,0)</x:f>
        <x:v>0</x:v>
      </x:c>
      <x:c r="L616" s="19" t="n">
        <x:f>E616-IF(H616=1,1,0)</x:f>
        <x:v>1</x:v>
      </x:c>
      <x:c r="M616" s="19" t="n">
        <x:f>F616-IF(H616=2,1,0)</x:f>
        <x:v>4</x:v>
      </x:c>
      <x:c r="N616" s="19" t="n">
        <x:f>MAX(K616-1,0)+MAX(L616-1,0)+MAX(M616-1,0)</x:f>
        <x:v>3</x:v>
      </x:c>
      <x:c r="O616" s="19" t="n">
        <x:f>IF(AND(SUM(K616:M616)&lt;9,OR(M616=0,N616&lt;6)),1,0)</x:f>
        <x:v>1</x:v>
      </x:c>
      <x:c r="P616" s="19" t="n">
        <x:f>IF(AND(SUM(K616:M616)&lt;9,OR(L616=0,N616&lt;6)),1,0)</x:f>
        <x:v>1</x:v>
      </x:c>
      <x:c r="Q616" s="19" t="n">
        <x:f>IF(AND(SUM(K616:M616)&lt;9,OR(K616=0,N616&lt;6)),1,0)</x:f>
        <x:v>1</x:v>
      </x:c>
      <x:c r="R616" s="22" t="str">
        <x:f>O616&amp;P616&amp;Q616</x:f>
        <x:v>111</x:v>
      </x:c>
      <x:c r="S616" s="19" t="n">
        <x:f>IF(I616=1,IF(J616=0,Q616,IF(J616=1,P616,IF(J616=2,O616,0))),0)</x:f>
        <x:v>0</x:v>
      </x:c>
      <x:c r="T616" s="19" t="n">
        <x:f>K616+IF(AND(S616=1,J616=0),1,0)</x:f>
        <x:v>0</x:v>
      </x:c>
      <x:c r="U616" s="19" t="n">
        <x:f>L616+IF(AND(S616=1,J616=1),1,0)</x:f>
        <x:v>1</x:v>
      </x:c>
      <x:c r="V616" s="19" t="n">
        <x:f>M616+IF(AND(S616=1,J616=2),1,0)</x:f>
        <x:v>4</x:v>
      </x:c>
      <x:c r="W616" s="19" t="n">
        <x:f>SUM(T616:V616)</x:f>
        <x:v>5</x:v>
      </x:c>
      <x:c r="X616" s="19" t="n">
        <x:f>W616-G616</x:f>
        <x:v>-1</x:v>
      </x:c>
      <x:c r="Y616" s="19" t="n">
        <x:f>MAX(T616,1)+MAX(U616,1)+MAX(V616,1)</x:f>
        <x:v>6</x:v>
      </x:c>
      <x:c r="Z616" s="21" t="str">
        <x:f>IF(AND(MIN(D616:F616)&gt;=0,MAX(D616:F616)&lt;=7,MAX(D616,1)+MAX(E616,1)+MAX(F616,1)&lt;=9,OR(H616="-",AND(H616=0,D616&gt;0),AND(H616=1,E616&gt;0),AND(H616=2,F616&gt;0)),OR(I616=0,AND(I616=1,OR(J616=0,J616=1,J616=2),R616&lt;&gt;"000")),Y616&lt;=9,MIN(T616:V616)&gt;=0),"合法","输入违约")</x:f>
        <x:v>合法</x:v>
      </x:c>
    </x:row>
    <x:row r="617" ht="23" customHeight="1">
      <x:c r="A617" s="3" t="str">
        <x:v>CT-0610</x:v>
      </x:c>
      <x:c r="B617" s="3" t="str">
        <x:v>ST-065</x:v>
      </x:c>
      <x:c r="C617" s="3" t="str">
        <x:v>R+AR同收同发</x:v>
      </x:c>
      <x:c r="D617" s="25" t="n">
        <x:v>1</x:v>
      </x:c>
      <x:c r="E617" s="25" t="n">
        <x:v>1</x:v>
      </x:c>
      <x:c r="F617" s="25" t="n">
        <x:v>4</x:v>
      </x:c>
      <x:c r="G617" s="19" t="n">
        <x:f>SUM(D617:F617)</x:f>
        <x:v>6</x:v>
      </x:c>
      <x:c r="H617" s="25" t="n">
        <x:v>0</x:v>
      </x:c>
      <x:c r="I617" s="25" t="n">
        <x:v>1</x:v>
      </x:c>
      <x:c r="J617" s="25" t="n">
        <x:v>0</x:v>
      </x:c>
      <x:c r="K617" s="19" t="n">
        <x:f>D617-IF(H617=0,1,0)</x:f>
        <x:v>0</x:v>
      </x:c>
      <x:c r="L617" s="19" t="n">
        <x:f>E617-IF(H617=1,1,0)</x:f>
        <x:v>1</x:v>
      </x:c>
      <x:c r="M617" s="19" t="n">
        <x:f>F617-IF(H617=2,1,0)</x:f>
        <x:v>4</x:v>
      </x:c>
      <x:c r="N617" s="19" t="n">
        <x:f>MAX(K617-1,0)+MAX(L617-1,0)+MAX(M617-1,0)</x:f>
        <x:v>3</x:v>
      </x:c>
      <x:c r="O617" s="19" t="n">
        <x:f>IF(AND(SUM(K617:M617)&lt;9,OR(M617=0,N617&lt;6)),1,0)</x:f>
        <x:v>1</x:v>
      </x:c>
      <x:c r="P617" s="19" t="n">
        <x:f>IF(AND(SUM(K617:M617)&lt;9,OR(L617=0,N617&lt;6)),1,0)</x:f>
        <x:v>1</x:v>
      </x:c>
      <x:c r="Q617" s="19" t="n">
        <x:f>IF(AND(SUM(K617:M617)&lt;9,OR(K617=0,N617&lt;6)),1,0)</x:f>
        <x:v>1</x:v>
      </x:c>
      <x:c r="R617" s="22" t="str">
        <x:f>O617&amp;P617&amp;Q617</x:f>
        <x:v>111</x:v>
      </x:c>
      <x:c r="S617" s="19" t="n">
        <x:f>IF(I617=1,IF(J617=0,Q617,IF(J617=1,P617,IF(J617=2,O617,0))),0)</x:f>
        <x:v>1</x:v>
      </x:c>
      <x:c r="T617" s="19" t="n">
        <x:f>K617+IF(AND(S617=1,J617=0),1,0)</x:f>
        <x:v>1</x:v>
      </x:c>
      <x:c r="U617" s="19" t="n">
        <x:f>L617+IF(AND(S617=1,J617=1),1,0)</x:f>
        <x:v>1</x:v>
      </x:c>
      <x:c r="V617" s="19" t="n">
        <x:f>M617+IF(AND(S617=1,J617=2),1,0)</x:f>
        <x:v>4</x:v>
      </x:c>
      <x:c r="W617" s="19" t="n">
        <x:f>SUM(T617:V617)</x:f>
        <x:v>6</x:v>
      </x:c>
      <x:c r="X617" s="19" t="n">
        <x:f>W617-G617</x:f>
        <x:v>0</x:v>
      </x:c>
      <x:c r="Y617" s="19" t="n">
        <x:f>MAX(T617,1)+MAX(U617,1)+MAX(V617,1)</x:f>
        <x:v>6</x:v>
      </x:c>
      <x:c r="Z617" s="21" t="str">
        <x:f>IF(AND(MIN(D617:F617)&gt;=0,MAX(D617:F617)&lt;=7,MAX(D617,1)+MAX(E617,1)+MAX(F617,1)&lt;=9,OR(H617="-",AND(H617=0,D617&gt;0),AND(H617=1,E617&gt;0),AND(H617=2,F617&gt;0)),OR(I617=0,AND(I617=1,OR(J617=0,J617=1,J617=2),R617&lt;&gt;"000")),Y617&lt;=9,MIN(T617:V617)&gt;=0),"合法","输入违约")</x:f>
        <x:v>合法</x:v>
      </x:c>
    </x:row>
    <x:row r="618" ht="23" customHeight="1">
      <x:c r="A618" s="3" t="str">
        <x:v>CT-0611</x:v>
      </x:c>
      <x:c r="B618" s="3" t="str">
        <x:v>ST-065</x:v>
      </x:c>
      <x:c r="C618" s="3" t="str">
        <x:v>R+AR同收同发</x:v>
      </x:c>
      <x:c r="D618" s="25" t="n">
        <x:v>1</x:v>
      </x:c>
      <x:c r="E618" s="25" t="n">
        <x:v>1</x:v>
      </x:c>
      <x:c r="F618" s="25" t="n">
        <x:v>4</x:v>
      </x:c>
      <x:c r="G618" s="19" t="n">
        <x:f>SUM(D618:F618)</x:f>
        <x:v>6</x:v>
      </x:c>
      <x:c r="H618" s="25" t="n">
        <x:v>0</x:v>
      </x:c>
      <x:c r="I618" s="25" t="n">
        <x:v>1</x:v>
      </x:c>
      <x:c r="J618" s="25" t="n">
        <x:v>1</x:v>
      </x:c>
      <x:c r="K618" s="19" t="n">
        <x:f>D618-IF(H618=0,1,0)</x:f>
        <x:v>0</x:v>
      </x:c>
      <x:c r="L618" s="19" t="n">
        <x:f>E618-IF(H618=1,1,0)</x:f>
        <x:v>1</x:v>
      </x:c>
      <x:c r="M618" s="19" t="n">
        <x:f>F618-IF(H618=2,1,0)</x:f>
        <x:v>4</x:v>
      </x:c>
      <x:c r="N618" s="19" t="n">
        <x:f>MAX(K618-1,0)+MAX(L618-1,0)+MAX(M618-1,0)</x:f>
        <x:v>3</x:v>
      </x:c>
      <x:c r="O618" s="19" t="n">
        <x:f>IF(AND(SUM(K618:M618)&lt;9,OR(M618=0,N618&lt;6)),1,0)</x:f>
        <x:v>1</x:v>
      </x:c>
      <x:c r="P618" s="19" t="n">
        <x:f>IF(AND(SUM(K618:M618)&lt;9,OR(L618=0,N618&lt;6)),1,0)</x:f>
        <x:v>1</x:v>
      </x:c>
      <x:c r="Q618" s="19" t="n">
        <x:f>IF(AND(SUM(K618:M618)&lt;9,OR(K618=0,N618&lt;6)),1,0)</x:f>
        <x:v>1</x:v>
      </x:c>
      <x:c r="R618" s="22" t="str">
        <x:f>O618&amp;P618&amp;Q618</x:f>
        <x:v>111</x:v>
      </x:c>
      <x:c r="S618" s="19" t="n">
        <x:f>IF(I618=1,IF(J618=0,Q618,IF(J618=1,P618,IF(J618=2,O618,0))),0)</x:f>
        <x:v>1</x:v>
      </x:c>
      <x:c r="T618" s="19" t="n">
        <x:f>K618+IF(AND(S618=1,J618=0),1,0)</x:f>
        <x:v>0</x:v>
      </x:c>
      <x:c r="U618" s="19" t="n">
        <x:f>L618+IF(AND(S618=1,J618=1),1,0)</x:f>
        <x:v>2</x:v>
      </x:c>
      <x:c r="V618" s="19" t="n">
        <x:f>M618+IF(AND(S618=1,J618=2),1,0)</x:f>
        <x:v>4</x:v>
      </x:c>
      <x:c r="W618" s="19" t="n">
        <x:f>SUM(T618:V618)</x:f>
        <x:v>6</x:v>
      </x:c>
      <x:c r="X618" s="19" t="n">
        <x:f>W618-G618</x:f>
        <x:v>0</x:v>
      </x:c>
      <x:c r="Y618" s="19" t="n">
        <x:f>MAX(T618,1)+MAX(U618,1)+MAX(V618,1)</x:f>
        <x:v>7</x:v>
      </x:c>
      <x:c r="Z618" s="21" t="str">
        <x:f>IF(AND(MIN(D618:F618)&gt;=0,MAX(D618:F618)&lt;=7,MAX(D618,1)+MAX(E618,1)+MAX(F618,1)&lt;=9,OR(H618="-",AND(H618=0,D618&gt;0),AND(H618=1,E618&gt;0),AND(H618=2,F618&gt;0)),OR(I618=0,AND(I618=1,OR(J618=0,J618=1,J618=2),R618&lt;&gt;"000")),Y618&lt;=9,MIN(T618:V618)&gt;=0),"合法","输入违约")</x:f>
        <x:v>合法</x:v>
      </x:c>
    </x:row>
    <x:row r="619" ht="23" customHeight="1">
      <x:c r="A619" s="3" t="str">
        <x:v>CT-0612</x:v>
      </x:c>
      <x:c r="B619" s="3" t="str">
        <x:v>ST-065</x:v>
      </x:c>
      <x:c r="C619" s="3" t="str">
        <x:v>R+AR同收同发</x:v>
      </x:c>
      <x:c r="D619" s="25" t="n">
        <x:v>1</x:v>
      </x:c>
      <x:c r="E619" s="25" t="n">
        <x:v>1</x:v>
      </x:c>
      <x:c r="F619" s="25" t="n">
        <x:v>4</x:v>
      </x:c>
      <x:c r="G619" s="19" t="n">
        <x:f>SUM(D619:F619)</x:f>
        <x:v>6</x:v>
      </x:c>
      <x:c r="H619" s="25" t="n">
        <x:v>0</x:v>
      </x:c>
      <x:c r="I619" s="25" t="n">
        <x:v>1</x:v>
      </x:c>
      <x:c r="J619" s="25" t="n">
        <x:v>2</x:v>
      </x:c>
      <x:c r="K619" s="19" t="n">
        <x:f>D619-IF(H619=0,1,0)</x:f>
        <x:v>0</x:v>
      </x:c>
      <x:c r="L619" s="19" t="n">
        <x:f>E619-IF(H619=1,1,0)</x:f>
        <x:v>1</x:v>
      </x:c>
      <x:c r="M619" s="19" t="n">
        <x:f>F619-IF(H619=2,1,0)</x:f>
        <x:v>4</x:v>
      </x:c>
      <x:c r="N619" s="19" t="n">
        <x:f>MAX(K619-1,0)+MAX(L619-1,0)+MAX(M619-1,0)</x:f>
        <x:v>3</x:v>
      </x:c>
      <x:c r="O619" s="19" t="n">
        <x:f>IF(AND(SUM(K619:M619)&lt;9,OR(M619=0,N619&lt;6)),1,0)</x:f>
        <x:v>1</x:v>
      </x:c>
      <x:c r="P619" s="19" t="n">
        <x:f>IF(AND(SUM(K619:M619)&lt;9,OR(L619=0,N619&lt;6)),1,0)</x:f>
        <x:v>1</x:v>
      </x:c>
      <x:c r="Q619" s="19" t="n">
        <x:f>IF(AND(SUM(K619:M619)&lt;9,OR(K619=0,N619&lt;6)),1,0)</x:f>
        <x:v>1</x:v>
      </x:c>
      <x:c r="R619" s="22" t="str">
        <x:f>O619&amp;P619&amp;Q619</x:f>
        <x:v>111</x:v>
      </x:c>
      <x:c r="S619" s="19" t="n">
        <x:f>IF(I619=1,IF(J619=0,Q619,IF(J619=1,P619,IF(J619=2,O619,0))),0)</x:f>
        <x:v>1</x:v>
      </x:c>
      <x:c r="T619" s="19" t="n">
        <x:f>K619+IF(AND(S619=1,J619=0),1,0)</x:f>
        <x:v>0</x:v>
      </x:c>
      <x:c r="U619" s="19" t="n">
        <x:f>L619+IF(AND(S619=1,J619=1),1,0)</x:f>
        <x:v>1</x:v>
      </x:c>
      <x:c r="V619" s="19" t="n">
        <x:f>M619+IF(AND(S619=1,J619=2),1,0)</x:f>
        <x:v>5</x:v>
      </x:c>
      <x:c r="W619" s="19" t="n">
        <x:f>SUM(T619:V619)</x:f>
        <x:v>6</x:v>
      </x:c>
      <x:c r="X619" s="19" t="n">
        <x:f>W619-G619</x:f>
        <x:v>0</x:v>
      </x:c>
      <x:c r="Y619" s="19" t="n">
        <x:f>MAX(T619,1)+MAX(U619,1)+MAX(V619,1)</x:f>
        <x:v>7</x:v>
      </x:c>
      <x:c r="Z619" s="21" t="str">
        <x:f>IF(AND(MIN(D619:F619)&gt;=0,MAX(D619:F619)&lt;=7,MAX(D619,1)+MAX(E619,1)+MAX(F619,1)&lt;=9,OR(H619="-",AND(H619=0,D619&gt;0),AND(H619=1,E619&gt;0),AND(H619=2,F619&gt;0)),OR(I619=0,AND(I619=1,OR(J619=0,J619=1,J619=2),R619&lt;&gt;"000")),Y619&lt;=9,MIN(T619:V619)&gt;=0),"合法","输入违约")</x:f>
        <x:v>合法</x:v>
      </x:c>
    </x:row>
    <x:row r="620" ht="23" customHeight="1">
      <x:c r="A620" s="3" t="str">
        <x:v>CT-0613</x:v>
      </x:c>
      <x:c r="B620" s="3" t="str">
        <x:v>ST-065</x:v>
      </x:c>
      <x:c r="C620" s="3" t="str">
        <x:v>仅R回收</x:v>
      </x:c>
      <x:c r="D620" s="25" t="n">
        <x:v>1</x:v>
      </x:c>
      <x:c r="E620" s="25" t="n">
        <x:v>1</x:v>
      </x:c>
      <x:c r="F620" s="25" t="n">
        <x:v>4</x:v>
      </x:c>
      <x:c r="G620" s="19" t="n">
        <x:f>SUM(D620:F620)</x:f>
        <x:v>6</x:v>
      </x:c>
      <x:c r="H620" s="25" t="n">
        <x:v>1</x:v>
      </x:c>
      <x:c r="I620" s="25" t="n">
        <x:v>0</x:v>
      </x:c>
      <x:c r="J620" s="25" t="str">
        <x:v>-</x:v>
      </x:c>
      <x:c r="K620" s="19" t="n">
        <x:f>D620-IF(H620=0,1,0)</x:f>
        <x:v>1</x:v>
      </x:c>
      <x:c r="L620" s="19" t="n">
        <x:f>E620-IF(H620=1,1,0)</x:f>
        <x:v>0</x:v>
      </x:c>
      <x:c r="M620" s="19" t="n">
        <x:f>F620-IF(H620=2,1,0)</x:f>
        <x:v>4</x:v>
      </x:c>
      <x:c r="N620" s="19" t="n">
        <x:f>MAX(K620-1,0)+MAX(L620-1,0)+MAX(M620-1,0)</x:f>
        <x:v>3</x:v>
      </x:c>
      <x:c r="O620" s="19" t="n">
        <x:f>IF(AND(SUM(K620:M620)&lt;9,OR(M620=0,N620&lt;6)),1,0)</x:f>
        <x:v>1</x:v>
      </x:c>
      <x:c r="P620" s="19" t="n">
        <x:f>IF(AND(SUM(K620:M620)&lt;9,OR(L620=0,N620&lt;6)),1,0)</x:f>
        <x:v>1</x:v>
      </x:c>
      <x:c r="Q620" s="19" t="n">
        <x:f>IF(AND(SUM(K620:M620)&lt;9,OR(K620=0,N620&lt;6)),1,0)</x:f>
        <x:v>1</x:v>
      </x:c>
      <x:c r="R620" s="22" t="str">
        <x:f>O620&amp;P620&amp;Q620</x:f>
        <x:v>111</x:v>
      </x:c>
      <x:c r="S620" s="19" t="n">
        <x:f>IF(I620=1,IF(J620=0,Q620,IF(J620=1,P620,IF(J620=2,O620,0))),0)</x:f>
        <x:v>0</x:v>
      </x:c>
      <x:c r="T620" s="19" t="n">
        <x:f>K620+IF(AND(S620=1,J620=0),1,0)</x:f>
        <x:v>1</x:v>
      </x:c>
      <x:c r="U620" s="19" t="n">
        <x:f>L620+IF(AND(S620=1,J620=1),1,0)</x:f>
        <x:v>0</x:v>
      </x:c>
      <x:c r="V620" s="19" t="n">
        <x:f>M620+IF(AND(S620=1,J620=2),1,0)</x:f>
        <x:v>4</x:v>
      </x:c>
      <x:c r="W620" s="19" t="n">
        <x:f>SUM(T620:V620)</x:f>
        <x:v>5</x:v>
      </x:c>
      <x:c r="X620" s="19" t="n">
        <x:f>W620-G620</x:f>
        <x:v>-1</x:v>
      </x:c>
      <x:c r="Y620" s="19" t="n">
        <x:f>MAX(T620,1)+MAX(U620,1)+MAX(V620,1)</x:f>
        <x:v>6</x:v>
      </x:c>
      <x:c r="Z620" s="21" t="str">
        <x:f>IF(AND(MIN(D620:F620)&gt;=0,MAX(D620:F620)&lt;=7,MAX(D620,1)+MAX(E620,1)+MAX(F620,1)&lt;=9,OR(H620="-",AND(H620=0,D620&gt;0),AND(H620=1,E620&gt;0),AND(H620=2,F620&gt;0)),OR(I620=0,AND(I620=1,OR(J620=0,J620=1,J620=2),R620&lt;&gt;"000")),Y620&lt;=9,MIN(T620:V620)&gt;=0),"合法","输入违约")</x:f>
        <x:v>合法</x:v>
      </x:c>
    </x:row>
    <x:row r="621" ht="23" customHeight="1">
      <x:c r="A621" s="3" t="str">
        <x:v>CT-0614</x:v>
      </x:c>
      <x:c r="B621" s="3" t="str">
        <x:v>ST-065</x:v>
      </x:c>
      <x:c r="C621" s="3" t="str">
        <x:v>R+AR同收同发</x:v>
      </x:c>
      <x:c r="D621" s="25" t="n">
        <x:v>1</x:v>
      </x:c>
      <x:c r="E621" s="25" t="n">
        <x:v>1</x:v>
      </x:c>
      <x:c r="F621" s="25" t="n">
        <x:v>4</x:v>
      </x:c>
      <x:c r="G621" s="19" t="n">
        <x:f>SUM(D621:F621)</x:f>
        <x:v>6</x:v>
      </x:c>
      <x:c r="H621" s="25" t="n">
        <x:v>1</x:v>
      </x:c>
      <x:c r="I621" s="25" t="n">
        <x:v>1</x:v>
      </x:c>
      <x:c r="J621" s="25" t="n">
        <x:v>0</x:v>
      </x:c>
      <x:c r="K621" s="19" t="n">
        <x:f>D621-IF(H621=0,1,0)</x:f>
        <x:v>1</x:v>
      </x:c>
      <x:c r="L621" s="19" t="n">
        <x:f>E621-IF(H621=1,1,0)</x:f>
        <x:v>0</x:v>
      </x:c>
      <x:c r="M621" s="19" t="n">
        <x:f>F621-IF(H621=2,1,0)</x:f>
        <x:v>4</x:v>
      </x:c>
      <x:c r="N621" s="19" t="n">
        <x:f>MAX(K621-1,0)+MAX(L621-1,0)+MAX(M621-1,0)</x:f>
        <x:v>3</x:v>
      </x:c>
      <x:c r="O621" s="19" t="n">
        <x:f>IF(AND(SUM(K621:M621)&lt;9,OR(M621=0,N621&lt;6)),1,0)</x:f>
        <x:v>1</x:v>
      </x:c>
      <x:c r="P621" s="19" t="n">
        <x:f>IF(AND(SUM(K621:M621)&lt;9,OR(L621=0,N621&lt;6)),1,0)</x:f>
        <x:v>1</x:v>
      </x:c>
      <x:c r="Q621" s="19" t="n">
        <x:f>IF(AND(SUM(K621:M621)&lt;9,OR(K621=0,N621&lt;6)),1,0)</x:f>
        <x:v>1</x:v>
      </x:c>
      <x:c r="R621" s="22" t="str">
        <x:f>O621&amp;P621&amp;Q621</x:f>
        <x:v>111</x:v>
      </x:c>
      <x:c r="S621" s="19" t="n">
        <x:f>IF(I621=1,IF(J621=0,Q621,IF(J621=1,P621,IF(J621=2,O621,0))),0)</x:f>
        <x:v>1</x:v>
      </x:c>
      <x:c r="T621" s="19" t="n">
        <x:f>K621+IF(AND(S621=1,J621=0),1,0)</x:f>
        <x:v>2</x:v>
      </x:c>
      <x:c r="U621" s="19" t="n">
        <x:f>L621+IF(AND(S621=1,J621=1),1,0)</x:f>
        <x:v>0</x:v>
      </x:c>
      <x:c r="V621" s="19" t="n">
        <x:f>M621+IF(AND(S621=1,J621=2),1,0)</x:f>
        <x:v>4</x:v>
      </x:c>
      <x:c r="W621" s="19" t="n">
        <x:f>SUM(T621:V621)</x:f>
        <x:v>6</x:v>
      </x:c>
      <x:c r="X621" s="19" t="n">
        <x:f>W621-G621</x:f>
        <x:v>0</x:v>
      </x:c>
      <x:c r="Y621" s="19" t="n">
        <x:f>MAX(T621,1)+MAX(U621,1)+MAX(V621,1)</x:f>
        <x:v>7</x:v>
      </x:c>
      <x:c r="Z621" s="21" t="str">
        <x:f>IF(AND(MIN(D621:F621)&gt;=0,MAX(D621:F621)&lt;=7,MAX(D621,1)+MAX(E621,1)+MAX(F621,1)&lt;=9,OR(H621="-",AND(H621=0,D621&gt;0),AND(H621=1,E621&gt;0),AND(H621=2,F621&gt;0)),OR(I621=0,AND(I621=1,OR(J621=0,J621=1,J621=2),R621&lt;&gt;"000")),Y621&lt;=9,MIN(T621:V621)&gt;=0),"合法","输入违约")</x:f>
        <x:v>合法</x:v>
      </x:c>
    </x:row>
    <x:row r="622" ht="23" customHeight="1">
      <x:c r="A622" s="3" t="str">
        <x:v>CT-0615</x:v>
      </x:c>
      <x:c r="B622" s="3" t="str">
        <x:v>ST-065</x:v>
      </x:c>
      <x:c r="C622" s="3" t="str">
        <x:v>R+AR同收同发</x:v>
      </x:c>
      <x:c r="D622" s="25" t="n">
        <x:v>1</x:v>
      </x:c>
      <x:c r="E622" s="25" t="n">
        <x:v>1</x:v>
      </x:c>
      <x:c r="F622" s="25" t="n">
        <x:v>4</x:v>
      </x:c>
      <x:c r="G622" s="19" t="n">
        <x:f>SUM(D622:F622)</x:f>
        <x:v>6</x:v>
      </x:c>
      <x:c r="H622" s="25" t="n">
        <x:v>1</x:v>
      </x:c>
      <x:c r="I622" s="25" t="n">
        <x:v>1</x:v>
      </x:c>
      <x:c r="J622" s="25" t="n">
        <x:v>1</x:v>
      </x:c>
      <x:c r="K622" s="19" t="n">
        <x:f>D622-IF(H622=0,1,0)</x:f>
        <x:v>1</x:v>
      </x:c>
      <x:c r="L622" s="19" t="n">
        <x:f>E622-IF(H622=1,1,0)</x:f>
        <x:v>0</x:v>
      </x:c>
      <x:c r="M622" s="19" t="n">
        <x:f>F622-IF(H622=2,1,0)</x:f>
        <x:v>4</x:v>
      </x:c>
      <x:c r="N622" s="19" t="n">
        <x:f>MAX(K622-1,0)+MAX(L622-1,0)+MAX(M622-1,0)</x:f>
        <x:v>3</x:v>
      </x:c>
      <x:c r="O622" s="19" t="n">
        <x:f>IF(AND(SUM(K622:M622)&lt;9,OR(M622=0,N622&lt;6)),1,0)</x:f>
        <x:v>1</x:v>
      </x:c>
      <x:c r="P622" s="19" t="n">
        <x:f>IF(AND(SUM(K622:M622)&lt;9,OR(L622=0,N622&lt;6)),1,0)</x:f>
        <x:v>1</x:v>
      </x:c>
      <x:c r="Q622" s="19" t="n">
        <x:f>IF(AND(SUM(K622:M622)&lt;9,OR(K622=0,N622&lt;6)),1,0)</x:f>
        <x:v>1</x:v>
      </x:c>
      <x:c r="R622" s="22" t="str">
        <x:f>O622&amp;P622&amp;Q622</x:f>
        <x:v>111</x:v>
      </x:c>
      <x:c r="S622" s="19" t="n">
        <x:f>IF(I622=1,IF(J622=0,Q622,IF(J622=1,P622,IF(J622=2,O622,0))),0)</x:f>
        <x:v>1</x:v>
      </x:c>
      <x:c r="T622" s="19" t="n">
        <x:f>K622+IF(AND(S622=1,J622=0),1,0)</x:f>
        <x:v>1</x:v>
      </x:c>
      <x:c r="U622" s="19" t="n">
        <x:f>L622+IF(AND(S622=1,J622=1),1,0)</x:f>
        <x:v>1</x:v>
      </x:c>
      <x:c r="V622" s="19" t="n">
        <x:f>M622+IF(AND(S622=1,J622=2),1,0)</x:f>
        <x:v>4</x:v>
      </x:c>
      <x:c r="W622" s="19" t="n">
        <x:f>SUM(T622:V622)</x:f>
        <x:v>6</x:v>
      </x:c>
      <x:c r="X622" s="19" t="n">
        <x:f>W622-G622</x:f>
        <x:v>0</x:v>
      </x:c>
      <x:c r="Y622" s="19" t="n">
        <x:f>MAX(T622,1)+MAX(U622,1)+MAX(V622,1)</x:f>
        <x:v>6</x:v>
      </x:c>
      <x:c r="Z622" s="21" t="str">
        <x:f>IF(AND(MIN(D622:F622)&gt;=0,MAX(D622:F622)&lt;=7,MAX(D622,1)+MAX(E622,1)+MAX(F622,1)&lt;=9,OR(H622="-",AND(H622=0,D622&gt;0),AND(H622=1,E622&gt;0),AND(H622=2,F622&gt;0)),OR(I622=0,AND(I622=1,OR(J622=0,J622=1,J622=2),R622&lt;&gt;"000")),Y622&lt;=9,MIN(T622:V622)&gt;=0),"合法","输入违约")</x:f>
        <x:v>合法</x:v>
      </x:c>
    </x:row>
    <x:row r="623" ht="23" customHeight="1">
      <x:c r="A623" s="3" t="str">
        <x:v>CT-0616</x:v>
      </x:c>
      <x:c r="B623" s="3" t="str">
        <x:v>ST-065</x:v>
      </x:c>
      <x:c r="C623" s="3" t="str">
        <x:v>R+AR同收同发</x:v>
      </x:c>
      <x:c r="D623" s="25" t="n">
        <x:v>1</x:v>
      </x:c>
      <x:c r="E623" s="25" t="n">
        <x:v>1</x:v>
      </x:c>
      <x:c r="F623" s="25" t="n">
        <x:v>4</x:v>
      </x:c>
      <x:c r="G623" s="19" t="n">
        <x:f>SUM(D623:F623)</x:f>
        <x:v>6</x:v>
      </x:c>
      <x:c r="H623" s="25" t="n">
        <x:v>1</x:v>
      </x:c>
      <x:c r="I623" s="25" t="n">
        <x:v>1</x:v>
      </x:c>
      <x:c r="J623" s="25" t="n">
        <x:v>2</x:v>
      </x:c>
      <x:c r="K623" s="19" t="n">
        <x:f>D623-IF(H623=0,1,0)</x:f>
        <x:v>1</x:v>
      </x:c>
      <x:c r="L623" s="19" t="n">
        <x:f>E623-IF(H623=1,1,0)</x:f>
        <x:v>0</x:v>
      </x:c>
      <x:c r="M623" s="19" t="n">
        <x:f>F623-IF(H623=2,1,0)</x:f>
        <x:v>4</x:v>
      </x:c>
      <x:c r="N623" s="19" t="n">
        <x:f>MAX(K623-1,0)+MAX(L623-1,0)+MAX(M623-1,0)</x:f>
        <x:v>3</x:v>
      </x:c>
      <x:c r="O623" s="19" t="n">
        <x:f>IF(AND(SUM(K623:M623)&lt;9,OR(M623=0,N623&lt;6)),1,0)</x:f>
        <x:v>1</x:v>
      </x:c>
      <x:c r="P623" s="19" t="n">
        <x:f>IF(AND(SUM(K623:M623)&lt;9,OR(L623=0,N623&lt;6)),1,0)</x:f>
        <x:v>1</x:v>
      </x:c>
      <x:c r="Q623" s="19" t="n">
        <x:f>IF(AND(SUM(K623:M623)&lt;9,OR(K623=0,N623&lt;6)),1,0)</x:f>
        <x:v>1</x:v>
      </x:c>
      <x:c r="R623" s="22" t="str">
        <x:f>O623&amp;P623&amp;Q623</x:f>
        <x:v>111</x:v>
      </x:c>
      <x:c r="S623" s="19" t="n">
        <x:f>IF(I623=1,IF(J623=0,Q623,IF(J623=1,P623,IF(J623=2,O623,0))),0)</x:f>
        <x:v>1</x:v>
      </x:c>
      <x:c r="T623" s="19" t="n">
        <x:f>K623+IF(AND(S623=1,J623=0),1,0)</x:f>
        <x:v>1</x:v>
      </x:c>
      <x:c r="U623" s="19" t="n">
        <x:f>L623+IF(AND(S623=1,J623=1),1,0)</x:f>
        <x:v>0</x:v>
      </x:c>
      <x:c r="V623" s="19" t="n">
        <x:f>M623+IF(AND(S623=1,J623=2),1,0)</x:f>
        <x:v>5</x:v>
      </x:c>
      <x:c r="W623" s="19" t="n">
        <x:f>SUM(T623:V623)</x:f>
        <x:v>6</x:v>
      </x:c>
      <x:c r="X623" s="19" t="n">
        <x:f>W623-G623</x:f>
        <x:v>0</x:v>
      </x:c>
      <x:c r="Y623" s="19" t="n">
        <x:f>MAX(T623,1)+MAX(U623,1)+MAX(V623,1)</x:f>
        <x:v>7</x:v>
      </x:c>
      <x:c r="Z623" s="21" t="str">
        <x:f>IF(AND(MIN(D623:F623)&gt;=0,MAX(D623:F623)&lt;=7,MAX(D623,1)+MAX(E623,1)+MAX(F623,1)&lt;=9,OR(H623="-",AND(H623=0,D623&gt;0),AND(H623=1,E623&gt;0),AND(H623=2,F623&gt;0)),OR(I623=0,AND(I623=1,OR(J623=0,J623=1,J623=2),R623&lt;&gt;"000")),Y623&lt;=9,MIN(T623:V623)&gt;=0),"合法","输入违约")</x:f>
        <x:v>合法</x:v>
      </x:c>
    </x:row>
    <x:row r="624" ht="23" customHeight="1">
      <x:c r="A624" s="3" t="str">
        <x:v>CT-0617</x:v>
      </x:c>
      <x:c r="B624" s="3" t="str">
        <x:v>ST-065</x:v>
      </x:c>
      <x:c r="C624" s="3" t="str">
        <x:v>仅R回收</x:v>
      </x:c>
      <x:c r="D624" s="25" t="n">
        <x:v>1</x:v>
      </x:c>
      <x:c r="E624" s="25" t="n">
        <x:v>1</x:v>
      </x:c>
      <x:c r="F624" s="25" t="n">
        <x:v>4</x:v>
      </x:c>
      <x:c r="G624" s="19" t="n">
        <x:f>SUM(D624:F624)</x:f>
        <x:v>6</x:v>
      </x:c>
      <x:c r="H624" s="25" t="n">
        <x:v>2</x:v>
      </x:c>
      <x:c r="I624" s="25" t="n">
        <x:v>0</x:v>
      </x:c>
      <x:c r="J624" s="25" t="str">
        <x:v>-</x:v>
      </x:c>
      <x:c r="K624" s="19" t="n">
        <x:f>D624-IF(H624=0,1,0)</x:f>
        <x:v>1</x:v>
      </x:c>
      <x:c r="L624" s="19" t="n">
        <x:f>E624-IF(H624=1,1,0)</x:f>
        <x:v>1</x:v>
      </x:c>
      <x:c r="M624" s="19" t="n">
        <x:f>F624-IF(H624=2,1,0)</x:f>
        <x:v>3</x:v>
      </x:c>
      <x:c r="N624" s="19" t="n">
        <x:f>MAX(K624-1,0)+MAX(L624-1,0)+MAX(M624-1,0)</x:f>
        <x:v>2</x:v>
      </x:c>
      <x:c r="O624" s="19" t="n">
        <x:f>IF(AND(SUM(K624:M624)&lt;9,OR(M624=0,N624&lt;6)),1,0)</x:f>
        <x:v>1</x:v>
      </x:c>
      <x:c r="P624" s="19" t="n">
        <x:f>IF(AND(SUM(K624:M624)&lt;9,OR(L624=0,N624&lt;6)),1,0)</x:f>
        <x:v>1</x:v>
      </x:c>
      <x:c r="Q624" s="19" t="n">
        <x:f>IF(AND(SUM(K624:M624)&lt;9,OR(K624=0,N624&lt;6)),1,0)</x:f>
        <x:v>1</x:v>
      </x:c>
      <x:c r="R624" s="22" t="str">
        <x:f>O624&amp;P624&amp;Q624</x:f>
        <x:v>111</x:v>
      </x:c>
      <x:c r="S624" s="19" t="n">
        <x:f>IF(I624=1,IF(J624=0,Q624,IF(J624=1,P624,IF(J624=2,O624,0))),0)</x:f>
        <x:v>0</x:v>
      </x:c>
      <x:c r="T624" s="19" t="n">
        <x:f>K624+IF(AND(S624=1,J624=0),1,0)</x:f>
        <x:v>1</x:v>
      </x:c>
      <x:c r="U624" s="19" t="n">
        <x:f>L624+IF(AND(S624=1,J624=1),1,0)</x:f>
        <x:v>1</x:v>
      </x:c>
      <x:c r="V624" s="19" t="n">
        <x:f>M624+IF(AND(S624=1,J624=2),1,0)</x:f>
        <x:v>3</x:v>
      </x:c>
      <x:c r="W624" s="19" t="n">
        <x:f>SUM(T624:V624)</x:f>
        <x:v>5</x:v>
      </x:c>
      <x:c r="X624" s="19" t="n">
        <x:f>W624-G624</x:f>
        <x:v>-1</x:v>
      </x:c>
      <x:c r="Y624" s="19" t="n">
        <x:f>MAX(T624,1)+MAX(U624,1)+MAX(V624,1)</x:f>
        <x:v>5</x:v>
      </x:c>
      <x:c r="Z624" s="21" t="str">
        <x:f>IF(AND(MIN(D624:F624)&gt;=0,MAX(D624:F624)&lt;=7,MAX(D624,1)+MAX(E624,1)+MAX(F624,1)&lt;=9,OR(H624="-",AND(H624=0,D624&gt;0),AND(H624=1,E624&gt;0),AND(H624=2,F624&gt;0)),OR(I624=0,AND(I624=1,OR(J624=0,J624=1,J624=2),R624&lt;&gt;"000")),Y624&lt;=9,MIN(T624:V624)&gt;=0),"合法","输入违约")</x:f>
        <x:v>合法</x:v>
      </x:c>
    </x:row>
    <x:row r="625" ht="23" customHeight="1">
      <x:c r="A625" s="3" t="str">
        <x:v>CT-0618</x:v>
      </x:c>
      <x:c r="B625" s="3" t="str">
        <x:v>ST-065</x:v>
      </x:c>
      <x:c r="C625" s="3" t="str">
        <x:v>R+AR同收同发</x:v>
      </x:c>
      <x:c r="D625" s="25" t="n">
        <x:v>1</x:v>
      </x:c>
      <x:c r="E625" s="25" t="n">
        <x:v>1</x:v>
      </x:c>
      <x:c r="F625" s="25" t="n">
        <x:v>4</x:v>
      </x:c>
      <x:c r="G625" s="19" t="n">
        <x:f>SUM(D625:F625)</x:f>
        <x:v>6</x:v>
      </x:c>
      <x:c r="H625" s="25" t="n">
        <x:v>2</x:v>
      </x:c>
      <x:c r="I625" s="25" t="n">
        <x:v>1</x:v>
      </x:c>
      <x:c r="J625" s="25" t="n">
        <x:v>0</x:v>
      </x:c>
      <x:c r="K625" s="19" t="n">
        <x:f>D625-IF(H625=0,1,0)</x:f>
        <x:v>1</x:v>
      </x:c>
      <x:c r="L625" s="19" t="n">
        <x:f>E625-IF(H625=1,1,0)</x:f>
        <x:v>1</x:v>
      </x:c>
      <x:c r="M625" s="19" t="n">
        <x:f>F625-IF(H625=2,1,0)</x:f>
        <x:v>3</x:v>
      </x:c>
      <x:c r="N625" s="19" t="n">
        <x:f>MAX(K625-1,0)+MAX(L625-1,0)+MAX(M625-1,0)</x:f>
        <x:v>2</x:v>
      </x:c>
      <x:c r="O625" s="19" t="n">
        <x:f>IF(AND(SUM(K625:M625)&lt;9,OR(M625=0,N625&lt;6)),1,0)</x:f>
        <x:v>1</x:v>
      </x:c>
      <x:c r="P625" s="19" t="n">
        <x:f>IF(AND(SUM(K625:M625)&lt;9,OR(L625=0,N625&lt;6)),1,0)</x:f>
        <x:v>1</x:v>
      </x:c>
      <x:c r="Q625" s="19" t="n">
        <x:f>IF(AND(SUM(K625:M625)&lt;9,OR(K625=0,N625&lt;6)),1,0)</x:f>
        <x:v>1</x:v>
      </x:c>
      <x:c r="R625" s="22" t="str">
        <x:f>O625&amp;P625&amp;Q625</x:f>
        <x:v>111</x:v>
      </x:c>
      <x:c r="S625" s="19" t="n">
        <x:f>IF(I625=1,IF(J625=0,Q625,IF(J625=1,P625,IF(J625=2,O625,0))),0)</x:f>
        <x:v>1</x:v>
      </x:c>
      <x:c r="T625" s="19" t="n">
        <x:f>K625+IF(AND(S625=1,J625=0),1,0)</x:f>
        <x:v>2</x:v>
      </x:c>
      <x:c r="U625" s="19" t="n">
        <x:f>L625+IF(AND(S625=1,J625=1),1,0)</x:f>
        <x:v>1</x:v>
      </x:c>
      <x:c r="V625" s="19" t="n">
        <x:f>M625+IF(AND(S625=1,J625=2),1,0)</x:f>
        <x:v>3</x:v>
      </x:c>
      <x:c r="W625" s="19" t="n">
        <x:f>SUM(T625:V625)</x:f>
        <x:v>6</x:v>
      </x:c>
      <x:c r="X625" s="19" t="n">
        <x:f>W625-G625</x:f>
        <x:v>0</x:v>
      </x:c>
      <x:c r="Y625" s="19" t="n">
        <x:f>MAX(T625,1)+MAX(U625,1)+MAX(V625,1)</x:f>
        <x:v>6</x:v>
      </x:c>
      <x:c r="Z625" s="21" t="str">
        <x:f>IF(AND(MIN(D625:F625)&gt;=0,MAX(D625:F625)&lt;=7,MAX(D625,1)+MAX(E625,1)+MAX(F625,1)&lt;=9,OR(H625="-",AND(H625=0,D625&gt;0),AND(H625=1,E625&gt;0),AND(H625=2,F625&gt;0)),OR(I625=0,AND(I625=1,OR(J625=0,J625=1,J625=2),R625&lt;&gt;"000")),Y625&lt;=9,MIN(T625:V625)&gt;=0),"合法","输入违约")</x:f>
        <x:v>合法</x:v>
      </x:c>
    </x:row>
    <x:row r="626" ht="23" customHeight="1">
      <x:c r="A626" s="3" t="str">
        <x:v>CT-0619</x:v>
      </x:c>
      <x:c r="B626" s="3" t="str">
        <x:v>ST-065</x:v>
      </x:c>
      <x:c r="C626" s="3" t="str">
        <x:v>R+AR同收同发</x:v>
      </x:c>
      <x:c r="D626" s="25" t="n">
        <x:v>1</x:v>
      </x:c>
      <x:c r="E626" s="25" t="n">
        <x:v>1</x:v>
      </x:c>
      <x:c r="F626" s="25" t="n">
        <x:v>4</x:v>
      </x:c>
      <x:c r="G626" s="19" t="n">
        <x:f>SUM(D626:F626)</x:f>
        <x:v>6</x:v>
      </x:c>
      <x:c r="H626" s="25" t="n">
        <x:v>2</x:v>
      </x:c>
      <x:c r="I626" s="25" t="n">
        <x:v>1</x:v>
      </x:c>
      <x:c r="J626" s="25" t="n">
        <x:v>1</x:v>
      </x:c>
      <x:c r="K626" s="19" t="n">
        <x:f>D626-IF(H626=0,1,0)</x:f>
        <x:v>1</x:v>
      </x:c>
      <x:c r="L626" s="19" t="n">
        <x:f>E626-IF(H626=1,1,0)</x:f>
        <x:v>1</x:v>
      </x:c>
      <x:c r="M626" s="19" t="n">
        <x:f>F626-IF(H626=2,1,0)</x:f>
        <x:v>3</x:v>
      </x:c>
      <x:c r="N626" s="19" t="n">
        <x:f>MAX(K626-1,0)+MAX(L626-1,0)+MAX(M626-1,0)</x:f>
        <x:v>2</x:v>
      </x:c>
      <x:c r="O626" s="19" t="n">
        <x:f>IF(AND(SUM(K626:M626)&lt;9,OR(M626=0,N626&lt;6)),1,0)</x:f>
        <x:v>1</x:v>
      </x:c>
      <x:c r="P626" s="19" t="n">
        <x:f>IF(AND(SUM(K626:M626)&lt;9,OR(L626=0,N626&lt;6)),1,0)</x:f>
        <x:v>1</x:v>
      </x:c>
      <x:c r="Q626" s="19" t="n">
        <x:f>IF(AND(SUM(K626:M626)&lt;9,OR(K626=0,N626&lt;6)),1,0)</x:f>
        <x:v>1</x:v>
      </x:c>
      <x:c r="R626" s="22" t="str">
        <x:f>O626&amp;P626&amp;Q626</x:f>
        <x:v>111</x:v>
      </x:c>
      <x:c r="S626" s="19" t="n">
        <x:f>IF(I626=1,IF(J626=0,Q626,IF(J626=1,P626,IF(J626=2,O626,0))),0)</x:f>
        <x:v>1</x:v>
      </x:c>
      <x:c r="T626" s="19" t="n">
        <x:f>K626+IF(AND(S626=1,J626=0),1,0)</x:f>
        <x:v>1</x:v>
      </x:c>
      <x:c r="U626" s="19" t="n">
        <x:f>L626+IF(AND(S626=1,J626=1),1,0)</x:f>
        <x:v>2</x:v>
      </x:c>
      <x:c r="V626" s="19" t="n">
        <x:f>M626+IF(AND(S626=1,J626=2),1,0)</x:f>
        <x:v>3</x:v>
      </x:c>
      <x:c r="W626" s="19" t="n">
        <x:f>SUM(T626:V626)</x:f>
        <x:v>6</x:v>
      </x:c>
      <x:c r="X626" s="19" t="n">
        <x:f>W626-G626</x:f>
        <x:v>0</x:v>
      </x:c>
      <x:c r="Y626" s="19" t="n">
        <x:f>MAX(T626,1)+MAX(U626,1)+MAX(V626,1)</x:f>
        <x:v>6</x:v>
      </x:c>
      <x:c r="Z626" s="21" t="str">
        <x:f>IF(AND(MIN(D626:F626)&gt;=0,MAX(D626:F626)&lt;=7,MAX(D626,1)+MAX(E626,1)+MAX(F626,1)&lt;=9,OR(H626="-",AND(H626=0,D626&gt;0),AND(H626=1,E626&gt;0),AND(H626=2,F626&gt;0)),OR(I626=0,AND(I626=1,OR(J626=0,J626=1,J626=2),R626&lt;&gt;"000")),Y626&lt;=9,MIN(T626:V626)&gt;=0),"合法","输入违约")</x:f>
        <x:v>合法</x:v>
      </x:c>
    </x:row>
    <x:row r="627" ht="23" customHeight="1">
      <x:c r="A627" s="3" t="str">
        <x:v>CT-0620</x:v>
      </x:c>
      <x:c r="B627" s="3" t="str">
        <x:v>ST-065</x:v>
      </x:c>
      <x:c r="C627" s="3" t="str">
        <x:v>R+AR同收同发</x:v>
      </x:c>
      <x:c r="D627" s="25" t="n">
        <x:v>1</x:v>
      </x:c>
      <x:c r="E627" s="25" t="n">
        <x:v>1</x:v>
      </x:c>
      <x:c r="F627" s="25" t="n">
        <x:v>4</x:v>
      </x:c>
      <x:c r="G627" s="19" t="n">
        <x:f>SUM(D627:F627)</x:f>
        <x:v>6</x:v>
      </x:c>
      <x:c r="H627" s="25" t="n">
        <x:v>2</x:v>
      </x:c>
      <x:c r="I627" s="25" t="n">
        <x:v>1</x:v>
      </x:c>
      <x:c r="J627" s="25" t="n">
        <x:v>2</x:v>
      </x:c>
      <x:c r="K627" s="19" t="n">
        <x:f>D627-IF(H627=0,1,0)</x:f>
        <x:v>1</x:v>
      </x:c>
      <x:c r="L627" s="19" t="n">
        <x:f>E627-IF(H627=1,1,0)</x:f>
        <x:v>1</x:v>
      </x:c>
      <x:c r="M627" s="19" t="n">
        <x:f>F627-IF(H627=2,1,0)</x:f>
        <x:v>3</x:v>
      </x:c>
      <x:c r="N627" s="19" t="n">
        <x:f>MAX(K627-1,0)+MAX(L627-1,0)+MAX(M627-1,0)</x:f>
        <x:v>2</x:v>
      </x:c>
      <x:c r="O627" s="19" t="n">
        <x:f>IF(AND(SUM(K627:M627)&lt;9,OR(M627=0,N627&lt;6)),1,0)</x:f>
        <x:v>1</x:v>
      </x:c>
      <x:c r="P627" s="19" t="n">
        <x:f>IF(AND(SUM(K627:M627)&lt;9,OR(L627=0,N627&lt;6)),1,0)</x:f>
        <x:v>1</x:v>
      </x:c>
      <x:c r="Q627" s="19" t="n">
        <x:f>IF(AND(SUM(K627:M627)&lt;9,OR(K627=0,N627&lt;6)),1,0)</x:f>
        <x:v>1</x:v>
      </x:c>
      <x:c r="R627" s="22" t="str">
        <x:f>O627&amp;P627&amp;Q627</x:f>
        <x:v>111</x:v>
      </x:c>
      <x:c r="S627" s="19" t="n">
        <x:f>IF(I627=1,IF(J627=0,Q627,IF(J627=1,P627,IF(J627=2,O627,0))),0)</x:f>
        <x:v>1</x:v>
      </x:c>
      <x:c r="T627" s="19" t="n">
        <x:f>K627+IF(AND(S627=1,J627=0),1,0)</x:f>
        <x:v>1</x:v>
      </x:c>
      <x:c r="U627" s="19" t="n">
        <x:f>L627+IF(AND(S627=1,J627=1),1,0)</x:f>
        <x:v>1</x:v>
      </x:c>
      <x:c r="V627" s="19" t="n">
        <x:f>M627+IF(AND(S627=1,J627=2),1,0)</x:f>
        <x:v>4</x:v>
      </x:c>
      <x:c r="W627" s="19" t="n">
        <x:f>SUM(T627:V627)</x:f>
        <x:v>6</x:v>
      </x:c>
      <x:c r="X627" s="19" t="n">
        <x:f>W627-G627</x:f>
        <x:v>0</x:v>
      </x:c>
      <x:c r="Y627" s="19" t="n">
        <x:f>MAX(T627,1)+MAX(U627,1)+MAX(V627,1)</x:f>
        <x:v>6</x:v>
      </x:c>
      <x:c r="Z627" s="21" t="str">
        <x:f>IF(AND(MIN(D627:F627)&gt;=0,MAX(D627:F627)&lt;=7,MAX(D627,1)+MAX(E627,1)+MAX(F627,1)&lt;=9,OR(H627="-",AND(H627=0,D627&gt;0),AND(H627=1,E627&gt;0),AND(H627=2,F627&gt;0)),OR(I627=0,AND(I627=1,OR(J627=0,J627=1,J627=2),R627&lt;&gt;"000")),Y627&lt;=9,MIN(T627:V627)&gt;=0),"合法","输入违约")</x:f>
        <x:v>合法</x:v>
      </x:c>
    </x:row>
    <x:row r="628" ht="23" customHeight="1">
      <x:c r="A628" s="3" t="str">
        <x:v>CT-0621</x:v>
      </x:c>
      <x:c r="B628" s="3" t="str">
        <x:v>ST-094</x:v>
      </x:c>
      <x:c r="C628" s="3" t="str">
        <x:v>无AR/R</x:v>
      </x:c>
      <x:c r="D628" s="25" t="n">
        <x:v>1</x:v>
      </x:c>
      <x:c r="E628" s="25" t="n">
        <x:v>1</x:v>
      </x:c>
      <x:c r="F628" s="25" t="n">
        <x:v>5</x:v>
      </x:c>
      <x:c r="G628" s="19" t="n">
        <x:f>SUM(D628:F628)</x:f>
        <x:v>7</x:v>
      </x:c>
      <x:c r="H628" s="25" t="str">
        <x:v>-</x:v>
      </x:c>
      <x:c r="I628" s="25" t="n">
        <x:v>0</x:v>
      </x:c>
      <x:c r="J628" s="25" t="str">
        <x:v>-</x:v>
      </x:c>
      <x:c r="K628" s="19" t="n">
        <x:f>D628-IF(H628=0,1,0)</x:f>
        <x:v>1</x:v>
      </x:c>
      <x:c r="L628" s="19" t="n">
        <x:f>E628-IF(H628=1,1,0)</x:f>
        <x:v>1</x:v>
      </x:c>
      <x:c r="M628" s="19" t="n">
        <x:f>F628-IF(H628=2,1,0)</x:f>
        <x:v>5</x:v>
      </x:c>
      <x:c r="N628" s="19" t="n">
        <x:f>MAX(K628-1,0)+MAX(L628-1,0)+MAX(M628-1,0)</x:f>
        <x:v>4</x:v>
      </x:c>
      <x:c r="O628" s="19" t="n">
        <x:f>IF(AND(SUM(K628:M628)&lt;9,OR(M628=0,N628&lt;6)),1,0)</x:f>
        <x:v>1</x:v>
      </x:c>
      <x:c r="P628" s="19" t="n">
        <x:f>IF(AND(SUM(K628:M628)&lt;9,OR(L628=0,N628&lt;6)),1,0)</x:f>
        <x:v>1</x:v>
      </x:c>
      <x:c r="Q628" s="19" t="n">
        <x:f>IF(AND(SUM(K628:M628)&lt;9,OR(K628=0,N628&lt;6)),1,0)</x:f>
        <x:v>1</x:v>
      </x:c>
      <x:c r="R628" s="22" t="str">
        <x:f>O628&amp;P628&amp;Q628</x:f>
        <x:v>111</x:v>
      </x:c>
      <x:c r="S628" s="19" t="n">
        <x:f>IF(I628=1,IF(J628=0,Q628,IF(J628=1,P628,IF(J628=2,O628,0))),0)</x:f>
        <x:v>0</x:v>
      </x:c>
      <x:c r="T628" s="19" t="n">
        <x:f>K628+IF(AND(S628=1,J628=0),1,0)</x:f>
        <x:v>1</x:v>
      </x:c>
      <x:c r="U628" s="19" t="n">
        <x:f>L628+IF(AND(S628=1,J628=1),1,0)</x:f>
        <x:v>1</x:v>
      </x:c>
      <x:c r="V628" s="19" t="n">
        <x:f>M628+IF(AND(S628=1,J628=2),1,0)</x:f>
        <x:v>5</x:v>
      </x:c>
      <x:c r="W628" s="19" t="n">
        <x:f>SUM(T628:V628)</x:f>
        <x:v>7</x:v>
      </x:c>
      <x:c r="X628" s="19" t="n">
        <x:f>W628-G628</x:f>
        <x:v>0</x:v>
      </x:c>
      <x:c r="Y628" s="19" t="n">
        <x:f>MAX(T628,1)+MAX(U628,1)+MAX(V628,1)</x:f>
        <x:v>7</x:v>
      </x:c>
      <x:c r="Z628" s="21" t="str">
        <x:f>IF(AND(MIN(D628:F628)&gt;=0,MAX(D628:F628)&lt;=7,MAX(D628,1)+MAX(E628,1)+MAX(F628,1)&lt;=9,OR(H628="-",AND(H628=0,D628&gt;0),AND(H628=1,E628&gt;0),AND(H628=2,F628&gt;0)),OR(I628=0,AND(I628=1,OR(J628=0,J628=1,J628=2),R628&lt;&gt;"000")),Y628&lt;=9,MIN(T628:V628)&gt;=0),"合法","输入违约")</x:f>
        <x:v>合法</x:v>
      </x:c>
    </x:row>
    <x:row r="629" ht="23" customHeight="1">
      <x:c r="A629" s="3" t="str">
        <x:v>CT-0622</x:v>
      </x:c>
      <x:c r="B629" s="3" t="str">
        <x:v>ST-094</x:v>
      </x:c>
      <x:c r="C629" s="3" t="str">
        <x:v>仅AR接收</x:v>
      </x:c>
      <x:c r="D629" s="25" t="n">
        <x:v>1</x:v>
      </x:c>
      <x:c r="E629" s="25" t="n">
        <x:v>1</x:v>
      </x:c>
      <x:c r="F629" s="25" t="n">
        <x:v>5</x:v>
      </x:c>
      <x:c r="G629" s="19" t="n">
        <x:f>SUM(D629:F629)</x:f>
        <x:v>7</x:v>
      </x:c>
      <x:c r="H629" s="25" t="str">
        <x:v>-</x:v>
      </x:c>
      <x:c r="I629" s="25" t="n">
        <x:v>1</x:v>
      </x:c>
      <x:c r="J629" s="25" t="n">
        <x:v>0</x:v>
      </x:c>
      <x:c r="K629" s="19" t="n">
        <x:f>D629-IF(H629=0,1,0)</x:f>
        <x:v>1</x:v>
      </x:c>
      <x:c r="L629" s="19" t="n">
        <x:f>E629-IF(H629=1,1,0)</x:f>
        <x:v>1</x:v>
      </x:c>
      <x:c r="M629" s="19" t="n">
        <x:f>F629-IF(H629=2,1,0)</x:f>
        <x:v>5</x:v>
      </x:c>
      <x:c r="N629" s="19" t="n">
        <x:f>MAX(K629-1,0)+MAX(L629-1,0)+MAX(M629-1,0)</x:f>
        <x:v>4</x:v>
      </x:c>
      <x:c r="O629" s="19" t="n">
        <x:f>IF(AND(SUM(K629:M629)&lt;9,OR(M629=0,N629&lt;6)),1,0)</x:f>
        <x:v>1</x:v>
      </x:c>
      <x:c r="P629" s="19" t="n">
        <x:f>IF(AND(SUM(K629:M629)&lt;9,OR(L629=0,N629&lt;6)),1,0)</x:f>
        <x:v>1</x:v>
      </x:c>
      <x:c r="Q629" s="19" t="n">
        <x:f>IF(AND(SUM(K629:M629)&lt;9,OR(K629=0,N629&lt;6)),1,0)</x:f>
        <x:v>1</x:v>
      </x:c>
      <x:c r="R629" s="22" t="str">
        <x:f>O629&amp;P629&amp;Q629</x:f>
        <x:v>111</x:v>
      </x:c>
      <x:c r="S629" s="19" t="n">
        <x:f>IF(I629=1,IF(J629=0,Q629,IF(J629=1,P629,IF(J629=2,O629,0))),0)</x:f>
        <x:v>1</x:v>
      </x:c>
      <x:c r="T629" s="19" t="n">
        <x:f>K629+IF(AND(S629=1,J629=0),1,0)</x:f>
        <x:v>2</x:v>
      </x:c>
      <x:c r="U629" s="19" t="n">
        <x:f>L629+IF(AND(S629=1,J629=1),1,0)</x:f>
        <x:v>1</x:v>
      </x:c>
      <x:c r="V629" s="19" t="n">
        <x:f>M629+IF(AND(S629=1,J629=2),1,0)</x:f>
        <x:v>5</x:v>
      </x:c>
      <x:c r="W629" s="19" t="n">
        <x:f>SUM(T629:V629)</x:f>
        <x:v>8</x:v>
      </x:c>
      <x:c r="X629" s="19" t="n">
        <x:f>W629-G629</x:f>
        <x:v>1</x:v>
      </x:c>
      <x:c r="Y629" s="19" t="n">
        <x:f>MAX(T629,1)+MAX(U629,1)+MAX(V629,1)</x:f>
        <x:v>8</x:v>
      </x:c>
      <x:c r="Z629" s="21" t="str">
        <x:f>IF(AND(MIN(D629:F629)&gt;=0,MAX(D629:F629)&lt;=7,MAX(D629,1)+MAX(E629,1)+MAX(F629,1)&lt;=9,OR(H629="-",AND(H629=0,D629&gt;0),AND(H629=1,E629&gt;0),AND(H629=2,F629&gt;0)),OR(I629=0,AND(I629=1,OR(J629=0,J629=1,J629=2),R629&lt;&gt;"000")),Y629&lt;=9,MIN(T629:V629)&gt;=0),"合法","输入违约")</x:f>
        <x:v>合法</x:v>
      </x:c>
    </x:row>
    <x:row r="630" ht="23" customHeight="1">
      <x:c r="A630" s="3" t="str">
        <x:v>CT-0623</x:v>
      </x:c>
      <x:c r="B630" s="3" t="str">
        <x:v>ST-094</x:v>
      </x:c>
      <x:c r="C630" s="3" t="str">
        <x:v>仅AR接收</x:v>
      </x:c>
      <x:c r="D630" s="25" t="n">
        <x:v>1</x:v>
      </x:c>
      <x:c r="E630" s="25" t="n">
        <x:v>1</x:v>
      </x:c>
      <x:c r="F630" s="25" t="n">
        <x:v>5</x:v>
      </x:c>
      <x:c r="G630" s="19" t="n">
        <x:f>SUM(D630:F630)</x:f>
        <x:v>7</x:v>
      </x:c>
      <x:c r="H630" s="25" t="str">
        <x:v>-</x:v>
      </x:c>
      <x:c r="I630" s="25" t="n">
        <x:v>1</x:v>
      </x:c>
      <x:c r="J630" s="25" t="n">
        <x:v>1</x:v>
      </x:c>
      <x:c r="K630" s="19" t="n">
        <x:f>D630-IF(H630=0,1,0)</x:f>
        <x:v>1</x:v>
      </x:c>
      <x:c r="L630" s="19" t="n">
        <x:f>E630-IF(H630=1,1,0)</x:f>
        <x:v>1</x:v>
      </x:c>
      <x:c r="M630" s="19" t="n">
        <x:f>F630-IF(H630=2,1,0)</x:f>
        <x:v>5</x:v>
      </x:c>
      <x:c r="N630" s="19" t="n">
        <x:f>MAX(K630-1,0)+MAX(L630-1,0)+MAX(M630-1,0)</x:f>
        <x:v>4</x:v>
      </x:c>
      <x:c r="O630" s="19" t="n">
        <x:f>IF(AND(SUM(K630:M630)&lt;9,OR(M630=0,N630&lt;6)),1,0)</x:f>
        <x:v>1</x:v>
      </x:c>
      <x:c r="P630" s="19" t="n">
        <x:f>IF(AND(SUM(K630:M630)&lt;9,OR(L630=0,N630&lt;6)),1,0)</x:f>
        <x:v>1</x:v>
      </x:c>
      <x:c r="Q630" s="19" t="n">
        <x:f>IF(AND(SUM(K630:M630)&lt;9,OR(K630=0,N630&lt;6)),1,0)</x:f>
        <x:v>1</x:v>
      </x:c>
      <x:c r="R630" s="22" t="str">
        <x:f>O630&amp;P630&amp;Q630</x:f>
        <x:v>111</x:v>
      </x:c>
      <x:c r="S630" s="19" t="n">
        <x:f>IF(I630=1,IF(J630=0,Q630,IF(J630=1,P630,IF(J630=2,O630,0))),0)</x:f>
        <x:v>1</x:v>
      </x:c>
      <x:c r="T630" s="19" t="n">
        <x:f>K630+IF(AND(S630=1,J630=0),1,0)</x:f>
        <x:v>1</x:v>
      </x:c>
      <x:c r="U630" s="19" t="n">
        <x:f>L630+IF(AND(S630=1,J630=1),1,0)</x:f>
        <x:v>2</x:v>
      </x:c>
      <x:c r="V630" s="19" t="n">
        <x:f>M630+IF(AND(S630=1,J630=2),1,0)</x:f>
        <x:v>5</x:v>
      </x:c>
      <x:c r="W630" s="19" t="n">
        <x:f>SUM(T630:V630)</x:f>
        <x:v>8</x:v>
      </x:c>
      <x:c r="X630" s="19" t="n">
        <x:f>W630-G630</x:f>
        <x:v>1</x:v>
      </x:c>
      <x:c r="Y630" s="19" t="n">
        <x:f>MAX(T630,1)+MAX(U630,1)+MAX(V630,1)</x:f>
        <x:v>8</x:v>
      </x:c>
      <x:c r="Z630" s="21" t="str">
        <x:f>IF(AND(MIN(D630:F630)&gt;=0,MAX(D630:F630)&lt;=7,MAX(D630,1)+MAX(E630,1)+MAX(F630,1)&lt;=9,OR(H630="-",AND(H630=0,D630&gt;0),AND(H630=1,E630&gt;0),AND(H630=2,F630&gt;0)),OR(I630=0,AND(I630=1,OR(J630=0,J630=1,J630=2),R630&lt;&gt;"000")),Y630&lt;=9,MIN(T630:V630)&gt;=0),"合法","输入违约")</x:f>
        <x:v>合法</x:v>
      </x:c>
    </x:row>
    <x:row r="631" ht="23" customHeight="1">
      <x:c r="A631" s="3" t="str">
        <x:v>CT-0624</x:v>
      </x:c>
      <x:c r="B631" s="3" t="str">
        <x:v>ST-094</x:v>
      </x:c>
      <x:c r="C631" s="3" t="str">
        <x:v>仅AR接收</x:v>
      </x:c>
      <x:c r="D631" s="25" t="n">
        <x:v>1</x:v>
      </x:c>
      <x:c r="E631" s="25" t="n">
        <x:v>1</x:v>
      </x:c>
      <x:c r="F631" s="25" t="n">
        <x:v>5</x:v>
      </x:c>
      <x:c r="G631" s="19" t="n">
        <x:f>SUM(D631:F631)</x:f>
        <x:v>7</x:v>
      </x:c>
      <x:c r="H631" s="25" t="str">
        <x:v>-</x:v>
      </x:c>
      <x:c r="I631" s="25" t="n">
        <x:v>1</x:v>
      </x:c>
      <x:c r="J631" s="25" t="n">
        <x:v>2</x:v>
      </x:c>
      <x:c r="K631" s="19" t="n">
        <x:f>D631-IF(H631=0,1,0)</x:f>
        <x:v>1</x:v>
      </x:c>
      <x:c r="L631" s="19" t="n">
        <x:f>E631-IF(H631=1,1,0)</x:f>
        <x:v>1</x:v>
      </x:c>
      <x:c r="M631" s="19" t="n">
        <x:f>F631-IF(H631=2,1,0)</x:f>
        <x:v>5</x:v>
      </x:c>
      <x:c r="N631" s="19" t="n">
        <x:f>MAX(K631-1,0)+MAX(L631-1,0)+MAX(M631-1,0)</x:f>
        <x:v>4</x:v>
      </x:c>
      <x:c r="O631" s="19" t="n">
        <x:f>IF(AND(SUM(K631:M631)&lt;9,OR(M631=0,N631&lt;6)),1,0)</x:f>
        <x:v>1</x:v>
      </x:c>
      <x:c r="P631" s="19" t="n">
        <x:f>IF(AND(SUM(K631:M631)&lt;9,OR(L631=0,N631&lt;6)),1,0)</x:f>
        <x:v>1</x:v>
      </x:c>
      <x:c r="Q631" s="19" t="n">
        <x:f>IF(AND(SUM(K631:M631)&lt;9,OR(K631=0,N631&lt;6)),1,0)</x:f>
        <x:v>1</x:v>
      </x:c>
      <x:c r="R631" s="22" t="str">
        <x:f>O631&amp;P631&amp;Q631</x:f>
        <x:v>111</x:v>
      </x:c>
      <x:c r="S631" s="19" t="n">
        <x:f>IF(I631=1,IF(J631=0,Q631,IF(J631=1,P631,IF(J631=2,O631,0))),0)</x:f>
        <x:v>1</x:v>
      </x:c>
      <x:c r="T631" s="19" t="n">
        <x:f>K631+IF(AND(S631=1,J631=0),1,0)</x:f>
        <x:v>1</x:v>
      </x:c>
      <x:c r="U631" s="19" t="n">
        <x:f>L631+IF(AND(S631=1,J631=1),1,0)</x:f>
        <x:v>1</x:v>
      </x:c>
      <x:c r="V631" s="19" t="n">
        <x:f>M631+IF(AND(S631=1,J631=2),1,0)</x:f>
        <x:v>6</x:v>
      </x:c>
      <x:c r="W631" s="19" t="n">
        <x:f>SUM(T631:V631)</x:f>
        <x:v>8</x:v>
      </x:c>
      <x:c r="X631" s="19" t="n">
        <x:f>W631-G631</x:f>
        <x:v>1</x:v>
      </x:c>
      <x:c r="Y631" s="19" t="n">
        <x:f>MAX(T631,1)+MAX(U631,1)+MAX(V631,1)</x:f>
        <x:v>8</x:v>
      </x:c>
      <x:c r="Z631" s="21" t="str">
        <x:f>IF(AND(MIN(D631:F631)&gt;=0,MAX(D631:F631)&lt;=7,MAX(D631,1)+MAX(E631,1)+MAX(F631,1)&lt;=9,OR(H631="-",AND(H631=0,D631&gt;0),AND(H631=1,E631&gt;0),AND(H631=2,F631&gt;0)),OR(I631=0,AND(I631=1,OR(J631=0,J631=1,J631=2),R631&lt;&gt;"000")),Y631&lt;=9,MIN(T631:V631)&gt;=0),"合法","输入违约")</x:f>
        <x:v>合法</x:v>
      </x:c>
    </x:row>
    <x:row r="632" ht="23" customHeight="1">
      <x:c r="A632" s="3" t="str">
        <x:v>CT-0625</x:v>
      </x:c>
      <x:c r="B632" s="3" t="str">
        <x:v>ST-094</x:v>
      </x:c>
      <x:c r="C632" s="3" t="str">
        <x:v>仅R回收</x:v>
      </x:c>
      <x:c r="D632" s="25" t="n">
        <x:v>1</x:v>
      </x:c>
      <x:c r="E632" s="25" t="n">
        <x:v>1</x:v>
      </x:c>
      <x:c r="F632" s="25" t="n">
        <x:v>5</x:v>
      </x:c>
      <x:c r="G632" s="19" t="n">
        <x:f>SUM(D632:F632)</x:f>
        <x:v>7</x:v>
      </x:c>
      <x:c r="H632" s="25" t="n">
        <x:v>0</x:v>
      </x:c>
      <x:c r="I632" s="25" t="n">
        <x:v>0</x:v>
      </x:c>
      <x:c r="J632" s="25" t="str">
        <x:v>-</x:v>
      </x:c>
      <x:c r="K632" s="19" t="n">
        <x:f>D632-IF(H632=0,1,0)</x:f>
        <x:v>0</x:v>
      </x:c>
      <x:c r="L632" s="19" t="n">
        <x:f>E632-IF(H632=1,1,0)</x:f>
        <x:v>1</x:v>
      </x:c>
      <x:c r="M632" s="19" t="n">
        <x:f>F632-IF(H632=2,1,0)</x:f>
        <x:v>5</x:v>
      </x:c>
      <x:c r="N632" s="19" t="n">
        <x:f>MAX(K632-1,0)+MAX(L632-1,0)+MAX(M632-1,0)</x:f>
        <x:v>4</x:v>
      </x:c>
      <x:c r="O632" s="19" t="n">
        <x:f>IF(AND(SUM(K632:M632)&lt;9,OR(M632=0,N632&lt;6)),1,0)</x:f>
        <x:v>1</x:v>
      </x:c>
      <x:c r="P632" s="19" t="n">
        <x:f>IF(AND(SUM(K632:M632)&lt;9,OR(L632=0,N632&lt;6)),1,0)</x:f>
        <x:v>1</x:v>
      </x:c>
      <x:c r="Q632" s="19" t="n">
        <x:f>IF(AND(SUM(K632:M632)&lt;9,OR(K632=0,N632&lt;6)),1,0)</x:f>
        <x:v>1</x:v>
      </x:c>
      <x:c r="R632" s="22" t="str">
        <x:f>O632&amp;P632&amp;Q632</x:f>
        <x:v>111</x:v>
      </x:c>
      <x:c r="S632" s="19" t="n">
        <x:f>IF(I632=1,IF(J632=0,Q632,IF(J632=1,P632,IF(J632=2,O632,0))),0)</x:f>
        <x:v>0</x:v>
      </x:c>
      <x:c r="T632" s="19" t="n">
        <x:f>K632+IF(AND(S632=1,J632=0),1,0)</x:f>
        <x:v>0</x:v>
      </x:c>
      <x:c r="U632" s="19" t="n">
        <x:f>L632+IF(AND(S632=1,J632=1),1,0)</x:f>
        <x:v>1</x:v>
      </x:c>
      <x:c r="V632" s="19" t="n">
        <x:f>M632+IF(AND(S632=1,J632=2),1,0)</x:f>
        <x:v>5</x:v>
      </x:c>
      <x:c r="W632" s="19" t="n">
        <x:f>SUM(T632:V632)</x:f>
        <x:v>6</x:v>
      </x:c>
      <x:c r="X632" s="19" t="n">
        <x:f>W632-G632</x:f>
        <x:v>-1</x:v>
      </x:c>
      <x:c r="Y632" s="19" t="n">
        <x:f>MAX(T632,1)+MAX(U632,1)+MAX(V632,1)</x:f>
        <x:v>7</x:v>
      </x:c>
      <x:c r="Z632" s="21" t="str">
        <x:f>IF(AND(MIN(D632:F632)&gt;=0,MAX(D632:F632)&lt;=7,MAX(D632,1)+MAX(E632,1)+MAX(F632,1)&lt;=9,OR(H632="-",AND(H632=0,D632&gt;0),AND(H632=1,E632&gt;0),AND(H632=2,F632&gt;0)),OR(I632=0,AND(I632=1,OR(J632=0,J632=1,J632=2),R632&lt;&gt;"000")),Y632&lt;=9,MIN(T632:V632)&gt;=0),"合法","输入违约")</x:f>
        <x:v>合法</x:v>
      </x:c>
    </x:row>
    <x:row r="633" ht="23" customHeight="1">
      <x:c r="A633" s="3" t="str">
        <x:v>CT-0626</x:v>
      </x:c>
      <x:c r="B633" s="3" t="str">
        <x:v>ST-094</x:v>
      </x:c>
      <x:c r="C633" s="3" t="str">
        <x:v>R+AR同收同发</x:v>
      </x:c>
      <x:c r="D633" s="25" t="n">
        <x:v>1</x:v>
      </x:c>
      <x:c r="E633" s="25" t="n">
        <x:v>1</x:v>
      </x:c>
      <x:c r="F633" s="25" t="n">
        <x:v>5</x:v>
      </x:c>
      <x:c r="G633" s="19" t="n">
        <x:f>SUM(D633:F633)</x:f>
        <x:v>7</x:v>
      </x:c>
      <x:c r="H633" s="25" t="n">
        <x:v>0</x:v>
      </x:c>
      <x:c r="I633" s="25" t="n">
        <x:v>1</x:v>
      </x:c>
      <x:c r="J633" s="25" t="n">
        <x:v>0</x:v>
      </x:c>
      <x:c r="K633" s="19" t="n">
        <x:f>D633-IF(H633=0,1,0)</x:f>
        <x:v>0</x:v>
      </x:c>
      <x:c r="L633" s="19" t="n">
        <x:f>E633-IF(H633=1,1,0)</x:f>
        <x:v>1</x:v>
      </x:c>
      <x:c r="M633" s="19" t="n">
        <x:f>F633-IF(H633=2,1,0)</x:f>
        <x:v>5</x:v>
      </x:c>
      <x:c r="N633" s="19" t="n">
        <x:f>MAX(K633-1,0)+MAX(L633-1,0)+MAX(M633-1,0)</x:f>
        <x:v>4</x:v>
      </x:c>
      <x:c r="O633" s="19" t="n">
        <x:f>IF(AND(SUM(K633:M633)&lt;9,OR(M633=0,N633&lt;6)),1,0)</x:f>
        <x:v>1</x:v>
      </x:c>
      <x:c r="P633" s="19" t="n">
        <x:f>IF(AND(SUM(K633:M633)&lt;9,OR(L633=0,N633&lt;6)),1,0)</x:f>
        <x:v>1</x:v>
      </x:c>
      <x:c r="Q633" s="19" t="n">
        <x:f>IF(AND(SUM(K633:M633)&lt;9,OR(K633=0,N633&lt;6)),1,0)</x:f>
        <x:v>1</x:v>
      </x:c>
      <x:c r="R633" s="22" t="str">
        <x:f>O633&amp;P633&amp;Q633</x:f>
        <x:v>111</x:v>
      </x:c>
      <x:c r="S633" s="19" t="n">
        <x:f>IF(I633=1,IF(J633=0,Q633,IF(J633=1,P633,IF(J633=2,O633,0))),0)</x:f>
        <x:v>1</x:v>
      </x:c>
      <x:c r="T633" s="19" t="n">
        <x:f>K633+IF(AND(S633=1,J633=0),1,0)</x:f>
        <x:v>1</x:v>
      </x:c>
      <x:c r="U633" s="19" t="n">
        <x:f>L633+IF(AND(S633=1,J633=1),1,0)</x:f>
        <x:v>1</x:v>
      </x:c>
      <x:c r="V633" s="19" t="n">
        <x:f>M633+IF(AND(S633=1,J633=2),1,0)</x:f>
        <x:v>5</x:v>
      </x:c>
      <x:c r="W633" s="19" t="n">
        <x:f>SUM(T633:V633)</x:f>
        <x:v>7</x:v>
      </x:c>
      <x:c r="X633" s="19" t="n">
        <x:f>W633-G633</x:f>
        <x:v>0</x:v>
      </x:c>
      <x:c r="Y633" s="19" t="n">
        <x:f>MAX(T633,1)+MAX(U633,1)+MAX(V633,1)</x:f>
        <x:v>7</x:v>
      </x:c>
      <x:c r="Z633" s="21" t="str">
        <x:f>IF(AND(MIN(D633:F633)&gt;=0,MAX(D633:F633)&lt;=7,MAX(D633,1)+MAX(E633,1)+MAX(F633,1)&lt;=9,OR(H633="-",AND(H633=0,D633&gt;0),AND(H633=1,E633&gt;0),AND(H633=2,F633&gt;0)),OR(I633=0,AND(I633=1,OR(J633=0,J633=1,J633=2),R633&lt;&gt;"000")),Y633&lt;=9,MIN(T633:V633)&gt;=0),"合法","输入违约")</x:f>
        <x:v>合法</x:v>
      </x:c>
    </x:row>
    <x:row r="634" ht="23" customHeight="1">
      <x:c r="A634" s="3" t="str">
        <x:v>CT-0627</x:v>
      </x:c>
      <x:c r="B634" s="3" t="str">
        <x:v>ST-094</x:v>
      </x:c>
      <x:c r="C634" s="3" t="str">
        <x:v>R+AR同收同发</x:v>
      </x:c>
      <x:c r="D634" s="25" t="n">
        <x:v>1</x:v>
      </x:c>
      <x:c r="E634" s="25" t="n">
        <x:v>1</x:v>
      </x:c>
      <x:c r="F634" s="25" t="n">
        <x:v>5</x:v>
      </x:c>
      <x:c r="G634" s="19" t="n">
        <x:f>SUM(D634:F634)</x:f>
        <x:v>7</x:v>
      </x:c>
      <x:c r="H634" s="25" t="n">
        <x:v>0</x:v>
      </x:c>
      <x:c r="I634" s="25" t="n">
        <x:v>1</x:v>
      </x:c>
      <x:c r="J634" s="25" t="n">
        <x:v>1</x:v>
      </x:c>
      <x:c r="K634" s="19" t="n">
        <x:f>D634-IF(H634=0,1,0)</x:f>
        <x:v>0</x:v>
      </x:c>
      <x:c r="L634" s="19" t="n">
        <x:f>E634-IF(H634=1,1,0)</x:f>
        <x:v>1</x:v>
      </x:c>
      <x:c r="M634" s="19" t="n">
        <x:f>F634-IF(H634=2,1,0)</x:f>
        <x:v>5</x:v>
      </x:c>
      <x:c r="N634" s="19" t="n">
        <x:f>MAX(K634-1,0)+MAX(L634-1,0)+MAX(M634-1,0)</x:f>
        <x:v>4</x:v>
      </x:c>
      <x:c r="O634" s="19" t="n">
        <x:f>IF(AND(SUM(K634:M634)&lt;9,OR(M634=0,N634&lt;6)),1,0)</x:f>
        <x:v>1</x:v>
      </x:c>
      <x:c r="P634" s="19" t="n">
        <x:f>IF(AND(SUM(K634:M634)&lt;9,OR(L634=0,N634&lt;6)),1,0)</x:f>
        <x:v>1</x:v>
      </x:c>
      <x:c r="Q634" s="19" t="n">
        <x:f>IF(AND(SUM(K634:M634)&lt;9,OR(K634=0,N634&lt;6)),1,0)</x:f>
        <x:v>1</x:v>
      </x:c>
      <x:c r="R634" s="22" t="str">
        <x:f>O634&amp;P634&amp;Q634</x:f>
        <x:v>111</x:v>
      </x:c>
      <x:c r="S634" s="19" t="n">
        <x:f>IF(I634=1,IF(J634=0,Q634,IF(J634=1,P634,IF(J634=2,O634,0))),0)</x:f>
        <x:v>1</x:v>
      </x:c>
      <x:c r="T634" s="19" t="n">
        <x:f>K634+IF(AND(S634=1,J634=0),1,0)</x:f>
        <x:v>0</x:v>
      </x:c>
      <x:c r="U634" s="19" t="n">
        <x:f>L634+IF(AND(S634=1,J634=1),1,0)</x:f>
        <x:v>2</x:v>
      </x:c>
      <x:c r="V634" s="19" t="n">
        <x:f>M634+IF(AND(S634=1,J634=2),1,0)</x:f>
        <x:v>5</x:v>
      </x:c>
      <x:c r="W634" s="19" t="n">
        <x:f>SUM(T634:V634)</x:f>
        <x:v>7</x:v>
      </x:c>
      <x:c r="X634" s="19" t="n">
        <x:f>W634-G634</x:f>
        <x:v>0</x:v>
      </x:c>
      <x:c r="Y634" s="19" t="n">
        <x:f>MAX(T634,1)+MAX(U634,1)+MAX(V634,1)</x:f>
        <x:v>8</x:v>
      </x:c>
      <x:c r="Z634" s="21" t="str">
        <x:f>IF(AND(MIN(D634:F634)&gt;=0,MAX(D634:F634)&lt;=7,MAX(D634,1)+MAX(E634,1)+MAX(F634,1)&lt;=9,OR(H634="-",AND(H634=0,D634&gt;0),AND(H634=1,E634&gt;0),AND(H634=2,F634&gt;0)),OR(I634=0,AND(I634=1,OR(J634=0,J634=1,J634=2),R634&lt;&gt;"000")),Y634&lt;=9,MIN(T634:V634)&gt;=0),"合法","输入违约")</x:f>
        <x:v>合法</x:v>
      </x:c>
    </x:row>
    <x:row r="635" ht="23" customHeight="1">
      <x:c r="A635" s="3" t="str">
        <x:v>CT-0628</x:v>
      </x:c>
      <x:c r="B635" s="3" t="str">
        <x:v>ST-094</x:v>
      </x:c>
      <x:c r="C635" s="3" t="str">
        <x:v>R+AR同收同发</x:v>
      </x:c>
      <x:c r="D635" s="25" t="n">
        <x:v>1</x:v>
      </x:c>
      <x:c r="E635" s="25" t="n">
        <x:v>1</x:v>
      </x:c>
      <x:c r="F635" s="25" t="n">
        <x:v>5</x:v>
      </x:c>
      <x:c r="G635" s="19" t="n">
        <x:f>SUM(D635:F635)</x:f>
        <x:v>7</x:v>
      </x:c>
      <x:c r="H635" s="25" t="n">
        <x:v>0</x:v>
      </x:c>
      <x:c r="I635" s="25" t="n">
        <x:v>1</x:v>
      </x:c>
      <x:c r="J635" s="25" t="n">
        <x:v>2</x:v>
      </x:c>
      <x:c r="K635" s="19" t="n">
        <x:f>D635-IF(H635=0,1,0)</x:f>
        <x:v>0</x:v>
      </x:c>
      <x:c r="L635" s="19" t="n">
        <x:f>E635-IF(H635=1,1,0)</x:f>
        <x:v>1</x:v>
      </x:c>
      <x:c r="M635" s="19" t="n">
        <x:f>F635-IF(H635=2,1,0)</x:f>
        <x:v>5</x:v>
      </x:c>
      <x:c r="N635" s="19" t="n">
        <x:f>MAX(K635-1,0)+MAX(L635-1,0)+MAX(M635-1,0)</x:f>
        <x:v>4</x:v>
      </x:c>
      <x:c r="O635" s="19" t="n">
        <x:f>IF(AND(SUM(K635:M635)&lt;9,OR(M635=0,N635&lt;6)),1,0)</x:f>
        <x:v>1</x:v>
      </x:c>
      <x:c r="P635" s="19" t="n">
        <x:f>IF(AND(SUM(K635:M635)&lt;9,OR(L635=0,N635&lt;6)),1,0)</x:f>
        <x:v>1</x:v>
      </x:c>
      <x:c r="Q635" s="19" t="n">
        <x:f>IF(AND(SUM(K635:M635)&lt;9,OR(K635=0,N635&lt;6)),1,0)</x:f>
        <x:v>1</x:v>
      </x:c>
      <x:c r="R635" s="22" t="str">
        <x:f>O635&amp;P635&amp;Q635</x:f>
        <x:v>111</x:v>
      </x:c>
      <x:c r="S635" s="19" t="n">
        <x:f>IF(I635=1,IF(J635=0,Q635,IF(J635=1,P635,IF(J635=2,O635,0))),0)</x:f>
        <x:v>1</x:v>
      </x:c>
      <x:c r="T635" s="19" t="n">
        <x:f>K635+IF(AND(S635=1,J635=0),1,0)</x:f>
        <x:v>0</x:v>
      </x:c>
      <x:c r="U635" s="19" t="n">
        <x:f>L635+IF(AND(S635=1,J635=1),1,0)</x:f>
        <x:v>1</x:v>
      </x:c>
      <x:c r="V635" s="19" t="n">
        <x:f>M635+IF(AND(S635=1,J635=2),1,0)</x:f>
        <x:v>6</x:v>
      </x:c>
      <x:c r="W635" s="19" t="n">
        <x:f>SUM(T635:V635)</x:f>
        <x:v>7</x:v>
      </x:c>
      <x:c r="X635" s="19" t="n">
        <x:f>W635-G635</x:f>
        <x:v>0</x:v>
      </x:c>
      <x:c r="Y635" s="19" t="n">
        <x:f>MAX(T635,1)+MAX(U635,1)+MAX(V635,1)</x:f>
        <x:v>8</x:v>
      </x:c>
      <x:c r="Z635" s="21" t="str">
        <x:f>IF(AND(MIN(D635:F635)&gt;=0,MAX(D635:F635)&lt;=7,MAX(D635,1)+MAX(E635,1)+MAX(F635,1)&lt;=9,OR(H635="-",AND(H635=0,D635&gt;0),AND(H635=1,E635&gt;0),AND(H635=2,F635&gt;0)),OR(I635=0,AND(I635=1,OR(J635=0,J635=1,J635=2),R635&lt;&gt;"000")),Y635&lt;=9,MIN(T635:V635)&gt;=0),"合法","输入违约")</x:f>
        <x:v>合法</x:v>
      </x:c>
    </x:row>
    <x:row r="636" ht="23" customHeight="1">
      <x:c r="A636" s="3" t="str">
        <x:v>CT-0629</x:v>
      </x:c>
      <x:c r="B636" s="3" t="str">
        <x:v>ST-094</x:v>
      </x:c>
      <x:c r="C636" s="3" t="str">
        <x:v>仅R回收</x:v>
      </x:c>
      <x:c r="D636" s="25" t="n">
        <x:v>1</x:v>
      </x:c>
      <x:c r="E636" s="25" t="n">
        <x:v>1</x:v>
      </x:c>
      <x:c r="F636" s="25" t="n">
        <x:v>5</x:v>
      </x:c>
      <x:c r="G636" s="19" t="n">
        <x:f>SUM(D636:F636)</x:f>
        <x:v>7</x:v>
      </x:c>
      <x:c r="H636" s="25" t="n">
        <x:v>1</x:v>
      </x:c>
      <x:c r="I636" s="25" t="n">
        <x:v>0</x:v>
      </x:c>
      <x:c r="J636" s="25" t="str">
        <x:v>-</x:v>
      </x:c>
      <x:c r="K636" s="19" t="n">
        <x:f>D636-IF(H636=0,1,0)</x:f>
        <x:v>1</x:v>
      </x:c>
      <x:c r="L636" s="19" t="n">
        <x:f>E636-IF(H636=1,1,0)</x:f>
        <x:v>0</x:v>
      </x:c>
      <x:c r="M636" s="19" t="n">
        <x:f>F636-IF(H636=2,1,0)</x:f>
        <x:v>5</x:v>
      </x:c>
      <x:c r="N636" s="19" t="n">
        <x:f>MAX(K636-1,0)+MAX(L636-1,0)+MAX(M636-1,0)</x:f>
        <x:v>4</x:v>
      </x:c>
      <x:c r="O636" s="19" t="n">
        <x:f>IF(AND(SUM(K636:M636)&lt;9,OR(M636=0,N636&lt;6)),1,0)</x:f>
        <x:v>1</x:v>
      </x:c>
      <x:c r="P636" s="19" t="n">
        <x:f>IF(AND(SUM(K636:M636)&lt;9,OR(L636=0,N636&lt;6)),1,0)</x:f>
        <x:v>1</x:v>
      </x:c>
      <x:c r="Q636" s="19" t="n">
        <x:f>IF(AND(SUM(K636:M636)&lt;9,OR(K636=0,N636&lt;6)),1,0)</x:f>
        <x:v>1</x:v>
      </x:c>
      <x:c r="R636" s="22" t="str">
        <x:f>O636&amp;P636&amp;Q636</x:f>
        <x:v>111</x:v>
      </x:c>
      <x:c r="S636" s="19" t="n">
        <x:f>IF(I636=1,IF(J636=0,Q636,IF(J636=1,P636,IF(J636=2,O636,0))),0)</x:f>
        <x:v>0</x:v>
      </x:c>
      <x:c r="T636" s="19" t="n">
        <x:f>K636+IF(AND(S636=1,J636=0),1,0)</x:f>
        <x:v>1</x:v>
      </x:c>
      <x:c r="U636" s="19" t="n">
        <x:f>L636+IF(AND(S636=1,J636=1),1,0)</x:f>
        <x:v>0</x:v>
      </x:c>
      <x:c r="V636" s="19" t="n">
        <x:f>M636+IF(AND(S636=1,J636=2),1,0)</x:f>
        <x:v>5</x:v>
      </x:c>
      <x:c r="W636" s="19" t="n">
        <x:f>SUM(T636:V636)</x:f>
        <x:v>6</x:v>
      </x:c>
      <x:c r="X636" s="19" t="n">
        <x:f>W636-G636</x:f>
        <x:v>-1</x:v>
      </x:c>
      <x:c r="Y636" s="19" t="n">
        <x:f>MAX(T636,1)+MAX(U636,1)+MAX(V636,1)</x:f>
        <x:v>7</x:v>
      </x:c>
      <x:c r="Z636" s="21" t="str">
        <x:f>IF(AND(MIN(D636:F636)&gt;=0,MAX(D636:F636)&lt;=7,MAX(D636,1)+MAX(E636,1)+MAX(F636,1)&lt;=9,OR(H636="-",AND(H636=0,D636&gt;0),AND(H636=1,E636&gt;0),AND(H636=2,F636&gt;0)),OR(I636=0,AND(I636=1,OR(J636=0,J636=1,J636=2),R636&lt;&gt;"000")),Y636&lt;=9,MIN(T636:V636)&gt;=0),"合法","输入违约")</x:f>
        <x:v>合法</x:v>
      </x:c>
    </x:row>
    <x:row r="637" ht="23" customHeight="1">
      <x:c r="A637" s="3" t="str">
        <x:v>CT-0630</x:v>
      </x:c>
      <x:c r="B637" s="3" t="str">
        <x:v>ST-094</x:v>
      </x:c>
      <x:c r="C637" s="3" t="str">
        <x:v>R+AR同收同发</x:v>
      </x:c>
      <x:c r="D637" s="25" t="n">
        <x:v>1</x:v>
      </x:c>
      <x:c r="E637" s="25" t="n">
        <x:v>1</x:v>
      </x:c>
      <x:c r="F637" s="25" t="n">
        <x:v>5</x:v>
      </x:c>
      <x:c r="G637" s="19" t="n">
        <x:f>SUM(D637:F637)</x:f>
        <x:v>7</x:v>
      </x:c>
      <x:c r="H637" s="25" t="n">
        <x:v>1</x:v>
      </x:c>
      <x:c r="I637" s="25" t="n">
        <x:v>1</x:v>
      </x:c>
      <x:c r="J637" s="25" t="n">
        <x:v>0</x:v>
      </x:c>
      <x:c r="K637" s="19" t="n">
        <x:f>D637-IF(H637=0,1,0)</x:f>
        <x:v>1</x:v>
      </x:c>
      <x:c r="L637" s="19" t="n">
        <x:f>E637-IF(H637=1,1,0)</x:f>
        <x:v>0</x:v>
      </x:c>
      <x:c r="M637" s="19" t="n">
        <x:f>F637-IF(H637=2,1,0)</x:f>
        <x:v>5</x:v>
      </x:c>
      <x:c r="N637" s="19" t="n">
        <x:f>MAX(K637-1,0)+MAX(L637-1,0)+MAX(M637-1,0)</x:f>
        <x:v>4</x:v>
      </x:c>
      <x:c r="O637" s="19" t="n">
        <x:f>IF(AND(SUM(K637:M637)&lt;9,OR(M637=0,N637&lt;6)),1,0)</x:f>
        <x:v>1</x:v>
      </x:c>
      <x:c r="P637" s="19" t="n">
        <x:f>IF(AND(SUM(K637:M637)&lt;9,OR(L637=0,N637&lt;6)),1,0)</x:f>
        <x:v>1</x:v>
      </x:c>
      <x:c r="Q637" s="19" t="n">
        <x:f>IF(AND(SUM(K637:M637)&lt;9,OR(K637=0,N637&lt;6)),1,0)</x:f>
        <x:v>1</x:v>
      </x:c>
      <x:c r="R637" s="22" t="str">
        <x:f>O637&amp;P637&amp;Q637</x:f>
        <x:v>111</x:v>
      </x:c>
      <x:c r="S637" s="19" t="n">
        <x:f>IF(I637=1,IF(J637=0,Q637,IF(J637=1,P637,IF(J637=2,O637,0))),0)</x:f>
        <x:v>1</x:v>
      </x:c>
      <x:c r="T637" s="19" t="n">
        <x:f>K637+IF(AND(S637=1,J637=0),1,0)</x:f>
        <x:v>2</x:v>
      </x:c>
      <x:c r="U637" s="19" t="n">
        <x:f>L637+IF(AND(S637=1,J637=1),1,0)</x:f>
        <x:v>0</x:v>
      </x:c>
      <x:c r="V637" s="19" t="n">
        <x:f>M637+IF(AND(S637=1,J637=2),1,0)</x:f>
        <x:v>5</x:v>
      </x:c>
      <x:c r="W637" s="19" t="n">
        <x:f>SUM(T637:V637)</x:f>
        <x:v>7</x:v>
      </x:c>
      <x:c r="X637" s="19" t="n">
        <x:f>W637-G637</x:f>
        <x:v>0</x:v>
      </x:c>
      <x:c r="Y637" s="19" t="n">
        <x:f>MAX(T637,1)+MAX(U637,1)+MAX(V637,1)</x:f>
        <x:v>8</x:v>
      </x:c>
      <x:c r="Z637" s="21" t="str">
        <x:f>IF(AND(MIN(D637:F637)&gt;=0,MAX(D637:F637)&lt;=7,MAX(D637,1)+MAX(E637,1)+MAX(F637,1)&lt;=9,OR(H637="-",AND(H637=0,D637&gt;0),AND(H637=1,E637&gt;0),AND(H637=2,F637&gt;0)),OR(I637=0,AND(I637=1,OR(J637=0,J637=1,J637=2),R637&lt;&gt;"000")),Y637&lt;=9,MIN(T637:V637)&gt;=0),"合法","输入违约")</x:f>
        <x:v>合法</x:v>
      </x:c>
    </x:row>
    <x:row r="638" ht="23" customHeight="1">
      <x:c r="A638" s="3" t="str">
        <x:v>CT-0631</x:v>
      </x:c>
      <x:c r="B638" s="3" t="str">
        <x:v>ST-094</x:v>
      </x:c>
      <x:c r="C638" s="3" t="str">
        <x:v>R+AR同收同发</x:v>
      </x:c>
      <x:c r="D638" s="25" t="n">
        <x:v>1</x:v>
      </x:c>
      <x:c r="E638" s="25" t="n">
        <x:v>1</x:v>
      </x:c>
      <x:c r="F638" s="25" t="n">
        <x:v>5</x:v>
      </x:c>
      <x:c r="G638" s="19" t="n">
        <x:f>SUM(D638:F638)</x:f>
        <x:v>7</x:v>
      </x:c>
      <x:c r="H638" s="25" t="n">
        <x:v>1</x:v>
      </x:c>
      <x:c r="I638" s="25" t="n">
        <x:v>1</x:v>
      </x:c>
      <x:c r="J638" s="25" t="n">
        <x:v>1</x:v>
      </x:c>
      <x:c r="K638" s="19" t="n">
        <x:f>D638-IF(H638=0,1,0)</x:f>
        <x:v>1</x:v>
      </x:c>
      <x:c r="L638" s="19" t="n">
        <x:f>E638-IF(H638=1,1,0)</x:f>
        <x:v>0</x:v>
      </x:c>
      <x:c r="M638" s="19" t="n">
        <x:f>F638-IF(H638=2,1,0)</x:f>
        <x:v>5</x:v>
      </x:c>
      <x:c r="N638" s="19" t="n">
        <x:f>MAX(K638-1,0)+MAX(L638-1,0)+MAX(M638-1,0)</x:f>
        <x:v>4</x:v>
      </x:c>
      <x:c r="O638" s="19" t="n">
        <x:f>IF(AND(SUM(K638:M638)&lt;9,OR(M638=0,N638&lt;6)),1,0)</x:f>
        <x:v>1</x:v>
      </x:c>
      <x:c r="P638" s="19" t="n">
        <x:f>IF(AND(SUM(K638:M638)&lt;9,OR(L638=0,N638&lt;6)),1,0)</x:f>
        <x:v>1</x:v>
      </x:c>
      <x:c r="Q638" s="19" t="n">
        <x:f>IF(AND(SUM(K638:M638)&lt;9,OR(K638=0,N638&lt;6)),1,0)</x:f>
        <x:v>1</x:v>
      </x:c>
      <x:c r="R638" s="22" t="str">
        <x:f>O638&amp;P638&amp;Q638</x:f>
        <x:v>111</x:v>
      </x:c>
      <x:c r="S638" s="19" t="n">
        <x:f>IF(I638=1,IF(J638=0,Q638,IF(J638=1,P638,IF(J638=2,O638,0))),0)</x:f>
        <x:v>1</x:v>
      </x:c>
      <x:c r="T638" s="19" t="n">
        <x:f>K638+IF(AND(S638=1,J638=0),1,0)</x:f>
        <x:v>1</x:v>
      </x:c>
      <x:c r="U638" s="19" t="n">
        <x:f>L638+IF(AND(S638=1,J638=1),1,0)</x:f>
        <x:v>1</x:v>
      </x:c>
      <x:c r="V638" s="19" t="n">
        <x:f>M638+IF(AND(S638=1,J638=2),1,0)</x:f>
        <x:v>5</x:v>
      </x:c>
      <x:c r="W638" s="19" t="n">
        <x:f>SUM(T638:V638)</x:f>
        <x:v>7</x:v>
      </x:c>
      <x:c r="X638" s="19" t="n">
        <x:f>W638-G638</x:f>
        <x:v>0</x:v>
      </x:c>
      <x:c r="Y638" s="19" t="n">
        <x:f>MAX(T638,1)+MAX(U638,1)+MAX(V638,1)</x:f>
        <x:v>7</x:v>
      </x:c>
      <x:c r="Z638" s="21" t="str">
        <x:f>IF(AND(MIN(D638:F638)&gt;=0,MAX(D638:F638)&lt;=7,MAX(D638,1)+MAX(E638,1)+MAX(F638,1)&lt;=9,OR(H638="-",AND(H638=0,D638&gt;0),AND(H638=1,E638&gt;0),AND(H638=2,F638&gt;0)),OR(I638=0,AND(I638=1,OR(J638=0,J638=1,J638=2),R638&lt;&gt;"000")),Y638&lt;=9,MIN(T638:V638)&gt;=0),"合法","输入违约")</x:f>
        <x:v>合法</x:v>
      </x:c>
    </x:row>
    <x:row r="639" ht="23" customHeight="1">
      <x:c r="A639" s="3" t="str">
        <x:v>CT-0632</x:v>
      </x:c>
      <x:c r="B639" s="3" t="str">
        <x:v>ST-094</x:v>
      </x:c>
      <x:c r="C639" s="3" t="str">
        <x:v>R+AR同收同发</x:v>
      </x:c>
      <x:c r="D639" s="25" t="n">
        <x:v>1</x:v>
      </x:c>
      <x:c r="E639" s="25" t="n">
        <x:v>1</x:v>
      </x:c>
      <x:c r="F639" s="25" t="n">
        <x:v>5</x:v>
      </x:c>
      <x:c r="G639" s="19" t="n">
        <x:f>SUM(D639:F639)</x:f>
        <x:v>7</x:v>
      </x:c>
      <x:c r="H639" s="25" t="n">
        <x:v>1</x:v>
      </x:c>
      <x:c r="I639" s="25" t="n">
        <x:v>1</x:v>
      </x:c>
      <x:c r="J639" s="25" t="n">
        <x:v>2</x:v>
      </x:c>
      <x:c r="K639" s="19" t="n">
        <x:f>D639-IF(H639=0,1,0)</x:f>
        <x:v>1</x:v>
      </x:c>
      <x:c r="L639" s="19" t="n">
        <x:f>E639-IF(H639=1,1,0)</x:f>
        <x:v>0</x:v>
      </x:c>
      <x:c r="M639" s="19" t="n">
        <x:f>F639-IF(H639=2,1,0)</x:f>
        <x:v>5</x:v>
      </x:c>
      <x:c r="N639" s="19" t="n">
        <x:f>MAX(K639-1,0)+MAX(L639-1,0)+MAX(M639-1,0)</x:f>
        <x:v>4</x:v>
      </x:c>
      <x:c r="O639" s="19" t="n">
        <x:f>IF(AND(SUM(K639:M639)&lt;9,OR(M639=0,N639&lt;6)),1,0)</x:f>
        <x:v>1</x:v>
      </x:c>
      <x:c r="P639" s="19" t="n">
        <x:f>IF(AND(SUM(K639:M639)&lt;9,OR(L639=0,N639&lt;6)),1,0)</x:f>
        <x:v>1</x:v>
      </x:c>
      <x:c r="Q639" s="19" t="n">
        <x:f>IF(AND(SUM(K639:M639)&lt;9,OR(K639=0,N639&lt;6)),1,0)</x:f>
        <x:v>1</x:v>
      </x:c>
      <x:c r="R639" s="22" t="str">
        <x:f>O639&amp;P639&amp;Q639</x:f>
        <x:v>111</x:v>
      </x:c>
      <x:c r="S639" s="19" t="n">
        <x:f>IF(I639=1,IF(J639=0,Q639,IF(J639=1,P639,IF(J639=2,O639,0))),0)</x:f>
        <x:v>1</x:v>
      </x:c>
      <x:c r="T639" s="19" t="n">
        <x:f>K639+IF(AND(S639=1,J639=0),1,0)</x:f>
        <x:v>1</x:v>
      </x:c>
      <x:c r="U639" s="19" t="n">
        <x:f>L639+IF(AND(S639=1,J639=1),1,0)</x:f>
        <x:v>0</x:v>
      </x:c>
      <x:c r="V639" s="19" t="n">
        <x:f>M639+IF(AND(S639=1,J639=2),1,0)</x:f>
        <x:v>6</x:v>
      </x:c>
      <x:c r="W639" s="19" t="n">
        <x:f>SUM(T639:V639)</x:f>
        <x:v>7</x:v>
      </x:c>
      <x:c r="X639" s="19" t="n">
        <x:f>W639-G639</x:f>
        <x:v>0</x:v>
      </x:c>
      <x:c r="Y639" s="19" t="n">
        <x:f>MAX(T639,1)+MAX(U639,1)+MAX(V639,1)</x:f>
        <x:v>8</x:v>
      </x:c>
      <x:c r="Z639" s="21" t="str">
        <x:f>IF(AND(MIN(D639:F639)&gt;=0,MAX(D639:F639)&lt;=7,MAX(D639,1)+MAX(E639,1)+MAX(F639,1)&lt;=9,OR(H639="-",AND(H639=0,D639&gt;0),AND(H639=1,E639&gt;0),AND(H639=2,F639&gt;0)),OR(I639=0,AND(I639=1,OR(J639=0,J639=1,J639=2),R639&lt;&gt;"000")),Y639&lt;=9,MIN(T639:V639)&gt;=0),"合法","输入违约")</x:f>
        <x:v>合法</x:v>
      </x:c>
    </x:row>
    <x:row r="640" ht="23" customHeight="1">
      <x:c r="A640" s="3" t="str">
        <x:v>CT-0633</x:v>
      </x:c>
      <x:c r="B640" s="3" t="str">
        <x:v>ST-094</x:v>
      </x:c>
      <x:c r="C640" s="3" t="str">
        <x:v>仅R回收</x:v>
      </x:c>
      <x:c r="D640" s="25" t="n">
        <x:v>1</x:v>
      </x:c>
      <x:c r="E640" s="25" t="n">
        <x:v>1</x:v>
      </x:c>
      <x:c r="F640" s="25" t="n">
        <x:v>5</x:v>
      </x:c>
      <x:c r="G640" s="19" t="n">
        <x:f>SUM(D640:F640)</x:f>
        <x:v>7</x:v>
      </x:c>
      <x:c r="H640" s="25" t="n">
        <x:v>2</x:v>
      </x:c>
      <x:c r="I640" s="25" t="n">
        <x:v>0</x:v>
      </x:c>
      <x:c r="J640" s="25" t="str">
        <x:v>-</x:v>
      </x:c>
      <x:c r="K640" s="19" t="n">
        <x:f>D640-IF(H640=0,1,0)</x:f>
        <x:v>1</x:v>
      </x:c>
      <x:c r="L640" s="19" t="n">
        <x:f>E640-IF(H640=1,1,0)</x:f>
        <x:v>1</x:v>
      </x:c>
      <x:c r="M640" s="19" t="n">
        <x:f>F640-IF(H640=2,1,0)</x:f>
        <x:v>4</x:v>
      </x:c>
      <x:c r="N640" s="19" t="n">
        <x:f>MAX(K640-1,0)+MAX(L640-1,0)+MAX(M640-1,0)</x:f>
        <x:v>3</x:v>
      </x:c>
      <x:c r="O640" s="19" t="n">
        <x:f>IF(AND(SUM(K640:M640)&lt;9,OR(M640=0,N640&lt;6)),1,0)</x:f>
        <x:v>1</x:v>
      </x:c>
      <x:c r="P640" s="19" t="n">
        <x:f>IF(AND(SUM(K640:M640)&lt;9,OR(L640=0,N640&lt;6)),1,0)</x:f>
        <x:v>1</x:v>
      </x:c>
      <x:c r="Q640" s="19" t="n">
        <x:f>IF(AND(SUM(K640:M640)&lt;9,OR(K640=0,N640&lt;6)),1,0)</x:f>
        <x:v>1</x:v>
      </x:c>
      <x:c r="R640" s="22" t="str">
        <x:f>O640&amp;P640&amp;Q640</x:f>
        <x:v>111</x:v>
      </x:c>
      <x:c r="S640" s="19" t="n">
        <x:f>IF(I640=1,IF(J640=0,Q640,IF(J640=1,P640,IF(J640=2,O640,0))),0)</x:f>
        <x:v>0</x:v>
      </x:c>
      <x:c r="T640" s="19" t="n">
        <x:f>K640+IF(AND(S640=1,J640=0),1,0)</x:f>
        <x:v>1</x:v>
      </x:c>
      <x:c r="U640" s="19" t="n">
        <x:f>L640+IF(AND(S640=1,J640=1),1,0)</x:f>
        <x:v>1</x:v>
      </x:c>
      <x:c r="V640" s="19" t="n">
        <x:f>M640+IF(AND(S640=1,J640=2),1,0)</x:f>
        <x:v>4</x:v>
      </x:c>
      <x:c r="W640" s="19" t="n">
        <x:f>SUM(T640:V640)</x:f>
        <x:v>6</x:v>
      </x:c>
      <x:c r="X640" s="19" t="n">
        <x:f>W640-G640</x:f>
        <x:v>-1</x:v>
      </x:c>
      <x:c r="Y640" s="19" t="n">
        <x:f>MAX(T640,1)+MAX(U640,1)+MAX(V640,1)</x:f>
        <x:v>6</x:v>
      </x:c>
      <x:c r="Z640" s="21" t="str">
        <x:f>IF(AND(MIN(D640:F640)&gt;=0,MAX(D640:F640)&lt;=7,MAX(D640,1)+MAX(E640,1)+MAX(F640,1)&lt;=9,OR(H640="-",AND(H640=0,D640&gt;0),AND(H640=1,E640&gt;0),AND(H640=2,F640&gt;0)),OR(I640=0,AND(I640=1,OR(J640=0,J640=1,J640=2),R640&lt;&gt;"000")),Y640&lt;=9,MIN(T640:V640)&gt;=0),"合法","输入违约")</x:f>
        <x:v>合法</x:v>
      </x:c>
    </x:row>
    <x:row r="641" ht="23" customHeight="1">
      <x:c r="A641" s="3" t="str">
        <x:v>CT-0634</x:v>
      </x:c>
      <x:c r="B641" s="3" t="str">
        <x:v>ST-094</x:v>
      </x:c>
      <x:c r="C641" s="3" t="str">
        <x:v>R+AR同收同发</x:v>
      </x:c>
      <x:c r="D641" s="25" t="n">
        <x:v>1</x:v>
      </x:c>
      <x:c r="E641" s="25" t="n">
        <x:v>1</x:v>
      </x:c>
      <x:c r="F641" s="25" t="n">
        <x:v>5</x:v>
      </x:c>
      <x:c r="G641" s="19" t="n">
        <x:f>SUM(D641:F641)</x:f>
        <x:v>7</x:v>
      </x:c>
      <x:c r="H641" s="25" t="n">
        <x:v>2</x:v>
      </x:c>
      <x:c r="I641" s="25" t="n">
        <x:v>1</x:v>
      </x:c>
      <x:c r="J641" s="25" t="n">
        <x:v>0</x:v>
      </x:c>
      <x:c r="K641" s="19" t="n">
        <x:f>D641-IF(H641=0,1,0)</x:f>
        <x:v>1</x:v>
      </x:c>
      <x:c r="L641" s="19" t="n">
        <x:f>E641-IF(H641=1,1,0)</x:f>
        <x:v>1</x:v>
      </x:c>
      <x:c r="M641" s="19" t="n">
        <x:f>F641-IF(H641=2,1,0)</x:f>
        <x:v>4</x:v>
      </x:c>
      <x:c r="N641" s="19" t="n">
        <x:f>MAX(K641-1,0)+MAX(L641-1,0)+MAX(M641-1,0)</x:f>
        <x:v>3</x:v>
      </x:c>
      <x:c r="O641" s="19" t="n">
        <x:f>IF(AND(SUM(K641:M641)&lt;9,OR(M641=0,N641&lt;6)),1,0)</x:f>
        <x:v>1</x:v>
      </x:c>
      <x:c r="P641" s="19" t="n">
        <x:f>IF(AND(SUM(K641:M641)&lt;9,OR(L641=0,N641&lt;6)),1,0)</x:f>
        <x:v>1</x:v>
      </x:c>
      <x:c r="Q641" s="19" t="n">
        <x:f>IF(AND(SUM(K641:M641)&lt;9,OR(K641=0,N641&lt;6)),1,0)</x:f>
        <x:v>1</x:v>
      </x:c>
      <x:c r="R641" s="22" t="str">
        <x:f>O641&amp;P641&amp;Q641</x:f>
        <x:v>111</x:v>
      </x:c>
      <x:c r="S641" s="19" t="n">
        <x:f>IF(I641=1,IF(J641=0,Q641,IF(J641=1,P641,IF(J641=2,O641,0))),0)</x:f>
        <x:v>1</x:v>
      </x:c>
      <x:c r="T641" s="19" t="n">
        <x:f>K641+IF(AND(S641=1,J641=0),1,0)</x:f>
        <x:v>2</x:v>
      </x:c>
      <x:c r="U641" s="19" t="n">
        <x:f>L641+IF(AND(S641=1,J641=1),1,0)</x:f>
        <x:v>1</x:v>
      </x:c>
      <x:c r="V641" s="19" t="n">
        <x:f>M641+IF(AND(S641=1,J641=2),1,0)</x:f>
        <x:v>4</x:v>
      </x:c>
      <x:c r="W641" s="19" t="n">
        <x:f>SUM(T641:V641)</x:f>
        <x:v>7</x:v>
      </x:c>
      <x:c r="X641" s="19" t="n">
        <x:f>W641-G641</x:f>
        <x:v>0</x:v>
      </x:c>
      <x:c r="Y641" s="19" t="n">
        <x:f>MAX(T641,1)+MAX(U641,1)+MAX(V641,1)</x:f>
        <x:v>7</x:v>
      </x:c>
      <x:c r="Z641" s="21" t="str">
        <x:f>IF(AND(MIN(D641:F641)&gt;=0,MAX(D641:F641)&lt;=7,MAX(D641,1)+MAX(E641,1)+MAX(F641,1)&lt;=9,OR(H641="-",AND(H641=0,D641&gt;0),AND(H641=1,E641&gt;0),AND(H641=2,F641&gt;0)),OR(I641=0,AND(I641=1,OR(J641=0,J641=1,J641=2),R641&lt;&gt;"000")),Y641&lt;=9,MIN(T641:V641)&gt;=0),"合法","输入违约")</x:f>
        <x:v>合法</x:v>
      </x:c>
    </x:row>
    <x:row r="642" ht="23" customHeight="1">
      <x:c r="A642" s="3" t="str">
        <x:v>CT-0635</x:v>
      </x:c>
      <x:c r="B642" s="3" t="str">
        <x:v>ST-094</x:v>
      </x:c>
      <x:c r="C642" s="3" t="str">
        <x:v>R+AR同收同发</x:v>
      </x:c>
      <x:c r="D642" s="25" t="n">
        <x:v>1</x:v>
      </x:c>
      <x:c r="E642" s="25" t="n">
        <x:v>1</x:v>
      </x:c>
      <x:c r="F642" s="25" t="n">
        <x:v>5</x:v>
      </x:c>
      <x:c r="G642" s="19" t="n">
        <x:f>SUM(D642:F642)</x:f>
        <x:v>7</x:v>
      </x:c>
      <x:c r="H642" s="25" t="n">
        <x:v>2</x:v>
      </x:c>
      <x:c r="I642" s="25" t="n">
        <x:v>1</x:v>
      </x:c>
      <x:c r="J642" s="25" t="n">
        <x:v>1</x:v>
      </x:c>
      <x:c r="K642" s="19" t="n">
        <x:f>D642-IF(H642=0,1,0)</x:f>
        <x:v>1</x:v>
      </x:c>
      <x:c r="L642" s="19" t="n">
        <x:f>E642-IF(H642=1,1,0)</x:f>
        <x:v>1</x:v>
      </x:c>
      <x:c r="M642" s="19" t="n">
        <x:f>F642-IF(H642=2,1,0)</x:f>
        <x:v>4</x:v>
      </x:c>
      <x:c r="N642" s="19" t="n">
        <x:f>MAX(K642-1,0)+MAX(L642-1,0)+MAX(M642-1,0)</x:f>
        <x:v>3</x:v>
      </x:c>
      <x:c r="O642" s="19" t="n">
        <x:f>IF(AND(SUM(K642:M642)&lt;9,OR(M642=0,N642&lt;6)),1,0)</x:f>
        <x:v>1</x:v>
      </x:c>
      <x:c r="P642" s="19" t="n">
        <x:f>IF(AND(SUM(K642:M642)&lt;9,OR(L642=0,N642&lt;6)),1,0)</x:f>
        <x:v>1</x:v>
      </x:c>
      <x:c r="Q642" s="19" t="n">
        <x:f>IF(AND(SUM(K642:M642)&lt;9,OR(K642=0,N642&lt;6)),1,0)</x:f>
        <x:v>1</x:v>
      </x:c>
      <x:c r="R642" s="22" t="str">
        <x:f>O642&amp;P642&amp;Q642</x:f>
        <x:v>111</x:v>
      </x:c>
      <x:c r="S642" s="19" t="n">
        <x:f>IF(I642=1,IF(J642=0,Q642,IF(J642=1,P642,IF(J642=2,O642,0))),0)</x:f>
        <x:v>1</x:v>
      </x:c>
      <x:c r="T642" s="19" t="n">
        <x:f>K642+IF(AND(S642=1,J642=0),1,0)</x:f>
        <x:v>1</x:v>
      </x:c>
      <x:c r="U642" s="19" t="n">
        <x:f>L642+IF(AND(S642=1,J642=1),1,0)</x:f>
        <x:v>2</x:v>
      </x:c>
      <x:c r="V642" s="19" t="n">
        <x:f>M642+IF(AND(S642=1,J642=2),1,0)</x:f>
        <x:v>4</x:v>
      </x:c>
      <x:c r="W642" s="19" t="n">
        <x:f>SUM(T642:V642)</x:f>
        <x:v>7</x:v>
      </x:c>
      <x:c r="X642" s="19" t="n">
        <x:f>W642-G642</x:f>
        <x:v>0</x:v>
      </x:c>
      <x:c r="Y642" s="19" t="n">
        <x:f>MAX(T642,1)+MAX(U642,1)+MAX(V642,1)</x:f>
        <x:v>7</x:v>
      </x:c>
      <x:c r="Z642" s="21" t="str">
        <x:f>IF(AND(MIN(D642:F642)&gt;=0,MAX(D642:F642)&lt;=7,MAX(D642,1)+MAX(E642,1)+MAX(F642,1)&lt;=9,OR(H642="-",AND(H642=0,D642&gt;0),AND(H642=1,E642&gt;0),AND(H642=2,F642&gt;0)),OR(I642=0,AND(I642=1,OR(J642=0,J642=1,J642=2),R642&lt;&gt;"000")),Y642&lt;=9,MIN(T642:V642)&gt;=0),"合法","输入违约")</x:f>
        <x:v>合法</x:v>
      </x:c>
    </x:row>
    <x:row r="643" ht="23" customHeight="1">
      <x:c r="A643" s="3" t="str">
        <x:v>CT-0636</x:v>
      </x:c>
      <x:c r="B643" s="3" t="str">
        <x:v>ST-094</x:v>
      </x:c>
      <x:c r="C643" s="3" t="str">
        <x:v>R+AR同收同发</x:v>
      </x:c>
      <x:c r="D643" s="25" t="n">
        <x:v>1</x:v>
      </x:c>
      <x:c r="E643" s="25" t="n">
        <x:v>1</x:v>
      </x:c>
      <x:c r="F643" s="25" t="n">
        <x:v>5</x:v>
      </x:c>
      <x:c r="G643" s="19" t="n">
        <x:f>SUM(D643:F643)</x:f>
        <x:v>7</x:v>
      </x:c>
      <x:c r="H643" s="25" t="n">
        <x:v>2</x:v>
      </x:c>
      <x:c r="I643" s="25" t="n">
        <x:v>1</x:v>
      </x:c>
      <x:c r="J643" s="25" t="n">
        <x:v>2</x:v>
      </x:c>
      <x:c r="K643" s="19" t="n">
        <x:f>D643-IF(H643=0,1,0)</x:f>
        <x:v>1</x:v>
      </x:c>
      <x:c r="L643" s="19" t="n">
        <x:f>E643-IF(H643=1,1,0)</x:f>
        <x:v>1</x:v>
      </x:c>
      <x:c r="M643" s="19" t="n">
        <x:f>F643-IF(H643=2,1,0)</x:f>
        <x:v>4</x:v>
      </x:c>
      <x:c r="N643" s="19" t="n">
        <x:f>MAX(K643-1,0)+MAX(L643-1,0)+MAX(M643-1,0)</x:f>
        <x:v>3</x:v>
      </x:c>
      <x:c r="O643" s="19" t="n">
        <x:f>IF(AND(SUM(K643:M643)&lt;9,OR(M643=0,N643&lt;6)),1,0)</x:f>
        <x:v>1</x:v>
      </x:c>
      <x:c r="P643" s="19" t="n">
        <x:f>IF(AND(SUM(K643:M643)&lt;9,OR(L643=0,N643&lt;6)),1,0)</x:f>
        <x:v>1</x:v>
      </x:c>
      <x:c r="Q643" s="19" t="n">
        <x:f>IF(AND(SUM(K643:M643)&lt;9,OR(K643=0,N643&lt;6)),1,0)</x:f>
        <x:v>1</x:v>
      </x:c>
      <x:c r="R643" s="22" t="str">
        <x:f>O643&amp;P643&amp;Q643</x:f>
        <x:v>111</x:v>
      </x:c>
      <x:c r="S643" s="19" t="n">
        <x:f>IF(I643=1,IF(J643=0,Q643,IF(J643=1,P643,IF(J643=2,O643,0))),0)</x:f>
        <x:v>1</x:v>
      </x:c>
      <x:c r="T643" s="19" t="n">
        <x:f>K643+IF(AND(S643=1,J643=0),1,0)</x:f>
        <x:v>1</x:v>
      </x:c>
      <x:c r="U643" s="19" t="n">
        <x:f>L643+IF(AND(S643=1,J643=1),1,0)</x:f>
        <x:v>1</x:v>
      </x:c>
      <x:c r="V643" s="19" t="n">
        <x:f>M643+IF(AND(S643=1,J643=2),1,0)</x:f>
        <x:v>5</x:v>
      </x:c>
      <x:c r="W643" s="19" t="n">
        <x:f>SUM(T643:V643)</x:f>
        <x:v>7</x:v>
      </x:c>
      <x:c r="X643" s="19" t="n">
        <x:f>W643-G643</x:f>
        <x:v>0</x:v>
      </x:c>
      <x:c r="Y643" s="19" t="n">
        <x:f>MAX(T643,1)+MAX(U643,1)+MAX(V643,1)</x:f>
        <x:v>7</x:v>
      </x:c>
      <x:c r="Z643" s="21" t="str">
        <x:f>IF(AND(MIN(D643:F643)&gt;=0,MAX(D643:F643)&lt;=7,MAX(D643,1)+MAX(E643,1)+MAX(F643,1)&lt;=9,OR(H643="-",AND(H643=0,D643&gt;0),AND(H643=1,E643&gt;0),AND(H643=2,F643&gt;0)),OR(I643=0,AND(I643=1,OR(J643=0,J643=1,J643=2),R643&lt;&gt;"000")),Y643&lt;=9,MIN(T643:V643)&gt;=0),"合法","输入违约")</x:f>
        <x:v>合法</x:v>
      </x:c>
    </x:row>
    <x:row r="644" ht="23" customHeight="1">
      <x:c r="A644" s="3" t="str">
        <x:v>CT-0637</x:v>
      </x:c>
      <x:c r="B644" s="3" t="str">
        <x:v>ST-129</x:v>
      </x:c>
      <x:c r="C644" s="3" t="str">
        <x:v>无AR/R</x:v>
      </x:c>
      <x:c r="D644" s="25" t="n">
        <x:v>1</x:v>
      </x:c>
      <x:c r="E644" s="25" t="n">
        <x:v>1</x:v>
      </x:c>
      <x:c r="F644" s="25" t="n">
        <x:v>6</x:v>
      </x:c>
      <x:c r="G644" s="19" t="n">
        <x:f>SUM(D644:F644)</x:f>
        <x:v>8</x:v>
      </x:c>
      <x:c r="H644" s="25" t="str">
        <x:v>-</x:v>
      </x:c>
      <x:c r="I644" s="25" t="n">
        <x:v>0</x:v>
      </x:c>
      <x:c r="J644" s="25" t="str">
        <x:v>-</x:v>
      </x:c>
      <x:c r="K644" s="19" t="n">
        <x:f>D644-IF(H644=0,1,0)</x:f>
        <x:v>1</x:v>
      </x:c>
      <x:c r="L644" s="19" t="n">
        <x:f>E644-IF(H644=1,1,0)</x:f>
        <x:v>1</x:v>
      </x:c>
      <x:c r="M644" s="19" t="n">
        <x:f>F644-IF(H644=2,1,0)</x:f>
        <x:v>6</x:v>
      </x:c>
      <x:c r="N644" s="19" t="n">
        <x:f>MAX(K644-1,0)+MAX(L644-1,0)+MAX(M644-1,0)</x:f>
        <x:v>5</x:v>
      </x:c>
      <x:c r="O644" s="19" t="n">
        <x:f>IF(AND(SUM(K644:M644)&lt;9,OR(M644=0,N644&lt;6)),1,0)</x:f>
        <x:v>1</x:v>
      </x:c>
      <x:c r="P644" s="19" t="n">
        <x:f>IF(AND(SUM(K644:M644)&lt;9,OR(L644=0,N644&lt;6)),1,0)</x:f>
        <x:v>1</x:v>
      </x:c>
      <x:c r="Q644" s="19" t="n">
        <x:f>IF(AND(SUM(K644:M644)&lt;9,OR(K644=0,N644&lt;6)),1,0)</x:f>
        <x:v>1</x:v>
      </x:c>
      <x:c r="R644" s="22" t="str">
        <x:f>O644&amp;P644&amp;Q644</x:f>
        <x:v>111</x:v>
      </x:c>
      <x:c r="S644" s="19" t="n">
        <x:f>IF(I644=1,IF(J644=0,Q644,IF(J644=1,P644,IF(J644=2,O644,0))),0)</x:f>
        <x:v>0</x:v>
      </x:c>
      <x:c r="T644" s="19" t="n">
        <x:f>K644+IF(AND(S644=1,J644=0),1,0)</x:f>
        <x:v>1</x:v>
      </x:c>
      <x:c r="U644" s="19" t="n">
        <x:f>L644+IF(AND(S644=1,J644=1),1,0)</x:f>
        <x:v>1</x:v>
      </x:c>
      <x:c r="V644" s="19" t="n">
        <x:f>M644+IF(AND(S644=1,J644=2),1,0)</x:f>
        <x:v>6</x:v>
      </x:c>
      <x:c r="W644" s="19" t="n">
        <x:f>SUM(T644:V644)</x:f>
        <x:v>8</x:v>
      </x:c>
      <x:c r="X644" s="19" t="n">
        <x:f>W644-G644</x:f>
        <x:v>0</x:v>
      </x:c>
      <x:c r="Y644" s="19" t="n">
        <x:f>MAX(T644,1)+MAX(U644,1)+MAX(V644,1)</x:f>
        <x:v>8</x:v>
      </x:c>
      <x:c r="Z644" s="21" t="str">
        <x:f>IF(AND(MIN(D644:F644)&gt;=0,MAX(D644:F644)&lt;=7,MAX(D644,1)+MAX(E644,1)+MAX(F644,1)&lt;=9,OR(H644="-",AND(H644=0,D644&gt;0),AND(H644=1,E644&gt;0),AND(H644=2,F644&gt;0)),OR(I644=0,AND(I644=1,OR(J644=0,J644=1,J644=2),R644&lt;&gt;"000")),Y644&lt;=9,MIN(T644:V644)&gt;=0),"合法","输入违约")</x:f>
        <x:v>合法</x:v>
      </x:c>
    </x:row>
    <x:row r="645" ht="23" customHeight="1">
      <x:c r="A645" s="3" t="str">
        <x:v>CT-0638</x:v>
      </x:c>
      <x:c r="B645" s="3" t="str">
        <x:v>ST-129</x:v>
      </x:c>
      <x:c r="C645" s="3" t="str">
        <x:v>仅AR接收</x:v>
      </x:c>
      <x:c r="D645" s="25" t="n">
        <x:v>1</x:v>
      </x:c>
      <x:c r="E645" s="25" t="n">
        <x:v>1</x:v>
      </x:c>
      <x:c r="F645" s="25" t="n">
        <x:v>6</x:v>
      </x:c>
      <x:c r="G645" s="19" t="n">
        <x:f>SUM(D645:F645)</x:f>
        <x:v>8</x:v>
      </x:c>
      <x:c r="H645" s="25" t="str">
        <x:v>-</x:v>
      </x:c>
      <x:c r="I645" s="25" t="n">
        <x:v>1</x:v>
      </x:c>
      <x:c r="J645" s="25" t="n">
        <x:v>0</x:v>
      </x:c>
      <x:c r="K645" s="19" t="n">
        <x:f>D645-IF(H645=0,1,0)</x:f>
        <x:v>1</x:v>
      </x:c>
      <x:c r="L645" s="19" t="n">
        <x:f>E645-IF(H645=1,1,0)</x:f>
        <x:v>1</x:v>
      </x:c>
      <x:c r="M645" s="19" t="n">
        <x:f>F645-IF(H645=2,1,0)</x:f>
        <x:v>6</x:v>
      </x:c>
      <x:c r="N645" s="19" t="n">
        <x:f>MAX(K645-1,0)+MAX(L645-1,0)+MAX(M645-1,0)</x:f>
        <x:v>5</x:v>
      </x:c>
      <x:c r="O645" s="19" t="n">
        <x:f>IF(AND(SUM(K645:M645)&lt;9,OR(M645=0,N645&lt;6)),1,0)</x:f>
        <x:v>1</x:v>
      </x:c>
      <x:c r="P645" s="19" t="n">
        <x:f>IF(AND(SUM(K645:M645)&lt;9,OR(L645=0,N645&lt;6)),1,0)</x:f>
        <x:v>1</x:v>
      </x:c>
      <x:c r="Q645" s="19" t="n">
        <x:f>IF(AND(SUM(K645:M645)&lt;9,OR(K645=0,N645&lt;6)),1,0)</x:f>
        <x:v>1</x:v>
      </x:c>
      <x:c r="R645" s="22" t="str">
        <x:f>O645&amp;P645&amp;Q645</x:f>
        <x:v>111</x:v>
      </x:c>
      <x:c r="S645" s="19" t="n">
        <x:f>IF(I645=1,IF(J645=0,Q645,IF(J645=1,P645,IF(J645=2,O645,0))),0)</x:f>
        <x:v>1</x:v>
      </x:c>
      <x:c r="T645" s="19" t="n">
        <x:f>K645+IF(AND(S645=1,J645=0),1,0)</x:f>
        <x:v>2</x:v>
      </x:c>
      <x:c r="U645" s="19" t="n">
        <x:f>L645+IF(AND(S645=1,J645=1),1,0)</x:f>
        <x:v>1</x:v>
      </x:c>
      <x:c r="V645" s="19" t="n">
        <x:f>M645+IF(AND(S645=1,J645=2),1,0)</x:f>
        <x:v>6</x:v>
      </x:c>
      <x:c r="W645" s="19" t="n">
        <x:f>SUM(T645:V645)</x:f>
        <x:v>9</x:v>
      </x:c>
      <x:c r="X645" s="19" t="n">
        <x:f>W645-G645</x:f>
        <x:v>1</x:v>
      </x:c>
      <x:c r="Y645" s="19" t="n">
        <x:f>MAX(T645,1)+MAX(U645,1)+MAX(V645,1)</x:f>
        <x:v>9</x:v>
      </x:c>
      <x:c r="Z645" s="21" t="str">
        <x:f>IF(AND(MIN(D645:F645)&gt;=0,MAX(D645:F645)&lt;=7,MAX(D645,1)+MAX(E645,1)+MAX(F645,1)&lt;=9,OR(H645="-",AND(H645=0,D645&gt;0),AND(H645=1,E645&gt;0),AND(H645=2,F645&gt;0)),OR(I645=0,AND(I645=1,OR(J645=0,J645=1,J645=2),R645&lt;&gt;"000")),Y645&lt;=9,MIN(T645:V645)&gt;=0),"合法","输入违约")</x:f>
        <x:v>合法</x:v>
      </x:c>
    </x:row>
    <x:row r="646" ht="23" customHeight="1">
      <x:c r="A646" s="3" t="str">
        <x:v>CT-0639</x:v>
      </x:c>
      <x:c r="B646" s="3" t="str">
        <x:v>ST-129</x:v>
      </x:c>
      <x:c r="C646" s="3" t="str">
        <x:v>仅AR接收</x:v>
      </x:c>
      <x:c r="D646" s="25" t="n">
        <x:v>1</x:v>
      </x:c>
      <x:c r="E646" s="25" t="n">
        <x:v>1</x:v>
      </x:c>
      <x:c r="F646" s="25" t="n">
        <x:v>6</x:v>
      </x:c>
      <x:c r="G646" s="19" t="n">
        <x:f>SUM(D646:F646)</x:f>
        <x:v>8</x:v>
      </x:c>
      <x:c r="H646" s="25" t="str">
        <x:v>-</x:v>
      </x:c>
      <x:c r="I646" s="25" t="n">
        <x:v>1</x:v>
      </x:c>
      <x:c r="J646" s="25" t="n">
        <x:v>1</x:v>
      </x:c>
      <x:c r="K646" s="19" t="n">
        <x:f>D646-IF(H646=0,1,0)</x:f>
        <x:v>1</x:v>
      </x:c>
      <x:c r="L646" s="19" t="n">
        <x:f>E646-IF(H646=1,1,0)</x:f>
        <x:v>1</x:v>
      </x:c>
      <x:c r="M646" s="19" t="n">
        <x:f>F646-IF(H646=2,1,0)</x:f>
        <x:v>6</x:v>
      </x:c>
      <x:c r="N646" s="19" t="n">
        <x:f>MAX(K646-1,0)+MAX(L646-1,0)+MAX(M646-1,0)</x:f>
        <x:v>5</x:v>
      </x:c>
      <x:c r="O646" s="19" t="n">
        <x:f>IF(AND(SUM(K646:M646)&lt;9,OR(M646=0,N646&lt;6)),1,0)</x:f>
        <x:v>1</x:v>
      </x:c>
      <x:c r="P646" s="19" t="n">
        <x:f>IF(AND(SUM(K646:M646)&lt;9,OR(L646=0,N646&lt;6)),1,0)</x:f>
        <x:v>1</x:v>
      </x:c>
      <x:c r="Q646" s="19" t="n">
        <x:f>IF(AND(SUM(K646:M646)&lt;9,OR(K646=0,N646&lt;6)),1,0)</x:f>
        <x:v>1</x:v>
      </x:c>
      <x:c r="R646" s="22" t="str">
        <x:f>O646&amp;P646&amp;Q646</x:f>
        <x:v>111</x:v>
      </x:c>
      <x:c r="S646" s="19" t="n">
        <x:f>IF(I646=1,IF(J646=0,Q646,IF(J646=1,P646,IF(J646=2,O646,0))),0)</x:f>
        <x:v>1</x:v>
      </x:c>
      <x:c r="T646" s="19" t="n">
        <x:f>K646+IF(AND(S646=1,J646=0),1,0)</x:f>
        <x:v>1</x:v>
      </x:c>
      <x:c r="U646" s="19" t="n">
        <x:f>L646+IF(AND(S646=1,J646=1),1,0)</x:f>
        <x:v>2</x:v>
      </x:c>
      <x:c r="V646" s="19" t="n">
        <x:f>M646+IF(AND(S646=1,J646=2),1,0)</x:f>
        <x:v>6</x:v>
      </x:c>
      <x:c r="W646" s="19" t="n">
        <x:f>SUM(T646:V646)</x:f>
        <x:v>9</x:v>
      </x:c>
      <x:c r="X646" s="19" t="n">
        <x:f>W646-G646</x:f>
        <x:v>1</x:v>
      </x:c>
      <x:c r="Y646" s="19" t="n">
        <x:f>MAX(T646,1)+MAX(U646,1)+MAX(V646,1)</x:f>
        <x:v>9</x:v>
      </x:c>
      <x:c r="Z646" s="21" t="str">
        <x:f>IF(AND(MIN(D646:F646)&gt;=0,MAX(D646:F646)&lt;=7,MAX(D646,1)+MAX(E646,1)+MAX(F646,1)&lt;=9,OR(H646="-",AND(H646=0,D646&gt;0),AND(H646=1,E646&gt;0),AND(H646=2,F646&gt;0)),OR(I646=0,AND(I646=1,OR(J646=0,J646=1,J646=2),R646&lt;&gt;"000")),Y646&lt;=9,MIN(T646:V646)&gt;=0),"合法","输入违约")</x:f>
        <x:v>合法</x:v>
      </x:c>
    </x:row>
    <x:row r="647" ht="23" customHeight="1">
      <x:c r="A647" s="3" t="str">
        <x:v>CT-0640</x:v>
      </x:c>
      <x:c r="B647" s="3" t="str">
        <x:v>ST-129</x:v>
      </x:c>
      <x:c r="C647" s="3" t="str">
        <x:v>仅AR接收</x:v>
      </x:c>
      <x:c r="D647" s="25" t="n">
        <x:v>1</x:v>
      </x:c>
      <x:c r="E647" s="25" t="n">
        <x:v>1</x:v>
      </x:c>
      <x:c r="F647" s="25" t="n">
        <x:v>6</x:v>
      </x:c>
      <x:c r="G647" s="19" t="n">
        <x:f>SUM(D647:F647)</x:f>
        <x:v>8</x:v>
      </x:c>
      <x:c r="H647" s="25" t="str">
        <x:v>-</x:v>
      </x:c>
      <x:c r="I647" s="25" t="n">
        <x:v>1</x:v>
      </x:c>
      <x:c r="J647" s="25" t="n">
        <x:v>2</x:v>
      </x:c>
      <x:c r="K647" s="19" t="n">
        <x:f>D647-IF(H647=0,1,0)</x:f>
        <x:v>1</x:v>
      </x:c>
      <x:c r="L647" s="19" t="n">
        <x:f>E647-IF(H647=1,1,0)</x:f>
        <x:v>1</x:v>
      </x:c>
      <x:c r="M647" s="19" t="n">
        <x:f>F647-IF(H647=2,1,0)</x:f>
        <x:v>6</x:v>
      </x:c>
      <x:c r="N647" s="19" t="n">
        <x:f>MAX(K647-1,0)+MAX(L647-1,0)+MAX(M647-1,0)</x:f>
        <x:v>5</x:v>
      </x:c>
      <x:c r="O647" s="19" t="n">
        <x:f>IF(AND(SUM(K647:M647)&lt;9,OR(M647=0,N647&lt;6)),1,0)</x:f>
        <x:v>1</x:v>
      </x:c>
      <x:c r="P647" s="19" t="n">
        <x:f>IF(AND(SUM(K647:M647)&lt;9,OR(L647=0,N647&lt;6)),1,0)</x:f>
        <x:v>1</x:v>
      </x:c>
      <x:c r="Q647" s="19" t="n">
        <x:f>IF(AND(SUM(K647:M647)&lt;9,OR(K647=0,N647&lt;6)),1,0)</x:f>
        <x:v>1</x:v>
      </x:c>
      <x:c r="R647" s="22" t="str">
        <x:f>O647&amp;P647&amp;Q647</x:f>
        <x:v>111</x:v>
      </x:c>
      <x:c r="S647" s="19" t="n">
        <x:f>IF(I647=1,IF(J647=0,Q647,IF(J647=1,P647,IF(J647=2,O647,0))),0)</x:f>
        <x:v>1</x:v>
      </x:c>
      <x:c r="T647" s="19" t="n">
        <x:f>K647+IF(AND(S647=1,J647=0),1,0)</x:f>
        <x:v>1</x:v>
      </x:c>
      <x:c r="U647" s="19" t="n">
        <x:f>L647+IF(AND(S647=1,J647=1),1,0)</x:f>
        <x:v>1</x:v>
      </x:c>
      <x:c r="V647" s="19" t="n">
        <x:f>M647+IF(AND(S647=1,J647=2),1,0)</x:f>
        <x:v>7</x:v>
      </x:c>
      <x:c r="W647" s="19" t="n">
        <x:f>SUM(T647:V647)</x:f>
        <x:v>9</x:v>
      </x:c>
      <x:c r="X647" s="19" t="n">
        <x:f>W647-G647</x:f>
        <x:v>1</x:v>
      </x:c>
      <x:c r="Y647" s="19" t="n">
        <x:f>MAX(T647,1)+MAX(U647,1)+MAX(V647,1)</x:f>
        <x:v>9</x:v>
      </x:c>
      <x:c r="Z647" s="21" t="str">
        <x:f>IF(AND(MIN(D647:F647)&gt;=0,MAX(D647:F647)&lt;=7,MAX(D647,1)+MAX(E647,1)+MAX(F647,1)&lt;=9,OR(H647="-",AND(H647=0,D647&gt;0),AND(H647=1,E647&gt;0),AND(H647=2,F647&gt;0)),OR(I647=0,AND(I647=1,OR(J647=0,J647=1,J647=2),R647&lt;&gt;"000")),Y647&lt;=9,MIN(T647:V647)&gt;=0),"合法","输入违约")</x:f>
        <x:v>合法</x:v>
      </x:c>
    </x:row>
    <x:row r="648" ht="23" customHeight="1">
      <x:c r="A648" s="3" t="str">
        <x:v>CT-0641</x:v>
      </x:c>
      <x:c r="B648" s="3" t="str">
        <x:v>ST-129</x:v>
      </x:c>
      <x:c r="C648" s="3" t="str">
        <x:v>仅R回收</x:v>
      </x:c>
      <x:c r="D648" s="25" t="n">
        <x:v>1</x:v>
      </x:c>
      <x:c r="E648" s="25" t="n">
        <x:v>1</x:v>
      </x:c>
      <x:c r="F648" s="25" t="n">
        <x:v>6</x:v>
      </x:c>
      <x:c r="G648" s="19" t="n">
        <x:f>SUM(D648:F648)</x:f>
        <x:v>8</x:v>
      </x:c>
      <x:c r="H648" s="25" t="n">
        <x:v>0</x:v>
      </x:c>
      <x:c r="I648" s="25" t="n">
        <x:v>0</x:v>
      </x:c>
      <x:c r="J648" s="25" t="str">
        <x:v>-</x:v>
      </x:c>
      <x:c r="K648" s="19" t="n">
        <x:f>D648-IF(H648=0,1,0)</x:f>
        <x:v>0</x:v>
      </x:c>
      <x:c r="L648" s="19" t="n">
        <x:f>E648-IF(H648=1,1,0)</x:f>
        <x:v>1</x:v>
      </x:c>
      <x:c r="M648" s="19" t="n">
        <x:f>F648-IF(H648=2,1,0)</x:f>
        <x:v>6</x:v>
      </x:c>
      <x:c r="N648" s="19" t="n">
        <x:f>MAX(K648-1,0)+MAX(L648-1,0)+MAX(M648-1,0)</x:f>
        <x:v>5</x:v>
      </x:c>
      <x:c r="O648" s="19" t="n">
        <x:f>IF(AND(SUM(K648:M648)&lt;9,OR(M648=0,N648&lt;6)),1,0)</x:f>
        <x:v>1</x:v>
      </x:c>
      <x:c r="P648" s="19" t="n">
        <x:f>IF(AND(SUM(K648:M648)&lt;9,OR(L648=0,N648&lt;6)),1,0)</x:f>
        <x:v>1</x:v>
      </x:c>
      <x:c r="Q648" s="19" t="n">
        <x:f>IF(AND(SUM(K648:M648)&lt;9,OR(K648=0,N648&lt;6)),1,0)</x:f>
        <x:v>1</x:v>
      </x:c>
      <x:c r="R648" s="22" t="str">
        <x:f>O648&amp;P648&amp;Q648</x:f>
        <x:v>111</x:v>
      </x:c>
      <x:c r="S648" s="19" t="n">
        <x:f>IF(I648=1,IF(J648=0,Q648,IF(J648=1,P648,IF(J648=2,O648,0))),0)</x:f>
        <x:v>0</x:v>
      </x:c>
      <x:c r="T648" s="19" t="n">
        <x:f>K648+IF(AND(S648=1,J648=0),1,0)</x:f>
        <x:v>0</x:v>
      </x:c>
      <x:c r="U648" s="19" t="n">
        <x:f>L648+IF(AND(S648=1,J648=1),1,0)</x:f>
        <x:v>1</x:v>
      </x:c>
      <x:c r="V648" s="19" t="n">
        <x:f>M648+IF(AND(S648=1,J648=2),1,0)</x:f>
        <x:v>6</x:v>
      </x:c>
      <x:c r="W648" s="19" t="n">
        <x:f>SUM(T648:V648)</x:f>
        <x:v>7</x:v>
      </x:c>
      <x:c r="X648" s="19" t="n">
        <x:f>W648-G648</x:f>
        <x:v>-1</x:v>
      </x:c>
      <x:c r="Y648" s="19" t="n">
        <x:f>MAX(T648,1)+MAX(U648,1)+MAX(V648,1)</x:f>
        <x:v>8</x:v>
      </x:c>
      <x:c r="Z648" s="21" t="str">
        <x:f>IF(AND(MIN(D648:F648)&gt;=0,MAX(D648:F648)&lt;=7,MAX(D648,1)+MAX(E648,1)+MAX(F648,1)&lt;=9,OR(H648="-",AND(H648=0,D648&gt;0),AND(H648=1,E648&gt;0),AND(H648=2,F648&gt;0)),OR(I648=0,AND(I648=1,OR(J648=0,J648=1,J648=2),R648&lt;&gt;"000")),Y648&lt;=9,MIN(T648:V648)&gt;=0),"合法","输入违约")</x:f>
        <x:v>合法</x:v>
      </x:c>
    </x:row>
    <x:row r="649" ht="23" customHeight="1">
      <x:c r="A649" s="3" t="str">
        <x:v>CT-0642</x:v>
      </x:c>
      <x:c r="B649" s="3" t="str">
        <x:v>ST-129</x:v>
      </x:c>
      <x:c r="C649" s="3" t="str">
        <x:v>R+AR同收同发</x:v>
      </x:c>
      <x:c r="D649" s="25" t="n">
        <x:v>1</x:v>
      </x:c>
      <x:c r="E649" s="25" t="n">
        <x:v>1</x:v>
      </x:c>
      <x:c r="F649" s="25" t="n">
        <x:v>6</x:v>
      </x:c>
      <x:c r="G649" s="19" t="n">
        <x:f>SUM(D649:F649)</x:f>
        <x:v>8</x:v>
      </x:c>
      <x:c r="H649" s="25" t="n">
        <x:v>0</x:v>
      </x:c>
      <x:c r="I649" s="25" t="n">
        <x:v>1</x:v>
      </x:c>
      <x:c r="J649" s="25" t="n">
        <x:v>0</x:v>
      </x:c>
      <x:c r="K649" s="19" t="n">
        <x:f>D649-IF(H649=0,1,0)</x:f>
        <x:v>0</x:v>
      </x:c>
      <x:c r="L649" s="19" t="n">
        <x:f>E649-IF(H649=1,1,0)</x:f>
        <x:v>1</x:v>
      </x:c>
      <x:c r="M649" s="19" t="n">
        <x:f>F649-IF(H649=2,1,0)</x:f>
        <x:v>6</x:v>
      </x:c>
      <x:c r="N649" s="19" t="n">
        <x:f>MAX(K649-1,0)+MAX(L649-1,0)+MAX(M649-1,0)</x:f>
        <x:v>5</x:v>
      </x:c>
      <x:c r="O649" s="19" t="n">
        <x:f>IF(AND(SUM(K649:M649)&lt;9,OR(M649=0,N649&lt;6)),1,0)</x:f>
        <x:v>1</x:v>
      </x:c>
      <x:c r="P649" s="19" t="n">
        <x:f>IF(AND(SUM(K649:M649)&lt;9,OR(L649=0,N649&lt;6)),1,0)</x:f>
        <x:v>1</x:v>
      </x:c>
      <x:c r="Q649" s="19" t="n">
        <x:f>IF(AND(SUM(K649:M649)&lt;9,OR(K649=0,N649&lt;6)),1,0)</x:f>
        <x:v>1</x:v>
      </x:c>
      <x:c r="R649" s="22" t="str">
        <x:f>O649&amp;P649&amp;Q649</x:f>
        <x:v>111</x:v>
      </x:c>
      <x:c r="S649" s="19" t="n">
        <x:f>IF(I649=1,IF(J649=0,Q649,IF(J649=1,P649,IF(J649=2,O649,0))),0)</x:f>
        <x:v>1</x:v>
      </x:c>
      <x:c r="T649" s="19" t="n">
        <x:f>K649+IF(AND(S649=1,J649=0),1,0)</x:f>
        <x:v>1</x:v>
      </x:c>
      <x:c r="U649" s="19" t="n">
        <x:f>L649+IF(AND(S649=1,J649=1),1,0)</x:f>
        <x:v>1</x:v>
      </x:c>
      <x:c r="V649" s="19" t="n">
        <x:f>M649+IF(AND(S649=1,J649=2),1,0)</x:f>
        <x:v>6</x:v>
      </x:c>
      <x:c r="W649" s="19" t="n">
        <x:f>SUM(T649:V649)</x:f>
        <x:v>8</x:v>
      </x:c>
      <x:c r="X649" s="19" t="n">
        <x:f>W649-G649</x:f>
        <x:v>0</x:v>
      </x:c>
      <x:c r="Y649" s="19" t="n">
        <x:f>MAX(T649,1)+MAX(U649,1)+MAX(V649,1)</x:f>
        <x:v>8</x:v>
      </x:c>
      <x:c r="Z649" s="21" t="str">
        <x:f>IF(AND(MIN(D649:F649)&gt;=0,MAX(D649:F649)&lt;=7,MAX(D649,1)+MAX(E649,1)+MAX(F649,1)&lt;=9,OR(H649="-",AND(H649=0,D649&gt;0),AND(H649=1,E649&gt;0),AND(H649=2,F649&gt;0)),OR(I649=0,AND(I649=1,OR(J649=0,J649=1,J649=2),R649&lt;&gt;"000")),Y649&lt;=9,MIN(T649:V649)&gt;=0),"合法","输入违约")</x:f>
        <x:v>合法</x:v>
      </x:c>
    </x:row>
    <x:row r="650" ht="23" customHeight="1">
      <x:c r="A650" s="3" t="str">
        <x:v>CT-0643</x:v>
      </x:c>
      <x:c r="B650" s="3" t="str">
        <x:v>ST-129</x:v>
      </x:c>
      <x:c r="C650" s="3" t="str">
        <x:v>R+AR同收同发</x:v>
      </x:c>
      <x:c r="D650" s="25" t="n">
        <x:v>1</x:v>
      </x:c>
      <x:c r="E650" s="25" t="n">
        <x:v>1</x:v>
      </x:c>
      <x:c r="F650" s="25" t="n">
        <x:v>6</x:v>
      </x:c>
      <x:c r="G650" s="19" t="n">
        <x:f>SUM(D650:F650)</x:f>
        <x:v>8</x:v>
      </x:c>
      <x:c r="H650" s="25" t="n">
        <x:v>0</x:v>
      </x:c>
      <x:c r="I650" s="25" t="n">
        <x:v>1</x:v>
      </x:c>
      <x:c r="J650" s="25" t="n">
        <x:v>1</x:v>
      </x:c>
      <x:c r="K650" s="19" t="n">
        <x:f>D650-IF(H650=0,1,0)</x:f>
        <x:v>0</x:v>
      </x:c>
      <x:c r="L650" s="19" t="n">
        <x:f>E650-IF(H650=1,1,0)</x:f>
        <x:v>1</x:v>
      </x:c>
      <x:c r="M650" s="19" t="n">
        <x:f>F650-IF(H650=2,1,0)</x:f>
        <x:v>6</x:v>
      </x:c>
      <x:c r="N650" s="19" t="n">
        <x:f>MAX(K650-1,0)+MAX(L650-1,0)+MAX(M650-1,0)</x:f>
        <x:v>5</x:v>
      </x:c>
      <x:c r="O650" s="19" t="n">
        <x:f>IF(AND(SUM(K650:M650)&lt;9,OR(M650=0,N650&lt;6)),1,0)</x:f>
        <x:v>1</x:v>
      </x:c>
      <x:c r="P650" s="19" t="n">
        <x:f>IF(AND(SUM(K650:M650)&lt;9,OR(L650=0,N650&lt;6)),1,0)</x:f>
        <x:v>1</x:v>
      </x:c>
      <x:c r="Q650" s="19" t="n">
        <x:f>IF(AND(SUM(K650:M650)&lt;9,OR(K650=0,N650&lt;6)),1,0)</x:f>
        <x:v>1</x:v>
      </x:c>
      <x:c r="R650" s="22" t="str">
        <x:f>O650&amp;P650&amp;Q650</x:f>
        <x:v>111</x:v>
      </x:c>
      <x:c r="S650" s="19" t="n">
        <x:f>IF(I650=1,IF(J650=0,Q650,IF(J650=1,P650,IF(J650=2,O650,0))),0)</x:f>
        <x:v>1</x:v>
      </x:c>
      <x:c r="T650" s="19" t="n">
        <x:f>K650+IF(AND(S650=1,J650=0),1,0)</x:f>
        <x:v>0</x:v>
      </x:c>
      <x:c r="U650" s="19" t="n">
        <x:f>L650+IF(AND(S650=1,J650=1),1,0)</x:f>
        <x:v>2</x:v>
      </x:c>
      <x:c r="V650" s="19" t="n">
        <x:f>M650+IF(AND(S650=1,J650=2),1,0)</x:f>
        <x:v>6</x:v>
      </x:c>
      <x:c r="W650" s="19" t="n">
        <x:f>SUM(T650:V650)</x:f>
        <x:v>8</x:v>
      </x:c>
      <x:c r="X650" s="19" t="n">
        <x:f>W650-G650</x:f>
        <x:v>0</x:v>
      </x:c>
      <x:c r="Y650" s="19" t="n">
        <x:f>MAX(T650,1)+MAX(U650,1)+MAX(V650,1)</x:f>
        <x:v>9</x:v>
      </x:c>
      <x:c r="Z650" s="21" t="str">
        <x:f>IF(AND(MIN(D650:F650)&gt;=0,MAX(D650:F650)&lt;=7,MAX(D650,1)+MAX(E650,1)+MAX(F650,1)&lt;=9,OR(H650="-",AND(H650=0,D650&gt;0),AND(H650=1,E650&gt;0),AND(H650=2,F650&gt;0)),OR(I650=0,AND(I650=1,OR(J650=0,J650=1,J650=2),R650&lt;&gt;"000")),Y650&lt;=9,MIN(T650:V650)&gt;=0),"合法","输入违约")</x:f>
        <x:v>合法</x:v>
      </x:c>
    </x:row>
    <x:row r="651" ht="23" customHeight="1">
      <x:c r="A651" s="3" t="str">
        <x:v>CT-0644</x:v>
      </x:c>
      <x:c r="B651" s="3" t="str">
        <x:v>ST-129</x:v>
      </x:c>
      <x:c r="C651" s="3" t="str">
        <x:v>R+AR同收同发</x:v>
      </x:c>
      <x:c r="D651" s="25" t="n">
        <x:v>1</x:v>
      </x:c>
      <x:c r="E651" s="25" t="n">
        <x:v>1</x:v>
      </x:c>
      <x:c r="F651" s="25" t="n">
        <x:v>6</x:v>
      </x:c>
      <x:c r="G651" s="19" t="n">
        <x:f>SUM(D651:F651)</x:f>
        <x:v>8</x:v>
      </x:c>
      <x:c r="H651" s="25" t="n">
        <x:v>0</x:v>
      </x:c>
      <x:c r="I651" s="25" t="n">
        <x:v>1</x:v>
      </x:c>
      <x:c r="J651" s="25" t="n">
        <x:v>2</x:v>
      </x:c>
      <x:c r="K651" s="19" t="n">
        <x:f>D651-IF(H651=0,1,0)</x:f>
        <x:v>0</x:v>
      </x:c>
      <x:c r="L651" s="19" t="n">
        <x:f>E651-IF(H651=1,1,0)</x:f>
        <x:v>1</x:v>
      </x:c>
      <x:c r="M651" s="19" t="n">
        <x:f>F651-IF(H651=2,1,0)</x:f>
        <x:v>6</x:v>
      </x:c>
      <x:c r="N651" s="19" t="n">
        <x:f>MAX(K651-1,0)+MAX(L651-1,0)+MAX(M651-1,0)</x:f>
        <x:v>5</x:v>
      </x:c>
      <x:c r="O651" s="19" t="n">
        <x:f>IF(AND(SUM(K651:M651)&lt;9,OR(M651=0,N651&lt;6)),1,0)</x:f>
        <x:v>1</x:v>
      </x:c>
      <x:c r="P651" s="19" t="n">
        <x:f>IF(AND(SUM(K651:M651)&lt;9,OR(L651=0,N651&lt;6)),1,0)</x:f>
        <x:v>1</x:v>
      </x:c>
      <x:c r="Q651" s="19" t="n">
        <x:f>IF(AND(SUM(K651:M651)&lt;9,OR(K651=0,N651&lt;6)),1,0)</x:f>
        <x:v>1</x:v>
      </x:c>
      <x:c r="R651" s="22" t="str">
        <x:f>O651&amp;P651&amp;Q651</x:f>
        <x:v>111</x:v>
      </x:c>
      <x:c r="S651" s="19" t="n">
        <x:f>IF(I651=1,IF(J651=0,Q651,IF(J651=1,P651,IF(J651=2,O651,0))),0)</x:f>
        <x:v>1</x:v>
      </x:c>
      <x:c r="T651" s="19" t="n">
        <x:f>K651+IF(AND(S651=1,J651=0),1,0)</x:f>
        <x:v>0</x:v>
      </x:c>
      <x:c r="U651" s="19" t="n">
        <x:f>L651+IF(AND(S651=1,J651=1),1,0)</x:f>
        <x:v>1</x:v>
      </x:c>
      <x:c r="V651" s="19" t="n">
        <x:f>M651+IF(AND(S651=1,J651=2),1,0)</x:f>
        <x:v>7</x:v>
      </x:c>
      <x:c r="W651" s="19" t="n">
        <x:f>SUM(T651:V651)</x:f>
        <x:v>8</x:v>
      </x:c>
      <x:c r="X651" s="19" t="n">
        <x:f>W651-G651</x:f>
        <x:v>0</x:v>
      </x:c>
      <x:c r="Y651" s="19" t="n">
        <x:f>MAX(T651,1)+MAX(U651,1)+MAX(V651,1)</x:f>
        <x:v>9</x:v>
      </x:c>
      <x:c r="Z651" s="21" t="str">
        <x:f>IF(AND(MIN(D651:F651)&gt;=0,MAX(D651:F651)&lt;=7,MAX(D651,1)+MAX(E651,1)+MAX(F651,1)&lt;=9,OR(H651="-",AND(H651=0,D651&gt;0),AND(H651=1,E651&gt;0),AND(H651=2,F651&gt;0)),OR(I651=0,AND(I651=1,OR(J651=0,J651=1,J651=2),R651&lt;&gt;"000")),Y651&lt;=9,MIN(T651:V651)&gt;=0),"合法","输入违约")</x:f>
        <x:v>合法</x:v>
      </x:c>
    </x:row>
    <x:row r="652" ht="23" customHeight="1">
      <x:c r="A652" s="3" t="str">
        <x:v>CT-0645</x:v>
      </x:c>
      <x:c r="B652" s="3" t="str">
        <x:v>ST-129</x:v>
      </x:c>
      <x:c r="C652" s="3" t="str">
        <x:v>仅R回收</x:v>
      </x:c>
      <x:c r="D652" s="25" t="n">
        <x:v>1</x:v>
      </x:c>
      <x:c r="E652" s="25" t="n">
        <x:v>1</x:v>
      </x:c>
      <x:c r="F652" s="25" t="n">
        <x:v>6</x:v>
      </x:c>
      <x:c r="G652" s="19" t="n">
        <x:f>SUM(D652:F652)</x:f>
        <x:v>8</x:v>
      </x:c>
      <x:c r="H652" s="25" t="n">
        <x:v>1</x:v>
      </x:c>
      <x:c r="I652" s="25" t="n">
        <x:v>0</x:v>
      </x:c>
      <x:c r="J652" s="25" t="str">
        <x:v>-</x:v>
      </x:c>
      <x:c r="K652" s="19" t="n">
        <x:f>D652-IF(H652=0,1,0)</x:f>
        <x:v>1</x:v>
      </x:c>
      <x:c r="L652" s="19" t="n">
        <x:f>E652-IF(H652=1,1,0)</x:f>
        <x:v>0</x:v>
      </x:c>
      <x:c r="M652" s="19" t="n">
        <x:f>F652-IF(H652=2,1,0)</x:f>
        <x:v>6</x:v>
      </x:c>
      <x:c r="N652" s="19" t="n">
        <x:f>MAX(K652-1,0)+MAX(L652-1,0)+MAX(M652-1,0)</x:f>
        <x:v>5</x:v>
      </x:c>
      <x:c r="O652" s="19" t="n">
        <x:f>IF(AND(SUM(K652:M652)&lt;9,OR(M652=0,N652&lt;6)),1,0)</x:f>
        <x:v>1</x:v>
      </x:c>
      <x:c r="P652" s="19" t="n">
        <x:f>IF(AND(SUM(K652:M652)&lt;9,OR(L652=0,N652&lt;6)),1,0)</x:f>
        <x:v>1</x:v>
      </x:c>
      <x:c r="Q652" s="19" t="n">
        <x:f>IF(AND(SUM(K652:M652)&lt;9,OR(K652=0,N652&lt;6)),1,0)</x:f>
        <x:v>1</x:v>
      </x:c>
      <x:c r="R652" s="22" t="str">
        <x:f>O652&amp;P652&amp;Q652</x:f>
        <x:v>111</x:v>
      </x:c>
      <x:c r="S652" s="19" t="n">
        <x:f>IF(I652=1,IF(J652=0,Q652,IF(J652=1,P652,IF(J652=2,O652,0))),0)</x:f>
        <x:v>0</x:v>
      </x:c>
      <x:c r="T652" s="19" t="n">
        <x:f>K652+IF(AND(S652=1,J652=0),1,0)</x:f>
        <x:v>1</x:v>
      </x:c>
      <x:c r="U652" s="19" t="n">
        <x:f>L652+IF(AND(S652=1,J652=1),1,0)</x:f>
        <x:v>0</x:v>
      </x:c>
      <x:c r="V652" s="19" t="n">
        <x:f>M652+IF(AND(S652=1,J652=2),1,0)</x:f>
        <x:v>6</x:v>
      </x:c>
      <x:c r="W652" s="19" t="n">
        <x:f>SUM(T652:V652)</x:f>
        <x:v>7</x:v>
      </x:c>
      <x:c r="X652" s="19" t="n">
        <x:f>W652-G652</x:f>
        <x:v>-1</x:v>
      </x:c>
      <x:c r="Y652" s="19" t="n">
        <x:f>MAX(T652,1)+MAX(U652,1)+MAX(V652,1)</x:f>
        <x:v>8</x:v>
      </x:c>
      <x:c r="Z652" s="21" t="str">
        <x:f>IF(AND(MIN(D652:F652)&gt;=0,MAX(D652:F652)&lt;=7,MAX(D652,1)+MAX(E652,1)+MAX(F652,1)&lt;=9,OR(H652="-",AND(H652=0,D652&gt;0),AND(H652=1,E652&gt;0),AND(H652=2,F652&gt;0)),OR(I652=0,AND(I652=1,OR(J652=0,J652=1,J652=2),R652&lt;&gt;"000")),Y652&lt;=9,MIN(T652:V652)&gt;=0),"合法","输入违约")</x:f>
        <x:v>合法</x:v>
      </x:c>
    </x:row>
    <x:row r="653" ht="23" customHeight="1">
      <x:c r="A653" s="3" t="str">
        <x:v>CT-0646</x:v>
      </x:c>
      <x:c r="B653" s="3" t="str">
        <x:v>ST-129</x:v>
      </x:c>
      <x:c r="C653" s="3" t="str">
        <x:v>R+AR同收同发</x:v>
      </x:c>
      <x:c r="D653" s="25" t="n">
        <x:v>1</x:v>
      </x:c>
      <x:c r="E653" s="25" t="n">
        <x:v>1</x:v>
      </x:c>
      <x:c r="F653" s="25" t="n">
        <x:v>6</x:v>
      </x:c>
      <x:c r="G653" s="19" t="n">
        <x:f>SUM(D653:F653)</x:f>
        <x:v>8</x:v>
      </x:c>
      <x:c r="H653" s="25" t="n">
        <x:v>1</x:v>
      </x:c>
      <x:c r="I653" s="25" t="n">
        <x:v>1</x:v>
      </x:c>
      <x:c r="J653" s="25" t="n">
        <x:v>0</x:v>
      </x:c>
      <x:c r="K653" s="19" t="n">
        <x:f>D653-IF(H653=0,1,0)</x:f>
        <x:v>1</x:v>
      </x:c>
      <x:c r="L653" s="19" t="n">
        <x:f>E653-IF(H653=1,1,0)</x:f>
        <x:v>0</x:v>
      </x:c>
      <x:c r="M653" s="19" t="n">
        <x:f>F653-IF(H653=2,1,0)</x:f>
        <x:v>6</x:v>
      </x:c>
      <x:c r="N653" s="19" t="n">
        <x:f>MAX(K653-1,0)+MAX(L653-1,0)+MAX(M653-1,0)</x:f>
        <x:v>5</x:v>
      </x:c>
      <x:c r="O653" s="19" t="n">
        <x:f>IF(AND(SUM(K653:M653)&lt;9,OR(M653=0,N653&lt;6)),1,0)</x:f>
        <x:v>1</x:v>
      </x:c>
      <x:c r="P653" s="19" t="n">
        <x:f>IF(AND(SUM(K653:M653)&lt;9,OR(L653=0,N653&lt;6)),1,0)</x:f>
        <x:v>1</x:v>
      </x:c>
      <x:c r="Q653" s="19" t="n">
        <x:f>IF(AND(SUM(K653:M653)&lt;9,OR(K653=0,N653&lt;6)),1,0)</x:f>
        <x:v>1</x:v>
      </x:c>
      <x:c r="R653" s="22" t="str">
        <x:f>O653&amp;P653&amp;Q653</x:f>
        <x:v>111</x:v>
      </x:c>
      <x:c r="S653" s="19" t="n">
        <x:f>IF(I653=1,IF(J653=0,Q653,IF(J653=1,P653,IF(J653=2,O653,0))),0)</x:f>
        <x:v>1</x:v>
      </x:c>
      <x:c r="T653" s="19" t="n">
        <x:f>K653+IF(AND(S653=1,J653=0),1,0)</x:f>
        <x:v>2</x:v>
      </x:c>
      <x:c r="U653" s="19" t="n">
        <x:f>L653+IF(AND(S653=1,J653=1),1,0)</x:f>
        <x:v>0</x:v>
      </x:c>
      <x:c r="V653" s="19" t="n">
        <x:f>M653+IF(AND(S653=1,J653=2),1,0)</x:f>
        <x:v>6</x:v>
      </x:c>
      <x:c r="W653" s="19" t="n">
        <x:f>SUM(T653:V653)</x:f>
        <x:v>8</x:v>
      </x:c>
      <x:c r="X653" s="19" t="n">
        <x:f>W653-G653</x:f>
        <x:v>0</x:v>
      </x:c>
      <x:c r="Y653" s="19" t="n">
        <x:f>MAX(T653,1)+MAX(U653,1)+MAX(V653,1)</x:f>
        <x:v>9</x:v>
      </x:c>
      <x:c r="Z653" s="21" t="str">
        <x:f>IF(AND(MIN(D653:F653)&gt;=0,MAX(D653:F653)&lt;=7,MAX(D653,1)+MAX(E653,1)+MAX(F653,1)&lt;=9,OR(H653="-",AND(H653=0,D653&gt;0),AND(H653=1,E653&gt;0),AND(H653=2,F653&gt;0)),OR(I653=0,AND(I653=1,OR(J653=0,J653=1,J653=2),R653&lt;&gt;"000")),Y653&lt;=9,MIN(T653:V653)&gt;=0),"合法","输入违约")</x:f>
        <x:v>合法</x:v>
      </x:c>
    </x:row>
    <x:row r="654" ht="23" customHeight="1">
      <x:c r="A654" s="3" t="str">
        <x:v>CT-0647</x:v>
      </x:c>
      <x:c r="B654" s="3" t="str">
        <x:v>ST-129</x:v>
      </x:c>
      <x:c r="C654" s="3" t="str">
        <x:v>R+AR同收同发</x:v>
      </x:c>
      <x:c r="D654" s="25" t="n">
        <x:v>1</x:v>
      </x:c>
      <x:c r="E654" s="25" t="n">
        <x:v>1</x:v>
      </x:c>
      <x:c r="F654" s="25" t="n">
        <x:v>6</x:v>
      </x:c>
      <x:c r="G654" s="19" t="n">
        <x:f>SUM(D654:F654)</x:f>
        <x:v>8</x:v>
      </x:c>
      <x:c r="H654" s="25" t="n">
        <x:v>1</x:v>
      </x:c>
      <x:c r="I654" s="25" t="n">
        <x:v>1</x:v>
      </x:c>
      <x:c r="J654" s="25" t="n">
        <x:v>1</x:v>
      </x:c>
      <x:c r="K654" s="19" t="n">
        <x:f>D654-IF(H654=0,1,0)</x:f>
        <x:v>1</x:v>
      </x:c>
      <x:c r="L654" s="19" t="n">
        <x:f>E654-IF(H654=1,1,0)</x:f>
        <x:v>0</x:v>
      </x:c>
      <x:c r="M654" s="19" t="n">
        <x:f>F654-IF(H654=2,1,0)</x:f>
        <x:v>6</x:v>
      </x:c>
      <x:c r="N654" s="19" t="n">
        <x:f>MAX(K654-1,0)+MAX(L654-1,0)+MAX(M654-1,0)</x:f>
        <x:v>5</x:v>
      </x:c>
      <x:c r="O654" s="19" t="n">
        <x:f>IF(AND(SUM(K654:M654)&lt;9,OR(M654=0,N654&lt;6)),1,0)</x:f>
        <x:v>1</x:v>
      </x:c>
      <x:c r="P654" s="19" t="n">
        <x:f>IF(AND(SUM(K654:M654)&lt;9,OR(L654=0,N654&lt;6)),1,0)</x:f>
        <x:v>1</x:v>
      </x:c>
      <x:c r="Q654" s="19" t="n">
        <x:f>IF(AND(SUM(K654:M654)&lt;9,OR(K654=0,N654&lt;6)),1,0)</x:f>
        <x:v>1</x:v>
      </x:c>
      <x:c r="R654" s="22" t="str">
        <x:f>O654&amp;P654&amp;Q654</x:f>
        <x:v>111</x:v>
      </x:c>
      <x:c r="S654" s="19" t="n">
        <x:f>IF(I654=1,IF(J654=0,Q654,IF(J654=1,P654,IF(J654=2,O654,0))),0)</x:f>
        <x:v>1</x:v>
      </x:c>
      <x:c r="T654" s="19" t="n">
        <x:f>K654+IF(AND(S654=1,J654=0),1,0)</x:f>
        <x:v>1</x:v>
      </x:c>
      <x:c r="U654" s="19" t="n">
        <x:f>L654+IF(AND(S654=1,J654=1),1,0)</x:f>
        <x:v>1</x:v>
      </x:c>
      <x:c r="V654" s="19" t="n">
        <x:f>M654+IF(AND(S654=1,J654=2),1,0)</x:f>
        <x:v>6</x:v>
      </x:c>
      <x:c r="W654" s="19" t="n">
        <x:f>SUM(T654:V654)</x:f>
        <x:v>8</x:v>
      </x:c>
      <x:c r="X654" s="19" t="n">
        <x:f>W654-G654</x:f>
        <x:v>0</x:v>
      </x:c>
      <x:c r="Y654" s="19" t="n">
        <x:f>MAX(T654,1)+MAX(U654,1)+MAX(V654,1)</x:f>
        <x:v>8</x:v>
      </x:c>
      <x:c r="Z654" s="21" t="str">
        <x:f>IF(AND(MIN(D654:F654)&gt;=0,MAX(D654:F654)&lt;=7,MAX(D654,1)+MAX(E654,1)+MAX(F654,1)&lt;=9,OR(H654="-",AND(H654=0,D654&gt;0),AND(H654=1,E654&gt;0),AND(H654=2,F654&gt;0)),OR(I654=0,AND(I654=1,OR(J654=0,J654=1,J654=2),R654&lt;&gt;"000")),Y654&lt;=9,MIN(T654:V654)&gt;=0),"合法","输入违约")</x:f>
        <x:v>合法</x:v>
      </x:c>
    </x:row>
    <x:row r="655" ht="23" customHeight="1">
      <x:c r="A655" s="3" t="str">
        <x:v>CT-0648</x:v>
      </x:c>
      <x:c r="B655" s="3" t="str">
        <x:v>ST-129</x:v>
      </x:c>
      <x:c r="C655" s="3" t="str">
        <x:v>R+AR同收同发</x:v>
      </x:c>
      <x:c r="D655" s="25" t="n">
        <x:v>1</x:v>
      </x:c>
      <x:c r="E655" s="25" t="n">
        <x:v>1</x:v>
      </x:c>
      <x:c r="F655" s="25" t="n">
        <x:v>6</x:v>
      </x:c>
      <x:c r="G655" s="19" t="n">
        <x:f>SUM(D655:F655)</x:f>
        <x:v>8</x:v>
      </x:c>
      <x:c r="H655" s="25" t="n">
        <x:v>1</x:v>
      </x:c>
      <x:c r="I655" s="25" t="n">
        <x:v>1</x:v>
      </x:c>
      <x:c r="J655" s="25" t="n">
        <x:v>2</x:v>
      </x:c>
      <x:c r="K655" s="19" t="n">
        <x:f>D655-IF(H655=0,1,0)</x:f>
        <x:v>1</x:v>
      </x:c>
      <x:c r="L655" s="19" t="n">
        <x:f>E655-IF(H655=1,1,0)</x:f>
        <x:v>0</x:v>
      </x:c>
      <x:c r="M655" s="19" t="n">
        <x:f>F655-IF(H655=2,1,0)</x:f>
        <x:v>6</x:v>
      </x:c>
      <x:c r="N655" s="19" t="n">
        <x:f>MAX(K655-1,0)+MAX(L655-1,0)+MAX(M655-1,0)</x:f>
        <x:v>5</x:v>
      </x:c>
      <x:c r="O655" s="19" t="n">
        <x:f>IF(AND(SUM(K655:M655)&lt;9,OR(M655=0,N655&lt;6)),1,0)</x:f>
        <x:v>1</x:v>
      </x:c>
      <x:c r="P655" s="19" t="n">
        <x:f>IF(AND(SUM(K655:M655)&lt;9,OR(L655=0,N655&lt;6)),1,0)</x:f>
        <x:v>1</x:v>
      </x:c>
      <x:c r="Q655" s="19" t="n">
        <x:f>IF(AND(SUM(K655:M655)&lt;9,OR(K655=0,N655&lt;6)),1,0)</x:f>
        <x:v>1</x:v>
      </x:c>
      <x:c r="R655" s="22" t="str">
        <x:f>O655&amp;P655&amp;Q655</x:f>
        <x:v>111</x:v>
      </x:c>
      <x:c r="S655" s="19" t="n">
        <x:f>IF(I655=1,IF(J655=0,Q655,IF(J655=1,P655,IF(J655=2,O655,0))),0)</x:f>
        <x:v>1</x:v>
      </x:c>
      <x:c r="T655" s="19" t="n">
        <x:f>K655+IF(AND(S655=1,J655=0),1,0)</x:f>
        <x:v>1</x:v>
      </x:c>
      <x:c r="U655" s="19" t="n">
        <x:f>L655+IF(AND(S655=1,J655=1),1,0)</x:f>
        <x:v>0</x:v>
      </x:c>
      <x:c r="V655" s="19" t="n">
        <x:f>M655+IF(AND(S655=1,J655=2),1,0)</x:f>
        <x:v>7</x:v>
      </x:c>
      <x:c r="W655" s="19" t="n">
        <x:f>SUM(T655:V655)</x:f>
        <x:v>8</x:v>
      </x:c>
      <x:c r="X655" s="19" t="n">
        <x:f>W655-G655</x:f>
        <x:v>0</x:v>
      </x:c>
      <x:c r="Y655" s="19" t="n">
        <x:f>MAX(T655,1)+MAX(U655,1)+MAX(V655,1)</x:f>
        <x:v>9</x:v>
      </x:c>
      <x:c r="Z655" s="21" t="str">
        <x:f>IF(AND(MIN(D655:F655)&gt;=0,MAX(D655:F655)&lt;=7,MAX(D655,1)+MAX(E655,1)+MAX(F655,1)&lt;=9,OR(H655="-",AND(H655=0,D655&gt;0),AND(H655=1,E655&gt;0),AND(H655=2,F655&gt;0)),OR(I655=0,AND(I655=1,OR(J655=0,J655=1,J655=2),R655&lt;&gt;"000")),Y655&lt;=9,MIN(T655:V655)&gt;=0),"合法","输入违约")</x:f>
        <x:v>合法</x:v>
      </x:c>
    </x:row>
    <x:row r="656" ht="23" customHeight="1">
      <x:c r="A656" s="3" t="str">
        <x:v>CT-0649</x:v>
      </x:c>
      <x:c r="B656" s="3" t="str">
        <x:v>ST-129</x:v>
      </x:c>
      <x:c r="C656" s="3" t="str">
        <x:v>仅R回收</x:v>
      </x:c>
      <x:c r="D656" s="25" t="n">
        <x:v>1</x:v>
      </x:c>
      <x:c r="E656" s="25" t="n">
        <x:v>1</x:v>
      </x:c>
      <x:c r="F656" s="25" t="n">
        <x:v>6</x:v>
      </x:c>
      <x:c r="G656" s="19" t="n">
        <x:f>SUM(D656:F656)</x:f>
        <x:v>8</x:v>
      </x:c>
      <x:c r="H656" s="25" t="n">
        <x:v>2</x:v>
      </x:c>
      <x:c r="I656" s="25" t="n">
        <x:v>0</x:v>
      </x:c>
      <x:c r="J656" s="25" t="str">
        <x:v>-</x:v>
      </x:c>
      <x:c r="K656" s="19" t="n">
        <x:f>D656-IF(H656=0,1,0)</x:f>
        <x:v>1</x:v>
      </x:c>
      <x:c r="L656" s="19" t="n">
        <x:f>E656-IF(H656=1,1,0)</x:f>
        <x:v>1</x:v>
      </x:c>
      <x:c r="M656" s="19" t="n">
        <x:f>F656-IF(H656=2,1,0)</x:f>
        <x:v>5</x:v>
      </x:c>
      <x:c r="N656" s="19" t="n">
        <x:f>MAX(K656-1,0)+MAX(L656-1,0)+MAX(M656-1,0)</x:f>
        <x:v>4</x:v>
      </x:c>
      <x:c r="O656" s="19" t="n">
        <x:f>IF(AND(SUM(K656:M656)&lt;9,OR(M656=0,N656&lt;6)),1,0)</x:f>
        <x:v>1</x:v>
      </x:c>
      <x:c r="P656" s="19" t="n">
        <x:f>IF(AND(SUM(K656:M656)&lt;9,OR(L656=0,N656&lt;6)),1,0)</x:f>
        <x:v>1</x:v>
      </x:c>
      <x:c r="Q656" s="19" t="n">
        <x:f>IF(AND(SUM(K656:M656)&lt;9,OR(K656=0,N656&lt;6)),1,0)</x:f>
        <x:v>1</x:v>
      </x:c>
      <x:c r="R656" s="22" t="str">
        <x:f>O656&amp;P656&amp;Q656</x:f>
        <x:v>111</x:v>
      </x:c>
      <x:c r="S656" s="19" t="n">
        <x:f>IF(I656=1,IF(J656=0,Q656,IF(J656=1,P656,IF(J656=2,O656,0))),0)</x:f>
        <x:v>0</x:v>
      </x:c>
      <x:c r="T656" s="19" t="n">
        <x:f>K656+IF(AND(S656=1,J656=0),1,0)</x:f>
        <x:v>1</x:v>
      </x:c>
      <x:c r="U656" s="19" t="n">
        <x:f>L656+IF(AND(S656=1,J656=1),1,0)</x:f>
        <x:v>1</x:v>
      </x:c>
      <x:c r="V656" s="19" t="n">
        <x:f>M656+IF(AND(S656=1,J656=2),1,0)</x:f>
        <x:v>5</x:v>
      </x:c>
      <x:c r="W656" s="19" t="n">
        <x:f>SUM(T656:V656)</x:f>
        <x:v>7</x:v>
      </x:c>
      <x:c r="X656" s="19" t="n">
        <x:f>W656-G656</x:f>
        <x:v>-1</x:v>
      </x:c>
      <x:c r="Y656" s="19" t="n">
        <x:f>MAX(T656,1)+MAX(U656,1)+MAX(V656,1)</x:f>
        <x:v>7</x:v>
      </x:c>
      <x:c r="Z656" s="21" t="str">
        <x:f>IF(AND(MIN(D656:F656)&gt;=0,MAX(D656:F656)&lt;=7,MAX(D656,1)+MAX(E656,1)+MAX(F656,1)&lt;=9,OR(H656="-",AND(H656=0,D656&gt;0),AND(H656=1,E656&gt;0),AND(H656=2,F656&gt;0)),OR(I656=0,AND(I656=1,OR(J656=0,J656=1,J656=2),R656&lt;&gt;"000")),Y656&lt;=9,MIN(T656:V656)&gt;=0),"合法","输入违约")</x:f>
        <x:v>合法</x:v>
      </x:c>
    </x:row>
    <x:row r="657" ht="23" customHeight="1">
      <x:c r="A657" s="3" t="str">
        <x:v>CT-0650</x:v>
      </x:c>
      <x:c r="B657" s="3" t="str">
        <x:v>ST-129</x:v>
      </x:c>
      <x:c r="C657" s="3" t="str">
        <x:v>R+AR同收同发</x:v>
      </x:c>
      <x:c r="D657" s="25" t="n">
        <x:v>1</x:v>
      </x:c>
      <x:c r="E657" s="25" t="n">
        <x:v>1</x:v>
      </x:c>
      <x:c r="F657" s="25" t="n">
        <x:v>6</x:v>
      </x:c>
      <x:c r="G657" s="19" t="n">
        <x:f>SUM(D657:F657)</x:f>
        <x:v>8</x:v>
      </x:c>
      <x:c r="H657" s="25" t="n">
        <x:v>2</x:v>
      </x:c>
      <x:c r="I657" s="25" t="n">
        <x:v>1</x:v>
      </x:c>
      <x:c r="J657" s="25" t="n">
        <x:v>0</x:v>
      </x:c>
      <x:c r="K657" s="19" t="n">
        <x:f>D657-IF(H657=0,1,0)</x:f>
        <x:v>1</x:v>
      </x:c>
      <x:c r="L657" s="19" t="n">
        <x:f>E657-IF(H657=1,1,0)</x:f>
        <x:v>1</x:v>
      </x:c>
      <x:c r="M657" s="19" t="n">
        <x:f>F657-IF(H657=2,1,0)</x:f>
        <x:v>5</x:v>
      </x:c>
      <x:c r="N657" s="19" t="n">
        <x:f>MAX(K657-1,0)+MAX(L657-1,0)+MAX(M657-1,0)</x:f>
        <x:v>4</x:v>
      </x:c>
      <x:c r="O657" s="19" t="n">
        <x:f>IF(AND(SUM(K657:M657)&lt;9,OR(M657=0,N657&lt;6)),1,0)</x:f>
        <x:v>1</x:v>
      </x:c>
      <x:c r="P657" s="19" t="n">
        <x:f>IF(AND(SUM(K657:M657)&lt;9,OR(L657=0,N657&lt;6)),1,0)</x:f>
        <x:v>1</x:v>
      </x:c>
      <x:c r="Q657" s="19" t="n">
        <x:f>IF(AND(SUM(K657:M657)&lt;9,OR(K657=0,N657&lt;6)),1,0)</x:f>
        <x:v>1</x:v>
      </x:c>
      <x:c r="R657" s="22" t="str">
        <x:f>O657&amp;P657&amp;Q657</x:f>
        <x:v>111</x:v>
      </x:c>
      <x:c r="S657" s="19" t="n">
        <x:f>IF(I657=1,IF(J657=0,Q657,IF(J657=1,P657,IF(J657=2,O657,0))),0)</x:f>
        <x:v>1</x:v>
      </x:c>
      <x:c r="T657" s="19" t="n">
        <x:f>K657+IF(AND(S657=1,J657=0),1,0)</x:f>
        <x:v>2</x:v>
      </x:c>
      <x:c r="U657" s="19" t="n">
        <x:f>L657+IF(AND(S657=1,J657=1),1,0)</x:f>
        <x:v>1</x:v>
      </x:c>
      <x:c r="V657" s="19" t="n">
        <x:f>M657+IF(AND(S657=1,J657=2),1,0)</x:f>
        <x:v>5</x:v>
      </x:c>
      <x:c r="W657" s="19" t="n">
        <x:f>SUM(T657:V657)</x:f>
        <x:v>8</x:v>
      </x:c>
      <x:c r="X657" s="19" t="n">
        <x:f>W657-G657</x:f>
        <x:v>0</x:v>
      </x:c>
      <x:c r="Y657" s="19" t="n">
        <x:f>MAX(T657,1)+MAX(U657,1)+MAX(V657,1)</x:f>
        <x:v>8</x:v>
      </x:c>
      <x:c r="Z657" s="21" t="str">
        <x:f>IF(AND(MIN(D657:F657)&gt;=0,MAX(D657:F657)&lt;=7,MAX(D657,1)+MAX(E657,1)+MAX(F657,1)&lt;=9,OR(H657="-",AND(H657=0,D657&gt;0),AND(H657=1,E657&gt;0),AND(H657=2,F657&gt;0)),OR(I657=0,AND(I657=1,OR(J657=0,J657=1,J657=2),R657&lt;&gt;"000")),Y657&lt;=9,MIN(T657:V657)&gt;=0),"合法","输入违约")</x:f>
        <x:v>合法</x:v>
      </x:c>
    </x:row>
    <x:row r="658" ht="23" customHeight="1">
      <x:c r="A658" s="3" t="str">
        <x:v>CT-0651</x:v>
      </x:c>
      <x:c r="B658" s="3" t="str">
        <x:v>ST-129</x:v>
      </x:c>
      <x:c r="C658" s="3" t="str">
        <x:v>R+AR同收同发</x:v>
      </x:c>
      <x:c r="D658" s="25" t="n">
        <x:v>1</x:v>
      </x:c>
      <x:c r="E658" s="25" t="n">
        <x:v>1</x:v>
      </x:c>
      <x:c r="F658" s="25" t="n">
        <x:v>6</x:v>
      </x:c>
      <x:c r="G658" s="19" t="n">
        <x:f>SUM(D658:F658)</x:f>
        <x:v>8</x:v>
      </x:c>
      <x:c r="H658" s="25" t="n">
        <x:v>2</x:v>
      </x:c>
      <x:c r="I658" s="25" t="n">
        <x:v>1</x:v>
      </x:c>
      <x:c r="J658" s="25" t="n">
        <x:v>1</x:v>
      </x:c>
      <x:c r="K658" s="19" t="n">
        <x:f>D658-IF(H658=0,1,0)</x:f>
        <x:v>1</x:v>
      </x:c>
      <x:c r="L658" s="19" t="n">
        <x:f>E658-IF(H658=1,1,0)</x:f>
        <x:v>1</x:v>
      </x:c>
      <x:c r="M658" s="19" t="n">
        <x:f>F658-IF(H658=2,1,0)</x:f>
        <x:v>5</x:v>
      </x:c>
      <x:c r="N658" s="19" t="n">
        <x:f>MAX(K658-1,0)+MAX(L658-1,0)+MAX(M658-1,0)</x:f>
        <x:v>4</x:v>
      </x:c>
      <x:c r="O658" s="19" t="n">
        <x:f>IF(AND(SUM(K658:M658)&lt;9,OR(M658=0,N658&lt;6)),1,0)</x:f>
        <x:v>1</x:v>
      </x:c>
      <x:c r="P658" s="19" t="n">
        <x:f>IF(AND(SUM(K658:M658)&lt;9,OR(L658=0,N658&lt;6)),1,0)</x:f>
        <x:v>1</x:v>
      </x:c>
      <x:c r="Q658" s="19" t="n">
        <x:f>IF(AND(SUM(K658:M658)&lt;9,OR(K658=0,N658&lt;6)),1,0)</x:f>
        <x:v>1</x:v>
      </x:c>
      <x:c r="R658" s="22" t="str">
        <x:f>O658&amp;P658&amp;Q658</x:f>
        <x:v>111</x:v>
      </x:c>
      <x:c r="S658" s="19" t="n">
        <x:f>IF(I658=1,IF(J658=0,Q658,IF(J658=1,P658,IF(J658=2,O658,0))),0)</x:f>
        <x:v>1</x:v>
      </x:c>
      <x:c r="T658" s="19" t="n">
        <x:f>K658+IF(AND(S658=1,J658=0),1,0)</x:f>
        <x:v>1</x:v>
      </x:c>
      <x:c r="U658" s="19" t="n">
        <x:f>L658+IF(AND(S658=1,J658=1),1,0)</x:f>
        <x:v>2</x:v>
      </x:c>
      <x:c r="V658" s="19" t="n">
        <x:f>M658+IF(AND(S658=1,J658=2),1,0)</x:f>
        <x:v>5</x:v>
      </x:c>
      <x:c r="W658" s="19" t="n">
        <x:f>SUM(T658:V658)</x:f>
        <x:v>8</x:v>
      </x:c>
      <x:c r="X658" s="19" t="n">
        <x:f>W658-G658</x:f>
        <x:v>0</x:v>
      </x:c>
      <x:c r="Y658" s="19" t="n">
        <x:f>MAX(T658,1)+MAX(U658,1)+MAX(V658,1)</x:f>
        <x:v>8</x:v>
      </x:c>
      <x:c r="Z658" s="21" t="str">
        <x:f>IF(AND(MIN(D658:F658)&gt;=0,MAX(D658:F658)&lt;=7,MAX(D658,1)+MAX(E658,1)+MAX(F658,1)&lt;=9,OR(H658="-",AND(H658=0,D658&gt;0),AND(H658=1,E658&gt;0),AND(H658=2,F658&gt;0)),OR(I658=0,AND(I658=1,OR(J658=0,J658=1,J658=2),R658&lt;&gt;"000")),Y658&lt;=9,MIN(T658:V658)&gt;=0),"合法","输入违约")</x:f>
        <x:v>合法</x:v>
      </x:c>
    </x:row>
    <x:row r="659" ht="23" customHeight="1">
      <x:c r="A659" s="3" t="str">
        <x:v>CT-0652</x:v>
      </x:c>
      <x:c r="B659" s="3" t="str">
        <x:v>ST-129</x:v>
      </x:c>
      <x:c r="C659" s="3" t="str">
        <x:v>R+AR同收同发</x:v>
      </x:c>
      <x:c r="D659" s="25" t="n">
        <x:v>1</x:v>
      </x:c>
      <x:c r="E659" s="25" t="n">
        <x:v>1</x:v>
      </x:c>
      <x:c r="F659" s="25" t="n">
        <x:v>6</x:v>
      </x:c>
      <x:c r="G659" s="19" t="n">
        <x:f>SUM(D659:F659)</x:f>
        <x:v>8</x:v>
      </x:c>
      <x:c r="H659" s="25" t="n">
        <x:v>2</x:v>
      </x:c>
      <x:c r="I659" s="25" t="n">
        <x:v>1</x:v>
      </x:c>
      <x:c r="J659" s="25" t="n">
        <x:v>2</x:v>
      </x:c>
      <x:c r="K659" s="19" t="n">
        <x:f>D659-IF(H659=0,1,0)</x:f>
        <x:v>1</x:v>
      </x:c>
      <x:c r="L659" s="19" t="n">
        <x:f>E659-IF(H659=1,1,0)</x:f>
        <x:v>1</x:v>
      </x:c>
      <x:c r="M659" s="19" t="n">
        <x:f>F659-IF(H659=2,1,0)</x:f>
        <x:v>5</x:v>
      </x:c>
      <x:c r="N659" s="19" t="n">
        <x:f>MAX(K659-1,0)+MAX(L659-1,0)+MAX(M659-1,0)</x:f>
        <x:v>4</x:v>
      </x:c>
      <x:c r="O659" s="19" t="n">
        <x:f>IF(AND(SUM(K659:M659)&lt;9,OR(M659=0,N659&lt;6)),1,0)</x:f>
        <x:v>1</x:v>
      </x:c>
      <x:c r="P659" s="19" t="n">
        <x:f>IF(AND(SUM(K659:M659)&lt;9,OR(L659=0,N659&lt;6)),1,0)</x:f>
        <x:v>1</x:v>
      </x:c>
      <x:c r="Q659" s="19" t="n">
        <x:f>IF(AND(SUM(K659:M659)&lt;9,OR(K659=0,N659&lt;6)),1,0)</x:f>
        <x:v>1</x:v>
      </x:c>
      <x:c r="R659" s="22" t="str">
        <x:f>O659&amp;P659&amp;Q659</x:f>
        <x:v>111</x:v>
      </x:c>
      <x:c r="S659" s="19" t="n">
        <x:f>IF(I659=1,IF(J659=0,Q659,IF(J659=1,P659,IF(J659=2,O659,0))),0)</x:f>
        <x:v>1</x:v>
      </x:c>
      <x:c r="T659" s="19" t="n">
        <x:f>K659+IF(AND(S659=1,J659=0),1,0)</x:f>
        <x:v>1</x:v>
      </x:c>
      <x:c r="U659" s="19" t="n">
        <x:f>L659+IF(AND(S659=1,J659=1),1,0)</x:f>
        <x:v>1</x:v>
      </x:c>
      <x:c r="V659" s="19" t="n">
        <x:f>M659+IF(AND(S659=1,J659=2),1,0)</x:f>
        <x:v>6</x:v>
      </x:c>
      <x:c r="W659" s="19" t="n">
        <x:f>SUM(T659:V659)</x:f>
        <x:v>8</x:v>
      </x:c>
      <x:c r="X659" s="19" t="n">
        <x:f>W659-G659</x:f>
        <x:v>0</x:v>
      </x:c>
      <x:c r="Y659" s="19" t="n">
        <x:f>MAX(T659,1)+MAX(U659,1)+MAX(V659,1)</x:f>
        <x:v>8</x:v>
      </x:c>
      <x:c r="Z659" s="21" t="str">
        <x:f>IF(AND(MIN(D659:F659)&gt;=0,MAX(D659:F659)&lt;=7,MAX(D659,1)+MAX(E659,1)+MAX(F659,1)&lt;=9,OR(H659="-",AND(H659=0,D659&gt;0),AND(H659=1,E659&gt;0),AND(H659=2,F659&gt;0)),OR(I659=0,AND(I659=1,OR(J659=0,J659=1,J659=2),R659&lt;&gt;"000")),Y659&lt;=9,MIN(T659:V659)&gt;=0),"合法","输入违约")</x:f>
        <x:v>合法</x:v>
      </x:c>
    </x:row>
    <x:row r="660" ht="23" customHeight="1">
      <x:c r="A660" s="3" t="str">
        <x:v>CT-0653</x:v>
      </x:c>
      <x:c r="B660" s="3" t="str">
        <x:v>ST-163</x:v>
      </x:c>
      <x:c r="C660" s="3" t="str">
        <x:v>无AR/R</x:v>
      </x:c>
      <x:c r="D660" s="25" t="n">
        <x:v>1</x:v>
      </x:c>
      <x:c r="E660" s="25" t="n">
        <x:v>1</x:v>
      </x:c>
      <x:c r="F660" s="25" t="n">
        <x:v>7</x:v>
      </x:c>
      <x:c r="G660" s="19" t="n">
        <x:f>SUM(D660:F660)</x:f>
        <x:v>9</x:v>
      </x:c>
      <x:c r="H660" s="25" t="str">
        <x:v>-</x:v>
      </x:c>
      <x:c r="I660" s="25" t="n">
        <x:v>0</x:v>
      </x:c>
      <x:c r="J660" s="25" t="str">
        <x:v>-</x:v>
      </x:c>
      <x:c r="K660" s="19" t="n">
        <x:f>D660-IF(H660=0,1,0)</x:f>
        <x:v>1</x:v>
      </x:c>
      <x:c r="L660" s="19" t="n">
        <x:f>E660-IF(H660=1,1,0)</x:f>
        <x:v>1</x:v>
      </x:c>
      <x:c r="M660" s="19" t="n">
        <x:f>F660-IF(H660=2,1,0)</x:f>
        <x:v>7</x:v>
      </x:c>
      <x:c r="N660" s="19" t="n">
        <x:f>MAX(K660-1,0)+MAX(L660-1,0)+MAX(M660-1,0)</x:f>
        <x:v>6</x:v>
      </x:c>
      <x:c r="O660" s="19" t="n">
        <x:f>IF(AND(SUM(K660:M660)&lt;9,OR(M660=0,N660&lt;6)),1,0)</x:f>
        <x:v>0</x:v>
      </x:c>
      <x:c r="P660" s="19" t="n">
        <x:f>IF(AND(SUM(K660:M660)&lt;9,OR(L660=0,N660&lt;6)),1,0)</x:f>
        <x:v>0</x:v>
      </x:c>
      <x:c r="Q660" s="19" t="n">
        <x:f>IF(AND(SUM(K660:M660)&lt;9,OR(K660=0,N660&lt;6)),1,0)</x:f>
        <x:v>0</x:v>
      </x:c>
      <x:c r="R660" s="22" t="str">
        <x:f>O660&amp;P660&amp;Q660</x:f>
        <x:v>000</x:v>
      </x:c>
      <x:c r="S660" s="19" t="n">
        <x:f>IF(I660=1,IF(J660=0,Q660,IF(J660=1,P660,IF(J660=2,O660,0))),0)</x:f>
        <x:v>0</x:v>
      </x:c>
      <x:c r="T660" s="19" t="n">
        <x:f>K660+IF(AND(S660=1,J660=0),1,0)</x:f>
        <x:v>1</x:v>
      </x:c>
      <x:c r="U660" s="19" t="n">
        <x:f>L660+IF(AND(S660=1,J660=1),1,0)</x:f>
        <x:v>1</x:v>
      </x:c>
      <x:c r="V660" s="19" t="n">
        <x:f>M660+IF(AND(S660=1,J660=2),1,0)</x:f>
        <x:v>7</x:v>
      </x:c>
      <x:c r="W660" s="19" t="n">
        <x:f>SUM(T660:V660)</x:f>
        <x:v>9</x:v>
      </x:c>
      <x:c r="X660" s="19" t="n">
        <x:f>W660-G660</x:f>
        <x:v>0</x:v>
      </x:c>
      <x:c r="Y660" s="19" t="n">
        <x:f>MAX(T660,1)+MAX(U660,1)+MAX(V660,1)</x:f>
        <x:v>9</x:v>
      </x:c>
      <x:c r="Z660" s="21" t="str">
        <x:f>IF(AND(MIN(D660:F660)&gt;=0,MAX(D660:F660)&lt;=7,MAX(D660,1)+MAX(E660,1)+MAX(F660,1)&lt;=9,OR(H660="-",AND(H660=0,D660&gt;0),AND(H660=1,E660&gt;0),AND(H660=2,F660&gt;0)),OR(I660=0,AND(I660=1,OR(J660=0,J660=1,J660=2),R660&lt;&gt;"000")),Y660&lt;=9,MIN(T660:V660)&gt;=0),"合法","输入违约")</x:f>
        <x:v>合法</x:v>
      </x:c>
    </x:row>
    <x:row r="661" ht="23" customHeight="1">
      <x:c r="A661" s="3" t="str">
        <x:v>CT-0654</x:v>
      </x:c>
      <x:c r="B661" s="3" t="str">
        <x:v>ST-163</x:v>
      </x:c>
      <x:c r="C661" s="3" t="str">
        <x:v>仅R回收</x:v>
      </x:c>
      <x:c r="D661" s="25" t="n">
        <x:v>1</x:v>
      </x:c>
      <x:c r="E661" s="25" t="n">
        <x:v>1</x:v>
      </x:c>
      <x:c r="F661" s="25" t="n">
        <x:v>7</x:v>
      </x:c>
      <x:c r="G661" s="19" t="n">
        <x:f>SUM(D661:F661)</x:f>
        <x:v>9</x:v>
      </x:c>
      <x:c r="H661" s="25" t="n">
        <x:v>0</x:v>
      </x:c>
      <x:c r="I661" s="25" t="n">
        <x:v>0</x:v>
      </x:c>
      <x:c r="J661" s="25" t="str">
        <x:v>-</x:v>
      </x:c>
      <x:c r="K661" s="19" t="n">
        <x:f>D661-IF(H661=0,1,0)</x:f>
        <x:v>0</x:v>
      </x:c>
      <x:c r="L661" s="19" t="n">
        <x:f>E661-IF(H661=1,1,0)</x:f>
        <x:v>1</x:v>
      </x:c>
      <x:c r="M661" s="19" t="n">
        <x:f>F661-IF(H661=2,1,0)</x:f>
        <x:v>7</x:v>
      </x:c>
      <x:c r="N661" s="19" t="n">
        <x:f>MAX(K661-1,0)+MAX(L661-1,0)+MAX(M661-1,0)</x:f>
        <x:v>6</x:v>
      </x:c>
      <x:c r="O661" s="19" t="n">
        <x:f>IF(AND(SUM(K661:M661)&lt;9,OR(M661=0,N661&lt;6)),1,0)</x:f>
        <x:v>0</x:v>
      </x:c>
      <x:c r="P661" s="19" t="n">
        <x:f>IF(AND(SUM(K661:M661)&lt;9,OR(L661=0,N661&lt;6)),1,0)</x:f>
        <x:v>0</x:v>
      </x:c>
      <x:c r="Q661" s="19" t="n">
        <x:f>IF(AND(SUM(K661:M661)&lt;9,OR(K661=0,N661&lt;6)),1,0)</x:f>
        <x:v>1</x:v>
      </x:c>
      <x:c r="R661" s="22" t="str">
        <x:f>O661&amp;P661&amp;Q661</x:f>
        <x:v>001</x:v>
      </x:c>
      <x:c r="S661" s="19" t="n">
        <x:f>IF(I661=1,IF(J661=0,Q661,IF(J661=1,P661,IF(J661=2,O661,0))),0)</x:f>
        <x:v>0</x:v>
      </x:c>
      <x:c r="T661" s="19" t="n">
        <x:f>K661+IF(AND(S661=1,J661=0),1,0)</x:f>
        <x:v>0</x:v>
      </x:c>
      <x:c r="U661" s="19" t="n">
        <x:f>L661+IF(AND(S661=1,J661=1),1,0)</x:f>
        <x:v>1</x:v>
      </x:c>
      <x:c r="V661" s="19" t="n">
        <x:f>M661+IF(AND(S661=1,J661=2),1,0)</x:f>
        <x:v>7</x:v>
      </x:c>
      <x:c r="W661" s="19" t="n">
        <x:f>SUM(T661:V661)</x:f>
        <x:v>8</x:v>
      </x:c>
      <x:c r="X661" s="19" t="n">
        <x:f>W661-G661</x:f>
        <x:v>-1</x:v>
      </x:c>
      <x:c r="Y661" s="19" t="n">
        <x:f>MAX(T661,1)+MAX(U661,1)+MAX(V661,1)</x:f>
        <x:v>9</x:v>
      </x:c>
      <x:c r="Z661" s="21" t="str">
        <x:f>IF(AND(MIN(D661:F661)&gt;=0,MAX(D661:F661)&lt;=7,MAX(D661,1)+MAX(E661,1)+MAX(F661,1)&lt;=9,OR(H661="-",AND(H661=0,D661&gt;0),AND(H661=1,E661&gt;0),AND(H661=2,F661&gt;0)),OR(I661=0,AND(I661=1,OR(J661=0,J661=1,J661=2),R661&lt;&gt;"000")),Y661&lt;=9,MIN(T661:V661)&gt;=0),"合法","输入违约")</x:f>
        <x:v>合法</x:v>
      </x:c>
    </x:row>
    <x:row r="662" ht="23" customHeight="1">
      <x:c r="A662" s="3" t="str">
        <x:v>CT-0655</x:v>
      </x:c>
      <x:c r="B662" s="3" t="str">
        <x:v>ST-163</x:v>
      </x:c>
      <x:c r="C662" s="3" t="str">
        <x:v>R+AR同收同发</x:v>
      </x:c>
      <x:c r="D662" s="25" t="n">
        <x:v>1</x:v>
      </x:c>
      <x:c r="E662" s="25" t="n">
        <x:v>1</x:v>
      </x:c>
      <x:c r="F662" s="25" t="n">
        <x:v>7</x:v>
      </x:c>
      <x:c r="G662" s="19" t="n">
        <x:f>SUM(D662:F662)</x:f>
        <x:v>9</x:v>
      </x:c>
      <x:c r="H662" s="25" t="n">
        <x:v>0</x:v>
      </x:c>
      <x:c r="I662" s="25" t="n">
        <x:v>1</x:v>
      </x:c>
      <x:c r="J662" s="25" t="n">
        <x:v>0</x:v>
      </x:c>
      <x:c r="K662" s="19" t="n">
        <x:f>D662-IF(H662=0,1,0)</x:f>
        <x:v>0</x:v>
      </x:c>
      <x:c r="L662" s="19" t="n">
        <x:f>E662-IF(H662=1,1,0)</x:f>
        <x:v>1</x:v>
      </x:c>
      <x:c r="M662" s="19" t="n">
        <x:f>F662-IF(H662=2,1,0)</x:f>
        <x:v>7</x:v>
      </x:c>
      <x:c r="N662" s="19" t="n">
        <x:f>MAX(K662-1,0)+MAX(L662-1,0)+MAX(M662-1,0)</x:f>
        <x:v>6</x:v>
      </x:c>
      <x:c r="O662" s="19" t="n">
        <x:f>IF(AND(SUM(K662:M662)&lt;9,OR(M662=0,N662&lt;6)),1,0)</x:f>
        <x:v>0</x:v>
      </x:c>
      <x:c r="P662" s="19" t="n">
        <x:f>IF(AND(SUM(K662:M662)&lt;9,OR(L662=0,N662&lt;6)),1,0)</x:f>
        <x:v>0</x:v>
      </x:c>
      <x:c r="Q662" s="19" t="n">
        <x:f>IF(AND(SUM(K662:M662)&lt;9,OR(K662=0,N662&lt;6)),1,0)</x:f>
        <x:v>1</x:v>
      </x:c>
      <x:c r="R662" s="22" t="str">
        <x:f>O662&amp;P662&amp;Q662</x:f>
        <x:v>001</x:v>
      </x:c>
      <x:c r="S662" s="19" t="n">
        <x:f>IF(I662=1,IF(J662=0,Q662,IF(J662=1,P662,IF(J662=2,O662,0))),0)</x:f>
        <x:v>1</x:v>
      </x:c>
      <x:c r="T662" s="19" t="n">
        <x:f>K662+IF(AND(S662=1,J662=0),1,0)</x:f>
        <x:v>1</x:v>
      </x:c>
      <x:c r="U662" s="19" t="n">
        <x:f>L662+IF(AND(S662=1,J662=1),1,0)</x:f>
        <x:v>1</x:v>
      </x:c>
      <x:c r="V662" s="19" t="n">
        <x:f>M662+IF(AND(S662=1,J662=2),1,0)</x:f>
        <x:v>7</x:v>
      </x:c>
      <x:c r="W662" s="19" t="n">
        <x:f>SUM(T662:V662)</x:f>
        <x:v>9</x:v>
      </x:c>
      <x:c r="X662" s="19" t="n">
        <x:f>W662-G662</x:f>
        <x:v>0</x:v>
      </x:c>
      <x:c r="Y662" s="19" t="n">
        <x:f>MAX(T662,1)+MAX(U662,1)+MAX(V662,1)</x:f>
        <x:v>9</x:v>
      </x:c>
      <x:c r="Z662" s="21" t="str">
        <x:f>IF(AND(MIN(D662:F662)&gt;=0,MAX(D662:F662)&lt;=7,MAX(D662,1)+MAX(E662,1)+MAX(F662,1)&lt;=9,OR(H662="-",AND(H662=0,D662&gt;0),AND(H662=1,E662&gt;0),AND(H662=2,F662&gt;0)),OR(I662=0,AND(I662=1,OR(J662=0,J662=1,J662=2),R662&lt;&gt;"000")),Y662&lt;=9,MIN(T662:V662)&gt;=0),"合法","输入违约")</x:f>
        <x:v>合法</x:v>
      </x:c>
    </x:row>
    <x:row r="663" ht="23" customHeight="1">
      <x:c r="A663" s="3" t="str">
        <x:v>CT-0656</x:v>
      </x:c>
      <x:c r="B663" s="3" t="str">
        <x:v>ST-163</x:v>
      </x:c>
      <x:c r="C663" s="3" t="str">
        <x:v>仅R回收</x:v>
      </x:c>
      <x:c r="D663" s="25" t="n">
        <x:v>1</x:v>
      </x:c>
      <x:c r="E663" s="25" t="n">
        <x:v>1</x:v>
      </x:c>
      <x:c r="F663" s="25" t="n">
        <x:v>7</x:v>
      </x:c>
      <x:c r="G663" s="19" t="n">
        <x:f>SUM(D663:F663)</x:f>
        <x:v>9</x:v>
      </x:c>
      <x:c r="H663" s="25" t="n">
        <x:v>0</x:v>
      </x:c>
      <x:c r="I663" s="25" t="n">
        <x:v>1</x:v>
      </x:c>
      <x:c r="J663" s="25" t="n">
        <x:v>1</x:v>
      </x:c>
      <x:c r="K663" s="19" t="n">
        <x:f>D663-IF(H663=0,1,0)</x:f>
        <x:v>0</x:v>
      </x:c>
      <x:c r="L663" s="19" t="n">
        <x:f>E663-IF(H663=1,1,0)</x:f>
        <x:v>1</x:v>
      </x:c>
      <x:c r="M663" s="19" t="n">
        <x:f>F663-IF(H663=2,1,0)</x:f>
        <x:v>7</x:v>
      </x:c>
      <x:c r="N663" s="19" t="n">
        <x:f>MAX(K663-1,0)+MAX(L663-1,0)+MAX(M663-1,0)</x:f>
        <x:v>6</x:v>
      </x:c>
      <x:c r="O663" s="19" t="n">
        <x:f>IF(AND(SUM(K663:M663)&lt;9,OR(M663=0,N663&lt;6)),1,0)</x:f>
        <x:v>0</x:v>
      </x:c>
      <x:c r="P663" s="19" t="n">
        <x:f>IF(AND(SUM(K663:M663)&lt;9,OR(L663=0,N663&lt;6)),1,0)</x:f>
        <x:v>0</x:v>
      </x:c>
      <x:c r="Q663" s="19" t="n">
        <x:f>IF(AND(SUM(K663:M663)&lt;9,OR(K663=0,N663&lt;6)),1,0)</x:f>
        <x:v>1</x:v>
      </x:c>
      <x:c r="R663" s="22" t="str">
        <x:f>O663&amp;P663&amp;Q663</x:f>
        <x:v>001</x:v>
      </x:c>
      <x:c r="S663" s="19" t="n">
        <x:f>IF(I663=1,IF(J663=0,Q663,IF(J663=1,P663,IF(J663=2,O663,0))),0)</x:f>
        <x:v>0</x:v>
      </x:c>
      <x:c r="T663" s="19" t="n">
        <x:f>K663+IF(AND(S663=1,J663=0),1,0)</x:f>
        <x:v>0</x:v>
      </x:c>
      <x:c r="U663" s="19" t="n">
        <x:f>L663+IF(AND(S663=1,J663=1),1,0)</x:f>
        <x:v>1</x:v>
      </x:c>
      <x:c r="V663" s="19" t="n">
        <x:f>M663+IF(AND(S663=1,J663=2),1,0)</x:f>
        <x:v>7</x:v>
      </x:c>
      <x:c r="W663" s="19" t="n">
        <x:f>SUM(T663:V663)</x:f>
        <x:v>8</x:v>
      </x:c>
      <x:c r="X663" s="19" t="n">
        <x:f>W663-G663</x:f>
        <x:v>-1</x:v>
      </x:c>
      <x:c r="Y663" s="19" t="n">
        <x:f>MAX(T663,1)+MAX(U663,1)+MAX(V663,1)</x:f>
        <x:v>9</x:v>
      </x:c>
      <x:c r="Z663" s="21" t="str">
        <x:f>IF(AND(MIN(D663:F663)&gt;=0,MAX(D663:F663)&lt;=7,MAX(D663,1)+MAX(E663,1)+MAX(F663,1)&lt;=9,OR(H663="-",AND(H663=0,D663&gt;0),AND(H663=1,E663&gt;0),AND(H663=2,F663&gt;0)),OR(I663=0,AND(I663=1,OR(J663=0,J663=1,J663=2),R663&lt;&gt;"000")),Y663&lt;=9,MIN(T663:V663)&gt;=0),"合法","输入违约")</x:f>
        <x:v>合法</x:v>
      </x:c>
    </x:row>
    <x:row r="664" ht="23" customHeight="1">
      <x:c r="A664" s="3" t="str">
        <x:v>CT-0657</x:v>
      </x:c>
      <x:c r="B664" s="3" t="str">
        <x:v>ST-163</x:v>
      </x:c>
      <x:c r="C664" s="3" t="str">
        <x:v>仅R回收</x:v>
      </x:c>
      <x:c r="D664" s="25" t="n">
        <x:v>1</x:v>
      </x:c>
      <x:c r="E664" s="25" t="n">
        <x:v>1</x:v>
      </x:c>
      <x:c r="F664" s="25" t="n">
        <x:v>7</x:v>
      </x:c>
      <x:c r="G664" s="19" t="n">
        <x:f>SUM(D664:F664)</x:f>
        <x:v>9</x:v>
      </x:c>
      <x:c r="H664" s="25" t="n">
        <x:v>0</x:v>
      </x:c>
      <x:c r="I664" s="25" t="n">
        <x:v>1</x:v>
      </x:c>
      <x:c r="J664" s="25" t="n">
        <x:v>2</x:v>
      </x:c>
      <x:c r="K664" s="19" t="n">
        <x:f>D664-IF(H664=0,1,0)</x:f>
        <x:v>0</x:v>
      </x:c>
      <x:c r="L664" s="19" t="n">
        <x:f>E664-IF(H664=1,1,0)</x:f>
        <x:v>1</x:v>
      </x:c>
      <x:c r="M664" s="19" t="n">
        <x:f>F664-IF(H664=2,1,0)</x:f>
        <x:v>7</x:v>
      </x:c>
      <x:c r="N664" s="19" t="n">
        <x:f>MAX(K664-1,0)+MAX(L664-1,0)+MAX(M664-1,0)</x:f>
        <x:v>6</x:v>
      </x:c>
      <x:c r="O664" s="19" t="n">
        <x:f>IF(AND(SUM(K664:M664)&lt;9,OR(M664=0,N664&lt;6)),1,0)</x:f>
        <x:v>0</x:v>
      </x:c>
      <x:c r="P664" s="19" t="n">
        <x:f>IF(AND(SUM(K664:M664)&lt;9,OR(L664=0,N664&lt;6)),1,0)</x:f>
        <x:v>0</x:v>
      </x:c>
      <x:c r="Q664" s="19" t="n">
        <x:f>IF(AND(SUM(K664:M664)&lt;9,OR(K664=0,N664&lt;6)),1,0)</x:f>
        <x:v>1</x:v>
      </x:c>
      <x:c r="R664" s="22" t="str">
        <x:f>O664&amp;P664&amp;Q664</x:f>
        <x:v>001</x:v>
      </x:c>
      <x:c r="S664" s="19" t="n">
        <x:f>IF(I664=1,IF(J664=0,Q664,IF(J664=1,P664,IF(J664=2,O664,0))),0)</x:f>
        <x:v>0</x:v>
      </x:c>
      <x:c r="T664" s="19" t="n">
        <x:f>K664+IF(AND(S664=1,J664=0),1,0)</x:f>
        <x:v>0</x:v>
      </x:c>
      <x:c r="U664" s="19" t="n">
        <x:f>L664+IF(AND(S664=1,J664=1),1,0)</x:f>
        <x:v>1</x:v>
      </x:c>
      <x:c r="V664" s="19" t="n">
        <x:f>M664+IF(AND(S664=1,J664=2),1,0)</x:f>
        <x:v>7</x:v>
      </x:c>
      <x:c r="W664" s="19" t="n">
        <x:f>SUM(T664:V664)</x:f>
        <x:v>8</x:v>
      </x:c>
      <x:c r="X664" s="19" t="n">
        <x:f>W664-G664</x:f>
        <x:v>-1</x:v>
      </x:c>
      <x:c r="Y664" s="19" t="n">
        <x:f>MAX(T664,1)+MAX(U664,1)+MAX(V664,1)</x:f>
        <x:v>9</x:v>
      </x:c>
      <x:c r="Z664" s="21" t="str">
        <x:f>IF(AND(MIN(D664:F664)&gt;=0,MAX(D664:F664)&lt;=7,MAX(D664,1)+MAX(E664,1)+MAX(F664,1)&lt;=9,OR(H664="-",AND(H664=0,D664&gt;0),AND(H664=1,E664&gt;0),AND(H664=2,F664&gt;0)),OR(I664=0,AND(I664=1,OR(J664=0,J664=1,J664=2),R664&lt;&gt;"000")),Y664&lt;=9,MIN(T664:V664)&gt;=0),"合法","输入违约")</x:f>
        <x:v>合法</x:v>
      </x:c>
    </x:row>
    <x:row r="665" ht="23" customHeight="1">
      <x:c r="A665" s="3" t="str">
        <x:v>CT-0658</x:v>
      </x:c>
      <x:c r="B665" s="3" t="str">
        <x:v>ST-163</x:v>
      </x:c>
      <x:c r="C665" s="3" t="str">
        <x:v>仅R回收</x:v>
      </x:c>
      <x:c r="D665" s="25" t="n">
        <x:v>1</x:v>
      </x:c>
      <x:c r="E665" s="25" t="n">
        <x:v>1</x:v>
      </x:c>
      <x:c r="F665" s="25" t="n">
        <x:v>7</x:v>
      </x:c>
      <x:c r="G665" s="19" t="n">
        <x:f>SUM(D665:F665)</x:f>
        <x:v>9</x:v>
      </x:c>
      <x:c r="H665" s="25" t="n">
        <x:v>1</x:v>
      </x:c>
      <x:c r="I665" s="25" t="n">
        <x:v>0</x:v>
      </x:c>
      <x:c r="J665" s="25" t="str">
        <x:v>-</x:v>
      </x:c>
      <x:c r="K665" s="19" t="n">
        <x:f>D665-IF(H665=0,1,0)</x:f>
        <x:v>1</x:v>
      </x:c>
      <x:c r="L665" s="19" t="n">
        <x:f>E665-IF(H665=1,1,0)</x:f>
        <x:v>0</x:v>
      </x:c>
      <x:c r="M665" s="19" t="n">
        <x:f>F665-IF(H665=2,1,0)</x:f>
        <x:v>7</x:v>
      </x:c>
      <x:c r="N665" s="19" t="n">
        <x:f>MAX(K665-1,0)+MAX(L665-1,0)+MAX(M665-1,0)</x:f>
        <x:v>6</x:v>
      </x:c>
      <x:c r="O665" s="19" t="n">
        <x:f>IF(AND(SUM(K665:M665)&lt;9,OR(M665=0,N665&lt;6)),1,0)</x:f>
        <x:v>0</x:v>
      </x:c>
      <x:c r="P665" s="19" t="n">
        <x:f>IF(AND(SUM(K665:M665)&lt;9,OR(L665=0,N665&lt;6)),1,0)</x:f>
        <x:v>1</x:v>
      </x:c>
      <x:c r="Q665" s="19" t="n">
        <x:f>IF(AND(SUM(K665:M665)&lt;9,OR(K665=0,N665&lt;6)),1,0)</x:f>
        <x:v>0</x:v>
      </x:c>
      <x:c r="R665" s="22" t="str">
        <x:f>O665&amp;P665&amp;Q665</x:f>
        <x:v>010</x:v>
      </x:c>
      <x:c r="S665" s="19" t="n">
        <x:f>IF(I665=1,IF(J665=0,Q665,IF(J665=1,P665,IF(J665=2,O665,0))),0)</x:f>
        <x:v>0</x:v>
      </x:c>
      <x:c r="T665" s="19" t="n">
        <x:f>K665+IF(AND(S665=1,J665=0),1,0)</x:f>
        <x:v>1</x:v>
      </x:c>
      <x:c r="U665" s="19" t="n">
        <x:f>L665+IF(AND(S665=1,J665=1),1,0)</x:f>
        <x:v>0</x:v>
      </x:c>
      <x:c r="V665" s="19" t="n">
        <x:f>M665+IF(AND(S665=1,J665=2),1,0)</x:f>
        <x:v>7</x:v>
      </x:c>
      <x:c r="W665" s="19" t="n">
        <x:f>SUM(T665:V665)</x:f>
        <x:v>8</x:v>
      </x:c>
      <x:c r="X665" s="19" t="n">
        <x:f>W665-G665</x:f>
        <x:v>-1</x:v>
      </x:c>
      <x:c r="Y665" s="19" t="n">
        <x:f>MAX(T665,1)+MAX(U665,1)+MAX(V665,1)</x:f>
        <x:v>9</x:v>
      </x:c>
      <x:c r="Z665" s="21" t="str">
        <x:f>IF(AND(MIN(D665:F665)&gt;=0,MAX(D665:F665)&lt;=7,MAX(D665,1)+MAX(E665,1)+MAX(F665,1)&lt;=9,OR(H665="-",AND(H665=0,D665&gt;0),AND(H665=1,E665&gt;0),AND(H665=2,F665&gt;0)),OR(I665=0,AND(I665=1,OR(J665=0,J665=1,J665=2),R665&lt;&gt;"000")),Y665&lt;=9,MIN(T665:V665)&gt;=0),"合法","输入违约")</x:f>
        <x:v>合法</x:v>
      </x:c>
    </x:row>
    <x:row r="666" ht="23" customHeight="1">
      <x:c r="A666" s="3" t="str">
        <x:v>CT-0659</x:v>
      </x:c>
      <x:c r="B666" s="3" t="str">
        <x:v>ST-163</x:v>
      </x:c>
      <x:c r="C666" s="3" t="str">
        <x:v>仅R回收</x:v>
      </x:c>
      <x:c r="D666" s="25" t="n">
        <x:v>1</x:v>
      </x:c>
      <x:c r="E666" s="25" t="n">
        <x:v>1</x:v>
      </x:c>
      <x:c r="F666" s="25" t="n">
        <x:v>7</x:v>
      </x:c>
      <x:c r="G666" s="19" t="n">
        <x:f>SUM(D666:F666)</x:f>
        <x:v>9</x:v>
      </x:c>
      <x:c r="H666" s="25" t="n">
        <x:v>1</x:v>
      </x:c>
      <x:c r="I666" s="25" t="n">
        <x:v>1</x:v>
      </x:c>
      <x:c r="J666" s="25" t="n">
        <x:v>0</x:v>
      </x:c>
      <x:c r="K666" s="19" t="n">
        <x:f>D666-IF(H666=0,1,0)</x:f>
        <x:v>1</x:v>
      </x:c>
      <x:c r="L666" s="19" t="n">
        <x:f>E666-IF(H666=1,1,0)</x:f>
        <x:v>0</x:v>
      </x:c>
      <x:c r="M666" s="19" t="n">
        <x:f>F666-IF(H666=2,1,0)</x:f>
        <x:v>7</x:v>
      </x:c>
      <x:c r="N666" s="19" t="n">
        <x:f>MAX(K666-1,0)+MAX(L666-1,0)+MAX(M666-1,0)</x:f>
        <x:v>6</x:v>
      </x:c>
      <x:c r="O666" s="19" t="n">
        <x:f>IF(AND(SUM(K666:M666)&lt;9,OR(M666=0,N666&lt;6)),1,0)</x:f>
        <x:v>0</x:v>
      </x:c>
      <x:c r="P666" s="19" t="n">
        <x:f>IF(AND(SUM(K666:M666)&lt;9,OR(L666=0,N666&lt;6)),1,0)</x:f>
        <x:v>1</x:v>
      </x:c>
      <x:c r="Q666" s="19" t="n">
        <x:f>IF(AND(SUM(K666:M666)&lt;9,OR(K666=0,N666&lt;6)),1,0)</x:f>
        <x:v>0</x:v>
      </x:c>
      <x:c r="R666" s="22" t="str">
        <x:f>O666&amp;P666&amp;Q666</x:f>
        <x:v>010</x:v>
      </x:c>
      <x:c r="S666" s="19" t="n">
        <x:f>IF(I666=1,IF(J666=0,Q666,IF(J666=1,P666,IF(J666=2,O666,0))),0)</x:f>
        <x:v>0</x:v>
      </x:c>
      <x:c r="T666" s="19" t="n">
        <x:f>K666+IF(AND(S666=1,J666=0),1,0)</x:f>
        <x:v>1</x:v>
      </x:c>
      <x:c r="U666" s="19" t="n">
        <x:f>L666+IF(AND(S666=1,J666=1),1,0)</x:f>
        <x:v>0</x:v>
      </x:c>
      <x:c r="V666" s="19" t="n">
        <x:f>M666+IF(AND(S666=1,J666=2),1,0)</x:f>
        <x:v>7</x:v>
      </x:c>
      <x:c r="W666" s="19" t="n">
        <x:f>SUM(T666:V666)</x:f>
        <x:v>8</x:v>
      </x:c>
      <x:c r="X666" s="19" t="n">
        <x:f>W666-G666</x:f>
        <x:v>-1</x:v>
      </x:c>
      <x:c r="Y666" s="19" t="n">
        <x:f>MAX(T666,1)+MAX(U666,1)+MAX(V666,1)</x:f>
        <x:v>9</x:v>
      </x:c>
      <x:c r="Z666" s="21" t="str">
        <x:f>IF(AND(MIN(D666:F666)&gt;=0,MAX(D666:F666)&lt;=7,MAX(D666,1)+MAX(E666,1)+MAX(F666,1)&lt;=9,OR(H666="-",AND(H666=0,D666&gt;0),AND(H666=1,E666&gt;0),AND(H666=2,F666&gt;0)),OR(I666=0,AND(I666=1,OR(J666=0,J666=1,J666=2),R666&lt;&gt;"000")),Y666&lt;=9,MIN(T666:V666)&gt;=0),"合法","输入违约")</x:f>
        <x:v>合法</x:v>
      </x:c>
    </x:row>
    <x:row r="667" ht="23" customHeight="1">
      <x:c r="A667" s="3" t="str">
        <x:v>CT-0660</x:v>
      </x:c>
      <x:c r="B667" s="3" t="str">
        <x:v>ST-163</x:v>
      </x:c>
      <x:c r="C667" s="3" t="str">
        <x:v>R+AR同收同发</x:v>
      </x:c>
      <x:c r="D667" s="25" t="n">
        <x:v>1</x:v>
      </x:c>
      <x:c r="E667" s="25" t="n">
        <x:v>1</x:v>
      </x:c>
      <x:c r="F667" s="25" t="n">
        <x:v>7</x:v>
      </x:c>
      <x:c r="G667" s="19" t="n">
        <x:f>SUM(D667:F667)</x:f>
        <x:v>9</x:v>
      </x:c>
      <x:c r="H667" s="25" t="n">
        <x:v>1</x:v>
      </x:c>
      <x:c r="I667" s="25" t="n">
        <x:v>1</x:v>
      </x:c>
      <x:c r="J667" s="25" t="n">
        <x:v>1</x:v>
      </x:c>
      <x:c r="K667" s="19" t="n">
        <x:f>D667-IF(H667=0,1,0)</x:f>
        <x:v>1</x:v>
      </x:c>
      <x:c r="L667" s="19" t="n">
        <x:f>E667-IF(H667=1,1,0)</x:f>
        <x:v>0</x:v>
      </x:c>
      <x:c r="M667" s="19" t="n">
        <x:f>F667-IF(H667=2,1,0)</x:f>
        <x:v>7</x:v>
      </x:c>
      <x:c r="N667" s="19" t="n">
        <x:f>MAX(K667-1,0)+MAX(L667-1,0)+MAX(M667-1,0)</x:f>
        <x:v>6</x:v>
      </x:c>
      <x:c r="O667" s="19" t="n">
        <x:f>IF(AND(SUM(K667:M667)&lt;9,OR(M667=0,N667&lt;6)),1,0)</x:f>
        <x:v>0</x:v>
      </x:c>
      <x:c r="P667" s="19" t="n">
        <x:f>IF(AND(SUM(K667:M667)&lt;9,OR(L667=0,N667&lt;6)),1,0)</x:f>
        <x:v>1</x:v>
      </x:c>
      <x:c r="Q667" s="19" t="n">
        <x:f>IF(AND(SUM(K667:M667)&lt;9,OR(K667=0,N667&lt;6)),1,0)</x:f>
        <x:v>0</x:v>
      </x:c>
      <x:c r="R667" s="22" t="str">
        <x:f>O667&amp;P667&amp;Q667</x:f>
        <x:v>010</x:v>
      </x:c>
      <x:c r="S667" s="19" t="n">
        <x:f>IF(I667=1,IF(J667=0,Q667,IF(J667=1,P667,IF(J667=2,O667,0))),0)</x:f>
        <x:v>1</x:v>
      </x:c>
      <x:c r="T667" s="19" t="n">
        <x:f>K667+IF(AND(S667=1,J667=0),1,0)</x:f>
        <x:v>1</x:v>
      </x:c>
      <x:c r="U667" s="19" t="n">
        <x:f>L667+IF(AND(S667=1,J667=1),1,0)</x:f>
        <x:v>1</x:v>
      </x:c>
      <x:c r="V667" s="19" t="n">
        <x:f>M667+IF(AND(S667=1,J667=2),1,0)</x:f>
        <x:v>7</x:v>
      </x:c>
      <x:c r="W667" s="19" t="n">
        <x:f>SUM(T667:V667)</x:f>
        <x:v>9</x:v>
      </x:c>
      <x:c r="X667" s="19" t="n">
        <x:f>W667-G667</x:f>
        <x:v>0</x:v>
      </x:c>
      <x:c r="Y667" s="19" t="n">
        <x:f>MAX(T667,1)+MAX(U667,1)+MAX(V667,1)</x:f>
        <x:v>9</x:v>
      </x:c>
      <x:c r="Z667" s="21" t="str">
        <x:f>IF(AND(MIN(D667:F667)&gt;=0,MAX(D667:F667)&lt;=7,MAX(D667,1)+MAX(E667,1)+MAX(F667,1)&lt;=9,OR(H667="-",AND(H667=0,D667&gt;0),AND(H667=1,E667&gt;0),AND(H667=2,F667&gt;0)),OR(I667=0,AND(I667=1,OR(J667=0,J667=1,J667=2),R667&lt;&gt;"000")),Y667&lt;=9,MIN(T667:V667)&gt;=0),"合法","输入违约")</x:f>
        <x:v>合法</x:v>
      </x:c>
    </x:row>
    <x:row r="668" ht="23" customHeight="1">
      <x:c r="A668" s="3" t="str">
        <x:v>CT-0661</x:v>
      </x:c>
      <x:c r="B668" s="3" t="str">
        <x:v>ST-163</x:v>
      </x:c>
      <x:c r="C668" s="3" t="str">
        <x:v>仅R回收</x:v>
      </x:c>
      <x:c r="D668" s="25" t="n">
        <x:v>1</x:v>
      </x:c>
      <x:c r="E668" s="25" t="n">
        <x:v>1</x:v>
      </x:c>
      <x:c r="F668" s="25" t="n">
        <x:v>7</x:v>
      </x:c>
      <x:c r="G668" s="19" t="n">
        <x:f>SUM(D668:F668)</x:f>
        <x:v>9</x:v>
      </x:c>
      <x:c r="H668" s="25" t="n">
        <x:v>1</x:v>
      </x:c>
      <x:c r="I668" s="25" t="n">
        <x:v>1</x:v>
      </x:c>
      <x:c r="J668" s="25" t="n">
        <x:v>2</x:v>
      </x:c>
      <x:c r="K668" s="19" t="n">
        <x:f>D668-IF(H668=0,1,0)</x:f>
        <x:v>1</x:v>
      </x:c>
      <x:c r="L668" s="19" t="n">
        <x:f>E668-IF(H668=1,1,0)</x:f>
        <x:v>0</x:v>
      </x:c>
      <x:c r="M668" s="19" t="n">
        <x:f>F668-IF(H668=2,1,0)</x:f>
        <x:v>7</x:v>
      </x:c>
      <x:c r="N668" s="19" t="n">
        <x:f>MAX(K668-1,0)+MAX(L668-1,0)+MAX(M668-1,0)</x:f>
        <x:v>6</x:v>
      </x:c>
      <x:c r="O668" s="19" t="n">
        <x:f>IF(AND(SUM(K668:M668)&lt;9,OR(M668=0,N668&lt;6)),1,0)</x:f>
        <x:v>0</x:v>
      </x:c>
      <x:c r="P668" s="19" t="n">
        <x:f>IF(AND(SUM(K668:M668)&lt;9,OR(L668=0,N668&lt;6)),1,0)</x:f>
        <x:v>1</x:v>
      </x:c>
      <x:c r="Q668" s="19" t="n">
        <x:f>IF(AND(SUM(K668:M668)&lt;9,OR(K668=0,N668&lt;6)),1,0)</x:f>
        <x:v>0</x:v>
      </x:c>
      <x:c r="R668" s="22" t="str">
        <x:f>O668&amp;P668&amp;Q668</x:f>
        <x:v>010</x:v>
      </x:c>
      <x:c r="S668" s="19" t="n">
        <x:f>IF(I668=1,IF(J668=0,Q668,IF(J668=1,P668,IF(J668=2,O668,0))),0)</x:f>
        <x:v>0</x:v>
      </x:c>
      <x:c r="T668" s="19" t="n">
        <x:f>K668+IF(AND(S668=1,J668=0),1,0)</x:f>
        <x:v>1</x:v>
      </x:c>
      <x:c r="U668" s="19" t="n">
        <x:f>L668+IF(AND(S668=1,J668=1),1,0)</x:f>
        <x:v>0</x:v>
      </x:c>
      <x:c r="V668" s="19" t="n">
        <x:f>M668+IF(AND(S668=1,J668=2),1,0)</x:f>
        <x:v>7</x:v>
      </x:c>
      <x:c r="W668" s="19" t="n">
        <x:f>SUM(T668:V668)</x:f>
        <x:v>8</x:v>
      </x:c>
      <x:c r="X668" s="19" t="n">
        <x:f>W668-G668</x:f>
        <x:v>-1</x:v>
      </x:c>
      <x:c r="Y668" s="19" t="n">
        <x:f>MAX(T668,1)+MAX(U668,1)+MAX(V668,1)</x:f>
        <x:v>9</x:v>
      </x:c>
      <x:c r="Z668" s="21" t="str">
        <x:f>IF(AND(MIN(D668:F668)&gt;=0,MAX(D668:F668)&lt;=7,MAX(D668,1)+MAX(E668,1)+MAX(F668,1)&lt;=9,OR(H668="-",AND(H668=0,D668&gt;0),AND(H668=1,E668&gt;0),AND(H668=2,F668&gt;0)),OR(I668=0,AND(I668=1,OR(J668=0,J668=1,J668=2),R668&lt;&gt;"000")),Y668&lt;=9,MIN(T668:V668)&gt;=0),"合法","输入违约")</x:f>
        <x:v>合法</x:v>
      </x:c>
    </x:row>
    <x:row r="669" ht="23" customHeight="1">
      <x:c r="A669" s="3" t="str">
        <x:v>CT-0662</x:v>
      </x:c>
      <x:c r="B669" s="3" t="str">
        <x:v>ST-163</x:v>
      </x:c>
      <x:c r="C669" s="3" t="str">
        <x:v>仅R回收</x:v>
      </x:c>
      <x:c r="D669" s="25" t="n">
        <x:v>1</x:v>
      </x:c>
      <x:c r="E669" s="25" t="n">
        <x:v>1</x:v>
      </x:c>
      <x:c r="F669" s="25" t="n">
        <x:v>7</x:v>
      </x:c>
      <x:c r="G669" s="19" t="n">
        <x:f>SUM(D669:F669)</x:f>
        <x:v>9</x:v>
      </x:c>
      <x:c r="H669" s="25" t="n">
        <x:v>2</x:v>
      </x:c>
      <x:c r="I669" s="25" t="n">
        <x:v>0</x:v>
      </x:c>
      <x:c r="J669" s="25" t="str">
        <x:v>-</x:v>
      </x:c>
      <x:c r="K669" s="19" t="n">
        <x:f>D669-IF(H669=0,1,0)</x:f>
        <x:v>1</x:v>
      </x:c>
      <x:c r="L669" s="19" t="n">
        <x:f>E669-IF(H669=1,1,0)</x:f>
        <x:v>1</x:v>
      </x:c>
      <x:c r="M669" s="19" t="n">
        <x:f>F669-IF(H669=2,1,0)</x:f>
        <x:v>6</x:v>
      </x:c>
      <x:c r="N669" s="19" t="n">
        <x:f>MAX(K669-1,0)+MAX(L669-1,0)+MAX(M669-1,0)</x:f>
        <x:v>5</x:v>
      </x:c>
      <x:c r="O669" s="19" t="n">
        <x:f>IF(AND(SUM(K669:M669)&lt;9,OR(M669=0,N669&lt;6)),1,0)</x:f>
        <x:v>1</x:v>
      </x:c>
      <x:c r="P669" s="19" t="n">
        <x:f>IF(AND(SUM(K669:M669)&lt;9,OR(L669=0,N669&lt;6)),1,0)</x:f>
        <x:v>1</x:v>
      </x:c>
      <x:c r="Q669" s="19" t="n">
        <x:f>IF(AND(SUM(K669:M669)&lt;9,OR(K669=0,N669&lt;6)),1,0)</x:f>
        <x:v>1</x:v>
      </x:c>
      <x:c r="R669" s="22" t="str">
        <x:f>O669&amp;P669&amp;Q669</x:f>
        <x:v>111</x:v>
      </x:c>
      <x:c r="S669" s="19" t="n">
        <x:f>IF(I669=1,IF(J669=0,Q669,IF(J669=1,P669,IF(J669=2,O669,0))),0)</x:f>
        <x:v>0</x:v>
      </x:c>
      <x:c r="T669" s="19" t="n">
        <x:f>K669+IF(AND(S669=1,J669=0),1,0)</x:f>
        <x:v>1</x:v>
      </x:c>
      <x:c r="U669" s="19" t="n">
        <x:f>L669+IF(AND(S669=1,J669=1),1,0)</x:f>
        <x:v>1</x:v>
      </x:c>
      <x:c r="V669" s="19" t="n">
        <x:f>M669+IF(AND(S669=1,J669=2),1,0)</x:f>
        <x:v>6</x:v>
      </x:c>
      <x:c r="W669" s="19" t="n">
        <x:f>SUM(T669:V669)</x:f>
        <x:v>8</x:v>
      </x:c>
      <x:c r="X669" s="19" t="n">
        <x:f>W669-G669</x:f>
        <x:v>-1</x:v>
      </x:c>
      <x:c r="Y669" s="19" t="n">
        <x:f>MAX(T669,1)+MAX(U669,1)+MAX(V669,1)</x:f>
        <x:v>8</x:v>
      </x:c>
      <x:c r="Z669" s="21" t="str">
        <x:f>IF(AND(MIN(D669:F669)&gt;=0,MAX(D669:F669)&lt;=7,MAX(D669,1)+MAX(E669,1)+MAX(F669,1)&lt;=9,OR(H669="-",AND(H669=0,D669&gt;0),AND(H669=1,E669&gt;0),AND(H669=2,F669&gt;0)),OR(I669=0,AND(I669=1,OR(J669=0,J669=1,J669=2),R669&lt;&gt;"000")),Y669&lt;=9,MIN(T669:V669)&gt;=0),"合法","输入违约")</x:f>
        <x:v>合法</x:v>
      </x:c>
    </x:row>
    <x:row r="670" ht="23" customHeight="1">
      <x:c r="A670" s="3" t="str">
        <x:v>CT-0663</x:v>
      </x:c>
      <x:c r="B670" s="3" t="str">
        <x:v>ST-163</x:v>
      </x:c>
      <x:c r="C670" s="3" t="str">
        <x:v>R+AR同收同发</x:v>
      </x:c>
      <x:c r="D670" s="25" t="n">
        <x:v>1</x:v>
      </x:c>
      <x:c r="E670" s="25" t="n">
        <x:v>1</x:v>
      </x:c>
      <x:c r="F670" s="25" t="n">
        <x:v>7</x:v>
      </x:c>
      <x:c r="G670" s="19" t="n">
        <x:f>SUM(D670:F670)</x:f>
        <x:v>9</x:v>
      </x:c>
      <x:c r="H670" s="25" t="n">
        <x:v>2</x:v>
      </x:c>
      <x:c r="I670" s="25" t="n">
        <x:v>1</x:v>
      </x:c>
      <x:c r="J670" s="25" t="n">
        <x:v>0</x:v>
      </x:c>
      <x:c r="K670" s="19" t="n">
        <x:f>D670-IF(H670=0,1,0)</x:f>
        <x:v>1</x:v>
      </x:c>
      <x:c r="L670" s="19" t="n">
        <x:f>E670-IF(H670=1,1,0)</x:f>
        <x:v>1</x:v>
      </x:c>
      <x:c r="M670" s="19" t="n">
        <x:f>F670-IF(H670=2,1,0)</x:f>
        <x:v>6</x:v>
      </x:c>
      <x:c r="N670" s="19" t="n">
        <x:f>MAX(K670-1,0)+MAX(L670-1,0)+MAX(M670-1,0)</x:f>
        <x:v>5</x:v>
      </x:c>
      <x:c r="O670" s="19" t="n">
        <x:f>IF(AND(SUM(K670:M670)&lt;9,OR(M670=0,N670&lt;6)),1,0)</x:f>
        <x:v>1</x:v>
      </x:c>
      <x:c r="P670" s="19" t="n">
        <x:f>IF(AND(SUM(K670:M670)&lt;9,OR(L670=0,N670&lt;6)),1,0)</x:f>
        <x:v>1</x:v>
      </x:c>
      <x:c r="Q670" s="19" t="n">
        <x:f>IF(AND(SUM(K670:M670)&lt;9,OR(K670=0,N670&lt;6)),1,0)</x:f>
        <x:v>1</x:v>
      </x:c>
      <x:c r="R670" s="22" t="str">
        <x:f>O670&amp;P670&amp;Q670</x:f>
        <x:v>111</x:v>
      </x:c>
      <x:c r="S670" s="19" t="n">
        <x:f>IF(I670=1,IF(J670=0,Q670,IF(J670=1,P670,IF(J670=2,O670,0))),0)</x:f>
        <x:v>1</x:v>
      </x:c>
      <x:c r="T670" s="19" t="n">
        <x:f>K670+IF(AND(S670=1,J670=0),1,0)</x:f>
        <x:v>2</x:v>
      </x:c>
      <x:c r="U670" s="19" t="n">
        <x:f>L670+IF(AND(S670=1,J670=1),1,0)</x:f>
        <x:v>1</x:v>
      </x:c>
      <x:c r="V670" s="19" t="n">
        <x:f>M670+IF(AND(S670=1,J670=2),1,0)</x:f>
        <x:v>6</x:v>
      </x:c>
      <x:c r="W670" s="19" t="n">
        <x:f>SUM(T670:V670)</x:f>
        <x:v>9</x:v>
      </x:c>
      <x:c r="X670" s="19" t="n">
        <x:f>W670-G670</x:f>
        <x:v>0</x:v>
      </x:c>
      <x:c r="Y670" s="19" t="n">
        <x:f>MAX(T670,1)+MAX(U670,1)+MAX(V670,1)</x:f>
        <x:v>9</x:v>
      </x:c>
      <x:c r="Z670" s="21" t="str">
        <x:f>IF(AND(MIN(D670:F670)&gt;=0,MAX(D670:F670)&lt;=7,MAX(D670,1)+MAX(E670,1)+MAX(F670,1)&lt;=9,OR(H670="-",AND(H670=0,D670&gt;0),AND(H670=1,E670&gt;0),AND(H670=2,F670&gt;0)),OR(I670=0,AND(I670=1,OR(J670=0,J670=1,J670=2),R670&lt;&gt;"000")),Y670&lt;=9,MIN(T670:V670)&gt;=0),"合法","输入违约")</x:f>
        <x:v>合法</x:v>
      </x:c>
    </x:row>
    <x:row r="671" ht="23" customHeight="1">
      <x:c r="A671" s="3" t="str">
        <x:v>CT-0664</x:v>
      </x:c>
      <x:c r="B671" s="3" t="str">
        <x:v>ST-163</x:v>
      </x:c>
      <x:c r="C671" s="3" t="str">
        <x:v>R+AR同收同发</x:v>
      </x:c>
      <x:c r="D671" s="25" t="n">
        <x:v>1</x:v>
      </x:c>
      <x:c r="E671" s="25" t="n">
        <x:v>1</x:v>
      </x:c>
      <x:c r="F671" s="25" t="n">
        <x:v>7</x:v>
      </x:c>
      <x:c r="G671" s="19" t="n">
        <x:f>SUM(D671:F671)</x:f>
        <x:v>9</x:v>
      </x:c>
      <x:c r="H671" s="25" t="n">
        <x:v>2</x:v>
      </x:c>
      <x:c r="I671" s="25" t="n">
        <x:v>1</x:v>
      </x:c>
      <x:c r="J671" s="25" t="n">
        <x:v>1</x:v>
      </x:c>
      <x:c r="K671" s="19" t="n">
        <x:f>D671-IF(H671=0,1,0)</x:f>
        <x:v>1</x:v>
      </x:c>
      <x:c r="L671" s="19" t="n">
        <x:f>E671-IF(H671=1,1,0)</x:f>
        <x:v>1</x:v>
      </x:c>
      <x:c r="M671" s="19" t="n">
        <x:f>F671-IF(H671=2,1,0)</x:f>
        <x:v>6</x:v>
      </x:c>
      <x:c r="N671" s="19" t="n">
        <x:f>MAX(K671-1,0)+MAX(L671-1,0)+MAX(M671-1,0)</x:f>
        <x:v>5</x:v>
      </x:c>
      <x:c r="O671" s="19" t="n">
        <x:f>IF(AND(SUM(K671:M671)&lt;9,OR(M671=0,N671&lt;6)),1,0)</x:f>
        <x:v>1</x:v>
      </x:c>
      <x:c r="P671" s="19" t="n">
        <x:f>IF(AND(SUM(K671:M671)&lt;9,OR(L671=0,N671&lt;6)),1,0)</x:f>
        <x:v>1</x:v>
      </x:c>
      <x:c r="Q671" s="19" t="n">
        <x:f>IF(AND(SUM(K671:M671)&lt;9,OR(K671=0,N671&lt;6)),1,0)</x:f>
        <x:v>1</x:v>
      </x:c>
      <x:c r="R671" s="22" t="str">
        <x:f>O671&amp;P671&amp;Q671</x:f>
        <x:v>111</x:v>
      </x:c>
      <x:c r="S671" s="19" t="n">
        <x:f>IF(I671=1,IF(J671=0,Q671,IF(J671=1,P671,IF(J671=2,O671,0))),0)</x:f>
        <x:v>1</x:v>
      </x:c>
      <x:c r="T671" s="19" t="n">
        <x:f>K671+IF(AND(S671=1,J671=0),1,0)</x:f>
        <x:v>1</x:v>
      </x:c>
      <x:c r="U671" s="19" t="n">
        <x:f>L671+IF(AND(S671=1,J671=1),1,0)</x:f>
        <x:v>2</x:v>
      </x:c>
      <x:c r="V671" s="19" t="n">
        <x:f>M671+IF(AND(S671=1,J671=2),1,0)</x:f>
        <x:v>6</x:v>
      </x:c>
      <x:c r="W671" s="19" t="n">
        <x:f>SUM(T671:V671)</x:f>
        <x:v>9</x:v>
      </x:c>
      <x:c r="X671" s="19" t="n">
        <x:f>W671-G671</x:f>
        <x:v>0</x:v>
      </x:c>
      <x:c r="Y671" s="19" t="n">
        <x:f>MAX(T671,1)+MAX(U671,1)+MAX(V671,1)</x:f>
        <x:v>9</x:v>
      </x:c>
      <x:c r="Z671" s="21" t="str">
        <x:f>IF(AND(MIN(D671:F671)&gt;=0,MAX(D671:F671)&lt;=7,MAX(D671,1)+MAX(E671,1)+MAX(F671,1)&lt;=9,OR(H671="-",AND(H671=0,D671&gt;0),AND(H671=1,E671&gt;0),AND(H671=2,F671&gt;0)),OR(I671=0,AND(I671=1,OR(J671=0,J671=1,J671=2),R671&lt;&gt;"000")),Y671&lt;=9,MIN(T671:V671)&gt;=0),"合法","输入违约")</x:f>
        <x:v>合法</x:v>
      </x:c>
    </x:row>
    <x:row r="672" ht="23" customHeight="1">
      <x:c r="A672" s="3" t="str">
        <x:v>CT-0665</x:v>
      </x:c>
      <x:c r="B672" s="3" t="str">
        <x:v>ST-163</x:v>
      </x:c>
      <x:c r="C672" s="3" t="str">
        <x:v>R+AR同收同发</x:v>
      </x:c>
      <x:c r="D672" s="25" t="n">
        <x:v>1</x:v>
      </x:c>
      <x:c r="E672" s="25" t="n">
        <x:v>1</x:v>
      </x:c>
      <x:c r="F672" s="25" t="n">
        <x:v>7</x:v>
      </x:c>
      <x:c r="G672" s="19" t="n">
        <x:f>SUM(D672:F672)</x:f>
        <x:v>9</x:v>
      </x:c>
      <x:c r="H672" s="25" t="n">
        <x:v>2</x:v>
      </x:c>
      <x:c r="I672" s="25" t="n">
        <x:v>1</x:v>
      </x:c>
      <x:c r="J672" s="25" t="n">
        <x:v>2</x:v>
      </x:c>
      <x:c r="K672" s="19" t="n">
        <x:f>D672-IF(H672=0,1,0)</x:f>
        <x:v>1</x:v>
      </x:c>
      <x:c r="L672" s="19" t="n">
        <x:f>E672-IF(H672=1,1,0)</x:f>
        <x:v>1</x:v>
      </x:c>
      <x:c r="M672" s="19" t="n">
        <x:f>F672-IF(H672=2,1,0)</x:f>
        <x:v>6</x:v>
      </x:c>
      <x:c r="N672" s="19" t="n">
        <x:f>MAX(K672-1,0)+MAX(L672-1,0)+MAX(M672-1,0)</x:f>
        <x:v>5</x:v>
      </x:c>
      <x:c r="O672" s="19" t="n">
        <x:f>IF(AND(SUM(K672:M672)&lt;9,OR(M672=0,N672&lt;6)),1,0)</x:f>
        <x:v>1</x:v>
      </x:c>
      <x:c r="P672" s="19" t="n">
        <x:f>IF(AND(SUM(K672:M672)&lt;9,OR(L672=0,N672&lt;6)),1,0)</x:f>
        <x:v>1</x:v>
      </x:c>
      <x:c r="Q672" s="19" t="n">
        <x:f>IF(AND(SUM(K672:M672)&lt;9,OR(K672=0,N672&lt;6)),1,0)</x:f>
        <x:v>1</x:v>
      </x:c>
      <x:c r="R672" s="22" t="str">
        <x:f>O672&amp;P672&amp;Q672</x:f>
        <x:v>111</x:v>
      </x:c>
      <x:c r="S672" s="19" t="n">
        <x:f>IF(I672=1,IF(J672=0,Q672,IF(J672=1,P672,IF(J672=2,O672,0))),0)</x:f>
        <x:v>1</x:v>
      </x:c>
      <x:c r="T672" s="19" t="n">
        <x:f>K672+IF(AND(S672=1,J672=0),1,0)</x:f>
        <x:v>1</x:v>
      </x:c>
      <x:c r="U672" s="19" t="n">
        <x:f>L672+IF(AND(S672=1,J672=1),1,0)</x:f>
        <x:v>1</x:v>
      </x:c>
      <x:c r="V672" s="19" t="n">
        <x:f>M672+IF(AND(S672=1,J672=2),1,0)</x:f>
        <x:v>7</x:v>
      </x:c>
      <x:c r="W672" s="19" t="n">
        <x:f>SUM(T672:V672)</x:f>
        <x:v>9</x:v>
      </x:c>
      <x:c r="X672" s="19" t="n">
        <x:f>W672-G672</x:f>
        <x:v>0</x:v>
      </x:c>
      <x:c r="Y672" s="19" t="n">
        <x:f>MAX(T672,1)+MAX(U672,1)+MAX(V672,1)</x:f>
        <x:v>9</x:v>
      </x:c>
      <x:c r="Z672" s="21" t="str">
        <x:f>IF(AND(MIN(D672:F672)&gt;=0,MAX(D672:F672)&lt;=7,MAX(D672,1)+MAX(E672,1)+MAX(F672,1)&lt;=9,OR(H672="-",AND(H672=0,D672&gt;0),AND(H672=1,E672&gt;0),AND(H672=2,F672&gt;0)),OR(I672=0,AND(I672=1,OR(J672=0,J672=1,J672=2),R672&lt;&gt;"000")),Y672&lt;=9,MIN(T672:V672)&gt;=0),"合法","输入违约")</x:f>
        <x:v>合法</x:v>
      </x:c>
    </x:row>
    <x:row r="673" ht="23" customHeight="1">
      <x:c r="A673" s="3" t="str">
        <x:v>CT-0666</x:v>
      </x:c>
      <x:c r="B673" s="3" t="str">
        <x:v>ST-017</x:v>
      </x:c>
      <x:c r="C673" s="3" t="str">
        <x:v>无AR/R</x:v>
      </x:c>
      <x:c r="D673" s="25" t="n">
        <x:v>1</x:v>
      </x:c>
      <x:c r="E673" s="25" t="n">
        <x:v>2</x:v>
      </x:c>
      <x:c r="F673" s="25" t="n">
        <x:v>0</x:v>
      </x:c>
      <x:c r="G673" s="19" t="n">
        <x:f>SUM(D673:F673)</x:f>
        <x:v>3</x:v>
      </x:c>
      <x:c r="H673" s="25" t="str">
        <x:v>-</x:v>
      </x:c>
      <x:c r="I673" s="25" t="n">
        <x:v>0</x:v>
      </x:c>
      <x:c r="J673" s="25" t="str">
        <x:v>-</x:v>
      </x:c>
      <x:c r="K673" s="19" t="n">
        <x:f>D673-IF(H673=0,1,0)</x:f>
        <x:v>1</x:v>
      </x:c>
      <x:c r="L673" s="19" t="n">
        <x:f>E673-IF(H673=1,1,0)</x:f>
        <x:v>2</x:v>
      </x:c>
      <x:c r="M673" s="19" t="n">
        <x:f>F673-IF(H673=2,1,0)</x:f>
        <x:v>0</x:v>
      </x:c>
      <x:c r="N673" s="19" t="n">
        <x:f>MAX(K673-1,0)+MAX(L673-1,0)+MAX(M673-1,0)</x:f>
        <x:v>1</x:v>
      </x:c>
      <x:c r="O673" s="19" t="n">
        <x:f>IF(AND(SUM(K673:M673)&lt;9,OR(M673=0,N673&lt;6)),1,0)</x:f>
        <x:v>1</x:v>
      </x:c>
      <x:c r="P673" s="19" t="n">
        <x:f>IF(AND(SUM(K673:M673)&lt;9,OR(L673=0,N673&lt;6)),1,0)</x:f>
        <x:v>1</x:v>
      </x:c>
      <x:c r="Q673" s="19" t="n">
        <x:f>IF(AND(SUM(K673:M673)&lt;9,OR(K673=0,N673&lt;6)),1,0)</x:f>
        <x:v>1</x:v>
      </x:c>
      <x:c r="R673" s="22" t="str">
        <x:f>O673&amp;P673&amp;Q673</x:f>
        <x:v>111</x:v>
      </x:c>
      <x:c r="S673" s="19" t="n">
        <x:f>IF(I673=1,IF(J673=0,Q673,IF(J673=1,P673,IF(J673=2,O673,0))),0)</x:f>
        <x:v>0</x:v>
      </x:c>
      <x:c r="T673" s="19" t="n">
        <x:f>K673+IF(AND(S673=1,J673=0),1,0)</x:f>
        <x:v>1</x:v>
      </x:c>
      <x:c r="U673" s="19" t="n">
        <x:f>L673+IF(AND(S673=1,J673=1),1,0)</x:f>
        <x:v>2</x:v>
      </x:c>
      <x:c r="V673" s="19" t="n">
        <x:f>M673+IF(AND(S673=1,J673=2),1,0)</x:f>
        <x:v>0</x:v>
      </x:c>
      <x:c r="W673" s="19" t="n">
        <x:f>SUM(T673:V673)</x:f>
        <x:v>3</x:v>
      </x:c>
      <x:c r="X673" s="19" t="n">
        <x:f>W673-G673</x:f>
        <x:v>0</x:v>
      </x:c>
      <x:c r="Y673" s="19" t="n">
        <x:f>MAX(T673,1)+MAX(U673,1)+MAX(V673,1)</x:f>
        <x:v>4</x:v>
      </x:c>
      <x:c r="Z673" s="21" t="str">
        <x:f>IF(AND(MIN(D673:F673)&gt;=0,MAX(D673:F673)&lt;=7,MAX(D673,1)+MAX(E673,1)+MAX(F673,1)&lt;=9,OR(H673="-",AND(H673=0,D673&gt;0),AND(H673=1,E673&gt;0),AND(H673=2,F673&gt;0)),OR(I673=0,AND(I673=1,OR(J673=0,J673=1,J673=2),R673&lt;&gt;"000")),Y673&lt;=9,MIN(T673:V673)&gt;=0),"合法","输入违约")</x:f>
        <x:v>合法</x:v>
      </x:c>
    </x:row>
    <x:row r="674" ht="23" customHeight="1">
      <x:c r="A674" s="3" t="str">
        <x:v>CT-0667</x:v>
      </x:c>
      <x:c r="B674" s="3" t="str">
        <x:v>ST-017</x:v>
      </x:c>
      <x:c r="C674" s="3" t="str">
        <x:v>仅AR接收</x:v>
      </x:c>
      <x:c r="D674" s="25" t="n">
        <x:v>1</x:v>
      </x:c>
      <x:c r="E674" s="25" t="n">
        <x:v>2</x:v>
      </x:c>
      <x:c r="F674" s="25" t="n">
        <x:v>0</x:v>
      </x:c>
      <x:c r="G674" s="19" t="n">
        <x:f>SUM(D674:F674)</x:f>
        <x:v>3</x:v>
      </x:c>
      <x:c r="H674" s="25" t="str">
        <x:v>-</x:v>
      </x:c>
      <x:c r="I674" s="25" t="n">
        <x:v>1</x:v>
      </x:c>
      <x:c r="J674" s="25" t="n">
        <x:v>0</x:v>
      </x:c>
      <x:c r="K674" s="19" t="n">
        <x:f>D674-IF(H674=0,1,0)</x:f>
        <x:v>1</x:v>
      </x:c>
      <x:c r="L674" s="19" t="n">
        <x:f>E674-IF(H674=1,1,0)</x:f>
        <x:v>2</x:v>
      </x:c>
      <x:c r="M674" s="19" t="n">
        <x:f>F674-IF(H674=2,1,0)</x:f>
        <x:v>0</x:v>
      </x:c>
      <x:c r="N674" s="19" t="n">
        <x:f>MAX(K674-1,0)+MAX(L674-1,0)+MAX(M674-1,0)</x:f>
        <x:v>1</x:v>
      </x:c>
      <x:c r="O674" s="19" t="n">
        <x:f>IF(AND(SUM(K674:M674)&lt;9,OR(M674=0,N674&lt;6)),1,0)</x:f>
        <x:v>1</x:v>
      </x:c>
      <x:c r="P674" s="19" t="n">
        <x:f>IF(AND(SUM(K674:M674)&lt;9,OR(L674=0,N674&lt;6)),1,0)</x:f>
        <x:v>1</x:v>
      </x:c>
      <x:c r="Q674" s="19" t="n">
        <x:f>IF(AND(SUM(K674:M674)&lt;9,OR(K674=0,N674&lt;6)),1,0)</x:f>
        <x:v>1</x:v>
      </x:c>
      <x:c r="R674" s="22" t="str">
        <x:f>O674&amp;P674&amp;Q674</x:f>
        <x:v>111</x:v>
      </x:c>
      <x:c r="S674" s="19" t="n">
        <x:f>IF(I674=1,IF(J674=0,Q674,IF(J674=1,P674,IF(J674=2,O674,0))),0)</x:f>
        <x:v>1</x:v>
      </x:c>
      <x:c r="T674" s="19" t="n">
        <x:f>K674+IF(AND(S674=1,J674=0),1,0)</x:f>
        <x:v>2</x:v>
      </x:c>
      <x:c r="U674" s="19" t="n">
        <x:f>L674+IF(AND(S674=1,J674=1),1,0)</x:f>
        <x:v>2</x:v>
      </x:c>
      <x:c r="V674" s="19" t="n">
        <x:f>M674+IF(AND(S674=1,J674=2),1,0)</x:f>
        <x:v>0</x:v>
      </x:c>
      <x:c r="W674" s="19" t="n">
        <x:f>SUM(T674:V674)</x:f>
        <x:v>4</x:v>
      </x:c>
      <x:c r="X674" s="19" t="n">
        <x:f>W674-G674</x:f>
        <x:v>1</x:v>
      </x:c>
      <x:c r="Y674" s="19" t="n">
        <x:f>MAX(T674,1)+MAX(U674,1)+MAX(V674,1)</x:f>
        <x:v>5</x:v>
      </x:c>
      <x:c r="Z674" s="21" t="str">
        <x:f>IF(AND(MIN(D674:F674)&gt;=0,MAX(D674:F674)&lt;=7,MAX(D674,1)+MAX(E674,1)+MAX(F674,1)&lt;=9,OR(H674="-",AND(H674=0,D674&gt;0),AND(H674=1,E674&gt;0),AND(H674=2,F674&gt;0)),OR(I674=0,AND(I674=1,OR(J674=0,J674=1,J674=2),R674&lt;&gt;"000")),Y674&lt;=9,MIN(T674:V674)&gt;=0),"合法","输入违约")</x:f>
        <x:v>合法</x:v>
      </x:c>
    </x:row>
    <x:row r="675" ht="23" customHeight="1">
      <x:c r="A675" s="3" t="str">
        <x:v>CT-0668</x:v>
      </x:c>
      <x:c r="B675" s="3" t="str">
        <x:v>ST-017</x:v>
      </x:c>
      <x:c r="C675" s="3" t="str">
        <x:v>仅AR接收</x:v>
      </x:c>
      <x:c r="D675" s="25" t="n">
        <x:v>1</x:v>
      </x:c>
      <x:c r="E675" s="25" t="n">
        <x:v>2</x:v>
      </x:c>
      <x:c r="F675" s="25" t="n">
        <x:v>0</x:v>
      </x:c>
      <x:c r="G675" s="19" t="n">
        <x:f>SUM(D675:F675)</x:f>
        <x:v>3</x:v>
      </x:c>
      <x:c r="H675" s="25" t="str">
        <x:v>-</x:v>
      </x:c>
      <x:c r="I675" s="25" t="n">
        <x:v>1</x:v>
      </x:c>
      <x:c r="J675" s="25" t="n">
        <x:v>1</x:v>
      </x:c>
      <x:c r="K675" s="19" t="n">
        <x:f>D675-IF(H675=0,1,0)</x:f>
        <x:v>1</x:v>
      </x:c>
      <x:c r="L675" s="19" t="n">
        <x:f>E675-IF(H675=1,1,0)</x:f>
        <x:v>2</x:v>
      </x:c>
      <x:c r="M675" s="19" t="n">
        <x:f>F675-IF(H675=2,1,0)</x:f>
        <x:v>0</x:v>
      </x:c>
      <x:c r="N675" s="19" t="n">
        <x:f>MAX(K675-1,0)+MAX(L675-1,0)+MAX(M675-1,0)</x:f>
        <x:v>1</x:v>
      </x:c>
      <x:c r="O675" s="19" t="n">
        <x:f>IF(AND(SUM(K675:M675)&lt;9,OR(M675=0,N675&lt;6)),1,0)</x:f>
        <x:v>1</x:v>
      </x:c>
      <x:c r="P675" s="19" t="n">
        <x:f>IF(AND(SUM(K675:M675)&lt;9,OR(L675=0,N675&lt;6)),1,0)</x:f>
        <x:v>1</x:v>
      </x:c>
      <x:c r="Q675" s="19" t="n">
        <x:f>IF(AND(SUM(K675:M675)&lt;9,OR(K675=0,N675&lt;6)),1,0)</x:f>
        <x:v>1</x:v>
      </x:c>
      <x:c r="R675" s="22" t="str">
        <x:f>O675&amp;P675&amp;Q675</x:f>
        <x:v>111</x:v>
      </x:c>
      <x:c r="S675" s="19" t="n">
        <x:f>IF(I675=1,IF(J675=0,Q675,IF(J675=1,P675,IF(J675=2,O675,0))),0)</x:f>
        <x:v>1</x:v>
      </x:c>
      <x:c r="T675" s="19" t="n">
        <x:f>K675+IF(AND(S675=1,J675=0),1,0)</x:f>
        <x:v>1</x:v>
      </x:c>
      <x:c r="U675" s="19" t="n">
        <x:f>L675+IF(AND(S675=1,J675=1),1,0)</x:f>
        <x:v>3</x:v>
      </x:c>
      <x:c r="V675" s="19" t="n">
        <x:f>M675+IF(AND(S675=1,J675=2),1,0)</x:f>
        <x:v>0</x:v>
      </x:c>
      <x:c r="W675" s="19" t="n">
        <x:f>SUM(T675:V675)</x:f>
        <x:v>4</x:v>
      </x:c>
      <x:c r="X675" s="19" t="n">
        <x:f>W675-G675</x:f>
        <x:v>1</x:v>
      </x:c>
      <x:c r="Y675" s="19" t="n">
        <x:f>MAX(T675,1)+MAX(U675,1)+MAX(V675,1)</x:f>
        <x:v>5</x:v>
      </x:c>
      <x:c r="Z675" s="21" t="str">
        <x:f>IF(AND(MIN(D675:F675)&gt;=0,MAX(D675:F675)&lt;=7,MAX(D675,1)+MAX(E675,1)+MAX(F675,1)&lt;=9,OR(H675="-",AND(H675=0,D675&gt;0),AND(H675=1,E675&gt;0),AND(H675=2,F675&gt;0)),OR(I675=0,AND(I675=1,OR(J675=0,J675=1,J675=2),R675&lt;&gt;"000")),Y675&lt;=9,MIN(T675:V675)&gt;=0),"合法","输入违约")</x:f>
        <x:v>合法</x:v>
      </x:c>
    </x:row>
    <x:row r="676" ht="23" customHeight="1">
      <x:c r="A676" s="3" t="str">
        <x:v>CT-0669</x:v>
      </x:c>
      <x:c r="B676" s="3" t="str">
        <x:v>ST-017</x:v>
      </x:c>
      <x:c r="C676" s="3" t="str">
        <x:v>仅AR接收</x:v>
      </x:c>
      <x:c r="D676" s="25" t="n">
        <x:v>1</x:v>
      </x:c>
      <x:c r="E676" s="25" t="n">
        <x:v>2</x:v>
      </x:c>
      <x:c r="F676" s="25" t="n">
        <x:v>0</x:v>
      </x:c>
      <x:c r="G676" s="19" t="n">
        <x:f>SUM(D676:F676)</x:f>
        <x:v>3</x:v>
      </x:c>
      <x:c r="H676" s="25" t="str">
        <x:v>-</x:v>
      </x:c>
      <x:c r="I676" s="25" t="n">
        <x:v>1</x:v>
      </x:c>
      <x:c r="J676" s="25" t="n">
        <x:v>2</x:v>
      </x:c>
      <x:c r="K676" s="19" t="n">
        <x:f>D676-IF(H676=0,1,0)</x:f>
        <x:v>1</x:v>
      </x:c>
      <x:c r="L676" s="19" t="n">
        <x:f>E676-IF(H676=1,1,0)</x:f>
        <x:v>2</x:v>
      </x:c>
      <x:c r="M676" s="19" t="n">
        <x:f>F676-IF(H676=2,1,0)</x:f>
        <x:v>0</x:v>
      </x:c>
      <x:c r="N676" s="19" t="n">
        <x:f>MAX(K676-1,0)+MAX(L676-1,0)+MAX(M676-1,0)</x:f>
        <x:v>1</x:v>
      </x:c>
      <x:c r="O676" s="19" t="n">
        <x:f>IF(AND(SUM(K676:M676)&lt;9,OR(M676=0,N676&lt;6)),1,0)</x:f>
        <x:v>1</x:v>
      </x:c>
      <x:c r="P676" s="19" t="n">
        <x:f>IF(AND(SUM(K676:M676)&lt;9,OR(L676=0,N676&lt;6)),1,0)</x:f>
        <x:v>1</x:v>
      </x:c>
      <x:c r="Q676" s="19" t="n">
        <x:f>IF(AND(SUM(K676:M676)&lt;9,OR(K676=0,N676&lt;6)),1,0)</x:f>
        <x:v>1</x:v>
      </x:c>
      <x:c r="R676" s="22" t="str">
        <x:f>O676&amp;P676&amp;Q676</x:f>
        <x:v>111</x:v>
      </x:c>
      <x:c r="S676" s="19" t="n">
        <x:f>IF(I676=1,IF(J676=0,Q676,IF(J676=1,P676,IF(J676=2,O676,0))),0)</x:f>
        <x:v>1</x:v>
      </x:c>
      <x:c r="T676" s="19" t="n">
        <x:f>K676+IF(AND(S676=1,J676=0),1,0)</x:f>
        <x:v>1</x:v>
      </x:c>
      <x:c r="U676" s="19" t="n">
        <x:f>L676+IF(AND(S676=1,J676=1),1,0)</x:f>
        <x:v>2</x:v>
      </x:c>
      <x:c r="V676" s="19" t="n">
        <x:f>M676+IF(AND(S676=1,J676=2),1,0)</x:f>
        <x:v>1</x:v>
      </x:c>
      <x:c r="W676" s="19" t="n">
        <x:f>SUM(T676:V676)</x:f>
        <x:v>4</x:v>
      </x:c>
      <x:c r="X676" s="19" t="n">
        <x:f>W676-G676</x:f>
        <x:v>1</x:v>
      </x:c>
      <x:c r="Y676" s="19" t="n">
        <x:f>MAX(T676,1)+MAX(U676,1)+MAX(V676,1)</x:f>
        <x:v>4</x:v>
      </x:c>
      <x:c r="Z676" s="21" t="str">
        <x:f>IF(AND(MIN(D676:F676)&gt;=0,MAX(D676:F676)&lt;=7,MAX(D676,1)+MAX(E676,1)+MAX(F676,1)&lt;=9,OR(H676="-",AND(H676=0,D676&gt;0),AND(H676=1,E676&gt;0),AND(H676=2,F676&gt;0)),OR(I676=0,AND(I676=1,OR(J676=0,J676=1,J676=2),R676&lt;&gt;"000")),Y676&lt;=9,MIN(T676:V676)&gt;=0),"合法","输入违约")</x:f>
        <x:v>合法</x:v>
      </x:c>
    </x:row>
    <x:row r="677" ht="23" customHeight="1">
      <x:c r="A677" s="3" t="str">
        <x:v>CT-0670</x:v>
      </x:c>
      <x:c r="B677" s="3" t="str">
        <x:v>ST-017</x:v>
      </x:c>
      <x:c r="C677" s="3" t="str">
        <x:v>仅R回收</x:v>
      </x:c>
      <x:c r="D677" s="25" t="n">
        <x:v>1</x:v>
      </x:c>
      <x:c r="E677" s="25" t="n">
        <x:v>2</x:v>
      </x:c>
      <x:c r="F677" s="25" t="n">
        <x:v>0</x:v>
      </x:c>
      <x:c r="G677" s="19" t="n">
        <x:f>SUM(D677:F677)</x:f>
        <x:v>3</x:v>
      </x:c>
      <x:c r="H677" s="25" t="n">
        <x:v>0</x:v>
      </x:c>
      <x:c r="I677" s="25" t="n">
        <x:v>0</x:v>
      </x:c>
      <x:c r="J677" s="25" t="str">
        <x:v>-</x:v>
      </x:c>
      <x:c r="K677" s="19" t="n">
        <x:f>D677-IF(H677=0,1,0)</x:f>
        <x:v>0</x:v>
      </x:c>
      <x:c r="L677" s="19" t="n">
        <x:f>E677-IF(H677=1,1,0)</x:f>
        <x:v>2</x:v>
      </x:c>
      <x:c r="M677" s="19" t="n">
        <x:f>F677-IF(H677=2,1,0)</x:f>
        <x:v>0</x:v>
      </x:c>
      <x:c r="N677" s="19" t="n">
        <x:f>MAX(K677-1,0)+MAX(L677-1,0)+MAX(M677-1,0)</x:f>
        <x:v>1</x:v>
      </x:c>
      <x:c r="O677" s="19" t="n">
        <x:f>IF(AND(SUM(K677:M677)&lt;9,OR(M677=0,N677&lt;6)),1,0)</x:f>
        <x:v>1</x:v>
      </x:c>
      <x:c r="P677" s="19" t="n">
        <x:f>IF(AND(SUM(K677:M677)&lt;9,OR(L677=0,N677&lt;6)),1,0)</x:f>
        <x:v>1</x:v>
      </x:c>
      <x:c r="Q677" s="19" t="n">
        <x:f>IF(AND(SUM(K677:M677)&lt;9,OR(K677=0,N677&lt;6)),1,0)</x:f>
        <x:v>1</x:v>
      </x:c>
      <x:c r="R677" s="22" t="str">
        <x:f>O677&amp;P677&amp;Q677</x:f>
        <x:v>111</x:v>
      </x:c>
      <x:c r="S677" s="19" t="n">
        <x:f>IF(I677=1,IF(J677=0,Q677,IF(J677=1,P677,IF(J677=2,O677,0))),0)</x:f>
        <x:v>0</x:v>
      </x:c>
      <x:c r="T677" s="19" t="n">
        <x:f>K677+IF(AND(S677=1,J677=0),1,0)</x:f>
        <x:v>0</x:v>
      </x:c>
      <x:c r="U677" s="19" t="n">
        <x:f>L677+IF(AND(S677=1,J677=1),1,0)</x:f>
        <x:v>2</x:v>
      </x:c>
      <x:c r="V677" s="19" t="n">
        <x:f>M677+IF(AND(S677=1,J677=2),1,0)</x:f>
        <x:v>0</x:v>
      </x:c>
      <x:c r="W677" s="19" t="n">
        <x:f>SUM(T677:V677)</x:f>
        <x:v>2</x:v>
      </x:c>
      <x:c r="X677" s="19" t="n">
        <x:f>W677-G677</x:f>
        <x:v>-1</x:v>
      </x:c>
      <x:c r="Y677" s="19" t="n">
        <x:f>MAX(T677,1)+MAX(U677,1)+MAX(V677,1)</x:f>
        <x:v>4</x:v>
      </x:c>
      <x:c r="Z677" s="21" t="str">
        <x:f>IF(AND(MIN(D677:F677)&gt;=0,MAX(D677:F677)&lt;=7,MAX(D677,1)+MAX(E677,1)+MAX(F677,1)&lt;=9,OR(H677="-",AND(H677=0,D677&gt;0),AND(H677=1,E677&gt;0),AND(H677=2,F677&gt;0)),OR(I677=0,AND(I677=1,OR(J677=0,J677=1,J677=2),R677&lt;&gt;"000")),Y677&lt;=9,MIN(T677:V677)&gt;=0),"合法","输入违约")</x:f>
        <x:v>合法</x:v>
      </x:c>
    </x:row>
    <x:row r="678" ht="23" customHeight="1">
      <x:c r="A678" s="3" t="str">
        <x:v>CT-0671</x:v>
      </x:c>
      <x:c r="B678" s="3" t="str">
        <x:v>ST-017</x:v>
      </x:c>
      <x:c r="C678" s="3" t="str">
        <x:v>R+AR同收同发</x:v>
      </x:c>
      <x:c r="D678" s="25" t="n">
        <x:v>1</x:v>
      </x:c>
      <x:c r="E678" s="25" t="n">
        <x:v>2</x:v>
      </x:c>
      <x:c r="F678" s="25" t="n">
        <x:v>0</x:v>
      </x:c>
      <x:c r="G678" s="19" t="n">
        <x:f>SUM(D678:F678)</x:f>
        <x:v>3</x:v>
      </x:c>
      <x:c r="H678" s="25" t="n">
        <x:v>0</x:v>
      </x:c>
      <x:c r="I678" s="25" t="n">
        <x:v>1</x:v>
      </x:c>
      <x:c r="J678" s="25" t="n">
        <x:v>0</x:v>
      </x:c>
      <x:c r="K678" s="19" t="n">
        <x:f>D678-IF(H678=0,1,0)</x:f>
        <x:v>0</x:v>
      </x:c>
      <x:c r="L678" s="19" t="n">
        <x:f>E678-IF(H678=1,1,0)</x:f>
        <x:v>2</x:v>
      </x:c>
      <x:c r="M678" s="19" t="n">
        <x:f>F678-IF(H678=2,1,0)</x:f>
        <x:v>0</x:v>
      </x:c>
      <x:c r="N678" s="19" t="n">
        <x:f>MAX(K678-1,0)+MAX(L678-1,0)+MAX(M678-1,0)</x:f>
        <x:v>1</x:v>
      </x:c>
      <x:c r="O678" s="19" t="n">
        <x:f>IF(AND(SUM(K678:M678)&lt;9,OR(M678=0,N678&lt;6)),1,0)</x:f>
        <x:v>1</x:v>
      </x:c>
      <x:c r="P678" s="19" t="n">
        <x:f>IF(AND(SUM(K678:M678)&lt;9,OR(L678=0,N678&lt;6)),1,0)</x:f>
        <x:v>1</x:v>
      </x:c>
      <x:c r="Q678" s="19" t="n">
        <x:f>IF(AND(SUM(K678:M678)&lt;9,OR(K678=0,N678&lt;6)),1,0)</x:f>
        <x:v>1</x:v>
      </x:c>
      <x:c r="R678" s="22" t="str">
        <x:f>O678&amp;P678&amp;Q678</x:f>
        <x:v>111</x:v>
      </x:c>
      <x:c r="S678" s="19" t="n">
        <x:f>IF(I678=1,IF(J678=0,Q678,IF(J678=1,P678,IF(J678=2,O678,0))),0)</x:f>
        <x:v>1</x:v>
      </x:c>
      <x:c r="T678" s="19" t="n">
        <x:f>K678+IF(AND(S678=1,J678=0),1,0)</x:f>
        <x:v>1</x:v>
      </x:c>
      <x:c r="U678" s="19" t="n">
        <x:f>L678+IF(AND(S678=1,J678=1),1,0)</x:f>
        <x:v>2</x:v>
      </x:c>
      <x:c r="V678" s="19" t="n">
        <x:f>M678+IF(AND(S678=1,J678=2),1,0)</x:f>
        <x:v>0</x:v>
      </x:c>
      <x:c r="W678" s="19" t="n">
        <x:f>SUM(T678:V678)</x:f>
        <x:v>3</x:v>
      </x:c>
      <x:c r="X678" s="19" t="n">
        <x:f>W678-G678</x:f>
        <x:v>0</x:v>
      </x:c>
      <x:c r="Y678" s="19" t="n">
        <x:f>MAX(T678,1)+MAX(U678,1)+MAX(V678,1)</x:f>
        <x:v>4</x:v>
      </x:c>
      <x:c r="Z678" s="21" t="str">
        <x:f>IF(AND(MIN(D678:F678)&gt;=0,MAX(D678:F678)&lt;=7,MAX(D678,1)+MAX(E678,1)+MAX(F678,1)&lt;=9,OR(H678="-",AND(H678=0,D678&gt;0),AND(H678=1,E678&gt;0),AND(H678=2,F678&gt;0)),OR(I678=0,AND(I678=1,OR(J678=0,J678=1,J678=2),R678&lt;&gt;"000")),Y678&lt;=9,MIN(T678:V678)&gt;=0),"合法","输入违约")</x:f>
        <x:v>合法</x:v>
      </x:c>
    </x:row>
    <x:row r="679" ht="23" customHeight="1">
      <x:c r="A679" s="3" t="str">
        <x:v>CT-0672</x:v>
      </x:c>
      <x:c r="B679" s="3" t="str">
        <x:v>ST-017</x:v>
      </x:c>
      <x:c r="C679" s="3" t="str">
        <x:v>R+AR同收同发</x:v>
      </x:c>
      <x:c r="D679" s="25" t="n">
        <x:v>1</x:v>
      </x:c>
      <x:c r="E679" s="25" t="n">
        <x:v>2</x:v>
      </x:c>
      <x:c r="F679" s="25" t="n">
        <x:v>0</x:v>
      </x:c>
      <x:c r="G679" s="19" t="n">
        <x:f>SUM(D679:F679)</x:f>
        <x:v>3</x:v>
      </x:c>
      <x:c r="H679" s="25" t="n">
        <x:v>0</x:v>
      </x:c>
      <x:c r="I679" s="25" t="n">
        <x:v>1</x:v>
      </x:c>
      <x:c r="J679" s="25" t="n">
        <x:v>1</x:v>
      </x:c>
      <x:c r="K679" s="19" t="n">
        <x:f>D679-IF(H679=0,1,0)</x:f>
        <x:v>0</x:v>
      </x:c>
      <x:c r="L679" s="19" t="n">
        <x:f>E679-IF(H679=1,1,0)</x:f>
        <x:v>2</x:v>
      </x:c>
      <x:c r="M679" s="19" t="n">
        <x:f>F679-IF(H679=2,1,0)</x:f>
        <x:v>0</x:v>
      </x:c>
      <x:c r="N679" s="19" t="n">
        <x:f>MAX(K679-1,0)+MAX(L679-1,0)+MAX(M679-1,0)</x:f>
        <x:v>1</x:v>
      </x:c>
      <x:c r="O679" s="19" t="n">
        <x:f>IF(AND(SUM(K679:M679)&lt;9,OR(M679=0,N679&lt;6)),1,0)</x:f>
        <x:v>1</x:v>
      </x:c>
      <x:c r="P679" s="19" t="n">
        <x:f>IF(AND(SUM(K679:M679)&lt;9,OR(L679=0,N679&lt;6)),1,0)</x:f>
        <x:v>1</x:v>
      </x:c>
      <x:c r="Q679" s="19" t="n">
        <x:f>IF(AND(SUM(K679:M679)&lt;9,OR(K679=0,N679&lt;6)),1,0)</x:f>
        <x:v>1</x:v>
      </x:c>
      <x:c r="R679" s="22" t="str">
        <x:f>O679&amp;P679&amp;Q679</x:f>
        <x:v>111</x:v>
      </x:c>
      <x:c r="S679" s="19" t="n">
        <x:f>IF(I679=1,IF(J679=0,Q679,IF(J679=1,P679,IF(J679=2,O679,0))),0)</x:f>
        <x:v>1</x:v>
      </x:c>
      <x:c r="T679" s="19" t="n">
        <x:f>K679+IF(AND(S679=1,J679=0),1,0)</x:f>
        <x:v>0</x:v>
      </x:c>
      <x:c r="U679" s="19" t="n">
        <x:f>L679+IF(AND(S679=1,J679=1),1,0)</x:f>
        <x:v>3</x:v>
      </x:c>
      <x:c r="V679" s="19" t="n">
        <x:f>M679+IF(AND(S679=1,J679=2),1,0)</x:f>
        <x:v>0</x:v>
      </x:c>
      <x:c r="W679" s="19" t="n">
        <x:f>SUM(T679:V679)</x:f>
        <x:v>3</x:v>
      </x:c>
      <x:c r="X679" s="19" t="n">
        <x:f>W679-G679</x:f>
        <x:v>0</x:v>
      </x:c>
      <x:c r="Y679" s="19" t="n">
        <x:f>MAX(T679,1)+MAX(U679,1)+MAX(V679,1)</x:f>
        <x:v>5</x:v>
      </x:c>
      <x:c r="Z679" s="21" t="str">
        <x:f>IF(AND(MIN(D679:F679)&gt;=0,MAX(D679:F679)&lt;=7,MAX(D679,1)+MAX(E679,1)+MAX(F679,1)&lt;=9,OR(H679="-",AND(H679=0,D679&gt;0),AND(H679=1,E679&gt;0),AND(H679=2,F679&gt;0)),OR(I679=0,AND(I679=1,OR(J679=0,J679=1,J679=2),R679&lt;&gt;"000")),Y679&lt;=9,MIN(T679:V679)&gt;=0),"合法","输入违约")</x:f>
        <x:v>合法</x:v>
      </x:c>
    </x:row>
    <x:row r="680" ht="23" customHeight="1">
      <x:c r="A680" s="3" t="str">
        <x:v>CT-0673</x:v>
      </x:c>
      <x:c r="B680" s="3" t="str">
        <x:v>ST-017</x:v>
      </x:c>
      <x:c r="C680" s="3" t="str">
        <x:v>R+AR同收同发</x:v>
      </x:c>
      <x:c r="D680" s="25" t="n">
        <x:v>1</x:v>
      </x:c>
      <x:c r="E680" s="25" t="n">
        <x:v>2</x:v>
      </x:c>
      <x:c r="F680" s="25" t="n">
        <x:v>0</x:v>
      </x:c>
      <x:c r="G680" s="19" t="n">
        <x:f>SUM(D680:F680)</x:f>
        <x:v>3</x:v>
      </x:c>
      <x:c r="H680" s="25" t="n">
        <x:v>0</x:v>
      </x:c>
      <x:c r="I680" s="25" t="n">
        <x:v>1</x:v>
      </x:c>
      <x:c r="J680" s="25" t="n">
        <x:v>2</x:v>
      </x:c>
      <x:c r="K680" s="19" t="n">
        <x:f>D680-IF(H680=0,1,0)</x:f>
        <x:v>0</x:v>
      </x:c>
      <x:c r="L680" s="19" t="n">
        <x:f>E680-IF(H680=1,1,0)</x:f>
        <x:v>2</x:v>
      </x:c>
      <x:c r="M680" s="19" t="n">
        <x:f>F680-IF(H680=2,1,0)</x:f>
        <x:v>0</x:v>
      </x:c>
      <x:c r="N680" s="19" t="n">
        <x:f>MAX(K680-1,0)+MAX(L680-1,0)+MAX(M680-1,0)</x:f>
        <x:v>1</x:v>
      </x:c>
      <x:c r="O680" s="19" t="n">
        <x:f>IF(AND(SUM(K680:M680)&lt;9,OR(M680=0,N680&lt;6)),1,0)</x:f>
        <x:v>1</x:v>
      </x:c>
      <x:c r="P680" s="19" t="n">
        <x:f>IF(AND(SUM(K680:M680)&lt;9,OR(L680=0,N680&lt;6)),1,0)</x:f>
        <x:v>1</x:v>
      </x:c>
      <x:c r="Q680" s="19" t="n">
        <x:f>IF(AND(SUM(K680:M680)&lt;9,OR(K680=0,N680&lt;6)),1,0)</x:f>
        <x:v>1</x:v>
      </x:c>
      <x:c r="R680" s="22" t="str">
        <x:f>O680&amp;P680&amp;Q680</x:f>
        <x:v>111</x:v>
      </x:c>
      <x:c r="S680" s="19" t="n">
        <x:f>IF(I680=1,IF(J680=0,Q680,IF(J680=1,P680,IF(J680=2,O680,0))),0)</x:f>
        <x:v>1</x:v>
      </x:c>
      <x:c r="T680" s="19" t="n">
        <x:f>K680+IF(AND(S680=1,J680=0),1,0)</x:f>
        <x:v>0</x:v>
      </x:c>
      <x:c r="U680" s="19" t="n">
        <x:f>L680+IF(AND(S680=1,J680=1),1,0)</x:f>
        <x:v>2</x:v>
      </x:c>
      <x:c r="V680" s="19" t="n">
        <x:f>M680+IF(AND(S680=1,J680=2),1,0)</x:f>
        <x:v>1</x:v>
      </x:c>
      <x:c r="W680" s="19" t="n">
        <x:f>SUM(T680:V680)</x:f>
        <x:v>3</x:v>
      </x:c>
      <x:c r="X680" s="19" t="n">
        <x:f>W680-G680</x:f>
        <x:v>0</x:v>
      </x:c>
      <x:c r="Y680" s="19" t="n">
        <x:f>MAX(T680,1)+MAX(U680,1)+MAX(V680,1)</x:f>
        <x:v>4</x:v>
      </x:c>
      <x:c r="Z680" s="21" t="str">
        <x:f>IF(AND(MIN(D680:F680)&gt;=0,MAX(D680:F680)&lt;=7,MAX(D680,1)+MAX(E680,1)+MAX(F680,1)&lt;=9,OR(H680="-",AND(H680=0,D680&gt;0),AND(H680=1,E680&gt;0),AND(H680=2,F680&gt;0)),OR(I680=0,AND(I680=1,OR(J680=0,J680=1,J680=2),R680&lt;&gt;"000")),Y680&lt;=9,MIN(T680:V680)&gt;=0),"合法","输入违约")</x:f>
        <x:v>合法</x:v>
      </x:c>
    </x:row>
    <x:row r="681" ht="23" customHeight="1">
      <x:c r="A681" s="3" t="str">
        <x:v>CT-0674</x:v>
      </x:c>
      <x:c r="B681" s="3" t="str">
        <x:v>ST-017</x:v>
      </x:c>
      <x:c r="C681" s="3" t="str">
        <x:v>仅R回收</x:v>
      </x:c>
      <x:c r="D681" s="25" t="n">
        <x:v>1</x:v>
      </x:c>
      <x:c r="E681" s="25" t="n">
        <x:v>2</x:v>
      </x:c>
      <x:c r="F681" s="25" t="n">
        <x:v>0</x:v>
      </x:c>
      <x:c r="G681" s="19" t="n">
        <x:f>SUM(D681:F681)</x:f>
        <x:v>3</x:v>
      </x:c>
      <x:c r="H681" s="25" t="n">
        <x:v>1</x:v>
      </x:c>
      <x:c r="I681" s="25" t="n">
        <x:v>0</x:v>
      </x:c>
      <x:c r="J681" s="25" t="str">
        <x:v>-</x:v>
      </x:c>
      <x:c r="K681" s="19" t="n">
        <x:f>D681-IF(H681=0,1,0)</x:f>
        <x:v>1</x:v>
      </x:c>
      <x:c r="L681" s="19" t="n">
        <x:f>E681-IF(H681=1,1,0)</x:f>
        <x:v>1</x:v>
      </x:c>
      <x:c r="M681" s="19" t="n">
        <x:f>F681-IF(H681=2,1,0)</x:f>
        <x:v>0</x:v>
      </x:c>
      <x:c r="N681" s="19" t="n">
        <x:f>MAX(K681-1,0)+MAX(L681-1,0)+MAX(M681-1,0)</x:f>
        <x:v>0</x:v>
      </x:c>
      <x:c r="O681" s="19" t="n">
        <x:f>IF(AND(SUM(K681:M681)&lt;9,OR(M681=0,N681&lt;6)),1,0)</x:f>
        <x:v>1</x:v>
      </x:c>
      <x:c r="P681" s="19" t="n">
        <x:f>IF(AND(SUM(K681:M681)&lt;9,OR(L681=0,N681&lt;6)),1,0)</x:f>
        <x:v>1</x:v>
      </x:c>
      <x:c r="Q681" s="19" t="n">
        <x:f>IF(AND(SUM(K681:M681)&lt;9,OR(K681=0,N681&lt;6)),1,0)</x:f>
        <x:v>1</x:v>
      </x:c>
      <x:c r="R681" s="22" t="str">
        <x:f>O681&amp;P681&amp;Q681</x:f>
        <x:v>111</x:v>
      </x:c>
      <x:c r="S681" s="19" t="n">
        <x:f>IF(I681=1,IF(J681=0,Q681,IF(J681=1,P681,IF(J681=2,O681,0))),0)</x:f>
        <x:v>0</x:v>
      </x:c>
      <x:c r="T681" s="19" t="n">
        <x:f>K681+IF(AND(S681=1,J681=0),1,0)</x:f>
        <x:v>1</x:v>
      </x:c>
      <x:c r="U681" s="19" t="n">
        <x:f>L681+IF(AND(S681=1,J681=1),1,0)</x:f>
        <x:v>1</x:v>
      </x:c>
      <x:c r="V681" s="19" t="n">
        <x:f>M681+IF(AND(S681=1,J681=2),1,0)</x:f>
        <x:v>0</x:v>
      </x:c>
      <x:c r="W681" s="19" t="n">
        <x:f>SUM(T681:V681)</x:f>
        <x:v>2</x:v>
      </x:c>
      <x:c r="X681" s="19" t="n">
        <x:f>W681-G681</x:f>
        <x:v>-1</x:v>
      </x:c>
      <x:c r="Y681" s="19" t="n">
        <x:f>MAX(T681,1)+MAX(U681,1)+MAX(V681,1)</x:f>
        <x:v>3</x:v>
      </x:c>
      <x:c r="Z681" s="21" t="str">
        <x:f>IF(AND(MIN(D681:F681)&gt;=0,MAX(D681:F681)&lt;=7,MAX(D681,1)+MAX(E681,1)+MAX(F681,1)&lt;=9,OR(H681="-",AND(H681=0,D681&gt;0),AND(H681=1,E681&gt;0),AND(H681=2,F681&gt;0)),OR(I681=0,AND(I681=1,OR(J681=0,J681=1,J681=2),R681&lt;&gt;"000")),Y681&lt;=9,MIN(T681:V681)&gt;=0),"合法","输入违约")</x:f>
        <x:v>合法</x:v>
      </x:c>
    </x:row>
    <x:row r="682" ht="23" customHeight="1">
      <x:c r="A682" s="3" t="str">
        <x:v>CT-0675</x:v>
      </x:c>
      <x:c r="B682" s="3" t="str">
        <x:v>ST-017</x:v>
      </x:c>
      <x:c r="C682" s="3" t="str">
        <x:v>R+AR同收同发</x:v>
      </x:c>
      <x:c r="D682" s="25" t="n">
        <x:v>1</x:v>
      </x:c>
      <x:c r="E682" s="25" t="n">
        <x:v>2</x:v>
      </x:c>
      <x:c r="F682" s="25" t="n">
        <x:v>0</x:v>
      </x:c>
      <x:c r="G682" s="19" t="n">
        <x:f>SUM(D682:F682)</x:f>
        <x:v>3</x:v>
      </x:c>
      <x:c r="H682" s="25" t="n">
        <x:v>1</x:v>
      </x:c>
      <x:c r="I682" s="25" t="n">
        <x:v>1</x:v>
      </x:c>
      <x:c r="J682" s="25" t="n">
        <x:v>0</x:v>
      </x:c>
      <x:c r="K682" s="19" t="n">
        <x:f>D682-IF(H682=0,1,0)</x:f>
        <x:v>1</x:v>
      </x:c>
      <x:c r="L682" s="19" t="n">
        <x:f>E682-IF(H682=1,1,0)</x:f>
        <x:v>1</x:v>
      </x:c>
      <x:c r="M682" s="19" t="n">
        <x:f>F682-IF(H682=2,1,0)</x:f>
        <x:v>0</x:v>
      </x:c>
      <x:c r="N682" s="19" t="n">
        <x:f>MAX(K682-1,0)+MAX(L682-1,0)+MAX(M682-1,0)</x:f>
        <x:v>0</x:v>
      </x:c>
      <x:c r="O682" s="19" t="n">
        <x:f>IF(AND(SUM(K682:M682)&lt;9,OR(M682=0,N682&lt;6)),1,0)</x:f>
        <x:v>1</x:v>
      </x:c>
      <x:c r="P682" s="19" t="n">
        <x:f>IF(AND(SUM(K682:M682)&lt;9,OR(L682=0,N682&lt;6)),1,0)</x:f>
        <x:v>1</x:v>
      </x:c>
      <x:c r="Q682" s="19" t="n">
        <x:f>IF(AND(SUM(K682:M682)&lt;9,OR(K682=0,N682&lt;6)),1,0)</x:f>
        <x:v>1</x:v>
      </x:c>
      <x:c r="R682" s="22" t="str">
        <x:f>O682&amp;P682&amp;Q682</x:f>
        <x:v>111</x:v>
      </x:c>
      <x:c r="S682" s="19" t="n">
        <x:f>IF(I682=1,IF(J682=0,Q682,IF(J682=1,P682,IF(J682=2,O682,0))),0)</x:f>
        <x:v>1</x:v>
      </x:c>
      <x:c r="T682" s="19" t="n">
        <x:f>K682+IF(AND(S682=1,J682=0),1,0)</x:f>
        <x:v>2</x:v>
      </x:c>
      <x:c r="U682" s="19" t="n">
        <x:f>L682+IF(AND(S682=1,J682=1),1,0)</x:f>
        <x:v>1</x:v>
      </x:c>
      <x:c r="V682" s="19" t="n">
        <x:f>M682+IF(AND(S682=1,J682=2),1,0)</x:f>
        <x:v>0</x:v>
      </x:c>
      <x:c r="W682" s="19" t="n">
        <x:f>SUM(T682:V682)</x:f>
        <x:v>3</x:v>
      </x:c>
      <x:c r="X682" s="19" t="n">
        <x:f>W682-G682</x:f>
        <x:v>0</x:v>
      </x:c>
      <x:c r="Y682" s="19" t="n">
        <x:f>MAX(T682,1)+MAX(U682,1)+MAX(V682,1)</x:f>
        <x:v>4</x:v>
      </x:c>
      <x:c r="Z682" s="21" t="str">
        <x:f>IF(AND(MIN(D682:F682)&gt;=0,MAX(D682:F682)&lt;=7,MAX(D682,1)+MAX(E682,1)+MAX(F682,1)&lt;=9,OR(H682="-",AND(H682=0,D682&gt;0),AND(H682=1,E682&gt;0),AND(H682=2,F682&gt;0)),OR(I682=0,AND(I682=1,OR(J682=0,J682=1,J682=2),R682&lt;&gt;"000")),Y682&lt;=9,MIN(T682:V682)&gt;=0),"合法","输入违约")</x:f>
        <x:v>合法</x:v>
      </x:c>
    </x:row>
    <x:row r="683" ht="23" customHeight="1">
      <x:c r="A683" s="3" t="str">
        <x:v>CT-0676</x:v>
      </x:c>
      <x:c r="B683" s="3" t="str">
        <x:v>ST-017</x:v>
      </x:c>
      <x:c r="C683" s="3" t="str">
        <x:v>R+AR同收同发</x:v>
      </x:c>
      <x:c r="D683" s="25" t="n">
        <x:v>1</x:v>
      </x:c>
      <x:c r="E683" s="25" t="n">
        <x:v>2</x:v>
      </x:c>
      <x:c r="F683" s="25" t="n">
        <x:v>0</x:v>
      </x:c>
      <x:c r="G683" s="19" t="n">
        <x:f>SUM(D683:F683)</x:f>
        <x:v>3</x:v>
      </x:c>
      <x:c r="H683" s="25" t="n">
        <x:v>1</x:v>
      </x:c>
      <x:c r="I683" s="25" t="n">
        <x:v>1</x:v>
      </x:c>
      <x:c r="J683" s="25" t="n">
        <x:v>1</x:v>
      </x:c>
      <x:c r="K683" s="19" t="n">
        <x:f>D683-IF(H683=0,1,0)</x:f>
        <x:v>1</x:v>
      </x:c>
      <x:c r="L683" s="19" t="n">
        <x:f>E683-IF(H683=1,1,0)</x:f>
        <x:v>1</x:v>
      </x:c>
      <x:c r="M683" s="19" t="n">
        <x:f>F683-IF(H683=2,1,0)</x:f>
        <x:v>0</x:v>
      </x:c>
      <x:c r="N683" s="19" t="n">
        <x:f>MAX(K683-1,0)+MAX(L683-1,0)+MAX(M683-1,0)</x:f>
        <x:v>0</x:v>
      </x:c>
      <x:c r="O683" s="19" t="n">
        <x:f>IF(AND(SUM(K683:M683)&lt;9,OR(M683=0,N683&lt;6)),1,0)</x:f>
        <x:v>1</x:v>
      </x:c>
      <x:c r="P683" s="19" t="n">
        <x:f>IF(AND(SUM(K683:M683)&lt;9,OR(L683=0,N683&lt;6)),1,0)</x:f>
        <x:v>1</x:v>
      </x:c>
      <x:c r="Q683" s="19" t="n">
        <x:f>IF(AND(SUM(K683:M683)&lt;9,OR(K683=0,N683&lt;6)),1,0)</x:f>
        <x:v>1</x:v>
      </x:c>
      <x:c r="R683" s="22" t="str">
        <x:f>O683&amp;P683&amp;Q683</x:f>
        <x:v>111</x:v>
      </x:c>
      <x:c r="S683" s="19" t="n">
        <x:f>IF(I683=1,IF(J683=0,Q683,IF(J683=1,P683,IF(J683=2,O683,0))),0)</x:f>
        <x:v>1</x:v>
      </x:c>
      <x:c r="T683" s="19" t="n">
        <x:f>K683+IF(AND(S683=1,J683=0),1,0)</x:f>
        <x:v>1</x:v>
      </x:c>
      <x:c r="U683" s="19" t="n">
        <x:f>L683+IF(AND(S683=1,J683=1),1,0)</x:f>
        <x:v>2</x:v>
      </x:c>
      <x:c r="V683" s="19" t="n">
        <x:f>M683+IF(AND(S683=1,J683=2),1,0)</x:f>
        <x:v>0</x:v>
      </x:c>
      <x:c r="W683" s="19" t="n">
        <x:f>SUM(T683:V683)</x:f>
        <x:v>3</x:v>
      </x:c>
      <x:c r="X683" s="19" t="n">
        <x:f>W683-G683</x:f>
        <x:v>0</x:v>
      </x:c>
      <x:c r="Y683" s="19" t="n">
        <x:f>MAX(T683,1)+MAX(U683,1)+MAX(V683,1)</x:f>
        <x:v>4</x:v>
      </x:c>
      <x:c r="Z683" s="21" t="str">
        <x:f>IF(AND(MIN(D683:F683)&gt;=0,MAX(D683:F683)&lt;=7,MAX(D683,1)+MAX(E683,1)+MAX(F683,1)&lt;=9,OR(H683="-",AND(H683=0,D683&gt;0),AND(H683=1,E683&gt;0),AND(H683=2,F683&gt;0)),OR(I683=0,AND(I683=1,OR(J683=0,J683=1,J683=2),R683&lt;&gt;"000")),Y683&lt;=9,MIN(T683:V683)&gt;=0),"合法","输入违约")</x:f>
        <x:v>合法</x:v>
      </x:c>
    </x:row>
    <x:row r="684" ht="23" customHeight="1">
      <x:c r="A684" s="3" t="str">
        <x:v>CT-0677</x:v>
      </x:c>
      <x:c r="B684" s="3" t="str">
        <x:v>ST-017</x:v>
      </x:c>
      <x:c r="C684" s="3" t="str">
        <x:v>R+AR同收同发</x:v>
      </x:c>
      <x:c r="D684" s="25" t="n">
        <x:v>1</x:v>
      </x:c>
      <x:c r="E684" s="25" t="n">
        <x:v>2</x:v>
      </x:c>
      <x:c r="F684" s="25" t="n">
        <x:v>0</x:v>
      </x:c>
      <x:c r="G684" s="19" t="n">
        <x:f>SUM(D684:F684)</x:f>
        <x:v>3</x:v>
      </x:c>
      <x:c r="H684" s="25" t="n">
        <x:v>1</x:v>
      </x:c>
      <x:c r="I684" s="25" t="n">
        <x:v>1</x:v>
      </x:c>
      <x:c r="J684" s="25" t="n">
        <x:v>2</x:v>
      </x:c>
      <x:c r="K684" s="19" t="n">
        <x:f>D684-IF(H684=0,1,0)</x:f>
        <x:v>1</x:v>
      </x:c>
      <x:c r="L684" s="19" t="n">
        <x:f>E684-IF(H684=1,1,0)</x:f>
        <x:v>1</x:v>
      </x:c>
      <x:c r="M684" s="19" t="n">
        <x:f>F684-IF(H684=2,1,0)</x:f>
        <x:v>0</x:v>
      </x:c>
      <x:c r="N684" s="19" t="n">
        <x:f>MAX(K684-1,0)+MAX(L684-1,0)+MAX(M684-1,0)</x:f>
        <x:v>0</x:v>
      </x:c>
      <x:c r="O684" s="19" t="n">
        <x:f>IF(AND(SUM(K684:M684)&lt;9,OR(M684=0,N684&lt;6)),1,0)</x:f>
        <x:v>1</x:v>
      </x:c>
      <x:c r="P684" s="19" t="n">
        <x:f>IF(AND(SUM(K684:M684)&lt;9,OR(L684=0,N684&lt;6)),1,0)</x:f>
        <x:v>1</x:v>
      </x:c>
      <x:c r="Q684" s="19" t="n">
        <x:f>IF(AND(SUM(K684:M684)&lt;9,OR(K684=0,N684&lt;6)),1,0)</x:f>
        <x:v>1</x:v>
      </x:c>
      <x:c r="R684" s="22" t="str">
        <x:f>O684&amp;P684&amp;Q684</x:f>
        <x:v>111</x:v>
      </x:c>
      <x:c r="S684" s="19" t="n">
        <x:f>IF(I684=1,IF(J684=0,Q684,IF(J684=1,P684,IF(J684=2,O684,0))),0)</x:f>
        <x:v>1</x:v>
      </x:c>
      <x:c r="T684" s="19" t="n">
        <x:f>K684+IF(AND(S684=1,J684=0),1,0)</x:f>
        <x:v>1</x:v>
      </x:c>
      <x:c r="U684" s="19" t="n">
        <x:f>L684+IF(AND(S684=1,J684=1),1,0)</x:f>
        <x:v>1</x:v>
      </x:c>
      <x:c r="V684" s="19" t="n">
        <x:f>M684+IF(AND(S684=1,J684=2),1,0)</x:f>
        <x:v>1</x:v>
      </x:c>
      <x:c r="W684" s="19" t="n">
        <x:f>SUM(T684:V684)</x:f>
        <x:v>3</x:v>
      </x:c>
      <x:c r="X684" s="19" t="n">
        <x:f>W684-G684</x:f>
        <x:v>0</x:v>
      </x:c>
      <x:c r="Y684" s="19" t="n">
        <x:f>MAX(T684,1)+MAX(U684,1)+MAX(V684,1)</x:f>
        <x:v>3</x:v>
      </x:c>
      <x:c r="Z684" s="21" t="str">
        <x:f>IF(AND(MIN(D684:F684)&gt;=0,MAX(D684:F684)&lt;=7,MAX(D684,1)+MAX(E684,1)+MAX(F684,1)&lt;=9,OR(H684="-",AND(H684=0,D684&gt;0),AND(H684=1,E684&gt;0),AND(H684=2,F684&gt;0)),OR(I684=0,AND(I684=1,OR(J684=0,J684=1,J684=2),R684&lt;&gt;"000")),Y684&lt;=9,MIN(T684:V684)&gt;=0),"合法","输入违约")</x:f>
        <x:v>合法</x:v>
      </x:c>
    </x:row>
    <x:row r="685" ht="23" customHeight="1">
      <x:c r="A685" s="3" t="str">
        <x:v>CT-0678</x:v>
      </x:c>
      <x:c r="B685" s="3" t="str">
        <x:v>ST-028</x:v>
      </x:c>
      <x:c r="C685" s="3" t="str">
        <x:v>无AR/R</x:v>
      </x:c>
      <x:c r="D685" s="25" t="n">
        <x:v>1</x:v>
      </x:c>
      <x:c r="E685" s="25" t="n">
        <x:v>2</x:v>
      </x:c>
      <x:c r="F685" s="25" t="n">
        <x:v>1</x:v>
      </x:c>
      <x:c r="G685" s="19" t="n">
        <x:f>SUM(D685:F685)</x:f>
        <x:v>4</x:v>
      </x:c>
      <x:c r="H685" s="25" t="str">
        <x:v>-</x:v>
      </x:c>
      <x:c r="I685" s="25" t="n">
        <x:v>0</x:v>
      </x:c>
      <x:c r="J685" s="25" t="str">
        <x:v>-</x:v>
      </x:c>
      <x:c r="K685" s="19" t="n">
        <x:f>D685-IF(H685=0,1,0)</x:f>
        <x:v>1</x:v>
      </x:c>
      <x:c r="L685" s="19" t="n">
        <x:f>E685-IF(H685=1,1,0)</x:f>
        <x:v>2</x:v>
      </x:c>
      <x:c r="M685" s="19" t="n">
        <x:f>F685-IF(H685=2,1,0)</x:f>
        <x:v>1</x:v>
      </x:c>
      <x:c r="N685" s="19" t="n">
        <x:f>MAX(K685-1,0)+MAX(L685-1,0)+MAX(M685-1,0)</x:f>
        <x:v>1</x:v>
      </x:c>
      <x:c r="O685" s="19" t="n">
        <x:f>IF(AND(SUM(K685:M685)&lt;9,OR(M685=0,N685&lt;6)),1,0)</x:f>
        <x:v>1</x:v>
      </x:c>
      <x:c r="P685" s="19" t="n">
        <x:f>IF(AND(SUM(K685:M685)&lt;9,OR(L685=0,N685&lt;6)),1,0)</x:f>
        <x:v>1</x:v>
      </x:c>
      <x:c r="Q685" s="19" t="n">
        <x:f>IF(AND(SUM(K685:M685)&lt;9,OR(K685=0,N685&lt;6)),1,0)</x:f>
        <x:v>1</x:v>
      </x:c>
      <x:c r="R685" s="22" t="str">
        <x:f>O685&amp;P685&amp;Q685</x:f>
        <x:v>111</x:v>
      </x:c>
      <x:c r="S685" s="19" t="n">
        <x:f>IF(I685=1,IF(J685=0,Q685,IF(J685=1,P685,IF(J685=2,O685,0))),0)</x:f>
        <x:v>0</x:v>
      </x:c>
      <x:c r="T685" s="19" t="n">
        <x:f>K685+IF(AND(S685=1,J685=0),1,0)</x:f>
        <x:v>1</x:v>
      </x:c>
      <x:c r="U685" s="19" t="n">
        <x:f>L685+IF(AND(S685=1,J685=1),1,0)</x:f>
        <x:v>2</x:v>
      </x:c>
      <x:c r="V685" s="19" t="n">
        <x:f>M685+IF(AND(S685=1,J685=2),1,0)</x:f>
        <x:v>1</x:v>
      </x:c>
      <x:c r="W685" s="19" t="n">
        <x:f>SUM(T685:V685)</x:f>
        <x:v>4</x:v>
      </x:c>
      <x:c r="X685" s="19" t="n">
        <x:f>W685-G685</x:f>
        <x:v>0</x:v>
      </x:c>
      <x:c r="Y685" s="19" t="n">
        <x:f>MAX(T685,1)+MAX(U685,1)+MAX(V685,1)</x:f>
        <x:v>4</x:v>
      </x:c>
      <x:c r="Z685" s="21" t="str">
        <x:f>IF(AND(MIN(D685:F685)&gt;=0,MAX(D685:F685)&lt;=7,MAX(D685,1)+MAX(E685,1)+MAX(F685,1)&lt;=9,OR(H685="-",AND(H685=0,D685&gt;0),AND(H685=1,E685&gt;0),AND(H685=2,F685&gt;0)),OR(I685=0,AND(I685=1,OR(J685=0,J685=1,J685=2),R685&lt;&gt;"000")),Y685&lt;=9,MIN(T685:V685)&gt;=0),"合法","输入违约")</x:f>
        <x:v>合法</x:v>
      </x:c>
    </x:row>
    <x:row r="686" ht="23" customHeight="1">
      <x:c r="A686" s="3" t="str">
        <x:v>CT-0679</x:v>
      </x:c>
      <x:c r="B686" s="3" t="str">
        <x:v>ST-028</x:v>
      </x:c>
      <x:c r="C686" s="3" t="str">
        <x:v>仅AR接收</x:v>
      </x:c>
      <x:c r="D686" s="25" t="n">
        <x:v>1</x:v>
      </x:c>
      <x:c r="E686" s="25" t="n">
        <x:v>2</x:v>
      </x:c>
      <x:c r="F686" s="25" t="n">
        <x:v>1</x:v>
      </x:c>
      <x:c r="G686" s="19" t="n">
        <x:f>SUM(D686:F686)</x:f>
        <x:v>4</x:v>
      </x:c>
      <x:c r="H686" s="25" t="str">
        <x:v>-</x:v>
      </x:c>
      <x:c r="I686" s="25" t="n">
        <x:v>1</x:v>
      </x:c>
      <x:c r="J686" s="25" t="n">
        <x:v>0</x:v>
      </x:c>
      <x:c r="K686" s="19" t="n">
        <x:f>D686-IF(H686=0,1,0)</x:f>
        <x:v>1</x:v>
      </x:c>
      <x:c r="L686" s="19" t="n">
        <x:f>E686-IF(H686=1,1,0)</x:f>
        <x:v>2</x:v>
      </x:c>
      <x:c r="M686" s="19" t="n">
        <x:f>F686-IF(H686=2,1,0)</x:f>
        <x:v>1</x:v>
      </x:c>
      <x:c r="N686" s="19" t="n">
        <x:f>MAX(K686-1,0)+MAX(L686-1,0)+MAX(M686-1,0)</x:f>
        <x:v>1</x:v>
      </x:c>
      <x:c r="O686" s="19" t="n">
        <x:f>IF(AND(SUM(K686:M686)&lt;9,OR(M686=0,N686&lt;6)),1,0)</x:f>
        <x:v>1</x:v>
      </x:c>
      <x:c r="P686" s="19" t="n">
        <x:f>IF(AND(SUM(K686:M686)&lt;9,OR(L686=0,N686&lt;6)),1,0)</x:f>
        <x:v>1</x:v>
      </x:c>
      <x:c r="Q686" s="19" t="n">
        <x:f>IF(AND(SUM(K686:M686)&lt;9,OR(K686=0,N686&lt;6)),1,0)</x:f>
        <x:v>1</x:v>
      </x:c>
      <x:c r="R686" s="22" t="str">
        <x:f>O686&amp;P686&amp;Q686</x:f>
        <x:v>111</x:v>
      </x:c>
      <x:c r="S686" s="19" t="n">
        <x:f>IF(I686=1,IF(J686=0,Q686,IF(J686=1,P686,IF(J686=2,O686,0))),0)</x:f>
        <x:v>1</x:v>
      </x:c>
      <x:c r="T686" s="19" t="n">
        <x:f>K686+IF(AND(S686=1,J686=0),1,0)</x:f>
        <x:v>2</x:v>
      </x:c>
      <x:c r="U686" s="19" t="n">
        <x:f>L686+IF(AND(S686=1,J686=1),1,0)</x:f>
        <x:v>2</x:v>
      </x:c>
      <x:c r="V686" s="19" t="n">
        <x:f>M686+IF(AND(S686=1,J686=2),1,0)</x:f>
        <x:v>1</x:v>
      </x:c>
      <x:c r="W686" s="19" t="n">
        <x:f>SUM(T686:V686)</x:f>
        <x:v>5</x:v>
      </x:c>
      <x:c r="X686" s="19" t="n">
        <x:f>W686-G686</x:f>
        <x:v>1</x:v>
      </x:c>
      <x:c r="Y686" s="19" t="n">
        <x:f>MAX(T686,1)+MAX(U686,1)+MAX(V686,1)</x:f>
        <x:v>5</x:v>
      </x:c>
      <x:c r="Z686" s="21" t="str">
        <x:f>IF(AND(MIN(D686:F686)&gt;=0,MAX(D686:F686)&lt;=7,MAX(D686,1)+MAX(E686,1)+MAX(F686,1)&lt;=9,OR(H686="-",AND(H686=0,D686&gt;0),AND(H686=1,E686&gt;0),AND(H686=2,F686&gt;0)),OR(I686=0,AND(I686=1,OR(J686=0,J686=1,J686=2),R686&lt;&gt;"000")),Y686&lt;=9,MIN(T686:V686)&gt;=0),"合法","输入违约")</x:f>
        <x:v>合法</x:v>
      </x:c>
    </x:row>
    <x:row r="687" ht="23" customHeight="1">
      <x:c r="A687" s="3" t="str">
        <x:v>CT-0680</x:v>
      </x:c>
      <x:c r="B687" s="3" t="str">
        <x:v>ST-028</x:v>
      </x:c>
      <x:c r="C687" s="3" t="str">
        <x:v>仅AR接收</x:v>
      </x:c>
      <x:c r="D687" s="25" t="n">
        <x:v>1</x:v>
      </x:c>
      <x:c r="E687" s="25" t="n">
        <x:v>2</x:v>
      </x:c>
      <x:c r="F687" s="25" t="n">
        <x:v>1</x:v>
      </x:c>
      <x:c r="G687" s="19" t="n">
        <x:f>SUM(D687:F687)</x:f>
        <x:v>4</x:v>
      </x:c>
      <x:c r="H687" s="25" t="str">
        <x:v>-</x:v>
      </x:c>
      <x:c r="I687" s="25" t="n">
        <x:v>1</x:v>
      </x:c>
      <x:c r="J687" s="25" t="n">
        <x:v>1</x:v>
      </x:c>
      <x:c r="K687" s="19" t="n">
        <x:f>D687-IF(H687=0,1,0)</x:f>
        <x:v>1</x:v>
      </x:c>
      <x:c r="L687" s="19" t="n">
        <x:f>E687-IF(H687=1,1,0)</x:f>
        <x:v>2</x:v>
      </x:c>
      <x:c r="M687" s="19" t="n">
        <x:f>F687-IF(H687=2,1,0)</x:f>
        <x:v>1</x:v>
      </x:c>
      <x:c r="N687" s="19" t="n">
        <x:f>MAX(K687-1,0)+MAX(L687-1,0)+MAX(M687-1,0)</x:f>
        <x:v>1</x:v>
      </x:c>
      <x:c r="O687" s="19" t="n">
        <x:f>IF(AND(SUM(K687:M687)&lt;9,OR(M687=0,N687&lt;6)),1,0)</x:f>
        <x:v>1</x:v>
      </x:c>
      <x:c r="P687" s="19" t="n">
        <x:f>IF(AND(SUM(K687:M687)&lt;9,OR(L687=0,N687&lt;6)),1,0)</x:f>
        <x:v>1</x:v>
      </x:c>
      <x:c r="Q687" s="19" t="n">
        <x:f>IF(AND(SUM(K687:M687)&lt;9,OR(K687=0,N687&lt;6)),1,0)</x:f>
        <x:v>1</x:v>
      </x:c>
      <x:c r="R687" s="22" t="str">
        <x:f>O687&amp;P687&amp;Q687</x:f>
        <x:v>111</x:v>
      </x:c>
      <x:c r="S687" s="19" t="n">
        <x:f>IF(I687=1,IF(J687=0,Q687,IF(J687=1,P687,IF(J687=2,O687,0))),0)</x:f>
        <x:v>1</x:v>
      </x:c>
      <x:c r="T687" s="19" t="n">
        <x:f>K687+IF(AND(S687=1,J687=0),1,0)</x:f>
        <x:v>1</x:v>
      </x:c>
      <x:c r="U687" s="19" t="n">
        <x:f>L687+IF(AND(S687=1,J687=1),1,0)</x:f>
        <x:v>3</x:v>
      </x:c>
      <x:c r="V687" s="19" t="n">
        <x:f>M687+IF(AND(S687=1,J687=2),1,0)</x:f>
        <x:v>1</x:v>
      </x:c>
      <x:c r="W687" s="19" t="n">
        <x:f>SUM(T687:V687)</x:f>
        <x:v>5</x:v>
      </x:c>
      <x:c r="X687" s="19" t="n">
        <x:f>W687-G687</x:f>
        <x:v>1</x:v>
      </x:c>
      <x:c r="Y687" s="19" t="n">
        <x:f>MAX(T687,1)+MAX(U687,1)+MAX(V687,1)</x:f>
        <x:v>5</x:v>
      </x:c>
      <x:c r="Z687" s="21" t="str">
        <x:f>IF(AND(MIN(D687:F687)&gt;=0,MAX(D687:F687)&lt;=7,MAX(D687,1)+MAX(E687,1)+MAX(F687,1)&lt;=9,OR(H687="-",AND(H687=0,D687&gt;0),AND(H687=1,E687&gt;0),AND(H687=2,F687&gt;0)),OR(I687=0,AND(I687=1,OR(J687=0,J687=1,J687=2),R687&lt;&gt;"000")),Y687&lt;=9,MIN(T687:V687)&gt;=0),"合法","输入违约")</x:f>
        <x:v>合法</x:v>
      </x:c>
    </x:row>
    <x:row r="688" ht="23" customHeight="1">
      <x:c r="A688" s="3" t="str">
        <x:v>CT-0681</x:v>
      </x:c>
      <x:c r="B688" s="3" t="str">
        <x:v>ST-028</x:v>
      </x:c>
      <x:c r="C688" s="3" t="str">
        <x:v>仅AR接收</x:v>
      </x:c>
      <x:c r="D688" s="25" t="n">
        <x:v>1</x:v>
      </x:c>
      <x:c r="E688" s="25" t="n">
        <x:v>2</x:v>
      </x:c>
      <x:c r="F688" s="25" t="n">
        <x:v>1</x:v>
      </x:c>
      <x:c r="G688" s="19" t="n">
        <x:f>SUM(D688:F688)</x:f>
        <x:v>4</x:v>
      </x:c>
      <x:c r="H688" s="25" t="str">
        <x:v>-</x:v>
      </x:c>
      <x:c r="I688" s="25" t="n">
        <x:v>1</x:v>
      </x:c>
      <x:c r="J688" s="25" t="n">
        <x:v>2</x:v>
      </x:c>
      <x:c r="K688" s="19" t="n">
        <x:f>D688-IF(H688=0,1,0)</x:f>
        <x:v>1</x:v>
      </x:c>
      <x:c r="L688" s="19" t="n">
        <x:f>E688-IF(H688=1,1,0)</x:f>
        <x:v>2</x:v>
      </x:c>
      <x:c r="M688" s="19" t="n">
        <x:f>F688-IF(H688=2,1,0)</x:f>
        <x:v>1</x:v>
      </x:c>
      <x:c r="N688" s="19" t="n">
        <x:f>MAX(K688-1,0)+MAX(L688-1,0)+MAX(M688-1,0)</x:f>
        <x:v>1</x:v>
      </x:c>
      <x:c r="O688" s="19" t="n">
        <x:f>IF(AND(SUM(K688:M688)&lt;9,OR(M688=0,N688&lt;6)),1,0)</x:f>
        <x:v>1</x:v>
      </x:c>
      <x:c r="P688" s="19" t="n">
        <x:f>IF(AND(SUM(K688:M688)&lt;9,OR(L688=0,N688&lt;6)),1,0)</x:f>
        <x:v>1</x:v>
      </x:c>
      <x:c r="Q688" s="19" t="n">
        <x:f>IF(AND(SUM(K688:M688)&lt;9,OR(K688=0,N688&lt;6)),1,0)</x:f>
        <x:v>1</x:v>
      </x:c>
      <x:c r="R688" s="22" t="str">
        <x:f>O688&amp;P688&amp;Q688</x:f>
        <x:v>111</x:v>
      </x:c>
      <x:c r="S688" s="19" t="n">
        <x:f>IF(I688=1,IF(J688=0,Q688,IF(J688=1,P688,IF(J688=2,O688,0))),0)</x:f>
        <x:v>1</x:v>
      </x:c>
      <x:c r="T688" s="19" t="n">
        <x:f>K688+IF(AND(S688=1,J688=0),1,0)</x:f>
        <x:v>1</x:v>
      </x:c>
      <x:c r="U688" s="19" t="n">
        <x:f>L688+IF(AND(S688=1,J688=1),1,0)</x:f>
        <x:v>2</x:v>
      </x:c>
      <x:c r="V688" s="19" t="n">
        <x:f>M688+IF(AND(S688=1,J688=2),1,0)</x:f>
        <x:v>2</x:v>
      </x:c>
      <x:c r="W688" s="19" t="n">
        <x:f>SUM(T688:V688)</x:f>
        <x:v>5</x:v>
      </x:c>
      <x:c r="X688" s="19" t="n">
        <x:f>W688-G688</x:f>
        <x:v>1</x:v>
      </x:c>
      <x:c r="Y688" s="19" t="n">
        <x:f>MAX(T688,1)+MAX(U688,1)+MAX(V688,1)</x:f>
        <x:v>5</x:v>
      </x:c>
      <x:c r="Z688" s="21" t="str">
        <x:f>IF(AND(MIN(D688:F688)&gt;=0,MAX(D688:F688)&lt;=7,MAX(D688,1)+MAX(E688,1)+MAX(F688,1)&lt;=9,OR(H688="-",AND(H688=0,D688&gt;0),AND(H688=1,E688&gt;0),AND(H688=2,F688&gt;0)),OR(I688=0,AND(I688=1,OR(J688=0,J688=1,J688=2),R688&lt;&gt;"000")),Y688&lt;=9,MIN(T688:V688)&gt;=0),"合法","输入违约")</x:f>
        <x:v>合法</x:v>
      </x:c>
    </x:row>
    <x:row r="689" ht="23" customHeight="1">
      <x:c r="A689" s="3" t="str">
        <x:v>CT-0682</x:v>
      </x:c>
      <x:c r="B689" s="3" t="str">
        <x:v>ST-028</x:v>
      </x:c>
      <x:c r="C689" s="3" t="str">
        <x:v>仅R回收</x:v>
      </x:c>
      <x:c r="D689" s="25" t="n">
        <x:v>1</x:v>
      </x:c>
      <x:c r="E689" s="25" t="n">
        <x:v>2</x:v>
      </x:c>
      <x:c r="F689" s="25" t="n">
        <x:v>1</x:v>
      </x:c>
      <x:c r="G689" s="19" t="n">
        <x:f>SUM(D689:F689)</x:f>
        <x:v>4</x:v>
      </x:c>
      <x:c r="H689" s="25" t="n">
        <x:v>0</x:v>
      </x:c>
      <x:c r="I689" s="25" t="n">
        <x:v>0</x:v>
      </x:c>
      <x:c r="J689" s="25" t="str">
        <x:v>-</x:v>
      </x:c>
      <x:c r="K689" s="19" t="n">
        <x:f>D689-IF(H689=0,1,0)</x:f>
        <x:v>0</x:v>
      </x:c>
      <x:c r="L689" s="19" t="n">
        <x:f>E689-IF(H689=1,1,0)</x:f>
        <x:v>2</x:v>
      </x:c>
      <x:c r="M689" s="19" t="n">
        <x:f>F689-IF(H689=2,1,0)</x:f>
        <x:v>1</x:v>
      </x:c>
      <x:c r="N689" s="19" t="n">
        <x:f>MAX(K689-1,0)+MAX(L689-1,0)+MAX(M689-1,0)</x:f>
        <x:v>1</x:v>
      </x:c>
      <x:c r="O689" s="19" t="n">
        <x:f>IF(AND(SUM(K689:M689)&lt;9,OR(M689=0,N689&lt;6)),1,0)</x:f>
        <x:v>1</x:v>
      </x:c>
      <x:c r="P689" s="19" t="n">
        <x:f>IF(AND(SUM(K689:M689)&lt;9,OR(L689=0,N689&lt;6)),1,0)</x:f>
        <x:v>1</x:v>
      </x:c>
      <x:c r="Q689" s="19" t="n">
        <x:f>IF(AND(SUM(K689:M689)&lt;9,OR(K689=0,N689&lt;6)),1,0)</x:f>
        <x:v>1</x:v>
      </x:c>
      <x:c r="R689" s="22" t="str">
        <x:f>O689&amp;P689&amp;Q689</x:f>
        <x:v>111</x:v>
      </x:c>
      <x:c r="S689" s="19" t="n">
        <x:f>IF(I689=1,IF(J689=0,Q689,IF(J689=1,P689,IF(J689=2,O689,0))),0)</x:f>
        <x:v>0</x:v>
      </x:c>
      <x:c r="T689" s="19" t="n">
        <x:f>K689+IF(AND(S689=1,J689=0),1,0)</x:f>
        <x:v>0</x:v>
      </x:c>
      <x:c r="U689" s="19" t="n">
        <x:f>L689+IF(AND(S689=1,J689=1),1,0)</x:f>
        <x:v>2</x:v>
      </x:c>
      <x:c r="V689" s="19" t="n">
        <x:f>M689+IF(AND(S689=1,J689=2),1,0)</x:f>
        <x:v>1</x:v>
      </x:c>
      <x:c r="W689" s="19" t="n">
        <x:f>SUM(T689:V689)</x:f>
        <x:v>3</x:v>
      </x:c>
      <x:c r="X689" s="19" t="n">
        <x:f>W689-G689</x:f>
        <x:v>-1</x:v>
      </x:c>
      <x:c r="Y689" s="19" t="n">
        <x:f>MAX(T689,1)+MAX(U689,1)+MAX(V689,1)</x:f>
        <x:v>4</x:v>
      </x:c>
      <x:c r="Z689" s="21" t="str">
        <x:f>IF(AND(MIN(D689:F689)&gt;=0,MAX(D689:F689)&lt;=7,MAX(D689,1)+MAX(E689,1)+MAX(F689,1)&lt;=9,OR(H689="-",AND(H689=0,D689&gt;0),AND(H689=1,E689&gt;0),AND(H689=2,F689&gt;0)),OR(I689=0,AND(I689=1,OR(J689=0,J689=1,J689=2),R689&lt;&gt;"000")),Y689&lt;=9,MIN(T689:V689)&gt;=0),"合法","输入违约")</x:f>
        <x:v>合法</x:v>
      </x:c>
    </x:row>
    <x:row r="690" ht="23" customHeight="1">
      <x:c r="A690" s="3" t="str">
        <x:v>CT-0683</x:v>
      </x:c>
      <x:c r="B690" s="3" t="str">
        <x:v>ST-028</x:v>
      </x:c>
      <x:c r="C690" s="3" t="str">
        <x:v>R+AR同收同发</x:v>
      </x:c>
      <x:c r="D690" s="25" t="n">
        <x:v>1</x:v>
      </x:c>
      <x:c r="E690" s="25" t="n">
        <x:v>2</x:v>
      </x:c>
      <x:c r="F690" s="25" t="n">
        <x:v>1</x:v>
      </x:c>
      <x:c r="G690" s="19" t="n">
        <x:f>SUM(D690:F690)</x:f>
        <x:v>4</x:v>
      </x:c>
      <x:c r="H690" s="25" t="n">
        <x:v>0</x:v>
      </x:c>
      <x:c r="I690" s="25" t="n">
        <x:v>1</x:v>
      </x:c>
      <x:c r="J690" s="25" t="n">
        <x:v>0</x:v>
      </x:c>
      <x:c r="K690" s="19" t="n">
        <x:f>D690-IF(H690=0,1,0)</x:f>
        <x:v>0</x:v>
      </x:c>
      <x:c r="L690" s="19" t="n">
        <x:f>E690-IF(H690=1,1,0)</x:f>
        <x:v>2</x:v>
      </x:c>
      <x:c r="M690" s="19" t="n">
        <x:f>F690-IF(H690=2,1,0)</x:f>
        <x:v>1</x:v>
      </x:c>
      <x:c r="N690" s="19" t="n">
        <x:f>MAX(K690-1,0)+MAX(L690-1,0)+MAX(M690-1,0)</x:f>
        <x:v>1</x:v>
      </x:c>
      <x:c r="O690" s="19" t="n">
        <x:f>IF(AND(SUM(K690:M690)&lt;9,OR(M690=0,N690&lt;6)),1,0)</x:f>
        <x:v>1</x:v>
      </x:c>
      <x:c r="P690" s="19" t="n">
        <x:f>IF(AND(SUM(K690:M690)&lt;9,OR(L690=0,N690&lt;6)),1,0)</x:f>
        <x:v>1</x:v>
      </x:c>
      <x:c r="Q690" s="19" t="n">
        <x:f>IF(AND(SUM(K690:M690)&lt;9,OR(K690=0,N690&lt;6)),1,0)</x:f>
        <x:v>1</x:v>
      </x:c>
      <x:c r="R690" s="22" t="str">
        <x:f>O690&amp;P690&amp;Q690</x:f>
        <x:v>111</x:v>
      </x:c>
      <x:c r="S690" s="19" t="n">
        <x:f>IF(I690=1,IF(J690=0,Q690,IF(J690=1,P690,IF(J690=2,O690,0))),0)</x:f>
        <x:v>1</x:v>
      </x:c>
      <x:c r="T690" s="19" t="n">
        <x:f>K690+IF(AND(S690=1,J690=0),1,0)</x:f>
        <x:v>1</x:v>
      </x:c>
      <x:c r="U690" s="19" t="n">
        <x:f>L690+IF(AND(S690=1,J690=1),1,0)</x:f>
        <x:v>2</x:v>
      </x:c>
      <x:c r="V690" s="19" t="n">
        <x:f>M690+IF(AND(S690=1,J690=2),1,0)</x:f>
        <x:v>1</x:v>
      </x:c>
      <x:c r="W690" s="19" t="n">
        <x:f>SUM(T690:V690)</x:f>
        <x:v>4</x:v>
      </x:c>
      <x:c r="X690" s="19" t="n">
        <x:f>W690-G690</x:f>
        <x:v>0</x:v>
      </x:c>
      <x:c r="Y690" s="19" t="n">
        <x:f>MAX(T690,1)+MAX(U690,1)+MAX(V690,1)</x:f>
        <x:v>4</x:v>
      </x:c>
      <x:c r="Z690" s="21" t="str">
        <x:f>IF(AND(MIN(D690:F690)&gt;=0,MAX(D690:F690)&lt;=7,MAX(D690,1)+MAX(E690,1)+MAX(F690,1)&lt;=9,OR(H690="-",AND(H690=0,D690&gt;0),AND(H690=1,E690&gt;0),AND(H690=2,F690&gt;0)),OR(I690=0,AND(I690=1,OR(J690=0,J690=1,J690=2),R690&lt;&gt;"000")),Y690&lt;=9,MIN(T690:V690)&gt;=0),"合法","输入违约")</x:f>
        <x:v>合法</x:v>
      </x:c>
    </x:row>
    <x:row r="691" ht="23" customHeight="1">
      <x:c r="A691" s="3" t="str">
        <x:v>CT-0684</x:v>
      </x:c>
      <x:c r="B691" s="3" t="str">
        <x:v>ST-028</x:v>
      </x:c>
      <x:c r="C691" s="3" t="str">
        <x:v>R+AR同收同发</x:v>
      </x:c>
      <x:c r="D691" s="25" t="n">
        <x:v>1</x:v>
      </x:c>
      <x:c r="E691" s="25" t="n">
        <x:v>2</x:v>
      </x:c>
      <x:c r="F691" s="25" t="n">
        <x:v>1</x:v>
      </x:c>
      <x:c r="G691" s="19" t="n">
        <x:f>SUM(D691:F691)</x:f>
        <x:v>4</x:v>
      </x:c>
      <x:c r="H691" s="25" t="n">
        <x:v>0</x:v>
      </x:c>
      <x:c r="I691" s="25" t="n">
        <x:v>1</x:v>
      </x:c>
      <x:c r="J691" s="25" t="n">
        <x:v>1</x:v>
      </x:c>
      <x:c r="K691" s="19" t="n">
        <x:f>D691-IF(H691=0,1,0)</x:f>
        <x:v>0</x:v>
      </x:c>
      <x:c r="L691" s="19" t="n">
        <x:f>E691-IF(H691=1,1,0)</x:f>
        <x:v>2</x:v>
      </x:c>
      <x:c r="M691" s="19" t="n">
        <x:f>F691-IF(H691=2,1,0)</x:f>
        <x:v>1</x:v>
      </x:c>
      <x:c r="N691" s="19" t="n">
        <x:f>MAX(K691-1,0)+MAX(L691-1,0)+MAX(M691-1,0)</x:f>
        <x:v>1</x:v>
      </x:c>
      <x:c r="O691" s="19" t="n">
        <x:f>IF(AND(SUM(K691:M691)&lt;9,OR(M691=0,N691&lt;6)),1,0)</x:f>
        <x:v>1</x:v>
      </x:c>
      <x:c r="P691" s="19" t="n">
        <x:f>IF(AND(SUM(K691:M691)&lt;9,OR(L691=0,N691&lt;6)),1,0)</x:f>
        <x:v>1</x:v>
      </x:c>
      <x:c r="Q691" s="19" t="n">
        <x:f>IF(AND(SUM(K691:M691)&lt;9,OR(K691=0,N691&lt;6)),1,0)</x:f>
        <x:v>1</x:v>
      </x:c>
      <x:c r="R691" s="22" t="str">
        <x:f>O691&amp;P691&amp;Q691</x:f>
        <x:v>111</x:v>
      </x:c>
      <x:c r="S691" s="19" t="n">
        <x:f>IF(I691=1,IF(J691=0,Q691,IF(J691=1,P691,IF(J691=2,O691,0))),0)</x:f>
        <x:v>1</x:v>
      </x:c>
      <x:c r="T691" s="19" t="n">
        <x:f>K691+IF(AND(S691=1,J691=0),1,0)</x:f>
        <x:v>0</x:v>
      </x:c>
      <x:c r="U691" s="19" t="n">
        <x:f>L691+IF(AND(S691=1,J691=1),1,0)</x:f>
        <x:v>3</x:v>
      </x:c>
      <x:c r="V691" s="19" t="n">
        <x:f>M691+IF(AND(S691=1,J691=2),1,0)</x:f>
        <x:v>1</x:v>
      </x:c>
      <x:c r="W691" s="19" t="n">
        <x:f>SUM(T691:V691)</x:f>
        <x:v>4</x:v>
      </x:c>
      <x:c r="X691" s="19" t="n">
        <x:f>W691-G691</x:f>
        <x:v>0</x:v>
      </x:c>
      <x:c r="Y691" s="19" t="n">
        <x:f>MAX(T691,1)+MAX(U691,1)+MAX(V691,1)</x:f>
        <x:v>5</x:v>
      </x:c>
      <x:c r="Z691" s="21" t="str">
        <x:f>IF(AND(MIN(D691:F691)&gt;=0,MAX(D691:F691)&lt;=7,MAX(D691,1)+MAX(E691,1)+MAX(F691,1)&lt;=9,OR(H691="-",AND(H691=0,D691&gt;0),AND(H691=1,E691&gt;0),AND(H691=2,F691&gt;0)),OR(I691=0,AND(I691=1,OR(J691=0,J691=1,J691=2),R691&lt;&gt;"000")),Y691&lt;=9,MIN(T691:V691)&gt;=0),"合法","输入违约")</x:f>
        <x:v>合法</x:v>
      </x:c>
    </x:row>
    <x:row r="692" ht="23" customHeight="1">
      <x:c r="A692" s="3" t="str">
        <x:v>CT-0685</x:v>
      </x:c>
      <x:c r="B692" s="3" t="str">
        <x:v>ST-028</x:v>
      </x:c>
      <x:c r="C692" s="3" t="str">
        <x:v>R+AR同收同发</x:v>
      </x:c>
      <x:c r="D692" s="25" t="n">
        <x:v>1</x:v>
      </x:c>
      <x:c r="E692" s="25" t="n">
        <x:v>2</x:v>
      </x:c>
      <x:c r="F692" s="25" t="n">
        <x:v>1</x:v>
      </x:c>
      <x:c r="G692" s="19" t="n">
        <x:f>SUM(D692:F692)</x:f>
        <x:v>4</x:v>
      </x:c>
      <x:c r="H692" s="25" t="n">
        <x:v>0</x:v>
      </x:c>
      <x:c r="I692" s="25" t="n">
        <x:v>1</x:v>
      </x:c>
      <x:c r="J692" s="25" t="n">
        <x:v>2</x:v>
      </x:c>
      <x:c r="K692" s="19" t="n">
        <x:f>D692-IF(H692=0,1,0)</x:f>
        <x:v>0</x:v>
      </x:c>
      <x:c r="L692" s="19" t="n">
        <x:f>E692-IF(H692=1,1,0)</x:f>
        <x:v>2</x:v>
      </x:c>
      <x:c r="M692" s="19" t="n">
        <x:f>F692-IF(H692=2,1,0)</x:f>
        <x:v>1</x:v>
      </x:c>
      <x:c r="N692" s="19" t="n">
        <x:f>MAX(K692-1,0)+MAX(L692-1,0)+MAX(M692-1,0)</x:f>
        <x:v>1</x:v>
      </x:c>
      <x:c r="O692" s="19" t="n">
        <x:f>IF(AND(SUM(K692:M692)&lt;9,OR(M692=0,N692&lt;6)),1,0)</x:f>
        <x:v>1</x:v>
      </x:c>
      <x:c r="P692" s="19" t="n">
        <x:f>IF(AND(SUM(K692:M692)&lt;9,OR(L692=0,N692&lt;6)),1,0)</x:f>
        <x:v>1</x:v>
      </x:c>
      <x:c r="Q692" s="19" t="n">
        <x:f>IF(AND(SUM(K692:M692)&lt;9,OR(K692=0,N692&lt;6)),1,0)</x:f>
        <x:v>1</x:v>
      </x:c>
      <x:c r="R692" s="22" t="str">
        <x:f>O692&amp;P692&amp;Q692</x:f>
        <x:v>111</x:v>
      </x:c>
      <x:c r="S692" s="19" t="n">
        <x:f>IF(I692=1,IF(J692=0,Q692,IF(J692=1,P692,IF(J692=2,O692,0))),0)</x:f>
        <x:v>1</x:v>
      </x:c>
      <x:c r="T692" s="19" t="n">
        <x:f>K692+IF(AND(S692=1,J692=0),1,0)</x:f>
        <x:v>0</x:v>
      </x:c>
      <x:c r="U692" s="19" t="n">
        <x:f>L692+IF(AND(S692=1,J692=1),1,0)</x:f>
        <x:v>2</x:v>
      </x:c>
      <x:c r="V692" s="19" t="n">
        <x:f>M692+IF(AND(S692=1,J692=2),1,0)</x:f>
        <x:v>2</x:v>
      </x:c>
      <x:c r="W692" s="19" t="n">
        <x:f>SUM(T692:V692)</x:f>
        <x:v>4</x:v>
      </x:c>
      <x:c r="X692" s="19" t="n">
        <x:f>W692-G692</x:f>
        <x:v>0</x:v>
      </x:c>
      <x:c r="Y692" s="19" t="n">
        <x:f>MAX(T692,1)+MAX(U692,1)+MAX(V692,1)</x:f>
        <x:v>5</x:v>
      </x:c>
      <x:c r="Z692" s="21" t="str">
        <x:f>IF(AND(MIN(D692:F692)&gt;=0,MAX(D692:F692)&lt;=7,MAX(D692,1)+MAX(E692,1)+MAX(F692,1)&lt;=9,OR(H692="-",AND(H692=0,D692&gt;0),AND(H692=1,E692&gt;0),AND(H692=2,F692&gt;0)),OR(I692=0,AND(I692=1,OR(J692=0,J692=1,J692=2),R692&lt;&gt;"000")),Y692&lt;=9,MIN(T692:V692)&gt;=0),"合法","输入违约")</x:f>
        <x:v>合法</x:v>
      </x:c>
    </x:row>
    <x:row r="693" ht="23" customHeight="1">
      <x:c r="A693" s="3" t="str">
        <x:v>CT-0686</x:v>
      </x:c>
      <x:c r="B693" s="3" t="str">
        <x:v>ST-028</x:v>
      </x:c>
      <x:c r="C693" s="3" t="str">
        <x:v>仅R回收</x:v>
      </x:c>
      <x:c r="D693" s="25" t="n">
        <x:v>1</x:v>
      </x:c>
      <x:c r="E693" s="25" t="n">
        <x:v>2</x:v>
      </x:c>
      <x:c r="F693" s="25" t="n">
        <x:v>1</x:v>
      </x:c>
      <x:c r="G693" s="19" t="n">
        <x:f>SUM(D693:F693)</x:f>
        <x:v>4</x:v>
      </x:c>
      <x:c r="H693" s="25" t="n">
        <x:v>1</x:v>
      </x:c>
      <x:c r="I693" s="25" t="n">
        <x:v>0</x:v>
      </x:c>
      <x:c r="J693" s="25" t="str">
        <x:v>-</x:v>
      </x:c>
      <x:c r="K693" s="19" t="n">
        <x:f>D693-IF(H693=0,1,0)</x:f>
        <x:v>1</x:v>
      </x:c>
      <x:c r="L693" s="19" t="n">
        <x:f>E693-IF(H693=1,1,0)</x:f>
        <x:v>1</x:v>
      </x:c>
      <x:c r="M693" s="19" t="n">
        <x:f>F693-IF(H693=2,1,0)</x:f>
        <x:v>1</x:v>
      </x:c>
      <x:c r="N693" s="19" t="n">
        <x:f>MAX(K693-1,0)+MAX(L693-1,0)+MAX(M693-1,0)</x:f>
        <x:v>0</x:v>
      </x:c>
      <x:c r="O693" s="19" t="n">
        <x:f>IF(AND(SUM(K693:M693)&lt;9,OR(M693=0,N693&lt;6)),1,0)</x:f>
        <x:v>1</x:v>
      </x:c>
      <x:c r="P693" s="19" t="n">
        <x:f>IF(AND(SUM(K693:M693)&lt;9,OR(L693=0,N693&lt;6)),1,0)</x:f>
        <x:v>1</x:v>
      </x:c>
      <x:c r="Q693" s="19" t="n">
        <x:f>IF(AND(SUM(K693:M693)&lt;9,OR(K693=0,N693&lt;6)),1,0)</x:f>
        <x:v>1</x:v>
      </x:c>
      <x:c r="R693" s="22" t="str">
        <x:f>O693&amp;P693&amp;Q693</x:f>
        <x:v>111</x:v>
      </x:c>
      <x:c r="S693" s="19" t="n">
        <x:f>IF(I693=1,IF(J693=0,Q693,IF(J693=1,P693,IF(J693=2,O693,0))),0)</x:f>
        <x:v>0</x:v>
      </x:c>
      <x:c r="T693" s="19" t="n">
        <x:f>K693+IF(AND(S693=1,J693=0),1,0)</x:f>
        <x:v>1</x:v>
      </x:c>
      <x:c r="U693" s="19" t="n">
        <x:f>L693+IF(AND(S693=1,J693=1),1,0)</x:f>
        <x:v>1</x:v>
      </x:c>
      <x:c r="V693" s="19" t="n">
        <x:f>M693+IF(AND(S693=1,J693=2),1,0)</x:f>
        <x:v>1</x:v>
      </x:c>
      <x:c r="W693" s="19" t="n">
        <x:f>SUM(T693:V693)</x:f>
        <x:v>3</x:v>
      </x:c>
      <x:c r="X693" s="19" t="n">
        <x:f>W693-G693</x:f>
        <x:v>-1</x:v>
      </x:c>
      <x:c r="Y693" s="19" t="n">
        <x:f>MAX(T693,1)+MAX(U693,1)+MAX(V693,1)</x:f>
        <x:v>3</x:v>
      </x:c>
      <x:c r="Z693" s="21" t="str">
        <x:f>IF(AND(MIN(D693:F693)&gt;=0,MAX(D693:F693)&lt;=7,MAX(D693,1)+MAX(E693,1)+MAX(F693,1)&lt;=9,OR(H693="-",AND(H693=0,D693&gt;0),AND(H693=1,E693&gt;0),AND(H693=2,F693&gt;0)),OR(I693=0,AND(I693=1,OR(J693=0,J693=1,J693=2),R693&lt;&gt;"000")),Y693&lt;=9,MIN(T693:V693)&gt;=0),"合法","输入违约")</x:f>
        <x:v>合法</x:v>
      </x:c>
    </x:row>
    <x:row r="694" ht="23" customHeight="1">
      <x:c r="A694" s="3" t="str">
        <x:v>CT-0687</x:v>
      </x:c>
      <x:c r="B694" s="3" t="str">
        <x:v>ST-028</x:v>
      </x:c>
      <x:c r="C694" s="3" t="str">
        <x:v>R+AR同收同发</x:v>
      </x:c>
      <x:c r="D694" s="25" t="n">
        <x:v>1</x:v>
      </x:c>
      <x:c r="E694" s="25" t="n">
        <x:v>2</x:v>
      </x:c>
      <x:c r="F694" s="25" t="n">
        <x:v>1</x:v>
      </x:c>
      <x:c r="G694" s="19" t="n">
        <x:f>SUM(D694:F694)</x:f>
        <x:v>4</x:v>
      </x:c>
      <x:c r="H694" s="25" t="n">
        <x:v>1</x:v>
      </x:c>
      <x:c r="I694" s="25" t="n">
        <x:v>1</x:v>
      </x:c>
      <x:c r="J694" s="25" t="n">
        <x:v>0</x:v>
      </x:c>
      <x:c r="K694" s="19" t="n">
        <x:f>D694-IF(H694=0,1,0)</x:f>
        <x:v>1</x:v>
      </x:c>
      <x:c r="L694" s="19" t="n">
        <x:f>E694-IF(H694=1,1,0)</x:f>
        <x:v>1</x:v>
      </x:c>
      <x:c r="M694" s="19" t="n">
        <x:f>F694-IF(H694=2,1,0)</x:f>
        <x:v>1</x:v>
      </x:c>
      <x:c r="N694" s="19" t="n">
        <x:f>MAX(K694-1,0)+MAX(L694-1,0)+MAX(M694-1,0)</x:f>
        <x:v>0</x:v>
      </x:c>
      <x:c r="O694" s="19" t="n">
        <x:f>IF(AND(SUM(K694:M694)&lt;9,OR(M694=0,N694&lt;6)),1,0)</x:f>
        <x:v>1</x:v>
      </x:c>
      <x:c r="P694" s="19" t="n">
        <x:f>IF(AND(SUM(K694:M694)&lt;9,OR(L694=0,N694&lt;6)),1,0)</x:f>
        <x:v>1</x:v>
      </x:c>
      <x:c r="Q694" s="19" t="n">
        <x:f>IF(AND(SUM(K694:M694)&lt;9,OR(K694=0,N694&lt;6)),1,0)</x:f>
        <x:v>1</x:v>
      </x:c>
      <x:c r="R694" s="22" t="str">
        <x:f>O694&amp;P694&amp;Q694</x:f>
        <x:v>111</x:v>
      </x:c>
      <x:c r="S694" s="19" t="n">
        <x:f>IF(I694=1,IF(J694=0,Q694,IF(J694=1,P694,IF(J694=2,O694,0))),0)</x:f>
        <x:v>1</x:v>
      </x:c>
      <x:c r="T694" s="19" t="n">
        <x:f>K694+IF(AND(S694=1,J694=0),1,0)</x:f>
        <x:v>2</x:v>
      </x:c>
      <x:c r="U694" s="19" t="n">
        <x:f>L694+IF(AND(S694=1,J694=1),1,0)</x:f>
        <x:v>1</x:v>
      </x:c>
      <x:c r="V694" s="19" t="n">
        <x:f>M694+IF(AND(S694=1,J694=2),1,0)</x:f>
        <x:v>1</x:v>
      </x:c>
      <x:c r="W694" s="19" t="n">
        <x:f>SUM(T694:V694)</x:f>
        <x:v>4</x:v>
      </x:c>
      <x:c r="X694" s="19" t="n">
        <x:f>W694-G694</x:f>
        <x:v>0</x:v>
      </x:c>
      <x:c r="Y694" s="19" t="n">
        <x:f>MAX(T694,1)+MAX(U694,1)+MAX(V694,1)</x:f>
        <x:v>4</x:v>
      </x:c>
      <x:c r="Z694" s="21" t="str">
        <x:f>IF(AND(MIN(D694:F694)&gt;=0,MAX(D694:F694)&lt;=7,MAX(D694,1)+MAX(E694,1)+MAX(F694,1)&lt;=9,OR(H694="-",AND(H694=0,D694&gt;0),AND(H694=1,E694&gt;0),AND(H694=2,F694&gt;0)),OR(I694=0,AND(I694=1,OR(J694=0,J694=1,J694=2),R694&lt;&gt;"000")),Y694&lt;=9,MIN(T694:V694)&gt;=0),"合法","输入违约")</x:f>
        <x:v>合法</x:v>
      </x:c>
    </x:row>
    <x:row r="695" ht="23" customHeight="1">
      <x:c r="A695" s="3" t="str">
        <x:v>CT-0688</x:v>
      </x:c>
      <x:c r="B695" s="3" t="str">
        <x:v>ST-028</x:v>
      </x:c>
      <x:c r="C695" s="3" t="str">
        <x:v>R+AR同收同发</x:v>
      </x:c>
      <x:c r="D695" s="25" t="n">
        <x:v>1</x:v>
      </x:c>
      <x:c r="E695" s="25" t="n">
        <x:v>2</x:v>
      </x:c>
      <x:c r="F695" s="25" t="n">
        <x:v>1</x:v>
      </x:c>
      <x:c r="G695" s="19" t="n">
        <x:f>SUM(D695:F695)</x:f>
        <x:v>4</x:v>
      </x:c>
      <x:c r="H695" s="25" t="n">
        <x:v>1</x:v>
      </x:c>
      <x:c r="I695" s="25" t="n">
        <x:v>1</x:v>
      </x:c>
      <x:c r="J695" s="25" t="n">
        <x:v>1</x:v>
      </x:c>
      <x:c r="K695" s="19" t="n">
        <x:f>D695-IF(H695=0,1,0)</x:f>
        <x:v>1</x:v>
      </x:c>
      <x:c r="L695" s="19" t="n">
        <x:f>E695-IF(H695=1,1,0)</x:f>
        <x:v>1</x:v>
      </x:c>
      <x:c r="M695" s="19" t="n">
        <x:f>F695-IF(H695=2,1,0)</x:f>
        <x:v>1</x:v>
      </x:c>
      <x:c r="N695" s="19" t="n">
        <x:f>MAX(K695-1,0)+MAX(L695-1,0)+MAX(M695-1,0)</x:f>
        <x:v>0</x:v>
      </x:c>
      <x:c r="O695" s="19" t="n">
        <x:f>IF(AND(SUM(K695:M695)&lt;9,OR(M695=0,N695&lt;6)),1,0)</x:f>
        <x:v>1</x:v>
      </x:c>
      <x:c r="P695" s="19" t="n">
        <x:f>IF(AND(SUM(K695:M695)&lt;9,OR(L695=0,N695&lt;6)),1,0)</x:f>
        <x:v>1</x:v>
      </x:c>
      <x:c r="Q695" s="19" t="n">
        <x:f>IF(AND(SUM(K695:M695)&lt;9,OR(K695=0,N695&lt;6)),1,0)</x:f>
        <x:v>1</x:v>
      </x:c>
      <x:c r="R695" s="22" t="str">
        <x:f>O695&amp;P695&amp;Q695</x:f>
        <x:v>111</x:v>
      </x:c>
      <x:c r="S695" s="19" t="n">
        <x:f>IF(I695=1,IF(J695=0,Q695,IF(J695=1,P695,IF(J695=2,O695,0))),0)</x:f>
        <x:v>1</x:v>
      </x:c>
      <x:c r="T695" s="19" t="n">
        <x:f>K695+IF(AND(S695=1,J695=0),1,0)</x:f>
        <x:v>1</x:v>
      </x:c>
      <x:c r="U695" s="19" t="n">
        <x:f>L695+IF(AND(S695=1,J695=1),1,0)</x:f>
        <x:v>2</x:v>
      </x:c>
      <x:c r="V695" s="19" t="n">
        <x:f>M695+IF(AND(S695=1,J695=2),1,0)</x:f>
        <x:v>1</x:v>
      </x:c>
      <x:c r="W695" s="19" t="n">
        <x:f>SUM(T695:V695)</x:f>
        <x:v>4</x:v>
      </x:c>
      <x:c r="X695" s="19" t="n">
        <x:f>W695-G695</x:f>
        <x:v>0</x:v>
      </x:c>
      <x:c r="Y695" s="19" t="n">
        <x:f>MAX(T695,1)+MAX(U695,1)+MAX(V695,1)</x:f>
        <x:v>4</x:v>
      </x:c>
      <x:c r="Z695" s="21" t="str">
        <x:f>IF(AND(MIN(D695:F695)&gt;=0,MAX(D695:F695)&lt;=7,MAX(D695,1)+MAX(E695,1)+MAX(F695,1)&lt;=9,OR(H695="-",AND(H695=0,D695&gt;0),AND(H695=1,E695&gt;0),AND(H695=2,F695&gt;0)),OR(I695=0,AND(I695=1,OR(J695=0,J695=1,J695=2),R695&lt;&gt;"000")),Y695&lt;=9,MIN(T695:V695)&gt;=0),"合法","输入违约")</x:f>
        <x:v>合法</x:v>
      </x:c>
    </x:row>
    <x:row r="696" ht="23" customHeight="1">
      <x:c r="A696" s="3" t="str">
        <x:v>CT-0689</x:v>
      </x:c>
      <x:c r="B696" s="3" t="str">
        <x:v>ST-028</x:v>
      </x:c>
      <x:c r="C696" s="3" t="str">
        <x:v>R+AR同收同发</x:v>
      </x:c>
      <x:c r="D696" s="25" t="n">
        <x:v>1</x:v>
      </x:c>
      <x:c r="E696" s="25" t="n">
        <x:v>2</x:v>
      </x:c>
      <x:c r="F696" s="25" t="n">
        <x:v>1</x:v>
      </x:c>
      <x:c r="G696" s="19" t="n">
        <x:f>SUM(D696:F696)</x:f>
        <x:v>4</x:v>
      </x:c>
      <x:c r="H696" s="25" t="n">
        <x:v>1</x:v>
      </x:c>
      <x:c r="I696" s="25" t="n">
        <x:v>1</x:v>
      </x:c>
      <x:c r="J696" s="25" t="n">
        <x:v>2</x:v>
      </x:c>
      <x:c r="K696" s="19" t="n">
        <x:f>D696-IF(H696=0,1,0)</x:f>
        <x:v>1</x:v>
      </x:c>
      <x:c r="L696" s="19" t="n">
        <x:f>E696-IF(H696=1,1,0)</x:f>
        <x:v>1</x:v>
      </x:c>
      <x:c r="M696" s="19" t="n">
        <x:f>F696-IF(H696=2,1,0)</x:f>
        <x:v>1</x:v>
      </x:c>
      <x:c r="N696" s="19" t="n">
        <x:f>MAX(K696-1,0)+MAX(L696-1,0)+MAX(M696-1,0)</x:f>
        <x:v>0</x:v>
      </x:c>
      <x:c r="O696" s="19" t="n">
        <x:f>IF(AND(SUM(K696:M696)&lt;9,OR(M696=0,N696&lt;6)),1,0)</x:f>
        <x:v>1</x:v>
      </x:c>
      <x:c r="P696" s="19" t="n">
        <x:f>IF(AND(SUM(K696:M696)&lt;9,OR(L696=0,N696&lt;6)),1,0)</x:f>
        <x:v>1</x:v>
      </x:c>
      <x:c r="Q696" s="19" t="n">
        <x:f>IF(AND(SUM(K696:M696)&lt;9,OR(K696=0,N696&lt;6)),1,0)</x:f>
        <x:v>1</x:v>
      </x:c>
      <x:c r="R696" s="22" t="str">
        <x:f>O696&amp;P696&amp;Q696</x:f>
        <x:v>111</x:v>
      </x:c>
      <x:c r="S696" s="19" t="n">
        <x:f>IF(I696=1,IF(J696=0,Q696,IF(J696=1,P696,IF(J696=2,O696,0))),0)</x:f>
        <x:v>1</x:v>
      </x:c>
      <x:c r="T696" s="19" t="n">
        <x:f>K696+IF(AND(S696=1,J696=0),1,0)</x:f>
        <x:v>1</x:v>
      </x:c>
      <x:c r="U696" s="19" t="n">
        <x:f>L696+IF(AND(S696=1,J696=1),1,0)</x:f>
        <x:v>1</x:v>
      </x:c>
      <x:c r="V696" s="19" t="n">
        <x:f>M696+IF(AND(S696=1,J696=2),1,0)</x:f>
        <x:v>2</x:v>
      </x:c>
      <x:c r="W696" s="19" t="n">
        <x:f>SUM(T696:V696)</x:f>
        <x:v>4</x:v>
      </x:c>
      <x:c r="X696" s="19" t="n">
        <x:f>W696-G696</x:f>
        <x:v>0</x:v>
      </x:c>
      <x:c r="Y696" s="19" t="n">
        <x:f>MAX(T696,1)+MAX(U696,1)+MAX(V696,1)</x:f>
        <x:v>4</x:v>
      </x:c>
      <x:c r="Z696" s="21" t="str">
        <x:f>IF(AND(MIN(D696:F696)&gt;=0,MAX(D696:F696)&lt;=7,MAX(D696,1)+MAX(E696,1)+MAX(F696,1)&lt;=9,OR(H696="-",AND(H696=0,D696&gt;0),AND(H696=1,E696&gt;0),AND(H696=2,F696&gt;0)),OR(I696=0,AND(I696=1,OR(J696=0,J696=1,J696=2),R696&lt;&gt;"000")),Y696&lt;=9,MIN(T696:V696)&gt;=0),"合法","输入违约")</x:f>
        <x:v>合法</x:v>
      </x:c>
    </x:row>
    <x:row r="697" ht="23" customHeight="1">
      <x:c r="A697" s="3" t="str">
        <x:v>CT-0690</x:v>
      </x:c>
      <x:c r="B697" s="3" t="str">
        <x:v>ST-028</x:v>
      </x:c>
      <x:c r="C697" s="3" t="str">
        <x:v>仅R回收</x:v>
      </x:c>
      <x:c r="D697" s="25" t="n">
        <x:v>1</x:v>
      </x:c>
      <x:c r="E697" s="25" t="n">
        <x:v>2</x:v>
      </x:c>
      <x:c r="F697" s="25" t="n">
        <x:v>1</x:v>
      </x:c>
      <x:c r="G697" s="19" t="n">
        <x:f>SUM(D697:F697)</x:f>
        <x:v>4</x:v>
      </x:c>
      <x:c r="H697" s="25" t="n">
        <x:v>2</x:v>
      </x:c>
      <x:c r="I697" s="25" t="n">
        <x:v>0</x:v>
      </x:c>
      <x:c r="J697" s="25" t="str">
        <x:v>-</x:v>
      </x:c>
      <x:c r="K697" s="19" t="n">
        <x:f>D697-IF(H697=0,1,0)</x:f>
        <x:v>1</x:v>
      </x:c>
      <x:c r="L697" s="19" t="n">
        <x:f>E697-IF(H697=1,1,0)</x:f>
        <x:v>2</x:v>
      </x:c>
      <x:c r="M697" s="19" t="n">
        <x:f>F697-IF(H697=2,1,0)</x:f>
        <x:v>0</x:v>
      </x:c>
      <x:c r="N697" s="19" t="n">
        <x:f>MAX(K697-1,0)+MAX(L697-1,0)+MAX(M697-1,0)</x:f>
        <x:v>1</x:v>
      </x:c>
      <x:c r="O697" s="19" t="n">
        <x:f>IF(AND(SUM(K697:M697)&lt;9,OR(M697=0,N697&lt;6)),1,0)</x:f>
        <x:v>1</x:v>
      </x:c>
      <x:c r="P697" s="19" t="n">
        <x:f>IF(AND(SUM(K697:M697)&lt;9,OR(L697=0,N697&lt;6)),1,0)</x:f>
        <x:v>1</x:v>
      </x:c>
      <x:c r="Q697" s="19" t="n">
        <x:f>IF(AND(SUM(K697:M697)&lt;9,OR(K697=0,N697&lt;6)),1,0)</x:f>
        <x:v>1</x:v>
      </x:c>
      <x:c r="R697" s="22" t="str">
        <x:f>O697&amp;P697&amp;Q697</x:f>
        <x:v>111</x:v>
      </x:c>
      <x:c r="S697" s="19" t="n">
        <x:f>IF(I697=1,IF(J697=0,Q697,IF(J697=1,P697,IF(J697=2,O697,0))),0)</x:f>
        <x:v>0</x:v>
      </x:c>
      <x:c r="T697" s="19" t="n">
        <x:f>K697+IF(AND(S697=1,J697=0),1,0)</x:f>
        <x:v>1</x:v>
      </x:c>
      <x:c r="U697" s="19" t="n">
        <x:f>L697+IF(AND(S697=1,J697=1),1,0)</x:f>
        <x:v>2</x:v>
      </x:c>
      <x:c r="V697" s="19" t="n">
        <x:f>M697+IF(AND(S697=1,J697=2),1,0)</x:f>
        <x:v>0</x:v>
      </x:c>
      <x:c r="W697" s="19" t="n">
        <x:f>SUM(T697:V697)</x:f>
        <x:v>3</x:v>
      </x:c>
      <x:c r="X697" s="19" t="n">
        <x:f>W697-G697</x:f>
        <x:v>-1</x:v>
      </x:c>
      <x:c r="Y697" s="19" t="n">
        <x:f>MAX(T697,1)+MAX(U697,1)+MAX(V697,1)</x:f>
        <x:v>4</x:v>
      </x:c>
      <x:c r="Z697" s="21" t="str">
        <x:f>IF(AND(MIN(D697:F697)&gt;=0,MAX(D697:F697)&lt;=7,MAX(D697,1)+MAX(E697,1)+MAX(F697,1)&lt;=9,OR(H697="-",AND(H697=0,D697&gt;0),AND(H697=1,E697&gt;0),AND(H697=2,F697&gt;0)),OR(I697=0,AND(I697=1,OR(J697=0,J697=1,J697=2),R697&lt;&gt;"000")),Y697&lt;=9,MIN(T697:V697)&gt;=0),"合法","输入违约")</x:f>
        <x:v>合法</x:v>
      </x:c>
    </x:row>
    <x:row r="698" ht="23" customHeight="1">
      <x:c r="A698" s="3" t="str">
        <x:v>CT-0691</x:v>
      </x:c>
      <x:c r="B698" s="3" t="str">
        <x:v>ST-028</x:v>
      </x:c>
      <x:c r="C698" s="3" t="str">
        <x:v>R+AR同收同发</x:v>
      </x:c>
      <x:c r="D698" s="25" t="n">
        <x:v>1</x:v>
      </x:c>
      <x:c r="E698" s="25" t="n">
        <x:v>2</x:v>
      </x:c>
      <x:c r="F698" s="25" t="n">
        <x:v>1</x:v>
      </x:c>
      <x:c r="G698" s="19" t="n">
        <x:f>SUM(D698:F698)</x:f>
        <x:v>4</x:v>
      </x:c>
      <x:c r="H698" s="25" t="n">
        <x:v>2</x:v>
      </x:c>
      <x:c r="I698" s="25" t="n">
        <x:v>1</x:v>
      </x:c>
      <x:c r="J698" s="25" t="n">
        <x:v>0</x:v>
      </x:c>
      <x:c r="K698" s="19" t="n">
        <x:f>D698-IF(H698=0,1,0)</x:f>
        <x:v>1</x:v>
      </x:c>
      <x:c r="L698" s="19" t="n">
        <x:f>E698-IF(H698=1,1,0)</x:f>
        <x:v>2</x:v>
      </x:c>
      <x:c r="M698" s="19" t="n">
        <x:f>F698-IF(H698=2,1,0)</x:f>
        <x:v>0</x:v>
      </x:c>
      <x:c r="N698" s="19" t="n">
        <x:f>MAX(K698-1,0)+MAX(L698-1,0)+MAX(M698-1,0)</x:f>
        <x:v>1</x:v>
      </x:c>
      <x:c r="O698" s="19" t="n">
        <x:f>IF(AND(SUM(K698:M698)&lt;9,OR(M698=0,N698&lt;6)),1,0)</x:f>
        <x:v>1</x:v>
      </x:c>
      <x:c r="P698" s="19" t="n">
        <x:f>IF(AND(SUM(K698:M698)&lt;9,OR(L698=0,N698&lt;6)),1,0)</x:f>
        <x:v>1</x:v>
      </x:c>
      <x:c r="Q698" s="19" t="n">
        <x:f>IF(AND(SUM(K698:M698)&lt;9,OR(K698=0,N698&lt;6)),1,0)</x:f>
        <x:v>1</x:v>
      </x:c>
      <x:c r="R698" s="22" t="str">
        <x:f>O698&amp;P698&amp;Q698</x:f>
        <x:v>111</x:v>
      </x:c>
      <x:c r="S698" s="19" t="n">
        <x:f>IF(I698=1,IF(J698=0,Q698,IF(J698=1,P698,IF(J698=2,O698,0))),0)</x:f>
        <x:v>1</x:v>
      </x:c>
      <x:c r="T698" s="19" t="n">
        <x:f>K698+IF(AND(S698=1,J698=0),1,0)</x:f>
        <x:v>2</x:v>
      </x:c>
      <x:c r="U698" s="19" t="n">
        <x:f>L698+IF(AND(S698=1,J698=1),1,0)</x:f>
        <x:v>2</x:v>
      </x:c>
      <x:c r="V698" s="19" t="n">
        <x:f>M698+IF(AND(S698=1,J698=2),1,0)</x:f>
        <x:v>0</x:v>
      </x:c>
      <x:c r="W698" s="19" t="n">
        <x:f>SUM(T698:V698)</x:f>
        <x:v>4</x:v>
      </x:c>
      <x:c r="X698" s="19" t="n">
        <x:f>W698-G698</x:f>
        <x:v>0</x:v>
      </x:c>
      <x:c r="Y698" s="19" t="n">
        <x:f>MAX(T698,1)+MAX(U698,1)+MAX(V698,1)</x:f>
        <x:v>5</x:v>
      </x:c>
      <x:c r="Z698" s="21" t="str">
        <x:f>IF(AND(MIN(D698:F698)&gt;=0,MAX(D698:F698)&lt;=7,MAX(D698,1)+MAX(E698,1)+MAX(F698,1)&lt;=9,OR(H698="-",AND(H698=0,D698&gt;0),AND(H698=1,E698&gt;0),AND(H698=2,F698&gt;0)),OR(I698=0,AND(I698=1,OR(J698=0,J698=1,J698=2),R698&lt;&gt;"000")),Y698&lt;=9,MIN(T698:V698)&gt;=0),"合法","输入违约")</x:f>
        <x:v>合法</x:v>
      </x:c>
    </x:row>
    <x:row r="699" ht="23" customHeight="1">
      <x:c r="A699" s="3" t="str">
        <x:v>CT-0692</x:v>
      </x:c>
      <x:c r="B699" s="3" t="str">
        <x:v>ST-028</x:v>
      </x:c>
      <x:c r="C699" s="3" t="str">
        <x:v>R+AR同收同发</x:v>
      </x:c>
      <x:c r="D699" s="25" t="n">
        <x:v>1</x:v>
      </x:c>
      <x:c r="E699" s="25" t="n">
        <x:v>2</x:v>
      </x:c>
      <x:c r="F699" s="25" t="n">
        <x:v>1</x:v>
      </x:c>
      <x:c r="G699" s="19" t="n">
        <x:f>SUM(D699:F699)</x:f>
        <x:v>4</x:v>
      </x:c>
      <x:c r="H699" s="25" t="n">
        <x:v>2</x:v>
      </x:c>
      <x:c r="I699" s="25" t="n">
        <x:v>1</x:v>
      </x:c>
      <x:c r="J699" s="25" t="n">
        <x:v>1</x:v>
      </x:c>
      <x:c r="K699" s="19" t="n">
        <x:f>D699-IF(H699=0,1,0)</x:f>
        <x:v>1</x:v>
      </x:c>
      <x:c r="L699" s="19" t="n">
        <x:f>E699-IF(H699=1,1,0)</x:f>
        <x:v>2</x:v>
      </x:c>
      <x:c r="M699" s="19" t="n">
        <x:f>F699-IF(H699=2,1,0)</x:f>
        <x:v>0</x:v>
      </x:c>
      <x:c r="N699" s="19" t="n">
        <x:f>MAX(K699-1,0)+MAX(L699-1,0)+MAX(M699-1,0)</x:f>
        <x:v>1</x:v>
      </x:c>
      <x:c r="O699" s="19" t="n">
        <x:f>IF(AND(SUM(K699:M699)&lt;9,OR(M699=0,N699&lt;6)),1,0)</x:f>
        <x:v>1</x:v>
      </x:c>
      <x:c r="P699" s="19" t="n">
        <x:f>IF(AND(SUM(K699:M699)&lt;9,OR(L699=0,N699&lt;6)),1,0)</x:f>
        <x:v>1</x:v>
      </x:c>
      <x:c r="Q699" s="19" t="n">
        <x:f>IF(AND(SUM(K699:M699)&lt;9,OR(K699=0,N699&lt;6)),1,0)</x:f>
        <x:v>1</x:v>
      </x:c>
      <x:c r="R699" s="22" t="str">
        <x:f>O699&amp;P699&amp;Q699</x:f>
        <x:v>111</x:v>
      </x:c>
      <x:c r="S699" s="19" t="n">
        <x:f>IF(I699=1,IF(J699=0,Q699,IF(J699=1,P699,IF(J699=2,O699,0))),0)</x:f>
        <x:v>1</x:v>
      </x:c>
      <x:c r="T699" s="19" t="n">
        <x:f>K699+IF(AND(S699=1,J699=0),1,0)</x:f>
        <x:v>1</x:v>
      </x:c>
      <x:c r="U699" s="19" t="n">
        <x:f>L699+IF(AND(S699=1,J699=1),1,0)</x:f>
        <x:v>3</x:v>
      </x:c>
      <x:c r="V699" s="19" t="n">
        <x:f>M699+IF(AND(S699=1,J699=2),1,0)</x:f>
        <x:v>0</x:v>
      </x:c>
      <x:c r="W699" s="19" t="n">
        <x:f>SUM(T699:V699)</x:f>
        <x:v>4</x:v>
      </x:c>
      <x:c r="X699" s="19" t="n">
        <x:f>W699-G699</x:f>
        <x:v>0</x:v>
      </x:c>
      <x:c r="Y699" s="19" t="n">
        <x:f>MAX(T699,1)+MAX(U699,1)+MAX(V699,1)</x:f>
        <x:v>5</x:v>
      </x:c>
      <x:c r="Z699" s="21" t="str">
        <x:f>IF(AND(MIN(D699:F699)&gt;=0,MAX(D699:F699)&lt;=7,MAX(D699,1)+MAX(E699,1)+MAX(F699,1)&lt;=9,OR(H699="-",AND(H699=0,D699&gt;0),AND(H699=1,E699&gt;0),AND(H699=2,F699&gt;0)),OR(I699=0,AND(I699=1,OR(J699=0,J699=1,J699=2),R699&lt;&gt;"000")),Y699&lt;=9,MIN(T699:V699)&gt;=0),"合法","输入违约")</x:f>
        <x:v>合法</x:v>
      </x:c>
    </x:row>
    <x:row r="700" ht="23" customHeight="1">
      <x:c r="A700" s="3" t="str">
        <x:v>CT-0693</x:v>
      </x:c>
      <x:c r="B700" s="3" t="str">
        <x:v>ST-028</x:v>
      </x:c>
      <x:c r="C700" s="3" t="str">
        <x:v>R+AR同收同发</x:v>
      </x:c>
      <x:c r="D700" s="25" t="n">
        <x:v>1</x:v>
      </x:c>
      <x:c r="E700" s="25" t="n">
        <x:v>2</x:v>
      </x:c>
      <x:c r="F700" s="25" t="n">
        <x:v>1</x:v>
      </x:c>
      <x:c r="G700" s="19" t="n">
        <x:f>SUM(D700:F700)</x:f>
        <x:v>4</x:v>
      </x:c>
      <x:c r="H700" s="25" t="n">
        <x:v>2</x:v>
      </x:c>
      <x:c r="I700" s="25" t="n">
        <x:v>1</x:v>
      </x:c>
      <x:c r="J700" s="25" t="n">
        <x:v>2</x:v>
      </x:c>
      <x:c r="K700" s="19" t="n">
        <x:f>D700-IF(H700=0,1,0)</x:f>
        <x:v>1</x:v>
      </x:c>
      <x:c r="L700" s="19" t="n">
        <x:f>E700-IF(H700=1,1,0)</x:f>
        <x:v>2</x:v>
      </x:c>
      <x:c r="M700" s="19" t="n">
        <x:f>F700-IF(H700=2,1,0)</x:f>
        <x:v>0</x:v>
      </x:c>
      <x:c r="N700" s="19" t="n">
        <x:f>MAX(K700-1,0)+MAX(L700-1,0)+MAX(M700-1,0)</x:f>
        <x:v>1</x:v>
      </x:c>
      <x:c r="O700" s="19" t="n">
        <x:f>IF(AND(SUM(K700:M700)&lt;9,OR(M700=0,N700&lt;6)),1,0)</x:f>
        <x:v>1</x:v>
      </x:c>
      <x:c r="P700" s="19" t="n">
        <x:f>IF(AND(SUM(K700:M700)&lt;9,OR(L700=0,N700&lt;6)),1,0)</x:f>
        <x:v>1</x:v>
      </x:c>
      <x:c r="Q700" s="19" t="n">
        <x:f>IF(AND(SUM(K700:M700)&lt;9,OR(K700=0,N700&lt;6)),1,0)</x:f>
        <x:v>1</x:v>
      </x:c>
      <x:c r="R700" s="22" t="str">
        <x:f>O700&amp;P700&amp;Q700</x:f>
        <x:v>111</x:v>
      </x:c>
      <x:c r="S700" s="19" t="n">
        <x:f>IF(I700=1,IF(J700=0,Q700,IF(J700=1,P700,IF(J700=2,O700,0))),0)</x:f>
        <x:v>1</x:v>
      </x:c>
      <x:c r="T700" s="19" t="n">
        <x:f>K700+IF(AND(S700=1,J700=0),1,0)</x:f>
        <x:v>1</x:v>
      </x:c>
      <x:c r="U700" s="19" t="n">
        <x:f>L700+IF(AND(S700=1,J700=1),1,0)</x:f>
        <x:v>2</x:v>
      </x:c>
      <x:c r="V700" s="19" t="n">
        <x:f>M700+IF(AND(S700=1,J700=2),1,0)</x:f>
        <x:v>1</x:v>
      </x:c>
      <x:c r="W700" s="19" t="n">
        <x:f>SUM(T700:V700)</x:f>
        <x:v>4</x:v>
      </x:c>
      <x:c r="X700" s="19" t="n">
        <x:f>W700-G700</x:f>
        <x:v>0</x:v>
      </x:c>
      <x:c r="Y700" s="19" t="n">
        <x:f>MAX(T700,1)+MAX(U700,1)+MAX(V700,1)</x:f>
        <x:v>4</x:v>
      </x:c>
      <x:c r="Z700" s="21" t="str">
        <x:f>IF(AND(MIN(D700:F700)&gt;=0,MAX(D700:F700)&lt;=7,MAX(D700,1)+MAX(E700,1)+MAX(F700,1)&lt;=9,OR(H700="-",AND(H700=0,D700&gt;0),AND(H700=1,E700&gt;0),AND(H700=2,F700&gt;0)),OR(I700=0,AND(I700=1,OR(J700=0,J700=1,J700=2),R700&lt;&gt;"000")),Y700&lt;=9,MIN(T700:V700)&gt;=0),"合法","输入违约")</x:f>
        <x:v>合法</x:v>
      </x:c>
    </x:row>
    <x:row r="701" ht="23" customHeight="1">
      <x:c r="A701" s="3" t="str">
        <x:v>CT-0694</x:v>
      </x:c>
      <x:c r="B701" s="3" t="str">
        <x:v>ST-044</x:v>
      </x:c>
      <x:c r="C701" s="3" t="str">
        <x:v>无AR/R</x:v>
      </x:c>
      <x:c r="D701" s="25" t="n">
        <x:v>1</x:v>
      </x:c>
      <x:c r="E701" s="25" t="n">
        <x:v>2</x:v>
      </x:c>
      <x:c r="F701" s="25" t="n">
        <x:v>2</x:v>
      </x:c>
      <x:c r="G701" s="19" t="n">
        <x:f>SUM(D701:F701)</x:f>
        <x:v>5</x:v>
      </x:c>
      <x:c r="H701" s="25" t="str">
        <x:v>-</x:v>
      </x:c>
      <x:c r="I701" s="25" t="n">
        <x:v>0</x:v>
      </x:c>
      <x:c r="J701" s="25" t="str">
        <x:v>-</x:v>
      </x:c>
      <x:c r="K701" s="19" t="n">
        <x:f>D701-IF(H701=0,1,0)</x:f>
        <x:v>1</x:v>
      </x:c>
      <x:c r="L701" s="19" t="n">
        <x:f>E701-IF(H701=1,1,0)</x:f>
        <x:v>2</x:v>
      </x:c>
      <x:c r="M701" s="19" t="n">
        <x:f>F701-IF(H701=2,1,0)</x:f>
        <x:v>2</x:v>
      </x:c>
      <x:c r="N701" s="19" t="n">
        <x:f>MAX(K701-1,0)+MAX(L701-1,0)+MAX(M701-1,0)</x:f>
        <x:v>2</x:v>
      </x:c>
      <x:c r="O701" s="19" t="n">
        <x:f>IF(AND(SUM(K701:M701)&lt;9,OR(M701=0,N701&lt;6)),1,0)</x:f>
        <x:v>1</x:v>
      </x:c>
      <x:c r="P701" s="19" t="n">
        <x:f>IF(AND(SUM(K701:M701)&lt;9,OR(L701=0,N701&lt;6)),1,0)</x:f>
        <x:v>1</x:v>
      </x:c>
      <x:c r="Q701" s="19" t="n">
        <x:f>IF(AND(SUM(K701:M701)&lt;9,OR(K701=0,N701&lt;6)),1,0)</x:f>
        <x:v>1</x:v>
      </x:c>
      <x:c r="R701" s="22" t="str">
        <x:f>O701&amp;P701&amp;Q701</x:f>
        <x:v>111</x:v>
      </x:c>
      <x:c r="S701" s="19" t="n">
        <x:f>IF(I701=1,IF(J701=0,Q701,IF(J701=1,P701,IF(J701=2,O701,0))),0)</x:f>
        <x:v>0</x:v>
      </x:c>
      <x:c r="T701" s="19" t="n">
        <x:f>K701+IF(AND(S701=1,J701=0),1,0)</x:f>
        <x:v>1</x:v>
      </x:c>
      <x:c r="U701" s="19" t="n">
        <x:f>L701+IF(AND(S701=1,J701=1),1,0)</x:f>
        <x:v>2</x:v>
      </x:c>
      <x:c r="V701" s="19" t="n">
        <x:f>M701+IF(AND(S701=1,J701=2),1,0)</x:f>
        <x:v>2</x:v>
      </x:c>
      <x:c r="W701" s="19" t="n">
        <x:f>SUM(T701:V701)</x:f>
        <x:v>5</x:v>
      </x:c>
      <x:c r="X701" s="19" t="n">
        <x:f>W701-G701</x:f>
        <x:v>0</x:v>
      </x:c>
      <x:c r="Y701" s="19" t="n">
        <x:f>MAX(T701,1)+MAX(U701,1)+MAX(V701,1)</x:f>
        <x:v>5</x:v>
      </x:c>
      <x:c r="Z701" s="21" t="str">
        <x:f>IF(AND(MIN(D701:F701)&gt;=0,MAX(D701:F701)&lt;=7,MAX(D701,1)+MAX(E701,1)+MAX(F701,1)&lt;=9,OR(H701="-",AND(H701=0,D701&gt;0),AND(H701=1,E701&gt;0),AND(H701=2,F701&gt;0)),OR(I701=0,AND(I701=1,OR(J701=0,J701=1,J701=2),R701&lt;&gt;"000")),Y701&lt;=9,MIN(T701:V701)&gt;=0),"合法","输入违约")</x:f>
        <x:v>合法</x:v>
      </x:c>
    </x:row>
    <x:row r="702" ht="23" customHeight="1">
      <x:c r="A702" s="3" t="str">
        <x:v>CT-0695</x:v>
      </x:c>
      <x:c r="B702" s="3" t="str">
        <x:v>ST-044</x:v>
      </x:c>
      <x:c r="C702" s="3" t="str">
        <x:v>仅AR接收</x:v>
      </x:c>
      <x:c r="D702" s="25" t="n">
        <x:v>1</x:v>
      </x:c>
      <x:c r="E702" s="25" t="n">
        <x:v>2</x:v>
      </x:c>
      <x:c r="F702" s="25" t="n">
        <x:v>2</x:v>
      </x:c>
      <x:c r="G702" s="19" t="n">
        <x:f>SUM(D702:F702)</x:f>
        <x:v>5</x:v>
      </x:c>
      <x:c r="H702" s="25" t="str">
        <x:v>-</x:v>
      </x:c>
      <x:c r="I702" s="25" t="n">
        <x:v>1</x:v>
      </x:c>
      <x:c r="J702" s="25" t="n">
        <x:v>0</x:v>
      </x:c>
      <x:c r="K702" s="19" t="n">
        <x:f>D702-IF(H702=0,1,0)</x:f>
        <x:v>1</x:v>
      </x:c>
      <x:c r="L702" s="19" t="n">
        <x:f>E702-IF(H702=1,1,0)</x:f>
        <x:v>2</x:v>
      </x:c>
      <x:c r="M702" s="19" t="n">
        <x:f>F702-IF(H702=2,1,0)</x:f>
        <x:v>2</x:v>
      </x:c>
      <x:c r="N702" s="19" t="n">
        <x:f>MAX(K702-1,0)+MAX(L702-1,0)+MAX(M702-1,0)</x:f>
        <x:v>2</x:v>
      </x:c>
      <x:c r="O702" s="19" t="n">
        <x:f>IF(AND(SUM(K702:M702)&lt;9,OR(M702=0,N702&lt;6)),1,0)</x:f>
        <x:v>1</x:v>
      </x:c>
      <x:c r="P702" s="19" t="n">
        <x:f>IF(AND(SUM(K702:M702)&lt;9,OR(L702=0,N702&lt;6)),1,0)</x:f>
        <x:v>1</x:v>
      </x:c>
      <x:c r="Q702" s="19" t="n">
        <x:f>IF(AND(SUM(K702:M702)&lt;9,OR(K702=0,N702&lt;6)),1,0)</x:f>
        <x:v>1</x:v>
      </x:c>
      <x:c r="R702" s="22" t="str">
        <x:f>O702&amp;P702&amp;Q702</x:f>
        <x:v>111</x:v>
      </x:c>
      <x:c r="S702" s="19" t="n">
        <x:f>IF(I702=1,IF(J702=0,Q702,IF(J702=1,P702,IF(J702=2,O702,0))),0)</x:f>
        <x:v>1</x:v>
      </x:c>
      <x:c r="T702" s="19" t="n">
        <x:f>K702+IF(AND(S702=1,J702=0),1,0)</x:f>
        <x:v>2</x:v>
      </x:c>
      <x:c r="U702" s="19" t="n">
        <x:f>L702+IF(AND(S702=1,J702=1),1,0)</x:f>
        <x:v>2</x:v>
      </x:c>
      <x:c r="V702" s="19" t="n">
        <x:f>M702+IF(AND(S702=1,J702=2),1,0)</x:f>
        <x:v>2</x:v>
      </x:c>
      <x:c r="W702" s="19" t="n">
        <x:f>SUM(T702:V702)</x:f>
        <x:v>6</x:v>
      </x:c>
      <x:c r="X702" s="19" t="n">
        <x:f>W702-G702</x:f>
        <x:v>1</x:v>
      </x:c>
      <x:c r="Y702" s="19" t="n">
        <x:f>MAX(T702,1)+MAX(U702,1)+MAX(V702,1)</x:f>
        <x:v>6</x:v>
      </x:c>
      <x:c r="Z702" s="21" t="str">
        <x:f>IF(AND(MIN(D702:F702)&gt;=0,MAX(D702:F702)&lt;=7,MAX(D702,1)+MAX(E702,1)+MAX(F702,1)&lt;=9,OR(H702="-",AND(H702=0,D702&gt;0),AND(H702=1,E702&gt;0),AND(H702=2,F702&gt;0)),OR(I702=0,AND(I702=1,OR(J702=0,J702=1,J702=2),R702&lt;&gt;"000")),Y702&lt;=9,MIN(T702:V702)&gt;=0),"合法","输入违约")</x:f>
        <x:v>合法</x:v>
      </x:c>
    </x:row>
    <x:row r="703" ht="23" customHeight="1">
      <x:c r="A703" s="3" t="str">
        <x:v>CT-0696</x:v>
      </x:c>
      <x:c r="B703" s="3" t="str">
        <x:v>ST-044</x:v>
      </x:c>
      <x:c r="C703" s="3" t="str">
        <x:v>仅AR接收</x:v>
      </x:c>
      <x:c r="D703" s="25" t="n">
        <x:v>1</x:v>
      </x:c>
      <x:c r="E703" s="25" t="n">
        <x:v>2</x:v>
      </x:c>
      <x:c r="F703" s="25" t="n">
        <x:v>2</x:v>
      </x:c>
      <x:c r="G703" s="19" t="n">
        <x:f>SUM(D703:F703)</x:f>
        <x:v>5</x:v>
      </x:c>
      <x:c r="H703" s="25" t="str">
        <x:v>-</x:v>
      </x:c>
      <x:c r="I703" s="25" t="n">
        <x:v>1</x:v>
      </x:c>
      <x:c r="J703" s="25" t="n">
        <x:v>1</x:v>
      </x:c>
      <x:c r="K703" s="19" t="n">
        <x:f>D703-IF(H703=0,1,0)</x:f>
        <x:v>1</x:v>
      </x:c>
      <x:c r="L703" s="19" t="n">
        <x:f>E703-IF(H703=1,1,0)</x:f>
        <x:v>2</x:v>
      </x:c>
      <x:c r="M703" s="19" t="n">
        <x:f>F703-IF(H703=2,1,0)</x:f>
        <x:v>2</x:v>
      </x:c>
      <x:c r="N703" s="19" t="n">
        <x:f>MAX(K703-1,0)+MAX(L703-1,0)+MAX(M703-1,0)</x:f>
        <x:v>2</x:v>
      </x:c>
      <x:c r="O703" s="19" t="n">
        <x:f>IF(AND(SUM(K703:M703)&lt;9,OR(M703=0,N703&lt;6)),1,0)</x:f>
        <x:v>1</x:v>
      </x:c>
      <x:c r="P703" s="19" t="n">
        <x:f>IF(AND(SUM(K703:M703)&lt;9,OR(L703=0,N703&lt;6)),1,0)</x:f>
        <x:v>1</x:v>
      </x:c>
      <x:c r="Q703" s="19" t="n">
        <x:f>IF(AND(SUM(K703:M703)&lt;9,OR(K703=0,N703&lt;6)),1,0)</x:f>
        <x:v>1</x:v>
      </x:c>
      <x:c r="R703" s="22" t="str">
        <x:f>O703&amp;P703&amp;Q703</x:f>
        <x:v>111</x:v>
      </x:c>
      <x:c r="S703" s="19" t="n">
        <x:f>IF(I703=1,IF(J703=0,Q703,IF(J703=1,P703,IF(J703=2,O703,0))),0)</x:f>
        <x:v>1</x:v>
      </x:c>
      <x:c r="T703" s="19" t="n">
        <x:f>K703+IF(AND(S703=1,J703=0),1,0)</x:f>
        <x:v>1</x:v>
      </x:c>
      <x:c r="U703" s="19" t="n">
        <x:f>L703+IF(AND(S703=1,J703=1),1,0)</x:f>
        <x:v>3</x:v>
      </x:c>
      <x:c r="V703" s="19" t="n">
        <x:f>M703+IF(AND(S703=1,J703=2),1,0)</x:f>
        <x:v>2</x:v>
      </x:c>
      <x:c r="W703" s="19" t="n">
        <x:f>SUM(T703:V703)</x:f>
        <x:v>6</x:v>
      </x:c>
      <x:c r="X703" s="19" t="n">
        <x:f>W703-G703</x:f>
        <x:v>1</x:v>
      </x:c>
      <x:c r="Y703" s="19" t="n">
        <x:f>MAX(T703,1)+MAX(U703,1)+MAX(V703,1)</x:f>
        <x:v>6</x:v>
      </x:c>
      <x:c r="Z703" s="21" t="str">
        <x:f>IF(AND(MIN(D703:F703)&gt;=0,MAX(D703:F703)&lt;=7,MAX(D703,1)+MAX(E703,1)+MAX(F703,1)&lt;=9,OR(H703="-",AND(H703=0,D703&gt;0),AND(H703=1,E703&gt;0),AND(H703=2,F703&gt;0)),OR(I703=0,AND(I703=1,OR(J703=0,J703=1,J703=2),R703&lt;&gt;"000")),Y703&lt;=9,MIN(T703:V703)&gt;=0),"合法","输入违约")</x:f>
        <x:v>合法</x:v>
      </x:c>
    </x:row>
    <x:row r="704" ht="23" customHeight="1">
      <x:c r="A704" s="3" t="str">
        <x:v>CT-0697</x:v>
      </x:c>
      <x:c r="B704" s="3" t="str">
        <x:v>ST-044</x:v>
      </x:c>
      <x:c r="C704" s="3" t="str">
        <x:v>仅AR接收</x:v>
      </x:c>
      <x:c r="D704" s="25" t="n">
        <x:v>1</x:v>
      </x:c>
      <x:c r="E704" s="25" t="n">
        <x:v>2</x:v>
      </x:c>
      <x:c r="F704" s="25" t="n">
        <x:v>2</x:v>
      </x:c>
      <x:c r="G704" s="19" t="n">
        <x:f>SUM(D704:F704)</x:f>
        <x:v>5</x:v>
      </x:c>
      <x:c r="H704" s="25" t="str">
        <x:v>-</x:v>
      </x:c>
      <x:c r="I704" s="25" t="n">
        <x:v>1</x:v>
      </x:c>
      <x:c r="J704" s="25" t="n">
        <x:v>2</x:v>
      </x:c>
      <x:c r="K704" s="19" t="n">
        <x:f>D704-IF(H704=0,1,0)</x:f>
        <x:v>1</x:v>
      </x:c>
      <x:c r="L704" s="19" t="n">
        <x:f>E704-IF(H704=1,1,0)</x:f>
        <x:v>2</x:v>
      </x:c>
      <x:c r="M704" s="19" t="n">
        <x:f>F704-IF(H704=2,1,0)</x:f>
        <x:v>2</x:v>
      </x:c>
      <x:c r="N704" s="19" t="n">
        <x:f>MAX(K704-1,0)+MAX(L704-1,0)+MAX(M704-1,0)</x:f>
        <x:v>2</x:v>
      </x:c>
      <x:c r="O704" s="19" t="n">
        <x:f>IF(AND(SUM(K704:M704)&lt;9,OR(M704=0,N704&lt;6)),1,0)</x:f>
        <x:v>1</x:v>
      </x:c>
      <x:c r="P704" s="19" t="n">
        <x:f>IF(AND(SUM(K704:M704)&lt;9,OR(L704=0,N704&lt;6)),1,0)</x:f>
        <x:v>1</x:v>
      </x:c>
      <x:c r="Q704" s="19" t="n">
        <x:f>IF(AND(SUM(K704:M704)&lt;9,OR(K704=0,N704&lt;6)),1,0)</x:f>
        <x:v>1</x:v>
      </x:c>
      <x:c r="R704" s="22" t="str">
        <x:f>O704&amp;P704&amp;Q704</x:f>
        <x:v>111</x:v>
      </x:c>
      <x:c r="S704" s="19" t="n">
        <x:f>IF(I704=1,IF(J704=0,Q704,IF(J704=1,P704,IF(J704=2,O704,0))),0)</x:f>
        <x:v>1</x:v>
      </x:c>
      <x:c r="T704" s="19" t="n">
        <x:f>K704+IF(AND(S704=1,J704=0),1,0)</x:f>
        <x:v>1</x:v>
      </x:c>
      <x:c r="U704" s="19" t="n">
        <x:f>L704+IF(AND(S704=1,J704=1),1,0)</x:f>
        <x:v>2</x:v>
      </x:c>
      <x:c r="V704" s="19" t="n">
        <x:f>M704+IF(AND(S704=1,J704=2),1,0)</x:f>
        <x:v>3</x:v>
      </x:c>
      <x:c r="W704" s="19" t="n">
        <x:f>SUM(T704:V704)</x:f>
        <x:v>6</x:v>
      </x:c>
      <x:c r="X704" s="19" t="n">
        <x:f>W704-G704</x:f>
        <x:v>1</x:v>
      </x:c>
      <x:c r="Y704" s="19" t="n">
        <x:f>MAX(T704,1)+MAX(U704,1)+MAX(V704,1)</x:f>
        <x:v>6</x:v>
      </x:c>
      <x:c r="Z704" s="21" t="str">
        <x:f>IF(AND(MIN(D704:F704)&gt;=0,MAX(D704:F704)&lt;=7,MAX(D704,1)+MAX(E704,1)+MAX(F704,1)&lt;=9,OR(H704="-",AND(H704=0,D704&gt;0),AND(H704=1,E704&gt;0),AND(H704=2,F704&gt;0)),OR(I704=0,AND(I704=1,OR(J704=0,J704=1,J704=2),R704&lt;&gt;"000")),Y704&lt;=9,MIN(T704:V704)&gt;=0),"合法","输入违约")</x:f>
        <x:v>合法</x:v>
      </x:c>
    </x:row>
    <x:row r="705" ht="23" customHeight="1">
      <x:c r="A705" s="3" t="str">
        <x:v>CT-0698</x:v>
      </x:c>
      <x:c r="B705" s="3" t="str">
        <x:v>ST-044</x:v>
      </x:c>
      <x:c r="C705" s="3" t="str">
        <x:v>仅R回收</x:v>
      </x:c>
      <x:c r="D705" s="25" t="n">
        <x:v>1</x:v>
      </x:c>
      <x:c r="E705" s="25" t="n">
        <x:v>2</x:v>
      </x:c>
      <x:c r="F705" s="25" t="n">
        <x:v>2</x:v>
      </x:c>
      <x:c r="G705" s="19" t="n">
        <x:f>SUM(D705:F705)</x:f>
        <x:v>5</x:v>
      </x:c>
      <x:c r="H705" s="25" t="n">
        <x:v>0</x:v>
      </x:c>
      <x:c r="I705" s="25" t="n">
        <x:v>0</x:v>
      </x:c>
      <x:c r="J705" s="25" t="str">
        <x:v>-</x:v>
      </x:c>
      <x:c r="K705" s="19" t="n">
        <x:f>D705-IF(H705=0,1,0)</x:f>
        <x:v>0</x:v>
      </x:c>
      <x:c r="L705" s="19" t="n">
        <x:f>E705-IF(H705=1,1,0)</x:f>
        <x:v>2</x:v>
      </x:c>
      <x:c r="M705" s="19" t="n">
        <x:f>F705-IF(H705=2,1,0)</x:f>
        <x:v>2</x:v>
      </x:c>
      <x:c r="N705" s="19" t="n">
        <x:f>MAX(K705-1,0)+MAX(L705-1,0)+MAX(M705-1,0)</x:f>
        <x:v>2</x:v>
      </x:c>
      <x:c r="O705" s="19" t="n">
        <x:f>IF(AND(SUM(K705:M705)&lt;9,OR(M705=0,N705&lt;6)),1,0)</x:f>
        <x:v>1</x:v>
      </x:c>
      <x:c r="P705" s="19" t="n">
        <x:f>IF(AND(SUM(K705:M705)&lt;9,OR(L705=0,N705&lt;6)),1,0)</x:f>
        <x:v>1</x:v>
      </x:c>
      <x:c r="Q705" s="19" t="n">
        <x:f>IF(AND(SUM(K705:M705)&lt;9,OR(K705=0,N705&lt;6)),1,0)</x:f>
        <x:v>1</x:v>
      </x:c>
      <x:c r="R705" s="22" t="str">
        <x:f>O705&amp;P705&amp;Q705</x:f>
        <x:v>111</x:v>
      </x:c>
      <x:c r="S705" s="19" t="n">
        <x:f>IF(I705=1,IF(J705=0,Q705,IF(J705=1,P705,IF(J705=2,O705,0))),0)</x:f>
        <x:v>0</x:v>
      </x:c>
      <x:c r="T705" s="19" t="n">
        <x:f>K705+IF(AND(S705=1,J705=0),1,0)</x:f>
        <x:v>0</x:v>
      </x:c>
      <x:c r="U705" s="19" t="n">
        <x:f>L705+IF(AND(S705=1,J705=1),1,0)</x:f>
        <x:v>2</x:v>
      </x:c>
      <x:c r="V705" s="19" t="n">
        <x:f>M705+IF(AND(S705=1,J705=2),1,0)</x:f>
        <x:v>2</x:v>
      </x:c>
      <x:c r="W705" s="19" t="n">
        <x:f>SUM(T705:V705)</x:f>
        <x:v>4</x:v>
      </x:c>
      <x:c r="X705" s="19" t="n">
        <x:f>W705-G705</x:f>
        <x:v>-1</x:v>
      </x:c>
      <x:c r="Y705" s="19" t="n">
        <x:f>MAX(T705,1)+MAX(U705,1)+MAX(V705,1)</x:f>
        <x:v>5</x:v>
      </x:c>
      <x:c r="Z705" s="21" t="str">
        <x:f>IF(AND(MIN(D705:F705)&gt;=0,MAX(D705:F705)&lt;=7,MAX(D705,1)+MAX(E705,1)+MAX(F705,1)&lt;=9,OR(H705="-",AND(H705=0,D705&gt;0),AND(H705=1,E705&gt;0),AND(H705=2,F705&gt;0)),OR(I705=0,AND(I705=1,OR(J705=0,J705=1,J705=2),R705&lt;&gt;"000")),Y705&lt;=9,MIN(T705:V705)&gt;=0),"合法","输入违约")</x:f>
        <x:v>合法</x:v>
      </x:c>
    </x:row>
    <x:row r="706" ht="23" customHeight="1">
      <x:c r="A706" s="3" t="str">
        <x:v>CT-0699</x:v>
      </x:c>
      <x:c r="B706" s="3" t="str">
        <x:v>ST-044</x:v>
      </x:c>
      <x:c r="C706" s="3" t="str">
        <x:v>R+AR同收同发</x:v>
      </x:c>
      <x:c r="D706" s="25" t="n">
        <x:v>1</x:v>
      </x:c>
      <x:c r="E706" s="25" t="n">
        <x:v>2</x:v>
      </x:c>
      <x:c r="F706" s="25" t="n">
        <x:v>2</x:v>
      </x:c>
      <x:c r="G706" s="19" t="n">
        <x:f>SUM(D706:F706)</x:f>
        <x:v>5</x:v>
      </x:c>
      <x:c r="H706" s="25" t="n">
        <x:v>0</x:v>
      </x:c>
      <x:c r="I706" s="25" t="n">
        <x:v>1</x:v>
      </x:c>
      <x:c r="J706" s="25" t="n">
        <x:v>0</x:v>
      </x:c>
      <x:c r="K706" s="19" t="n">
        <x:f>D706-IF(H706=0,1,0)</x:f>
        <x:v>0</x:v>
      </x:c>
      <x:c r="L706" s="19" t="n">
        <x:f>E706-IF(H706=1,1,0)</x:f>
        <x:v>2</x:v>
      </x:c>
      <x:c r="M706" s="19" t="n">
        <x:f>F706-IF(H706=2,1,0)</x:f>
        <x:v>2</x:v>
      </x:c>
      <x:c r="N706" s="19" t="n">
        <x:f>MAX(K706-1,0)+MAX(L706-1,0)+MAX(M706-1,0)</x:f>
        <x:v>2</x:v>
      </x:c>
      <x:c r="O706" s="19" t="n">
        <x:f>IF(AND(SUM(K706:M706)&lt;9,OR(M706=0,N706&lt;6)),1,0)</x:f>
        <x:v>1</x:v>
      </x:c>
      <x:c r="P706" s="19" t="n">
        <x:f>IF(AND(SUM(K706:M706)&lt;9,OR(L706=0,N706&lt;6)),1,0)</x:f>
        <x:v>1</x:v>
      </x:c>
      <x:c r="Q706" s="19" t="n">
        <x:f>IF(AND(SUM(K706:M706)&lt;9,OR(K706=0,N706&lt;6)),1,0)</x:f>
        <x:v>1</x:v>
      </x:c>
      <x:c r="R706" s="22" t="str">
        <x:f>O706&amp;P706&amp;Q706</x:f>
        <x:v>111</x:v>
      </x:c>
      <x:c r="S706" s="19" t="n">
        <x:f>IF(I706=1,IF(J706=0,Q706,IF(J706=1,P706,IF(J706=2,O706,0))),0)</x:f>
        <x:v>1</x:v>
      </x:c>
      <x:c r="T706" s="19" t="n">
        <x:f>K706+IF(AND(S706=1,J706=0),1,0)</x:f>
        <x:v>1</x:v>
      </x:c>
      <x:c r="U706" s="19" t="n">
        <x:f>L706+IF(AND(S706=1,J706=1),1,0)</x:f>
        <x:v>2</x:v>
      </x:c>
      <x:c r="V706" s="19" t="n">
        <x:f>M706+IF(AND(S706=1,J706=2),1,0)</x:f>
        <x:v>2</x:v>
      </x:c>
      <x:c r="W706" s="19" t="n">
        <x:f>SUM(T706:V706)</x:f>
        <x:v>5</x:v>
      </x:c>
      <x:c r="X706" s="19" t="n">
        <x:f>W706-G706</x:f>
        <x:v>0</x:v>
      </x:c>
      <x:c r="Y706" s="19" t="n">
        <x:f>MAX(T706,1)+MAX(U706,1)+MAX(V706,1)</x:f>
        <x:v>5</x:v>
      </x:c>
      <x:c r="Z706" s="21" t="str">
        <x:f>IF(AND(MIN(D706:F706)&gt;=0,MAX(D706:F706)&lt;=7,MAX(D706,1)+MAX(E706,1)+MAX(F706,1)&lt;=9,OR(H706="-",AND(H706=0,D706&gt;0),AND(H706=1,E706&gt;0),AND(H706=2,F706&gt;0)),OR(I706=0,AND(I706=1,OR(J706=0,J706=1,J706=2),R706&lt;&gt;"000")),Y706&lt;=9,MIN(T706:V706)&gt;=0),"合法","输入违约")</x:f>
        <x:v>合法</x:v>
      </x:c>
    </x:row>
    <x:row r="707" ht="23" customHeight="1">
      <x:c r="A707" s="3" t="str">
        <x:v>CT-0700</x:v>
      </x:c>
      <x:c r="B707" s="3" t="str">
        <x:v>ST-044</x:v>
      </x:c>
      <x:c r="C707" s="3" t="str">
        <x:v>R+AR同收同发</x:v>
      </x:c>
      <x:c r="D707" s="25" t="n">
        <x:v>1</x:v>
      </x:c>
      <x:c r="E707" s="25" t="n">
        <x:v>2</x:v>
      </x:c>
      <x:c r="F707" s="25" t="n">
        <x:v>2</x:v>
      </x:c>
      <x:c r="G707" s="19" t="n">
        <x:f>SUM(D707:F707)</x:f>
        <x:v>5</x:v>
      </x:c>
      <x:c r="H707" s="25" t="n">
        <x:v>0</x:v>
      </x:c>
      <x:c r="I707" s="25" t="n">
        <x:v>1</x:v>
      </x:c>
      <x:c r="J707" s="25" t="n">
        <x:v>1</x:v>
      </x:c>
      <x:c r="K707" s="19" t="n">
        <x:f>D707-IF(H707=0,1,0)</x:f>
        <x:v>0</x:v>
      </x:c>
      <x:c r="L707" s="19" t="n">
        <x:f>E707-IF(H707=1,1,0)</x:f>
        <x:v>2</x:v>
      </x:c>
      <x:c r="M707" s="19" t="n">
        <x:f>F707-IF(H707=2,1,0)</x:f>
        <x:v>2</x:v>
      </x:c>
      <x:c r="N707" s="19" t="n">
        <x:f>MAX(K707-1,0)+MAX(L707-1,0)+MAX(M707-1,0)</x:f>
        <x:v>2</x:v>
      </x:c>
      <x:c r="O707" s="19" t="n">
        <x:f>IF(AND(SUM(K707:M707)&lt;9,OR(M707=0,N707&lt;6)),1,0)</x:f>
        <x:v>1</x:v>
      </x:c>
      <x:c r="P707" s="19" t="n">
        <x:f>IF(AND(SUM(K707:M707)&lt;9,OR(L707=0,N707&lt;6)),1,0)</x:f>
        <x:v>1</x:v>
      </x:c>
      <x:c r="Q707" s="19" t="n">
        <x:f>IF(AND(SUM(K707:M707)&lt;9,OR(K707=0,N707&lt;6)),1,0)</x:f>
        <x:v>1</x:v>
      </x:c>
      <x:c r="R707" s="22" t="str">
        <x:f>O707&amp;P707&amp;Q707</x:f>
        <x:v>111</x:v>
      </x:c>
      <x:c r="S707" s="19" t="n">
        <x:f>IF(I707=1,IF(J707=0,Q707,IF(J707=1,P707,IF(J707=2,O707,0))),0)</x:f>
        <x:v>1</x:v>
      </x:c>
      <x:c r="T707" s="19" t="n">
        <x:f>K707+IF(AND(S707=1,J707=0),1,0)</x:f>
        <x:v>0</x:v>
      </x:c>
      <x:c r="U707" s="19" t="n">
        <x:f>L707+IF(AND(S707=1,J707=1),1,0)</x:f>
        <x:v>3</x:v>
      </x:c>
      <x:c r="V707" s="19" t="n">
        <x:f>M707+IF(AND(S707=1,J707=2),1,0)</x:f>
        <x:v>2</x:v>
      </x:c>
      <x:c r="W707" s="19" t="n">
        <x:f>SUM(T707:V707)</x:f>
        <x:v>5</x:v>
      </x:c>
      <x:c r="X707" s="19" t="n">
        <x:f>W707-G707</x:f>
        <x:v>0</x:v>
      </x:c>
      <x:c r="Y707" s="19" t="n">
        <x:f>MAX(T707,1)+MAX(U707,1)+MAX(V707,1)</x:f>
        <x:v>6</x:v>
      </x:c>
      <x:c r="Z707" s="21" t="str">
        <x:f>IF(AND(MIN(D707:F707)&gt;=0,MAX(D707:F707)&lt;=7,MAX(D707,1)+MAX(E707,1)+MAX(F707,1)&lt;=9,OR(H707="-",AND(H707=0,D707&gt;0),AND(H707=1,E707&gt;0),AND(H707=2,F707&gt;0)),OR(I707=0,AND(I707=1,OR(J707=0,J707=1,J707=2),R707&lt;&gt;"000")),Y707&lt;=9,MIN(T707:V707)&gt;=0),"合法","输入违约")</x:f>
        <x:v>合法</x:v>
      </x:c>
    </x:row>
    <x:row r="708" ht="23" customHeight="1">
      <x:c r="A708" s="3" t="str">
        <x:v>CT-0701</x:v>
      </x:c>
      <x:c r="B708" s="3" t="str">
        <x:v>ST-044</x:v>
      </x:c>
      <x:c r="C708" s="3" t="str">
        <x:v>R+AR同收同发</x:v>
      </x:c>
      <x:c r="D708" s="25" t="n">
        <x:v>1</x:v>
      </x:c>
      <x:c r="E708" s="25" t="n">
        <x:v>2</x:v>
      </x:c>
      <x:c r="F708" s="25" t="n">
        <x:v>2</x:v>
      </x:c>
      <x:c r="G708" s="19" t="n">
        <x:f>SUM(D708:F708)</x:f>
        <x:v>5</x:v>
      </x:c>
      <x:c r="H708" s="25" t="n">
        <x:v>0</x:v>
      </x:c>
      <x:c r="I708" s="25" t="n">
        <x:v>1</x:v>
      </x:c>
      <x:c r="J708" s="25" t="n">
        <x:v>2</x:v>
      </x:c>
      <x:c r="K708" s="19" t="n">
        <x:f>D708-IF(H708=0,1,0)</x:f>
        <x:v>0</x:v>
      </x:c>
      <x:c r="L708" s="19" t="n">
        <x:f>E708-IF(H708=1,1,0)</x:f>
        <x:v>2</x:v>
      </x:c>
      <x:c r="M708" s="19" t="n">
        <x:f>F708-IF(H708=2,1,0)</x:f>
        <x:v>2</x:v>
      </x:c>
      <x:c r="N708" s="19" t="n">
        <x:f>MAX(K708-1,0)+MAX(L708-1,0)+MAX(M708-1,0)</x:f>
        <x:v>2</x:v>
      </x:c>
      <x:c r="O708" s="19" t="n">
        <x:f>IF(AND(SUM(K708:M708)&lt;9,OR(M708=0,N708&lt;6)),1,0)</x:f>
        <x:v>1</x:v>
      </x:c>
      <x:c r="P708" s="19" t="n">
        <x:f>IF(AND(SUM(K708:M708)&lt;9,OR(L708=0,N708&lt;6)),1,0)</x:f>
        <x:v>1</x:v>
      </x:c>
      <x:c r="Q708" s="19" t="n">
        <x:f>IF(AND(SUM(K708:M708)&lt;9,OR(K708=0,N708&lt;6)),1,0)</x:f>
        <x:v>1</x:v>
      </x:c>
      <x:c r="R708" s="22" t="str">
        <x:f>O708&amp;P708&amp;Q708</x:f>
        <x:v>111</x:v>
      </x:c>
      <x:c r="S708" s="19" t="n">
        <x:f>IF(I708=1,IF(J708=0,Q708,IF(J708=1,P708,IF(J708=2,O708,0))),0)</x:f>
        <x:v>1</x:v>
      </x:c>
      <x:c r="T708" s="19" t="n">
        <x:f>K708+IF(AND(S708=1,J708=0),1,0)</x:f>
        <x:v>0</x:v>
      </x:c>
      <x:c r="U708" s="19" t="n">
        <x:f>L708+IF(AND(S708=1,J708=1),1,0)</x:f>
        <x:v>2</x:v>
      </x:c>
      <x:c r="V708" s="19" t="n">
        <x:f>M708+IF(AND(S708=1,J708=2),1,0)</x:f>
        <x:v>3</x:v>
      </x:c>
      <x:c r="W708" s="19" t="n">
        <x:f>SUM(T708:V708)</x:f>
        <x:v>5</x:v>
      </x:c>
      <x:c r="X708" s="19" t="n">
        <x:f>W708-G708</x:f>
        <x:v>0</x:v>
      </x:c>
      <x:c r="Y708" s="19" t="n">
        <x:f>MAX(T708,1)+MAX(U708,1)+MAX(V708,1)</x:f>
        <x:v>6</x:v>
      </x:c>
      <x:c r="Z708" s="21" t="str">
        <x:f>IF(AND(MIN(D708:F708)&gt;=0,MAX(D708:F708)&lt;=7,MAX(D708,1)+MAX(E708,1)+MAX(F708,1)&lt;=9,OR(H708="-",AND(H708=0,D708&gt;0),AND(H708=1,E708&gt;0),AND(H708=2,F708&gt;0)),OR(I708=0,AND(I708=1,OR(J708=0,J708=1,J708=2),R708&lt;&gt;"000")),Y708&lt;=9,MIN(T708:V708)&gt;=0),"合法","输入违约")</x:f>
        <x:v>合法</x:v>
      </x:c>
    </x:row>
    <x:row r="709" ht="23" customHeight="1">
      <x:c r="A709" s="3" t="str">
        <x:v>CT-0702</x:v>
      </x:c>
      <x:c r="B709" s="3" t="str">
        <x:v>ST-044</x:v>
      </x:c>
      <x:c r="C709" s="3" t="str">
        <x:v>仅R回收</x:v>
      </x:c>
      <x:c r="D709" s="25" t="n">
        <x:v>1</x:v>
      </x:c>
      <x:c r="E709" s="25" t="n">
        <x:v>2</x:v>
      </x:c>
      <x:c r="F709" s="25" t="n">
        <x:v>2</x:v>
      </x:c>
      <x:c r="G709" s="19" t="n">
        <x:f>SUM(D709:F709)</x:f>
        <x:v>5</x:v>
      </x:c>
      <x:c r="H709" s="25" t="n">
        <x:v>1</x:v>
      </x:c>
      <x:c r="I709" s="25" t="n">
        <x:v>0</x:v>
      </x:c>
      <x:c r="J709" s="25" t="str">
        <x:v>-</x:v>
      </x:c>
      <x:c r="K709" s="19" t="n">
        <x:f>D709-IF(H709=0,1,0)</x:f>
        <x:v>1</x:v>
      </x:c>
      <x:c r="L709" s="19" t="n">
        <x:f>E709-IF(H709=1,1,0)</x:f>
        <x:v>1</x:v>
      </x:c>
      <x:c r="M709" s="19" t="n">
        <x:f>F709-IF(H709=2,1,0)</x:f>
        <x:v>2</x:v>
      </x:c>
      <x:c r="N709" s="19" t="n">
        <x:f>MAX(K709-1,0)+MAX(L709-1,0)+MAX(M709-1,0)</x:f>
        <x:v>1</x:v>
      </x:c>
      <x:c r="O709" s="19" t="n">
        <x:f>IF(AND(SUM(K709:M709)&lt;9,OR(M709=0,N709&lt;6)),1,0)</x:f>
        <x:v>1</x:v>
      </x:c>
      <x:c r="P709" s="19" t="n">
        <x:f>IF(AND(SUM(K709:M709)&lt;9,OR(L709=0,N709&lt;6)),1,0)</x:f>
        <x:v>1</x:v>
      </x:c>
      <x:c r="Q709" s="19" t="n">
        <x:f>IF(AND(SUM(K709:M709)&lt;9,OR(K709=0,N709&lt;6)),1,0)</x:f>
        <x:v>1</x:v>
      </x:c>
      <x:c r="R709" s="22" t="str">
        <x:f>O709&amp;P709&amp;Q709</x:f>
        <x:v>111</x:v>
      </x:c>
      <x:c r="S709" s="19" t="n">
        <x:f>IF(I709=1,IF(J709=0,Q709,IF(J709=1,P709,IF(J709=2,O709,0))),0)</x:f>
        <x:v>0</x:v>
      </x:c>
      <x:c r="T709" s="19" t="n">
        <x:f>K709+IF(AND(S709=1,J709=0),1,0)</x:f>
        <x:v>1</x:v>
      </x:c>
      <x:c r="U709" s="19" t="n">
        <x:f>L709+IF(AND(S709=1,J709=1),1,0)</x:f>
        <x:v>1</x:v>
      </x:c>
      <x:c r="V709" s="19" t="n">
        <x:f>M709+IF(AND(S709=1,J709=2),1,0)</x:f>
        <x:v>2</x:v>
      </x:c>
      <x:c r="W709" s="19" t="n">
        <x:f>SUM(T709:V709)</x:f>
        <x:v>4</x:v>
      </x:c>
      <x:c r="X709" s="19" t="n">
        <x:f>W709-G709</x:f>
        <x:v>-1</x:v>
      </x:c>
      <x:c r="Y709" s="19" t="n">
        <x:f>MAX(T709,1)+MAX(U709,1)+MAX(V709,1)</x:f>
        <x:v>4</x:v>
      </x:c>
      <x:c r="Z709" s="21" t="str">
        <x:f>IF(AND(MIN(D709:F709)&gt;=0,MAX(D709:F709)&lt;=7,MAX(D709,1)+MAX(E709,1)+MAX(F709,1)&lt;=9,OR(H709="-",AND(H709=0,D709&gt;0),AND(H709=1,E709&gt;0),AND(H709=2,F709&gt;0)),OR(I709=0,AND(I709=1,OR(J709=0,J709=1,J709=2),R709&lt;&gt;"000")),Y709&lt;=9,MIN(T709:V709)&gt;=0),"合法","输入违约")</x:f>
        <x:v>合法</x:v>
      </x:c>
    </x:row>
    <x:row r="710" ht="23" customHeight="1">
      <x:c r="A710" s="3" t="str">
        <x:v>CT-0703</x:v>
      </x:c>
      <x:c r="B710" s="3" t="str">
        <x:v>ST-044</x:v>
      </x:c>
      <x:c r="C710" s="3" t="str">
        <x:v>R+AR同收同发</x:v>
      </x:c>
      <x:c r="D710" s="25" t="n">
        <x:v>1</x:v>
      </x:c>
      <x:c r="E710" s="25" t="n">
        <x:v>2</x:v>
      </x:c>
      <x:c r="F710" s="25" t="n">
        <x:v>2</x:v>
      </x:c>
      <x:c r="G710" s="19" t="n">
        <x:f>SUM(D710:F710)</x:f>
        <x:v>5</x:v>
      </x:c>
      <x:c r="H710" s="25" t="n">
        <x:v>1</x:v>
      </x:c>
      <x:c r="I710" s="25" t="n">
        <x:v>1</x:v>
      </x:c>
      <x:c r="J710" s="25" t="n">
        <x:v>0</x:v>
      </x:c>
      <x:c r="K710" s="19" t="n">
        <x:f>D710-IF(H710=0,1,0)</x:f>
        <x:v>1</x:v>
      </x:c>
      <x:c r="L710" s="19" t="n">
        <x:f>E710-IF(H710=1,1,0)</x:f>
        <x:v>1</x:v>
      </x:c>
      <x:c r="M710" s="19" t="n">
        <x:f>F710-IF(H710=2,1,0)</x:f>
        <x:v>2</x:v>
      </x:c>
      <x:c r="N710" s="19" t="n">
        <x:f>MAX(K710-1,0)+MAX(L710-1,0)+MAX(M710-1,0)</x:f>
        <x:v>1</x:v>
      </x:c>
      <x:c r="O710" s="19" t="n">
        <x:f>IF(AND(SUM(K710:M710)&lt;9,OR(M710=0,N710&lt;6)),1,0)</x:f>
        <x:v>1</x:v>
      </x:c>
      <x:c r="P710" s="19" t="n">
        <x:f>IF(AND(SUM(K710:M710)&lt;9,OR(L710=0,N710&lt;6)),1,0)</x:f>
        <x:v>1</x:v>
      </x:c>
      <x:c r="Q710" s="19" t="n">
        <x:f>IF(AND(SUM(K710:M710)&lt;9,OR(K710=0,N710&lt;6)),1,0)</x:f>
        <x:v>1</x:v>
      </x:c>
      <x:c r="R710" s="22" t="str">
        <x:f>O710&amp;P710&amp;Q710</x:f>
        <x:v>111</x:v>
      </x:c>
      <x:c r="S710" s="19" t="n">
        <x:f>IF(I710=1,IF(J710=0,Q710,IF(J710=1,P710,IF(J710=2,O710,0))),0)</x:f>
        <x:v>1</x:v>
      </x:c>
      <x:c r="T710" s="19" t="n">
        <x:f>K710+IF(AND(S710=1,J710=0),1,0)</x:f>
        <x:v>2</x:v>
      </x:c>
      <x:c r="U710" s="19" t="n">
        <x:f>L710+IF(AND(S710=1,J710=1),1,0)</x:f>
        <x:v>1</x:v>
      </x:c>
      <x:c r="V710" s="19" t="n">
        <x:f>M710+IF(AND(S710=1,J710=2),1,0)</x:f>
        <x:v>2</x:v>
      </x:c>
      <x:c r="W710" s="19" t="n">
        <x:f>SUM(T710:V710)</x:f>
        <x:v>5</x:v>
      </x:c>
      <x:c r="X710" s="19" t="n">
        <x:f>W710-G710</x:f>
        <x:v>0</x:v>
      </x:c>
      <x:c r="Y710" s="19" t="n">
        <x:f>MAX(T710,1)+MAX(U710,1)+MAX(V710,1)</x:f>
        <x:v>5</x:v>
      </x:c>
      <x:c r="Z710" s="21" t="str">
        <x:f>IF(AND(MIN(D710:F710)&gt;=0,MAX(D710:F710)&lt;=7,MAX(D710,1)+MAX(E710,1)+MAX(F710,1)&lt;=9,OR(H710="-",AND(H710=0,D710&gt;0),AND(H710=1,E710&gt;0),AND(H710=2,F710&gt;0)),OR(I710=0,AND(I710=1,OR(J710=0,J710=1,J710=2),R710&lt;&gt;"000")),Y710&lt;=9,MIN(T710:V710)&gt;=0),"合法","输入违约")</x:f>
        <x:v>合法</x:v>
      </x:c>
    </x:row>
    <x:row r="711" ht="23" customHeight="1">
      <x:c r="A711" s="3" t="str">
        <x:v>CT-0704</x:v>
      </x:c>
      <x:c r="B711" s="3" t="str">
        <x:v>ST-044</x:v>
      </x:c>
      <x:c r="C711" s="3" t="str">
        <x:v>R+AR同收同发</x:v>
      </x:c>
      <x:c r="D711" s="25" t="n">
        <x:v>1</x:v>
      </x:c>
      <x:c r="E711" s="25" t="n">
        <x:v>2</x:v>
      </x:c>
      <x:c r="F711" s="25" t="n">
        <x:v>2</x:v>
      </x:c>
      <x:c r="G711" s="19" t="n">
        <x:f>SUM(D711:F711)</x:f>
        <x:v>5</x:v>
      </x:c>
      <x:c r="H711" s="25" t="n">
        <x:v>1</x:v>
      </x:c>
      <x:c r="I711" s="25" t="n">
        <x:v>1</x:v>
      </x:c>
      <x:c r="J711" s="25" t="n">
        <x:v>1</x:v>
      </x:c>
      <x:c r="K711" s="19" t="n">
        <x:f>D711-IF(H711=0,1,0)</x:f>
        <x:v>1</x:v>
      </x:c>
      <x:c r="L711" s="19" t="n">
        <x:f>E711-IF(H711=1,1,0)</x:f>
        <x:v>1</x:v>
      </x:c>
      <x:c r="M711" s="19" t="n">
        <x:f>F711-IF(H711=2,1,0)</x:f>
        <x:v>2</x:v>
      </x:c>
      <x:c r="N711" s="19" t="n">
        <x:f>MAX(K711-1,0)+MAX(L711-1,0)+MAX(M711-1,0)</x:f>
        <x:v>1</x:v>
      </x:c>
      <x:c r="O711" s="19" t="n">
        <x:f>IF(AND(SUM(K711:M711)&lt;9,OR(M711=0,N711&lt;6)),1,0)</x:f>
        <x:v>1</x:v>
      </x:c>
      <x:c r="P711" s="19" t="n">
        <x:f>IF(AND(SUM(K711:M711)&lt;9,OR(L711=0,N711&lt;6)),1,0)</x:f>
        <x:v>1</x:v>
      </x:c>
      <x:c r="Q711" s="19" t="n">
        <x:f>IF(AND(SUM(K711:M711)&lt;9,OR(K711=0,N711&lt;6)),1,0)</x:f>
        <x:v>1</x:v>
      </x:c>
      <x:c r="R711" s="22" t="str">
        <x:f>O711&amp;P711&amp;Q711</x:f>
        <x:v>111</x:v>
      </x:c>
      <x:c r="S711" s="19" t="n">
        <x:f>IF(I711=1,IF(J711=0,Q711,IF(J711=1,P711,IF(J711=2,O711,0))),0)</x:f>
        <x:v>1</x:v>
      </x:c>
      <x:c r="T711" s="19" t="n">
        <x:f>K711+IF(AND(S711=1,J711=0),1,0)</x:f>
        <x:v>1</x:v>
      </x:c>
      <x:c r="U711" s="19" t="n">
        <x:f>L711+IF(AND(S711=1,J711=1),1,0)</x:f>
        <x:v>2</x:v>
      </x:c>
      <x:c r="V711" s="19" t="n">
        <x:f>M711+IF(AND(S711=1,J711=2),1,0)</x:f>
        <x:v>2</x:v>
      </x:c>
      <x:c r="W711" s="19" t="n">
        <x:f>SUM(T711:V711)</x:f>
        <x:v>5</x:v>
      </x:c>
      <x:c r="X711" s="19" t="n">
        <x:f>W711-G711</x:f>
        <x:v>0</x:v>
      </x:c>
      <x:c r="Y711" s="19" t="n">
        <x:f>MAX(T711,1)+MAX(U711,1)+MAX(V711,1)</x:f>
        <x:v>5</x:v>
      </x:c>
      <x:c r="Z711" s="21" t="str">
        <x:f>IF(AND(MIN(D711:F711)&gt;=0,MAX(D711:F711)&lt;=7,MAX(D711,1)+MAX(E711,1)+MAX(F711,1)&lt;=9,OR(H711="-",AND(H711=0,D711&gt;0),AND(H711=1,E711&gt;0),AND(H711=2,F711&gt;0)),OR(I711=0,AND(I711=1,OR(J711=0,J711=1,J711=2),R711&lt;&gt;"000")),Y711&lt;=9,MIN(T711:V711)&gt;=0),"合法","输入违约")</x:f>
        <x:v>合法</x:v>
      </x:c>
    </x:row>
    <x:row r="712" ht="23" customHeight="1">
      <x:c r="A712" s="3" t="str">
        <x:v>CT-0705</x:v>
      </x:c>
      <x:c r="B712" s="3" t="str">
        <x:v>ST-044</x:v>
      </x:c>
      <x:c r="C712" s="3" t="str">
        <x:v>R+AR同收同发</x:v>
      </x:c>
      <x:c r="D712" s="25" t="n">
        <x:v>1</x:v>
      </x:c>
      <x:c r="E712" s="25" t="n">
        <x:v>2</x:v>
      </x:c>
      <x:c r="F712" s="25" t="n">
        <x:v>2</x:v>
      </x:c>
      <x:c r="G712" s="19" t="n">
        <x:f>SUM(D712:F712)</x:f>
        <x:v>5</x:v>
      </x:c>
      <x:c r="H712" s="25" t="n">
        <x:v>1</x:v>
      </x:c>
      <x:c r="I712" s="25" t="n">
        <x:v>1</x:v>
      </x:c>
      <x:c r="J712" s="25" t="n">
        <x:v>2</x:v>
      </x:c>
      <x:c r="K712" s="19" t="n">
        <x:f>D712-IF(H712=0,1,0)</x:f>
        <x:v>1</x:v>
      </x:c>
      <x:c r="L712" s="19" t="n">
        <x:f>E712-IF(H712=1,1,0)</x:f>
        <x:v>1</x:v>
      </x:c>
      <x:c r="M712" s="19" t="n">
        <x:f>F712-IF(H712=2,1,0)</x:f>
        <x:v>2</x:v>
      </x:c>
      <x:c r="N712" s="19" t="n">
        <x:f>MAX(K712-1,0)+MAX(L712-1,0)+MAX(M712-1,0)</x:f>
        <x:v>1</x:v>
      </x:c>
      <x:c r="O712" s="19" t="n">
        <x:f>IF(AND(SUM(K712:M712)&lt;9,OR(M712=0,N712&lt;6)),1,0)</x:f>
        <x:v>1</x:v>
      </x:c>
      <x:c r="P712" s="19" t="n">
        <x:f>IF(AND(SUM(K712:M712)&lt;9,OR(L712=0,N712&lt;6)),1,0)</x:f>
        <x:v>1</x:v>
      </x:c>
      <x:c r="Q712" s="19" t="n">
        <x:f>IF(AND(SUM(K712:M712)&lt;9,OR(K712=0,N712&lt;6)),1,0)</x:f>
        <x:v>1</x:v>
      </x:c>
      <x:c r="R712" s="22" t="str">
        <x:f>O712&amp;P712&amp;Q712</x:f>
        <x:v>111</x:v>
      </x:c>
      <x:c r="S712" s="19" t="n">
        <x:f>IF(I712=1,IF(J712=0,Q712,IF(J712=1,P712,IF(J712=2,O712,0))),0)</x:f>
        <x:v>1</x:v>
      </x:c>
      <x:c r="T712" s="19" t="n">
        <x:f>K712+IF(AND(S712=1,J712=0),1,0)</x:f>
        <x:v>1</x:v>
      </x:c>
      <x:c r="U712" s="19" t="n">
        <x:f>L712+IF(AND(S712=1,J712=1),1,0)</x:f>
        <x:v>1</x:v>
      </x:c>
      <x:c r="V712" s="19" t="n">
        <x:f>M712+IF(AND(S712=1,J712=2),1,0)</x:f>
        <x:v>3</x:v>
      </x:c>
      <x:c r="W712" s="19" t="n">
        <x:f>SUM(T712:V712)</x:f>
        <x:v>5</x:v>
      </x:c>
      <x:c r="X712" s="19" t="n">
        <x:f>W712-G712</x:f>
        <x:v>0</x:v>
      </x:c>
      <x:c r="Y712" s="19" t="n">
        <x:f>MAX(T712,1)+MAX(U712,1)+MAX(V712,1)</x:f>
        <x:v>5</x:v>
      </x:c>
      <x:c r="Z712" s="21" t="str">
        <x:f>IF(AND(MIN(D712:F712)&gt;=0,MAX(D712:F712)&lt;=7,MAX(D712,1)+MAX(E712,1)+MAX(F712,1)&lt;=9,OR(H712="-",AND(H712=0,D712&gt;0),AND(H712=1,E712&gt;0),AND(H712=2,F712&gt;0)),OR(I712=0,AND(I712=1,OR(J712=0,J712=1,J712=2),R712&lt;&gt;"000")),Y712&lt;=9,MIN(T712:V712)&gt;=0),"合法","输入违约")</x:f>
        <x:v>合法</x:v>
      </x:c>
    </x:row>
    <x:row r="713" ht="23" customHeight="1">
      <x:c r="A713" s="3" t="str">
        <x:v>CT-0706</x:v>
      </x:c>
      <x:c r="B713" s="3" t="str">
        <x:v>ST-044</x:v>
      </x:c>
      <x:c r="C713" s="3" t="str">
        <x:v>仅R回收</x:v>
      </x:c>
      <x:c r="D713" s="25" t="n">
        <x:v>1</x:v>
      </x:c>
      <x:c r="E713" s="25" t="n">
        <x:v>2</x:v>
      </x:c>
      <x:c r="F713" s="25" t="n">
        <x:v>2</x:v>
      </x:c>
      <x:c r="G713" s="19" t="n">
        <x:f>SUM(D713:F713)</x:f>
        <x:v>5</x:v>
      </x:c>
      <x:c r="H713" s="25" t="n">
        <x:v>2</x:v>
      </x:c>
      <x:c r="I713" s="25" t="n">
        <x:v>0</x:v>
      </x:c>
      <x:c r="J713" s="25" t="str">
        <x:v>-</x:v>
      </x:c>
      <x:c r="K713" s="19" t="n">
        <x:f>D713-IF(H713=0,1,0)</x:f>
        <x:v>1</x:v>
      </x:c>
      <x:c r="L713" s="19" t="n">
        <x:f>E713-IF(H713=1,1,0)</x:f>
        <x:v>2</x:v>
      </x:c>
      <x:c r="M713" s="19" t="n">
        <x:f>F713-IF(H713=2,1,0)</x:f>
        <x:v>1</x:v>
      </x:c>
      <x:c r="N713" s="19" t="n">
        <x:f>MAX(K713-1,0)+MAX(L713-1,0)+MAX(M713-1,0)</x:f>
        <x:v>1</x:v>
      </x:c>
      <x:c r="O713" s="19" t="n">
        <x:f>IF(AND(SUM(K713:M713)&lt;9,OR(M713=0,N713&lt;6)),1,0)</x:f>
        <x:v>1</x:v>
      </x:c>
      <x:c r="P713" s="19" t="n">
        <x:f>IF(AND(SUM(K713:M713)&lt;9,OR(L713=0,N713&lt;6)),1,0)</x:f>
        <x:v>1</x:v>
      </x:c>
      <x:c r="Q713" s="19" t="n">
        <x:f>IF(AND(SUM(K713:M713)&lt;9,OR(K713=0,N713&lt;6)),1,0)</x:f>
        <x:v>1</x:v>
      </x:c>
      <x:c r="R713" s="22" t="str">
        <x:f>O713&amp;P713&amp;Q713</x:f>
        <x:v>111</x:v>
      </x:c>
      <x:c r="S713" s="19" t="n">
        <x:f>IF(I713=1,IF(J713=0,Q713,IF(J713=1,P713,IF(J713=2,O713,0))),0)</x:f>
        <x:v>0</x:v>
      </x:c>
      <x:c r="T713" s="19" t="n">
        <x:f>K713+IF(AND(S713=1,J713=0),1,0)</x:f>
        <x:v>1</x:v>
      </x:c>
      <x:c r="U713" s="19" t="n">
        <x:f>L713+IF(AND(S713=1,J713=1),1,0)</x:f>
        <x:v>2</x:v>
      </x:c>
      <x:c r="V713" s="19" t="n">
        <x:f>M713+IF(AND(S713=1,J713=2),1,0)</x:f>
        <x:v>1</x:v>
      </x:c>
      <x:c r="W713" s="19" t="n">
        <x:f>SUM(T713:V713)</x:f>
        <x:v>4</x:v>
      </x:c>
      <x:c r="X713" s="19" t="n">
        <x:f>W713-G713</x:f>
        <x:v>-1</x:v>
      </x:c>
      <x:c r="Y713" s="19" t="n">
        <x:f>MAX(T713,1)+MAX(U713,1)+MAX(V713,1)</x:f>
        <x:v>4</x:v>
      </x:c>
      <x:c r="Z713" s="21" t="str">
        <x:f>IF(AND(MIN(D713:F713)&gt;=0,MAX(D713:F713)&lt;=7,MAX(D713,1)+MAX(E713,1)+MAX(F713,1)&lt;=9,OR(H713="-",AND(H713=0,D713&gt;0),AND(H713=1,E713&gt;0),AND(H713=2,F713&gt;0)),OR(I713=0,AND(I713=1,OR(J713=0,J713=1,J713=2),R713&lt;&gt;"000")),Y713&lt;=9,MIN(T713:V713)&gt;=0),"合法","输入违约")</x:f>
        <x:v>合法</x:v>
      </x:c>
    </x:row>
    <x:row r="714" ht="23" customHeight="1">
      <x:c r="A714" s="3" t="str">
        <x:v>CT-0707</x:v>
      </x:c>
      <x:c r="B714" s="3" t="str">
        <x:v>ST-044</x:v>
      </x:c>
      <x:c r="C714" s="3" t="str">
        <x:v>R+AR同收同发</x:v>
      </x:c>
      <x:c r="D714" s="25" t="n">
        <x:v>1</x:v>
      </x:c>
      <x:c r="E714" s="25" t="n">
        <x:v>2</x:v>
      </x:c>
      <x:c r="F714" s="25" t="n">
        <x:v>2</x:v>
      </x:c>
      <x:c r="G714" s="19" t="n">
        <x:f>SUM(D714:F714)</x:f>
        <x:v>5</x:v>
      </x:c>
      <x:c r="H714" s="25" t="n">
        <x:v>2</x:v>
      </x:c>
      <x:c r="I714" s="25" t="n">
        <x:v>1</x:v>
      </x:c>
      <x:c r="J714" s="25" t="n">
        <x:v>0</x:v>
      </x:c>
      <x:c r="K714" s="19" t="n">
        <x:f>D714-IF(H714=0,1,0)</x:f>
        <x:v>1</x:v>
      </x:c>
      <x:c r="L714" s="19" t="n">
        <x:f>E714-IF(H714=1,1,0)</x:f>
        <x:v>2</x:v>
      </x:c>
      <x:c r="M714" s="19" t="n">
        <x:f>F714-IF(H714=2,1,0)</x:f>
        <x:v>1</x:v>
      </x:c>
      <x:c r="N714" s="19" t="n">
        <x:f>MAX(K714-1,0)+MAX(L714-1,0)+MAX(M714-1,0)</x:f>
        <x:v>1</x:v>
      </x:c>
      <x:c r="O714" s="19" t="n">
        <x:f>IF(AND(SUM(K714:M714)&lt;9,OR(M714=0,N714&lt;6)),1,0)</x:f>
        <x:v>1</x:v>
      </x:c>
      <x:c r="P714" s="19" t="n">
        <x:f>IF(AND(SUM(K714:M714)&lt;9,OR(L714=0,N714&lt;6)),1,0)</x:f>
        <x:v>1</x:v>
      </x:c>
      <x:c r="Q714" s="19" t="n">
        <x:f>IF(AND(SUM(K714:M714)&lt;9,OR(K714=0,N714&lt;6)),1,0)</x:f>
        <x:v>1</x:v>
      </x:c>
      <x:c r="R714" s="22" t="str">
        <x:f>O714&amp;P714&amp;Q714</x:f>
        <x:v>111</x:v>
      </x:c>
      <x:c r="S714" s="19" t="n">
        <x:f>IF(I714=1,IF(J714=0,Q714,IF(J714=1,P714,IF(J714=2,O714,0))),0)</x:f>
        <x:v>1</x:v>
      </x:c>
      <x:c r="T714" s="19" t="n">
        <x:f>K714+IF(AND(S714=1,J714=0),1,0)</x:f>
        <x:v>2</x:v>
      </x:c>
      <x:c r="U714" s="19" t="n">
        <x:f>L714+IF(AND(S714=1,J714=1),1,0)</x:f>
        <x:v>2</x:v>
      </x:c>
      <x:c r="V714" s="19" t="n">
        <x:f>M714+IF(AND(S714=1,J714=2),1,0)</x:f>
        <x:v>1</x:v>
      </x:c>
      <x:c r="W714" s="19" t="n">
        <x:f>SUM(T714:V714)</x:f>
        <x:v>5</x:v>
      </x:c>
      <x:c r="X714" s="19" t="n">
        <x:f>W714-G714</x:f>
        <x:v>0</x:v>
      </x:c>
      <x:c r="Y714" s="19" t="n">
        <x:f>MAX(T714,1)+MAX(U714,1)+MAX(V714,1)</x:f>
        <x:v>5</x:v>
      </x:c>
      <x:c r="Z714" s="21" t="str">
        <x:f>IF(AND(MIN(D714:F714)&gt;=0,MAX(D714:F714)&lt;=7,MAX(D714,1)+MAX(E714,1)+MAX(F714,1)&lt;=9,OR(H714="-",AND(H714=0,D714&gt;0),AND(H714=1,E714&gt;0),AND(H714=2,F714&gt;0)),OR(I714=0,AND(I714=1,OR(J714=0,J714=1,J714=2),R714&lt;&gt;"000")),Y714&lt;=9,MIN(T714:V714)&gt;=0),"合法","输入违约")</x:f>
        <x:v>合法</x:v>
      </x:c>
    </x:row>
    <x:row r="715" ht="23" customHeight="1">
      <x:c r="A715" s="3" t="str">
        <x:v>CT-0708</x:v>
      </x:c>
      <x:c r="B715" s="3" t="str">
        <x:v>ST-044</x:v>
      </x:c>
      <x:c r="C715" s="3" t="str">
        <x:v>R+AR同收同发</x:v>
      </x:c>
      <x:c r="D715" s="25" t="n">
        <x:v>1</x:v>
      </x:c>
      <x:c r="E715" s="25" t="n">
        <x:v>2</x:v>
      </x:c>
      <x:c r="F715" s="25" t="n">
        <x:v>2</x:v>
      </x:c>
      <x:c r="G715" s="19" t="n">
        <x:f>SUM(D715:F715)</x:f>
        <x:v>5</x:v>
      </x:c>
      <x:c r="H715" s="25" t="n">
        <x:v>2</x:v>
      </x:c>
      <x:c r="I715" s="25" t="n">
        <x:v>1</x:v>
      </x:c>
      <x:c r="J715" s="25" t="n">
        <x:v>1</x:v>
      </x:c>
      <x:c r="K715" s="19" t="n">
        <x:f>D715-IF(H715=0,1,0)</x:f>
        <x:v>1</x:v>
      </x:c>
      <x:c r="L715" s="19" t="n">
        <x:f>E715-IF(H715=1,1,0)</x:f>
        <x:v>2</x:v>
      </x:c>
      <x:c r="M715" s="19" t="n">
        <x:f>F715-IF(H715=2,1,0)</x:f>
        <x:v>1</x:v>
      </x:c>
      <x:c r="N715" s="19" t="n">
        <x:f>MAX(K715-1,0)+MAX(L715-1,0)+MAX(M715-1,0)</x:f>
        <x:v>1</x:v>
      </x:c>
      <x:c r="O715" s="19" t="n">
        <x:f>IF(AND(SUM(K715:M715)&lt;9,OR(M715=0,N715&lt;6)),1,0)</x:f>
        <x:v>1</x:v>
      </x:c>
      <x:c r="P715" s="19" t="n">
        <x:f>IF(AND(SUM(K715:M715)&lt;9,OR(L715=0,N715&lt;6)),1,0)</x:f>
        <x:v>1</x:v>
      </x:c>
      <x:c r="Q715" s="19" t="n">
        <x:f>IF(AND(SUM(K715:M715)&lt;9,OR(K715=0,N715&lt;6)),1,0)</x:f>
        <x:v>1</x:v>
      </x:c>
      <x:c r="R715" s="22" t="str">
        <x:f>O715&amp;P715&amp;Q715</x:f>
        <x:v>111</x:v>
      </x:c>
      <x:c r="S715" s="19" t="n">
        <x:f>IF(I715=1,IF(J715=0,Q715,IF(J715=1,P715,IF(J715=2,O715,0))),0)</x:f>
        <x:v>1</x:v>
      </x:c>
      <x:c r="T715" s="19" t="n">
        <x:f>K715+IF(AND(S715=1,J715=0),1,0)</x:f>
        <x:v>1</x:v>
      </x:c>
      <x:c r="U715" s="19" t="n">
        <x:f>L715+IF(AND(S715=1,J715=1),1,0)</x:f>
        <x:v>3</x:v>
      </x:c>
      <x:c r="V715" s="19" t="n">
        <x:f>M715+IF(AND(S715=1,J715=2),1,0)</x:f>
        <x:v>1</x:v>
      </x:c>
      <x:c r="W715" s="19" t="n">
        <x:f>SUM(T715:V715)</x:f>
        <x:v>5</x:v>
      </x:c>
      <x:c r="X715" s="19" t="n">
        <x:f>W715-G715</x:f>
        <x:v>0</x:v>
      </x:c>
      <x:c r="Y715" s="19" t="n">
        <x:f>MAX(T715,1)+MAX(U715,1)+MAX(V715,1)</x:f>
        <x:v>5</x:v>
      </x:c>
      <x:c r="Z715" s="21" t="str">
        <x:f>IF(AND(MIN(D715:F715)&gt;=0,MAX(D715:F715)&lt;=7,MAX(D715,1)+MAX(E715,1)+MAX(F715,1)&lt;=9,OR(H715="-",AND(H715=0,D715&gt;0),AND(H715=1,E715&gt;0),AND(H715=2,F715&gt;0)),OR(I715=0,AND(I715=1,OR(J715=0,J715=1,J715=2),R715&lt;&gt;"000")),Y715&lt;=9,MIN(T715:V715)&gt;=0),"合法","输入违约")</x:f>
        <x:v>合法</x:v>
      </x:c>
    </x:row>
    <x:row r="716" ht="23" customHeight="1">
      <x:c r="A716" s="3" t="str">
        <x:v>CT-0709</x:v>
      </x:c>
      <x:c r="B716" s="3" t="str">
        <x:v>ST-044</x:v>
      </x:c>
      <x:c r="C716" s="3" t="str">
        <x:v>R+AR同收同发</x:v>
      </x:c>
      <x:c r="D716" s="25" t="n">
        <x:v>1</x:v>
      </x:c>
      <x:c r="E716" s="25" t="n">
        <x:v>2</x:v>
      </x:c>
      <x:c r="F716" s="25" t="n">
        <x:v>2</x:v>
      </x:c>
      <x:c r="G716" s="19" t="n">
        <x:f>SUM(D716:F716)</x:f>
        <x:v>5</x:v>
      </x:c>
      <x:c r="H716" s="25" t="n">
        <x:v>2</x:v>
      </x:c>
      <x:c r="I716" s="25" t="n">
        <x:v>1</x:v>
      </x:c>
      <x:c r="J716" s="25" t="n">
        <x:v>2</x:v>
      </x:c>
      <x:c r="K716" s="19" t="n">
        <x:f>D716-IF(H716=0,1,0)</x:f>
        <x:v>1</x:v>
      </x:c>
      <x:c r="L716" s="19" t="n">
        <x:f>E716-IF(H716=1,1,0)</x:f>
        <x:v>2</x:v>
      </x:c>
      <x:c r="M716" s="19" t="n">
        <x:f>F716-IF(H716=2,1,0)</x:f>
        <x:v>1</x:v>
      </x:c>
      <x:c r="N716" s="19" t="n">
        <x:f>MAX(K716-1,0)+MAX(L716-1,0)+MAX(M716-1,0)</x:f>
        <x:v>1</x:v>
      </x:c>
      <x:c r="O716" s="19" t="n">
        <x:f>IF(AND(SUM(K716:M716)&lt;9,OR(M716=0,N716&lt;6)),1,0)</x:f>
        <x:v>1</x:v>
      </x:c>
      <x:c r="P716" s="19" t="n">
        <x:f>IF(AND(SUM(K716:M716)&lt;9,OR(L716=0,N716&lt;6)),1,0)</x:f>
        <x:v>1</x:v>
      </x:c>
      <x:c r="Q716" s="19" t="n">
        <x:f>IF(AND(SUM(K716:M716)&lt;9,OR(K716=0,N716&lt;6)),1,0)</x:f>
        <x:v>1</x:v>
      </x:c>
      <x:c r="R716" s="22" t="str">
        <x:f>O716&amp;P716&amp;Q716</x:f>
        <x:v>111</x:v>
      </x:c>
      <x:c r="S716" s="19" t="n">
        <x:f>IF(I716=1,IF(J716=0,Q716,IF(J716=1,P716,IF(J716=2,O716,0))),0)</x:f>
        <x:v>1</x:v>
      </x:c>
      <x:c r="T716" s="19" t="n">
        <x:f>K716+IF(AND(S716=1,J716=0),1,0)</x:f>
        <x:v>1</x:v>
      </x:c>
      <x:c r="U716" s="19" t="n">
        <x:f>L716+IF(AND(S716=1,J716=1),1,0)</x:f>
        <x:v>2</x:v>
      </x:c>
      <x:c r="V716" s="19" t="n">
        <x:f>M716+IF(AND(S716=1,J716=2),1,0)</x:f>
        <x:v>2</x:v>
      </x:c>
      <x:c r="W716" s="19" t="n">
        <x:f>SUM(T716:V716)</x:f>
        <x:v>5</x:v>
      </x:c>
      <x:c r="X716" s="19" t="n">
        <x:f>W716-G716</x:f>
        <x:v>0</x:v>
      </x:c>
      <x:c r="Y716" s="19" t="n">
        <x:f>MAX(T716,1)+MAX(U716,1)+MAX(V716,1)</x:f>
        <x:v>5</x:v>
      </x:c>
      <x:c r="Z716" s="21" t="str">
        <x:f>IF(AND(MIN(D716:F716)&gt;=0,MAX(D716:F716)&lt;=7,MAX(D716,1)+MAX(E716,1)+MAX(F716,1)&lt;=9,OR(H716="-",AND(H716=0,D716&gt;0),AND(H716=1,E716&gt;0),AND(H716=2,F716&gt;0)),OR(I716=0,AND(I716=1,OR(J716=0,J716=1,J716=2),R716&lt;&gt;"000")),Y716&lt;=9,MIN(T716:V716)&gt;=0),"合法","输入违约")</x:f>
        <x:v>合法</x:v>
      </x:c>
    </x:row>
    <x:row r="717" ht="23" customHeight="1">
      <x:c r="A717" s="3" t="str">
        <x:v>CT-0710</x:v>
      </x:c>
      <x:c r="B717" s="3" t="str">
        <x:v>ST-066</x:v>
      </x:c>
      <x:c r="C717" s="3" t="str">
        <x:v>无AR/R</x:v>
      </x:c>
      <x:c r="D717" s="25" t="n">
        <x:v>1</x:v>
      </x:c>
      <x:c r="E717" s="25" t="n">
        <x:v>2</x:v>
      </x:c>
      <x:c r="F717" s="25" t="n">
        <x:v>3</x:v>
      </x:c>
      <x:c r="G717" s="19" t="n">
        <x:f>SUM(D717:F717)</x:f>
        <x:v>6</x:v>
      </x:c>
      <x:c r="H717" s="25" t="str">
        <x:v>-</x:v>
      </x:c>
      <x:c r="I717" s="25" t="n">
        <x:v>0</x:v>
      </x:c>
      <x:c r="J717" s="25" t="str">
        <x:v>-</x:v>
      </x:c>
      <x:c r="K717" s="19" t="n">
        <x:f>D717-IF(H717=0,1,0)</x:f>
        <x:v>1</x:v>
      </x:c>
      <x:c r="L717" s="19" t="n">
        <x:f>E717-IF(H717=1,1,0)</x:f>
        <x:v>2</x:v>
      </x:c>
      <x:c r="M717" s="19" t="n">
        <x:f>F717-IF(H717=2,1,0)</x:f>
        <x:v>3</x:v>
      </x:c>
      <x:c r="N717" s="19" t="n">
        <x:f>MAX(K717-1,0)+MAX(L717-1,0)+MAX(M717-1,0)</x:f>
        <x:v>3</x:v>
      </x:c>
      <x:c r="O717" s="19" t="n">
        <x:f>IF(AND(SUM(K717:M717)&lt;9,OR(M717=0,N717&lt;6)),1,0)</x:f>
        <x:v>1</x:v>
      </x:c>
      <x:c r="P717" s="19" t="n">
        <x:f>IF(AND(SUM(K717:M717)&lt;9,OR(L717=0,N717&lt;6)),1,0)</x:f>
        <x:v>1</x:v>
      </x:c>
      <x:c r="Q717" s="19" t="n">
        <x:f>IF(AND(SUM(K717:M717)&lt;9,OR(K717=0,N717&lt;6)),1,0)</x:f>
        <x:v>1</x:v>
      </x:c>
      <x:c r="R717" s="22" t="str">
        <x:f>O717&amp;P717&amp;Q717</x:f>
        <x:v>111</x:v>
      </x:c>
      <x:c r="S717" s="19" t="n">
        <x:f>IF(I717=1,IF(J717=0,Q717,IF(J717=1,P717,IF(J717=2,O717,0))),0)</x:f>
        <x:v>0</x:v>
      </x:c>
      <x:c r="T717" s="19" t="n">
        <x:f>K717+IF(AND(S717=1,J717=0),1,0)</x:f>
        <x:v>1</x:v>
      </x:c>
      <x:c r="U717" s="19" t="n">
        <x:f>L717+IF(AND(S717=1,J717=1),1,0)</x:f>
        <x:v>2</x:v>
      </x:c>
      <x:c r="V717" s="19" t="n">
        <x:f>M717+IF(AND(S717=1,J717=2),1,0)</x:f>
        <x:v>3</x:v>
      </x:c>
      <x:c r="W717" s="19" t="n">
        <x:f>SUM(T717:V717)</x:f>
        <x:v>6</x:v>
      </x:c>
      <x:c r="X717" s="19" t="n">
        <x:f>W717-G717</x:f>
        <x:v>0</x:v>
      </x:c>
      <x:c r="Y717" s="19" t="n">
        <x:f>MAX(T717,1)+MAX(U717,1)+MAX(V717,1)</x:f>
        <x:v>6</x:v>
      </x:c>
      <x:c r="Z717" s="21" t="str">
        <x:f>IF(AND(MIN(D717:F717)&gt;=0,MAX(D717:F717)&lt;=7,MAX(D717,1)+MAX(E717,1)+MAX(F717,1)&lt;=9,OR(H717="-",AND(H717=0,D717&gt;0),AND(H717=1,E717&gt;0),AND(H717=2,F717&gt;0)),OR(I717=0,AND(I717=1,OR(J717=0,J717=1,J717=2),R717&lt;&gt;"000")),Y717&lt;=9,MIN(T717:V717)&gt;=0),"合法","输入违约")</x:f>
        <x:v>合法</x:v>
      </x:c>
    </x:row>
    <x:row r="718" ht="23" customHeight="1">
      <x:c r="A718" s="3" t="str">
        <x:v>CT-0711</x:v>
      </x:c>
      <x:c r="B718" s="3" t="str">
        <x:v>ST-066</x:v>
      </x:c>
      <x:c r="C718" s="3" t="str">
        <x:v>仅AR接收</x:v>
      </x:c>
      <x:c r="D718" s="25" t="n">
        <x:v>1</x:v>
      </x:c>
      <x:c r="E718" s="25" t="n">
        <x:v>2</x:v>
      </x:c>
      <x:c r="F718" s="25" t="n">
        <x:v>3</x:v>
      </x:c>
      <x:c r="G718" s="19" t="n">
        <x:f>SUM(D718:F718)</x:f>
        <x:v>6</x:v>
      </x:c>
      <x:c r="H718" s="25" t="str">
        <x:v>-</x:v>
      </x:c>
      <x:c r="I718" s="25" t="n">
        <x:v>1</x:v>
      </x:c>
      <x:c r="J718" s="25" t="n">
        <x:v>0</x:v>
      </x:c>
      <x:c r="K718" s="19" t="n">
        <x:f>D718-IF(H718=0,1,0)</x:f>
        <x:v>1</x:v>
      </x:c>
      <x:c r="L718" s="19" t="n">
        <x:f>E718-IF(H718=1,1,0)</x:f>
        <x:v>2</x:v>
      </x:c>
      <x:c r="M718" s="19" t="n">
        <x:f>F718-IF(H718=2,1,0)</x:f>
        <x:v>3</x:v>
      </x:c>
      <x:c r="N718" s="19" t="n">
        <x:f>MAX(K718-1,0)+MAX(L718-1,0)+MAX(M718-1,0)</x:f>
        <x:v>3</x:v>
      </x:c>
      <x:c r="O718" s="19" t="n">
        <x:f>IF(AND(SUM(K718:M718)&lt;9,OR(M718=0,N718&lt;6)),1,0)</x:f>
        <x:v>1</x:v>
      </x:c>
      <x:c r="P718" s="19" t="n">
        <x:f>IF(AND(SUM(K718:M718)&lt;9,OR(L718=0,N718&lt;6)),1,0)</x:f>
        <x:v>1</x:v>
      </x:c>
      <x:c r="Q718" s="19" t="n">
        <x:f>IF(AND(SUM(K718:M718)&lt;9,OR(K718=0,N718&lt;6)),1,0)</x:f>
        <x:v>1</x:v>
      </x:c>
      <x:c r="R718" s="22" t="str">
        <x:f>O718&amp;P718&amp;Q718</x:f>
        <x:v>111</x:v>
      </x:c>
      <x:c r="S718" s="19" t="n">
        <x:f>IF(I718=1,IF(J718=0,Q718,IF(J718=1,P718,IF(J718=2,O718,0))),0)</x:f>
        <x:v>1</x:v>
      </x:c>
      <x:c r="T718" s="19" t="n">
        <x:f>K718+IF(AND(S718=1,J718=0),1,0)</x:f>
        <x:v>2</x:v>
      </x:c>
      <x:c r="U718" s="19" t="n">
        <x:f>L718+IF(AND(S718=1,J718=1),1,0)</x:f>
        <x:v>2</x:v>
      </x:c>
      <x:c r="V718" s="19" t="n">
        <x:f>M718+IF(AND(S718=1,J718=2),1,0)</x:f>
        <x:v>3</x:v>
      </x:c>
      <x:c r="W718" s="19" t="n">
        <x:f>SUM(T718:V718)</x:f>
        <x:v>7</x:v>
      </x:c>
      <x:c r="X718" s="19" t="n">
        <x:f>W718-G718</x:f>
        <x:v>1</x:v>
      </x:c>
      <x:c r="Y718" s="19" t="n">
        <x:f>MAX(T718,1)+MAX(U718,1)+MAX(V718,1)</x:f>
        <x:v>7</x:v>
      </x:c>
      <x:c r="Z718" s="21" t="str">
        <x:f>IF(AND(MIN(D718:F718)&gt;=0,MAX(D718:F718)&lt;=7,MAX(D718,1)+MAX(E718,1)+MAX(F718,1)&lt;=9,OR(H718="-",AND(H718=0,D718&gt;0),AND(H718=1,E718&gt;0),AND(H718=2,F718&gt;0)),OR(I718=0,AND(I718=1,OR(J718=0,J718=1,J718=2),R718&lt;&gt;"000")),Y718&lt;=9,MIN(T718:V718)&gt;=0),"合法","输入违约")</x:f>
        <x:v>合法</x:v>
      </x:c>
    </x:row>
    <x:row r="719" ht="23" customHeight="1">
      <x:c r="A719" s="3" t="str">
        <x:v>CT-0712</x:v>
      </x:c>
      <x:c r="B719" s="3" t="str">
        <x:v>ST-066</x:v>
      </x:c>
      <x:c r="C719" s="3" t="str">
        <x:v>仅AR接收</x:v>
      </x:c>
      <x:c r="D719" s="25" t="n">
        <x:v>1</x:v>
      </x:c>
      <x:c r="E719" s="25" t="n">
        <x:v>2</x:v>
      </x:c>
      <x:c r="F719" s="25" t="n">
        <x:v>3</x:v>
      </x:c>
      <x:c r="G719" s="19" t="n">
        <x:f>SUM(D719:F719)</x:f>
        <x:v>6</x:v>
      </x:c>
      <x:c r="H719" s="25" t="str">
        <x:v>-</x:v>
      </x:c>
      <x:c r="I719" s="25" t="n">
        <x:v>1</x:v>
      </x:c>
      <x:c r="J719" s="25" t="n">
        <x:v>1</x:v>
      </x:c>
      <x:c r="K719" s="19" t="n">
        <x:f>D719-IF(H719=0,1,0)</x:f>
        <x:v>1</x:v>
      </x:c>
      <x:c r="L719" s="19" t="n">
        <x:f>E719-IF(H719=1,1,0)</x:f>
        <x:v>2</x:v>
      </x:c>
      <x:c r="M719" s="19" t="n">
        <x:f>F719-IF(H719=2,1,0)</x:f>
        <x:v>3</x:v>
      </x:c>
      <x:c r="N719" s="19" t="n">
        <x:f>MAX(K719-1,0)+MAX(L719-1,0)+MAX(M719-1,0)</x:f>
        <x:v>3</x:v>
      </x:c>
      <x:c r="O719" s="19" t="n">
        <x:f>IF(AND(SUM(K719:M719)&lt;9,OR(M719=0,N719&lt;6)),1,0)</x:f>
        <x:v>1</x:v>
      </x:c>
      <x:c r="P719" s="19" t="n">
        <x:f>IF(AND(SUM(K719:M719)&lt;9,OR(L719=0,N719&lt;6)),1,0)</x:f>
        <x:v>1</x:v>
      </x:c>
      <x:c r="Q719" s="19" t="n">
        <x:f>IF(AND(SUM(K719:M719)&lt;9,OR(K719=0,N719&lt;6)),1,0)</x:f>
        <x:v>1</x:v>
      </x:c>
      <x:c r="R719" s="22" t="str">
        <x:f>O719&amp;P719&amp;Q719</x:f>
        <x:v>111</x:v>
      </x:c>
      <x:c r="S719" s="19" t="n">
        <x:f>IF(I719=1,IF(J719=0,Q719,IF(J719=1,P719,IF(J719=2,O719,0))),0)</x:f>
        <x:v>1</x:v>
      </x:c>
      <x:c r="T719" s="19" t="n">
        <x:f>K719+IF(AND(S719=1,J719=0),1,0)</x:f>
        <x:v>1</x:v>
      </x:c>
      <x:c r="U719" s="19" t="n">
        <x:f>L719+IF(AND(S719=1,J719=1),1,0)</x:f>
        <x:v>3</x:v>
      </x:c>
      <x:c r="V719" s="19" t="n">
        <x:f>M719+IF(AND(S719=1,J719=2),1,0)</x:f>
        <x:v>3</x:v>
      </x:c>
      <x:c r="W719" s="19" t="n">
        <x:f>SUM(T719:V719)</x:f>
        <x:v>7</x:v>
      </x:c>
      <x:c r="X719" s="19" t="n">
        <x:f>W719-G719</x:f>
        <x:v>1</x:v>
      </x:c>
      <x:c r="Y719" s="19" t="n">
        <x:f>MAX(T719,1)+MAX(U719,1)+MAX(V719,1)</x:f>
        <x:v>7</x:v>
      </x:c>
      <x:c r="Z719" s="21" t="str">
        <x:f>IF(AND(MIN(D719:F719)&gt;=0,MAX(D719:F719)&lt;=7,MAX(D719,1)+MAX(E719,1)+MAX(F719,1)&lt;=9,OR(H719="-",AND(H719=0,D719&gt;0),AND(H719=1,E719&gt;0),AND(H719=2,F719&gt;0)),OR(I719=0,AND(I719=1,OR(J719=0,J719=1,J719=2),R719&lt;&gt;"000")),Y719&lt;=9,MIN(T719:V719)&gt;=0),"合法","输入违约")</x:f>
        <x:v>合法</x:v>
      </x:c>
    </x:row>
    <x:row r="720" ht="23" customHeight="1">
      <x:c r="A720" s="3" t="str">
        <x:v>CT-0713</x:v>
      </x:c>
      <x:c r="B720" s="3" t="str">
        <x:v>ST-066</x:v>
      </x:c>
      <x:c r="C720" s="3" t="str">
        <x:v>仅AR接收</x:v>
      </x:c>
      <x:c r="D720" s="25" t="n">
        <x:v>1</x:v>
      </x:c>
      <x:c r="E720" s="25" t="n">
        <x:v>2</x:v>
      </x:c>
      <x:c r="F720" s="25" t="n">
        <x:v>3</x:v>
      </x:c>
      <x:c r="G720" s="19" t="n">
        <x:f>SUM(D720:F720)</x:f>
        <x:v>6</x:v>
      </x:c>
      <x:c r="H720" s="25" t="str">
        <x:v>-</x:v>
      </x:c>
      <x:c r="I720" s="25" t="n">
        <x:v>1</x:v>
      </x:c>
      <x:c r="J720" s="25" t="n">
        <x:v>2</x:v>
      </x:c>
      <x:c r="K720" s="19" t="n">
        <x:f>D720-IF(H720=0,1,0)</x:f>
        <x:v>1</x:v>
      </x:c>
      <x:c r="L720" s="19" t="n">
        <x:f>E720-IF(H720=1,1,0)</x:f>
        <x:v>2</x:v>
      </x:c>
      <x:c r="M720" s="19" t="n">
        <x:f>F720-IF(H720=2,1,0)</x:f>
        <x:v>3</x:v>
      </x:c>
      <x:c r="N720" s="19" t="n">
        <x:f>MAX(K720-1,0)+MAX(L720-1,0)+MAX(M720-1,0)</x:f>
        <x:v>3</x:v>
      </x:c>
      <x:c r="O720" s="19" t="n">
        <x:f>IF(AND(SUM(K720:M720)&lt;9,OR(M720=0,N720&lt;6)),1,0)</x:f>
        <x:v>1</x:v>
      </x:c>
      <x:c r="P720" s="19" t="n">
        <x:f>IF(AND(SUM(K720:M720)&lt;9,OR(L720=0,N720&lt;6)),1,0)</x:f>
        <x:v>1</x:v>
      </x:c>
      <x:c r="Q720" s="19" t="n">
        <x:f>IF(AND(SUM(K720:M720)&lt;9,OR(K720=0,N720&lt;6)),1,0)</x:f>
        <x:v>1</x:v>
      </x:c>
      <x:c r="R720" s="22" t="str">
        <x:f>O720&amp;P720&amp;Q720</x:f>
        <x:v>111</x:v>
      </x:c>
      <x:c r="S720" s="19" t="n">
        <x:f>IF(I720=1,IF(J720=0,Q720,IF(J720=1,P720,IF(J720=2,O720,0))),0)</x:f>
        <x:v>1</x:v>
      </x:c>
      <x:c r="T720" s="19" t="n">
        <x:f>K720+IF(AND(S720=1,J720=0),1,0)</x:f>
        <x:v>1</x:v>
      </x:c>
      <x:c r="U720" s="19" t="n">
        <x:f>L720+IF(AND(S720=1,J720=1),1,0)</x:f>
        <x:v>2</x:v>
      </x:c>
      <x:c r="V720" s="19" t="n">
        <x:f>M720+IF(AND(S720=1,J720=2),1,0)</x:f>
        <x:v>4</x:v>
      </x:c>
      <x:c r="W720" s="19" t="n">
        <x:f>SUM(T720:V720)</x:f>
        <x:v>7</x:v>
      </x:c>
      <x:c r="X720" s="19" t="n">
        <x:f>W720-G720</x:f>
        <x:v>1</x:v>
      </x:c>
      <x:c r="Y720" s="19" t="n">
        <x:f>MAX(T720,1)+MAX(U720,1)+MAX(V720,1)</x:f>
        <x:v>7</x:v>
      </x:c>
      <x:c r="Z720" s="21" t="str">
        <x:f>IF(AND(MIN(D720:F720)&gt;=0,MAX(D720:F720)&lt;=7,MAX(D720,1)+MAX(E720,1)+MAX(F720,1)&lt;=9,OR(H720="-",AND(H720=0,D720&gt;0),AND(H720=1,E720&gt;0),AND(H720=2,F720&gt;0)),OR(I720=0,AND(I720=1,OR(J720=0,J720=1,J720=2),R720&lt;&gt;"000")),Y720&lt;=9,MIN(T720:V720)&gt;=0),"合法","输入违约")</x:f>
        <x:v>合法</x:v>
      </x:c>
    </x:row>
    <x:row r="721" ht="23" customHeight="1">
      <x:c r="A721" s="3" t="str">
        <x:v>CT-0714</x:v>
      </x:c>
      <x:c r="B721" s="3" t="str">
        <x:v>ST-066</x:v>
      </x:c>
      <x:c r="C721" s="3" t="str">
        <x:v>仅R回收</x:v>
      </x:c>
      <x:c r="D721" s="25" t="n">
        <x:v>1</x:v>
      </x:c>
      <x:c r="E721" s="25" t="n">
        <x:v>2</x:v>
      </x:c>
      <x:c r="F721" s="25" t="n">
        <x:v>3</x:v>
      </x:c>
      <x:c r="G721" s="19" t="n">
        <x:f>SUM(D721:F721)</x:f>
        <x:v>6</x:v>
      </x:c>
      <x:c r="H721" s="25" t="n">
        <x:v>0</x:v>
      </x:c>
      <x:c r="I721" s="25" t="n">
        <x:v>0</x:v>
      </x:c>
      <x:c r="J721" s="25" t="str">
        <x:v>-</x:v>
      </x:c>
      <x:c r="K721" s="19" t="n">
        <x:f>D721-IF(H721=0,1,0)</x:f>
        <x:v>0</x:v>
      </x:c>
      <x:c r="L721" s="19" t="n">
        <x:f>E721-IF(H721=1,1,0)</x:f>
        <x:v>2</x:v>
      </x:c>
      <x:c r="M721" s="19" t="n">
        <x:f>F721-IF(H721=2,1,0)</x:f>
        <x:v>3</x:v>
      </x:c>
      <x:c r="N721" s="19" t="n">
        <x:f>MAX(K721-1,0)+MAX(L721-1,0)+MAX(M721-1,0)</x:f>
        <x:v>3</x:v>
      </x:c>
      <x:c r="O721" s="19" t="n">
        <x:f>IF(AND(SUM(K721:M721)&lt;9,OR(M721=0,N721&lt;6)),1,0)</x:f>
        <x:v>1</x:v>
      </x:c>
      <x:c r="P721" s="19" t="n">
        <x:f>IF(AND(SUM(K721:M721)&lt;9,OR(L721=0,N721&lt;6)),1,0)</x:f>
        <x:v>1</x:v>
      </x:c>
      <x:c r="Q721" s="19" t="n">
        <x:f>IF(AND(SUM(K721:M721)&lt;9,OR(K721=0,N721&lt;6)),1,0)</x:f>
        <x:v>1</x:v>
      </x:c>
      <x:c r="R721" s="22" t="str">
        <x:f>O721&amp;P721&amp;Q721</x:f>
        <x:v>111</x:v>
      </x:c>
      <x:c r="S721" s="19" t="n">
        <x:f>IF(I721=1,IF(J721=0,Q721,IF(J721=1,P721,IF(J721=2,O721,0))),0)</x:f>
        <x:v>0</x:v>
      </x:c>
      <x:c r="T721" s="19" t="n">
        <x:f>K721+IF(AND(S721=1,J721=0),1,0)</x:f>
        <x:v>0</x:v>
      </x:c>
      <x:c r="U721" s="19" t="n">
        <x:f>L721+IF(AND(S721=1,J721=1),1,0)</x:f>
        <x:v>2</x:v>
      </x:c>
      <x:c r="V721" s="19" t="n">
        <x:f>M721+IF(AND(S721=1,J721=2),1,0)</x:f>
        <x:v>3</x:v>
      </x:c>
      <x:c r="W721" s="19" t="n">
        <x:f>SUM(T721:V721)</x:f>
        <x:v>5</x:v>
      </x:c>
      <x:c r="X721" s="19" t="n">
        <x:f>W721-G721</x:f>
        <x:v>-1</x:v>
      </x:c>
      <x:c r="Y721" s="19" t="n">
        <x:f>MAX(T721,1)+MAX(U721,1)+MAX(V721,1)</x:f>
        <x:v>6</x:v>
      </x:c>
      <x:c r="Z721" s="21" t="str">
        <x:f>IF(AND(MIN(D721:F721)&gt;=0,MAX(D721:F721)&lt;=7,MAX(D721,1)+MAX(E721,1)+MAX(F721,1)&lt;=9,OR(H721="-",AND(H721=0,D721&gt;0),AND(H721=1,E721&gt;0),AND(H721=2,F721&gt;0)),OR(I721=0,AND(I721=1,OR(J721=0,J721=1,J721=2),R721&lt;&gt;"000")),Y721&lt;=9,MIN(T721:V721)&gt;=0),"合法","输入违约")</x:f>
        <x:v>合法</x:v>
      </x:c>
    </x:row>
    <x:row r="722" ht="23" customHeight="1">
      <x:c r="A722" s="3" t="str">
        <x:v>CT-0715</x:v>
      </x:c>
      <x:c r="B722" s="3" t="str">
        <x:v>ST-066</x:v>
      </x:c>
      <x:c r="C722" s="3" t="str">
        <x:v>R+AR同收同发</x:v>
      </x:c>
      <x:c r="D722" s="25" t="n">
        <x:v>1</x:v>
      </x:c>
      <x:c r="E722" s="25" t="n">
        <x:v>2</x:v>
      </x:c>
      <x:c r="F722" s="25" t="n">
        <x:v>3</x:v>
      </x:c>
      <x:c r="G722" s="19" t="n">
        <x:f>SUM(D722:F722)</x:f>
        <x:v>6</x:v>
      </x:c>
      <x:c r="H722" s="25" t="n">
        <x:v>0</x:v>
      </x:c>
      <x:c r="I722" s="25" t="n">
        <x:v>1</x:v>
      </x:c>
      <x:c r="J722" s="25" t="n">
        <x:v>0</x:v>
      </x:c>
      <x:c r="K722" s="19" t="n">
        <x:f>D722-IF(H722=0,1,0)</x:f>
        <x:v>0</x:v>
      </x:c>
      <x:c r="L722" s="19" t="n">
        <x:f>E722-IF(H722=1,1,0)</x:f>
        <x:v>2</x:v>
      </x:c>
      <x:c r="M722" s="19" t="n">
        <x:f>F722-IF(H722=2,1,0)</x:f>
        <x:v>3</x:v>
      </x:c>
      <x:c r="N722" s="19" t="n">
        <x:f>MAX(K722-1,0)+MAX(L722-1,0)+MAX(M722-1,0)</x:f>
        <x:v>3</x:v>
      </x:c>
      <x:c r="O722" s="19" t="n">
        <x:f>IF(AND(SUM(K722:M722)&lt;9,OR(M722=0,N722&lt;6)),1,0)</x:f>
        <x:v>1</x:v>
      </x:c>
      <x:c r="P722" s="19" t="n">
        <x:f>IF(AND(SUM(K722:M722)&lt;9,OR(L722=0,N722&lt;6)),1,0)</x:f>
        <x:v>1</x:v>
      </x:c>
      <x:c r="Q722" s="19" t="n">
        <x:f>IF(AND(SUM(K722:M722)&lt;9,OR(K722=0,N722&lt;6)),1,0)</x:f>
        <x:v>1</x:v>
      </x:c>
      <x:c r="R722" s="22" t="str">
        <x:f>O722&amp;P722&amp;Q722</x:f>
        <x:v>111</x:v>
      </x:c>
      <x:c r="S722" s="19" t="n">
        <x:f>IF(I722=1,IF(J722=0,Q722,IF(J722=1,P722,IF(J722=2,O722,0))),0)</x:f>
        <x:v>1</x:v>
      </x:c>
      <x:c r="T722" s="19" t="n">
        <x:f>K722+IF(AND(S722=1,J722=0),1,0)</x:f>
        <x:v>1</x:v>
      </x:c>
      <x:c r="U722" s="19" t="n">
        <x:f>L722+IF(AND(S722=1,J722=1),1,0)</x:f>
        <x:v>2</x:v>
      </x:c>
      <x:c r="V722" s="19" t="n">
        <x:f>M722+IF(AND(S722=1,J722=2),1,0)</x:f>
        <x:v>3</x:v>
      </x:c>
      <x:c r="W722" s="19" t="n">
        <x:f>SUM(T722:V722)</x:f>
        <x:v>6</x:v>
      </x:c>
      <x:c r="X722" s="19" t="n">
        <x:f>W722-G722</x:f>
        <x:v>0</x:v>
      </x:c>
      <x:c r="Y722" s="19" t="n">
        <x:f>MAX(T722,1)+MAX(U722,1)+MAX(V722,1)</x:f>
        <x:v>6</x:v>
      </x:c>
      <x:c r="Z722" s="21" t="str">
        <x:f>IF(AND(MIN(D722:F722)&gt;=0,MAX(D722:F722)&lt;=7,MAX(D722,1)+MAX(E722,1)+MAX(F722,1)&lt;=9,OR(H722="-",AND(H722=0,D722&gt;0),AND(H722=1,E722&gt;0),AND(H722=2,F722&gt;0)),OR(I722=0,AND(I722=1,OR(J722=0,J722=1,J722=2),R722&lt;&gt;"000")),Y722&lt;=9,MIN(T722:V722)&gt;=0),"合法","输入违约")</x:f>
        <x:v>合法</x:v>
      </x:c>
    </x:row>
    <x:row r="723" ht="23" customHeight="1">
      <x:c r="A723" s="3" t="str">
        <x:v>CT-0716</x:v>
      </x:c>
      <x:c r="B723" s="3" t="str">
        <x:v>ST-066</x:v>
      </x:c>
      <x:c r="C723" s="3" t="str">
        <x:v>R+AR同收同发</x:v>
      </x:c>
      <x:c r="D723" s="25" t="n">
        <x:v>1</x:v>
      </x:c>
      <x:c r="E723" s="25" t="n">
        <x:v>2</x:v>
      </x:c>
      <x:c r="F723" s="25" t="n">
        <x:v>3</x:v>
      </x:c>
      <x:c r="G723" s="19" t="n">
        <x:f>SUM(D723:F723)</x:f>
        <x:v>6</x:v>
      </x:c>
      <x:c r="H723" s="25" t="n">
        <x:v>0</x:v>
      </x:c>
      <x:c r="I723" s="25" t="n">
        <x:v>1</x:v>
      </x:c>
      <x:c r="J723" s="25" t="n">
        <x:v>1</x:v>
      </x:c>
      <x:c r="K723" s="19" t="n">
        <x:f>D723-IF(H723=0,1,0)</x:f>
        <x:v>0</x:v>
      </x:c>
      <x:c r="L723" s="19" t="n">
        <x:f>E723-IF(H723=1,1,0)</x:f>
        <x:v>2</x:v>
      </x:c>
      <x:c r="M723" s="19" t="n">
        <x:f>F723-IF(H723=2,1,0)</x:f>
        <x:v>3</x:v>
      </x:c>
      <x:c r="N723" s="19" t="n">
        <x:f>MAX(K723-1,0)+MAX(L723-1,0)+MAX(M723-1,0)</x:f>
        <x:v>3</x:v>
      </x:c>
      <x:c r="O723" s="19" t="n">
        <x:f>IF(AND(SUM(K723:M723)&lt;9,OR(M723=0,N723&lt;6)),1,0)</x:f>
        <x:v>1</x:v>
      </x:c>
      <x:c r="P723" s="19" t="n">
        <x:f>IF(AND(SUM(K723:M723)&lt;9,OR(L723=0,N723&lt;6)),1,0)</x:f>
        <x:v>1</x:v>
      </x:c>
      <x:c r="Q723" s="19" t="n">
        <x:f>IF(AND(SUM(K723:M723)&lt;9,OR(K723=0,N723&lt;6)),1,0)</x:f>
        <x:v>1</x:v>
      </x:c>
      <x:c r="R723" s="22" t="str">
        <x:f>O723&amp;P723&amp;Q723</x:f>
        <x:v>111</x:v>
      </x:c>
      <x:c r="S723" s="19" t="n">
        <x:f>IF(I723=1,IF(J723=0,Q723,IF(J723=1,P723,IF(J723=2,O723,0))),0)</x:f>
        <x:v>1</x:v>
      </x:c>
      <x:c r="T723" s="19" t="n">
        <x:f>K723+IF(AND(S723=1,J723=0),1,0)</x:f>
        <x:v>0</x:v>
      </x:c>
      <x:c r="U723" s="19" t="n">
        <x:f>L723+IF(AND(S723=1,J723=1),1,0)</x:f>
        <x:v>3</x:v>
      </x:c>
      <x:c r="V723" s="19" t="n">
        <x:f>M723+IF(AND(S723=1,J723=2),1,0)</x:f>
        <x:v>3</x:v>
      </x:c>
      <x:c r="W723" s="19" t="n">
        <x:f>SUM(T723:V723)</x:f>
        <x:v>6</x:v>
      </x:c>
      <x:c r="X723" s="19" t="n">
        <x:f>W723-G723</x:f>
        <x:v>0</x:v>
      </x:c>
      <x:c r="Y723" s="19" t="n">
        <x:f>MAX(T723,1)+MAX(U723,1)+MAX(V723,1)</x:f>
        <x:v>7</x:v>
      </x:c>
      <x:c r="Z723" s="21" t="str">
        <x:f>IF(AND(MIN(D723:F723)&gt;=0,MAX(D723:F723)&lt;=7,MAX(D723,1)+MAX(E723,1)+MAX(F723,1)&lt;=9,OR(H723="-",AND(H723=0,D723&gt;0),AND(H723=1,E723&gt;0),AND(H723=2,F723&gt;0)),OR(I723=0,AND(I723=1,OR(J723=0,J723=1,J723=2),R723&lt;&gt;"000")),Y723&lt;=9,MIN(T723:V723)&gt;=0),"合法","输入违约")</x:f>
        <x:v>合法</x:v>
      </x:c>
    </x:row>
    <x:row r="724" ht="23" customHeight="1">
      <x:c r="A724" s="3" t="str">
        <x:v>CT-0717</x:v>
      </x:c>
      <x:c r="B724" s="3" t="str">
        <x:v>ST-066</x:v>
      </x:c>
      <x:c r="C724" s="3" t="str">
        <x:v>R+AR同收同发</x:v>
      </x:c>
      <x:c r="D724" s="25" t="n">
        <x:v>1</x:v>
      </x:c>
      <x:c r="E724" s="25" t="n">
        <x:v>2</x:v>
      </x:c>
      <x:c r="F724" s="25" t="n">
        <x:v>3</x:v>
      </x:c>
      <x:c r="G724" s="19" t="n">
        <x:f>SUM(D724:F724)</x:f>
        <x:v>6</x:v>
      </x:c>
      <x:c r="H724" s="25" t="n">
        <x:v>0</x:v>
      </x:c>
      <x:c r="I724" s="25" t="n">
        <x:v>1</x:v>
      </x:c>
      <x:c r="J724" s="25" t="n">
        <x:v>2</x:v>
      </x:c>
      <x:c r="K724" s="19" t="n">
        <x:f>D724-IF(H724=0,1,0)</x:f>
        <x:v>0</x:v>
      </x:c>
      <x:c r="L724" s="19" t="n">
        <x:f>E724-IF(H724=1,1,0)</x:f>
        <x:v>2</x:v>
      </x:c>
      <x:c r="M724" s="19" t="n">
        <x:f>F724-IF(H724=2,1,0)</x:f>
        <x:v>3</x:v>
      </x:c>
      <x:c r="N724" s="19" t="n">
        <x:f>MAX(K724-1,0)+MAX(L724-1,0)+MAX(M724-1,0)</x:f>
        <x:v>3</x:v>
      </x:c>
      <x:c r="O724" s="19" t="n">
        <x:f>IF(AND(SUM(K724:M724)&lt;9,OR(M724=0,N724&lt;6)),1,0)</x:f>
        <x:v>1</x:v>
      </x:c>
      <x:c r="P724" s="19" t="n">
        <x:f>IF(AND(SUM(K724:M724)&lt;9,OR(L724=0,N724&lt;6)),1,0)</x:f>
        <x:v>1</x:v>
      </x:c>
      <x:c r="Q724" s="19" t="n">
        <x:f>IF(AND(SUM(K724:M724)&lt;9,OR(K724=0,N724&lt;6)),1,0)</x:f>
        <x:v>1</x:v>
      </x:c>
      <x:c r="R724" s="22" t="str">
        <x:f>O724&amp;P724&amp;Q724</x:f>
        <x:v>111</x:v>
      </x:c>
      <x:c r="S724" s="19" t="n">
        <x:f>IF(I724=1,IF(J724=0,Q724,IF(J724=1,P724,IF(J724=2,O724,0))),0)</x:f>
        <x:v>1</x:v>
      </x:c>
      <x:c r="T724" s="19" t="n">
        <x:f>K724+IF(AND(S724=1,J724=0),1,0)</x:f>
        <x:v>0</x:v>
      </x:c>
      <x:c r="U724" s="19" t="n">
        <x:f>L724+IF(AND(S724=1,J724=1),1,0)</x:f>
        <x:v>2</x:v>
      </x:c>
      <x:c r="V724" s="19" t="n">
        <x:f>M724+IF(AND(S724=1,J724=2),1,0)</x:f>
        <x:v>4</x:v>
      </x:c>
      <x:c r="W724" s="19" t="n">
        <x:f>SUM(T724:V724)</x:f>
        <x:v>6</x:v>
      </x:c>
      <x:c r="X724" s="19" t="n">
        <x:f>W724-G724</x:f>
        <x:v>0</x:v>
      </x:c>
      <x:c r="Y724" s="19" t="n">
        <x:f>MAX(T724,1)+MAX(U724,1)+MAX(V724,1)</x:f>
        <x:v>7</x:v>
      </x:c>
      <x:c r="Z724" s="21" t="str">
        <x:f>IF(AND(MIN(D724:F724)&gt;=0,MAX(D724:F724)&lt;=7,MAX(D724,1)+MAX(E724,1)+MAX(F724,1)&lt;=9,OR(H724="-",AND(H724=0,D724&gt;0),AND(H724=1,E724&gt;0),AND(H724=2,F724&gt;0)),OR(I724=0,AND(I724=1,OR(J724=0,J724=1,J724=2),R724&lt;&gt;"000")),Y724&lt;=9,MIN(T724:V724)&gt;=0),"合法","输入违约")</x:f>
        <x:v>合法</x:v>
      </x:c>
    </x:row>
    <x:row r="725" ht="23" customHeight="1">
      <x:c r="A725" s="3" t="str">
        <x:v>CT-0718</x:v>
      </x:c>
      <x:c r="B725" s="3" t="str">
        <x:v>ST-066</x:v>
      </x:c>
      <x:c r="C725" s="3" t="str">
        <x:v>仅R回收</x:v>
      </x:c>
      <x:c r="D725" s="25" t="n">
        <x:v>1</x:v>
      </x:c>
      <x:c r="E725" s="25" t="n">
        <x:v>2</x:v>
      </x:c>
      <x:c r="F725" s="25" t="n">
        <x:v>3</x:v>
      </x:c>
      <x:c r="G725" s="19" t="n">
        <x:f>SUM(D725:F725)</x:f>
        <x:v>6</x:v>
      </x:c>
      <x:c r="H725" s="25" t="n">
        <x:v>1</x:v>
      </x:c>
      <x:c r="I725" s="25" t="n">
        <x:v>0</x:v>
      </x:c>
      <x:c r="J725" s="25" t="str">
        <x:v>-</x:v>
      </x:c>
      <x:c r="K725" s="19" t="n">
        <x:f>D725-IF(H725=0,1,0)</x:f>
        <x:v>1</x:v>
      </x:c>
      <x:c r="L725" s="19" t="n">
        <x:f>E725-IF(H725=1,1,0)</x:f>
        <x:v>1</x:v>
      </x:c>
      <x:c r="M725" s="19" t="n">
        <x:f>F725-IF(H725=2,1,0)</x:f>
        <x:v>3</x:v>
      </x:c>
      <x:c r="N725" s="19" t="n">
        <x:f>MAX(K725-1,0)+MAX(L725-1,0)+MAX(M725-1,0)</x:f>
        <x:v>2</x:v>
      </x:c>
      <x:c r="O725" s="19" t="n">
        <x:f>IF(AND(SUM(K725:M725)&lt;9,OR(M725=0,N725&lt;6)),1,0)</x:f>
        <x:v>1</x:v>
      </x:c>
      <x:c r="P725" s="19" t="n">
        <x:f>IF(AND(SUM(K725:M725)&lt;9,OR(L725=0,N725&lt;6)),1,0)</x:f>
        <x:v>1</x:v>
      </x:c>
      <x:c r="Q725" s="19" t="n">
        <x:f>IF(AND(SUM(K725:M725)&lt;9,OR(K725=0,N725&lt;6)),1,0)</x:f>
        <x:v>1</x:v>
      </x:c>
      <x:c r="R725" s="22" t="str">
        <x:f>O725&amp;P725&amp;Q725</x:f>
        <x:v>111</x:v>
      </x:c>
      <x:c r="S725" s="19" t="n">
        <x:f>IF(I725=1,IF(J725=0,Q725,IF(J725=1,P725,IF(J725=2,O725,0))),0)</x:f>
        <x:v>0</x:v>
      </x:c>
      <x:c r="T725" s="19" t="n">
        <x:f>K725+IF(AND(S725=1,J725=0),1,0)</x:f>
        <x:v>1</x:v>
      </x:c>
      <x:c r="U725" s="19" t="n">
        <x:f>L725+IF(AND(S725=1,J725=1),1,0)</x:f>
        <x:v>1</x:v>
      </x:c>
      <x:c r="V725" s="19" t="n">
        <x:f>M725+IF(AND(S725=1,J725=2),1,0)</x:f>
        <x:v>3</x:v>
      </x:c>
      <x:c r="W725" s="19" t="n">
        <x:f>SUM(T725:V725)</x:f>
        <x:v>5</x:v>
      </x:c>
      <x:c r="X725" s="19" t="n">
        <x:f>W725-G725</x:f>
        <x:v>-1</x:v>
      </x:c>
      <x:c r="Y725" s="19" t="n">
        <x:f>MAX(T725,1)+MAX(U725,1)+MAX(V725,1)</x:f>
        <x:v>5</x:v>
      </x:c>
      <x:c r="Z725" s="21" t="str">
        <x:f>IF(AND(MIN(D725:F725)&gt;=0,MAX(D725:F725)&lt;=7,MAX(D725,1)+MAX(E725,1)+MAX(F725,1)&lt;=9,OR(H725="-",AND(H725=0,D725&gt;0),AND(H725=1,E725&gt;0),AND(H725=2,F725&gt;0)),OR(I725=0,AND(I725=1,OR(J725=0,J725=1,J725=2),R725&lt;&gt;"000")),Y725&lt;=9,MIN(T725:V725)&gt;=0),"合法","输入违约")</x:f>
        <x:v>合法</x:v>
      </x:c>
    </x:row>
    <x:row r="726" ht="23" customHeight="1">
      <x:c r="A726" s="3" t="str">
        <x:v>CT-0719</x:v>
      </x:c>
      <x:c r="B726" s="3" t="str">
        <x:v>ST-066</x:v>
      </x:c>
      <x:c r="C726" s="3" t="str">
        <x:v>R+AR同收同发</x:v>
      </x:c>
      <x:c r="D726" s="25" t="n">
        <x:v>1</x:v>
      </x:c>
      <x:c r="E726" s="25" t="n">
        <x:v>2</x:v>
      </x:c>
      <x:c r="F726" s="25" t="n">
        <x:v>3</x:v>
      </x:c>
      <x:c r="G726" s="19" t="n">
        <x:f>SUM(D726:F726)</x:f>
        <x:v>6</x:v>
      </x:c>
      <x:c r="H726" s="25" t="n">
        <x:v>1</x:v>
      </x:c>
      <x:c r="I726" s="25" t="n">
        <x:v>1</x:v>
      </x:c>
      <x:c r="J726" s="25" t="n">
        <x:v>0</x:v>
      </x:c>
      <x:c r="K726" s="19" t="n">
        <x:f>D726-IF(H726=0,1,0)</x:f>
        <x:v>1</x:v>
      </x:c>
      <x:c r="L726" s="19" t="n">
        <x:f>E726-IF(H726=1,1,0)</x:f>
        <x:v>1</x:v>
      </x:c>
      <x:c r="M726" s="19" t="n">
        <x:f>F726-IF(H726=2,1,0)</x:f>
        <x:v>3</x:v>
      </x:c>
      <x:c r="N726" s="19" t="n">
        <x:f>MAX(K726-1,0)+MAX(L726-1,0)+MAX(M726-1,0)</x:f>
        <x:v>2</x:v>
      </x:c>
      <x:c r="O726" s="19" t="n">
        <x:f>IF(AND(SUM(K726:M726)&lt;9,OR(M726=0,N726&lt;6)),1,0)</x:f>
        <x:v>1</x:v>
      </x:c>
      <x:c r="P726" s="19" t="n">
        <x:f>IF(AND(SUM(K726:M726)&lt;9,OR(L726=0,N726&lt;6)),1,0)</x:f>
        <x:v>1</x:v>
      </x:c>
      <x:c r="Q726" s="19" t="n">
        <x:f>IF(AND(SUM(K726:M726)&lt;9,OR(K726=0,N726&lt;6)),1,0)</x:f>
        <x:v>1</x:v>
      </x:c>
      <x:c r="R726" s="22" t="str">
        <x:f>O726&amp;P726&amp;Q726</x:f>
        <x:v>111</x:v>
      </x:c>
      <x:c r="S726" s="19" t="n">
        <x:f>IF(I726=1,IF(J726=0,Q726,IF(J726=1,P726,IF(J726=2,O726,0))),0)</x:f>
        <x:v>1</x:v>
      </x:c>
      <x:c r="T726" s="19" t="n">
        <x:f>K726+IF(AND(S726=1,J726=0),1,0)</x:f>
        <x:v>2</x:v>
      </x:c>
      <x:c r="U726" s="19" t="n">
        <x:f>L726+IF(AND(S726=1,J726=1),1,0)</x:f>
        <x:v>1</x:v>
      </x:c>
      <x:c r="V726" s="19" t="n">
        <x:f>M726+IF(AND(S726=1,J726=2),1,0)</x:f>
        <x:v>3</x:v>
      </x:c>
      <x:c r="W726" s="19" t="n">
        <x:f>SUM(T726:V726)</x:f>
        <x:v>6</x:v>
      </x:c>
      <x:c r="X726" s="19" t="n">
        <x:f>W726-G726</x:f>
        <x:v>0</x:v>
      </x:c>
      <x:c r="Y726" s="19" t="n">
        <x:f>MAX(T726,1)+MAX(U726,1)+MAX(V726,1)</x:f>
        <x:v>6</x:v>
      </x:c>
      <x:c r="Z726" s="21" t="str">
        <x:f>IF(AND(MIN(D726:F726)&gt;=0,MAX(D726:F726)&lt;=7,MAX(D726,1)+MAX(E726,1)+MAX(F726,1)&lt;=9,OR(H726="-",AND(H726=0,D726&gt;0),AND(H726=1,E726&gt;0),AND(H726=2,F726&gt;0)),OR(I726=0,AND(I726=1,OR(J726=0,J726=1,J726=2),R726&lt;&gt;"000")),Y726&lt;=9,MIN(T726:V726)&gt;=0),"合法","输入违约")</x:f>
        <x:v>合法</x:v>
      </x:c>
    </x:row>
    <x:row r="727" ht="23" customHeight="1">
      <x:c r="A727" s="3" t="str">
        <x:v>CT-0720</x:v>
      </x:c>
      <x:c r="B727" s="3" t="str">
        <x:v>ST-066</x:v>
      </x:c>
      <x:c r="C727" s="3" t="str">
        <x:v>R+AR同收同发</x:v>
      </x:c>
      <x:c r="D727" s="25" t="n">
        <x:v>1</x:v>
      </x:c>
      <x:c r="E727" s="25" t="n">
        <x:v>2</x:v>
      </x:c>
      <x:c r="F727" s="25" t="n">
        <x:v>3</x:v>
      </x:c>
      <x:c r="G727" s="19" t="n">
        <x:f>SUM(D727:F727)</x:f>
        <x:v>6</x:v>
      </x:c>
      <x:c r="H727" s="25" t="n">
        <x:v>1</x:v>
      </x:c>
      <x:c r="I727" s="25" t="n">
        <x:v>1</x:v>
      </x:c>
      <x:c r="J727" s="25" t="n">
        <x:v>1</x:v>
      </x:c>
      <x:c r="K727" s="19" t="n">
        <x:f>D727-IF(H727=0,1,0)</x:f>
        <x:v>1</x:v>
      </x:c>
      <x:c r="L727" s="19" t="n">
        <x:f>E727-IF(H727=1,1,0)</x:f>
        <x:v>1</x:v>
      </x:c>
      <x:c r="M727" s="19" t="n">
        <x:f>F727-IF(H727=2,1,0)</x:f>
        <x:v>3</x:v>
      </x:c>
      <x:c r="N727" s="19" t="n">
        <x:f>MAX(K727-1,0)+MAX(L727-1,0)+MAX(M727-1,0)</x:f>
        <x:v>2</x:v>
      </x:c>
      <x:c r="O727" s="19" t="n">
        <x:f>IF(AND(SUM(K727:M727)&lt;9,OR(M727=0,N727&lt;6)),1,0)</x:f>
        <x:v>1</x:v>
      </x:c>
      <x:c r="P727" s="19" t="n">
        <x:f>IF(AND(SUM(K727:M727)&lt;9,OR(L727=0,N727&lt;6)),1,0)</x:f>
        <x:v>1</x:v>
      </x:c>
      <x:c r="Q727" s="19" t="n">
        <x:f>IF(AND(SUM(K727:M727)&lt;9,OR(K727=0,N727&lt;6)),1,0)</x:f>
        <x:v>1</x:v>
      </x:c>
      <x:c r="R727" s="22" t="str">
        <x:f>O727&amp;P727&amp;Q727</x:f>
        <x:v>111</x:v>
      </x:c>
      <x:c r="S727" s="19" t="n">
        <x:f>IF(I727=1,IF(J727=0,Q727,IF(J727=1,P727,IF(J727=2,O727,0))),0)</x:f>
        <x:v>1</x:v>
      </x:c>
      <x:c r="T727" s="19" t="n">
        <x:f>K727+IF(AND(S727=1,J727=0),1,0)</x:f>
        <x:v>1</x:v>
      </x:c>
      <x:c r="U727" s="19" t="n">
        <x:f>L727+IF(AND(S727=1,J727=1),1,0)</x:f>
        <x:v>2</x:v>
      </x:c>
      <x:c r="V727" s="19" t="n">
        <x:f>M727+IF(AND(S727=1,J727=2),1,0)</x:f>
        <x:v>3</x:v>
      </x:c>
      <x:c r="W727" s="19" t="n">
        <x:f>SUM(T727:V727)</x:f>
        <x:v>6</x:v>
      </x:c>
      <x:c r="X727" s="19" t="n">
        <x:f>W727-G727</x:f>
        <x:v>0</x:v>
      </x:c>
      <x:c r="Y727" s="19" t="n">
        <x:f>MAX(T727,1)+MAX(U727,1)+MAX(V727,1)</x:f>
        <x:v>6</x:v>
      </x:c>
      <x:c r="Z727" s="21" t="str">
        <x:f>IF(AND(MIN(D727:F727)&gt;=0,MAX(D727:F727)&lt;=7,MAX(D727,1)+MAX(E727,1)+MAX(F727,1)&lt;=9,OR(H727="-",AND(H727=0,D727&gt;0),AND(H727=1,E727&gt;0),AND(H727=2,F727&gt;0)),OR(I727=0,AND(I727=1,OR(J727=0,J727=1,J727=2),R727&lt;&gt;"000")),Y727&lt;=9,MIN(T727:V727)&gt;=0),"合法","输入违约")</x:f>
        <x:v>合法</x:v>
      </x:c>
    </x:row>
    <x:row r="728" ht="23" customHeight="1">
      <x:c r="A728" s="3" t="str">
        <x:v>CT-0721</x:v>
      </x:c>
      <x:c r="B728" s="3" t="str">
        <x:v>ST-066</x:v>
      </x:c>
      <x:c r="C728" s="3" t="str">
        <x:v>R+AR同收同发</x:v>
      </x:c>
      <x:c r="D728" s="25" t="n">
        <x:v>1</x:v>
      </x:c>
      <x:c r="E728" s="25" t="n">
        <x:v>2</x:v>
      </x:c>
      <x:c r="F728" s="25" t="n">
        <x:v>3</x:v>
      </x:c>
      <x:c r="G728" s="19" t="n">
        <x:f>SUM(D728:F728)</x:f>
        <x:v>6</x:v>
      </x:c>
      <x:c r="H728" s="25" t="n">
        <x:v>1</x:v>
      </x:c>
      <x:c r="I728" s="25" t="n">
        <x:v>1</x:v>
      </x:c>
      <x:c r="J728" s="25" t="n">
        <x:v>2</x:v>
      </x:c>
      <x:c r="K728" s="19" t="n">
        <x:f>D728-IF(H728=0,1,0)</x:f>
        <x:v>1</x:v>
      </x:c>
      <x:c r="L728" s="19" t="n">
        <x:f>E728-IF(H728=1,1,0)</x:f>
        <x:v>1</x:v>
      </x:c>
      <x:c r="M728" s="19" t="n">
        <x:f>F728-IF(H728=2,1,0)</x:f>
        <x:v>3</x:v>
      </x:c>
      <x:c r="N728" s="19" t="n">
        <x:f>MAX(K728-1,0)+MAX(L728-1,0)+MAX(M728-1,0)</x:f>
        <x:v>2</x:v>
      </x:c>
      <x:c r="O728" s="19" t="n">
        <x:f>IF(AND(SUM(K728:M728)&lt;9,OR(M728=0,N728&lt;6)),1,0)</x:f>
        <x:v>1</x:v>
      </x:c>
      <x:c r="P728" s="19" t="n">
        <x:f>IF(AND(SUM(K728:M728)&lt;9,OR(L728=0,N728&lt;6)),1,0)</x:f>
        <x:v>1</x:v>
      </x:c>
      <x:c r="Q728" s="19" t="n">
        <x:f>IF(AND(SUM(K728:M728)&lt;9,OR(K728=0,N728&lt;6)),1,0)</x:f>
        <x:v>1</x:v>
      </x:c>
      <x:c r="R728" s="22" t="str">
        <x:f>O728&amp;P728&amp;Q728</x:f>
        <x:v>111</x:v>
      </x:c>
      <x:c r="S728" s="19" t="n">
        <x:f>IF(I728=1,IF(J728=0,Q728,IF(J728=1,P728,IF(J728=2,O728,0))),0)</x:f>
        <x:v>1</x:v>
      </x:c>
      <x:c r="T728" s="19" t="n">
        <x:f>K728+IF(AND(S728=1,J728=0),1,0)</x:f>
        <x:v>1</x:v>
      </x:c>
      <x:c r="U728" s="19" t="n">
        <x:f>L728+IF(AND(S728=1,J728=1),1,0)</x:f>
        <x:v>1</x:v>
      </x:c>
      <x:c r="V728" s="19" t="n">
        <x:f>M728+IF(AND(S728=1,J728=2),1,0)</x:f>
        <x:v>4</x:v>
      </x:c>
      <x:c r="W728" s="19" t="n">
        <x:f>SUM(T728:V728)</x:f>
        <x:v>6</x:v>
      </x:c>
      <x:c r="X728" s="19" t="n">
        <x:f>W728-G728</x:f>
        <x:v>0</x:v>
      </x:c>
      <x:c r="Y728" s="19" t="n">
        <x:f>MAX(T728,1)+MAX(U728,1)+MAX(V728,1)</x:f>
        <x:v>6</x:v>
      </x:c>
      <x:c r="Z728" s="21" t="str">
        <x:f>IF(AND(MIN(D728:F728)&gt;=0,MAX(D728:F728)&lt;=7,MAX(D728,1)+MAX(E728,1)+MAX(F728,1)&lt;=9,OR(H728="-",AND(H728=0,D728&gt;0),AND(H728=1,E728&gt;0),AND(H728=2,F728&gt;0)),OR(I728=0,AND(I728=1,OR(J728=0,J728=1,J728=2),R728&lt;&gt;"000")),Y728&lt;=9,MIN(T728:V728)&gt;=0),"合法","输入违约")</x:f>
        <x:v>合法</x:v>
      </x:c>
    </x:row>
    <x:row r="729" ht="23" customHeight="1">
      <x:c r="A729" s="3" t="str">
        <x:v>CT-0722</x:v>
      </x:c>
      <x:c r="B729" s="3" t="str">
        <x:v>ST-066</x:v>
      </x:c>
      <x:c r="C729" s="3" t="str">
        <x:v>仅R回收</x:v>
      </x:c>
      <x:c r="D729" s="25" t="n">
        <x:v>1</x:v>
      </x:c>
      <x:c r="E729" s="25" t="n">
        <x:v>2</x:v>
      </x:c>
      <x:c r="F729" s="25" t="n">
        <x:v>3</x:v>
      </x:c>
      <x:c r="G729" s="19" t="n">
        <x:f>SUM(D729:F729)</x:f>
        <x:v>6</x:v>
      </x:c>
      <x:c r="H729" s="25" t="n">
        <x:v>2</x:v>
      </x:c>
      <x:c r="I729" s="25" t="n">
        <x:v>0</x:v>
      </x:c>
      <x:c r="J729" s="25" t="str">
        <x:v>-</x:v>
      </x:c>
      <x:c r="K729" s="19" t="n">
        <x:f>D729-IF(H729=0,1,0)</x:f>
        <x:v>1</x:v>
      </x:c>
      <x:c r="L729" s="19" t="n">
        <x:f>E729-IF(H729=1,1,0)</x:f>
        <x:v>2</x:v>
      </x:c>
      <x:c r="M729" s="19" t="n">
        <x:f>F729-IF(H729=2,1,0)</x:f>
        <x:v>2</x:v>
      </x:c>
      <x:c r="N729" s="19" t="n">
        <x:f>MAX(K729-1,0)+MAX(L729-1,0)+MAX(M729-1,0)</x:f>
        <x:v>2</x:v>
      </x:c>
      <x:c r="O729" s="19" t="n">
        <x:f>IF(AND(SUM(K729:M729)&lt;9,OR(M729=0,N729&lt;6)),1,0)</x:f>
        <x:v>1</x:v>
      </x:c>
      <x:c r="P729" s="19" t="n">
        <x:f>IF(AND(SUM(K729:M729)&lt;9,OR(L729=0,N729&lt;6)),1,0)</x:f>
        <x:v>1</x:v>
      </x:c>
      <x:c r="Q729" s="19" t="n">
        <x:f>IF(AND(SUM(K729:M729)&lt;9,OR(K729=0,N729&lt;6)),1,0)</x:f>
        <x:v>1</x:v>
      </x:c>
      <x:c r="R729" s="22" t="str">
        <x:f>O729&amp;P729&amp;Q729</x:f>
        <x:v>111</x:v>
      </x:c>
      <x:c r="S729" s="19" t="n">
        <x:f>IF(I729=1,IF(J729=0,Q729,IF(J729=1,P729,IF(J729=2,O729,0))),0)</x:f>
        <x:v>0</x:v>
      </x:c>
      <x:c r="T729" s="19" t="n">
        <x:f>K729+IF(AND(S729=1,J729=0),1,0)</x:f>
        <x:v>1</x:v>
      </x:c>
      <x:c r="U729" s="19" t="n">
        <x:f>L729+IF(AND(S729=1,J729=1),1,0)</x:f>
        <x:v>2</x:v>
      </x:c>
      <x:c r="V729" s="19" t="n">
        <x:f>M729+IF(AND(S729=1,J729=2),1,0)</x:f>
        <x:v>2</x:v>
      </x:c>
      <x:c r="W729" s="19" t="n">
        <x:f>SUM(T729:V729)</x:f>
        <x:v>5</x:v>
      </x:c>
      <x:c r="X729" s="19" t="n">
        <x:f>W729-G729</x:f>
        <x:v>-1</x:v>
      </x:c>
      <x:c r="Y729" s="19" t="n">
        <x:f>MAX(T729,1)+MAX(U729,1)+MAX(V729,1)</x:f>
        <x:v>5</x:v>
      </x:c>
      <x:c r="Z729" s="21" t="str">
        <x:f>IF(AND(MIN(D729:F729)&gt;=0,MAX(D729:F729)&lt;=7,MAX(D729,1)+MAX(E729,1)+MAX(F729,1)&lt;=9,OR(H729="-",AND(H729=0,D729&gt;0),AND(H729=1,E729&gt;0),AND(H729=2,F729&gt;0)),OR(I729=0,AND(I729=1,OR(J729=0,J729=1,J729=2),R729&lt;&gt;"000")),Y729&lt;=9,MIN(T729:V729)&gt;=0),"合法","输入违约")</x:f>
        <x:v>合法</x:v>
      </x:c>
    </x:row>
    <x:row r="730" ht="23" customHeight="1">
      <x:c r="A730" s="3" t="str">
        <x:v>CT-0723</x:v>
      </x:c>
      <x:c r="B730" s="3" t="str">
        <x:v>ST-066</x:v>
      </x:c>
      <x:c r="C730" s="3" t="str">
        <x:v>R+AR同收同发</x:v>
      </x:c>
      <x:c r="D730" s="25" t="n">
        <x:v>1</x:v>
      </x:c>
      <x:c r="E730" s="25" t="n">
        <x:v>2</x:v>
      </x:c>
      <x:c r="F730" s="25" t="n">
        <x:v>3</x:v>
      </x:c>
      <x:c r="G730" s="19" t="n">
        <x:f>SUM(D730:F730)</x:f>
        <x:v>6</x:v>
      </x:c>
      <x:c r="H730" s="25" t="n">
        <x:v>2</x:v>
      </x:c>
      <x:c r="I730" s="25" t="n">
        <x:v>1</x:v>
      </x:c>
      <x:c r="J730" s="25" t="n">
        <x:v>0</x:v>
      </x:c>
      <x:c r="K730" s="19" t="n">
        <x:f>D730-IF(H730=0,1,0)</x:f>
        <x:v>1</x:v>
      </x:c>
      <x:c r="L730" s="19" t="n">
        <x:f>E730-IF(H730=1,1,0)</x:f>
        <x:v>2</x:v>
      </x:c>
      <x:c r="M730" s="19" t="n">
        <x:f>F730-IF(H730=2,1,0)</x:f>
        <x:v>2</x:v>
      </x:c>
      <x:c r="N730" s="19" t="n">
        <x:f>MAX(K730-1,0)+MAX(L730-1,0)+MAX(M730-1,0)</x:f>
        <x:v>2</x:v>
      </x:c>
      <x:c r="O730" s="19" t="n">
        <x:f>IF(AND(SUM(K730:M730)&lt;9,OR(M730=0,N730&lt;6)),1,0)</x:f>
        <x:v>1</x:v>
      </x:c>
      <x:c r="P730" s="19" t="n">
        <x:f>IF(AND(SUM(K730:M730)&lt;9,OR(L730=0,N730&lt;6)),1,0)</x:f>
        <x:v>1</x:v>
      </x:c>
      <x:c r="Q730" s="19" t="n">
        <x:f>IF(AND(SUM(K730:M730)&lt;9,OR(K730=0,N730&lt;6)),1,0)</x:f>
        <x:v>1</x:v>
      </x:c>
      <x:c r="R730" s="22" t="str">
        <x:f>O730&amp;P730&amp;Q730</x:f>
        <x:v>111</x:v>
      </x:c>
      <x:c r="S730" s="19" t="n">
        <x:f>IF(I730=1,IF(J730=0,Q730,IF(J730=1,P730,IF(J730=2,O730,0))),0)</x:f>
        <x:v>1</x:v>
      </x:c>
      <x:c r="T730" s="19" t="n">
        <x:f>K730+IF(AND(S730=1,J730=0),1,0)</x:f>
        <x:v>2</x:v>
      </x:c>
      <x:c r="U730" s="19" t="n">
        <x:f>L730+IF(AND(S730=1,J730=1),1,0)</x:f>
        <x:v>2</x:v>
      </x:c>
      <x:c r="V730" s="19" t="n">
        <x:f>M730+IF(AND(S730=1,J730=2),1,0)</x:f>
        <x:v>2</x:v>
      </x:c>
      <x:c r="W730" s="19" t="n">
        <x:f>SUM(T730:V730)</x:f>
        <x:v>6</x:v>
      </x:c>
      <x:c r="X730" s="19" t="n">
        <x:f>W730-G730</x:f>
        <x:v>0</x:v>
      </x:c>
      <x:c r="Y730" s="19" t="n">
        <x:f>MAX(T730,1)+MAX(U730,1)+MAX(V730,1)</x:f>
        <x:v>6</x:v>
      </x:c>
      <x:c r="Z730" s="21" t="str">
        <x:f>IF(AND(MIN(D730:F730)&gt;=0,MAX(D730:F730)&lt;=7,MAX(D730,1)+MAX(E730,1)+MAX(F730,1)&lt;=9,OR(H730="-",AND(H730=0,D730&gt;0),AND(H730=1,E730&gt;0),AND(H730=2,F730&gt;0)),OR(I730=0,AND(I730=1,OR(J730=0,J730=1,J730=2),R730&lt;&gt;"000")),Y730&lt;=9,MIN(T730:V730)&gt;=0),"合法","输入违约")</x:f>
        <x:v>合法</x:v>
      </x:c>
    </x:row>
    <x:row r="731" ht="23" customHeight="1">
      <x:c r="A731" s="3" t="str">
        <x:v>CT-0724</x:v>
      </x:c>
      <x:c r="B731" s="3" t="str">
        <x:v>ST-066</x:v>
      </x:c>
      <x:c r="C731" s="3" t="str">
        <x:v>R+AR同收同发</x:v>
      </x:c>
      <x:c r="D731" s="25" t="n">
        <x:v>1</x:v>
      </x:c>
      <x:c r="E731" s="25" t="n">
        <x:v>2</x:v>
      </x:c>
      <x:c r="F731" s="25" t="n">
        <x:v>3</x:v>
      </x:c>
      <x:c r="G731" s="19" t="n">
        <x:f>SUM(D731:F731)</x:f>
        <x:v>6</x:v>
      </x:c>
      <x:c r="H731" s="25" t="n">
        <x:v>2</x:v>
      </x:c>
      <x:c r="I731" s="25" t="n">
        <x:v>1</x:v>
      </x:c>
      <x:c r="J731" s="25" t="n">
        <x:v>1</x:v>
      </x:c>
      <x:c r="K731" s="19" t="n">
        <x:f>D731-IF(H731=0,1,0)</x:f>
        <x:v>1</x:v>
      </x:c>
      <x:c r="L731" s="19" t="n">
        <x:f>E731-IF(H731=1,1,0)</x:f>
        <x:v>2</x:v>
      </x:c>
      <x:c r="M731" s="19" t="n">
        <x:f>F731-IF(H731=2,1,0)</x:f>
        <x:v>2</x:v>
      </x:c>
      <x:c r="N731" s="19" t="n">
        <x:f>MAX(K731-1,0)+MAX(L731-1,0)+MAX(M731-1,0)</x:f>
        <x:v>2</x:v>
      </x:c>
      <x:c r="O731" s="19" t="n">
        <x:f>IF(AND(SUM(K731:M731)&lt;9,OR(M731=0,N731&lt;6)),1,0)</x:f>
        <x:v>1</x:v>
      </x:c>
      <x:c r="P731" s="19" t="n">
        <x:f>IF(AND(SUM(K731:M731)&lt;9,OR(L731=0,N731&lt;6)),1,0)</x:f>
        <x:v>1</x:v>
      </x:c>
      <x:c r="Q731" s="19" t="n">
        <x:f>IF(AND(SUM(K731:M731)&lt;9,OR(K731=0,N731&lt;6)),1,0)</x:f>
        <x:v>1</x:v>
      </x:c>
      <x:c r="R731" s="22" t="str">
        <x:f>O731&amp;P731&amp;Q731</x:f>
        <x:v>111</x:v>
      </x:c>
      <x:c r="S731" s="19" t="n">
        <x:f>IF(I731=1,IF(J731=0,Q731,IF(J731=1,P731,IF(J731=2,O731,0))),0)</x:f>
        <x:v>1</x:v>
      </x:c>
      <x:c r="T731" s="19" t="n">
        <x:f>K731+IF(AND(S731=1,J731=0),1,0)</x:f>
        <x:v>1</x:v>
      </x:c>
      <x:c r="U731" s="19" t="n">
        <x:f>L731+IF(AND(S731=1,J731=1),1,0)</x:f>
        <x:v>3</x:v>
      </x:c>
      <x:c r="V731" s="19" t="n">
        <x:f>M731+IF(AND(S731=1,J731=2),1,0)</x:f>
        <x:v>2</x:v>
      </x:c>
      <x:c r="W731" s="19" t="n">
        <x:f>SUM(T731:V731)</x:f>
        <x:v>6</x:v>
      </x:c>
      <x:c r="X731" s="19" t="n">
        <x:f>W731-G731</x:f>
        <x:v>0</x:v>
      </x:c>
      <x:c r="Y731" s="19" t="n">
        <x:f>MAX(T731,1)+MAX(U731,1)+MAX(V731,1)</x:f>
        <x:v>6</x:v>
      </x:c>
      <x:c r="Z731" s="21" t="str">
        <x:f>IF(AND(MIN(D731:F731)&gt;=0,MAX(D731:F731)&lt;=7,MAX(D731,1)+MAX(E731,1)+MAX(F731,1)&lt;=9,OR(H731="-",AND(H731=0,D731&gt;0),AND(H731=1,E731&gt;0),AND(H731=2,F731&gt;0)),OR(I731=0,AND(I731=1,OR(J731=0,J731=1,J731=2),R731&lt;&gt;"000")),Y731&lt;=9,MIN(T731:V731)&gt;=0),"合法","输入违约")</x:f>
        <x:v>合法</x:v>
      </x:c>
    </x:row>
    <x:row r="732" ht="23" customHeight="1">
      <x:c r="A732" s="3" t="str">
        <x:v>CT-0725</x:v>
      </x:c>
      <x:c r="B732" s="3" t="str">
        <x:v>ST-066</x:v>
      </x:c>
      <x:c r="C732" s="3" t="str">
        <x:v>R+AR同收同发</x:v>
      </x:c>
      <x:c r="D732" s="25" t="n">
        <x:v>1</x:v>
      </x:c>
      <x:c r="E732" s="25" t="n">
        <x:v>2</x:v>
      </x:c>
      <x:c r="F732" s="25" t="n">
        <x:v>3</x:v>
      </x:c>
      <x:c r="G732" s="19" t="n">
        <x:f>SUM(D732:F732)</x:f>
        <x:v>6</x:v>
      </x:c>
      <x:c r="H732" s="25" t="n">
        <x:v>2</x:v>
      </x:c>
      <x:c r="I732" s="25" t="n">
        <x:v>1</x:v>
      </x:c>
      <x:c r="J732" s="25" t="n">
        <x:v>2</x:v>
      </x:c>
      <x:c r="K732" s="19" t="n">
        <x:f>D732-IF(H732=0,1,0)</x:f>
        <x:v>1</x:v>
      </x:c>
      <x:c r="L732" s="19" t="n">
        <x:f>E732-IF(H732=1,1,0)</x:f>
        <x:v>2</x:v>
      </x:c>
      <x:c r="M732" s="19" t="n">
        <x:f>F732-IF(H732=2,1,0)</x:f>
        <x:v>2</x:v>
      </x:c>
      <x:c r="N732" s="19" t="n">
        <x:f>MAX(K732-1,0)+MAX(L732-1,0)+MAX(M732-1,0)</x:f>
        <x:v>2</x:v>
      </x:c>
      <x:c r="O732" s="19" t="n">
        <x:f>IF(AND(SUM(K732:M732)&lt;9,OR(M732=0,N732&lt;6)),1,0)</x:f>
        <x:v>1</x:v>
      </x:c>
      <x:c r="P732" s="19" t="n">
        <x:f>IF(AND(SUM(K732:M732)&lt;9,OR(L732=0,N732&lt;6)),1,0)</x:f>
        <x:v>1</x:v>
      </x:c>
      <x:c r="Q732" s="19" t="n">
        <x:f>IF(AND(SUM(K732:M732)&lt;9,OR(K732=0,N732&lt;6)),1,0)</x:f>
        <x:v>1</x:v>
      </x:c>
      <x:c r="R732" s="22" t="str">
        <x:f>O732&amp;P732&amp;Q732</x:f>
        <x:v>111</x:v>
      </x:c>
      <x:c r="S732" s="19" t="n">
        <x:f>IF(I732=1,IF(J732=0,Q732,IF(J732=1,P732,IF(J732=2,O732,0))),0)</x:f>
        <x:v>1</x:v>
      </x:c>
      <x:c r="T732" s="19" t="n">
        <x:f>K732+IF(AND(S732=1,J732=0),1,0)</x:f>
        <x:v>1</x:v>
      </x:c>
      <x:c r="U732" s="19" t="n">
        <x:f>L732+IF(AND(S732=1,J732=1),1,0)</x:f>
        <x:v>2</x:v>
      </x:c>
      <x:c r="V732" s="19" t="n">
        <x:f>M732+IF(AND(S732=1,J732=2),1,0)</x:f>
        <x:v>3</x:v>
      </x:c>
      <x:c r="W732" s="19" t="n">
        <x:f>SUM(T732:V732)</x:f>
        <x:v>6</x:v>
      </x:c>
      <x:c r="X732" s="19" t="n">
        <x:f>W732-G732</x:f>
        <x:v>0</x:v>
      </x:c>
      <x:c r="Y732" s="19" t="n">
        <x:f>MAX(T732,1)+MAX(U732,1)+MAX(V732,1)</x:f>
        <x:v>6</x:v>
      </x:c>
      <x:c r="Z732" s="21" t="str">
        <x:f>IF(AND(MIN(D732:F732)&gt;=0,MAX(D732:F732)&lt;=7,MAX(D732,1)+MAX(E732,1)+MAX(F732,1)&lt;=9,OR(H732="-",AND(H732=0,D732&gt;0),AND(H732=1,E732&gt;0),AND(H732=2,F732&gt;0)),OR(I732=0,AND(I732=1,OR(J732=0,J732=1,J732=2),R732&lt;&gt;"000")),Y732&lt;=9,MIN(T732:V732)&gt;=0),"合法","输入违约")</x:f>
        <x:v>合法</x:v>
      </x:c>
    </x:row>
    <x:row r="733" ht="23" customHeight="1">
      <x:c r="A733" s="3" t="str">
        <x:v>CT-0726</x:v>
      </x:c>
      <x:c r="B733" s="3" t="str">
        <x:v>ST-095</x:v>
      </x:c>
      <x:c r="C733" s="3" t="str">
        <x:v>无AR/R</x:v>
      </x:c>
      <x:c r="D733" s="25" t="n">
        <x:v>1</x:v>
      </x:c>
      <x:c r="E733" s="25" t="n">
        <x:v>2</x:v>
      </x:c>
      <x:c r="F733" s="25" t="n">
        <x:v>4</x:v>
      </x:c>
      <x:c r="G733" s="19" t="n">
        <x:f>SUM(D733:F733)</x:f>
        <x:v>7</x:v>
      </x:c>
      <x:c r="H733" s="25" t="str">
        <x:v>-</x:v>
      </x:c>
      <x:c r="I733" s="25" t="n">
        <x:v>0</x:v>
      </x:c>
      <x:c r="J733" s="25" t="str">
        <x:v>-</x:v>
      </x:c>
      <x:c r="K733" s="19" t="n">
        <x:f>D733-IF(H733=0,1,0)</x:f>
        <x:v>1</x:v>
      </x:c>
      <x:c r="L733" s="19" t="n">
        <x:f>E733-IF(H733=1,1,0)</x:f>
        <x:v>2</x:v>
      </x:c>
      <x:c r="M733" s="19" t="n">
        <x:f>F733-IF(H733=2,1,0)</x:f>
        <x:v>4</x:v>
      </x:c>
      <x:c r="N733" s="19" t="n">
        <x:f>MAX(K733-1,0)+MAX(L733-1,0)+MAX(M733-1,0)</x:f>
        <x:v>4</x:v>
      </x:c>
      <x:c r="O733" s="19" t="n">
        <x:f>IF(AND(SUM(K733:M733)&lt;9,OR(M733=0,N733&lt;6)),1,0)</x:f>
        <x:v>1</x:v>
      </x:c>
      <x:c r="P733" s="19" t="n">
        <x:f>IF(AND(SUM(K733:M733)&lt;9,OR(L733=0,N733&lt;6)),1,0)</x:f>
        <x:v>1</x:v>
      </x:c>
      <x:c r="Q733" s="19" t="n">
        <x:f>IF(AND(SUM(K733:M733)&lt;9,OR(K733=0,N733&lt;6)),1,0)</x:f>
        <x:v>1</x:v>
      </x:c>
      <x:c r="R733" s="22" t="str">
        <x:f>O733&amp;P733&amp;Q733</x:f>
        <x:v>111</x:v>
      </x:c>
      <x:c r="S733" s="19" t="n">
        <x:f>IF(I733=1,IF(J733=0,Q733,IF(J733=1,P733,IF(J733=2,O733,0))),0)</x:f>
        <x:v>0</x:v>
      </x:c>
      <x:c r="T733" s="19" t="n">
        <x:f>K733+IF(AND(S733=1,J733=0),1,0)</x:f>
        <x:v>1</x:v>
      </x:c>
      <x:c r="U733" s="19" t="n">
        <x:f>L733+IF(AND(S733=1,J733=1),1,0)</x:f>
        <x:v>2</x:v>
      </x:c>
      <x:c r="V733" s="19" t="n">
        <x:f>M733+IF(AND(S733=1,J733=2),1,0)</x:f>
        <x:v>4</x:v>
      </x:c>
      <x:c r="W733" s="19" t="n">
        <x:f>SUM(T733:V733)</x:f>
        <x:v>7</x:v>
      </x:c>
      <x:c r="X733" s="19" t="n">
        <x:f>W733-G733</x:f>
        <x:v>0</x:v>
      </x:c>
      <x:c r="Y733" s="19" t="n">
        <x:f>MAX(T733,1)+MAX(U733,1)+MAX(V733,1)</x:f>
        <x:v>7</x:v>
      </x:c>
      <x:c r="Z733" s="21" t="str">
        <x:f>IF(AND(MIN(D733:F733)&gt;=0,MAX(D733:F733)&lt;=7,MAX(D733,1)+MAX(E733,1)+MAX(F733,1)&lt;=9,OR(H733="-",AND(H733=0,D733&gt;0),AND(H733=1,E733&gt;0),AND(H733=2,F733&gt;0)),OR(I733=0,AND(I733=1,OR(J733=0,J733=1,J733=2),R733&lt;&gt;"000")),Y733&lt;=9,MIN(T733:V733)&gt;=0),"合法","输入违约")</x:f>
        <x:v>合法</x:v>
      </x:c>
    </x:row>
    <x:row r="734" ht="23" customHeight="1">
      <x:c r="A734" s="3" t="str">
        <x:v>CT-0727</x:v>
      </x:c>
      <x:c r="B734" s="3" t="str">
        <x:v>ST-095</x:v>
      </x:c>
      <x:c r="C734" s="3" t="str">
        <x:v>仅AR接收</x:v>
      </x:c>
      <x:c r="D734" s="25" t="n">
        <x:v>1</x:v>
      </x:c>
      <x:c r="E734" s="25" t="n">
        <x:v>2</x:v>
      </x:c>
      <x:c r="F734" s="25" t="n">
        <x:v>4</x:v>
      </x:c>
      <x:c r="G734" s="19" t="n">
        <x:f>SUM(D734:F734)</x:f>
        <x:v>7</x:v>
      </x:c>
      <x:c r="H734" s="25" t="str">
        <x:v>-</x:v>
      </x:c>
      <x:c r="I734" s="25" t="n">
        <x:v>1</x:v>
      </x:c>
      <x:c r="J734" s="25" t="n">
        <x:v>0</x:v>
      </x:c>
      <x:c r="K734" s="19" t="n">
        <x:f>D734-IF(H734=0,1,0)</x:f>
        <x:v>1</x:v>
      </x:c>
      <x:c r="L734" s="19" t="n">
        <x:f>E734-IF(H734=1,1,0)</x:f>
        <x:v>2</x:v>
      </x:c>
      <x:c r="M734" s="19" t="n">
        <x:f>F734-IF(H734=2,1,0)</x:f>
        <x:v>4</x:v>
      </x:c>
      <x:c r="N734" s="19" t="n">
        <x:f>MAX(K734-1,0)+MAX(L734-1,0)+MAX(M734-1,0)</x:f>
        <x:v>4</x:v>
      </x:c>
      <x:c r="O734" s="19" t="n">
        <x:f>IF(AND(SUM(K734:M734)&lt;9,OR(M734=0,N734&lt;6)),1,0)</x:f>
        <x:v>1</x:v>
      </x:c>
      <x:c r="P734" s="19" t="n">
        <x:f>IF(AND(SUM(K734:M734)&lt;9,OR(L734=0,N734&lt;6)),1,0)</x:f>
        <x:v>1</x:v>
      </x:c>
      <x:c r="Q734" s="19" t="n">
        <x:f>IF(AND(SUM(K734:M734)&lt;9,OR(K734=0,N734&lt;6)),1,0)</x:f>
        <x:v>1</x:v>
      </x:c>
      <x:c r="R734" s="22" t="str">
        <x:f>O734&amp;P734&amp;Q734</x:f>
        <x:v>111</x:v>
      </x:c>
      <x:c r="S734" s="19" t="n">
        <x:f>IF(I734=1,IF(J734=0,Q734,IF(J734=1,P734,IF(J734=2,O734,0))),0)</x:f>
        <x:v>1</x:v>
      </x:c>
      <x:c r="T734" s="19" t="n">
        <x:f>K734+IF(AND(S734=1,J734=0),1,0)</x:f>
        <x:v>2</x:v>
      </x:c>
      <x:c r="U734" s="19" t="n">
        <x:f>L734+IF(AND(S734=1,J734=1),1,0)</x:f>
        <x:v>2</x:v>
      </x:c>
      <x:c r="V734" s="19" t="n">
        <x:f>M734+IF(AND(S734=1,J734=2),1,0)</x:f>
        <x:v>4</x:v>
      </x:c>
      <x:c r="W734" s="19" t="n">
        <x:f>SUM(T734:V734)</x:f>
        <x:v>8</x:v>
      </x:c>
      <x:c r="X734" s="19" t="n">
        <x:f>W734-G734</x:f>
        <x:v>1</x:v>
      </x:c>
      <x:c r="Y734" s="19" t="n">
        <x:f>MAX(T734,1)+MAX(U734,1)+MAX(V734,1)</x:f>
        <x:v>8</x:v>
      </x:c>
      <x:c r="Z734" s="21" t="str">
        <x:f>IF(AND(MIN(D734:F734)&gt;=0,MAX(D734:F734)&lt;=7,MAX(D734,1)+MAX(E734,1)+MAX(F734,1)&lt;=9,OR(H734="-",AND(H734=0,D734&gt;0),AND(H734=1,E734&gt;0),AND(H734=2,F734&gt;0)),OR(I734=0,AND(I734=1,OR(J734=0,J734=1,J734=2),R734&lt;&gt;"000")),Y734&lt;=9,MIN(T734:V734)&gt;=0),"合法","输入违约")</x:f>
        <x:v>合法</x:v>
      </x:c>
    </x:row>
    <x:row r="735" ht="23" customHeight="1">
      <x:c r="A735" s="3" t="str">
        <x:v>CT-0728</x:v>
      </x:c>
      <x:c r="B735" s="3" t="str">
        <x:v>ST-095</x:v>
      </x:c>
      <x:c r="C735" s="3" t="str">
        <x:v>仅AR接收</x:v>
      </x:c>
      <x:c r="D735" s="25" t="n">
        <x:v>1</x:v>
      </x:c>
      <x:c r="E735" s="25" t="n">
        <x:v>2</x:v>
      </x:c>
      <x:c r="F735" s="25" t="n">
        <x:v>4</x:v>
      </x:c>
      <x:c r="G735" s="19" t="n">
        <x:f>SUM(D735:F735)</x:f>
        <x:v>7</x:v>
      </x:c>
      <x:c r="H735" s="25" t="str">
        <x:v>-</x:v>
      </x:c>
      <x:c r="I735" s="25" t="n">
        <x:v>1</x:v>
      </x:c>
      <x:c r="J735" s="25" t="n">
        <x:v>1</x:v>
      </x:c>
      <x:c r="K735" s="19" t="n">
        <x:f>D735-IF(H735=0,1,0)</x:f>
        <x:v>1</x:v>
      </x:c>
      <x:c r="L735" s="19" t="n">
        <x:f>E735-IF(H735=1,1,0)</x:f>
        <x:v>2</x:v>
      </x:c>
      <x:c r="M735" s="19" t="n">
        <x:f>F735-IF(H735=2,1,0)</x:f>
        <x:v>4</x:v>
      </x:c>
      <x:c r="N735" s="19" t="n">
        <x:f>MAX(K735-1,0)+MAX(L735-1,0)+MAX(M735-1,0)</x:f>
        <x:v>4</x:v>
      </x:c>
      <x:c r="O735" s="19" t="n">
        <x:f>IF(AND(SUM(K735:M735)&lt;9,OR(M735=0,N735&lt;6)),1,0)</x:f>
        <x:v>1</x:v>
      </x:c>
      <x:c r="P735" s="19" t="n">
        <x:f>IF(AND(SUM(K735:M735)&lt;9,OR(L735=0,N735&lt;6)),1,0)</x:f>
        <x:v>1</x:v>
      </x:c>
      <x:c r="Q735" s="19" t="n">
        <x:f>IF(AND(SUM(K735:M735)&lt;9,OR(K735=0,N735&lt;6)),1,0)</x:f>
        <x:v>1</x:v>
      </x:c>
      <x:c r="R735" s="22" t="str">
        <x:f>O735&amp;P735&amp;Q735</x:f>
        <x:v>111</x:v>
      </x:c>
      <x:c r="S735" s="19" t="n">
        <x:f>IF(I735=1,IF(J735=0,Q735,IF(J735=1,P735,IF(J735=2,O735,0))),0)</x:f>
        <x:v>1</x:v>
      </x:c>
      <x:c r="T735" s="19" t="n">
        <x:f>K735+IF(AND(S735=1,J735=0),1,0)</x:f>
        <x:v>1</x:v>
      </x:c>
      <x:c r="U735" s="19" t="n">
        <x:f>L735+IF(AND(S735=1,J735=1),1,0)</x:f>
        <x:v>3</x:v>
      </x:c>
      <x:c r="V735" s="19" t="n">
        <x:f>M735+IF(AND(S735=1,J735=2),1,0)</x:f>
        <x:v>4</x:v>
      </x:c>
      <x:c r="W735" s="19" t="n">
        <x:f>SUM(T735:V735)</x:f>
        <x:v>8</x:v>
      </x:c>
      <x:c r="X735" s="19" t="n">
        <x:f>W735-G735</x:f>
        <x:v>1</x:v>
      </x:c>
      <x:c r="Y735" s="19" t="n">
        <x:f>MAX(T735,1)+MAX(U735,1)+MAX(V735,1)</x:f>
        <x:v>8</x:v>
      </x:c>
      <x:c r="Z735" s="21" t="str">
        <x:f>IF(AND(MIN(D735:F735)&gt;=0,MAX(D735:F735)&lt;=7,MAX(D735,1)+MAX(E735,1)+MAX(F735,1)&lt;=9,OR(H735="-",AND(H735=0,D735&gt;0),AND(H735=1,E735&gt;0),AND(H735=2,F735&gt;0)),OR(I735=0,AND(I735=1,OR(J735=0,J735=1,J735=2),R735&lt;&gt;"000")),Y735&lt;=9,MIN(T735:V735)&gt;=0),"合法","输入违约")</x:f>
        <x:v>合法</x:v>
      </x:c>
    </x:row>
    <x:row r="736" ht="23" customHeight="1">
      <x:c r="A736" s="3" t="str">
        <x:v>CT-0729</x:v>
      </x:c>
      <x:c r="B736" s="3" t="str">
        <x:v>ST-095</x:v>
      </x:c>
      <x:c r="C736" s="3" t="str">
        <x:v>仅AR接收</x:v>
      </x:c>
      <x:c r="D736" s="25" t="n">
        <x:v>1</x:v>
      </x:c>
      <x:c r="E736" s="25" t="n">
        <x:v>2</x:v>
      </x:c>
      <x:c r="F736" s="25" t="n">
        <x:v>4</x:v>
      </x:c>
      <x:c r="G736" s="19" t="n">
        <x:f>SUM(D736:F736)</x:f>
        <x:v>7</x:v>
      </x:c>
      <x:c r="H736" s="25" t="str">
        <x:v>-</x:v>
      </x:c>
      <x:c r="I736" s="25" t="n">
        <x:v>1</x:v>
      </x:c>
      <x:c r="J736" s="25" t="n">
        <x:v>2</x:v>
      </x:c>
      <x:c r="K736" s="19" t="n">
        <x:f>D736-IF(H736=0,1,0)</x:f>
        <x:v>1</x:v>
      </x:c>
      <x:c r="L736" s="19" t="n">
        <x:f>E736-IF(H736=1,1,0)</x:f>
        <x:v>2</x:v>
      </x:c>
      <x:c r="M736" s="19" t="n">
        <x:f>F736-IF(H736=2,1,0)</x:f>
        <x:v>4</x:v>
      </x:c>
      <x:c r="N736" s="19" t="n">
        <x:f>MAX(K736-1,0)+MAX(L736-1,0)+MAX(M736-1,0)</x:f>
        <x:v>4</x:v>
      </x:c>
      <x:c r="O736" s="19" t="n">
        <x:f>IF(AND(SUM(K736:M736)&lt;9,OR(M736=0,N736&lt;6)),1,0)</x:f>
        <x:v>1</x:v>
      </x:c>
      <x:c r="P736" s="19" t="n">
        <x:f>IF(AND(SUM(K736:M736)&lt;9,OR(L736=0,N736&lt;6)),1,0)</x:f>
        <x:v>1</x:v>
      </x:c>
      <x:c r="Q736" s="19" t="n">
        <x:f>IF(AND(SUM(K736:M736)&lt;9,OR(K736=0,N736&lt;6)),1,0)</x:f>
        <x:v>1</x:v>
      </x:c>
      <x:c r="R736" s="22" t="str">
        <x:f>O736&amp;P736&amp;Q736</x:f>
        <x:v>111</x:v>
      </x:c>
      <x:c r="S736" s="19" t="n">
        <x:f>IF(I736=1,IF(J736=0,Q736,IF(J736=1,P736,IF(J736=2,O736,0))),0)</x:f>
        <x:v>1</x:v>
      </x:c>
      <x:c r="T736" s="19" t="n">
        <x:f>K736+IF(AND(S736=1,J736=0),1,0)</x:f>
        <x:v>1</x:v>
      </x:c>
      <x:c r="U736" s="19" t="n">
        <x:f>L736+IF(AND(S736=1,J736=1),1,0)</x:f>
        <x:v>2</x:v>
      </x:c>
      <x:c r="V736" s="19" t="n">
        <x:f>M736+IF(AND(S736=1,J736=2),1,0)</x:f>
        <x:v>5</x:v>
      </x:c>
      <x:c r="W736" s="19" t="n">
        <x:f>SUM(T736:V736)</x:f>
        <x:v>8</x:v>
      </x:c>
      <x:c r="X736" s="19" t="n">
        <x:f>W736-G736</x:f>
        <x:v>1</x:v>
      </x:c>
      <x:c r="Y736" s="19" t="n">
        <x:f>MAX(T736,1)+MAX(U736,1)+MAX(V736,1)</x:f>
        <x:v>8</x:v>
      </x:c>
      <x:c r="Z736" s="21" t="str">
        <x:f>IF(AND(MIN(D736:F736)&gt;=0,MAX(D736:F736)&lt;=7,MAX(D736,1)+MAX(E736,1)+MAX(F736,1)&lt;=9,OR(H736="-",AND(H736=0,D736&gt;0),AND(H736=1,E736&gt;0),AND(H736=2,F736&gt;0)),OR(I736=0,AND(I736=1,OR(J736=0,J736=1,J736=2),R736&lt;&gt;"000")),Y736&lt;=9,MIN(T736:V736)&gt;=0),"合法","输入违约")</x:f>
        <x:v>合法</x:v>
      </x:c>
    </x:row>
    <x:row r="737" ht="23" customHeight="1">
      <x:c r="A737" s="3" t="str">
        <x:v>CT-0730</x:v>
      </x:c>
      <x:c r="B737" s="3" t="str">
        <x:v>ST-095</x:v>
      </x:c>
      <x:c r="C737" s="3" t="str">
        <x:v>仅R回收</x:v>
      </x:c>
      <x:c r="D737" s="25" t="n">
        <x:v>1</x:v>
      </x:c>
      <x:c r="E737" s="25" t="n">
        <x:v>2</x:v>
      </x:c>
      <x:c r="F737" s="25" t="n">
        <x:v>4</x:v>
      </x:c>
      <x:c r="G737" s="19" t="n">
        <x:f>SUM(D737:F737)</x:f>
        <x:v>7</x:v>
      </x:c>
      <x:c r="H737" s="25" t="n">
        <x:v>0</x:v>
      </x:c>
      <x:c r="I737" s="25" t="n">
        <x:v>0</x:v>
      </x:c>
      <x:c r="J737" s="25" t="str">
        <x:v>-</x:v>
      </x:c>
      <x:c r="K737" s="19" t="n">
        <x:f>D737-IF(H737=0,1,0)</x:f>
        <x:v>0</x:v>
      </x:c>
      <x:c r="L737" s="19" t="n">
        <x:f>E737-IF(H737=1,1,0)</x:f>
        <x:v>2</x:v>
      </x:c>
      <x:c r="M737" s="19" t="n">
        <x:f>F737-IF(H737=2,1,0)</x:f>
        <x:v>4</x:v>
      </x:c>
      <x:c r="N737" s="19" t="n">
        <x:f>MAX(K737-1,0)+MAX(L737-1,0)+MAX(M737-1,0)</x:f>
        <x:v>4</x:v>
      </x:c>
      <x:c r="O737" s="19" t="n">
        <x:f>IF(AND(SUM(K737:M737)&lt;9,OR(M737=0,N737&lt;6)),1,0)</x:f>
        <x:v>1</x:v>
      </x:c>
      <x:c r="P737" s="19" t="n">
        <x:f>IF(AND(SUM(K737:M737)&lt;9,OR(L737=0,N737&lt;6)),1,0)</x:f>
        <x:v>1</x:v>
      </x:c>
      <x:c r="Q737" s="19" t="n">
        <x:f>IF(AND(SUM(K737:M737)&lt;9,OR(K737=0,N737&lt;6)),1,0)</x:f>
        <x:v>1</x:v>
      </x:c>
      <x:c r="R737" s="22" t="str">
        <x:f>O737&amp;P737&amp;Q737</x:f>
        <x:v>111</x:v>
      </x:c>
      <x:c r="S737" s="19" t="n">
        <x:f>IF(I737=1,IF(J737=0,Q737,IF(J737=1,P737,IF(J737=2,O737,0))),0)</x:f>
        <x:v>0</x:v>
      </x:c>
      <x:c r="T737" s="19" t="n">
        <x:f>K737+IF(AND(S737=1,J737=0),1,0)</x:f>
        <x:v>0</x:v>
      </x:c>
      <x:c r="U737" s="19" t="n">
        <x:f>L737+IF(AND(S737=1,J737=1),1,0)</x:f>
        <x:v>2</x:v>
      </x:c>
      <x:c r="V737" s="19" t="n">
        <x:f>M737+IF(AND(S737=1,J737=2),1,0)</x:f>
        <x:v>4</x:v>
      </x:c>
      <x:c r="W737" s="19" t="n">
        <x:f>SUM(T737:V737)</x:f>
        <x:v>6</x:v>
      </x:c>
      <x:c r="X737" s="19" t="n">
        <x:f>W737-G737</x:f>
        <x:v>-1</x:v>
      </x:c>
      <x:c r="Y737" s="19" t="n">
        <x:f>MAX(T737,1)+MAX(U737,1)+MAX(V737,1)</x:f>
        <x:v>7</x:v>
      </x:c>
      <x:c r="Z737" s="21" t="str">
        <x:f>IF(AND(MIN(D737:F737)&gt;=0,MAX(D737:F737)&lt;=7,MAX(D737,1)+MAX(E737,1)+MAX(F737,1)&lt;=9,OR(H737="-",AND(H737=0,D737&gt;0),AND(H737=1,E737&gt;0),AND(H737=2,F737&gt;0)),OR(I737=0,AND(I737=1,OR(J737=0,J737=1,J737=2),R737&lt;&gt;"000")),Y737&lt;=9,MIN(T737:V737)&gt;=0),"合法","输入违约")</x:f>
        <x:v>合法</x:v>
      </x:c>
    </x:row>
    <x:row r="738" ht="23" customHeight="1">
      <x:c r="A738" s="3" t="str">
        <x:v>CT-0731</x:v>
      </x:c>
      <x:c r="B738" s="3" t="str">
        <x:v>ST-095</x:v>
      </x:c>
      <x:c r="C738" s="3" t="str">
        <x:v>R+AR同收同发</x:v>
      </x:c>
      <x:c r="D738" s="25" t="n">
        <x:v>1</x:v>
      </x:c>
      <x:c r="E738" s="25" t="n">
        <x:v>2</x:v>
      </x:c>
      <x:c r="F738" s="25" t="n">
        <x:v>4</x:v>
      </x:c>
      <x:c r="G738" s="19" t="n">
        <x:f>SUM(D738:F738)</x:f>
        <x:v>7</x:v>
      </x:c>
      <x:c r="H738" s="25" t="n">
        <x:v>0</x:v>
      </x:c>
      <x:c r="I738" s="25" t="n">
        <x:v>1</x:v>
      </x:c>
      <x:c r="J738" s="25" t="n">
        <x:v>0</x:v>
      </x:c>
      <x:c r="K738" s="19" t="n">
        <x:f>D738-IF(H738=0,1,0)</x:f>
        <x:v>0</x:v>
      </x:c>
      <x:c r="L738" s="19" t="n">
        <x:f>E738-IF(H738=1,1,0)</x:f>
        <x:v>2</x:v>
      </x:c>
      <x:c r="M738" s="19" t="n">
        <x:f>F738-IF(H738=2,1,0)</x:f>
        <x:v>4</x:v>
      </x:c>
      <x:c r="N738" s="19" t="n">
        <x:f>MAX(K738-1,0)+MAX(L738-1,0)+MAX(M738-1,0)</x:f>
        <x:v>4</x:v>
      </x:c>
      <x:c r="O738" s="19" t="n">
        <x:f>IF(AND(SUM(K738:M738)&lt;9,OR(M738=0,N738&lt;6)),1,0)</x:f>
        <x:v>1</x:v>
      </x:c>
      <x:c r="P738" s="19" t="n">
        <x:f>IF(AND(SUM(K738:M738)&lt;9,OR(L738=0,N738&lt;6)),1,0)</x:f>
        <x:v>1</x:v>
      </x:c>
      <x:c r="Q738" s="19" t="n">
        <x:f>IF(AND(SUM(K738:M738)&lt;9,OR(K738=0,N738&lt;6)),1,0)</x:f>
        <x:v>1</x:v>
      </x:c>
      <x:c r="R738" s="22" t="str">
        <x:f>O738&amp;P738&amp;Q738</x:f>
        <x:v>111</x:v>
      </x:c>
      <x:c r="S738" s="19" t="n">
        <x:f>IF(I738=1,IF(J738=0,Q738,IF(J738=1,P738,IF(J738=2,O738,0))),0)</x:f>
        <x:v>1</x:v>
      </x:c>
      <x:c r="T738" s="19" t="n">
        <x:f>K738+IF(AND(S738=1,J738=0),1,0)</x:f>
        <x:v>1</x:v>
      </x:c>
      <x:c r="U738" s="19" t="n">
        <x:f>L738+IF(AND(S738=1,J738=1),1,0)</x:f>
        <x:v>2</x:v>
      </x:c>
      <x:c r="V738" s="19" t="n">
        <x:f>M738+IF(AND(S738=1,J738=2),1,0)</x:f>
        <x:v>4</x:v>
      </x:c>
      <x:c r="W738" s="19" t="n">
        <x:f>SUM(T738:V738)</x:f>
        <x:v>7</x:v>
      </x:c>
      <x:c r="X738" s="19" t="n">
        <x:f>W738-G738</x:f>
        <x:v>0</x:v>
      </x:c>
      <x:c r="Y738" s="19" t="n">
        <x:f>MAX(T738,1)+MAX(U738,1)+MAX(V738,1)</x:f>
        <x:v>7</x:v>
      </x:c>
      <x:c r="Z738" s="21" t="str">
        <x:f>IF(AND(MIN(D738:F738)&gt;=0,MAX(D738:F738)&lt;=7,MAX(D738,1)+MAX(E738,1)+MAX(F738,1)&lt;=9,OR(H738="-",AND(H738=0,D738&gt;0),AND(H738=1,E738&gt;0),AND(H738=2,F738&gt;0)),OR(I738=0,AND(I738=1,OR(J738=0,J738=1,J738=2),R738&lt;&gt;"000")),Y738&lt;=9,MIN(T738:V738)&gt;=0),"合法","输入违约")</x:f>
        <x:v>合法</x:v>
      </x:c>
    </x:row>
    <x:row r="739" ht="23" customHeight="1">
      <x:c r="A739" s="3" t="str">
        <x:v>CT-0732</x:v>
      </x:c>
      <x:c r="B739" s="3" t="str">
        <x:v>ST-095</x:v>
      </x:c>
      <x:c r="C739" s="3" t="str">
        <x:v>R+AR同收同发</x:v>
      </x:c>
      <x:c r="D739" s="25" t="n">
        <x:v>1</x:v>
      </x:c>
      <x:c r="E739" s="25" t="n">
        <x:v>2</x:v>
      </x:c>
      <x:c r="F739" s="25" t="n">
        <x:v>4</x:v>
      </x:c>
      <x:c r="G739" s="19" t="n">
        <x:f>SUM(D739:F739)</x:f>
        <x:v>7</x:v>
      </x:c>
      <x:c r="H739" s="25" t="n">
        <x:v>0</x:v>
      </x:c>
      <x:c r="I739" s="25" t="n">
        <x:v>1</x:v>
      </x:c>
      <x:c r="J739" s="25" t="n">
        <x:v>1</x:v>
      </x:c>
      <x:c r="K739" s="19" t="n">
        <x:f>D739-IF(H739=0,1,0)</x:f>
        <x:v>0</x:v>
      </x:c>
      <x:c r="L739" s="19" t="n">
        <x:f>E739-IF(H739=1,1,0)</x:f>
        <x:v>2</x:v>
      </x:c>
      <x:c r="M739" s="19" t="n">
        <x:f>F739-IF(H739=2,1,0)</x:f>
        <x:v>4</x:v>
      </x:c>
      <x:c r="N739" s="19" t="n">
        <x:f>MAX(K739-1,0)+MAX(L739-1,0)+MAX(M739-1,0)</x:f>
        <x:v>4</x:v>
      </x:c>
      <x:c r="O739" s="19" t="n">
        <x:f>IF(AND(SUM(K739:M739)&lt;9,OR(M739=0,N739&lt;6)),1,0)</x:f>
        <x:v>1</x:v>
      </x:c>
      <x:c r="P739" s="19" t="n">
        <x:f>IF(AND(SUM(K739:M739)&lt;9,OR(L739=0,N739&lt;6)),1,0)</x:f>
        <x:v>1</x:v>
      </x:c>
      <x:c r="Q739" s="19" t="n">
        <x:f>IF(AND(SUM(K739:M739)&lt;9,OR(K739=0,N739&lt;6)),1,0)</x:f>
        <x:v>1</x:v>
      </x:c>
      <x:c r="R739" s="22" t="str">
        <x:f>O739&amp;P739&amp;Q739</x:f>
        <x:v>111</x:v>
      </x:c>
      <x:c r="S739" s="19" t="n">
        <x:f>IF(I739=1,IF(J739=0,Q739,IF(J739=1,P739,IF(J739=2,O739,0))),0)</x:f>
        <x:v>1</x:v>
      </x:c>
      <x:c r="T739" s="19" t="n">
        <x:f>K739+IF(AND(S739=1,J739=0),1,0)</x:f>
        <x:v>0</x:v>
      </x:c>
      <x:c r="U739" s="19" t="n">
        <x:f>L739+IF(AND(S739=1,J739=1),1,0)</x:f>
        <x:v>3</x:v>
      </x:c>
      <x:c r="V739" s="19" t="n">
        <x:f>M739+IF(AND(S739=1,J739=2),1,0)</x:f>
        <x:v>4</x:v>
      </x:c>
      <x:c r="W739" s="19" t="n">
        <x:f>SUM(T739:V739)</x:f>
        <x:v>7</x:v>
      </x:c>
      <x:c r="X739" s="19" t="n">
        <x:f>W739-G739</x:f>
        <x:v>0</x:v>
      </x:c>
      <x:c r="Y739" s="19" t="n">
        <x:f>MAX(T739,1)+MAX(U739,1)+MAX(V739,1)</x:f>
        <x:v>8</x:v>
      </x:c>
      <x:c r="Z739" s="21" t="str">
        <x:f>IF(AND(MIN(D739:F739)&gt;=0,MAX(D739:F739)&lt;=7,MAX(D739,1)+MAX(E739,1)+MAX(F739,1)&lt;=9,OR(H739="-",AND(H739=0,D739&gt;0),AND(H739=1,E739&gt;0),AND(H739=2,F739&gt;0)),OR(I739=0,AND(I739=1,OR(J739=0,J739=1,J739=2),R739&lt;&gt;"000")),Y739&lt;=9,MIN(T739:V739)&gt;=0),"合法","输入违约")</x:f>
        <x:v>合法</x:v>
      </x:c>
    </x:row>
    <x:row r="740" ht="23" customHeight="1">
      <x:c r="A740" s="3" t="str">
        <x:v>CT-0733</x:v>
      </x:c>
      <x:c r="B740" s="3" t="str">
        <x:v>ST-095</x:v>
      </x:c>
      <x:c r="C740" s="3" t="str">
        <x:v>R+AR同收同发</x:v>
      </x:c>
      <x:c r="D740" s="25" t="n">
        <x:v>1</x:v>
      </x:c>
      <x:c r="E740" s="25" t="n">
        <x:v>2</x:v>
      </x:c>
      <x:c r="F740" s="25" t="n">
        <x:v>4</x:v>
      </x:c>
      <x:c r="G740" s="19" t="n">
        <x:f>SUM(D740:F740)</x:f>
        <x:v>7</x:v>
      </x:c>
      <x:c r="H740" s="25" t="n">
        <x:v>0</x:v>
      </x:c>
      <x:c r="I740" s="25" t="n">
        <x:v>1</x:v>
      </x:c>
      <x:c r="J740" s="25" t="n">
        <x:v>2</x:v>
      </x:c>
      <x:c r="K740" s="19" t="n">
        <x:f>D740-IF(H740=0,1,0)</x:f>
        <x:v>0</x:v>
      </x:c>
      <x:c r="L740" s="19" t="n">
        <x:f>E740-IF(H740=1,1,0)</x:f>
        <x:v>2</x:v>
      </x:c>
      <x:c r="M740" s="19" t="n">
        <x:f>F740-IF(H740=2,1,0)</x:f>
        <x:v>4</x:v>
      </x:c>
      <x:c r="N740" s="19" t="n">
        <x:f>MAX(K740-1,0)+MAX(L740-1,0)+MAX(M740-1,0)</x:f>
        <x:v>4</x:v>
      </x:c>
      <x:c r="O740" s="19" t="n">
        <x:f>IF(AND(SUM(K740:M740)&lt;9,OR(M740=0,N740&lt;6)),1,0)</x:f>
        <x:v>1</x:v>
      </x:c>
      <x:c r="P740" s="19" t="n">
        <x:f>IF(AND(SUM(K740:M740)&lt;9,OR(L740=0,N740&lt;6)),1,0)</x:f>
        <x:v>1</x:v>
      </x:c>
      <x:c r="Q740" s="19" t="n">
        <x:f>IF(AND(SUM(K740:M740)&lt;9,OR(K740=0,N740&lt;6)),1,0)</x:f>
        <x:v>1</x:v>
      </x:c>
      <x:c r="R740" s="22" t="str">
        <x:f>O740&amp;P740&amp;Q740</x:f>
        <x:v>111</x:v>
      </x:c>
      <x:c r="S740" s="19" t="n">
        <x:f>IF(I740=1,IF(J740=0,Q740,IF(J740=1,P740,IF(J740=2,O740,0))),0)</x:f>
        <x:v>1</x:v>
      </x:c>
      <x:c r="T740" s="19" t="n">
        <x:f>K740+IF(AND(S740=1,J740=0),1,0)</x:f>
        <x:v>0</x:v>
      </x:c>
      <x:c r="U740" s="19" t="n">
        <x:f>L740+IF(AND(S740=1,J740=1),1,0)</x:f>
        <x:v>2</x:v>
      </x:c>
      <x:c r="V740" s="19" t="n">
        <x:f>M740+IF(AND(S740=1,J740=2),1,0)</x:f>
        <x:v>5</x:v>
      </x:c>
      <x:c r="W740" s="19" t="n">
        <x:f>SUM(T740:V740)</x:f>
        <x:v>7</x:v>
      </x:c>
      <x:c r="X740" s="19" t="n">
        <x:f>W740-G740</x:f>
        <x:v>0</x:v>
      </x:c>
      <x:c r="Y740" s="19" t="n">
        <x:f>MAX(T740,1)+MAX(U740,1)+MAX(V740,1)</x:f>
        <x:v>8</x:v>
      </x:c>
      <x:c r="Z740" s="21" t="str">
        <x:f>IF(AND(MIN(D740:F740)&gt;=0,MAX(D740:F740)&lt;=7,MAX(D740,1)+MAX(E740,1)+MAX(F740,1)&lt;=9,OR(H740="-",AND(H740=0,D740&gt;0),AND(H740=1,E740&gt;0),AND(H740=2,F740&gt;0)),OR(I740=0,AND(I740=1,OR(J740=0,J740=1,J740=2),R740&lt;&gt;"000")),Y740&lt;=9,MIN(T740:V740)&gt;=0),"合法","输入违约")</x:f>
        <x:v>合法</x:v>
      </x:c>
    </x:row>
    <x:row r="741" ht="23" customHeight="1">
      <x:c r="A741" s="3" t="str">
        <x:v>CT-0734</x:v>
      </x:c>
      <x:c r="B741" s="3" t="str">
        <x:v>ST-095</x:v>
      </x:c>
      <x:c r="C741" s="3" t="str">
        <x:v>仅R回收</x:v>
      </x:c>
      <x:c r="D741" s="25" t="n">
        <x:v>1</x:v>
      </x:c>
      <x:c r="E741" s="25" t="n">
        <x:v>2</x:v>
      </x:c>
      <x:c r="F741" s="25" t="n">
        <x:v>4</x:v>
      </x:c>
      <x:c r="G741" s="19" t="n">
        <x:f>SUM(D741:F741)</x:f>
        <x:v>7</x:v>
      </x:c>
      <x:c r="H741" s="25" t="n">
        <x:v>1</x:v>
      </x:c>
      <x:c r="I741" s="25" t="n">
        <x:v>0</x:v>
      </x:c>
      <x:c r="J741" s="25" t="str">
        <x:v>-</x:v>
      </x:c>
      <x:c r="K741" s="19" t="n">
        <x:f>D741-IF(H741=0,1,0)</x:f>
        <x:v>1</x:v>
      </x:c>
      <x:c r="L741" s="19" t="n">
        <x:f>E741-IF(H741=1,1,0)</x:f>
        <x:v>1</x:v>
      </x:c>
      <x:c r="M741" s="19" t="n">
        <x:f>F741-IF(H741=2,1,0)</x:f>
        <x:v>4</x:v>
      </x:c>
      <x:c r="N741" s="19" t="n">
        <x:f>MAX(K741-1,0)+MAX(L741-1,0)+MAX(M741-1,0)</x:f>
        <x:v>3</x:v>
      </x:c>
      <x:c r="O741" s="19" t="n">
        <x:f>IF(AND(SUM(K741:M741)&lt;9,OR(M741=0,N741&lt;6)),1,0)</x:f>
        <x:v>1</x:v>
      </x:c>
      <x:c r="P741" s="19" t="n">
        <x:f>IF(AND(SUM(K741:M741)&lt;9,OR(L741=0,N741&lt;6)),1,0)</x:f>
        <x:v>1</x:v>
      </x:c>
      <x:c r="Q741" s="19" t="n">
        <x:f>IF(AND(SUM(K741:M741)&lt;9,OR(K741=0,N741&lt;6)),1,0)</x:f>
        <x:v>1</x:v>
      </x:c>
      <x:c r="R741" s="22" t="str">
        <x:f>O741&amp;P741&amp;Q741</x:f>
        <x:v>111</x:v>
      </x:c>
      <x:c r="S741" s="19" t="n">
        <x:f>IF(I741=1,IF(J741=0,Q741,IF(J741=1,P741,IF(J741=2,O741,0))),0)</x:f>
        <x:v>0</x:v>
      </x:c>
      <x:c r="T741" s="19" t="n">
        <x:f>K741+IF(AND(S741=1,J741=0),1,0)</x:f>
        <x:v>1</x:v>
      </x:c>
      <x:c r="U741" s="19" t="n">
        <x:f>L741+IF(AND(S741=1,J741=1),1,0)</x:f>
        <x:v>1</x:v>
      </x:c>
      <x:c r="V741" s="19" t="n">
        <x:f>M741+IF(AND(S741=1,J741=2),1,0)</x:f>
        <x:v>4</x:v>
      </x:c>
      <x:c r="W741" s="19" t="n">
        <x:f>SUM(T741:V741)</x:f>
        <x:v>6</x:v>
      </x:c>
      <x:c r="X741" s="19" t="n">
        <x:f>W741-G741</x:f>
        <x:v>-1</x:v>
      </x:c>
      <x:c r="Y741" s="19" t="n">
        <x:f>MAX(T741,1)+MAX(U741,1)+MAX(V741,1)</x:f>
        <x:v>6</x:v>
      </x:c>
      <x:c r="Z741" s="21" t="str">
        <x:f>IF(AND(MIN(D741:F741)&gt;=0,MAX(D741:F741)&lt;=7,MAX(D741,1)+MAX(E741,1)+MAX(F741,1)&lt;=9,OR(H741="-",AND(H741=0,D741&gt;0),AND(H741=1,E741&gt;0),AND(H741=2,F741&gt;0)),OR(I741=0,AND(I741=1,OR(J741=0,J741=1,J741=2),R741&lt;&gt;"000")),Y741&lt;=9,MIN(T741:V741)&gt;=0),"合法","输入违约")</x:f>
        <x:v>合法</x:v>
      </x:c>
    </x:row>
    <x:row r="742" ht="23" customHeight="1">
      <x:c r="A742" s="3" t="str">
        <x:v>CT-0735</x:v>
      </x:c>
      <x:c r="B742" s="3" t="str">
        <x:v>ST-095</x:v>
      </x:c>
      <x:c r="C742" s="3" t="str">
        <x:v>R+AR同收同发</x:v>
      </x:c>
      <x:c r="D742" s="25" t="n">
        <x:v>1</x:v>
      </x:c>
      <x:c r="E742" s="25" t="n">
        <x:v>2</x:v>
      </x:c>
      <x:c r="F742" s="25" t="n">
        <x:v>4</x:v>
      </x:c>
      <x:c r="G742" s="19" t="n">
        <x:f>SUM(D742:F742)</x:f>
        <x:v>7</x:v>
      </x:c>
      <x:c r="H742" s="25" t="n">
        <x:v>1</x:v>
      </x:c>
      <x:c r="I742" s="25" t="n">
        <x:v>1</x:v>
      </x:c>
      <x:c r="J742" s="25" t="n">
        <x:v>0</x:v>
      </x:c>
      <x:c r="K742" s="19" t="n">
        <x:f>D742-IF(H742=0,1,0)</x:f>
        <x:v>1</x:v>
      </x:c>
      <x:c r="L742" s="19" t="n">
        <x:f>E742-IF(H742=1,1,0)</x:f>
        <x:v>1</x:v>
      </x:c>
      <x:c r="M742" s="19" t="n">
        <x:f>F742-IF(H742=2,1,0)</x:f>
        <x:v>4</x:v>
      </x:c>
      <x:c r="N742" s="19" t="n">
        <x:f>MAX(K742-1,0)+MAX(L742-1,0)+MAX(M742-1,0)</x:f>
        <x:v>3</x:v>
      </x:c>
      <x:c r="O742" s="19" t="n">
        <x:f>IF(AND(SUM(K742:M742)&lt;9,OR(M742=0,N742&lt;6)),1,0)</x:f>
        <x:v>1</x:v>
      </x:c>
      <x:c r="P742" s="19" t="n">
        <x:f>IF(AND(SUM(K742:M742)&lt;9,OR(L742=0,N742&lt;6)),1,0)</x:f>
        <x:v>1</x:v>
      </x:c>
      <x:c r="Q742" s="19" t="n">
        <x:f>IF(AND(SUM(K742:M742)&lt;9,OR(K742=0,N742&lt;6)),1,0)</x:f>
        <x:v>1</x:v>
      </x:c>
      <x:c r="R742" s="22" t="str">
        <x:f>O742&amp;P742&amp;Q742</x:f>
        <x:v>111</x:v>
      </x:c>
      <x:c r="S742" s="19" t="n">
        <x:f>IF(I742=1,IF(J742=0,Q742,IF(J742=1,P742,IF(J742=2,O742,0))),0)</x:f>
        <x:v>1</x:v>
      </x:c>
      <x:c r="T742" s="19" t="n">
        <x:f>K742+IF(AND(S742=1,J742=0),1,0)</x:f>
        <x:v>2</x:v>
      </x:c>
      <x:c r="U742" s="19" t="n">
        <x:f>L742+IF(AND(S742=1,J742=1),1,0)</x:f>
        <x:v>1</x:v>
      </x:c>
      <x:c r="V742" s="19" t="n">
        <x:f>M742+IF(AND(S742=1,J742=2),1,0)</x:f>
        <x:v>4</x:v>
      </x:c>
      <x:c r="W742" s="19" t="n">
        <x:f>SUM(T742:V742)</x:f>
        <x:v>7</x:v>
      </x:c>
      <x:c r="X742" s="19" t="n">
        <x:f>W742-G742</x:f>
        <x:v>0</x:v>
      </x:c>
      <x:c r="Y742" s="19" t="n">
        <x:f>MAX(T742,1)+MAX(U742,1)+MAX(V742,1)</x:f>
        <x:v>7</x:v>
      </x:c>
      <x:c r="Z742" s="21" t="str">
        <x:f>IF(AND(MIN(D742:F742)&gt;=0,MAX(D742:F742)&lt;=7,MAX(D742,1)+MAX(E742,1)+MAX(F742,1)&lt;=9,OR(H742="-",AND(H742=0,D742&gt;0),AND(H742=1,E742&gt;0),AND(H742=2,F742&gt;0)),OR(I742=0,AND(I742=1,OR(J742=0,J742=1,J742=2),R742&lt;&gt;"000")),Y742&lt;=9,MIN(T742:V742)&gt;=0),"合法","输入违约")</x:f>
        <x:v>合法</x:v>
      </x:c>
    </x:row>
    <x:row r="743" ht="23" customHeight="1">
      <x:c r="A743" s="3" t="str">
        <x:v>CT-0736</x:v>
      </x:c>
      <x:c r="B743" s="3" t="str">
        <x:v>ST-095</x:v>
      </x:c>
      <x:c r="C743" s="3" t="str">
        <x:v>R+AR同收同发</x:v>
      </x:c>
      <x:c r="D743" s="25" t="n">
        <x:v>1</x:v>
      </x:c>
      <x:c r="E743" s="25" t="n">
        <x:v>2</x:v>
      </x:c>
      <x:c r="F743" s="25" t="n">
        <x:v>4</x:v>
      </x:c>
      <x:c r="G743" s="19" t="n">
        <x:f>SUM(D743:F743)</x:f>
        <x:v>7</x:v>
      </x:c>
      <x:c r="H743" s="25" t="n">
        <x:v>1</x:v>
      </x:c>
      <x:c r="I743" s="25" t="n">
        <x:v>1</x:v>
      </x:c>
      <x:c r="J743" s="25" t="n">
        <x:v>1</x:v>
      </x:c>
      <x:c r="K743" s="19" t="n">
        <x:f>D743-IF(H743=0,1,0)</x:f>
        <x:v>1</x:v>
      </x:c>
      <x:c r="L743" s="19" t="n">
        <x:f>E743-IF(H743=1,1,0)</x:f>
        <x:v>1</x:v>
      </x:c>
      <x:c r="M743" s="19" t="n">
        <x:f>F743-IF(H743=2,1,0)</x:f>
        <x:v>4</x:v>
      </x:c>
      <x:c r="N743" s="19" t="n">
        <x:f>MAX(K743-1,0)+MAX(L743-1,0)+MAX(M743-1,0)</x:f>
        <x:v>3</x:v>
      </x:c>
      <x:c r="O743" s="19" t="n">
        <x:f>IF(AND(SUM(K743:M743)&lt;9,OR(M743=0,N743&lt;6)),1,0)</x:f>
        <x:v>1</x:v>
      </x:c>
      <x:c r="P743" s="19" t="n">
        <x:f>IF(AND(SUM(K743:M743)&lt;9,OR(L743=0,N743&lt;6)),1,0)</x:f>
        <x:v>1</x:v>
      </x:c>
      <x:c r="Q743" s="19" t="n">
        <x:f>IF(AND(SUM(K743:M743)&lt;9,OR(K743=0,N743&lt;6)),1,0)</x:f>
        <x:v>1</x:v>
      </x:c>
      <x:c r="R743" s="22" t="str">
        <x:f>O743&amp;P743&amp;Q743</x:f>
        <x:v>111</x:v>
      </x:c>
      <x:c r="S743" s="19" t="n">
        <x:f>IF(I743=1,IF(J743=0,Q743,IF(J743=1,P743,IF(J743=2,O743,0))),0)</x:f>
        <x:v>1</x:v>
      </x:c>
      <x:c r="T743" s="19" t="n">
        <x:f>K743+IF(AND(S743=1,J743=0),1,0)</x:f>
        <x:v>1</x:v>
      </x:c>
      <x:c r="U743" s="19" t="n">
        <x:f>L743+IF(AND(S743=1,J743=1),1,0)</x:f>
        <x:v>2</x:v>
      </x:c>
      <x:c r="V743" s="19" t="n">
        <x:f>M743+IF(AND(S743=1,J743=2),1,0)</x:f>
        <x:v>4</x:v>
      </x:c>
      <x:c r="W743" s="19" t="n">
        <x:f>SUM(T743:V743)</x:f>
        <x:v>7</x:v>
      </x:c>
      <x:c r="X743" s="19" t="n">
        <x:f>W743-G743</x:f>
        <x:v>0</x:v>
      </x:c>
      <x:c r="Y743" s="19" t="n">
        <x:f>MAX(T743,1)+MAX(U743,1)+MAX(V743,1)</x:f>
        <x:v>7</x:v>
      </x:c>
      <x:c r="Z743" s="21" t="str">
        <x:f>IF(AND(MIN(D743:F743)&gt;=0,MAX(D743:F743)&lt;=7,MAX(D743,1)+MAX(E743,1)+MAX(F743,1)&lt;=9,OR(H743="-",AND(H743=0,D743&gt;0),AND(H743=1,E743&gt;0),AND(H743=2,F743&gt;0)),OR(I743=0,AND(I743=1,OR(J743=0,J743=1,J743=2),R743&lt;&gt;"000")),Y743&lt;=9,MIN(T743:V743)&gt;=0),"合法","输入违约")</x:f>
        <x:v>合法</x:v>
      </x:c>
    </x:row>
    <x:row r="744" ht="23" customHeight="1">
      <x:c r="A744" s="3" t="str">
        <x:v>CT-0737</x:v>
      </x:c>
      <x:c r="B744" s="3" t="str">
        <x:v>ST-095</x:v>
      </x:c>
      <x:c r="C744" s="3" t="str">
        <x:v>R+AR同收同发</x:v>
      </x:c>
      <x:c r="D744" s="25" t="n">
        <x:v>1</x:v>
      </x:c>
      <x:c r="E744" s="25" t="n">
        <x:v>2</x:v>
      </x:c>
      <x:c r="F744" s="25" t="n">
        <x:v>4</x:v>
      </x:c>
      <x:c r="G744" s="19" t="n">
        <x:f>SUM(D744:F744)</x:f>
        <x:v>7</x:v>
      </x:c>
      <x:c r="H744" s="25" t="n">
        <x:v>1</x:v>
      </x:c>
      <x:c r="I744" s="25" t="n">
        <x:v>1</x:v>
      </x:c>
      <x:c r="J744" s="25" t="n">
        <x:v>2</x:v>
      </x:c>
      <x:c r="K744" s="19" t="n">
        <x:f>D744-IF(H744=0,1,0)</x:f>
        <x:v>1</x:v>
      </x:c>
      <x:c r="L744" s="19" t="n">
        <x:f>E744-IF(H744=1,1,0)</x:f>
        <x:v>1</x:v>
      </x:c>
      <x:c r="M744" s="19" t="n">
        <x:f>F744-IF(H744=2,1,0)</x:f>
        <x:v>4</x:v>
      </x:c>
      <x:c r="N744" s="19" t="n">
        <x:f>MAX(K744-1,0)+MAX(L744-1,0)+MAX(M744-1,0)</x:f>
        <x:v>3</x:v>
      </x:c>
      <x:c r="O744" s="19" t="n">
        <x:f>IF(AND(SUM(K744:M744)&lt;9,OR(M744=0,N744&lt;6)),1,0)</x:f>
        <x:v>1</x:v>
      </x:c>
      <x:c r="P744" s="19" t="n">
        <x:f>IF(AND(SUM(K744:M744)&lt;9,OR(L744=0,N744&lt;6)),1,0)</x:f>
        <x:v>1</x:v>
      </x:c>
      <x:c r="Q744" s="19" t="n">
        <x:f>IF(AND(SUM(K744:M744)&lt;9,OR(K744=0,N744&lt;6)),1,0)</x:f>
        <x:v>1</x:v>
      </x:c>
      <x:c r="R744" s="22" t="str">
        <x:f>O744&amp;P744&amp;Q744</x:f>
        <x:v>111</x:v>
      </x:c>
      <x:c r="S744" s="19" t="n">
        <x:f>IF(I744=1,IF(J744=0,Q744,IF(J744=1,P744,IF(J744=2,O744,0))),0)</x:f>
        <x:v>1</x:v>
      </x:c>
      <x:c r="T744" s="19" t="n">
        <x:f>K744+IF(AND(S744=1,J744=0),1,0)</x:f>
        <x:v>1</x:v>
      </x:c>
      <x:c r="U744" s="19" t="n">
        <x:f>L744+IF(AND(S744=1,J744=1),1,0)</x:f>
        <x:v>1</x:v>
      </x:c>
      <x:c r="V744" s="19" t="n">
        <x:f>M744+IF(AND(S744=1,J744=2),1,0)</x:f>
        <x:v>5</x:v>
      </x:c>
      <x:c r="W744" s="19" t="n">
        <x:f>SUM(T744:V744)</x:f>
        <x:v>7</x:v>
      </x:c>
      <x:c r="X744" s="19" t="n">
        <x:f>W744-G744</x:f>
        <x:v>0</x:v>
      </x:c>
      <x:c r="Y744" s="19" t="n">
        <x:f>MAX(T744,1)+MAX(U744,1)+MAX(V744,1)</x:f>
        <x:v>7</x:v>
      </x:c>
      <x:c r="Z744" s="21" t="str">
        <x:f>IF(AND(MIN(D744:F744)&gt;=0,MAX(D744:F744)&lt;=7,MAX(D744,1)+MAX(E744,1)+MAX(F744,1)&lt;=9,OR(H744="-",AND(H744=0,D744&gt;0),AND(H744=1,E744&gt;0),AND(H744=2,F744&gt;0)),OR(I744=0,AND(I744=1,OR(J744=0,J744=1,J744=2),R744&lt;&gt;"000")),Y744&lt;=9,MIN(T744:V744)&gt;=0),"合法","输入违约")</x:f>
        <x:v>合法</x:v>
      </x:c>
    </x:row>
    <x:row r="745" ht="23" customHeight="1">
      <x:c r="A745" s="3" t="str">
        <x:v>CT-0738</x:v>
      </x:c>
      <x:c r="B745" s="3" t="str">
        <x:v>ST-095</x:v>
      </x:c>
      <x:c r="C745" s="3" t="str">
        <x:v>仅R回收</x:v>
      </x:c>
      <x:c r="D745" s="25" t="n">
        <x:v>1</x:v>
      </x:c>
      <x:c r="E745" s="25" t="n">
        <x:v>2</x:v>
      </x:c>
      <x:c r="F745" s="25" t="n">
        <x:v>4</x:v>
      </x:c>
      <x:c r="G745" s="19" t="n">
        <x:f>SUM(D745:F745)</x:f>
        <x:v>7</x:v>
      </x:c>
      <x:c r="H745" s="25" t="n">
        <x:v>2</x:v>
      </x:c>
      <x:c r="I745" s="25" t="n">
        <x:v>0</x:v>
      </x:c>
      <x:c r="J745" s="25" t="str">
        <x:v>-</x:v>
      </x:c>
      <x:c r="K745" s="19" t="n">
        <x:f>D745-IF(H745=0,1,0)</x:f>
        <x:v>1</x:v>
      </x:c>
      <x:c r="L745" s="19" t="n">
        <x:f>E745-IF(H745=1,1,0)</x:f>
        <x:v>2</x:v>
      </x:c>
      <x:c r="M745" s="19" t="n">
        <x:f>F745-IF(H745=2,1,0)</x:f>
        <x:v>3</x:v>
      </x:c>
      <x:c r="N745" s="19" t="n">
        <x:f>MAX(K745-1,0)+MAX(L745-1,0)+MAX(M745-1,0)</x:f>
        <x:v>3</x:v>
      </x:c>
      <x:c r="O745" s="19" t="n">
        <x:f>IF(AND(SUM(K745:M745)&lt;9,OR(M745=0,N745&lt;6)),1,0)</x:f>
        <x:v>1</x:v>
      </x:c>
      <x:c r="P745" s="19" t="n">
        <x:f>IF(AND(SUM(K745:M745)&lt;9,OR(L745=0,N745&lt;6)),1,0)</x:f>
        <x:v>1</x:v>
      </x:c>
      <x:c r="Q745" s="19" t="n">
        <x:f>IF(AND(SUM(K745:M745)&lt;9,OR(K745=0,N745&lt;6)),1,0)</x:f>
        <x:v>1</x:v>
      </x:c>
      <x:c r="R745" s="22" t="str">
        <x:f>O745&amp;P745&amp;Q745</x:f>
        <x:v>111</x:v>
      </x:c>
      <x:c r="S745" s="19" t="n">
        <x:f>IF(I745=1,IF(J745=0,Q745,IF(J745=1,P745,IF(J745=2,O745,0))),0)</x:f>
        <x:v>0</x:v>
      </x:c>
      <x:c r="T745" s="19" t="n">
        <x:f>K745+IF(AND(S745=1,J745=0),1,0)</x:f>
        <x:v>1</x:v>
      </x:c>
      <x:c r="U745" s="19" t="n">
        <x:f>L745+IF(AND(S745=1,J745=1),1,0)</x:f>
        <x:v>2</x:v>
      </x:c>
      <x:c r="V745" s="19" t="n">
        <x:f>M745+IF(AND(S745=1,J745=2),1,0)</x:f>
        <x:v>3</x:v>
      </x:c>
      <x:c r="W745" s="19" t="n">
        <x:f>SUM(T745:V745)</x:f>
        <x:v>6</x:v>
      </x:c>
      <x:c r="X745" s="19" t="n">
        <x:f>W745-G745</x:f>
        <x:v>-1</x:v>
      </x:c>
      <x:c r="Y745" s="19" t="n">
        <x:f>MAX(T745,1)+MAX(U745,1)+MAX(V745,1)</x:f>
        <x:v>6</x:v>
      </x:c>
      <x:c r="Z745" s="21" t="str">
        <x:f>IF(AND(MIN(D745:F745)&gt;=0,MAX(D745:F745)&lt;=7,MAX(D745,1)+MAX(E745,1)+MAX(F745,1)&lt;=9,OR(H745="-",AND(H745=0,D745&gt;0),AND(H745=1,E745&gt;0),AND(H745=2,F745&gt;0)),OR(I745=0,AND(I745=1,OR(J745=0,J745=1,J745=2),R745&lt;&gt;"000")),Y745&lt;=9,MIN(T745:V745)&gt;=0),"合法","输入违约")</x:f>
        <x:v>合法</x:v>
      </x:c>
    </x:row>
    <x:row r="746" ht="23" customHeight="1">
      <x:c r="A746" s="3" t="str">
        <x:v>CT-0739</x:v>
      </x:c>
      <x:c r="B746" s="3" t="str">
        <x:v>ST-095</x:v>
      </x:c>
      <x:c r="C746" s="3" t="str">
        <x:v>R+AR同收同发</x:v>
      </x:c>
      <x:c r="D746" s="25" t="n">
        <x:v>1</x:v>
      </x:c>
      <x:c r="E746" s="25" t="n">
        <x:v>2</x:v>
      </x:c>
      <x:c r="F746" s="25" t="n">
        <x:v>4</x:v>
      </x:c>
      <x:c r="G746" s="19" t="n">
        <x:f>SUM(D746:F746)</x:f>
        <x:v>7</x:v>
      </x:c>
      <x:c r="H746" s="25" t="n">
        <x:v>2</x:v>
      </x:c>
      <x:c r="I746" s="25" t="n">
        <x:v>1</x:v>
      </x:c>
      <x:c r="J746" s="25" t="n">
        <x:v>0</x:v>
      </x:c>
      <x:c r="K746" s="19" t="n">
        <x:f>D746-IF(H746=0,1,0)</x:f>
        <x:v>1</x:v>
      </x:c>
      <x:c r="L746" s="19" t="n">
        <x:f>E746-IF(H746=1,1,0)</x:f>
        <x:v>2</x:v>
      </x:c>
      <x:c r="M746" s="19" t="n">
        <x:f>F746-IF(H746=2,1,0)</x:f>
        <x:v>3</x:v>
      </x:c>
      <x:c r="N746" s="19" t="n">
        <x:f>MAX(K746-1,0)+MAX(L746-1,0)+MAX(M746-1,0)</x:f>
        <x:v>3</x:v>
      </x:c>
      <x:c r="O746" s="19" t="n">
        <x:f>IF(AND(SUM(K746:M746)&lt;9,OR(M746=0,N746&lt;6)),1,0)</x:f>
        <x:v>1</x:v>
      </x:c>
      <x:c r="P746" s="19" t="n">
        <x:f>IF(AND(SUM(K746:M746)&lt;9,OR(L746=0,N746&lt;6)),1,0)</x:f>
        <x:v>1</x:v>
      </x:c>
      <x:c r="Q746" s="19" t="n">
        <x:f>IF(AND(SUM(K746:M746)&lt;9,OR(K746=0,N746&lt;6)),1,0)</x:f>
        <x:v>1</x:v>
      </x:c>
      <x:c r="R746" s="22" t="str">
        <x:f>O746&amp;P746&amp;Q746</x:f>
        <x:v>111</x:v>
      </x:c>
      <x:c r="S746" s="19" t="n">
        <x:f>IF(I746=1,IF(J746=0,Q746,IF(J746=1,P746,IF(J746=2,O746,0))),0)</x:f>
        <x:v>1</x:v>
      </x:c>
      <x:c r="T746" s="19" t="n">
        <x:f>K746+IF(AND(S746=1,J746=0),1,0)</x:f>
        <x:v>2</x:v>
      </x:c>
      <x:c r="U746" s="19" t="n">
        <x:f>L746+IF(AND(S746=1,J746=1),1,0)</x:f>
        <x:v>2</x:v>
      </x:c>
      <x:c r="V746" s="19" t="n">
        <x:f>M746+IF(AND(S746=1,J746=2),1,0)</x:f>
        <x:v>3</x:v>
      </x:c>
      <x:c r="W746" s="19" t="n">
        <x:f>SUM(T746:V746)</x:f>
        <x:v>7</x:v>
      </x:c>
      <x:c r="X746" s="19" t="n">
        <x:f>W746-G746</x:f>
        <x:v>0</x:v>
      </x:c>
      <x:c r="Y746" s="19" t="n">
        <x:f>MAX(T746,1)+MAX(U746,1)+MAX(V746,1)</x:f>
        <x:v>7</x:v>
      </x:c>
      <x:c r="Z746" s="21" t="str">
        <x:f>IF(AND(MIN(D746:F746)&gt;=0,MAX(D746:F746)&lt;=7,MAX(D746,1)+MAX(E746,1)+MAX(F746,1)&lt;=9,OR(H746="-",AND(H746=0,D746&gt;0),AND(H746=1,E746&gt;0),AND(H746=2,F746&gt;0)),OR(I746=0,AND(I746=1,OR(J746=0,J746=1,J746=2),R746&lt;&gt;"000")),Y746&lt;=9,MIN(T746:V746)&gt;=0),"合法","输入违约")</x:f>
        <x:v>合法</x:v>
      </x:c>
    </x:row>
    <x:row r="747" ht="23" customHeight="1">
      <x:c r="A747" s="3" t="str">
        <x:v>CT-0740</x:v>
      </x:c>
      <x:c r="B747" s="3" t="str">
        <x:v>ST-095</x:v>
      </x:c>
      <x:c r="C747" s="3" t="str">
        <x:v>R+AR同收同发</x:v>
      </x:c>
      <x:c r="D747" s="25" t="n">
        <x:v>1</x:v>
      </x:c>
      <x:c r="E747" s="25" t="n">
        <x:v>2</x:v>
      </x:c>
      <x:c r="F747" s="25" t="n">
        <x:v>4</x:v>
      </x:c>
      <x:c r="G747" s="19" t="n">
        <x:f>SUM(D747:F747)</x:f>
        <x:v>7</x:v>
      </x:c>
      <x:c r="H747" s="25" t="n">
        <x:v>2</x:v>
      </x:c>
      <x:c r="I747" s="25" t="n">
        <x:v>1</x:v>
      </x:c>
      <x:c r="J747" s="25" t="n">
        <x:v>1</x:v>
      </x:c>
      <x:c r="K747" s="19" t="n">
        <x:f>D747-IF(H747=0,1,0)</x:f>
        <x:v>1</x:v>
      </x:c>
      <x:c r="L747" s="19" t="n">
        <x:f>E747-IF(H747=1,1,0)</x:f>
        <x:v>2</x:v>
      </x:c>
      <x:c r="M747" s="19" t="n">
        <x:f>F747-IF(H747=2,1,0)</x:f>
        <x:v>3</x:v>
      </x:c>
      <x:c r="N747" s="19" t="n">
        <x:f>MAX(K747-1,0)+MAX(L747-1,0)+MAX(M747-1,0)</x:f>
        <x:v>3</x:v>
      </x:c>
      <x:c r="O747" s="19" t="n">
        <x:f>IF(AND(SUM(K747:M747)&lt;9,OR(M747=0,N747&lt;6)),1,0)</x:f>
        <x:v>1</x:v>
      </x:c>
      <x:c r="P747" s="19" t="n">
        <x:f>IF(AND(SUM(K747:M747)&lt;9,OR(L747=0,N747&lt;6)),1,0)</x:f>
        <x:v>1</x:v>
      </x:c>
      <x:c r="Q747" s="19" t="n">
        <x:f>IF(AND(SUM(K747:M747)&lt;9,OR(K747=0,N747&lt;6)),1,0)</x:f>
        <x:v>1</x:v>
      </x:c>
      <x:c r="R747" s="22" t="str">
        <x:f>O747&amp;P747&amp;Q747</x:f>
        <x:v>111</x:v>
      </x:c>
      <x:c r="S747" s="19" t="n">
        <x:f>IF(I747=1,IF(J747=0,Q747,IF(J747=1,P747,IF(J747=2,O747,0))),0)</x:f>
        <x:v>1</x:v>
      </x:c>
      <x:c r="T747" s="19" t="n">
        <x:f>K747+IF(AND(S747=1,J747=0),1,0)</x:f>
        <x:v>1</x:v>
      </x:c>
      <x:c r="U747" s="19" t="n">
        <x:f>L747+IF(AND(S747=1,J747=1),1,0)</x:f>
        <x:v>3</x:v>
      </x:c>
      <x:c r="V747" s="19" t="n">
        <x:f>M747+IF(AND(S747=1,J747=2),1,0)</x:f>
        <x:v>3</x:v>
      </x:c>
      <x:c r="W747" s="19" t="n">
        <x:f>SUM(T747:V747)</x:f>
        <x:v>7</x:v>
      </x:c>
      <x:c r="X747" s="19" t="n">
        <x:f>W747-G747</x:f>
        <x:v>0</x:v>
      </x:c>
      <x:c r="Y747" s="19" t="n">
        <x:f>MAX(T747,1)+MAX(U747,1)+MAX(V747,1)</x:f>
        <x:v>7</x:v>
      </x:c>
      <x:c r="Z747" s="21" t="str">
        <x:f>IF(AND(MIN(D747:F747)&gt;=0,MAX(D747:F747)&lt;=7,MAX(D747,1)+MAX(E747,1)+MAX(F747,1)&lt;=9,OR(H747="-",AND(H747=0,D747&gt;0),AND(H747=1,E747&gt;0),AND(H747=2,F747&gt;0)),OR(I747=0,AND(I747=1,OR(J747=0,J747=1,J747=2),R747&lt;&gt;"000")),Y747&lt;=9,MIN(T747:V747)&gt;=0),"合法","输入违约")</x:f>
        <x:v>合法</x:v>
      </x:c>
    </x:row>
    <x:row r="748" ht="23" customHeight="1">
      <x:c r="A748" s="3" t="str">
        <x:v>CT-0741</x:v>
      </x:c>
      <x:c r="B748" s="3" t="str">
        <x:v>ST-095</x:v>
      </x:c>
      <x:c r="C748" s="3" t="str">
        <x:v>R+AR同收同发</x:v>
      </x:c>
      <x:c r="D748" s="25" t="n">
        <x:v>1</x:v>
      </x:c>
      <x:c r="E748" s="25" t="n">
        <x:v>2</x:v>
      </x:c>
      <x:c r="F748" s="25" t="n">
        <x:v>4</x:v>
      </x:c>
      <x:c r="G748" s="19" t="n">
        <x:f>SUM(D748:F748)</x:f>
        <x:v>7</x:v>
      </x:c>
      <x:c r="H748" s="25" t="n">
        <x:v>2</x:v>
      </x:c>
      <x:c r="I748" s="25" t="n">
        <x:v>1</x:v>
      </x:c>
      <x:c r="J748" s="25" t="n">
        <x:v>2</x:v>
      </x:c>
      <x:c r="K748" s="19" t="n">
        <x:f>D748-IF(H748=0,1,0)</x:f>
        <x:v>1</x:v>
      </x:c>
      <x:c r="L748" s="19" t="n">
        <x:f>E748-IF(H748=1,1,0)</x:f>
        <x:v>2</x:v>
      </x:c>
      <x:c r="M748" s="19" t="n">
        <x:f>F748-IF(H748=2,1,0)</x:f>
        <x:v>3</x:v>
      </x:c>
      <x:c r="N748" s="19" t="n">
        <x:f>MAX(K748-1,0)+MAX(L748-1,0)+MAX(M748-1,0)</x:f>
        <x:v>3</x:v>
      </x:c>
      <x:c r="O748" s="19" t="n">
        <x:f>IF(AND(SUM(K748:M748)&lt;9,OR(M748=0,N748&lt;6)),1,0)</x:f>
        <x:v>1</x:v>
      </x:c>
      <x:c r="P748" s="19" t="n">
        <x:f>IF(AND(SUM(K748:M748)&lt;9,OR(L748=0,N748&lt;6)),1,0)</x:f>
        <x:v>1</x:v>
      </x:c>
      <x:c r="Q748" s="19" t="n">
        <x:f>IF(AND(SUM(K748:M748)&lt;9,OR(K748=0,N748&lt;6)),1,0)</x:f>
        <x:v>1</x:v>
      </x:c>
      <x:c r="R748" s="22" t="str">
        <x:f>O748&amp;P748&amp;Q748</x:f>
        <x:v>111</x:v>
      </x:c>
      <x:c r="S748" s="19" t="n">
        <x:f>IF(I748=1,IF(J748=0,Q748,IF(J748=1,P748,IF(J748=2,O748,0))),0)</x:f>
        <x:v>1</x:v>
      </x:c>
      <x:c r="T748" s="19" t="n">
        <x:f>K748+IF(AND(S748=1,J748=0),1,0)</x:f>
        <x:v>1</x:v>
      </x:c>
      <x:c r="U748" s="19" t="n">
        <x:f>L748+IF(AND(S748=1,J748=1),1,0)</x:f>
        <x:v>2</x:v>
      </x:c>
      <x:c r="V748" s="19" t="n">
        <x:f>M748+IF(AND(S748=1,J748=2),1,0)</x:f>
        <x:v>4</x:v>
      </x:c>
      <x:c r="W748" s="19" t="n">
        <x:f>SUM(T748:V748)</x:f>
        <x:v>7</x:v>
      </x:c>
      <x:c r="X748" s="19" t="n">
        <x:f>W748-G748</x:f>
        <x:v>0</x:v>
      </x:c>
      <x:c r="Y748" s="19" t="n">
        <x:f>MAX(T748,1)+MAX(U748,1)+MAX(V748,1)</x:f>
        <x:v>7</x:v>
      </x:c>
      <x:c r="Z748" s="21" t="str">
        <x:f>IF(AND(MIN(D748:F748)&gt;=0,MAX(D748:F748)&lt;=7,MAX(D748,1)+MAX(E748,1)+MAX(F748,1)&lt;=9,OR(H748="-",AND(H748=0,D748&gt;0),AND(H748=1,E748&gt;0),AND(H748=2,F748&gt;0)),OR(I748=0,AND(I748=1,OR(J748=0,J748=1,J748=2),R748&lt;&gt;"000")),Y748&lt;=9,MIN(T748:V748)&gt;=0),"合法","输入违约")</x:f>
        <x:v>合法</x:v>
      </x:c>
    </x:row>
    <x:row r="749" ht="23" customHeight="1">
      <x:c r="A749" s="3" t="str">
        <x:v>CT-0742</x:v>
      </x:c>
      <x:c r="B749" s="3" t="str">
        <x:v>ST-130</x:v>
      </x:c>
      <x:c r="C749" s="3" t="str">
        <x:v>无AR/R</x:v>
      </x:c>
      <x:c r="D749" s="25" t="n">
        <x:v>1</x:v>
      </x:c>
      <x:c r="E749" s="25" t="n">
        <x:v>2</x:v>
      </x:c>
      <x:c r="F749" s="25" t="n">
        <x:v>5</x:v>
      </x:c>
      <x:c r="G749" s="19" t="n">
        <x:f>SUM(D749:F749)</x:f>
        <x:v>8</x:v>
      </x:c>
      <x:c r="H749" s="25" t="str">
        <x:v>-</x:v>
      </x:c>
      <x:c r="I749" s="25" t="n">
        <x:v>0</x:v>
      </x:c>
      <x:c r="J749" s="25" t="str">
        <x:v>-</x:v>
      </x:c>
      <x:c r="K749" s="19" t="n">
        <x:f>D749-IF(H749=0,1,0)</x:f>
        <x:v>1</x:v>
      </x:c>
      <x:c r="L749" s="19" t="n">
        <x:f>E749-IF(H749=1,1,0)</x:f>
        <x:v>2</x:v>
      </x:c>
      <x:c r="M749" s="19" t="n">
        <x:f>F749-IF(H749=2,1,0)</x:f>
        <x:v>5</x:v>
      </x:c>
      <x:c r="N749" s="19" t="n">
        <x:f>MAX(K749-1,0)+MAX(L749-1,0)+MAX(M749-1,0)</x:f>
        <x:v>5</x:v>
      </x:c>
      <x:c r="O749" s="19" t="n">
        <x:f>IF(AND(SUM(K749:M749)&lt;9,OR(M749=0,N749&lt;6)),1,0)</x:f>
        <x:v>1</x:v>
      </x:c>
      <x:c r="P749" s="19" t="n">
        <x:f>IF(AND(SUM(K749:M749)&lt;9,OR(L749=0,N749&lt;6)),1,0)</x:f>
        <x:v>1</x:v>
      </x:c>
      <x:c r="Q749" s="19" t="n">
        <x:f>IF(AND(SUM(K749:M749)&lt;9,OR(K749=0,N749&lt;6)),1,0)</x:f>
        <x:v>1</x:v>
      </x:c>
      <x:c r="R749" s="22" t="str">
        <x:f>O749&amp;P749&amp;Q749</x:f>
        <x:v>111</x:v>
      </x:c>
      <x:c r="S749" s="19" t="n">
        <x:f>IF(I749=1,IF(J749=0,Q749,IF(J749=1,P749,IF(J749=2,O749,0))),0)</x:f>
        <x:v>0</x:v>
      </x:c>
      <x:c r="T749" s="19" t="n">
        <x:f>K749+IF(AND(S749=1,J749=0),1,0)</x:f>
        <x:v>1</x:v>
      </x:c>
      <x:c r="U749" s="19" t="n">
        <x:f>L749+IF(AND(S749=1,J749=1),1,0)</x:f>
        <x:v>2</x:v>
      </x:c>
      <x:c r="V749" s="19" t="n">
        <x:f>M749+IF(AND(S749=1,J749=2),1,0)</x:f>
        <x:v>5</x:v>
      </x:c>
      <x:c r="W749" s="19" t="n">
        <x:f>SUM(T749:V749)</x:f>
        <x:v>8</x:v>
      </x:c>
      <x:c r="X749" s="19" t="n">
        <x:f>W749-G749</x:f>
        <x:v>0</x:v>
      </x:c>
      <x:c r="Y749" s="19" t="n">
        <x:f>MAX(T749,1)+MAX(U749,1)+MAX(V749,1)</x:f>
        <x:v>8</x:v>
      </x:c>
      <x:c r="Z749" s="21" t="str">
        <x:f>IF(AND(MIN(D749:F749)&gt;=0,MAX(D749:F749)&lt;=7,MAX(D749,1)+MAX(E749,1)+MAX(F749,1)&lt;=9,OR(H749="-",AND(H749=0,D749&gt;0),AND(H749=1,E749&gt;0),AND(H749=2,F749&gt;0)),OR(I749=0,AND(I749=1,OR(J749=0,J749=1,J749=2),R749&lt;&gt;"000")),Y749&lt;=9,MIN(T749:V749)&gt;=0),"合法","输入违约")</x:f>
        <x:v>合法</x:v>
      </x:c>
    </x:row>
    <x:row r="750" ht="23" customHeight="1">
      <x:c r="A750" s="3" t="str">
        <x:v>CT-0743</x:v>
      </x:c>
      <x:c r="B750" s="3" t="str">
        <x:v>ST-130</x:v>
      </x:c>
      <x:c r="C750" s="3" t="str">
        <x:v>仅AR接收</x:v>
      </x:c>
      <x:c r="D750" s="25" t="n">
        <x:v>1</x:v>
      </x:c>
      <x:c r="E750" s="25" t="n">
        <x:v>2</x:v>
      </x:c>
      <x:c r="F750" s="25" t="n">
        <x:v>5</x:v>
      </x:c>
      <x:c r="G750" s="19" t="n">
        <x:f>SUM(D750:F750)</x:f>
        <x:v>8</x:v>
      </x:c>
      <x:c r="H750" s="25" t="str">
        <x:v>-</x:v>
      </x:c>
      <x:c r="I750" s="25" t="n">
        <x:v>1</x:v>
      </x:c>
      <x:c r="J750" s="25" t="n">
        <x:v>0</x:v>
      </x:c>
      <x:c r="K750" s="19" t="n">
        <x:f>D750-IF(H750=0,1,0)</x:f>
        <x:v>1</x:v>
      </x:c>
      <x:c r="L750" s="19" t="n">
        <x:f>E750-IF(H750=1,1,0)</x:f>
        <x:v>2</x:v>
      </x:c>
      <x:c r="M750" s="19" t="n">
        <x:f>F750-IF(H750=2,1,0)</x:f>
        <x:v>5</x:v>
      </x:c>
      <x:c r="N750" s="19" t="n">
        <x:f>MAX(K750-1,0)+MAX(L750-1,0)+MAX(M750-1,0)</x:f>
        <x:v>5</x:v>
      </x:c>
      <x:c r="O750" s="19" t="n">
        <x:f>IF(AND(SUM(K750:M750)&lt;9,OR(M750=0,N750&lt;6)),1,0)</x:f>
        <x:v>1</x:v>
      </x:c>
      <x:c r="P750" s="19" t="n">
        <x:f>IF(AND(SUM(K750:M750)&lt;9,OR(L750=0,N750&lt;6)),1,0)</x:f>
        <x:v>1</x:v>
      </x:c>
      <x:c r="Q750" s="19" t="n">
        <x:f>IF(AND(SUM(K750:M750)&lt;9,OR(K750=0,N750&lt;6)),1,0)</x:f>
        <x:v>1</x:v>
      </x:c>
      <x:c r="R750" s="22" t="str">
        <x:f>O750&amp;P750&amp;Q750</x:f>
        <x:v>111</x:v>
      </x:c>
      <x:c r="S750" s="19" t="n">
        <x:f>IF(I750=1,IF(J750=0,Q750,IF(J750=1,P750,IF(J750=2,O750,0))),0)</x:f>
        <x:v>1</x:v>
      </x:c>
      <x:c r="T750" s="19" t="n">
        <x:f>K750+IF(AND(S750=1,J750=0),1,0)</x:f>
        <x:v>2</x:v>
      </x:c>
      <x:c r="U750" s="19" t="n">
        <x:f>L750+IF(AND(S750=1,J750=1),1,0)</x:f>
        <x:v>2</x:v>
      </x:c>
      <x:c r="V750" s="19" t="n">
        <x:f>M750+IF(AND(S750=1,J750=2),1,0)</x:f>
        <x:v>5</x:v>
      </x:c>
      <x:c r="W750" s="19" t="n">
        <x:f>SUM(T750:V750)</x:f>
        <x:v>9</x:v>
      </x:c>
      <x:c r="X750" s="19" t="n">
        <x:f>W750-G750</x:f>
        <x:v>1</x:v>
      </x:c>
      <x:c r="Y750" s="19" t="n">
        <x:f>MAX(T750,1)+MAX(U750,1)+MAX(V750,1)</x:f>
        <x:v>9</x:v>
      </x:c>
      <x:c r="Z750" s="21" t="str">
        <x:f>IF(AND(MIN(D750:F750)&gt;=0,MAX(D750:F750)&lt;=7,MAX(D750,1)+MAX(E750,1)+MAX(F750,1)&lt;=9,OR(H750="-",AND(H750=0,D750&gt;0),AND(H750=1,E750&gt;0),AND(H750=2,F750&gt;0)),OR(I750=0,AND(I750=1,OR(J750=0,J750=1,J750=2),R750&lt;&gt;"000")),Y750&lt;=9,MIN(T750:V750)&gt;=0),"合法","输入违约")</x:f>
        <x:v>合法</x:v>
      </x:c>
    </x:row>
    <x:row r="751" ht="23" customHeight="1">
      <x:c r="A751" s="3" t="str">
        <x:v>CT-0744</x:v>
      </x:c>
      <x:c r="B751" s="3" t="str">
        <x:v>ST-130</x:v>
      </x:c>
      <x:c r="C751" s="3" t="str">
        <x:v>仅AR接收</x:v>
      </x:c>
      <x:c r="D751" s="25" t="n">
        <x:v>1</x:v>
      </x:c>
      <x:c r="E751" s="25" t="n">
        <x:v>2</x:v>
      </x:c>
      <x:c r="F751" s="25" t="n">
        <x:v>5</x:v>
      </x:c>
      <x:c r="G751" s="19" t="n">
        <x:f>SUM(D751:F751)</x:f>
        <x:v>8</x:v>
      </x:c>
      <x:c r="H751" s="25" t="str">
        <x:v>-</x:v>
      </x:c>
      <x:c r="I751" s="25" t="n">
        <x:v>1</x:v>
      </x:c>
      <x:c r="J751" s="25" t="n">
        <x:v>1</x:v>
      </x:c>
      <x:c r="K751" s="19" t="n">
        <x:f>D751-IF(H751=0,1,0)</x:f>
        <x:v>1</x:v>
      </x:c>
      <x:c r="L751" s="19" t="n">
        <x:f>E751-IF(H751=1,1,0)</x:f>
        <x:v>2</x:v>
      </x:c>
      <x:c r="M751" s="19" t="n">
        <x:f>F751-IF(H751=2,1,0)</x:f>
        <x:v>5</x:v>
      </x:c>
      <x:c r="N751" s="19" t="n">
        <x:f>MAX(K751-1,0)+MAX(L751-1,0)+MAX(M751-1,0)</x:f>
        <x:v>5</x:v>
      </x:c>
      <x:c r="O751" s="19" t="n">
        <x:f>IF(AND(SUM(K751:M751)&lt;9,OR(M751=0,N751&lt;6)),1,0)</x:f>
        <x:v>1</x:v>
      </x:c>
      <x:c r="P751" s="19" t="n">
        <x:f>IF(AND(SUM(K751:M751)&lt;9,OR(L751=0,N751&lt;6)),1,0)</x:f>
        <x:v>1</x:v>
      </x:c>
      <x:c r="Q751" s="19" t="n">
        <x:f>IF(AND(SUM(K751:M751)&lt;9,OR(K751=0,N751&lt;6)),1,0)</x:f>
        <x:v>1</x:v>
      </x:c>
      <x:c r="R751" s="22" t="str">
        <x:f>O751&amp;P751&amp;Q751</x:f>
        <x:v>111</x:v>
      </x:c>
      <x:c r="S751" s="19" t="n">
        <x:f>IF(I751=1,IF(J751=0,Q751,IF(J751=1,P751,IF(J751=2,O751,0))),0)</x:f>
        <x:v>1</x:v>
      </x:c>
      <x:c r="T751" s="19" t="n">
        <x:f>K751+IF(AND(S751=1,J751=0),1,0)</x:f>
        <x:v>1</x:v>
      </x:c>
      <x:c r="U751" s="19" t="n">
        <x:f>L751+IF(AND(S751=1,J751=1),1,0)</x:f>
        <x:v>3</x:v>
      </x:c>
      <x:c r="V751" s="19" t="n">
        <x:f>M751+IF(AND(S751=1,J751=2),1,0)</x:f>
        <x:v>5</x:v>
      </x:c>
      <x:c r="W751" s="19" t="n">
        <x:f>SUM(T751:V751)</x:f>
        <x:v>9</x:v>
      </x:c>
      <x:c r="X751" s="19" t="n">
        <x:f>W751-G751</x:f>
        <x:v>1</x:v>
      </x:c>
      <x:c r="Y751" s="19" t="n">
        <x:f>MAX(T751,1)+MAX(U751,1)+MAX(V751,1)</x:f>
        <x:v>9</x:v>
      </x:c>
      <x:c r="Z751" s="21" t="str">
        <x:f>IF(AND(MIN(D751:F751)&gt;=0,MAX(D751:F751)&lt;=7,MAX(D751,1)+MAX(E751,1)+MAX(F751,1)&lt;=9,OR(H751="-",AND(H751=0,D751&gt;0),AND(H751=1,E751&gt;0),AND(H751=2,F751&gt;0)),OR(I751=0,AND(I751=1,OR(J751=0,J751=1,J751=2),R751&lt;&gt;"000")),Y751&lt;=9,MIN(T751:V751)&gt;=0),"合法","输入违约")</x:f>
        <x:v>合法</x:v>
      </x:c>
    </x:row>
    <x:row r="752" ht="23" customHeight="1">
      <x:c r="A752" s="3" t="str">
        <x:v>CT-0745</x:v>
      </x:c>
      <x:c r="B752" s="3" t="str">
        <x:v>ST-130</x:v>
      </x:c>
      <x:c r="C752" s="3" t="str">
        <x:v>仅AR接收</x:v>
      </x:c>
      <x:c r="D752" s="25" t="n">
        <x:v>1</x:v>
      </x:c>
      <x:c r="E752" s="25" t="n">
        <x:v>2</x:v>
      </x:c>
      <x:c r="F752" s="25" t="n">
        <x:v>5</x:v>
      </x:c>
      <x:c r="G752" s="19" t="n">
        <x:f>SUM(D752:F752)</x:f>
        <x:v>8</x:v>
      </x:c>
      <x:c r="H752" s="25" t="str">
        <x:v>-</x:v>
      </x:c>
      <x:c r="I752" s="25" t="n">
        <x:v>1</x:v>
      </x:c>
      <x:c r="J752" s="25" t="n">
        <x:v>2</x:v>
      </x:c>
      <x:c r="K752" s="19" t="n">
        <x:f>D752-IF(H752=0,1,0)</x:f>
        <x:v>1</x:v>
      </x:c>
      <x:c r="L752" s="19" t="n">
        <x:f>E752-IF(H752=1,1,0)</x:f>
        <x:v>2</x:v>
      </x:c>
      <x:c r="M752" s="19" t="n">
        <x:f>F752-IF(H752=2,1,0)</x:f>
        <x:v>5</x:v>
      </x:c>
      <x:c r="N752" s="19" t="n">
        <x:f>MAX(K752-1,0)+MAX(L752-1,0)+MAX(M752-1,0)</x:f>
        <x:v>5</x:v>
      </x:c>
      <x:c r="O752" s="19" t="n">
        <x:f>IF(AND(SUM(K752:M752)&lt;9,OR(M752=0,N752&lt;6)),1,0)</x:f>
        <x:v>1</x:v>
      </x:c>
      <x:c r="P752" s="19" t="n">
        <x:f>IF(AND(SUM(K752:M752)&lt;9,OR(L752=0,N752&lt;6)),1,0)</x:f>
        <x:v>1</x:v>
      </x:c>
      <x:c r="Q752" s="19" t="n">
        <x:f>IF(AND(SUM(K752:M752)&lt;9,OR(K752=0,N752&lt;6)),1,0)</x:f>
        <x:v>1</x:v>
      </x:c>
      <x:c r="R752" s="22" t="str">
        <x:f>O752&amp;P752&amp;Q752</x:f>
        <x:v>111</x:v>
      </x:c>
      <x:c r="S752" s="19" t="n">
        <x:f>IF(I752=1,IF(J752=0,Q752,IF(J752=1,P752,IF(J752=2,O752,0))),0)</x:f>
        <x:v>1</x:v>
      </x:c>
      <x:c r="T752" s="19" t="n">
        <x:f>K752+IF(AND(S752=1,J752=0),1,0)</x:f>
        <x:v>1</x:v>
      </x:c>
      <x:c r="U752" s="19" t="n">
        <x:f>L752+IF(AND(S752=1,J752=1),1,0)</x:f>
        <x:v>2</x:v>
      </x:c>
      <x:c r="V752" s="19" t="n">
        <x:f>M752+IF(AND(S752=1,J752=2),1,0)</x:f>
        <x:v>6</x:v>
      </x:c>
      <x:c r="W752" s="19" t="n">
        <x:f>SUM(T752:V752)</x:f>
        <x:v>9</x:v>
      </x:c>
      <x:c r="X752" s="19" t="n">
        <x:f>W752-G752</x:f>
        <x:v>1</x:v>
      </x:c>
      <x:c r="Y752" s="19" t="n">
        <x:f>MAX(T752,1)+MAX(U752,1)+MAX(V752,1)</x:f>
        <x:v>9</x:v>
      </x:c>
      <x:c r="Z752" s="21" t="str">
        <x:f>IF(AND(MIN(D752:F752)&gt;=0,MAX(D752:F752)&lt;=7,MAX(D752,1)+MAX(E752,1)+MAX(F752,1)&lt;=9,OR(H752="-",AND(H752=0,D752&gt;0),AND(H752=1,E752&gt;0),AND(H752=2,F752&gt;0)),OR(I752=0,AND(I752=1,OR(J752=0,J752=1,J752=2),R752&lt;&gt;"000")),Y752&lt;=9,MIN(T752:V752)&gt;=0),"合法","输入违约")</x:f>
        <x:v>合法</x:v>
      </x:c>
    </x:row>
    <x:row r="753" ht="23" customHeight="1">
      <x:c r="A753" s="3" t="str">
        <x:v>CT-0746</x:v>
      </x:c>
      <x:c r="B753" s="3" t="str">
        <x:v>ST-130</x:v>
      </x:c>
      <x:c r="C753" s="3" t="str">
        <x:v>仅R回收</x:v>
      </x:c>
      <x:c r="D753" s="25" t="n">
        <x:v>1</x:v>
      </x:c>
      <x:c r="E753" s="25" t="n">
        <x:v>2</x:v>
      </x:c>
      <x:c r="F753" s="25" t="n">
        <x:v>5</x:v>
      </x:c>
      <x:c r="G753" s="19" t="n">
        <x:f>SUM(D753:F753)</x:f>
        <x:v>8</x:v>
      </x:c>
      <x:c r="H753" s="25" t="n">
        <x:v>0</x:v>
      </x:c>
      <x:c r="I753" s="25" t="n">
        <x:v>0</x:v>
      </x:c>
      <x:c r="J753" s="25" t="str">
        <x:v>-</x:v>
      </x:c>
      <x:c r="K753" s="19" t="n">
        <x:f>D753-IF(H753=0,1,0)</x:f>
        <x:v>0</x:v>
      </x:c>
      <x:c r="L753" s="19" t="n">
        <x:f>E753-IF(H753=1,1,0)</x:f>
        <x:v>2</x:v>
      </x:c>
      <x:c r="M753" s="19" t="n">
        <x:f>F753-IF(H753=2,1,0)</x:f>
        <x:v>5</x:v>
      </x:c>
      <x:c r="N753" s="19" t="n">
        <x:f>MAX(K753-1,0)+MAX(L753-1,0)+MAX(M753-1,0)</x:f>
        <x:v>5</x:v>
      </x:c>
      <x:c r="O753" s="19" t="n">
        <x:f>IF(AND(SUM(K753:M753)&lt;9,OR(M753=0,N753&lt;6)),1,0)</x:f>
        <x:v>1</x:v>
      </x:c>
      <x:c r="P753" s="19" t="n">
        <x:f>IF(AND(SUM(K753:M753)&lt;9,OR(L753=0,N753&lt;6)),1,0)</x:f>
        <x:v>1</x:v>
      </x:c>
      <x:c r="Q753" s="19" t="n">
        <x:f>IF(AND(SUM(K753:M753)&lt;9,OR(K753=0,N753&lt;6)),1,0)</x:f>
        <x:v>1</x:v>
      </x:c>
      <x:c r="R753" s="22" t="str">
        <x:f>O753&amp;P753&amp;Q753</x:f>
        <x:v>111</x:v>
      </x:c>
      <x:c r="S753" s="19" t="n">
        <x:f>IF(I753=1,IF(J753=0,Q753,IF(J753=1,P753,IF(J753=2,O753,0))),0)</x:f>
        <x:v>0</x:v>
      </x:c>
      <x:c r="T753" s="19" t="n">
        <x:f>K753+IF(AND(S753=1,J753=0),1,0)</x:f>
        <x:v>0</x:v>
      </x:c>
      <x:c r="U753" s="19" t="n">
        <x:f>L753+IF(AND(S753=1,J753=1),1,0)</x:f>
        <x:v>2</x:v>
      </x:c>
      <x:c r="V753" s="19" t="n">
        <x:f>M753+IF(AND(S753=1,J753=2),1,0)</x:f>
        <x:v>5</x:v>
      </x:c>
      <x:c r="W753" s="19" t="n">
        <x:f>SUM(T753:V753)</x:f>
        <x:v>7</x:v>
      </x:c>
      <x:c r="X753" s="19" t="n">
        <x:f>W753-G753</x:f>
        <x:v>-1</x:v>
      </x:c>
      <x:c r="Y753" s="19" t="n">
        <x:f>MAX(T753,1)+MAX(U753,1)+MAX(V753,1)</x:f>
        <x:v>8</x:v>
      </x:c>
      <x:c r="Z753" s="21" t="str">
        <x:f>IF(AND(MIN(D753:F753)&gt;=0,MAX(D753:F753)&lt;=7,MAX(D753,1)+MAX(E753,1)+MAX(F753,1)&lt;=9,OR(H753="-",AND(H753=0,D753&gt;0),AND(H753=1,E753&gt;0),AND(H753=2,F753&gt;0)),OR(I753=0,AND(I753=1,OR(J753=0,J753=1,J753=2),R753&lt;&gt;"000")),Y753&lt;=9,MIN(T753:V753)&gt;=0),"合法","输入违约")</x:f>
        <x:v>合法</x:v>
      </x:c>
    </x:row>
    <x:row r="754" ht="23" customHeight="1">
      <x:c r="A754" s="3" t="str">
        <x:v>CT-0747</x:v>
      </x:c>
      <x:c r="B754" s="3" t="str">
        <x:v>ST-130</x:v>
      </x:c>
      <x:c r="C754" s="3" t="str">
        <x:v>R+AR同收同发</x:v>
      </x:c>
      <x:c r="D754" s="25" t="n">
        <x:v>1</x:v>
      </x:c>
      <x:c r="E754" s="25" t="n">
        <x:v>2</x:v>
      </x:c>
      <x:c r="F754" s="25" t="n">
        <x:v>5</x:v>
      </x:c>
      <x:c r="G754" s="19" t="n">
        <x:f>SUM(D754:F754)</x:f>
        <x:v>8</x:v>
      </x:c>
      <x:c r="H754" s="25" t="n">
        <x:v>0</x:v>
      </x:c>
      <x:c r="I754" s="25" t="n">
        <x:v>1</x:v>
      </x:c>
      <x:c r="J754" s="25" t="n">
        <x:v>0</x:v>
      </x:c>
      <x:c r="K754" s="19" t="n">
        <x:f>D754-IF(H754=0,1,0)</x:f>
        <x:v>0</x:v>
      </x:c>
      <x:c r="L754" s="19" t="n">
        <x:f>E754-IF(H754=1,1,0)</x:f>
        <x:v>2</x:v>
      </x:c>
      <x:c r="M754" s="19" t="n">
        <x:f>F754-IF(H754=2,1,0)</x:f>
        <x:v>5</x:v>
      </x:c>
      <x:c r="N754" s="19" t="n">
        <x:f>MAX(K754-1,0)+MAX(L754-1,0)+MAX(M754-1,0)</x:f>
        <x:v>5</x:v>
      </x:c>
      <x:c r="O754" s="19" t="n">
        <x:f>IF(AND(SUM(K754:M754)&lt;9,OR(M754=0,N754&lt;6)),1,0)</x:f>
        <x:v>1</x:v>
      </x:c>
      <x:c r="P754" s="19" t="n">
        <x:f>IF(AND(SUM(K754:M754)&lt;9,OR(L754=0,N754&lt;6)),1,0)</x:f>
        <x:v>1</x:v>
      </x:c>
      <x:c r="Q754" s="19" t="n">
        <x:f>IF(AND(SUM(K754:M754)&lt;9,OR(K754=0,N754&lt;6)),1,0)</x:f>
        <x:v>1</x:v>
      </x:c>
      <x:c r="R754" s="22" t="str">
        <x:f>O754&amp;P754&amp;Q754</x:f>
        <x:v>111</x:v>
      </x:c>
      <x:c r="S754" s="19" t="n">
        <x:f>IF(I754=1,IF(J754=0,Q754,IF(J754=1,P754,IF(J754=2,O754,0))),0)</x:f>
        <x:v>1</x:v>
      </x:c>
      <x:c r="T754" s="19" t="n">
        <x:f>K754+IF(AND(S754=1,J754=0),1,0)</x:f>
        <x:v>1</x:v>
      </x:c>
      <x:c r="U754" s="19" t="n">
        <x:f>L754+IF(AND(S754=1,J754=1),1,0)</x:f>
        <x:v>2</x:v>
      </x:c>
      <x:c r="V754" s="19" t="n">
        <x:f>M754+IF(AND(S754=1,J754=2),1,0)</x:f>
        <x:v>5</x:v>
      </x:c>
      <x:c r="W754" s="19" t="n">
        <x:f>SUM(T754:V754)</x:f>
        <x:v>8</x:v>
      </x:c>
      <x:c r="X754" s="19" t="n">
        <x:f>W754-G754</x:f>
        <x:v>0</x:v>
      </x:c>
      <x:c r="Y754" s="19" t="n">
        <x:f>MAX(T754,1)+MAX(U754,1)+MAX(V754,1)</x:f>
        <x:v>8</x:v>
      </x:c>
      <x:c r="Z754" s="21" t="str">
        <x:f>IF(AND(MIN(D754:F754)&gt;=0,MAX(D754:F754)&lt;=7,MAX(D754,1)+MAX(E754,1)+MAX(F754,1)&lt;=9,OR(H754="-",AND(H754=0,D754&gt;0),AND(H754=1,E754&gt;0),AND(H754=2,F754&gt;0)),OR(I754=0,AND(I754=1,OR(J754=0,J754=1,J754=2),R754&lt;&gt;"000")),Y754&lt;=9,MIN(T754:V754)&gt;=0),"合法","输入违约")</x:f>
        <x:v>合法</x:v>
      </x:c>
    </x:row>
    <x:row r="755" ht="23" customHeight="1">
      <x:c r="A755" s="3" t="str">
        <x:v>CT-0748</x:v>
      </x:c>
      <x:c r="B755" s="3" t="str">
        <x:v>ST-130</x:v>
      </x:c>
      <x:c r="C755" s="3" t="str">
        <x:v>R+AR同收同发</x:v>
      </x:c>
      <x:c r="D755" s="25" t="n">
        <x:v>1</x:v>
      </x:c>
      <x:c r="E755" s="25" t="n">
        <x:v>2</x:v>
      </x:c>
      <x:c r="F755" s="25" t="n">
        <x:v>5</x:v>
      </x:c>
      <x:c r="G755" s="19" t="n">
        <x:f>SUM(D755:F755)</x:f>
        <x:v>8</x:v>
      </x:c>
      <x:c r="H755" s="25" t="n">
        <x:v>0</x:v>
      </x:c>
      <x:c r="I755" s="25" t="n">
        <x:v>1</x:v>
      </x:c>
      <x:c r="J755" s="25" t="n">
        <x:v>1</x:v>
      </x:c>
      <x:c r="K755" s="19" t="n">
        <x:f>D755-IF(H755=0,1,0)</x:f>
        <x:v>0</x:v>
      </x:c>
      <x:c r="L755" s="19" t="n">
        <x:f>E755-IF(H755=1,1,0)</x:f>
        <x:v>2</x:v>
      </x:c>
      <x:c r="M755" s="19" t="n">
        <x:f>F755-IF(H755=2,1,0)</x:f>
        <x:v>5</x:v>
      </x:c>
      <x:c r="N755" s="19" t="n">
        <x:f>MAX(K755-1,0)+MAX(L755-1,0)+MAX(M755-1,0)</x:f>
        <x:v>5</x:v>
      </x:c>
      <x:c r="O755" s="19" t="n">
        <x:f>IF(AND(SUM(K755:M755)&lt;9,OR(M755=0,N755&lt;6)),1,0)</x:f>
        <x:v>1</x:v>
      </x:c>
      <x:c r="P755" s="19" t="n">
        <x:f>IF(AND(SUM(K755:M755)&lt;9,OR(L755=0,N755&lt;6)),1,0)</x:f>
        <x:v>1</x:v>
      </x:c>
      <x:c r="Q755" s="19" t="n">
        <x:f>IF(AND(SUM(K755:M755)&lt;9,OR(K755=0,N755&lt;6)),1,0)</x:f>
        <x:v>1</x:v>
      </x:c>
      <x:c r="R755" s="22" t="str">
        <x:f>O755&amp;P755&amp;Q755</x:f>
        <x:v>111</x:v>
      </x:c>
      <x:c r="S755" s="19" t="n">
        <x:f>IF(I755=1,IF(J755=0,Q755,IF(J755=1,P755,IF(J755=2,O755,0))),0)</x:f>
        <x:v>1</x:v>
      </x:c>
      <x:c r="T755" s="19" t="n">
        <x:f>K755+IF(AND(S755=1,J755=0),1,0)</x:f>
        <x:v>0</x:v>
      </x:c>
      <x:c r="U755" s="19" t="n">
        <x:f>L755+IF(AND(S755=1,J755=1),1,0)</x:f>
        <x:v>3</x:v>
      </x:c>
      <x:c r="V755" s="19" t="n">
        <x:f>M755+IF(AND(S755=1,J755=2),1,0)</x:f>
        <x:v>5</x:v>
      </x:c>
      <x:c r="W755" s="19" t="n">
        <x:f>SUM(T755:V755)</x:f>
        <x:v>8</x:v>
      </x:c>
      <x:c r="X755" s="19" t="n">
        <x:f>W755-G755</x:f>
        <x:v>0</x:v>
      </x:c>
      <x:c r="Y755" s="19" t="n">
        <x:f>MAX(T755,1)+MAX(U755,1)+MAX(V755,1)</x:f>
        <x:v>9</x:v>
      </x:c>
      <x:c r="Z755" s="21" t="str">
        <x:f>IF(AND(MIN(D755:F755)&gt;=0,MAX(D755:F755)&lt;=7,MAX(D755,1)+MAX(E755,1)+MAX(F755,1)&lt;=9,OR(H755="-",AND(H755=0,D755&gt;0),AND(H755=1,E755&gt;0),AND(H755=2,F755&gt;0)),OR(I755=0,AND(I755=1,OR(J755=0,J755=1,J755=2),R755&lt;&gt;"000")),Y755&lt;=9,MIN(T755:V755)&gt;=0),"合法","输入违约")</x:f>
        <x:v>合法</x:v>
      </x:c>
    </x:row>
    <x:row r="756" ht="23" customHeight="1">
      <x:c r="A756" s="3" t="str">
        <x:v>CT-0749</x:v>
      </x:c>
      <x:c r="B756" s="3" t="str">
        <x:v>ST-130</x:v>
      </x:c>
      <x:c r="C756" s="3" t="str">
        <x:v>R+AR同收同发</x:v>
      </x:c>
      <x:c r="D756" s="25" t="n">
        <x:v>1</x:v>
      </x:c>
      <x:c r="E756" s="25" t="n">
        <x:v>2</x:v>
      </x:c>
      <x:c r="F756" s="25" t="n">
        <x:v>5</x:v>
      </x:c>
      <x:c r="G756" s="19" t="n">
        <x:f>SUM(D756:F756)</x:f>
        <x:v>8</x:v>
      </x:c>
      <x:c r="H756" s="25" t="n">
        <x:v>0</x:v>
      </x:c>
      <x:c r="I756" s="25" t="n">
        <x:v>1</x:v>
      </x:c>
      <x:c r="J756" s="25" t="n">
        <x:v>2</x:v>
      </x:c>
      <x:c r="K756" s="19" t="n">
        <x:f>D756-IF(H756=0,1,0)</x:f>
        <x:v>0</x:v>
      </x:c>
      <x:c r="L756" s="19" t="n">
        <x:f>E756-IF(H756=1,1,0)</x:f>
        <x:v>2</x:v>
      </x:c>
      <x:c r="M756" s="19" t="n">
        <x:f>F756-IF(H756=2,1,0)</x:f>
        <x:v>5</x:v>
      </x:c>
      <x:c r="N756" s="19" t="n">
        <x:f>MAX(K756-1,0)+MAX(L756-1,0)+MAX(M756-1,0)</x:f>
        <x:v>5</x:v>
      </x:c>
      <x:c r="O756" s="19" t="n">
        <x:f>IF(AND(SUM(K756:M756)&lt;9,OR(M756=0,N756&lt;6)),1,0)</x:f>
        <x:v>1</x:v>
      </x:c>
      <x:c r="P756" s="19" t="n">
        <x:f>IF(AND(SUM(K756:M756)&lt;9,OR(L756=0,N756&lt;6)),1,0)</x:f>
        <x:v>1</x:v>
      </x:c>
      <x:c r="Q756" s="19" t="n">
        <x:f>IF(AND(SUM(K756:M756)&lt;9,OR(K756=0,N756&lt;6)),1,0)</x:f>
        <x:v>1</x:v>
      </x:c>
      <x:c r="R756" s="22" t="str">
        <x:f>O756&amp;P756&amp;Q756</x:f>
        <x:v>111</x:v>
      </x:c>
      <x:c r="S756" s="19" t="n">
        <x:f>IF(I756=1,IF(J756=0,Q756,IF(J756=1,P756,IF(J756=2,O756,0))),0)</x:f>
        <x:v>1</x:v>
      </x:c>
      <x:c r="T756" s="19" t="n">
        <x:f>K756+IF(AND(S756=1,J756=0),1,0)</x:f>
        <x:v>0</x:v>
      </x:c>
      <x:c r="U756" s="19" t="n">
        <x:f>L756+IF(AND(S756=1,J756=1),1,0)</x:f>
        <x:v>2</x:v>
      </x:c>
      <x:c r="V756" s="19" t="n">
        <x:f>M756+IF(AND(S756=1,J756=2),1,0)</x:f>
        <x:v>6</x:v>
      </x:c>
      <x:c r="W756" s="19" t="n">
        <x:f>SUM(T756:V756)</x:f>
        <x:v>8</x:v>
      </x:c>
      <x:c r="X756" s="19" t="n">
        <x:f>W756-G756</x:f>
        <x:v>0</x:v>
      </x:c>
      <x:c r="Y756" s="19" t="n">
        <x:f>MAX(T756,1)+MAX(U756,1)+MAX(V756,1)</x:f>
        <x:v>9</x:v>
      </x:c>
      <x:c r="Z756" s="21" t="str">
        <x:f>IF(AND(MIN(D756:F756)&gt;=0,MAX(D756:F756)&lt;=7,MAX(D756,1)+MAX(E756,1)+MAX(F756,1)&lt;=9,OR(H756="-",AND(H756=0,D756&gt;0),AND(H756=1,E756&gt;0),AND(H756=2,F756&gt;0)),OR(I756=0,AND(I756=1,OR(J756=0,J756=1,J756=2),R756&lt;&gt;"000")),Y756&lt;=9,MIN(T756:V756)&gt;=0),"合法","输入违约")</x:f>
        <x:v>合法</x:v>
      </x:c>
    </x:row>
    <x:row r="757" ht="23" customHeight="1">
      <x:c r="A757" s="3" t="str">
        <x:v>CT-0750</x:v>
      </x:c>
      <x:c r="B757" s="3" t="str">
        <x:v>ST-130</x:v>
      </x:c>
      <x:c r="C757" s="3" t="str">
        <x:v>仅R回收</x:v>
      </x:c>
      <x:c r="D757" s="25" t="n">
        <x:v>1</x:v>
      </x:c>
      <x:c r="E757" s="25" t="n">
        <x:v>2</x:v>
      </x:c>
      <x:c r="F757" s="25" t="n">
        <x:v>5</x:v>
      </x:c>
      <x:c r="G757" s="19" t="n">
        <x:f>SUM(D757:F757)</x:f>
        <x:v>8</x:v>
      </x:c>
      <x:c r="H757" s="25" t="n">
        <x:v>1</x:v>
      </x:c>
      <x:c r="I757" s="25" t="n">
        <x:v>0</x:v>
      </x:c>
      <x:c r="J757" s="25" t="str">
        <x:v>-</x:v>
      </x:c>
      <x:c r="K757" s="19" t="n">
        <x:f>D757-IF(H757=0,1,0)</x:f>
        <x:v>1</x:v>
      </x:c>
      <x:c r="L757" s="19" t="n">
        <x:f>E757-IF(H757=1,1,0)</x:f>
        <x:v>1</x:v>
      </x:c>
      <x:c r="M757" s="19" t="n">
        <x:f>F757-IF(H757=2,1,0)</x:f>
        <x:v>5</x:v>
      </x:c>
      <x:c r="N757" s="19" t="n">
        <x:f>MAX(K757-1,0)+MAX(L757-1,0)+MAX(M757-1,0)</x:f>
        <x:v>4</x:v>
      </x:c>
      <x:c r="O757" s="19" t="n">
        <x:f>IF(AND(SUM(K757:M757)&lt;9,OR(M757=0,N757&lt;6)),1,0)</x:f>
        <x:v>1</x:v>
      </x:c>
      <x:c r="P757" s="19" t="n">
        <x:f>IF(AND(SUM(K757:M757)&lt;9,OR(L757=0,N757&lt;6)),1,0)</x:f>
        <x:v>1</x:v>
      </x:c>
      <x:c r="Q757" s="19" t="n">
        <x:f>IF(AND(SUM(K757:M757)&lt;9,OR(K757=0,N757&lt;6)),1,0)</x:f>
        <x:v>1</x:v>
      </x:c>
      <x:c r="R757" s="22" t="str">
        <x:f>O757&amp;P757&amp;Q757</x:f>
        <x:v>111</x:v>
      </x:c>
      <x:c r="S757" s="19" t="n">
        <x:f>IF(I757=1,IF(J757=0,Q757,IF(J757=1,P757,IF(J757=2,O757,0))),0)</x:f>
        <x:v>0</x:v>
      </x:c>
      <x:c r="T757" s="19" t="n">
        <x:f>K757+IF(AND(S757=1,J757=0),1,0)</x:f>
        <x:v>1</x:v>
      </x:c>
      <x:c r="U757" s="19" t="n">
        <x:f>L757+IF(AND(S757=1,J757=1),1,0)</x:f>
        <x:v>1</x:v>
      </x:c>
      <x:c r="V757" s="19" t="n">
        <x:f>M757+IF(AND(S757=1,J757=2),1,0)</x:f>
        <x:v>5</x:v>
      </x:c>
      <x:c r="W757" s="19" t="n">
        <x:f>SUM(T757:V757)</x:f>
        <x:v>7</x:v>
      </x:c>
      <x:c r="X757" s="19" t="n">
        <x:f>W757-G757</x:f>
        <x:v>-1</x:v>
      </x:c>
      <x:c r="Y757" s="19" t="n">
        <x:f>MAX(T757,1)+MAX(U757,1)+MAX(V757,1)</x:f>
        <x:v>7</x:v>
      </x:c>
      <x:c r="Z757" s="21" t="str">
        <x:f>IF(AND(MIN(D757:F757)&gt;=0,MAX(D757:F757)&lt;=7,MAX(D757,1)+MAX(E757,1)+MAX(F757,1)&lt;=9,OR(H757="-",AND(H757=0,D757&gt;0),AND(H757=1,E757&gt;0),AND(H757=2,F757&gt;0)),OR(I757=0,AND(I757=1,OR(J757=0,J757=1,J757=2),R757&lt;&gt;"000")),Y757&lt;=9,MIN(T757:V757)&gt;=0),"合法","输入违约")</x:f>
        <x:v>合法</x:v>
      </x:c>
    </x:row>
    <x:row r="758" ht="23" customHeight="1">
      <x:c r="A758" s="3" t="str">
        <x:v>CT-0751</x:v>
      </x:c>
      <x:c r="B758" s="3" t="str">
        <x:v>ST-130</x:v>
      </x:c>
      <x:c r="C758" s="3" t="str">
        <x:v>R+AR同收同发</x:v>
      </x:c>
      <x:c r="D758" s="25" t="n">
        <x:v>1</x:v>
      </x:c>
      <x:c r="E758" s="25" t="n">
        <x:v>2</x:v>
      </x:c>
      <x:c r="F758" s="25" t="n">
        <x:v>5</x:v>
      </x:c>
      <x:c r="G758" s="19" t="n">
        <x:f>SUM(D758:F758)</x:f>
        <x:v>8</x:v>
      </x:c>
      <x:c r="H758" s="25" t="n">
        <x:v>1</x:v>
      </x:c>
      <x:c r="I758" s="25" t="n">
        <x:v>1</x:v>
      </x:c>
      <x:c r="J758" s="25" t="n">
        <x:v>0</x:v>
      </x:c>
      <x:c r="K758" s="19" t="n">
        <x:f>D758-IF(H758=0,1,0)</x:f>
        <x:v>1</x:v>
      </x:c>
      <x:c r="L758" s="19" t="n">
        <x:f>E758-IF(H758=1,1,0)</x:f>
        <x:v>1</x:v>
      </x:c>
      <x:c r="M758" s="19" t="n">
        <x:f>F758-IF(H758=2,1,0)</x:f>
        <x:v>5</x:v>
      </x:c>
      <x:c r="N758" s="19" t="n">
        <x:f>MAX(K758-1,0)+MAX(L758-1,0)+MAX(M758-1,0)</x:f>
        <x:v>4</x:v>
      </x:c>
      <x:c r="O758" s="19" t="n">
        <x:f>IF(AND(SUM(K758:M758)&lt;9,OR(M758=0,N758&lt;6)),1,0)</x:f>
        <x:v>1</x:v>
      </x:c>
      <x:c r="P758" s="19" t="n">
        <x:f>IF(AND(SUM(K758:M758)&lt;9,OR(L758=0,N758&lt;6)),1,0)</x:f>
        <x:v>1</x:v>
      </x:c>
      <x:c r="Q758" s="19" t="n">
        <x:f>IF(AND(SUM(K758:M758)&lt;9,OR(K758=0,N758&lt;6)),1,0)</x:f>
        <x:v>1</x:v>
      </x:c>
      <x:c r="R758" s="22" t="str">
        <x:f>O758&amp;P758&amp;Q758</x:f>
        <x:v>111</x:v>
      </x:c>
      <x:c r="S758" s="19" t="n">
        <x:f>IF(I758=1,IF(J758=0,Q758,IF(J758=1,P758,IF(J758=2,O758,0))),0)</x:f>
        <x:v>1</x:v>
      </x:c>
      <x:c r="T758" s="19" t="n">
        <x:f>K758+IF(AND(S758=1,J758=0),1,0)</x:f>
        <x:v>2</x:v>
      </x:c>
      <x:c r="U758" s="19" t="n">
        <x:f>L758+IF(AND(S758=1,J758=1),1,0)</x:f>
        <x:v>1</x:v>
      </x:c>
      <x:c r="V758" s="19" t="n">
        <x:f>M758+IF(AND(S758=1,J758=2),1,0)</x:f>
        <x:v>5</x:v>
      </x:c>
      <x:c r="W758" s="19" t="n">
        <x:f>SUM(T758:V758)</x:f>
        <x:v>8</x:v>
      </x:c>
      <x:c r="X758" s="19" t="n">
        <x:f>W758-G758</x:f>
        <x:v>0</x:v>
      </x:c>
      <x:c r="Y758" s="19" t="n">
        <x:f>MAX(T758,1)+MAX(U758,1)+MAX(V758,1)</x:f>
        <x:v>8</x:v>
      </x:c>
      <x:c r="Z758" s="21" t="str">
        <x:f>IF(AND(MIN(D758:F758)&gt;=0,MAX(D758:F758)&lt;=7,MAX(D758,1)+MAX(E758,1)+MAX(F758,1)&lt;=9,OR(H758="-",AND(H758=0,D758&gt;0),AND(H758=1,E758&gt;0),AND(H758=2,F758&gt;0)),OR(I758=0,AND(I758=1,OR(J758=0,J758=1,J758=2),R758&lt;&gt;"000")),Y758&lt;=9,MIN(T758:V758)&gt;=0),"合法","输入违约")</x:f>
        <x:v>合法</x:v>
      </x:c>
    </x:row>
    <x:row r="759" ht="23" customHeight="1">
      <x:c r="A759" s="3" t="str">
        <x:v>CT-0752</x:v>
      </x:c>
      <x:c r="B759" s="3" t="str">
        <x:v>ST-130</x:v>
      </x:c>
      <x:c r="C759" s="3" t="str">
        <x:v>R+AR同收同发</x:v>
      </x:c>
      <x:c r="D759" s="25" t="n">
        <x:v>1</x:v>
      </x:c>
      <x:c r="E759" s="25" t="n">
        <x:v>2</x:v>
      </x:c>
      <x:c r="F759" s="25" t="n">
        <x:v>5</x:v>
      </x:c>
      <x:c r="G759" s="19" t="n">
        <x:f>SUM(D759:F759)</x:f>
        <x:v>8</x:v>
      </x:c>
      <x:c r="H759" s="25" t="n">
        <x:v>1</x:v>
      </x:c>
      <x:c r="I759" s="25" t="n">
        <x:v>1</x:v>
      </x:c>
      <x:c r="J759" s="25" t="n">
        <x:v>1</x:v>
      </x:c>
      <x:c r="K759" s="19" t="n">
        <x:f>D759-IF(H759=0,1,0)</x:f>
        <x:v>1</x:v>
      </x:c>
      <x:c r="L759" s="19" t="n">
        <x:f>E759-IF(H759=1,1,0)</x:f>
        <x:v>1</x:v>
      </x:c>
      <x:c r="M759" s="19" t="n">
        <x:f>F759-IF(H759=2,1,0)</x:f>
        <x:v>5</x:v>
      </x:c>
      <x:c r="N759" s="19" t="n">
        <x:f>MAX(K759-1,0)+MAX(L759-1,0)+MAX(M759-1,0)</x:f>
        <x:v>4</x:v>
      </x:c>
      <x:c r="O759" s="19" t="n">
        <x:f>IF(AND(SUM(K759:M759)&lt;9,OR(M759=0,N759&lt;6)),1,0)</x:f>
        <x:v>1</x:v>
      </x:c>
      <x:c r="P759" s="19" t="n">
        <x:f>IF(AND(SUM(K759:M759)&lt;9,OR(L759=0,N759&lt;6)),1,0)</x:f>
        <x:v>1</x:v>
      </x:c>
      <x:c r="Q759" s="19" t="n">
        <x:f>IF(AND(SUM(K759:M759)&lt;9,OR(K759=0,N759&lt;6)),1,0)</x:f>
        <x:v>1</x:v>
      </x:c>
      <x:c r="R759" s="22" t="str">
        <x:f>O759&amp;P759&amp;Q759</x:f>
        <x:v>111</x:v>
      </x:c>
      <x:c r="S759" s="19" t="n">
        <x:f>IF(I759=1,IF(J759=0,Q759,IF(J759=1,P759,IF(J759=2,O759,0))),0)</x:f>
        <x:v>1</x:v>
      </x:c>
      <x:c r="T759" s="19" t="n">
        <x:f>K759+IF(AND(S759=1,J759=0),1,0)</x:f>
        <x:v>1</x:v>
      </x:c>
      <x:c r="U759" s="19" t="n">
        <x:f>L759+IF(AND(S759=1,J759=1),1,0)</x:f>
        <x:v>2</x:v>
      </x:c>
      <x:c r="V759" s="19" t="n">
        <x:f>M759+IF(AND(S759=1,J759=2),1,0)</x:f>
        <x:v>5</x:v>
      </x:c>
      <x:c r="W759" s="19" t="n">
        <x:f>SUM(T759:V759)</x:f>
        <x:v>8</x:v>
      </x:c>
      <x:c r="X759" s="19" t="n">
        <x:f>W759-G759</x:f>
        <x:v>0</x:v>
      </x:c>
      <x:c r="Y759" s="19" t="n">
        <x:f>MAX(T759,1)+MAX(U759,1)+MAX(V759,1)</x:f>
        <x:v>8</x:v>
      </x:c>
      <x:c r="Z759" s="21" t="str">
        <x:f>IF(AND(MIN(D759:F759)&gt;=0,MAX(D759:F759)&lt;=7,MAX(D759,1)+MAX(E759,1)+MAX(F759,1)&lt;=9,OR(H759="-",AND(H759=0,D759&gt;0),AND(H759=1,E759&gt;0),AND(H759=2,F759&gt;0)),OR(I759=0,AND(I759=1,OR(J759=0,J759=1,J759=2),R759&lt;&gt;"000")),Y759&lt;=9,MIN(T759:V759)&gt;=0),"合法","输入违约")</x:f>
        <x:v>合法</x:v>
      </x:c>
    </x:row>
    <x:row r="760" ht="23" customHeight="1">
      <x:c r="A760" s="3" t="str">
        <x:v>CT-0753</x:v>
      </x:c>
      <x:c r="B760" s="3" t="str">
        <x:v>ST-130</x:v>
      </x:c>
      <x:c r="C760" s="3" t="str">
        <x:v>R+AR同收同发</x:v>
      </x:c>
      <x:c r="D760" s="25" t="n">
        <x:v>1</x:v>
      </x:c>
      <x:c r="E760" s="25" t="n">
        <x:v>2</x:v>
      </x:c>
      <x:c r="F760" s="25" t="n">
        <x:v>5</x:v>
      </x:c>
      <x:c r="G760" s="19" t="n">
        <x:f>SUM(D760:F760)</x:f>
        <x:v>8</x:v>
      </x:c>
      <x:c r="H760" s="25" t="n">
        <x:v>1</x:v>
      </x:c>
      <x:c r="I760" s="25" t="n">
        <x:v>1</x:v>
      </x:c>
      <x:c r="J760" s="25" t="n">
        <x:v>2</x:v>
      </x:c>
      <x:c r="K760" s="19" t="n">
        <x:f>D760-IF(H760=0,1,0)</x:f>
        <x:v>1</x:v>
      </x:c>
      <x:c r="L760" s="19" t="n">
        <x:f>E760-IF(H760=1,1,0)</x:f>
        <x:v>1</x:v>
      </x:c>
      <x:c r="M760" s="19" t="n">
        <x:f>F760-IF(H760=2,1,0)</x:f>
        <x:v>5</x:v>
      </x:c>
      <x:c r="N760" s="19" t="n">
        <x:f>MAX(K760-1,0)+MAX(L760-1,0)+MAX(M760-1,0)</x:f>
        <x:v>4</x:v>
      </x:c>
      <x:c r="O760" s="19" t="n">
        <x:f>IF(AND(SUM(K760:M760)&lt;9,OR(M760=0,N760&lt;6)),1,0)</x:f>
        <x:v>1</x:v>
      </x:c>
      <x:c r="P760" s="19" t="n">
        <x:f>IF(AND(SUM(K760:M760)&lt;9,OR(L760=0,N760&lt;6)),1,0)</x:f>
        <x:v>1</x:v>
      </x:c>
      <x:c r="Q760" s="19" t="n">
        <x:f>IF(AND(SUM(K760:M760)&lt;9,OR(K760=0,N760&lt;6)),1,0)</x:f>
        <x:v>1</x:v>
      </x:c>
      <x:c r="R760" s="22" t="str">
        <x:f>O760&amp;P760&amp;Q760</x:f>
        <x:v>111</x:v>
      </x:c>
      <x:c r="S760" s="19" t="n">
        <x:f>IF(I760=1,IF(J760=0,Q760,IF(J760=1,P760,IF(J760=2,O760,0))),0)</x:f>
        <x:v>1</x:v>
      </x:c>
      <x:c r="T760" s="19" t="n">
        <x:f>K760+IF(AND(S760=1,J760=0),1,0)</x:f>
        <x:v>1</x:v>
      </x:c>
      <x:c r="U760" s="19" t="n">
        <x:f>L760+IF(AND(S760=1,J760=1),1,0)</x:f>
        <x:v>1</x:v>
      </x:c>
      <x:c r="V760" s="19" t="n">
        <x:f>M760+IF(AND(S760=1,J760=2),1,0)</x:f>
        <x:v>6</x:v>
      </x:c>
      <x:c r="W760" s="19" t="n">
        <x:f>SUM(T760:V760)</x:f>
        <x:v>8</x:v>
      </x:c>
      <x:c r="X760" s="19" t="n">
        <x:f>W760-G760</x:f>
        <x:v>0</x:v>
      </x:c>
      <x:c r="Y760" s="19" t="n">
        <x:f>MAX(T760,1)+MAX(U760,1)+MAX(V760,1)</x:f>
        <x:v>8</x:v>
      </x:c>
      <x:c r="Z760" s="21" t="str">
        <x:f>IF(AND(MIN(D760:F760)&gt;=0,MAX(D760:F760)&lt;=7,MAX(D760,1)+MAX(E760,1)+MAX(F760,1)&lt;=9,OR(H760="-",AND(H760=0,D760&gt;0),AND(H760=1,E760&gt;0),AND(H760=2,F760&gt;0)),OR(I760=0,AND(I760=1,OR(J760=0,J760=1,J760=2),R760&lt;&gt;"000")),Y760&lt;=9,MIN(T760:V760)&gt;=0),"合法","输入违约")</x:f>
        <x:v>合法</x:v>
      </x:c>
    </x:row>
    <x:row r="761" ht="23" customHeight="1">
      <x:c r="A761" s="3" t="str">
        <x:v>CT-0754</x:v>
      </x:c>
      <x:c r="B761" s="3" t="str">
        <x:v>ST-130</x:v>
      </x:c>
      <x:c r="C761" s="3" t="str">
        <x:v>仅R回收</x:v>
      </x:c>
      <x:c r="D761" s="25" t="n">
        <x:v>1</x:v>
      </x:c>
      <x:c r="E761" s="25" t="n">
        <x:v>2</x:v>
      </x:c>
      <x:c r="F761" s="25" t="n">
        <x:v>5</x:v>
      </x:c>
      <x:c r="G761" s="19" t="n">
        <x:f>SUM(D761:F761)</x:f>
        <x:v>8</x:v>
      </x:c>
      <x:c r="H761" s="25" t="n">
        <x:v>2</x:v>
      </x:c>
      <x:c r="I761" s="25" t="n">
        <x:v>0</x:v>
      </x:c>
      <x:c r="J761" s="25" t="str">
        <x:v>-</x:v>
      </x:c>
      <x:c r="K761" s="19" t="n">
        <x:f>D761-IF(H761=0,1,0)</x:f>
        <x:v>1</x:v>
      </x:c>
      <x:c r="L761" s="19" t="n">
        <x:f>E761-IF(H761=1,1,0)</x:f>
        <x:v>2</x:v>
      </x:c>
      <x:c r="M761" s="19" t="n">
        <x:f>F761-IF(H761=2,1,0)</x:f>
        <x:v>4</x:v>
      </x:c>
      <x:c r="N761" s="19" t="n">
        <x:f>MAX(K761-1,0)+MAX(L761-1,0)+MAX(M761-1,0)</x:f>
        <x:v>4</x:v>
      </x:c>
      <x:c r="O761" s="19" t="n">
        <x:f>IF(AND(SUM(K761:M761)&lt;9,OR(M761=0,N761&lt;6)),1,0)</x:f>
        <x:v>1</x:v>
      </x:c>
      <x:c r="P761" s="19" t="n">
        <x:f>IF(AND(SUM(K761:M761)&lt;9,OR(L761=0,N761&lt;6)),1,0)</x:f>
        <x:v>1</x:v>
      </x:c>
      <x:c r="Q761" s="19" t="n">
        <x:f>IF(AND(SUM(K761:M761)&lt;9,OR(K761=0,N761&lt;6)),1,0)</x:f>
        <x:v>1</x:v>
      </x:c>
      <x:c r="R761" s="22" t="str">
        <x:f>O761&amp;P761&amp;Q761</x:f>
        <x:v>111</x:v>
      </x:c>
      <x:c r="S761" s="19" t="n">
        <x:f>IF(I761=1,IF(J761=0,Q761,IF(J761=1,P761,IF(J761=2,O761,0))),0)</x:f>
        <x:v>0</x:v>
      </x:c>
      <x:c r="T761" s="19" t="n">
        <x:f>K761+IF(AND(S761=1,J761=0),1,0)</x:f>
        <x:v>1</x:v>
      </x:c>
      <x:c r="U761" s="19" t="n">
        <x:f>L761+IF(AND(S761=1,J761=1),1,0)</x:f>
        <x:v>2</x:v>
      </x:c>
      <x:c r="V761" s="19" t="n">
        <x:f>M761+IF(AND(S761=1,J761=2),1,0)</x:f>
        <x:v>4</x:v>
      </x:c>
      <x:c r="W761" s="19" t="n">
        <x:f>SUM(T761:V761)</x:f>
        <x:v>7</x:v>
      </x:c>
      <x:c r="X761" s="19" t="n">
        <x:f>W761-G761</x:f>
        <x:v>-1</x:v>
      </x:c>
      <x:c r="Y761" s="19" t="n">
        <x:f>MAX(T761,1)+MAX(U761,1)+MAX(V761,1)</x:f>
        <x:v>7</x:v>
      </x:c>
      <x:c r="Z761" s="21" t="str">
        <x:f>IF(AND(MIN(D761:F761)&gt;=0,MAX(D761:F761)&lt;=7,MAX(D761,1)+MAX(E761,1)+MAX(F761,1)&lt;=9,OR(H761="-",AND(H761=0,D761&gt;0),AND(H761=1,E761&gt;0),AND(H761=2,F761&gt;0)),OR(I761=0,AND(I761=1,OR(J761=0,J761=1,J761=2),R761&lt;&gt;"000")),Y761&lt;=9,MIN(T761:V761)&gt;=0),"合法","输入违约")</x:f>
        <x:v>合法</x:v>
      </x:c>
    </x:row>
    <x:row r="762" ht="23" customHeight="1">
      <x:c r="A762" s="3" t="str">
        <x:v>CT-0755</x:v>
      </x:c>
      <x:c r="B762" s="3" t="str">
        <x:v>ST-130</x:v>
      </x:c>
      <x:c r="C762" s="3" t="str">
        <x:v>R+AR同收同发</x:v>
      </x:c>
      <x:c r="D762" s="25" t="n">
        <x:v>1</x:v>
      </x:c>
      <x:c r="E762" s="25" t="n">
        <x:v>2</x:v>
      </x:c>
      <x:c r="F762" s="25" t="n">
        <x:v>5</x:v>
      </x:c>
      <x:c r="G762" s="19" t="n">
        <x:f>SUM(D762:F762)</x:f>
        <x:v>8</x:v>
      </x:c>
      <x:c r="H762" s="25" t="n">
        <x:v>2</x:v>
      </x:c>
      <x:c r="I762" s="25" t="n">
        <x:v>1</x:v>
      </x:c>
      <x:c r="J762" s="25" t="n">
        <x:v>0</x:v>
      </x:c>
      <x:c r="K762" s="19" t="n">
        <x:f>D762-IF(H762=0,1,0)</x:f>
        <x:v>1</x:v>
      </x:c>
      <x:c r="L762" s="19" t="n">
        <x:f>E762-IF(H762=1,1,0)</x:f>
        <x:v>2</x:v>
      </x:c>
      <x:c r="M762" s="19" t="n">
        <x:f>F762-IF(H762=2,1,0)</x:f>
        <x:v>4</x:v>
      </x:c>
      <x:c r="N762" s="19" t="n">
        <x:f>MAX(K762-1,0)+MAX(L762-1,0)+MAX(M762-1,0)</x:f>
        <x:v>4</x:v>
      </x:c>
      <x:c r="O762" s="19" t="n">
        <x:f>IF(AND(SUM(K762:M762)&lt;9,OR(M762=0,N762&lt;6)),1,0)</x:f>
        <x:v>1</x:v>
      </x:c>
      <x:c r="P762" s="19" t="n">
        <x:f>IF(AND(SUM(K762:M762)&lt;9,OR(L762=0,N762&lt;6)),1,0)</x:f>
        <x:v>1</x:v>
      </x:c>
      <x:c r="Q762" s="19" t="n">
        <x:f>IF(AND(SUM(K762:M762)&lt;9,OR(K762=0,N762&lt;6)),1,0)</x:f>
        <x:v>1</x:v>
      </x:c>
      <x:c r="R762" s="22" t="str">
        <x:f>O762&amp;P762&amp;Q762</x:f>
        <x:v>111</x:v>
      </x:c>
      <x:c r="S762" s="19" t="n">
        <x:f>IF(I762=1,IF(J762=0,Q762,IF(J762=1,P762,IF(J762=2,O762,0))),0)</x:f>
        <x:v>1</x:v>
      </x:c>
      <x:c r="T762" s="19" t="n">
        <x:f>K762+IF(AND(S762=1,J762=0),1,0)</x:f>
        <x:v>2</x:v>
      </x:c>
      <x:c r="U762" s="19" t="n">
        <x:f>L762+IF(AND(S762=1,J762=1),1,0)</x:f>
        <x:v>2</x:v>
      </x:c>
      <x:c r="V762" s="19" t="n">
        <x:f>M762+IF(AND(S762=1,J762=2),1,0)</x:f>
        <x:v>4</x:v>
      </x:c>
      <x:c r="W762" s="19" t="n">
        <x:f>SUM(T762:V762)</x:f>
        <x:v>8</x:v>
      </x:c>
      <x:c r="X762" s="19" t="n">
        <x:f>W762-G762</x:f>
        <x:v>0</x:v>
      </x:c>
      <x:c r="Y762" s="19" t="n">
        <x:f>MAX(T762,1)+MAX(U762,1)+MAX(V762,1)</x:f>
        <x:v>8</x:v>
      </x:c>
      <x:c r="Z762" s="21" t="str">
        <x:f>IF(AND(MIN(D762:F762)&gt;=0,MAX(D762:F762)&lt;=7,MAX(D762,1)+MAX(E762,1)+MAX(F762,1)&lt;=9,OR(H762="-",AND(H762=0,D762&gt;0),AND(H762=1,E762&gt;0),AND(H762=2,F762&gt;0)),OR(I762=0,AND(I762=1,OR(J762=0,J762=1,J762=2),R762&lt;&gt;"000")),Y762&lt;=9,MIN(T762:V762)&gt;=0),"合法","输入违约")</x:f>
        <x:v>合法</x:v>
      </x:c>
    </x:row>
    <x:row r="763" ht="23" customHeight="1">
      <x:c r="A763" s="3" t="str">
        <x:v>CT-0756</x:v>
      </x:c>
      <x:c r="B763" s="3" t="str">
        <x:v>ST-130</x:v>
      </x:c>
      <x:c r="C763" s="3" t="str">
        <x:v>R+AR同收同发</x:v>
      </x:c>
      <x:c r="D763" s="25" t="n">
        <x:v>1</x:v>
      </x:c>
      <x:c r="E763" s="25" t="n">
        <x:v>2</x:v>
      </x:c>
      <x:c r="F763" s="25" t="n">
        <x:v>5</x:v>
      </x:c>
      <x:c r="G763" s="19" t="n">
        <x:f>SUM(D763:F763)</x:f>
        <x:v>8</x:v>
      </x:c>
      <x:c r="H763" s="25" t="n">
        <x:v>2</x:v>
      </x:c>
      <x:c r="I763" s="25" t="n">
        <x:v>1</x:v>
      </x:c>
      <x:c r="J763" s="25" t="n">
        <x:v>1</x:v>
      </x:c>
      <x:c r="K763" s="19" t="n">
        <x:f>D763-IF(H763=0,1,0)</x:f>
        <x:v>1</x:v>
      </x:c>
      <x:c r="L763" s="19" t="n">
        <x:f>E763-IF(H763=1,1,0)</x:f>
        <x:v>2</x:v>
      </x:c>
      <x:c r="M763" s="19" t="n">
        <x:f>F763-IF(H763=2,1,0)</x:f>
        <x:v>4</x:v>
      </x:c>
      <x:c r="N763" s="19" t="n">
        <x:f>MAX(K763-1,0)+MAX(L763-1,0)+MAX(M763-1,0)</x:f>
        <x:v>4</x:v>
      </x:c>
      <x:c r="O763" s="19" t="n">
        <x:f>IF(AND(SUM(K763:M763)&lt;9,OR(M763=0,N763&lt;6)),1,0)</x:f>
        <x:v>1</x:v>
      </x:c>
      <x:c r="P763" s="19" t="n">
        <x:f>IF(AND(SUM(K763:M763)&lt;9,OR(L763=0,N763&lt;6)),1,0)</x:f>
        <x:v>1</x:v>
      </x:c>
      <x:c r="Q763" s="19" t="n">
        <x:f>IF(AND(SUM(K763:M763)&lt;9,OR(K763=0,N763&lt;6)),1,0)</x:f>
        <x:v>1</x:v>
      </x:c>
      <x:c r="R763" s="22" t="str">
        <x:f>O763&amp;P763&amp;Q763</x:f>
        <x:v>111</x:v>
      </x:c>
      <x:c r="S763" s="19" t="n">
        <x:f>IF(I763=1,IF(J763=0,Q763,IF(J763=1,P763,IF(J763=2,O763,0))),0)</x:f>
        <x:v>1</x:v>
      </x:c>
      <x:c r="T763" s="19" t="n">
        <x:f>K763+IF(AND(S763=1,J763=0),1,0)</x:f>
        <x:v>1</x:v>
      </x:c>
      <x:c r="U763" s="19" t="n">
        <x:f>L763+IF(AND(S763=1,J763=1),1,0)</x:f>
        <x:v>3</x:v>
      </x:c>
      <x:c r="V763" s="19" t="n">
        <x:f>M763+IF(AND(S763=1,J763=2),1,0)</x:f>
        <x:v>4</x:v>
      </x:c>
      <x:c r="W763" s="19" t="n">
        <x:f>SUM(T763:V763)</x:f>
        <x:v>8</x:v>
      </x:c>
      <x:c r="X763" s="19" t="n">
        <x:f>W763-G763</x:f>
        <x:v>0</x:v>
      </x:c>
      <x:c r="Y763" s="19" t="n">
        <x:f>MAX(T763,1)+MAX(U763,1)+MAX(V763,1)</x:f>
        <x:v>8</x:v>
      </x:c>
      <x:c r="Z763" s="21" t="str">
        <x:f>IF(AND(MIN(D763:F763)&gt;=0,MAX(D763:F763)&lt;=7,MAX(D763,1)+MAX(E763,1)+MAX(F763,1)&lt;=9,OR(H763="-",AND(H763=0,D763&gt;0),AND(H763=1,E763&gt;0),AND(H763=2,F763&gt;0)),OR(I763=0,AND(I763=1,OR(J763=0,J763=1,J763=2),R763&lt;&gt;"000")),Y763&lt;=9,MIN(T763:V763)&gt;=0),"合法","输入违约")</x:f>
        <x:v>合法</x:v>
      </x:c>
    </x:row>
    <x:row r="764" ht="23" customHeight="1">
      <x:c r="A764" s="3" t="str">
        <x:v>CT-0757</x:v>
      </x:c>
      <x:c r="B764" s="3" t="str">
        <x:v>ST-130</x:v>
      </x:c>
      <x:c r="C764" s="3" t="str">
        <x:v>R+AR同收同发</x:v>
      </x:c>
      <x:c r="D764" s="25" t="n">
        <x:v>1</x:v>
      </x:c>
      <x:c r="E764" s="25" t="n">
        <x:v>2</x:v>
      </x:c>
      <x:c r="F764" s="25" t="n">
        <x:v>5</x:v>
      </x:c>
      <x:c r="G764" s="19" t="n">
        <x:f>SUM(D764:F764)</x:f>
        <x:v>8</x:v>
      </x:c>
      <x:c r="H764" s="25" t="n">
        <x:v>2</x:v>
      </x:c>
      <x:c r="I764" s="25" t="n">
        <x:v>1</x:v>
      </x:c>
      <x:c r="J764" s="25" t="n">
        <x:v>2</x:v>
      </x:c>
      <x:c r="K764" s="19" t="n">
        <x:f>D764-IF(H764=0,1,0)</x:f>
        <x:v>1</x:v>
      </x:c>
      <x:c r="L764" s="19" t="n">
        <x:f>E764-IF(H764=1,1,0)</x:f>
        <x:v>2</x:v>
      </x:c>
      <x:c r="M764" s="19" t="n">
        <x:f>F764-IF(H764=2,1,0)</x:f>
        <x:v>4</x:v>
      </x:c>
      <x:c r="N764" s="19" t="n">
        <x:f>MAX(K764-1,0)+MAX(L764-1,0)+MAX(M764-1,0)</x:f>
        <x:v>4</x:v>
      </x:c>
      <x:c r="O764" s="19" t="n">
        <x:f>IF(AND(SUM(K764:M764)&lt;9,OR(M764=0,N764&lt;6)),1,0)</x:f>
        <x:v>1</x:v>
      </x:c>
      <x:c r="P764" s="19" t="n">
        <x:f>IF(AND(SUM(K764:M764)&lt;9,OR(L764=0,N764&lt;6)),1,0)</x:f>
        <x:v>1</x:v>
      </x:c>
      <x:c r="Q764" s="19" t="n">
        <x:f>IF(AND(SUM(K764:M764)&lt;9,OR(K764=0,N764&lt;6)),1,0)</x:f>
        <x:v>1</x:v>
      </x:c>
      <x:c r="R764" s="22" t="str">
        <x:f>O764&amp;P764&amp;Q764</x:f>
        <x:v>111</x:v>
      </x:c>
      <x:c r="S764" s="19" t="n">
        <x:f>IF(I764=1,IF(J764=0,Q764,IF(J764=1,P764,IF(J764=2,O764,0))),0)</x:f>
        <x:v>1</x:v>
      </x:c>
      <x:c r="T764" s="19" t="n">
        <x:f>K764+IF(AND(S764=1,J764=0),1,0)</x:f>
        <x:v>1</x:v>
      </x:c>
      <x:c r="U764" s="19" t="n">
        <x:f>L764+IF(AND(S764=1,J764=1),1,0)</x:f>
        <x:v>2</x:v>
      </x:c>
      <x:c r="V764" s="19" t="n">
        <x:f>M764+IF(AND(S764=1,J764=2),1,0)</x:f>
        <x:v>5</x:v>
      </x:c>
      <x:c r="W764" s="19" t="n">
        <x:f>SUM(T764:V764)</x:f>
        <x:v>8</x:v>
      </x:c>
      <x:c r="X764" s="19" t="n">
        <x:f>W764-G764</x:f>
        <x:v>0</x:v>
      </x:c>
      <x:c r="Y764" s="19" t="n">
        <x:f>MAX(T764,1)+MAX(U764,1)+MAX(V764,1)</x:f>
        <x:v>8</x:v>
      </x:c>
      <x:c r="Z764" s="21" t="str">
        <x:f>IF(AND(MIN(D764:F764)&gt;=0,MAX(D764:F764)&lt;=7,MAX(D764,1)+MAX(E764,1)+MAX(F764,1)&lt;=9,OR(H764="-",AND(H764=0,D764&gt;0),AND(H764=1,E764&gt;0),AND(H764=2,F764&gt;0)),OR(I764=0,AND(I764=1,OR(J764=0,J764=1,J764=2),R764&lt;&gt;"000")),Y764&lt;=9,MIN(T764:V764)&gt;=0),"合法","输入违约")</x:f>
        <x:v>合法</x:v>
      </x:c>
    </x:row>
    <x:row r="765" ht="23" customHeight="1">
      <x:c r="A765" s="3" t="str">
        <x:v>CT-0758</x:v>
      </x:c>
      <x:c r="B765" s="3" t="str">
        <x:v>ST-164</x:v>
      </x:c>
      <x:c r="C765" s="3" t="str">
        <x:v>无AR/R</x:v>
      </x:c>
      <x:c r="D765" s="25" t="n">
        <x:v>1</x:v>
      </x:c>
      <x:c r="E765" s="25" t="n">
        <x:v>2</x:v>
      </x:c>
      <x:c r="F765" s="25" t="n">
        <x:v>6</x:v>
      </x:c>
      <x:c r="G765" s="19" t="n">
        <x:f>SUM(D765:F765)</x:f>
        <x:v>9</x:v>
      </x:c>
      <x:c r="H765" s="25" t="str">
        <x:v>-</x:v>
      </x:c>
      <x:c r="I765" s="25" t="n">
        <x:v>0</x:v>
      </x:c>
      <x:c r="J765" s="25" t="str">
        <x:v>-</x:v>
      </x:c>
      <x:c r="K765" s="19" t="n">
        <x:f>D765-IF(H765=0,1,0)</x:f>
        <x:v>1</x:v>
      </x:c>
      <x:c r="L765" s="19" t="n">
        <x:f>E765-IF(H765=1,1,0)</x:f>
        <x:v>2</x:v>
      </x:c>
      <x:c r="M765" s="19" t="n">
        <x:f>F765-IF(H765=2,1,0)</x:f>
        <x:v>6</x:v>
      </x:c>
      <x:c r="N765" s="19" t="n">
        <x:f>MAX(K765-1,0)+MAX(L765-1,0)+MAX(M765-1,0)</x:f>
        <x:v>6</x:v>
      </x:c>
      <x:c r="O765" s="19" t="n">
        <x:f>IF(AND(SUM(K765:M765)&lt;9,OR(M765=0,N765&lt;6)),1,0)</x:f>
        <x:v>0</x:v>
      </x:c>
      <x:c r="P765" s="19" t="n">
        <x:f>IF(AND(SUM(K765:M765)&lt;9,OR(L765=0,N765&lt;6)),1,0)</x:f>
        <x:v>0</x:v>
      </x:c>
      <x:c r="Q765" s="19" t="n">
        <x:f>IF(AND(SUM(K765:M765)&lt;9,OR(K765=0,N765&lt;6)),1,0)</x:f>
        <x:v>0</x:v>
      </x:c>
      <x:c r="R765" s="22" t="str">
        <x:f>O765&amp;P765&amp;Q765</x:f>
        <x:v>000</x:v>
      </x:c>
      <x:c r="S765" s="19" t="n">
        <x:f>IF(I765=1,IF(J765=0,Q765,IF(J765=1,P765,IF(J765=2,O765,0))),0)</x:f>
        <x:v>0</x:v>
      </x:c>
      <x:c r="T765" s="19" t="n">
        <x:f>K765+IF(AND(S765=1,J765=0),1,0)</x:f>
        <x:v>1</x:v>
      </x:c>
      <x:c r="U765" s="19" t="n">
        <x:f>L765+IF(AND(S765=1,J765=1),1,0)</x:f>
        <x:v>2</x:v>
      </x:c>
      <x:c r="V765" s="19" t="n">
        <x:f>M765+IF(AND(S765=1,J765=2),1,0)</x:f>
        <x:v>6</x:v>
      </x:c>
      <x:c r="W765" s="19" t="n">
        <x:f>SUM(T765:V765)</x:f>
        <x:v>9</x:v>
      </x:c>
      <x:c r="X765" s="19" t="n">
        <x:f>W765-G765</x:f>
        <x:v>0</x:v>
      </x:c>
      <x:c r="Y765" s="19" t="n">
        <x:f>MAX(T765,1)+MAX(U765,1)+MAX(V765,1)</x:f>
        <x:v>9</x:v>
      </x:c>
      <x:c r="Z765" s="21" t="str">
        <x:f>IF(AND(MIN(D765:F765)&gt;=0,MAX(D765:F765)&lt;=7,MAX(D765,1)+MAX(E765,1)+MAX(F765,1)&lt;=9,OR(H765="-",AND(H765=0,D765&gt;0),AND(H765=1,E765&gt;0),AND(H765=2,F765&gt;0)),OR(I765=0,AND(I765=1,OR(J765=0,J765=1,J765=2),R765&lt;&gt;"000")),Y765&lt;=9,MIN(T765:V765)&gt;=0),"合法","输入违约")</x:f>
        <x:v>合法</x:v>
      </x:c>
    </x:row>
    <x:row r="766" ht="23" customHeight="1">
      <x:c r="A766" s="3" t="str">
        <x:v>CT-0759</x:v>
      </x:c>
      <x:c r="B766" s="3" t="str">
        <x:v>ST-164</x:v>
      </x:c>
      <x:c r="C766" s="3" t="str">
        <x:v>仅R回收</x:v>
      </x:c>
      <x:c r="D766" s="25" t="n">
        <x:v>1</x:v>
      </x:c>
      <x:c r="E766" s="25" t="n">
        <x:v>2</x:v>
      </x:c>
      <x:c r="F766" s="25" t="n">
        <x:v>6</x:v>
      </x:c>
      <x:c r="G766" s="19" t="n">
        <x:f>SUM(D766:F766)</x:f>
        <x:v>9</x:v>
      </x:c>
      <x:c r="H766" s="25" t="n">
        <x:v>0</x:v>
      </x:c>
      <x:c r="I766" s="25" t="n">
        <x:v>0</x:v>
      </x:c>
      <x:c r="J766" s="25" t="str">
        <x:v>-</x:v>
      </x:c>
      <x:c r="K766" s="19" t="n">
        <x:f>D766-IF(H766=0,1,0)</x:f>
        <x:v>0</x:v>
      </x:c>
      <x:c r="L766" s="19" t="n">
        <x:f>E766-IF(H766=1,1,0)</x:f>
        <x:v>2</x:v>
      </x:c>
      <x:c r="M766" s="19" t="n">
        <x:f>F766-IF(H766=2,1,0)</x:f>
        <x:v>6</x:v>
      </x:c>
      <x:c r="N766" s="19" t="n">
        <x:f>MAX(K766-1,0)+MAX(L766-1,0)+MAX(M766-1,0)</x:f>
        <x:v>6</x:v>
      </x:c>
      <x:c r="O766" s="19" t="n">
        <x:f>IF(AND(SUM(K766:M766)&lt;9,OR(M766=0,N766&lt;6)),1,0)</x:f>
        <x:v>0</x:v>
      </x:c>
      <x:c r="P766" s="19" t="n">
        <x:f>IF(AND(SUM(K766:M766)&lt;9,OR(L766=0,N766&lt;6)),1,0)</x:f>
        <x:v>0</x:v>
      </x:c>
      <x:c r="Q766" s="19" t="n">
        <x:f>IF(AND(SUM(K766:M766)&lt;9,OR(K766=0,N766&lt;6)),1,0)</x:f>
        <x:v>1</x:v>
      </x:c>
      <x:c r="R766" s="22" t="str">
        <x:f>O766&amp;P766&amp;Q766</x:f>
        <x:v>001</x:v>
      </x:c>
      <x:c r="S766" s="19" t="n">
        <x:f>IF(I766=1,IF(J766=0,Q766,IF(J766=1,P766,IF(J766=2,O766,0))),0)</x:f>
        <x:v>0</x:v>
      </x:c>
      <x:c r="T766" s="19" t="n">
        <x:f>K766+IF(AND(S766=1,J766=0),1,0)</x:f>
        <x:v>0</x:v>
      </x:c>
      <x:c r="U766" s="19" t="n">
        <x:f>L766+IF(AND(S766=1,J766=1),1,0)</x:f>
        <x:v>2</x:v>
      </x:c>
      <x:c r="V766" s="19" t="n">
        <x:f>M766+IF(AND(S766=1,J766=2),1,0)</x:f>
        <x:v>6</x:v>
      </x:c>
      <x:c r="W766" s="19" t="n">
        <x:f>SUM(T766:V766)</x:f>
        <x:v>8</x:v>
      </x:c>
      <x:c r="X766" s="19" t="n">
        <x:f>W766-G766</x:f>
        <x:v>-1</x:v>
      </x:c>
      <x:c r="Y766" s="19" t="n">
        <x:f>MAX(T766,1)+MAX(U766,1)+MAX(V766,1)</x:f>
        <x:v>9</x:v>
      </x:c>
      <x:c r="Z766" s="21" t="str">
        <x:f>IF(AND(MIN(D766:F766)&gt;=0,MAX(D766:F766)&lt;=7,MAX(D766,1)+MAX(E766,1)+MAX(F766,1)&lt;=9,OR(H766="-",AND(H766=0,D766&gt;0),AND(H766=1,E766&gt;0),AND(H766=2,F766&gt;0)),OR(I766=0,AND(I766=1,OR(J766=0,J766=1,J766=2),R766&lt;&gt;"000")),Y766&lt;=9,MIN(T766:V766)&gt;=0),"合法","输入违约")</x:f>
        <x:v>合法</x:v>
      </x:c>
    </x:row>
    <x:row r="767" ht="23" customHeight="1">
      <x:c r="A767" s="3" t="str">
        <x:v>CT-0760</x:v>
      </x:c>
      <x:c r="B767" s="3" t="str">
        <x:v>ST-164</x:v>
      </x:c>
      <x:c r="C767" s="3" t="str">
        <x:v>R+AR同收同发</x:v>
      </x:c>
      <x:c r="D767" s="25" t="n">
        <x:v>1</x:v>
      </x:c>
      <x:c r="E767" s="25" t="n">
        <x:v>2</x:v>
      </x:c>
      <x:c r="F767" s="25" t="n">
        <x:v>6</x:v>
      </x:c>
      <x:c r="G767" s="19" t="n">
        <x:f>SUM(D767:F767)</x:f>
        <x:v>9</x:v>
      </x:c>
      <x:c r="H767" s="25" t="n">
        <x:v>0</x:v>
      </x:c>
      <x:c r="I767" s="25" t="n">
        <x:v>1</x:v>
      </x:c>
      <x:c r="J767" s="25" t="n">
        <x:v>0</x:v>
      </x:c>
      <x:c r="K767" s="19" t="n">
        <x:f>D767-IF(H767=0,1,0)</x:f>
        <x:v>0</x:v>
      </x:c>
      <x:c r="L767" s="19" t="n">
        <x:f>E767-IF(H767=1,1,0)</x:f>
        <x:v>2</x:v>
      </x:c>
      <x:c r="M767" s="19" t="n">
        <x:f>F767-IF(H767=2,1,0)</x:f>
        <x:v>6</x:v>
      </x:c>
      <x:c r="N767" s="19" t="n">
        <x:f>MAX(K767-1,0)+MAX(L767-1,0)+MAX(M767-1,0)</x:f>
        <x:v>6</x:v>
      </x:c>
      <x:c r="O767" s="19" t="n">
        <x:f>IF(AND(SUM(K767:M767)&lt;9,OR(M767=0,N767&lt;6)),1,0)</x:f>
        <x:v>0</x:v>
      </x:c>
      <x:c r="P767" s="19" t="n">
        <x:f>IF(AND(SUM(K767:M767)&lt;9,OR(L767=0,N767&lt;6)),1,0)</x:f>
        <x:v>0</x:v>
      </x:c>
      <x:c r="Q767" s="19" t="n">
        <x:f>IF(AND(SUM(K767:M767)&lt;9,OR(K767=0,N767&lt;6)),1,0)</x:f>
        <x:v>1</x:v>
      </x:c>
      <x:c r="R767" s="22" t="str">
        <x:f>O767&amp;P767&amp;Q767</x:f>
        <x:v>001</x:v>
      </x:c>
      <x:c r="S767" s="19" t="n">
        <x:f>IF(I767=1,IF(J767=0,Q767,IF(J767=1,P767,IF(J767=2,O767,0))),0)</x:f>
        <x:v>1</x:v>
      </x:c>
      <x:c r="T767" s="19" t="n">
        <x:f>K767+IF(AND(S767=1,J767=0),1,0)</x:f>
        <x:v>1</x:v>
      </x:c>
      <x:c r="U767" s="19" t="n">
        <x:f>L767+IF(AND(S767=1,J767=1),1,0)</x:f>
        <x:v>2</x:v>
      </x:c>
      <x:c r="V767" s="19" t="n">
        <x:f>M767+IF(AND(S767=1,J767=2),1,0)</x:f>
        <x:v>6</x:v>
      </x:c>
      <x:c r="W767" s="19" t="n">
        <x:f>SUM(T767:V767)</x:f>
        <x:v>9</x:v>
      </x:c>
      <x:c r="X767" s="19" t="n">
        <x:f>W767-G767</x:f>
        <x:v>0</x:v>
      </x:c>
      <x:c r="Y767" s="19" t="n">
        <x:f>MAX(T767,1)+MAX(U767,1)+MAX(V767,1)</x:f>
        <x:v>9</x:v>
      </x:c>
      <x:c r="Z767" s="21" t="str">
        <x:f>IF(AND(MIN(D767:F767)&gt;=0,MAX(D767:F767)&lt;=7,MAX(D767,1)+MAX(E767,1)+MAX(F767,1)&lt;=9,OR(H767="-",AND(H767=0,D767&gt;0),AND(H767=1,E767&gt;0),AND(H767=2,F767&gt;0)),OR(I767=0,AND(I767=1,OR(J767=0,J767=1,J767=2),R767&lt;&gt;"000")),Y767&lt;=9,MIN(T767:V767)&gt;=0),"合法","输入违约")</x:f>
        <x:v>合法</x:v>
      </x:c>
    </x:row>
    <x:row r="768" ht="23" customHeight="1">
      <x:c r="A768" s="3" t="str">
        <x:v>CT-0761</x:v>
      </x:c>
      <x:c r="B768" s="3" t="str">
        <x:v>ST-164</x:v>
      </x:c>
      <x:c r="C768" s="3" t="str">
        <x:v>仅R回收</x:v>
      </x:c>
      <x:c r="D768" s="25" t="n">
        <x:v>1</x:v>
      </x:c>
      <x:c r="E768" s="25" t="n">
        <x:v>2</x:v>
      </x:c>
      <x:c r="F768" s="25" t="n">
        <x:v>6</x:v>
      </x:c>
      <x:c r="G768" s="19" t="n">
        <x:f>SUM(D768:F768)</x:f>
        <x:v>9</x:v>
      </x:c>
      <x:c r="H768" s="25" t="n">
        <x:v>0</x:v>
      </x:c>
      <x:c r="I768" s="25" t="n">
        <x:v>1</x:v>
      </x:c>
      <x:c r="J768" s="25" t="n">
        <x:v>1</x:v>
      </x:c>
      <x:c r="K768" s="19" t="n">
        <x:f>D768-IF(H768=0,1,0)</x:f>
        <x:v>0</x:v>
      </x:c>
      <x:c r="L768" s="19" t="n">
        <x:f>E768-IF(H768=1,1,0)</x:f>
        <x:v>2</x:v>
      </x:c>
      <x:c r="M768" s="19" t="n">
        <x:f>F768-IF(H768=2,1,0)</x:f>
        <x:v>6</x:v>
      </x:c>
      <x:c r="N768" s="19" t="n">
        <x:f>MAX(K768-1,0)+MAX(L768-1,0)+MAX(M768-1,0)</x:f>
        <x:v>6</x:v>
      </x:c>
      <x:c r="O768" s="19" t="n">
        <x:f>IF(AND(SUM(K768:M768)&lt;9,OR(M768=0,N768&lt;6)),1,0)</x:f>
        <x:v>0</x:v>
      </x:c>
      <x:c r="P768" s="19" t="n">
        <x:f>IF(AND(SUM(K768:M768)&lt;9,OR(L768=0,N768&lt;6)),1,0)</x:f>
        <x:v>0</x:v>
      </x:c>
      <x:c r="Q768" s="19" t="n">
        <x:f>IF(AND(SUM(K768:M768)&lt;9,OR(K768=0,N768&lt;6)),1,0)</x:f>
        <x:v>1</x:v>
      </x:c>
      <x:c r="R768" s="22" t="str">
        <x:f>O768&amp;P768&amp;Q768</x:f>
        <x:v>001</x:v>
      </x:c>
      <x:c r="S768" s="19" t="n">
        <x:f>IF(I768=1,IF(J768=0,Q768,IF(J768=1,P768,IF(J768=2,O768,0))),0)</x:f>
        <x:v>0</x:v>
      </x:c>
      <x:c r="T768" s="19" t="n">
        <x:f>K768+IF(AND(S768=1,J768=0),1,0)</x:f>
        <x:v>0</x:v>
      </x:c>
      <x:c r="U768" s="19" t="n">
        <x:f>L768+IF(AND(S768=1,J768=1),1,0)</x:f>
        <x:v>2</x:v>
      </x:c>
      <x:c r="V768" s="19" t="n">
        <x:f>M768+IF(AND(S768=1,J768=2),1,0)</x:f>
        <x:v>6</x:v>
      </x:c>
      <x:c r="W768" s="19" t="n">
        <x:f>SUM(T768:V768)</x:f>
        <x:v>8</x:v>
      </x:c>
      <x:c r="X768" s="19" t="n">
        <x:f>W768-G768</x:f>
        <x:v>-1</x:v>
      </x:c>
      <x:c r="Y768" s="19" t="n">
        <x:f>MAX(T768,1)+MAX(U768,1)+MAX(V768,1)</x:f>
        <x:v>9</x:v>
      </x:c>
      <x:c r="Z768" s="21" t="str">
        <x:f>IF(AND(MIN(D768:F768)&gt;=0,MAX(D768:F768)&lt;=7,MAX(D768,1)+MAX(E768,1)+MAX(F768,1)&lt;=9,OR(H768="-",AND(H768=0,D768&gt;0),AND(H768=1,E768&gt;0),AND(H768=2,F768&gt;0)),OR(I768=0,AND(I768=1,OR(J768=0,J768=1,J768=2),R768&lt;&gt;"000")),Y768&lt;=9,MIN(T768:V768)&gt;=0),"合法","输入违约")</x:f>
        <x:v>合法</x:v>
      </x:c>
    </x:row>
    <x:row r="769" ht="23" customHeight="1">
      <x:c r="A769" s="3" t="str">
        <x:v>CT-0762</x:v>
      </x:c>
      <x:c r="B769" s="3" t="str">
        <x:v>ST-164</x:v>
      </x:c>
      <x:c r="C769" s="3" t="str">
        <x:v>仅R回收</x:v>
      </x:c>
      <x:c r="D769" s="25" t="n">
        <x:v>1</x:v>
      </x:c>
      <x:c r="E769" s="25" t="n">
        <x:v>2</x:v>
      </x:c>
      <x:c r="F769" s="25" t="n">
        <x:v>6</x:v>
      </x:c>
      <x:c r="G769" s="19" t="n">
        <x:f>SUM(D769:F769)</x:f>
        <x:v>9</x:v>
      </x:c>
      <x:c r="H769" s="25" t="n">
        <x:v>0</x:v>
      </x:c>
      <x:c r="I769" s="25" t="n">
        <x:v>1</x:v>
      </x:c>
      <x:c r="J769" s="25" t="n">
        <x:v>2</x:v>
      </x:c>
      <x:c r="K769" s="19" t="n">
        <x:f>D769-IF(H769=0,1,0)</x:f>
        <x:v>0</x:v>
      </x:c>
      <x:c r="L769" s="19" t="n">
        <x:f>E769-IF(H769=1,1,0)</x:f>
        <x:v>2</x:v>
      </x:c>
      <x:c r="M769" s="19" t="n">
        <x:f>F769-IF(H769=2,1,0)</x:f>
        <x:v>6</x:v>
      </x:c>
      <x:c r="N769" s="19" t="n">
        <x:f>MAX(K769-1,0)+MAX(L769-1,0)+MAX(M769-1,0)</x:f>
        <x:v>6</x:v>
      </x:c>
      <x:c r="O769" s="19" t="n">
        <x:f>IF(AND(SUM(K769:M769)&lt;9,OR(M769=0,N769&lt;6)),1,0)</x:f>
        <x:v>0</x:v>
      </x:c>
      <x:c r="P769" s="19" t="n">
        <x:f>IF(AND(SUM(K769:M769)&lt;9,OR(L769=0,N769&lt;6)),1,0)</x:f>
        <x:v>0</x:v>
      </x:c>
      <x:c r="Q769" s="19" t="n">
        <x:f>IF(AND(SUM(K769:M769)&lt;9,OR(K769=0,N769&lt;6)),1,0)</x:f>
        <x:v>1</x:v>
      </x:c>
      <x:c r="R769" s="22" t="str">
        <x:f>O769&amp;P769&amp;Q769</x:f>
        <x:v>001</x:v>
      </x:c>
      <x:c r="S769" s="19" t="n">
        <x:f>IF(I769=1,IF(J769=0,Q769,IF(J769=1,P769,IF(J769=2,O769,0))),0)</x:f>
        <x:v>0</x:v>
      </x:c>
      <x:c r="T769" s="19" t="n">
        <x:f>K769+IF(AND(S769=1,J769=0),1,0)</x:f>
        <x:v>0</x:v>
      </x:c>
      <x:c r="U769" s="19" t="n">
        <x:f>L769+IF(AND(S769=1,J769=1),1,0)</x:f>
        <x:v>2</x:v>
      </x:c>
      <x:c r="V769" s="19" t="n">
        <x:f>M769+IF(AND(S769=1,J769=2),1,0)</x:f>
        <x:v>6</x:v>
      </x:c>
      <x:c r="W769" s="19" t="n">
        <x:f>SUM(T769:V769)</x:f>
        <x:v>8</x:v>
      </x:c>
      <x:c r="X769" s="19" t="n">
        <x:f>W769-G769</x:f>
        <x:v>-1</x:v>
      </x:c>
      <x:c r="Y769" s="19" t="n">
        <x:f>MAX(T769,1)+MAX(U769,1)+MAX(V769,1)</x:f>
        <x:v>9</x:v>
      </x:c>
      <x:c r="Z769" s="21" t="str">
        <x:f>IF(AND(MIN(D769:F769)&gt;=0,MAX(D769:F769)&lt;=7,MAX(D769,1)+MAX(E769,1)+MAX(F769,1)&lt;=9,OR(H769="-",AND(H769=0,D769&gt;0),AND(H769=1,E769&gt;0),AND(H769=2,F769&gt;0)),OR(I769=0,AND(I769=1,OR(J769=0,J769=1,J769=2),R769&lt;&gt;"000")),Y769&lt;=9,MIN(T769:V769)&gt;=0),"合法","输入违约")</x:f>
        <x:v>合法</x:v>
      </x:c>
    </x:row>
    <x:row r="770" ht="23" customHeight="1">
      <x:c r="A770" s="3" t="str">
        <x:v>CT-0763</x:v>
      </x:c>
      <x:c r="B770" s="3" t="str">
        <x:v>ST-164</x:v>
      </x:c>
      <x:c r="C770" s="3" t="str">
        <x:v>仅R回收</x:v>
      </x:c>
      <x:c r="D770" s="25" t="n">
        <x:v>1</x:v>
      </x:c>
      <x:c r="E770" s="25" t="n">
        <x:v>2</x:v>
      </x:c>
      <x:c r="F770" s="25" t="n">
        <x:v>6</x:v>
      </x:c>
      <x:c r="G770" s="19" t="n">
        <x:f>SUM(D770:F770)</x:f>
        <x:v>9</x:v>
      </x:c>
      <x:c r="H770" s="25" t="n">
        <x:v>1</x:v>
      </x:c>
      <x:c r="I770" s="25" t="n">
        <x:v>0</x:v>
      </x:c>
      <x:c r="J770" s="25" t="str">
        <x:v>-</x:v>
      </x:c>
      <x:c r="K770" s="19" t="n">
        <x:f>D770-IF(H770=0,1,0)</x:f>
        <x:v>1</x:v>
      </x:c>
      <x:c r="L770" s="19" t="n">
        <x:f>E770-IF(H770=1,1,0)</x:f>
        <x:v>1</x:v>
      </x:c>
      <x:c r="M770" s="19" t="n">
        <x:f>F770-IF(H770=2,1,0)</x:f>
        <x:v>6</x:v>
      </x:c>
      <x:c r="N770" s="19" t="n">
        <x:f>MAX(K770-1,0)+MAX(L770-1,0)+MAX(M770-1,0)</x:f>
        <x:v>5</x:v>
      </x:c>
      <x:c r="O770" s="19" t="n">
        <x:f>IF(AND(SUM(K770:M770)&lt;9,OR(M770=0,N770&lt;6)),1,0)</x:f>
        <x:v>1</x:v>
      </x:c>
      <x:c r="P770" s="19" t="n">
        <x:f>IF(AND(SUM(K770:M770)&lt;9,OR(L770=0,N770&lt;6)),1,0)</x:f>
        <x:v>1</x:v>
      </x:c>
      <x:c r="Q770" s="19" t="n">
        <x:f>IF(AND(SUM(K770:M770)&lt;9,OR(K770=0,N770&lt;6)),1,0)</x:f>
        <x:v>1</x:v>
      </x:c>
      <x:c r="R770" s="22" t="str">
        <x:f>O770&amp;P770&amp;Q770</x:f>
        <x:v>111</x:v>
      </x:c>
      <x:c r="S770" s="19" t="n">
        <x:f>IF(I770=1,IF(J770=0,Q770,IF(J770=1,P770,IF(J770=2,O770,0))),0)</x:f>
        <x:v>0</x:v>
      </x:c>
      <x:c r="T770" s="19" t="n">
        <x:f>K770+IF(AND(S770=1,J770=0),1,0)</x:f>
        <x:v>1</x:v>
      </x:c>
      <x:c r="U770" s="19" t="n">
        <x:f>L770+IF(AND(S770=1,J770=1),1,0)</x:f>
        <x:v>1</x:v>
      </x:c>
      <x:c r="V770" s="19" t="n">
        <x:f>M770+IF(AND(S770=1,J770=2),1,0)</x:f>
        <x:v>6</x:v>
      </x:c>
      <x:c r="W770" s="19" t="n">
        <x:f>SUM(T770:V770)</x:f>
        <x:v>8</x:v>
      </x:c>
      <x:c r="X770" s="19" t="n">
        <x:f>W770-G770</x:f>
        <x:v>-1</x:v>
      </x:c>
      <x:c r="Y770" s="19" t="n">
        <x:f>MAX(T770,1)+MAX(U770,1)+MAX(V770,1)</x:f>
        <x:v>8</x:v>
      </x:c>
      <x:c r="Z770" s="21" t="str">
        <x:f>IF(AND(MIN(D770:F770)&gt;=0,MAX(D770:F770)&lt;=7,MAX(D770,1)+MAX(E770,1)+MAX(F770,1)&lt;=9,OR(H770="-",AND(H770=0,D770&gt;0),AND(H770=1,E770&gt;0),AND(H770=2,F770&gt;0)),OR(I770=0,AND(I770=1,OR(J770=0,J770=1,J770=2),R770&lt;&gt;"000")),Y770&lt;=9,MIN(T770:V770)&gt;=0),"合法","输入违约")</x:f>
        <x:v>合法</x:v>
      </x:c>
    </x:row>
    <x:row r="771" ht="23" customHeight="1">
      <x:c r="A771" s="3" t="str">
        <x:v>CT-0764</x:v>
      </x:c>
      <x:c r="B771" s="3" t="str">
        <x:v>ST-164</x:v>
      </x:c>
      <x:c r="C771" s="3" t="str">
        <x:v>R+AR同收同发</x:v>
      </x:c>
      <x:c r="D771" s="25" t="n">
        <x:v>1</x:v>
      </x:c>
      <x:c r="E771" s="25" t="n">
        <x:v>2</x:v>
      </x:c>
      <x:c r="F771" s="25" t="n">
        <x:v>6</x:v>
      </x:c>
      <x:c r="G771" s="19" t="n">
        <x:f>SUM(D771:F771)</x:f>
        <x:v>9</x:v>
      </x:c>
      <x:c r="H771" s="25" t="n">
        <x:v>1</x:v>
      </x:c>
      <x:c r="I771" s="25" t="n">
        <x:v>1</x:v>
      </x:c>
      <x:c r="J771" s="25" t="n">
        <x:v>0</x:v>
      </x:c>
      <x:c r="K771" s="19" t="n">
        <x:f>D771-IF(H771=0,1,0)</x:f>
        <x:v>1</x:v>
      </x:c>
      <x:c r="L771" s="19" t="n">
        <x:f>E771-IF(H771=1,1,0)</x:f>
        <x:v>1</x:v>
      </x:c>
      <x:c r="M771" s="19" t="n">
        <x:f>F771-IF(H771=2,1,0)</x:f>
        <x:v>6</x:v>
      </x:c>
      <x:c r="N771" s="19" t="n">
        <x:f>MAX(K771-1,0)+MAX(L771-1,0)+MAX(M771-1,0)</x:f>
        <x:v>5</x:v>
      </x:c>
      <x:c r="O771" s="19" t="n">
        <x:f>IF(AND(SUM(K771:M771)&lt;9,OR(M771=0,N771&lt;6)),1,0)</x:f>
        <x:v>1</x:v>
      </x:c>
      <x:c r="P771" s="19" t="n">
        <x:f>IF(AND(SUM(K771:M771)&lt;9,OR(L771=0,N771&lt;6)),1,0)</x:f>
        <x:v>1</x:v>
      </x:c>
      <x:c r="Q771" s="19" t="n">
        <x:f>IF(AND(SUM(K771:M771)&lt;9,OR(K771=0,N771&lt;6)),1,0)</x:f>
        <x:v>1</x:v>
      </x:c>
      <x:c r="R771" s="22" t="str">
        <x:f>O771&amp;P771&amp;Q771</x:f>
        <x:v>111</x:v>
      </x:c>
      <x:c r="S771" s="19" t="n">
        <x:f>IF(I771=1,IF(J771=0,Q771,IF(J771=1,P771,IF(J771=2,O771,0))),0)</x:f>
        <x:v>1</x:v>
      </x:c>
      <x:c r="T771" s="19" t="n">
        <x:f>K771+IF(AND(S771=1,J771=0),1,0)</x:f>
        <x:v>2</x:v>
      </x:c>
      <x:c r="U771" s="19" t="n">
        <x:f>L771+IF(AND(S771=1,J771=1),1,0)</x:f>
        <x:v>1</x:v>
      </x:c>
      <x:c r="V771" s="19" t="n">
        <x:f>M771+IF(AND(S771=1,J771=2),1,0)</x:f>
        <x:v>6</x:v>
      </x:c>
      <x:c r="W771" s="19" t="n">
        <x:f>SUM(T771:V771)</x:f>
        <x:v>9</x:v>
      </x:c>
      <x:c r="X771" s="19" t="n">
        <x:f>W771-G771</x:f>
        <x:v>0</x:v>
      </x:c>
      <x:c r="Y771" s="19" t="n">
        <x:f>MAX(T771,1)+MAX(U771,1)+MAX(V771,1)</x:f>
        <x:v>9</x:v>
      </x:c>
      <x:c r="Z771" s="21" t="str">
        <x:f>IF(AND(MIN(D771:F771)&gt;=0,MAX(D771:F771)&lt;=7,MAX(D771,1)+MAX(E771,1)+MAX(F771,1)&lt;=9,OR(H771="-",AND(H771=0,D771&gt;0),AND(H771=1,E771&gt;0),AND(H771=2,F771&gt;0)),OR(I771=0,AND(I771=1,OR(J771=0,J771=1,J771=2),R771&lt;&gt;"000")),Y771&lt;=9,MIN(T771:V771)&gt;=0),"合法","输入违约")</x:f>
        <x:v>合法</x:v>
      </x:c>
    </x:row>
    <x:row r="772" ht="23" customHeight="1">
      <x:c r="A772" s="3" t="str">
        <x:v>CT-0765</x:v>
      </x:c>
      <x:c r="B772" s="3" t="str">
        <x:v>ST-164</x:v>
      </x:c>
      <x:c r="C772" s="3" t="str">
        <x:v>R+AR同收同发</x:v>
      </x:c>
      <x:c r="D772" s="25" t="n">
        <x:v>1</x:v>
      </x:c>
      <x:c r="E772" s="25" t="n">
        <x:v>2</x:v>
      </x:c>
      <x:c r="F772" s="25" t="n">
        <x:v>6</x:v>
      </x:c>
      <x:c r="G772" s="19" t="n">
        <x:f>SUM(D772:F772)</x:f>
        <x:v>9</x:v>
      </x:c>
      <x:c r="H772" s="25" t="n">
        <x:v>1</x:v>
      </x:c>
      <x:c r="I772" s="25" t="n">
        <x:v>1</x:v>
      </x:c>
      <x:c r="J772" s="25" t="n">
        <x:v>1</x:v>
      </x:c>
      <x:c r="K772" s="19" t="n">
        <x:f>D772-IF(H772=0,1,0)</x:f>
        <x:v>1</x:v>
      </x:c>
      <x:c r="L772" s="19" t="n">
        <x:f>E772-IF(H772=1,1,0)</x:f>
        <x:v>1</x:v>
      </x:c>
      <x:c r="M772" s="19" t="n">
        <x:f>F772-IF(H772=2,1,0)</x:f>
        <x:v>6</x:v>
      </x:c>
      <x:c r="N772" s="19" t="n">
        <x:f>MAX(K772-1,0)+MAX(L772-1,0)+MAX(M772-1,0)</x:f>
        <x:v>5</x:v>
      </x:c>
      <x:c r="O772" s="19" t="n">
        <x:f>IF(AND(SUM(K772:M772)&lt;9,OR(M772=0,N772&lt;6)),1,0)</x:f>
        <x:v>1</x:v>
      </x:c>
      <x:c r="P772" s="19" t="n">
        <x:f>IF(AND(SUM(K772:M772)&lt;9,OR(L772=0,N772&lt;6)),1,0)</x:f>
        <x:v>1</x:v>
      </x:c>
      <x:c r="Q772" s="19" t="n">
        <x:f>IF(AND(SUM(K772:M772)&lt;9,OR(K772=0,N772&lt;6)),1,0)</x:f>
        <x:v>1</x:v>
      </x:c>
      <x:c r="R772" s="22" t="str">
        <x:f>O772&amp;P772&amp;Q772</x:f>
        <x:v>111</x:v>
      </x:c>
      <x:c r="S772" s="19" t="n">
        <x:f>IF(I772=1,IF(J772=0,Q772,IF(J772=1,P772,IF(J772=2,O772,0))),0)</x:f>
        <x:v>1</x:v>
      </x:c>
      <x:c r="T772" s="19" t="n">
        <x:f>K772+IF(AND(S772=1,J772=0),1,0)</x:f>
        <x:v>1</x:v>
      </x:c>
      <x:c r="U772" s="19" t="n">
        <x:f>L772+IF(AND(S772=1,J772=1),1,0)</x:f>
        <x:v>2</x:v>
      </x:c>
      <x:c r="V772" s="19" t="n">
        <x:f>M772+IF(AND(S772=1,J772=2),1,0)</x:f>
        <x:v>6</x:v>
      </x:c>
      <x:c r="W772" s="19" t="n">
        <x:f>SUM(T772:V772)</x:f>
        <x:v>9</x:v>
      </x:c>
      <x:c r="X772" s="19" t="n">
        <x:f>W772-G772</x:f>
        <x:v>0</x:v>
      </x:c>
      <x:c r="Y772" s="19" t="n">
        <x:f>MAX(T772,1)+MAX(U772,1)+MAX(V772,1)</x:f>
        <x:v>9</x:v>
      </x:c>
      <x:c r="Z772" s="21" t="str">
        <x:f>IF(AND(MIN(D772:F772)&gt;=0,MAX(D772:F772)&lt;=7,MAX(D772,1)+MAX(E772,1)+MAX(F772,1)&lt;=9,OR(H772="-",AND(H772=0,D772&gt;0),AND(H772=1,E772&gt;0),AND(H772=2,F772&gt;0)),OR(I772=0,AND(I772=1,OR(J772=0,J772=1,J772=2),R772&lt;&gt;"000")),Y772&lt;=9,MIN(T772:V772)&gt;=0),"合法","输入违约")</x:f>
        <x:v>合法</x:v>
      </x:c>
    </x:row>
    <x:row r="773" ht="23" customHeight="1">
      <x:c r="A773" s="3" t="str">
        <x:v>CT-0766</x:v>
      </x:c>
      <x:c r="B773" s="3" t="str">
        <x:v>ST-164</x:v>
      </x:c>
      <x:c r="C773" s="3" t="str">
        <x:v>R+AR同收同发</x:v>
      </x:c>
      <x:c r="D773" s="25" t="n">
        <x:v>1</x:v>
      </x:c>
      <x:c r="E773" s="25" t="n">
        <x:v>2</x:v>
      </x:c>
      <x:c r="F773" s="25" t="n">
        <x:v>6</x:v>
      </x:c>
      <x:c r="G773" s="19" t="n">
        <x:f>SUM(D773:F773)</x:f>
        <x:v>9</x:v>
      </x:c>
      <x:c r="H773" s="25" t="n">
        <x:v>1</x:v>
      </x:c>
      <x:c r="I773" s="25" t="n">
        <x:v>1</x:v>
      </x:c>
      <x:c r="J773" s="25" t="n">
        <x:v>2</x:v>
      </x:c>
      <x:c r="K773" s="19" t="n">
        <x:f>D773-IF(H773=0,1,0)</x:f>
        <x:v>1</x:v>
      </x:c>
      <x:c r="L773" s="19" t="n">
        <x:f>E773-IF(H773=1,1,0)</x:f>
        <x:v>1</x:v>
      </x:c>
      <x:c r="M773" s="19" t="n">
        <x:f>F773-IF(H773=2,1,0)</x:f>
        <x:v>6</x:v>
      </x:c>
      <x:c r="N773" s="19" t="n">
        <x:f>MAX(K773-1,0)+MAX(L773-1,0)+MAX(M773-1,0)</x:f>
        <x:v>5</x:v>
      </x:c>
      <x:c r="O773" s="19" t="n">
        <x:f>IF(AND(SUM(K773:M773)&lt;9,OR(M773=0,N773&lt;6)),1,0)</x:f>
        <x:v>1</x:v>
      </x:c>
      <x:c r="P773" s="19" t="n">
        <x:f>IF(AND(SUM(K773:M773)&lt;9,OR(L773=0,N773&lt;6)),1,0)</x:f>
        <x:v>1</x:v>
      </x:c>
      <x:c r="Q773" s="19" t="n">
        <x:f>IF(AND(SUM(K773:M773)&lt;9,OR(K773=0,N773&lt;6)),1,0)</x:f>
        <x:v>1</x:v>
      </x:c>
      <x:c r="R773" s="22" t="str">
        <x:f>O773&amp;P773&amp;Q773</x:f>
        <x:v>111</x:v>
      </x:c>
      <x:c r="S773" s="19" t="n">
        <x:f>IF(I773=1,IF(J773=0,Q773,IF(J773=1,P773,IF(J773=2,O773,0))),0)</x:f>
        <x:v>1</x:v>
      </x:c>
      <x:c r="T773" s="19" t="n">
        <x:f>K773+IF(AND(S773=1,J773=0),1,0)</x:f>
        <x:v>1</x:v>
      </x:c>
      <x:c r="U773" s="19" t="n">
        <x:f>L773+IF(AND(S773=1,J773=1),1,0)</x:f>
        <x:v>1</x:v>
      </x:c>
      <x:c r="V773" s="19" t="n">
        <x:f>M773+IF(AND(S773=1,J773=2),1,0)</x:f>
        <x:v>7</x:v>
      </x:c>
      <x:c r="W773" s="19" t="n">
        <x:f>SUM(T773:V773)</x:f>
        <x:v>9</x:v>
      </x:c>
      <x:c r="X773" s="19" t="n">
        <x:f>W773-G773</x:f>
        <x:v>0</x:v>
      </x:c>
      <x:c r="Y773" s="19" t="n">
        <x:f>MAX(T773,1)+MAX(U773,1)+MAX(V773,1)</x:f>
        <x:v>9</x:v>
      </x:c>
      <x:c r="Z773" s="21" t="str">
        <x:f>IF(AND(MIN(D773:F773)&gt;=0,MAX(D773:F773)&lt;=7,MAX(D773,1)+MAX(E773,1)+MAX(F773,1)&lt;=9,OR(H773="-",AND(H773=0,D773&gt;0),AND(H773=1,E773&gt;0),AND(H773=2,F773&gt;0)),OR(I773=0,AND(I773=1,OR(J773=0,J773=1,J773=2),R773&lt;&gt;"000")),Y773&lt;=9,MIN(T773:V773)&gt;=0),"合法","输入违约")</x:f>
        <x:v>合法</x:v>
      </x:c>
    </x:row>
    <x:row r="774" ht="23" customHeight="1">
      <x:c r="A774" s="3" t="str">
        <x:v>CT-0767</x:v>
      </x:c>
      <x:c r="B774" s="3" t="str">
        <x:v>ST-164</x:v>
      </x:c>
      <x:c r="C774" s="3" t="str">
        <x:v>仅R回收</x:v>
      </x:c>
      <x:c r="D774" s="25" t="n">
        <x:v>1</x:v>
      </x:c>
      <x:c r="E774" s="25" t="n">
        <x:v>2</x:v>
      </x:c>
      <x:c r="F774" s="25" t="n">
        <x:v>6</x:v>
      </x:c>
      <x:c r="G774" s="19" t="n">
        <x:f>SUM(D774:F774)</x:f>
        <x:v>9</x:v>
      </x:c>
      <x:c r="H774" s="25" t="n">
        <x:v>2</x:v>
      </x:c>
      <x:c r="I774" s="25" t="n">
        <x:v>0</x:v>
      </x:c>
      <x:c r="J774" s="25" t="str">
        <x:v>-</x:v>
      </x:c>
      <x:c r="K774" s="19" t="n">
        <x:f>D774-IF(H774=0,1,0)</x:f>
        <x:v>1</x:v>
      </x:c>
      <x:c r="L774" s="19" t="n">
        <x:f>E774-IF(H774=1,1,0)</x:f>
        <x:v>2</x:v>
      </x:c>
      <x:c r="M774" s="19" t="n">
        <x:f>F774-IF(H774=2,1,0)</x:f>
        <x:v>5</x:v>
      </x:c>
      <x:c r="N774" s="19" t="n">
        <x:f>MAX(K774-1,0)+MAX(L774-1,0)+MAX(M774-1,0)</x:f>
        <x:v>5</x:v>
      </x:c>
      <x:c r="O774" s="19" t="n">
        <x:f>IF(AND(SUM(K774:M774)&lt;9,OR(M774=0,N774&lt;6)),1,0)</x:f>
        <x:v>1</x:v>
      </x:c>
      <x:c r="P774" s="19" t="n">
        <x:f>IF(AND(SUM(K774:M774)&lt;9,OR(L774=0,N774&lt;6)),1,0)</x:f>
        <x:v>1</x:v>
      </x:c>
      <x:c r="Q774" s="19" t="n">
        <x:f>IF(AND(SUM(K774:M774)&lt;9,OR(K774=0,N774&lt;6)),1,0)</x:f>
        <x:v>1</x:v>
      </x:c>
      <x:c r="R774" s="22" t="str">
        <x:f>O774&amp;P774&amp;Q774</x:f>
        <x:v>111</x:v>
      </x:c>
      <x:c r="S774" s="19" t="n">
        <x:f>IF(I774=1,IF(J774=0,Q774,IF(J774=1,P774,IF(J774=2,O774,0))),0)</x:f>
        <x:v>0</x:v>
      </x:c>
      <x:c r="T774" s="19" t="n">
        <x:f>K774+IF(AND(S774=1,J774=0),1,0)</x:f>
        <x:v>1</x:v>
      </x:c>
      <x:c r="U774" s="19" t="n">
        <x:f>L774+IF(AND(S774=1,J774=1),1,0)</x:f>
        <x:v>2</x:v>
      </x:c>
      <x:c r="V774" s="19" t="n">
        <x:f>M774+IF(AND(S774=1,J774=2),1,0)</x:f>
        <x:v>5</x:v>
      </x:c>
      <x:c r="W774" s="19" t="n">
        <x:f>SUM(T774:V774)</x:f>
        <x:v>8</x:v>
      </x:c>
      <x:c r="X774" s="19" t="n">
        <x:f>W774-G774</x:f>
        <x:v>-1</x:v>
      </x:c>
      <x:c r="Y774" s="19" t="n">
        <x:f>MAX(T774,1)+MAX(U774,1)+MAX(V774,1)</x:f>
        <x:v>8</x:v>
      </x:c>
      <x:c r="Z774" s="21" t="str">
        <x:f>IF(AND(MIN(D774:F774)&gt;=0,MAX(D774:F774)&lt;=7,MAX(D774,1)+MAX(E774,1)+MAX(F774,1)&lt;=9,OR(H774="-",AND(H774=0,D774&gt;0),AND(H774=1,E774&gt;0),AND(H774=2,F774&gt;0)),OR(I774=0,AND(I774=1,OR(J774=0,J774=1,J774=2),R774&lt;&gt;"000")),Y774&lt;=9,MIN(T774:V774)&gt;=0),"合法","输入违约")</x:f>
        <x:v>合法</x:v>
      </x:c>
    </x:row>
    <x:row r="775" ht="23" customHeight="1">
      <x:c r="A775" s="3" t="str">
        <x:v>CT-0768</x:v>
      </x:c>
      <x:c r="B775" s="3" t="str">
        <x:v>ST-164</x:v>
      </x:c>
      <x:c r="C775" s="3" t="str">
        <x:v>R+AR同收同发</x:v>
      </x:c>
      <x:c r="D775" s="25" t="n">
        <x:v>1</x:v>
      </x:c>
      <x:c r="E775" s="25" t="n">
        <x:v>2</x:v>
      </x:c>
      <x:c r="F775" s="25" t="n">
        <x:v>6</x:v>
      </x:c>
      <x:c r="G775" s="19" t="n">
        <x:f>SUM(D775:F775)</x:f>
        <x:v>9</x:v>
      </x:c>
      <x:c r="H775" s="25" t="n">
        <x:v>2</x:v>
      </x:c>
      <x:c r="I775" s="25" t="n">
        <x:v>1</x:v>
      </x:c>
      <x:c r="J775" s="25" t="n">
        <x:v>0</x:v>
      </x:c>
      <x:c r="K775" s="19" t="n">
        <x:f>D775-IF(H775=0,1,0)</x:f>
        <x:v>1</x:v>
      </x:c>
      <x:c r="L775" s="19" t="n">
        <x:f>E775-IF(H775=1,1,0)</x:f>
        <x:v>2</x:v>
      </x:c>
      <x:c r="M775" s="19" t="n">
        <x:f>F775-IF(H775=2,1,0)</x:f>
        <x:v>5</x:v>
      </x:c>
      <x:c r="N775" s="19" t="n">
        <x:f>MAX(K775-1,0)+MAX(L775-1,0)+MAX(M775-1,0)</x:f>
        <x:v>5</x:v>
      </x:c>
      <x:c r="O775" s="19" t="n">
        <x:f>IF(AND(SUM(K775:M775)&lt;9,OR(M775=0,N775&lt;6)),1,0)</x:f>
        <x:v>1</x:v>
      </x:c>
      <x:c r="P775" s="19" t="n">
        <x:f>IF(AND(SUM(K775:M775)&lt;9,OR(L775=0,N775&lt;6)),1,0)</x:f>
        <x:v>1</x:v>
      </x:c>
      <x:c r="Q775" s="19" t="n">
        <x:f>IF(AND(SUM(K775:M775)&lt;9,OR(K775=0,N775&lt;6)),1,0)</x:f>
        <x:v>1</x:v>
      </x:c>
      <x:c r="R775" s="22" t="str">
        <x:f>O775&amp;P775&amp;Q775</x:f>
        <x:v>111</x:v>
      </x:c>
      <x:c r="S775" s="19" t="n">
        <x:f>IF(I775=1,IF(J775=0,Q775,IF(J775=1,P775,IF(J775=2,O775,0))),0)</x:f>
        <x:v>1</x:v>
      </x:c>
      <x:c r="T775" s="19" t="n">
        <x:f>K775+IF(AND(S775=1,J775=0),1,0)</x:f>
        <x:v>2</x:v>
      </x:c>
      <x:c r="U775" s="19" t="n">
        <x:f>L775+IF(AND(S775=1,J775=1),1,0)</x:f>
        <x:v>2</x:v>
      </x:c>
      <x:c r="V775" s="19" t="n">
        <x:f>M775+IF(AND(S775=1,J775=2),1,0)</x:f>
        <x:v>5</x:v>
      </x:c>
      <x:c r="W775" s="19" t="n">
        <x:f>SUM(T775:V775)</x:f>
        <x:v>9</x:v>
      </x:c>
      <x:c r="X775" s="19" t="n">
        <x:f>W775-G775</x:f>
        <x:v>0</x:v>
      </x:c>
      <x:c r="Y775" s="19" t="n">
        <x:f>MAX(T775,1)+MAX(U775,1)+MAX(V775,1)</x:f>
        <x:v>9</x:v>
      </x:c>
      <x:c r="Z775" s="21" t="str">
        <x:f>IF(AND(MIN(D775:F775)&gt;=0,MAX(D775:F775)&lt;=7,MAX(D775,1)+MAX(E775,1)+MAX(F775,1)&lt;=9,OR(H775="-",AND(H775=0,D775&gt;0),AND(H775=1,E775&gt;0),AND(H775=2,F775&gt;0)),OR(I775=0,AND(I775=1,OR(J775=0,J775=1,J775=2),R775&lt;&gt;"000")),Y775&lt;=9,MIN(T775:V775)&gt;=0),"合法","输入违约")</x:f>
        <x:v>合法</x:v>
      </x:c>
    </x:row>
    <x:row r="776" ht="23" customHeight="1">
      <x:c r="A776" s="3" t="str">
        <x:v>CT-0769</x:v>
      </x:c>
      <x:c r="B776" s="3" t="str">
        <x:v>ST-164</x:v>
      </x:c>
      <x:c r="C776" s="3" t="str">
        <x:v>R+AR同收同发</x:v>
      </x:c>
      <x:c r="D776" s="25" t="n">
        <x:v>1</x:v>
      </x:c>
      <x:c r="E776" s="25" t="n">
        <x:v>2</x:v>
      </x:c>
      <x:c r="F776" s="25" t="n">
        <x:v>6</x:v>
      </x:c>
      <x:c r="G776" s="19" t="n">
        <x:f>SUM(D776:F776)</x:f>
        <x:v>9</x:v>
      </x:c>
      <x:c r="H776" s="25" t="n">
        <x:v>2</x:v>
      </x:c>
      <x:c r="I776" s="25" t="n">
        <x:v>1</x:v>
      </x:c>
      <x:c r="J776" s="25" t="n">
        <x:v>1</x:v>
      </x:c>
      <x:c r="K776" s="19" t="n">
        <x:f>D776-IF(H776=0,1,0)</x:f>
        <x:v>1</x:v>
      </x:c>
      <x:c r="L776" s="19" t="n">
        <x:f>E776-IF(H776=1,1,0)</x:f>
        <x:v>2</x:v>
      </x:c>
      <x:c r="M776" s="19" t="n">
        <x:f>F776-IF(H776=2,1,0)</x:f>
        <x:v>5</x:v>
      </x:c>
      <x:c r="N776" s="19" t="n">
        <x:f>MAX(K776-1,0)+MAX(L776-1,0)+MAX(M776-1,0)</x:f>
        <x:v>5</x:v>
      </x:c>
      <x:c r="O776" s="19" t="n">
        <x:f>IF(AND(SUM(K776:M776)&lt;9,OR(M776=0,N776&lt;6)),1,0)</x:f>
        <x:v>1</x:v>
      </x:c>
      <x:c r="P776" s="19" t="n">
        <x:f>IF(AND(SUM(K776:M776)&lt;9,OR(L776=0,N776&lt;6)),1,0)</x:f>
        <x:v>1</x:v>
      </x:c>
      <x:c r="Q776" s="19" t="n">
        <x:f>IF(AND(SUM(K776:M776)&lt;9,OR(K776=0,N776&lt;6)),1,0)</x:f>
        <x:v>1</x:v>
      </x:c>
      <x:c r="R776" s="22" t="str">
        <x:f>O776&amp;P776&amp;Q776</x:f>
        <x:v>111</x:v>
      </x:c>
      <x:c r="S776" s="19" t="n">
        <x:f>IF(I776=1,IF(J776=0,Q776,IF(J776=1,P776,IF(J776=2,O776,0))),0)</x:f>
        <x:v>1</x:v>
      </x:c>
      <x:c r="T776" s="19" t="n">
        <x:f>K776+IF(AND(S776=1,J776=0),1,0)</x:f>
        <x:v>1</x:v>
      </x:c>
      <x:c r="U776" s="19" t="n">
        <x:f>L776+IF(AND(S776=1,J776=1),1,0)</x:f>
        <x:v>3</x:v>
      </x:c>
      <x:c r="V776" s="19" t="n">
        <x:f>M776+IF(AND(S776=1,J776=2),1,0)</x:f>
        <x:v>5</x:v>
      </x:c>
      <x:c r="W776" s="19" t="n">
        <x:f>SUM(T776:V776)</x:f>
        <x:v>9</x:v>
      </x:c>
      <x:c r="X776" s="19" t="n">
        <x:f>W776-G776</x:f>
        <x:v>0</x:v>
      </x:c>
      <x:c r="Y776" s="19" t="n">
        <x:f>MAX(T776,1)+MAX(U776,1)+MAX(V776,1)</x:f>
        <x:v>9</x:v>
      </x:c>
      <x:c r="Z776" s="21" t="str">
        <x:f>IF(AND(MIN(D776:F776)&gt;=0,MAX(D776:F776)&lt;=7,MAX(D776,1)+MAX(E776,1)+MAX(F776,1)&lt;=9,OR(H776="-",AND(H776=0,D776&gt;0),AND(H776=1,E776&gt;0),AND(H776=2,F776&gt;0)),OR(I776=0,AND(I776=1,OR(J776=0,J776=1,J776=2),R776&lt;&gt;"000")),Y776&lt;=9,MIN(T776:V776)&gt;=0),"合法","输入违约")</x:f>
        <x:v>合法</x:v>
      </x:c>
    </x:row>
    <x:row r="777" ht="23" customHeight="1">
      <x:c r="A777" s="3" t="str">
        <x:v>CT-0770</x:v>
      </x:c>
      <x:c r="B777" s="3" t="str">
        <x:v>ST-164</x:v>
      </x:c>
      <x:c r="C777" s="3" t="str">
        <x:v>R+AR同收同发</x:v>
      </x:c>
      <x:c r="D777" s="25" t="n">
        <x:v>1</x:v>
      </x:c>
      <x:c r="E777" s="25" t="n">
        <x:v>2</x:v>
      </x:c>
      <x:c r="F777" s="25" t="n">
        <x:v>6</x:v>
      </x:c>
      <x:c r="G777" s="19" t="n">
        <x:f>SUM(D777:F777)</x:f>
        <x:v>9</x:v>
      </x:c>
      <x:c r="H777" s="25" t="n">
        <x:v>2</x:v>
      </x:c>
      <x:c r="I777" s="25" t="n">
        <x:v>1</x:v>
      </x:c>
      <x:c r="J777" s="25" t="n">
        <x:v>2</x:v>
      </x:c>
      <x:c r="K777" s="19" t="n">
        <x:f>D777-IF(H777=0,1,0)</x:f>
        <x:v>1</x:v>
      </x:c>
      <x:c r="L777" s="19" t="n">
        <x:f>E777-IF(H777=1,1,0)</x:f>
        <x:v>2</x:v>
      </x:c>
      <x:c r="M777" s="19" t="n">
        <x:f>F777-IF(H777=2,1,0)</x:f>
        <x:v>5</x:v>
      </x:c>
      <x:c r="N777" s="19" t="n">
        <x:f>MAX(K777-1,0)+MAX(L777-1,0)+MAX(M777-1,0)</x:f>
        <x:v>5</x:v>
      </x:c>
      <x:c r="O777" s="19" t="n">
        <x:f>IF(AND(SUM(K777:M777)&lt;9,OR(M777=0,N777&lt;6)),1,0)</x:f>
        <x:v>1</x:v>
      </x:c>
      <x:c r="P777" s="19" t="n">
        <x:f>IF(AND(SUM(K777:M777)&lt;9,OR(L777=0,N777&lt;6)),1,0)</x:f>
        <x:v>1</x:v>
      </x:c>
      <x:c r="Q777" s="19" t="n">
        <x:f>IF(AND(SUM(K777:M777)&lt;9,OR(K777=0,N777&lt;6)),1,0)</x:f>
        <x:v>1</x:v>
      </x:c>
      <x:c r="R777" s="22" t="str">
        <x:f>O777&amp;P777&amp;Q777</x:f>
        <x:v>111</x:v>
      </x:c>
      <x:c r="S777" s="19" t="n">
        <x:f>IF(I777=1,IF(J777=0,Q777,IF(J777=1,P777,IF(J777=2,O777,0))),0)</x:f>
        <x:v>1</x:v>
      </x:c>
      <x:c r="T777" s="19" t="n">
        <x:f>K777+IF(AND(S777=1,J777=0),1,0)</x:f>
        <x:v>1</x:v>
      </x:c>
      <x:c r="U777" s="19" t="n">
        <x:f>L777+IF(AND(S777=1,J777=1),1,0)</x:f>
        <x:v>2</x:v>
      </x:c>
      <x:c r="V777" s="19" t="n">
        <x:f>M777+IF(AND(S777=1,J777=2),1,0)</x:f>
        <x:v>6</x:v>
      </x:c>
      <x:c r="W777" s="19" t="n">
        <x:f>SUM(T777:V777)</x:f>
        <x:v>9</x:v>
      </x:c>
      <x:c r="X777" s="19" t="n">
        <x:f>W777-G777</x:f>
        <x:v>0</x:v>
      </x:c>
      <x:c r="Y777" s="19" t="n">
        <x:f>MAX(T777,1)+MAX(U777,1)+MAX(V777,1)</x:f>
        <x:v>9</x:v>
      </x:c>
      <x:c r="Z777" s="21" t="str">
        <x:f>IF(AND(MIN(D777:F777)&gt;=0,MAX(D777:F777)&lt;=7,MAX(D777,1)+MAX(E777,1)+MAX(F777,1)&lt;=9,OR(H777="-",AND(H777=0,D777&gt;0),AND(H777=1,E777&gt;0),AND(H777=2,F777&gt;0)),OR(I777=0,AND(I777=1,OR(J777=0,J777=1,J777=2),R777&lt;&gt;"000")),Y777&lt;=9,MIN(T777:V777)&gt;=0),"合法","输入违约")</x:f>
        <x:v>合法</x:v>
      </x:c>
    </x:row>
    <x:row r="778" ht="23" customHeight="1">
      <x:c r="A778" s="3" t="str">
        <x:v>CT-0771</x:v>
      </x:c>
      <x:c r="B778" s="3" t="str">
        <x:v>ST-029</x:v>
      </x:c>
      <x:c r="C778" s="3" t="str">
        <x:v>无AR/R</x:v>
      </x:c>
      <x:c r="D778" s="25" t="n">
        <x:v>1</x:v>
      </x:c>
      <x:c r="E778" s="25" t="n">
        <x:v>3</x:v>
      </x:c>
      <x:c r="F778" s="25" t="n">
        <x:v>0</x:v>
      </x:c>
      <x:c r="G778" s="19" t="n">
        <x:f>SUM(D778:F778)</x:f>
        <x:v>4</x:v>
      </x:c>
      <x:c r="H778" s="25" t="str">
        <x:v>-</x:v>
      </x:c>
      <x:c r="I778" s="25" t="n">
        <x:v>0</x:v>
      </x:c>
      <x:c r="J778" s="25" t="str">
        <x:v>-</x:v>
      </x:c>
      <x:c r="K778" s="19" t="n">
        <x:f>D778-IF(H778=0,1,0)</x:f>
        <x:v>1</x:v>
      </x:c>
      <x:c r="L778" s="19" t="n">
        <x:f>E778-IF(H778=1,1,0)</x:f>
        <x:v>3</x:v>
      </x:c>
      <x:c r="M778" s="19" t="n">
        <x:f>F778-IF(H778=2,1,0)</x:f>
        <x:v>0</x:v>
      </x:c>
      <x:c r="N778" s="19" t="n">
        <x:f>MAX(K778-1,0)+MAX(L778-1,0)+MAX(M778-1,0)</x:f>
        <x:v>2</x:v>
      </x:c>
      <x:c r="O778" s="19" t="n">
        <x:f>IF(AND(SUM(K778:M778)&lt;9,OR(M778=0,N778&lt;6)),1,0)</x:f>
        <x:v>1</x:v>
      </x:c>
      <x:c r="P778" s="19" t="n">
        <x:f>IF(AND(SUM(K778:M778)&lt;9,OR(L778=0,N778&lt;6)),1,0)</x:f>
        <x:v>1</x:v>
      </x:c>
      <x:c r="Q778" s="19" t="n">
        <x:f>IF(AND(SUM(K778:M778)&lt;9,OR(K778=0,N778&lt;6)),1,0)</x:f>
        <x:v>1</x:v>
      </x:c>
      <x:c r="R778" s="22" t="str">
        <x:f>O778&amp;P778&amp;Q778</x:f>
        <x:v>111</x:v>
      </x:c>
      <x:c r="S778" s="19" t="n">
        <x:f>IF(I778=1,IF(J778=0,Q778,IF(J778=1,P778,IF(J778=2,O778,0))),0)</x:f>
        <x:v>0</x:v>
      </x:c>
      <x:c r="T778" s="19" t="n">
        <x:f>K778+IF(AND(S778=1,J778=0),1,0)</x:f>
        <x:v>1</x:v>
      </x:c>
      <x:c r="U778" s="19" t="n">
        <x:f>L778+IF(AND(S778=1,J778=1),1,0)</x:f>
        <x:v>3</x:v>
      </x:c>
      <x:c r="V778" s="19" t="n">
        <x:f>M778+IF(AND(S778=1,J778=2),1,0)</x:f>
        <x:v>0</x:v>
      </x:c>
      <x:c r="W778" s="19" t="n">
        <x:f>SUM(T778:V778)</x:f>
        <x:v>4</x:v>
      </x:c>
      <x:c r="X778" s="19" t="n">
        <x:f>W778-G778</x:f>
        <x:v>0</x:v>
      </x:c>
      <x:c r="Y778" s="19" t="n">
        <x:f>MAX(T778,1)+MAX(U778,1)+MAX(V778,1)</x:f>
        <x:v>5</x:v>
      </x:c>
      <x:c r="Z778" s="21" t="str">
        <x:f>IF(AND(MIN(D778:F778)&gt;=0,MAX(D778:F778)&lt;=7,MAX(D778,1)+MAX(E778,1)+MAX(F778,1)&lt;=9,OR(H778="-",AND(H778=0,D778&gt;0),AND(H778=1,E778&gt;0),AND(H778=2,F778&gt;0)),OR(I778=0,AND(I778=1,OR(J778=0,J778=1,J778=2),R778&lt;&gt;"000")),Y778&lt;=9,MIN(T778:V778)&gt;=0),"合法","输入违约")</x:f>
        <x:v>合法</x:v>
      </x:c>
    </x:row>
    <x:row r="779" ht="23" customHeight="1">
      <x:c r="A779" s="3" t="str">
        <x:v>CT-0772</x:v>
      </x:c>
      <x:c r="B779" s="3" t="str">
        <x:v>ST-029</x:v>
      </x:c>
      <x:c r="C779" s="3" t="str">
        <x:v>仅AR接收</x:v>
      </x:c>
      <x:c r="D779" s="25" t="n">
        <x:v>1</x:v>
      </x:c>
      <x:c r="E779" s="25" t="n">
        <x:v>3</x:v>
      </x:c>
      <x:c r="F779" s="25" t="n">
        <x:v>0</x:v>
      </x:c>
      <x:c r="G779" s="19" t="n">
        <x:f>SUM(D779:F779)</x:f>
        <x:v>4</x:v>
      </x:c>
      <x:c r="H779" s="25" t="str">
        <x:v>-</x:v>
      </x:c>
      <x:c r="I779" s="25" t="n">
        <x:v>1</x:v>
      </x:c>
      <x:c r="J779" s="25" t="n">
        <x:v>0</x:v>
      </x:c>
      <x:c r="K779" s="19" t="n">
        <x:f>D779-IF(H779=0,1,0)</x:f>
        <x:v>1</x:v>
      </x:c>
      <x:c r="L779" s="19" t="n">
        <x:f>E779-IF(H779=1,1,0)</x:f>
        <x:v>3</x:v>
      </x:c>
      <x:c r="M779" s="19" t="n">
        <x:f>F779-IF(H779=2,1,0)</x:f>
        <x:v>0</x:v>
      </x:c>
      <x:c r="N779" s="19" t="n">
        <x:f>MAX(K779-1,0)+MAX(L779-1,0)+MAX(M779-1,0)</x:f>
        <x:v>2</x:v>
      </x:c>
      <x:c r="O779" s="19" t="n">
        <x:f>IF(AND(SUM(K779:M779)&lt;9,OR(M779=0,N779&lt;6)),1,0)</x:f>
        <x:v>1</x:v>
      </x:c>
      <x:c r="P779" s="19" t="n">
        <x:f>IF(AND(SUM(K779:M779)&lt;9,OR(L779=0,N779&lt;6)),1,0)</x:f>
        <x:v>1</x:v>
      </x:c>
      <x:c r="Q779" s="19" t="n">
        <x:f>IF(AND(SUM(K779:M779)&lt;9,OR(K779=0,N779&lt;6)),1,0)</x:f>
        <x:v>1</x:v>
      </x:c>
      <x:c r="R779" s="22" t="str">
        <x:f>O779&amp;P779&amp;Q779</x:f>
        <x:v>111</x:v>
      </x:c>
      <x:c r="S779" s="19" t="n">
        <x:f>IF(I779=1,IF(J779=0,Q779,IF(J779=1,P779,IF(J779=2,O779,0))),0)</x:f>
        <x:v>1</x:v>
      </x:c>
      <x:c r="T779" s="19" t="n">
        <x:f>K779+IF(AND(S779=1,J779=0),1,0)</x:f>
        <x:v>2</x:v>
      </x:c>
      <x:c r="U779" s="19" t="n">
        <x:f>L779+IF(AND(S779=1,J779=1),1,0)</x:f>
        <x:v>3</x:v>
      </x:c>
      <x:c r="V779" s="19" t="n">
        <x:f>M779+IF(AND(S779=1,J779=2),1,0)</x:f>
        <x:v>0</x:v>
      </x:c>
      <x:c r="W779" s="19" t="n">
        <x:f>SUM(T779:V779)</x:f>
        <x:v>5</x:v>
      </x:c>
      <x:c r="X779" s="19" t="n">
        <x:f>W779-G779</x:f>
        <x:v>1</x:v>
      </x:c>
      <x:c r="Y779" s="19" t="n">
        <x:f>MAX(T779,1)+MAX(U779,1)+MAX(V779,1)</x:f>
        <x:v>6</x:v>
      </x:c>
      <x:c r="Z779" s="21" t="str">
        <x:f>IF(AND(MIN(D779:F779)&gt;=0,MAX(D779:F779)&lt;=7,MAX(D779,1)+MAX(E779,1)+MAX(F779,1)&lt;=9,OR(H779="-",AND(H779=0,D779&gt;0),AND(H779=1,E779&gt;0),AND(H779=2,F779&gt;0)),OR(I779=0,AND(I779=1,OR(J779=0,J779=1,J779=2),R779&lt;&gt;"000")),Y779&lt;=9,MIN(T779:V779)&gt;=0),"合法","输入违约")</x:f>
        <x:v>合法</x:v>
      </x:c>
    </x:row>
    <x:row r="780" ht="23" customHeight="1">
      <x:c r="A780" s="3" t="str">
        <x:v>CT-0773</x:v>
      </x:c>
      <x:c r="B780" s="3" t="str">
        <x:v>ST-029</x:v>
      </x:c>
      <x:c r="C780" s="3" t="str">
        <x:v>仅AR接收</x:v>
      </x:c>
      <x:c r="D780" s="25" t="n">
        <x:v>1</x:v>
      </x:c>
      <x:c r="E780" s="25" t="n">
        <x:v>3</x:v>
      </x:c>
      <x:c r="F780" s="25" t="n">
        <x:v>0</x:v>
      </x:c>
      <x:c r="G780" s="19" t="n">
        <x:f>SUM(D780:F780)</x:f>
        <x:v>4</x:v>
      </x:c>
      <x:c r="H780" s="25" t="str">
        <x:v>-</x:v>
      </x:c>
      <x:c r="I780" s="25" t="n">
        <x:v>1</x:v>
      </x:c>
      <x:c r="J780" s="25" t="n">
        <x:v>1</x:v>
      </x:c>
      <x:c r="K780" s="19" t="n">
        <x:f>D780-IF(H780=0,1,0)</x:f>
        <x:v>1</x:v>
      </x:c>
      <x:c r="L780" s="19" t="n">
        <x:f>E780-IF(H780=1,1,0)</x:f>
        <x:v>3</x:v>
      </x:c>
      <x:c r="M780" s="19" t="n">
        <x:f>F780-IF(H780=2,1,0)</x:f>
        <x:v>0</x:v>
      </x:c>
      <x:c r="N780" s="19" t="n">
        <x:f>MAX(K780-1,0)+MAX(L780-1,0)+MAX(M780-1,0)</x:f>
        <x:v>2</x:v>
      </x:c>
      <x:c r="O780" s="19" t="n">
        <x:f>IF(AND(SUM(K780:M780)&lt;9,OR(M780=0,N780&lt;6)),1,0)</x:f>
        <x:v>1</x:v>
      </x:c>
      <x:c r="P780" s="19" t="n">
        <x:f>IF(AND(SUM(K780:M780)&lt;9,OR(L780=0,N780&lt;6)),1,0)</x:f>
        <x:v>1</x:v>
      </x:c>
      <x:c r="Q780" s="19" t="n">
        <x:f>IF(AND(SUM(K780:M780)&lt;9,OR(K780=0,N780&lt;6)),1,0)</x:f>
        <x:v>1</x:v>
      </x:c>
      <x:c r="R780" s="22" t="str">
        <x:f>O780&amp;P780&amp;Q780</x:f>
        <x:v>111</x:v>
      </x:c>
      <x:c r="S780" s="19" t="n">
        <x:f>IF(I780=1,IF(J780=0,Q780,IF(J780=1,P780,IF(J780=2,O780,0))),0)</x:f>
        <x:v>1</x:v>
      </x:c>
      <x:c r="T780" s="19" t="n">
        <x:f>K780+IF(AND(S780=1,J780=0),1,0)</x:f>
        <x:v>1</x:v>
      </x:c>
      <x:c r="U780" s="19" t="n">
        <x:f>L780+IF(AND(S780=1,J780=1),1,0)</x:f>
        <x:v>4</x:v>
      </x:c>
      <x:c r="V780" s="19" t="n">
        <x:f>M780+IF(AND(S780=1,J780=2),1,0)</x:f>
        <x:v>0</x:v>
      </x:c>
      <x:c r="W780" s="19" t="n">
        <x:f>SUM(T780:V780)</x:f>
        <x:v>5</x:v>
      </x:c>
      <x:c r="X780" s="19" t="n">
        <x:f>W780-G780</x:f>
        <x:v>1</x:v>
      </x:c>
      <x:c r="Y780" s="19" t="n">
        <x:f>MAX(T780,1)+MAX(U780,1)+MAX(V780,1)</x:f>
        <x:v>6</x:v>
      </x:c>
      <x:c r="Z780" s="21" t="str">
        <x:f>IF(AND(MIN(D780:F780)&gt;=0,MAX(D780:F780)&lt;=7,MAX(D780,1)+MAX(E780,1)+MAX(F780,1)&lt;=9,OR(H780="-",AND(H780=0,D780&gt;0),AND(H780=1,E780&gt;0),AND(H780=2,F780&gt;0)),OR(I780=0,AND(I780=1,OR(J780=0,J780=1,J780=2),R780&lt;&gt;"000")),Y780&lt;=9,MIN(T780:V780)&gt;=0),"合法","输入违约")</x:f>
        <x:v>合法</x:v>
      </x:c>
    </x:row>
    <x:row r="781" ht="23" customHeight="1">
      <x:c r="A781" s="3" t="str">
        <x:v>CT-0774</x:v>
      </x:c>
      <x:c r="B781" s="3" t="str">
        <x:v>ST-029</x:v>
      </x:c>
      <x:c r="C781" s="3" t="str">
        <x:v>仅AR接收</x:v>
      </x:c>
      <x:c r="D781" s="25" t="n">
        <x:v>1</x:v>
      </x:c>
      <x:c r="E781" s="25" t="n">
        <x:v>3</x:v>
      </x:c>
      <x:c r="F781" s="25" t="n">
        <x:v>0</x:v>
      </x:c>
      <x:c r="G781" s="19" t="n">
        <x:f>SUM(D781:F781)</x:f>
        <x:v>4</x:v>
      </x:c>
      <x:c r="H781" s="25" t="str">
        <x:v>-</x:v>
      </x:c>
      <x:c r="I781" s="25" t="n">
        <x:v>1</x:v>
      </x:c>
      <x:c r="J781" s="25" t="n">
        <x:v>2</x:v>
      </x:c>
      <x:c r="K781" s="19" t="n">
        <x:f>D781-IF(H781=0,1,0)</x:f>
        <x:v>1</x:v>
      </x:c>
      <x:c r="L781" s="19" t="n">
        <x:f>E781-IF(H781=1,1,0)</x:f>
        <x:v>3</x:v>
      </x:c>
      <x:c r="M781" s="19" t="n">
        <x:f>F781-IF(H781=2,1,0)</x:f>
        <x:v>0</x:v>
      </x:c>
      <x:c r="N781" s="19" t="n">
        <x:f>MAX(K781-1,0)+MAX(L781-1,0)+MAX(M781-1,0)</x:f>
        <x:v>2</x:v>
      </x:c>
      <x:c r="O781" s="19" t="n">
        <x:f>IF(AND(SUM(K781:M781)&lt;9,OR(M781=0,N781&lt;6)),1,0)</x:f>
        <x:v>1</x:v>
      </x:c>
      <x:c r="P781" s="19" t="n">
        <x:f>IF(AND(SUM(K781:M781)&lt;9,OR(L781=0,N781&lt;6)),1,0)</x:f>
        <x:v>1</x:v>
      </x:c>
      <x:c r="Q781" s="19" t="n">
        <x:f>IF(AND(SUM(K781:M781)&lt;9,OR(K781=0,N781&lt;6)),1,0)</x:f>
        <x:v>1</x:v>
      </x:c>
      <x:c r="R781" s="22" t="str">
        <x:f>O781&amp;P781&amp;Q781</x:f>
        <x:v>111</x:v>
      </x:c>
      <x:c r="S781" s="19" t="n">
        <x:f>IF(I781=1,IF(J781=0,Q781,IF(J781=1,P781,IF(J781=2,O781,0))),0)</x:f>
        <x:v>1</x:v>
      </x:c>
      <x:c r="T781" s="19" t="n">
        <x:f>K781+IF(AND(S781=1,J781=0),1,0)</x:f>
        <x:v>1</x:v>
      </x:c>
      <x:c r="U781" s="19" t="n">
        <x:f>L781+IF(AND(S781=1,J781=1),1,0)</x:f>
        <x:v>3</x:v>
      </x:c>
      <x:c r="V781" s="19" t="n">
        <x:f>M781+IF(AND(S781=1,J781=2),1,0)</x:f>
        <x:v>1</x:v>
      </x:c>
      <x:c r="W781" s="19" t="n">
        <x:f>SUM(T781:V781)</x:f>
        <x:v>5</x:v>
      </x:c>
      <x:c r="X781" s="19" t="n">
        <x:f>W781-G781</x:f>
        <x:v>1</x:v>
      </x:c>
      <x:c r="Y781" s="19" t="n">
        <x:f>MAX(T781,1)+MAX(U781,1)+MAX(V781,1)</x:f>
        <x:v>5</x:v>
      </x:c>
      <x:c r="Z781" s="21" t="str">
        <x:f>IF(AND(MIN(D781:F781)&gt;=0,MAX(D781:F781)&lt;=7,MAX(D781,1)+MAX(E781,1)+MAX(F781,1)&lt;=9,OR(H781="-",AND(H781=0,D781&gt;0),AND(H781=1,E781&gt;0),AND(H781=2,F781&gt;0)),OR(I781=0,AND(I781=1,OR(J781=0,J781=1,J781=2),R781&lt;&gt;"000")),Y781&lt;=9,MIN(T781:V781)&gt;=0),"合法","输入违约")</x:f>
        <x:v>合法</x:v>
      </x:c>
    </x:row>
    <x:row r="782" ht="23" customHeight="1">
      <x:c r="A782" s="3" t="str">
        <x:v>CT-0775</x:v>
      </x:c>
      <x:c r="B782" s="3" t="str">
        <x:v>ST-029</x:v>
      </x:c>
      <x:c r="C782" s="3" t="str">
        <x:v>仅R回收</x:v>
      </x:c>
      <x:c r="D782" s="25" t="n">
        <x:v>1</x:v>
      </x:c>
      <x:c r="E782" s="25" t="n">
        <x:v>3</x:v>
      </x:c>
      <x:c r="F782" s="25" t="n">
        <x:v>0</x:v>
      </x:c>
      <x:c r="G782" s="19" t="n">
        <x:f>SUM(D782:F782)</x:f>
        <x:v>4</x:v>
      </x:c>
      <x:c r="H782" s="25" t="n">
        <x:v>0</x:v>
      </x:c>
      <x:c r="I782" s="25" t="n">
        <x:v>0</x:v>
      </x:c>
      <x:c r="J782" s="25" t="str">
        <x:v>-</x:v>
      </x:c>
      <x:c r="K782" s="19" t="n">
        <x:f>D782-IF(H782=0,1,0)</x:f>
        <x:v>0</x:v>
      </x:c>
      <x:c r="L782" s="19" t="n">
        <x:f>E782-IF(H782=1,1,0)</x:f>
        <x:v>3</x:v>
      </x:c>
      <x:c r="M782" s="19" t="n">
        <x:f>F782-IF(H782=2,1,0)</x:f>
        <x:v>0</x:v>
      </x:c>
      <x:c r="N782" s="19" t="n">
        <x:f>MAX(K782-1,0)+MAX(L782-1,0)+MAX(M782-1,0)</x:f>
        <x:v>2</x:v>
      </x:c>
      <x:c r="O782" s="19" t="n">
        <x:f>IF(AND(SUM(K782:M782)&lt;9,OR(M782=0,N782&lt;6)),1,0)</x:f>
        <x:v>1</x:v>
      </x:c>
      <x:c r="P782" s="19" t="n">
        <x:f>IF(AND(SUM(K782:M782)&lt;9,OR(L782=0,N782&lt;6)),1,0)</x:f>
        <x:v>1</x:v>
      </x:c>
      <x:c r="Q782" s="19" t="n">
        <x:f>IF(AND(SUM(K782:M782)&lt;9,OR(K782=0,N782&lt;6)),1,0)</x:f>
        <x:v>1</x:v>
      </x:c>
      <x:c r="R782" s="22" t="str">
        <x:f>O782&amp;P782&amp;Q782</x:f>
        <x:v>111</x:v>
      </x:c>
      <x:c r="S782" s="19" t="n">
        <x:f>IF(I782=1,IF(J782=0,Q782,IF(J782=1,P782,IF(J782=2,O782,0))),0)</x:f>
        <x:v>0</x:v>
      </x:c>
      <x:c r="T782" s="19" t="n">
        <x:f>K782+IF(AND(S782=1,J782=0),1,0)</x:f>
        <x:v>0</x:v>
      </x:c>
      <x:c r="U782" s="19" t="n">
        <x:f>L782+IF(AND(S782=1,J782=1),1,0)</x:f>
        <x:v>3</x:v>
      </x:c>
      <x:c r="V782" s="19" t="n">
        <x:f>M782+IF(AND(S782=1,J782=2),1,0)</x:f>
        <x:v>0</x:v>
      </x:c>
      <x:c r="W782" s="19" t="n">
        <x:f>SUM(T782:V782)</x:f>
        <x:v>3</x:v>
      </x:c>
      <x:c r="X782" s="19" t="n">
        <x:f>W782-G782</x:f>
        <x:v>-1</x:v>
      </x:c>
      <x:c r="Y782" s="19" t="n">
        <x:f>MAX(T782,1)+MAX(U782,1)+MAX(V782,1)</x:f>
        <x:v>5</x:v>
      </x:c>
      <x:c r="Z782" s="21" t="str">
        <x:f>IF(AND(MIN(D782:F782)&gt;=0,MAX(D782:F782)&lt;=7,MAX(D782,1)+MAX(E782,1)+MAX(F782,1)&lt;=9,OR(H782="-",AND(H782=0,D782&gt;0),AND(H782=1,E782&gt;0),AND(H782=2,F782&gt;0)),OR(I782=0,AND(I782=1,OR(J782=0,J782=1,J782=2),R782&lt;&gt;"000")),Y782&lt;=9,MIN(T782:V782)&gt;=0),"合法","输入违约")</x:f>
        <x:v>合法</x:v>
      </x:c>
    </x:row>
    <x:row r="783" ht="23" customHeight="1">
      <x:c r="A783" s="3" t="str">
        <x:v>CT-0776</x:v>
      </x:c>
      <x:c r="B783" s="3" t="str">
        <x:v>ST-029</x:v>
      </x:c>
      <x:c r="C783" s="3" t="str">
        <x:v>R+AR同收同发</x:v>
      </x:c>
      <x:c r="D783" s="25" t="n">
        <x:v>1</x:v>
      </x:c>
      <x:c r="E783" s="25" t="n">
        <x:v>3</x:v>
      </x:c>
      <x:c r="F783" s="25" t="n">
        <x:v>0</x:v>
      </x:c>
      <x:c r="G783" s="19" t="n">
        <x:f>SUM(D783:F783)</x:f>
        <x:v>4</x:v>
      </x:c>
      <x:c r="H783" s="25" t="n">
        <x:v>0</x:v>
      </x:c>
      <x:c r="I783" s="25" t="n">
        <x:v>1</x:v>
      </x:c>
      <x:c r="J783" s="25" t="n">
        <x:v>0</x:v>
      </x:c>
      <x:c r="K783" s="19" t="n">
        <x:f>D783-IF(H783=0,1,0)</x:f>
        <x:v>0</x:v>
      </x:c>
      <x:c r="L783" s="19" t="n">
        <x:f>E783-IF(H783=1,1,0)</x:f>
        <x:v>3</x:v>
      </x:c>
      <x:c r="M783" s="19" t="n">
        <x:f>F783-IF(H783=2,1,0)</x:f>
        <x:v>0</x:v>
      </x:c>
      <x:c r="N783" s="19" t="n">
        <x:f>MAX(K783-1,0)+MAX(L783-1,0)+MAX(M783-1,0)</x:f>
        <x:v>2</x:v>
      </x:c>
      <x:c r="O783" s="19" t="n">
        <x:f>IF(AND(SUM(K783:M783)&lt;9,OR(M783=0,N783&lt;6)),1,0)</x:f>
        <x:v>1</x:v>
      </x:c>
      <x:c r="P783" s="19" t="n">
        <x:f>IF(AND(SUM(K783:M783)&lt;9,OR(L783=0,N783&lt;6)),1,0)</x:f>
        <x:v>1</x:v>
      </x:c>
      <x:c r="Q783" s="19" t="n">
        <x:f>IF(AND(SUM(K783:M783)&lt;9,OR(K783=0,N783&lt;6)),1,0)</x:f>
        <x:v>1</x:v>
      </x:c>
      <x:c r="R783" s="22" t="str">
        <x:f>O783&amp;P783&amp;Q783</x:f>
        <x:v>111</x:v>
      </x:c>
      <x:c r="S783" s="19" t="n">
        <x:f>IF(I783=1,IF(J783=0,Q783,IF(J783=1,P783,IF(J783=2,O783,0))),0)</x:f>
        <x:v>1</x:v>
      </x:c>
      <x:c r="T783" s="19" t="n">
        <x:f>K783+IF(AND(S783=1,J783=0),1,0)</x:f>
        <x:v>1</x:v>
      </x:c>
      <x:c r="U783" s="19" t="n">
        <x:f>L783+IF(AND(S783=1,J783=1),1,0)</x:f>
        <x:v>3</x:v>
      </x:c>
      <x:c r="V783" s="19" t="n">
        <x:f>M783+IF(AND(S783=1,J783=2),1,0)</x:f>
        <x:v>0</x:v>
      </x:c>
      <x:c r="W783" s="19" t="n">
        <x:f>SUM(T783:V783)</x:f>
        <x:v>4</x:v>
      </x:c>
      <x:c r="X783" s="19" t="n">
        <x:f>W783-G783</x:f>
        <x:v>0</x:v>
      </x:c>
      <x:c r="Y783" s="19" t="n">
        <x:f>MAX(T783,1)+MAX(U783,1)+MAX(V783,1)</x:f>
        <x:v>5</x:v>
      </x:c>
      <x:c r="Z783" s="21" t="str">
        <x:f>IF(AND(MIN(D783:F783)&gt;=0,MAX(D783:F783)&lt;=7,MAX(D783,1)+MAX(E783,1)+MAX(F783,1)&lt;=9,OR(H783="-",AND(H783=0,D783&gt;0),AND(H783=1,E783&gt;0),AND(H783=2,F783&gt;0)),OR(I783=0,AND(I783=1,OR(J783=0,J783=1,J783=2),R783&lt;&gt;"000")),Y783&lt;=9,MIN(T783:V783)&gt;=0),"合法","输入违约")</x:f>
        <x:v>合法</x:v>
      </x:c>
    </x:row>
    <x:row r="784" ht="23" customHeight="1">
      <x:c r="A784" s="3" t="str">
        <x:v>CT-0777</x:v>
      </x:c>
      <x:c r="B784" s="3" t="str">
        <x:v>ST-029</x:v>
      </x:c>
      <x:c r="C784" s="3" t="str">
        <x:v>R+AR同收同发</x:v>
      </x:c>
      <x:c r="D784" s="25" t="n">
        <x:v>1</x:v>
      </x:c>
      <x:c r="E784" s="25" t="n">
        <x:v>3</x:v>
      </x:c>
      <x:c r="F784" s="25" t="n">
        <x:v>0</x:v>
      </x:c>
      <x:c r="G784" s="19" t="n">
        <x:f>SUM(D784:F784)</x:f>
        <x:v>4</x:v>
      </x:c>
      <x:c r="H784" s="25" t="n">
        <x:v>0</x:v>
      </x:c>
      <x:c r="I784" s="25" t="n">
        <x:v>1</x:v>
      </x:c>
      <x:c r="J784" s="25" t="n">
        <x:v>1</x:v>
      </x:c>
      <x:c r="K784" s="19" t="n">
        <x:f>D784-IF(H784=0,1,0)</x:f>
        <x:v>0</x:v>
      </x:c>
      <x:c r="L784" s="19" t="n">
        <x:f>E784-IF(H784=1,1,0)</x:f>
        <x:v>3</x:v>
      </x:c>
      <x:c r="M784" s="19" t="n">
        <x:f>F784-IF(H784=2,1,0)</x:f>
        <x:v>0</x:v>
      </x:c>
      <x:c r="N784" s="19" t="n">
        <x:f>MAX(K784-1,0)+MAX(L784-1,0)+MAX(M784-1,0)</x:f>
        <x:v>2</x:v>
      </x:c>
      <x:c r="O784" s="19" t="n">
        <x:f>IF(AND(SUM(K784:M784)&lt;9,OR(M784=0,N784&lt;6)),1,0)</x:f>
        <x:v>1</x:v>
      </x:c>
      <x:c r="P784" s="19" t="n">
        <x:f>IF(AND(SUM(K784:M784)&lt;9,OR(L784=0,N784&lt;6)),1,0)</x:f>
        <x:v>1</x:v>
      </x:c>
      <x:c r="Q784" s="19" t="n">
        <x:f>IF(AND(SUM(K784:M784)&lt;9,OR(K784=0,N784&lt;6)),1,0)</x:f>
        <x:v>1</x:v>
      </x:c>
      <x:c r="R784" s="22" t="str">
        <x:f>O784&amp;P784&amp;Q784</x:f>
        <x:v>111</x:v>
      </x:c>
      <x:c r="S784" s="19" t="n">
        <x:f>IF(I784=1,IF(J784=0,Q784,IF(J784=1,P784,IF(J784=2,O784,0))),0)</x:f>
        <x:v>1</x:v>
      </x:c>
      <x:c r="T784" s="19" t="n">
        <x:f>K784+IF(AND(S784=1,J784=0),1,0)</x:f>
        <x:v>0</x:v>
      </x:c>
      <x:c r="U784" s="19" t="n">
        <x:f>L784+IF(AND(S784=1,J784=1),1,0)</x:f>
        <x:v>4</x:v>
      </x:c>
      <x:c r="V784" s="19" t="n">
        <x:f>M784+IF(AND(S784=1,J784=2),1,0)</x:f>
        <x:v>0</x:v>
      </x:c>
      <x:c r="W784" s="19" t="n">
        <x:f>SUM(T784:V784)</x:f>
        <x:v>4</x:v>
      </x:c>
      <x:c r="X784" s="19" t="n">
        <x:f>W784-G784</x:f>
        <x:v>0</x:v>
      </x:c>
      <x:c r="Y784" s="19" t="n">
        <x:f>MAX(T784,1)+MAX(U784,1)+MAX(V784,1)</x:f>
        <x:v>6</x:v>
      </x:c>
      <x:c r="Z784" s="21" t="str">
        <x:f>IF(AND(MIN(D784:F784)&gt;=0,MAX(D784:F784)&lt;=7,MAX(D784,1)+MAX(E784,1)+MAX(F784,1)&lt;=9,OR(H784="-",AND(H784=0,D784&gt;0),AND(H784=1,E784&gt;0),AND(H784=2,F784&gt;0)),OR(I784=0,AND(I784=1,OR(J784=0,J784=1,J784=2),R784&lt;&gt;"000")),Y784&lt;=9,MIN(T784:V784)&gt;=0),"合法","输入违约")</x:f>
        <x:v>合法</x:v>
      </x:c>
    </x:row>
    <x:row r="785" ht="23" customHeight="1">
      <x:c r="A785" s="3" t="str">
        <x:v>CT-0778</x:v>
      </x:c>
      <x:c r="B785" s="3" t="str">
        <x:v>ST-029</x:v>
      </x:c>
      <x:c r="C785" s="3" t="str">
        <x:v>R+AR同收同发</x:v>
      </x:c>
      <x:c r="D785" s="25" t="n">
        <x:v>1</x:v>
      </x:c>
      <x:c r="E785" s="25" t="n">
        <x:v>3</x:v>
      </x:c>
      <x:c r="F785" s="25" t="n">
        <x:v>0</x:v>
      </x:c>
      <x:c r="G785" s="19" t="n">
        <x:f>SUM(D785:F785)</x:f>
        <x:v>4</x:v>
      </x:c>
      <x:c r="H785" s="25" t="n">
        <x:v>0</x:v>
      </x:c>
      <x:c r="I785" s="25" t="n">
        <x:v>1</x:v>
      </x:c>
      <x:c r="J785" s="25" t="n">
        <x:v>2</x:v>
      </x:c>
      <x:c r="K785" s="19" t="n">
        <x:f>D785-IF(H785=0,1,0)</x:f>
        <x:v>0</x:v>
      </x:c>
      <x:c r="L785" s="19" t="n">
        <x:f>E785-IF(H785=1,1,0)</x:f>
        <x:v>3</x:v>
      </x:c>
      <x:c r="M785" s="19" t="n">
        <x:f>F785-IF(H785=2,1,0)</x:f>
        <x:v>0</x:v>
      </x:c>
      <x:c r="N785" s="19" t="n">
        <x:f>MAX(K785-1,0)+MAX(L785-1,0)+MAX(M785-1,0)</x:f>
        <x:v>2</x:v>
      </x:c>
      <x:c r="O785" s="19" t="n">
        <x:f>IF(AND(SUM(K785:M785)&lt;9,OR(M785=0,N785&lt;6)),1,0)</x:f>
        <x:v>1</x:v>
      </x:c>
      <x:c r="P785" s="19" t="n">
        <x:f>IF(AND(SUM(K785:M785)&lt;9,OR(L785=0,N785&lt;6)),1,0)</x:f>
        <x:v>1</x:v>
      </x:c>
      <x:c r="Q785" s="19" t="n">
        <x:f>IF(AND(SUM(K785:M785)&lt;9,OR(K785=0,N785&lt;6)),1,0)</x:f>
        <x:v>1</x:v>
      </x:c>
      <x:c r="R785" s="22" t="str">
        <x:f>O785&amp;P785&amp;Q785</x:f>
        <x:v>111</x:v>
      </x:c>
      <x:c r="S785" s="19" t="n">
        <x:f>IF(I785=1,IF(J785=0,Q785,IF(J785=1,P785,IF(J785=2,O785,0))),0)</x:f>
        <x:v>1</x:v>
      </x:c>
      <x:c r="T785" s="19" t="n">
        <x:f>K785+IF(AND(S785=1,J785=0),1,0)</x:f>
        <x:v>0</x:v>
      </x:c>
      <x:c r="U785" s="19" t="n">
        <x:f>L785+IF(AND(S785=1,J785=1),1,0)</x:f>
        <x:v>3</x:v>
      </x:c>
      <x:c r="V785" s="19" t="n">
        <x:f>M785+IF(AND(S785=1,J785=2),1,0)</x:f>
        <x:v>1</x:v>
      </x:c>
      <x:c r="W785" s="19" t="n">
        <x:f>SUM(T785:V785)</x:f>
        <x:v>4</x:v>
      </x:c>
      <x:c r="X785" s="19" t="n">
        <x:f>W785-G785</x:f>
        <x:v>0</x:v>
      </x:c>
      <x:c r="Y785" s="19" t="n">
        <x:f>MAX(T785,1)+MAX(U785,1)+MAX(V785,1)</x:f>
        <x:v>5</x:v>
      </x:c>
      <x:c r="Z785" s="21" t="str">
        <x:f>IF(AND(MIN(D785:F785)&gt;=0,MAX(D785:F785)&lt;=7,MAX(D785,1)+MAX(E785,1)+MAX(F785,1)&lt;=9,OR(H785="-",AND(H785=0,D785&gt;0),AND(H785=1,E785&gt;0),AND(H785=2,F785&gt;0)),OR(I785=0,AND(I785=1,OR(J785=0,J785=1,J785=2),R785&lt;&gt;"000")),Y785&lt;=9,MIN(T785:V785)&gt;=0),"合法","输入违约")</x:f>
        <x:v>合法</x:v>
      </x:c>
    </x:row>
    <x:row r="786" ht="23" customHeight="1">
      <x:c r="A786" s="3" t="str">
        <x:v>CT-0779</x:v>
      </x:c>
      <x:c r="B786" s="3" t="str">
        <x:v>ST-029</x:v>
      </x:c>
      <x:c r="C786" s="3" t="str">
        <x:v>仅R回收</x:v>
      </x:c>
      <x:c r="D786" s="25" t="n">
        <x:v>1</x:v>
      </x:c>
      <x:c r="E786" s="25" t="n">
        <x:v>3</x:v>
      </x:c>
      <x:c r="F786" s="25" t="n">
        <x:v>0</x:v>
      </x:c>
      <x:c r="G786" s="19" t="n">
        <x:f>SUM(D786:F786)</x:f>
        <x:v>4</x:v>
      </x:c>
      <x:c r="H786" s="25" t="n">
        <x:v>1</x:v>
      </x:c>
      <x:c r="I786" s="25" t="n">
        <x:v>0</x:v>
      </x:c>
      <x:c r="J786" s="25" t="str">
        <x:v>-</x:v>
      </x:c>
      <x:c r="K786" s="19" t="n">
        <x:f>D786-IF(H786=0,1,0)</x:f>
        <x:v>1</x:v>
      </x:c>
      <x:c r="L786" s="19" t="n">
        <x:f>E786-IF(H786=1,1,0)</x:f>
        <x:v>2</x:v>
      </x:c>
      <x:c r="M786" s="19" t="n">
        <x:f>F786-IF(H786=2,1,0)</x:f>
        <x:v>0</x:v>
      </x:c>
      <x:c r="N786" s="19" t="n">
        <x:f>MAX(K786-1,0)+MAX(L786-1,0)+MAX(M786-1,0)</x:f>
        <x:v>1</x:v>
      </x:c>
      <x:c r="O786" s="19" t="n">
        <x:f>IF(AND(SUM(K786:M786)&lt;9,OR(M786=0,N786&lt;6)),1,0)</x:f>
        <x:v>1</x:v>
      </x:c>
      <x:c r="P786" s="19" t="n">
        <x:f>IF(AND(SUM(K786:M786)&lt;9,OR(L786=0,N786&lt;6)),1,0)</x:f>
        <x:v>1</x:v>
      </x:c>
      <x:c r="Q786" s="19" t="n">
        <x:f>IF(AND(SUM(K786:M786)&lt;9,OR(K786=0,N786&lt;6)),1,0)</x:f>
        <x:v>1</x:v>
      </x:c>
      <x:c r="R786" s="22" t="str">
        <x:f>O786&amp;P786&amp;Q786</x:f>
        <x:v>111</x:v>
      </x:c>
      <x:c r="S786" s="19" t="n">
        <x:f>IF(I786=1,IF(J786=0,Q786,IF(J786=1,P786,IF(J786=2,O786,0))),0)</x:f>
        <x:v>0</x:v>
      </x:c>
      <x:c r="T786" s="19" t="n">
        <x:f>K786+IF(AND(S786=1,J786=0),1,0)</x:f>
        <x:v>1</x:v>
      </x:c>
      <x:c r="U786" s="19" t="n">
        <x:f>L786+IF(AND(S786=1,J786=1),1,0)</x:f>
        <x:v>2</x:v>
      </x:c>
      <x:c r="V786" s="19" t="n">
        <x:f>M786+IF(AND(S786=1,J786=2),1,0)</x:f>
        <x:v>0</x:v>
      </x:c>
      <x:c r="W786" s="19" t="n">
        <x:f>SUM(T786:V786)</x:f>
        <x:v>3</x:v>
      </x:c>
      <x:c r="X786" s="19" t="n">
        <x:f>W786-G786</x:f>
        <x:v>-1</x:v>
      </x:c>
      <x:c r="Y786" s="19" t="n">
        <x:f>MAX(T786,1)+MAX(U786,1)+MAX(V786,1)</x:f>
        <x:v>4</x:v>
      </x:c>
      <x:c r="Z786" s="21" t="str">
        <x:f>IF(AND(MIN(D786:F786)&gt;=0,MAX(D786:F786)&lt;=7,MAX(D786,1)+MAX(E786,1)+MAX(F786,1)&lt;=9,OR(H786="-",AND(H786=0,D786&gt;0),AND(H786=1,E786&gt;0),AND(H786=2,F786&gt;0)),OR(I786=0,AND(I786=1,OR(J786=0,J786=1,J786=2),R786&lt;&gt;"000")),Y786&lt;=9,MIN(T786:V786)&gt;=0),"合法","输入违约")</x:f>
        <x:v>合法</x:v>
      </x:c>
    </x:row>
    <x:row r="787" ht="23" customHeight="1">
      <x:c r="A787" s="3" t="str">
        <x:v>CT-0780</x:v>
      </x:c>
      <x:c r="B787" s="3" t="str">
        <x:v>ST-029</x:v>
      </x:c>
      <x:c r="C787" s="3" t="str">
        <x:v>R+AR同收同发</x:v>
      </x:c>
      <x:c r="D787" s="25" t="n">
        <x:v>1</x:v>
      </x:c>
      <x:c r="E787" s="25" t="n">
        <x:v>3</x:v>
      </x:c>
      <x:c r="F787" s="25" t="n">
        <x:v>0</x:v>
      </x:c>
      <x:c r="G787" s="19" t="n">
        <x:f>SUM(D787:F787)</x:f>
        <x:v>4</x:v>
      </x:c>
      <x:c r="H787" s="25" t="n">
        <x:v>1</x:v>
      </x:c>
      <x:c r="I787" s="25" t="n">
        <x:v>1</x:v>
      </x:c>
      <x:c r="J787" s="25" t="n">
        <x:v>0</x:v>
      </x:c>
      <x:c r="K787" s="19" t="n">
        <x:f>D787-IF(H787=0,1,0)</x:f>
        <x:v>1</x:v>
      </x:c>
      <x:c r="L787" s="19" t="n">
        <x:f>E787-IF(H787=1,1,0)</x:f>
        <x:v>2</x:v>
      </x:c>
      <x:c r="M787" s="19" t="n">
        <x:f>F787-IF(H787=2,1,0)</x:f>
        <x:v>0</x:v>
      </x:c>
      <x:c r="N787" s="19" t="n">
        <x:f>MAX(K787-1,0)+MAX(L787-1,0)+MAX(M787-1,0)</x:f>
        <x:v>1</x:v>
      </x:c>
      <x:c r="O787" s="19" t="n">
        <x:f>IF(AND(SUM(K787:M787)&lt;9,OR(M787=0,N787&lt;6)),1,0)</x:f>
        <x:v>1</x:v>
      </x:c>
      <x:c r="P787" s="19" t="n">
        <x:f>IF(AND(SUM(K787:M787)&lt;9,OR(L787=0,N787&lt;6)),1,0)</x:f>
        <x:v>1</x:v>
      </x:c>
      <x:c r="Q787" s="19" t="n">
        <x:f>IF(AND(SUM(K787:M787)&lt;9,OR(K787=0,N787&lt;6)),1,0)</x:f>
        <x:v>1</x:v>
      </x:c>
      <x:c r="R787" s="22" t="str">
        <x:f>O787&amp;P787&amp;Q787</x:f>
        <x:v>111</x:v>
      </x:c>
      <x:c r="S787" s="19" t="n">
        <x:f>IF(I787=1,IF(J787=0,Q787,IF(J787=1,P787,IF(J787=2,O787,0))),0)</x:f>
        <x:v>1</x:v>
      </x:c>
      <x:c r="T787" s="19" t="n">
        <x:f>K787+IF(AND(S787=1,J787=0),1,0)</x:f>
        <x:v>2</x:v>
      </x:c>
      <x:c r="U787" s="19" t="n">
        <x:f>L787+IF(AND(S787=1,J787=1),1,0)</x:f>
        <x:v>2</x:v>
      </x:c>
      <x:c r="V787" s="19" t="n">
        <x:f>M787+IF(AND(S787=1,J787=2),1,0)</x:f>
        <x:v>0</x:v>
      </x:c>
      <x:c r="W787" s="19" t="n">
        <x:f>SUM(T787:V787)</x:f>
        <x:v>4</x:v>
      </x:c>
      <x:c r="X787" s="19" t="n">
        <x:f>W787-G787</x:f>
        <x:v>0</x:v>
      </x:c>
      <x:c r="Y787" s="19" t="n">
        <x:f>MAX(T787,1)+MAX(U787,1)+MAX(V787,1)</x:f>
        <x:v>5</x:v>
      </x:c>
      <x:c r="Z787" s="21" t="str">
        <x:f>IF(AND(MIN(D787:F787)&gt;=0,MAX(D787:F787)&lt;=7,MAX(D787,1)+MAX(E787,1)+MAX(F787,1)&lt;=9,OR(H787="-",AND(H787=0,D787&gt;0),AND(H787=1,E787&gt;0),AND(H787=2,F787&gt;0)),OR(I787=0,AND(I787=1,OR(J787=0,J787=1,J787=2),R787&lt;&gt;"000")),Y787&lt;=9,MIN(T787:V787)&gt;=0),"合法","输入违约")</x:f>
        <x:v>合法</x:v>
      </x:c>
    </x:row>
    <x:row r="788" ht="23" customHeight="1">
      <x:c r="A788" s="3" t="str">
        <x:v>CT-0781</x:v>
      </x:c>
      <x:c r="B788" s="3" t="str">
        <x:v>ST-029</x:v>
      </x:c>
      <x:c r="C788" s="3" t="str">
        <x:v>R+AR同收同发</x:v>
      </x:c>
      <x:c r="D788" s="25" t="n">
        <x:v>1</x:v>
      </x:c>
      <x:c r="E788" s="25" t="n">
        <x:v>3</x:v>
      </x:c>
      <x:c r="F788" s="25" t="n">
        <x:v>0</x:v>
      </x:c>
      <x:c r="G788" s="19" t="n">
        <x:f>SUM(D788:F788)</x:f>
        <x:v>4</x:v>
      </x:c>
      <x:c r="H788" s="25" t="n">
        <x:v>1</x:v>
      </x:c>
      <x:c r="I788" s="25" t="n">
        <x:v>1</x:v>
      </x:c>
      <x:c r="J788" s="25" t="n">
        <x:v>1</x:v>
      </x:c>
      <x:c r="K788" s="19" t="n">
        <x:f>D788-IF(H788=0,1,0)</x:f>
        <x:v>1</x:v>
      </x:c>
      <x:c r="L788" s="19" t="n">
        <x:f>E788-IF(H788=1,1,0)</x:f>
        <x:v>2</x:v>
      </x:c>
      <x:c r="M788" s="19" t="n">
        <x:f>F788-IF(H788=2,1,0)</x:f>
        <x:v>0</x:v>
      </x:c>
      <x:c r="N788" s="19" t="n">
        <x:f>MAX(K788-1,0)+MAX(L788-1,0)+MAX(M788-1,0)</x:f>
        <x:v>1</x:v>
      </x:c>
      <x:c r="O788" s="19" t="n">
        <x:f>IF(AND(SUM(K788:M788)&lt;9,OR(M788=0,N788&lt;6)),1,0)</x:f>
        <x:v>1</x:v>
      </x:c>
      <x:c r="P788" s="19" t="n">
        <x:f>IF(AND(SUM(K788:M788)&lt;9,OR(L788=0,N788&lt;6)),1,0)</x:f>
        <x:v>1</x:v>
      </x:c>
      <x:c r="Q788" s="19" t="n">
        <x:f>IF(AND(SUM(K788:M788)&lt;9,OR(K788=0,N788&lt;6)),1,0)</x:f>
        <x:v>1</x:v>
      </x:c>
      <x:c r="R788" s="22" t="str">
        <x:f>O788&amp;P788&amp;Q788</x:f>
        <x:v>111</x:v>
      </x:c>
      <x:c r="S788" s="19" t="n">
        <x:f>IF(I788=1,IF(J788=0,Q788,IF(J788=1,P788,IF(J788=2,O788,0))),0)</x:f>
        <x:v>1</x:v>
      </x:c>
      <x:c r="T788" s="19" t="n">
        <x:f>K788+IF(AND(S788=1,J788=0),1,0)</x:f>
        <x:v>1</x:v>
      </x:c>
      <x:c r="U788" s="19" t="n">
        <x:f>L788+IF(AND(S788=1,J788=1),1,0)</x:f>
        <x:v>3</x:v>
      </x:c>
      <x:c r="V788" s="19" t="n">
        <x:f>M788+IF(AND(S788=1,J788=2),1,0)</x:f>
        <x:v>0</x:v>
      </x:c>
      <x:c r="W788" s="19" t="n">
        <x:f>SUM(T788:V788)</x:f>
        <x:v>4</x:v>
      </x:c>
      <x:c r="X788" s="19" t="n">
        <x:f>W788-G788</x:f>
        <x:v>0</x:v>
      </x:c>
      <x:c r="Y788" s="19" t="n">
        <x:f>MAX(T788,1)+MAX(U788,1)+MAX(V788,1)</x:f>
        <x:v>5</x:v>
      </x:c>
      <x:c r="Z788" s="21" t="str">
        <x:f>IF(AND(MIN(D788:F788)&gt;=0,MAX(D788:F788)&lt;=7,MAX(D788,1)+MAX(E788,1)+MAX(F788,1)&lt;=9,OR(H788="-",AND(H788=0,D788&gt;0),AND(H788=1,E788&gt;0),AND(H788=2,F788&gt;0)),OR(I788=0,AND(I788=1,OR(J788=0,J788=1,J788=2),R788&lt;&gt;"000")),Y788&lt;=9,MIN(T788:V788)&gt;=0),"合法","输入违约")</x:f>
        <x:v>合法</x:v>
      </x:c>
    </x:row>
    <x:row r="789" ht="23" customHeight="1">
      <x:c r="A789" s="3" t="str">
        <x:v>CT-0782</x:v>
      </x:c>
      <x:c r="B789" s="3" t="str">
        <x:v>ST-029</x:v>
      </x:c>
      <x:c r="C789" s="3" t="str">
        <x:v>R+AR同收同发</x:v>
      </x:c>
      <x:c r="D789" s="25" t="n">
        <x:v>1</x:v>
      </x:c>
      <x:c r="E789" s="25" t="n">
        <x:v>3</x:v>
      </x:c>
      <x:c r="F789" s="25" t="n">
        <x:v>0</x:v>
      </x:c>
      <x:c r="G789" s="19" t="n">
        <x:f>SUM(D789:F789)</x:f>
        <x:v>4</x:v>
      </x:c>
      <x:c r="H789" s="25" t="n">
        <x:v>1</x:v>
      </x:c>
      <x:c r="I789" s="25" t="n">
        <x:v>1</x:v>
      </x:c>
      <x:c r="J789" s="25" t="n">
        <x:v>2</x:v>
      </x:c>
      <x:c r="K789" s="19" t="n">
        <x:f>D789-IF(H789=0,1,0)</x:f>
        <x:v>1</x:v>
      </x:c>
      <x:c r="L789" s="19" t="n">
        <x:f>E789-IF(H789=1,1,0)</x:f>
        <x:v>2</x:v>
      </x:c>
      <x:c r="M789" s="19" t="n">
        <x:f>F789-IF(H789=2,1,0)</x:f>
        <x:v>0</x:v>
      </x:c>
      <x:c r="N789" s="19" t="n">
        <x:f>MAX(K789-1,0)+MAX(L789-1,0)+MAX(M789-1,0)</x:f>
        <x:v>1</x:v>
      </x:c>
      <x:c r="O789" s="19" t="n">
        <x:f>IF(AND(SUM(K789:M789)&lt;9,OR(M789=0,N789&lt;6)),1,0)</x:f>
        <x:v>1</x:v>
      </x:c>
      <x:c r="P789" s="19" t="n">
        <x:f>IF(AND(SUM(K789:M789)&lt;9,OR(L789=0,N789&lt;6)),1,0)</x:f>
        <x:v>1</x:v>
      </x:c>
      <x:c r="Q789" s="19" t="n">
        <x:f>IF(AND(SUM(K789:M789)&lt;9,OR(K789=0,N789&lt;6)),1,0)</x:f>
        <x:v>1</x:v>
      </x:c>
      <x:c r="R789" s="22" t="str">
        <x:f>O789&amp;P789&amp;Q789</x:f>
        <x:v>111</x:v>
      </x:c>
      <x:c r="S789" s="19" t="n">
        <x:f>IF(I789=1,IF(J789=0,Q789,IF(J789=1,P789,IF(J789=2,O789,0))),0)</x:f>
        <x:v>1</x:v>
      </x:c>
      <x:c r="T789" s="19" t="n">
        <x:f>K789+IF(AND(S789=1,J789=0),1,0)</x:f>
        <x:v>1</x:v>
      </x:c>
      <x:c r="U789" s="19" t="n">
        <x:f>L789+IF(AND(S789=1,J789=1),1,0)</x:f>
        <x:v>2</x:v>
      </x:c>
      <x:c r="V789" s="19" t="n">
        <x:f>M789+IF(AND(S789=1,J789=2),1,0)</x:f>
        <x:v>1</x:v>
      </x:c>
      <x:c r="W789" s="19" t="n">
        <x:f>SUM(T789:V789)</x:f>
        <x:v>4</x:v>
      </x:c>
      <x:c r="X789" s="19" t="n">
        <x:f>W789-G789</x:f>
        <x:v>0</x:v>
      </x:c>
      <x:c r="Y789" s="19" t="n">
        <x:f>MAX(T789,1)+MAX(U789,1)+MAX(V789,1)</x:f>
        <x:v>4</x:v>
      </x:c>
      <x:c r="Z789" s="21" t="str">
        <x:f>IF(AND(MIN(D789:F789)&gt;=0,MAX(D789:F789)&lt;=7,MAX(D789,1)+MAX(E789,1)+MAX(F789,1)&lt;=9,OR(H789="-",AND(H789=0,D789&gt;0),AND(H789=1,E789&gt;0),AND(H789=2,F789&gt;0)),OR(I789=0,AND(I789=1,OR(J789=0,J789=1,J789=2),R789&lt;&gt;"000")),Y789&lt;=9,MIN(T789:V789)&gt;=0),"合法","输入违约")</x:f>
        <x:v>合法</x:v>
      </x:c>
    </x:row>
    <x:row r="790" ht="23" customHeight="1">
      <x:c r="A790" s="3" t="str">
        <x:v>CT-0783</x:v>
      </x:c>
      <x:c r="B790" s="3" t="str">
        <x:v>ST-045</x:v>
      </x:c>
      <x:c r="C790" s="3" t="str">
        <x:v>无AR/R</x:v>
      </x:c>
      <x:c r="D790" s="25" t="n">
        <x:v>1</x:v>
      </x:c>
      <x:c r="E790" s="25" t="n">
        <x:v>3</x:v>
      </x:c>
      <x:c r="F790" s="25" t="n">
        <x:v>1</x:v>
      </x:c>
      <x:c r="G790" s="19" t="n">
        <x:f>SUM(D790:F790)</x:f>
        <x:v>5</x:v>
      </x:c>
      <x:c r="H790" s="25" t="str">
        <x:v>-</x:v>
      </x:c>
      <x:c r="I790" s="25" t="n">
        <x:v>0</x:v>
      </x:c>
      <x:c r="J790" s="25" t="str">
        <x:v>-</x:v>
      </x:c>
      <x:c r="K790" s="19" t="n">
        <x:f>D790-IF(H790=0,1,0)</x:f>
        <x:v>1</x:v>
      </x:c>
      <x:c r="L790" s="19" t="n">
        <x:f>E790-IF(H790=1,1,0)</x:f>
        <x:v>3</x:v>
      </x:c>
      <x:c r="M790" s="19" t="n">
        <x:f>F790-IF(H790=2,1,0)</x:f>
        <x:v>1</x:v>
      </x:c>
      <x:c r="N790" s="19" t="n">
        <x:f>MAX(K790-1,0)+MAX(L790-1,0)+MAX(M790-1,0)</x:f>
        <x:v>2</x:v>
      </x:c>
      <x:c r="O790" s="19" t="n">
        <x:f>IF(AND(SUM(K790:M790)&lt;9,OR(M790=0,N790&lt;6)),1,0)</x:f>
        <x:v>1</x:v>
      </x:c>
      <x:c r="P790" s="19" t="n">
        <x:f>IF(AND(SUM(K790:M790)&lt;9,OR(L790=0,N790&lt;6)),1,0)</x:f>
        <x:v>1</x:v>
      </x:c>
      <x:c r="Q790" s="19" t="n">
        <x:f>IF(AND(SUM(K790:M790)&lt;9,OR(K790=0,N790&lt;6)),1,0)</x:f>
        <x:v>1</x:v>
      </x:c>
      <x:c r="R790" s="22" t="str">
        <x:f>O790&amp;P790&amp;Q790</x:f>
        <x:v>111</x:v>
      </x:c>
      <x:c r="S790" s="19" t="n">
        <x:f>IF(I790=1,IF(J790=0,Q790,IF(J790=1,P790,IF(J790=2,O790,0))),0)</x:f>
        <x:v>0</x:v>
      </x:c>
      <x:c r="T790" s="19" t="n">
        <x:f>K790+IF(AND(S790=1,J790=0),1,0)</x:f>
        <x:v>1</x:v>
      </x:c>
      <x:c r="U790" s="19" t="n">
        <x:f>L790+IF(AND(S790=1,J790=1),1,0)</x:f>
        <x:v>3</x:v>
      </x:c>
      <x:c r="V790" s="19" t="n">
        <x:f>M790+IF(AND(S790=1,J790=2),1,0)</x:f>
        <x:v>1</x:v>
      </x:c>
      <x:c r="W790" s="19" t="n">
        <x:f>SUM(T790:V790)</x:f>
        <x:v>5</x:v>
      </x:c>
      <x:c r="X790" s="19" t="n">
        <x:f>W790-G790</x:f>
        <x:v>0</x:v>
      </x:c>
      <x:c r="Y790" s="19" t="n">
        <x:f>MAX(T790,1)+MAX(U790,1)+MAX(V790,1)</x:f>
        <x:v>5</x:v>
      </x:c>
      <x:c r="Z790" s="21" t="str">
        <x:f>IF(AND(MIN(D790:F790)&gt;=0,MAX(D790:F790)&lt;=7,MAX(D790,1)+MAX(E790,1)+MAX(F790,1)&lt;=9,OR(H790="-",AND(H790=0,D790&gt;0),AND(H790=1,E790&gt;0),AND(H790=2,F790&gt;0)),OR(I790=0,AND(I790=1,OR(J790=0,J790=1,J790=2),R790&lt;&gt;"000")),Y790&lt;=9,MIN(T790:V790)&gt;=0),"合法","输入违约")</x:f>
        <x:v>合法</x:v>
      </x:c>
    </x:row>
    <x:row r="791" ht="23" customHeight="1">
      <x:c r="A791" s="3" t="str">
        <x:v>CT-0784</x:v>
      </x:c>
      <x:c r="B791" s="3" t="str">
        <x:v>ST-045</x:v>
      </x:c>
      <x:c r="C791" s="3" t="str">
        <x:v>仅AR接收</x:v>
      </x:c>
      <x:c r="D791" s="25" t="n">
        <x:v>1</x:v>
      </x:c>
      <x:c r="E791" s="25" t="n">
        <x:v>3</x:v>
      </x:c>
      <x:c r="F791" s="25" t="n">
        <x:v>1</x:v>
      </x:c>
      <x:c r="G791" s="19" t="n">
        <x:f>SUM(D791:F791)</x:f>
        <x:v>5</x:v>
      </x:c>
      <x:c r="H791" s="25" t="str">
        <x:v>-</x:v>
      </x:c>
      <x:c r="I791" s="25" t="n">
        <x:v>1</x:v>
      </x:c>
      <x:c r="J791" s="25" t="n">
        <x:v>0</x:v>
      </x:c>
      <x:c r="K791" s="19" t="n">
        <x:f>D791-IF(H791=0,1,0)</x:f>
        <x:v>1</x:v>
      </x:c>
      <x:c r="L791" s="19" t="n">
        <x:f>E791-IF(H791=1,1,0)</x:f>
        <x:v>3</x:v>
      </x:c>
      <x:c r="M791" s="19" t="n">
        <x:f>F791-IF(H791=2,1,0)</x:f>
        <x:v>1</x:v>
      </x:c>
      <x:c r="N791" s="19" t="n">
        <x:f>MAX(K791-1,0)+MAX(L791-1,0)+MAX(M791-1,0)</x:f>
        <x:v>2</x:v>
      </x:c>
      <x:c r="O791" s="19" t="n">
        <x:f>IF(AND(SUM(K791:M791)&lt;9,OR(M791=0,N791&lt;6)),1,0)</x:f>
        <x:v>1</x:v>
      </x:c>
      <x:c r="P791" s="19" t="n">
        <x:f>IF(AND(SUM(K791:M791)&lt;9,OR(L791=0,N791&lt;6)),1,0)</x:f>
        <x:v>1</x:v>
      </x:c>
      <x:c r="Q791" s="19" t="n">
        <x:f>IF(AND(SUM(K791:M791)&lt;9,OR(K791=0,N791&lt;6)),1,0)</x:f>
        <x:v>1</x:v>
      </x:c>
      <x:c r="R791" s="22" t="str">
        <x:f>O791&amp;P791&amp;Q791</x:f>
        <x:v>111</x:v>
      </x:c>
      <x:c r="S791" s="19" t="n">
        <x:f>IF(I791=1,IF(J791=0,Q791,IF(J791=1,P791,IF(J791=2,O791,0))),0)</x:f>
        <x:v>1</x:v>
      </x:c>
      <x:c r="T791" s="19" t="n">
        <x:f>K791+IF(AND(S791=1,J791=0),1,0)</x:f>
        <x:v>2</x:v>
      </x:c>
      <x:c r="U791" s="19" t="n">
        <x:f>L791+IF(AND(S791=1,J791=1),1,0)</x:f>
        <x:v>3</x:v>
      </x:c>
      <x:c r="V791" s="19" t="n">
        <x:f>M791+IF(AND(S791=1,J791=2),1,0)</x:f>
        <x:v>1</x:v>
      </x:c>
      <x:c r="W791" s="19" t="n">
        <x:f>SUM(T791:V791)</x:f>
        <x:v>6</x:v>
      </x:c>
      <x:c r="X791" s="19" t="n">
        <x:f>W791-G791</x:f>
        <x:v>1</x:v>
      </x:c>
      <x:c r="Y791" s="19" t="n">
        <x:f>MAX(T791,1)+MAX(U791,1)+MAX(V791,1)</x:f>
        <x:v>6</x:v>
      </x:c>
      <x:c r="Z791" s="21" t="str">
        <x:f>IF(AND(MIN(D791:F791)&gt;=0,MAX(D791:F791)&lt;=7,MAX(D791,1)+MAX(E791,1)+MAX(F791,1)&lt;=9,OR(H791="-",AND(H791=0,D791&gt;0),AND(H791=1,E791&gt;0),AND(H791=2,F791&gt;0)),OR(I791=0,AND(I791=1,OR(J791=0,J791=1,J791=2),R791&lt;&gt;"000")),Y791&lt;=9,MIN(T791:V791)&gt;=0),"合法","输入违约")</x:f>
        <x:v>合法</x:v>
      </x:c>
    </x:row>
    <x:row r="792" ht="23" customHeight="1">
      <x:c r="A792" s="3" t="str">
        <x:v>CT-0785</x:v>
      </x:c>
      <x:c r="B792" s="3" t="str">
        <x:v>ST-045</x:v>
      </x:c>
      <x:c r="C792" s="3" t="str">
        <x:v>仅AR接收</x:v>
      </x:c>
      <x:c r="D792" s="25" t="n">
        <x:v>1</x:v>
      </x:c>
      <x:c r="E792" s="25" t="n">
        <x:v>3</x:v>
      </x:c>
      <x:c r="F792" s="25" t="n">
        <x:v>1</x:v>
      </x:c>
      <x:c r="G792" s="19" t="n">
        <x:f>SUM(D792:F792)</x:f>
        <x:v>5</x:v>
      </x:c>
      <x:c r="H792" s="25" t="str">
        <x:v>-</x:v>
      </x:c>
      <x:c r="I792" s="25" t="n">
        <x:v>1</x:v>
      </x:c>
      <x:c r="J792" s="25" t="n">
        <x:v>1</x:v>
      </x:c>
      <x:c r="K792" s="19" t="n">
        <x:f>D792-IF(H792=0,1,0)</x:f>
        <x:v>1</x:v>
      </x:c>
      <x:c r="L792" s="19" t="n">
        <x:f>E792-IF(H792=1,1,0)</x:f>
        <x:v>3</x:v>
      </x:c>
      <x:c r="M792" s="19" t="n">
        <x:f>F792-IF(H792=2,1,0)</x:f>
        <x:v>1</x:v>
      </x:c>
      <x:c r="N792" s="19" t="n">
        <x:f>MAX(K792-1,0)+MAX(L792-1,0)+MAX(M792-1,0)</x:f>
        <x:v>2</x:v>
      </x:c>
      <x:c r="O792" s="19" t="n">
        <x:f>IF(AND(SUM(K792:M792)&lt;9,OR(M792=0,N792&lt;6)),1,0)</x:f>
        <x:v>1</x:v>
      </x:c>
      <x:c r="P792" s="19" t="n">
        <x:f>IF(AND(SUM(K792:M792)&lt;9,OR(L792=0,N792&lt;6)),1,0)</x:f>
        <x:v>1</x:v>
      </x:c>
      <x:c r="Q792" s="19" t="n">
        <x:f>IF(AND(SUM(K792:M792)&lt;9,OR(K792=0,N792&lt;6)),1,0)</x:f>
        <x:v>1</x:v>
      </x:c>
      <x:c r="R792" s="22" t="str">
        <x:f>O792&amp;P792&amp;Q792</x:f>
        <x:v>111</x:v>
      </x:c>
      <x:c r="S792" s="19" t="n">
        <x:f>IF(I792=1,IF(J792=0,Q792,IF(J792=1,P792,IF(J792=2,O792,0))),0)</x:f>
        <x:v>1</x:v>
      </x:c>
      <x:c r="T792" s="19" t="n">
        <x:f>K792+IF(AND(S792=1,J792=0),1,0)</x:f>
        <x:v>1</x:v>
      </x:c>
      <x:c r="U792" s="19" t="n">
        <x:f>L792+IF(AND(S792=1,J792=1),1,0)</x:f>
        <x:v>4</x:v>
      </x:c>
      <x:c r="V792" s="19" t="n">
        <x:f>M792+IF(AND(S792=1,J792=2),1,0)</x:f>
        <x:v>1</x:v>
      </x:c>
      <x:c r="W792" s="19" t="n">
        <x:f>SUM(T792:V792)</x:f>
        <x:v>6</x:v>
      </x:c>
      <x:c r="X792" s="19" t="n">
        <x:f>W792-G792</x:f>
        <x:v>1</x:v>
      </x:c>
      <x:c r="Y792" s="19" t="n">
        <x:f>MAX(T792,1)+MAX(U792,1)+MAX(V792,1)</x:f>
        <x:v>6</x:v>
      </x:c>
      <x:c r="Z792" s="21" t="str">
        <x:f>IF(AND(MIN(D792:F792)&gt;=0,MAX(D792:F792)&lt;=7,MAX(D792,1)+MAX(E792,1)+MAX(F792,1)&lt;=9,OR(H792="-",AND(H792=0,D792&gt;0),AND(H792=1,E792&gt;0),AND(H792=2,F792&gt;0)),OR(I792=0,AND(I792=1,OR(J792=0,J792=1,J792=2),R792&lt;&gt;"000")),Y792&lt;=9,MIN(T792:V792)&gt;=0),"合法","输入违约")</x:f>
        <x:v>合法</x:v>
      </x:c>
    </x:row>
    <x:row r="793" ht="23" customHeight="1">
      <x:c r="A793" s="3" t="str">
        <x:v>CT-0786</x:v>
      </x:c>
      <x:c r="B793" s="3" t="str">
        <x:v>ST-045</x:v>
      </x:c>
      <x:c r="C793" s="3" t="str">
        <x:v>仅AR接收</x:v>
      </x:c>
      <x:c r="D793" s="25" t="n">
        <x:v>1</x:v>
      </x:c>
      <x:c r="E793" s="25" t="n">
        <x:v>3</x:v>
      </x:c>
      <x:c r="F793" s="25" t="n">
        <x:v>1</x:v>
      </x:c>
      <x:c r="G793" s="19" t="n">
        <x:f>SUM(D793:F793)</x:f>
        <x:v>5</x:v>
      </x:c>
      <x:c r="H793" s="25" t="str">
        <x:v>-</x:v>
      </x:c>
      <x:c r="I793" s="25" t="n">
        <x:v>1</x:v>
      </x:c>
      <x:c r="J793" s="25" t="n">
        <x:v>2</x:v>
      </x:c>
      <x:c r="K793" s="19" t="n">
        <x:f>D793-IF(H793=0,1,0)</x:f>
        <x:v>1</x:v>
      </x:c>
      <x:c r="L793" s="19" t="n">
        <x:f>E793-IF(H793=1,1,0)</x:f>
        <x:v>3</x:v>
      </x:c>
      <x:c r="M793" s="19" t="n">
        <x:f>F793-IF(H793=2,1,0)</x:f>
        <x:v>1</x:v>
      </x:c>
      <x:c r="N793" s="19" t="n">
        <x:f>MAX(K793-1,0)+MAX(L793-1,0)+MAX(M793-1,0)</x:f>
        <x:v>2</x:v>
      </x:c>
      <x:c r="O793" s="19" t="n">
        <x:f>IF(AND(SUM(K793:M793)&lt;9,OR(M793=0,N793&lt;6)),1,0)</x:f>
        <x:v>1</x:v>
      </x:c>
      <x:c r="P793" s="19" t="n">
        <x:f>IF(AND(SUM(K793:M793)&lt;9,OR(L793=0,N793&lt;6)),1,0)</x:f>
        <x:v>1</x:v>
      </x:c>
      <x:c r="Q793" s="19" t="n">
        <x:f>IF(AND(SUM(K793:M793)&lt;9,OR(K793=0,N793&lt;6)),1,0)</x:f>
        <x:v>1</x:v>
      </x:c>
      <x:c r="R793" s="22" t="str">
        <x:f>O793&amp;P793&amp;Q793</x:f>
        <x:v>111</x:v>
      </x:c>
      <x:c r="S793" s="19" t="n">
        <x:f>IF(I793=1,IF(J793=0,Q793,IF(J793=1,P793,IF(J793=2,O793,0))),0)</x:f>
        <x:v>1</x:v>
      </x:c>
      <x:c r="T793" s="19" t="n">
        <x:f>K793+IF(AND(S793=1,J793=0),1,0)</x:f>
        <x:v>1</x:v>
      </x:c>
      <x:c r="U793" s="19" t="n">
        <x:f>L793+IF(AND(S793=1,J793=1),1,0)</x:f>
        <x:v>3</x:v>
      </x:c>
      <x:c r="V793" s="19" t="n">
        <x:f>M793+IF(AND(S793=1,J793=2),1,0)</x:f>
        <x:v>2</x:v>
      </x:c>
      <x:c r="W793" s="19" t="n">
        <x:f>SUM(T793:V793)</x:f>
        <x:v>6</x:v>
      </x:c>
      <x:c r="X793" s="19" t="n">
        <x:f>W793-G793</x:f>
        <x:v>1</x:v>
      </x:c>
      <x:c r="Y793" s="19" t="n">
        <x:f>MAX(T793,1)+MAX(U793,1)+MAX(V793,1)</x:f>
        <x:v>6</x:v>
      </x:c>
      <x:c r="Z793" s="21" t="str">
        <x:f>IF(AND(MIN(D793:F793)&gt;=0,MAX(D793:F793)&lt;=7,MAX(D793,1)+MAX(E793,1)+MAX(F793,1)&lt;=9,OR(H793="-",AND(H793=0,D793&gt;0),AND(H793=1,E793&gt;0),AND(H793=2,F793&gt;0)),OR(I793=0,AND(I793=1,OR(J793=0,J793=1,J793=2),R793&lt;&gt;"000")),Y793&lt;=9,MIN(T793:V793)&gt;=0),"合法","输入违约")</x:f>
        <x:v>合法</x:v>
      </x:c>
    </x:row>
    <x:row r="794" ht="23" customHeight="1">
      <x:c r="A794" s="3" t="str">
        <x:v>CT-0787</x:v>
      </x:c>
      <x:c r="B794" s="3" t="str">
        <x:v>ST-045</x:v>
      </x:c>
      <x:c r="C794" s="3" t="str">
        <x:v>仅R回收</x:v>
      </x:c>
      <x:c r="D794" s="25" t="n">
        <x:v>1</x:v>
      </x:c>
      <x:c r="E794" s="25" t="n">
        <x:v>3</x:v>
      </x:c>
      <x:c r="F794" s="25" t="n">
        <x:v>1</x:v>
      </x:c>
      <x:c r="G794" s="19" t="n">
        <x:f>SUM(D794:F794)</x:f>
        <x:v>5</x:v>
      </x:c>
      <x:c r="H794" s="25" t="n">
        <x:v>0</x:v>
      </x:c>
      <x:c r="I794" s="25" t="n">
        <x:v>0</x:v>
      </x:c>
      <x:c r="J794" s="25" t="str">
        <x:v>-</x:v>
      </x:c>
      <x:c r="K794" s="19" t="n">
        <x:f>D794-IF(H794=0,1,0)</x:f>
        <x:v>0</x:v>
      </x:c>
      <x:c r="L794" s="19" t="n">
        <x:f>E794-IF(H794=1,1,0)</x:f>
        <x:v>3</x:v>
      </x:c>
      <x:c r="M794" s="19" t="n">
        <x:f>F794-IF(H794=2,1,0)</x:f>
        <x:v>1</x:v>
      </x:c>
      <x:c r="N794" s="19" t="n">
        <x:f>MAX(K794-1,0)+MAX(L794-1,0)+MAX(M794-1,0)</x:f>
        <x:v>2</x:v>
      </x:c>
      <x:c r="O794" s="19" t="n">
        <x:f>IF(AND(SUM(K794:M794)&lt;9,OR(M794=0,N794&lt;6)),1,0)</x:f>
        <x:v>1</x:v>
      </x:c>
      <x:c r="P794" s="19" t="n">
        <x:f>IF(AND(SUM(K794:M794)&lt;9,OR(L794=0,N794&lt;6)),1,0)</x:f>
        <x:v>1</x:v>
      </x:c>
      <x:c r="Q794" s="19" t="n">
        <x:f>IF(AND(SUM(K794:M794)&lt;9,OR(K794=0,N794&lt;6)),1,0)</x:f>
        <x:v>1</x:v>
      </x:c>
      <x:c r="R794" s="22" t="str">
        <x:f>O794&amp;P794&amp;Q794</x:f>
        <x:v>111</x:v>
      </x:c>
      <x:c r="S794" s="19" t="n">
        <x:f>IF(I794=1,IF(J794=0,Q794,IF(J794=1,P794,IF(J794=2,O794,0))),0)</x:f>
        <x:v>0</x:v>
      </x:c>
      <x:c r="T794" s="19" t="n">
        <x:f>K794+IF(AND(S794=1,J794=0),1,0)</x:f>
        <x:v>0</x:v>
      </x:c>
      <x:c r="U794" s="19" t="n">
        <x:f>L794+IF(AND(S794=1,J794=1),1,0)</x:f>
        <x:v>3</x:v>
      </x:c>
      <x:c r="V794" s="19" t="n">
        <x:f>M794+IF(AND(S794=1,J794=2),1,0)</x:f>
        <x:v>1</x:v>
      </x:c>
      <x:c r="W794" s="19" t="n">
        <x:f>SUM(T794:V794)</x:f>
        <x:v>4</x:v>
      </x:c>
      <x:c r="X794" s="19" t="n">
        <x:f>W794-G794</x:f>
        <x:v>-1</x:v>
      </x:c>
      <x:c r="Y794" s="19" t="n">
        <x:f>MAX(T794,1)+MAX(U794,1)+MAX(V794,1)</x:f>
        <x:v>5</x:v>
      </x:c>
      <x:c r="Z794" s="21" t="str">
        <x:f>IF(AND(MIN(D794:F794)&gt;=0,MAX(D794:F794)&lt;=7,MAX(D794,1)+MAX(E794,1)+MAX(F794,1)&lt;=9,OR(H794="-",AND(H794=0,D794&gt;0),AND(H794=1,E794&gt;0),AND(H794=2,F794&gt;0)),OR(I794=0,AND(I794=1,OR(J794=0,J794=1,J794=2),R794&lt;&gt;"000")),Y794&lt;=9,MIN(T794:V794)&gt;=0),"合法","输入违约")</x:f>
        <x:v>合法</x:v>
      </x:c>
    </x:row>
    <x:row r="795" ht="23" customHeight="1">
      <x:c r="A795" s="3" t="str">
        <x:v>CT-0788</x:v>
      </x:c>
      <x:c r="B795" s="3" t="str">
        <x:v>ST-045</x:v>
      </x:c>
      <x:c r="C795" s="3" t="str">
        <x:v>R+AR同收同发</x:v>
      </x:c>
      <x:c r="D795" s="25" t="n">
        <x:v>1</x:v>
      </x:c>
      <x:c r="E795" s="25" t="n">
        <x:v>3</x:v>
      </x:c>
      <x:c r="F795" s="25" t="n">
        <x:v>1</x:v>
      </x:c>
      <x:c r="G795" s="19" t="n">
        <x:f>SUM(D795:F795)</x:f>
        <x:v>5</x:v>
      </x:c>
      <x:c r="H795" s="25" t="n">
        <x:v>0</x:v>
      </x:c>
      <x:c r="I795" s="25" t="n">
        <x:v>1</x:v>
      </x:c>
      <x:c r="J795" s="25" t="n">
        <x:v>0</x:v>
      </x:c>
      <x:c r="K795" s="19" t="n">
        <x:f>D795-IF(H795=0,1,0)</x:f>
        <x:v>0</x:v>
      </x:c>
      <x:c r="L795" s="19" t="n">
        <x:f>E795-IF(H795=1,1,0)</x:f>
        <x:v>3</x:v>
      </x:c>
      <x:c r="M795" s="19" t="n">
        <x:f>F795-IF(H795=2,1,0)</x:f>
        <x:v>1</x:v>
      </x:c>
      <x:c r="N795" s="19" t="n">
        <x:f>MAX(K795-1,0)+MAX(L795-1,0)+MAX(M795-1,0)</x:f>
        <x:v>2</x:v>
      </x:c>
      <x:c r="O795" s="19" t="n">
        <x:f>IF(AND(SUM(K795:M795)&lt;9,OR(M795=0,N795&lt;6)),1,0)</x:f>
        <x:v>1</x:v>
      </x:c>
      <x:c r="P795" s="19" t="n">
        <x:f>IF(AND(SUM(K795:M795)&lt;9,OR(L795=0,N795&lt;6)),1,0)</x:f>
        <x:v>1</x:v>
      </x:c>
      <x:c r="Q795" s="19" t="n">
        <x:f>IF(AND(SUM(K795:M795)&lt;9,OR(K795=0,N795&lt;6)),1,0)</x:f>
        <x:v>1</x:v>
      </x:c>
      <x:c r="R795" s="22" t="str">
        <x:f>O795&amp;P795&amp;Q795</x:f>
        <x:v>111</x:v>
      </x:c>
      <x:c r="S795" s="19" t="n">
        <x:f>IF(I795=1,IF(J795=0,Q795,IF(J795=1,P795,IF(J795=2,O795,0))),0)</x:f>
        <x:v>1</x:v>
      </x:c>
      <x:c r="T795" s="19" t="n">
        <x:f>K795+IF(AND(S795=1,J795=0),1,0)</x:f>
        <x:v>1</x:v>
      </x:c>
      <x:c r="U795" s="19" t="n">
        <x:f>L795+IF(AND(S795=1,J795=1),1,0)</x:f>
        <x:v>3</x:v>
      </x:c>
      <x:c r="V795" s="19" t="n">
        <x:f>M795+IF(AND(S795=1,J795=2),1,0)</x:f>
        <x:v>1</x:v>
      </x:c>
      <x:c r="W795" s="19" t="n">
        <x:f>SUM(T795:V795)</x:f>
        <x:v>5</x:v>
      </x:c>
      <x:c r="X795" s="19" t="n">
        <x:f>W795-G795</x:f>
        <x:v>0</x:v>
      </x:c>
      <x:c r="Y795" s="19" t="n">
        <x:f>MAX(T795,1)+MAX(U795,1)+MAX(V795,1)</x:f>
        <x:v>5</x:v>
      </x:c>
      <x:c r="Z795" s="21" t="str">
        <x:f>IF(AND(MIN(D795:F795)&gt;=0,MAX(D795:F795)&lt;=7,MAX(D795,1)+MAX(E795,1)+MAX(F795,1)&lt;=9,OR(H795="-",AND(H795=0,D795&gt;0),AND(H795=1,E795&gt;0),AND(H795=2,F795&gt;0)),OR(I795=0,AND(I795=1,OR(J795=0,J795=1,J795=2),R795&lt;&gt;"000")),Y795&lt;=9,MIN(T795:V795)&gt;=0),"合法","输入违约")</x:f>
        <x:v>合法</x:v>
      </x:c>
    </x:row>
    <x:row r="796" ht="23" customHeight="1">
      <x:c r="A796" s="3" t="str">
        <x:v>CT-0789</x:v>
      </x:c>
      <x:c r="B796" s="3" t="str">
        <x:v>ST-045</x:v>
      </x:c>
      <x:c r="C796" s="3" t="str">
        <x:v>R+AR同收同发</x:v>
      </x:c>
      <x:c r="D796" s="25" t="n">
        <x:v>1</x:v>
      </x:c>
      <x:c r="E796" s="25" t="n">
        <x:v>3</x:v>
      </x:c>
      <x:c r="F796" s="25" t="n">
        <x:v>1</x:v>
      </x:c>
      <x:c r="G796" s="19" t="n">
        <x:f>SUM(D796:F796)</x:f>
        <x:v>5</x:v>
      </x:c>
      <x:c r="H796" s="25" t="n">
        <x:v>0</x:v>
      </x:c>
      <x:c r="I796" s="25" t="n">
        <x:v>1</x:v>
      </x:c>
      <x:c r="J796" s="25" t="n">
        <x:v>1</x:v>
      </x:c>
      <x:c r="K796" s="19" t="n">
        <x:f>D796-IF(H796=0,1,0)</x:f>
        <x:v>0</x:v>
      </x:c>
      <x:c r="L796" s="19" t="n">
        <x:f>E796-IF(H796=1,1,0)</x:f>
        <x:v>3</x:v>
      </x:c>
      <x:c r="M796" s="19" t="n">
        <x:f>F796-IF(H796=2,1,0)</x:f>
        <x:v>1</x:v>
      </x:c>
      <x:c r="N796" s="19" t="n">
        <x:f>MAX(K796-1,0)+MAX(L796-1,0)+MAX(M796-1,0)</x:f>
        <x:v>2</x:v>
      </x:c>
      <x:c r="O796" s="19" t="n">
        <x:f>IF(AND(SUM(K796:M796)&lt;9,OR(M796=0,N796&lt;6)),1,0)</x:f>
        <x:v>1</x:v>
      </x:c>
      <x:c r="P796" s="19" t="n">
        <x:f>IF(AND(SUM(K796:M796)&lt;9,OR(L796=0,N796&lt;6)),1,0)</x:f>
        <x:v>1</x:v>
      </x:c>
      <x:c r="Q796" s="19" t="n">
        <x:f>IF(AND(SUM(K796:M796)&lt;9,OR(K796=0,N796&lt;6)),1,0)</x:f>
        <x:v>1</x:v>
      </x:c>
      <x:c r="R796" s="22" t="str">
        <x:f>O796&amp;P796&amp;Q796</x:f>
        <x:v>111</x:v>
      </x:c>
      <x:c r="S796" s="19" t="n">
        <x:f>IF(I796=1,IF(J796=0,Q796,IF(J796=1,P796,IF(J796=2,O796,0))),0)</x:f>
        <x:v>1</x:v>
      </x:c>
      <x:c r="T796" s="19" t="n">
        <x:f>K796+IF(AND(S796=1,J796=0),1,0)</x:f>
        <x:v>0</x:v>
      </x:c>
      <x:c r="U796" s="19" t="n">
        <x:f>L796+IF(AND(S796=1,J796=1),1,0)</x:f>
        <x:v>4</x:v>
      </x:c>
      <x:c r="V796" s="19" t="n">
        <x:f>M796+IF(AND(S796=1,J796=2),1,0)</x:f>
        <x:v>1</x:v>
      </x:c>
      <x:c r="W796" s="19" t="n">
        <x:f>SUM(T796:V796)</x:f>
        <x:v>5</x:v>
      </x:c>
      <x:c r="X796" s="19" t="n">
        <x:f>W796-G796</x:f>
        <x:v>0</x:v>
      </x:c>
      <x:c r="Y796" s="19" t="n">
        <x:f>MAX(T796,1)+MAX(U796,1)+MAX(V796,1)</x:f>
        <x:v>6</x:v>
      </x:c>
      <x:c r="Z796" s="21" t="str">
        <x:f>IF(AND(MIN(D796:F796)&gt;=0,MAX(D796:F796)&lt;=7,MAX(D796,1)+MAX(E796,1)+MAX(F796,1)&lt;=9,OR(H796="-",AND(H796=0,D796&gt;0),AND(H796=1,E796&gt;0),AND(H796=2,F796&gt;0)),OR(I796=0,AND(I796=1,OR(J796=0,J796=1,J796=2),R796&lt;&gt;"000")),Y796&lt;=9,MIN(T796:V796)&gt;=0),"合法","输入违约")</x:f>
        <x:v>合法</x:v>
      </x:c>
    </x:row>
    <x:row r="797" ht="23" customHeight="1">
      <x:c r="A797" s="3" t="str">
        <x:v>CT-0790</x:v>
      </x:c>
      <x:c r="B797" s="3" t="str">
        <x:v>ST-045</x:v>
      </x:c>
      <x:c r="C797" s="3" t="str">
        <x:v>R+AR同收同发</x:v>
      </x:c>
      <x:c r="D797" s="25" t="n">
        <x:v>1</x:v>
      </x:c>
      <x:c r="E797" s="25" t="n">
        <x:v>3</x:v>
      </x:c>
      <x:c r="F797" s="25" t="n">
        <x:v>1</x:v>
      </x:c>
      <x:c r="G797" s="19" t="n">
        <x:f>SUM(D797:F797)</x:f>
        <x:v>5</x:v>
      </x:c>
      <x:c r="H797" s="25" t="n">
        <x:v>0</x:v>
      </x:c>
      <x:c r="I797" s="25" t="n">
        <x:v>1</x:v>
      </x:c>
      <x:c r="J797" s="25" t="n">
        <x:v>2</x:v>
      </x:c>
      <x:c r="K797" s="19" t="n">
        <x:f>D797-IF(H797=0,1,0)</x:f>
        <x:v>0</x:v>
      </x:c>
      <x:c r="L797" s="19" t="n">
        <x:f>E797-IF(H797=1,1,0)</x:f>
        <x:v>3</x:v>
      </x:c>
      <x:c r="M797" s="19" t="n">
        <x:f>F797-IF(H797=2,1,0)</x:f>
        <x:v>1</x:v>
      </x:c>
      <x:c r="N797" s="19" t="n">
        <x:f>MAX(K797-1,0)+MAX(L797-1,0)+MAX(M797-1,0)</x:f>
        <x:v>2</x:v>
      </x:c>
      <x:c r="O797" s="19" t="n">
        <x:f>IF(AND(SUM(K797:M797)&lt;9,OR(M797=0,N797&lt;6)),1,0)</x:f>
        <x:v>1</x:v>
      </x:c>
      <x:c r="P797" s="19" t="n">
        <x:f>IF(AND(SUM(K797:M797)&lt;9,OR(L797=0,N797&lt;6)),1,0)</x:f>
        <x:v>1</x:v>
      </x:c>
      <x:c r="Q797" s="19" t="n">
        <x:f>IF(AND(SUM(K797:M797)&lt;9,OR(K797=0,N797&lt;6)),1,0)</x:f>
        <x:v>1</x:v>
      </x:c>
      <x:c r="R797" s="22" t="str">
        <x:f>O797&amp;P797&amp;Q797</x:f>
        <x:v>111</x:v>
      </x:c>
      <x:c r="S797" s="19" t="n">
        <x:f>IF(I797=1,IF(J797=0,Q797,IF(J797=1,P797,IF(J797=2,O797,0))),0)</x:f>
        <x:v>1</x:v>
      </x:c>
      <x:c r="T797" s="19" t="n">
        <x:f>K797+IF(AND(S797=1,J797=0),1,0)</x:f>
        <x:v>0</x:v>
      </x:c>
      <x:c r="U797" s="19" t="n">
        <x:f>L797+IF(AND(S797=1,J797=1),1,0)</x:f>
        <x:v>3</x:v>
      </x:c>
      <x:c r="V797" s="19" t="n">
        <x:f>M797+IF(AND(S797=1,J797=2),1,0)</x:f>
        <x:v>2</x:v>
      </x:c>
      <x:c r="W797" s="19" t="n">
        <x:f>SUM(T797:V797)</x:f>
        <x:v>5</x:v>
      </x:c>
      <x:c r="X797" s="19" t="n">
        <x:f>W797-G797</x:f>
        <x:v>0</x:v>
      </x:c>
      <x:c r="Y797" s="19" t="n">
        <x:f>MAX(T797,1)+MAX(U797,1)+MAX(V797,1)</x:f>
        <x:v>6</x:v>
      </x:c>
      <x:c r="Z797" s="21" t="str">
        <x:f>IF(AND(MIN(D797:F797)&gt;=0,MAX(D797:F797)&lt;=7,MAX(D797,1)+MAX(E797,1)+MAX(F797,1)&lt;=9,OR(H797="-",AND(H797=0,D797&gt;0),AND(H797=1,E797&gt;0),AND(H797=2,F797&gt;0)),OR(I797=0,AND(I797=1,OR(J797=0,J797=1,J797=2),R797&lt;&gt;"000")),Y797&lt;=9,MIN(T797:V797)&gt;=0),"合法","输入违约")</x:f>
        <x:v>合法</x:v>
      </x:c>
    </x:row>
    <x:row r="798" ht="23" customHeight="1">
      <x:c r="A798" s="3" t="str">
        <x:v>CT-0791</x:v>
      </x:c>
      <x:c r="B798" s="3" t="str">
        <x:v>ST-045</x:v>
      </x:c>
      <x:c r="C798" s="3" t="str">
        <x:v>仅R回收</x:v>
      </x:c>
      <x:c r="D798" s="25" t="n">
        <x:v>1</x:v>
      </x:c>
      <x:c r="E798" s="25" t="n">
        <x:v>3</x:v>
      </x:c>
      <x:c r="F798" s="25" t="n">
        <x:v>1</x:v>
      </x:c>
      <x:c r="G798" s="19" t="n">
        <x:f>SUM(D798:F798)</x:f>
        <x:v>5</x:v>
      </x:c>
      <x:c r="H798" s="25" t="n">
        <x:v>1</x:v>
      </x:c>
      <x:c r="I798" s="25" t="n">
        <x:v>0</x:v>
      </x:c>
      <x:c r="J798" s="25" t="str">
        <x:v>-</x:v>
      </x:c>
      <x:c r="K798" s="19" t="n">
        <x:f>D798-IF(H798=0,1,0)</x:f>
        <x:v>1</x:v>
      </x:c>
      <x:c r="L798" s="19" t="n">
        <x:f>E798-IF(H798=1,1,0)</x:f>
        <x:v>2</x:v>
      </x:c>
      <x:c r="M798" s="19" t="n">
        <x:f>F798-IF(H798=2,1,0)</x:f>
        <x:v>1</x:v>
      </x:c>
      <x:c r="N798" s="19" t="n">
        <x:f>MAX(K798-1,0)+MAX(L798-1,0)+MAX(M798-1,0)</x:f>
        <x:v>1</x:v>
      </x:c>
      <x:c r="O798" s="19" t="n">
        <x:f>IF(AND(SUM(K798:M798)&lt;9,OR(M798=0,N798&lt;6)),1,0)</x:f>
        <x:v>1</x:v>
      </x:c>
      <x:c r="P798" s="19" t="n">
        <x:f>IF(AND(SUM(K798:M798)&lt;9,OR(L798=0,N798&lt;6)),1,0)</x:f>
        <x:v>1</x:v>
      </x:c>
      <x:c r="Q798" s="19" t="n">
        <x:f>IF(AND(SUM(K798:M798)&lt;9,OR(K798=0,N798&lt;6)),1,0)</x:f>
        <x:v>1</x:v>
      </x:c>
      <x:c r="R798" s="22" t="str">
        <x:f>O798&amp;P798&amp;Q798</x:f>
        <x:v>111</x:v>
      </x:c>
      <x:c r="S798" s="19" t="n">
        <x:f>IF(I798=1,IF(J798=0,Q798,IF(J798=1,P798,IF(J798=2,O798,0))),0)</x:f>
        <x:v>0</x:v>
      </x:c>
      <x:c r="T798" s="19" t="n">
        <x:f>K798+IF(AND(S798=1,J798=0),1,0)</x:f>
        <x:v>1</x:v>
      </x:c>
      <x:c r="U798" s="19" t="n">
        <x:f>L798+IF(AND(S798=1,J798=1),1,0)</x:f>
        <x:v>2</x:v>
      </x:c>
      <x:c r="V798" s="19" t="n">
        <x:f>M798+IF(AND(S798=1,J798=2),1,0)</x:f>
        <x:v>1</x:v>
      </x:c>
      <x:c r="W798" s="19" t="n">
        <x:f>SUM(T798:V798)</x:f>
        <x:v>4</x:v>
      </x:c>
      <x:c r="X798" s="19" t="n">
        <x:f>W798-G798</x:f>
        <x:v>-1</x:v>
      </x:c>
      <x:c r="Y798" s="19" t="n">
        <x:f>MAX(T798,1)+MAX(U798,1)+MAX(V798,1)</x:f>
        <x:v>4</x:v>
      </x:c>
      <x:c r="Z798" s="21" t="str">
        <x:f>IF(AND(MIN(D798:F798)&gt;=0,MAX(D798:F798)&lt;=7,MAX(D798,1)+MAX(E798,1)+MAX(F798,1)&lt;=9,OR(H798="-",AND(H798=0,D798&gt;0),AND(H798=1,E798&gt;0),AND(H798=2,F798&gt;0)),OR(I798=0,AND(I798=1,OR(J798=0,J798=1,J798=2),R798&lt;&gt;"000")),Y798&lt;=9,MIN(T798:V798)&gt;=0),"合法","输入违约")</x:f>
        <x:v>合法</x:v>
      </x:c>
    </x:row>
    <x:row r="799" ht="23" customHeight="1">
      <x:c r="A799" s="3" t="str">
        <x:v>CT-0792</x:v>
      </x:c>
      <x:c r="B799" s="3" t="str">
        <x:v>ST-045</x:v>
      </x:c>
      <x:c r="C799" s="3" t="str">
        <x:v>R+AR同收同发</x:v>
      </x:c>
      <x:c r="D799" s="25" t="n">
        <x:v>1</x:v>
      </x:c>
      <x:c r="E799" s="25" t="n">
        <x:v>3</x:v>
      </x:c>
      <x:c r="F799" s="25" t="n">
        <x:v>1</x:v>
      </x:c>
      <x:c r="G799" s="19" t="n">
        <x:f>SUM(D799:F799)</x:f>
        <x:v>5</x:v>
      </x:c>
      <x:c r="H799" s="25" t="n">
        <x:v>1</x:v>
      </x:c>
      <x:c r="I799" s="25" t="n">
        <x:v>1</x:v>
      </x:c>
      <x:c r="J799" s="25" t="n">
        <x:v>0</x:v>
      </x:c>
      <x:c r="K799" s="19" t="n">
        <x:f>D799-IF(H799=0,1,0)</x:f>
        <x:v>1</x:v>
      </x:c>
      <x:c r="L799" s="19" t="n">
        <x:f>E799-IF(H799=1,1,0)</x:f>
        <x:v>2</x:v>
      </x:c>
      <x:c r="M799" s="19" t="n">
        <x:f>F799-IF(H799=2,1,0)</x:f>
        <x:v>1</x:v>
      </x:c>
      <x:c r="N799" s="19" t="n">
        <x:f>MAX(K799-1,0)+MAX(L799-1,0)+MAX(M799-1,0)</x:f>
        <x:v>1</x:v>
      </x:c>
      <x:c r="O799" s="19" t="n">
        <x:f>IF(AND(SUM(K799:M799)&lt;9,OR(M799=0,N799&lt;6)),1,0)</x:f>
        <x:v>1</x:v>
      </x:c>
      <x:c r="P799" s="19" t="n">
        <x:f>IF(AND(SUM(K799:M799)&lt;9,OR(L799=0,N799&lt;6)),1,0)</x:f>
        <x:v>1</x:v>
      </x:c>
      <x:c r="Q799" s="19" t="n">
        <x:f>IF(AND(SUM(K799:M799)&lt;9,OR(K799=0,N799&lt;6)),1,0)</x:f>
        <x:v>1</x:v>
      </x:c>
      <x:c r="R799" s="22" t="str">
        <x:f>O799&amp;P799&amp;Q799</x:f>
        <x:v>111</x:v>
      </x:c>
      <x:c r="S799" s="19" t="n">
        <x:f>IF(I799=1,IF(J799=0,Q799,IF(J799=1,P799,IF(J799=2,O799,0))),0)</x:f>
        <x:v>1</x:v>
      </x:c>
      <x:c r="T799" s="19" t="n">
        <x:f>K799+IF(AND(S799=1,J799=0),1,0)</x:f>
        <x:v>2</x:v>
      </x:c>
      <x:c r="U799" s="19" t="n">
        <x:f>L799+IF(AND(S799=1,J799=1),1,0)</x:f>
        <x:v>2</x:v>
      </x:c>
      <x:c r="V799" s="19" t="n">
        <x:f>M799+IF(AND(S799=1,J799=2),1,0)</x:f>
        <x:v>1</x:v>
      </x:c>
      <x:c r="W799" s="19" t="n">
        <x:f>SUM(T799:V799)</x:f>
        <x:v>5</x:v>
      </x:c>
      <x:c r="X799" s="19" t="n">
        <x:f>W799-G799</x:f>
        <x:v>0</x:v>
      </x:c>
      <x:c r="Y799" s="19" t="n">
        <x:f>MAX(T799,1)+MAX(U799,1)+MAX(V799,1)</x:f>
        <x:v>5</x:v>
      </x:c>
      <x:c r="Z799" s="21" t="str">
        <x:f>IF(AND(MIN(D799:F799)&gt;=0,MAX(D799:F799)&lt;=7,MAX(D799,1)+MAX(E799,1)+MAX(F799,1)&lt;=9,OR(H799="-",AND(H799=0,D799&gt;0),AND(H799=1,E799&gt;0),AND(H799=2,F799&gt;0)),OR(I799=0,AND(I799=1,OR(J799=0,J799=1,J799=2),R799&lt;&gt;"000")),Y799&lt;=9,MIN(T799:V799)&gt;=0),"合法","输入违约")</x:f>
        <x:v>合法</x:v>
      </x:c>
    </x:row>
    <x:row r="800" ht="23" customHeight="1">
      <x:c r="A800" s="3" t="str">
        <x:v>CT-0793</x:v>
      </x:c>
      <x:c r="B800" s="3" t="str">
        <x:v>ST-045</x:v>
      </x:c>
      <x:c r="C800" s="3" t="str">
        <x:v>R+AR同收同发</x:v>
      </x:c>
      <x:c r="D800" s="25" t="n">
        <x:v>1</x:v>
      </x:c>
      <x:c r="E800" s="25" t="n">
        <x:v>3</x:v>
      </x:c>
      <x:c r="F800" s="25" t="n">
        <x:v>1</x:v>
      </x:c>
      <x:c r="G800" s="19" t="n">
        <x:f>SUM(D800:F800)</x:f>
        <x:v>5</x:v>
      </x:c>
      <x:c r="H800" s="25" t="n">
        <x:v>1</x:v>
      </x:c>
      <x:c r="I800" s="25" t="n">
        <x:v>1</x:v>
      </x:c>
      <x:c r="J800" s="25" t="n">
        <x:v>1</x:v>
      </x:c>
      <x:c r="K800" s="19" t="n">
        <x:f>D800-IF(H800=0,1,0)</x:f>
        <x:v>1</x:v>
      </x:c>
      <x:c r="L800" s="19" t="n">
        <x:f>E800-IF(H800=1,1,0)</x:f>
        <x:v>2</x:v>
      </x:c>
      <x:c r="M800" s="19" t="n">
        <x:f>F800-IF(H800=2,1,0)</x:f>
        <x:v>1</x:v>
      </x:c>
      <x:c r="N800" s="19" t="n">
        <x:f>MAX(K800-1,0)+MAX(L800-1,0)+MAX(M800-1,0)</x:f>
        <x:v>1</x:v>
      </x:c>
      <x:c r="O800" s="19" t="n">
        <x:f>IF(AND(SUM(K800:M800)&lt;9,OR(M800=0,N800&lt;6)),1,0)</x:f>
        <x:v>1</x:v>
      </x:c>
      <x:c r="P800" s="19" t="n">
        <x:f>IF(AND(SUM(K800:M800)&lt;9,OR(L800=0,N800&lt;6)),1,0)</x:f>
        <x:v>1</x:v>
      </x:c>
      <x:c r="Q800" s="19" t="n">
        <x:f>IF(AND(SUM(K800:M800)&lt;9,OR(K800=0,N800&lt;6)),1,0)</x:f>
        <x:v>1</x:v>
      </x:c>
      <x:c r="R800" s="22" t="str">
        <x:f>O800&amp;P800&amp;Q800</x:f>
        <x:v>111</x:v>
      </x:c>
      <x:c r="S800" s="19" t="n">
        <x:f>IF(I800=1,IF(J800=0,Q800,IF(J800=1,P800,IF(J800=2,O800,0))),0)</x:f>
        <x:v>1</x:v>
      </x:c>
      <x:c r="T800" s="19" t="n">
        <x:f>K800+IF(AND(S800=1,J800=0),1,0)</x:f>
        <x:v>1</x:v>
      </x:c>
      <x:c r="U800" s="19" t="n">
        <x:f>L800+IF(AND(S800=1,J800=1),1,0)</x:f>
        <x:v>3</x:v>
      </x:c>
      <x:c r="V800" s="19" t="n">
        <x:f>M800+IF(AND(S800=1,J800=2),1,0)</x:f>
        <x:v>1</x:v>
      </x:c>
      <x:c r="W800" s="19" t="n">
        <x:f>SUM(T800:V800)</x:f>
        <x:v>5</x:v>
      </x:c>
      <x:c r="X800" s="19" t="n">
        <x:f>W800-G800</x:f>
        <x:v>0</x:v>
      </x:c>
      <x:c r="Y800" s="19" t="n">
        <x:f>MAX(T800,1)+MAX(U800,1)+MAX(V800,1)</x:f>
        <x:v>5</x:v>
      </x:c>
      <x:c r="Z800" s="21" t="str">
        <x:f>IF(AND(MIN(D800:F800)&gt;=0,MAX(D800:F800)&lt;=7,MAX(D800,1)+MAX(E800,1)+MAX(F800,1)&lt;=9,OR(H800="-",AND(H800=0,D800&gt;0),AND(H800=1,E800&gt;0),AND(H800=2,F800&gt;0)),OR(I800=0,AND(I800=1,OR(J800=0,J800=1,J800=2),R800&lt;&gt;"000")),Y800&lt;=9,MIN(T800:V800)&gt;=0),"合法","输入违约")</x:f>
        <x:v>合法</x:v>
      </x:c>
    </x:row>
    <x:row r="801" ht="23" customHeight="1">
      <x:c r="A801" s="3" t="str">
        <x:v>CT-0794</x:v>
      </x:c>
      <x:c r="B801" s="3" t="str">
        <x:v>ST-045</x:v>
      </x:c>
      <x:c r="C801" s="3" t="str">
        <x:v>R+AR同收同发</x:v>
      </x:c>
      <x:c r="D801" s="25" t="n">
        <x:v>1</x:v>
      </x:c>
      <x:c r="E801" s="25" t="n">
        <x:v>3</x:v>
      </x:c>
      <x:c r="F801" s="25" t="n">
        <x:v>1</x:v>
      </x:c>
      <x:c r="G801" s="19" t="n">
        <x:f>SUM(D801:F801)</x:f>
        <x:v>5</x:v>
      </x:c>
      <x:c r="H801" s="25" t="n">
        <x:v>1</x:v>
      </x:c>
      <x:c r="I801" s="25" t="n">
        <x:v>1</x:v>
      </x:c>
      <x:c r="J801" s="25" t="n">
        <x:v>2</x:v>
      </x:c>
      <x:c r="K801" s="19" t="n">
        <x:f>D801-IF(H801=0,1,0)</x:f>
        <x:v>1</x:v>
      </x:c>
      <x:c r="L801" s="19" t="n">
        <x:f>E801-IF(H801=1,1,0)</x:f>
        <x:v>2</x:v>
      </x:c>
      <x:c r="M801" s="19" t="n">
        <x:f>F801-IF(H801=2,1,0)</x:f>
        <x:v>1</x:v>
      </x:c>
      <x:c r="N801" s="19" t="n">
        <x:f>MAX(K801-1,0)+MAX(L801-1,0)+MAX(M801-1,0)</x:f>
        <x:v>1</x:v>
      </x:c>
      <x:c r="O801" s="19" t="n">
        <x:f>IF(AND(SUM(K801:M801)&lt;9,OR(M801=0,N801&lt;6)),1,0)</x:f>
        <x:v>1</x:v>
      </x:c>
      <x:c r="P801" s="19" t="n">
        <x:f>IF(AND(SUM(K801:M801)&lt;9,OR(L801=0,N801&lt;6)),1,0)</x:f>
        <x:v>1</x:v>
      </x:c>
      <x:c r="Q801" s="19" t="n">
        <x:f>IF(AND(SUM(K801:M801)&lt;9,OR(K801=0,N801&lt;6)),1,0)</x:f>
        <x:v>1</x:v>
      </x:c>
      <x:c r="R801" s="22" t="str">
        <x:f>O801&amp;P801&amp;Q801</x:f>
        <x:v>111</x:v>
      </x:c>
      <x:c r="S801" s="19" t="n">
        <x:f>IF(I801=1,IF(J801=0,Q801,IF(J801=1,P801,IF(J801=2,O801,0))),0)</x:f>
        <x:v>1</x:v>
      </x:c>
      <x:c r="T801" s="19" t="n">
        <x:f>K801+IF(AND(S801=1,J801=0),1,0)</x:f>
        <x:v>1</x:v>
      </x:c>
      <x:c r="U801" s="19" t="n">
        <x:f>L801+IF(AND(S801=1,J801=1),1,0)</x:f>
        <x:v>2</x:v>
      </x:c>
      <x:c r="V801" s="19" t="n">
        <x:f>M801+IF(AND(S801=1,J801=2),1,0)</x:f>
        <x:v>2</x:v>
      </x:c>
      <x:c r="W801" s="19" t="n">
        <x:f>SUM(T801:V801)</x:f>
        <x:v>5</x:v>
      </x:c>
      <x:c r="X801" s="19" t="n">
        <x:f>W801-G801</x:f>
        <x:v>0</x:v>
      </x:c>
      <x:c r="Y801" s="19" t="n">
        <x:f>MAX(T801,1)+MAX(U801,1)+MAX(V801,1)</x:f>
        <x:v>5</x:v>
      </x:c>
      <x:c r="Z801" s="21" t="str">
        <x:f>IF(AND(MIN(D801:F801)&gt;=0,MAX(D801:F801)&lt;=7,MAX(D801,1)+MAX(E801,1)+MAX(F801,1)&lt;=9,OR(H801="-",AND(H801=0,D801&gt;0),AND(H801=1,E801&gt;0),AND(H801=2,F801&gt;0)),OR(I801=0,AND(I801=1,OR(J801=0,J801=1,J801=2),R801&lt;&gt;"000")),Y801&lt;=9,MIN(T801:V801)&gt;=0),"合法","输入违约")</x:f>
        <x:v>合法</x:v>
      </x:c>
    </x:row>
    <x:row r="802" ht="23" customHeight="1">
      <x:c r="A802" s="3" t="str">
        <x:v>CT-0795</x:v>
      </x:c>
      <x:c r="B802" s="3" t="str">
        <x:v>ST-045</x:v>
      </x:c>
      <x:c r="C802" s="3" t="str">
        <x:v>仅R回收</x:v>
      </x:c>
      <x:c r="D802" s="25" t="n">
        <x:v>1</x:v>
      </x:c>
      <x:c r="E802" s="25" t="n">
        <x:v>3</x:v>
      </x:c>
      <x:c r="F802" s="25" t="n">
        <x:v>1</x:v>
      </x:c>
      <x:c r="G802" s="19" t="n">
        <x:f>SUM(D802:F802)</x:f>
        <x:v>5</x:v>
      </x:c>
      <x:c r="H802" s="25" t="n">
        <x:v>2</x:v>
      </x:c>
      <x:c r="I802" s="25" t="n">
        <x:v>0</x:v>
      </x:c>
      <x:c r="J802" s="25" t="str">
        <x:v>-</x:v>
      </x:c>
      <x:c r="K802" s="19" t="n">
        <x:f>D802-IF(H802=0,1,0)</x:f>
        <x:v>1</x:v>
      </x:c>
      <x:c r="L802" s="19" t="n">
        <x:f>E802-IF(H802=1,1,0)</x:f>
        <x:v>3</x:v>
      </x:c>
      <x:c r="M802" s="19" t="n">
        <x:f>F802-IF(H802=2,1,0)</x:f>
        <x:v>0</x:v>
      </x:c>
      <x:c r="N802" s="19" t="n">
        <x:f>MAX(K802-1,0)+MAX(L802-1,0)+MAX(M802-1,0)</x:f>
        <x:v>2</x:v>
      </x:c>
      <x:c r="O802" s="19" t="n">
        <x:f>IF(AND(SUM(K802:M802)&lt;9,OR(M802=0,N802&lt;6)),1,0)</x:f>
        <x:v>1</x:v>
      </x:c>
      <x:c r="P802" s="19" t="n">
        <x:f>IF(AND(SUM(K802:M802)&lt;9,OR(L802=0,N802&lt;6)),1,0)</x:f>
        <x:v>1</x:v>
      </x:c>
      <x:c r="Q802" s="19" t="n">
        <x:f>IF(AND(SUM(K802:M802)&lt;9,OR(K802=0,N802&lt;6)),1,0)</x:f>
        <x:v>1</x:v>
      </x:c>
      <x:c r="R802" s="22" t="str">
        <x:f>O802&amp;P802&amp;Q802</x:f>
        <x:v>111</x:v>
      </x:c>
      <x:c r="S802" s="19" t="n">
        <x:f>IF(I802=1,IF(J802=0,Q802,IF(J802=1,P802,IF(J802=2,O802,0))),0)</x:f>
        <x:v>0</x:v>
      </x:c>
      <x:c r="T802" s="19" t="n">
        <x:f>K802+IF(AND(S802=1,J802=0),1,0)</x:f>
        <x:v>1</x:v>
      </x:c>
      <x:c r="U802" s="19" t="n">
        <x:f>L802+IF(AND(S802=1,J802=1),1,0)</x:f>
        <x:v>3</x:v>
      </x:c>
      <x:c r="V802" s="19" t="n">
        <x:f>M802+IF(AND(S802=1,J802=2),1,0)</x:f>
        <x:v>0</x:v>
      </x:c>
      <x:c r="W802" s="19" t="n">
        <x:f>SUM(T802:V802)</x:f>
        <x:v>4</x:v>
      </x:c>
      <x:c r="X802" s="19" t="n">
        <x:f>W802-G802</x:f>
        <x:v>-1</x:v>
      </x:c>
      <x:c r="Y802" s="19" t="n">
        <x:f>MAX(T802,1)+MAX(U802,1)+MAX(V802,1)</x:f>
        <x:v>5</x:v>
      </x:c>
      <x:c r="Z802" s="21" t="str">
        <x:f>IF(AND(MIN(D802:F802)&gt;=0,MAX(D802:F802)&lt;=7,MAX(D802,1)+MAX(E802,1)+MAX(F802,1)&lt;=9,OR(H802="-",AND(H802=0,D802&gt;0),AND(H802=1,E802&gt;0),AND(H802=2,F802&gt;0)),OR(I802=0,AND(I802=1,OR(J802=0,J802=1,J802=2),R802&lt;&gt;"000")),Y802&lt;=9,MIN(T802:V802)&gt;=0),"合法","输入违约")</x:f>
        <x:v>合法</x:v>
      </x:c>
    </x:row>
    <x:row r="803" ht="23" customHeight="1">
      <x:c r="A803" s="3" t="str">
        <x:v>CT-0796</x:v>
      </x:c>
      <x:c r="B803" s="3" t="str">
        <x:v>ST-045</x:v>
      </x:c>
      <x:c r="C803" s="3" t="str">
        <x:v>R+AR同收同发</x:v>
      </x:c>
      <x:c r="D803" s="25" t="n">
        <x:v>1</x:v>
      </x:c>
      <x:c r="E803" s="25" t="n">
        <x:v>3</x:v>
      </x:c>
      <x:c r="F803" s="25" t="n">
        <x:v>1</x:v>
      </x:c>
      <x:c r="G803" s="19" t="n">
        <x:f>SUM(D803:F803)</x:f>
        <x:v>5</x:v>
      </x:c>
      <x:c r="H803" s="25" t="n">
        <x:v>2</x:v>
      </x:c>
      <x:c r="I803" s="25" t="n">
        <x:v>1</x:v>
      </x:c>
      <x:c r="J803" s="25" t="n">
        <x:v>0</x:v>
      </x:c>
      <x:c r="K803" s="19" t="n">
        <x:f>D803-IF(H803=0,1,0)</x:f>
        <x:v>1</x:v>
      </x:c>
      <x:c r="L803" s="19" t="n">
        <x:f>E803-IF(H803=1,1,0)</x:f>
        <x:v>3</x:v>
      </x:c>
      <x:c r="M803" s="19" t="n">
        <x:f>F803-IF(H803=2,1,0)</x:f>
        <x:v>0</x:v>
      </x:c>
      <x:c r="N803" s="19" t="n">
        <x:f>MAX(K803-1,0)+MAX(L803-1,0)+MAX(M803-1,0)</x:f>
        <x:v>2</x:v>
      </x:c>
      <x:c r="O803" s="19" t="n">
        <x:f>IF(AND(SUM(K803:M803)&lt;9,OR(M803=0,N803&lt;6)),1,0)</x:f>
        <x:v>1</x:v>
      </x:c>
      <x:c r="P803" s="19" t="n">
        <x:f>IF(AND(SUM(K803:M803)&lt;9,OR(L803=0,N803&lt;6)),1,0)</x:f>
        <x:v>1</x:v>
      </x:c>
      <x:c r="Q803" s="19" t="n">
        <x:f>IF(AND(SUM(K803:M803)&lt;9,OR(K803=0,N803&lt;6)),1,0)</x:f>
        <x:v>1</x:v>
      </x:c>
      <x:c r="R803" s="22" t="str">
        <x:f>O803&amp;P803&amp;Q803</x:f>
        <x:v>111</x:v>
      </x:c>
      <x:c r="S803" s="19" t="n">
        <x:f>IF(I803=1,IF(J803=0,Q803,IF(J803=1,P803,IF(J803=2,O803,0))),0)</x:f>
        <x:v>1</x:v>
      </x:c>
      <x:c r="T803" s="19" t="n">
        <x:f>K803+IF(AND(S803=1,J803=0),1,0)</x:f>
        <x:v>2</x:v>
      </x:c>
      <x:c r="U803" s="19" t="n">
        <x:f>L803+IF(AND(S803=1,J803=1),1,0)</x:f>
        <x:v>3</x:v>
      </x:c>
      <x:c r="V803" s="19" t="n">
        <x:f>M803+IF(AND(S803=1,J803=2),1,0)</x:f>
        <x:v>0</x:v>
      </x:c>
      <x:c r="W803" s="19" t="n">
        <x:f>SUM(T803:V803)</x:f>
        <x:v>5</x:v>
      </x:c>
      <x:c r="X803" s="19" t="n">
        <x:f>W803-G803</x:f>
        <x:v>0</x:v>
      </x:c>
      <x:c r="Y803" s="19" t="n">
        <x:f>MAX(T803,1)+MAX(U803,1)+MAX(V803,1)</x:f>
        <x:v>6</x:v>
      </x:c>
      <x:c r="Z803" s="21" t="str">
        <x:f>IF(AND(MIN(D803:F803)&gt;=0,MAX(D803:F803)&lt;=7,MAX(D803,1)+MAX(E803,1)+MAX(F803,1)&lt;=9,OR(H803="-",AND(H803=0,D803&gt;0),AND(H803=1,E803&gt;0),AND(H803=2,F803&gt;0)),OR(I803=0,AND(I803=1,OR(J803=0,J803=1,J803=2),R803&lt;&gt;"000")),Y803&lt;=9,MIN(T803:V803)&gt;=0),"合法","输入违约")</x:f>
        <x:v>合法</x:v>
      </x:c>
    </x:row>
    <x:row r="804" ht="23" customHeight="1">
      <x:c r="A804" s="3" t="str">
        <x:v>CT-0797</x:v>
      </x:c>
      <x:c r="B804" s="3" t="str">
        <x:v>ST-045</x:v>
      </x:c>
      <x:c r="C804" s="3" t="str">
        <x:v>R+AR同收同发</x:v>
      </x:c>
      <x:c r="D804" s="25" t="n">
        <x:v>1</x:v>
      </x:c>
      <x:c r="E804" s="25" t="n">
        <x:v>3</x:v>
      </x:c>
      <x:c r="F804" s="25" t="n">
        <x:v>1</x:v>
      </x:c>
      <x:c r="G804" s="19" t="n">
        <x:f>SUM(D804:F804)</x:f>
        <x:v>5</x:v>
      </x:c>
      <x:c r="H804" s="25" t="n">
        <x:v>2</x:v>
      </x:c>
      <x:c r="I804" s="25" t="n">
        <x:v>1</x:v>
      </x:c>
      <x:c r="J804" s="25" t="n">
        <x:v>1</x:v>
      </x:c>
      <x:c r="K804" s="19" t="n">
        <x:f>D804-IF(H804=0,1,0)</x:f>
        <x:v>1</x:v>
      </x:c>
      <x:c r="L804" s="19" t="n">
        <x:f>E804-IF(H804=1,1,0)</x:f>
        <x:v>3</x:v>
      </x:c>
      <x:c r="M804" s="19" t="n">
        <x:f>F804-IF(H804=2,1,0)</x:f>
        <x:v>0</x:v>
      </x:c>
      <x:c r="N804" s="19" t="n">
        <x:f>MAX(K804-1,0)+MAX(L804-1,0)+MAX(M804-1,0)</x:f>
        <x:v>2</x:v>
      </x:c>
      <x:c r="O804" s="19" t="n">
        <x:f>IF(AND(SUM(K804:M804)&lt;9,OR(M804=0,N804&lt;6)),1,0)</x:f>
        <x:v>1</x:v>
      </x:c>
      <x:c r="P804" s="19" t="n">
        <x:f>IF(AND(SUM(K804:M804)&lt;9,OR(L804=0,N804&lt;6)),1,0)</x:f>
        <x:v>1</x:v>
      </x:c>
      <x:c r="Q804" s="19" t="n">
        <x:f>IF(AND(SUM(K804:M804)&lt;9,OR(K804=0,N804&lt;6)),1,0)</x:f>
        <x:v>1</x:v>
      </x:c>
      <x:c r="R804" s="22" t="str">
        <x:f>O804&amp;P804&amp;Q804</x:f>
        <x:v>111</x:v>
      </x:c>
      <x:c r="S804" s="19" t="n">
        <x:f>IF(I804=1,IF(J804=0,Q804,IF(J804=1,P804,IF(J804=2,O804,0))),0)</x:f>
        <x:v>1</x:v>
      </x:c>
      <x:c r="T804" s="19" t="n">
        <x:f>K804+IF(AND(S804=1,J804=0),1,0)</x:f>
        <x:v>1</x:v>
      </x:c>
      <x:c r="U804" s="19" t="n">
        <x:f>L804+IF(AND(S804=1,J804=1),1,0)</x:f>
        <x:v>4</x:v>
      </x:c>
      <x:c r="V804" s="19" t="n">
        <x:f>M804+IF(AND(S804=1,J804=2),1,0)</x:f>
        <x:v>0</x:v>
      </x:c>
      <x:c r="W804" s="19" t="n">
        <x:f>SUM(T804:V804)</x:f>
        <x:v>5</x:v>
      </x:c>
      <x:c r="X804" s="19" t="n">
        <x:f>W804-G804</x:f>
        <x:v>0</x:v>
      </x:c>
      <x:c r="Y804" s="19" t="n">
        <x:f>MAX(T804,1)+MAX(U804,1)+MAX(V804,1)</x:f>
        <x:v>6</x:v>
      </x:c>
      <x:c r="Z804" s="21" t="str">
        <x:f>IF(AND(MIN(D804:F804)&gt;=0,MAX(D804:F804)&lt;=7,MAX(D804,1)+MAX(E804,1)+MAX(F804,1)&lt;=9,OR(H804="-",AND(H804=0,D804&gt;0),AND(H804=1,E804&gt;0),AND(H804=2,F804&gt;0)),OR(I804=0,AND(I804=1,OR(J804=0,J804=1,J804=2),R804&lt;&gt;"000")),Y804&lt;=9,MIN(T804:V804)&gt;=0),"合法","输入违约")</x:f>
        <x:v>合法</x:v>
      </x:c>
    </x:row>
    <x:row r="805" ht="23" customHeight="1">
      <x:c r="A805" s="3" t="str">
        <x:v>CT-0798</x:v>
      </x:c>
      <x:c r="B805" s="3" t="str">
        <x:v>ST-045</x:v>
      </x:c>
      <x:c r="C805" s="3" t="str">
        <x:v>R+AR同收同发</x:v>
      </x:c>
      <x:c r="D805" s="25" t="n">
        <x:v>1</x:v>
      </x:c>
      <x:c r="E805" s="25" t="n">
        <x:v>3</x:v>
      </x:c>
      <x:c r="F805" s="25" t="n">
        <x:v>1</x:v>
      </x:c>
      <x:c r="G805" s="19" t="n">
        <x:f>SUM(D805:F805)</x:f>
        <x:v>5</x:v>
      </x:c>
      <x:c r="H805" s="25" t="n">
        <x:v>2</x:v>
      </x:c>
      <x:c r="I805" s="25" t="n">
        <x:v>1</x:v>
      </x:c>
      <x:c r="J805" s="25" t="n">
        <x:v>2</x:v>
      </x:c>
      <x:c r="K805" s="19" t="n">
        <x:f>D805-IF(H805=0,1,0)</x:f>
        <x:v>1</x:v>
      </x:c>
      <x:c r="L805" s="19" t="n">
        <x:f>E805-IF(H805=1,1,0)</x:f>
        <x:v>3</x:v>
      </x:c>
      <x:c r="M805" s="19" t="n">
        <x:f>F805-IF(H805=2,1,0)</x:f>
        <x:v>0</x:v>
      </x:c>
      <x:c r="N805" s="19" t="n">
        <x:f>MAX(K805-1,0)+MAX(L805-1,0)+MAX(M805-1,0)</x:f>
        <x:v>2</x:v>
      </x:c>
      <x:c r="O805" s="19" t="n">
        <x:f>IF(AND(SUM(K805:M805)&lt;9,OR(M805=0,N805&lt;6)),1,0)</x:f>
        <x:v>1</x:v>
      </x:c>
      <x:c r="P805" s="19" t="n">
        <x:f>IF(AND(SUM(K805:M805)&lt;9,OR(L805=0,N805&lt;6)),1,0)</x:f>
        <x:v>1</x:v>
      </x:c>
      <x:c r="Q805" s="19" t="n">
        <x:f>IF(AND(SUM(K805:M805)&lt;9,OR(K805=0,N805&lt;6)),1,0)</x:f>
        <x:v>1</x:v>
      </x:c>
      <x:c r="R805" s="22" t="str">
        <x:f>O805&amp;P805&amp;Q805</x:f>
        <x:v>111</x:v>
      </x:c>
      <x:c r="S805" s="19" t="n">
        <x:f>IF(I805=1,IF(J805=0,Q805,IF(J805=1,P805,IF(J805=2,O805,0))),0)</x:f>
        <x:v>1</x:v>
      </x:c>
      <x:c r="T805" s="19" t="n">
        <x:f>K805+IF(AND(S805=1,J805=0),1,0)</x:f>
        <x:v>1</x:v>
      </x:c>
      <x:c r="U805" s="19" t="n">
        <x:f>L805+IF(AND(S805=1,J805=1),1,0)</x:f>
        <x:v>3</x:v>
      </x:c>
      <x:c r="V805" s="19" t="n">
        <x:f>M805+IF(AND(S805=1,J805=2),1,0)</x:f>
        <x:v>1</x:v>
      </x:c>
      <x:c r="W805" s="19" t="n">
        <x:f>SUM(T805:V805)</x:f>
        <x:v>5</x:v>
      </x:c>
      <x:c r="X805" s="19" t="n">
        <x:f>W805-G805</x:f>
        <x:v>0</x:v>
      </x:c>
      <x:c r="Y805" s="19" t="n">
        <x:f>MAX(T805,1)+MAX(U805,1)+MAX(V805,1)</x:f>
        <x:v>5</x:v>
      </x:c>
      <x:c r="Z805" s="21" t="str">
        <x:f>IF(AND(MIN(D805:F805)&gt;=0,MAX(D805:F805)&lt;=7,MAX(D805,1)+MAX(E805,1)+MAX(F805,1)&lt;=9,OR(H805="-",AND(H805=0,D805&gt;0),AND(H805=1,E805&gt;0),AND(H805=2,F805&gt;0)),OR(I805=0,AND(I805=1,OR(J805=0,J805=1,J805=2),R805&lt;&gt;"000")),Y805&lt;=9,MIN(T805:V805)&gt;=0),"合法","输入违约")</x:f>
        <x:v>合法</x:v>
      </x:c>
    </x:row>
    <x:row r="806" ht="23" customHeight="1">
      <x:c r="A806" s="3" t="str">
        <x:v>CT-0799</x:v>
      </x:c>
      <x:c r="B806" s="3" t="str">
        <x:v>ST-067</x:v>
      </x:c>
      <x:c r="C806" s="3" t="str">
        <x:v>无AR/R</x:v>
      </x:c>
      <x:c r="D806" s="25" t="n">
        <x:v>1</x:v>
      </x:c>
      <x:c r="E806" s="25" t="n">
        <x:v>3</x:v>
      </x:c>
      <x:c r="F806" s="25" t="n">
        <x:v>2</x:v>
      </x:c>
      <x:c r="G806" s="19" t="n">
        <x:f>SUM(D806:F806)</x:f>
        <x:v>6</x:v>
      </x:c>
      <x:c r="H806" s="25" t="str">
        <x:v>-</x:v>
      </x:c>
      <x:c r="I806" s="25" t="n">
        <x:v>0</x:v>
      </x:c>
      <x:c r="J806" s="25" t="str">
        <x:v>-</x:v>
      </x:c>
      <x:c r="K806" s="19" t="n">
        <x:f>D806-IF(H806=0,1,0)</x:f>
        <x:v>1</x:v>
      </x:c>
      <x:c r="L806" s="19" t="n">
        <x:f>E806-IF(H806=1,1,0)</x:f>
        <x:v>3</x:v>
      </x:c>
      <x:c r="M806" s="19" t="n">
        <x:f>F806-IF(H806=2,1,0)</x:f>
        <x:v>2</x:v>
      </x:c>
      <x:c r="N806" s="19" t="n">
        <x:f>MAX(K806-1,0)+MAX(L806-1,0)+MAX(M806-1,0)</x:f>
        <x:v>3</x:v>
      </x:c>
      <x:c r="O806" s="19" t="n">
        <x:f>IF(AND(SUM(K806:M806)&lt;9,OR(M806=0,N806&lt;6)),1,0)</x:f>
        <x:v>1</x:v>
      </x:c>
      <x:c r="P806" s="19" t="n">
        <x:f>IF(AND(SUM(K806:M806)&lt;9,OR(L806=0,N806&lt;6)),1,0)</x:f>
        <x:v>1</x:v>
      </x:c>
      <x:c r="Q806" s="19" t="n">
        <x:f>IF(AND(SUM(K806:M806)&lt;9,OR(K806=0,N806&lt;6)),1,0)</x:f>
        <x:v>1</x:v>
      </x:c>
      <x:c r="R806" s="22" t="str">
        <x:f>O806&amp;P806&amp;Q806</x:f>
        <x:v>111</x:v>
      </x:c>
      <x:c r="S806" s="19" t="n">
        <x:f>IF(I806=1,IF(J806=0,Q806,IF(J806=1,P806,IF(J806=2,O806,0))),0)</x:f>
        <x:v>0</x:v>
      </x:c>
      <x:c r="T806" s="19" t="n">
        <x:f>K806+IF(AND(S806=1,J806=0),1,0)</x:f>
        <x:v>1</x:v>
      </x:c>
      <x:c r="U806" s="19" t="n">
        <x:f>L806+IF(AND(S806=1,J806=1),1,0)</x:f>
        <x:v>3</x:v>
      </x:c>
      <x:c r="V806" s="19" t="n">
        <x:f>M806+IF(AND(S806=1,J806=2),1,0)</x:f>
        <x:v>2</x:v>
      </x:c>
      <x:c r="W806" s="19" t="n">
        <x:f>SUM(T806:V806)</x:f>
        <x:v>6</x:v>
      </x:c>
      <x:c r="X806" s="19" t="n">
        <x:f>W806-G806</x:f>
        <x:v>0</x:v>
      </x:c>
      <x:c r="Y806" s="19" t="n">
        <x:f>MAX(T806,1)+MAX(U806,1)+MAX(V806,1)</x:f>
        <x:v>6</x:v>
      </x:c>
      <x:c r="Z806" s="21" t="str">
        <x:f>IF(AND(MIN(D806:F806)&gt;=0,MAX(D806:F806)&lt;=7,MAX(D806,1)+MAX(E806,1)+MAX(F806,1)&lt;=9,OR(H806="-",AND(H806=0,D806&gt;0),AND(H806=1,E806&gt;0),AND(H806=2,F806&gt;0)),OR(I806=0,AND(I806=1,OR(J806=0,J806=1,J806=2),R806&lt;&gt;"000")),Y806&lt;=9,MIN(T806:V806)&gt;=0),"合法","输入违约")</x:f>
        <x:v>合法</x:v>
      </x:c>
    </x:row>
    <x:row r="807" ht="23" customHeight="1">
      <x:c r="A807" s="3" t="str">
        <x:v>CT-0800</x:v>
      </x:c>
      <x:c r="B807" s="3" t="str">
        <x:v>ST-067</x:v>
      </x:c>
      <x:c r="C807" s="3" t="str">
        <x:v>仅AR接收</x:v>
      </x:c>
      <x:c r="D807" s="25" t="n">
        <x:v>1</x:v>
      </x:c>
      <x:c r="E807" s="25" t="n">
        <x:v>3</x:v>
      </x:c>
      <x:c r="F807" s="25" t="n">
        <x:v>2</x:v>
      </x:c>
      <x:c r="G807" s="19" t="n">
        <x:f>SUM(D807:F807)</x:f>
        <x:v>6</x:v>
      </x:c>
      <x:c r="H807" s="25" t="str">
        <x:v>-</x:v>
      </x:c>
      <x:c r="I807" s="25" t="n">
        <x:v>1</x:v>
      </x:c>
      <x:c r="J807" s="25" t="n">
        <x:v>0</x:v>
      </x:c>
      <x:c r="K807" s="19" t="n">
        <x:f>D807-IF(H807=0,1,0)</x:f>
        <x:v>1</x:v>
      </x:c>
      <x:c r="L807" s="19" t="n">
        <x:f>E807-IF(H807=1,1,0)</x:f>
        <x:v>3</x:v>
      </x:c>
      <x:c r="M807" s="19" t="n">
        <x:f>F807-IF(H807=2,1,0)</x:f>
        <x:v>2</x:v>
      </x:c>
      <x:c r="N807" s="19" t="n">
        <x:f>MAX(K807-1,0)+MAX(L807-1,0)+MAX(M807-1,0)</x:f>
        <x:v>3</x:v>
      </x:c>
      <x:c r="O807" s="19" t="n">
        <x:f>IF(AND(SUM(K807:M807)&lt;9,OR(M807=0,N807&lt;6)),1,0)</x:f>
        <x:v>1</x:v>
      </x:c>
      <x:c r="P807" s="19" t="n">
        <x:f>IF(AND(SUM(K807:M807)&lt;9,OR(L807=0,N807&lt;6)),1,0)</x:f>
        <x:v>1</x:v>
      </x:c>
      <x:c r="Q807" s="19" t="n">
        <x:f>IF(AND(SUM(K807:M807)&lt;9,OR(K807=0,N807&lt;6)),1,0)</x:f>
        <x:v>1</x:v>
      </x:c>
      <x:c r="R807" s="22" t="str">
        <x:f>O807&amp;P807&amp;Q807</x:f>
        <x:v>111</x:v>
      </x:c>
      <x:c r="S807" s="19" t="n">
        <x:f>IF(I807=1,IF(J807=0,Q807,IF(J807=1,P807,IF(J807=2,O807,0))),0)</x:f>
        <x:v>1</x:v>
      </x:c>
      <x:c r="T807" s="19" t="n">
        <x:f>K807+IF(AND(S807=1,J807=0),1,0)</x:f>
        <x:v>2</x:v>
      </x:c>
      <x:c r="U807" s="19" t="n">
        <x:f>L807+IF(AND(S807=1,J807=1),1,0)</x:f>
        <x:v>3</x:v>
      </x:c>
      <x:c r="V807" s="19" t="n">
        <x:f>M807+IF(AND(S807=1,J807=2),1,0)</x:f>
        <x:v>2</x:v>
      </x:c>
      <x:c r="W807" s="19" t="n">
        <x:f>SUM(T807:V807)</x:f>
        <x:v>7</x:v>
      </x:c>
      <x:c r="X807" s="19" t="n">
        <x:f>W807-G807</x:f>
        <x:v>1</x:v>
      </x:c>
      <x:c r="Y807" s="19" t="n">
        <x:f>MAX(T807,1)+MAX(U807,1)+MAX(V807,1)</x:f>
        <x:v>7</x:v>
      </x:c>
      <x:c r="Z807" s="21" t="str">
        <x:f>IF(AND(MIN(D807:F807)&gt;=0,MAX(D807:F807)&lt;=7,MAX(D807,1)+MAX(E807,1)+MAX(F807,1)&lt;=9,OR(H807="-",AND(H807=0,D807&gt;0),AND(H807=1,E807&gt;0),AND(H807=2,F807&gt;0)),OR(I807=0,AND(I807=1,OR(J807=0,J807=1,J807=2),R807&lt;&gt;"000")),Y807&lt;=9,MIN(T807:V807)&gt;=0),"合法","输入违约")</x:f>
        <x:v>合法</x:v>
      </x:c>
    </x:row>
    <x:row r="808" ht="23" customHeight="1">
      <x:c r="A808" s="3" t="str">
        <x:v>CT-0801</x:v>
      </x:c>
      <x:c r="B808" s="3" t="str">
        <x:v>ST-067</x:v>
      </x:c>
      <x:c r="C808" s="3" t="str">
        <x:v>仅AR接收</x:v>
      </x:c>
      <x:c r="D808" s="25" t="n">
        <x:v>1</x:v>
      </x:c>
      <x:c r="E808" s="25" t="n">
        <x:v>3</x:v>
      </x:c>
      <x:c r="F808" s="25" t="n">
        <x:v>2</x:v>
      </x:c>
      <x:c r="G808" s="19" t="n">
        <x:f>SUM(D808:F808)</x:f>
        <x:v>6</x:v>
      </x:c>
      <x:c r="H808" s="25" t="str">
        <x:v>-</x:v>
      </x:c>
      <x:c r="I808" s="25" t="n">
        <x:v>1</x:v>
      </x:c>
      <x:c r="J808" s="25" t="n">
        <x:v>1</x:v>
      </x:c>
      <x:c r="K808" s="19" t="n">
        <x:f>D808-IF(H808=0,1,0)</x:f>
        <x:v>1</x:v>
      </x:c>
      <x:c r="L808" s="19" t="n">
        <x:f>E808-IF(H808=1,1,0)</x:f>
        <x:v>3</x:v>
      </x:c>
      <x:c r="M808" s="19" t="n">
        <x:f>F808-IF(H808=2,1,0)</x:f>
        <x:v>2</x:v>
      </x:c>
      <x:c r="N808" s="19" t="n">
        <x:f>MAX(K808-1,0)+MAX(L808-1,0)+MAX(M808-1,0)</x:f>
        <x:v>3</x:v>
      </x:c>
      <x:c r="O808" s="19" t="n">
        <x:f>IF(AND(SUM(K808:M808)&lt;9,OR(M808=0,N808&lt;6)),1,0)</x:f>
        <x:v>1</x:v>
      </x:c>
      <x:c r="P808" s="19" t="n">
        <x:f>IF(AND(SUM(K808:M808)&lt;9,OR(L808=0,N808&lt;6)),1,0)</x:f>
        <x:v>1</x:v>
      </x:c>
      <x:c r="Q808" s="19" t="n">
        <x:f>IF(AND(SUM(K808:M808)&lt;9,OR(K808=0,N808&lt;6)),1,0)</x:f>
        <x:v>1</x:v>
      </x:c>
      <x:c r="R808" s="22" t="str">
        <x:f>O808&amp;P808&amp;Q808</x:f>
        <x:v>111</x:v>
      </x:c>
      <x:c r="S808" s="19" t="n">
        <x:f>IF(I808=1,IF(J808=0,Q808,IF(J808=1,P808,IF(J808=2,O808,0))),0)</x:f>
        <x:v>1</x:v>
      </x:c>
      <x:c r="T808" s="19" t="n">
        <x:f>K808+IF(AND(S808=1,J808=0),1,0)</x:f>
        <x:v>1</x:v>
      </x:c>
      <x:c r="U808" s="19" t="n">
        <x:f>L808+IF(AND(S808=1,J808=1),1,0)</x:f>
        <x:v>4</x:v>
      </x:c>
      <x:c r="V808" s="19" t="n">
        <x:f>M808+IF(AND(S808=1,J808=2),1,0)</x:f>
        <x:v>2</x:v>
      </x:c>
      <x:c r="W808" s="19" t="n">
        <x:f>SUM(T808:V808)</x:f>
        <x:v>7</x:v>
      </x:c>
      <x:c r="X808" s="19" t="n">
        <x:f>W808-G808</x:f>
        <x:v>1</x:v>
      </x:c>
      <x:c r="Y808" s="19" t="n">
        <x:f>MAX(T808,1)+MAX(U808,1)+MAX(V808,1)</x:f>
        <x:v>7</x:v>
      </x:c>
      <x:c r="Z808" s="21" t="str">
        <x:f>IF(AND(MIN(D808:F808)&gt;=0,MAX(D808:F808)&lt;=7,MAX(D808,1)+MAX(E808,1)+MAX(F808,1)&lt;=9,OR(H808="-",AND(H808=0,D808&gt;0),AND(H808=1,E808&gt;0),AND(H808=2,F808&gt;0)),OR(I808=0,AND(I808=1,OR(J808=0,J808=1,J808=2),R808&lt;&gt;"000")),Y808&lt;=9,MIN(T808:V808)&gt;=0),"合法","输入违约")</x:f>
        <x:v>合法</x:v>
      </x:c>
    </x:row>
    <x:row r="809" ht="23" customHeight="1">
      <x:c r="A809" s="3" t="str">
        <x:v>CT-0802</x:v>
      </x:c>
      <x:c r="B809" s="3" t="str">
        <x:v>ST-067</x:v>
      </x:c>
      <x:c r="C809" s="3" t="str">
        <x:v>仅AR接收</x:v>
      </x:c>
      <x:c r="D809" s="25" t="n">
        <x:v>1</x:v>
      </x:c>
      <x:c r="E809" s="25" t="n">
        <x:v>3</x:v>
      </x:c>
      <x:c r="F809" s="25" t="n">
        <x:v>2</x:v>
      </x:c>
      <x:c r="G809" s="19" t="n">
        <x:f>SUM(D809:F809)</x:f>
        <x:v>6</x:v>
      </x:c>
      <x:c r="H809" s="25" t="str">
        <x:v>-</x:v>
      </x:c>
      <x:c r="I809" s="25" t="n">
        <x:v>1</x:v>
      </x:c>
      <x:c r="J809" s="25" t="n">
        <x:v>2</x:v>
      </x:c>
      <x:c r="K809" s="19" t="n">
        <x:f>D809-IF(H809=0,1,0)</x:f>
        <x:v>1</x:v>
      </x:c>
      <x:c r="L809" s="19" t="n">
        <x:f>E809-IF(H809=1,1,0)</x:f>
        <x:v>3</x:v>
      </x:c>
      <x:c r="M809" s="19" t="n">
        <x:f>F809-IF(H809=2,1,0)</x:f>
        <x:v>2</x:v>
      </x:c>
      <x:c r="N809" s="19" t="n">
        <x:f>MAX(K809-1,0)+MAX(L809-1,0)+MAX(M809-1,0)</x:f>
        <x:v>3</x:v>
      </x:c>
      <x:c r="O809" s="19" t="n">
        <x:f>IF(AND(SUM(K809:M809)&lt;9,OR(M809=0,N809&lt;6)),1,0)</x:f>
        <x:v>1</x:v>
      </x:c>
      <x:c r="P809" s="19" t="n">
        <x:f>IF(AND(SUM(K809:M809)&lt;9,OR(L809=0,N809&lt;6)),1,0)</x:f>
        <x:v>1</x:v>
      </x:c>
      <x:c r="Q809" s="19" t="n">
        <x:f>IF(AND(SUM(K809:M809)&lt;9,OR(K809=0,N809&lt;6)),1,0)</x:f>
        <x:v>1</x:v>
      </x:c>
      <x:c r="R809" s="22" t="str">
        <x:f>O809&amp;P809&amp;Q809</x:f>
        <x:v>111</x:v>
      </x:c>
      <x:c r="S809" s="19" t="n">
        <x:f>IF(I809=1,IF(J809=0,Q809,IF(J809=1,P809,IF(J809=2,O809,0))),0)</x:f>
        <x:v>1</x:v>
      </x:c>
      <x:c r="T809" s="19" t="n">
        <x:f>K809+IF(AND(S809=1,J809=0),1,0)</x:f>
        <x:v>1</x:v>
      </x:c>
      <x:c r="U809" s="19" t="n">
        <x:f>L809+IF(AND(S809=1,J809=1),1,0)</x:f>
        <x:v>3</x:v>
      </x:c>
      <x:c r="V809" s="19" t="n">
        <x:f>M809+IF(AND(S809=1,J809=2),1,0)</x:f>
        <x:v>3</x:v>
      </x:c>
      <x:c r="W809" s="19" t="n">
        <x:f>SUM(T809:V809)</x:f>
        <x:v>7</x:v>
      </x:c>
      <x:c r="X809" s="19" t="n">
        <x:f>W809-G809</x:f>
        <x:v>1</x:v>
      </x:c>
      <x:c r="Y809" s="19" t="n">
        <x:f>MAX(T809,1)+MAX(U809,1)+MAX(V809,1)</x:f>
        <x:v>7</x:v>
      </x:c>
      <x:c r="Z809" s="21" t="str">
        <x:f>IF(AND(MIN(D809:F809)&gt;=0,MAX(D809:F809)&lt;=7,MAX(D809,1)+MAX(E809,1)+MAX(F809,1)&lt;=9,OR(H809="-",AND(H809=0,D809&gt;0),AND(H809=1,E809&gt;0),AND(H809=2,F809&gt;0)),OR(I809=0,AND(I809=1,OR(J809=0,J809=1,J809=2),R809&lt;&gt;"000")),Y809&lt;=9,MIN(T809:V809)&gt;=0),"合法","输入违约")</x:f>
        <x:v>合法</x:v>
      </x:c>
    </x:row>
    <x:row r="810" ht="23" customHeight="1">
      <x:c r="A810" s="3" t="str">
        <x:v>CT-0803</x:v>
      </x:c>
      <x:c r="B810" s="3" t="str">
        <x:v>ST-067</x:v>
      </x:c>
      <x:c r="C810" s="3" t="str">
        <x:v>仅R回收</x:v>
      </x:c>
      <x:c r="D810" s="25" t="n">
        <x:v>1</x:v>
      </x:c>
      <x:c r="E810" s="25" t="n">
        <x:v>3</x:v>
      </x:c>
      <x:c r="F810" s="25" t="n">
        <x:v>2</x:v>
      </x:c>
      <x:c r="G810" s="19" t="n">
        <x:f>SUM(D810:F810)</x:f>
        <x:v>6</x:v>
      </x:c>
      <x:c r="H810" s="25" t="n">
        <x:v>0</x:v>
      </x:c>
      <x:c r="I810" s="25" t="n">
        <x:v>0</x:v>
      </x:c>
      <x:c r="J810" s="25" t="str">
        <x:v>-</x:v>
      </x:c>
      <x:c r="K810" s="19" t="n">
        <x:f>D810-IF(H810=0,1,0)</x:f>
        <x:v>0</x:v>
      </x:c>
      <x:c r="L810" s="19" t="n">
        <x:f>E810-IF(H810=1,1,0)</x:f>
        <x:v>3</x:v>
      </x:c>
      <x:c r="M810" s="19" t="n">
        <x:f>F810-IF(H810=2,1,0)</x:f>
        <x:v>2</x:v>
      </x:c>
      <x:c r="N810" s="19" t="n">
        <x:f>MAX(K810-1,0)+MAX(L810-1,0)+MAX(M810-1,0)</x:f>
        <x:v>3</x:v>
      </x:c>
      <x:c r="O810" s="19" t="n">
        <x:f>IF(AND(SUM(K810:M810)&lt;9,OR(M810=0,N810&lt;6)),1,0)</x:f>
        <x:v>1</x:v>
      </x:c>
      <x:c r="P810" s="19" t="n">
        <x:f>IF(AND(SUM(K810:M810)&lt;9,OR(L810=0,N810&lt;6)),1,0)</x:f>
        <x:v>1</x:v>
      </x:c>
      <x:c r="Q810" s="19" t="n">
        <x:f>IF(AND(SUM(K810:M810)&lt;9,OR(K810=0,N810&lt;6)),1,0)</x:f>
        <x:v>1</x:v>
      </x:c>
      <x:c r="R810" s="22" t="str">
        <x:f>O810&amp;P810&amp;Q810</x:f>
        <x:v>111</x:v>
      </x:c>
      <x:c r="S810" s="19" t="n">
        <x:f>IF(I810=1,IF(J810=0,Q810,IF(J810=1,P810,IF(J810=2,O810,0))),0)</x:f>
        <x:v>0</x:v>
      </x:c>
      <x:c r="T810" s="19" t="n">
        <x:f>K810+IF(AND(S810=1,J810=0),1,0)</x:f>
        <x:v>0</x:v>
      </x:c>
      <x:c r="U810" s="19" t="n">
        <x:f>L810+IF(AND(S810=1,J810=1),1,0)</x:f>
        <x:v>3</x:v>
      </x:c>
      <x:c r="V810" s="19" t="n">
        <x:f>M810+IF(AND(S810=1,J810=2),1,0)</x:f>
        <x:v>2</x:v>
      </x:c>
      <x:c r="W810" s="19" t="n">
        <x:f>SUM(T810:V810)</x:f>
        <x:v>5</x:v>
      </x:c>
      <x:c r="X810" s="19" t="n">
        <x:f>W810-G810</x:f>
        <x:v>-1</x:v>
      </x:c>
      <x:c r="Y810" s="19" t="n">
        <x:f>MAX(T810,1)+MAX(U810,1)+MAX(V810,1)</x:f>
        <x:v>6</x:v>
      </x:c>
      <x:c r="Z810" s="21" t="str">
        <x:f>IF(AND(MIN(D810:F810)&gt;=0,MAX(D810:F810)&lt;=7,MAX(D810,1)+MAX(E810,1)+MAX(F810,1)&lt;=9,OR(H810="-",AND(H810=0,D810&gt;0),AND(H810=1,E810&gt;0),AND(H810=2,F810&gt;0)),OR(I810=0,AND(I810=1,OR(J810=0,J810=1,J810=2),R810&lt;&gt;"000")),Y810&lt;=9,MIN(T810:V810)&gt;=0),"合法","输入违约")</x:f>
        <x:v>合法</x:v>
      </x:c>
    </x:row>
    <x:row r="811" ht="23" customHeight="1">
      <x:c r="A811" s="3" t="str">
        <x:v>CT-0804</x:v>
      </x:c>
      <x:c r="B811" s="3" t="str">
        <x:v>ST-067</x:v>
      </x:c>
      <x:c r="C811" s="3" t="str">
        <x:v>R+AR同收同发</x:v>
      </x:c>
      <x:c r="D811" s="25" t="n">
        <x:v>1</x:v>
      </x:c>
      <x:c r="E811" s="25" t="n">
        <x:v>3</x:v>
      </x:c>
      <x:c r="F811" s="25" t="n">
        <x:v>2</x:v>
      </x:c>
      <x:c r="G811" s="19" t="n">
        <x:f>SUM(D811:F811)</x:f>
        <x:v>6</x:v>
      </x:c>
      <x:c r="H811" s="25" t="n">
        <x:v>0</x:v>
      </x:c>
      <x:c r="I811" s="25" t="n">
        <x:v>1</x:v>
      </x:c>
      <x:c r="J811" s="25" t="n">
        <x:v>0</x:v>
      </x:c>
      <x:c r="K811" s="19" t="n">
        <x:f>D811-IF(H811=0,1,0)</x:f>
        <x:v>0</x:v>
      </x:c>
      <x:c r="L811" s="19" t="n">
        <x:f>E811-IF(H811=1,1,0)</x:f>
        <x:v>3</x:v>
      </x:c>
      <x:c r="M811" s="19" t="n">
        <x:f>F811-IF(H811=2,1,0)</x:f>
        <x:v>2</x:v>
      </x:c>
      <x:c r="N811" s="19" t="n">
        <x:f>MAX(K811-1,0)+MAX(L811-1,0)+MAX(M811-1,0)</x:f>
        <x:v>3</x:v>
      </x:c>
      <x:c r="O811" s="19" t="n">
        <x:f>IF(AND(SUM(K811:M811)&lt;9,OR(M811=0,N811&lt;6)),1,0)</x:f>
        <x:v>1</x:v>
      </x:c>
      <x:c r="P811" s="19" t="n">
        <x:f>IF(AND(SUM(K811:M811)&lt;9,OR(L811=0,N811&lt;6)),1,0)</x:f>
        <x:v>1</x:v>
      </x:c>
      <x:c r="Q811" s="19" t="n">
        <x:f>IF(AND(SUM(K811:M811)&lt;9,OR(K811=0,N811&lt;6)),1,0)</x:f>
        <x:v>1</x:v>
      </x:c>
      <x:c r="R811" s="22" t="str">
        <x:f>O811&amp;P811&amp;Q811</x:f>
        <x:v>111</x:v>
      </x:c>
      <x:c r="S811" s="19" t="n">
        <x:f>IF(I811=1,IF(J811=0,Q811,IF(J811=1,P811,IF(J811=2,O811,0))),0)</x:f>
        <x:v>1</x:v>
      </x:c>
      <x:c r="T811" s="19" t="n">
        <x:f>K811+IF(AND(S811=1,J811=0),1,0)</x:f>
        <x:v>1</x:v>
      </x:c>
      <x:c r="U811" s="19" t="n">
        <x:f>L811+IF(AND(S811=1,J811=1),1,0)</x:f>
        <x:v>3</x:v>
      </x:c>
      <x:c r="V811" s="19" t="n">
        <x:f>M811+IF(AND(S811=1,J811=2),1,0)</x:f>
        <x:v>2</x:v>
      </x:c>
      <x:c r="W811" s="19" t="n">
        <x:f>SUM(T811:V811)</x:f>
        <x:v>6</x:v>
      </x:c>
      <x:c r="X811" s="19" t="n">
        <x:f>W811-G811</x:f>
        <x:v>0</x:v>
      </x:c>
      <x:c r="Y811" s="19" t="n">
        <x:f>MAX(T811,1)+MAX(U811,1)+MAX(V811,1)</x:f>
        <x:v>6</x:v>
      </x:c>
      <x:c r="Z811" s="21" t="str">
        <x:f>IF(AND(MIN(D811:F811)&gt;=0,MAX(D811:F811)&lt;=7,MAX(D811,1)+MAX(E811,1)+MAX(F811,1)&lt;=9,OR(H811="-",AND(H811=0,D811&gt;0),AND(H811=1,E811&gt;0),AND(H811=2,F811&gt;0)),OR(I811=0,AND(I811=1,OR(J811=0,J811=1,J811=2),R811&lt;&gt;"000")),Y811&lt;=9,MIN(T811:V811)&gt;=0),"合法","输入违约")</x:f>
        <x:v>合法</x:v>
      </x:c>
    </x:row>
    <x:row r="812" ht="23" customHeight="1">
      <x:c r="A812" s="3" t="str">
        <x:v>CT-0805</x:v>
      </x:c>
      <x:c r="B812" s="3" t="str">
        <x:v>ST-067</x:v>
      </x:c>
      <x:c r="C812" s="3" t="str">
        <x:v>R+AR同收同发</x:v>
      </x:c>
      <x:c r="D812" s="25" t="n">
        <x:v>1</x:v>
      </x:c>
      <x:c r="E812" s="25" t="n">
        <x:v>3</x:v>
      </x:c>
      <x:c r="F812" s="25" t="n">
        <x:v>2</x:v>
      </x:c>
      <x:c r="G812" s="19" t="n">
        <x:f>SUM(D812:F812)</x:f>
        <x:v>6</x:v>
      </x:c>
      <x:c r="H812" s="25" t="n">
        <x:v>0</x:v>
      </x:c>
      <x:c r="I812" s="25" t="n">
        <x:v>1</x:v>
      </x:c>
      <x:c r="J812" s="25" t="n">
        <x:v>1</x:v>
      </x:c>
      <x:c r="K812" s="19" t="n">
        <x:f>D812-IF(H812=0,1,0)</x:f>
        <x:v>0</x:v>
      </x:c>
      <x:c r="L812" s="19" t="n">
        <x:f>E812-IF(H812=1,1,0)</x:f>
        <x:v>3</x:v>
      </x:c>
      <x:c r="M812" s="19" t="n">
        <x:f>F812-IF(H812=2,1,0)</x:f>
        <x:v>2</x:v>
      </x:c>
      <x:c r="N812" s="19" t="n">
        <x:f>MAX(K812-1,0)+MAX(L812-1,0)+MAX(M812-1,0)</x:f>
        <x:v>3</x:v>
      </x:c>
      <x:c r="O812" s="19" t="n">
        <x:f>IF(AND(SUM(K812:M812)&lt;9,OR(M812=0,N812&lt;6)),1,0)</x:f>
        <x:v>1</x:v>
      </x:c>
      <x:c r="P812" s="19" t="n">
        <x:f>IF(AND(SUM(K812:M812)&lt;9,OR(L812=0,N812&lt;6)),1,0)</x:f>
        <x:v>1</x:v>
      </x:c>
      <x:c r="Q812" s="19" t="n">
        <x:f>IF(AND(SUM(K812:M812)&lt;9,OR(K812=0,N812&lt;6)),1,0)</x:f>
        <x:v>1</x:v>
      </x:c>
      <x:c r="R812" s="22" t="str">
        <x:f>O812&amp;P812&amp;Q812</x:f>
        <x:v>111</x:v>
      </x:c>
      <x:c r="S812" s="19" t="n">
        <x:f>IF(I812=1,IF(J812=0,Q812,IF(J812=1,P812,IF(J812=2,O812,0))),0)</x:f>
        <x:v>1</x:v>
      </x:c>
      <x:c r="T812" s="19" t="n">
        <x:f>K812+IF(AND(S812=1,J812=0),1,0)</x:f>
        <x:v>0</x:v>
      </x:c>
      <x:c r="U812" s="19" t="n">
        <x:f>L812+IF(AND(S812=1,J812=1),1,0)</x:f>
        <x:v>4</x:v>
      </x:c>
      <x:c r="V812" s="19" t="n">
        <x:f>M812+IF(AND(S812=1,J812=2),1,0)</x:f>
        <x:v>2</x:v>
      </x:c>
      <x:c r="W812" s="19" t="n">
        <x:f>SUM(T812:V812)</x:f>
        <x:v>6</x:v>
      </x:c>
      <x:c r="X812" s="19" t="n">
        <x:f>W812-G812</x:f>
        <x:v>0</x:v>
      </x:c>
      <x:c r="Y812" s="19" t="n">
        <x:f>MAX(T812,1)+MAX(U812,1)+MAX(V812,1)</x:f>
        <x:v>7</x:v>
      </x:c>
      <x:c r="Z812" s="21" t="str">
        <x:f>IF(AND(MIN(D812:F812)&gt;=0,MAX(D812:F812)&lt;=7,MAX(D812,1)+MAX(E812,1)+MAX(F812,1)&lt;=9,OR(H812="-",AND(H812=0,D812&gt;0),AND(H812=1,E812&gt;0),AND(H812=2,F812&gt;0)),OR(I812=0,AND(I812=1,OR(J812=0,J812=1,J812=2),R812&lt;&gt;"000")),Y812&lt;=9,MIN(T812:V812)&gt;=0),"合法","输入违约")</x:f>
        <x:v>合法</x:v>
      </x:c>
    </x:row>
    <x:row r="813" ht="23" customHeight="1">
      <x:c r="A813" s="3" t="str">
        <x:v>CT-0806</x:v>
      </x:c>
      <x:c r="B813" s="3" t="str">
        <x:v>ST-067</x:v>
      </x:c>
      <x:c r="C813" s="3" t="str">
        <x:v>R+AR同收同发</x:v>
      </x:c>
      <x:c r="D813" s="25" t="n">
        <x:v>1</x:v>
      </x:c>
      <x:c r="E813" s="25" t="n">
        <x:v>3</x:v>
      </x:c>
      <x:c r="F813" s="25" t="n">
        <x:v>2</x:v>
      </x:c>
      <x:c r="G813" s="19" t="n">
        <x:f>SUM(D813:F813)</x:f>
        <x:v>6</x:v>
      </x:c>
      <x:c r="H813" s="25" t="n">
        <x:v>0</x:v>
      </x:c>
      <x:c r="I813" s="25" t="n">
        <x:v>1</x:v>
      </x:c>
      <x:c r="J813" s="25" t="n">
        <x:v>2</x:v>
      </x:c>
      <x:c r="K813" s="19" t="n">
        <x:f>D813-IF(H813=0,1,0)</x:f>
        <x:v>0</x:v>
      </x:c>
      <x:c r="L813" s="19" t="n">
        <x:f>E813-IF(H813=1,1,0)</x:f>
        <x:v>3</x:v>
      </x:c>
      <x:c r="M813" s="19" t="n">
        <x:f>F813-IF(H813=2,1,0)</x:f>
        <x:v>2</x:v>
      </x:c>
      <x:c r="N813" s="19" t="n">
        <x:f>MAX(K813-1,0)+MAX(L813-1,0)+MAX(M813-1,0)</x:f>
        <x:v>3</x:v>
      </x:c>
      <x:c r="O813" s="19" t="n">
        <x:f>IF(AND(SUM(K813:M813)&lt;9,OR(M813=0,N813&lt;6)),1,0)</x:f>
        <x:v>1</x:v>
      </x:c>
      <x:c r="P813" s="19" t="n">
        <x:f>IF(AND(SUM(K813:M813)&lt;9,OR(L813=0,N813&lt;6)),1,0)</x:f>
        <x:v>1</x:v>
      </x:c>
      <x:c r="Q813" s="19" t="n">
        <x:f>IF(AND(SUM(K813:M813)&lt;9,OR(K813=0,N813&lt;6)),1,0)</x:f>
        <x:v>1</x:v>
      </x:c>
      <x:c r="R813" s="22" t="str">
        <x:f>O813&amp;P813&amp;Q813</x:f>
        <x:v>111</x:v>
      </x:c>
      <x:c r="S813" s="19" t="n">
        <x:f>IF(I813=1,IF(J813=0,Q813,IF(J813=1,P813,IF(J813=2,O813,0))),0)</x:f>
        <x:v>1</x:v>
      </x:c>
      <x:c r="T813" s="19" t="n">
        <x:f>K813+IF(AND(S813=1,J813=0),1,0)</x:f>
        <x:v>0</x:v>
      </x:c>
      <x:c r="U813" s="19" t="n">
        <x:f>L813+IF(AND(S813=1,J813=1),1,0)</x:f>
        <x:v>3</x:v>
      </x:c>
      <x:c r="V813" s="19" t="n">
        <x:f>M813+IF(AND(S813=1,J813=2),1,0)</x:f>
        <x:v>3</x:v>
      </x:c>
      <x:c r="W813" s="19" t="n">
        <x:f>SUM(T813:V813)</x:f>
        <x:v>6</x:v>
      </x:c>
      <x:c r="X813" s="19" t="n">
        <x:f>W813-G813</x:f>
        <x:v>0</x:v>
      </x:c>
      <x:c r="Y813" s="19" t="n">
        <x:f>MAX(T813,1)+MAX(U813,1)+MAX(V813,1)</x:f>
        <x:v>7</x:v>
      </x:c>
      <x:c r="Z813" s="21" t="str">
        <x:f>IF(AND(MIN(D813:F813)&gt;=0,MAX(D813:F813)&lt;=7,MAX(D813,1)+MAX(E813,1)+MAX(F813,1)&lt;=9,OR(H813="-",AND(H813=0,D813&gt;0),AND(H813=1,E813&gt;0),AND(H813=2,F813&gt;0)),OR(I813=0,AND(I813=1,OR(J813=0,J813=1,J813=2),R813&lt;&gt;"000")),Y813&lt;=9,MIN(T813:V813)&gt;=0),"合法","输入违约")</x:f>
        <x:v>合法</x:v>
      </x:c>
    </x:row>
    <x:row r="814" ht="23" customHeight="1">
      <x:c r="A814" s="3" t="str">
        <x:v>CT-0807</x:v>
      </x:c>
      <x:c r="B814" s="3" t="str">
        <x:v>ST-067</x:v>
      </x:c>
      <x:c r="C814" s="3" t="str">
        <x:v>仅R回收</x:v>
      </x:c>
      <x:c r="D814" s="25" t="n">
        <x:v>1</x:v>
      </x:c>
      <x:c r="E814" s="25" t="n">
        <x:v>3</x:v>
      </x:c>
      <x:c r="F814" s="25" t="n">
        <x:v>2</x:v>
      </x:c>
      <x:c r="G814" s="19" t="n">
        <x:f>SUM(D814:F814)</x:f>
        <x:v>6</x:v>
      </x:c>
      <x:c r="H814" s="25" t="n">
        <x:v>1</x:v>
      </x:c>
      <x:c r="I814" s="25" t="n">
        <x:v>0</x:v>
      </x:c>
      <x:c r="J814" s="25" t="str">
        <x:v>-</x:v>
      </x:c>
      <x:c r="K814" s="19" t="n">
        <x:f>D814-IF(H814=0,1,0)</x:f>
        <x:v>1</x:v>
      </x:c>
      <x:c r="L814" s="19" t="n">
        <x:f>E814-IF(H814=1,1,0)</x:f>
        <x:v>2</x:v>
      </x:c>
      <x:c r="M814" s="19" t="n">
        <x:f>F814-IF(H814=2,1,0)</x:f>
        <x:v>2</x:v>
      </x:c>
      <x:c r="N814" s="19" t="n">
        <x:f>MAX(K814-1,0)+MAX(L814-1,0)+MAX(M814-1,0)</x:f>
        <x:v>2</x:v>
      </x:c>
      <x:c r="O814" s="19" t="n">
        <x:f>IF(AND(SUM(K814:M814)&lt;9,OR(M814=0,N814&lt;6)),1,0)</x:f>
        <x:v>1</x:v>
      </x:c>
      <x:c r="P814" s="19" t="n">
        <x:f>IF(AND(SUM(K814:M814)&lt;9,OR(L814=0,N814&lt;6)),1,0)</x:f>
        <x:v>1</x:v>
      </x:c>
      <x:c r="Q814" s="19" t="n">
        <x:f>IF(AND(SUM(K814:M814)&lt;9,OR(K814=0,N814&lt;6)),1,0)</x:f>
        <x:v>1</x:v>
      </x:c>
      <x:c r="R814" s="22" t="str">
        <x:f>O814&amp;P814&amp;Q814</x:f>
        <x:v>111</x:v>
      </x:c>
      <x:c r="S814" s="19" t="n">
        <x:f>IF(I814=1,IF(J814=0,Q814,IF(J814=1,P814,IF(J814=2,O814,0))),0)</x:f>
        <x:v>0</x:v>
      </x:c>
      <x:c r="T814" s="19" t="n">
        <x:f>K814+IF(AND(S814=1,J814=0),1,0)</x:f>
        <x:v>1</x:v>
      </x:c>
      <x:c r="U814" s="19" t="n">
        <x:f>L814+IF(AND(S814=1,J814=1),1,0)</x:f>
        <x:v>2</x:v>
      </x:c>
      <x:c r="V814" s="19" t="n">
        <x:f>M814+IF(AND(S814=1,J814=2),1,0)</x:f>
        <x:v>2</x:v>
      </x:c>
      <x:c r="W814" s="19" t="n">
        <x:f>SUM(T814:V814)</x:f>
        <x:v>5</x:v>
      </x:c>
      <x:c r="X814" s="19" t="n">
        <x:f>W814-G814</x:f>
        <x:v>-1</x:v>
      </x:c>
      <x:c r="Y814" s="19" t="n">
        <x:f>MAX(T814,1)+MAX(U814,1)+MAX(V814,1)</x:f>
        <x:v>5</x:v>
      </x:c>
      <x:c r="Z814" s="21" t="str">
        <x:f>IF(AND(MIN(D814:F814)&gt;=0,MAX(D814:F814)&lt;=7,MAX(D814,1)+MAX(E814,1)+MAX(F814,1)&lt;=9,OR(H814="-",AND(H814=0,D814&gt;0),AND(H814=1,E814&gt;0),AND(H814=2,F814&gt;0)),OR(I814=0,AND(I814=1,OR(J814=0,J814=1,J814=2),R814&lt;&gt;"000")),Y814&lt;=9,MIN(T814:V814)&gt;=0),"合法","输入违约")</x:f>
        <x:v>合法</x:v>
      </x:c>
    </x:row>
    <x:row r="815" ht="23" customHeight="1">
      <x:c r="A815" s="3" t="str">
        <x:v>CT-0808</x:v>
      </x:c>
      <x:c r="B815" s="3" t="str">
        <x:v>ST-067</x:v>
      </x:c>
      <x:c r="C815" s="3" t="str">
        <x:v>R+AR同收同发</x:v>
      </x:c>
      <x:c r="D815" s="25" t="n">
        <x:v>1</x:v>
      </x:c>
      <x:c r="E815" s="25" t="n">
        <x:v>3</x:v>
      </x:c>
      <x:c r="F815" s="25" t="n">
        <x:v>2</x:v>
      </x:c>
      <x:c r="G815" s="19" t="n">
        <x:f>SUM(D815:F815)</x:f>
        <x:v>6</x:v>
      </x:c>
      <x:c r="H815" s="25" t="n">
        <x:v>1</x:v>
      </x:c>
      <x:c r="I815" s="25" t="n">
        <x:v>1</x:v>
      </x:c>
      <x:c r="J815" s="25" t="n">
        <x:v>0</x:v>
      </x:c>
      <x:c r="K815" s="19" t="n">
        <x:f>D815-IF(H815=0,1,0)</x:f>
        <x:v>1</x:v>
      </x:c>
      <x:c r="L815" s="19" t="n">
        <x:f>E815-IF(H815=1,1,0)</x:f>
        <x:v>2</x:v>
      </x:c>
      <x:c r="M815" s="19" t="n">
        <x:f>F815-IF(H815=2,1,0)</x:f>
        <x:v>2</x:v>
      </x:c>
      <x:c r="N815" s="19" t="n">
        <x:f>MAX(K815-1,0)+MAX(L815-1,0)+MAX(M815-1,0)</x:f>
        <x:v>2</x:v>
      </x:c>
      <x:c r="O815" s="19" t="n">
        <x:f>IF(AND(SUM(K815:M815)&lt;9,OR(M815=0,N815&lt;6)),1,0)</x:f>
        <x:v>1</x:v>
      </x:c>
      <x:c r="P815" s="19" t="n">
        <x:f>IF(AND(SUM(K815:M815)&lt;9,OR(L815=0,N815&lt;6)),1,0)</x:f>
        <x:v>1</x:v>
      </x:c>
      <x:c r="Q815" s="19" t="n">
        <x:f>IF(AND(SUM(K815:M815)&lt;9,OR(K815=0,N815&lt;6)),1,0)</x:f>
        <x:v>1</x:v>
      </x:c>
      <x:c r="R815" s="22" t="str">
        <x:f>O815&amp;P815&amp;Q815</x:f>
        <x:v>111</x:v>
      </x:c>
      <x:c r="S815" s="19" t="n">
        <x:f>IF(I815=1,IF(J815=0,Q815,IF(J815=1,P815,IF(J815=2,O815,0))),0)</x:f>
        <x:v>1</x:v>
      </x:c>
      <x:c r="T815" s="19" t="n">
        <x:f>K815+IF(AND(S815=1,J815=0),1,0)</x:f>
        <x:v>2</x:v>
      </x:c>
      <x:c r="U815" s="19" t="n">
        <x:f>L815+IF(AND(S815=1,J815=1),1,0)</x:f>
        <x:v>2</x:v>
      </x:c>
      <x:c r="V815" s="19" t="n">
        <x:f>M815+IF(AND(S815=1,J815=2),1,0)</x:f>
        <x:v>2</x:v>
      </x:c>
      <x:c r="W815" s="19" t="n">
        <x:f>SUM(T815:V815)</x:f>
        <x:v>6</x:v>
      </x:c>
      <x:c r="X815" s="19" t="n">
        <x:f>W815-G815</x:f>
        <x:v>0</x:v>
      </x:c>
      <x:c r="Y815" s="19" t="n">
        <x:f>MAX(T815,1)+MAX(U815,1)+MAX(V815,1)</x:f>
        <x:v>6</x:v>
      </x:c>
      <x:c r="Z815" s="21" t="str">
        <x:f>IF(AND(MIN(D815:F815)&gt;=0,MAX(D815:F815)&lt;=7,MAX(D815,1)+MAX(E815,1)+MAX(F815,1)&lt;=9,OR(H815="-",AND(H815=0,D815&gt;0),AND(H815=1,E815&gt;0),AND(H815=2,F815&gt;0)),OR(I815=0,AND(I815=1,OR(J815=0,J815=1,J815=2),R815&lt;&gt;"000")),Y815&lt;=9,MIN(T815:V815)&gt;=0),"合法","输入违约")</x:f>
        <x:v>合法</x:v>
      </x:c>
    </x:row>
    <x:row r="816" ht="23" customHeight="1">
      <x:c r="A816" s="3" t="str">
        <x:v>CT-0809</x:v>
      </x:c>
      <x:c r="B816" s="3" t="str">
        <x:v>ST-067</x:v>
      </x:c>
      <x:c r="C816" s="3" t="str">
        <x:v>R+AR同收同发</x:v>
      </x:c>
      <x:c r="D816" s="25" t="n">
        <x:v>1</x:v>
      </x:c>
      <x:c r="E816" s="25" t="n">
        <x:v>3</x:v>
      </x:c>
      <x:c r="F816" s="25" t="n">
        <x:v>2</x:v>
      </x:c>
      <x:c r="G816" s="19" t="n">
        <x:f>SUM(D816:F816)</x:f>
        <x:v>6</x:v>
      </x:c>
      <x:c r="H816" s="25" t="n">
        <x:v>1</x:v>
      </x:c>
      <x:c r="I816" s="25" t="n">
        <x:v>1</x:v>
      </x:c>
      <x:c r="J816" s="25" t="n">
        <x:v>1</x:v>
      </x:c>
      <x:c r="K816" s="19" t="n">
        <x:f>D816-IF(H816=0,1,0)</x:f>
        <x:v>1</x:v>
      </x:c>
      <x:c r="L816" s="19" t="n">
        <x:f>E816-IF(H816=1,1,0)</x:f>
        <x:v>2</x:v>
      </x:c>
      <x:c r="M816" s="19" t="n">
        <x:f>F816-IF(H816=2,1,0)</x:f>
        <x:v>2</x:v>
      </x:c>
      <x:c r="N816" s="19" t="n">
        <x:f>MAX(K816-1,0)+MAX(L816-1,0)+MAX(M816-1,0)</x:f>
        <x:v>2</x:v>
      </x:c>
      <x:c r="O816" s="19" t="n">
        <x:f>IF(AND(SUM(K816:M816)&lt;9,OR(M816=0,N816&lt;6)),1,0)</x:f>
        <x:v>1</x:v>
      </x:c>
      <x:c r="P816" s="19" t="n">
        <x:f>IF(AND(SUM(K816:M816)&lt;9,OR(L816=0,N816&lt;6)),1,0)</x:f>
        <x:v>1</x:v>
      </x:c>
      <x:c r="Q816" s="19" t="n">
        <x:f>IF(AND(SUM(K816:M816)&lt;9,OR(K816=0,N816&lt;6)),1,0)</x:f>
        <x:v>1</x:v>
      </x:c>
      <x:c r="R816" s="22" t="str">
        <x:f>O816&amp;P816&amp;Q816</x:f>
        <x:v>111</x:v>
      </x:c>
      <x:c r="S816" s="19" t="n">
        <x:f>IF(I816=1,IF(J816=0,Q816,IF(J816=1,P816,IF(J816=2,O816,0))),0)</x:f>
        <x:v>1</x:v>
      </x:c>
      <x:c r="T816" s="19" t="n">
        <x:f>K816+IF(AND(S816=1,J816=0),1,0)</x:f>
        <x:v>1</x:v>
      </x:c>
      <x:c r="U816" s="19" t="n">
        <x:f>L816+IF(AND(S816=1,J816=1),1,0)</x:f>
        <x:v>3</x:v>
      </x:c>
      <x:c r="V816" s="19" t="n">
        <x:f>M816+IF(AND(S816=1,J816=2),1,0)</x:f>
        <x:v>2</x:v>
      </x:c>
      <x:c r="W816" s="19" t="n">
        <x:f>SUM(T816:V816)</x:f>
        <x:v>6</x:v>
      </x:c>
      <x:c r="X816" s="19" t="n">
        <x:f>W816-G816</x:f>
        <x:v>0</x:v>
      </x:c>
      <x:c r="Y816" s="19" t="n">
        <x:f>MAX(T816,1)+MAX(U816,1)+MAX(V816,1)</x:f>
        <x:v>6</x:v>
      </x:c>
      <x:c r="Z816" s="21" t="str">
        <x:f>IF(AND(MIN(D816:F816)&gt;=0,MAX(D816:F816)&lt;=7,MAX(D816,1)+MAX(E816,1)+MAX(F816,1)&lt;=9,OR(H816="-",AND(H816=0,D816&gt;0),AND(H816=1,E816&gt;0),AND(H816=2,F816&gt;0)),OR(I816=0,AND(I816=1,OR(J816=0,J816=1,J816=2),R816&lt;&gt;"000")),Y816&lt;=9,MIN(T816:V816)&gt;=0),"合法","输入违约")</x:f>
        <x:v>合法</x:v>
      </x:c>
    </x:row>
    <x:row r="817" ht="23" customHeight="1">
      <x:c r="A817" s="3" t="str">
        <x:v>CT-0810</x:v>
      </x:c>
      <x:c r="B817" s="3" t="str">
        <x:v>ST-067</x:v>
      </x:c>
      <x:c r="C817" s="3" t="str">
        <x:v>R+AR同收同发</x:v>
      </x:c>
      <x:c r="D817" s="25" t="n">
        <x:v>1</x:v>
      </x:c>
      <x:c r="E817" s="25" t="n">
        <x:v>3</x:v>
      </x:c>
      <x:c r="F817" s="25" t="n">
        <x:v>2</x:v>
      </x:c>
      <x:c r="G817" s="19" t="n">
        <x:f>SUM(D817:F817)</x:f>
        <x:v>6</x:v>
      </x:c>
      <x:c r="H817" s="25" t="n">
        <x:v>1</x:v>
      </x:c>
      <x:c r="I817" s="25" t="n">
        <x:v>1</x:v>
      </x:c>
      <x:c r="J817" s="25" t="n">
        <x:v>2</x:v>
      </x:c>
      <x:c r="K817" s="19" t="n">
        <x:f>D817-IF(H817=0,1,0)</x:f>
        <x:v>1</x:v>
      </x:c>
      <x:c r="L817" s="19" t="n">
        <x:f>E817-IF(H817=1,1,0)</x:f>
        <x:v>2</x:v>
      </x:c>
      <x:c r="M817" s="19" t="n">
        <x:f>F817-IF(H817=2,1,0)</x:f>
        <x:v>2</x:v>
      </x:c>
      <x:c r="N817" s="19" t="n">
        <x:f>MAX(K817-1,0)+MAX(L817-1,0)+MAX(M817-1,0)</x:f>
        <x:v>2</x:v>
      </x:c>
      <x:c r="O817" s="19" t="n">
        <x:f>IF(AND(SUM(K817:M817)&lt;9,OR(M817=0,N817&lt;6)),1,0)</x:f>
        <x:v>1</x:v>
      </x:c>
      <x:c r="P817" s="19" t="n">
        <x:f>IF(AND(SUM(K817:M817)&lt;9,OR(L817=0,N817&lt;6)),1,0)</x:f>
        <x:v>1</x:v>
      </x:c>
      <x:c r="Q817" s="19" t="n">
        <x:f>IF(AND(SUM(K817:M817)&lt;9,OR(K817=0,N817&lt;6)),1,0)</x:f>
        <x:v>1</x:v>
      </x:c>
      <x:c r="R817" s="22" t="str">
        <x:f>O817&amp;P817&amp;Q817</x:f>
        <x:v>111</x:v>
      </x:c>
      <x:c r="S817" s="19" t="n">
        <x:f>IF(I817=1,IF(J817=0,Q817,IF(J817=1,P817,IF(J817=2,O817,0))),0)</x:f>
        <x:v>1</x:v>
      </x:c>
      <x:c r="T817" s="19" t="n">
        <x:f>K817+IF(AND(S817=1,J817=0),1,0)</x:f>
        <x:v>1</x:v>
      </x:c>
      <x:c r="U817" s="19" t="n">
        <x:f>L817+IF(AND(S817=1,J817=1),1,0)</x:f>
        <x:v>2</x:v>
      </x:c>
      <x:c r="V817" s="19" t="n">
        <x:f>M817+IF(AND(S817=1,J817=2),1,0)</x:f>
        <x:v>3</x:v>
      </x:c>
      <x:c r="W817" s="19" t="n">
        <x:f>SUM(T817:V817)</x:f>
        <x:v>6</x:v>
      </x:c>
      <x:c r="X817" s="19" t="n">
        <x:f>W817-G817</x:f>
        <x:v>0</x:v>
      </x:c>
      <x:c r="Y817" s="19" t="n">
        <x:f>MAX(T817,1)+MAX(U817,1)+MAX(V817,1)</x:f>
        <x:v>6</x:v>
      </x:c>
      <x:c r="Z817" s="21" t="str">
        <x:f>IF(AND(MIN(D817:F817)&gt;=0,MAX(D817:F817)&lt;=7,MAX(D817,1)+MAX(E817,1)+MAX(F817,1)&lt;=9,OR(H817="-",AND(H817=0,D817&gt;0),AND(H817=1,E817&gt;0),AND(H817=2,F817&gt;0)),OR(I817=0,AND(I817=1,OR(J817=0,J817=1,J817=2),R817&lt;&gt;"000")),Y817&lt;=9,MIN(T817:V817)&gt;=0),"合法","输入违约")</x:f>
        <x:v>合法</x:v>
      </x:c>
    </x:row>
    <x:row r="818" ht="23" customHeight="1">
      <x:c r="A818" s="3" t="str">
        <x:v>CT-0811</x:v>
      </x:c>
      <x:c r="B818" s="3" t="str">
        <x:v>ST-067</x:v>
      </x:c>
      <x:c r="C818" s="3" t="str">
        <x:v>仅R回收</x:v>
      </x:c>
      <x:c r="D818" s="25" t="n">
        <x:v>1</x:v>
      </x:c>
      <x:c r="E818" s="25" t="n">
        <x:v>3</x:v>
      </x:c>
      <x:c r="F818" s="25" t="n">
        <x:v>2</x:v>
      </x:c>
      <x:c r="G818" s="19" t="n">
        <x:f>SUM(D818:F818)</x:f>
        <x:v>6</x:v>
      </x:c>
      <x:c r="H818" s="25" t="n">
        <x:v>2</x:v>
      </x:c>
      <x:c r="I818" s="25" t="n">
        <x:v>0</x:v>
      </x:c>
      <x:c r="J818" s="25" t="str">
        <x:v>-</x:v>
      </x:c>
      <x:c r="K818" s="19" t="n">
        <x:f>D818-IF(H818=0,1,0)</x:f>
        <x:v>1</x:v>
      </x:c>
      <x:c r="L818" s="19" t="n">
        <x:f>E818-IF(H818=1,1,0)</x:f>
        <x:v>3</x:v>
      </x:c>
      <x:c r="M818" s="19" t="n">
        <x:f>F818-IF(H818=2,1,0)</x:f>
        <x:v>1</x:v>
      </x:c>
      <x:c r="N818" s="19" t="n">
        <x:f>MAX(K818-1,0)+MAX(L818-1,0)+MAX(M818-1,0)</x:f>
        <x:v>2</x:v>
      </x:c>
      <x:c r="O818" s="19" t="n">
        <x:f>IF(AND(SUM(K818:M818)&lt;9,OR(M818=0,N818&lt;6)),1,0)</x:f>
        <x:v>1</x:v>
      </x:c>
      <x:c r="P818" s="19" t="n">
        <x:f>IF(AND(SUM(K818:M818)&lt;9,OR(L818=0,N818&lt;6)),1,0)</x:f>
        <x:v>1</x:v>
      </x:c>
      <x:c r="Q818" s="19" t="n">
        <x:f>IF(AND(SUM(K818:M818)&lt;9,OR(K818=0,N818&lt;6)),1,0)</x:f>
        <x:v>1</x:v>
      </x:c>
      <x:c r="R818" s="22" t="str">
        <x:f>O818&amp;P818&amp;Q818</x:f>
        <x:v>111</x:v>
      </x:c>
      <x:c r="S818" s="19" t="n">
        <x:f>IF(I818=1,IF(J818=0,Q818,IF(J818=1,P818,IF(J818=2,O818,0))),0)</x:f>
        <x:v>0</x:v>
      </x:c>
      <x:c r="T818" s="19" t="n">
        <x:f>K818+IF(AND(S818=1,J818=0),1,0)</x:f>
        <x:v>1</x:v>
      </x:c>
      <x:c r="U818" s="19" t="n">
        <x:f>L818+IF(AND(S818=1,J818=1),1,0)</x:f>
        <x:v>3</x:v>
      </x:c>
      <x:c r="V818" s="19" t="n">
        <x:f>M818+IF(AND(S818=1,J818=2),1,0)</x:f>
        <x:v>1</x:v>
      </x:c>
      <x:c r="W818" s="19" t="n">
        <x:f>SUM(T818:V818)</x:f>
        <x:v>5</x:v>
      </x:c>
      <x:c r="X818" s="19" t="n">
        <x:f>W818-G818</x:f>
        <x:v>-1</x:v>
      </x:c>
      <x:c r="Y818" s="19" t="n">
        <x:f>MAX(T818,1)+MAX(U818,1)+MAX(V818,1)</x:f>
        <x:v>5</x:v>
      </x:c>
      <x:c r="Z818" s="21" t="str">
        <x:f>IF(AND(MIN(D818:F818)&gt;=0,MAX(D818:F818)&lt;=7,MAX(D818,1)+MAX(E818,1)+MAX(F818,1)&lt;=9,OR(H818="-",AND(H818=0,D818&gt;0),AND(H818=1,E818&gt;0),AND(H818=2,F818&gt;0)),OR(I818=0,AND(I818=1,OR(J818=0,J818=1,J818=2),R818&lt;&gt;"000")),Y818&lt;=9,MIN(T818:V818)&gt;=0),"合法","输入违约")</x:f>
        <x:v>合法</x:v>
      </x:c>
    </x:row>
    <x:row r="819" ht="23" customHeight="1">
      <x:c r="A819" s="3" t="str">
        <x:v>CT-0812</x:v>
      </x:c>
      <x:c r="B819" s="3" t="str">
        <x:v>ST-067</x:v>
      </x:c>
      <x:c r="C819" s="3" t="str">
        <x:v>R+AR同收同发</x:v>
      </x:c>
      <x:c r="D819" s="25" t="n">
        <x:v>1</x:v>
      </x:c>
      <x:c r="E819" s="25" t="n">
        <x:v>3</x:v>
      </x:c>
      <x:c r="F819" s="25" t="n">
        <x:v>2</x:v>
      </x:c>
      <x:c r="G819" s="19" t="n">
        <x:f>SUM(D819:F819)</x:f>
        <x:v>6</x:v>
      </x:c>
      <x:c r="H819" s="25" t="n">
        <x:v>2</x:v>
      </x:c>
      <x:c r="I819" s="25" t="n">
        <x:v>1</x:v>
      </x:c>
      <x:c r="J819" s="25" t="n">
        <x:v>0</x:v>
      </x:c>
      <x:c r="K819" s="19" t="n">
        <x:f>D819-IF(H819=0,1,0)</x:f>
        <x:v>1</x:v>
      </x:c>
      <x:c r="L819" s="19" t="n">
        <x:f>E819-IF(H819=1,1,0)</x:f>
        <x:v>3</x:v>
      </x:c>
      <x:c r="M819" s="19" t="n">
        <x:f>F819-IF(H819=2,1,0)</x:f>
        <x:v>1</x:v>
      </x:c>
      <x:c r="N819" s="19" t="n">
        <x:f>MAX(K819-1,0)+MAX(L819-1,0)+MAX(M819-1,0)</x:f>
        <x:v>2</x:v>
      </x:c>
      <x:c r="O819" s="19" t="n">
        <x:f>IF(AND(SUM(K819:M819)&lt;9,OR(M819=0,N819&lt;6)),1,0)</x:f>
        <x:v>1</x:v>
      </x:c>
      <x:c r="P819" s="19" t="n">
        <x:f>IF(AND(SUM(K819:M819)&lt;9,OR(L819=0,N819&lt;6)),1,0)</x:f>
        <x:v>1</x:v>
      </x:c>
      <x:c r="Q819" s="19" t="n">
        <x:f>IF(AND(SUM(K819:M819)&lt;9,OR(K819=0,N819&lt;6)),1,0)</x:f>
        <x:v>1</x:v>
      </x:c>
      <x:c r="R819" s="22" t="str">
        <x:f>O819&amp;P819&amp;Q819</x:f>
        <x:v>111</x:v>
      </x:c>
      <x:c r="S819" s="19" t="n">
        <x:f>IF(I819=1,IF(J819=0,Q819,IF(J819=1,P819,IF(J819=2,O819,0))),0)</x:f>
        <x:v>1</x:v>
      </x:c>
      <x:c r="T819" s="19" t="n">
        <x:f>K819+IF(AND(S819=1,J819=0),1,0)</x:f>
        <x:v>2</x:v>
      </x:c>
      <x:c r="U819" s="19" t="n">
        <x:f>L819+IF(AND(S819=1,J819=1),1,0)</x:f>
        <x:v>3</x:v>
      </x:c>
      <x:c r="V819" s="19" t="n">
        <x:f>M819+IF(AND(S819=1,J819=2),1,0)</x:f>
        <x:v>1</x:v>
      </x:c>
      <x:c r="W819" s="19" t="n">
        <x:f>SUM(T819:V819)</x:f>
        <x:v>6</x:v>
      </x:c>
      <x:c r="X819" s="19" t="n">
        <x:f>W819-G819</x:f>
        <x:v>0</x:v>
      </x:c>
      <x:c r="Y819" s="19" t="n">
        <x:f>MAX(T819,1)+MAX(U819,1)+MAX(V819,1)</x:f>
        <x:v>6</x:v>
      </x:c>
      <x:c r="Z819" s="21" t="str">
        <x:f>IF(AND(MIN(D819:F819)&gt;=0,MAX(D819:F819)&lt;=7,MAX(D819,1)+MAX(E819,1)+MAX(F819,1)&lt;=9,OR(H819="-",AND(H819=0,D819&gt;0),AND(H819=1,E819&gt;0),AND(H819=2,F819&gt;0)),OR(I819=0,AND(I819=1,OR(J819=0,J819=1,J819=2),R819&lt;&gt;"000")),Y819&lt;=9,MIN(T819:V819)&gt;=0),"合法","输入违约")</x:f>
        <x:v>合法</x:v>
      </x:c>
    </x:row>
    <x:row r="820" ht="23" customHeight="1">
      <x:c r="A820" s="3" t="str">
        <x:v>CT-0813</x:v>
      </x:c>
      <x:c r="B820" s="3" t="str">
        <x:v>ST-067</x:v>
      </x:c>
      <x:c r="C820" s="3" t="str">
        <x:v>R+AR同收同发</x:v>
      </x:c>
      <x:c r="D820" s="25" t="n">
        <x:v>1</x:v>
      </x:c>
      <x:c r="E820" s="25" t="n">
        <x:v>3</x:v>
      </x:c>
      <x:c r="F820" s="25" t="n">
        <x:v>2</x:v>
      </x:c>
      <x:c r="G820" s="19" t="n">
        <x:f>SUM(D820:F820)</x:f>
        <x:v>6</x:v>
      </x:c>
      <x:c r="H820" s="25" t="n">
        <x:v>2</x:v>
      </x:c>
      <x:c r="I820" s="25" t="n">
        <x:v>1</x:v>
      </x:c>
      <x:c r="J820" s="25" t="n">
        <x:v>1</x:v>
      </x:c>
      <x:c r="K820" s="19" t="n">
        <x:f>D820-IF(H820=0,1,0)</x:f>
        <x:v>1</x:v>
      </x:c>
      <x:c r="L820" s="19" t="n">
        <x:f>E820-IF(H820=1,1,0)</x:f>
        <x:v>3</x:v>
      </x:c>
      <x:c r="M820" s="19" t="n">
        <x:f>F820-IF(H820=2,1,0)</x:f>
        <x:v>1</x:v>
      </x:c>
      <x:c r="N820" s="19" t="n">
        <x:f>MAX(K820-1,0)+MAX(L820-1,0)+MAX(M820-1,0)</x:f>
        <x:v>2</x:v>
      </x:c>
      <x:c r="O820" s="19" t="n">
        <x:f>IF(AND(SUM(K820:M820)&lt;9,OR(M820=0,N820&lt;6)),1,0)</x:f>
        <x:v>1</x:v>
      </x:c>
      <x:c r="P820" s="19" t="n">
        <x:f>IF(AND(SUM(K820:M820)&lt;9,OR(L820=0,N820&lt;6)),1,0)</x:f>
        <x:v>1</x:v>
      </x:c>
      <x:c r="Q820" s="19" t="n">
        <x:f>IF(AND(SUM(K820:M820)&lt;9,OR(K820=0,N820&lt;6)),1,0)</x:f>
        <x:v>1</x:v>
      </x:c>
      <x:c r="R820" s="22" t="str">
        <x:f>O820&amp;P820&amp;Q820</x:f>
        <x:v>111</x:v>
      </x:c>
      <x:c r="S820" s="19" t="n">
        <x:f>IF(I820=1,IF(J820=0,Q820,IF(J820=1,P820,IF(J820=2,O820,0))),0)</x:f>
        <x:v>1</x:v>
      </x:c>
      <x:c r="T820" s="19" t="n">
        <x:f>K820+IF(AND(S820=1,J820=0),1,0)</x:f>
        <x:v>1</x:v>
      </x:c>
      <x:c r="U820" s="19" t="n">
        <x:f>L820+IF(AND(S820=1,J820=1),1,0)</x:f>
        <x:v>4</x:v>
      </x:c>
      <x:c r="V820" s="19" t="n">
        <x:f>M820+IF(AND(S820=1,J820=2),1,0)</x:f>
        <x:v>1</x:v>
      </x:c>
      <x:c r="W820" s="19" t="n">
        <x:f>SUM(T820:V820)</x:f>
        <x:v>6</x:v>
      </x:c>
      <x:c r="X820" s="19" t="n">
        <x:f>W820-G820</x:f>
        <x:v>0</x:v>
      </x:c>
      <x:c r="Y820" s="19" t="n">
        <x:f>MAX(T820,1)+MAX(U820,1)+MAX(V820,1)</x:f>
        <x:v>6</x:v>
      </x:c>
      <x:c r="Z820" s="21" t="str">
        <x:f>IF(AND(MIN(D820:F820)&gt;=0,MAX(D820:F820)&lt;=7,MAX(D820,1)+MAX(E820,1)+MAX(F820,1)&lt;=9,OR(H820="-",AND(H820=0,D820&gt;0),AND(H820=1,E820&gt;0),AND(H820=2,F820&gt;0)),OR(I820=0,AND(I820=1,OR(J820=0,J820=1,J820=2),R820&lt;&gt;"000")),Y820&lt;=9,MIN(T820:V820)&gt;=0),"合法","输入违约")</x:f>
        <x:v>合法</x:v>
      </x:c>
    </x:row>
    <x:row r="821" ht="23" customHeight="1">
      <x:c r="A821" s="3" t="str">
        <x:v>CT-0814</x:v>
      </x:c>
      <x:c r="B821" s="3" t="str">
        <x:v>ST-067</x:v>
      </x:c>
      <x:c r="C821" s="3" t="str">
        <x:v>R+AR同收同发</x:v>
      </x:c>
      <x:c r="D821" s="25" t="n">
        <x:v>1</x:v>
      </x:c>
      <x:c r="E821" s="25" t="n">
        <x:v>3</x:v>
      </x:c>
      <x:c r="F821" s="25" t="n">
        <x:v>2</x:v>
      </x:c>
      <x:c r="G821" s="19" t="n">
        <x:f>SUM(D821:F821)</x:f>
        <x:v>6</x:v>
      </x:c>
      <x:c r="H821" s="25" t="n">
        <x:v>2</x:v>
      </x:c>
      <x:c r="I821" s="25" t="n">
        <x:v>1</x:v>
      </x:c>
      <x:c r="J821" s="25" t="n">
        <x:v>2</x:v>
      </x:c>
      <x:c r="K821" s="19" t="n">
        <x:f>D821-IF(H821=0,1,0)</x:f>
        <x:v>1</x:v>
      </x:c>
      <x:c r="L821" s="19" t="n">
        <x:f>E821-IF(H821=1,1,0)</x:f>
        <x:v>3</x:v>
      </x:c>
      <x:c r="M821" s="19" t="n">
        <x:f>F821-IF(H821=2,1,0)</x:f>
        <x:v>1</x:v>
      </x:c>
      <x:c r="N821" s="19" t="n">
        <x:f>MAX(K821-1,0)+MAX(L821-1,0)+MAX(M821-1,0)</x:f>
        <x:v>2</x:v>
      </x:c>
      <x:c r="O821" s="19" t="n">
        <x:f>IF(AND(SUM(K821:M821)&lt;9,OR(M821=0,N821&lt;6)),1,0)</x:f>
        <x:v>1</x:v>
      </x:c>
      <x:c r="P821" s="19" t="n">
        <x:f>IF(AND(SUM(K821:M821)&lt;9,OR(L821=0,N821&lt;6)),1,0)</x:f>
        <x:v>1</x:v>
      </x:c>
      <x:c r="Q821" s="19" t="n">
        <x:f>IF(AND(SUM(K821:M821)&lt;9,OR(K821=0,N821&lt;6)),1,0)</x:f>
        <x:v>1</x:v>
      </x:c>
      <x:c r="R821" s="22" t="str">
        <x:f>O821&amp;P821&amp;Q821</x:f>
        <x:v>111</x:v>
      </x:c>
      <x:c r="S821" s="19" t="n">
        <x:f>IF(I821=1,IF(J821=0,Q821,IF(J821=1,P821,IF(J821=2,O821,0))),0)</x:f>
        <x:v>1</x:v>
      </x:c>
      <x:c r="T821" s="19" t="n">
        <x:f>K821+IF(AND(S821=1,J821=0),1,0)</x:f>
        <x:v>1</x:v>
      </x:c>
      <x:c r="U821" s="19" t="n">
        <x:f>L821+IF(AND(S821=1,J821=1),1,0)</x:f>
        <x:v>3</x:v>
      </x:c>
      <x:c r="V821" s="19" t="n">
        <x:f>M821+IF(AND(S821=1,J821=2),1,0)</x:f>
        <x:v>2</x:v>
      </x:c>
      <x:c r="W821" s="19" t="n">
        <x:f>SUM(T821:V821)</x:f>
        <x:v>6</x:v>
      </x:c>
      <x:c r="X821" s="19" t="n">
        <x:f>W821-G821</x:f>
        <x:v>0</x:v>
      </x:c>
      <x:c r="Y821" s="19" t="n">
        <x:f>MAX(T821,1)+MAX(U821,1)+MAX(V821,1)</x:f>
        <x:v>6</x:v>
      </x:c>
      <x:c r="Z821" s="21" t="str">
        <x:f>IF(AND(MIN(D821:F821)&gt;=0,MAX(D821:F821)&lt;=7,MAX(D821,1)+MAX(E821,1)+MAX(F821,1)&lt;=9,OR(H821="-",AND(H821=0,D821&gt;0),AND(H821=1,E821&gt;0),AND(H821=2,F821&gt;0)),OR(I821=0,AND(I821=1,OR(J821=0,J821=1,J821=2),R821&lt;&gt;"000")),Y821&lt;=9,MIN(T821:V821)&gt;=0),"合法","输入违约")</x:f>
        <x:v>合法</x:v>
      </x:c>
    </x:row>
    <x:row r="822" ht="23" customHeight="1">
      <x:c r="A822" s="3" t="str">
        <x:v>CT-0815</x:v>
      </x:c>
      <x:c r="B822" s="3" t="str">
        <x:v>ST-096</x:v>
      </x:c>
      <x:c r="C822" s="3" t="str">
        <x:v>无AR/R</x:v>
      </x:c>
      <x:c r="D822" s="25" t="n">
        <x:v>1</x:v>
      </x:c>
      <x:c r="E822" s="25" t="n">
        <x:v>3</x:v>
      </x:c>
      <x:c r="F822" s="25" t="n">
        <x:v>3</x:v>
      </x:c>
      <x:c r="G822" s="19" t="n">
        <x:f>SUM(D822:F822)</x:f>
        <x:v>7</x:v>
      </x:c>
      <x:c r="H822" s="25" t="str">
        <x:v>-</x:v>
      </x:c>
      <x:c r="I822" s="25" t="n">
        <x:v>0</x:v>
      </x:c>
      <x:c r="J822" s="25" t="str">
        <x:v>-</x:v>
      </x:c>
      <x:c r="K822" s="19" t="n">
        <x:f>D822-IF(H822=0,1,0)</x:f>
        <x:v>1</x:v>
      </x:c>
      <x:c r="L822" s="19" t="n">
        <x:f>E822-IF(H822=1,1,0)</x:f>
        <x:v>3</x:v>
      </x:c>
      <x:c r="M822" s="19" t="n">
        <x:f>F822-IF(H822=2,1,0)</x:f>
        <x:v>3</x:v>
      </x:c>
      <x:c r="N822" s="19" t="n">
        <x:f>MAX(K822-1,0)+MAX(L822-1,0)+MAX(M822-1,0)</x:f>
        <x:v>4</x:v>
      </x:c>
      <x:c r="O822" s="19" t="n">
        <x:f>IF(AND(SUM(K822:M822)&lt;9,OR(M822=0,N822&lt;6)),1,0)</x:f>
        <x:v>1</x:v>
      </x:c>
      <x:c r="P822" s="19" t="n">
        <x:f>IF(AND(SUM(K822:M822)&lt;9,OR(L822=0,N822&lt;6)),1,0)</x:f>
        <x:v>1</x:v>
      </x:c>
      <x:c r="Q822" s="19" t="n">
        <x:f>IF(AND(SUM(K822:M822)&lt;9,OR(K822=0,N822&lt;6)),1,0)</x:f>
        <x:v>1</x:v>
      </x:c>
      <x:c r="R822" s="22" t="str">
        <x:f>O822&amp;P822&amp;Q822</x:f>
        <x:v>111</x:v>
      </x:c>
      <x:c r="S822" s="19" t="n">
        <x:f>IF(I822=1,IF(J822=0,Q822,IF(J822=1,P822,IF(J822=2,O822,0))),0)</x:f>
        <x:v>0</x:v>
      </x:c>
      <x:c r="T822" s="19" t="n">
        <x:f>K822+IF(AND(S822=1,J822=0),1,0)</x:f>
        <x:v>1</x:v>
      </x:c>
      <x:c r="U822" s="19" t="n">
        <x:f>L822+IF(AND(S822=1,J822=1),1,0)</x:f>
        <x:v>3</x:v>
      </x:c>
      <x:c r="V822" s="19" t="n">
        <x:f>M822+IF(AND(S822=1,J822=2),1,0)</x:f>
        <x:v>3</x:v>
      </x:c>
      <x:c r="W822" s="19" t="n">
        <x:f>SUM(T822:V822)</x:f>
        <x:v>7</x:v>
      </x:c>
      <x:c r="X822" s="19" t="n">
        <x:f>W822-G822</x:f>
        <x:v>0</x:v>
      </x:c>
      <x:c r="Y822" s="19" t="n">
        <x:f>MAX(T822,1)+MAX(U822,1)+MAX(V822,1)</x:f>
        <x:v>7</x:v>
      </x:c>
      <x:c r="Z822" s="21" t="str">
        <x:f>IF(AND(MIN(D822:F822)&gt;=0,MAX(D822:F822)&lt;=7,MAX(D822,1)+MAX(E822,1)+MAX(F822,1)&lt;=9,OR(H822="-",AND(H822=0,D822&gt;0),AND(H822=1,E822&gt;0),AND(H822=2,F822&gt;0)),OR(I822=0,AND(I822=1,OR(J822=0,J822=1,J822=2),R822&lt;&gt;"000")),Y822&lt;=9,MIN(T822:V822)&gt;=0),"合法","输入违约")</x:f>
        <x:v>合法</x:v>
      </x:c>
    </x:row>
    <x:row r="823" ht="23" customHeight="1">
      <x:c r="A823" s="3" t="str">
        <x:v>CT-0816</x:v>
      </x:c>
      <x:c r="B823" s="3" t="str">
        <x:v>ST-096</x:v>
      </x:c>
      <x:c r="C823" s="3" t="str">
        <x:v>仅AR接收</x:v>
      </x:c>
      <x:c r="D823" s="25" t="n">
        <x:v>1</x:v>
      </x:c>
      <x:c r="E823" s="25" t="n">
        <x:v>3</x:v>
      </x:c>
      <x:c r="F823" s="25" t="n">
        <x:v>3</x:v>
      </x:c>
      <x:c r="G823" s="19" t="n">
        <x:f>SUM(D823:F823)</x:f>
        <x:v>7</x:v>
      </x:c>
      <x:c r="H823" s="25" t="str">
        <x:v>-</x:v>
      </x:c>
      <x:c r="I823" s="25" t="n">
        <x:v>1</x:v>
      </x:c>
      <x:c r="J823" s="25" t="n">
        <x:v>0</x:v>
      </x:c>
      <x:c r="K823" s="19" t="n">
        <x:f>D823-IF(H823=0,1,0)</x:f>
        <x:v>1</x:v>
      </x:c>
      <x:c r="L823" s="19" t="n">
        <x:f>E823-IF(H823=1,1,0)</x:f>
        <x:v>3</x:v>
      </x:c>
      <x:c r="M823" s="19" t="n">
        <x:f>F823-IF(H823=2,1,0)</x:f>
        <x:v>3</x:v>
      </x:c>
      <x:c r="N823" s="19" t="n">
        <x:f>MAX(K823-1,0)+MAX(L823-1,0)+MAX(M823-1,0)</x:f>
        <x:v>4</x:v>
      </x:c>
      <x:c r="O823" s="19" t="n">
        <x:f>IF(AND(SUM(K823:M823)&lt;9,OR(M823=0,N823&lt;6)),1,0)</x:f>
        <x:v>1</x:v>
      </x:c>
      <x:c r="P823" s="19" t="n">
        <x:f>IF(AND(SUM(K823:M823)&lt;9,OR(L823=0,N823&lt;6)),1,0)</x:f>
        <x:v>1</x:v>
      </x:c>
      <x:c r="Q823" s="19" t="n">
        <x:f>IF(AND(SUM(K823:M823)&lt;9,OR(K823=0,N823&lt;6)),1,0)</x:f>
        <x:v>1</x:v>
      </x:c>
      <x:c r="R823" s="22" t="str">
        <x:f>O823&amp;P823&amp;Q823</x:f>
        <x:v>111</x:v>
      </x:c>
      <x:c r="S823" s="19" t="n">
        <x:f>IF(I823=1,IF(J823=0,Q823,IF(J823=1,P823,IF(J823=2,O823,0))),0)</x:f>
        <x:v>1</x:v>
      </x:c>
      <x:c r="T823" s="19" t="n">
        <x:f>K823+IF(AND(S823=1,J823=0),1,0)</x:f>
        <x:v>2</x:v>
      </x:c>
      <x:c r="U823" s="19" t="n">
        <x:f>L823+IF(AND(S823=1,J823=1),1,0)</x:f>
        <x:v>3</x:v>
      </x:c>
      <x:c r="V823" s="19" t="n">
        <x:f>M823+IF(AND(S823=1,J823=2),1,0)</x:f>
        <x:v>3</x:v>
      </x:c>
      <x:c r="W823" s="19" t="n">
        <x:f>SUM(T823:V823)</x:f>
        <x:v>8</x:v>
      </x:c>
      <x:c r="X823" s="19" t="n">
        <x:f>W823-G823</x:f>
        <x:v>1</x:v>
      </x:c>
      <x:c r="Y823" s="19" t="n">
        <x:f>MAX(T823,1)+MAX(U823,1)+MAX(V823,1)</x:f>
        <x:v>8</x:v>
      </x:c>
      <x:c r="Z823" s="21" t="str">
        <x:f>IF(AND(MIN(D823:F823)&gt;=0,MAX(D823:F823)&lt;=7,MAX(D823,1)+MAX(E823,1)+MAX(F823,1)&lt;=9,OR(H823="-",AND(H823=0,D823&gt;0),AND(H823=1,E823&gt;0),AND(H823=2,F823&gt;0)),OR(I823=0,AND(I823=1,OR(J823=0,J823=1,J823=2),R823&lt;&gt;"000")),Y823&lt;=9,MIN(T823:V823)&gt;=0),"合法","输入违约")</x:f>
        <x:v>合法</x:v>
      </x:c>
    </x:row>
    <x:row r="824" ht="23" customHeight="1">
      <x:c r="A824" s="3" t="str">
        <x:v>CT-0817</x:v>
      </x:c>
      <x:c r="B824" s="3" t="str">
        <x:v>ST-096</x:v>
      </x:c>
      <x:c r="C824" s="3" t="str">
        <x:v>仅AR接收</x:v>
      </x:c>
      <x:c r="D824" s="25" t="n">
        <x:v>1</x:v>
      </x:c>
      <x:c r="E824" s="25" t="n">
        <x:v>3</x:v>
      </x:c>
      <x:c r="F824" s="25" t="n">
        <x:v>3</x:v>
      </x:c>
      <x:c r="G824" s="19" t="n">
        <x:f>SUM(D824:F824)</x:f>
        <x:v>7</x:v>
      </x:c>
      <x:c r="H824" s="25" t="str">
        <x:v>-</x:v>
      </x:c>
      <x:c r="I824" s="25" t="n">
        <x:v>1</x:v>
      </x:c>
      <x:c r="J824" s="25" t="n">
        <x:v>1</x:v>
      </x:c>
      <x:c r="K824" s="19" t="n">
        <x:f>D824-IF(H824=0,1,0)</x:f>
        <x:v>1</x:v>
      </x:c>
      <x:c r="L824" s="19" t="n">
        <x:f>E824-IF(H824=1,1,0)</x:f>
        <x:v>3</x:v>
      </x:c>
      <x:c r="M824" s="19" t="n">
        <x:f>F824-IF(H824=2,1,0)</x:f>
        <x:v>3</x:v>
      </x:c>
      <x:c r="N824" s="19" t="n">
        <x:f>MAX(K824-1,0)+MAX(L824-1,0)+MAX(M824-1,0)</x:f>
        <x:v>4</x:v>
      </x:c>
      <x:c r="O824" s="19" t="n">
        <x:f>IF(AND(SUM(K824:M824)&lt;9,OR(M824=0,N824&lt;6)),1,0)</x:f>
        <x:v>1</x:v>
      </x:c>
      <x:c r="P824" s="19" t="n">
        <x:f>IF(AND(SUM(K824:M824)&lt;9,OR(L824=0,N824&lt;6)),1,0)</x:f>
        <x:v>1</x:v>
      </x:c>
      <x:c r="Q824" s="19" t="n">
        <x:f>IF(AND(SUM(K824:M824)&lt;9,OR(K824=0,N824&lt;6)),1,0)</x:f>
        <x:v>1</x:v>
      </x:c>
      <x:c r="R824" s="22" t="str">
        <x:f>O824&amp;P824&amp;Q824</x:f>
        <x:v>111</x:v>
      </x:c>
      <x:c r="S824" s="19" t="n">
        <x:f>IF(I824=1,IF(J824=0,Q824,IF(J824=1,P824,IF(J824=2,O824,0))),0)</x:f>
        <x:v>1</x:v>
      </x:c>
      <x:c r="T824" s="19" t="n">
        <x:f>K824+IF(AND(S824=1,J824=0),1,0)</x:f>
        <x:v>1</x:v>
      </x:c>
      <x:c r="U824" s="19" t="n">
        <x:f>L824+IF(AND(S824=1,J824=1),1,0)</x:f>
        <x:v>4</x:v>
      </x:c>
      <x:c r="V824" s="19" t="n">
        <x:f>M824+IF(AND(S824=1,J824=2),1,0)</x:f>
        <x:v>3</x:v>
      </x:c>
      <x:c r="W824" s="19" t="n">
        <x:f>SUM(T824:V824)</x:f>
        <x:v>8</x:v>
      </x:c>
      <x:c r="X824" s="19" t="n">
        <x:f>W824-G824</x:f>
        <x:v>1</x:v>
      </x:c>
      <x:c r="Y824" s="19" t="n">
        <x:f>MAX(T824,1)+MAX(U824,1)+MAX(V824,1)</x:f>
        <x:v>8</x:v>
      </x:c>
      <x:c r="Z824" s="21" t="str">
        <x:f>IF(AND(MIN(D824:F824)&gt;=0,MAX(D824:F824)&lt;=7,MAX(D824,1)+MAX(E824,1)+MAX(F824,1)&lt;=9,OR(H824="-",AND(H824=0,D824&gt;0),AND(H824=1,E824&gt;0),AND(H824=2,F824&gt;0)),OR(I824=0,AND(I824=1,OR(J824=0,J824=1,J824=2),R824&lt;&gt;"000")),Y824&lt;=9,MIN(T824:V824)&gt;=0),"合法","输入违约")</x:f>
        <x:v>合法</x:v>
      </x:c>
    </x:row>
    <x:row r="825" ht="23" customHeight="1">
      <x:c r="A825" s="3" t="str">
        <x:v>CT-0818</x:v>
      </x:c>
      <x:c r="B825" s="3" t="str">
        <x:v>ST-096</x:v>
      </x:c>
      <x:c r="C825" s="3" t="str">
        <x:v>仅AR接收</x:v>
      </x:c>
      <x:c r="D825" s="25" t="n">
        <x:v>1</x:v>
      </x:c>
      <x:c r="E825" s="25" t="n">
        <x:v>3</x:v>
      </x:c>
      <x:c r="F825" s="25" t="n">
        <x:v>3</x:v>
      </x:c>
      <x:c r="G825" s="19" t="n">
        <x:f>SUM(D825:F825)</x:f>
        <x:v>7</x:v>
      </x:c>
      <x:c r="H825" s="25" t="str">
        <x:v>-</x:v>
      </x:c>
      <x:c r="I825" s="25" t="n">
        <x:v>1</x:v>
      </x:c>
      <x:c r="J825" s="25" t="n">
        <x:v>2</x:v>
      </x:c>
      <x:c r="K825" s="19" t="n">
        <x:f>D825-IF(H825=0,1,0)</x:f>
        <x:v>1</x:v>
      </x:c>
      <x:c r="L825" s="19" t="n">
        <x:f>E825-IF(H825=1,1,0)</x:f>
        <x:v>3</x:v>
      </x:c>
      <x:c r="M825" s="19" t="n">
        <x:f>F825-IF(H825=2,1,0)</x:f>
        <x:v>3</x:v>
      </x:c>
      <x:c r="N825" s="19" t="n">
        <x:f>MAX(K825-1,0)+MAX(L825-1,0)+MAX(M825-1,0)</x:f>
        <x:v>4</x:v>
      </x:c>
      <x:c r="O825" s="19" t="n">
        <x:f>IF(AND(SUM(K825:M825)&lt;9,OR(M825=0,N825&lt;6)),1,0)</x:f>
        <x:v>1</x:v>
      </x:c>
      <x:c r="P825" s="19" t="n">
        <x:f>IF(AND(SUM(K825:M825)&lt;9,OR(L825=0,N825&lt;6)),1,0)</x:f>
        <x:v>1</x:v>
      </x:c>
      <x:c r="Q825" s="19" t="n">
        <x:f>IF(AND(SUM(K825:M825)&lt;9,OR(K825=0,N825&lt;6)),1,0)</x:f>
        <x:v>1</x:v>
      </x:c>
      <x:c r="R825" s="22" t="str">
        <x:f>O825&amp;P825&amp;Q825</x:f>
        <x:v>111</x:v>
      </x:c>
      <x:c r="S825" s="19" t="n">
        <x:f>IF(I825=1,IF(J825=0,Q825,IF(J825=1,P825,IF(J825=2,O825,0))),0)</x:f>
        <x:v>1</x:v>
      </x:c>
      <x:c r="T825" s="19" t="n">
        <x:f>K825+IF(AND(S825=1,J825=0),1,0)</x:f>
        <x:v>1</x:v>
      </x:c>
      <x:c r="U825" s="19" t="n">
        <x:f>L825+IF(AND(S825=1,J825=1),1,0)</x:f>
        <x:v>3</x:v>
      </x:c>
      <x:c r="V825" s="19" t="n">
        <x:f>M825+IF(AND(S825=1,J825=2),1,0)</x:f>
        <x:v>4</x:v>
      </x:c>
      <x:c r="W825" s="19" t="n">
        <x:f>SUM(T825:V825)</x:f>
        <x:v>8</x:v>
      </x:c>
      <x:c r="X825" s="19" t="n">
        <x:f>W825-G825</x:f>
        <x:v>1</x:v>
      </x:c>
      <x:c r="Y825" s="19" t="n">
        <x:f>MAX(T825,1)+MAX(U825,1)+MAX(V825,1)</x:f>
        <x:v>8</x:v>
      </x:c>
      <x:c r="Z825" s="21" t="str">
        <x:f>IF(AND(MIN(D825:F825)&gt;=0,MAX(D825:F825)&lt;=7,MAX(D825,1)+MAX(E825,1)+MAX(F825,1)&lt;=9,OR(H825="-",AND(H825=0,D825&gt;0),AND(H825=1,E825&gt;0),AND(H825=2,F825&gt;0)),OR(I825=0,AND(I825=1,OR(J825=0,J825=1,J825=2),R825&lt;&gt;"000")),Y825&lt;=9,MIN(T825:V825)&gt;=0),"合法","输入违约")</x:f>
        <x:v>合法</x:v>
      </x:c>
    </x:row>
    <x:row r="826" ht="23" customHeight="1">
      <x:c r="A826" s="3" t="str">
        <x:v>CT-0819</x:v>
      </x:c>
      <x:c r="B826" s="3" t="str">
        <x:v>ST-096</x:v>
      </x:c>
      <x:c r="C826" s="3" t="str">
        <x:v>仅R回收</x:v>
      </x:c>
      <x:c r="D826" s="25" t="n">
        <x:v>1</x:v>
      </x:c>
      <x:c r="E826" s="25" t="n">
        <x:v>3</x:v>
      </x:c>
      <x:c r="F826" s="25" t="n">
        <x:v>3</x:v>
      </x:c>
      <x:c r="G826" s="19" t="n">
        <x:f>SUM(D826:F826)</x:f>
        <x:v>7</x:v>
      </x:c>
      <x:c r="H826" s="25" t="n">
        <x:v>0</x:v>
      </x:c>
      <x:c r="I826" s="25" t="n">
        <x:v>0</x:v>
      </x:c>
      <x:c r="J826" s="25" t="str">
        <x:v>-</x:v>
      </x:c>
      <x:c r="K826" s="19" t="n">
        <x:f>D826-IF(H826=0,1,0)</x:f>
        <x:v>0</x:v>
      </x:c>
      <x:c r="L826" s="19" t="n">
        <x:f>E826-IF(H826=1,1,0)</x:f>
        <x:v>3</x:v>
      </x:c>
      <x:c r="M826" s="19" t="n">
        <x:f>F826-IF(H826=2,1,0)</x:f>
        <x:v>3</x:v>
      </x:c>
      <x:c r="N826" s="19" t="n">
        <x:f>MAX(K826-1,0)+MAX(L826-1,0)+MAX(M826-1,0)</x:f>
        <x:v>4</x:v>
      </x:c>
      <x:c r="O826" s="19" t="n">
        <x:f>IF(AND(SUM(K826:M826)&lt;9,OR(M826=0,N826&lt;6)),1,0)</x:f>
        <x:v>1</x:v>
      </x:c>
      <x:c r="P826" s="19" t="n">
        <x:f>IF(AND(SUM(K826:M826)&lt;9,OR(L826=0,N826&lt;6)),1,0)</x:f>
        <x:v>1</x:v>
      </x:c>
      <x:c r="Q826" s="19" t="n">
        <x:f>IF(AND(SUM(K826:M826)&lt;9,OR(K826=0,N826&lt;6)),1,0)</x:f>
        <x:v>1</x:v>
      </x:c>
      <x:c r="R826" s="22" t="str">
        <x:f>O826&amp;P826&amp;Q826</x:f>
        <x:v>111</x:v>
      </x:c>
      <x:c r="S826" s="19" t="n">
        <x:f>IF(I826=1,IF(J826=0,Q826,IF(J826=1,P826,IF(J826=2,O826,0))),0)</x:f>
        <x:v>0</x:v>
      </x:c>
      <x:c r="T826" s="19" t="n">
        <x:f>K826+IF(AND(S826=1,J826=0),1,0)</x:f>
        <x:v>0</x:v>
      </x:c>
      <x:c r="U826" s="19" t="n">
        <x:f>L826+IF(AND(S826=1,J826=1),1,0)</x:f>
        <x:v>3</x:v>
      </x:c>
      <x:c r="V826" s="19" t="n">
        <x:f>M826+IF(AND(S826=1,J826=2),1,0)</x:f>
        <x:v>3</x:v>
      </x:c>
      <x:c r="W826" s="19" t="n">
        <x:f>SUM(T826:V826)</x:f>
        <x:v>6</x:v>
      </x:c>
      <x:c r="X826" s="19" t="n">
        <x:f>W826-G826</x:f>
        <x:v>-1</x:v>
      </x:c>
      <x:c r="Y826" s="19" t="n">
        <x:f>MAX(T826,1)+MAX(U826,1)+MAX(V826,1)</x:f>
        <x:v>7</x:v>
      </x:c>
      <x:c r="Z826" s="21" t="str">
        <x:f>IF(AND(MIN(D826:F826)&gt;=0,MAX(D826:F826)&lt;=7,MAX(D826,1)+MAX(E826,1)+MAX(F826,1)&lt;=9,OR(H826="-",AND(H826=0,D826&gt;0),AND(H826=1,E826&gt;0),AND(H826=2,F826&gt;0)),OR(I826=0,AND(I826=1,OR(J826=0,J826=1,J826=2),R826&lt;&gt;"000")),Y826&lt;=9,MIN(T826:V826)&gt;=0),"合法","输入违约")</x:f>
        <x:v>合法</x:v>
      </x:c>
    </x:row>
    <x:row r="827" ht="23" customHeight="1">
      <x:c r="A827" s="3" t="str">
        <x:v>CT-0820</x:v>
      </x:c>
      <x:c r="B827" s="3" t="str">
        <x:v>ST-096</x:v>
      </x:c>
      <x:c r="C827" s="3" t="str">
        <x:v>R+AR同收同发</x:v>
      </x:c>
      <x:c r="D827" s="25" t="n">
        <x:v>1</x:v>
      </x:c>
      <x:c r="E827" s="25" t="n">
        <x:v>3</x:v>
      </x:c>
      <x:c r="F827" s="25" t="n">
        <x:v>3</x:v>
      </x:c>
      <x:c r="G827" s="19" t="n">
        <x:f>SUM(D827:F827)</x:f>
        <x:v>7</x:v>
      </x:c>
      <x:c r="H827" s="25" t="n">
        <x:v>0</x:v>
      </x:c>
      <x:c r="I827" s="25" t="n">
        <x:v>1</x:v>
      </x:c>
      <x:c r="J827" s="25" t="n">
        <x:v>0</x:v>
      </x:c>
      <x:c r="K827" s="19" t="n">
        <x:f>D827-IF(H827=0,1,0)</x:f>
        <x:v>0</x:v>
      </x:c>
      <x:c r="L827" s="19" t="n">
        <x:f>E827-IF(H827=1,1,0)</x:f>
        <x:v>3</x:v>
      </x:c>
      <x:c r="M827" s="19" t="n">
        <x:f>F827-IF(H827=2,1,0)</x:f>
        <x:v>3</x:v>
      </x:c>
      <x:c r="N827" s="19" t="n">
        <x:f>MAX(K827-1,0)+MAX(L827-1,0)+MAX(M827-1,0)</x:f>
        <x:v>4</x:v>
      </x:c>
      <x:c r="O827" s="19" t="n">
        <x:f>IF(AND(SUM(K827:M827)&lt;9,OR(M827=0,N827&lt;6)),1,0)</x:f>
        <x:v>1</x:v>
      </x:c>
      <x:c r="P827" s="19" t="n">
        <x:f>IF(AND(SUM(K827:M827)&lt;9,OR(L827=0,N827&lt;6)),1,0)</x:f>
        <x:v>1</x:v>
      </x:c>
      <x:c r="Q827" s="19" t="n">
        <x:f>IF(AND(SUM(K827:M827)&lt;9,OR(K827=0,N827&lt;6)),1,0)</x:f>
        <x:v>1</x:v>
      </x:c>
      <x:c r="R827" s="22" t="str">
        <x:f>O827&amp;P827&amp;Q827</x:f>
        <x:v>111</x:v>
      </x:c>
      <x:c r="S827" s="19" t="n">
        <x:f>IF(I827=1,IF(J827=0,Q827,IF(J827=1,P827,IF(J827=2,O827,0))),0)</x:f>
        <x:v>1</x:v>
      </x:c>
      <x:c r="T827" s="19" t="n">
        <x:f>K827+IF(AND(S827=1,J827=0),1,0)</x:f>
        <x:v>1</x:v>
      </x:c>
      <x:c r="U827" s="19" t="n">
        <x:f>L827+IF(AND(S827=1,J827=1),1,0)</x:f>
        <x:v>3</x:v>
      </x:c>
      <x:c r="V827" s="19" t="n">
        <x:f>M827+IF(AND(S827=1,J827=2),1,0)</x:f>
        <x:v>3</x:v>
      </x:c>
      <x:c r="W827" s="19" t="n">
        <x:f>SUM(T827:V827)</x:f>
        <x:v>7</x:v>
      </x:c>
      <x:c r="X827" s="19" t="n">
        <x:f>W827-G827</x:f>
        <x:v>0</x:v>
      </x:c>
      <x:c r="Y827" s="19" t="n">
        <x:f>MAX(T827,1)+MAX(U827,1)+MAX(V827,1)</x:f>
        <x:v>7</x:v>
      </x:c>
      <x:c r="Z827" s="21" t="str">
        <x:f>IF(AND(MIN(D827:F827)&gt;=0,MAX(D827:F827)&lt;=7,MAX(D827,1)+MAX(E827,1)+MAX(F827,1)&lt;=9,OR(H827="-",AND(H827=0,D827&gt;0),AND(H827=1,E827&gt;0),AND(H827=2,F827&gt;0)),OR(I827=0,AND(I827=1,OR(J827=0,J827=1,J827=2),R827&lt;&gt;"000")),Y827&lt;=9,MIN(T827:V827)&gt;=0),"合法","输入违约")</x:f>
        <x:v>合法</x:v>
      </x:c>
    </x:row>
    <x:row r="828" ht="23" customHeight="1">
      <x:c r="A828" s="3" t="str">
        <x:v>CT-0821</x:v>
      </x:c>
      <x:c r="B828" s="3" t="str">
        <x:v>ST-096</x:v>
      </x:c>
      <x:c r="C828" s="3" t="str">
        <x:v>R+AR同收同发</x:v>
      </x:c>
      <x:c r="D828" s="25" t="n">
        <x:v>1</x:v>
      </x:c>
      <x:c r="E828" s="25" t="n">
        <x:v>3</x:v>
      </x:c>
      <x:c r="F828" s="25" t="n">
        <x:v>3</x:v>
      </x:c>
      <x:c r="G828" s="19" t="n">
        <x:f>SUM(D828:F828)</x:f>
        <x:v>7</x:v>
      </x:c>
      <x:c r="H828" s="25" t="n">
        <x:v>0</x:v>
      </x:c>
      <x:c r="I828" s="25" t="n">
        <x:v>1</x:v>
      </x:c>
      <x:c r="J828" s="25" t="n">
        <x:v>1</x:v>
      </x:c>
      <x:c r="K828" s="19" t="n">
        <x:f>D828-IF(H828=0,1,0)</x:f>
        <x:v>0</x:v>
      </x:c>
      <x:c r="L828" s="19" t="n">
        <x:f>E828-IF(H828=1,1,0)</x:f>
        <x:v>3</x:v>
      </x:c>
      <x:c r="M828" s="19" t="n">
        <x:f>F828-IF(H828=2,1,0)</x:f>
        <x:v>3</x:v>
      </x:c>
      <x:c r="N828" s="19" t="n">
        <x:f>MAX(K828-1,0)+MAX(L828-1,0)+MAX(M828-1,0)</x:f>
        <x:v>4</x:v>
      </x:c>
      <x:c r="O828" s="19" t="n">
        <x:f>IF(AND(SUM(K828:M828)&lt;9,OR(M828=0,N828&lt;6)),1,0)</x:f>
        <x:v>1</x:v>
      </x:c>
      <x:c r="P828" s="19" t="n">
        <x:f>IF(AND(SUM(K828:M828)&lt;9,OR(L828=0,N828&lt;6)),1,0)</x:f>
        <x:v>1</x:v>
      </x:c>
      <x:c r="Q828" s="19" t="n">
        <x:f>IF(AND(SUM(K828:M828)&lt;9,OR(K828=0,N828&lt;6)),1,0)</x:f>
        <x:v>1</x:v>
      </x:c>
      <x:c r="R828" s="22" t="str">
        <x:f>O828&amp;P828&amp;Q828</x:f>
        <x:v>111</x:v>
      </x:c>
      <x:c r="S828" s="19" t="n">
        <x:f>IF(I828=1,IF(J828=0,Q828,IF(J828=1,P828,IF(J828=2,O828,0))),0)</x:f>
        <x:v>1</x:v>
      </x:c>
      <x:c r="T828" s="19" t="n">
        <x:f>K828+IF(AND(S828=1,J828=0),1,0)</x:f>
        <x:v>0</x:v>
      </x:c>
      <x:c r="U828" s="19" t="n">
        <x:f>L828+IF(AND(S828=1,J828=1),1,0)</x:f>
        <x:v>4</x:v>
      </x:c>
      <x:c r="V828" s="19" t="n">
        <x:f>M828+IF(AND(S828=1,J828=2),1,0)</x:f>
        <x:v>3</x:v>
      </x:c>
      <x:c r="W828" s="19" t="n">
        <x:f>SUM(T828:V828)</x:f>
        <x:v>7</x:v>
      </x:c>
      <x:c r="X828" s="19" t="n">
        <x:f>W828-G828</x:f>
        <x:v>0</x:v>
      </x:c>
      <x:c r="Y828" s="19" t="n">
        <x:f>MAX(T828,1)+MAX(U828,1)+MAX(V828,1)</x:f>
        <x:v>8</x:v>
      </x:c>
      <x:c r="Z828" s="21" t="str">
        <x:f>IF(AND(MIN(D828:F828)&gt;=0,MAX(D828:F828)&lt;=7,MAX(D828,1)+MAX(E828,1)+MAX(F828,1)&lt;=9,OR(H828="-",AND(H828=0,D828&gt;0),AND(H828=1,E828&gt;0),AND(H828=2,F828&gt;0)),OR(I828=0,AND(I828=1,OR(J828=0,J828=1,J828=2),R828&lt;&gt;"000")),Y828&lt;=9,MIN(T828:V828)&gt;=0),"合法","输入违约")</x:f>
        <x:v>合法</x:v>
      </x:c>
    </x:row>
    <x:row r="829" ht="23" customHeight="1">
      <x:c r="A829" s="3" t="str">
        <x:v>CT-0822</x:v>
      </x:c>
      <x:c r="B829" s="3" t="str">
        <x:v>ST-096</x:v>
      </x:c>
      <x:c r="C829" s="3" t="str">
        <x:v>R+AR同收同发</x:v>
      </x:c>
      <x:c r="D829" s="25" t="n">
        <x:v>1</x:v>
      </x:c>
      <x:c r="E829" s="25" t="n">
        <x:v>3</x:v>
      </x:c>
      <x:c r="F829" s="25" t="n">
        <x:v>3</x:v>
      </x:c>
      <x:c r="G829" s="19" t="n">
        <x:f>SUM(D829:F829)</x:f>
        <x:v>7</x:v>
      </x:c>
      <x:c r="H829" s="25" t="n">
        <x:v>0</x:v>
      </x:c>
      <x:c r="I829" s="25" t="n">
        <x:v>1</x:v>
      </x:c>
      <x:c r="J829" s="25" t="n">
        <x:v>2</x:v>
      </x:c>
      <x:c r="K829" s="19" t="n">
        <x:f>D829-IF(H829=0,1,0)</x:f>
        <x:v>0</x:v>
      </x:c>
      <x:c r="L829" s="19" t="n">
        <x:f>E829-IF(H829=1,1,0)</x:f>
        <x:v>3</x:v>
      </x:c>
      <x:c r="M829" s="19" t="n">
        <x:f>F829-IF(H829=2,1,0)</x:f>
        <x:v>3</x:v>
      </x:c>
      <x:c r="N829" s="19" t="n">
        <x:f>MAX(K829-1,0)+MAX(L829-1,0)+MAX(M829-1,0)</x:f>
        <x:v>4</x:v>
      </x:c>
      <x:c r="O829" s="19" t="n">
        <x:f>IF(AND(SUM(K829:M829)&lt;9,OR(M829=0,N829&lt;6)),1,0)</x:f>
        <x:v>1</x:v>
      </x:c>
      <x:c r="P829" s="19" t="n">
        <x:f>IF(AND(SUM(K829:M829)&lt;9,OR(L829=0,N829&lt;6)),1,0)</x:f>
        <x:v>1</x:v>
      </x:c>
      <x:c r="Q829" s="19" t="n">
        <x:f>IF(AND(SUM(K829:M829)&lt;9,OR(K829=0,N829&lt;6)),1,0)</x:f>
        <x:v>1</x:v>
      </x:c>
      <x:c r="R829" s="22" t="str">
        <x:f>O829&amp;P829&amp;Q829</x:f>
        <x:v>111</x:v>
      </x:c>
      <x:c r="S829" s="19" t="n">
        <x:f>IF(I829=1,IF(J829=0,Q829,IF(J829=1,P829,IF(J829=2,O829,0))),0)</x:f>
        <x:v>1</x:v>
      </x:c>
      <x:c r="T829" s="19" t="n">
        <x:f>K829+IF(AND(S829=1,J829=0),1,0)</x:f>
        <x:v>0</x:v>
      </x:c>
      <x:c r="U829" s="19" t="n">
        <x:f>L829+IF(AND(S829=1,J829=1),1,0)</x:f>
        <x:v>3</x:v>
      </x:c>
      <x:c r="V829" s="19" t="n">
        <x:f>M829+IF(AND(S829=1,J829=2),1,0)</x:f>
        <x:v>4</x:v>
      </x:c>
      <x:c r="W829" s="19" t="n">
        <x:f>SUM(T829:V829)</x:f>
        <x:v>7</x:v>
      </x:c>
      <x:c r="X829" s="19" t="n">
        <x:f>W829-G829</x:f>
        <x:v>0</x:v>
      </x:c>
      <x:c r="Y829" s="19" t="n">
        <x:f>MAX(T829,1)+MAX(U829,1)+MAX(V829,1)</x:f>
        <x:v>8</x:v>
      </x:c>
      <x:c r="Z829" s="21" t="str">
        <x:f>IF(AND(MIN(D829:F829)&gt;=0,MAX(D829:F829)&lt;=7,MAX(D829,1)+MAX(E829,1)+MAX(F829,1)&lt;=9,OR(H829="-",AND(H829=0,D829&gt;0),AND(H829=1,E829&gt;0),AND(H829=2,F829&gt;0)),OR(I829=0,AND(I829=1,OR(J829=0,J829=1,J829=2),R829&lt;&gt;"000")),Y829&lt;=9,MIN(T829:V829)&gt;=0),"合法","输入违约")</x:f>
        <x:v>合法</x:v>
      </x:c>
    </x:row>
    <x:row r="830" ht="23" customHeight="1">
      <x:c r="A830" s="3" t="str">
        <x:v>CT-0823</x:v>
      </x:c>
      <x:c r="B830" s="3" t="str">
        <x:v>ST-096</x:v>
      </x:c>
      <x:c r="C830" s="3" t="str">
        <x:v>仅R回收</x:v>
      </x:c>
      <x:c r="D830" s="25" t="n">
        <x:v>1</x:v>
      </x:c>
      <x:c r="E830" s="25" t="n">
        <x:v>3</x:v>
      </x:c>
      <x:c r="F830" s="25" t="n">
        <x:v>3</x:v>
      </x:c>
      <x:c r="G830" s="19" t="n">
        <x:f>SUM(D830:F830)</x:f>
        <x:v>7</x:v>
      </x:c>
      <x:c r="H830" s="25" t="n">
        <x:v>1</x:v>
      </x:c>
      <x:c r="I830" s="25" t="n">
        <x:v>0</x:v>
      </x:c>
      <x:c r="J830" s="25" t="str">
        <x:v>-</x:v>
      </x:c>
      <x:c r="K830" s="19" t="n">
        <x:f>D830-IF(H830=0,1,0)</x:f>
        <x:v>1</x:v>
      </x:c>
      <x:c r="L830" s="19" t="n">
        <x:f>E830-IF(H830=1,1,0)</x:f>
        <x:v>2</x:v>
      </x:c>
      <x:c r="M830" s="19" t="n">
        <x:f>F830-IF(H830=2,1,0)</x:f>
        <x:v>3</x:v>
      </x:c>
      <x:c r="N830" s="19" t="n">
        <x:f>MAX(K830-1,0)+MAX(L830-1,0)+MAX(M830-1,0)</x:f>
        <x:v>3</x:v>
      </x:c>
      <x:c r="O830" s="19" t="n">
        <x:f>IF(AND(SUM(K830:M830)&lt;9,OR(M830=0,N830&lt;6)),1,0)</x:f>
        <x:v>1</x:v>
      </x:c>
      <x:c r="P830" s="19" t="n">
        <x:f>IF(AND(SUM(K830:M830)&lt;9,OR(L830=0,N830&lt;6)),1,0)</x:f>
        <x:v>1</x:v>
      </x:c>
      <x:c r="Q830" s="19" t="n">
        <x:f>IF(AND(SUM(K830:M830)&lt;9,OR(K830=0,N830&lt;6)),1,0)</x:f>
        <x:v>1</x:v>
      </x:c>
      <x:c r="R830" s="22" t="str">
        <x:f>O830&amp;P830&amp;Q830</x:f>
        <x:v>111</x:v>
      </x:c>
      <x:c r="S830" s="19" t="n">
        <x:f>IF(I830=1,IF(J830=0,Q830,IF(J830=1,P830,IF(J830=2,O830,0))),0)</x:f>
        <x:v>0</x:v>
      </x:c>
      <x:c r="T830" s="19" t="n">
        <x:f>K830+IF(AND(S830=1,J830=0),1,0)</x:f>
        <x:v>1</x:v>
      </x:c>
      <x:c r="U830" s="19" t="n">
        <x:f>L830+IF(AND(S830=1,J830=1),1,0)</x:f>
        <x:v>2</x:v>
      </x:c>
      <x:c r="V830" s="19" t="n">
        <x:f>M830+IF(AND(S830=1,J830=2),1,0)</x:f>
        <x:v>3</x:v>
      </x:c>
      <x:c r="W830" s="19" t="n">
        <x:f>SUM(T830:V830)</x:f>
        <x:v>6</x:v>
      </x:c>
      <x:c r="X830" s="19" t="n">
        <x:f>W830-G830</x:f>
        <x:v>-1</x:v>
      </x:c>
      <x:c r="Y830" s="19" t="n">
        <x:f>MAX(T830,1)+MAX(U830,1)+MAX(V830,1)</x:f>
        <x:v>6</x:v>
      </x:c>
      <x:c r="Z830" s="21" t="str">
        <x:f>IF(AND(MIN(D830:F830)&gt;=0,MAX(D830:F830)&lt;=7,MAX(D830,1)+MAX(E830,1)+MAX(F830,1)&lt;=9,OR(H830="-",AND(H830=0,D830&gt;0),AND(H830=1,E830&gt;0),AND(H830=2,F830&gt;0)),OR(I830=0,AND(I830=1,OR(J830=0,J830=1,J830=2),R830&lt;&gt;"000")),Y830&lt;=9,MIN(T830:V830)&gt;=0),"合法","输入违约")</x:f>
        <x:v>合法</x:v>
      </x:c>
    </x:row>
    <x:row r="831" ht="23" customHeight="1">
      <x:c r="A831" s="3" t="str">
        <x:v>CT-0824</x:v>
      </x:c>
      <x:c r="B831" s="3" t="str">
        <x:v>ST-096</x:v>
      </x:c>
      <x:c r="C831" s="3" t="str">
        <x:v>R+AR同收同发</x:v>
      </x:c>
      <x:c r="D831" s="25" t="n">
        <x:v>1</x:v>
      </x:c>
      <x:c r="E831" s="25" t="n">
        <x:v>3</x:v>
      </x:c>
      <x:c r="F831" s="25" t="n">
        <x:v>3</x:v>
      </x:c>
      <x:c r="G831" s="19" t="n">
        <x:f>SUM(D831:F831)</x:f>
        <x:v>7</x:v>
      </x:c>
      <x:c r="H831" s="25" t="n">
        <x:v>1</x:v>
      </x:c>
      <x:c r="I831" s="25" t="n">
        <x:v>1</x:v>
      </x:c>
      <x:c r="J831" s="25" t="n">
        <x:v>0</x:v>
      </x:c>
      <x:c r="K831" s="19" t="n">
        <x:f>D831-IF(H831=0,1,0)</x:f>
        <x:v>1</x:v>
      </x:c>
      <x:c r="L831" s="19" t="n">
        <x:f>E831-IF(H831=1,1,0)</x:f>
        <x:v>2</x:v>
      </x:c>
      <x:c r="M831" s="19" t="n">
        <x:f>F831-IF(H831=2,1,0)</x:f>
        <x:v>3</x:v>
      </x:c>
      <x:c r="N831" s="19" t="n">
        <x:f>MAX(K831-1,0)+MAX(L831-1,0)+MAX(M831-1,0)</x:f>
        <x:v>3</x:v>
      </x:c>
      <x:c r="O831" s="19" t="n">
        <x:f>IF(AND(SUM(K831:M831)&lt;9,OR(M831=0,N831&lt;6)),1,0)</x:f>
        <x:v>1</x:v>
      </x:c>
      <x:c r="P831" s="19" t="n">
        <x:f>IF(AND(SUM(K831:M831)&lt;9,OR(L831=0,N831&lt;6)),1,0)</x:f>
        <x:v>1</x:v>
      </x:c>
      <x:c r="Q831" s="19" t="n">
        <x:f>IF(AND(SUM(K831:M831)&lt;9,OR(K831=0,N831&lt;6)),1,0)</x:f>
        <x:v>1</x:v>
      </x:c>
      <x:c r="R831" s="22" t="str">
        <x:f>O831&amp;P831&amp;Q831</x:f>
        <x:v>111</x:v>
      </x:c>
      <x:c r="S831" s="19" t="n">
        <x:f>IF(I831=1,IF(J831=0,Q831,IF(J831=1,P831,IF(J831=2,O831,0))),0)</x:f>
        <x:v>1</x:v>
      </x:c>
      <x:c r="T831" s="19" t="n">
        <x:f>K831+IF(AND(S831=1,J831=0),1,0)</x:f>
        <x:v>2</x:v>
      </x:c>
      <x:c r="U831" s="19" t="n">
        <x:f>L831+IF(AND(S831=1,J831=1),1,0)</x:f>
        <x:v>2</x:v>
      </x:c>
      <x:c r="V831" s="19" t="n">
        <x:f>M831+IF(AND(S831=1,J831=2),1,0)</x:f>
        <x:v>3</x:v>
      </x:c>
      <x:c r="W831" s="19" t="n">
        <x:f>SUM(T831:V831)</x:f>
        <x:v>7</x:v>
      </x:c>
      <x:c r="X831" s="19" t="n">
        <x:f>W831-G831</x:f>
        <x:v>0</x:v>
      </x:c>
      <x:c r="Y831" s="19" t="n">
        <x:f>MAX(T831,1)+MAX(U831,1)+MAX(V831,1)</x:f>
        <x:v>7</x:v>
      </x:c>
      <x:c r="Z831" s="21" t="str">
        <x:f>IF(AND(MIN(D831:F831)&gt;=0,MAX(D831:F831)&lt;=7,MAX(D831,1)+MAX(E831,1)+MAX(F831,1)&lt;=9,OR(H831="-",AND(H831=0,D831&gt;0),AND(H831=1,E831&gt;0),AND(H831=2,F831&gt;0)),OR(I831=0,AND(I831=1,OR(J831=0,J831=1,J831=2),R831&lt;&gt;"000")),Y831&lt;=9,MIN(T831:V831)&gt;=0),"合法","输入违约")</x:f>
        <x:v>合法</x:v>
      </x:c>
    </x:row>
    <x:row r="832" ht="23" customHeight="1">
      <x:c r="A832" s="3" t="str">
        <x:v>CT-0825</x:v>
      </x:c>
      <x:c r="B832" s="3" t="str">
        <x:v>ST-096</x:v>
      </x:c>
      <x:c r="C832" s="3" t="str">
        <x:v>R+AR同收同发</x:v>
      </x:c>
      <x:c r="D832" s="25" t="n">
        <x:v>1</x:v>
      </x:c>
      <x:c r="E832" s="25" t="n">
        <x:v>3</x:v>
      </x:c>
      <x:c r="F832" s="25" t="n">
        <x:v>3</x:v>
      </x:c>
      <x:c r="G832" s="19" t="n">
        <x:f>SUM(D832:F832)</x:f>
        <x:v>7</x:v>
      </x:c>
      <x:c r="H832" s="25" t="n">
        <x:v>1</x:v>
      </x:c>
      <x:c r="I832" s="25" t="n">
        <x:v>1</x:v>
      </x:c>
      <x:c r="J832" s="25" t="n">
        <x:v>1</x:v>
      </x:c>
      <x:c r="K832" s="19" t="n">
        <x:f>D832-IF(H832=0,1,0)</x:f>
        <x:v>1</x:v>
      </x:c>
      <x:c r="L832" s="19" t="n">
        <x:f>E832-IF(H832=1,1,0)</x:f>
        <x:v>2</x:v>
      </x:c>
      <x:c r="M832" s="19" t="n">
        <x:f>F832-IF(H832=2,1,0)</x:f>
        <x:v>3</x:v>
      </x:c>
      <x:c r="N832" s="19" t="n">
        <x:f>MAX(K832-1,0)+MAX(L832-1,0)+MAX(M832-1,0)</x:f>
        <x:v>3</x:v>
      </x:c>
      <x:c r="O832" s="19" t="n">
        <x:f>IF(AND(SUM(K832:M832)&lt;9,OR(M832=0,N832&lt;6)),1,0)</x:f>
        <x:v>1</x:v>
      </x:c>
      <x:c r="P832" s="19" t="n">
        <x:f>IF(AND(SUM(K832:M832)&lt;9,OR(L832=0,N832&lt;6)),1,0)</x:f>
        <x:v>1</x:v>
      </x:c>
      <x:c r="Q832" s="19" t="n">
        <x:f>IF(AND(SUM(K832:M832)&lt;9,OR(K832=0,N832&lt;6)),1,0)</x:f>
        <x:v>1</x:v>
      </x:c>
      <x:c r="R832" s="22" t="str">
        <x:f>O832&amp;P832&amp;Q832</x:f>
        <x:v>111</x:v>
      </x:c>
      <x:c r="S832" s="19" t="n">
        <x:f>IF(I832=1,IF(J832=0,Q832,IF(J832=1,P832,IF(J832=2,O832,0))),0)</x:f>
        <x:v>1</x:v>
      </x:c>
      <x:c r="T832" s="19" t="n">
        <x:f>K832+IF(AND(S832=1,J832=0),1,0)</x:f>
        <x:v>1</x:v>
      </x:c>
      <x:c r="U832" s="19" t="n">
        <x:f>L832+IF(AND(S832=1,J832=1),1,0)</x:f>
        <x:v>3</x:v>
      </x:c>
      <x:c r="V832" s="19" t="n">
        <x:f>M832+IF(AND(S832=1,J832=2),1,0)</x:f>
        <x:v>3</x:v>
      </x:c>
      <x:c r="W832" s="19" t="n">
        <x:f>SUM(T832:V832)</x:f>
        <x:v>7</x:v>
      </x:c>
      <x:c r="X832" s="19" t="n">
        <x:f>W832-G832</x:f>
        <x:v>0</x:v>
      </x:c>
      <x:c r="Y832" s="19" t="n">
        <x:f>MAX(T832,1)+MAX(U832,1)+MAX(V832,1)</x:f>
        <x:v>7</x:v>
      </x:c>
      <x:c r="Z832" s="21" t="str">
        <x:f>IF(AND(MIN(D832:F832)&gt;=0,MAX(D832:F832)&lt;=7,MAX(D832,1)+MAX(E832,1)+MAX(F832,1)&lt;=9,OR(H832="-",AND(H832=0,D832&gt;0),AND(H832=1,E832&gt;0),AND(H832=2,F832&gt;0)),OR(I832=0,AND(I832=1,OR(J832=0,J832=1,J832=2),R832&lt;&gt;"000")),Y832&lt;=9,MIN(T832:V832)&gt;=0),"合法","输入违约")</x:f>
        <x:v>合法</x:v>
      </x:c>
    </x:row>
    <x:row r="833" ht="23" customHeight="1">
      <x:c r="A833" s="3" t="str">
        <x:v>CT-0826</x:v>
      </x:c>
      <x:c r="B833" s="3" t="str">
        <x:v>ST-096</x:v>
      </x:c>
      <x:c r="C833" s="3" t="str">
        <x:v>R+AR同收同发</x:v>
      </x:c>
      <x:c r="D833" s="25" t="n">
        <x:v>1</x:v>
      </x:c>
      <x:c r="E833" s="25" t="n">
        <x:v>3</x:v>
      </x:c>
      <x:c r="F833" s="25" t="n">
        <x:v>3</x:v>
      </x:c>
      <x:c r="G833" s="19" t="n">
        <x:f>SUM(D833:F833)</x:f>
        <x:v>7</x:v>
      </x:c>
      <x:c r="H833" s="25" t="n">
        <x:v>1</x:v>
      </x:c>
      <x:c r="I833" s="25" t="n">
        <x:v>1</x:v>
      </x:c>
      <x:c r="J833" s="25" t="n">
        <x:v>2</x:v>
      </x:c>
      <x:c r="K833" s="19" t="n">
        <x:f>D833-IF(H833=0,1,0)</x:f>
        <x:v>1</x:v>
      </x:c>
      <x:c r="L833" s="19" t="n">
        <x:f>E833-IF(H833=1,1,0)</x:f>
        <x:v>2</x:v>
      </x:c>
      <x:c r="M833" s="19" t="n">
        <x:f>F833-IF(H833=2,1,0)</x:f>
        <x:v>3</x:v>
      </x:c>
      <x:c r="N833" s="19" t="n">
        <x:f>MAX(K833-1,0)+MAX(L833-1,0)+MAX(M833-1,0)</x:f>
        <x:v>3</x:v>
      </x:c>
      <x:c r="O833" s="19" t="n">
        <x:f>IF(AND(SUM(K833:M833)&lt;9,OR(M833=0,N833&lt;6)),1,0)</x:f>
        <x:v>1</x:v>
      </x:c>
      <x:c r="P833" s="19" t="n">
        <x:f>IF(AND(SUM(K833:M833)&lt;9,OR(L833=0,N833&lt;6)),1,0)</x:f>
        <x:v>1</x:v>
      </x:c>
      <x:c r="Q833" s="19" t="n">
        <x:f>IF(AND(SUM(K833:M833)&lt;9,OR(K833=0,N833&lt;6)),1,0)</x:f>
        <x:v>1</x:v>
      </x:c>
      <x:c r="R833" s="22" t="str">
        <x:f>O833&amp;P833&amp;Q833</x:f>
        <x:v>111</x:v>
      </x:c>
      <x:c r="S833" s="19" t="n">
        <x:f>IF(I833=1,IF(J833=0,Q833,IF(J833=1,P833,IF(J833=2,O833,0))),0)</x:f>
        <x:v>1</x:v>
      </x:c>
      <x:c r="T833" s="19" t="n">
        <x:f>K833+IF(AND(S833=1,J833=0),1,0)</x:f>
        <x:v>1</x:v>
      </x:c>
      <x:c r="U833" s="19" t="n">
        <x:f>L833+IF(AND(S833=1,J833=1),1,0)</x:f>
        <x:v>2</x:v>
      </x:c>
      <x:c r="V833" s="19" t="n">
        <x:f>M833+IF(AND(S833=1,J833=2),1,0)</x:f>
        <x:v>4</x:v>
      </x:c>
      <x:c r="W833" s="19" t="n">
        <x:f>SUM(T833:V833)</x:f>
        <x:v>7</x:v>
      </x:c>
      <x:c r="X833" s="19" t="n">
        <x:f>W833-G833</x:f>
        <x:v>0</x:v>
      </x:c>
      <x:c r="Y833" s="19" t="n">
        <x:f>MAX(T833,1)+MAX(U833,1)+MAX(V833,1)</x:f>
        <x:v>7</x:v>
      </x:c>
      <x:c r="Z833" s="21" t="str">
        <x:f>IF(AND(MIN(D833:F833)&gt;=0,MAX(D833:F833)&lt;=7,MAX(D833,1)+MAX(E833,1)+MAX(F833,1)&lt;=9,OR(H833="-",AND(H833=0,D833&gt;0),AND(H833=1,E833&gt;0),AND(H833=2,F833&gt;0)),OR(I833=0,AND(I833=1,OR(J833=0,J833=1,J833=2),R833&lt;&gt;"000")),Y833&lt;=9,MIN(T833:V833)&gt;=0),"合法","输入违约")</x:f>
        <x:v>合法</x:v>
      </x:c>
    </x:row>
    <x:row r="834" ht="23" customHeight="1">
      <x:c r="A834" s="3" t="str">
        <x:v>CT-0827</x:v>
      </x:c>
      <x:c r="B834" s="3" t="str">
        <x:v>ST-096</x:v>
      </x:c>
      <x:c r="C834" s="3" t="str">
        <x:v>仅R回收</x:v>
      </x:c>
      <x:c r="D834" s="25" t="n">
        <x:v>1</x:v>
      </x:c>
      <x:c r="E834" s="25" t="n">
        <x:v>3</x:v>
      </x:c>
      <x:c r="F834" s="25" t="n">
        <x:v>3</x:v>
      </x:c>
      <x:c r="G834" s="19" t="n">
        <x:f>SUM(D834:F834)</x:f>
        <x:v>7</x:v>
      </x:c>
      <x:c r="H834" s="25" t="n">
        <x:v>2</x:v>
      </x:c>
      <x:c r="I834" s="25" t="n">
        <x:v>0</x:v>
      </x:c>
      <x:c r="J834" s="25" t="str">
        <x:v>-</x:v>
      </x:c>
      <x:c r="K834" s="19" t="n">
        <x:f>D834-IF(H834=0,1,0)</x:f>
        <x:v>1</x:v>
      </x:c>
      <x:c r="L834" s="19" t="n">
        <x:f>E834-IF(H834=1,1,0)</x:f>
        <x:v>3</x:v>
      </x:c>
      <x:c r="M834" s="19" t="n">
        <x:f>F834-IF(H834=2,1,0)</x:f>
        <x:v>2</x:v>
      </x:c>
      <x:c r="N834" s="19" t="n">
        <x:f>MAX(K834-1,0)+MAX(L834-1,0)+MAX(M834-1,0)</x:f>
        <x:v>3</x:v>
      </x:c>
      <x:c r="O834" s="19" t="n">
        <x:f>IF(AND(SUM(K834:M834)&lt;9,OR(M834=0,N834&lt;6)),1,0)</x:f>
        <x:v>1</x:v>
      </x:c>
      <x:c r="P834" s="19" t="n">
        <x:f>IF(AND(SUM(K834:M834)&lt;9,OR(L834=0,N834&lt;6)),1,0)</x:f>
        <x:v>1</x:v>
      </x:c>
      <x:c r="Q834" s="19" t="n">
        <x:f>IF(AND(SUM(K834:M834)&lt;9,OR(K834=0,N834&lt;6)),1,0)</x:f>
        <x:v>1</x:v>
      </x:c>
      <x:c r="R834" s="22" t="str">
        <x:f>O834&amp;P834&amp;Q834</x:f>
        <x:v>111</x:v>
      </x:c>
      <x:c r="S834" s="19" t="n">
        <x:f>IF(I834=1,IF(J834=0,Q834,IF(J834=1,P834,IF(J834=2,O834,0))),0)</x:f>
        <x:v>0</x:v>
      </x:c>
      <x:c r="T834" s="19" t="n">
        <x:f>K834+IF(AND(S834=1,J834=0),1,0)</x:f>
        <x:v>1</x:v>
      </x:c>
      <x:c r="U834" s="19" t="n">
        <x:f>L834+IF(AND(S834=1,J834=1),1,0)</x:f>
        <x:v>3</x:v>
      </x:c>
      <x:c r="V834" s="19" t="n">
        <x:f>M834+IF(AND(S834=1,J834=2),1,0)</x:f>
        <x:v>2</x:v>
      </x:c>
      <x:c r="W834" s="19" t="n">
        <x:f>SUM(T834:V834)</x:f>
        <x:v>6</x:v>
      </x:c>
      <x:c r="X834" s="19" t="n">
        <x:f>W834-G834</x:f>
        <x:v>-1</x:v>
      </x:c>
      <x:c r="Y834" s="19" t="n">
        <x:f>MAX(T834,1)+MAX(U834,1)+MAX(V834,1)</x:f>
        <x:v>6</x:v>
      </x:c>
      <x:c r="Z834" s="21" t="str">
        <x:f>IF(AND(MIN(D834:F834)&gt;=0,MAX(D834:F834)&lt;=7,MAX(D834,1)+MAX(E834,1)+MAX(F834,1)&lt;=9,OR(H834="-",AND(H834=0,D834&gt;0),AND(H834=1,E834&gt;0),AND(H834=2,F834&gt;0)),OR(I834=0,AND(I834=1,OR(J834=0,J834=1,J834=2),R834&lt;&gt;"000")),Y834&lt;=9,MIN(T834:V834)&gt;=0),"合法","输入违约")</x:f>
        <x:v>合法</x:v>
      </x:c>
    </x:row>
    <x:row r="835" ht="23" customHeight="1">
      <x:c r="A835" s="3" t="str">
        <x:v>CT-0828</x:v>
      </x:c>
      <x:c r="B835" s="3" t="str">
        <x:v>ST-096</x:v>
      </x:c>
      <x:c r="C835" s="3" t="str">
        <x:v>R+AR同收同发</x:v>
      </x:c>
      <x:c r="D835" s="25" t="n">
        <x:v>1</x:v>
      </x:c>
      <x:c r="E835" s="25" t="n">
        <x:v>3</x:v>
      </x:c>
      <x:c r="F835" s="25" t="n">
        <x:v>3</x:v>
      </x:c>
      <x:c r="G835" s="19" t="n">
        <x:f>SUM(D835:F835)</x:f>
        <x:v>7</x:v>
      </x:c>
      <x:c r="H835" s="25" t="n">
        <x:v>2</x:v>
      </x:c>
      <x:c r="I835" s="25" t="n">
        <x:v>1</x:v>
      </x:c>
      <x:c r="J835" s="25" t="n">
        <x:v>0</x:v>
      </x:c>
      <x:c r="K835" s="19" t="n">
        <x:f>D835-IF(H835=0,1,0)</x:f>
        <x:v>1</x:v>
      </x:c>
      <x:c r="L835" s="19" t="n">
        <x:f>E835-IF(H835=1,1,0)</x:f>
        <x:v>3</x:v>
      </x:c>
      <x:c r="M835" s="19" t="n">
        <x:f>F835-IF(H835=2,1,0)</x:f>
        <x:v>2</x:v>
      </x:c>
      <x:c r="N835" s="19" t="n">
        <x:f>MAX(K835-1,0)+MAX(L835-1,0)+MAX(M835-1,0)</x:f>
        <x:v>3</x:v>
      </x:c>
      <x:c r="O835" s="19" t="n">
        <x:f>IF(AND(SUM(K835:M835)&lt;9,OR(M835=0,N835&lt;6)),1,0)</x:f>
        <x:v>1</x:v>
      </x:c>
      <x:c r="P835" s="19" t="n">
        <x:f>IF(AND(SUM(K835:M835)&lt;9,OR(L835=0,N835&lt;6)),1,0)</x:f>
        <x:v>1</x:v>
      </x:c>
      <x:c r="Q835" s="19" t="n">
        <x:f>IF(AND(SUM(K835:M835)&lt;9,OR(K835=0,N835&lt;6)),1,0)</x:f>
        <x:v>1</x:v>
      </x:c>
      <x:c r="R835" s="22" t="str">
        <x:f>O835&amp;P835&amp;Q835</x:f>
        <x:v>111</x:v>
      </x:c>
      <x:c r="S835" s="19" t="n">
        <x:f>IF(I835=1,IF(J835=0,Q835,IF(J835=1,P835,IF(J835=2,O835,0))),0)</x:f>
        <x:v>1</x:v>
      </x:c>
      <x:c r="T835" s="19" t="n">
        <x:f>K835+IF(AND(S835=1,J835=0),1,0)</x:f>
        <x:v>2</x:v>
      </x:c>
      <x:c r="U835" s="19" t="n">
        <x:f>L835+IF(AND(S835=1,J835=1),1,0)</x:f>
        <x:v>3</x:v>
      </x:c>
      <x:c r="V835" s="19" t="n">
        <x:f>M835+IF(AND(S835=1,J835=2),1,0)</x:f>
        <x:v>2</x:v>
      </x:c>
      <x:c r="W835" s="19" t="n">
        <x:f>SUM(T835:V835)</x:f>
        <x:v>7</x:v>
      </x:c>
      <x:c r="X835" s="19" t="n">
        <x:f>W835-G835</x:f>
        <x:v>0</x:v>
      </x:c>
      <x:c r="Y835" s="19" t="n">
        <x:f>MAX(T835,1)+MAX(U835,1)+MAX(V835,1)</x:f>
        <x:v>7</x:v>
      </x:c>
      <x:c r="Z835" s="21" t="str">
        <x:f>IF(AND(MIN(D835:F835)&gt;=0,MAX(D835:F835)&lt;=7,MAX(D835,1)+MAX(E835,1)+MAX(F835,1)&lt;=9,OR(H835="-",AND(H835=0,D835&gt;0),AND(H835=1,E835&gt;0),AND(H835=2,F835&gt;0)),OR(I835=0,AND(I835=1,OR(J835=0,J835=1,J835=2),R835&lt;&gt;"000")),Y835&lt;=9,MIN(T835:V835)&gt;=0),"合法","输入违约")</x:f>
        <x:v>合法</x:v>
      </x:c>
    </x:row>
    <x:row r="836" ht="23" customHeight="1">
      <x:c r="A836" s="3" t="str">
        <x:v>CT-0829</x:v>
      </x:c>
      <x:c r="B836" s="3" t="str">
        <x:v>ST-096</x:v>
      </x:c>
      <x:c r="C836" s="3" t="str">
        <x:v>R+AR同收同发</x:v>
      </x:c>
      <x:c r="D836" s="25" t="n">
        <x:v>1</x:v>
      </x:c>
      <x:c r="E836" s="25" t="n">
        <x:v>3</x:v>
      </x:c>
      <x:c r="F836" s="25" t="n">
        <x:v>3</x:v>
      </x:c>
      <x:c r="G836" s="19" t="n">
        <x:f>SUM(D836:F836)</x:f>
        <x:v>7</x:v>
      </x:c>
      <x:c r="H836" s="25" t="n">
        <x:v>2</x:v>
      </x:c>
      <x:c r="I836" s="25" t="n">
        <x:v>1</x:v>
      </x:c>
      <x:c r="J836" s="25" t="n">
        <x:v>1</x:v>
      </x:c>
      <x:c r="K836" s="19" t="n">
        <x:f>D836-IF(H836=0,1,0)</x:f>
        <x:v>1</x:v>
      </x:c>
      <x:c r="L836" s="19" t="n">
        <x:f>E836-IF(H836=1,1,0)</x:f>
        <x:v>3</x:v>
      </x:c>
      <x:c r="M836" s="19" t="n">
        <x:f>F836-IF(H836=2,1,0)</x:f>
        <x:v>2</x:v>
      </x:c>
      <x:c r="N836" s="19" t="n">
        <x:f>MAX(K836-1,0)+MAX(L836-1,0)+MAX(M836-1,0)</x:f>
        <x:v>3</x:v>
      </x:c>
      <x:c r="O836" s="19" t="n">
        <x:f>IF(AND(SUM(K836:M836)&lt;9,OR(M836=0,N836&lt;6)),1,0)</x:f>
        <x:v>1</x:v>
      </x:c>
      <x:c r="P836" s="19" t="n">
        <x:f>IF(AND(SUM(K836:M836)&lt;9,OR(L836=0,N836&lt;6)),1,0)</x:f>
        <x:v>1</x:v>
      </x:c>
      <x:c r="Q836" s="19" t="n">
        <x:f>IF(AND(SUM(K836:M836)&lt;9,OR(K836=0,N836&lt;6)),1,0)</x:f>
        <x:v>1</x:v>
      </x:c>
      <x:c r="R836" s="22" t="str">
        <x:f>O836&amp;P836&amp;Q836</x:f>
        <x:v>111</x:v>
      </x:c>
      <x:c r="S836" s="19" t="n">
        <x:f>IF(I836=1,IF(J836=0,Q836,IF(J836=1,P836,IF(J836=2,O836,0))),0)</x:f>
        <x:v>1</x:v>
      </x:c>
      <x:c r="T836" s="19" t="n">
        <x:f>K836+IF(AND(S836=1,J836=0),1,0)</x:f>
        <x:v>1</x:v>
      </x:c>
      <x:c r="U836" s="19" t="n">
        <x:f>L836+IF(AND(S836=1,J836=1),1,0)</x:f>
        <x:v>4</x:v>
      </x:c>
      <x:c r="V836" s="19" t="n">
        <x:f>M836+IF(AND(S836=1,J836=2),1,0)</x:f>
        <x:v>2</x:v>
      </x:c>
      <x:c r="W836" s="19" t="n">
        <x:f>SUM(T836:V836)</x:f>
        <x:v>7</x:v>
      </x:c>
      <x:c r="X836" s="19" t="n">
        <x:f>W836-G836</x:f>
        <x:v>0</x:v>
      </x:c>
      <x:c r="Y836" s="19" t="n">
        <x:f>MAX(T836,1)+MAX(U836,1)+MAX(V836,1)</x:f>
        <x:v>7</x:v>
      </x:c>
      <x:c r="Z836" s="21" t="str">
        <x:f>IF(AND(MIN(D836:F836)&gt;=0,MAX(D836:F836)&lt;=7,MAX(D836,1)+MAX(E836,1)+MAX(F836,1)&lt;=9,OR(H836="-",AND(H836=0,D836&gt;0),AND(H836=1,E836&gt;0),AND(H836=2,F836&gt;0)),OR(I836=0,AND(I836=1,OR(J836=0,J836=1,J836=2),R836&lt;&gt;"000")),Y836&lt;=9,MIN(T836:V836)&gt;=0),"合法","输入违约")</x:f>
        <x:v>合法</x:v>
      </x:c>
    </x:row>
    <x:row r="837" ht="23" customHeight="1">
      <x:c r="A837" s="3" t="str">
        <x:v>CT-0830</x:v>
      </x:c>
      <x:c r="B837" s="3" t="str">
        <x:v>ST-096</x:v>
      </x:c>
      <x:c r="C837" s="3" t="str">
        <x:v>R+AR同收同发</x:v>
      </x:c>
      <x:c r="D837" s="25" t="n">
        <x:v>1</x:v>
      </x:c>
      <x:c r="E837" s="25" t="n">
        <x:v>3</x:v>
      </x:c>
      <x:c r="F837" s="25" t="n">
        <x:v>3</x:v>
      </x:c>
      <x:c r="G837" s="19" t="n">
        <x:f>SUM(D837:F837)</x:f>
        <x:v>7</x:v>
      </x:c>
      <x:c r="H837" s="25" t="n">
        <x:v>2</x:v>
      </x:c>
      <x:c r="I837" s="25" t="n">
        <x:v>1</x:v>
      </x:c>
      <x:c r="J837" s="25" t="n">
        <x:v>2</x:v>
      </x:c>
      <x:c r="K837" s="19" t="n">
        <x:f>D837-IF(H837=0,1,0)</x:f>
        <x:v>1</x:v>
      </x:c>
      <x:c r="L837" s="19" t="n">
        <x:f>E837-IF(H837=1,1,0)</x:f>
        <x:v>3</x:v>
      </x:c>
      <x:c r="M837" s="19" t="n">
        <x:f>F837-IF(H837=2,1,0)</x:f>
        <x:v>2</x:v>
      </x:c>
      <x:c r="N837" s="19" t="n">
        <x:f>MAX(K837-1,0)+MAX(L837-1,0)+MAX(M837-1,0)</x:f>
        <x:v>3</x:v>
      </x:c>
      <x:c r="O837" s="19" t="n">
        <x:f>IF(AND(SUM(K837:M837)&lt;9,OR(M837=0,N837&lt;6)),1,0)</x:f>
        <x:v>1</x:v>
      </x:c>
      <x:c r="P837" s="19" t="n">
        <x:f>IF(AND(SUM(K837:M837)&lt;9,OR(L837=0,N837&lt;6)),1,0)</x:f>
        <x:v>1</x:v>
      </x:c>
      <x:c r="Q837" s="19" t="n">
        <x:f>IF(AND(SUM(K837:M837)&lt;9,OR(K837=0,N837&lt;6)),1,0)</x:f>
        <x:v>1</x:v>
      </x:c>
      <x:c r="R837" s="22" t="str">
        <x:f>O837&amp;P837&amp;Q837</x:f>
        <x:v>111</x:v>
      </x:c>
      <x:c r="S837" s="19" t="n">
        <x:f>IF(I837=1,IF(J837=0,Q837,IF(J837=1,P837,IF(J837=2,O837,0))),0)</x:f>
        <x:v>1</x:v>
      </x:c>
      <x:c r="T837" s="19" t="n">
        <x:f>K837+IF(AND(S837=1,J837=0),1,0)</x:f>
        <x:v>1</x:v>
      </x:c>
      <x:c r="U837" s="19" t="n">
        <x:f>L837+IF(AND(S837=1,J837=1),1,0)</x:f>
        <x:v>3</x:v>
      </x:c>
      <x:c r="V837" s="19" t="n">
        <x:f>M837+IF(AND(S837=1,J837=2),1,0)</x:f>
        <x:v>3</x:v>
      </x:c>
      <x:c r="W837" s="19" t="n">
        <x:f>SUM(T837:V837)</x:f>
        <x:v>7</x:v>
      </x:c>
      <x:c r="X837" s="19" t="n">
        <x:f>W837-G837</x:f>
        <x:v>0</x:v>
      </x:c>
      <x:c r="Y837" s="19" t="n">
        <x:f>MAX(T837,1)+MAX(U837,1)+MAX(V837,1)</x:f>
        <x:v>7</x:v>
      </x:c>
      <x:c r="Z837" s="21" t="str">
        <x:f>IF(AND(MIN(D837:F837)&gt;=0,MAX(D837:F837)&lt;=7,MAX(D837,1)+MAX(E837,1)+MAX(F837,1)&lt;=9,OR(H837="-",AND(H837=0,D837&gt;0),AND(H837=1,E837&gt;0),AND(H837=2,F837&gt;0)),OR(I837=0,AND(I837=1,OR(J837=0,J837=1,J837=2),R837&lt;&gt;"000")),Y837&lt;=9,MIN(T837:V837)&gt;=0),"合法","输入违约")</x:f>
        <x:v>合法</x:v>
      </x:c>
    </x:row>
    <x:row r="838" ht="23" customHeight="1">
      <x:c r="A838" s="3" t="str">
        <x:v>CT-0831</x:v>
      </x:c>
      <x:c r="B838" s="3" t="str">
        <x:v>ST-131</x:v>
      </x:c>
      <x:c r="C838" s="3" t="str">
        <x:v>无AR/R</x:v>
      </x:c>
      <x:c r="D838" s="25" t="n">
        <x:v>1</x:v>
      </x:c>
      <x:c r="E838" s="25" t="n">
        <x:v>3</x:v>
      </x:c>
      <x:c r="F838" s="25" t="n">
        <x:v>4</x:v>
      </x:c>
      <x:c r="G838" s="19" t="n">
        <x:f>SUM(D838:F838)</x:f>
        <x:v>8</x:v>
      </x:c>
      <x:c r="H838" s="25" t="str">
        <x:v>-</x:v>
      </x:c>
      <x:c r="I838" s="25" t="n">
        <x:v>0</x:v>
      </x:c>
      <x:c r="J838" s="25" t="str">
        <x:v>-</x:v>
      </x:c>
      <x:c r="K838" s="19" t="n">
        <x:f>D838-IF(H838=0,1,0)</x:f>
        <x:v>1</x:v>
      </x:c>
      <x:c r="L838" s="19" t="n">
        <x:f>E838-IF(H838=1,1,0)</x:f>
        <x:v>3</x:v>
      </x:c>
      <x:c r="M838" s="19" t="n">
        <x:f>F838-IF(H838=2,1,0)</x:f>
        <x:v>4</x:v>
      </x:c>
      <x:c r="N838" s="19" t="n">
        <x:f>MAX(K838-1,0)+MAX(L838-1,0)+MAX(M838-1,0)</x:f>
        <x:v>5</x:v>
      </x:c>
      <x:c r="O838" s="19" t="n">
        <x:f>IF(AND(SUM(K838:M838)&lt;9,OR(M838=0,N838&lt;6)),1,0)</x:f>
        <x:v>1</x:v>
      </x:c>
      <x:c r="P838" s="19" t="n">
        <x:f>IF(AND(SUM(K838:M838)&lt;9,OR(L838=0,N838&lt;6)),1,0)</x:f>
        <x:v>1</x:v>
      </x:c>
      <x:c r="Q838" s="19" t="n">
        <x:f>IF(AND(SUM(K838:M838)&lt;9,OR(K838=0,N838&lt;6)),1,0)</x:f>
        <x:v>1</x:v>
      </x:c>
      <x:c r="R838" s="22" t="str">
        <x:f>O838&amp;P838&amp;Q838</x:f>
        <x:v>111</x:v>
      </x:c>
      <x:c r="S838" s="19" t="n">
        <x:f>IF(I838=1,IF(J838=0,Q838,IF(J838=1,P838,IF(J838=2,O838,0))),0)</x:f>
        <x:v>0</x:v>
      </x:c>
      <x:c r="T838" s="19" t="n">
        <x:f>K838+IF(AND(S838=1,J838=0),1,0)</x:f>
        <x:v>1</x:v>
      </x:c>
      <x:c r="U838" s="19" t="n">
        <x:f>L838+IF(AND(S838=1,J838=1),1,0)</x:f>
        <x:v>3</x:v>
      </x:c>
      <x:c r="V838" s="19" t="n">
        <x:f>M838+IF(AND(S838=1,J838=2),1,0)</x:f>
        <x:v>4</x:v>
      </x:c>
      <x:c r="W838" s="19" t="n">
        <x:f>SUM(T838:V838)</x:f>
        <x:v>8</x:v>
      </x:c>
      <x:c r="X838" s="19" t="n">
        <x:f>W838-G838</x:f>
        <x:v>0</x:v>
      </x:c>
      <x:c r="Y838" s="19" t="n">
        <x:f>MAX(T838,1)+MAX(U838,1)+MAX(V838,1)</x:f>
        <x:v>8</x:v>
      </x:c>
      <x:c r="Z838" s="21" t="str">
        <x:f>IF(AND(MIN(D838:F838)&gt;=0,MAX(D838:F838)&lt;=7,MAX(D838,1)+MAX(E838,1)+MAX(F838,1)&lt;=9,OR(H838="-",AND(H838=0,D838&gt;0),AND(H838=1,E838&gt;0),AND(H838=2,F838&gt;0)),OR(I838=0,AND(I838=1,OR(J838=0,J838=1,J838=2),R838&lt;&gt;"000")),Y838&lt;=9,MIN(T838:V838)&gt;=0),"合法","输入违约")</x:f>
        <x:v>合法</x:v>
      </x:c>
    </x:row>
    <x:row r="839" ht="23" customHeight="1">
      <x:c r="A839" s="3" t="str">
        <x:v>CT-0832</x:v>
      </x:c>
      <x:c r="B839" s="3" t="str">
        <x:v>ST-131</x:v>
      </x:c>
      <x:c r="C839" s="3" t="str">
        <x:v>仅AR接收</x:v>
      </x:c>
      <x:c r="D839" s="25" t="n">
        <x:v>1</x:v>
      </x:c>
      <x:c r="E839" s="25" t="n">
        <x:v>3</x:v>
      </x:c>
      <x:c r="F839" s="25" t="n">
        <x:v>4</x:v>
      </x:c>
      <x:c r="G839" s="19" t="n">
        <x:f>SUM(D839:F839)</x:f>
        <x:v>8</x:v>
      </x:c>
      <x:c r="H839" s="25" t="str">
        <x:v>-</x:v>
      </x:c>
      <x:c r="I839" s="25" t="n">
        <x:v>1</x:v>
      </x:c>
      <x:c r="J839" s="25" t="n">
        <x:v>0</x:v>
      </x:c>
      <x:c r="K839" s="19" t="n">
        <x:f>D839-IF(H839=0,1,0)</x:f>
        <x:v>1</x:v>
      </x:c>
      <x:c r="L839" s="19" t="n">
        <x:f>E839-IF(H839=1,1,0)</x:f>
        <x:v>3</x:v>
      </x:c>
      <x:c r="M839" s="19" t="n">
        <x:f>F839-IF(H839=2,1,0)</x:f>
        <x:v>4</x:v>
      </x:c>
      <x:c r="N839" s="19" t="n">
        <x:f>MAX(K839-1,0)+MAX(L839-1,0)+MAX(M839-1,0)</x:f>
        <x:v>5</x:v>
      </x:c>
      <x:c r="O839" s="19" t="n">
        <x:f>IF(AND(SUM(K839:M839)&lt;9,OR(M839=0,N839&lt;6)),1,0)</x:f>
        <x:v>1</x:v>
      </x:c>
      <x:c r="P839" s="19" t="n">
        <x:f>IF(AND(SUM(K839:M839)&lt;9,OR(L839=0,N839&lt;6)),1,0)</x:f>
        <x:v>1</x:v>
      </x:c>
      <x:c r="Q839" s="19" t="n">
        <x:f>IF(AND(SUM(K839:M839)&lt;9,OR(K839=0,N839&lt;6)),1,0)</x:f>
        <x:v>1</x:v>
      </x:c>
      <x:c r="R839" s="22" t="str">
        <x:f>O839&amp;P839&amp;Q839</x:f>
        <x:v>111</x:v>
      </x:c>
      <x:c r="S839" s="19" t="n">
        <x:f>IF(I839=1,IF(J839=0,Q839,IF(J839=1,P839,IF(J839=2,O839,0))),0)</x:f>
        <x:v>1</x:v>
      </x:c>
      <x:c r="T839" s="19" t="n">
        <x:f>K839+IF(AND(S839=1,J839=0),1,0)</x:f>
        <x:v>2</x:v>
      </x:c>
      <x:c r="U839" s="19" t="n">
        <x:f>L839+IF(AND(S839=1,J839=1),1,0)</x:f>
        <x:v>3</x:v>
      </x:c>
      <x:c r="V839" s="19" t="n">
        <x:f>M839+IF(AND(S839=1,J839=2),1,0)</x:f>
        <x:v>4</x:v>
      </x:c>
      <x:c r="W839" s="19" t="n">
        <x:f>SUM(T839:V839)</x:f>
        <x:v>9</x:v>
      </x:c>
      <x:c r="X839" s="19" t="n">
        <x:f>W839-G839</x:f>
        <x:v>1</x:v>
      </x:c>
      <x:c r="Y839" s="19" t="n">
        <x:f>MAX(T839,1)+MAX(U839,1)+MAX(V839,1)</x:f>
        <x:v>9</x:v>
      </x:c>
      <x:c r="Z839" s="21" t="str">
        <x:f>IF(AND(MIN(D839:F839)&gt;=0,MAX(D839:F839)&lt;=7,MAX(D839,1)+MAX(E839,1)+MAX(F839,1)&lt;=9,OR(H839="-",AND(H839=0,D839&gt;0),AND(H839=1,E839&gt;0),AND(H839=2,F839&gt;0)),OR(I839=0,AND(I839=1,OR(J839=0,J839=1,J839=2),R839&lt;&gt;"000")),Y839&lt;=9,MIN(T839:V839)&gt;=0),"合法","输入违约")</x:f>
        <x:v>合法</x:v>
      </x:c>
    </x:row>
    <x:row r="840" ht="23" customHeight="1">
      <x:c r="A840" s="3" t="str">
        <x:v>CT-0833</x:v>
      </x:c>
      <x:c r="B840" s="3" t="str">
        <x:v>ST-131</x:v>
      </x:c>
      <x:c r="C840" s="3" t="str">
        <x:v>仅AR接收</x:v>
      </x:c>
      <x:c r="D840" s="25" t="n">
        <x:v>1</x:v>
      </x:c>
      <x:c r="E840" s="25" t="n">
        <x:v>3</x:v>
      </x:c>
      <x:c r="F840" s="25" t="n">
        <x:v>4</x:v>
      </x:c>
      <x:c r="G840" s="19" t="n">
        <x:f>SUM(D840:F840)</x:f>
        <x:v>8</x:v>
      </x:c>
      <x:c r="H840" s="25" t="str">
        <x:v>-</x:v>
      </x:c>
      <x:c r="I840" s="25" t="n">
        <x:v>1</x:v>
      </x:c>
      <x:c r="J840" s="25" t="n">
        <x:v>1</x:v>
      </x:c>
      <x:c r="K840" s="19" t="n">
        <x:f>D840-IF(H840=0,1,0)</x:f>
        <x:v>1</x:v>
      </x:c>
      <x:c r="L840" s="19" t="n">
        <x:f>E840-IF(H840=1,1,0)</x:f>
        <x:v>3</x:v>
      </x:c>
      <x:c r="M840" s="19" t="n">
        <x:f>F840-IF(H840=2,1,0)</x:f>
        <x:v>4</x:v>
      </x:c>
      <x:c r="N840" s="19" t="n">
        <x:f>MAX(K840-1,0)+MAX(L840-1,0)+MAX(M840-1,0)</x:f>
        <x:v>5</x:v>
      </x:c>
      <x:c r="O840" s="19" t="n">
        <x:f>IF(AND(SUM(K840:M840)&lt;9,OR(M840=0,N840&lt;6)),1,0)</x:f>
        <x:v>1</x:v>
      </x:c>
      <x:c r="P840" s="19" t="n">
        <x:f>IF(AND(SUM(K840:M840)&lt;9,OR(L840=0,N840&lt;6)),1,0)</x:f>
        <x:v>1</x:v>
      </x:c>
      <x:c r="Q840" s="19" t="n">
        <x:f>IF(AND(SUM(K840:M840)&lt;9,OR(K840=0,N840&lt;6)),1,0)</x:f>
        <x:v>1</x:v>
      </x:c>
      <x:c r="R840" s="22" t="str">
        <x:f>O840&amp;P840&amp;Q840</x:f>
        <x:v>111</x:v>
      </x:c>
      <x:c r="S840" s="19" t="n">
        <x:f>IF(I840=1,IF(J840=0,Q840,IF(J840=1,P840,IF(J840=2,O840,0))),0)</x:f>
        <x:v>1</x:v>
      </x:c>
      <x:c r="T840" s="19" t="n">
        <x:f>K840+IF(AND(S840=1,J840=0),1,0)</x:f>
        <x:v>1</x:v>
      </x:c>
      <x:c r="U840" s="19" t="n">
        <x:f>L840+IF(AND(S840=1,J840=1),1,0)</x:f>
        <x:v>4</x:v>
      </x:c>
      <x:c r="V840" s="19" t="n">
        <x:f>M840+IF(AND(S840=1,J840=2),1,0)</x:f>
        <x:v>4</x:v>
      </x:c>
      <x:c r="W840" s="19" t="n">
        <x:f>SUM(T840:V840)</x:f>
        <x:v>9</x:v>
      </x:c>
      <x:c r="X840" s="19" t="n">
        <x:f>W840-G840</x:f>
        <x:v>1</x:v>
      </x:c>
      <x:c r="Y840" s="19" t="n">
        <x:f>MAX(T840,1)+MAX(U840,1)+MAX(V840,1)</x:f>
        <x:v>9</x:v>
      </x:c>
      <x:c r="Z840" s="21" t="str">
        <x:f>IF(AND(MIN(D840:F840)&gt;=0,MAX(D840:F840)&lt;=7,MAX(D840,1)+MAX(E840,1)+MAX(F840,1)&lt;=9,OR(H840="-",AND(H840=0,D840&gt;0),AND(H840=1,E840&gt;0),AND(H840=2,F840&gt;0)),OR(I840=0,AND(I840=1,OR(J840=0,J840=1,J840=2),R840&lt;&gt;"000")),Y840&lt;=9,MIN(T840:V840)&gt;=0),"合法","输入违约")</x:f>
        <x:v>合法</x:v>
      </x:c>
    </x:row>
    <x:row r="841" ht="23" customHeight="1">
      <x:c r="A841" s="3" t="str">
        <x:v>CT-0834</x:v>
      </x:c>
      <x:c r="B841" s="3" t="str">
        <x:v>ST-131</x:v>
      </x:c>
      <x:c r="C841" s="3" t="str">
        <x:v>仅AR接收</x:v>
      </x:c>
      <x:c r="D841" s="25" t="n">
        <x:v>1</x:v>
      </x:c>
      <x:c r="E841" s="25" t="n">
        <x:v>3</x:v>
      </x:c>
      <x:c r="F841" s="25" t="n">
        <x:v>4</x:v>
      </x:c>
      <x:c r="G841" s="19" t="n">
        <x:f>SUM(D841:F841)</x:f>
        <x:v>8</x:v>
      </x:c>
      <x:c r="H841" s="25" t="str">
        <x:v>-</x:v>
      </x:c>
      <x:c r="I841" s="25" t="n">
        <x:v>1</x:v>
      </x:c>
      <x:c r="J841" s="25" t="n">
        <x:v>2</x:v>
      </x:c>
      <x:c r="K841" s="19" t="n">
        <x:f>D841-IF(H841=0,1,0)</x:f>
        <x:v>1</x:v>
      </x:c>
      <x:c r="L841" s="19" t="n">
        <x:f>E841-IF(H841=1,1,0)</x:f>
        <x:v>3</x:v>
      </x:c>
      <x:c r="M841" s="19" t="n">
        <x:f>F841-IF(H841=2,1,0)</x:f>
        <x:v>4</x:v>
      </x:c>
      <x:c r="N841" s="19" t="n">
        <x:f>MAX(K841-1,0)+MAX(L841-1,0)+MAX(M841-1,0)</x:f>
        <x:v>5</x:v>
      </x:c>
      <x:c r="O841" s="19" t="n">
        <x:f>IF(AND(SUM(K841:M841)&lt;9,OR(M841=0,N841&lt;6)),1,0)</x:f>
        <x:v>1</x:v>
      </x:c>
      <x:c r="P841" s="19" t="n">
        <x:f>IF(AND(SUM(K841:M841)&lt;9,OR(L841=0,N841&lt;6)),1,0)</x:f>
        <x:v>1</x:v>
      </x:c>
      <x:c r="Q841" s="19" t="n">
        <x:f>IF(AND(SUM(K841:M841)&lt;9,OR(K841=0,N841&lt;6)),1,0)</x:f>
        <x:v>1</x:v>
      </x:c>
      <x:c r="R841" s="22" t="str">
        <x:f>O841&amp;P841&amp;Q841</x:f>
        <x:v>111</x:v>
      </x:c>
      <x:c r="S841" s="19" t="n">
        <x:f>IF(I841=1,IF(J841=0,Q841,IF(J841=1,P841,IF(J841=2,O841,0))),0)</x:f>
        <x:v>1</x:v>
      </x:c>
      <x:c r="T841" s="19" t="n">
        <x:f>K841+IF(AND(S841=1,J841=0),1,0)</x:f>
        <x:v>1</x:v>
      </x:c>
      <x:c r="U841" s="19" t="n">
        <x:f>L841+IF(AND(S841=1,J841=1),1,0)</x:f>
        <x:v>3</x:v>
      </x:c>
      <x:c r="V841" s="19" t="n">
        <x:f>M841+IF(AND(S841=1,J841=2),1,0)</x:f>
        <x:v>5</x:v>
      </x:c>
      <x:c r="W841" s="19" t="n">
        <x:f>SUM(T841:V841)</x:f>
        <x:v>9</x:v>
      </x:c>
      <x:c r="X841" s="19" t="n">
        <x:f>W841-G841</x:f>
        <x:v>1</x:v>
      </x:c>
      <x:c r="Y841" s="19" t="n">
        <x:f>MAX(T841,1)+MAX(U841,1)+MAX(V841,1)</x:f>
        <x:v>9</x:v>
      </x:c>
      <x:c r="Z841" s="21" t="str">
        <x:f>IF(AND(MIN(D841:F841)&gt;=0,MAX(D841:F841)&lt;=7,MAX(D841,1)+MAX(E841,1)+MAX(F841,1)&lt;=9,OR(H841="-",AND(H841=0,D841&gt;0),AND(H841=1,E841&gt;0),AND(H841=2,F841&gt;0)),OR(I841=0,AND(I841=1,OR(J841=0,J841=1,J841=2),R841&lt;&gt;"000")),Y841&lt;=9,MIN(T841:V841)&gt;=0),"合法","输入违约")</x:f>
        <x:v>合法</x:v>
      </x:c>
    </x:row>
    <x:row r="842" ht="23" customHeight="1">
      <x:c r="A842" s="3" t="str">
        <x:v>CT-0835</x:v>
      </x:c>
      <x:c r="B842" s="3" t="str">
        <x:v>ST-131</x:v>
      </x:c>
      <x:c r="C842" s="3" t="str">
        <x:v>仅R回收</x:v>
      </x:c>
      <x:c r="D842" s="25" t="n">
        <x:v>1</x:v>
      </x:c>
      <x:c r="E842" s="25" t="n">
        <x:v>3</x:v>
      </x:c>
      <x:c r="F842" s="25" t="n">
        <x:v>4</x:v>
      </x:c>
      <x:c r="G842" s="19" t="n">
        <x:f>SUM(D842:F842)</x:f>
        <x:v>8</x:v>
      </x:c>
      <x:c r="H842" s="25" t="n">
        <x:v>0</x:v>
      </x:c>
      <x:c r="I842" s="25" t="n">
        <x:v>0</x:v>
      </x:c>
      <x:c r="J842" s="25" t="str">
        <x:v>-</x:v>
      </x:c>
      <x:c r="K842" s="19" t="n">
        <x:f>D842-IF(H842=0,1,0)</x:f>
        <x:v>0</x:v>
      </x:c>
      <x:c r="L842" s="19" t="n">
        <x:f>E842-IF(H842=1,1,0)</x:f>
        <x:v>3</x:v>
      </x:c>
      <x:c r="M842" s="19" t="n">
        <x:f>F842-IF(H842=2,1,0)</x:f>
        <x:v>4</x:v>
      </x:c>
      <x:c r="N842" s="19" t="n">
        <x:f>MAX(K842-1,0)+MAX(L842-1,0)+MAX(M842-1,0)</x:f>
        <x:v>5</x:v>
      </x:c>
      <x:c r="O842" s="19" t="n">
        <x:f>IF(AND(SUM(K842:M842)&lt;9,OR(M842=0,N842&lt;6)),1,0)</x:f>
        <x:v>1</x:v>
      </x:c>
      <x:c r="P842" s="19" t="n">
        <x:f>IF(AND(SUM(K842:M842)&lt;9,OR(L842=0,N842&lt;6)),1,0)</x:f>
        <x:v>1</x:v>
      </x:c>
      <x:c r="Q842" s="19" t="n">
        <x:f>IF(AND(SUM(K842:M842)&lt;9,OR(K842=0,N842&lt;6)),1,0)</x:f>
        <x:v>1</x:v>
      </x:c>
      <x:c r="R842" s="22" t="str">
        <x:f>O842&amp;P842&amp;Q842</x:f>
        <x:v>111</x:v>
      </x:c>
      <x:c r="S842" s="19" t="n">
        <x:f>IF(I842=1,IF(J842=0,Q842,IF(J842=1,P842,IF(J842=2,O842,0))),0)</x:f>
        <x:v>0</x:v>
      </x:c>
      <x:c r="T842" s="19" t="n">
        <x:f>K842+IF(AND(S842=1,J842=0),1,0)</x:f>
        <x:v>0</x:v>
      </x:c>
      <x:c r="U842" s="19" t="n">
        <x:f>L842+IF(AND(S842=1,J842=1),1,0)</x:f>
        <x:v>3</x:v>
      </x:c>
      <x:c r="V842" s="19" t="n">
        <x:f>M842+IF(AND(S842=1,J842=2),1,0)</x:f>
        <x:v>4</x:v>
      </x:c>
      <x:c r="W842" s="19" t="n">
        <x:f>SUM(T842:V842)</x:f>
        <x:v>7</x:v>
      </x:c>
      <x:c r="X842" s="19" t="n">
        <x:f>W842-G842</x:f>
        <x:v>-1</x:v>
      </x:c>
      <x:c r="Y842" s="19" t="n">
        <x:f>MAX(T842,1)+MAX(U842,1)+MAX(V842,1)</x:f>
        <x:v>8</x:v>
      </x:c>
      <x:c r="Z842" s="21" t="str">
        <x:f>IF(AND(MIN(D842:F842)&gt;=0,MAX(D842:F842)&lt;=7,MAX(D842,1)+MAX(E842,1)+MAX(F842,1)&lt;=9,OR(H842="-",AND(H842=0,D842&gt;0),AND(H842=1,E842&gt;0),AND(H842=2,F842&gt;0)),OR(I842=0,AND(I842=1,OR(J842=0,J842=1,J842=2),R842&lt;&gt;"000")),Y842&lt;=9,MIN(T842:V842)&gt;=0),"合法","输入违约")</x:f>
        <x:v>合法</x:v>
      </x:c>
    </x:row>
    <x:row r="843" ht="23" customHeight="1">
      <x:c r="A843" s="3" t="str">
        <x:v>CT-0836</x:v>
      </x:c>
      <x:c r="B843" s="3" t="str">
        <x:v>ST-131</x:v>
      </x:c>
      <x:c r="C843" s="3" t="str">
        <x:v>R+AR同收同发</x:v>
      </x:c>
      <x:c r="D843" s="25" t="n">
        <x:v>1</x:v>
      </x:c>
      <x:c r="E843" s="25" t="n">
        <x:v>3</x:v>
      </x:c>
      <x:c r="F843" s="25" t="n">
        <x:v>4</x:v>
      </x:c>
      <x:c r="G843" s="19" t="n">
        <x:f>SUM(D843:F843)</x:f>
        <x:v>8</x:v>
      </x:c>
      <x:c r="H843" s="25" t="n">
        <x:v>0</x:v>
      </x:c>
      <x:c r="I843" s="25" t="n">
        <x:v>1</x:v>
      </x:c>
      <x:c r="J843" s="25" t="n">
        <x:v>0</x:v>
      </x:c>
      <x:c r="K843" s="19" t="n">
        <x:f>D843-IF(H843=0,1,0)</x:f>
        <x:v>0</x:v>
      </x:c>
      <x:c r="L843" s="19" t="n">
        <x:f>E843-IF(H843=1,1,0)</x:f>
        <x:v>3</x:v>
      </x:c>
      <x:c r="M843" s="19" t="n">
        <x:f>F843-IF(H843=2,1,0)</x:f>
        <x:v>4</x:v>
      </x:c>
      <x:c r="N843" s="19" t="n">
        <x:f>MAX(K843-1,0)+MAX(L843-1,0)+MAX(M843-1,0)</x:f>
        <x:v>5</x:v>
      </x:c>
      <x:c r="O843" s="19" t="n">
        <x:f>IF(AND(SUM(K843:M843)&lt;9,OR(M843=0,N843&lt;6)),1,0)</x:f>
        <x:v>1</x:v>
      </x:c>
      <x:c r="P843" s="19" t="n">
        <x:f>IF(AND(SUM(K843:M843)&lt;9,OR(L843=0,N843&lt;6)),1,0)</x:f>
        <x:v>1</x:v>
      </x:c>
      <x:c r="Q843" s="19" t="n">
        <x:f>IF(AND(SUM(K843:M843)&lt;9,OR(K843=0,N843&lt;6)),1,0)</x:f>
        <x:v>1</x:v>
      </x:c>
      <x:c r="R843" s="22" t="str">
        <x:f>O843&amp;P843&amp;Q843</x:f>
        <x:v>111</x:v>
      </x:c>
      <x:c r="S843" s="19" t="n">
        <x:f>IF(I843=1,IF(J843=0,Q843,IF(J843=1,P843,IF(J843=2,O843,0))),0)</x:f>
        <x:v>1</x:v>
      </x:c>
      <x:c r="T843" s="19" t="n">
        <x:f>K843+IF(AND(S843=1,J843=0),1,0)</x:f>
        <x:v>1</x:v>
      </x:c>
      <x:c r="U843" s="19" t="n">
        <x:f>L843+IF(AND(S843=1,J843=1),1,0)</x:f>
        <x:v>3</x:v>
      </x:c>
      <x:c r="V843" s="19" t="n">
        <x:f>M843+IF(AND(S843=1,J843=2),1,0)</x:f>
        <x:v>4</x:v>
      </x:c>
      <x:c r="W843" s="19" t="n">
        <x:f>SUM(T843:V843)</x:f>
        <x:v>8</x:v>
      </x:c>
      <x:c r="X843" s="19" t="n">
        <x:f>W843-G843</x:f>
        <x:v>0</x:v>
      </x:c>
      <x:c r="Y843" s="19" t="n">
        <x:f>MAX(T843,1)+MAX(U843,1)+MAX(V843,1)</x:f>
        <x:v>8</x:v>
      </x:c>
      <x:c r="Z843" s="21" t="str">
        <x:f>IF(AND(MIN(D843:F843)&gt;=0,MAX(D843:F843)&lt;=7,MAX(D843,1)+MAX(E843,1)+MAX(F843,1)&lt;=9,OR(H843="-",AND(H843=0,D843&gt;0),AND(H843=1,E843&gt;0),AND(H843=2,F843&gt;0)),OR(I843=0,AND(I843=1,OR(J843=0,J843=1,J843=2),R843&lt;&gt;"000")),Y843&lt;=9,MIN(T843:V843)&gt;=0),"合法","输入违约")</x:f>
        <x:v>合法</x:v>
      </x:c>
    </x:row>
    <x:row r="844" ht="23" customHeight="1">
      <x:c r="A844" s="3" t="str">
        <x:v>CT-0837</x:v>
      </x:c>
      <x:c r="B844" s="3" t="str">
        <x:v>ST-131</x:v>
      </x:c>
      <x:c r="C844" s="3" t="str">
        <x:v>R+AR同收同发</x:v>
      </x:c>
      <x:c r="D844" s="25" t="n">
        <x:v>1</x:v>
      </x:c>
      <x:c r="E844" s="25" t="n">
        <x:v>3</x:v>
      </x:c>
      <x:c r="F844" s="25" t="n">
        <x:v>4</x:v>
      </x:c>
      <x:c r="G844" s="19" t="n">
        <x:f>SUM(D844:F844)</x:f>
        <x:v>8</x:v>
      </x:c>
      <x:c r="H844" s="25" t="n">
        <x:v>0</x:v>
      </x:c>
      <x:c r="I844" s="25" t="n">
        <x:v>1</x:v>
      </x:c>
      <x:c r="J844" s="25" t="n">
        <x:v>1</x:v>
      </x:c>
      <x:c r="K844" s="19" t="n">
        <x:f>D844-IF(H844=0,1,0)</x:f>
        <x:v>0</x:v>
      </x:c>
      <x:c r="L844" s="19" t="n">
        <x:f>E844-IF(H844=1,1,0)</x:f>
        <x:v>3</x:v>
      </x:c>
      <x:c r="M844" s="19" t="n">
        <x:f>F844-IF(H844=2,1,0)</x:f>
        <x:v>4</x:v>
      </x:c>
      <x:c r="N844" s="19" t="n">
        <x:f>MAX(K844-1,0)+MAX(L844-1,0)+MAX(M844-1,0)</x:f>
        <x:v>5</x:v>
      </x:c>
      <x:c r="O844" s="19" t="n">
        <x:f>IF(AND(SUM(K844:M844)&lt;9,OR(M844=0,N844&lt;6)),1,0)</x:f>
        <x:v>1</x:v>
      </x:c>
      <x:c r="P844" s="19" t="n">
        <x:f>IF(AND(SUM(K844:M844)&lt;9,OR(L844=0,N844&lt;6)),1,0)</x:f>
        <x:v>1</x:v>
      </x:c>
      <x:c r="Q844" s="19" t="n">
        <x:f>IF(AND(SUM(K844:M844)&lt;9,OR(K844=0,N844&lt;6)),1,0)</x:f>
        <x:v>1</x:v>
      </x:c>
      <x:c r="R844" s="22" t="str">
        <x:f>O844&amp;P844&amp;Q844</x:f>
        <x:v>111</x:v>
      </x:c>
      <x:c r="S844" s="19" t="n">
        <x:f>IF(I844=1,IF(J844=0,Q844,IF(J844=1,P844,IF(J844=2,O844,0))),0)</x:f>
        <x:v>1</x:v>
      </x:c>
      <x:c r="T844" s="19" t="n">
        <x:f>K844+IF(AND(S844=1,J844=0),1,0)</x:f>
        <x:v>0</x:v>
      </x:c>
      <x:c r="U844" s="19" t="n">
        <x:f>L844+IF(AND(S844=1,J844=1),1,0)</x:f>
        <x:v>4</x:v>
      </x:c>
      <x:c r="V844" s="19" t="n">
        <x:f>M844+IF(AND(S844=1,J844=2),1,0)</x:f>
        <x:v>4</x:v>
      </x:c>
      <x:c r="W844" s="19" t="n">
        <x:f>SUM(T844:V844)</x:f>
        <x:v>8</x:v>
      </x:c>
      <x:c r="X844" s="19" t="n">
        <x:f>W844-G844</x:f>
        <x:v>0</x:v>
      </x:c>
      <x:c r="Y844" s="19" t="n">
        <x:f>MAX(T844,1)+MAX(U844,1)+MAX(V844,1)</x:f>
        <x:v>9</x:v>
      </x:c>
      <x:c r="Z844" s="21" t="str">
        <x:f>IF(AND(MIN(D844:F844)&gt;=0,MAX(D844:F844)&lt;=7,MAX(D844,1)+MAX(E844,1)+MAX(F844,1)&lt;=9,OR(H844="-",AND(H844=0,D844&gt;0),AND(H844=1,E844&gt;0),AND(H844=2,F844&gt;0)),OR(I844=0,AND(I844=1,OR(J844=0,J844=1,J844=2),R844&lt;&gt;"000")),Y844&lt;=9,MIN(T844:V844)&gt;=0),"合法","输入违约")</x:f>
        <x:v>合法</x:v>
      </x:c>
    </x:row>
    <x:row r="845" ht="23" customHeight="1">
      <x:c r="A845" s="3" t="str">
        <x:v>CT-0838</x:v>
      </x:c>
      <x:c r="B845" s="3" t="str">
        <x:v>ST-131</x:v>
      </x:c>
      <x:c r="C845" s="3" t="str">
        <x:v>R+AR同收同发</x:v>
      </x:c>
      <x:c r="D845" s="25" t="n">
        <x:v>1</x:v>
      </x:c>
      <x:c r="E845" s="25" t="n">
        <x:v>3</x:v>
      </x:c>
      <x:c r="F845" s="25" t="n">
        <x:v>4</x:v>
      </x:c>
      <x:c r="G845" s="19" t="n">
        <x:f>SUM(D845:F845)</x:f>
        <x:v>8</x:v>
      </x:c>
      <x:c r="H845" s="25" t="n">
        <x:v>0</x:v>
      </x:c>
      <x:c r="I845" s="25" t="n">
        <x:v>1</x:v>
      </x:c>
      <x:c r="J845" s="25" t="n">
        <x:v>2</x:v>
      </x:c>
      <x:c r="K845" s="19" t="n">
        <x:f>D845-IF(H845=0,1,0)</x:f>
        <x:v>0</x:v>
      </x:c>
      <x:c r="L845" s="19" t="n">
        <x:f>E845-IF(H845=1,1,0)</x:f>
        <x:v>3</x:v>
      </x:c>
      <x:c r="M845" s="19" t="n">
        <x:f>F845-IF(H845=2,1,0)</x:f>
        <x:v>4</x:v>
      </x:c>
      <x:c r="N845" s="19" t="n">
        <x:f>MAX(K845-1,0)+MAX(L845-1,0)+MAX(M845-1,0)</x:f>
        <x:v>5</x:v>
      </x:c>
      <x:c r="O845" s="19" t="n">
        <x:f>IF(AND(SUM(K845:M845)&lt;9,OR(M845=0,N845&lt;6)),1,0)</x:f>
        <x:v>1</x:v>
      </x:c>
      <x:c r="P845" s="19" t="n">
        <x:f>IF(AND(SUM(K845:M845)&lt;9,OR(L845=0,N845&lt;6)),1,0)</x:f>
        <x:v>1</x:v>
      </x:c>
      <x:c r="Q845" s="19" t="n">
        <x:f>IF(AND(SUM(K845:M845)&lt;9,OR(K845=0,N845&lt;6)),1,0)</x:f>
        <x:v>1</x:v>
      </x:c>
      <x:c r="R845" s="22" t="str">
        <x:f>O845&amp;P845&amp;Q845</x:f>
        <x:v>111</x:v>
      </x:c>
      <x:c r="S845" s="19" t="n">
        <x:f>IF(I845=1,IF(J845=0,Q845,IF(J845=1,P845,IF(J845=2,O845,0))),0)</x:f>
        <x:v>1</x:v>
      </x:c>
      <x:c r="T845" s="19" t="n">
        <x:f>K845+IF(AND(S845=1,J845=0),1,0)</x:f>
        <x:v>0</x:v>
      </x:c>
      <x:c r="U845" s="19" t="n">
        <x:f>L845+IF(AND(S845=1,J845=1),1,0)</x:f>
        <x:v>3</x:v>
      </x:c>
      <x:c r="V845" s="19" t="n">
        <x:f>M845+IF(AND(S845=1,J845=2),1,0)</x:f>
        <x:v>5</x:v>
      </x:c>
      <x:c r="W845" s="19" t="n">
        <x:f>SUM(T845:V845)</x:f>
        <x:v>8</x:v>
      </x:c>
      <x:c r="X845" s="19" t="n">
        <x:f>W845-G845</x:f>
        <x:v>0</x:v>
      </x:c>
      <x:c r="Y845" s="19" t="n">
        <x:f>MAX(T845,1)+MAX(U845,1)+MAX(V845,1)</x:f>
        <x:v>9</x:v>
      </x:c>
      <x:c r="Z845" s="21" t="str">
        <x:f>IF(AND(MIN(D845:F845)&gt;=0,MAX(D845:F845)&lt;=7,MAX(D845,1)+MAX(E845,1)+MAX(F845,1)&lt;=9,OR(H845="-",AND(H845=0,D845&gt;0),AND(H845=1,E845&gt;0),AND(H845=2,F845&gt;0)),OR(I845=0,AND(I845=1,OR(J845=0,J845=1,J845=2),R845&lt;&gt;"000")),Y845&lt;=9,MIN(T845:V845)&gt;=0),"合法","输入违约")</x:f>
        <x:v>合法</x:v>
      </x:c>
    </x:row>
    <x:row r="846" ht="23" customHeight="1">
      <x:c r="A846" s="3" t="str">
        <x:v>CT-0839</x:v>
      </x:c>
      <x:c r="B846" s="3" t="str">
        <x:v>ST-131</x:v>
      </x:c>
      <x:c r="C846" s="3" t="str">
        <x:v>仅R回收</x:v>
      </x:c>
      <x:c r="D846" s="25" t="n">
        <x:v>1</x:v>
      </x:c>
      <x:c r="E846" s="25" t="n">
        <x:v>3</x:v>
      </x:c>
      <x:c r="F846" s="25" t="n">
        <x:v>4</x:v>
      </x:c>
      <x:c r="G846" s="19" t="n">
        <x:f>SUM(D846:F846)</x:f>
        <x:v>8</x:v>
      </x:c>
      <x:c r="H846" s="25" t="n">
        <x:v>1</x:v>
      </x:c>
      <x:c r="I846" s="25" t="n">
        <x:v>0</x:v>
      </x:c>
      <x:c r="J846" s="25" t="str">
        <x:v>-</x:v>
      </x:c>
      <x:c r="K846" s="19" t="n">
        <x:f>D846-IF(H846=0,1,0)</x:f>
        <x:v>1</x:v>
      </x:c>
      <x:c r="L846" s="19" t="n">
        <x:f>E846-IF(H846=1,1,0)</x:f>
        <x:v>2</x:v>
      </x:c>
      <x:c r="M846" s="19" t="n">
        <x:f>F846-IF(H846=2,1,0)</x:f>
        <x:v>4</x:v>
      </x:c>
      <x:c r="N846" s="19" t="n">
        <x:f>MAX(K846-1,0)+MAX(L846-1,0)+MAX(M846-1,0)</x:f>
        <x:v>4</x:v>
      </x:c>
      <x:c r="O846" s="19" t="n">
        <x:f>IF(AND(SUM(K846:M846)&lt;9,OR(M846=0,N846&lt;6)),1,0)</x:f>
        <x:v>1</x:v>
      </x:c>
      <x:c r="P846" s="19" t="n">
        <x:f>IF(AND(SUM(K846:M846)&lt;9,OR(L846=0,N846&lt;6)),1,0)</x:f>
        <x:v>1</x:v>
      </x:c>
      <x:c r="Q846" s="19" t="n">
        <x:f>IF(AND(SUM(K846:M846)&lt;9,OR(K846=0,N846&lt;6)),1,0)</x:f>
        <x:v>1</x:v>
      </x:c>
      <x:c r="R846" s="22" t="str">
        <x:f>O846&amp;P846&amp;Q846</x:f>
        <x:v>111</x:v>
      </x:c>
      <x:c r="S846" s="19" t="n">
        <x:f>IF(I846=1,IF(J846=0,Q846,IF(J846=1,P846,IF(J846=2,O846,0))),0)</x:f>
        <x:v>0</x:v>
      </x:c>
      <x:c r="T846" s="19" t="n">
        <x:f>K846+IF(AND(S846=1,J846=0),1,0)</x:f>
        <x:v>1</x:v>
      </x:c>
      <x:c r="U846" s="19" t="n">
        <x:f>L846+IF(AND(S846=1,J846=1),1,0)</x:f>
        <x:v>2</x:v>
      </x:c>
      <x:c r="V846" s="19" t="n">
        <x:f>M846+IF(AND(S846=1,J846=2),1,0)</x:f>
        <x:v>4</x:v>
      </x:c>
      <x:c r="W846" s="19" t="n">
        <x:f>SUM(T846:V846)</x:f>
        <x:v>7</x:v>
      </x:c>
      <x:c r="X846" s="19" t="n">
        <x:f>W846-G846</x:f>
        <x:v>-1</x:v>
      </x:c>
      <x:c r="Y846" s="19" t="n">
        <x:f>MAX(T846,1)+MAX(U846,1)+MAX(V846,1)</x:f>
        <x:v>7</x:v>
      </x:c>
      <x:c r="Z846" s="21" t="str">
        <x:f>IF(AND(MIN(D846:F846)&gt;=0,MAX(D846:F846)&lt;=7,MAX(D846,1)+MAX(E846,1)+MAX(F846,1)&lt;=9,OR(H846="-",AND(H846=0,D846&gt;0),AND(H846=1,E846&gt;0),AND(H846=2,F846&gt;0)),OR(I846=0,AND(I846=1,OR(J846=0,J846=1,J846=2),R846&lt;&gt;"000")),Y846&lt;=9,MIN(T846:V846)&gt;=0),"合法","输入违约")</x:f>
        <x:v>合法</x:v>
      </x:c>
    </x:row>
    <x:row r="847" ht="23" customHeight="1">
      <x:c r="A847" s="3" t="str">
        <x:v>CT-0840</x:v>
      </x:c>
      <x:c r="B847" s="3" t="str">
        <x:v>ST-131</x:v>
      </x:c>
      <x:c r="C847" s="3" t="str">
        <x:v>R+AR同收同发</x:v>
      </x:c>
      <x:c r="D847" s="25" t="n">
        <x:v>1</x:v>
      </x:c>
      <x:c r="E847" s="25" t="n">
        <x:v>3</x:v>
      </x:c>
      <x:c r="F847" s="25" t="n">
        <x:v>4</x:v>
      </x:c>
      <x:c r="G847" s="19" t="n">
        <x:f>SUM(D847:F847)</x:f>
        <x:v>8</x:v>
      </x:c>
      <x:c r="H847" s="25" t="n">
        <x:v>1</x:v>
      </x:c>
      <x:c r="I847" s="25" t="n">
        <x:v>1</x:v>
      </x:c>
      <x:c r="J847" s="25" t="n">
        <x:v>0</x:v>
      </x:c>
      <x:c r="K847" s="19" t="n">
        <x:f>D847-IF(H847=0,1,0)</x:f>
        <x:v>1</x:v>
      </x:c>
      <x:c r="L847" s="19" t="n">
        <x:f>E847-IF(H847=1,1,0)</x:f>
        <x:v>2</x:v>
      </x:c>
      <x:c r="M847" s="19" t="n">
        <x:f>F847-IF(H847=2,1,0)</x:f>
        <x:v>4</x:v>
      </x:c>
      <x:c r="N847" s="19" t="n">
        <x:f>MAX(K847-1,0)+MAX(L847-1,0)+MAX(M847-1,0)</x:f>
        <x:v>4</x:v>
      </x:c>
      <x:c r="O847" s="19" t="n">
        <x:f>IF(AND(SUM(K847:M847)&lt;9,OR(M847=0,N847&lt;6)),1,0)</x:f>
        <x:v>1</x:v>
      </x:c>
      <x:c r="P847" s="19" t="n">
        <x:f>IF(AND(SUM(K847:M847)&lt;9,OR(L847=0,N847&lt;6)),1,0)</x:f>
        <x:v>1</x:v>
      </x:c>
      <x:c r="Q847" s="19" t="n">
        <x:f>IF(AND(SUM(K847:M847)&lt;9,OR(K847=0,N847&lt;6)),1,0)</x:f>
        <x:v>1</x:v>
      </x:c>
      <x:c r="R847" s="22" t="str">
        <x:f>O847&amp;P847&amp;Q847</x:f>
        <x:v>111</x:v>
      </x:c>
      <x:c r="S847" s="19" t="n">
        <x:f>IF(I847=1,IF(J847=0,Q847,IF(J847=1,P847,IF(J847=2,O847,0))),0)</x:f>
        <x:v>1</x:v>
      </x:c>
      <x:c r="T847" s="19" t="n">
        <x:f>K847+IF(AND(S847=1,J847=0),1,0)</x:f>
        <x:v>2</x:v>
      </x:c>
      <x:c r="U847" s="19" t="n">
        <x:f>L847+IF(AND(S847=1,J847=1),1,0)</x:f>
        <x:v>2</x:v>
      </x:c>
      <x:c r="V847" s="19" t="n">
        <x:f>M847+IF(AND(S847=1,J847=2),1,0)</x:f>
        <x:v>4</x:v>
      </x:c>
      <x:c r="W847" s="19" t="n">
        <x:f>SUM(T847:V847)</x:f>
        <x:v>8</x:v>
      </x:c>
      <x:c r="X847" s="19" t="n">
        <x:f>W847-G847</x:f>
        <x:v>0</x:v>
      </x:c>
      <x:c r="Y847" s="19" t="n">
        <x:f>MAX(T847,1)+MAX(U847,1)+MAX(V847,1)</x:f>
        <x:v>8</x:v>
      </x:c>
      <x:c r="Z847" s="21" t="str">
        <x:f>IF(AND(MIN(D847:F847)&gt;=0,MAX(D847:F847)&lt;=7,MAX(D847,1)+MAX(E847,1)+MAX(F847,1)&lt;=9,OR(H847="-",AND(H847=0,D847&gt;0),AND(H847=1,E847&gt;0),AND(H847=2,F847&gt;0)),OR(I847=0,AND(I847=1,OR(J847=0,J847=1,J847=2),R847&lt;&gt;"000")),Y847&lt;=9,MIN(T847:V847)&gt;=0),"合法","输入违约")</x:f>
        <x:v>合法</x:v>
      </x:c>
    </x:row>
    <x:row r="848" ht="23" customHeight="1">
      <x:c r="A848" s="3" t="str">
        <x:v>CT-0841</x:v>
      </x:c>
      <x:c r="B848" s="3" t="str">
        <x:v>ST-131</x:v>
      </x:c>
      <x:c r="C848" s="3" t="str">
        <x:v>R+AR同收同发</x:v>
      </x:c>
      <x:c r="D848" s="25" t="n">
        <x:v>1</x:v>
      </x:c>
      <x:c r="E848" s="25" t="n">
        <x:v>3</x:v>
      </x:c>
      <x:c r="F848" s="25" t="n">
        <x:v>4</x:v>
      </x:c>
      <x:c r="G848" s="19" t="n">
        <x:f>SUM(D848:F848)</x:f>
        <x:v>8</x:v>
      </x:c>
      <x:c r="H848" s="25" t="n">
        <x:v>1</x:v>
      </x:c>
      <x:c r="I848" s="25" t="n">
        <x:v>1</x:v>
      </x:c>
      <x:c r="J848" s="25" t="n">
        <x:v>1</x:v>
      </x:c>
      <x:c r="K848" s="19" t="n">
        <x:f>D848-IF(H848=0,1,0)</x:f>
        <x:v>1</x:v>
      </x:c>
      <x:c r="L848" s="19" t="n">
        <x:f>E848-IF(H848=1,1,0)</x:f>
        <x:v>2</x:v>
      </x:c>
      <x:c r="M848" s="19" t="n">
        <x:f>F848-IF(H848=2,1,0)</x:f>
        <x:v>4</x:v>
      </x:c>
      <x:c r="N848" s="19" t="n">
        <x:f>MAX(K848-1,0)+MAX(L848-1,0)+MAX(M848-1,0)</x:f>
        <x:v>4</x:v>
      </x:c>
      <x:c r="O848" s="19" t="n">
        <x:f>IF(AND(SUM(K848:M848)&lt;9,OR(M848=0,N848&lt;6)),1,0)</x:f>
        <x:v>1</x:v>
      </x:c>
      <x:c r="P848" s="19" t="n">
        <x:f>IF(AND(SUM(K848:M848)&lt;9,OR(L848=0,N848&lt;6)),1,0)</x:f>
        <x:v>1</x:v>
      </x:c>
      <x:c r="Q848" s="19" t="n">
        <x:f>IF(AND(SUM(K848:M848)&lt;9,OR(K848=0,N848&lt;6)),1,0)</x:f>
        <x:v>1</x:v>
      </x:c>
      <x:c r="R848" s="22" t="str">
        <x:f>O848&amp;P848&amp;Q848</x:f>
        <x:v>111</x:v>
      </x:c>
      <x:c r="S848" s="19" t="n">
        <x:f>IF(I848=1,IF(J848=0,Q848,IF(J848=1,P848,IF(J848=2,O848,0))),0)</x:f>
        <x:v>1</x:v>
      </x:c>
      <x:c r="T848" s="19" t="n">
        <x:f>K848+IF(AND(S848=1,J848=0),1,0)</x:f>
        <x:v>1</x:v>
      </x:c>
      <x:c r="U848" s="19" t="n">
        <x:f>L848+IF(AND(S848=1,J848=1),1,0)</x:f>
        <x:v>3</x:v>
      </x:c>
      <x:c r="V848" s="19" t="n">
        <x:f>M848+IF(AND(S848=1,J848=2),1,0)</x:f>
        <x:v>4</x:v>
      </x:c>
      <x:c r="W848" s="19" t="n">
        <x:f>SUM(T848:V848)</x:f>
        <x:v>8</x:v>
      </x:c>
      <x:c r="X848" s="19" t="n">
        <x:f>W848-G848</x:f>
        <x:v>0</x:v>
      </x:c>
      <x:c r="Y848" s="19" t="n">
        <x:f>MAX(T848,1)+MAX(U848,1)+MAX(V848,1)</x:f>
        <x:v>8</x:v>
      </x:c>
      <x:c r="Z848" s="21" t="str">
        <x:f>IF(AND(MIN(D848:F848)&gt;=0,MAX(D848:F848)&lt;=7,MAX(D848,1)+MAX(E848,1)+MAX(F848,1)&lt;=9,OR(H848="-",AND(H848=0,D848&gt;0),AND(H848=1,E848&gt;0),AND(H848=2,F848&gt;0)),OR(I848=0,AND(I848=1,OR(J848=0,J848=1,J848=2),R848&lt;&gt;"000")),Y848&lt;=9,MIN(T848:V848)&gt;=0),"合法","输入违约")</x:f>
        <x:v>合法</x:v>
      </x:c>
    </x:row>
    <x:row r="849" ht="23" customHeight="1">
      <x:c r="A849" s="3" t="str">
        <x:v>CT-0842</x:v>
      </x:c>
      <x:c r="B849" s="3" t="str">
        <x:v>ST-131</x:v>
      </x:c>
      <x:c r="C849" s="3" t="str">
        <x:v>R+AR同收同发</x:v>
      </x:c>
      <x:c r="D849" s="25" t="n">
        <x:v>1</x:v>
      </x:c>
      <x:c r="E849" s="25" t="n">
        <x:v>3</x:v>
      </x:c>
      <x:c r="F849" s="25" t="n">
        <x:v>4</x:v>
      </x:c>
      <x:c r="G849" s="19" t="n">
        <x:f>SUM(D849:F849)</x:f>
        <x:v>8</x:v>
      </x:c>
      <x:c r="H849" s="25" t="n">
        <x:v>1</x:v>
      </x:c>
      <x:c r="I849" s="25" t="n">
        <x:v>1</x:v>
      </x:c>
      <x:c r="J849" s="25" t="n">
        <x:v>2</x:v>
      </x:c>
      <x:c r="K849" s="19" t="n">
        <x:f>D849-IF(H849=0,1,0)</x:f>
        <x:v>1</x:v>
      </x:c>
      <x:c r="L849" s="19" t="n">
        <x:f>E849-IF(H849=1,1,0)</x:f>
        <x:v>2</x:v>
      </x:c>
      <x:c r="M849" s="19" t="n">
        <x:f>F849-IF(H849=2,1,0)</x:f>
        <x:v>4</x:v>
      </x:c>
      <x:c r="N849" s="19" t="n">
        <x:f>MAX(K849-1,0)+MAX(L849-1,0)+MAX(M849-1,0)</x:f>
        <x:v>4</x:v>
      </x:c>
      <x:c r="O849" s="19" t="n">
        <x:f>IF(AND(SUM(K849:M849)&lt;9,OR(M849=0,N849&lt;6)),1,0)</x:f>
        <x:v>1</x:v>
      </x:c>
      <x:c r="P849" s="19" t="n">
        <x:f>IF(AND(SUM(K849:M849)&lt;9,OR(L849=0,N849&lt;6)),1,0)</x:f>
        <x:v>1</x:v>
      </x:c>
      <x:c r="Q849" s="19" t="n">
        <x:f>IF(AND(SUM(K849:M849)&lt;9,OR(K849=0,N849&lt;6)),1,0)</x:f>
        <x:v>1</x:v>
      </x:c>
      <x:c r="R849" s="22" t="str">
        <x:f>O849&amp;P849&amp;Q849</x:f>
        <x:v>111</x:v>
      </x:c>
      <x:c r="S849" s="19" t="n">
        <x:f>IF(I849=1,IF(J849=0,Q849,IF(J849=1,P849,IF(J849=2,O849,0))),0)</x:f>
        <x:v>1</x:v>
      </x:c>
      <x:c r="T849" s="19" t="n">
        <x:f>K849+IF(AND(S849=1,J849=0),1,0)</x:f>
        <x:v>1</x:v>
      </x:c>
      <x:c r="U849" s="19" t="n">
        <x:f>L849+IF(AND(S849=1,J849=1),1,0)</x:f>
        <x:v>2</x:v>
      </x:c>
      <x:c r="V849" s="19" t="n">
        <x:f>M849+IF(AND(S849=1,J849=2),1,0)</x:f>
        <x:v>5</x:v>
      </x:c>
      <x:c r="W849" s="19" t="n">
        <x:f>SUM(T849:V849)</x:f>
        <x:v>8</x:v>
      </x:c>
      <x:c r="X849" s="19" t="n">
        <x:f>W849-G849</x:f>
        <x:v>0</x:v>
      </x:c>
      <x:c r="Y849" s="19" t="n">
        <x:f>MAX(T849,1)+MAX(U849,1)+MAX(V849,1)</x:f>
        <x:v>8</x:v>
      </x:c>
      <x:c r="Z849" s="21" t="str">
        <x:f>IF(AND(MIN(D849:F849)&gt;=0,MAX(D849:F849)&lt;=7,MAX(D849,1)+MAX(E849,1)+MAX(F849,1)&lt;=9,OR(H849="-",AND(H849=0,D849&gt;0),AND(H849=1,E849&gt;0),AND(H849=2,F849&gt;0)),OR(I849=0,AND(I849=1,OR(J849=0,J849=1,J849=2),R849&lt;&gt;"000")),Y849&lt;=9,MIN(T849:V849)&gt;=0),"合法","输入违约")</x:f>
        <x:v>合法</x:v>
      </x:c>
    </x:row>
    <x:row r="850" ht="23" customHeight="1">
      <x:c r="A850" s="3" t="str">
        <x:v>CT-0843</x:v>
      </x:c>
      <x:c r="B850" s="3" t="str">
        <x:v>ST-131</x:v>
      </x:c>
      <x:c r="C850" s="3" t="str">
        <x:v>仅R回收</x:v>
      </x:c>
      <x:c r="D850" s="25" t="n">
        <x:v>1</x:v>
      </x:c>
      <x:c r="E850" s="25" t="n">
        <x:v>3</x:v>
      </x:c>
      <x:c r="F850" s="25" t="n">
        <x:v>4</x:v>
      </x:c>
      <x:c r="G850" s="19" t="n">
        <x:f>SUM(D850:F850)</x:f>
        <x:v>8</x:v>
      </x:c>
      <x:c r="H850" s="25" t="n">
        <x:v>2</x:v>
      </x:c>
      <x:c r="I850" s="25" t="n">
        <x:v>0</x:v>
      </x:c>
      <x:c r="J850" s="25" t="str">
        <x:v>-</x:v>
      </x:c>
      <x:c r="K850" s="19" t="n">
        <x:f>D850-IF(H850=0,1,0)</x:f>
        <x:v>1</x:v>
      </x:c>
      <x:c r="L850" s="19" t="n">
        <x:f>E850-IF(H850=1,1,0)</x:f>
        <x:v>3</x:v>
      </x:c>
      <x:c r="M850" s="19" t="n">
        <x:f>F850-IF(H850=2,1,0)</x:f>
        <x:v>3</x:v>
      </x:c>
      <x:c r="N850" s="19" t="n">
        <x:f>MAX(K850-1,0)+MAX(L850-1,0)+MAX(M850-1,0)</x:f>
        <x:v>4</x:v>
      </x:c>
      <x:c r="O850" s="19" t="n">
        <x:f>IF(AND(SUM(K850:M850)&lt;9,OR(M850=0,N850&lt;6)),1,0)</x:f>
        <x:v>1</x:v>
      </x:c>
      <x:c r="P850" s="19" t="n">
        <x:f>IF(AND(SUM(K850:M850)&lt;9,OR(L850=0,N850&lt;6)),1,0)</x:f>
        <x:v>1</x:v>
      </x:c>
      <x:c r="Q850" s="19" t="n">
        <x:f>IF(AND(SUM(K850:M850)&lt;9,OR(K850=0,N850&lt;6)),1,0)</x:f>
        <x:v>1</x:v>
      </x:c>
      <x:c r="R850" s="22" t="str">
        <x:f>O850&amp;P850&amp;Q850</x:f>
        <x:v>111</x:v>
      </x:c>
      <x:c r="S850" s="19" t="n">
        <x:f>IF(I850=1,IF(J850=0,Q850,IF(J850=1,P850,IF(J850=2,O850,0))),0)</x:f>
        <x:v>0</x:v>
      </x:c>
      <x:c r="T850" s="19" t="n">
        <x:f>K850+IF(AND(S850=1,J850=0),1,0)</x:f>
        <x:v>1</x:v>
      </x:c>
      <x:c r="U850" s="19" t="n">
        <x:f>L850+IF(AND(S850=1,J850=1),1,0)</x:f>
        <x:v>3</x:v>
      </x:c>
      <x:c r="V850" s="19" t="n">
        <x:f>M850+IF(AND(S850=1,J850=2),1,0)</x:f>
        <x:v>3</x:v>
      </x:c>
      <x:c r="W850" s="19" t="n">
        <x:f>SUM(T850:V850)</x:f>
        <x:v>7</x:v>
      </x:c>
      <x:c r="X850" s="19" t="n">
        <x:f>W850-G850</x:f>
        <x:v>-1</x:v>
      </x:c>
      <x:c r="Y850" s="19" t="n">
        <x:f>MAX(T850,1)+MAX(U850,1)+MAX(V850,1)</x:f>
        <x:v>7</x:v>
      </x:c>
      <x:c r="Z850" s="21" t="str">
        <x:f>IF(AND(MIN(D850:F850)&gt;=0,MAX(D850:F850)&lt;=7,MAX(D850,1)+MAX(E850,1)+MAX(F850,1)&lt;=9,OR(H850="-",AND(H850=0,D850&gt;0),AND(H850=1,E850&gt;0),AND(H850=2,F850&gt;0)),OR(I850=0,AND(I850=1,OR(J850=0,J850=1,J850=2),R850&lt;&gt;"000")),Y850&lt;=9,MIN(T850:V850)&gt;=0),"合法","输入违约")</x:f>
        <x:v>合法</x:v>
      </x:c>
    </x:row>
    <x:row r="851" ht="23" customHeight="1">
      <x:c r="A851" s="3" t="str">
        <x:v>CT-0844</x:v>
      </x:c>
      <x:c r="B851" s="3" t="str">
        <x:v>ST-131</x:v>
      </x:c>
      <x:c r="C851" s="3" t="str">
        <x:v>R+AR同收同发</x:v>
      </x:c>
      <x:c r="D851" s="25" t="n">
        <x:v>1</x:v>
      </x:c>
      <x:c r="E851" s="25" t="n">
        <x:v>3</x:v>
      </x:c>
      <x:c r="F851" s="25" t="n">
        <x:v>4</x:v>
      </x:c>
      <x:c r="G851" s="19" t="n">
        <x:f>SUM(D851:F851)</x:f>
        <x:v>8</x:v>
      </x:c>
      <x:c r="H851" s="25" t="n">
        <x:v>2</x:v>
      </x:c>
      <x:c r="I851" s="25" t="n">
        <x:v>1</x:v>
      </x:c>
      <x:c r="J851" s="25" t="n">
        <x:v>0</x:v>
      </x:c>
      <x:c r="K851" s="19" t="n">
        <x:f>D851-IF(H851=0,1,0)</x:f>
        <x:v>1</x:v>
      </x:c>
      <x:c r="L851" s="19" t="n">
        <x:f>E851-IF(H851=1,1,0)</x:f>
        <x:v>3</x:v>
      </x:c>
      <x:c r="M851" s="19" t="n">
        <x:f>F851-IF(H851=2,1,0)</x:f>
        <x:v>3</x:v>
      </x:c>
      <x:c r="N851" s="19" t="n">
        <x:f>MAX(K851-1,0)+MAX(L851-1,0)+MAX(M851-1,0)</x:f>
        <x:v>4</x:v>
      </x:c>
      <x:c r="O851" s="19" t="n">
        <x:f>IF(AND(SUM(K851:M851)&lt;9,OR(M851=0,N851&lt;6)),1,0)</x:f>
        <x:v>1</x:v>
      </x:c>
      <x:c r="P851" s="19" t="n">
        <x:f>IF(AND(SUM(K851:M851)&lt;9,OR(L851=0,N851&lt;6)),1,0)</x:f>
        <x:v>1</x:v>
      </x:c>
      <x:c r="Q851" s="19" t="n">
        <x:f>IF(AND(SUM(K851:M851)&lt;9,OR(K851=0,N851&lt;6)),1,0)</x:f>
        <x:v>1</x:v>
      </x:c>
      <x:c r="R851" s="22" t="str">
        <x:f>O851&amp;P851&amp;Q851</x:f>
        <x:v>111</x:v>
      </x:c>
      <x:c r="S851" s="19" t="n">
        <x:f>IF(I851=1,IF(J851=0,Q851,IF(J851=1,P851,IF(J851=2,O851,0))),0)</x:f>
        <x:v>1</x:v>
      </x:c>
      <x:c r="T851" s="19" t="n">
        <x:f>K851+IF(AND(S851=1,J851=0),1,0)</x:f>
        <x:v>2</x:v>
      </x:c>
      <x:c r="U851" s="19" t="n">
        <x:f>L851+IF(AND(S851=1,J851=1),1,0)</x:f>
        <x:v>3</x:v>
      </x:c>
      <x:c r="V851" s="19" t="n">
        <x:f>M851+IF(AND(S851=1,J851=2),1,0)</x:f>
        <x:v>3</x:v>
      </x:c>
      <x:c r="W851" s="19" t="n">
        <x:f>SUM(T851:V851)</x:f>
        <x:v>8</x:v>
      </x:c>
      <x:c r="X851" s="19" t="n">
        <x:f>W851-G851</x:f>
        <x:v>0</x:v>
      </x:c>
      <x:c r="Y851" s="19" t="n">
        <x:f>MAX(T851,1)+MAX(U851,1)+MAX(V851,1)</x:f>
        <x:v>8</x:v>
      </x:c>
      <x:c r="Z851" s="21" t="str">
        <x:f>IF(AND(MIN(D851:F851)&gt;=0,MAX(D851:F851)&lt;=7,MAX(D851,1)+MAX(E851,1)+MAX(F851,1)&lt;=9,OR(H851="-",AND(H851=0,D851&gt;0),AND(H851=1,E851&gt;0),AND(H851=2,F851&gt;0)),OR(I851=0,AND(I851=1,OR(J851=0,J851=1,J851=2),R851&lt;&gt;"000")),Y851&lt;=9,MIN(T851:V851)&gt;=0),"合法","输入违约")</x:f>
        <x:v>合法</x:v>
      </x:c>
    </x:row>
    <x:row r="852" ht="23" customHeight="1">
      <x:c r="A852" s="3" t="str">
        <x:v>CT-0845</x:v>
      </x:c>
      <x:c r="B852" s="3" t="str">
        <x:v>ST-131</x:v>
      </x:c>
      <x:c r="C852" s="3" t="str">
        <x:v>R+AR同收同发</x:v>
      </x:c>
      <x:c r="D852" s="25" t="n">
        <x:v>1</x:v>
      </x:c>
      <x:c r="E852" s="25" t="n">
        <x:v>3</x:v>
      </x:c>
      <x:c r="F852" s="25" t="n">
        <x:v>4</x:v>
      </x:c>
      <x:c r="G852" s="19" t="n">
        <x:f>SUM(D852:F852)</x:f>
        <x:v>8</x:v>
      </x:c>
      <x:c r="H852" s="25" t="n">
        <x:v>2</x:v>
      </x:c>
      <x:c r="I852" s="25" t="n">
        <x:v>1</x:v>
      </x:c>
      <x:c r="J852" s="25" t="n">
        <x:v>1</x:v>
      </x:c>
      <x:c r="K852" s="19" t="n">
        <x:f>D852-IF(H852=0,1,0)</x:f>
        <x:v>1</x:v>
      </x:c>
      <x:c r="L852" s="19" t="n">
        <x:f>E852-IF(H852=1,1,0)</x:f>
        <x:v>3</x:v>
      </x:c>
      <x:c r="M852" s="19" t="n">
        <x:f>F852-IF(H852=2,1,0)</x:f>
        <x:v>3</x:v>
      </x:c>
      <x:c r="N852" s="19" t="n">
        <x:f>MAX(K852-1,0)+MAX(L852-1,0)+MAX(M852-1,0)</x:f>
        <x:v>4</x:v>
      </x:c>
      <x:c r="O852" s="19" t="n">
        <x:f>IF(AND(SUM(K852:M852)&lt;9,OR(M852=0,N852&lt;6)),1,0)</x:f>
        <x:v>1</x:v>
      </x:c>
      <x:c r="P852" s="19" t="n">
        <x:f>IF(AND(SUM(K852:M852)&lt;9,OR(L852=0,N852&lt;6)),1,0)</x:f>
        <x:v>1</x:v>
      </x:c>
      <x:c r="Q852" s="19" t="n">
        <x:f>IF(AND(SUM(K852:M852)&lt;9,OR(K852=0,N852&lt;6)),1,0)</x:f>
        <x:v>1</x:v>
      </x:c>
      <x:c r="R852" s="22" t="str">
        <x:f>O852&amp;P852&amp;Q852</x:f>
        <x:v>111</x:v>
      </x:c>
      <x:c r="S852" s="19" t="n">
        <x:f>IF(I852=1,IF(J852=0,Q852,IF(J852=1,P852,IF(J852=2,O852,0))),0)</x:f>
        <x:v>1</x:v>
      </x:c>
      <x:c r="T852" s="19" t="n">
        <x:f>K852+IF(AND(S852=1,J852=0),1,0)</x:f>
        <x:v>1</x:v>
      </x:c>
      <x:c r="U852" s="19" t="n">
        <x:f>L852+IF(AND(S852=1,J852=1),1,0)</x:f>
        <x:v>4</x:v>
      </x:c>
      <x:c r="V852" s="19" t="n">
        <x:f>M852+IF(AND(S852=1,J852=2),1,0)</x:f>
        <x:v>3</x:v>
      </x:c>
      <x:c r="W852" s="19" t="n">
        <x:f>SUM(T852:V852)</x:f>
        <x:v>8</x:v>
      </x:c>
      <x:c r="X852" s="19" t="n">
        <x:f>W852-G852</x:f>
        <x:v>0</x:v>
      </x:c>
      <x:c r="Y852" s="19" t="n">
        <x:f>MAX(T852,1)+MAX(U852,1)+MAX(V852,1)</x:f>
        <x:v>8</x:v>
      </x:c>
      <x:c r="Z852" s="21" t="str">
        <x:f>IF(AND(MIN(D852:F852)&gt;=0,MAX(D852:F852)&lt;=7,MAX(D852,1)+MAX(E852,1)+MAX(F852,1)&lt;=9,OR(H852="-",AND(H852=0,D852&gt;0),AND(H852=1,E852&gt;0),AND(H852=2,F852&gt;0)),OR(I852=0,AND(I852=1,OR(J852=0,J852=1,J852=2),R852&lt;&gt;"000")),Y852&lt;=9,MIN(T852:V852)&gt;=0),"合法","输入违约")</x:f>
        <x:v>合法</x:v>
      </x:c>
    </x:row>
    <x:row r="853" ht="23" customHeight="1">
      <x:c r="A853" s="3" t="str">
        <x:v>CT-0846</x:v>
      </x:c>
      <x:c r="B853" s="3" t="str">
        <x:v>ST-131</x:v>
      </x:c>
      <x:c r="C853" s="3" t="str">
        <x:v>R+AR同收同发</x:v>
      </x:c>
      <x:c r="D853" s="25" t="n">
        <x:v>1</x:v>
      </x:c>
      <x:c r="E853" s="25" t="n">
        <x:v>3</x:v>
      </x:c>
      <x:c r="F853" s="25" t="n">
        <x:v>4</x:v>
      </x:c>
      <x:c r="G853" s="19" t="n">
        <x:f>SUM(D853:F853)</x:f>
        <x:v>8</x:v>
      </x:c>
      <x:c r="H853" s="25" t="n">
        <x:v>2</x:v>
      </x:c>
      <x:c r="I853" s="25" t="n">
        <x:v>1</x:v>
      </x:c>
      <x:c r="J853" s="25" t="n">
        <x:v>2</x:v>
      </x:c>
      <x:c r="K853" s="19" t="n">
        <x:f>D853-IF(H853=0,1,0)</x:f>
        <x:v>1</x:v>
      </x:c>
      <x:c r="L853" s="19" t="n">
        <x:f>E853-IF(H853=1,1,0)</x:f>
        <x:v>3</x:v>
      </x:c>
      <x:c r="M853" s="19" t="n">
        <x:f>F853-IF(H853=2,1,0)</x:f>
        <x:v>3</x:v>
      </x:c>
      <x:c r="N853" s="19" t="n">
        <x:f>MAX(K853-1,0)+MAX(L853-1,0)+MAX(M853-1,0)</x:f>
        <x:v>4</x:v>
      </x:c>
      <x:c r="O853" s="19" t="n">
        <x:f>IF(AND(SUM(K853:M853)&lt;9,OR(M853=0,N853&lt;6)),1,0)</x:f>
        <x:v>1</x:v>
      </x:c>
      <x:c r="P853" s="19" t="n">
        <x:f>IF(AND(SUM(K853:M853)&lt;9,OR(L853=0,N853&lt;6)),1,0)</x:f>
        <x:v>1</x:v>
      </x:c>
      <x:c r="Q853" s="19" t="n">
        <x:f>IF(AND(SUM(K853:M853)&lt;9,OR(K853=0,N853&lt;6)),1,0)</x:f>
        <x:v>1</x:v>
      </x:c>
      <x:c r="R853" s="22" t="str">
        <x:f>O853&amp;P853&amp;Q853</x:f>
        <x:v>111</x:v>
      </x:c>
      <x:c r="S853" s="19" t="n">
        <x:f>IF(I853=1,IF(J853=0,Q853,IF(J853=1,P853,IF(J853=2,O853,0))),0)</x:f>
        <x:v>1</x:v>
      </x:c>
      <x:c r="T853" s="19" t="n">
        <x:f>K853+IF(AND(S853=1,J853=0),1,0)</x:f>
        <x:v>1</x:v>
      </x:c>
      <x:c r="U853" s="19" t="n">
        <x:f>L853+IF(AND(S853=1,J853=1),1,0)</x:f>
        <x:v>3</x:v>
      </x:c>
      <x:c r="V853" s="19" t="n">
        <x:f>M853+IF(AND(S853=1,J853=2),1,0)</x:f>
        <x:v>4</x:v>
      </x:c>
      <x:c r="W853" s="19" t="n">
        <x:f>SUM(T853:V853)</x:f>
        <x:v>8</x:v>
      </x:c>
      <x:c r="X853" s="19" t="n">
        <x:f>W853-G853</x:f>
        <x:v>0</x:v>
      </x:c>
      <x:c r="Y853" s="19" t="n">
        <x:f>MAX(T853,1)+MAX(U853,1)+MAX(V853,1)</x:f>
        <x:v>8</x:v>
      </x:c>
      <x:c r="Z853" s="21" t="str">
        <x:f>IF(AND(MIN(D853:F853)&gt;=0,MAX(D853:F853)&lt;=7,MAX(D853,1)+MAX(E853,1)+MAX(F853,1)&lt;=9,OR(H853="-",AND(H853=0,D853&gt;0),AND(H853=1,E853&gt;0),AND(H853=2,F853&gt;0)),OR(I853=0,AND(I853=1,OR(J853=0,J853=1,J853=2),R853&lt;&gt;"000")),Y853&lt;=9,MIN(T853:V853)&gt;=0),"合法","输入违约")</x:f>
        <x:v>合法</x:v>
      </x:c>
    </x:row>
    <x:row r="854" ht="23" customHeight="1">
      <x:c r="A854" s="3" t="str">
        <x:v>CT-0847</x:v>
      </x:c>
      <x:c r="B854" s="3" t="str">
        <x:v>ST-165</x:v>
      </x:c>
      <x:c r="C854" s="3" t="str">
        <x:v>无AR/R</x:v>
      </x:c>
      <x:c r="D854" s="25" t="n">
        <x:v>1</x:v>
      </x:c>
      <x:c r="E854" s="25" t="n">
        <x:v>3</x:v>
      </x:c>
      <x:c r="F854" s="25" t="n">
        <x:v>5</x:v>
      </x:c>
      <x:c r="G854" s="19" t="n">
        <x:f>SUM(D854:F854)</x:f>
        <x:v>9</x:v>
      </x:c>
      <x:c r="H854" s="25" t="str">
        <x:v>-</x:v>
      </x:c>
      <x:c r="I854" s="25" t="n">
        <x:v>0</x:v>
      </x:c>
      <x:c r="J854" s="25" t="str">
        <x:v>-</x:v>
      </x:c>
      <x:c r="K854" s="19" t="n">
        <x:f>D854-IF(H854=0,1,0)</x:f>
        <x:v>1</x:v>
      </x:c>
      <x:c r="L854" s="19" t="n">
        <x:f>E854-IF(H854=1,1,0)</x:f>
        <x:v>3</x:v>
      </x:c>
      <x:c r="M854" s="19" t="n">
        <x:f>F854-IF(H854=2,1,0)</x:f>
        <x:v>5</x:v>
      </x:c>
      <x:c r="N854" s="19" t="n">
        <x:f>MAX(K854-1,0)+MAX(L854-1,0)+MAX(M854-1,0)</x:f>
        <x:v>6</x:v>
      </x:c>
      <x:c r="O854" s="19" t="n">
        <x:f>IF(AND(SUM(K854:M854)&lt;9,OR(M854=0,N854&lt;6)),1,0)</x:f>
        <x:v>0</x:v>
      </x:c>
      <x:c r="P854" s="19" t="n">
        <x:f>IF(AND(SUM(K854:M854)&lt;9,OR(L854=0,N854&lt;6)),1,0)</x:f>
        <x:v>0</x:v>
      </x:c>
      <x:c r="Q854" s="19" t="n">
        <x:f>IF(AND(SUM(K854:M854)&lt;9,OR(K854=0,N854&lt;6)),1,0)</x:f>
        <x:v>0</x:v>
      </x:c>
      <x:c r="R854" s="22" t="str">
        <x:f>O854&amp;P854&amp;Q854</x:f>
        <x:v>000</x:v>
      </x:c>
      <x:c r="S854" s="19" t="n">
        <x:f>IF(I854=1,IF(J854=0,Q854,IF(J854=1,P854,IF(J854=2,O854,0))),0)</x:f>
        <x:v>0</x:v>
      </x:c>
      <x:c r="T854" s="19" t="n">
        <x:f>K854+IF(AND(S854=1,J854=0),1,0)</x:f>
        <x:v>1</x:v>
      </x:c>
      <x:c r="U854" s="19" t="n">
        <x:f>L854+IF(AND(S854=1,J854=1),1,0)</x:f>
        <x:v>3</x:v>
      </x:c>
      <x:c r="V854" s="19" t="n">
        <x:f>M854+IF(AND(S854=1,J854=2),1,0)</x:f>
        <x:v>5</x:v>
      </x:c>
      <x:c r="W854" s="19" t="n">
        <x:f>SUM(T854:V854)</x:f>
        <x:v>9</x:v>
      </x:c>
      <x:c r="X854" s="19" t="n">
        <x:f>W854-G854</x:f>
        <x:v>0</x:v>
      </x:c>
      <x:c r="Y854" s="19" t="n">
        <x:f>MAX(T854,1)+MAX(U854,1)+MAX(V854,1)</x:f>
        <x:v>9</x:v>
      </x:c>
      <x:c r="Z854" s="21" t="str">
        <x:f>IF(AND(MIN(D854:F854)&gt;=0,MAX(D854:F854)&lt;=7,MAX(D854,1)+MAX(E854,1)+MAX(F854,1)&lt;=9,OR(H854="-",AND(H854=0,D854&gt;0),AND(H854=1,E854&gt;0),AND(H854=2,F854&gt;0)),OR(I854=0,AND(I854=1,OR(J854=0,J854=1,J854=2),R854&lt;&gt;"000")),Y854&lt;=9,MIN(T854:V854)&gt;=0),"合法","输入违约")</x:f>
        <x:v>合法</x:v>
      </x:c>
    </x:row>
    <x:row r="855" ht="23" customHeight="1">
      <x:c r="A855" s="3" t="str">
        <x:v>CT-0848</x:v>
      </x:c>
      <x:c r="B855" s="3" t="str">
        <x:v>ST-165</x:v>
      </x:c>
      <x:c r="C855" s="3" t="str">
        <x:v>仅R回收</x:v>
      </x:c>
      <x:c r="D855" s="25" t="n">
        <x:v>1</x:v>
      </x:c>
      <x:c r="E855" s="25" t="n">
        <x:v>3</x:v>
      </x:c>
      <x:c r="F855" s="25" t="n">
        <x:v>5</x:v>
      </x:c>
      <x:c r="G855" s="19" t="n">
        <x:f>SUM(D855:F855)</x:f>
        <x:v>9</x:v>
      </x:c>
      <x:c r="H855" s="25" t="n">
        <x:v>0</x:v>
      </x:c>
      <x:c r="I855" s="25" t="n">
        <x:v>0</x:v>
      </x:c>
      <x:c r="J855" s="25" t="str">
        <x:v>-</x:v>
      </x:c>
      <x:c r="K855" s="19" t="n">
        <x:f>D855-IF(H855=0,1,0)</x:f>
        <x:v>0</x:v>
      </x:c>
      <x:c r="L855" s="19" t="n">
        <x:f>E855-IF(H855=1,1,0)</x:f>
        <x:v>3</x:v>
      </x:c>
      <x:c r="M855" s="19" t="n">
        <x:f>F855-IF(H855=2,1,0)</x:f>
        <x:v>5</x:v>
      </x:c>
      <x:c r="N855" s="19" t="n">
        <x:f>MAX(K855-1,0)+MAX(L855-1,0)+MAX(M855-1,0)</x:f>
        <x:v>6</x:v>
      </x:c>
      <x:c r="O855" s="19" t="n">
        <x:f>IF(AND(SUM(K855:M855)&lt;9,OR(M855=0,N855&lt;6)),1,0)</x:f>
        <x:v>0</x:v>
      </x:c>
      <x:c r="P855" s="19" t="n">
        <x:f>IF(AND(SUM(K855:M855)&lt;9,OR(L855=0,N855&lt;6)),1,0)</x:f>
        <x:v>0</x:v>
      </x:c>
      <x:c r="Q855" s="19" t="n">
        <x:f>IF(AND(SUM(K855:M855)&lt;9,OR(K855=0,N855&lt;6)),1,0)</x:f>
        <x:v>1</x:v>
      </x:c>
      <x:c r="R855" s="22" t="str">
        <x:f>O855&amp;P855&amp;Q855</x:f>
        <x:v>001</x:v>
      </x:c>
      <x:c r="S855" s="19" t="n">
        <x:f>IF(I855=1,IF(J855=0,Q855,IF(J855=1,P855,IF(J855=2,O855,0))),0)</x:f>
        <x:v>0</x:v>
      </x:c>
      <x:c r="T855" s="19" t="n">
        <x:f>K855+IF(AND(S855=1,J855=0),1,0)</x:f>
        <x:v>0</x:v>
      </x:c>
      <x:c r="U855" s="19" t="n">
        <x:f>L855+IF(AND(S855=1,J855=1),1,0)</x:f>
        <x:v>3</x:v>
      </x:c>
      <x:c r="V855" s="19" t="n">
        <x:f>M855+IF(AND(S855=1,J855=2),1,0)</x:f>
        <x:v>5</x:v>
      </x:c>
      <x:c r="W855" s="19" t="n">
        <x:f>SUM(T855:V855)</x:f>
        <x:v>8</x:v>
      </x:c>
      <x:c r="X855" s="19" t="n">
        <x:f>W855-G855</x:f>
        <x:v>-1</x:v>
      </x:c>
      <x:c r="Y855" s="19" t="n">
        <x:f>MAX(T855,1)+MAX(U855,1)+MAX(V855,1)</x:f>
        <x:v>9</x:v>
      </x:c>
      <x:c r="Z855" s="21" t="str">
        <x:f>IF(AND(MIN(D855:F855)&gt;=0,MAX(D855:F855)&lt;=7,MAX(D855,1)+MAX(E855,1)+MAX(F855,1)&lt;=9,OR(H855="-",AND(H855=0,D855&gt;0),AND(H855=1,E855&gt;0),AND(H855=2,F855&gt;0)),OR(I855=0,AND(I855=1,OR(J855=0,J855=1,J855=2),R855&lt;&gt;"000")),Y855&lt;=9,MIN(T855:V855)&gt;=0),"合法","输入违约")</x:f>
        <x:v>合法</x:v>
      </x:c>
    </x:row>
    <x:row r="856" ht="23" customHeight="1">
      <x:c r="A856" s="3" t="str">
        <x:v>CT-0849</x:v>
      </x:c>
      <x:c r="B856" s="3" t="str">
        <x:v>ST-165</x:v>
      </x:c>
      <x:c r="C856" s="3" t="str">
        <x:v>R+AR同收同发</x:v>
      </x:c>
      <x:c r="D856" s="25" t="n">
        <x:v>1</x:v>
      </x:c>
      <x:c r="E856" s="25" t="n">
        <x:v>3</x:v>
      </x:c>
      <x:c r="F856" s="25" t="n">
        <x:v>5</x:v>
      </x:c>
      <x:c r="G856" s="19" t="n">
        <x:f>SUM(D856:F856)</x:f>
        <x:v>9</x:v>
      </x:c>
      <x:c r="H856" s="25" t="n">
        <x:v>0</x:v>
      </x:c>
      <x:c r="I856" s="25" t="n">
        <x:v>1</x:v>
      </x:c>
      <x:c r="J856" s="25" t="n">
        <x:v>0</x:v>
      </x:c>
      <x:c r="K856" s="19" t="n">
        <x:f>D856-IF(H856=0,1,0)</x:f>
        <x:v>0</x:v>
      </x:c>
      <x:c r="L856" s="19" t="n">
        <x:f>E856-IF(H856=1,1,0)</x:f>
        <x:v>3</x:v>
      </x:c>
      <x:c r="M856" s="19" t="n">
        <x:f>F856-IF(H856=2,1,0)</x:f>
        <x:v>5</x:v>
      </x:c>
      <x:c r="N856" s="19" t="n">
        <x:f>MAX(K856-1,0)+MAX(L856-1,0)+MAX(M856-1,0)</x:f>
        <x:v>6</x:v>
      </x:c>
      <x:c r="O856" s="19" t="n">
        <x:f>IF(AND(SUM(K856:M856)&lt;9,OR(M856=0,N856&lt;6)),1,0)</x:f>
        <x:v>0</x:v>
      </x:c>
      <x:c r="P856" s="19" t="n">
        <x:f>IF(AND(SUM(K856:M856)&lt;9,OR(L856=0,N856&lt;6)),1,0)</x:f>
        <x:v>0</x:v>
      </x:c>
      <x:c r="Q856" s="19" t="n">
        <x:f>IF(AND(SUM(K856:M856)&lt;9,OR(K856=0,N856&lt;6)),1,0)</x:f>
        <x:v>1</x:v>
      </x:c>
      <x:c r="R856" s="22" t="str">
        <x:f>O856&amp;P856&amp;Q856</x:f>
        <x:v>001</x:v>
      </x:c>
      <x:c r="S856" s="19" t="n">
        <x:f>IF(I856=1,IF(J856=0,Q856,IF(J856=1,P856,IF(J856=2,O856,0))),0)</x:f>
        <x:v>1</x:v>
      </x:c>
      <x:c r="T856" s="19" t="n">
        <x:f>K856+IF(AND(S856=1,J856=0),1,0)</x:f>
        <x:v>1</x:v>
      </x:c>
      <x:c r="U856" s="19" t="n">
        <x:f>L856+IF(AND(S856=1,J856=1),1,0)</x:f>
        <x:v>3</x:v>
      </x:c>
      <x:c r="V856" s="19" t="n">
        <x:f>M856+IF(AND(S856=1,J856=2),1,0)</x:f>
        <x:v>5</x:v>
      </x:c>
      <x:c r="W856" s="19" t="n">
        <x:f>SUM(T856:V856)</x:f>
        <x:v>9</x:v>
      </x:c>
      <x:c r="X856" s="19" t="n">
        <x:f>W856-G856</x:f>
        <x:v>0</x:v>
      </x:c>
      <x:c r="Y856" s="19" t="n">
        <x:f>MAX(T856,1)+MAX(U856,1)+MAX(V856,1)</x:f>
        <x:v>9</x:v>
      </x:c>
      <x:c r="Z856" s="21" t="str">
        <x:f>IF(AND(MIN(D856:F856)&gt;=0,MAX(D856:F856)&lt;=7,MAX(D856,1)+MAX(E856,1)+MAX(F856,1)&lt;=9,OR(H856="-",AND(H856=0,D856&gt;0),AND(H856=1,E856&gt;0),AND(H856=2,F856&gt;0)),OR(I856=0,AND(I856=1,OR(J856=0,J856=1,J856=2),R856&lt;&gt;"000")),Y856&lt;=9,MIN(T856:V856)&gt;=0),"合法","输入违约")</x:f>
        <x:v>合法</x:v>
      </x:c>
    </x:row>
    <x:row r="857" ht="23" customHeight="1">
      <x:c r="A857" s="3" t="str">
        <x:v>CT-0850</x:v>
      </x:c>
      <x:c r="B857" s="3" t="str">
        <x:v>ST-165</x:v>
      </x:c>
      <x:c r="C857" s="3" t="str">
        <x:v>仅R回收</x:v>
      </x:c>
      <x:c r="D857" s="25" t="n">
        <x:v>1</x:v>
      </x:c>
      <x:c r="E857" s="25" t="n">
        <x:v>3</x:v>
      </x:c>
      <x:c r="F857" s="25" t="n">
        <x:v>5</x:v>
      </x:c>
      <x:c r="G857" s="19" t="n">
        <x:f>SUM(D857:F857)</x:f>
        <x:v>9</x:v>
      </x:c>
      <x:c r="H857" s="25" t="n">
        <x:v>0</x:v>
      </x:c>
      <x:c r="I857" s="25" t="n">
        <x:v>1</x:v>
      </x:c>
      <x:c r="J857" s="25" t="n">
        <x:v>1</x:v>
      </x:c>
      <x:c r="K857" s="19" t="n">
        <x:f>D857-IF(H857=0,1,0)</x:f>
        <x:v>0</x:v>
      </x:c>
      <x:c r="L857" s="19" t="n">
        <x:f>E857-IF(H857=1,1,0)</x:f>
        <x:v>3</x:v>
      </x:c>
      <x:c r="M857" s="19" t="n">
        <x:f>F857-IF(H857=2,1,0)</x:f>
        <x:v>5</x:v>
      </x:c>
      <x:c r="N857" s="19" t="n">
        <x:f>MAX(K857-1,0)+MAX(L857-1,0)+MAX(M857-1,0)</x:f>
        <x:v>6</x:v>
      </x:c>
      <x:c r="O857" s="19" t="n">
        <x:f>IF(AND(SUM(K857:M857)&lt;9,OR(M857=0,N857&lt;6)),1,0)</x:f>
        <x:v>0</x:v>
      </x:c>
      <x:c r="P857" s="19" t="n">
        <x:f>IF(AND(SUM(K857:M857)&lt;9,OR(L857=0,N857&lt;6)),1,0)</x:f>
        <x:v>0</x:v>
      </x:c>
      <x:c r="Q857" s="19" t="n">
        <x:f>IF(AND(SUM(K857:M857)&lt;9,OR(K857=0,N857&lt;6)),1,0)</x:f>
        <x:v>1</x:v>
      </x:c>
      <x:c r="R857" s="22" t="str">
        <x:f>O857&amp;P857&amp;Q857</x:f>
        <x:v>001</x:v>
      </x:c>
      <x:c r="S857" s="19" t="n">
        <x:f>IF(I857=1,IF(J857=0,Q857,IF(J857=1,P857,IF(J857=2,O857,0))),0)</x:f>
        <x:v>0</x:v>
      </x:c>
      <x:c r="T857" s="19" t="n">
        <x:f>K857+IF(AND(S857=1,J857=0),1,0)</x:f>
        <x:v>0</x:v>
      </x:c>
      <x:c r="U857" s="19" t="n">
        <x:f>L857+IF(AND(S857=1,J857=1),1,0)</x:f>
        <x:v>3</x:v>
      </x:c>
      <x:c r="V857" s="19" t="n">
        <x:f>M857+IF(AND(S857=1,J857=2),1,0)</x:f>
        <x:v>5</x:v>
      </x:c>
      <x:c r="W857" s="19" t="n">
        <x:f>SUM(T857:V857)</x:f>
        <x:v>8</x:v>
      </x:c>
      <x:c r="X857" s="19" t="n">
        <x:f>W857-G857</x:f>
        <x:v>-1</x:v>
      </x:c>
      <x:c r="Y857" s="19" t="n">
        <x:f>MAX(T857,1)+MAX(U857,1)+MAX(V857,1)</x:f>
        <x:v>9</x:v>
      </x:c>
      <x:c r="Z857" s="21" t="str">
        <x:f>IF(AND(MIN(D857:F857)&gt;=0,MAX(D857:F857)&lt;=7,MAX(D857,1)+MAX(E857,1)+MAX(F857,1)&lt;=9,OR(H857="-",AND(H857=0,D857&gt;0),AND(H857=1,E857&gt;0),AND(H857=2,F857&gt;0)),OR(I857=0,AND(I857=1,OR(J857=0,J857=1,J857=2),R857&lt;&gt;"000")),Y857&lt;=9,MIN(T857:V857)&gt;=0),"合法","输入违约")</x:f>
        <x:v>合法</x:v>
      </x:c>
    </x:row>
    <x:row r="858" ht="23" customHeight="1">
      <x:c r="A858" s="3" t="str">
        <x:v>CT-0851</x:v>
      </x:c>
      <x:c r="B858" s="3" t="str">
        <x:v>ST-165</x:v>
      </x:c>
      <x:c r="C858" s="3" t="str">
        <x:v>仅R回收</x:v>
      </x:c>
      <x:c r="D858" s="25" t="n">
        <x:v>1</x:v>
      </x:c>
      <x:c r="E858" s="25" t="n">
        <x:v>3</x:v>
      </x:c>
      <x:c r="F858" s="25" t="n">
        <x:v>5</x:v>
      </x:c>
      <x:c r="G858" s="19" t="n">
        <x:f>SUM(D858:F858)</x:f>
        <x:v>9</x:v>
      </x:c>
      <x:c r="H858" s="25" t="n">
        <x:v>0</x:v>
      </x:c>
      <x:c r="I858" s="25" t="n">
        <x:v>1</x:v>
      </x:c>
      <x:c r="J858" s="25" t="n">
        <x:v>2</x:v>
      </x:c>
      <x:c r="K858" s="19" t="n">
        <x:f>D858-IF(H858=0,1,0)</x:f>
        <x:v>0</x:v>
      </x:c>
      <x:c r="L858" s="19" t="n">
        <x:f>E858-IF(H858=1,1,0)</x:f>
        <x:v>3</x:v>
      </x:c>
      <x:c r="M858" s="19" t="n">
        <x:f>F858-IF(H858=2,1,0)</x:f>
        <x:v>5</x:v>
      </x:c>
      <x:c r="N858" s="19" t="n">
        <x:f>MAX(K858-1,0)+MAX(L858-1,0)+MAX(M858-1,0)</x:f>
        <x:v>6</x:v>
      </x:c>
      <x:c r="O858" s="19" t="n">
        <x:f>IF(AND(SUM(K858:M858)&lt;9,OR(M858=0,N858&lt;6)),1,0)</x:f>
        <x:v>0</x:v>
      </x:c>
      <x:c r="P858" s="19" t="n">
        <x:f>IF(AND(SUM(K858:M858)&lt;9,OR(L858=0,N858&lt;6)),1,0)</x:f>
        <x:v>0</x:v>
      </x:c>
      <x:c r="Q858" s="19" t="n">
        <x:f>IF(AND(SUM(K858:M858)&lt;9,OR(K858=0,N858&lt;6)),1,0)</x:f>
        <x:v>1</x:v>
      </x:c>
      <x:c r="R858" s="22" t="str">
        <x:f>O858&amp;P858&amp;Q858</x:f>
        <x:v>001</x:v>
      </x:c>
      <x:c r="S858" s="19" t="n">
        <x:f>IF(I858=1,IF(J858=0,Q858,IF(J858=1,P858,IF(J858=2,O858,0))),0)</x:f>
        <x:v>0</x:v>
      </x:c>
      <x:c r="T858" s="19" t="n">
        <x:f>K858+IF(AND(S858=1,J858=0),1,0)</x:f>
        <x:v>0</x:v>
      </x:c>
      <x:c r="U858" s="19" t="n">
        <x:f>L858+IF(AND(S858=1,J858=1),1,0)</x:f>
        <x:v>3</x:v>
      </x:c>
      <x:c r="V858" s="19" t="n">
        <x:f>M858+IF(AND(S858=1,J858=2),1,0)</x:f>
        <x:v>5</x:v>
      </x:c>
      <x:c r="W858" s="19" t="n">
        <x:f>SUM(T858:V858)</x:f>
        <x:v>8</x:v>
      </x:c>
      <x:c r="X858" s="19" t="n">
        <x:f>W858-G858</x:f>
        <x:v>-1</x:v>
      </x:c>
      <x:c r="Y858" s="19" t="n">
        <x:f>MAX(T858,1)+MAX(U858,1)+MAX(V858,1)</x:f>
        <x:v>9</x:v>
      </x:c>
      <x:c r="Z858" s="21" t="str">
        <x:f>IF(AND(MIN(D858:F858)&gt;=0,MAX(D858:F858)&lt;=7,MAX(D858,1)+MAX(E858,1)+MAX(F858,1)&lt;=9,OR(H858="-",AND(H858=0,D858&gt;0),AND(H858=1,E858&gt;0),AND(H858=2,F858&gt;0)),OR(I858=0,AND(I858=1,OR(J858=0,J858=1,J858=2),R858&lt;&gt;"000")),Y858&lt;=9,MIN(T858:V858)&gt;=0),"合法","输入违约")</x:f>
        <x:v>合法</x:v>
      </x:c>
    </x:row>
    <x:row r="859" ht="23" customHeight="1">
      <x:c r="A859" s="3" t="str">
        <x:v>CT-0852</x:v>
      </x:c>
      <x:c r="B859" s="3" t="str">
        <x:v>ST-165</x:v>
      </x:c>
      <x:c r="C859" s="3" t="str">
        <x:v>仅R回收</x:v>
      </x:c>
      <x:c r="D859" s="25" t="n">
        <x:v>1</x:v>
      </x:c>
      <x:c r="E859" s="25" t="n">
        <x:v>3</x:v>
      </x:c>
      <x:c r="F859" s="25" t="n">
        <x:v>5</x:v>
      </x:c>
      <x:c r="G859" s="19" t="n">
        <x:f>SUM(D859:F859)</x:f>
        <x:v>9</x:v>
      </x:c>
      <x:c r="H859" s="25" t="n">
        <x:v>1</x:v>
      </x:c>
      <x:c r="I859" s="25" t="n">
        <x:v>0</x:v>
      </x:c>
      <x:c r="J859" s="25" t="str">
        <x:v>-</x:v>
      </x:c>
      <x:c r="K859" s="19" t="n">
        <x:f>D859-IF(H859=0,1,0)</x:f>
        <x:v>1</x:v>
      </x:c>
      <x:c r="L859" s="19" t="n">
        <x:f>E859-IF(H859=1,1,0)</x:f>
        <x:v>2</x:v>
      </x:c>
      <x:c r="M859" s="19" t="n">
        <x:f>F859-IF(H859=2,1,0)</x:f>
        <x:v>5</x:v>
      </x:c>
      <x:c r="N859" s="19" t="n">
        <x:f>MAX(K859-1,0)+MAX(L859-1,0)+MAX(M859-1,0)</x:f>
        <x:v>5</x:v>
      </x:c>
      <x:c r="O859" s="19" t="n">
        <x:f>IF(AND(SUM(K859:M859)&lt;9,OR(M859=0,N859&lt;6)),1,0)</x:f>
        <x:v>1</x:v>
      </x:c>
      <x:c r="P859" s="19" t="n">
        <x:f>IF(AND(SUM(K859:M859)&lt;9,OR(L859=0,N859&lt;6)),1,0)</x:f>
        <x:v>1</x:v>
      </x:c>
      <x:c r="Q859" s="19" t="n">
        <x:f>IF(AND(SUM(K859:M859)&lt;9,OR(K859=0,N859&lt;6)),1,0)</x:f>
        <x:v>1</x:v>
      </x:c>
      <x:c r="R859" s="22" t="str">
        <x:f>O859&amp;P859&amp;Q859</x:f>
        <x:v>111</x:v>
      </x:c>
      <x:c r="S859" s="19" t="n">
        <x:f>IF(I859=1,IF(J859=0,Q859,IF(J859=1,P859,IF(J859=2,O859,0))),0)</x:f>
        <x:v>0</x:v>
      </x:c>
      <x:c r="T859" s="19" t="n">
        <x:f>K859+IF(AND(S859=1,J859=0),1,0)</x:f>
        <x:v>1</x:v>
      </x:c>
      <x:c r="U859" s="19" t="n">
        <x:f>L859+IF(AND(S859=1,J859=1),1,0)</x:f>
        <x:v>2</x:v>
      </x:c>
      <x:c r="V859" s="19" t="n">
        <x:f>M859+IF(AND(S859=1,J859=2),1,0)</x:f>
        <x:v>5</x:v>
      </x:c>
      <x:c r="W859" s="19" t="n">
        <x:f>SUM(T859:V859)</x:f>
        <x:v>8</x:v>
      </x:c>
      <x:c r="X859" s="19" t="n">
        <x:f>W859-G859</x:f>
        <x:v>-1</x:v>
      </x:c>
      <x:c r="Y859" s="19" t="n">
        <x:f>MAX(T859,1)+MAX(U859,1)+MAX(V859,1)</x:f>
        <x:v>8</x:v>
      </x:c>
      <x:c r="Z859" s="21" t="str">
        <x:f>IF(AND(MIN(D859:F859)&gt;=0,MAX(D859:F859)&lt;=7,MAX(D859,1)+MAX(E859,1)+MAX(F859,1)&lt;=9,OR(H859="-",AND(H859=0,D859&gt;0),AND(H859=1,E859&gt;0),AND(H859=2,F859&gt;0)),OR(I859=0,AND(I859=1,OR(J859=0,J859=1,J859=2),R859&lt;&gt;"000")),Y859&lt;=9,MIN(T859:V859)&gt;=0),"合法","输入违约")</x:f>
        <x:v>合法</x:v>
      </x:c>
    </x:row>
    <x:row r="860" ht="23" customHeight="1">
      <x:c r="A860" s="3" t="str">
        <x:v>CT-0853</x:v>
      </x:c>
      <x:c r="B860" s="3" t="str">
        <x:v>ST-165</x:v>
      </x:c>
      <x:c r="C860" s="3" t="str">
        <x:v>R+AR同收同发</x:v>
      </x:c>
      <x:c r="D860" s="25" t="n">
        <x:v>1</x:v>
      </x:c>
      <x:c r="E860" s="25" t="n">
        <x:v>3</x:v>
      </x:c>
      <x:c r="F860" s="25" t="n">
        <x:v>5</x:v>
      </x:c>
      <x:c r="G860" s="19" t="n">
        <x:f>SUM(D860:F860)</x:f>
        <x:v>9</x:v>
      </x:c>
      <x:c r="H860" s="25" t="n">
        <x:v>1</x:v>
      </x:c>
      <x:c r="I860" s="25" t="n">
        <x:v>1</x:v>
      </x:c>
      <x:c r="J860" s="25" t="n">
        <x:v>0</x:v>
      </x:c>
      <x:c r="K860" s="19" t="n">
        <x:f>D860-IF(H860=0,1,0)</x:f>
        <x:v>1</x:v>
      </x:c>
      <x:c r="L860" s="19" t="n">
        <x:f>E860-IF(H860=1,1,0)</x:f>
        <x:v>2</x:v>
      </x:c>
      <x:c r="M860" s="19" t="n">
        <x:f>F860-IF(H860=2,1,0)</x:f>
        <x:v>5</x:v>
      </x:c>
      <x:c r="N860" s="19" t="n">
        <x:f>MAX(K860-1,0)+MAX(L860-1,0)+MAX(M860-1,0)</x:f>
        <x:v>5</x:v>
      </x:c>
      <x:c r="O860" s="19" t="n">
        <x:f>IF(AND(SUM(K860:M860)&lt;9,OR(M860=0,N860&lt;6)),1,0)</x:f>
        <x:v>1</x:v>
      </x:c>
      <x:c r="P860" s="19" t="n">
        <x:f>IF(AND(SUM(K860:M860)&lt;9,OR(L860=0,N860&lt;6)),1,0)</x:f>
        <x:v>1</x:v>
      </x:c>
      <x:c r="Q860" s="19" t="n">
        <x:f>IF(AND(SUM(K860:M860)&lt;9,OR(K860=0,N860&lt;6)),1,0)</x:f>
        <x:v>1</x:v>
      </x:c>
      <x:c r="R860" s="22" t="str">
        <x:f>O860&amp;P860&amp;Q860</x:f>
        <x:v>111</x:v>
      </x:c>
      <x:c r="S860" s="19" t="n">
        <x:f>IF(I860=1,IF(J860=0,Q860,IF(J860=1,P860,IF(J860=2,O860,0))),0)</x:f>
        <x:v>1</x:v>
      </x:c>
      <x:c r="T860" s="19" t="n">
        <x:f>K860+IF(AND(S860=1,J860=0),1,0)</x:f>
        <x:v>2</x:v>
      </x:c>
      <x:c r="U860" s="19" t="n">
        <x:f>L860+IF(AND(S860=1,J860=1),1,0)</x:f>
        <x:v>2</x:v>
      </x:c>
      <x:c r="V860" s="19" t="n">
        <x:f>M860+IF(AND(S860=1,J860=2),1,0)</x:f>
        <x:v>5</x:v>
      </x:c>
      <x:c r="W860" s="19" t="n">
        <x:f>SUM(T860:V860)</x:f>
        <x:v>9</x:v>
      </x:c>
      <x:c r="X860" s="19" t="n">
        <x:f>W860-G860</x:f>
        <x:v>0</x:v>
      </x:c>
      <x:c r="Y860" s="19" t="n">
        <x:f>MAX(T860,1)+MAX(U860,1)+MAX(V860,1)</x:f>
        <x:v>9</x:v>
      </x:c>
      <x:c r="Z860" s="21" t="str">
        <x:f>IF(AND(MIN(D860:F860)&gt;=0,MAX(D860:F860)&lt;=7,MAX(D860,1)+MAX(E860,1)+MAX(F860,1)&lt;=9,OR(H860="-",AND(H860=0,D860&gt;0),AND(H860=1,E860&gt;0),AND(H860=2,F860&gt;0)),OR(I860=0,AND(I860=1,OR(J860=0,J860=1,J860=2),R860&lt;&gt;"000")),Y860&lt;=9,MIN(T860:V860)&gt;=0),"合法","输入违约")</x:f>
        <x:v>合法</x:v>
      </x:c>
    </x:row>
    <x:row r="861" ht="23" customHeight="1">
      <x:c r="A861" s="3" t="str">
        <x:v>CT-0854</x:v>
      </x:c>
      <x:c r="B861" s="3" t="str">
        <x:v>ST-165</x:v>
      </x:c>
      <x:c r="C861" s="3" t="str">
        <x:v>R+AR同收同发</x:v>
      </x:c>
      <x:c r="D861" s="25" t="n">
        <x:v>1</x:v>
      </x:c>
      <x:c r="E861" s="25" t="n">
        <x:v>3</x:v>
      </x:c>
      <x:c r="F861" s="25" t="n">
        <x:v>5</x:v>
      </x:c>
      <x:c r="G861" s="19" t="n">
        <x:f>SUM(D861:F861)</x:f>
        <x:v>9</x:v>
      </x:c>
      <x:c r="H861" s="25" t="n">
        <x:v>1</x:v>
      </x:c>
      <x:c r="I861" s="25" t="n">
        <x:v>1</x:v>
      </x:c>
      <x:c r="J861" s="25" t="n">
        <x:v>1</x:v>
      </x:c>
      <x:c r="K861" s="19" t="n">
        <x:f>D861-IF(H861=0,1,0)</x:f>
        <x:v>1</x:v>
      </x:c>
      <x:c r="L861" s="19" t="n">
        <x:f>E861-IF(H861=1,1,0)</x:f>
        <x:v>2</x:v>
      </x:c>
      <x:c r="M861" s="19" t="n">
        <x:f>F861-IF(H861=2,1,0)</x:f>
        <x:v>5</x:v>
      </x:c>
      <x:c r="N861" s="19" t="n">
        <x:f>MAX(K861-1,0)+MAX(L861-1,0)+MAX(M861-1,0)</x:f>
        <x:v>5</x:v>
      </x:c>
      <x:c r="O861" s="19" t="n">
        <x:f>IF(AND(SUM(K861:M861)&lt;9,OR(M861=0,N861&lt;6)),1,0)</x:f>
        <x:v>1</x:v>
      </x:c>
      <x:c r="P861" s="19" t="n">
        <x:f>IF(AND(SUM(K861:M861)&lt;9,OR(L861=0,N861&lt;6)),1,0)</x:f>
        <x:v>1</x:v>
      </x:c>
      <x:c r="Q861" s="19" t="n">
        <x:f>IF(AND(SUM(K861:M861)&lt;9,OR(K861=0,N861&lt;6)),1,0)</x:f>
        <x:v>1</x:v>
      </x:c>
      <x:c r="R861" s="22" t="str">
        <x:f>O861&amp;P861&amp;Q861</x:f>
        <x:v>111</x:v>
      </x:c>
      <x:c r="S861" s="19" t="n">
        <x:f>IF(I861=1,IF(J861=0,Q861,IF(J861=1,P861,IF(J861=2,O861,0))),0)</x:f>
        <x:v>1</x:v>
      </x:c>
      <x:c r="T861" s="19" t="n">
        <x:f>K861+IF(AND(S861=1,J861=0),1,0)</x:f>
        <x:v>1</x:v>
      </x:c>
      <x:c r="U861" s="19" t="n">
        <x:f>L861+IF(AND(S861=1,J861=1),1,0)</x:f>
        <x:v>3</x:v>
      </x:c>
      <x:c r="V861" s="19" t="n">
        <x:f>M861+IF(AND(S861=1,J861=2),1,0)</x:f>
        <x:v>5</x:v>
      </x:c>
      <x:c r="W861" s="19" t="n">
        <x:f>SUM(T861:V861)</x:f>
        <x:v>9</x:v>
      </x:c>
      <x:c r="X861" s="19" t="n">
        <x:f>W861-G861</x:f>
        <x:v>0</x:v>
      </x:c>
      <x:c r="Y861" s="19" t="n">
        <x:f>MAX(T861,1)+MAX(U861,1)+MAX(V861,1)</x:f>
        <x:v>9</x:v>
      </x:c>
      <x:c r="Z861" s="21" t="str">
        <x:f>IF(AND(MIN(D861:F861)&gt;=0,MAX(D861:F861)&lt;=7,MAX(D861,1)+MAX(E861,1)+MAX(F861,1)&lt;=9,OR(H861="-",AND(H861=0,D861&gt;0),AND(H861=1,E861&gt;0),AND(H861=2,F861&gt;0)),OR(I861=0,AND(I861=1,OR(J861=0,J861=1,J861=2),R861&lt;&gt;"000")),Y861&lt;=9,MIN(T861:V861)&gt;=0),"合法","输入违约")</x:f>
        <x:v>合法</x:v>
      </x:c>
    </x:row>
    <x:row r="862" ht="23" customHeight="1">
      <x:c r="A862" s="3" t="str">
        <x:v>CT-0855</x:v>
      </x:c>
      <x:c r="B862" s="3" t="str">
        <x:v>ST-165</x:v>
      </x:c>
      <x:c r="C862" s="3" t="str">
        <x:v>R+AR同收同发</x:v>
      </x:c>
      <x:c r="D862" s="25" t="n">
        <x:v>1</x:v>
      </x:c>
      <x:c r="E862" s="25" t="n">
        <x:v>3</x:v>
      </x:c>
      <x:c r="F862" s="25" t="n">
        <x:v>5</x:v>
      </x:c>
      <x:c r="G862" s="19" t="n">
        <x:f>SUM(D862:F862)</x:f>
        <x:v>9</x:v>
      </x:c>
      <x:c r="H862" s="25" t="n">
        <x:v>1</x:v>
      </x:c>
      <x:c r="I862" s="25" t="n">
        <x:v>1</x:v>
      </x:c>
      <x:c r="J862" s="25" t="n">
        <x:v>2</x:v>
      </x:c>
      <x:c r="K862" s="19" t="n">
        <x:f>D862-IF(H862=0,1,0)</x:f>
        <x:v>1</x:v>
      </x:c>
      <x:c r="L862" s="19" t="n">
        <x:f>E862-IF(H862=1,1,0)</x:f>
        <x:v>2</x:v>
      </x:c>
      <x:c r="M862" s="19" t="n">
        <x:f>F862-IF(H862=2,1,0)</x:f>
        <x:v>5</x:v>
      </x:c>
      <x:c r="N862" s="19" t="n">
        <x:f>MAX(K862-1,0)+MAX(L862-1,0)+MAX(M862-1,0)</x:f>
        <x:v>5</x:v>
      </x:c>
      <x:c r="O862" s="19" t="n">
        <x:f>IF(AND(SUM(K862:M862)&lt;9,OR(M862=0,N862&lt;6)),1,0)</x:f>
        <x:v>1</x:v>
      </x:c>
      <x:c r="P862" s="19" t="n">
        <x:f>IF(AND(SUM(K862:M862)&lt;9,OR(L862=0,N862&lt;6)),1,0)</x:f>
        <x:v>1</x:v>
      </x:c>
      <x:c r="Q862" s="19" t="n">
        <x:f>IF(AND(SUM(K862:M862)&lt;9,OR(K862=0,N862&lt;6)),1,0)</x:f>
        <x:v>1</x:v>
      </x:c>
      <x:c r="R862" s="22" t="str">
        <x:f>O862&amp;P862&amp;Q862</x:f>
        <x:v>111</x:v>
      </x:c>
      <x:c r="S862" s="19" t="n">
        <x:f>IF(I862=1,IF(J862=0,Q862,IF(J862=1,P862,IF(J862=2,O862,0))),0)</x:f>
        <x:v>1</x:v>
      </x:c>
      <x:c r="T862" s="19" t="n">
        <x:f>K862+IF(AND(S862=1,J862=0),1,0)</x:f>
        <x:v>1</x:v>
      </x:c>
      <x:c r="U862" s="19" t="n">
        <x:f>L862+IF(AND(S862=1,J862=1),1,0)</x:f>
        <x:v>2</x:v>
      </x:c>
      <x:c r="V862" s="19" t="n">
        <x:f>M862+IF(AND(S862=1,J862=2),1,0)</x:f>
        <x:v>6</x:v>
      </x:c>
      <x:c r="W862" s="19" t="n">
        <x:f>SUM(T862:V862)</x:f>
        <x:v>9</x:v>
      </x:c>
      <x:c r="X862" s="19" t="n">
        <x:f>W862-G862</x:f>
        <x:v>0</x:v>
      </x:c>
      <x:c r="Y862" s="19" t="n">
        <x:f>MAX(T862,1)+MAX(U862,1)+MAX(V862,1)</x:f>
        <x:v>9</x:v>
      </x:c>
      <x:c r="Z862" s="21" t="str">
        <x:f>IF(AND(MIN(D862:F862)&gt;=0,MAX(D862:F862)&lt;=7,MAX(D862,1)+MAX(E862,1)+MAX(F862,1)&lt;=9,OR(H862="-",AND(H862=0,D862&gt;0),AND(H862=1,E862&gt;0),AND(H862=2,F862&gt;0)),OR(I862=0,AND(I862=1,OR(J862=0,J862=1,J862=2),R862&lt;&gt;"000")),Y862&lt;=9,MIN(T862:V862)&gt;=0),"合法","输入违约")</x:f>
        <x:v>合法</x:v>
      </x:c>
    </x:row>
    <x:row r="863" ht="23" customHeight="1">
      <x:c r="A863" s="3" t="str">
        <x:v>CT-0856</x:v>
      </x:c>
      <x:c r="B863" s="3" t="str">
        <x:v>ST-165</x:v>
      </x:c>
      <x:c r="C863" s="3" t="str">
        <x:v>仅R回收</x:v>
      </x:c>
      <x:c r="D863" s="25" t="n">
        <x:v>1</x:v>
      </x:c>
      <x:c r="E863" s="25" t="n">
        <x:v>3</x:v>
      </x:c>
      <x:c r="F863" s="25" t="n">
        <x:v>5</x:v>
      </x:c>
      <x:c r="G863" s="19" t="n">
        <x:f>SUM(D863:F863)</x:f>
        <x:v>9</x:v>
      </x:c>
      <x:c r="H863" s="25" t="n">
        <x:v>2</x:v>
      </x:c>
      <x:c r="I863" s="25" t="n">
        <x:v>0</x:v>
      </x:c>
      <x:c r="J863" s="25" t="str">
        <x:v>-</x:v>
      </x:c>
      <x:c r="K863" s="19" t="n">
        <x:f>D863-IF(H863=0,1,0)</x:f>
        <x:v>1</x:v>
      </x:c>
      <x:c r="L863" s="19" t="n">
        <x:f>E863-IF(H863=1,1,0)</x:f>
        <x:v>3</x:v>
      </x:c>
      <x:c r="M863" s="19" t="n">
        <x:f>F863-IF(H863=2,1,0)</x:f>
        <x:v>4</x:v>
      </x:c>
      <x:c r="N863" s="19" t="n">
        <x:f>MAX(K863-1,0)+MAX(L863-1,0)+MAX(M863-1,0)</x:f>
        <x:v>5</x:v>
      </x:c>
      <x:c r="O863" s="19" t="n">
        <x:f>IF(AND(SUM(K863:M863)&lt;9,OR(M863=0,N863&lt;6)),1,0)</x:f>
        <x:v>1</x:v>
      </x:c>
      <x:c r="P863" s="19" t="n">
        <x:f>IF(AND(SUM(K863:M863)&lt;9,OR(L863=0,N863&lt;6)),1,0)</x:f>
        <x:v>1</x:v>
      </x:c>
      <x:c r="Q863" s="19" t="n">
        <x:f>IF(AND(SUM(K863:M863)&lt;9,OR(K863=0,N863&lt;6)),1,0)</x:f>
        <x:v>1</x:v>
      </x:c>
      <x:c r="R863" s="22" t="str">
        <x:f>O863&amp;P863&amp;Q863</x:f>
        <x:v>111</x:v>
      </x:c>
      <x:c r="S863" s="19" t="n">
        <x:f>IF(I863=1,IF(J863=0,Q863,IF(J863=1,P863,IF(J863=2,O863,0))),0)</x:f>
        <x:v>0</x:v>
      </x:c>
      <x:c r="T863" s="19" t="n">
        <x:f>K863+IF(AND(S863=1,J863=0),1,0)</x:f>
        <x:v>1</x:v>
      </x:c>
      <x:c r="U863" s="19" t="n">
        <x:f>L863+IF(AND(S863=1,J863=1),1,0)</x:f>
        <x:v>3</x:v>
      </x:c>
      <x:c r="V863" s="19" t="n">
        <x:f>M863+IF(AND(S863=1,J863=2),1,0)</x:f>
        <x:v>4</x:v>
      </x:c>
      <x:c r="W863" s="19" t="n">
        <x:f>SUM(T863:V863)</x:f>
        <x:v>8</x:v>
      </x:c>
      <x:c r="X863" s="19" t="n">
        <x:f>W863-G863</x:f>
        <x:v>-1</x:v>
      </x:c>
      <x:c r="Y863" s="19" t="n">
        <x:f>MAX(T863,1)+MAX(U863,1)+MAX(V863,1)</x:f>
        <x:v>8</x:v>
      </x:c>
      <x:c r="Z863" s="21" t="str">
        <x:f>IF(AND(MIN(D863:F863)&gt;=0,MAX(D863:F863)&lt;=7,MAX(D863,1)+MAX(E863,1)+MAX(F863,1)&lt;=9,OR(H863="-",AND(H863=0,D863&gt;0),AND(H863=1,E863&gt;0),AND(H863=2,F863&gt;0)),OR(I863=0,AND(I863=1,OR(J863=0,J863=1,J863=2),R863&lt;&gt;"000")),Y863&lt;=9,MIN(T863:V863)&gt;=0),"合法","输入违约")</x:f>
        <x:v>合法</x:v>
      </x:c>
    </x:row>
    <x:row r="864" ht="23" customHeight="1">
      <x:c r="A864" s="3" t="str">
        <x:v>CT-0857</x:v>
      </x:c>
      <x:c r="B864" s="3" t="str">
        <x:v>ST-165</x:v>
      </x:c>
      <x:c r="C864" s="3" t="str">
        <x:v>R+AR同收同发</x:v>
      </x:c>
      <x:c r="D864" s="25" t="n">
        <x:v>1</x:v>
      </x:c>
      <x:c r="E864" s="25" t="n">
        <x:v>3</x:v>
      </x:c>
      <x:c r="F864" s="25" t="n">
        <x:v>5</x:v>
      </x:c>
      <x:c r="G864" s="19" t="n">
        <x:f>SUM(D864:F864)</x:f>
        <x:v>9</x:v>
      </x:c>
      <x:c r="H864" s="25" t="n">
        <x:v>2</x:v>
      </x:c>
      <x:c r="I864" s="25" t="n">
        <x:v>1</x:v>
      </x:c>
      <x:c r="J864" s="25" t="n">
        <x:v>0</x:v>
      </x:c>
      <x:c r="K864" s="19" t="n">
        <x:f>D864-IF(H864=0,1,0)</x:f>
        <x:v>1</x:v>
      </x:c>
      <x:c r="L864" s="19" t="n">
        <x:f>E864-IF(H864=1,1,0)</x:f>
        <x:v>3</x:v>
      </x:c>
      <x:c r="M864" s="19" t="n">
        <x:f>F864-IF(H864=2,1,0)</x:f>
        <x:v>4</x:v>
      </x:c>
      <x:c r="N864" s="19" t="n">
        <x:f>MAX(K864-1,0)+MAX(L864-1,0)+MAX(M864-1,0)</x:f>
        <x:v>5</x:v>
      </x:c>
      <x:c r="O864" s="19" t="n">
        <x:f>IF(AND(SUM(K864:M864)&lt;9,OR(M864=0,N864&lt;6)),1,0)</x:f>
        <x:v>1</x:v>
      </x:c>
      <x:c r="P864" s="19" t="n">
        <x:f>IF(AND(SUM(K864:M864)&lt;9,OR(L864=0,N864&lt;6)),1,0)</x:f>
        <x:v>1</x:v>
      </x:c>
      <x:c r="Q864" s="19" t="n">
        <x:f>IF(AND(SUM(K864:M864)&lt;9,OR(K864=0,N864&lt;6)),1,0)</x:f>
        <x:v>1</x:v>
      </x:c>
      <x:c r="R864" s="22" t="str">
        <x:f>O864&amp;P864&amp;Q864</x:f>
        <x:v>111</x:v>
      </x:c>
      <x:c r="S864" s="19" t="n">
        <x:f>IF(I864=1,IF(J864=0,Q864,IF(J864=1,P864,IF(J864=2,O864,0))),0)</x:f>
        <x:v>1</x:v>
      </x:c>
      <x:c r="T864" s="19" t="n">
        <x:f>K864+IF(AND(S864=1,J864=0),1,0)</x:f>
        <x:v>2</x:v>
      </x:c>
      <x:c r="U864" s="19" t="n">
        <x:f>L864+IF(AND(S864=1,J864=1),1,0)</x:f>
        <x:v>3</x:v>
      </x:c>
      <x:c r="V864" s="19" t="n">
        <x:f>M864+IF(AND(S864=1,J864=2),1,0)</x:f>
        <x:v>4</x:v>
      </x:c>
      <x:c r="W864" s="19" t="n">
        <x:f>SUM(T864:V864)</x:f>
        <x:v>9</x:v>
      </x:c>
      <x:c r="X864" s="19" t="n">
        <x:f>W864-G864</x:f>
        <x:v>0</x:v>
      </x:c>
      <x:c r="Y864" s="19" t="n">
        <x:f>MAX(T864,1)+MAX(U864,1)+MAX(V864,1)</x:f>
        <x:v>9</x:v>
      </x:c>
      <x:c r="Z864" s="21" t="str">
        <x:f>IF(AND(MIN(D864:F864)&gt;=0,MAX(D864:F864)&lt;=7,MAX(D864,1)+MAX(E864,1)+MAX(F864,1)&lt;=9,OR(H864="-",AND(H864=0,D864&gt;0),AND(H864=1,E864&gt;0),AND(H864=2,F864&gt;0)),OR(I864=0,AND(I864=1,OR(J864=0,J864=1,J864=2),R864&lt;&gt;"000")),Y864&lt;=9,MIN(T864:V864)&gt;=0),"合法","输入违约")</x:f>
        <x:v>合法</x:v>
      </x:c>
    </x:row>
    <x:row r="865" ht="23" customHeight="1">
      <x:c r="A865" s="3" t="str">
        <x:v>CT-0858</x:v>
      </x:c>
      <x:c r="B865" s="3" t="str">
        <x:v>ST-165</x:v>
      </x:c>
      <x:c r="C865" s="3" t="str">
        <x:v>R+AR同收同发</x:v>
      </x:c>
      <x:c r="D865" s="25" t="n">
        <x:v>1</x:v>
      </x:c>
      <x:c r="E865" s="25" t="n">
        <x:v>3</x:v>
      </x:c>
      <x:c r="F865" s="25" t="n">
        <x:v>5</x:v>
      </x:c>
      <x:c r="G865" s="19" t="n">
        <x:f>SUM(D865:F865)</x:f>
        <x:v>9</x:v>
      </x:c>
      <x:c r="H865" s="25" t="n">
        <x:v>2</x:v>
      </x:c>
      <x:c r="I865" s="25" t="n">
        <x:v>1</x:v>
      </x:c>
      <x:c r="J865" s="25" t="n">
        <x:v>1</x:v>
      </x:c>
      <x:c r="K865" s="19" t="n">
        <x:f>D865-IF(H865=0,1,0)</x:f>
        <x:v>1</x:v>
      </x:c>
      <x:c r="L865" s="19" t="n">
        <x:f>E865-IF(H865=1,1,0)</x:f>
        <x:v>3</x:v>
      </x:c>
      <x:c r="M865" s="19" t="n">
        <x:f>F865-IF(H865=2,1,0)</x:f>
        <x:v>4</x:v>
      </x:c>
      <x:c r="N865" s="19" t="n">
        <x:f>MAX(K865-1,0)+MAX(L865-1,0)+MAX(M865-1,0)</x:f>
        <x:v>5</x:v>
      </x:c>
      <x:c r="O865" s="19" t="n">
        <x:f>IF(AND(SUM(K865:M865)&lt;9,OR(M865=0,N865&lt;6)),1,0)</x:f>
        <x:v>1</x:v>
      </x:c>
      <x:c r="P865" s="19" t="n">
        <x:f>IF(AND(SUM(K865:M865)&lt;9,OR(L865=0,N865&lt;6)),1,0)</x:f>
        <x:v>1</x:v>
      </x:c>
      <x:c r="Q865" s="19" t="n">
        <x:f>IF(AND(SUM(K865:M865)&lt;9,OR(K865=0,N865&lt;6)),1,0)</x:f>
        <x:v>1</x:v>
      </x:c>
      <x:c r="R865" s="22" t="str">
        <x:f>O865&amp;P865&amp;Q865</x:f>
        <x:v>111</x:v>
      </x:c>
      <x:c r="S865" s="19" t="n">
        <x:f>IF(I865=1,IF(J865=0,Q865,IF(J865=1,P865,IF(J865=2,O865,0))),0)</x:f>
        <x:v>1</x:v>
      </x:c>
      <x:c r="T865" s="19" t="n">
        <x:f>K865+IF(AND(S865=1,J865=0),1,0)</x:f>
        <x:v>1</x:v>
      </x:c>
      <x:c r="U865" s="19" t="n">
        <x:f>L865+IF(AND(S865=1,J865=1),1,0)</x:f>
        <x:v>4</x:v>
      </x:c>
      <x:c r="V865" s="19" t="n">
        <x:f>M865+IF(AND(S865=1,J865=2),1,0)</x:f>
        <x:v>4</x:v>
      </x:c>
      <x:c r="W865" s="19" t="n">
        <x:f>SUM(T865:V865)</x:f>
        <x:v>9</x:v>
      </x:c>
      <x:c r="X865" s="19" t="n">
        <x:f>W865-G865</x:f>
        <x:v>0</x:v>
      </x:c>
      <x:c r="Y865" s="19" t="n">
        <x:f>MAX(T865,1)+MAX(U865,1)+MAX(V865,1)</x:f>
        <x:v>9</x:v>
      </x:c>
      <x:c r="Z865" s="21" t="str">
        <x:f>IF(AND(MIN(D865:F865)&gt;=0,MAX(D865:F865)&lt;=7,MAX(D865,1)+MAX(E865,1)+MAX(F865,1)&lt;=9,OR(H865="-",AND(H865=0,D865&gt;0),AND(H865=1,E865&gt;0),AND(H865=2,F865&gt;0)),OR(I865=0,AND(I865=1,OR(J865=0,J865=1,J865=2),R865&lt;&gt;"000")),Y865&lt;=9,MIN(T865:V865)&gt;=0),"合法","输入违约")</x:f>
        <x:v>合法</x:v>
      </x:c>
    </x:row>
    <x:row r="866" ht="23" customHeight="1">
      <x:c r="A866" s="3" t="str">
        <x:v>CT-0859</x:v>
      </x:c>
      <x:c r="B866" s="3" t="str">
        <x:v>ST-165</x:v>
      </x:c>
      <x:c r="C866" s="3" t="str">
        <x:v>R+AR同收同发</x:v>
      </x:c>
      <x:c r="D866" s="25" t="n">
        <x:v>1</x:v>
      </x:c>
      <x:c r="E866" s="25" t="n">
        <x:v>3</x:v>
      </x:c>
      <x:c r="F866" s="25" t="n">
        <x:v>5</x:v>
      </x:c>
      <x:c r="G866" s="19" t="n">
        <x:f>SUM(D866:F866)</x:f>
        <x:v>9</x:v>
      </x:c>
      <x:c r="H866" s="25" t="n">
        <x:v>2</x:v>
      </x:c>
      <x:c r="I866" s="25" t="n">
        <x:v>1</x:v>
      </x:c>
      <x:c r="J866" s="25" t="n">
        <x:v>2</x:v>
      </x:c>
      <x:c r="K866" s="19" t="n">
        <x:f>D866-IF(H866=0,1,0)</x:f>
        <x:v>1</x:v>
      </x:c>
      <x:c r="L866" s="19" t="n">
        <x:f>E866-IF(H866=1,1,0)</x:f>
        <x:v>3</x:v>
      </x:c>
      <x:c r="M866" s="19" t="n">
        <x:f>F866-IF(H866=2,1,0)</x:f>
        <x:v>4</x:v>
      </x:c>
      <x:c r="N866" s="19" t="n">
        <x:f>MAX(K866-1,0)+MAX(L866-1,0)+MAX(M866-1,0)</x:f>
        <x:v>5</x:v>
      </x:c>
      <x:c r="O866" s="19" t="n">
        <x:f>IF(AND(SUM(K866:M866)&lt;9,OR(M866=0,N866&lt;6)),1,0)</x:f>
        <x:v>1</x:v>
      </x:c>
      <x:c r="P866" s="19" t="n">
        <x:f>IF(AND(SUM(K866:M866)&lt;9,OR(L866=0,N866&lt;6)),1,0)</x:f>
        <x:v>1</x:v>
      </x:c>
      <x:c r="Q866" s="19" t="n">
        <x:f>IF(AND(SUM(K866:M866)&lt;9,OR(K866=0,N866&lt;6)),1,0)</x:f>
        <x:v>1</x:v>
      </x:c>
      <x:c r="R866" s="22" t="str">
        <x:f>O866&amp;P866&amp;Q866</x:f>
        <x:v>111</x:v>
      </x:c>
      <x:c r="S866" s="19" t="n">
        <x:f>IF(I866=1,IF(J866=0,Q866,IF(J866=1,P866,IF(J866=2,O866,0))),0)</x:f>
        <x:v>1</x:v>
      </x:c>
      <x:c r="T866" s="19" t="n">
        <x:f>K866+IF(AND(S866=1,J866=0),1,0)</x:f>
        <x:v>1</x:v>
      </x:c>
      <x:c r="U866" s="19" t="n">
        <x:f>L866+IF(AND(S866=1,J866=1),1,0)</x:f>
        <x:v>3</x:v>
      </x:c>
      <x:c r="V866" s="19" t="n">
        <x:f>M866+IF(AND(S866=1,J866=2),1,0)</x:f>
        <x:v>5</x:v>
      </x:c>
      <x:c r="W866" s="19" t="n">
        <x:f>SUM(T866:V866)</x:f>
        <x:v>9</x:v>
      </x:c>
      <x:c r="X866" s="19" t="n">
        <x:f>W866-G866</x:f>
        <x:v>0</x:v>
      </x:c>
      <x:c r="Y866" s="19" t="n">
        <x:f>MAX(T866,1)+MAX(U866,1)+MAX(V866,1)</x:f>
        <x:v>9</x:v>
      </x:c>
      <x:c r="Z866" s="21" t="str">
        <x:f>IF(AND(MIN(D866:F866)&gt;=0,MAX(D866:F866)&lt;=7,MAX(D866,1)+MAX(E866,1)+MAX(F866,1)&lt;=9,OR(H866="-",AND(H866=0,D866&gt;0),AND(H866=1,E866&gt;0),AND(H866=2,F866&gt;0)),OR(I866=0,AND(I866=1,OR(J866=0,J866=1,J866=2),R866&lt;&gt;"000")),Y866&lt;=9,MIN(T866:V866)&gt;=0),"合法","输入违约")</x:f>
        <x:v>合法</x:v>
      </x:c>
    </x:row>
    <x:row r="867" ht="23" customHeight="1">
      <x:c r="A867" s="3" t="str">
        <x:v>CT-0860</x:v>
      </x:c>
      <x:c r="B867" s="3" t="str">
        <x:v>ST-046</x:v>
      </x:c>
      <x:c r="C867" s="3" t="str">
        <x:v>无AR/R</x:v>
      </x:c>
      <x:c r="D867" s="25" t="n">
        <x:v>1</x:v>
      </x:c>
      <x:c r="E867" s="25" t="n">
        <x:v>4</x:v>
      </x:c>
      <x:c r="F867" s="25" t="n">
        <x:v>0</x:v>
      </x:c>
      <x:c r="G867" s="19" t="n">
        <x:f>SUM(D867:F867)</x:f>
        <x:v>5</x:v>
      </x:c>
      <x:c r="H867" s="25" t="str">
        <x:v>-</x:v>
      </x:c>
      <x:c r="I867" s="25" t="n">
        <x:v>0</x:v>
      </x:c>
      <x:c r="J867" s="25" t="str">
        <x:v>-</x:v>
      </x:c>
      <x:c r="K867" s="19" t="n">
        <x:f>D867-IF(H867=0,1,0)</x:f>
        <x:v>1</x:v>
      </x:c>
      <x:c r="L867" s="19" t="n">
        <x:f>E867-IF(H867=1,1,0)</x:f>
        <x:v>4</x:v>
      </x:c>
      <x:c r="M867" s="19" t="n">
        <x:f>F867-IF(H867=2,1,0)</x:f>
        <x:v>0</x:v>
      </x:c>
      <x:c r="N867" s="19" t="n">
        <x:f>MAX(K867-1,0)+MAX(L867-1,0)+MAX(M867-1,0)</x:f>
        <x:v>3</x:v>
      </x:c>
      <x:c r="O867" s="19" t="n">
        <x:f>IF(AND(SUM(K867:M867)&lt;9,OR(M867=0,N867&lt;6)),1,0)</x:f>
        <x:v>1</x:v>
      </x:c>
      <x:c r="P867" s="19" t="n">
        <x:f>IF(AND(SUM(K867:M867)&lt;9,OR(L867=0,N867&lt;6)),1,0)</x:f>
        <x:v>1</x:v>
      </x:c>
      <x:c r="Q867" s="19" t="n">
        <x:f>IF(AND(SUM(K867:M867)&lt;9,OR(K867=0,N867&lt;6)),1,0)</x:f>
        <x:v>1</x:v>
      </x:c>
      <x:c r="R867" s="22" t="str">
        <x:f>O867&amp;P867&amp;Q867</x:f>
        <x:v>111</x:v>
      </x:c>
      <x:c r="S867" s="19" t="n">
        <x:f>IF(I867=1,IF(J867=0,Q867,IF(J867=1,P867,IF(J867=2,O867,0))),0)</x:f>
        <x:v>0</x:v>
      </x:c>
      <x:c r="T867" s="19" t="n">
        <x:f>K867+IF(AND(S867=1,J867=0),1,0)</x:f>
        <x:v>1</x:v>
      </x:c>
      <x:c r="U867" s="19" t="n">
        <x:f>L867+IF(AND(S867=1,J867=1),1,0)</x:f>
        <x:v>4</x:v>
      </x:c>
      <x:c r="V867" s="19" t="n">
        <x:f>M867+IF(AND(S867=1,J867=2),1,0)</x:f>
        <x:v>0</x:v>
      </x:c>
      <x:c r="W867" s="19" t="n">
        <x:f>SUM(T867:V867)</x:f>
        <x:v>5</x:v>
      </x:c>
      <x:c r="X867" s="19" t="n">
        <x:f>W867-G867</x:f>
        <x:v>0</x:v>
      </x:c>
      <x:c r="Y867" s="19" t="n">
        <x:f>MAX(T867,1)+MAX(U867,1)+MAX(V867,1)</x:f>
        <x:v>6</x:v>
      </x:c>
      <x:c r="Z867" s="21" t="str">
        <x:f>IF(AND(MIN(D867:F867)&gt;=0,MAX(D867:F867)&lt;=7,MAX(D867,1)+MAX(E867,1)+MAX(F867,1)&lt;=9,OR(H867="-",AND(H867=0,D867&gt;0),AND(H867=1,E867&gt;0),AND(H867=2,F867&gt;0)),OR(I867=0,AND(I867=1,OR(J867=0,J867=1,J867=2),R867&lt;&gt;"000")),Y867&lt;=9,MIN(T867:V867)&gt;=0),"合法","输入违约")</x:f>
        <x:v>合法</x:v>
      </x:c>
    </x:row>
    <x:row r="868" ht="23" customHeight="1">
      <x:c r="A868" s="3" t="str">
        <x:v>CT-0861</x:v>
      </x:c>
      <x:c r="B868" s="3" t="str">
        <x:v>ST-046</x:v>
      </x:c>
      <x:c r="C868" s="3" t="str">
        <x:v>仅AR接收</x:v>
      </x:c>
      <x:c r="D868" s="25" t="n">
        <x:v>1</x:v>
      </x:c>
      <x:c r="E868" s="25" t="n">
        <x:v>4</x:v>
      </x:c>
      <x:c r="F868" s="25" t="n">
        <x:v>0</x:v>
      </x:c>
      <x:c r="G868" s="19" t="n">
        <x:f>SUM(D868:F868)</x:f>
        <x:v>5</x:v>
      </x:c>
      <x:c r="H868" s="25" t="str">
        <x:v>-</x:v>
      </x:c>
      <x:c r="I868" s="25" t="n">
        <x:v>1</x:v>
      </x:c>
      <x:c r="J868" s="25" t="n">
        <x:v>0</x:v>
      </x:c>
      <x:c r="K868" s="19" t="n">
        <x:f>D868-IF(H868=0,1,0)</x:f>
        <x:v>1</x:v>
      </x:c>
      <x:c r="L868" s="19" t="n">
        <x:f>E868-IF(H868=1,1,0)</x:f>
        <x:v>4</x:v>
      </x:c>
      <x:c r="M868" s="19" t="n">
        <x:f>F868-IF(H868=2,1,0)</x:f>
        <x:v>0</x:v>
      </x:c>
      <x:c r="N868" s="19" t="n">
        <x:f>MAX(K868-1,0)+MAX(L868-1,0)+MAX(M868-1,0)</x:f>
        <x:v>3</x:v>
      </x:c>
      <x:c r="O868" s="19" t="n">
        <x:f>IF(AND(SUM(K868:M868)&lt;9,OR(M868=0,N868&lt;6)),1,0)</x:f>
        <x:v>1</x:v>
      </x:c>
      <x:c r="P868" s="19" t="n">
        <x:f>IF(AND(SUM(K868:M868)&lt;9,OR(L868=0,N868&lt;6)),1,0)</x:f>
        <x:v>1</x:v>
      </x:c>
      <x:c r="Q868" s="19" t="n">
        <x:f>IF(AND(SUM(K868:M868)&lt;9,OR(K868=0,N868&lt;6)),1,0)</x:f>
        <x:v>1</x:v>
      </x:c>
      <x:c r="R868" s="22" t="str">
        <x:f>O868&amp;P868&amp;Q868</x:f>
        <x:v>111</x:v>
      </x:c>
      <x:c r="S868" s="19" t="n">
        <x:f>IF(I868=1,IF(J868=0,Q868,IF(J868=1,P868,IF(J868=2,O868,0))),0)</x:f>
        <x:v>1</x:v>
      </x:c>
      <x:c r="T868" s="19" t="n">
        <x:f>K868+IF(AND(S868=1,J868=0),1,0)</x:f>
        <x:v>2</x:v>
      </x:c>
      <x:c r="U868" s="19" t="n">
        <x:f>L868+IF(AND(S868=1,J868=1),1,0)</x:f>
        <x:v>4</x:v>
      </x:c>
      <x:c r="V868" s="19" t="n">
        <x:f>M868+IF(AND(S868=1,J868=2),1,0)</x:f>
        <x:v>0</x:v>
      </x:c>
      <x:c r="W868" s="19" t="n">
        <x:f>SUM(T868:V868)</x:f>
        <x:v>6</x:v>
      </x:c>
      <x:c r="X868" s="19" t="n">
        <x:f>W868-G868</x:f>
        <x:v>1</x:v>
      </x:c>
      <x:c r="Y868" s="19" t="n">
        <x:f>MAX(T868,1)+MAX(U868,1)+MAX(V868,1)</x:f>
        <x:v>7</x:v>
      </x:c>
      <x:c r="Z868" s="21" t="str">
        <x:f>IF(AND(MIN(D868:F868)&gt;=0,MAX(D868:F868)&lt;=7,MAX(D868,1)+MAX(E868,1)+MAX(F868,1)&lt;=9,OR(H868="-",AND(H868=0,D868&gt;0),AND(H868=1,E868&gt;0),AND(H868=2,F868&gt;0)),OR(I868=0,AND(I868=1,OR(J868=0,J868=1,J868=2),R868&lt;&gt;"000")),Y868&lt;=9,MIN(T868:V868)&gt;=0),"合法","输入违约")</x:f>
        <x:v>合法</x:v>
      </x:c>
    </x:row>
    <x:row r="869" ht="23" customHeight="1">
      <x:c r="A869" s="3" t="str">
        <x:v>CT-0862</x:v>
      </x:c>
      <x:c r="B869" s="3" t="str">
        <x:v>ST-046</x:v>
      </x:c>
      <x:c r="C869" s="3" t="str">
        <x:v>仅AR接收</x:v>
      </x:c>
      <x:c r="D869" s="25" t="n">
        <x:v>1</x:v>
      </x:c>
      <x:c r="E869" s="25" t="n">
        <x:v>4</x:v>
      </x:c>
      <x:c r="F869" s="25" t="n">
        <x:v>0</x:v>
      </x:c>
      <x:c r="G869" s="19" t="n">
        <x:f>SUM(D869:F869)</x:f>
        <x:v>5</x:v>
      </x:c>
      <x:c r="H869" s="25" t="str">
        <x:v>-</x:v>
      </x:c>
      <x:c r="I869" s="25" t="n">
        <x:v>1</x:v>
      </x:c>
      <x:c r="J869" s="25" t="n">
        <x:v>1</x:v>
      </x:c>
      <x:c r="K869" s="19" t="n">
        <x:f>D869-IF(H869=0,1,0)</x:f>
        <x:v>1</x:v>
      </x:c>
      <x:c r="L869" s="19" t="n">
        <x:f>E869-IF(H869=1,1,0)</x:f>
        <x:v>4</x:v>
      </x:c>
      <x:c r="M869" s="19" t="n">
        <x:f>F869-IF(H869=2,1,0)</x:f>
        <x:v>0</x:v>
      </x:c>
      <x:c r="N869" s="19" t="n">
        <x:f>MAX(K869-1,0)+MAX(L869-1,0)+MAX(M869-1,0)</x:f>
        <x:v>3</x:v>
      </x:c>
      <x:c r="O869" s="19" t="n">
        <x:f>IF(AND(SUM(K869:M869)&lt;9,OR(M869=0,N869&lt;6)),1,0)</x:f>
        <x:v>1</x:v>
      </x:c>
      <x:c r="P869" s="19" t="n">
        <x:f>IF(AND(SUM(K869:M869)&lt;9,OR(L869=0,N869&lt;6)),1,0)</x:f>
        <x:v>1</x:v>
      </x:c>
      <x:c r="Q869" s="19" t="n">
        <x:f>IF(AND(SUM(K869:M869)&lt;9,OR(K869=0,N869&lt;6)),1,0)</x:f>
        <x:v>1</x:v>
      </x:c>
      <x:c r="R869" s="22" t="str">
        <x:f>O869&amp;P869&amp;Q869</x:f>
        <x:v>111</x:v>
      </x:c>
      <x:c r="S869" s="19" t="n">
        <x:f>IF(I869=1,IF(J869=0,Q869,IF(J869=1,P869,IF(J869=2,O869,0))),0)</x:f>
        <x:v>1</x:v>
      </x:c>
      <x:c r="T869" s="19" t="n">
        <x:f>K869+IF(AND(S869=1,J869=0),1,0)</x:f>
        <x:v>1</x:v>
      </x:c>
      <x:c r="U869" s="19" t="n">
        <x:f>L869+IF(AND(S869=1,J869=1),1,0)</x:f>
        <x:v>5</x:v>
      </x:c>
      <x:c r="V869" s="19" t="n">
        <x:f>M869+IF(AND(S869=1,J869=2),1,0)</x:f>
        <x:v>0</x:v>
      </x:c>
      <x:c r="W869" s="19" t="n">
        <x:f>SUM(T869:V869)</x:f>
        <x:v>6</x:v>
      </x:c>
      <x:c r="X869" s="19" t="n">
        <x:f>W869-G869</x:f>
        <x:v>1</x:v>
      </x:c>
      <x:c r="Y869" s="19" t="n">
        <x:f>MAX(T869,1)+MAX(U869,1)+MAX(V869,1)</x:f>
        <x:v>7</x:v>
      </x:c>
      <x:c r="Z869" s="21" t="str">
        <x:f>IF(AND(MIN(D869:F869)&gt;=0,MAX(D869:F869)&lt;=7,MAX(D869,1)+MAX(E869,1)+MAX(F869,1)&lt;=9,OR(H869="-",AND(H869=0,D869&gt;0),AND(H869=1,E869&gt;0),AND(H869=2,F869&gt;0)),OR(I869=0,AND(I869=1,OR(J869=0,J869=1,J869=2),R869&lt;&gt;"000")),Y869&lt;=9,MIN(T869:V869)&gt;=0),"合法","输入违约")</x:f>
        <x:v>合法</x:v>
      </x:c>
    </x:row>
    <x:row r="870" ht="23" customHeight="1">
      <x:c r="A870" s="3" t="str">
        <x:v>CT-0863</x:v>
      </x:c>
      <x:c r="B870" s="3" t="str">
        <x:v>ST-046</x:v>
      </x:c>
      <x:c r="C870" s="3" t="str">
        <x:v>仅AR接收</x:v>
      </x:c>
      <x:c r="D870" s="25" t="n">
        <x:v>1</x:v>
      </x:c>
      <x:c r="E870" s="25" t="n">
        <x:v>4</x:v>
      </x:c>
      <x:c r="F870" s="25" t="n">
        <x:v>0</x:v>
      </x:c>
      <x:c r="G870" s="19" t="n">
        <x:f>SUM(D870:F870)</x:f>
        <x:v>5</x:v>
      </x:c>
      <x:c r="H870" s="25" t="str">
        <x:v>-</x:v>
      </x:c>
      <x:c r="I870" s="25" t="n">
        <x:v>1</x:v>
      </x:c>
      <x:c r="J870" s="25" t="n">
        <x:v>2</x:v>
      </x:c>
      <x:c r="K870" s="19" t="n">
        <x:f>D870-IF(H870=0,1,0)</x:f>
        <x:v>1</x:v>
      </x:c>
      <x:c r="L870" s="19" t="n">
        <x:f>E870-IF(H870=1,1,0)</x:f>
        <x:v>4</x:v>
      </x:c>
      <x:c r="M870" s="19" t="n">
        <x:f>F870-IF(H870=2,1,0)</x:f>
        <x:v>0</x:v>
      </x:c>
      <x:c r="N870" s="19" t="n">
        <x:f>MAX(K870-1,0)+MAX(L870-1,0)+MAX(M870-1,0)</x:f>
        <x:v>3</x:v>
      </x:c>
      <x:c r="O870" s="19" t="n">
        <x:f>IF(AND(SUM(K870:M870)&lt;9,OR(M870=0,N870&lt;6)),1,0)</x:f>
        <x:v>1</x:v>
      </x:c>
      <x:c r="P870" s="19" t="n">
        <x:f>IF(AND(SUM(K870:M870)&lt;9,OR(L870=0,N870&lt;6)),1,0)</x:f>
        <x:v>1</x:v>
      </x:c>
      <x:c r="Q870" s="19" t="n">
        <x:f>IF(AND(SUM(K870:M870)&lt;9,OR(K870=0,N870&lt;6)),1,0)</x:f>
        <x:v>1</x:v>
      </x:c>
      <x:c r="R870" s="22" t="str">
        <x:f>O870&amp;P870&amp;Q870</x:f>
        <x:v>111</x:v>
      </x:c>
      <x:c r="S870" s="19" t="n">
        <x:f>IF(I870=1,IF(J870=0,Q870,IF(J870=1,P870,IF(J870=2,O870,0))),0)</x:f>
        <x:v>1</x:v>
      </x:c>
      <x:c r="T870" s="19" t="n">
        <x:f>K870+IF(AND(S870=1,J870=0),1,0)</x:f>
        <x:v>1</x:v>
      </x:c>
      <x:c r="U870" s="19" t="n">
        <x:f>L870+IF(AND(S870=1,J870=1),1,0)</x:f>
        <x:v>4</x:v>
      </x:c>
      <x:c r="V870" s="19" t="n">
        <x:f>M870+IF(AND(S870=1,J870=2),1,0)</x:f>
        <x:v>1</x:v>
      </x:c>
      <x:c r="W870" s="19" t="n">
        <x:f>SUM(T870:V870)</x:f>
        <x:v>6</x:v>
      </x:c>
      <x:c r="X870" s="19" t="n">
        <x:f>W870-G870</x:f>
        <x:v>1</x:v>
      </x:c>
      <x:c r="Y870" s="19" t="n">
        <x:f>MAX(T870,1)+MAX(U870,1)+MAX(V870,1)</x:f>
        <x:v>6</x:v>
      </x:c>
      <x:c r="Z870" s="21" t="str">
        <x:f>IF(AND(MIN(D870:F870)&gt;=0,MAX(D870:F870)&lt;=7,MAX(D870,1)+MAX(E870,1)+MAX(F870,1)&lt;=9,OR(H870="-",AND(H870=0,D870&gt;0),AND(H870=1,E870&gt;0),AND(H870=2,F870&gt;0)),OR(I870=0,AND(I870=1,OR(J870=0,J870=1,J870=2),R870&lt;&gt;"000")),Y870&lt;=9,MIN(T870:V870)&gt;=0),"合法","输入违约")</x:f>
        <x:v>合法</x:v>
      </x:c>
    </x:row>
    <x:row r="871" ht="23" customHeight="1">
      <x:c r="A871" s="3" t="str">
        <x:v>CT-0864</x:v>
      </x:c>
      <x:c r="B871" s="3" t="str">
        <x:v>ST-046</x:v>
      </x:c>
      <x:c r="C871" s="3" t="str">
        <x:v>仅R回收</x:v>
      </x:c>
      <x:c r="D871" s="25" t="n">
        <x:v>1</x:v>
      </x:c>
      <x:c r="E871" s="25" t="n">
        <x:v>4</x:v>
      </x:c>
      <x:c r="F871" s="25" t="n">
        <x:v>0</x:v>
      </x:c>
      <x:c r="G871" s="19" t="n">
        <x:f>SUM(D871:F871)</x:f>
        <x:v>5</x:v>
      </x:c>
      <x:c r="H871" s="25" t="n">
        <x:v>0</x:v>
      </x:c>
      <x:c r="I871" s="25" t="n">
        <x:v>0</x:v>
      </x:c>
      <x:c r="J871" s="25" t="str">
        <x:v>-</x:v>
      </x:c>
      <x:c r="K871" s="19" t="n">
        <x:f>D871-IF(H871=0,1,0)</x:f>
        <x:v>0</x:v>
      </x:c>
      <x:c r="L871" s="19" t="n">
        <x:f>E871-IF(H871=1,1,0)</x:f>
        <x:v>4</x:v>
      </x:c>
      <x:c r="M871" s="19" t="n">
        <x:f>F871-IF(H871=2,1,0)</x:f>
        <x:v>0</x:v>
      </x:c>
      <x:c r="N871" s="19" t="n">
        <x:f>MAX(K871-1,0)+MAX(L871-1,0)+MAX(M871-1,0)</x:f>
        <x:v>3</x:v>
      </x:c>
      <x:c r="O871" s="19" t="n">
        <x:f>IF(AND(SUM(K871:M871)&lt;9,OR(M871=0,N871&lt;6)),1,0)</x:f>
        <x:v>1</x:v>
      </x:c>
      <x:c r="P871" s="19" t="n">
        <x:f>IF(AND(SUM(K871:M871)&lt;9,OR(L871=0,N871&lt;6)),1,0)</x:f>
        <x:v>1</x:v>
      </x:c>
      <x:c r="Q871" s="19" t="n">
        <x:f>IF(AND(SUM(K871:M871)&lt;9,OR(K871=0,N871&lt;6)),1,0)</x:f>
        <x:v>1</x:v>
      </x:c>
      <x:c r="R871" s="22" t="str">
        <x:f>O871&amp;P871&amp;Q871</x:f>
        <x:v>111</x:v>
      </x:c>
      <x:c r="S871" s="19" t="n">
        <x:f>IF(I871=1,IF(J871=0,Q871,IF(J871=1,P871,IF(J871=2,O871,0))),0)</x:f>
        <x:v>0</x:v>
      </x:c>
      <x:c r="T871" s="19" t="n">
        <x:f>K871+IF(AND(S871=1,J871=0),1,0)</x:f>
        <x:v>0</x:v>
      </x:c>
      <x:c r="U871" s="19" t="n">
        <x:f>L871+IF(AND(S871=1,J871=1),1,0)</x:f>
        <x:v>4</x:v>
      </x:c>
      <x:c r="V871" s="19" t="n">
        <x:f>M871+IF(AND(S871=1,J871=2),1,0)</x:f>
        <x:v>0</x:v>
      </x:c>
      <x:c r="W871" s="19" t="n">
        <x:f>SUM(T871:V871)</x:f>
        <x:v>4</x:v>
      </x:c>
      <x:c r="X871" s="19" t="n">
        <x:f>W871-G871</x:f>
        <x:v>-1</x:v>
      </x:c>
      <x:c r="Y871" s="19" t="n">
        <x:f>MAX(T871,1)+MAX(U871,1)+MAX(V871,1)</x:f>
        <x:v>6</x:v>
      </x:c>
      <x:c r="Z871" s="21" t="str">
        <x:f>IF(AND(MIN(D871:F871)&gt;=0,MAX(D871:F871)&lt;=7,MAX(D871,1)+MAX(E871,1)+MAX(F871,1)&lt;=9,OR(H871="-",AND(H871=0,D871&gt;0),AND(H871=1,E871&gt;0),AND(H871=2,F871&gt;0)),OR(I871=0,AND(I871=1,OR(J871=0,J871=1,J871=2),R871&lt;&gt;"000")),Y871&lt;=9,MIN(T871:V871)&gt;=0),"合法","输入违约")</x:f>
        <x:v>合法</x:v>
      </x:c>
    </x:row>
    <x:row r="872" ht="23" customHeight="1">
      <x:c r="A872" s="3" t="str">
        <x:v>CT-0865</x:v>
      </x:c>
      <x:c r="B872" s="3" t="str">
        <x:v>ST-046</x:v>
      </x:c>
      <x:c r="C872" s="3" t="str">
        <x:v>R+AR同收同发</x:v>
      </x:c>
      <x:c r="D872" s="25" t="n">
        <x:v>1</x:v>
      </x:c>
      <x:c r="E872" s="25" t="n">
        <x:v>4</x:v>
      </x:c>
      <x:c r="F872" s="25" t="n">
        <x:v>0</x:v>
      </x:c>
      <x:c r="G872" s="19" t="n">
        <x:f>SUM(D872:F872)</x:f>
        <x:v>5</x:v>
      </x:c>
      <x:c r="H872" s="25" t="n">
        <x:v>0</x:v>
      </x:c>
      <x:c r="I872" s="25" t="n">
        <x:v>1</x:v>
      </x:c>
      <x:c r="J872" s="25" t="n">
        <x:v>0</x:v>
      </x:c>
      <x:c r="K872" s="19" t="n">
        <x:f>D872-IF(H872=0,1,0)</x:f>
        <x:v>0</x:v>
      </x:c>
      <x:c r="L872" s="19" t="n">
        <x:f>E872-IF(H872=1,1,0)</x:f>
        <x:v>4</x:v>
      </x:c>
      <x:c r="M872" s="19" t="n">
        <x:f>F872-IF(H872=2,1,0)</x:f>
        <x:v>0</x:v>
      </x:c>
      <x:c r="N872" s="19" t="n">
        <x:f>MAX(K872-1,0)+MAX(L872-1,0)+MAX(M872-1,0)</x:f>
        <x:v>3</x:v>
      </x:c>
      <x:c r="O872" s="19" t="n">
        <x:f>IF(AND(SUM(K872:M872)&lt;9,OR(M872=0,N872&lt;6)),1,0)</x:f>
        <x:v>1</x:v>
      </x:c>
      <x:c r="P872" s="19" t="n">
        <x:f>IF(AND(SUM(K872:M872)&lt;9,OR(L872=0,N872&lt;6)),1,0)</x:f>
        <x:v>1</x:v>
      </x:c>
      <x:c r="Q872" s="19" t="n">
        <x:f>IF(AND(SUM(K872:M872)&lt;9,OR(K872=0,N872&lt;6)),1,0)</x:f>
        <x:v>1</x:v>
      </x:c>
      <x:c r="R872" s="22" t="str">
        <x:f>O872&amp;P872&amp;Q872</x:f>
        <x:v>111</x:v>
      </x:c>
      <x:c r="S872" s="19" t="n">
        <x:f>IF(I872=1,IF(J872=0,Q872,IF(J872=1,P872,IF(J872=2,O872,0))),0)</x:f>
        <x:v>1</x:v>
      </x:c>
      <x:c r="T872" s="19" t="n">
        <x:f>K872+IF(AND(S872=1,J872=0),1,0)</x:f>
        <x:v>1</x:v>
      </x:c>
      <x:c r="U872" s="19" t="n">
        <x:f>L872+IF(AND(S872=1,J872=1),1,0)</x:f>
        <x:v>4</x:v>
      </x:c>
      <x:c r="V872" s="19" t="n">
        <x:f>M872+IF(AND(S872=1,J872=2),1,0)</x:f>
        <x:v>0</x:v>
      </x:c>
      <x:c r="W872" s="19" t="n">
        <x:f>SUM(T872:V872)</x:f>
        <x:v>5</x:v>
      </x:c>
      <x:c r="X872" s="19" t="n">
        <x:f>W872-G872</x:f>
        <x:v>0</x:v>
      </x:c>
      <x:c r="Y872" s="19" t="n">
        <x:f>MAX(T872,1)+MAX(U872,1)+MAX(V872,1)</x:f>
        <x:v>6</x:v>
      </x:c>
      <x:c r="Z872" s="21" t="str">
        <x:f>IF(AND(MIN(D872:F872)&gt;=0,MAX(D872:F872)&lt;=7,MAX(D872,1)+MAX(E872,1)+MAX(F872,1)&lt;=9,OR(H872="-",AND(H872=0,D872&gt;0),AND(H872=1,E872&gt;0),AND(H872=2,F872&gt;0)),OR(I872=0,AND(I872=1,OR(J872=0,J872=1,J872=2),R872&lt;&gt;"000")),Y872&lt;=9,MIN(T872:V872)&gt;=0),"合法","输入违约")</x:f>
        <x:v>合法</x:v>
      </x:c>
    </x:row>
    <x:row r="873" ht="23" customHeight="1">
      <x:c r="A873" s="3" t="str">
        <x:v>CT-0866</x:v>
      </x:c>
      <x:c r="B873" s="3" t="str">
        <x:v>ST-046</x:v>
      </x:c>
      <x:c r="C873" s="3" t="str">
        <x:v>R+AR同收同发</x:v>
      </x:c>
      <x:c r="D873" s="25" t="n">
        <x:v>1</x:v>
      </x:c>
      <x:c r="E873" s="25" t="n">
        <x:v>4</x:v>
      </x:c>
      <x:c r="F873" s="25" t="n">
        <x:v>0</x:v>
      </x:c>
      <x:c r="G873" s="19" t="n">
        <x:f>SUM(D873:F873)</x:f>
        <x:v>5</x:v>
      </x:c>
      <x:c r="H873" s="25" t="n">
        <x:v>0</x:v>
      </x:c>
      <x:c r="I873" s="25" t="n">
        <x:v>1</x:v>
      </x:c>
      <x:c r="J873" s="25" t="n">
        <x:v>1</x:v>
      </x:c>
      <x:c r="K873" s="19" t="n">
        <x:f>D873-IF(H873=0,1,0)</x:f>
        <x:v>0</x:v>
      </x:c>
      <x:c r="L873" s="19" t="n">
        <x:f>E873-IF(H873=1,1,0)</x:f>
        <x:v>4</x:v>
      </x:c>
      <x:c r="M873" s="19" t="n">
        <x:f>F873-IF(H873=2,1,0)</x:f>
        <x:v>0</x:v>
      </x:c>
      <x:c r="N873" s="19" t="n">
        <x:f>MAX(K873-1,0)+MAX(L873-1,0)+MAX(M873-1,0)</x:f>
        <x:v>3</x:v>
      </x:c>
      <x:c r="O873" s="19" t="n">
        <x:f>IF(AND(SUM(K873:M873)&lt;9,OR(M873=0,N873&lt;6)),1,0)</x:f>
        <x:v>1</x:v>
      </x:c>
      <x:c r="P873" s="19" t="n">
        <x:f>IF(AND(SUM(K873:M873)&lt;9,OR(L873=0,N873&lt;6)),1,0)</x:f>
        <x:v>1</x:v>
      </x:c>
      <x:c r="Q873" s="19" t="n">
        <x:f>IF(AND(SUM(K873:M873)&lt;9,OR(K873=0,N873&lt;6)),1,0)</x:f>
        <x:v>1</x:v>
      </x:c>
      <x:c r="R873" s="22" t="str">
        <x:f>O873&amp;P873&amp;Q873</x:f>
        <x:v>111</x:v>
      </x:c>
      <x:c r="S873" s="19" t="n">
        <x:f>IF(I873=1,IF(J873=0,Q873,IF(J873=1,P873,IF(J873=2,O873,0))),0)</x:f>
        <x:v>1</x:v>
      </x:c>
      <x:c r="T873" s="19" t="n">
        <x:f>K873+IF(AND(S873=1,J873=0),1,0)</x:f>
        <x:v>0</x:v>
      </x:c>
      <x:c r="U873" s="19" t="n">
        <x:f>L873+IF(AND(S873=1,J873=1),1,0)</x:f>
        <x:v>5</x:v>
      </x:c>
      <x:c r="V873" s="19" t="n">
        <x:f>M873+IF(AND(S873=1,J873=2),1,0)</x:f>
        <x:v>0</x:v>
      </x:c>
      <x:c r="W873" s="19" t="n">
        <x:f>SUM(T873:V873)</x:f>
        <x:v>5</x:v>
      </x:c>
      <x:c r="X873" s="19" t="n">
        <x:f>W873-G873</x:f>
        <x:v>0</x:v>
      </x:c>
      <x:c r="Y873" s="19" t="n">
        <x:f>MAX(T873,1)+MAX(U873,1)+MAX(V873,1)</x:f>
        <x:v>7</x:v>
      </x:c>
      <x:c r="Z873" s="21" t="str">
        <x:f>IF(AND(MIN(D873:F873)&gt;=0,MAX(D873:F873)&lt;=7,MAX(D873,1)+MAX(E873,1)+MAX(F873,1)&lt;=9,OR(H873="-",AND(H873=0,D873&gt;0),AND(H873=1,E873&gt;0),AND(H873=2,F873&gt;0)),OR(I873=0,AND(I873=1,OR(J873=0,J873=1,J873=2),R873&lt;&gt;"000")),Y873&lt;=9,MIN(T873:V873)&gt;=0),"合法","输入违约")</x:f>
        <x:v>合法</x:v>
      </x:c>
    </x:row>
    <x:row r="874" ht="23" customHeight="1">
      <x:c r="A874" s="3" t="str">
        <x:v>CT-0867</x:v>
      </x:c>
      <x:c r="B874" s="3" t="str">
        <x:v>ST-046</x:v>
      </x:c>
      <x:c r="C874" s="3" t="str">
        <x:v>R+AR同收同发</x:v>
      </x:c>
      <x:c r="D874" s="25" t="n">
        <x:v>1</x:v>
      </x:c>
      <x:c r="E874" s="25" t="n">
        <x:v>4</x:v>
      </x:c>
      <x:c r="F874" s="25" t="n">
        <x:v>0</x:v>
      </x:c>
      <x:c r="G874" s="19" t="n">
        <x:f>SUM(D874:F874)</x:f>
        <x:v>5</x:v>
      </x:c>
      <x:c r="H874" s="25" t="n">
        <x:v>0</x:v>
      </x:c>
      <x:c r="I874" s="25" t="n">
        <x:v>1</x:v>
      </x:c>
      <x:c r="J874" s="25" t="n">
        <x:v>2</x:v>
      </x:c>
      <x:c r="K874" s="19" t="n">
        <x:f>D874-IF(H874=0,1,0)</x:f>
        <x:v>0</x:v>
      </x:c>
      <x:c r="L874" s="19" t="n">
        <x:f>E874-IF(H874=1,1,0)</x:f>
        <x:v>4</x:v>
      </x:c>
      <x:c r="M874" s="19" t="n">
        <x:f>F874-IF(H874=2,1,0)</x:f>
        <x:v>0</x:v>
      </x:c>
      <x:c r="N874" s="19" t="n">
        <x:f>MAX(K874-1,0)+MAX(L874-1,0)+MAX(M874-1,0)</x:f>
        <x:v>3</x:v>
      </x:c>
      <x:c r="O874" s="19" t="n">
        <x:f>IF(AND(SUM(K874:M874)&lt;9,OR(M874=0,N874&lt;6)),1,0)</x:f>
        <x:v>1</x:v>
      </x:c>
      <x:c r="P874" s="19" t="n">
        <x:f>IF(AND(SUM(K874:M874)&lt;9,OR(L874=0,N874&lt;6)),1,0)</x:f>
        <x:v>1</x:v>
      </x:c>
      <x:c r="Q874" s="19" t="n">
        <x:f>IF(AND(SUM(K874:M874)&lt;9,OR(K874=0,N874&lt;6)),1,0)</x:f>
        <x:v>1</x:v>
      </x:c>
      <x:c r="R874" s="22" t="str">
        <x:f>O874&amp;P874&amp;Q874</x:f>
        <x:v>111</x:v>
      </x:c>
      <x:c r="S874" s="19" t="n">
        <x:f>IF(I874=1,IF(J874=0,Q874,IF(J874=1,P874,IF(J874=2,O874,0))),0)</x:f>
        <x:v>1</x:v>
      </x:c>
      <x:c r="T874" s="19" t="n">
        <x:f>K874+IF(AND(S874=1,J874=0),1,0)</x:f>
        <x:v>0</x:v>
      </x:c>
      <x:c r="U874" s="19" t="n">
        <x:f>L874+IF(AND(S874=1,J874=1),1,0)</x:f>
        <x:v>4</x:v>
      </x:c>
      <x:c r="V874" s="19" t="n">
        <x:f>M874+IF(AND(S874=1,J874=2),1,0)</x:f>
        <x:v>1</x:v>
      </x:c>
      <x:c r="W874" s="19" t="n">
        <x:f>SUM(T874:V874)</x:f>
        <x:v>5</x:v>
      </x:c>
      <x:c r="X874" s="19" t="n">
        <x:f>W874-G874</x:f>
        <x:v>0</x:v>
      </x:c>
      <x:c r="Y874" s="19" t="n">
        <x:f>MAX(T874,1)+MAX(U874,1)+MAX(V874,1)</x:f>
        <x:v>6</x:v>
      </x:c>
      <x:c r="Z874" s="21" t="str">
        <x:f>IF(AND(MIN(D874:F874)&gt;=0,MAX(D874:F874)&lt;=7,MAX(D874,1)+MAX(E874,1)+MAX(F874,1)&lt;=9,OR(H874="-",AND(H874=0,D874&gt;0),AND(H874=1,E874&gt;0),AND(H874=2,F874&gt;0)),OR(I874=0,AND(I874=1,OR(J874=0,J874=1,J874=2),R874&lt;&gt;"000")),Y874&lt;=9,MIN(T874:V874)&gt;=0),"合法","输入违约")</x:f>
        <x:v>合法</x:v>
      </x:c>
    </x:row>
    <x:row r="875" ht="23" customHeight="1">
      <x:c r="A875" s="3" t="str">
        <x:v>CT-0868</x:v>
      </x:c>
      <x:c r="B875" s="3" t="str">
        <x:v>ST-046</x:v>
      </x:c>
      <x:c r="C875" s="3" t="str">
        <x:v>仅R回收</x:v>
      </x:c>
      <x:c r="D875" s="25" t="n">
        <x:v>1</x:v>
      </x:c>
      <x:c r="E875" s="25" t="n">
        <x:v>4</x:v>
      </x:c>
      <x:c r="F875" s="25" t="n">
        <x:v>0</x:v>
      </x:c>
      <x:c r="G875" s="19" t="n">
        <x:f>SUM(D875:F875)</x:f>
        <x:v>5</x:v>
      </x:c>
      <x:c r="H875" s="25" t="n">
        <x:v>1</x:v>
      </x:c>
      <x:c r="I875" s="25" t="n">
        <x:v>0</x:v>
      </x:c>
      <x:c r="J875" s="25" t="str">
        <x:v>-</x:v>
      </x:c>
      <x:c r="K875" s="19" t="n">
        <x:f>D875-IF(H875=0,1,0)</x:f>
        <x:v>1</x:v>
      </x:c>
      <x:c r="L875" s="19" t="n">
        <x:f>E875-IF(H875=1,1,0)</x:f>
        <x:v>3</x:v>
      </x:c>
      <x:c r="M875" s="19" t="n">
        <x:f>F875-IF(H875=2,1,0)</x:f>
        <x:v>0</x:v>
      </x:c>
      <x:c r="N875" s="19" t="n">
        <x:f>MAX(K875-1,0)+MAX(L875-1,0)+MAX(M875-1,0)</x:f>
        <x:v>2</x:v>
      </x:c>
      <x:c r="O875" s="19" t="n">
        <x:f>IF(AND(SUM(K875:M875)&lt;9,OR(M875=0,N875&lt;6)),1,0)</x:f>
        <x:v>1</x:v>
      </x:c>
      <x:c r="P875" s="19" t="n">
        <x:f>IF(AND(SUM(K875:M875)&lt;9,OR(L875=0,N875&lt;6)),1,0)</x:f>
        <x:v>1</x:v>
      </x:c>
      <x:c r="Q875" s="19" t="n">
        <x:f>IF(AND(SUM(K875:M875)&lt;9,OR(K875=0,N875&lt;6)),1,0)</x:f>
        <x:v>1</x:v>
      </x:c>
      <x:c r="R875" s="22" t="str">
        <x:f>O875&amp;P875&amp;Q875</x:f>
        <x:v>111</x:v>
      </x:c>
      <x:c r="S875" s="19" t="n">
        <x:f>IF(I875=1,IF(J875=0,Q875,IF(J875=1,P875,IF(J875=2,O875,0))),0)</x:f>
        <x:v>0</x:v>
      </x:c>
      <x:c r="T875" s="19" t="n">
        <x:f>K875+IF(AND(S875=1,J875=0),1,0)</x:f>
        <x:v>1</x:v>
      </x:c>
      <x:c r="U875" s="19" t="n">
        <x:f>L875+IF(AND(S875=1,J875=1),1,0)</x:f>
        <x:v>3</x:v>
      </x:c>
      <x:c r="V875" s="19" t="n">
        <x:f>M875+IF(AND(S875=1,J875=2),1,0)</x:f>
        <x:v>0</x:v>
      </x:c>
      <x:c r="W875" s="19" t="n">
        <x:f>SUM(T875:V875)</x:f>
        <x:v>4</x:v>
      </x:c>
      <x:c r="X875" s="19" t="n">
        <x:f>W875-G875</x:f>
        <x:v>-1</x:v>
      </x:c>
      <x:c r="Y875" s="19" t="n">
        <x:f>MAX(T875,1)+MAX(U875,1)+MAX(V875,1)</x:f>
        <x:v>5</x:v>
      </x:c>
      <x:c r="Z875" s="21" t="str">
        <x:f>IF(AND(MIN(D875:F875)&gt;=0,MAX(D875:F875)&lt;=7,MAX(D875,1)+MAX(E875,1)+MAX(F875,1)&lt;=9,OR(H875="-",AND(H875=0,D875&gt;0),AND(H875=1,E875&gt;0),AND(H875=2,F875&gt;0)),OR(I875=0,AND(I875=1,OR(J875=0,J875=1,J875=2),R875&lt;&gt;"000")),Y875&lt;=9,MIN(T875:V875)&gt;=0),"合法","输入违约")</x:f>
        <x:v>合法</x:v>
      </x:c>
    </x:row>
    <x:row r="876" ht="23" customHeight="1">
      <x:c r="A876" s="3" t="str">
        <x:v>CT-0869</x:v>
      </x:c>
      <x:c r="B876" s="3" t="str">
        <x:v>ST-046</x:v>
      </x:c>
      <x:c r="C876" s="3" t="str">
        <x:v>R+AR同收同发</x:v>
      </x:c>
      <x:c r="D876" s="25" t="n">
        <x:v>1</x:v>
      </x:c>
      <x:c r="E876" s="25" t="n">
        <x:v>4</x:v>
      </x:c>
      <x:c r="F876" s="25" t="n">
        <x:v>0</x:v>
      </x:c>
      <x:c r="G876" s="19" t="n">
        <x:f>SUM(D876:F876)</x:f>
        <x:v>5</x:v>
      </x:c>
      <x:c r="H876" s="25" t="n">
        <x:v>1</x:v>
      </x:c>
      <x:c r="I876" s="25" t="n">
        <x:v>1</x:v>
      </x:c>
      <x:c r="J876" s="25" t="n">
        <x:v>0</x:v>
      </x:c>
      <x:c r="K876" s="19" t="n">
        <x:f>D876-IF(H876=0,1,0)</x:f>
        <x:v>1</x:v>
      </x:c>
      <x:c r="L876" s="19" t="n">
        <x:f>E876-IF(H876=1,1,0)</x:f>
        <x:v>3</x:v>
      </x:c>
      <x:c r="M876" s="19" t="n">
        <x:f>F876-IF(H876=2,1,0)</x:f>
        <x:v>0</x:v>
      </x:c>
      <x:c r="N876" s="19" t="n">
        <x:f>MAX(K876-1,0)+MAX(L876-1,0)+MAX(M876-1,0)</x:f>
        <x:v>2</x:v>
      </x:c>
      <x:c r="O876" s="19" t="n">
        <x:f>IF(AND(SUM(K876:M876)&lt;9,OR(M876=0,N876&lt;6)),1,0)</x:f>
        <x:v>1</x:v>
      </x:c>
      <x:c r="P876" s="19" t="n">
        <x:f>IF(AND(SUM(K876:M876)&lt;9,OR(L876=0,N876&lt;6)),1,0)</x:f>
        <x:v>1</x:v>
      </x:c>
      <x:c r="Q876" s="19" t="n">
        <x:f>IF(AND(SUM(K876:M876)&lt;9,OR(K876=0,N876&lt;6)),1,0)</x:f>
        <x:v>1</x:v>
      </x:c>
      <x:c r="R876" s="22" t="str">
        <x:f>O876&amp;P876&amp;Q876</x:f>
        <x:v>111</x:v>
      </x:c>
      <x:c r="S876" s="19" t="n">
        <x:f>IF(I876=1,IF(J876=0,Q876,IF(J876=1,P876,IF(J876=2,O876,0))),0)</x:f>
        <x:v>1</x:v>
      </x:c>
      <x:c r="T876" s="19" t="n">
        <x:f>K876+IF(AND(S876=1,J876=0),1,0)</x:f>
        <x:v>2</x:v>
      </x:c>
      <x:c r="U876" s="19" t="n">
        <x:f>L876+IF(AND(S876=1,J876=1),1,0)</x:f>
        <x:v>3</x:v>
      </x:c>
      <x:c r="V876" s="19" t="n">
        <x:f>M876+IF(AND(S876=1,J876=2),1,0)</x:f>
        <x:v>0</x:v>
      </x:c>
      <x:c r="W876" s="19" t="n">
        <x:f>SUM(T876:V876)</x:f>
        <x:v>5</x:v>
      </x:c>
      <x:c r="X876" s="19" t="n">
        <x:f>W876-G876</x:f>
        <x:v>0</x:v>
      </x:c>
      <x:c r="Y876" s="19" t="n">
        <x:f>MAX(T876,1)+MAX(U876,1)+MAX(V876,1)</x:f>
        <x:v>6</x:v>
      </x:c>
      <x:c r="Z876" s="21" t="str">
        <x:f>IF(AND(MIN(D876:F876)&gt;=0,MAX(D876:F876)&lt;=7,MAX(D876,1)+MAX(E876,1)+MAX(F876,1)&lt;=9,OR(H876="-",AND(H876=0,D876&gt;0),AND(H876=1,E876&gt;0),AND(H876=2,F876&gt;0)),OR(I876=0,AND(I876=1,OR(J876=0,J876=1,J876=2),R876&lt;&gt;"000")),Y876&lt;=9,MIN(T876:V876)&gt;=0),"合法","输入违约")</x:f>
        <x:v>合法</x:v>
      </x:c>
    </x:row>
    <x:row r="877" ht="23" customHeight="1">
      <x:c r="A877" s="3" t="str">
        <x:v>CT-0870</x:v>
      </x:c>
      <x:c r="B877" s="3" t="str">
        <x:v>ST-046</x:v>
      </x:c>
      <x:c r="C877" s="3" t="str">
        <x:v>R+AR同收同发</x:v>
      </x:c>
      <x:c r="D877" s="25" t="n">
        <x:v>1</x:v>
      </x:c>
      <x:c r="E877" s="25" t="n">
        <x:v>4</x:v>
      </x:c>
      <x:c r="F877" s="25" t="n">
        <x:v>0</x:v>
      </x:c>
      <x:c r="G877" s="19" t="n">
        <x:f>SUM(D877:F877)</x:f>
        <x:v>5</x:v>
      </x:c>
      <x:c r="H877" s="25" t="n">
        <x:v>1</x:v>
      </x:c>
      <x:c r="I877" s="25" t="n">
        <x:v>1</x:v>
      </x:c>
      <x:c r="J877" s="25" t="n">
        <x:v>1</x:v>
      </x:c>
      <x:c r="K877" s="19" t="n">
        <x:f>D877-IF(H877=0,1,0)</x:f>
        <x:v>1</x:v>
      </x:c>
      <x:c r="L877" s="19" t="n">
        <x:f>E877-IF(H877=1,1,0)</x:f>
        <x:v>3</x:v>
      </x:c>
      <x:c r="M877" s="19" t="n">
        <x:f>F877-IF(H877=2,1,0)</x:f>
        <x:v>0</x:v>
      </x:c>
      <x:c r="N877" s="19" t="n">
        <x:f>MAX(K877-1,0)+MAX(L877-1,0)+MAX(M877-1,0)</x:f>
        <x:v>2</x:v>
      </x:c>
      <x:c r="O877" s="19" t="n">
        <x:f>IF(AND(SUM(K877:M877)&lt;9,OR(M877=0,N877&lt;6)),1,0)</x:f>
        <x:v>1</x:v>
      </x:c>
      <x:c r="P877" s="19" t="n">
        <x:f>IF(AND(SUM(K877:M877)&lt;9,OR(L877=0,N877&lt;6)),1,0)</x:f>
        <x:v>1</x:v>
      </x:c>
      <x:c r="Q877" s="19" t="n">
        <x:f>IF(AND(SUM(K877:M877)&lt;9,OR(K877=0,N877&lt;6)),1,0)</x:f>
        <x:v>1</x:v>
      </x:c>
      <x:c r="R877" s="22" t="str">
        <x:f>O877&amp;P877&amp;Q877</x:f>
        <x:v>111</x:v>
      </x:c>
      <x:c r="S877" s="19" t="n">
        <x:f>IF(I877=1,IF(J877=0,Q877,IF(J877=1,P877,IF(J877=2,O877,0))),0)</x:f>
        <x:v>1</x:v>
      </x:c>
      <x:c r="T877" s="19" t="n">
        <x:f>K877+IF(AND(S877=1,J877=0),1,0)</x:f>
        <x:v>1</x:v>
      </x:c>
      <x:c r="U877" s="19" t="n">
        <x:f>L877+IF(AND(S877=1,J877=1),1,0)</x:f>
        <x:v>4</x:v>
      </x:c>
      <x:c r="V877" s="19" t="n">
        <x:f>M877+IF(AND(S877=1,J877=2),1,0)</x:f>
        <x:v>0</x:v>
      </x:c>
      <x:c r="W877" s="19" t="n">
        <x:f>SUM(T877:V877)</x:f>
        <x:v>5</x:v>
      </x:c>
      <x:c r="X877" s="19" t="n">
        <x:f>W877-G877</x:f>
        <x:v>0</x:v>
      </x:c>
      <x:c r="Y877" s="19" t="n">
        <x:f>MAX(T877,1)+MAX(U877,1)+MAX(V877,1)</x:f>
        <x:v>6</x:v>
      </x:c>
      <x:c r="Z877" s="21" t="str">
        <x:f>IF(AND(MIN(D877:F877)&gt;=0,MAX(D877:F877)&lt;=7,MAX(D877,1)+MAX(E877,1)+MAX(F877,1)&lt;=9,OR(H877="-",AND(H877=0,D877&gt;0),AND(H877=1,E877&gt;0),AND(H877=2,F877&gt;0)),OR(I877=0,AND(I877=1,OR(J877=0,J877=1,J877=2),R877&lt;&gt;"000")),Y877&lt;=9,MIN(T877:V877)&gt;=0),"合法","输入违约")</x:f>
        <x:v>合法</x:v>
      </x:c>
    </x:row>
    <x:row r="878" ht="23" customHeight="1">
      <x:c r="A878" s="3" t="str">
        <x:v>CT-0871</x:v>
      </x:c>
      <x:c r="B878" s="3" t="str">
        <x:v>ST-046</x:v>
      </x:c>
      <x:c r="C878" s="3" t="str">
        <x:v>R+AR同收同发</x:v>
      </x:c>
      <x:c r="D878" s="25" t="n">
        <x:v>1</x:v>
      </x:c>
      <x:c r="E878" s="25" t="n">
        <x:v>4</x:v>
      </x:c>
      <x:c r="F878" s="25" t="n">
        <x:v>0</x:v>
      </x:c>
      <x:c r="G878" s="19" t="n">
        <x:f>SUM(D878:F878)</x:f>
        <x:v>5</x:v>
      </x:c>
      <x:c r="H878" s="25" t="n">
        <x:v>1</x:v>
      </x:c>
      <x:c r="I878" s="25" t="n">
        <x:v>1</x:v>
      </x:c>
      <x:c r="J878" s="25" t="n">
        <x:v>2</x:v>
      </x:c>
      <x:c r="K878" s="19" t="n">
        <x:f>D878-IF(H878=0,1,0)</x:f>
        <x:v>1</x:v>
      </x:c>
      <x:c r="L878" s="19" t="n">
        <x:f>E878-IF(H878=1,1,0)</x:f>
        <x:v>3</x:v>
      </x:c>
      <x:c r="M878" s="19" t="n">
        <x:f>F878-IF(H878=2,1,0)</x:f>
        <x:v>0</x:v>
      </x:c>
      <x:c r="N878" s="19" t="n">
        <x:f>MAX(K878-1,0)+MAX(L878-1,0)+MAX(M878-1,0)</x:f>
        <x:v>2</x:v>
      </x:c>
      <x:c r="O878" s="19" t="n">
        <x:f>IF(AND(SUM(K878:M878)&lt;9,OR(M878=0,N878&lt;6)),1,0)</x:f>
        <x:v>1</x:v>
      </x:c>
      <x:c r="P878" s="19" t="n">
        <x:f>IF(AND(SUM(K878:M878)&lt;9,OR(L878=0,N878&lt;6)),1,0)</x:f>
        <x:v>1</x:v>
      </x:c>
      <x:c r="Q878" s="19" t="n">
        <x:f>IF(AND(SUM(K878:M878)&lt;9,OR(K878=0,N878&lt;6)),1,0)</x:f>
        <x:v>1</x:v>
      </x:c>
      <x:c r="R878" s="22" t="str">
        <x:f>O878&amp;P878&amp;Q878</x:f>
        <x:v>111</x:v>
      </x:c>
      <x:c r="S878" s="19" t="n">
        <x:f>IF(I878=1,IF(J878=0,Q878,IF(J878=1,P878,IF(J878=2,O878,0))),0)</x:f>
        <x:v>1</x:v>
      </x:c>
      <x:c r="T878" s="19" t="n">
        <x:f>K878+IF(AND(S878=1,J878=0),1,0)</x:f>
        <x:v>1</x:v>
      </x:c>
      <x:c r="U878" s="19" t="n">
        <x:f>L878+IF(AND(S878=1,J878=1),1,0)</x:f>
        <x:v>3</x:v>
      </x:c>
      <x:c r="V878" s="19" t="n">
        <x:f>M878+IF(AND(S878=1,J878=2),1,0)</x:f>
        <x:v>1</x:v>
      </x:c>
      <x:c r="W878" s="19" t="n">
        <x:f>SUM(T878:V878)</x:f>
        <x:v>5</x:v>
      </x:c>
      <x:c r="X878" s="19" t="n">
        <x:f>W878-G878</x:f>
        <x:v>0</x:v>
      </x:c>
      <x:c r="Y878" s="19" t="n">
        <x:f>MAX(T878,1)+MAX(U878,1)+MAX(V878,1)</x:f>
        <x:v>5</x:v>
      </x:c>
      <x:c r="Z878" s="21" t="str">
        <x:f>IF(AND(MIN(D878:F878)&gt;=0,MAX(D878:F878)&lt;=7,MAX(D878,1)+MAX(E878,1)+MAX(F878,1)&lt;=9,OR(H878="-",AND(H878=0,D878&gt;0),AND(H878=1,E878&gt;0),AND(H878=2,F878&gt;0)),OR(I878=0,AND(I878=1,OR(J878=0,J878=1,J878=2),R878&lt;&gt;"000")),Y878&lt;=9,MIN(T878:V878)&gt;=0),"合法","输入违约")</x:f>
        <x:v>合法</x:v>
      </x:c>
    </x:row>
    <x:row r="879" ht="23" customHeight="1">
      <x:c r="A879" s="3" t="str">
        <x:v>CT-0872</x:v>
      </x:c>
      <x:c r="B879" s="3" t="str">
        <x:v>ST-068</x:v>
      </x:c>
      <x:c r="C879" s="3" t="str">
        <x:v>无AR/R</x:v>
      </x:c>
      <x:c r="D879" s="25" t="n">
        <x:v>1</x:v>
      </x:c>
      <x:c r="E879" s="25" t="n">
        <x:v>4</x:v>
      </x:c>
      <x:c r="F879" s="25" t="n">
        <x:v>1</x:v>
      </x:c>
      <x:c r="G879" s="19" t="n">
        <x:f>SUM(D879:F879)</x:f>
        <x:v>6</x:v>
      </x:c>
      <x:c r="H879" s="25" t="str">
        <x:v>-</x:v>
      </x:c>
      <x:c r="I879" s="25" t="n">
        <x:v>0</x:v>
      </x:c>
      <x:c r="J879" s="25" t="str">
        <x:v>-</x:v>
      </x:c>
      <x:c r="K879" s="19" t="n">
        <x:f>D879-IF(H879=0,1,0)</x:f>
        <x:v>1</x:v>
      </x:c>
      <x:c r="L879" s="19" t="n">
        <x:f>E879-IF(H879=1,1,0)</x:f>
        <x:v>4</x:v>
      </x:c>
      <x:c r="M879" s="19" t="n">
        <x:f>F879-IF(H879=2,1,0)</x:f>
        <x:v>1</x:v>
      </x:c>
      <x:c r="N879" s="19" t="n">
        <x:f>MAX(K879-1,0)+MAX(L879-1,0)+MAX(M879-1,0)</x:f>
        <x:v>3</x:v>
      </x:c>
      <x:c r="O879" s="19" t="n">
        <x:f>IF(AND(SUM(K879:M879)&lt;9,OR(M879=0,N879&lt;6)),1,0)</x:f>
        <x:v>1</x:v>
      </x:c>
      <x:c r="P879" s="19" t="n">
        <x:f>IF(AND(SUM(K879:M879)&lt;9,OR(L879=0,N879&lt;6)),1,0)</x:f>
        <x:v>1</x:v>
      </x:c>
      <x:c r="Q879" s="19" t="n">
        <x:f>IF(AND(SUM(K879:M879)&lt;9,OR(K879=0,N879&lt;6)),1,0)</x:f>
        <x:v>1</x:v>
      </x:c>
      <x:c r="R879" s="22" t="str">
        <x:f>O879&amp;P879&amp;Q879</x:f>
        <x:v>111</x:v>
      </x:c>
      <x:c r="S879" s="19" t="n">
        <x:f>IF(I879=1,IF(J879=0,Q879,IF(J879=1,P879,IF(J879=2,O879,0))),0)</x:f>
        <x:v>0</x:v>
      </x:c>
      <x:c r="T879" s="19" t="n">
        <x:f>K879+IF(AND(S879=1,J879=0),1,0)</x:f>
        <x:v>1</x:v>
      </x:c>
      <x:c r="U879" s="19" t="n">
        <x:f>L879+IF(AND(S879=1,J879=1),1,0)</x:f>
        <x:v>4</x:v>
      </x:c>
      <x:c r="V879" s="19" t="n">
        <x:f>M879+IF(AND(S879=1,J879=2),1,0)</x:f>
        <x:v>1</x:v>
      </x:c>
      <x:c r="W879" s="19" t="n">
        <x:f>SUM(T879:V879)</x:f>
        <x:v>6</x:v>
      </x:c>
      <x:c r="X879" s="19" t="n">
        <x:f>W879-G879</x:f>
        <x:v>0</x:v>
      </x:c>
      <x:c r="Y879" s="19" t="n">
        <x:f>MAX(T879,1)+MAX(U879,1)+MAX(V879,1)</x:f>
        <x:v>6</x:v>
      </x:c>
      <x:c r="Z879" s="21" t="str">
        <x:f>IF(AND(MIN(D879:F879)&gt;=0,MAX(D879:F879)&lt;=7,MAX(D879,1)+MAX(E879,1)+MAX(F879,1)&lt;=9,OR(H879="-",AND(H879=0,D879&gt;0),AND(H879=1,E879&gt;0),AND(H879=2,F879&gt;0)),OR(I879=0,AND(I879=1,OR(J879=0,J879=1,J879=2),R879&lt;&gt;"000")),Y879&lt;=9,MIN(T879:V879)&gt;=0),"合法","输入违约")</x:f>
        <x:v>合法</x:v>
      </x:c>
    </x:row>
    <x:row r="880" ht="23" customHeight="1">
      <x:c r="A880" s="3" t="str">
        <x:v>CT-0873</x:v>
      </x:c>
      <x:c r="B880" s="3" t="str">
        <x:v>ST-068</x:v>
      </x:c>
      <x:c r="C880" s="3" t="str">
        <x:v>仅AR接收</x:v>
      </x:c>
      <x:c r="D880" s="25" t="n">
        <x:v>1</x:v>
      </x:c>
      <x:c r="E880" s="25" t="n">
        <x:v>4</x:v>
      </x:c>
      <x:c r="F880" s="25" t="n">
        <x:v>1</x:v>
      </x:c>
      <x:c r="G880" s="19" t="n">
        <x:f>SUM(D880:F880)</x:f>
        <x:v>6</x:v>
      </x:c>
      <x:c r="H880" s="25" t="str">
        <x:v>-</x:v>
      </x:c>
      <x:c r="I880" s="25" t="n">
        <x:v>1</x:v>
      </x:c>
      <x:c r="J880" s="25" t="n">
        <x:v>0</x:v>
      </x:c>
      <x:c r="K880" s="19" t="n">
        <x:f>D880-IF(H880=0,1,0)</x:f>
        <x:v>1</x:v>
      </x:c>
      <x:c r="L880" s="19" t="n">
        <x:f>E880-IF(H880=1,1,0)</x:f>
        <x:v>4</x:v>
      </x:c>
      <x:c r="M880" s="19" t="n">
        <x:f>F880-IF(H880=2,1,0)</x:f>
        <x:v>1</x:v>
      </x:c>
      <x:c r="N880" s="19" t="n">
        <x:f>MAX(K880-1,0)+MAX(L880-1,0)+MAX(M880-1,0)</x:f>
        <x:v>3</x:v>
      </x:c>
      <x:c r="O880" s="19" t="n">
        <x:f>IF(AND(SUM(K880:M880)&lt;9,OR(M880=0,N880&lt;6)),1,0)</x:f>
        <x:v>1</x:v>
      </x:c>
      <x:c r="P880" s="19" t="n">
        <x:f>IF(AND(SUM(K880:M880)&lt;9,OR(L880=0,N880&lt;6)),1,0)</x:f>
        <x:v>1</x:v>
      </x:c>
      <x:c r="Q880" s="19" t="n">
        <x:f>IF(AND(SUM(K880:M880)&lt;9,OR(K880=0,N880&lt;6)),1,0)</x:f>
        <x:v>1</x:v>
      </x:c>
      <x:c r="R880" s="22" t="str">
        <x:f>O880&amp;P880&amp;Q880</x:f>
        <x:v>111</x:v>
      </x:c>
      <x:c r="S880" s="19" t="n">
        <x:f>IF(I880=1,IF(J880=0,Q880,IF(J880=1,P880,IF(J880=2,O880,0))),0)</x:f>
        <x:v>1</x:v>
      </x:c>
      <x:c r="T880" s="19" t="n">
        <x:f>K880+IF(AND(S880=1,J880=0),1,0)</x:f>
        <x:v>2</x:v>
      </x:c>
      <x:c r="U880" s="19" t="n">
        <x:f>L880+IF(AND(S880=1,J880=1),1,0)</x:f>
        <x:v>4</x:v>
      </x:c>
      <x:c r="V880" s="19" t="n">
        <x:f>M880+IF(AND(S880=1,J880=2),1,0)</x:f>
        <x:v>1</x:v>
      </x:c>
      <x:c r="W880" s="19" t="n">
        <x:f>SUM(T880:V880)</x:f>
        <x:v>7</x:v>
      </x:c>
      <x:c r="X880" s="19" t="n">
        <x:f>W880-G880</x:f>
        <x:v>1</x:v>
      </x:c>
      <x:c r="Y880" s="19" t="n">
        <x:f>MAX(T880,1)+MAX(U880,1)+MAX(V880,1)</x:f>
        <x:v>7</x:v>
      </x:c>
      <x:c r="Z880" s="21" t="str">
        <x:f>IF(AND(MIN(D880:F880)&gt;=0,MAX(D880:F880)&lt;=7,MAX(D880,1)+MAX(E880,1)+MAX(F880,1)&lt;=9,OR(H880="-",AND(H880=0,D880&gt;0),AND(H880=1,E880&gt;0),AND(H880=2,F880&gt;0)),OR(I880=0,AND(I880=1,OR(J880=0,J880=1,J880=2),R880&lt;&gt;"000")),Y880&lt;=9,MIN(T880:V880)&gt;=0),"合法","输入违约")</x:f>
        <x:v>合法</x:v>
      </x:c>
    </x:row>
    <x:row r="881" ht="23" customHeight="1">
      <x:c r="A881" s="3" t="str">
        <x:v>CT-0874</x:v>
      </x:c>
      <x:c r="B881" s="3" t="str">
        <x:v>ST-068</x:v>
      </x:c>
      <x:c r="C881" s="3" t="str">
        <x:v>仅AR接收</x:v>
      </x:c>
      <x:c r="D881" s="25" t="n">
        <x:v>1</x:v>
      </x:c>
      <x:c r="E881" s="25" t="n">
        <x:v>4</x:v>
      </x:c>
      <x:c r="F881" s="25" t="n">
        <x:v>1</x:v>
      </x:c>
      <x:c r="G881" s="19" t="n">
        <x:f>SUM(D881:F881)</x:f>
        <x:v>6</x:v>
      </x:c>
      <x:c r="H881" s="25" t="str">
        <x:v>-</x:v>
      </x:c>
      <x:c r="I881" s="25" t="n">
        <x:v>1</x:v>
      </x:c>
      <x:c r="J881" s="25" t="n">
        <x:v>1</x:v>
      </x:c>
      <x:c r="K881" s="19" t="n">
        <x:f>D881-IF(H881=0,1,0)</x:f>
        <x:v>1</x:v>
      </x:c>
      <x:c r="L881" s="19" t="n">
        <x:f>E881-IF(H881=1,1,0)</x:f>
        <x:v>4</x:v>
      </x:c>
      <x:c r="M881" s="19" t="n">
        <x:f>F881-IF(H881=2,1,0)</x:f>
        <x:v>1</x:v>
      </x:c>
      <x:c r="N881" s="19" t="n">
        <x:f>MAX(K881-1,0)+MAX(L881-1,0)+MAX(M881-1,0)</x:f>
        <x:v>3</x:v>
      </x:c>
      <x:c r="O881" s="19" t="n">
        <x:f>IF(AND(SUM(K881:M881)&lt;9,OR(M881=0,N881&lt;6)),1,0)</x:f>
        <x:v>1</x:v>
      </x:c>
      <x:c r="P881" s="19" t="n">
        <x:f>IF(AND(SUM(K881:M881)&lt;9,OR(L881=0,N881&lt;6)),1,0)</x:f>
        <x:v>1</x:v>
      </x:c>
      <x:c r="Q881" s="19" t="n">
        <x:f>IF(AND(SUM(K881:M881)&lt;9,OR(K881=0,N881&lt;6)),1,0)</x:f>
        <x:v>1</x:v>
      </x:c>
      <x:c r="R881" s="22" t="str">
        <x:f>O881&amp;P881&amp;Q881</x:f>
        <x:v>111</x:v>
      </x:c>
      <x:c r="S881" s="19" t="n">
        <x:f>IF(I881=1,IF(J881=0,Q881,IF(J881=1,P881,IF(J881=2,O881,0))),0)</x:f>
        <x:v>1</x:v>
      </x:c>
      <x:c r="T881" s="19" t="n">
        <x:f>K881+IF(AND(S881=1,J881=0),1,0)</x:f>
        <x:v>1</x:v>
      </x:c>
      <x:c r="U881" s="19" t="n">
        <x:f>L881+IF(AND(S881=1,J881=1),1,0)</x:f>
        <x:v>5</x:v>
      </x:c>
      <x:c r="V881" s="19" t="n">
        <x:f>M881+IF(AND(S881=1,J881=2),1,0)</x:f>
        <x:v>1</x:v>
      </x:c>
      <x:c r="W881" s="19" t="n">
        <x:f>SUM(T881:V881)</x:f>
        <x:v>7</x:v>
      </x:c>
      <x:c r="X881" s="19" t="n">
        <x:f>W881-G881</x:f>
        <x:v>1</x:v>
      </x:c>
      <x:c r="Y881" s="19" t="n">
        <x:f>MAX(T881,1)+MAX(U881,1)+MAX(V881,1)</x:f>
        <x:v>7</x:v>
      </x:c>
      <x:c r="Z881" s="21" t="str">
        <x:f>IF(AND(MIN(D881:F881)&gt;=0,MAX(D881:F881)&lt;=7,MAX(D881,1)+MAX(E881,1)+MAX(F881,1)&lt;=9,OR(H881="-",AND(H881=0,D881&gt;0),AND(H881=1,E881&gt;0),AND(H881=2,F881&gt;0)),OR(I881=0,AND(I881=1,OR(J881=0,J881=1,J881=2),R881&lt;&gt;"000")),Y881&lt;=9,MIN(T881:V881)&gt;=0),"合法","输入违约")</x:f>
        <x:v>合法</x:v>
      </x:c>
    </x:row>
    <x:row r="882" ht="23" customHeight="1">
      <x:c r="A882" s="3" t="str">
        <x:v>CT-0875</x:v>
      </x:c>
      <x:c r="B882" s="3" t="str">
        <x:v>ST-068</x:v>
      </x:c>
      <x:c r="C882" s="3" t="str">
        <x:v>仅AR接收</x:v>
      </x:c>
      <x:c r="D882" s="25" t="n">
        <x:v>1</x:v>
      </x:c>
      <x:c r="E882" s="25" t="n">
        <x:v>4</x:v>
      </x:c>
      <x:c r="F882" s="25" t="n">
        <x:v>1</x:v>
      </x:c>
      <x:c r="G882" s="19" t="n">
        <x:f>SUM(D882:F882)</x:f>
        <x:v>6</x:v>
      </x:c>
      <x:c r="H882" s="25" t="str">
        <x:v>-</x:v>
      </x:c>
      <x:c r="I882" s="25" t="n">
        <x:v>1</x:v>
      </x:c>
      <x:c r="J882" s="25" t="n">
        <x:v>2</x:v>
      </x:c>
      <x:c r="K882" s="19" t="n">
        <x:f>D882-IF(H882=0,1,0)</x:f>
        <x:v>1</x:v>
      </x:c>
      <x:c r="L882" s="19" t="n">
        <x:f>E882-IF(H882=1,1,0)</x:f>
        <x:v>4</x:v>
      </x:c>
      <x:c r="M882" s="19" t="n">
        <x:f>F882-IF(H882=2,1,0)</x:f>
        <x:v>1</x:v>
      </x:c>
      <x:c r="N882" s="19" t="n">
        <x:f>MAX(K882-1,0)+MAX(L882-1,0)+MAX(M882-1,0)</x:f>
        <x:v>3</x:v>
      </x:c>
      <x:c r="O882" s="19" t="n">
        <x:f>IF(AND(SUM(K882:M882)&lt;9,OR(M882=0,N882&lt;6)),1,0)</x:f>
        <x:v>1</x:v>
      </x:c>
      <x:c r="P882" s="19" t="n">
        <x:f>IF(AND(SUM(K882:M882)&lt;9,OR(L882=0,N882&lt;6)),1,0)</x:f>
        <x:v>1</x:v>
      </x:c>
      <x:c r="Q882" s="19" t="n">
        <x:f>IF(AND(SUM(K882:M882)&lt;9,OR(K882=0,N882&lt;6)),1,0)</x:f>
        <x:v>1</x:v>
      </x:c>
      <x:c r="R882" s="22" t="str">
        <x:f>O882&amp;P882&amp;Q882</x:f>
        <x:v>111</x:v>
      </x:c>
      <x:c r="S882" s="19" t="n">
        <x:f>IF(I882=1,IF(J882=0,Q882,IF(J882=1,P882,IF(J882=2,O882,0))),0)</x:f>
        <x:v>1</x:v>
      </x:c>
      <x:c r="T882" s="19" t="n">
        <x:f>K882+IF(AND(S882=1,J882=0),1,0)</x:f>
        <x:v>1</x:v>
      </x:c>
      <x:c r="U882" s="19" t="n">
        <x:f>L882+IF(AND(S882=1,J882=1),1,0)</x:f>
        <x:v>4</x:v>
      </x:c>
      <x:c r="V882" s="19" t="n">
        <x:f>M882+IF(AND(S882=1,J882=2),1,0)</x:f>
        <x:v>2</x:v>
      </x:c>
      <x:c r="W882" s="19" t="n">
        <x:f>SUM(T882:V882)</x:f>
        <x:v>7</x:v>
      </x:c>
      <x:c r="X882" s="19" t="n">
        <x:f>W882-G882</x:f>
        <x:v>1</x:v>
      </x:c>
      <x:c r="Y882" s="19" t="n">
        <x:f>MAX(T882,1)+MAX(U882,1)+MAX(V882,1)</x:f>
        <x:v>7</x:v>
      </x:c>
      <x:c r="Z882" s="21" t="str">
        <x:f>IF(AND(MIN(D882:F882)&gt;=0,MAX(D882:F882)&lt;=7,MAX(D882,1)+MAX(E882,1)+MAX(F882,1)&lt;=9,OR(H882="-",AND(H882=0,D882&gt;0),AND(H882=1,E882&gt;0),AND(H882=2,F882&gt;0)),OR(I882=0,AND(I882=1,OR(J882=0,J882=1,J882=2),R882&lt;&gt;"000")),Y882&lt;=9,MIN(T882:V882)&gt;=0),"合法","输入违约")</x:f>
        <x:v>合法</x:v>
      </x:c>
    </x:row>
    <x:row r="883" ht="23" customHeight="1">
      <x:c r="A883" s="3" t="str">
        <x:v>CT-0876</x:v>
      </x:c>
      <x:c r="B883" s="3" t="str">
        <x:v>ST-068</x:v>
      </x:c>
      <x:c r="C883" s="3" t="str">
        <x:v>仅R回收</x:v>
      </x:c>
      <x:c r="D883" s="25" t="n">
        <x:v>1</x:v>
      </x:c>
      <x:c r="E883" s="25" t="n">
        <x:v>4</x:v>
      </x:c>
      <x:c r="F883" s="25" t="n">
        <x:v>1</x:v>
      </x:c>
      <x:c r="G883" s="19" t="n">
        <x:f>SUM(D883:F883)</x:f>
        <x:v>6</x:v>
      </x:c>
      <x:c r="H883" s="25" t="n">
        <x:v>0</x:v>
      </x:c>
      <x:c r="I883" s="25" t="n">
        <x:v>0</x:v>
      </x:c>
      <x:c r="J883" s="25" t="str">
        <x:v>-</x:v>
      </x:c>
      <x:c r="K883" s="19" t="n">
        <x:f>D883-IF(H883=0,1,0)</x:f>
        <x:v>0</x:v>
      </x:c>
      <x:c r="L883" s="19" t="n">
        <x:f>E883-IF(H883=1,1,0)</x:f>
        <x:v>4</x:v>
      </x:c>
      <x:c r="M883" s="19" t="n">
        <x:f>F883-IF(H883=2,1,0)</x:f>
        <x:v>1</x:v>
      </x:c>
      <x:c r="N883" s="19" t="n">
        <x:f>MAX(K883-1,0)+MAX(L883-1,0)+MAX(M883-1,0)</x:f>
        <x:v>3</x:v>
      </x:c>
      <x:c r="O883" s="19" t="n">
        <x:f>IF(AND(SUM(K883:M883)&lt;9,OR(M883=0,N883&lt;6)),1,0)</x:f>
        <x:v>1</x:v>
      </x:c>
      <x:c r="P883" s="19" t="n">
        <x:f>IF(AND(SUM(K883:M883)&lt;9,OR(L883=0,N883&lt;6)),1,0)</x:f>
        <x:v>1</x:v>
      </x:c>
      <x:c r="Q883" s="19" t="n">
        <x:f>IF(AND(SUM(K883:M883)&lt;9,OR(K883=0,N883&lt;6)),1,0)</x:f>
        <x:v>1</x:v>
      </x:c>
      <x:c r="R883" s="22" t="str">
        <x:f>O883&amp;P883&amp;Q883</x:f>
        <x:v>111</x:v>
      </x:c>
      <x:c r="S883" s="19" t="n">
        <x:f>IF(I883=1,IF(J883=0,Q883,IF(J883=1,P883,IF(J883=2,O883,0))),0)</x:f>
        <x:v>0</x:v>
      </x:c>
      <x:c r="T883" s="19" t="n">
        <x:f>K883+IF(AND(S883=1,J883=0),1,0)</x:f>
        <x:v>0</x:v>
      </x:c>
      <x:c r="U883" s="19" t="n">
        <x:f>L883+IF(AND(S883=1,J883=1),1,0)</x:f>
        <x:v>4</x:v>
      </x:c>
      <x:c r="V883" s="19" t="n">
        <x:f>M883+IF(AND(S883=1,J883=2),1,0)</x:f>
        <x:v>1</x:v>
      </x:c>
      <x:c r="W883" s="19" t="n">
        <x:f>SUM(T883:V883)</x:f>
        <x:v>5</x:v>
      </x:c>
      <x:c r="X883" s="19" t="n">
        <x:f>W883-G883</x:f>
        <x:v>-1</x:v>
      </x:c>
      <x:c r="Y883" s="19" t="n">
        <x:f>MAX(T883,1)+MAX(U883,1)+MAX(V883,1)</x:f>
        <x:v>6</x:v>
      </x:c>
      <x:c r="Z883" s="21" t="str">
        <x:f>IF(AND(MIN(D883:F883)&gt;=0,MAX(D883:F883)&lt;=7,MAX(D883,1)+MAX(E883,1)+MAX(F883,1)&lt;=9,OR(H883="-",AND(H883=0,D883&gt;0),AND(H883=1,E883&gt;0),AND(H883=2,F883&gt;0)),OR(I883=0,AND(I883=1,OR(J883=0,J883=1,J883=2),R883&lt;&gt;"000")),Y883&lt;=9,MIN(T883:V883)&gt;=0),"合法","输入违约")</x:f>
        <x:v>合法</x:v>
      </x:c>
    </x:row>
    <x:row r="884" ht="23" customHeight="1">
      <x:c r="A884" s="3" t="str">
        <x:v>CT-0877</x:v>
      </x:c>
      <x:c r="B884" s="3" t="str">
        <x:v>ST-068</x:v>
      </x:c>
      <x:c r="C884" s="3" t="str">
        <x:v>R+AR同收同发</x:v>
      </x:c>
      <x:c r="D884" s="25" t="n">
        <x:v>1</x:v>
      </x:c>
      <x:c r="E884" s="25" t="n">
        <x:v>4</x:v>
      </x:c>
      <x:c r="F884" s="25" t="n">
        <x:v>1</x:v>
      </x:c>
      <x:c r="G884" s="19" t="n">
        <x:f>SUM(D884:F884)</x:f>
        <x:v>6</x:v>
      </x:c>
      <x:c r="H884" s="25" t="n">
        <x:v>0</x:v>
      </x:c>
      <x:c r="I884" s="25" t="n">
        <x:v>1</x:v>
      </x:c>
      <x:c r="J884" s="25" t="n">
        <x:v>0</x:v>
      </x:c>
      <x:c r="K884" s="19" t="n">
        <x:f>D884-IF(H884=0,1,0)</x:f>
        <x:v>0</x:v>
      </x:c>
      <x:c r="L884" s="19" t="n">
        <x:f>E884-IF(H884=1,1,0)</x:f>
        <x:v>4</x:v>
      </x:c>
      <x:c r="M884" s="19" t="n">
        <x:f>F884-IF(H884=2,1,0)</x:f>
        <x:v>1</x:v>
      </x:c>
      <x:c r="N884" s="19" t="n">
        <x:f>MAX(K884-1,0)+MAX(L884-1,0)+MAX(M884-1,0)</x:f>
        <x:v>3</x:v>
      </x:c>
      <x:c r="O884" s="19" t="n">
        <x:f>IF(AND(SUM(K884:M884)&lt;9,OR(M884=0,N884&lt;6)),1,0)</x:f>
        <x:v>1</x:v>
      </x:c>
      <x:c r="P884" s="19" t="n">
        <x:f>IF(AND(SUM(K884:M884)&lt;9,OR(L884=0,N884&lt;6)),1,0)</x:f>
        <x:v>1</x:v>
      </x:c>
      <x:c r="Q884" s="19" t="n">
        <x:f>IF(AND(SUM(K884:M884)&lt;9,OR(K884=0,N884&lt;6)),1,0)</x:f>
        <x:v>1</x:v>
      </x:c>
      <x:c r="R884" s="22" t="str">
        <x:f>O884&amp;P884&amp;Q884</x:f>
        <x:v>111</x:v>
      </x:c>
      <x:c r="S884" s="19" t="n">
        <x:f>IF(I884=1,IF(J884=0,Q884,IF(J884=1,P884,IF(J884=2,O884,0))),0)</x:f>
        <x:v>1</x:v>
      </x:c>
      <x:c r="T884" s="19" t="n">
        <x:f>K884+IF(AND(S884=1,J884=0),1,0)</x:f>
        <x:v>1</x:v>
      </x:c>
      <x:c r="U884" s="19" t="n">
        <x:f>L884+IF(AND(S884=1,J884=1),1,0)</x:f>
        <x:v>4</x:v>
      </x:c>
      <x:c r="V884" s="19" t="n">
        <x:f>M884+IF(AND(S884=1,J884=2),1,0)</x:f>
        <x:v>1</x:v>
      </x:c>
      <x:c r="W884" s="19" t="n">
        <x:f>SUM(T884:V884)</x:f>
        <x:v>6</x:v>
      </x:c>
      <x:c r="X884" s="19" t="n">
        <x:f>W884-G884</x:f>
        <x:v>0</x:v>
      </x:c>
      <x:c r="Y884" s="19" t="n">
        <x:f>MAX(T884,1)+MAX(U884,1)+MAX(V884,1)</x:f>
        <x:v>6</x:v>
      </x:c>
      <x:c r="Z884" s="21" t="str">
        <x:f>IF(AND(MIN(D884:F884)&gt;=0,MAX(D884:F884)&lt;=7,MAX(D884,1)+MAX(E884,1)+MAX(F884,1)&lt;=9,OR(H884="-",AND(H884=0,D884&gt;0),AND(H884=1,E884&gt;0),AND(H884=2,F884&gt;0)),OR(I884=0,AND(I884=1,OR(J884=0,J884=1,J884=2),R884&lt;&gt;"000")),Y884&lt;=9,MIN(T884:V884)&gt;=0),"合法","输入违约")</x:f>
        <x:v>合法</x:v>
      </x:c>
    </x:row>
    <x:row r="885" ht="23" customHeight="1">
      <x:c r="A885" s="3" t="str">
        <x:v>CT-0878</x:v>
      </x:c>
      <x:c r="B885" s="3" t="str">
        <x:v>ST-068</x:v>
      </x:c>
      <x:c r="C885" s="3" t="str">
        <x:v>R+AR同收同发</x:v>
      </x:c>
      <x:c r="D885" s="25" t="n">
        <x:v>1</x:v>
      </x:c>
      <x:c r="E885" s="25" t="n">
        <x:v>4</x:v>
      </x:c>
      <x:c r="F885" s="25" t="n">
        <x:v>1</x:v>
      </x:c>
      <x:c r="G885" s="19" t="n">
        <x:f>SUM(D885:F885)</x:f>
        <x:v>6</x:v>
      </x:c>
      <x:c r="H885" s="25" t="n">
        <x:v>0</x:v>
      </x:c>
      <x:c r="I885" s="25" t="n">
        <x:v>1</x:v>
      </x:c>
      <x:c r="J885" s="25" t="n">
        <x:v>1</x:v>
      </x:c>
      <x:c r="K885" s="19" t="n">
        <x:f>D885-IF(H885=0,1,0)</x:f>
        <x:v>0</x:v>
      </x:c>
      <x:c r="L885" s="19" t="n">
        <x:f>E885-IF(H885=1,1,0)</x:f>
        <x:v>4</x:v>
      </x:c>
      <x:c r="M885" s="19" t="n">
        <x:f>F885-IF(H885=2,1,0)</x:f>
        <x:v>1</x:v>
      </x:c>
      <x:c r="N885" s="19" t="n">
        <x:f>MAX(K885-1,0)+MAX(L885-1,0)+MAX(M885-1,0)</x:f>
        <x:v>3</x:v>
      </x:c>
      <x:c r="O885" s="19" t="n">
        <x:f>IF(AND(SUM(K885:M885)&lt;9,OR(M885=0,N885&lt;6)),1,0)</x:f>
        <x:v>1</x:v>
      </x:c>
      <x:c r="P885" s="19" t="n">
        <x:f>IF(AND(SUM(K885:M885)&lt;9,OR(L885=0,N885&lt;6)),1,0)</x:f>
        <x:v>1</x:v>
      </x:c>
      <x:c r="Q885" s="19" t="n">
        <x:f>IF(AND(SUM(K885:M885)&lt;9,OR(K885=0,N885&lt;6)),1,0)</x:f>
        <x:v>1</x:v>
      </x:c>
      <x:c r="R885" s="22" t="str">
        <x:f>O885&amp;P885&amp;Q885</x:f>
        <x:v>111</x:v>
      </x:c>
      <x:c r="S885" s="19" t="n">
        <x:f>IF(I885=1,IF(J885=0,Q885,IF(J885=1,P885,IF(J885=2,O885,0))),0)</x:f>
        <x:v>1</x:v>
      </x:c>
      <x:c r="T885" s="19" t="n">
        <x:f>K885+IF(AND(S885=1,J885=0),1,0)</x:f>
        <x:v>0</x:v>
      </x:c>
      <x:c r="U885" s="19" t="n">
        <x:f>L885+IF(AND(S885=1,J885=1),1,0)</x:f>
        <x:v>5</x:v>
      </x:c>
      <x:c r="V885" s="19" t="n">
        <x:f>M885+IF(AND(S885=1,J885=2),1,0)</x:f>
        <x:v>1</x:v>
      </x:c>
      <x:c r="W885" s="19" t="n">
        <x:f>SUM(T885:V885)</x:f>
        <x:v>6</x:v>
      </x:c>
      <x:c r="X885" s="19" t="n">
        <x:f>W885-G885</x:f>
        <x:v>0</x:v>
      </x:c>
      <x:c r="Y885" s="19" t="n">
        <x:f>MAX(T885,1)+MAX(U885,1)+MAX(V885,1)</x:f>
        <x:v>7</x:v>
      </x:c>
      <x:c r="Z885" s="21" t="str">
        <x:f>IF(AND(MIN(D885:F885)&gt;=0,MAX(D885:F885)&lt;=7,MAX(D885,1)+MAX(E885,1)+MAX(F885,1)&lt;=9,OR(H885="-",AND(H885=0,D885&gt;0),AND(H885=1,E885&gt;0),AND(H885=2,F885&gt;0)),OR(I885=0,AND(I885=1,OR(J885=0,J885=1,J885=2),R885&lt;&gt;"000")),Y885&lt;=9,MIN(T885:V885)&gt;=0),"合法","输入违约")</x:f>
        <x:v>合法</x:v>
      </x:c>
    </x:row>
    <x:row r="886" ht="23" customHeight="1">
      <x:c r="A886" s="3" t="str">
        <x:v>CT-0879</x:v>
      </x:c>
      <x:c r="B886" s="3" t="str">
        <x:v>ST-068</x:v>
      </x:c>
      <x:c r="C886" s="3" t="str">
        <x:v>R+AR同收同发</x:v>
      </x:c>
      <x:c r="D886" s="25" t="n">
        <x:v>1</x:v>
      </x:c>
      <x:c r="E886" s="25" t="n">
        <x:v>4</x:v>
      </x:c>
      <x:c r="F886" s="25" t="n">
        <x:v>1</x:v>
      </x:c>
      <x:c r="G886" s="19" t="n">
        <x:f>SUM(D886:F886)</x:f>
        <x:v>6</x:v>
      </x:c>
      <x:c r="H886" s="25" t="n">
        <x:v>0</x:v>
      </x:c>
      <x:c r="I886" s="25" t="n">
        <x:v>1</x:v>
      </x:c>
      <x:c r="J886" s="25" t="n">
        <x:v>2</x:v>
      </x:c>
      <x:c r="K886" s="19" t="n">
        <x:f>D886-IF(H886=0,1,0)</x:f>
        <x:v>0</x:v>
      </x:c>
      <x:c r="L886" s="19" t="n">
        <x:f>E886-IF(H886=1,1,0)</x:f>
        <x:v>4</x:v>
      </x:c>
      <x:c r="M886" s="19" t="n">
        <x:f>F886-IF(H886=2,1,0)</x:f>
        <x:v>1</x:v>
      </x:c>
      <x:c r="N886" s="19" t="n">
        <x:f>MAX(K886-1,0)+MAX(L886-1,0)+MAX(M886-1,0)</x:f>
        <x:v>3</x:v>
      </x:c>
      <x:c r="O886" s="19" t="n">
        <x:f>IF(AND(SUM(K886:M886)&lt;9,OR(M886=0,N886&lt;6)),1,0)</x:f>
        <x:v>1</x:v>
      </x:c>
      <x:c r="P886" s="19" t="n">
        <x:f>IF(AND(SUM(K886:M886)&lt;9,OR(L886=0,N886&lt;6)),1,0)</x:f>
        <x:v>1</x:v>
      </x:c>
      <x:c r="Q886" s="19" t="n">
        <x:f>IF(AND(SUM(K886:M886)&lt;9,OR(K886=0,N886&lt;6)),1,0)</x:f>
        <x:v>1</x:v>
      </x:c>
      <x:c r="R886" s="22" t="str">
        <x:f>O886&amp;P886&amp;Q886</x:f>
        <x:v>111</x:v>
      </x:c>
      <x:c r="S886" s="19" t="n">
        <x:f>IF(I886=1,IF(J886=0,Q886,IF(J886=1,P886,IF(J886=2,O886,0))),0)</x:f>
        <x:v>1</x:v>
      </x:c>
      <x:c r="T886" s="19" t="n">
        <x:f>K886+IF(AND(S886=1,J886=0),1,0)</x:f>
        <x:v>0</x:v>
      </x:c>
      <x:c r="U886" s="19" t="n">
        <x:f>L886+IF(AND(S886=1,J886=1),1,0)</x:f>
        <x:v>4</x:v>
      </x:c>
      <x:c r="V886" s="19" t="n">
        <x:f>M886+IF(AND(S886=1,J886=2),1,0)</x:f>
        <x:v>2</x:v>
      </x:c>
      <x:c r="W886" s="19" t="n">
        <x:f>SUM(T886:V886)</x:f>
        <x:v>6</x:v>
      </x:c>
      <x:c r="X886" s="19" t="n">
        <x:f>W886-G886</x:f>
        <x:v>0</x:v>
      </x:c>
      <x:c r="Y886" s="19" t="n">
        <x:f>MAX(T886,1)+MAX(U886,1)+MAX(V886,1)</x:f>
        <x:v>7</x:v>
      </x:c>
      <x:c r="Z886" s="21" t="str">
        <x:f>IF(AND(MIN(D886:F886)&gt;=0,MAX(D886:F886)&lt;=7,MAX(D886,1)+MAX(E886,1)+MAX(F886,1)&lt;=9,OR(H886="-",AND(H886=0,D886&gt;0),AND(H886=1,E886&gt;0),AND(H886=2,F886&gt;0)),OR(I886=0,AND(I886=1,OR(J886=0,J886=1,J886=2),R886&lt;&gt;"000")),Y886&lt;=9,MIN(T886:V886)&gt;=0),"合法","输入违约")</x:f>
        <x:v>合法</x:v>
      </x:c>
    </x:row>
    <x:row r="887" ht="23" customHeight="1">
      <x:c r="A887" s="3" t="str">
        <x:v>CT-0880</x:v>
      </x:c>
      <x:c r="B887" s="3" t="str">
        <x:v>ST-068</x:v>
      </x:c>
      <x:c r="C887" s="3" t="str">
        <x:v>仅R回收</x:v>
      </x:c>
      <x:c r="D887" s="25" t="n">
        <x:v>1</x:v>
      </x:c>
      <x:c r="E887" s="25" t="n">
        <x:v>4</x:v>
      </x:c>
      <x:c r="F887" s="25" t="n">
        <x:v>1</x:v>
      </x:c>
      <x:c r="G887" s="19" t="n">
        <x:f>SUM(D887:F887)</x:f>
        <x:v>6</x:v>
      </x:c>
      <x:c r="H887" s="25" t="n">
        <x:v>1</x:v>
      </x:c>
      <x:c r="I887" s="25" t="n">
        <x:v>0</x:v>
      </x:c>
      <x:c r="J887" s="25" t="str">
        <x:v>-</x:v>
      </x:c>
      <x:c r="K887" s="19" t="n">
        <x:f>D887-IF(H887=0,1,0)</x:f>
        <x:v>1</x:v>
      </x:c>
      <x:c r="L887" s="19" t="n">
        <x:f>E887-IF(H887=1,1,0)</x:f>
        <x:v>3</x:v>
      </x:c>
      <x:c r="M887" s="19" t="n">
        <x:f>F887-IF(H887=2,1,0)</x:f>
        <x:v>1</x:v>
      </x:c>
      <x:c r="N887" s="19" t="n">
        <x:f>MAX(K887-1,0)+MAX(L887-1,0)+MAX(M887-1,0)</x:f>
        <x:v>2</x:v>
      </x:c>
      <x:c r="O887" s="19" t="n">
        <x:f>IF(AND(SUM(K887:M887)&lt;9,OR(M887=0,N887&lt;6)),1,0)</x:f>
        <x:v>1</x:v>
      </x:c>
      <x:c r="P887" s="19" t="n">
        <x:f>IF(AND(SUM(K887:M887)&lt;9,OR(L887=0,N887&lt;6)),1,0)</x:f>
        <x:v>1</x:v>
      </x:c>
      <x:c r="Q887" s="19" t="n">
        <x:f>IF(AND(SUM(K887:M887)&lt;9,OR(K887=0,N887&lt;6)),1,0)</x:f>
        <x:v>1</x:v>
      </x:c>
      <x:c r="R887" s="22" t="str">
        <x:f>O887&amp;P887&amp;Q887</x:f>
        <x:v>111</x:v>
      </x:c>
      <x:c r="S887" s="19" t="n">
        <x:f>IF(I887=1,IF(J887=0,Q887,IF(J887=1,P887,IF(J887=2,O887,0))),0)</x:f>
        <x:v>0</x:v>
      </x:c>
      <x:c r="T887" s="19" t="n">
        <x:f>K887+IF(AND(S887=1,J887=0),1,0)</x:f>
        <x:v>1</x:v>
      </x:c>
      <x:c r="U887" s="19" t="n">
        <x:f>L887+IF(AND(S887=1,J887=1),1,0)</x:f>
        <x:v>3</x:v>
      </x:c>
      <x:c r="V887" s="19" t="n">
        <x:f>M887+IF(AND(S887=1,J887=2),1,0)</x:f>
        <x:v>1</x:v>
      </x:c>
      <x:c r="W887" s="19" t="n">
        <x:f>SUM(T887:V887)</x:f>
        <x:v>5</x:v>
      </x:c>
      <x:c r="X887" s="19" t="n">
        <x:f>W887-G887</x:f>
        <x:v>-1</x:v>
      </x:c>
      <x:c r="Y887" s="19" t="n">
        <x:f>MAX(T887,1)+MAX(U887,1)+MAX(V887,1)</x:f>
        <x:v>5</x:v>
      </x:c>
      <x:c r="Z887" s="21" t="str">
        <x:f>IF(AND(MIN(D887:F887)&gt;=0,MAX(D887:F887)&lt;=7,MAX(D887,1)+MAX(E887,1)+MAX(F887,1)&lt;=9,OR(H887="-",AND(H887=0,D887&gt;0),AND(H887=1,E887&gt;0),AND(H887=2,F887&gt;0)),OR(I887=0,AND(I887=1,OR(J887=0,J887=1,J887=2),R887&lt;&gt;"000")),Y887&lt;=9,MIN(T887:V887)&gt;=0),"合法","输入违约")</x:f>
        <x:v>合法</x:v>
      </x:c>
    </x:row>
    <x:row r="888" ht="23" customHeight="1">
      <x:c r="A888" s="3" t="str">
        <x:v>CT-0881</x:v>
      </x:c>
      <x:c r="B888" s="3" t="str">
        <x:v>ST-068</x:v>
      </x:c>
      <x:c r="C888" s="3" t="str">
        <x:v>R+AR同收同发</x:v>
      </x:c>
      <x:c r="D888" s="25" t="n">
        <x:v>1</x:v>
      </x:c>
      <x:c r="E888" s="25" t="n">
        <x:v>4</x:v>
      </x:c>
      <x:c r="F888" s="25" t="n">
        <x:v>1</x:v>
      </x:c>
      <x:c r="G888" s="19" t="n">
        <x:f>SUM(D888:F888)</x:f>
        <x:v>6</x:v>
      </x:c>
      <x:c r="H888" s="25" t="n">
        <x:v>1</x:v>
      </x:c>
      <x:c r="I888" s="25" t="n">
        <x:v>1</x:v>
      </x:c>
      <x:c r="J888" s="25" t="n">
        <x:v>0</x:v>
      </x:c>
      <x:c r="K888" s="19" t="n">
        <x:f>D888-IF(H888=0,1,0)</x:f>
        <x:v>1</x:v>
      </x:c>
      <x:c r="L888" s="19" t="n">
        <x:f>E888-IF(H888=1,1,0)</x:f>
        <x:v>3</x:v>
      </x:c>
      <x:c r="M888" s="19" t="n">
        <x:f>F888-IF(H888=2,1,0)</x:f>
        <x:v>1</x:v>
      </x:c>
      <x:c r="N888" s="19" t="n">
        <x:f>MAX(K888-1,0)+MAX(L888-1,0)+MAX(M888-1,0)</x:f>
        <x:v>2</x:v>
      </x:c>
      <x:c r="O888" s="19" t="n">
        <x:f>IF(AND(SUM(K888:M888)&lt;9,OR(M888=0,N888&lt;6)),1,0)</x:f>
        <x:v>1</x:v>
      </x:c>
      <x:c r="P888" s="19" t="n">
        <x:f>IF(AND(SUM(K888:M888)&lt;9,OR(L888=0,N888&lt;6)),1,0)</x:f>
        <x:v>1</x:v>
      </x:c>
      <x:c r="Q888" s="19" t="n">
        <x:f>IF(AND(SUM(K888:M888)&lt;9,OR(K888=0,N888&lt;6)),1,0)</x:f>
        <x:v>1</x:v>
      </x:c>
      <x:c r="R888" s="22" t="str">
        <x:f>O888&amp;P888&amp;Q888</x:f>
        <x:v>111</x:v>
      </x:c>
      <x:c r="S888" s="19" t="n">
        <x:f>IF(I888=1,IF(J888=0,Q888,IF(J888=1,P888,IF(J888=2,O888,0))),0)</x:f>
        <x:v>1</x:v>
      </x:c>
      <x:c r="T888" s="19" t="n">
        <x:f>K888+IF(AND(S888=1,J888=0),1,0)</x:f>
        <x:v>2</x:v>
      </x:c>
      <x:c r="U888" s="19" t="n">
        <x:f>L888+IF(AND(S888=1,J888=1),1,0)</x:f>
        <x:v>3</x:v>
      </x:c>
      <x:c r="V888" s="19" t="n">
        <x:f>M888+IF(AND(S888=1,J888=2),1,0)</x:f>
        <x:v>1</x:v>
      </x:c>
      <x:c r="W888" s="19" t="n">
        <x:f>SUM(T888:V888)</x:f>
        <x:v>6</x:v>
      </x:c>
      <x:c r="X888" s="19" t="n">
        <x:f>W888-G888</x:f>
        <x:v>0</x:v>
      </x:c>
      <x:c r="Y888" s="19" t="n">
        <x:f>MAX(T888,1)+MAX(U888,1)+MAX(V888,1)</x:f>
        <x:v>6</x:v>
      </x:c>
      <x:c r="Z888" s="21" t="str">
        <x:f>IF(AND(MIN(D888:F888)&gt;=0,MAX(D888:F888)&lt;=7,MAX(D888,1)+MAX(E888,1)+MAX(F888,1)&lt;=9,OR(H888="-",AND(H888=0,D888&gt;0),AND(H888=1,E888&gt;0),AND(H888=2,F888&gt;0)),OR(I888=0,AND(I888=1,OR(J888=0,J888=1,J888=2),R888&lt;&gt;"000")),Y888&lt;=9,MIN(T888:V888)&gt;=0),"合法","输入违约")</x:f>
        <x:v>合法</x:v>
      </x:c>
    </x:row>
    <x:row r="889" ht="23" customHeight="1">
      <x:c r="A889" s="3" t="str">
        <x:v>CT-0882</x:v>
      </x:c>
      <x:c r="B889" s="3" t="str">
        <x:v>ST-068</x:v>
      </x:c>
      <x:c r="C889" s="3" t="str">
        <x:v>R+AR同收同发</x:v>
      </x:c>
      <x:c r="D889" s="25" t="n">
        <x:v>1</x:v>
      </x:c>
      <x:c r="E889" s="25" t="n">
        <x:v>4</x:v>
      </x:c>
      <x:c r="F889" s="25" t="n">
        <x:v>1</x:v>
      </x:c>
      <x:c r="G889" s="19" t="n">
        <x:f>SUM(D889:F889)</x:f>
        <x:v>6</x:v>
      </x:c>
      <x:c r="H889" s="25" t="n">
        <x:v>1</x:v>
      </x:c>
      <x:c r="I889" s="25" t="n">
        <x:v>1</x:v>
      </x:c>
      <x:c r="J889" s="25" t="n">
        <x:v>1</x:v>
      </x:c>
      <x:c r="K889" s="19" t="n">
        <x:f>D889-IF(H889=0,1,0)</x:f>
        <x:v>1</x:v>
      </x:c>
      <x:c r="L889" s="19" t="n">
        <x:f>E889-IF(H889=1,1,0)</x:f>
        <x:v>3</x:v>
      </x:c>
      <x:c r="M889" s="19" t="n">
        <x:f>F889-IF(H889=2,1,0)</x:f>
        <x:v>1</x:v>
      </x:c>
      <x:c r="N889" s="19" t="n">
        <x:f>MAX(K889-1,0)+MAX(L889-1,0)+MAX(M889-1,0)</x:f>
        <x:v>2</x:v>
      </x:c>
      <x:c r="O889" s="19" t="n">
        <x:f>IF(AND(SUM(K889:M889)&lt;9,OR(M889=0,N889&lt;6)),1,0)</x:f>
        <x:v>1</x:v>
      </x:c>
      <x:c r="P889" s="19" t="n">
        <x:f>IF(AND(SUM(K889:M889)&lt;9,OR(L889=0,N889&lt;6)),1,0)</x:f>
        <x:v>1</x:v>
      </x:c>
      <x:c r="Q889" s="19" t="n">
        <x:f>IF(AND(SUM(K889:M889)&lt;9,OR(K889=0,N889&lt;6)),1,0)</x:f>
        <x:v>1</x:v>
      </x:c>
      <x:c r="R889" s="22" t="str">
        <x:f>O889&amp;P889&amp;Q889</x:f>
        <x:v>111</x:v>
      </x:c>
      <x:c r="S889" s="19" t="n">
        <x:f>IF(I889=1,IF(J889=0,Q889,IF(J889=1,P889,IF(J889=2,O889,0))),0)</x:f>
        <x:v>1</x:v>
      </x:c>
      <x:c r="T889" s="19" t="n">
        <x:f>K889+IF(AND(S889=1,J889=0),1,0)</x:f>
        <x:v>1</x:v>
      </x:c>
      <x:c r="U889" s="19" t="n">
        <x:f>L889+IF(AND(S889=1,J889=1),1,0)</x:f>
        <x:v>4</x:v>
      </x:c>
      <x:c r="V889" s="19" t="n">
        <x:f>M889+IF(AND(S889=1,J889=2),1,0)</x:f>
        <x:v>1</x:v>
      </x:c>
      <x:c r="W889" s="19" t="n">
        <x:f>SUM(T889:V889)</x:f>
        <x:v>6</x:v>
      </x:c>
      <x:c r="X889" s="19" t="n">
        <x:f>W889-G889</x:f>
        <x:v>0</x:v>
      </x:c>
      <x:c r="Y889" s="19" t="n">
        <x:f>MAX(T889,1)+MAX(U889,1)+MAX(V889,1)</x:f>
        <x:v>6</x:v>
      </x:c>
      <x:c r="Z889" s="21" t="str">
        <x:f>IF(AND(MIN(D889:F889)&gt;=0,MAX(D889:F889)&lt;=7,MAX(D889,1)+MAX(E889,1)+MAX(F889,1)&lt;=9,OR(H889="-",AND(H889=0,D889&gt;0),AND(H889=1,E889&gt;0),AND(H889=2,F889&gt;0)),OR(I889=0,AND(I889=1,OR(J889=0,J889=1,J889=2),R889&lt;&gt;"000")),Y889&lt;=9,MIN(T889:V889)&gt;=0),"合法","输入违约")</x:f>
        <x:v>合法</x:v>
      </x:c>
    </x:row>
    <x:row r="890" ht="23" customHeight="1">
      <x:c r="A890" s="3" t="str">
        <x:v>CT-0883</x:v>
      </x:c>
      <x:c r="B890" s="3" t="str">
        <x:v>ST-068</x:v>
      </x:c>
      <x:c r="C890" s="3" t="str">
        <x:v>R+AR同收同发</x:v>
      </x:c>
      <x:c r="D890" s="25" t="n">
        <x:v>1</x:v>
      </x:c>
      <x:c r="E890" s="25" t="n">
        <x:v>4</x:v>
      </x:c>
      <x:c r="F890" s="25" t="n">
        <x:v>1</x:v>
      </x:c>
      <x:c r="G890" s="19" t="n">
        <x:f>SUM(D890:F890)</x:f>
        <x:v>6</x:v>
      </x:c>
      <x:c r="H890" s="25" t="n">
        <x:v>1</x:v>
      </x:c>
      <x:c r="I890" s="25" t="n">
        <x:v>1</x:v>
      </x:c>
      <x:c r="J890" s="25" t="n">
        <x:v>2</x:v>
      </x:c>
      <x:c r="K890" s="19" t="n">
        <x:f>D890-IF(H890=0,1,0)</x:f>
        <x:v>1</x:v>
      </x:c>
      <x:c r="L890" s="19" t="n">
        <x:f>E890-IF(H890=1,1,0)</x:f>
        <x:v>3</x:v>
      </x:c>
      <x:c r="M890" s="19" t="n">
        <x:f>F890-IF(H890=2,1,0)</x:f>
        <x:v>1</x:v>
      </x:c>
      <x:c r="N890" s="19" t="n">
        <x:f>MAX(K890-1,0)+MAX(L890-1,0)+MAX(M890-1,0)</x:f>
        <x:v>2</x:v>
      </x:c>
      <x:c r="O890" s="19" t="n">
        <x:f>IF(AND(SUM(K890:M890)&lt;9,OR(M890=0,N890&lt;6)),1,0)</x:f>
        <x:v>1</x:v>
      </x:c>
      <x:c r="P890" s="19" t="n">
        <x:f>IF(AND(SUM(K890:M890)&lt;9,OR(L890=0,N890&lt;6)),1,0)</x:f>
        <x:v>1</x:v>
      </x:c>
      <x:c r="Q890" s="19" t="n">
        <x:f>IF(AND(SUM(K890:M890)&lt;9,OR(K890=0,N890&lt;6)),1,0)</x:f>
        <x:v>1</x:v>
      </x:c>
      <x:c r="R890" s="22" t="str">
        <x:f>O890&amp;P890&amp;Q890</x:f>
        <x:v>111</x:v>
      </x:c>
      <x:c r="S890" s="19" t="n">
        <x:f>IF(I890=1,IF(J890=0,Q890,IF(J890=1,P890,IF(J890=2,O890,0))),0)</x:f>
        <x:v>1</x:v>
      </x:c>
      <x:c r="T890" s="19" t="n">
        <x:f>K890+IF(AND(S890=1,J890=0),1,0)</x:f>
        <x:v>1</x:v>
      </x:c>
      <x:c r="U890" s="19" t="n">
        <x:f>L890+IF(AND(S890=1,J890=1),1,0)</x:f>
        <x:v>3</x:v>
      </x:c>
      <x:c r="V890" s="19" t="n">
        <x:f>M890+IF(AND(S890=1,J890=2),1,0)</x:f>
        <x:v>2</x:v>
      </x:c>
      <x:c r="W890" s="19" t="n">
        <x:f>SUM(T890:V890)</x:f>
        <x:v>6</x:v>
      </x:c>
      <x:c r="X890" s="19" t="n">
        <x:f>W890-G890</x:f>
        <x:v>0</x:v>
      </x:c>
      <x:c r="Y890" s="19" t="n">
        <x:f>MAX(T890,1)+MAX(U890,1)+MAX(V890,1)</x:f>
        <x:v>6</x:v>
      </x:c>
      <x:c r="Z890" s="21" t="str">
        <x:f>IF(AND(MIN(D890:F890)&gt;=0,MAX(D890:F890)&lt;=7,MAX(D890,1)+MAX(E890,1)+MAX(F890,1)&lt;=9,OR(H890="-",AND(H890=0,D890&gt;0),AND(H890=1,E890&gt;0),AND(H890=2,F890&gt;0)),OR(I890=0,AND(I890=1,OR(J890=0,J890=1,J890=2),R890&lt;&gt;"000")),Y890&lt;=9,MIN(T890:V890)&gt;=0),"合法","输入违约")</x:f>
        <x:v>合法</x:v>
      </x:c>
    </x:row>
    <x:row r="891" ht="23" customHeight="1">
      <x:c r="A891" s="3" t="str">
        <x:v>CT-0884</x:v>
      </x:c>
      <x:c r="B891" s="3" t="str">
        <x:v>ST-068</x:v>
      </x:c>
      <x:c r="C891" s="3" t="str">
        <x:v>仅R回收</x:v>
      </x:c>
      <x:c r="D891" s="25" t="n">
        <x:v>1</x:v>
      </x:c>
      <x:c r="E891" s="25" t="n">
        <x:v>4</x:v>
      </x:c>
      <x:c r="F891" s="25" t="n">
        <x:v>1</x:v>
      </x:c>
      <x:c r="G891" s="19" t="n">
        <x:f>SUM(D891:F891)</x:f>
        <x:v>6</x:v>
      </x:c>
      <x:c r="H891" s="25" t="n">
        <x:v>2</x:v>
      </x:c>
      <x:c r="I891" s="25" t="n">
        <x:v>0</x:v>
      </x:c>
      <x:c r="J891" s="25" t="str">
        <x:v>-</x:v>
      </x:c>
      <x:c r="K891" s="19" t="n">
        <x:f>D891-IF(H891=0,1,0)</x:f>
        <x:v>1</x:v>
      </x:c>
      <x:c r="L891" s="19" t="n">
        <x:f>E891-IF(H891=1,1,0)</x:f>
        <x:v>4</x:v>
      </x:c>
      <x:c r="M891" s="19" t="n">
        <x:f>F891-IF(H891=2,1,0)</x:f>
        <x:v>0</x:v>
      </x:c>
      <x:c r="N891" s="19" t="n">
        <x:f>MAX(K891-1,0)+MAX(L891-1,0)+MAX(M891-1,0)</x:f>
        <x:v>3</x:v>
      </x:c>
      <x:c r="O891" s="19" t="n">
        <x:f>IF(AND(SUM(K891:M891)&lt;9,OR(M891=0,N891&lt;6)),1,0)</x:f>
        <x:v>1</x:v>
      </x:c>
      <x:c r="P891" s="19" t="n">
        <x:f>IF(AND(SUM(K891:M891)&lt;9,OR(L891=0,N891&lt;6)),1,0)</x:f>
        <x:v>1</x:v>
      </x:c>
      <x:c r="Q891" s="19" t="n">
        <x:f>IF(AND(SUM(K891:M891)&lt;9,OR(K891=0,N891&lt;6)),1,0)</x:f>
        <x:v>1</x:v>
      </x:c>
      <x:c r="R891" s="22" t="str">
        <x:f>O891&amp;P891&amp;Q891</x:f>
        <x:v>111</x:v>
      </x:c>
      <x:c r="S891" s="19" t="n">
        <x:f>IF(I891=1,IF(J891=0,Q891,IF(J891=1,P891,IF(J891=2,O891,0))),0)</x:f>
        <x:v>0</x:v>
      </x:c>
      <x:c r="T891" s="19" t="n">
        <x:f>K891+IF(AND(S891=1,J891=0),1,0)</x:f>
        <x:v>1</x:v>
      </x:c>
      <x:c r="U891" s="19" t="n">
        <x:f>L891+IF(AND(S891=1,J891=1),1,0)</x:f>
        <x:v>4</x:v>
      </x:c>
      <x:c r="V891" s="19" t="n">
        <x:f>M891+IF(AND(S891=1,J891=2),1,0)</x:f>
        <x:v>0</x:v>
      </x:c>
      <x:c r="W891" s="19" t="n">
        <x:f>SUM(T891:V891)</x:f>
        <x:v>5</x:v>
      </x:c>
      <x:c r="X891" s="19" t="n">
        <x:f>W891-G891</x:f>
        <x:v>-1</x:v>
      </x:c>
      <x:c r="Y891" s="19" t="n">
        <x:f>MAX(T891,1)+MAX(U891,1)+MAX(V891,1)</x:f>
        <x:v>6</x:v>
      </x:c>
      <x:c r="Z891" s="21" t="str">
        <x:f>IF(AND(MIN(D891:F891)&gt;=0,MAX(D891:F891)&lt;=7,MAX(D891,1)+MAX(E891,1)+MAX(F891,1)&lt;=9,OR(H891="-",AND(H891=0,D891&gt;0),AND(H891=1,E891&gt;0),AND(H891=2,F891&gt;0)),OR(I891=0,AND(I891=1,OR(J891=0,J891=1,J891=2),R891&lt;&gt;"000")),Y891&lt;=9,MIN(T891:V891)&gt;=0),"合法","输入违约")</x:f>
        <x:v>合法</x:v>
      </x:c>
    </x:row>
    <x:row r="892" ht="23" customHeight="1">
      <x:c r="A892" s="3" t="str">
        <x:v>CT-0885</x:v>
      </x:c>
      <x:c r="B892" s="3" t="str">
        <x:v>ST-068</x:v>
      </x:c>
      <x:c r="C892" s="3" t="str">
        <x:v>R+AR同收同发</x:v>
      </x:c>
      <x:c r="D892" s="25" t="n">
        <x:v>1</x:v>
      </x:c>
      <x:c r="E892" s="25" t="n">
        <x:v>4</x:v>
      </x:c>
      <x:c r="F892" s="25" t="n">
        <x:v>1</x:v>
      </x:c>
      <x:c r="G892" s="19" t="n">
        <x:f>SUM(D892:F892)</x:f>
        <x:v>6</x:v>
      </x:c>
      <x:c r="H892" s="25" t="n">
        <x:v>2</x:v>
      </x:c>
      <x:c r="I892" s="25" t="n">
        <x:v>1</x:v>
      </x:c>
      <x:c r="J892" s="25" t="n">
        <x:v>0</x:v>
      </x:c>
      <x:c r="K892" s="19" t="n">
        <x:f>D892-IF(H892=0,1,0)</x:f>
        <x:v>1</x:v>
      </x:c>
      <x:c r="L892" s="19" t="n">
        <x:f>E892-IF(H892=1,1,0)</x:f>
        <x:v>4</x:v>
      </x:c>
      <x:c r="M892" s="19" t="n">
        <x:f>F892-IF(H892=2,1,0)</x:f>
        <x:v>0</x:v>
      </x:c>
      <x:c r="N892" s="19" t="n">
        <x:f>MAX(K892-1,0)+MAX(L892-1,0)+MAX(M892-1,0)</x:f>
        <x:v>3</x:v>
      </x:c>
      <x:c r="O892" s="19" t="n">
        <x:f>IF(AND(SUM(K892:M892)&lt;9,OR(M892=0,N892&lt;6)),1,0)</x:f>
        <x:v>1</x:v>
      </x:c>
      <x:c r="P892" s="19" t="n">
        <x:f>IF(AND(SUM(K892:M892)&lt;9,OR(L892=0,N892&lt;6)),1,0)</x:f>
        <x:v>1</x:v>
      </x:c>
      <x:c r="Q892" s="19" t="n">
        <x:f>IF(AND(SUM(K892:M892)&lt;9,OR(K892=0,N892&lt;6)),1,0)</x:f>
        <x:v>1</x:v>
      </x:c>
      <x:c r="R892" s="22" t="str">
        <x:f>O892&amp;P892&amp;Q892</x:f>
        <x:v>111</x:v>
      </x:c>
      <x:c r="S892" s="19" t="n">
        <x:f>IF(I892=1,IF(J892=0,Q892,IF(J892=1,P892,IF(J892=2,O892,0))),0)</x:f>
        <x:v>1</x:v>
      </x:c>
      <x:c r="T892" s="19" t="n">
        <x:f>K892+IF(AND(S892=1,J892=0),1,0)</x:f>
        <x:v>2</x:v>
      </x:c>
      <x:c r="U892" s="19" t="n">
        <x:f>L892+IF(AND(S892=1,J892=1),1,0)</x:f>
        <x:v>4</x:v>
      </x:c>
      <x:c r="V892" s="19" t="n">
        <x:f>M892+IF(AND(S892=1,J892=2),1,0)</x:f>
        <x:v>0</x:v>
      </x:c>
      <x:c r="W892" s="19" t="n">
        <x:f>SUM(T892:V892)</x:f>
        <x:v>6</x:v>
      </x:c>
      <x:c r="X892" s="19" t="n">
        <x:f>W892-G892</x:f>
        <x:v>0</x:v>
      </x:c>
      <x:c r="Y892" s="19" t="n">
        <x:f>MAX(T892,1)+MAX(U892,1)+MAX(V892,1)</x:f>
        <x:v>7</x:v>
      </x:c>
      <x:c r="Z892" s="21" t="str">
        <x:f>IF(AND(MIN(D892:F892)&gt;=0,MAX(D892:F892)&lt;=7,MAX(D892,1)+MAX(E892,1)+MAX(F892,1)&lt;=9,OR(H892="-",AND(H892=0,D892&gt;0),AND(H892=1,E892&gt;0),AND(H892=2,F892&gt;0)),OR(I892=0,AND(I892=1,OR(J892=0,J892=1,J892=2),R892&lt;&gt;"000")),Y892&lt;=9,MIN(T892:V892)&gt;=0),"合法","输入违约")</x:f>
        <x:v>合法</x:v>
      </x:c>
    </x:row>
    <x:row r="893" ht="23" customHeight="1">
      <x:c r="A893" s="3" t="str">
        <x:v>CT-0886</x:v>
      </x:c>
      <x:c r="B893" s="3" t="str">
        <x:v>ST-068</x:v>
      </x:c>
      <x:c r="C893" s="3" t="str">
        <x:v>R+AR同收同发</x:v>
      </x:c>
      <x:c r="D893" s="25" t="n">
        <x:v>1</x:v>
      </x:c>
      <x:c r="E893" s="25" t="n">
        <x:v>4</x:v>
      </x:c>
      <x:c r="F893" s="25" t="n">
        <x:v>1</x:v>
      </x:c>
      <x:c r="G893" s="19" t="n">
        <x:f>SUM(D893:F893)</x:f>
        <x:v>6</x:v>
      </x:c>
      <x:c r="H893" s="25" t="n">
        <x:v>2</x:v>
      </x:c>
      <x:c r="I893" s="25" t="n">
        <x:v>1</x:v>
      </x:c>
      <x:c r="J893" s="25" t="n">
        <x:v>1</x:v>
      </x:c>
      <x:c r="K893" s="19" t="n">
        <x:f>D893-IF(H893=0,1,0)</x:f>
        <x:v>1</x:v>
      </x:c>
      <x:c r="L893" s="19" t="n">
        <x:f>E893-IF(H893=1,1,0)</x:f>
        <x:v>4</x:v>
      </x:c>
      <x:c r="M893" s="19" t="n">
        <x:f>F893-IF(H893=2,1,0)</x:f>
        <x:v>0</x:v>
      </x:c>
      <x:c r="N893" s="19" t="n">
        <x:f>MAX(K893-1,0)+MAX(L893-1,0)+MAX(M893-1,0)</x:f>
        <x:v>3</x:v>
      </x:c>
      <x:c r="O893" s="19" t="n">
        <x:f>IF(AND(SUM(K893:M893)&lt;9,OR(M893=0,N893&lt;6)),1,0)</x:f>
        <x:v>1</x:v>
      </x:c>
      <x:c r="P893" s="19" t="n">
        <x:f>IF(AND(SUM(K893:M893)&lt;9,OR(L893=0,N893&lt;6)),1,0)</x:f>
        <x:v>1</x:v>
      </x:c>
      <x:c r="Q893" s="19" t="n">
        <x:f>IF(AND(SUM(K893:M893)&lt;9,OR(K893=0,N893&lt;6)),1,0)</x:f>
        <x:v>1</x:v>
      </x:c>
      <x:c r="R893" s="22" t="str">
        <x:f>O893&amp;P893&amp;Q893</x:f>
        <x:v>111</x:v>
      </x:c>
      <x:c r="S893" s="19" t="n">
        <x:f>IF(I893=1,IF(J893=0,Q893,IF(J893=1,P893,IF(J893=2,O893,0))),0)</x:f>
        <x:v>1</x:v>
      </x:c>
      <x:c r="T893" s="19" t="n">
        <x:f>K893+IF(AND(S893=1,J893=0),1,0)</x:f>
        <x:v>1</x:v>
      </x:c>
      <x:c r="U893" s="19" t="n">
        <x:f>L893+IF(AND(S893=1,J893=1),1,0)</x:f>
        <x:v>5</x:v>
      </x:c>
      <x:c r="V893" s="19" t="n">
        <x:f>M893+IF(AND(S893=1,J893=2),1,0)</x:f>
        <x:v>0</x:v>
      </x:c>
      <x:c r="W893" s="19" t="n">
        <x:f>SUM(T893:V893)</x:f>
        <x:v>6</x:v>
      </x:c>
      <x:c r="X893" s="19" t="n">
        <x:f>W893-G893</x:f>
        <x:v>0</x:v>
      </x:c>
      <x:c r="Y893" s="19" t="n">
        <x:f>MAX(T893,1)+MAX(U893,1)+MAX(V893,1)</x:f>
        <x:v>7</x:v>
      </x:c>
      <x:c r="Z893" s="21" t="str">
        <x:f>IF(AND(MIN(D893:F893)&gt;=0,MAX(D893:F893)&lt;=7,MAX(D893,1)+MAX(E893,1)+MAX(F893,1)&lt;=9,OR(H893="-",AND(H893=0,D893&gt;0),AND(H893=1,E893&gt;0),AND(H893=2,F893&gt;0)),OR(I893=0,AND(I893=1,OR(J893=0,J893=1,J893=2),R893&lt;&gt;"000")),Y893&lt;=9,MIN(T893:V893)&gt;=0),"合法","输入违约")</x:f>
        <x:v>合法</x:v>
      </x:c>
    </x:row>
    <x:row r="894" ht="23" customHeight="1">
      <x:c r="A894" s="3" t="str">
        <x:v>CT-0887</x:v>
      </x:c>
      <x:c r="B894" s="3" t="str">
        <x:v>ST-068</x:v>
      </x:c>
      <x:c r="C894" s="3" t="str">
        <x:v>R+AR同收同发</x:v>
      </x:c>
      <x:c r="D894" s="25" t="n">
        <x:v>1</x:v>
      </x:c>
      <x:c r="E894" s="25" t="n">
        <x:v>4</x:v>
      </x:c>
      <x:c r="F894" s="25" t="n">
        <x:v>1</x:v>
      </x:c>
      <x:c r="G894" s="19" t="n">
        <x:f>SUM(D894:F894)</x:f>
        <x:v>6</x:v>
      </x:c>
      <x:c r="H894" s="25" t="n">
        <x:v>2</x:v>
      </x:c>
      <x:c r="I894" s="25" t="n">
        <x:v>1</x:v>
      </x:c>
      <x:c r="J894" s="25" t="n">
        <x:v>2</x:v>
      </x:c>
      <x:c r="K894" s="19" t="n">
        <x:f>D894-IF(H894=0,1,0)</x:f>
        <x:v>1</x:v>
      </x:c>
      <x:c r="L894" s="19" t="n">
        <x:f>E894-IF(H894=1,1,0)</x:f>
        <x:v>4</x:v>
      </x:c>
      <x:c r="M894" s="19" t="n">
        <x:f>F894-IF(H894=2,1,0)</x:f>
        <x:v>0</x:v>
      </x:c>
      <x:c r="N894" s="19" t="n">
        <x:f>MAX(K894-1,0)+MAX(L894-1,0)+MAX(M894-1,0)</x:f>
        <x:v>3</x:v>
      </x:c>
      <x:c r="O894" s="19" t="n">
        <x:f>IF(AND(SUM(K894:M894)&lt;9,OR(M894=0,N894&lt;6)),1,0)</x:f>
        <x:v>1</x:v>
      </x:c>
      <x:c r="P894" s="19" t="n">
        <x:f>IF(AND(SUM(K894:M894)&lt;9,OR(L894=0,N894&lt;6)),1,0)</x:f>
        <x:v>1</x:v>
      </x:c>
      <x:c r="Q894" s="19" t="n">
        <x:f>IF(AND(SUM(K894:M894)&lt;9,OR(K894=0,N894&lt;6)),1,0)</x:f>
        <x:v>1</x:v>
      </x:c>
      <x:c r="R894" s="22" t="str">
        <x:f>O894&amp;P894&amp;Q894</x:f>
        <x:v>111</x:v>
      </x:c>
      <x:c r="S894" s="19" t="n">
        <x:f>IF(I894=1,IF(J894=0,Q894,IF(J894=1,P894,IF(J894=2,O894,0))),0)</x:f>
        <x:v>1</x:v>
      </x:c>
      <x:c r="T894" s="19" t="n">
        <x:f>K894+IF(AND(S894=1,J894=0),1,0)</x:f>
        <x:v>1</x:v>
      </x:c>
      <x:c r="U894" s="19" t="n">
        <x:f>L894+IF(AND(S894=1,J894=1),1,0)</x:f>
        <x:v>4</x:v>
      </x:c>
      <x:c r="V894" s="19" t="n">
        <x:f>M894+IF(AND(S894=1,J894=2),1,0)</x:f>
        <x:v>1</x:v>
      </x:c>
      <x:c r="W894" s="19" t="n">
        <x:f>SUM(T894:V894)</x:f>
        <x:v>6</x:v>
      </x:c>
      <x:c r="X894" s="19" t="n">
        <x:f>W894-G894</x:f>
        <x:v>0</x:v>
      </x:c>
      <x:c r="Y894" s="19" t="n">
        <x:f>MAX(T894,1)+MAX(U894,1)+MAX(V894,1)</x:f>
        <x:v>6</x:v>
      </x:c>
      <x:c r="Z894" s="21" t="str">
        <x:f>IF(AND(MIN(D894:F894)&gt;=0,MAX(D894:F894)&lt;=7,MAX(D894,1)+MAX(E894,1)+MAX(F894,1)&lt;=9,OR(H894="-",AND(H894=0,D894&gt;0),AND(H894=1,E894&gt;0),AND(H894=2,F894&gt;0)),OR(I894=0,AND(I894=1,OR(J894=0,J894=1,J894=2),R894&lt;&gt;"000")),Y894&lt;=9,MIN(T894:V894)&gt;=0),"合法","输入违约")</x:f>
        <x:v>合法</x:v>
      </x:c>
    </x:row>
    <x:row r="895" ht="23" customHeight="1">
      <x:c r="A895" s="3" t="str">
        <x:v>CT-0888</x:v>
      </x:c>
      <x:c r="B895" s="3" t="str">
        <x:v>ST-097</x:v>
      </x:c>
      <x:c r="C895" s="3" t="str">
        <x:v>无AR/R</x:v>
      </x:c>
      <x:c r="D895" s="25" t="n">
        <x:v>1</x:v>
      </x:c>
      <x:c r="E895" s="25" t="n">
        <x:v>4</x:v>
      </x:c>
      <x:c r="F895" s="25" t="n">
        <x:v>2</x:v>
      </x:c>
      <x:c r="G895" s="19" t="n">
        <x:f>SUM(D895:F895)</x:f>
        <x:v>7</x:v>
      </x:c>
      <x:c r="H895" s="25" t="str">
        <x:v>-</x:v>
      </x:c>
      <x:c r="I895" s="25" t="n">
        <x:v>0</x:v>
      </x:c>
      <x:c r="J895" s="25" t="str">
        <x:v>-</x:v>
      </x:c>
      <x:c r="K895" s="19" t="n">
        <x:f>D895-IF(H895=0,1,0)</x:f>
        <x:v>1</x:v>
      </x:c>
      <x:c r="L895" s="19" t="n">
        <x:f>E895-IF(H895=1,1,0)</x:f>
        <x:v>4</x:v>
      </x:c>
      <x:c r="M895" s="19" t="n">
        <x:f>F895-IF(H895=2,1,0)</x:f>
        <x:v>2</x:v>
      </x:c>
      <x:c r="N895" s="19" t="n">
        <x:f>MAX(K895-1,0)+MAX(L895-1,0)+MAX(M895-1,0)</x:f>
        <x:v>4</x:v>
      </x:c>
      <x:c r="O895" s="19" t="n">
        <x:f>IF(AND(SUM(K895:M895)&lt;9,OR(M895=0,N895&lt;6)),1,0)</x:f>
        <x:v>1</x:v>
      </x:c>
      <x:c r="P895" s="19" t="n">
        <x:f>IF(AND(SUM(K895:M895)&lt;9,OR(L895=0,N895&lt;6)),1,0)</x:f>
        <x:v>1</x:v>
      </x:c>
      <x:c r="Q895" s="19" t="n">
        <x:f>IF(AND(SUM(K895:M895)&lt;9,OR(K895=0,N895&lt;6)),1,0)</x:f>
        <x:v>1</x:v>
      </x:c>
      <x:c r="R895" s="22" t="str">
        <x:f>O895&amp;P895&amp;Q895</x:f>
        <x:v>111</x:v>
      </x:c>
      <x:c r="S895" s="19" t="n">
        <x:f>IF(I895=1,IF(J895=0,Q895,IF(J895=1,P895,IF(J895=2,O895,0))),0)</x:f>
        <x:v>0</x:v>
      </x:c>
      <x:c r="T895" s="19" t="n">
        <x:f>K895+IF(AND(S895=1,J895=0),1,0)</x:f>
        <x:v>1</x:v>
      </x:c>
      <x:c r="U895" s="19" t="n">
        <x:f>L895+IF(AND(S895=1,J895=1),1,0)</x:f>
        <x:v>4</x:v>
      </x:c>
      <x:c r="V895" s="19" t="n">
        <x:f>M895+IF(AND(S895=1,J895=2),1,0)</x:f>
        <x:v>2</x:v>
      </x:c>
      <x:c r="W895" s="19" t="n">
        <x:f>SUM(T895:V895)</x:f>
        <x:v>7</x:v>
      </x:c>
      <x:c r="X895" s="19" t="n">
        <x:f>W895-G895</x:f>
        <x:v>0</x:v>
      </x:c>
      <x:c r="Y895" s="19" t="n">
        <x:f>MAX(T895,1)+MAX(U895,1)+MAX(V895,1)</x:f>
        <x:v>7</x:v>
      </x:c>
      <x:c r="Z895" s="21" t="str">
        <x:f>IF(AND(MIN(D895:F895)&gt;=0,MAX(D895:F895)&lt;=7,MAX(D895,1)+MAX(E895,1)+MAX(F895,1)&lt;=9,OR(H895="-",AND(H895=0,D895&gt;0),AND(H895=1,E895&gt;0),AND(H895=2,F895&gt;0)),OR(I895=0,AND(I895=1,OR(J895=0,J895=1,J895=2),R895&lt;&gt;"000")),Y895&lt;=9,MIN(T895:V895)&gt;=0),"合法","输入违约")</x:f>
        <x:v>合法</x:v>
      </x:c>
    </x:row>
    <x:row r="896" ht="23" customHeight="1">
      <x:c r="A896" s="3" t="str">
        <x:v>CT-0889</x:v>
      </x:c>
      <x:c r="B896" s="3" t="str">
        <x:v>ST-097</x:v>
      </x:c>
      <x:c r="C896" s="3" t="str">
        <x:v>仅AR接收</x:v>
      </x:c>
      <x:c r="D896" s="25" t="n">
        <x:v>1</x:v>
      </x:c>
      <x:c r="E896" s="25" t="n">
        <x:v>4</x:v>
      </x:c>
      <x:c r="F896" s="25" t="n">
        <x:v>2</x:v>
      </x:c>
      <x:c r="G896" s="19" t="n">
        <x:f>SUM(D896:F896)</x:f>
        <x:v>7</x:v>
      </x:c>
      <x:c r="H896" s="25" t="str">
        <x:v>-</x:v>
      </x:c>
      <x:c r="I896" s="25" t="n">
        <x:v>1</x:v>
      </x:c>
      <x:c r="J896" s="25" t="n">
        <x:v>0</x:v>
      </x:c>
      <x:c r="K896" s="19" t="n">
        <x:f>D896-IF(H896=0,1,0)</x:f>
        <x:v>1</x:v>
      </x:c>
      <x:c r="L896" s="19" t="n">
        <x:f>E896-IF(H896=1,1,0)</x:f>
        <x:v>4</x:v>
      </x:c>
      <x:c r="M896" s="19" t="n">
        <x:f>F896-IF(H896=2,1,0)</x:f>
        <x:v>2</x:v>
      </x:c>
      <x:c r="N896" s="19" t="n">
        <x:f>MAX(K896-1,0)+MAX(L896-1,0)+MAX(M896-1,0)</x:f>
        <x:v>4</x:v>
      </x:c>
      <x:c r="O896" s="19" t="n">
        <x:f>IF(AND(SUM(K896:M896)&lt;9,OR(M896=0,N896&lt;6)),1,0)</x:f>
        <x:v>1</x:v>
      </x:c>
      <x:c r="P896" s="19" t="n">
        <x:f>IF(AND(SUM(K896:M896)&lt;9,OR(L896=0,N896&lt;6)),1,0)</x:f>
        <x:v>1</x:v>
      </x:c>
      <x:c r="Q896" s="19" t="n">
        <x:f>IF(AND(SUM(K896:M896)&lt;9,OR(K896=0,N896&lt;6)),1,0)</x:f>
        <x:v>1</x:v>
      </x:c>
      <x:c r="R896" s="22" t="str">
        <x:f>O896&amp;P896&amp;Q896</x:f>
        <x:v>111</x:v>
      </x:c>
      <x:c r="S896" s="19" t="n">
        <x:f>IF(I896=1,IF(J896=0,Q896,IF(J896=1,P896,IF(J896=2,O896,0))),0)</x:f>
        <x:v>1</x:v>
      </x:c>
      <x:c r="T896" s="19" t="n">
        <x:f>K896+IF(AND(S896=1,J896=0),1,0)</x:f>
        <x:v>2</x:v>
      </x:c>
      <x:c r="U896" s="19" t="n">
        <x:f>L896+IF(AND(S896=1,J896=1),1,0)</x:f>
        <x:v>4</x:v>
      </x:c>
      <x:c r="V896" s="19" t="n">
        <x:f>M896+IF(AND(S896=1,J896=2),1,0)</x:f>
        <x:v>2</x:v>
      </x:c>
      <x:c r="W896" s="19" t="n">
        <x:f>SUM(T896:V896)</x:f>
        <x:v>8</x:v>
      </x:c>
      <x:c r="X896" s="19" t="n">
        <x:f>W896-G896</x:f>
        <x:v>1</x:v>
      </x:c>
      <x:c r="Y896" s="19" t="n">
        <x:f>MAX(T896,1)+MAX(U896,1)+MAX(V896,1)</x:f>
        <x:v>8</x:v>
      </x:c>
      <x:c r="Z896" s="21" t="str">
        <x:f>IF(AND(MIN(D896:F896)&gt;=0,MAX(D896:F896)&lt;=7,MAX(D896,1)+MAX(E896,1)+MAX(F896,1)&lt;=9,OR(H896="-",AND(H896=0,D896&gt;0),AND(H896=1,E896&gt;0),AND(H896=2,F896&gt;0)),OR(I896=0,AND(I896=1,OR(J896=0,J896=1,J896=2),R896&lt;&gt;"000")),Y896&lt;=9,MIN(T896:V896)&gt;=0),"合法","输入违约")</x:f>
        <x:v>合法</x:v>
      </x:c>
    </x:row>
    <x:row r="897" ht="23" customHeight="1">
      <x:c r="A897" s="3" t="str">
        <x:v>CT-0890</x:v>
      </x:c>
      <x:c r="B897" s="3" t="str">
        <x:v>ST-097</x:v>
      </x:c>
      <x:c r="C897" s="3" t="str">
        <x:v>仅AR接收</x:v>
      </x:c>
      <x:c r="D897" s="25" t="n">
        <x:v>1</x:v>
      </x:c>
      <x:c r="E897" s="25" t="n">
        <x:v>4</x:v>
      </x:c>
      <x:c r="F897" s="25" t="n">
        <x:v>2</x:v>
      </x:c>
      <x:c r="G897" s="19" t="n">
        <x:f>SUM(D897:F897)</x:f>
        <x:v>7</x:v>
      </x:c>
      <x:c r="H897" s="25" t="str">
        <x:v>-</x:v>
      </x:c>
      <x:c r="I897" s="25" t="n">
        <x:v>1</x:v>
      </x:c>
      <x:c r="J897" s="25" t="n">
        <x:v>1</x:v>
      </x:c>
      <x:c r="K897" s="19" t="n">
        <x:f>D897-IF(H897=0,1,0)</x:f>
        <x:v>1</x:v>
      </x:c>
      <x:c r="L897" s="19" t="n">
        <x:f>E897-IF(H897=1,1,0)</x:f>
        <x:v>4</x:v>
      </x:c>
      <x:c r="M897" s="19" t="n">
        <x:f>F897-IF(H897=2,1,0)</x:f>
        <x:v>2</x:v>
      </x:c>
      <x:c r="N897" s="19" t="n">
        <x:f>MAX(K897-1,0)+MAX(L897-1,0)+MAX(M897-1,0)</x:f>
        <x:v>4</x:v>
      </x:c>
      <x:c r="O897" s="19" t="n">
        <x:f>IF(AND(SUM(K897:M897)&lt;9,OR(M897=0,N897&lt;6)),1,0)</x:f>
        <x:v>1</x:v>
      </x:c>
      <x:c r="P897" s="19" t="n">
        <x:f>IF(AND(SUM(K897:M897)&lt;9,OR(L897=0,N897&lt;6)),1,0)</x:f>
        <x:v>1</x:v>
      </x:c>
      <x:c r="Q897" s="19" t="n">
        <x:f>IF(AND(SUM(K897:M897)&lt;9,OR(K897=0,N897&lt;6)),1,0)</x:f>
        <x:v>1</x:v>
      </x:c>
      <x:c r="R897" s="22" t="str">
        <x:f>O897&amp;P897&amp;Q897</x:f>
        <x:v>111</x:v>
      </x:c>
      <x:c r="S897" s="19" t="n">
        <x:f>IF(I897=1,IF(J897=0,Q897,IF(J897=1,P897,IF(J897=2,O897,0))),0)</x:f>
        <x:v>1</x:v>
      </x:c>
      <x:c r="T897" s="19" t="n">
        <x:f>K897+IF(AND(S897=1,J897=0),1,0)</x:f>
        <x:v>1</x:v>
      </x:c>
      <x:c r="U897" s="19" t="n">
        <x:f>L897+IF(AND(S897=1,J897=1),1,0)</x:f>
        <x:v>5</x:v>
      </x:c>
      <x:c r="V897" s="19" t="n">
        <x:f>M897+IF(AND(S897=1,J897=2),1,0)</x:f>
        <x:v>2</x:v>
      </x:c>
      <x:c r="W897" s="19" t="n">
        <x:f>SUM(T897:V897)</x:f>
        <x:v>8</x:v>
      </x:c>
      <x:c r="X897" s="19" t="n">
        <x:f>W897-G897</x:f>
        <x:v>1</x:v>
      </x:c>
      <x:c r="Y897" s="19" t="n">
        <x:f>MAX(T897,1)+MAX(U897,1)+MAX(V897,1)</x:f>
        <x:v>8</x:v>
      </x:c>
      <x:c r="Z897" s="21" t="str">
        <x:f>IF(AND(MIN(D897:F897)&gt;=0,MAX(D897:F897)&lt;=7,MAX(D897,1)+MAX(E897,1)+MAX(F897,1)&lt;=9,OR(H897="-",AND(H897=0,D897&gt;0),AND(H897=1,E897&gt;0),AND(H897=2,F897&gt;0)),OR(I897=0,AND(I897=1,OR(J897=0,J897=1,J897=2),R897&lt;&gt;"000")),Y897&lt;=9,MIN(T897:V897)&gt;=0),"合法","输入违约")</x:f>
        <x:v>合法</x:v>
      </x:c>
    </x:row>
    <x:row r="898" ht="23" customHeight="1">
      <x:c r="A898" s="3" t="str">
        <x:v>CT-0891</x:v>
      </x:c>
      <x:c r="B898" s="3" t="str">
        <x:v>ST-097</x:v>
      </x:c>
      <x:c r="C898" s="3" t="str">
        <x:v>仅AR接收</x:v>
      </x:c>
      <x:c r="D898" s="25" t="n">
        <x:v>1</x:v>
      </x:c>
      <x:c r="E898" s="25" t="n">
        <x:v>4</x:v>
      </x:c>
      <x:c r="F898" s="25" t="n">
        <x:v>2</x:v>
      </x:c>
      <x:c r="G898" s="19" t="n">
        <x:f>SUM(D898:F898)</x:f>
        <x:v>7</x:v>
      </x:c>
      <x:c r="H898" s="25" t="str">
        <x:v>-</x:v>
      </x:c>
      <x:c r="I898" s="25" t="n">
        <x:v>1</x:v>
      </x:c>
      <x:c r="J898" s="25" t="n">
        <x:v>2</x:v>
      </x:c>
      <x:c r="K898" s="19" t="n">
        <x:f>D898-IF(H898=0,1,0)</x:f>
        <x:v>1</x:v>
      </x:c>
      <x:c r="L898" s="19" t="n">
        <x:f>E898-IF(H898=1,1,0)</x:f>
        <x:v>4</x:v>
      </x:c>
      <x:c r="M898" s="19" t="n">
        <x:f>F898-IF(H898=2,1,0)</x:f>
        <x:v>2</x:v>
      </x:c>
      <x:c r="N898" s="19" t="n">
        <x:f>MAX(K898-1,0)+MAX(L898-1,0)+MAX(M898-1,0)</x:f>
        <x:v>4</x:v>
      </x:c>
      <x:c r="O898" s="19" t="n">
        <x:f>IF(AND(SUM(K898:M898)&lt;9,OR(M898=0,N898&lt;6)),1,0)</x:f>
        <x:v>1</x:v>
      </x:c>
      <x:c r="P898" s="19" t="n">
        <x:f>IF(AND(SUM(K898:M898)&lt;9,OR(L898=0,N898&lt;6)),1,0)</x:f>
        <x:v>1</x:v>
      </x:c>
      <x:c r="Q898" s="19" t="n">
        <x:f>IF(AND(SUM(K898:M898)&lt;9,OR(K898=0,N898&lt;6)),1,0)</x:f>
        <x:v>1</x:v>
      </x:c>
      <x:c r="R898" s="22" t="str">
        <x:f>O898&amp;P898&amp;Q898</x:f>
        <x:v>111</x:v>
      </x:c>
      <x:c r="S898" s="19" t="n">
        <x:f>IF(I898=1,IF(J898=0,Q898,IF(J898=1,P898,IF(J898=2,O898,0))),0)</x:f>
        <x:v>1</x:v>
      </x:c>
      <x:c r="T898" s="19" t="n">
        <x:f>K898+IF(AND(S898=1,J898=0),1,0)</x:f>
        <x:v>1</x:v>
      </x:c>
      <x:c r="U898" s="19" t="n">
        <x:f>L898+IF(AND(S898=1,J898=1),1,0)</x:f>
        <x:v>4</x:v>
      </x:c>
      <x:c r="V898" s="19" t="n">
        <x:f>M898+IF(AND(S898=1,J898=2),1,0)</x:f>
        <x:v>3</x:v>
      </x:c>
      <x:c r="W898" s="19" t="n">
        <x:f>SUM(T898:V898)</x:f>
        <x:v>8</x:v>
      </x:c>
      <x:c r="X898" s="19" t="n">
        <x:f>W898-G898</x:f>
        <x:v>1</x:v>
      </x:c>
      <x:c r="Y898" s="19" t="n">
        <x:f>MAX(T898,1)+MAX(U898,1)+MAX(V898,1)</x:f>
        <x:v>8</x:v>
      </x:c>
      <x:c r="Z898" s="21" t="str">
        <x:f>IF(AND(MIN(D898:F898)&gt;=0,MAX(D898:F898)&lt;=7,MAX(D898,1)+MAX(E898,1)+MAX(F898,1)&lt;=9,OR(H898="-",AND(H898=0,D898&gt;0),AND(H898=1,E898&gt;0),AND(H898=2,F898&gt;0)),OR(I898=0,AND(I898=1,OR(J898=0,J898=1,J898=2),R898&lt;&gt;"000")),Y898&lt;=9,MIN(T898:V898)&gt;=0),"合法","输入违约")</x:f>
        <x:v>合法</x:v>
      </x:c>
    </x:row>
    <x:row r="899" ht="23" customHeight="1">
      <x:c r="A899" s="3" t="str">
        <x:v>CT-0892</x:v>
      </x:c>
      <x:c r="B899" s="3" t="str">
        <x:v>ST-097</x:v>
      </x:c>
      <x:c r="C899" s="3" t="str">
        <x:v>仅R回收</x:v>
      </x:c>
      <x:c r="D899" s="25" t="n">
        <x:v>1</x:v>
      </x:c>
      <x:c r="E899" s="25" t="n">
        <x:v>4</x:v>
      </x:c>
      <x:c r="F899" s="25" t="n">
        <x:v>2</x:v>
      </x:c>
      <x:c r="G899" s="19" t="n">
        <x:f>SUM(D899:F899)</x:f>
        <x:v>7</x:v>
      </x:c>
      <x:c r="H899" s="25" t="n">
        <x:v>0</x:v>
      </x:c>
      <x:c r="I899" s="25" t="n">
        <x:v>0</x:v>
      </x:c>
      <x:c r="J899" s="25" t="str">
        <x:v>-</x:v>
      </x:c>
      <x:c r="K899" s="19" t="n">
        <x:f>D899-IF(H899=0,1,0)</x:f>
        <x:v>0</x:v>
      </x:c>
      <x:c r="L899" s="19" t="n">
        <x:f>E899-IF(H899=1,1,0)</x:f>
        <x:v>4</x:v>
      </x:c>
      <x:c r="M899" s="19" t="n">
        <x:f>F899-IF(H899=2,1,0)</x:f>
        <x:v>2</x:v>
      </x:c>
      <x:c r="N899" s="19" t="n">
        <x:f>MAX(K899-1,0)+MAX(L899-1,0)+MAX(M899-1,0)</x:f>
        <x:v>4</x:v>
      </x:c>
      <x:c r="O899" s="19" t="n">
        <x:f>IF(AND(SUM(K899:M899)&lt;9,OR(M899=0,N899&lt;6)),1,0)</x:f>
        <x:v>1</x:v>
      </x:c>
      <x:c r="P899" s="19" t="n">
        <x:f>IF(AND(SUM(K899:M899)&lt;9,OR(L899=0,N899&lt;6)),1,0)</x:f>
        <x:v>1</x:v>
      </x:c>
      <x:c r="Q899" s="19" t="n">
        <x:f>IF(AND(SUM(K899:M899)&lt;9,OR(K899=0,N899&lt;6)),1,0)</x:f>
        <x:v>1</x:v>
      </x:c>
      <x:c r="R899" s="22" t="str">
        <x:f>O899&amp;P899&amp;Q899</x:f>
        <x:v>111</x:v>
      </x:c>
      <x:c r="S899" s="19" t="n">
        <x:f>IF(I899=1,IF(J899=0,Q899,IF(J899=1,P899,IF(J899=2,O899,0))),0)</x:f>
        <x:v>0</x:v>
      </x:c>
      <x:c r="T899" s="19" t="n">
        <x:f>K899+IF(AND(S899=1,J899=0),1,0)</x:f>
        <x:v>0</x:v>
      </x:c>
      <x:c r="U899" s="19" t="n">
        <x:f>L899+IF(AND(S899=1,J899=1),1,0)</x:f>
        <x:v>4</x:v>
      </x:c>
      <x:c r="V899" s="19" t="n">
        <x:f>M899+IF(AND(S899=1,J899=2),1,0)</x:f>
        <x:v>2</x:v>
      </x:c>
      <x:c r="W899" s="19" t="n">
        <x:f>SUM(T899:V899)</x:f>
        <x:v>6</x:v>
      </x:c>
      <x:c r="X899" s="19" t="n">
        <x:f>W899-G899</x:f>
        <x:v>-1</x:v>
      </x:c>
      <x:c r="Y899" s="19" t="n">
        <x:f>MAX(T899,1)+MAX(U899,1)+MAX(V899,1)</x:f>
        <x:v>7</x:v>
      </x:c>
      <x:c r="Z899" s="21" t="str">
        <x:f>IF(AND(MIN(D899:F899)&gt;=0,MAX(D899:F899)&lt;=7,MAX(D899,1)+MAX(E899,1)+MAX(F899,1)&lt;=9,OR(H899="-",AND(H899=0,D899&gt;0),AND(H899=1,E899&gt;0),AND(H899=2,F899&gt;0)),OR(I899=0,AND(I899=1,OR(J899=0,J899=1,J899=2),R899&lt;&gt;"000")),Y899&lt;=9,MIN(T899:V899)&gt;=0),"合法","输入违约")</x:f>
        <x:v>合法</x:v>
      </x:c>
    </x:row>
    <x:row r="900" ht="23" customHeight="1">
      <x:c r="A900" s="3" t="str">
        <x:v>CT-0893</x:v>
      </x:c>
      <x:c r="B900" s="3" t="str">
        <x:v>ST-097</x:v>
      </x:c>
      <x:c r="C900" s="3" t="str">
        <x:v>R+AR同收同发</x:v>
      </x:c>
      <x:c r="D900" s="25" t="n">
        <x:v>1</x:v>
      </x:c>
      <x:c r="E900" s="25" t="n">
        <x:v>4</x:v>
      </x:c>
      <x:c r="F900" s="25" t="n">
        <x:v>2</x:v>
      </x:c>
      <x:c r="G900" s="19" t="n">
        <x:f>SUM(D900:F900)</x:f>
        <x:v>7</x:v>
      </x:c>
      <x:c r="H900" s="25" t="n">
        <x:v>0</x:v>
      </x:c>
      <x:c r="I900" s="25" t="n">
        <x:v>1</x:v>
      </x:c>
      <x:c r="J900" s="25" t="n">
        <x:v>0</x:v>
      </x:c>
      <x:c r="K900" s="19" t="n">
        <x:f>D900-IF(H900=0,1,0)</x:f>
        <x:v>0</x:v>
      </x:c>
      <x:c r="L900" s="19" t="n">
        <x:f>E900-IF(H900=1,1,0)</x:f>
        <x:v>4</x:v>
      </x:c>
      <x:c r="M900" s="19" t="n">
        <x:f>F900-IF(H900=2,1,0)</x:f>
        <x:v>2</x:v>
      </x:c>
      <x:c r="N900" s="19" t="n">
        <x:f>MAX(K900-1,0)+MAX(L900-1,0)+MAX(M900-1,0)</x:f>
        <x:v>4</x:v>
      </x:c>
      <x:c r="O900" s="19" t="n">
        <x:f>IF(AND(SUM(K900:M900)&lt;9,OR(M900=0,N900&lt;6)),1,0)</x:f>
        <x:v>1</x:v>
      </x:c>
      <x:c r="P900" s="19" t="n">
        <x:f>IF(AND(SUM(K900:M900)&lt;9,OR(L900=0,N900&lt;6)),1,0)</x:f>
        <x:v>1</x:v>
      </x:c>
      <x:c r="Q900" s="19" t="n">
        <x:f>IF(AND(SUM(K900:M900)&lt;9,OR(K900=0,N900&lt;6)),1,0)</x:f>
        <x:v>1</x:v>
      </x:c>
      <x:c r="R900" s="22" t="str">
        <x:f>O900&amp;P900&amp;Q900</x:f>
        <x:v>111</x:v>
      </x:c>
      <x:c r="S900" s="19" t="n">
        <x:f>IF(I900=1,IF(J900=0,Q900,IF(J900=1,P900,IF(J900=2,O900,0))),0)</x:f>
        <x:v>1</x:v>
      </x:c>
      <x:c r="T900" s="19" t="n">
        <x:f>K900+IF(AND(S900=1,J900=0),1,0)</x:f>
        <x:v>1</x:v>
      </x:c>
      <x:c r="U900" s="19" t="n">
        <x:f>L900+IF(AND(S900=1,J900=1),1,0)</x:f>
        <x:v>4</x:v>
      </x:c>
      <x:c r="V900" s="19" t="n">
        <x:f>M900+IF(AND(S900=1,J900=2),1,0)</x:f>
        <x:v>2</x:v>
      </x:c>
      <x:c r="W900" s="19" t="n">
        <x:f>SUM(T900:V900)</x:f>
        <x:v>7</x:v>
      </x:c>
      <x:c r="X900" s="19" t="n">
        <x:f>W900-G900</x:f>
        <x:v>0</x:v>
      </x:c>
      <x:c r="Y900" s="19" t="n">
        <x:f>MAX(T900,1)+MAX(U900,1)+MAX(V900,1)</x:f>
        <x:v>7</x:v>
      </x:c>
      <x:c r="Z900" s="21" t="str">
        <x:f>IF(AND(MIN(D900:F900)&gt;=0,MAX(D900:F900)&lt;=7,MAX(D900,1)+MAX(E900,1)+MAX(F900,1)&lt;=9,OR(H900="-",AND(H900=0,D900&gt;0),AND(H900=1,E900&gt;0),AND(H900=2,F900&gt;0)),OR(I900=0,AND(I900=1,OR(J900=0,J900=1,J900=2),R900&lt;&gt;"000")),Y900&lt;=9,MIN(T900:V900)&gt;=0),"合法","输入违约")</x:f>
        <x:v>合法</x:v>
      </x:c>
    </x:row>
    <x:row r="901" ht="23" customHeight="1">
      <x:c r="A901" s="3" t="str">
        <x:v>CT-0894</x:v>
      </x:c>
      <x:c r="B901" s="3" t="str">
        <x:v>ST-097</x:v>
      </x:c>
      <x:c r="C901" s="3" t="str">
        <x:v>R+AR同收同发</x:v>
      </x:c>
      <x:c r="D901" s="25" t="n">
        <x:v>1</x:v>
      </x:c>
      <x:c r="E901" s="25" t="n">
        <x:v>4</x:v>
      </x:c>
      <x:c r="F901" s="25" t="n">
        <x:v>2</x:v>
      </x:c>
      <x:c r="G901" s="19" t="n">
        <x:f>SUM(D901:F901)</x:f>
        <x:v>7</x:v>
      </x:c>
      <x:c r="H901" s="25" t="n">
        <x:v>0</x:v>
      </x:c>
      <x:c r="I901" s="25" t="n">
        <x:v>1</x:v>
      </x:c>
      <x:c r="J901" s="25" t="n">
        <x:v>1</x:v>
      </x:c>
      <x:c r="K901" s="19" t="n">
        <x:f>D901-IF(H901=0,1,0)</x:f>
        <x:v>0</x:v>
      </x:c>
      <x:c r="L901" s="19" t="n">
        <x:f>E901-IF(H901=1,1,0)</x:f>
        <x:v>4</x:v>
      </x:c>
      <x:c r="M901" s="19" t="n">
        <x:f>F901-IF(H901=2,1,0)</x:f>
        <x:v>2</x:v>
      </x:c>
      <x:c r="N901" s="19" t="n">
        <x:f>MAX(K901-1,0)+MAX(L901-1,0)+MAX(M901-1,0)</x:f>
        <x:v>4</x:v>
      </x:c>
      <x:c r="O901" s="19" t="n">
        <x:f>IF(AND(SUM(K901:M901)&lt;9,OR(M901=0,N901&lt;6)),1,0)</x:f>
        <x:v>1</x:v>
      </x:c>
      <x:c r="P901" s="19" t="n">
        <x:f>IF(AND(SUM(K901:M901)&lt;9,OR(L901=0,N901&lt;6)),1,0)</x:f>
        <x:v>1</x:v>
      </x:c>
      <x:c r="Q901" s="19" t="n">
        <x:f>IF(AND(SUM(K901:M901)&lt;9,OR(K901=0,N901&lt;6)),1,0)</x:f>
        <x:v>1</x:v>
      </x:c>
      <x:c r="R901" s="22" t="str">
        <x:f>O901&amp;P901&amp;Q901</x:f>
        <x:v>111</x:v>
      </x:c>
      <x:c r="S901" s="19" t="n">
        <x:f>IF(I901=1,IF(J901=0,Q901,IF(J901=1,P901,IF(J901=2,O901,0))),0)</x:f>
        <x:v>1</x:v>
      </x:c>
      <x:c r="T901" s="19" t="n">
        <x:f>K901+IF(AND(S901=1,J901=0),1,0)</x:f>
        <x:v>0</x:v>
      </x:c>
      <x:c r="U901" s="19" t="n">
        <x:f>L901+IF(AND(S901=1,J901=1),1,0)</x:f>
        <x:v>5</x:v>
      </x:c>
      <x:c r="V901" s="19" t="n">
        <x:f>M901+IF(AND(S901=1,J901=2),1,0)</x:f>
        <x:v>2</x:v>
      </x:c>
      <x:c r="W901" s="19" t="n">
        <x:f>SUM(T901:V901)</x:f>
        <x:v>7</x:v>
      </x:c>
      <x:c r="X901" s="19" t="n">
        <x:f>W901-G901</x:f>
        <x:v>0</x:v>
      </x:c>
      <x:c r="Y901" s="19" t="n">
        <x:f>MAX(T901,1)+MAX(U901,1)+MAX(V901,1)</x:f>
        <x:v>8</x:v>
      </x:c>
      <x:c r="Z901" s="21" t="str">
        <x:f>IF(AND(MIN(D901:F901)&gt;=0,MAX(D901:F901)&lt;=7,MAX(D901,1)+MAX(E901,1)+MAX(F901,1)&lt;=9,OR(H901="-",AND(H901=0,D901&gt;0),AND(H901=1,E901&gt;0),AND(H901=2,F901&gt;0)),OR(I901=0,AND(I901=1,OR(J901=0,J901=1,J901=2),R901&lt;&gt;"000")),Y901&lt;=9,MIN(T901:V901)&gt;=0),"合法","输入违约")</x:f>
        <x:v>合法</x:v>
      </x:c>
    </x:row>
    <x:row r="902" ht="23" customHeight="1">
      <x:c r="A902" s="3" t="str">
        <x:v>CT-0895</x:v>
      </x:c>
      <x:c r="B902" s="3" t="str">
        <x:v>ST-097</x:v>
      </x:c>
      <x:c r="C902" s="3" t="str">
        <x:v>R+AR同收同发</x:v>
      </x:c>
      <x:c r="D902" s="25" t="n">
        <x:v>1</x:v>
      </x:c>
      <x:c r="E902" s="25" t="n">
        <x:v>4</x:v>
      </x:c>
      <x:c r="F902" s="25" t="n">
        <x:v>2</x:v>
      </x:c>
      <x:c r="G902" s="19" t="n">
        <x:f>SUM(D902:F902)</x:f>
        <x:v>7</x:v>
      </x:c>
      <x:c r="H902" s="25" t="n">
        <x:v>0</x:v>
      </x:c>
      <x:c r="I902" s="25" t="n">
        <x:v>1</x:v>
      </x:c>
      <x:c r="J902" s="25" t="n">
        <x:v>2</x:v>
      </x:c>
      <x:c r="K902" s="19" t="n">
        <x:f>D902-IF(H902=0,1,0)</x:f>
        <x:v>0</x:v>
      </x:c>
      <x:c r="L902" s="19" t="n">
        <x:f>E902-IF(H902=1,1,0)</x:f>
        <x:v>4</x:v>
      </x:c>
      <x:c r="M902" s="19" t="n">
        <x:f>F902-IF(H902=2,1,0)</x:f>
        <x:v>2</x:v>
      </x:c>
      <x:c r="N902" s="19" t="n">
        <x:f>MAX(K902-1,0)+MAX(L902-1,0)+MAX(M902-1,0)</x:f>
        <x:v>4</x:v>
      </x:c>
      <x:c r="O902" s="19" t="n">
        <x:f>IF(AND(SUM(K902:M902)&lt;9,OR(M902=0,N902&lt;6)),1,0)</x:f>
        <x:v>1</x:v>
      </x:c>
      <x:c r="P902" s="19" t="n">
        <x:f>IF(AND(SUM(K902:M902)&lt;9,OR(L902=0,N902&lt;6)),1,0)</x:f>
        <x:v>1</x:v>
      </x:c>
      <x:c r="Q902" s="19" t="n">
        <x:f>IF(AND(SUM(K902:M902)&lt;9,OR(K902=0,N902&lt;6)),1,0)</x:f>
        <x:v>1</x:v>
      </x:c>
      <x:c r="R902" s="22" t="str">
        <x:f>O902&amp;P902&amp;Q902</x:f>
        <x:v>111</x:v>
      </x:c>
      <x:c r="S902" s="19" t="n">
        <x:f>IF(I902=1,IF(J902=0,Q902,IF(J902=1,P902,IF(J902=2,O902,0))),0)</x:f>
        <x:v>1</x:v>
      </x:c>
      <x:c r="T902" s="19" t="n">
        <x:f>K902+IF(AND(S902=1,J902=0),1,0)</x:f>
        <x:v>0</x:v>
      </x:c>
      <x:c r="U902" s="19" t="n">
        <x:f>L902+IF(AND(S902=1,J902=1),1,0)</x:f>
        <x:v>4</x:v>
      </x:c>
      <x:c r="V902" s="19" t="n">
        <x:f>M902+IF(AND(S902=1,J902=2),1,0)</x:f>
        <x:v>3</x:v>
      </x:c>
      <x:c r="W902" s="19" t="n">
        <x:f>SUM(T902:V902)</x:f>
        <x:v>7</x:v>
      </x:c>
      <x:c r="X902" s="19" t="n">
        <x:f>W902-G902</x:f>
        <x:v>0</x:v>
      </x:c>
      <x:c r="Y902" s="19" t="n">
        <x:f>MAX(T902,1)+MAX(U902,1)+MAX(V902,1)</x:f>
        <x:v>8</x:v>
      </x:c>
      <x:c r="Z902" s="21" t="str">
        <x:f>IF(AND(MIN(D902:F902)&gt;=0,MAX(D902:F902)&lt;=7,MAX(D902,1)+MAX(E902,1)+MAX(F902,1)&lt;=9,OR(H902="-",AND(H902=0,D902&gt;0),AND(H902=1,E902&gt;0),AND(H902=2,F902&gt;0)),OR(I902=0,AND(I902=1,OR(J902=0,J902=1,J902=2),R902&lt;&gt;"000")),Y902&lt;=9,MIN(T902:V902)&gt;=0),"合法","输入违约")</x:f>
        <x:v>合法</x:v>
      </x:c>
    </x:row>
    <x:row r="903" ht="23" customHeight="1">
      <x:c r="A903" s="3" t="str">
        <x:v>CT-0896</x:v>
      </x:c>
      <x:c r="B903" s="3" t="str">
        <x:v>ST-097</x:v>
      </x:c>
      <x:c r="C903" s="3" t="str">
        <x:v>仅R回收</x:v>
      </x:c>
      <x:c r="D903" s="25" t="n">
        <x:v>1</x:v>
      </x:c>
      <x:c r="E903" s="25" t="n">
        <x:v>4</x:v>
      </x:c>
      <x:c r="F903" s="25" t="n">
        <x:v>2</x:v>
      </x:c>
      <x:c r="G903" s="19" t="n">
        <x:f>SUM(D903:F903)</x:f>
        <x:v>7</x:v>
      </x:c>
      <x:c r="H903" s="25" t="n">
        <x:v>1</x:v>
      </x:c>
      <x:c r="I903" s="25" t="n">
        <x:v>0</x:v>
      </x:c>
      <x:c r="J903" s="25" t="str">
        <x:v>-</x:v>
      </x:c>
      <x:c r="K903" s="19" t="n">
        <x:f>D903-IF(H903=0,1,0)</x:f>
        <x:v>1</x:v>
      </x:c>
      <x:c r="L903" s="19" t="n">
        <x:f>E903-IF(H903=1,1,0)</x:f>
        <x:v>3</x:v>
      </x:c>
      <x:c r="M903" s="19" t="n">
        <x:f>F903-IF(H903=2,1,0)</x:f>
        <x:v>2</x:v>
      </x:c>
      <x:c r="N903" s="19" t="n">
        <x:f>MAX(K903-1,0)+MAX(L903-1,0)+MAX(M903-1,0)</x:f>
        <x:v>3</x:v>
      </x:c>
      <x:c r="O903" s="19" t="n">
        <x:f>IF(AND(SUM(K903:M903)&lt;9,OR(M903=0,N903&lt;6)),1,0)</x:f>
        <x:v>1</x:v>
      </x:c>
      <x:c r="P903" s="19" t="n">
        <x:f>IF(AND(SUM(K903:M903)&lt;9,OR(L903=0,N903&lt;6)),1,0)</x:f>
        <x:v>1</x:v>
      </x:c>
      <x:c r="Q903" s="19" t="n">
        <x:f>IF(AND(SUM(K903:M903)&lt;9,OR(K903=0,N903&lt;6)),1,0)</x:f>
        <x:v>1</x:v>
      </x:c>
      <x:c r="R903" s="22" t="str">
        <x:f>O903&amp;P903&amp;Q903</x:f>
        <x:v>111</x:v>
      </x:c>
      <x:c r="S903" s="19" t="n">
        <x:f>IF(I903=1,IF(J903=0,Q903,IF(J903=1,P903,IF(J903=2,O903,0))),0)</x:f>
        <x:v>0</x:v>
      </x:c>
      <x:c r="T903" s="19" t="n">
        <x:f>K903+IF(AND(S903=1,J903=0),1,0)</x:f>
        <x:v>1</x:v>
      </x:c>
      <x:c r="U903" s="19" t="n">
        <x:f>L903+IF(AND(S903=1,J903=1),1,0)</x:f>
        <x:v>3</x:v>
      </x:c>
      <x:c r="V903" s="19" t="n">
        <x:f>M903+IF(AND(S903=1,J903=2),1,0)</x:f>
        <x:v>2</x:v>
      </x:c>
      <x:c r="W903" s="19" t="n">
        <x:f>SUM(T903:V903)</x:f>
        <x:v>6</x:v>
      </x:c>
      <x:c r="X903" s="19" t="n">
        <x:f>W903-G903</x:f>
        <x:v>-1</x:v>
      </x:c>
      <x:c r="Y903" s="19" t="n">
        <x:f>MAX(T903,1)+MAX(U903,1)+MAX(V903,1)</x:f>
        <x:v>6</x:v>
      </x:c>
      <x:c r="Z903" s="21" t="str">
        <x:f>IF(AND(MIN(D903:F903)&gt;=0,MAX(D903:F903)&lt;=7,MAX(D903,1)+MAX(E903,1)+MAX(F903,1)&lt;=9,OR(H903="-",AND(H903=0,D903&gt;0),AND(H903=1,E903&gt;0),AND(H903=2,F903&gt;0)),OR(I903=0,AND(I903=1,OR(J903=0,J903=1,J903=2),R903&lt;&gt;"000")),Y903&lt;=9,MIN(T903:V903)&gt;=0),"合法","输入违约")</x:f>
        <x:v>合法</x:v>
      </x:c>
    </x:row>
    <x:row r="904" ht="23" customHeight="1">
      <x:c r="A904" s="3" t="str">
        <x:v>CT-0897</x:v>
      </x:c>
      <x:c r="B904" s="3" t="str">
        <x:v>ST-097</x:v>
      </x:c>
      <x:c r="C904" s="3" t="str">
        <x:v>R+AR同收同发</x:v>
      </x:c>
      <x:c r="D904" s="25" t="n">
        <x:v>1</x:v>
      </x:c>
      <x:c r="E904" s="25" t="n">
        <x:v>4</x:v>
      </x:c>
      <x:c r="F904" s="25" t="n">
        <x:v>2</x:v>
      </x:c>
      <x:c r="G904" s="19" t="n">
        <x:f>SUM(D904:F904)</x:f>
        <x:v>7</x:v>
      </x:c>
      <x:c r="H904" s="25" t="n">
        <x:v>1</x:v>
      </x:c>
      <x:c r="I904" s="25" t="n">
        <x:v>1</x:v>
      </x:c>
      <x:c r="J904" s="25" t="n">
        <x:v>0</x:v>
      </x:c>
      <x:c r="K904" s="19" t="n">
        <x:f>D904-IF(H904=0,1,0)</x:f>
        <x:v>1</x:v>
      </x:c>
      <x:c r="L904" s="19" t="n">
        <x:f>E904-IF(H904=1,1,0)</x:f>
        <x:v>3</x:v>
      </x:c>
      <x:c r="M904" s="19" t="n">
        <x:f>F904-IF(H904=2,1,0)</x:f>
        <x:v>2</x:v>
      </x:c>
      <x:c r="N904" s="19" t="n">
        <x:f>MAX(K904-1,0)+MAX(L904-1,0)+MAX(M904-1,0)</x:f>
        <x:v>3</x:v>
      </x:c>
      <x:c r="O904" s="19" t="n">
        <x:f>IF(AND(SUM(K904:M904)&lt;9,OR(M904=0,N904&lt;6)),1,0)</x:f>
        <x:v>1</x:v>
      </x:c>
      <x:c r="P904" s="19" t="n">
        <x:f>IF(AND(SUM(K904:M904)&lt;9,OR(L904=0,N904&lt;6)),1,0)</x:f>
        <x:v>1</x:v>
      </x:c>
      <x:c r="Q904" s="19" t="n">
        <x:f>IF(AND(SUM(K904:M904)&lt;9,OR(K904=0,N904&lt;6)),1,0)</x:f>
        <x:v>1</x:v>
      </x:c>
      <x:c r="R904" s="22" t="str">
        <x:f>O904&amp;P904&amp;Q904</x:f>
        <x:v>111</x:v>
      </x:c>
      <x:c r="S904" s="19" t="n">
        <x:f>IF(I904=1,IF(J904=0,Q904,IF(J904=1,P904,IF(J904=2,O904,0))),0)</x:f>
        <x:v>1</x:v>
      </x:c>
      <x:c r="T904" s="19" t="n">
        <x:f>K904+IF(AND(S904=1,J904=0),1,0)</x:f>
        <x:v>2</x:v>
      </x:c>
      <x:c r="U904" s="19" t="n">
        <x:f>L904+IF(AND(S904=1,J904=1),1,0)</x:f>
        <x:v>3</x:v>
      </x:c>
      <x:c r="V904" s="19" t="n">
        <x:f>M904+IF(AND(S904=1,J904=2),1,0)</x:f>
        <x:v>2</x:v>
      </x:c>
      <x:c r="W904" s="19" t="n">
        <x:f>SUM(T904:V904)</x:f>
        <x:v>7</x:v>
      </x:c>
      <x:c r="X904" s="19" t="n">
        <x:f>W904-G904</x:f>
        <x:v>0</x:v>
      </x:c>
      <x:c r="Y904" s="19" t="n">
        <x:f>MAX(T904,1)+MAX(U904,1)+MAX(V904,1)</x:f>
        <x:v>7</x:v>
      </x:c>
      <x:c r="Z904" s="21" t="str">
        <x:f>IF(AND(MIN(D904:F904)&gt;=0,MAX(D904:F904)&lt;=7,MAX(D904,1)+MAX(E904,1)+MAX(F904,1)&lt;=9,OR(H904="-",AND(H904=0,D904&gt;0),AND(H904=1,E904&gt;0),AND(H904=2,F904&gt;0)),OR(I904=0,AND(I904=1,OR(J904=0,J904=1,J904=2),R904&lt;&gt;"000")),Y904&lt;=9,MIN(T904:V904)&gt;=0),"合法","输入违约")</x:f>
        <x:v>合法</x:v>
      </x:c>
    </x:row>
    <x:row r="905" ht="23" customHeight="1">
      <x:c r="A905" s="3" t="str">
        <x:v>CT-0898</x:v>
      </x:c>
      <x:c r="B905" s="3" t="str">
        <x:v>ST-097</x:v>
      </x:c>
      <x:c r="C905" s="3" t="str">
        <x:v>R+AR同收同发</x:v>
      </x:c>
      <x:c r="D905" s="25" t="n">
        <x:v>1</x:v>
      </x:c>
      <x:c r="E905" s="25" t="n">
        <x:v>4</x:v>
      </x:c>
      <x:c r="F905" s="25" t="n">
        <x:v>2</x:v>
      </x:c>
      <x:c r="G905" s="19" t="n">
        <x:f>SUM(D905:F905)</x:f>
        <x:v>7</x:v>
      </x:c>
      <x:c r="H905" s="25" t="n">
        <x:v>1</x:v>
      </x:c>
      <x:c r="I905" s="25" t="n">
        <x:v>1</x:v>
      </x:c>
      <x:c r="J905" s="25" t="n">
        <x:v>1</x:v>
      </x:c>
      <x:c r="K905" s="19" t="n">
        <x:f>D905-IF(H905=0,1,0)</x:f>
        <x:v>1</x:v>
      </x:c>
      <x:c r="L905" s="19" t="n">
        <x:f>E905-IF(H905=1,1,0)</x:f>
        <x:v>3</x:v>
      </x:c>
      <x:c r="M905" s="19" t="n">
        <x:f>F905-IF(H905=2,1,0)</x:f>
        <x:v>2</x:v>
      </x:c>
      <x:c r="N905" s="19" t="n">
        <x:f>MAX(K905-1,0)+MAX(L905-1,0)+MAX(M905-1,0)</x:f>
        <x:v>3</x:v>
      </x:c>
      <x:c r="O905" s="19" t="n">
        <x:f>IF(AND(SUM(K905:M905)&lt;9,OR(M905=0,N905&lt;6)),1,0)</x:f>
        <x:v>1</x:v>
      </x:c>
      <x:c r="P905" s="19" t="n">
        <x:f>IF(AND(SUM(K905:M905)&lt;9,OR(L905=0,N905&lt;6)),1,0)</x:f>
        <x:v>1</x:v>
      </x:c>
      <x:c r="Q905" s="19" t="n">
        <x:f>IF(AND(SUM(K905:M905)&lt;9,OR(K905=0,N905&lt;6)),1,0)</x:f>
        <x:v>1</x:v>
      </x:c>
      <x:c r="R905" s="22" t="str">
        <x:f>O905&amp;P905&amp;Q905</x:f>
        <x:v>111</x:v>
      </x:c>
      <x:c r="S905" s="19" t="n">
        <x:f>IF(I905=1,IF(J905=0,Q905,IF(J905=1,P905,IF(J905=2,O905,0))),0)</x:f>
        <x:v>1</x:v>
      </x:c>
      <x:c r="T905" s="19" t="n">
        <x:f>K905+IF(AND(S905=1,J905=0),1,0)</x:f>
        <x:v>1</x:v>
      </x:c>
      <x:c r="U905" s="19" t="n">
        <x:f>L905+IF(AND(S905=1,J905=1),1,0)</x:f>
        <x:v>4</x:v>
      </x:c>
      <x:c r="V905" s="19" t="n">
        <x:f>M905+IF(AND(S905=1,J905=2),1,0)</x:f>
        <x:v>2</x:v>
      </x:c>
      <x:c r="W905" s="19" t="n">
        <x:f>SUM(T905:V905)</x:f>
        <x:v>7</x:v>
      </x:c>
      <x:c r="X905" s="19" t="n">
        <x:f>W905-G905</x:f>
        <x:v>0</x:v>
      </x:c>
      <x:c r="Y905" s="19" t="n">
        <x:f>MAX(T905,1)+MAX(U905,1)+MAX(V905,1)</x:f>
        <x:v>7</x:v>
      </x:c>
      <x:c r="Z905" s="21" t="str">
        <x:f>IF(AND(MIN(D905:F905)&gt;=0,MAX(D905:F905)&lt;=7,MAX(D905,1)+MAX(E905,1)+MAX(F905,1)&lt;=9,OR(H905="-",AND(H905=0,D905&gt;0),AND(H905=1,E905&gt;0),AND(H905=2,F905&gt;0)),OR(I905=0,AND(I905=1,OR(J905=0,J905=1,J905=2),R905&lt;&gt;"000")),Y905&lt;=9,MIN(T905:V905)&gt;=0),"合法","输入违约")</x:f>
        <x:v>合法</x:v>
      </x:c>
    </x:row>
    <x:row r="906" ht="23" customHeight="1">
      <x:c r="A906" s="3" t="str">
        <x:v>CT-0899</x:v>
      </x:c>
      <x:c r="B906" s="3" t="str">
        <x:v>ST-097</x:v>
      </x:c>
      <x:c r="C906" s="3" t="str">
        <x:v>R+AR同收同发</x:v>
      </x:c>
      <x:c r="D906" s="25" t="n">
        <x:v>1</x:v>
      </x:c>
      <x:c r="E906" s="25" t="n">
        <x:v>4</x:v>
      </x:c>
      <x:c r="F906" s="25" t="n">
        <x:v>2</x:v>
      </x:c>
      <x:c r="G906" s="19" t="n">
        <x:f>SUM(D906:F906)</x:f>
        <x:v>7</x:v>
      </x:c>
      <x:c r="H906" s="25" t="n">
        <x:v>1</x:v>
      </x:c>
      <x:c r="I906" s="25" t="n">
        <x:v>1</x:v>
      </x:c>
      <x:c r="J906" s="25" t="n">
        <x:v>2</x:v>
      </x:c>
      <x:c r="K906" s="19" t="n">
        <x:f>D906-IF(H906=0,1,0)</x:f>
        <x:v>1</x:v>
      </x:c>
      <x:c r="L906" s="19" t="n">
        <x:f>E906-IF(H906=1,1,0)</x:f>
        <x:v>3</x:v>
      </x:c>
      <x:c r="M906" s="19" t="n">
        <x:f>F906-IF(H906=2,1,0)</x:f>
        <x:v>2</x:v>
      </x:c>
      <x:c r="N906" s="19" t="n">
        <x:f>MAX(K906-1,0)+MAX(L906-1,0)+MAX(M906-1,0)</x:f>
        <x:v>3</x:v>
      </x:c>
      <x:c r="O906" s="19" t="n">
        <x:f>IF(AND(SUM(K906:M906)&lt;9,OR(M906=0,N906&lt;6)),1,0)</x:f>
        <x:v>1</x:v>
      </x:c>
      <x:c r="P906" s="19" t="n">
        <x:f>IF(AND(SUM(K906:M906)&lt;9,OR(L906=0,N906&lt;6)),1,0)</x:f>
        <x:v>1</x:v>
      </x:c>
      <x:c r="Q906" s="19" t="n">
        <x:f>IF(AND(SUM(K906:M906)&lt;9,OR(K906=0,N906&lt;6)),1,0)</x:f>
        <x:v>1</x:v>
      </x:c>
      <x:c r="R906" s="22" t="str">
        <x:f>O906&amp;P906&amp;Q906</x:f>
        <x:v>111</x:v>
      </x:c>
      <x:c r="S906" s="19" t="n">
        <x:f>IF(I906=1,IF(J906=0,Q906,IF(J906=1,P906,IF(J906=2,O906,0))),0)</x:f>
        <x:v>1</x:v>
      </x:c>
      <x:c r="T906" s="19" t="n">
        <x:f>K906+IF(AND(S906=1,J906=0),1,0)</x:f>
        <x:v>1</x:v>
      </x:c>
      <x:c r="U906" s="19" t="n">
        <x:f>L906+IF(AND(S906=1,J906=1),1,0)</x:f>
        <x:v>3</x:v>
      </x:c>
      <x:c r="V906" s="19" t="n">
        <x:f>M906+IF(AND(S906=1,J906=2),1,0)</x:f>
        <x:v>3</x:v>
      </x:c>
      <x:c r="W906" s="19" t="n">
        <x:f>SUM(T906:V906)</x:f>
        <x:v>7</x:v>
      </x:c>
      <x:c r="X906" s="19" t="n">
        <x:f>W906-G906</x:f>
        <x:v>0</x:v>
      </x:c>
      <x:c r="Y906" s="19" t="n">
        <x:f>MAX(T906,1)+MAX(U906,1)+MAX(V906,1)</x:f>
        <x:v>7</x:v>
      </x:c>
      <x:c r="Z906" s="21" t="str">
        <x:f>IF(AND(MIN(D906:F906)&gt;=0,MAX(D906:F906)&lt;=7,MAX(D906,1)+MAX(E906,1)+MAX(F906,1)&lt;=9,OR(H906="-",AND(H906=0,D906&gt;0),AND(H906=1,E906&gt;0),AND(H906=2,F906&gt;0)),OR(I906=0,AND(I906=1,OR(J906=0,J906=1,J906=2),R906&lt;&gt;"000")),Y906&lt;=9,MIN(T906:V906)&gt;=0),"合法","输入违约")</x:f>
        <x:v>合法</x:v>
      </x:c>
    </x:row>
    <x:row r="907" ht="23" customHeight="1">
      <x:c r="A907" s="3" t="str">
        <x:v>CT-0900</x:v>
      </x:c>
      <x:c r="B907" s="3" t="str">
        <x:v>ST-097</x:v>
      </x:c>
      <x:c r="C907" s="3" t="str">
        <x:v>仅R回收</x:v>
      </x:c>
      <x:c r="D907" s="25" t="n">
        <x:v>1</x:v>
      </x:c>
      <x:c r="E907" s="25" t="n">
        <x:v>4</x:v>
      </x:c>
      <x:c r="F907" s="25" t="n">
        <x:v>2</x:v>
      </x:c>
      <x:c r="G907" s="19" t="n">
        <x:f>SUM(D907:F907)</x:f>
        <x:v>7</x:v>
      </x:c>
      <x:c r="H907" s="25" t="n">
        <x:v>2</x:v>
      </x:c>
      <x:c r="I907" s="25" t="n">
        <x:v>0</x:v>
      </x:c>
      <x:c r="J907" s="25" t="str">
        <x:v>-</x:v>
      </x:c>
      <x:c r="K907" s="19" t="n">
        <x:f>D907-IF(H907=0,1,0)</x:f>
        <x:v>1</x:v>
      </x:c>
      <x:c r="L907" s="19" t="n">
        <x:f>E907-IF(H907=1,1,0)</x:f>
        <x:v>4</x:v>
      </x:c>
      <x:c r="M907" s="19" t="n">
        <x:f>F907-IF(H907=2,1,0)</x:f>
        <x:v>1</x:v>
      </x:c>
      <x:c r="N907" s="19" t="n">
        <x:f>MAX(K907-1,0)+MAX(L907-1,0)+MAX(M907-1,0)</x:f>
        <x:v>3</x:v>
      </x:c>
      <x:c r="O907" s="19" t="n">
        <x:f>IF(AND(SUM(K907:M907)&lt;9,OR(M907=0,N907&lt;6)),1,0)</x:f>
        <x:v>1</x:v>
      </x:c>
      <x:c r="P907" s="19" t="n">
        <x:f>IF(AND(SUM(K907:M907)&lt;9,OR(L907=0,N907&lt;6)),1,0)</x:f>
        <x:v>1</x:v>
      </x:c>
      <x:c r="Q907" s="19" t="n">
        <x:f>IF(AND(SUM(K907:M907)&lt;9,OR(K907=0,N907&lt;6)),1,0)</x:f>
        <x:v>1</x:v>
      </x:c>
      <x:c r="R907" s="22" t="str">
        <x:f>O907&amp;P907&amp;Q907</x:f>
        <x:v>111</x:v>
      </x:c>
      <x:c r="S907" s="19" t="n">
        <x:f>IF(I907=1,IF(J907=0,Q907,IF(J907=1,P907,IF(J907=2,O907,0))),0)</x:f>
        <x:v>0</x:v>
      </x:c>
      <x:c r="T907" s="19" t="n">
        <x:f>K907+IF(AND(S907=1,J907=0),1,0)</x:f>
        <x:v>1</x:v>
      </x:c>
      <x:c r="U907" s="19" t="n">
        <x:f>L907+IF(AND(S907=1,J907=1),1,0)</x:f>
        <x:v>4</x:v>
      </x:c>
      <x:c r="V907" s="19" t="n">
        <x:f>M907+IF(AND(S907=1,J907=2),1,0)</x:f>
        <x:v>1</x:v>
      </x:c>
      <x:c r="W907" s="19" t="n">
        <x:f>SUM(T907:V907)</x:f>
        <x:v>6</x:v>
      </x:c>
      <x:c r="X907" s="19" t="n">
        <x:f>W907-G907</x:f>
        <x:v>-1</x:v>
      </x:c>
      <x:c r="Y907" s="19" t="n">
        <x:f>MAX(T907,1)+MAX(U907,1)+MAX(V907,1)</x:f>
        <x:v>6</x:v>
      </x:c>
      <x:c r="Z907" s="21" t="str">
        <x:f>IF(AND(MIN(D907:F907)&gt;=0,MAX(D907:F907)&lt;=7,MAX(D907,1)+MAX(E907,1)+MAX(F907,1)&lt;=9,OR(H907="-",AND(H907=0,D907&gt;0),AND(H907=1,E907&gt;0),AND(H907=2,F907&gt;0)),OR(I907=0,AND(I907=1,OR(J907=0,J907=1,J907=2),R907&lt;&gt;"000")),Y907&lt;=9,MIN(T907:V907)&gt;=0),"合法","输入违约")</x:f>
        <x:v>合法</x:v>
      </x:c>
    </x:row>
    <x:row r="908" ht="23" customHeight="1">
      <x:c r="A908" s="3" t="str">
        <x:v>CT-0901</x:v>
      </x:c>
      <x:c r="B908" s="3" t="str">
        <x:v>ST-097</x:v>
      </x:c>
      <x:c r="C908" s="3" t="str">
        <x:v>R+AR同收同发</x:v>
      </x:c>
      <x:c r="D908" s="25" t="n">
        <x:v>1</x:v>
      </x:c>
      <x:c r="E908" s="25" t="n">
        <x:v>4</x:v>
      </x:c>
      <x:c r="F908" s="25" t="n">
        <x:v>2</x:v>
      </x:c>
      <x:c r="G908" s="19" t="n">
        <x:f>SUM(D908:F908)</x:f>
        <x:v>7</x:v>
      </x:c>
      <x:c r="H908" s="25" t="n">
        <x:v>2</x:v>
      </x:c>
      <x:c r="I908" s="25" t="n">
        <x:v>1</x:v>
      </x:c>
      <x:c r="J908" s="25" t="n">
        <x:v>0</x:v>
      </x:c>
      <x:c r="K908" s="19" t="n">
        <x:f>D908-IF(H908=0,1,0)</x:f>
        <x:v>1</x:v>
      </x:c>
      <x:c r="L908" s="19" t="n">
        <x:f>E908-IF(H908=1,1,0)</x:f>
        <x:v>4</x:v>
      </x:c>
      <x:c r="M908" s="19" t="n">
        <x:f>F908-IF(H908=2,1,0)</x:f>
        <x:v>1</x:v>
      </x:c>
      <x:c r="N908" s="19" t="n">
        <x:f>MAX(K908-1,0)+MAX(L908-1,0)+MAX(M908-1,0)</x:f>
        <x:v>3</x:v>
      </x:c>
      <x:c r="O908" s="19" t="n">
        <x:f>IF(AND(SUM(K908:M908)&lt;9,OR(M908=0,N908&lt;6)),1,0)</x:f>
        <x:v>1</x:v>
      </x:c>
      <x:c r="P908" s="19" t="n">
        <x:f>IF(AND(SUM(K908:M908)&lt;9,OR(L908=0,N908&lt;6)),1,0)</x:f>
        <x:v>1</x:v>
      </x:c>
      <x:c r="Q908" s="19" t="n">
        <x:f>IF(AND(SUM(K908:M908)&lt;9,OR(K908=0,N908&lt;6)),1,0)</x:f>
        <x:v>1</x:v>
      </x:c>
      <x:c r="R908" s="22" t="str">
        <x:f>O908&amp;P908&amp;Q908</x:f>
        <x:v>111</x:v>
      </x:c>
      <x:c r="S908" s="19" t="n">
        <x:f>IF(I908=1,IF(J908=0,Q908,IF(J908=1,P908,IF(J908=2,O908,0))),0)</x:f>
        <x:v>1</x:v>
      </x:c>
      <x:c r="T908" s="19" t="n">
        <x:f>K908+IF(AND(S908=1,J908=0),1,0)</x:f>
        <x:v>2</x:v>
      </x:c>
      <x:c r="U908" s="19" t="n">
        <x:f>L908+IF(AND(S908=1,J908=1),1,0)</x:f>
        <x:v>4</x:v>
      </x:c>
      <x:c r="V908" s="19" t="n">
        <x:f>M908+IF(AND(S908=1,J908=2),1,0)</x:f>
        <x:v>1</x:v>
      </x:c>
      <x:c r="W908" s="19" t="n">
        <x:f>SUM(T908:V908)</x:f>
        <x:v>7</x:v>
      </x:c>
      <x:c r="X908" s="19" t="n">
        <x:f>W908-G908</x:f>
        <x:v>0</x:v>
      </x:c>
      <x:c r="Y908" s="19" t="n">
        <x:f>MAX(T908,1)+MAX(U908,1)+MAX(V908,1)</x:f>
        <x:v>7</x:v>
      </x:c>
      <x:c r="Z908" s="21" t="str">
        <x:f>IF(AND(MIN(D908:F908)&gt;=0,MAX(D908:F908)&lt;=7,MAX(D908,1)+MAX(E908,1)+MAX(F908,1)&lt;=9,OR(H908="-",AND(H908=0,D908&gt;0),AND(H908=1,E908&gt;0),AND(H908=2,F908&gt;0)),OR(I908=0,AND(I908=1,OR(J908=0,J908=1,J908=2),R908&lt;&gt;"000")),Y908&lt;=9,MIN(T908:V908)&gt;=0),"合法","输入违约")</x:f>
        <x:v>合法</x:v>
      </x:c>
    </x:row>
    <x:row r="909" ht="23" customHeight="1">
      <x:c r="A909" s="3" t="str">
        <x:v>CT-0902</x:v>
      </x:c>
      <x:c r="B909" s="3" t="str">
        <x:v>ST-097</x:v>
      </x:c>
      <x:c r="C909" s="3" t="str">
        <x:v>R+AR同收同发</x:v>
      </x:c>
      <x:c r="D909" s="25" t="n">
        <x:v>1</x:v>
      </x:c>
      <x:c r="E909" s="25" t="n">
        <x:v>4</x:v>
      </x:c>
      <x:c r="F909" s="25" t="n">
        <x:v>2</x:v>
      </x:c>
      <x:c r="G909" s="19" t="n">
        <x:f>SUM(D909:F909)</x:f>
        <x:v>7</x:v>
      </x:c>
      <x:c r="H909" s="25" t="n">
        <x:v>2</x:v>
      </x:c>
      <x:c r="I909" s="25" t="n">
        <x:v>1</x:v>
      </x:c>
      <x:c r="J909" s="25" t="n">
        <x:v>1</x:v>
      </x:c>
      <x:c r="K909" s="19" t="n">
        <x:f>D909-IF(H909=0,1,0)</x:f>
        <x:v>1</x:v>
      </x:c>
      <x:c r="L909" s="19" t="n">
        <x:f>E909-IF(H909=1,1,0)</x:f>
        <x:v>4</x:v>
      </x:c>
      <x:c r="M909" s="19" t="n">
        <x:f>F909-IF(H909=2,1,0)</x:f>
        <x:v>1</x:v>
      </x:c>
      <x:c r="N909" s="19" t="n">
        <x:f>MAX(K909-1,0)+MAX(L909-1,0)+MAX(M909-1,0)</x:f>
        <x:v>3</x:v>
      </x:c>
      <x:c r="O909" s="19" t="n">
        <x:f>IF(AND(SUM(K909:M909)&lt;9,OR(M909=0,N909&lt;6)),1,0)</x:f>
        <x:v>1</x:v>
      </x:c>
      <x:c r="P909" s="19" t="n">
        <x:f>IF(AND(SUM(K909:M909)&lt;9,OR(L909=0,N909&lt;6)),1,0)</x:f>
        <x:v>1</x:v>
      </x:c>
      <x:c r="Q909" s="19" t="n">
        <x:f>IF(AND(SUM(K909:M909)&lt;9,OR(K909=0,N909&lt;6)),1,0)</x:f>
        <x:v>1</x:v>
      </x:c>
      <x:c r="R909" s="22" t="str">
        <x:f>O909&amp;P909&amp;Q909</x:f>
        <x:v>111</x:v>
      </x:c>
      <x:c r="S909" s="19" t="n">
        <x:f>IF(I909=1,IF(J909=0,Q909,IF(J909=1,P909,IF(J909=2,O909,0))),0)</x:f>
        <x:v>1</x:v>
      </x:c>
      <x:c r="T909" s="19" t="n">
        <x:f>K909+IF(AND(S909=1,J909=0),1,0)</x:f>
        <x:v>1</x:v>
      </x:c>
      <x:c r="U909" s="19" t="n">
        <x:f>L909+IF(AND(S909=1,J909=1),1,0)</x:f>
        <x:v>5</x:v>
      </x:c>
      <x:c r="V909" s="19" t="n">
        <x:f>M909+IF(AND(S909=1,J909=2),1,0)</x:f>
        <x:v>1</x:v>
      </x:c>
      <x:c r="W909" s="19" t="n">
        <x:f>SUM(T909:V909)</x:f>
        <x:v>7</x:v>
      </x:c>
      <x:c r="X909" s="19" t="n">
        <x:f>W909-G909</x:f>
        <x:v>0</x:v>
      </x:c>
      <x:c r="Y909" s="19" t="n">
        <x:f>MAX(T909,1)+MAX(U909,1)+MAX(V909,1)</x:f>
        <x:v>7</x:v>
      </x:c>
      <x:c r="Z909" s="21" t="str">
        <x:f>IF(AND(MIN(D909:F909)&gt;=0,MAX(D909:F909)&lt;=7,MAX(D909,1)+MAX(E909,1)+MAX(F909,1)&lt;=9,OR(H909="-",AND(H909=0,D909&gt;0),AND(H909=1,E909&gt;0),AND(H909=2,F909&gt;0)),OR(I909=0,AND(I909=1,OR(J909=0,J909=1,J909=2),R909&lt;&gt;"000")),Y909&lt;=9,MIN(T909:V909)&gt;=0),"合法","输入违约")</x:f>
        <x:v>合法</x:v>
      </x:c>
    </x:row>
    <x:row r="910" ht="23" customHeight="1">
      <x:c r="A910" s="3" t="str">
        <x:v>CT-0903</x:v>
      </x:c>
      <x:c r="B910" s="3" t="str">
        <x:v>ST-097</x:v>
      </x:c>
      <x:c r="C910" s="3" t="str">
        <x:v>R+AR同收同发</x:v>
      </x:c>
      <x:c r="D910" s="25" t="n">
        <x:v>1</x:v>
      </x:c>
      <x:c r="E910" s="25" t="n">
        <x:v>4</x:v>
      </x:c>
      <x:c r="F910" s="25" t="n">
        <x:v>2</x:v>
      </x:c>
      <x:c r="G910" s="19" t="n">
        <x:f>SUM(D910:F910)</x:f>
        <x:v>7</x:v>
      </x:c>
      <x:c r="H910" s="25" t="n">
        <x:v>2</x:v>
      </x:c>
      <x:c r="I910" s="25" t="n">
        <x:v>1</x:v>
      </x:c>
      <x:c r="J910" s="25" t="n">
        <x:v>2</x:v>
      </x:c>
      <x:c r="K910" s="19" t="n">
        <x:f>D910-IF(H910=0,1,0)</x:f>
        <x:v>1</x:v>
      </x:c>
      <x:c r="L910" s="19" t="n">
        <x:f>E910-IF(H910=1,1,0)</x:f>
        <x:v>4</x:v>
      </x:c>
      <x:c r="M910" s="19" t="n">
        <x:f>F910-IF(H910=2,1,0)</x:f>
        <x:v>1</x:v>
      </x:c>
      <x:c r="N910" s="19" t="n">
        <x:f>MAX(K910-1,0)+MAX(L910-1,0)+MAX(M910-1,0)</x:f>
        <x:v>3</x:v>
      </x:c>
      <x:c r="O910" s="19" t="n">
        <x:f>IF(AND(SUM(K910:M910)&lt;9,OR(M910=0,N910&lt;6)),1,0)</x:f>
        <x:v>1</x:v>
      </x:c>
      <x:c r="P910" s="19" t="n">
        <x:f>IF(AND(SUM(K910:M910)&lt;9,OR(L910=0,N910&lt;6)),1,0)</x:f>
        <x:v>1</x:v>
      </x:c>
      <x:c r="Q910" s="19" t="n">
        <x:f>IF(AND(SUM(K910:M910)&lt;9,OR(K910=0,N910&lt;6)),1,0)</x:f>
        <x:v>1</x:v>
      </x:c>
      <x:c r="R910" s="22" t="str">
        <x:f>O910&amp;P910&amp;Q910</x:f>
        <x:v>111</x:v>
      </x:c>
      <x:c r="S910" s="19" t="n">
        <x:f>IF(I910=1,IF(J910=0,Q910,IF(J910=1,P910,IF(J910=2,O910,0))),0)</x:f>
        <x:v>1</x:v>
      </x:c>
      <x:c r="T910" s="19" t="n">
        <x:f>K910+IF(AND(S910=1,J910=0),1,0)</x:f>
        <x:v>1</x:v>
      </x:c>
      <x:c r="U910" s="19" t="n">
        <x:f>L910+IF(AND(S910=1,J910=1),1,0)</x:f>
        <x:v>4</x:v>
      </x:c>
      <x:c r="V910" s="19" t="n">
        <x:f>M910+IF(AND(S910=1,J910=2),1,0)</x:f>
        <x:v>2</x:v>
      </x:c>
      <x:c r="W910" s="19" t="n">
        <x:f>SUM(T910:V910)</x:f>
        <x:v>7</x:v>
      </x:c>
      <x:c r="X910" s="19" t="n">
        <x:f>W910-G910</x:f>
        <x:v>0</x:v>
      </x:c>
      <x:c r="Y910" s="19" t="n">
        <x:f>MAX(T910,1)+MAX(U910,1)+MAX(V910,1)</x:f>
        <x:v>7</x:v>
      </x:c>
      <x:c r="Z910" s="21" t="str">
        <x:f>IF(AND(MIN(D910:F910)&gt;=0,MAX(D910:F910)&lt;=7,MAX(D910,1)+MAX(E910,1)+MAX(F910,1)&lt;=9,OR(H910="-",AND(H910=0,D910&gt;0),AND(H910=1,E910&gt;0),AND(H910=2,F910&gt;0)),OR(I910=0,AND(I910=1,OR(J910=0,J910=1,J910=2),R910&lt;&gt;"000")),Y910&lt;=9,MIN(T910:V910)&gt;=0),"合法","输入违约")</x:f>
        <x:v>合法</x:v>
      </x:c>
    </x:row>
    <x:row r="911" ht="23" customHeight="1">
      <x:c r="A911" s="3" t="str">
        <x:v>CT-0904</x:v>
      </x:c>
      <x:c r="B911" s="3" t="str">
        <x:v>ST-132</x:v>
      </x:c>
      <x:c r="C911" s="3" t="str">
        <x:v>无AR/R</x:v>
      </x:c>
      <x:c r="D911" s="25" t="n">
        <x:v>1</x:v>
      </x:c>
      <x:c r="E911" s="25" t="n">
        <x:v>4</x:v>
      </x:c>
      <x:c r="F911" s="25" t="n">
        <x:v>3</x:v>
      </x:c>
      <x:c r="G911" s="19" t="n">
        <x:f>SUM(D911:F911)</x:f>
        <x:v>8</x:v>
      </x:c>
      <x:c r="H911" s="25" t="str">
        <x:v>-</x:v>
      </x:c>
      <x:c r="I911" s="25" t="n">
        <x:v>0</x:v>
      </x:c>
      <x:c r="J911" s="25" t="str">
        <x:v>-</x:v>
      </x:c>
      <x:c r="K911" s="19" t="n">
        <x:f>D911-IF(H911=0,1,0)</x:f>
        <x:v>1</x:v>
      </x:c>
      <x:c r="L911" s="19" t="n">
        <x:f>E911-IF(H911=1,1,0)</x:f>
        <x:v>4</x:v>
      </x:c>
      <x:c r="M911" s="19" t="n">
        <x:f>F911-IF(H911=2,1,0)</x:f>
        <x:v>3</x:v>
      </x:c>
      <x:c r="N911" s="19" t="n">
        <x:f>MAX(K911-1,0)+MAX(L911-1,0)+MAX(M911-1,0)</x:f>
        <x:v>5</x:v>
      </x:c>
      <x:c r="O911" s="19" t="n">
        <x:f>IF(AND(SUM(K911:M911)&lt;9,OR(M911=0,N911&lt;6)),1,0)</x:f>
        <x:v>1</x:v>
      </x:c>
      <x:c r="P911" s="19" t="n">
        <x:f>IF(AND(SUM(K911:M911)&lt;9,OR(L911=0,N911&lt;6)),1,0)</x:f>
        <x:v>1</x:v>
      </x:c>
      <x:c r="Q911" s="19" t="n">
        <x:f>IF(AND(SUM(K911:M911)&lt;9,OR(K911=0,N911&lt;6)),1,0)</x:f>
        <x:v>1</x:v>
      </x:c>
      <x:c r="R911" s="22" t="str">
        <x:f>O911&amp;P911&amp;Q911</x:f>
        <x:v>111</x:v>
      </x:c>
      <x:c r="S911" s="19" t="n">
        <x:f>IF(I911=1,IF(J911=0,Q911,IF(J911=1,P911,IF(J911=2,O911,0))),0)</x:f>
        <x:v>0</x:v>
      </x:c>
      <x:c r="T911" s="19" t="n">
        <x:f>K911+IF(AND(S911=1,J911=0),1,0)</x:f>
        <x:v>1</x:v>
      </x:c>
      <x:c r="U911" s="19" t="n">
        <x:f>L911+IF(AND(S911=1,J911=1),1,0)</x:f>
        <x:v>4</x:v>
      </x:c>
      <x:c r="V911" s="19" t="n">
        <x:f>M911+IF(AND(S911=1,J911=2),1,0)</x:f>
        <x:v>3</x:v>
      </x:c>
      <x:c r="W911" s="19" t="n">
        <x:f>SUM(T911:V911)</x:f>
        <x:v>8</x:v>
      </x:c>
      <x:c r="X911" s="19" t="n">
        <x:f>W911-G911</x:f>
        <x:v>0</x:v>
      </x:c>
      <x:c r="Y911" s="19" t="n">
        <x:f>MAX(T911,1)+MAX(U911,1)+MAX(V911,1)</x:f>
        <x:v>8</x:v>
      </x:c>
      <x:c r="Z911" s="21" t="str">
        <x:f>IF(AND(MIN(D911:F911)&gt;=0,MAX(D911:F911)&lt;=7,MAX(D911,1)+MAX(E911,1)+MAX(F911,1)&lt;=9,OR(H911="-",AND(H911=0,D911&gt;0),AND(H911=1,E911&gt;0),AND(H911=2,F911&gt;0)),OR(I911=0,AND(I911=1,OR(J911=0,J911=1,J911=2),R911&lt;&gt;"000")),Y911&lt;=9,MIN(T911:V911)&gt;=0),"合法","输入违约")</x:f>
        <x:v>合法</x:v>
      </x:c>
    </x:row>
    <x:row r="912" ht="23" customHeight="1">
      <x:c r="A912" s="3" t="str">
        <x:v>CT-0905</x:v>
      </x:c>
      <x:c r="B912" s="3" t="str">
        <x:v>ST-132</x:v>
      </x:c>
      <x:c r="C912" s="3" t="str">
        <x:v>仅AR接收</x:v>
      </x:c>
      <x:c r="D912" s="25" t="n">
        <x:v>1</x:v>
      </x:c>
      <x:c r="E912" s="25" t="n">
        <x:v>4</x:v>
      </x:c>
      <x:c r="F912" s="25" t="n">
        <x:v>3</x:v>
      </x:c>
      <x:c r="G912" s="19" t="n">
        <x:f>SUM(D912:F912)</x:f>
        <x:v>8</x:v>
      </x:c>
      <x:c r="H912" s="25" t="str">
        <x:v>-</x:v>
      </x:c>
      <x:c r="I912" s="25" t="n">
        <x:v>1</x:v>
      </x:c>
      <x:c r="J912" s="25" t="n">
        <x:v>0</x:v>
      </x:c>
      <x:c r="K912" s="19" t="n">
        <x:f>D912-IF(H912=0,1,0)</x:f>
        <x:v>1</x:v>
      </x:c>
      <x:c r="L912" s="19" t="n">
        <x:f>E912-IF(H912=1,1,0)</x:f>
        <x:v>4</x:v>
      </x:c>
      <x:c r="M912" s="19" t="n">
        <x:f>F912-IF(H912=2,1,0)</x:f>
        <x:v>3</x:v>
      </x:c>
      <x:c r="N912" s="19" t="n">
        <x:f>MAX(K912-1,0)+MAX(L912-1,0)+MAX(M912-1,0)</x:f>
        <x:v>5</x:v>
      </x:c>
      <x:c r="O912" s="19" t="n">
        <x:f>IF(AND(SUM(K912:M912)&lt;9,OR(M912=0,N912&lt;6)),1,0)</x:f>
        <x:v>1</x:v>
      </x:c>
      <x:c r="P912" s="19" t="n">
        <x:f>IF(AND(SUM(K912:M912)&lt;9,OR(L912=0,N912&lt;6)),1,0)</x:f>
        <x:v>1</x:v>
      </x:c>
      <x:c r="Q912" s="19" t="n">
        <x:f>IF(AND(SUM(K912:M912)&lt;9,OR(K912=0,N912&lt;6)),1,0)</x:f>
        <x:v>1</x:v>
      </x:c>
      <x:c r="R912" s="22" t="str">
        <x:f>O912&amp;P912&amp;Q912</x:f>
        <x:v>111</x:v>
      </x:c>
      <x:c r="S912" s="19" t="n">
        <x:f>IF(I912=1,IF(J912=0,Q912,IF(J912=1,P912,IF(J912=2,O912,0))),0)</x:f>
        <x:v>1</x:v>
      </x:c>
      <x:c r="T912" s="19" t="n">
        <x:f>K912+IF(AND(S912=1,J912=0),1,0)</x:f>
        <x:v>2</x:v>
      </x:c>
      <x:c r="U912" s="19" t="n">
        <x:f>L912+IF(AND(S912=1,J912=1),1,0)</x:f>
        <x:v>4</x:v>
      </x:c>
      <x:c r="V912" s="19" t="n">
        <x:f>M912+IF(AND(S912=1,J912=2),1,0)</x:f>
        <x:v>3</x:v>
      </x:c>
      <x:c r="W912" s="19" t="n">
        <x:f>SUM(T912:V912)</x:f>
        <x:v>9</x:v>
      </x:c>
      <x:c r="X912" s="19" t="n">
        <x:f>W912-G912</x:f>
        <x:v>1</x:v>
      </x:c>
      <x:c r="Y912" s="19" t="n">
        <x:f>MAX(T912,1)+MAX(U912,1)+MAX(V912,1)</x:f>
        <x:v>9</x:v>
      </x:c>
      <x:c r="Z912" s="21" t="str">
        <x:f>IF(AND(MIN(D912:F912)&gt;=0,MAX(D912:F912)&lt;=7,MAX(D912,1)+MAX(E912,1)+MAX(F912,1)&lt;=9,OR(H912="-",AND(H912=0,D912&gt;0),AND(H912=1,E912&gt;0),AND(H912=2,F912&gt;0)),OR(I912=0,AND(I912=1,OR(J912=0,J912=1,J912=2),R912&lt;&gt;"000")),Y912&lt;=9,MIN(T912:V912)&gt;=0),"合法","输入违约")</x:f>
        <x:v>合法</x:v>
      </x:c>
    </x:row>
    <x:row r="913" ht="23" customHeight="1">
      <x:c r="A913" s="3" t="str">
        <x:v>CT-0906</x:v>
      </x:c>
      <x:c r="B913" s="3" t="str">
        <x:v>ST-132</x:v>
      </x:c>
      <x:c r="C913" s="3" t="str">
        <x:v>仅AR接收</x:v>
      </x:c>
      <x:c r="D913" s="25" t="n">
        <x:v>1</x:v>
      </x:c>
      <x:c r="E913" s="25" t="n">
        <x:v>4</x:v>
      </x:c>
      <x:c r="F913" s="25" t="n">
        <x:v>3</x:v>
      </x:c>
      <x:c r="G913" s="19" t="n">
        <x:f>SUM(D913:F913)</x:f>
        <x:v>8</x:v>
      </x:c>
      <x:c r="H913" s="25" t="str">
        <x:v>-</x:v>
      </x:c>
      <x:c r="I913" s="25" t="n">
        <x:v>1</x:v>
      </x:c>
      <x:c r="J913" s="25" t="n">
        <x:v>1</x:v>
      </x:c>
      <x:c r="K913" s="19" t="n">
        <x:f>D913-IF(H913=0,1,0)</x:f>
        <x:v>1</x:v>
      </x:c>
      <x:c r="L913" s="19" t="n">
        <x:f>E913-IF(H913=1,1,0)</x:f>
        <x:v>4</x:v>
      </x:c>
      <x:c r="M913" s="19" t="n">
        <x:f>F913-IF(H913=2,1,0)</x:f>
        <x:v>3</x:v>
      </x:c>
      <x:c r="N913" s="19" t="n">
        <x:f>MAX(K913-1,0)+MAX(L913-1,0)+MAX(M913-1,0)</x:f>
        <x:v>5</x:v>
      </x:c>
      <x:c r="O913" s="19" t="n">
        <x:f>IF(AND(SUM(K913:M913)&lt;9,OR(M913=0,N913&lt;6)),1,0)</x:f>
        <x:v>1</x:v>
      </x:c>
      <x:c r="P913" s="19" t="n">
        <x:f>IF(AND(SUM(K913:M913)&lt;9,OR(L913=0,N913&lt;6)),1,0)</x:f>
        <x:v>1</x:v>
      </x:c>
      <x:c r="Q913" s="19" t="n">
        <x:f>IF(AND(SUM(K913:M913)&lt;9,OR(K913=0,N913&lt;6)),1,0)</x:f>
        <x:v>1</x:v>
      </x:c>
      <x:c r="R913" s="22" t="str">
        <x:f>O913&amp;P913&amp;Q913</x:f>
        <x:v>111</x:v>
      </x:c>
      <x:c r="S913" s="19" t="n">
        <x:f>IF(I913=1,IF(J913=0,Q913,IF(J913=1,P913,IF(J913=2,O913,0))),0)</x:f>
        <x:v>1</x:v>
      </x:c>
      <x:c r="T913" s="19" t="n">
        <x:f>K913+IF(AND(S913=1,J913=0),1,0)</x:f>
        <x:v>1</x:v>
      </x:c>
      <x:c r="U913" s="19" t="n">
        <x:f>L913+IF(AND(S913=1,J913=1),1,0)</x:f>
        <x:v>5</x:v>
      </x:c>
      <x:c r="V913" s="19" t="n">
        <x:f>M913+IF(AND(S913=1,J913=2),1,0)</x:f>
        <x:v>3</x:v>
      </x:c>
      <x:c r="W913" s="19" t="n">
        <x:f>SUM(T913:V913)</x:f>
        <x:v>9</x:v>
      </x:c>
      <x:c r="X913" s="19" t="n">
        <x:f>W913-G913</x:f>
        <x:v>1</x:v>
      </x:c>
      <x:c r="Y913" s="19" t="n">
        <x:f>MAX(T913,1)+MAX(U913,1)+MAX(V913,1)</x:f>
        <x:v>9</x:v>
      </x:c>
      <x:c r="Z913" s="21" t="str">
        <x:f>IF(AND(MIN(D913:F913)&gt;=0,MAX(D913:F913)&lt;=7,MAX(D913,1)+MAX(E913,1)+MAX(F913,1)&lt;=9,OR(H913="-",AND(H913=0,D913&gt;0),AND(H913=1,E913&gt;0),AND(H913=2,F913&gt;0)),OR(I913=0,AND(I913=1,OR(J913=0,J913=1,J913=2),R913&lt;&gt;"000")),Y913&lt;=9,MIN(T913:V913)&gt;=0),"合法","输入违约")</x:f>
        <x:v>合法</x:v>
      </x:c>
    </x:row>
    <x:row r="914" ht="23" customHeight="1">
      <x:c r="A914" s="3" t="str">
        <x:v>CT-0907</x:v>
      </x:c>
      <x:c r="B914" s="3" t="str">
        <x:v>ST-132</x:v>
      </x:c>
      <x:c r="C914" s="3" t="str">
        <x:v>仅AR接收</x:v>
      </x:c>
      <x:c r="D914" s="25" t="n">
        <x:v>1</x:v>
      </x:c>
      <x:c r="E914" s="25" t="n">
        <x:v>4</x:v>
      </x:c>
      <x:c r="F914" s="25" t="n">
        <x:v>3</x:v>
      </x:c>
      <x:c r="G914" s="19" t="n">
        <x:f>SUM(D914:F914)</x:f>
        <x:v>8</x:v>
      </x:c>
      <x:c r="H914" s="25" t="str">
        <x:v>-</x:v>
      </x:c>
      <x:c r="I914" s="25" t="n">
        <x:v>1</x:v>
      </x:c>
      <x:c r="J914" s="25" t="n">
        <x:v>2</x:v>
      </x:c>
      <x:c r="K914" s="19" t="n">
        <x:f>D914-IF(H914=0,1,0)</x:f>
        <x:v>1</x:v>
      </x:c>
      <x:c r="L914" s="19" t="n">
        <x:f>E914-IF(H914=1,1,0)</x:f>
        <x:v>4</x:v>
      </x:c>
      <x:c r="M914" s="19" t="n">
        <x:f>F914-IF(H914=2,1,0)</x:f>
        <x:v>3</x:v>
      </x:c>
      <x:c r="N914" s="19" t="n">
        <x:f>MAX(K914-1,0)+MAX(L914-1,0)+MAX(M914-1,0)</x:f>
        <x:v>5</x:v>
      </x:c>
      <x:c r="O914" s="19" t="n">
        <x:f>IF(AND(SUM(K914:M914)&lt;9,OR(M914=0,N914&lt;6)),1,0)</x:f>
        <x:v>1</x:v>
      </x:c>
      <x:c r="P914" s="19" t="n">
        <x:f>IF(AND(SUM(K914:M914)&lt;9,OR(L914=0,N914&lt;6)),1,0)</x:f>
        <x:v>1</x:v>
      </x:c>
      <x:c r="Q914" s="19" t="n">
        <x:f>IF(AND(SUM(K914:M914)&lt;9,OR(K914=0,N914&lt;6)),1,0)</x:f>
        <x:v>1</x:v>
      </x:c>
      <x:c r="R914" s="22" t="str">
        <x:f>O914&amp;P914&amp;Q914</x:f>
        <x:v>111</x:v>
      </x:c>
      <x:c r="S914" s="19" t="n">
        <x:f>IF(I914=1,IF(J914=0,Q914,IF(J914=1,P914,IF(J914=2,O914,0))),0)</x:f>
        <x:v>1</x:v>
      </x:c>
      <x:c r="T914" s="19" t="n">
        <x:f>K914+IF(AND(S914=1,J914=0),1,0)</x:f>
        <x:v>1</x:v>
      </x:c>
      <x:c r="U914" s="19" t="n">
        <x:f>L914+IF(AND(S914=1,J914=1),1,0)</x:f>
        <x:v>4</x:v>
      </x:c>
      <x:c r="V914" s="19" t="n">
        <x:f>M914+IF(AND(S914=1,J914=2),1,0)</x:f>
        <x:v>4</x:v>
      </x:c>
      <x:c r="W914" s="19" t="n">
        <x:f>SUM(T914:V914)</x:f>
        <x:v>9</x:v>
      </x:c>
      <x:c r="X914" s="19" t="n">
        <x:f>W914-G914</x:f>
        <x:v>1</x:v>
      </x:c>
      <x:c r="Y914" s="19" t="n">
        <x:f>MAX(T914,1)+MAX(U914,1)+MAX(V914,1)</x:f>
        <x:v>9</x:v>
      </x:c>
      <x:c r="Z914" s="21" t="str">
        <x:f>IF(AND(MIN(D914:F914)&gt;=0,MAX(D914:F914)&lt;=7,MAX(D914,1)+MAX(E914,1)+MAX(F914,1)&lt;=9,OR(H914="-",AND(H914=0,D914&gt;0),AND(H914=1,E914&gt;0),AND(H914=2,F914&gt;0)),OR(I914=0,AND(I914=1,OR(J914=0,J914=1,J914=2),R914&lt;&gt;"000")),Y914&lt;=9,MIN(T914:V914)&gt;=0),"合法","输入违约")</x:f>
        <x:v>合法</x:v>
      </x:c>
    </x:row>
    <x:row r="915" ht="23" customHeight="1">
      <x:c r="A915" s="3" t="str">
        <x:v>CT-0908</x:v>
      </x:c>
      <x:c r="B915" s="3" t="str">
        <x:v>ST-132</x:v>
      </x:c>
      <x:c r="C915" s="3" t="str">
        <x:v>仅R回收</x:v>
      </x:c>
      <x:c r="D915" s="25" t="n">
        <x:v>1</x:v>
      </x:c>
      <x:c r="E915" s="25" t="n">
        <x:v>4</x:v>
      </x:c>
      <x:c r="F915" s="25" t="n">
        <x:v>3</x:v>
      </x:c>
      <x:c r="G915" s="19" t="n">
        <x:f>SUM(D915:F915)</x:f>
        <x:v>8</x:v>
      </x:c>
      <x:c r="H915" s="25" t="n">
        <x:v>0</x:v>
      </x:c>
      <x:c r="I915" s="25" t="n">
        <x:v>0</x:v>
      </x:c>
      <x:c r="J915" s="25" t="str">
        <x:v>-</x:v>
      </x:c>
      <x:c r="K915" s="19" t="n">
        <x:f>D915-IF(H915=0,1,0)</x:f>
        <x:v>0</x:v>
      </x:c>
      <x:c r="L915" s="19" t="n">
        <x:f>E915-IF(H915=1,1,0)</x:f>
        <x:v>4</x:v>
      </x:c>
      <x:c r="M915" s="19" t="n">
        <x:f>F915-IF(H915=2,1,0)</x:f>
        <x:v>3</x:v>
      </x:c>
      <x:c r="N915" s="19" t="n">
        <x:f>MAX(K915-1,0)+MAX(L915-1,0)+MAX(M915-1,0)</x:f>
        <x:v>5</x:v>
      </x:c>
      <x:c r="O915" s="19" t="n">
        <x:f>IF(AND(SUM(K915:M915)&lt;9,OR(M915=0,N915&lt;6)),1,0)</x:f>
        <x:v>1</x:v>
      </x:c>
      <x:c r="P915" s="19" t="n">
        <x:f>IF(AND(SUM(K915:M915)&lt;9,OR(L915=0,N915&lt;6)),1,0)</x:f>
        <x:v>1</x:v>
      </x:c>
      <x:c r="Q915" s="19" t="n">
        <x:f>IF(AND(SUM(K915:M915)&lt;9,OR(K915=0,N915&lt;6)),1,0)</x:f>
        <x:v>1</x:v>
      </x:c>
      <x:c r="R915" s="22" t="str">
        <x:f>O915&amp;P915&amp;Q915</x:f>
        <x:v>111</x:v>
      </x:c>
      <x:c r="S915" s="19" t="n">
        <x:f>IF(I915=1,IF(J915=0,Q915,IF(J915=1,P915,IF(J915=2,O915,0))),0)</x:f>
        <x:v>0</x:v>
      </x:c>
      <x:c r="T915" s="19" t="n">
        <x:f>K915+IF(AND(S915=1,J915=0),1,0)</x:f>
        <x:v>0</x:v>
      </x:c>
      <x:c r="U915" s="19" t="n">
        <x:f>L915+IF(AND(S915=1,J915=1),1,0)</x:f>
        <x:v>4</x:v>
      </x:c>
      <x:c r="V915" s="19" t="n">
        <x:f>M915+IF(AND(S915=1,J915=2),1,0)</x:f>
        <x:v>3</x:v>
      </x:c>
      <x:c r="W915" s="19" t="n">
        <x:f>SUM(T915:V915)</x:f>
        <x:v>7</x:v>
      </x:c>
      <x:c r="X915" s="19" t="n">
        <x:f>W915-G915</x:f>
        <x:v>-1</x:v>
      </x:c>
      <x:c r="Y915" s="19" t="n">
        <x:f>MAX(T915,1)+MAX(U915,1)+MAX(V915,1)</x:f>
        <x:v>8</x:v>
      </x:c>
      <x:c r="Z915" s="21" t="str">
        <x:f>IF(AND(MIN(D915:F915)&gt;=0,MAX(D915:F915)&lt;=7,MAX(D915,1)+MAX(E915,1)+MAX(F915,1)&lt;=9,OR(H915="-",AND(H915=0,D915&gt;0),AND(H915=1,E915&gt;0),AND(H915=2,F915&gt;0)),OR(I915=0,AND(I915=1,OR(J915=0,J915=1,J915=2),R915&lt;&gt;"000")),Y915&lt;=9,MIN(T915:V915)&gt;=0),"合法","输入违约")</x:f>
        <x:v>合法</x:v>
      </x:c>
    </x:row>
    <x:row r="916" ht="23" customHeight="1">
      <x:c r="A916" s="3" t="str">
        <x:v>CT-0909</x:v>
      </x:c>
      <x:c r="B916" s="3" t="str">
        <x:v>ST-132</x:v>
      </x:c>
      <x:c r="C916" s="3" t="str">
        <x:v>R+AR同收同发</x:v>
      </x:c>
      <x:c r="D916" s="25" t="n">
        <x:v>1</x:v>
      </x:c>
      <x:c r="E916" s="25" t="n">
        <x:v>4</x:v>
      </x:c>
      <x:c r="F916" s="25" t="n">
        <x:v>3</x:v>
      </x:c>
      <x:c r="G916" s="19" t="n">
        <x:f>SUM(D916:F916)</x:f>
        <x:v>8</x:v>
      </x:c>
      <x:c r="H916" s="25" t="n">
        <x:v>0</x:v>
      </x:c>
      <x:c r="I916" s="25" t="n">
        <x:v>1</x:v>
      </x:c>
      <x:c r="J916" s="25" t="n">
        <x:v>0</x:v>
      </x:c>
      <x:c r="K916" s="19" t="n">
        <x:f>D916-IF(H916=0,1,0)</x:f>
        <x:v>0</x:v>
      </x:c>
      <x:c r="L916" s="19" t="n">
        <x:f>E916-IF(H916=1,1,0)</x:f>
        <x:v>4</x:v>
      </x:c>
      <x:c r="M916" s="19" t="n">
        <x:f>F916-IF(H916=2,1,0)</x:f>
        <x:v>3</x:v>
      </x:c>
      <x:c r="N916" s="19" t="n">
        <x:f>MAX(K916-1,0)+MAX(L916-1,0)+MAX(M916-1,0)</x:f>
        <x:v>5</x:v>
      </x:c>
      <x:c r="O916" s="19" t="n">
        <x:f>IF(AND(SUM(K916:M916)&lt;9,OR(M916=0,N916&lt;6)),1,0)</x:f>
        <x:v>1</x:v>
      </x:c>
      <x:c r="P916" s="19" t="n">
        <x:f>IF(AND(SUM(K916:M916)&lt;9,OR(L916=0,N916&lt;6)),1,0)</x:f>
        <x:v>1</x:v>
      </x:c>
      <x:c r="Q916" s="19" t="n">
        <x:f>IF(AND(SUM(K916:M916)&lt;9,OR(K916=0,N916&lt;6)),1,0)</x:f>
        <x:v>1</x:v>
      </x:c>
      <x:c r="R916" s="22" t="str">
        <x:f>O916&amp;P916&amp;Q916</x:f>
        <x:v>111</x:v>
      </x:c>
      <x:c r="S916" s="19" t="n">
        <x:f>IF(I916=1,IF(J916=0,Q916,IF(J916=1,P916,IF(J916=2,O916,0))),0)</x:f>
        <x:v>1</x:v>
      </x:c>
      <x:c r="T916" s="19" t="n">
        <x:f>K916+IF(AND(S916=1,J916=0),1,0)</x:f>
        <x:v>1</x:v>
      </x:c>
      <x:c r="U916" s="19" t="n">
        <x:f>L916+IF(AND(S916=1,J916=1),1,0)</x:f>
        <x:v>4</x:v>
      </x:c>
      <x:c r="V916" s="19" t="n">
        <x:f>M916+IF(AND(S916=1,J916=2),1,0)</x:f>
        <x:v>3</x:v>
      </x:c>
      <x:c r="W916" s="19" t="n">
        <x:f>SUM(T916:V916)</x:f>
        <x:v>8</x:v>
      </x:c>
      <x:c r="X916" s="19" t="n">
        <x:f>W916-G916</x:f>
        <x:v>0</x:v>
      </x:c>
      <x:c r="Y916" s="19" t="n">
        <x:f>MAX(T916,1)+MAX(U916,1)+MAX(V916,1)</x:f>
        <x:v>8</x:v>
      </x:c>
      <x:c r="Z916" s="21" t="str">
        <x:f>IF(AND(MIN(D916:F916)&gt;=0,MAX(D916:F916)&lt;=7,MAX(D916,1)+MAX(E916,1)+MAX(F916,1)&lt;=9,OR(H916="-",AND(H916=0,D916&gt;0),AND(H916=1,E916&gt;0),AND(H916=2,F916&gt;0)),OR(I916=0,AND(I916=1,OR(J916=0,J916=1,J916=2),R916&lt;&gt;"000")),Y916&lt;=9,MIN(T916:V916)&gt;=0),"合法","输入违约")</x:f>
        <x:v>合法</x:v>
      </x:c>
    </x:row>
    <x:row r="917" ht="23" customHeight="1">
      <x:c r="A917" s="3" t="str">
        <x:v>CT-0910</x:v>
      </x:c>
      <x:c r="B917" s="3" t="str">
        <x:v>ST-132</x:v>
      </x:c>
      <x:c r="C917" s="3" t="str">
        <x:v>R+AR同收同发</x:v>
      </x:c>
      <x:c r="D917" s="25" t="n">
        <x:v>1</x:v>
      </x:c>
      <x:c r="E917" s="25" t="n">
        <x:v>4</x:v>
      </x:c>
      <x:c r="F917" s="25" t="n">
        <x:v>3</x:v>
      </x:c>
      <x:c r="G917" s="19" t="n">
        <x:f>SUM(D917:F917)</x:f>
        <x:v>8</x:v>
      </x:c>
      <x:c r="H917" s="25" t="n">
        <x:v>0</x:v>
      </x:c>
      <x:c r="I917" s="25" t="n">
        <x:v>1</x:v>
      </x:c>
      <x:c r="J917" s="25" t="n">
        <x:v>1</x:v>
      </x:c>
      <x:c r="K917" s="19" t="n">
        <x:f>D917-IF(H917=0,1,0)</x:f>
        <x:v>0</x:v>
      </x:c>
      <x:c r="L917" s="19" t="n">
        <x:f>E917-IF(H917=1,1,0)</x:f>
        <x:v>4</x:v>
      </x:c>
      <x:c r="M917" s="19" t="n">
        <x:f>F917-IF(H917=2,1,0)</x:f>
        <x:v>3</x:v>
      </x:c>
      <x:c r="N917" s="19" t="n">
        <x:f>MAX(K917-1,0)+MAX(L917-1,0)+MAX(M917-1,0)</x:f>
        <x:v>5</x:v>
      </x:c>
      <x:c r="O917" s="19" t="n">
        <x:f>IF(AND(SUM(K917:M917)&lt;9,OR(M917=0,N917&lt;6)),1,0)</x:f>
        <x:v>1</x:v>
      </x:c>
      <x:c r="P917" s="19" t="n">
        <x:f>IF(AND(SUM(K917:M917)&lt;9,OR(L917=0,N917&lt;6)),1,0)</x:f>
        <x:v>1</x:v>
      </x:c>
      <x:c r="Q917" s="19" t="n">
        <x:f>IF(AND(SUM(K917:M917)&lt;9,OR(K917=0,N917&lt;6)),1,0)</x:f>
        <x:v>1</x:v>
      </x:c>
      <x:c r="R917" s="22" t="str">
        <x:f>O917&amp;P917&amp;Q917</x:f>
        <x:v>111</x:v>
      </x:c>
      <x:c r="S917" s="19" t="n">
        <x:f>IF(I917=1,IF(J917=0,Q917,IF(J917=1,P917,IF(J917=2,O917,0))),0)</x:f>
        <x:v>1</x:v>
      </x:c>
      <x:c r="T917" s="19" t="n">
        <x:f>K917+IF(AND(S917=1,J917=0),1,0)</x:f>
        <x:v>0</x:v>
      </x:c>
      <x:c r="U917" s="19" t="n">
        <x:f>L917+IF(AND(S917=1,J917=1),1,0)</x:f>
        <x:v>5</x:v>
      </x:c>
      <x:c r="V917" s="19" t="n">
        <x:f>M917+IF(AND(S917=1,J917=2),1,0)</x:f>
        <x:v>3</x:v>
      </x:c>
      <x:c r="W917" s="19" t="n">
        <x:f>SUM(T917:V917)</x:f>
        <x:v>8</x:v>
      </x:c>
      <x:c r="X917" s="19" t="n">
        <x:f>W917-G917</x:f>
        <x:v>0</x:v>
      </x:c>
      <x:c r="Y917" s="19" t="n">
        <x:f>MAX(T917,1)+MAX(U917,1)+MAX(V917,1)</x:f>
        <x:v>9</x:v>
      </x:c>
      <x:c r="Z917" s="21" t="str">
        <x:f>IF(AND(MIN(D917:F917)&gt;=0,MAX(D917:F917)&lt;=7,MAX(D917,1)+MAX(E917,1)+MAX(F917,1)&lt;=9,OR(H917="-",AND(H917=0,D917&gt;0),AND(H917=1,E917&gt;0),AND(H917=2,F917&gt;0)),OR(I917=0,AND(I917=1,OR(J917=0,J917=1,J917=2),R917&lt;&gt;"000")),Y917&lt;=9,MIN(T917:V917)&gt;=0),"合法","输入违约")</x:f>
        <x:v>合法</x:v>
      </x:c>
    </x:row>
    <x:row r="918" ht="23" customHeight="1">
      <x:c r="A918" s="3" t="str">
        <x:v>CT-0911</x:v>
      </x:c>
      <x:c r="B918" s="3" t="str">
        <x:v>ST-132</x:v>
      </x:c>
      <x:c r="C918" s="3" t="str">
        <x:v>R+AR同收同发</x:v>
      </x:c>
      <x:c r="D918" s="25" t="n">
        <x:v>1</x:v>
      </x:c>
      <x:c r="E918" s="25" t="n">
        <x:v>4</x:v>
      </x:c>
      <x:c r="F918" s="25" t="n">
        <x:v>3</x:v>
      </x:c>
      <x:c r="G918" s="19" t="n">
        <x:f>SUM(D918:F918)</x:f>
        <x:v>8</x:v>
      </x:c>
      <x:c r="H918" s="25" t="n">
        <x:v>0</x:v>
      </x:c>
      <x:c r="I918" s="25" t="n">
        <x:v>1</x:v>
      </x:c>
      <x:c r="J918" s="25" t="n">
        <x:v>2</x:v>
      </x:c>
      <x:c r="K918" s="19" t="n">
        <x:f>D918-IF(H918=0,1,0)</x:f>
        <x:v>0</x:v>
      </x:c>
      <x:c r="L918" s="19" t="n">
        <x:f>E918-IF(H918=1,1,0)</x:f>
        <x:v>4</x:v>
      </x:c>
      <x:c r="M918" s="19" t="n">
        <x:f>F918-IF(H918=2,1,0)</x:f>
        <x:v>3</x:v>
      </x:c>
      <x:c r="N918" s="19" t="n">
        <x:f>MAX(K918-1,0)+MAX(L918-1,0)+MAX(M918-1,0)</x:f>
        <x:v>5</x:v>
      </x:c>
      <x:c r="O918" s="19" t="n">
        <x:f>IF(AND(SUM(K918:M918)&lt;9,OR(M918=0,N918&lt;6)),1,0)</x:f>
        <x:v>1</x:v>
      </x:c>
      <x:c r="P918" s="19" t="n">
        <x:f>IF(AND(SUM(K918:M918)&lt;9,OR(L918=0,N918&lt;6)),1,0)</x:f>
        <x:v>1</x:v>
      </x:c>
      <x:c r="Q918" s="19" t="n">
        <x:f>IF(AND(SUM(K918:M918)&lt;9,OR(K918=0,N918&lt;6)),1,0)</x:f>
        <x:v>1</x:v>
      </x:c>
      <x:c r="R918" s="22" t="str">
        <x:f>O918&amp;P918&amp;Q918</x:f>
        <x:v>111</x:v>
      </x:c>
      <x:c r="S918" s="19" t="n">
        <x:f>IF(I918=1,IF(J918=0,Q918,IF(J918=1,P918,IF(J918=2,O918,0))),0)</x:f>
        <x:v>1</x:v>
      </x:c>
      <x:c r="T918" s="19" t="n">
        <x:f>K918+IF(AND(S918=1,J918=0),1,0)</x:f>
        <x:v>0</x:v>
      </x:c>
      <x:c r="U918" s="19" t="n">
        <x:f>L918+IF(AND(S918=1,J918=1),1,0)</x:f>
        <x:v>4</x:v>
      </x:c>
      <x:c r="V918" s="19" t="n">
        <x:f>M918+IF(AND(S918=1,J918=2),1,0)</x:f>
        <x:v>4</x:v>
      </x:c>
      <x:c r="W918" s="19" t="n">
        <x:f>SUM(T918:V918)</x:f>
        <x:v>8</x:v>
      </x:c>
      <x:c r="X918" s="19" t="n">
        <x:f>W918-G918</x:f>
        <x:v>0</x:v>
      </x:c>
      <x:c r="Y918" s="19" t="n">
        <x:f>MAX(T918,1)+MAX(U918,1)+MAX(V918,1)</x:f>
        <x:v>9</x:v>
      </x:c>
      <x:c r="Z918" s="21" t="str">
        <x:f>IF(AND(MIN(D918:F918)&gt;=0,MAX(D918:F918)&lt;=7,MAX(D918,1)+MAX(E918,1)+MAX(F918,1)&lt;=9,OR(H918="-",AND(H918=0,D918&gt;0),AND(H918=1,E918&gt;0),AND(H918=2,F918&gt;0)),OR(I918=0,AND(I918=1,OR(J918=0,J918=1,J918=2),R918&lt;&gt;"000")),Y918&lt;=9,MIN(T918:V918)&gt;=0),"合法","输入违约")</x:f>
        <x:v>合法</x:v>
      </x:c>
    </x:row>
    <x:row r="919" ht="23" customHeight="1">
      <x:c r="A919" s="3" t="str">
        <x:v>CT-0912</x:v>
      </x:c>
      <x:c r="B919" s="3" t="str">
        <x:v>ST-132</x:v>
      </x:c>
      <x:c r="C919" s="3" t="str">
        <x:v>仅R回收</x:v>
      </x:c>
      <x:c r="D919" s="25" t="n">
        <x:v>1</x:v>
      </x:c>
      <x:c r="E919" s="25" t="n">
        <x:v>4</x:v>
      </x:c>
      <x:c r="F919" s="25" t="n">
        <x:v>3</x:v>
      </x:c>
      <x:c r="G919" s="19" t="n">
        <x:f>SUM(D919:F919)</x:f>
        <x:v>8</x:v>
      </x:c>
      <x:c r="H919" s="25" t="n">
        <x:v>1</x:v>
      </x:c>
      <x:c r="I919" s="25" t="n">
        <x:v>0</x:v>
      </x:c>
      <x:c r="J919" s="25" t="str">
        <x:v>-</x:v>
      </x:c>
      <x:c r="K919" s="19" t="n">
        <x:f>D919-IF(H919=0,1,0)</x:f>
        <x:v>1</x:v>
      </x:c>
      <x:c r="L919" s="19" t="n">
        <x:f>E919-IF(H919=1,1,0)</x:f>
        <x:v>3</x:v>
      </x:c>
      <x:c r="M919" s="19" t="n">
        <x:f>F919-IF(H919=2,1,0)</x:f>
        <x:v>3</x:v>
      </x:c>
      <x:c r="N919" s="19" t="n">
        <x:f>MAX(K919-1,0)+MAX(L919-1,0)+MAX(M919-1,0)</x:f>
        <x:v>4</x:v>
      </x:c>
      <x:c r="O919" s="19" t="n">
        <x:f>IF(AND(SUM(K919:M919)&lt;9,OR(M919=0,N919&lt;6)),1,0)</x:f>
        <x:v>1</x:v>
      </x:c>
      <x:c r="P919" s="19" t="n">
        <x:f>IF(AND(SUM(K919:M919)&lt;9,OR(L919=0,N919&lt;6)),1,0)</x:f>
        <x:v>1</x:v>
      </x:c>
      <x:c r="Q919" s="19" t="n">
        <x:f>IF(AND(SUM(K919:M919)&lt;9,OR(K919=0,N919&lt;6)),1,0)</x:f>
        <x:v>1</x:v>
      </x:c>
      <x:c r="R919" s="22" t="str">
        <x:f>O919&amp;P919&amp;Q919</x:f>
        <x:v>111</x:v>
      </x:c>
      <x:c r="S919" s="19" t="n">
        <x:f>IF(I919=1,IF(J919=0,Q919,IF(J919=1,P919,IF(J919=2,O919,0))),0)</x:f>
        <x:v>0</x:v>
      </x:c>
      <x:c r="T919" s="19" t="n">
        <x:f>K919+IF(AND(S919=1,J919=0),1,0)</x:f>
        <x:v>1</x:v>
      </x:c>
      <x:c r="U919" s="19" t="n">
        <x:f>L919+IF(AND(S919=1,J919=1),1,0)</x:f>
        <x:v>3</x:v>
      </x:c>
      <x:c r="V919" s="19" t="n">
        <x:f>M919+IF(AND(S919=1,J919=2),1,0)</x:f>
        <x:v>3</x:v>
      </x:c>
      <x:c r="W919" s="19" t="n">
        <x:f>SUM(T919:V919)</x:f>
        <x:v>7</x:v>
      </x:c>
      <x:c r="X919" s="19" t="n">
        <x:f>W919-G919</x:f>
        <x:v>-1</x:v>
      </x:c>
      <x:c r="Y919" s="19" t="n">
        <x:f>MAX(T919,1)+MAX(U919,1)+MAX(V919,1)</x:f>
        <x:v>7</x:v>
      </x:c>
      <x:c r="Z919" s="21" t="str">
        <x:f>IF(AND(MIN(D919:F919)&gt;=0,MAX(D919:F919)&lt;=7,MAX(D919,1)+MAX(E919,1)+MAX(F919,1)&lt;=9,OR(H919="-",AND(H919=0,D919&gt;0),AND(H919=1,E919&gt;0),AND(H919=2,F919&gt;0)),OR(I919=0,AND(I919=1,OR(J919=0,J919=1,J919=2),R919&lt;&gt;"000")),Y919&lt;=9,MIN(T919:V919)&gt;=0),"合法","输入违约")</x:f>
        <x:v>合法</x:v>
      </x:c>
    </x:row>
    <x:row r="920" ht="23" customHeight="1">
      <x:c r="A920" s="3" t="str">
        <x:v>CT-0913</x:v>
      </x:c>
      <x:c r="B920" s="3" t="str">
        <x:v>ST-132</x:v>
      </x:c>
      <x:c r="C920" s="3" t="str">
        <x:v>R+AR同收同发</x:v>
      </x:c>
      <x:c r="D920" s="25" t="n">
        <x:v>1</x:v>
      </x:c>
      <x:c r="E920" s="25" t="n">
        <x:v>4</x:v>
      </x:c>
      <x:c r="F920" s="25" t="n">
        <x:v>3</x:v>
      </x:c>
      <x:c r="G920" s="19" t="n">
        <x:f>SUM(D920:F920)</x:f>
        <x:v>8</x:v>
      </x:c>
      <x:c r="H920" s="25" t="n">
        <x:v>1</x:v>
      </x:c>
      <x:c r="I920" s="25" t="n">
        <x:v>1</x:v>
      </x:c>
      <x:c r="J920" s="25" t="n">
        <x:v>0</x:v>
      </x:c>
      <x:c r="K920" s="19" t="n">
        <x:f>D920-IF(H920=0,1,0)</x:f>
        <x:v>1</x:v>
      </x:c>
      <x:c r="L920" s="19" t="n">
        <x:f>E920-IF(H920=1,1,0)</x:f>
        <x:v>3</x:v>
      </x:c>
      <x:c r="M920" s="19" t="n">
        <x:f>F920-IF(H920=2,1,0)</x:f>
        <x:v>3</x:v>
      </x:c>
      <x:c r="N920" s="19" t="n">
        <x:f>MAX(K920-1,0)+MAX(L920-1,0)+MAX(M920-1,0)</x:f>
        <x:v>4</x:v>
      </x:c>
      <x:c r="O920" s="19" t="n">
        <x:f>IF(AND(SUM(K920:M920)&lt;9,OR(M920=0,N920&lt;6)),1,0)</x:f>
        <x:v>1</x:v>
      </x:c>
      <x:c r="P920" s="19" t="n">
        <x:f>IF(AND(SUM(K920:M920)&lt;9,OR(L920=0,N920&lt;6)),1,0)</x:f>
        <x:v>1</x:v>
      </x:c>
      <x:c r="Q920" s="19" t="n">
        <x:f>IF(AND(SUM(K920:M920)&lt;9,OR(K920=0,N920&lt;6)),1,0)</x:f>
        <x:v>1</x:v>
      </x:c>
      <x:c r="R920" s="22" t="str">
        <x:f>O920&amp;P920&amp;Q920</x:f>
        <x:v>111</x:v>
      </x:c>
      <x:c r="S920" s="19" t="n">
        <x:f>IF(I920=1,IF(J920=0,Q920,IF(J920=1,P920,IF(J920=2,O920,0))),0)</x:f>
        <x:v>1</x:v>
      </x:c>
      <x:c r="T920" s="19" t="n">
        <x:f>K920+IF(AND(S920=1,J920=0),1,0)</x:f>
        <x:v>2</x:v>
      </x:c>
      <x:c r="U920" s="19" t="n">
        <x:f>L920+IF(AND(S920=1,J920=1),1,0)</x:f>
        <x:v>3</x:v>
      </x:c>
      <x:c r="V920" s="19" t="n">
        <x:f>M920+IF(AND(S920=1,J920=2),1,0)</x:f>
        <x:v>3</x:v>
      </x:c>
      <x:c r="W920" s="19" t="n">
        <x:f>SUM(T920:V920)</x:f>
        <x:v>8</x:v>
      </x:c>
      <x:c r="X920" s="19" t="n">
        <x:f>W920-G920</x:f>
        <x:v>0</x:v>
      </x:c>
      <x:c r="Y920" s="19" t="n">
        <x:f>MAX(T920,1)+MAX(U920,1)+MAX(V920,1)</x:f>
        <x:v>8</x:v>
      </x:c>
      <x:c r="Z920" s="21" t="str">
        <x:f>IF(AND(MIN(D920:F920)&gt;=0,MAX(D920:F920)&lt;=7,MAX(D920,1)+MAX(E920,1)+MAX(F920,1)&lt;=9,OR(H920="-",AND(H920=0,D920&gt;0),AND(H920=1,E920&gt;0),AND(H920=2,F920&gt;0)),OR(I920=0,AND(I920=1,OR(J920=0,J920=1,J920=2),R920&lt;&gt;"000")),Y920&lt;=9,MIN(T920:V920)&gt;=0),"合法","输入违约")</x:f>
        <x:v>合法</x:v>
      </x:c>
    </x:row>
    <x:row r="921" ht="23" customHeight="1">
      <x:c r="A921" s="3" t="str">
        <x:v>CT-0914</x:v>
      </x:c>
      <x:c r="B921" s="3" t="str">
        <x:v>ST-132</x:v>
      </x:c>
      <x:c r="C921" s="3" t="str">
        <x:v>R+AR同收同发</x:v>
      </x:c>
      <x:c r="D921" s="25" t="n">
        <x:v>1</x:v>
      </x:c>
      <x:c r="E921" s="25" t="n">
        <x:v>4</x:v>
      </x:c>
      <x:c r="F921" s="25" t="n">
        <x:v>3</x:v>
      </x:c>
      <x:c r="G921" s="19" t="n">
        <x:f>SUM(D921:F921)</x:f>
        <x:v>8</x:v>
      </x:c>
      <x:c r="H921" s="25" t="n">
        <x:v>1</x:v>
      </x:c>
      <x:c r="I921" s="25" t="n">
        <x:v>1</x:v>
      </x:c>
      <x:c r="J921" s="25" t="n">
        <x:v>1</x:v>
      </x:c>
      <x:c r="K921" s="19" t="n">
        <x:f>D921-IF(H921=0,1,0)</x:f>
        <x:v>1</x:v>
      </x:c>
      <x:c r="L921" s="19" t="n">
        <x:f>E921-IF(H921=1,1,0)</x:f>
        <x:v>3</x:v>
      </x:c>
      <x:c r="M921" s="19" t="n">
        <x:f>F921-IF(H921=2,1,0)</x:f>
        <x:v>3</x:v>
      </x:c>
      <x:c r="N921" s="19" t="n">
        <x:f>MAX(K921-1,0)+MAX(L921-1,0)+MAX(M921-1,0)</x:f>
        <x:v>4</x:v>
      </x:c>
      <x:c r="O921" s="19" t="n">
        <x:f>IF(AND(SUM(K921:M921)&lt;9,OR(M921=0,N921&lt;6)),1,0)</x:f>
        <x:v>1</x:v>
      </x:c>
      <x:c r="P921" s="19" t="n">
        <x:f>IF(AND(SUM(K921:M921)&lt;9,OR(L921=0,N921&lt;6)),1,0)</x:f>
        <x:v>1</x:v>
      </x:c>
      <x:c r="Q921" s="19" t="n">
        <x:f>IF(AND(SUM(K921:M921)&lt;9,OR(K921=0,N921&lt;6)),1,0)</x:f>
        <x:v>1</x:v>
      </x:c>
      <x:c r="R921" s="22" t="str">
        <x:f>O921&amp;P921&amp;Q921</x:f>
        <x:v>111</x:v>
      </x:c>
      <x:c r="S921" s="19" t="n">
        <x:f>IF(I921=1,IF(J921=0,Q921,IF(J921=1,P921,IF(J921=2,O921,0))),0)</x:f>
        <x:v>1</x:v>
      </x:c>
      <x:c r="T921" s="19" t="n">
        <x:f>K921+IF(AND(S921=1,J921=0),1,0)</x:f>
        <x:v>1</x:v>
      </x:c>
      <x:c r="U921" s="19" t="n">
        <x:f>L921+IF(AND(S921=1,J921=1),1,0)</x:f>
        <x:v>4</x:v>
      </x:c>
      <x:c r="V921" s="19" t="n">
        <x:f>M921+IF(AND(S921=1,J921=2),1,0)</x:f>
        <x:v>3</x:v>
      </x:c>
      <x:c r="W921" s="19" t="n">
        <x:f>SUM(T921:V921)</x:f>
        <x:v>8</x:v>
      </x:c>
      <x:c r="X921" s="19" t="n">
        <x:f>W921-G921</x:f>
        <x:v>0</x:v>
      </x:c>
      <x:c r="Y921" s="19" t="n">
        <x:f>MAX(T921,1)+MAX(U921,1)+MAX(V921,1)</x:f>
        <x:v>8</x:v>
      </x:c>
      <x:c r="Z921" s="21" t="str">
        <x:f>IF(AND(MIN(D921:F921)&gt;=0,MAX(D921:F921)&lt;=7,MAX(D921,1)+MAX(E921,1)+MAX(F921,1)&lt;=9,OR(H921="-",AND(H921=0,D921&gt;0),AND(H921=1,E921&gt;0),AND(H921=2,F921&gt;0)),OR(I921=0,AND(I921=1,OR(J921=0,J921=1,J921=2),R921&lt;&gt;"000")),Y921&lt;=9,MIN(T921:V921)&gt;=0),"合法","输入违约")</x:f>
        <x:v>合法</x:v>
      </x:c>
    </x:row>
    <x:row r="922" ht="23" customHeight="1">
      <x:c r="A922" s="3" t="str">
        <x:v>CT-0915</x:v>
      </x:c>
      <x:c r="B922" s="3" t="str">
        <x:v>ST-132</x:v>
      </x:c>
      <x:c r="C922" s="3" t="str">
        <x:v>R+AR同收同发</x:v>
      </x:c>
      <x:c r="D922" s="25" t="n">
        <x:v>1</x:v>
      </x:c>
      <x:c r="E922" s="25" t="n">
        <x:v>4</x:v>
      </x:c>
      <x:c r="F922" s="25" t="n">
        <x:v>3</x:v>
      </x:c>
      <x:c r="G922" s="19" t="n">
        <x:f>SUM(D922:F922)</x:f>
        <x:v>8</x:v>
      </x:c>
      <x:c r="H922" s="25" t="n">
        <x:v>1</x:v>
      </x:c>
      <x:c r="I922" s="25" t="n">
        <x:v>1</x:v>
      </x:c>
      <x:c r="J922" s="25" t="n">
        <x:v>2</x:v>
      </x:c>
      <x:c r="K922" s="19" t="n">
        <x:f>D922-IF(H922=0,1,0)</x:f>
        <x:v>1</x:v>
      </x:c>
      <x:c r="L922" s="19" t="n">
        <x:f>E922-IF(H922=1,1,0)</x:f>
        <x:v>3</x:v>
      </x:c>
      <x:c r="M922" s="19" t="n">
        <x:f>F922-IF(H922=2,1,0)</x:f>
        <x:v>3</x:v>
      </x:c>
      <x:c r="N922" s="19" t="n">
        <x:f>MAX(K922-1,0)+MAX(L922-1,0)+MAX(M922-1,0)</x:f>
        <x:v>4</x:v>
      </x:c>
      <x:c r="O922" s="19" t="n">
        <x:f>IF(AND(SUM(K922:M922)&lt;9,OR(M922=0,N922&lt;6)),1,0)</x:f>
        <x:v>1</x:v>
      </x:c>
      <x:c r="P922" s="19" t="n">
        <x:f>IF(AND(SUM(K922:M922)&lt;9,OR(L922=0,N922&lt;6)),1,0)</x:f>
        <x:v>1</x:v>
      </x:c>
      <x:c r="Q922" s="19" t="n">
        <x:f>IF(AND(SUM(K922:M922)&lt;9,OR(K922=0,N922&lt;6)),1,0)</x:f>
        <x:v>1</x:v>
      </x:c>
      <x:c r="R922" s="22" t="str">
        <x:f>O922&amp;P922&amp;Q922</x:f>
        <x:v>111</x:v>
      </x:c>
      <x:c r="S922" s="19" t="n">
        <x:f>IF(I922=1,IF(J922=0,Q922,IF(J922=1,P922,IF(J922=2,O922,0))),0)</x:f>
        <x:v>1</x:v>
      </x:c>
      <x:c r="T922" s="19" t="n">
        <x:f>K922+IF(AND(S922=1,J922=0),1,0)</x:f>
        <x:v>1</x:v>
      </x:c>
      <x:c r="U922" s="19" t="n">
        <x:f>L922+IF(AND(S922=1,J922=1),1,0)</x:f>
        <x:v>3</x:v>
      </x:c>
      <x:c r="V922" s="19" t="n">
        <x:f>M922+IF(AND(S922=1,J922=2),1,0)</x:f>
        <x:v>4</x:v>
      </x:c>
      <x:c r="W922" s="19" t="n">
        <x:f>SUM(T922:V922)</x:f>
        <x:v>8</x:v>
      </x:c>
      <x:c r="X922" s="19" t="n">
        <x:f>W922-G922</x:f>
        <x:v>0</x:v>
      </x:c>
      <x:c r="Y922" s="19" t="n">
        <x:f>MAX(T922,1)+MAX(U922,1)+MAX(V922,1)</x:f>
        <x:v>8</x:v>
      </x:c>
      <x:c r="Z922" s="21" t="str">
        <x:f>IF(AND(MIN(D922:F922)&gt;=0,MAX(D922:F922)&lt;=7,MAX(D922,1)+MAX(E922,1)+MAX(F922,1)&lt;=9,OR(H922="-",AND(H922=0,D922&gt;0),AND(H922=1,E922&gt;0),AND(H922=2,F922&gt;0)),OR(I922=0,AND(I922=1,OR(J922=0,J922=1,J922=2),R922&lt;&gt;"000")),Y922&lt;=9,MIN(T922:V922)&gt;=0),"合法","输入违约")</x:f>
        <x:v>合法</x:v>
      </x:c>
    </x:row>
    <x:row r="923" ht="23" customHeight="1">
      <x:c r="A923" s="3" t="str">
        <x:v>CT-0916</x:v>
      </x:c>
      <x:c r="B923" s="3" t="str">
        <x:v>ST-132</x:v>
      </x:c>
      <x:c r="C923" s="3" t="str">
        <x:v>仅R回收</x:v>
      </x:c>
      <x:c r="D923" s="25" t="n">
        <x:v>1</x:v>
      </x:c>
      <x:c r="E923" s="25" t="n">
        <x:v>4</x:v>
      </x:c>
      <x:c r="F923" s="25" t="n">
        <x:v>3</x:v>
      </x:c>
      <x:c r="G923" s="19" t="n">
        <x:f>SUM(D923:F923)</x:f>
        <x:v>8</x:v>
      </x:c>
      <x:c r="H923" s="25" t="n">
        <x:v>2</x:v>
      </x:c>
      <x:c r="I923" s="25" t="n">
        <x:v>0</x:v>
      </x:c>
      <x:c r="J923" s="25" t="str">
        <x:v>-</x:v>
      </x:c>
      <x:c r="K923" s="19" t="n">
        <x:f>D923-IF(H923=0,1,0)</x:f>
        <x:v>1</x:v>
      </x:c>
      <x:c r="L923" s="19" t="n">
        <x:f>E923-IF(H923=1,1,0)</x:f>
        <x:v>4</x:v>
      </x:c>
      <x:c r="M923" s="19" t="n">
        <x:f>F923-IF(H923=2,1,0)</x:f>
        <x:v>2</x:v>
      </x:c>
      <x:c r="N923" s="19" t="n">
        <x:f>MAX(K923-1,0)+MAX(L923-1,0)+MAX(M923-1,0)</x:f>
        <x:v>4</x:v>
      </x:c>
      <x:c r="O923" s="19" t="n">
        <x:f>IF(AND(SUM(K923:M923)&lt;9,OR(M923=0,N923&lt;6)),1,0)</x:f>
        <x:v>1</x:v>
      </x:c>
      <x:c r="P923" s="19" t="n">
        <x:f>IF(AND(SUM(K923:M923)&lt;9,OR(L923=0,N923&lt;6)),1,0)</x:f>
        <x:v>1</x:v>
      </x:c>
      <x:c r="Q923" s="19" t="n">
        <x:f>IF(AND(SUM(K923:M923)&lt;9,OR(K923=0,N923&lt;6)),1,0)</x:f>
        <x:v>1</x:v>
      </x:c>
      <x:c r="R923" s="22" t="str">
        <x:f>O923&amp;P923&amp;Q923</x:f>
        <x:v>111</x:v>
      </x:c>
      <x:c r="S923" s="19" t="n">
        <x:f>IF(I923=1,IF(J923=0,Q923,IF(J923=1,P923,IF(J923=2,O923,0))),0)</x:f>
        <x:v>0</x:v>
      </x:c>
      <x:c r="T923" s="19" t="n">
        <x:f>K923+IF(AND(S923=1,J923=0),1,0)</x:f>
        <x:v>1</x:v>
      </x:c>
      <x:c r="U923" s="19" t="n">
        <x:f>L923+IF(AND(S923=1,J923=1),1,0)</x:f>
        <x:v>4</x:v>
      </x:c>
      <x:c r="V923" s="19" t="n">
        <x:f>M923+IF(AND(S923=1,J923=2),1,0)</x:f>
        <x:v>2</x:v>
      </x:c>
      <x:c r="W923" s="19" t="n">
        <x:f>SUM(T923:V923)</x:f>
        <x:v>7</x:v>
      </x:c>
      <x:c r="X923" s="19" t="n">
        <x:f>W923-G923</x:f>
        <x:v>-1</x:v>
      </x:c>
      <x:c r="Y923" s="19" t="n">
        <x:f>MAX(T923,1)+MAX(U923,1)+MAX(V923,1)</x:f>
        <x:v>7</x:v>
      </x:c>
      <x:c r="Z923" s="21" t="str">
        <x:f>IF(AND(MIN(D923:F923)&gt;=0,MAX(D923:F923)&lt;=7,MAX(D923,1)+MAX(E923,1)+MAX(F923,1)&lt;=9,OR(H923="-",AND(H923=0,D923&gt;0),AND(H923=1,E923&gt;0),AND(H923=2,F923&gt;0)),OR(I923=0,AND(I923=1,OR(J923=0,J923=1,J923=2),R923&lt;&gt;"000")),Y923&lt;=9,MIN(T923:V923)&gt;=0),"合法","输入违约")</x:f>
        <x:v>合法</x:v>
      </x:c>
    </x:row>
    <x:row r="924" ht="23" customHeight="1">
      <x:c r="A924" s="3" t="str">
        <x:v>CT-0917</x:v>
      </x:c>
      <x:c r="B924" s="3" t="str">
        <x:v>ST-132</x:v>
      </x:c>
      <x:c r="C924" s="3" t="str">
        <x:v>R+AR同收同发</x:v>
      </x:c>
      <x:c r="D924" s="25" t="n">
        <x:v>1</x:v>
      </x:c>
      <x:c r="E924" s="25" t="n">
        <x:v>4</x:v>
      </x:c>
      <x:c r="F924" s="25" t="n">
        <x:v>3</x:v>
      </x:c>
      <x:c r="G924" s="19" t="n">
        <x:f>SUM(D924:F924)</x:f>
        <x:v>8</x:v>
      </x:c>
      <x:c r="H924" s="25" t="n">
        <x:v>2</x:v>
      </x:c>
      <x:c r="I924" s="25" t="n">
        <x:v>1</x:v>
      </x:c>
      <x:c r="J924" s="25" t="n">
        <x:v>0</x:v>
      </x:c>
      <x:c r="K924" s="19" t="n">
        <x:f>D924-IF(H924=0,1,0)</x:f>
        <x:v>1</x:v>
      </x:c>
      <x:c r="L924" s="19" t="n">
        <x:f>E924-IF(H924=1,1,0)</x:f>
        <x:v>4</x:v>
      </x:c>
      <x:c r="M924" s="19" t="n">
        <x:f>F924-IF(H924=2,1,0)</x:f>
        <x:v>2</x:v>
      </x:c>
      <x:c r="N924" s="19" t="n">
        <x:f>MAX(K924-1,0)+MAX(L924-1,0)+MAX(M924-1,0)</x:f>
        <x:v>4</x:v>
      </x:c>
      <x:c r="O924" s="19" t="n">
        <x:f>IF(AND(SUM(K924:M924)&lt;9,OR(M924=0,N924&lt;6)),1,0)</x:f>
        <x:v>1</x:v>
      </x:c>
      <x:c r="P924" s="19" t="n">
        <x:f>IF(AND(SUM(K924:M924)&lt;9,OR(L924=0,N924&lt;6)),1,0)</x:f>
        <x:v>1</x:v>
      </x:c>
      <x:c r="Q924" s="19" t="n">
        <x:f>IF(AND(SUM(K924:M924)&lt;9,OR(K924=0,N924&lt;6)),1,0)</x:f>
        <x:v>1</x:v>
      </x:c>
      <x:c r="R924" s="22" t="str">
        <x:f>O924&amp;P924&amp;Q924</x:f>
        <x:v>111</x:v>
      </x:c>
      <x:c r="S924" s="19" t="n">
        <x:f>IF(I924=1,IF(J924=0,Q924,IF(J924=1,P924,IF(J924=2,O924,0))),0)</x:f>
        <x:v>1</x:v>
      </x:c>
      <x:c r="T924" s="19" t="n">
        <x:f>K924+IF(AND(S924=1,J924=0),1,0)</x:f>
        <x:v>2</x:v>
      </x:c>
      <x:c r="U924" s="19" t="n">
        <x:f>L924+IF(AND(S924=1,J924=1),1,0)</x:f>
        <x:v>4</x:v>
      </x:c>
      <x:c r="V924" s="19" t="n">
        <x:f>M924+IF(AND(S924=1,J924=2),1,0)</x:f>
        <x:v>2</x:v>
      </x:c>
      <x:c r="W924" s="19" t="n">
        <x:f>SUM(T924:V924)</x:f>
        <x:v>8</x:v>
      </x:c>
      <x:c r="X924" s="19" t="n">
        <x:f>W924-G924</x:f>
        <x:v>0</x:v>
      </x:c>
      <x:c r="Y924" s="19" t="n">
        <x:f>MAX(T924,1)+MAX(U924,1)+MAX(V924,1)</x:f>
        <x:v>8</x:v>
      </x:c>
      <x:c r="Z924" s="21" t="str">
        <x:f>IF(AND(MIN(D924:F924)&gt;=0,MAX(D924:F924)&lt;=7,MAX(D924,1)+MAX(E924,1)+MAX(F924,1)&lt;=9,OR(H924="-",AND(H924=0,D924&gt;0),AND(H924=1,E924&gt;0),AND(H924=2,F924&gt;0)),OR(I924=0,AND(I924=1,OR(J924=0,J924=1,J924=2),R924&lt;&gt;"000")),Y924&lt;=9,MIN(T924:V924)&gt;=0),"合法","输入违约")</x:f>
        <x:v>合法</x:v>
      </x:c>
    </x:row>
    <x:row r="925" ht="23" customHeight="1">
      <x:c r="A925" s="3" t="str">
        <x:v>CT-0918</x:v>
      </x:c>
      <x:c r="B925" s="3" t="str">
        <x:v>ST-132</x:v>
      </x:c>
      <x:c r="C925" s="3" t="str">
        <x:v>R+AR同收同发</x:v>
      </x:c>
      <x:c r="D925" s="25" t="n">
        <x:v>1</x:v>
      </x:c>
      <x:c r="E925" s="25" t="n">
        <x:v>4</x:v>
      </x:c>
      <x:c r="F925" s="25" t="n">
        <x:v>3</x:v>
      </x:c>
      <x:c r="G925" s="19" t="n">
        <x:f>SUM(D925:F925)</x:f>
        <x:v>8</x:v>
      </x:c>
      <x:c r="H925" s="25" t="n">
        <x:v>2</x:v>
      </x:c>
      <x:c r="I925" s="25" t="n">
        <x:v>1</x:v>
      </x:c>
      <x:c r="J925" s="25" t="n">
        <x:v>1</x:v>
      </x:c>
      <x:c r="K925" s="19" t="n">
        <x:f>D925-IF(H925=0,1,0)</x:f>
        <x:v>1</x:v>
      </x:c>
      <x:c r="L925" s="19" t="n">
        <x:f>E925-IF(H925=1,1,0)</x:f>
        <x:v>4</x:v>
      </x:c>
      <x:c r="M925" s="19" t="n">
        <x:f>F925-IF(H925=2,1,0)</x:f>
        <x:v>2</x:v>
      </x:c>
      <x:c r="N925" s="19" t="n">
        <x:f>MAX(K925-1,0)+MAX(L925-1,0)+MAX(M925-1,0)</x:f>
        <x:v>4</x:v>
      </x:c>
      <x:c r="O925" s="19" t="n">
        <x:f>IF(AND(SUM(K925:M925)&lt;9,OR(M925=0,N925&lt;6)),1,0)</x:f>
        <x:v>1</x:v>
      </x:c>
      <x:c r="P925" s="19" t="n">
        <x:f>IF(AND(SUM(K925:M925)&lt;9,OR(L925=0,N925&lt;6)),1,0)</x:f>
        <x:v>1</x:v>
      </x:c>
      <x:c r="Q925" s="19" t="n">
        <x:f>IF(AND(SUM(K925:M925)&lt;9,OR(K925=0,N925&lt;6)),1,0)</x:f>
        <x:v>1</x:v>
      </x:c>
      <x:c r="R925" s="22" t="str">
        <x:f>O925&amp;P925&amp;Q925</x:f>
        <x:v>111</x:v>
      </x:c>
      <x:c r="S925" s="19" t="n">
        <x:f>IF(I925=1,IF(J925=0,Q925,IF(J925=1,P925,IF(J925=2,O925,0))),0)</x:f>
        <x:v>1</x:v>
      </x:c>
      <x:c r="T925" s="19" t="n">
        <x:f>K925+IF(AND(S925=1,J925=0),1,0)</x:f>
        <x:v>1</x:v>
      </x:c>
      <x:c r="U925" s="19" t="n">
        <x:f>L925+IF(AND(S925=1,J925=1),1,0)</x:f>
        <x:v>5</x:v>
      </x:c>
      <x:c r="V925" s="19" t="n">
        <x:f>M925+IF(AND(S925=1,J925=2),1,0)</x:f>
        <x:v>2</x:v>
      </x:c>
      <x:c r="W925" s="19" t="n">
        <x:f>SUM(T925:V925)</x:f>
        <x:v>8</x:v>
      </x:c>
      <x:c r="X925" s="19" t="n">
        <x:f>W925-G925</x:f>
        <x:v>0</x:v>
      </x:c>
      <x:c r="Y925" s="19" t="n">
        <x:f>MAX(T925,1)+MAX(U925,1)+MAX(V925,1)</x:f>
        <x:v>8</x:v>
      </x:c>
      <x:c r="Z925" s="21" t="str">
        <x:f>IF(AND(MIN(D925:F925)&gt;=0,MAX(D925:F925)&lt;=7,MAX(D925,1)+MAX(E925,1)+MAX(F925,1)&lt;=9,OR(H925="-",AND(H925=0,D925&gt;0),AND(H925=1,E925&gt;0),AND(H925=2,F925&gt;0)),OR(I925=0,AND(I925=1,OR(J925=0,J925=1,J925=2),R925&lt;&gt;"000")),Y925&lt;=9,MIN(T925:V925)&gt;=0),"合法","输入违约")</x:f>
        <x:v>合法</x:v>
      </x:c>
    </x:row>
    <x:row r="926" ht="23" customHeight="1">
      <x:c r="A926" s="3" t="str">
        <x:v>CT-0919</x:v>
      </x:c>
      <x:c r="B926" s="3" t="str">
        <x:v>ST-132</x:v>
      </x:c>
      <x:c r="C926" s="3" t="str">
        <x:v>R+AR同收同发</x:v>
      </x:c>
      <x:c r="D926" s="25" t="n">
        <x:v>1</x:v>
      </x:c>
      <x:c r="E926" s="25" t="n">
        <x:v>4</x:v>
      </x:c>
      <x:c r="F926" s="25" t="n">
        <x:v>3</x:v>
      </x:c>
      <x:c r="G926" s="19" t="n">
        <x:f>SUM(D926:F926)</x:f>
        <x:v>8</x:v>
      </x:c>
      <x:c r="H926" s="25" t="n">
        <x:v>2</x:v>
      </x:c>
      <x:c r="I926" s="25" t="n">
        <x:v>1</x:v>
      </x:c>
      <x:c r="J926" s="25" t="n">
        <x:v>2</x:v>
      </x:c>
      <x:c r="K926" s="19" t="n">
        <x:f>D926-IF(H926=0,1,0)</x:f>
        <x:v>1</x:v>
      </x:c>
      <x:c r="L926" s="19" t="n">
        <x:f>E926-IF(H926=1,1,0)</x:f>
        <x:v>4</x:v>
      </x:c>
      <x:c r="M926" s="19" t="n">
        <x:f>F926-IF(H926=2,1,0)</x:f>
        <x:v>2</x:v>
      </x:c>
      <x:c r="N926" s="19" t="n">
        <x:f>MAX(K926-1,0)+MAX(L926-1,0)+MAX(M926-1,0)</x:f>
        <x:v>4</x:v>
      </x:c>
      <x:c r="O926" s="19" t="n">
        <x:f>IF(AND(SUM(K926:M926)&lt;9,OR(M926=0,N926&lt;6)),1,0)</x:f>
        <x:v>1</x:v>
      </x:c>
      <x:c r="P926" s="19" t="n">
        <x:f>IF(AND(SUM(K926:M926)&lt;9,OR(L926=0,N926&lt;6)),1,0)</x:f>
        <x:v>1</x:v>
      </x:c>
      <x:c r="Q926" s="19" t="n">
        <x:f>IF(AND(SUM(K926:M926)&lt;9,OR(K926=0,N926&lt;6)),1,0)</x:f>
        <x:v>1</x:v>
      </x:c>
      <x:c r="R926" s="22" t="str">
        <x:f>O926&amp;P926&amp;Q926</x:f>
        <x:v>111</x:v>
      </x:c>
      <x:c r="S926" s="19" t="n">
        <x:f>IF(I926=1,IF(J926=0,Q926,IF(J926=1,P926,IF(J926=2,O926,0))),0)</x:f>
        <x:v>1</x:v>
      </x:c>
      <x:c r="T926" s="19" t="n">
        <x:f>K926+IF(AND(S926=1,J926=0),1,0)</x:f>
        <x:v>1</x:v>
      </x:c>
      <x:c r="U926" s="19" t="n">
        <x:f>L926+IF(AND(S926=1,J926=1),1,0)</x:f>
        <x:v>4</x:v>
      </x:c>
      <x:c r="V926" s="19" t="n">
        <x:f>M926+IF(AND(S926=1,J926=2),1,0)</x:f>
        <x:v>3</x:v>
      </x:c>
      <x:c r="W926" s="19" t="n">
        <x:f>SUM(T926:V926)</x:f>
        <x:v>8</x:v>
      </x:c>
      <x:c r="X926" s="19" t="n">
        <x:f>W926-G926</x:f>
        <x:v>0</x:v>
      </x:c>
      <x:c r="Y926" s="19" t="n">
        <x:f>MAX(T926,1)+MAX(U926,1)+MAX(V926,1)</x:f>
        <x:v>8</x:v>
      </x:c>
      <x:c r="Z926" s="21" t="str">
        <x:f>IF(AND(MIN(D926:F926)&gt;=0,MAX(D926:F926)&lt;=7,MAX(D926,1)+MAX(E926,1)+MAX(F926,1)&lt;=9,OR(H926="-",AND(H926=0,D926&gt;0),AND(H926=1,E926&gt;0),AND(H926=2,F926&gt;0)),OR(I926=0,AND(I926=1,OR(J926=0,J926=1,J926=2),R926&lt;&gt;"000")),Y926&lt;=9,MIN(T926:V926)&gt;=0),"合法","输入违约")</x:f>
        <x:v>合法</x:v>
      </x:c>
    </x:row>
    <x:row r="927" ht="23" customHeight="1">
      <x:c r="A927" s="3" t="str">
        <x:v>CT-0920</x:v>
      </x:c>
      <x:c r="B927" s="3" t="str">
        <x:v>ST-166</x:v>
      </x:c>
      <x:c r="C927" s="3" t="str">
        <x:v>无AR/R</x:v>
      </x:c>
      <x:c r="D927" s="25" t="n">
        <x:v>1</x:v>
      </x:c>
      <x:c r="E927" s="25" t="n">
        <x:v>4</x:v>
      </x:c>
      <x:c r="F927" s="25" t="n">
        <x:v>4</x:v>
      </x:c>
      <x:c r="G927" s="19" t="n">
        <x:f>SUM(D927:F927)</x:f>
        <x:v>9</x:v>
      </x:c>
      <x:c r="H927" s="25" t="str">
        <x:v>-</x:v>
      </x:c>
      <x:c r="I927" s="25" t="n">
        <x:v>0</x:v>
      </x:c>
      <x:c r="J927" s="25" t="str">
        <x:v>-</x:v>
      </x:c>
      <x:c r="K927" s="19" t="n">
        <x:f>D927-IF(H927=0,1,0)</x:f>
        <x:v>1</x:v>
      </x:c>
      <x:c r="L927" s="19" t="n">
        <x:f>E927-IF(H927=1,1,0)</x:f>
        <x:v>4</x:v>
      </x:c>
      <x:c r="M927" s="19" t="n">
        <x:f>F927-IF(H927=2,1,0)</x:f>
        <x:v>4</x:v>
      </x:c>
      <x:c r="N927" s="19" t="n">
        <x:f>MAX(K927-1,0)+MAX(L927-1,0)+MAX(M927-1,0)</x:f>
        <x:v>6</x:v>
      </x:c>
      <x:c r="O927" s="19" t="n">
        <x:f>IF(AND(SUM(K927:M927)&lt;9,OR(M927=0,N927&lt;6)),1,0)</x:f>
        <x:v>0</x:v>
      </x:c>
      <x:c r="P927" s="19" t="n">
        <x:f>IF(AND(SUM(K927:M927)&lt;9,OR(L927=0,N927&lt;6)),1,0)</x:f>
        <x:v>0</x:v>
      </x:c>
      <x:c r="Q927" s="19" t="n">
        <x:f>IF(AND(SUM(K927:M927)&lt;9,OR(K927=0,N927&lt;6)),1,0)</x:f>
        <x:v>0</x:v>
      </x:c>
      <x:c r="R927" s="22" t="str">
        <x:f>O927&amp;P927&amp;Q927</x:f>
        <x:v>000</x:v>
      </x:c>
      <x:c r="S927" s="19" t="n">
        <x:f>IF(I927=1,IF(J927=0,Q927,IF(J927=1,P927,IF(J927=2,O927,0))),0)</x:f>
        <x:v>0</x:v>
      </x:c>
      <x:c r="T927" s="19" t="n">
        <x:f>K927+IF(AND(S927=1,J927=0),1,0)</x:f>
        <x:v>1</x:v>
      </x:c>
      <x:c r="U927" s="19" t="n">
        <x:f>L927+IF(AND(S927=1,J927=1),1,0)</x:f>
        <x:v>4</x:v>
      </x:c>
      <x:c r="V927" s="19" t="n">
        <x:f>M927+IF(AND(S927=1,J927=2),1,0)</x:f>
        <x:v>4</x:v>
      </x:c>
      <x:c r="W927" s="19" t="n">
        <x:f>SUM(T927:V927)</x:f>
        <x:v>9</x:v>
      </x:c>
      <x:c r="X927" s="19" t="n">
        <x:f>W927-G927</x:f>
        <x:v>0</x:v>
      </x:c>
      <x:c r="Y927" s="19" t="n">
        <x:f>MAX(T927,1)+MAX(U927,1)+MAX(V927,1)</x:f>
        <x:v>9</x:v>
      </x:c>
      <x:c r="Z927" s="21" t="str">
        <x:f>IF(AND(MIN(D927:F927)&gt;=0,MAX(D927:F927)&lt;=7,MAX(D927,1)+MAX(E927,1)+MAX(F927,1)&lt;=9,OR(H927="-",AND(H927=0,D927&gt;0),AND(H927=1,E927&gt;0),AND(H927=2,F927&gt;0)),OR(I927=0,AND(I927=1,OR(J927=0,J927=1,J927=2),R927&lt;&gt;"000")),Y927&lt;=9,MIN(T927:V927)&gt;=0),"合法","输入违约")</x:f>
        <x:v>合法</x:v>
      </x:c>
    </x:row>
    <x:row r="928" ht="23" customHeight="1">
      <x:c r="A928" s="3" t="str">
        <x:v>CT-0921</x:v>
      </x:c>
      <x:c r="B928" s="3" t="str">
        <x:v>ST-166</x:v>
      </x:c>
      <x:c r="C928" s="3" t="str">
        <x:v>仅R回收</x:v>
      </x:c>
      <x:c r="D928" s="25" t="n">
        <x:v>1</x:v>
      </x:c>
      <x:c r="E928" s="25" t="n">
        <x:v>4</x:v>
      </x:c>
      <x:c r="F928" s="25" t="n">
        <x:v>4</x:v>
      </x:c>
      <x:c r="G928" s="19" t="n">
        <x:f>SUM(D928:F928)</x:f>
        <x:v>9</x:v>
      </x:c>
      <x:c r="H928" s="25" t="n">
        <x:v>0</x:v>
      </x:c>
      <x:c r="I928" s="25" t="n">
        <x:v>0</x:v>
      </x:c>
      <x:c r="J928" s="25" t="str">
        <x:v>-</x:v>
      </x:c>
      <x:c r="K928" s="19" t="n">
        <x:f>D928-IF(H928=0,1,0)</x:f>
        <x:v>0</x:v>
      </x:c>
      <x:c r="L928" s="19" t="n">
        <x:f>E928-IF(H928=1,1,0)</x:f>
        <x:v>4</x:v>
      </x:c>
      <x:c r="M928" s="19" t="n">
        <x:f>F928-IF(H928=2,1,0)</x:f>
        <x:v>4</x:v>
      </x:c>
      <x:c r="N928" s="19" t="n">
        <x:f>MAX(K928-1,0)+MAX(L928-1,0)+MAX(M928-1,0)</x:f>
        <x:v>6</x:v>
      </x:c>
      <x:c r="O928" s="19" t="n">
        <x:f>IF(AND(SUM(K928:M928)&lt;9,OR(M928=0,N928&lt;6)),1,0)</x:f>
        <x:v>0</x:v>
      </x:c>
      <x:c r="P928" s="19" t="n">
        <x:f>IF(AND(SUM(K928:M928)&lt;9,OR(L928=0,N928&lt;6)),1,0)</x:f>
        <x:v>0</x:v>
      </x:c>
      <x:c r="Q928" s="19" t="n">
        <x:f>IF(AND(SUM(K928:M928)&lt;9,OR(K928=0,N928&lt;6)),1,0)</x:f>
        <x:v>1</x:v>
      </x:c>
      <x:c r="R928" s="22" t="str">
        <x:f>O928&amp;P928&amp;Q928</x:f>
        <x:v>001</x:v>
      </x:c>
      <x:c r="S928" s="19" t="n">
        <x:f>IF(I928=1,IF(J928=0,Q928,IF(J928=1,P928,IF(J928=2,O928,0))),0)</x:f>
        <x:v>0</x:v>
      </x:c>
      <x:c r="T928" s="19" t="n">
        <x:f>K928+IF(AND(S928=1,J928=0),1,0)</x:f>
        <x:v>0</x:v>
      </x:c>
      <x:c r="U928" s="19" t="n">
        <x:f>L928+IF(AND(S928=1,J928=1),1,0)</x:f>
        <x:v>4</x:v>
      </x:c>
      <x:c r="V928" s="19" t="n">
        <x:f>M928+IF(AND(S928=1,J928=2),1,0)</x:f>
        <x:v>4</x:v>
      </x:c>
      <x:c r="W928" s="19" t="n">
        <x:f>SUM(T928:V928)</x:f>
        <x:v>8</x:v>
      </x:c>
      <x:c r="X928" s="19" t="n">
        <x:f>W928-G928</x:f>
        <x:v>-1</x:v>
      </x:c>
      <x:c r="Y928" s="19" t="n">
        <x:f>MAX(T928,1)+MAX(U928,1)+MAX(V928,1)</x:f>
        <x:v>9</x:v>
      </x:c>
      <x:c r="Z928" s="21" t="str">
        <x:f>IF(AND(MIN(D928:F928)&gt;=0,MAX(D928:F928)&lt;=7,MAX(D928,1)+MAX(E928,1)+MAX(F928,1)&lt;=9,OR(H928="-",AND(H928=0,D928&gt;0),AND(H928=1,E928&gt;0),AND(H928=2,F928&gt;0)),OR(I928=0,AND(I928=1,OR(J928=0,J928=1,J928=2),R928&lt;&gt;"000")),Y928&lt;=9,MIN(T928:V928)&gt;=0),"合法","输入违约")</x:f>
        <x:v>合法</x:v>
      </x:c>
    </x:row>
    <x:row r="929" ht="23" customHeight="1">
      <x:c r="A929" s="3" t="str">
        <x:v>CT-0922</x:v>
      </x:c>
      <x:c r="B929" s="3" t="str">
        <x:v>ST-166</x:v>
      </x:c>
      <x:c r="C929" s="3" t="str">
        <x:v>R+AR同收同发</x:v>
      </x:c>
      <x:c r="D929" s="25" t="n">
        <x:v>1</x:v>
      </x:c>
      <x:c r="E929" s="25" t="n">
        <x:v>4</x:v>
      </x:c>
      <x:c r="F929" s="25" t="n">
        <x:v>4</x:v>
      </x:c>
      <x:c r="G929" s="19" t="n">
        <x:f>SUM(D929:F929)</x:f>
        <x:v>9</x:v>
      </x:c>
      <x:c r="H929" s="25" t="n">
        <x:v>0</x:v>
      </x:c>
      <x:c r="I929" s="25" t="n">
        <x:v>1</x:v>
      </x:c>
      <x:c r="J929" s="25" t="n">
        <x:v>0</x:v>
      </x:c>
      <x:c r="K929" s="19" t="n">
        <x:f>D929-IF(H929=0,1,0)</x:f>
        <x:v>0</x:v>
      </x:c>
      <x:c r="L929" s="19" t="n">
        <x:f>E929-IF(H929=1,1,0)</x:f>
        <x:v>4</x:v>
      </x:c>
      <x:c r="M929" s="19" t="n">
        <x:f>F929-IF(H929=2,1,0)</x:f>
        <x:v>4</x:v>
      </x:c>
      <x:c r="N929" s="19" t="n">
        <x:f>MAX(K929-1,0)+MAX(L929-1,0)+MAX(M929-1,0)</x:f>
        <x:v>6</x:v>
      </x:c>
      <x:c r="O929" s="19" t="n">
        <x:f>IF(AND(SUM(K929:M929)&lt;9,OR(M929=0,N929&lt;6)),1,0)</x:f>
        <x:v>0</x:v>
      </x:c>
      <x:c r="P929" s="19" t="n">
        <x:f>IF(AND(SUM(K929:M929)&lt;9,OR(L929=0,N929&lt;6)),1,0)</x:f>
        <x:v>0</x:v>
      </x:c>
      <x:c r="Q929" s="19" t="n">
        <x:f>IF(AND(SUM(K929:M929)&lt;9,OR(K929=0,N929&lt;6)),1,0)</x:f>
        <x:v>1</x:v>
      </x:c>
      <x:c r="R929" s="22" t="str">
        <x:f>O929&amp;P929&amp;Q929</x:f>
        <x:v>001</x:v>
      </x:c>
      <x:c r="S929" s="19" t="n">
        <x:f>IF(I929=1,IF(J929=0,Q929,IF(J929=1,P929,IF(J929=2,O929,0))),0)</x:f>
        <x:v>1</x:v>
      </x:c>
      <x:c r="T929" s="19" t="n">
        <x:f>K929+IF(AND(S929=1,J929=0),1,0)</x:f>
        <x:v>1</x:v>
      </x:c>
      <x:c r="U929" s="19" t="n">
        <x:f>L929+IF(AND(S929=1,J929=1),1,0)</x:f>
        <x:v>4</x:v>
      </x:c>
      <x:c r="V929" s="19" t="n">
        <x:f>M929+IF(AND(S929=1,J929=2),1,0)</x:f>
        <x:v>4</x:v>
      </x:c>
      <x:c r="W929" s="19" t="n">
        <x:f>SUM(T929:V929)</x:f>
        <x:v>9</x:v>
      </x:c>
      <x:c r="X929" s="19" t="n">
        <x:f>W929-G929</x:f>
        <x:v>0</x:v>
      </x:c>
      <x:c r="Y929" s="19" t="n">
        <x:f>MAX(T929,1)+MAX(U929,1)+MAX(V929,1)</x:f>
        <x:v>9</x:v>
      </x:c>
      <x:c r="Z929" s="21" t="str">
        <x:f>IF(AND(MIN(D929:F929)&gt;=0,MAX(D929:F929)&lt;=7,MAX(D929,1)+MAX(E929,1)+MAX(F929,1)&lt;=9,OR(H929="-",AND(H929=0,D929&gt;0),AND(H929=1,E929&gt;0),AND(H929=2,F929&gt;0)),OR(I929=0,AND(I929=1,OR(J929=0,J929=1,J929=2),R929&lt;&gt;"000")),Y929&lt;=9,MIN(T929:V929)&gt;=0),"合法","输入违约")</x:f>
        <x:v>合法</x:v>
      </x:c>
    </x:row>
    <x:row r="930" ht="23" customHeight="1">
      <x:c r="A930" s="3" t="str">
        <x:v>CT-0923</x:v>
      </x:c>
      <x:c r="B930" s="3" t="str">
        <x:v>ST-166</x:v>
      </x:c>
      <x:c r="C930" s="3" t="str">
        <x:v>仅R回收</x:v>
      </x:c>
      <x:c r="D930" s="25" t="n">
        <x:v>1</x:v>
      </x:c>
      <x:c r="E930" s="25" t="n">
        <x:v>4</x:v>
      </x:c>
      <x:c r="F930" s="25" t="n">
        <x:v>4</x:v>
      </x:c>
      <x:c r="G930" s="19" t="n">
        <x:f>SUM(D930:F930)</x:f>
        <x:v>9</x:v>
      </x:c>
      <x:c r="H930" s="25" t="n">
        <x:v>0</x:v>
      </x:c>
      <x:c r="I930" s="25" t="n">
        <x:v>1</x:v>
      </x:c>
      <x:c r="J930" s="25" t="n">
        <x:v>1</x:v>
      </x:c>
      <x:c r="K930" s="19" t="n">
        <x:f>D930-IF(H930=0,1,0)</x:f>
        <x:v>0</x:v>
      </x:c>
      <x:c r="L930" s="19" t="n">
        <x:f>E930-IF(H930=1,1,0)</x:f>
        <x:v>4</x:v>
      </x:c>
      <x:c r="M930" s="19" t="n">
        <x:f>F930-IF(H930=2,1,0)</x:f>
        <x:v>4</x:v>
      </x:c>
      <x:c r="N930" s="19" t="n">
        <x:f>MAX(K930-1,0)+MAX(L930-1,0)+MAX(M930-1,0)</x:f>
        <x:v>6</x:v>
      </x:c>
      <x:c r="O930" s="19" t="n">
        <x:f>IF(AND(SUM(K930:M930)&lt;9,OR(M930=0,N930&lt;6)),1,0)</x:f>
        <x:v>0</x:v>
      </x:c>
      <x:c r="P930" s="19" t="n">
        <x:f>IF(AND(SUM(K930:M930)&lt;9,OR(L930=0,N930&lt;6)),1,0)</x:f>
        <x:v>0</x:v>
      </x:c>
      <x:c r="Q930" s="19" t="n">
        <x:f>IF(AND(SUM(K930:M930)&lt;9,OR(K930=0,N930&lt;6)),1,0)</x:f>
        <x:v>1</x:v>
      </x:c>
      <x:c r="R930" s="22" t="str">
        <x:f>O930&amp;P930&amp;Q930</x:f>
        <x:v>001</x:v>
      </x:c>
      <x:c r="S930" s="19" t="n">
        <x:f>IF(I930=1,IF(J930=0,Q930,IF(J930=1,P930,IF(J930=2,O930,0))),0)</x:f>
        <x:v>0</x:v>
      </x:c>
      <x:c r="T930" s="19" t="n">
        <x:f>K930+IF(AND(S930=1,J930=0),1,0)</x:f>
        <x:v>0</x:v>
      </x:c>
      <x:c r="U930" s="19" t="n">
        <x:f>L930+IF(AND(S930=1,J930=1),1,0)</x:f>
        <x:v>4</x:v>
      </x:c>
      <x:c r="V930" s="19" t="n">
        <x:f>M930+IF(AND(S930=1,J930=2),1,0)</x:f>
        <x:v>4</x:v>
      </x:c>
      <x:c r="W930" s="19" t="n">
        <x:f>SUM(T930:V930)</x:f>
        <x:v>8</x:v>
      </x:c>
      <x:c r="X930" s="19" t="n">
        <x:f>W930-G930</x:f>
        <x:v>-1</x:v>
      </x:c>
      <x:c r="Y930" s="19" t="n">
        <x:f>MAX(T930,1)+MAX(U930,1)+MAX(V930,1)</x:f>
        <x:v>9</x:v>
      </x:c>
      <x:c r="Z930" s="21" t="str">
        <x:f>IF(AND(MIN(D930:F930)&gt;=0,MAX(D930:F930)&lt;=7,MAX(D930,1)+MAX(E930,1)+MAX(F930,1)&lt;=9,OR(H930="-",AND(H930=0,D930&gt;0),AND(H930=1,E930&gt;0),AND(H930=2,F930&gt;0)),OR(I930=0,AND(I930=1,OR(J930=0,J930=1,J930=2),R930&lt;&gt;"000")),Y930&lt;=9,MIN(T930:V930)&gt;=0),"合法","输入违约")</x:f>
        <x:v>合法</x:v>
      </x:c>
    </x:row>
    <x:row r="931" ht="23" customHeight="1">
      <x:c r="A931" s="3" t="str">
        <x:v>CT-0924</x:v>
      </x:c>
      <x:c r="B931" s="3" t="str">
        <x:v>ST-166</x:v>
      </x:c>
      <x:c r="C931" s="3" t="str">
        <x:v>仅R回收</x:v>
      </x:c>
      <x:c r="D931" s="25" t="n">
        <x:v>1</x:v>
      </x:c>
      <x:c r="E931" s="25" t="n">
        <x:v>4</x:v>
      </x:c>
      <x:c r="F931" s="25" t="n">
        <x:v>4</x:v>
      </x:c>
      <x:c r="G931" s="19" t="n">
        <x:f>SUM(D931:F931)</x:f>
        <x:v>9</x:v>
      </x:c>
      <x:c r="H931" s="25" t="n">
        <x:v>0</x:v>
      </x:c>
      <x:c r="I931" s="25" t="n">
        <x:v>1</x:v>
      </x:c>
      <x:c r="J931" s="25" t="n">
        <x:v>2</x:v>
      </x:c>
      <x:c r="K931" s="19" t="n">
        <x:f>D931-IF(H931=0,1,0)</x:f>
        <x:v>0</x:v>
      </x:c>
      <x:c r="L931" s="19" t="n">
        <x:f>E931-IF(H931=1,1,0)</x:f>
        <x:v>4</x:v>
      </x:c>
      <x:c r="M931" s="19" t="n">
        <x:f>F931-IF(H931=2,1,0)</x:f>
        <x:v>4</x:v>
      </x:c>
      <x:c r="N931" s="19" t="n">
        <x:f>MAX(K931-1,0)+MAX(L931-1,0)+MAX(M931-1,0)</x:f>
        <x:v>6</x:v>
      </x:c>
      <x:c r="O931" s="19" t="n">
        <x:f>IF(AND(SUM(K931:M931)&lt;9,OR(M931=0,N931&lt;6)),1,0)</x:f>
        <x:v>0</x:v>
      </x:c>
      <x:c r="P931" s="19" t="n">
        <x:f>IF(AND(SUM(K931:M931)&lt;9,OR(L931=0,N931&lt;6)),1,0)</x:f>
        <x:v>0</x:v>
      </x:c>
      <x:c r="Q931" s="19" t="n">
        <x:f>IF(AND(SUM(K931:M931)&lt;9,OR(K931=0,N931&lt;6)),1,0)</x:f>
        <x:v>1</x:v>
      </x:c>
      <x:c r="R931" s="22" t="str">
        <x:f>O931&amp;P931&amp;Q931</x:f>
        <x:v>001</x:v>
      </x:c>
      <x:c r="S931" s="19" t="n">
        <x:f>IF(I931=1,IF(J931=0,Q931,IF(J931=1,P931,IF(J931=2,O931,0))),0)</x:f>
        <x:v>0</x:v>
      </x:c>
      <x:c r="T931" s="19" t="n">
        <x:f>K931+IF(AND(S931=1,J931=0),1,0)</x:f>
        <x:v>0</x:v>
      </x:c>
      <x:c r="U931" s="19" t="n">
        <x:f>L931+IF(AND(S931=1,J931=1),1,0)</x:f>
        <x:v>4</x:v>
      </x:c>
      <x:c r="V931" s="19" t="n">
        <x:f>M931+IF(AND(S931=1,J931=2),1,0)</x:f>
        <x:v>4</x:v>
      </x:c>
      <x:c r="W931" s="19" t="n">
        <x:f>SUM(T931:V931)</x:f>
        <x:v>8</x:v>
      </x:c>
      <x:c r="X931" s="19" t="n">
        <x:f>W931-G931</x:f>
        <x:v>-1</x:v>
      </x:c>
      <x:c r="Y931" s="19" t="n">
        <x:f>MAX(T931,1)+MAX(U931,1)+MAX(V931,1)</x:f>
        <x:v>9</x:v>
      </x:c>
      <x:c r="Z931" s="21" t="str">
        <x:f>IF(AND(MIN(D931:F931)&gt;=0,MAX(D931:F931)&lt;=7,MAX(D931,1)+MAX(E931,1)+MAX(F931,1)&lt;=9,OR(H931="-",AND(H931=0,D931&gt;0),AND(H931=1,E931&gt;0),AND(H931=2,F931&gt;0)),OR(I931=0,AND(I931=1,OR(J931=0,J931=1,J931=2),R931&lt;&gt;"000")),Y931&lt;=9,MIN(T931:V931)&gt;=0),"合法","输入违约")</x:f>
        <x:v>合法</x:v>
      </x:c>
    </x:row>
    <x:row r="932" ht="23" customHeight="1">
      <x:c r="A932" s="3" t="str">
        <x:v>CT-0925</x:v>
      </x:c>
      <x:c r="B932" s="3" t="str">
        <x:v>ST-166</x:v>
      </x:c>
      <x:c r="C932" s="3" t="str">
        <x:v>仅R回收</x:v>
      </x:c>
      <x:c r="D932" s="25" t="n">
        <x:v>1</x:v>
      </x:c>
      <x:c r="E932" s="25" t="n">
        <x:v>4</x:v>
      </x:c>
      <x:c r="F932" s="25" t="n">
        <x:v>4</x:v>
      </x:c>
      <x:c r="G932" s="19" t="n">
        <x:f>SUM(D932:F932)</x:f>
        <x:v>9</x:v>
      </x:c>
      <x:c r="H932" s="25" t="n">
        <x:v>1</x:v>
      </x:c>
      <x:c r="I932" s="25" t="n">
        <x:v>0</x:v>
      </x:c>
      <x:c r="J932" s="25" t="str">
        <x:v>-</x:v>
      </x:c>
      <x:c r="K932" s="19" t="n">
        <x:f>D932-IF(H932=0,1,0)</x:f>
        <x:v>1</x:v>
      </x:c>
      <x:c r="L932" s="19" t="n">
        <x:f>E932-IF(H932=1,1,0)</x:f>
        <x:v>3</x:v>
      </x:c>
      <x:c r="M932" s="19" t="n">
        <x:f>F932-IF(H932=2,1,0)</x:f>
        <x:v>4</x:v>
      </x:c>
      <x:c r="N932" s="19" t="n">
        <x:f>MAX(K932-1,0)+MAX(L932-1,0)+MAX(M932-1,0)</x:f>
        <x:v>5</x:v>
      </x:c>
      <x:c r="O932" s="19" t="n">
        <x:f>IF(AND(SUM(K932:M932)&lt;9,OR(M932=0,N932&lt;6)),1,0)</x:f>
        <x:v>1</x:v>
      </x:c>
      <x:c r="P932" s="19" t="n">
        <x:f>IF(AND(SUM(K932:M932)&lt;9,OR(L932=0,N932&lt;6)),1,0)</x:f>
        <x:v>1</x:v>
      </x:c>
      <x:c r="Q932" s="19" t="n">
        <x:f>IF(AND(SUM(K932:M932)&lt;9,OR(K932=0,N932&lt;6)),1,0)</x:f>
        <x:v>1</x:v>
      </x:c>
      <x:c r="R932" s="22" t="str">
        <x:f>O932&amp;P932&amp;Q932</x:f>
        <x:v>111</x:v>
      </x:c>
      <x:c r="S932" s="19" t="n">
        <x:f>IF(I932=1,IF(J932=0,Q932,IF(J932=1,P932,IF(J932=2,O932,0))),0)</x:f>
        <x:v>0</x:v>
      </x:c>
      <x:c r="T932" s="19" t="n">
        <x:f>K932+IF(AND(S932=1,J932=0),1,0)</x:f>
        <x:v>1</x:v>
      </x:c>
      <x:c r="U932" s="19" t="n">
        <x:f>L932+IF(AND(S932=1,J932=1),1,0)</x:f>
        <x:v>3</x:v>
      </x:c>
      <x:c r="V932" s="19" t="n">
        <x:f>M932+IF(AND(S932=1,J932=2),1,0)</x:f>
        <x:v>4</x:v>
      </x:c>
      <x:c r="W932" s="19" t="n">
        <x:f>SUM(T932:V932)</x:f>
        <x:v>8</x:v>
      </x:c>
      <x:c r="X932" s="19" t="n">
        <x:f>W932-G932</x:f>
        <x:v>-1</x:v>
      </x:c>
      <x:c r="Y932" s="19" t="n">
        <x:f>MAX(T932,1)+MAX(U932,1)+MAX(V932,1)</x:f>
        <x:v>8</x:v>
      </x:c>
      <x:c r="Z932" s="21" t="str">
        <x:f>IF(AND(MIN(D932:F932)&gt;=0,MAX(D932:F932)&lt;=7,MAX(D932,1)+MAX(E932,1)+MAX(F932,1)&lt;=9,OR(H932="-",AND(H932=0,D932&gt;0),AND(H932=1,E932&gt;0),AND(H932=2,F932&gt;0)),OR(I932=0,AND(I932=1,OR(J932=0,J932=1,J932=2),R932&lt;&gt;"000")),Y932&lt;=9,MIN(T932:V932)&gt;=0),"合法","输入违约")</x:f>
        <x:v>合法</x:v>
      </x:c>
    </x:row>
    <x:row r="933" ht="23" customHeight="1">
      <x:c r="A933" s="3" t="str">
        <x:v>CT-0926</x:v>
      </x:c>
      <x:c r="B933" s="3" t="str">
        <x:v>ST-166</x:v>
      </x:c>
      <x:c r="C933" s="3" t="str">
        <x:v>R+AR同收同发</x:v>
      </x:c>
      <x:c r="D933" s="25" t="n">
        <x:v>1</x:v>
      </x:c>
      <x:c r="E933" s="25" t="n">
        <x:v>4</x:v>
      </x:c>
      <x:c r="F933" s="25" t="n">
        <x:v>4</x:v>
      </x:c>
      <x:c r="G933" s="19" t="n">
        <x:f>SUM(D933:F933)</x:f>
        <x:v>9</x:v>
      </x:c>
      <x:c r="H933" s="25" t="n">
        <x:v>1</x:v>
      </x:c>
      <x:c r="I933" s="25" t="n">
        <x:v>1</x:v>
      </x:c>
      <x:c r="J933" s="25" t="n">
        <x:v>0</x:v>
      </x:c>
      <x:c r="K933" s="19" t="n">
        <x:f>D933-IF(H933=0,1,0)</x:f>
        <x:v>1</x:v>
      </x:c>
      <x:c r="L933" s="19" t="n">
        <x:f>E933-IF(H933=1,1,0)</x:f>
        <x:v>3</x:v>
      </x:c>
      <x:c r="M933" s="19" t="n">
        <x:f>F933-IF(H933=2,1,0)</x:f>
        <x:v>4</x:v>
      </x:c>
      <x:c r="N933" s="19" t="n">
        <x:f>MAX(K933-1,0)+MAX(L933-1,0)+MAX(M933-1,0)</x:f>
        <x:v>5</x:v>
      </x:c>
      <x:c r="O933" s="19" t="n">
        <x:f>IF(AND(SUM(K933:M933)&lt;9,OR(M933=0,N933&lt;6)),1,0)</x:f>
        <x:v>1</x:v>
      </x:c>
      <x:c r="P933" s="19" t="n">
        <x:f>IF(AND(SUM(K933:M933)&lt;9,OR(L933=0,N933&lt;6)),1,0)</x:f>
        <x:v>1</x:v>
      </x:c>
      <x:c r="Q933" s="19" t="n">
        <x:f>IF(AND(SUM(K933:M933)&lt;9,OR(K933=0,N933&lt;6)),1,0)</x:f>
        <x:v>1</x:v>
      </x:c>
      <x:c r="R933" s="22" t="str">
        <x:f>O933&amp;P933&amp;Q933</x:f>
        <x:v>111</x:v>
      </x:c>
      <x:c r="S933" s="19" t="n">
        <x:f>IF(I933=1,IF(J933=0,Q933,IF(J933=1,P933,IF(J933=2,O933,0))),0)</x:f>
        <x:v>1</x:v>
      </x:c>
      <x:c r="T933" s="19" t="n">
        <x:f>K933+IF(AND(S933=1,J933=0),1,0)</x:f>
        <x:v>2</x:v>
      </x:c>
      <x:c r="U933" s="19" t="n">
        <x:f>L933+IF(AND(S933=1,J933=1),1,0)</x:f>
        <x:v>3</x:v>
      </x:c>
      <x:c r="V933" s="19" t="n">
        <x:f>M933+IF(AND(S933=1,J933=2),1,0)</x:f>
        <x:v>4</x:v>
      </x:c>
      <x:c r="W933" s="19" t="n">
        <x:f>SUM(T933:V933)</x:f>
        <x:v>9</x:v>
      </x:c>
      <x:c r="X933" s="19" t="n">
        <x:f>W933-G933</x:f>
        <x:v>0</x:v>
      </x:c>
      <x:c r="Y933" s="19" t="n">
        <x:f>MAX(T933,1)+MAX(U933,1)+MAX(V933,1)</x:f>
        <x:v>9</x:v>
      </x:c>
      <x:c r="Z933" s="21" t="str">
        <x:f>IF(AND(MIN(D933:F933)&gt;=0,MAX(D933:F933)&lt;=7,MAX(D933,1)+MAX(E933,1)+MAX(F933,1)&lt;=9,OR(H933="-",AND(H933=0,D933&gt;0),AND(H933=1,E933&gt;0),AND(H933=2,F933&gt;0)),OR(I933=0,AND(I933=1,OR(J933=0,J933=1,J933=2),R933&lt;&gt;"000")),Y933&lt;=9,MIN(T933:V933)&gt;=0),"合法","输入违约")</x:f>
        <x:v>合法</x:v>
      </x:c>
    </x:row>
    <x:row r="934" ht="23" customHeight="1">
      <x:c r="A934" s="3" t="str">
        <x:v>CT-0927</x:v>
      </x:c>
      <x:c r="B934" s="3" t="str">
        <x:v>ST-166</x:v>
      </x:c>
      <x:c r="C934" s="3" t="str">
        <x:v>R+AR同收同发</x:v>
      </x:c>
      <x:c r="D934" s="25" t="n">
        <x:v>1</x:v>
      </x:c>
      <x:c r="E934" s="25" t="n">
        <x:v>4</x:v>
      </x:c>
      <x:c r="F934" s="25" t="n">
        <x:v>4</x:v>
      </x:c>
      <x:c r="G934" s="19" t="n">
        <x:f>SUM(D934:F934)</x:f>
        <x:v>9</x:v>
      </x:c>
      <x:c r="H934" s="25" t="n">
        <x:v>1</x:v>
      </x:c>
      <x:c r="I934" s="25" t="n">
        <x:v>1</x:v>
      </x:c>
      <x:c r="J934" s="25" t="n">
        <x:v>1</x:v>
      </x:c>
      <x:c r="K934" s="19" t="n">
        <x:f>D934-IF(H934=0,1,0)</x:f>
        <x:v>1</x:v>
      </x:c>
      <x:c r="L934" s="19" t="n">
        <x:f>E934-IF(H934=1,1,0)</x:f>
        <x:v>3</x:v>
      </x:c>
      <x:c r="M934" s="19" t="n">
        <x:f>F934-IF(H934=2,1,0)</x:f>
        <x:v>4</x:v>
      </x:c>
      <x:c r="N934" s="19" t="n">
        <x:f>MAX(K934-1,0)+MAX(L934-1,0)+MAX(M934-1,0)</x:f>
        <x:v>5</x:v>
      </x:c>
      <x:c r="O934" s="19" t="n">
        <x:f>IF(AND(SUM(K934:M934)&lt;9,OR(M934=0,N934&lt;6)),1,0)</x:f>
        <x:v>1</x:v>
      </x:c>
      <x:c r="P934" s="19" t="n">
        <x:f>IF(AND(SUM(K934:M934)&lt;9,OR(L934=0,N934&lt;6)),1,0)</x:f>
        <x:v>1</x:v>
      </x:c>
      <x:c r="Q934" s="19" t="n">
        <x:f>IF(AND(SUM(K934:M934)&lt;9,OR(K934=0,N934&lt;6)),1,0)</x:f>
        <x:v>1</x:v>
      </x:c>
      <x:c r="R934" s="22" t="str">
        <x:f>O934&amp;P934&amp;Q934</x:f>
        <x:v>111</x:v>
      </x:c>
      <x:c r="S934" s="19" t="n">
        <x:f>IF(I934=1,IF(J934=0,Q934,IF(J934=1,P934,IF(J934=2,O934,0))),0)</x:f>
        <x:v>1</x:v>
      </x:c>
      <x:c r="T934" s="19" t="n">
        <x:f>K934+IF(AND(S934=1,J934=0),1,0)</x:f>
        <x:v>1</x:v>
      </x:c>
      <x:c r="U934" s="19" t="n">
        <x:f>L934+IF(AND(S934=1,J934=1),1,0)</x:f>
        <x:v>4</x:v>
      </x:c>
      <x:c r="V934" s="19" t="n">
        <x:f>M934+IF(AND(S934=1,J934=2),1,0)</x:f>
        <x:v>4</x:v>
      </x:c>
      <x:c r="W934" s="19" t="n">
        <x:f>SUM(T934:V934)</x:f>
        <x:v>9</x:v>
      </x:c>
      <x:c r="X934" s="19" t="n">
        <x:f>W934-G934</x:f>
        <x:v>0</x:v>
      </x:c>
      <x:c r="Y934" s="19" t="n">
        <x:f>MAX(T934,1)+MAX(U934,1)+MAX(V934,1)</x:f>
        <x:v>9</x:v>
      </x:c>
      <x:c r="Z934" s="21" t="str">
        <x:f>IF(AND(MIN(D934:F934)&gt;=0,MAX(D934:F934)&lt;=7,MAX(D934,1)+MAX(E934,1)+MAX(F934,1)&lt;=9,OR(H934="-",AND(H934=0,D934&gt;0),AND(H934=1,E934&gt;0),AND(H934=2,F934&gt;0)),OR(I934=0,AND(I934=1,OR(J934=0,J934=1,J934=2),R934&lt;&gt;"000")),Y934&lt;=9,MIN(T934:V934)&gt;=0),"合法","输入违约")</x:f>
        <x:v>合法</x:v>
      </x:c>
    </x:row>
    <x:row r="935" ht="23" customHeight="1">
      <x:c r="A935" s="3" t="str">
        <x:v>CT-0928</x:v>
      </x:c>
      <x:c r="B935" s="3" t="str">
        <x:v>ST-166</x:v>
      </x:c>
      <x:c r="C935" s="3" t="str">
        <x:v>R+AR同收同发</x:v>
      </x:c>
      <x:c r="D935" s="25" t="n">
        <x:v>1</x:v>
      </x:c>
      <x:c r="E935" s="25" t="n">
        <x:v>4</x:v>
      </x:c>
      <x:c r="F935" s="25" t="n">
        <x:v>4</x:v>
      </x:c>
      <x:c r="G935" s="19" t="n">
        <x:f>SUM(D935:F935)</x:f>
        <x:v>9</x:v>
      </x:c>
      <x:c r="H935" s="25" t="n">
        <x:v>1</x:v>
      </x:c>
      <x:c r="I935" s="25" t="n">
        <x:v>1</x:v>
      </x:c>
      <x:c r="J935" s="25" t="n">
        <x:v>2</x:v>
      </x:c>
      <x:c r="K935" s="19" t="n">
        <x:f>D935-IF(H935=0,1,0)</x:f>
        <x:v>1</x:v>
      </x:c>
      <x:c r="L935" s="19" t="n">
        <x:f>E935-IF(H935=1,1,0)</x:f>
        <x:v>3</x:v>
      </x:c>
      <x:c r="M935" s="19" t="n">
        <x:f>F935-IF(H935=2,1,0)</x:f>
        <x:v>4</x:v>
      </x:c>
      <x:c r="N935" s="19" t="n">
        <x:f>MAX(K935-1,0)+MAX(L935-1,0)+MAX(M935-1,0)</x:f>
        <x:v>5</x:v>
      </x:c>
      <x:c r="O935" s="19" t="n">
        <x:f>IF(AND(SUM(K935:M935)&lt;9,OR(M935=0,N935&lt;6)),1,0)</x:f>
        <x:v>1</x:v>
      </x:c>
      <x:c r="P935" s="19" t="n">
        <x:f>IF(AND(SUM(K935:M935)&lt;9,OR(L935=0,N935&lt;6)),1,0)</x:f>
        <x:v>1</x:v>
      </x:c>
      <x:c r="Q935" s="19" t="n">
        <x:f>IF(AND(SUM(K935:M935)&lt;9,OR(K935=0,N935&lt;6)),1,0)</x:f>
        <x:v>1</x:v>
      </x:c>
      <x:c r="R935" s="22" t="str">
        <x:f>O935&amp;P935&amp;Q935</x:f>
        <x:v>111</x:v>
      </x:c>
      <x:c r="S935" s="19" t="n">
        <x:f>IF(I935=1,IF(J935=0,Q935,IF(J935=1,P935,IF(J935=2,O935,0))),0)</x:f>
        <x:v>1</x:v>
      </x:c>
      <x:c r="T935" s="19" t="n">
        <x:f>K935+IF(AND(S935=1,J935=0),1,0)</x:f>
        <x:v>1</x:v>
      </x:c>
      <x:c r="U935" s="19" t="n">
        <x:f>L935+IF(AND(S935=1,J935=1),1,0)</x:f>
        <x:v>3</x:v>
      </x:c>
      <x:c r="V935" s="19" t="n">
        <x:f>M935+IF(AND(S935=1,J935=2),1,0)</x:f>
        <x:v>5</x:v>
      </x:c>
      <x:c r="W935" s="19" t="n">
        <x:f>SUM(T935:V935)</x:f>
        <x:v>9</x:v>
      </x:c>
      <x:c r="X935" s="19" t="n">
        <x:f>W935-G935</x:f>
        <x:v>0</x:v>
      </x:c>
      <x:c r="Y935" s="19" t="n">
        <x:f>MAX(T935,1)+MAX(U935,1)+MAX(V935,1)</x:f>
        <x:v>9</x:v>
      </x:c>
      <x:c r="Z935" s="21" t="str">
        <x:f>IF(AND(MIN(D935:F935)&gt;=0,MAX(D935:F935)&lt;=7,MAX(D935,1)+MAX(E935,1)+MAX(F935,1)&lt;=9,OR(H935="-",AND(H935=0,D935&gt;0),AND(H935=1,E935&gt;0),AND(H935=2,F935&gt;0)),OR(I935=0,AND(I935=1,OR(J935=0,J935=1,J935=2),R935&lt;&gt;"000")),Y935&lt;=9,MIN(T935:V935)&gt;=0),"合法","输入违约")</x:f>
        <x:v>合法</x:v>
      </x:c>
    </x:row>
    <x:row r="936" ht="23" customHeight="1">
      <x:c r="A936" s="3" t="str">
        <x:v>CT-0929</x:v>
      </x:c>
      <x:c r="B936" s="3" t="str">
        <x:v>ST-166</x:v>
      </x:c>
      <x:c r="C936" s="3" t="str">
        <x:v>仅R回收</x:v>
      </x:c>
      <x:c r="D936" s="25" t="n">
        <x:v>1</x:v>
      </x:c>
      <x:c r="E936" s="25" t="n">
        <x:v>4</x:v>
      </x:c>
      <x:c r="F936" s="25" t="n">
        <x:v>4</x:v>
      </x:c>
      <x:c r="G936" s="19" t="n">
        <x:f>SUM(D936:F936)</x:f>
        <x:v>9</x:v>
      </x:c>
      <x:c r="H936" s="25" t="n">
        <x:v>2</x:v>
      </x:c>
      <x:c r="I936" s="25" t="n">
        <x:v>0</x:v>
      </x:c>
      <x:c r="J936" s="25" t="str">
        <x:v>-</x:v>
      </x:c>
      <x:c r="K936" s="19" t="n">
        <x:f>D936-IF(H936=0,1,0)</x:f>
        <x:v>1</x:v>
      </x:c>
      <x:c r="L936" s="19" t="n">
        <x:f>E936-IF(H936=1,1,0)</x:f>
        <x:v>4</x:v>
      </x:c>
      <x:c r="M936" s="19" t="n">
        <x:f>F936-IF(H936=2,1,0)</x:f>
        <x:v>3</x:v>
      </x:c>
      <x:c r="N936" s="19" t="n">
        <x:f>MAX(K936-1,0)+MAX(L936-1,0)+MAX(M936-1,0)</x:f>
        <x:v>5</x:v>
      </x:c>
      <x:c r="O936" s="19" t="n">
        <x:f>IF(AND(SUM(K936:M936)&lt;9,OR(M936=0,N936&lt;6)),1,0)</x:f>
        <x:v>1</x:v>
      </x:c>
      <x:c r="P936" s="19" t="n">
        <x:f>IF(AND(SUM(K936:M936)&lt;9,OR(L936=0,N936&lt;6)),1,0)</x:f>
        <x:v>1</x:v>
      </x:c>
      <x:c r="Q936" s="19" t="n">
        <x:f>IF(AND(SUM(K936:M936)&lt;9,OR(K936=0,N936&lt;6)),1,0)</x:f>
        <x:v>1</x:v>
      </x:c>
      <x:c r="R936" s="22" t="str">
        <x:f>O936&amp;P936&amp;Q936</x:f>
        <x:v>111</x:v>
      </x:c>
      <x:c r="S936" s="19" t="n">
        <x:f>IF(I936=1,IF(J936=0,Q936,IF(J936=1,P936,IF(J936=2,O936,0))),0)</x:f>
        <x:v>0</x:v>
      </x:c>
      <x:c r="T936" s="19" t="n">
        <x:f>K936+IF(AND(S936=1,J936=0),1,0)</x:f>
        <x:v>1</x:v>
      </x:c>
      <x:c r="U936" s="19" t="n">
        <x:f>L936+IF(AND(S936=1,J936=1),1,0)</x:f>
        <x:v>4</x:v>
      </x:c>
      <x:c r="V936" s="19" t="n">
        <x:f>M936+IF(AND(S936=1,J936=2),1,0)</x:f>
        <x:v>3</x:v>
      </x:c>
      <x:c r="W936" s="19" t="n">
        <x:f>SUM(T936:V936)</x:f>
        <x:v>8</x:v>
      </x:c>
      <x:c r="X936" s="19" t="n">
        <x:f>W936-G936</x:f>
        <x:v>-1</x:v>
      </x:c>
      <x:c r="Y936" s="19" t="n">
        <x:f>MAX(T936,1)+MAX(U936,1)+MAX(V936,1)</x:f>
        <x:v>8</x:v>
      </x:c>
      <x:c r="Z936" s="21" t="str">
        <x:f>IF(AND(MIN(D936:F936)&gt;=0,MAX(D936:F936)&lt;=7,MAX(D936,1)+MAX(E936,1)+MAX(F936,1)&lt;=9,OR(H936="-",AND(H936=0,D936&gt;0),AND(H936=1,E936&gt;0),AND(H936=2,F936&gt;0)),OR(I936=0,AND(I936=1,OR(J936=0,J936=1,J936=2),R936&lt;&gt;"000")),Y936&lt;=9,MIN(T936:V936)&gt;=0),"合法","输入违约")</x:f>
        <x:v>合法</x:v>
      </x:c>
    </x:row>
    <x:row r="937" ht="23" customHeight="1">
      <x:c r="A937" s="3" t="str">
        <x:v>CT-0930</x:v>
      </x:c>
      <x:c r="B937" s="3" t="str">
        <x:v>ST-166</x:v>
      </x:c>
      <x:c r="C937" s="3" t="str">
        <x:v>R+AR同收同发</x:v>
      </x:c>
      <x:c r="D937" s="25" t="n">
        <x:v>1</x:v>
      </x:c>
      <x:c r="E937" s="25" t="n">
        <x:v>4</x:v>
      </x:c>
      <x:c r="F937" s="25" t="n">
        <x:v>4</x:v>
      </x:c>
      <x:c r="G937" s="19" t="n">
        <x:f>SUM(D937:F937)</x:f>
        <x:v>9</x:v>
      </x:c>
      <x:c r="H937" s="25" t="n">
        <x:v>2</x:v>
      </x:c>
      <x:c r="I937" s="25" t="n">
        <x:v>1</x:v>
      </x:c>
      <x:c r="J937" s="25" t="n">
        <x:v>0</x:v>
      </x:c>
      <x:c r="K937" s="19" t="n">
        <x:f>D937-IF(H937=0,1,0)</x:f>
        <x:v>1</x:v>
      </x:c>
      <x:c r="L937" s="19" t="n">
        <x:f>E937-IF(H937=1,1,0)</x:f>
        <x:v>4</x:v>
      </x:c>
      <x:c r="M937" s="19" t="n">
        <x:f>F937-IF(H937=2,1,0)</x:f>
        <x:v>3</x:v>
      </x:c>
      <x:c r="N937" s="19" t="n">
        <x:f>MAX(K937-1,0)+MAX(L937-1,0)+MAX(M937-1,0)</x:f>
        <x:v>5</x:v>
      </x:c>
      <x:c r="O937" s="19" t="n">
        <x:f>IF(AND(SUM(K937:M937)&lt;9,OR(M937=0,N937&lt;6)),1,0)</x:f>
        <x:v>1</x:v>
      </x:c>
      <x:c r="P937" s="19" t="n">
        <x:f>IF(AND(SUM(K937:M937)&lt;9,OR(L937=0,N937&lt;6)),1,0)</x:f>
        <x:v>1</x:v>
      </x:c>
      <x:c r="Q937" s="19" t="n">
        <x:f>IF(AND(SUM(K937:M937)&lt;9,OR(K937=0,N937&lt;6)),1,0)</x:f>
        <x:v>1</x:v>
      </x:c>
      <x:c r="R937" s="22" t="str">
        <x:f>O937&amp;P937&amp;Q937</x:f>
        <x:v>111</x:v>
      </x:c>
      <x:c r="S937" s="19" t="n">
        <x:f>IF(I937=1,IF(J937=0,Q937,IF(J937=1,P937,IF(J937=2,O937,0))),0)</x:f>
        <x:v>1</x:v>
      </x:c>
      <x:c r="T937" s="19" t="n">
        <x:f>K937+IF(AND(S937=1,J937=0),1,0)</x:f>
        <x:v>2</x:v>
      </x:c>
      <x:c r="U937" s="19" t="n">
        <x:f>L937+IF(AND(S937=1,J937=1),1,0)</x:f>
        <x:v>4</x:v>
      </x:c>
      <x:c r="V937" s="19" t="n">
        <x:f>M937+IF(AND(S937=1,J937=2),1,0)</x:f>
        <x:v>3</x:v>
      </x:c>
      <x:c r="W937" s="19" t="n">
        <x:f>SUM(T937:V937)</x:f>
        <x:v>9</x:v>
      </x:c>
      <x:c r="X937" s="19" t="n">
        <x:f>W937-G937</x:f>
        <x:v>0</x:v>
      </x:c>
      <x:c r="Y937" s="19" t="n">
        <x:f>MAX(T937,1)+MAX(U937,1)+MAX(V937,1)</x:f>
        <x:v>9</x:v>
      </x:c>
      <x:c r="Z937" s="21" t="str">
        <x:f>IF(AND(MIN(D937:F937)&gt;=0,MAX(D937:F937)&lt;=7,MAX(D937,1)+MAX(E937,1)+MAX(F937,1)&lt;=9,OR(H937="-",AND(H937=0,D937&gt;0),AND(H937=1,E937&gt;0),AND(H937=2,F937&gt;0)),OR(I937=0,AND(I937=1,OR(J937=0,J937=1,J937=2),R937&lt;&gt;"000")),Y937&lt;=9,MIN(T937:V937)&gt;=0),"合法","输入违约")</x:f>
        <x:v>合法</x:v>
      </x:c>
    </x:row>
    <x:row r="938" ht="23" customHeight="1">
      <x:c r="A938" s="3" t="str">
        <x:v>CT-0931</x:v>
      </x:c>
      <x:c r="B938" s="3" t="str">
        <x:v>ST-166</x:v>
      </x:c>
      <x:c r="C938" s="3" t="str">
        <x:v>R+AR同收同发</x:v>
      </x:c>
      <x:c r="D938" s="25" t="n">
        <x:v>1</x:v>
      </x:c>
      <x:c r="E938" s="25" t="n">
        <x:v>4</x:v>
      </x:c>
      <x:c r="F938" s="25" t="n">
        <x:v>4</x:v>
      </x:c>
      <x:c r="G938" s="19" t="n">
        <x:f>SUM(D938:F938)</x:f>
        <x:v>9</x:v>
      </x:c>
      <x:c r="H938" s="25" t="n">
        <x:v>2</x:v>
      </x:c>
      <x:c r="I938" s="25" t="n">
        <x:v>1</x:v>
      </x:c>
      <x:c r="J938" s="25" t="n">
        <x:v>1</x:v>
      </x:c>
      <x:c r="K938" s="19" t="n">
        <x:f>D938-IF(H938=0,1,0)</x:f>
        <x:v>1</x:v>
      </x:c>
      <x:c r="L938" s="19" t="n">
        <x:f>E938-IF(H938=1,1,0)</x:f>
        <x:v>4</x:v>
      </x:c>
      <x:c r="M938" s="19" t="n">
        <x:f>F938-IF(H938=2,1,0)</x:f>
        <x:v>3</x:v>
      </x:c>
      <x:c r="N938" s="19" t="n">
        <x:f>MAX(K938-1,0)+MAX(L938-1,0)+MAX(M938-1,0)</x:f>
        <x:v>5</x:v>
      </x:c>
      <x:c r="O938" s="19" t="n">
        <x:f>IF(AND(SUM(K938:M938)&lt;9,OR(M938=0,N938&lt;6)),1,0)</x:f>
        <x:v>1</x:v>
      </x:c>
      <x:c r="P938" s="19" t="n">
        <x:f>IF(AND(SUM(K938:M938)&lt;9,OR(L938=0,N938&lt;6)),1,0)</x:f>
        <x:v>1</x:v>
      </x:c>
      <x:c r="Q938" s="19" t="n">
        <x:f>IF(AND(SUM(K938:M938)&lt;9,OR(K938=0,N938&lt;6)),1,0)</x:f>
        <x:v>1</x:v>
      </x:c>
      <x:c r="R938" s="22" t="str">
        <x:f>O938&amp;P938&amp;Q938</x:f>
        <x:v>111</x:v>
      </x:c>
      <x:c r="S938" s="19" t="n">
        <x:f>IF(I938=1,IF(J938=0,Q938,IF(J938=1,P938,IF(J938=2,O938,0))),0)</x:f>
        <x:v>1</x:v>
      </x:c>
      <x:c r="T938" s="19" t="n">
        <x:f>K938+IF(AND(S938=1,J938=0),1,0)</x:f>
        <x:v>1</x:v>
      </x:c>
      <x:c r="U938" s="19" t="n">
        <x:f>L938+IF(AND(S938=1,J938=1),1,0)</x:f>
        <x:v>5</x:v>
      </x:c>
      <x:c r="V938" s="19" t="n">
        <x:f>M938+IF(AND(S938=1,J938=2),1,0)</x:f>
        <x:v>3</x:v>
      </x:c>
      <x:c r="W938" s="19" t="n">
        <x:f>SUM(T938:V938)</x:f>
        <x:v>9</x:v>
      </x:c>
      <x:c r="X938" s="19" t="n">
        <x:f>W938-G938</x:f>
        <x:v>0</x:v>
      </x:c>
      <x:c r="Y938" s="19" t="n">
        <x:f>MAX(T938,1)+MAX(U938,1)+MAX(V938,1)</x:f>
        <x:v>9</x:v>
      </x:c>
      <x:c r="Z938" s="21" t="str">
        <x:f>IF(AND(MIN(D938:F938)&gt;=0,MAX(D938:F938)&lt;=7,MAX(D938,1)+MAX(E938,1)+MAX(F938,1)&lt;=9,OR(H938="-",AND(H938=0,D938&gt;0),AND(H938=1,E938&gt;0),AND(H938=2,F938&gt;0)),OR(I938=0,AND(I938=1,OR(J938=0,J938=1,J938=2),R938&lt;&gt;"000")),Y938&lt;=9,MIN(T938:V938)&gt;=0),"合法","输入违约")</x:f>
        <x:v>合法</x:v>
      </x:c>
    </x:row>
    <x:row r="939" ht="23" customHeight="1">
      <x:c r="A939" s="3" t="str">
        <x:v>CT-0932</x:v>
      </x:c>
      <x:c r="B939" s="3" t="str">
        <x:v>ST-166</x:v>
      </x:c>
      <x:c r="C939" s="3" t="str">
        <x:v>R+AR同收同发</x:v>
      </x:c>
      <x:c r="D939" s="25" t="n">
        <x:v>1</x:v>
      </x:c>
      <x:c r="E939" s="25" t="n">
        <x:v>4</x:v>
      </x:c>
      <x:c r="F939" s="25" t="n">
        <x:v>4</x:v>
      </x:c>
      <x:c r="G939" s="19" t="n">
        <x:f>SUM(D939:F939)</x:f>
        <x:v>9</x:v>
      </x:c>
      <x:c r="H939" s="25" t="n">
        <x:v>2</x:v>
      </x:c>
      <x:c r="I939" s="25" t="n">
        <x:v>1</x:v>
      </x:c>
      <x:c r="J939" s="25" t="n">
        <x:v>2</x:v>
      </x:c>
      <x:c r="K939" s="19" t="n">
        <x:f>D939-IF(H939=0,1,0)</x:f>
        <x:v>1</x:v>
      </x:c>
      <x:c r="L939" s="19" t="n">
        <x:f>E939-IF(H939=1,1,0)</x:f>
        <x:v>4</x:v>
      </x:c>
      <x:c r="M939" s="19" t="n">
        <x:f>F939-IF(H939=2,1,0)</x:f>
        <x:v>3</x:v>
      </x:c>
      <x:c r="N939" s="19" t="n">
        <x:f>MAX(K939-1,0)+MAX(L939-1,0)+MAX(M939-1,0)</x:f>
        <x:v>5</x:v>
      </x:c>
      <x:c r="O939" s="19" t="n">
        <x:f>IF(AND(SUM(K939:M939)&lt;9,OR(M939=0,N939&lt;6)),1,0)</x:f>
        <x:v>1</x:v>
      </x:c>
      <x:c r="P939" s="19" t="n">
        <x:f>IF(AND(SUM(K939:M939)&lt;9,OR(L939=0,N939&lt;6)),1,0)</x:f>
        <x:v>1</x:v>
      </x:c>
      <x:c r="Q939" s="19" t="n">
        <x:f>IF(AND(SUM(K939:M939)&lt;9,OR(K939=0,N939&lt;6)),1,0)</x:f>
        <x:v>1</x:v>
      </x:c>
      <x:c r="R939" s="22" t="str">
        <x:f>O939&amp;P939&amp;Q939</x:f>
        <x:v>111</x:v>
      </x:c>
      <x:c r="S939" s="19" t="n">
        <x:f>IF(I939=1,IF(J939=0,Q939,IF(J939=1,P939,IF(J939=2,O939,0))),0)</x:f>
        <x:v>1</x:v>
      </x:c>
      <x:c r="T939" s="19" t="n">
        <x:f>K939+IF(AND(S939=1,J939=0),1,0)</x:f>
        <x:v>1</x:v>
      </x:c>
      <x:c r="U939" s="19" t="n">
        <x:f>L939+IF(AND(S939=1,J939=1),1,0)</x:f>
        <x:v>4</x:v>
      </x:c>
      <x:c r="V939" s="19" t="n">
        <x:f>M939+IF(AND(S939=1,J939=2),1,0)</x:f>
        <x:v>4</x:v>
      </x:c>
      <x:c r="W939" s="19" t="n">
        <x:f>SUM(T939:V939)</x:f>
        <x:v>9</x:v>
      </x:c>
      <x:c r="X939" s="19" t="n">
        <x:f>W939-G939</x:f>
        <x:v>0</x:v>
      </x:c>
      <x:c r="Y939" s="19" t="n">
        <x:f>MAX(T939,1)+MAX(U939,1)+MAX(V939,1)</x:f>
        <x:v>9</x:v>
      </x:c>
      <x:c r="Z939" s="21" t="str">
        <x:f>IF(AND(MIN(D939:F939)&gt;=0,MAX(D939:F939)&lt;=7,MAX(D939,1)+MAX(E939,1)+MAX(F939,1)&lt;=9,OR(H939="-",AND(H939=0,D939&gt;0),AND(H939=1,E939&gt;0),AND(H939=2,F939&gt;0)),OR(I939=0,AND(I939=1,OR(J939=0,J939=1,J939=2),R939&lt;&gt;"000")),Y939&lt;=9,MIN(T939:V939)&gt;=0),"合法","输入违约")</x:f>
        <x:v>合法</x:v>
      </x:c>
    </x:row>
    <x:row r="940" ht="23" customHeight="1">
      <x:c r="A940" s="3" t="str">
        <x:v>CT-0933</x:v>
      </x:c>
      <x:c r="B940" s="3" t="str">
        <x:v>ST-069</x:v>
      </x:c>
      <x:c r="C940" s="3" t="str">
        <x:v>无AR/R</x:v>
      </x:c>
      <x:c r="D940" s="25" t="n">
        <x:v>1</x:v>
      </x:c>
      <x:c r="E940" s="25" t="n">
        <x:v>5</x:v>
      </x:c>
      <x:c r="F940" s="25" t="n">
        <x:v>0</x:v>
      </x:c>
      <x:c r="G940" s="19" t="n">
        <x:f>SUM(D940:F940)</x:f>
        <x:v>6</x:v>
      </x:c>
      <x:c r="H940" s="25" t="str">
        <x:v>-</x:v>
      </x:c>
      <x:c r="I940" s="25" t="n">
        <x:v>0</x:v>
      </x:c>
      <x:c r="J940" s="25" t="str">
        <x:v>-</x:v>
      </x:c>
      <x:c r="K940" s="19" t="n">
        <x:f>D940-IF(H940=0,1,0)</x:f>
        <x:v>1</x:v>
      </x:c>
      <x:c r="L940" s="19" t="n">
        <x:f>E940-IF(H940=1,1,0)</x:f>
        <x:v>5</x:v>
      </x:c>
      <x:c r="M940" s="19" t="n">
        <x:f>F940-IF(H940=2,1,0)</x:f>
        <x:v>0</x:v>
      </x:c>
      <x:c r="N940" s="19" t="n">
        <x:f>MAX(K940-1,0)+MAX(L940-1,0)+MAX(M940-1,0)</x:f>
        <x:v>4</x:v>
      </x:c>
      <x:c r="O940" s="19" t="n">
        <x:f>IF(AND(SUM(K940:M940)&lt;9,OR(M940=0,N940&lt;6)),1,0)</x:f>
        <x:v>1</x:v>
      </x:c>
      <x:c r="P940" s="19" t="n">
        <x:f>IF(AND(SUM(K940:M940)&lt;9,OR(L940=0,N940&lt;6)),1,0)</x:f>
        <x:v>1</x:v>
      </x:c>
      <x:c r="Q940" s="19" t="n">
        <x:f>IF(AND(SUM(K940:M940)&lt;9,OR(K940=0,N940&lt;6)),1,0)</x:f>
        <x:v>1</x:v>
      </x:c>
      <x:c r="R940" s="22" t="str">
        <x:f>O940&amp;P940&amp;Q940</x:f>
        <x:v>111</x:v>
      </x:c>
      <x:c r="S940" s="19" t="n">
        <x:f>IF(I940=1,IF(J940=0,Q940,IF(J940=1,P940,IF(J940=2,O940,0))),0)</x:f>
        <x:v>0</x:v>
      </x:c>
      <x:c r="T940" s="19" t="n">
        <x:f>K940+IF(AND(S940=1,J940=0),1,0)</x:f>
        <x:v>1</x:v>
      </x:c>
      <x:c r="U940" s="19" t="n">
        <x:f>L940+IF(AND(S940=1,J940=1),1,0)</x:f>
        <x:v>5</x:v>
      </x:c>
      <x:c r="V940" s="19" t="n">
        <x:f>M940+IF(AND(S940=1,J940=2),1,0)</x:f>
        <x:v>0</x:v>
      </x:c>
      <x:c r="W940" s="19" t="n">
        <x:f>SUM(T940:V940)</x:f>
        <x:v>6</x:v>
      </x:c>
      <x:c r="X940" s="19" t="n">
        <x:f>W940-G940</x:f>
        <x:v>0</x:v>
      </x:c>
      <x:c r="Y940" s="19" t="n">
        <x:f>MAX(T940,1)+MAX(U940,1)+MAX(V940,1)</x:f>
        <x:v>7</x:v>
      </x:c>
      <x:c r="Z940" s="21" t="str">
        <x:f>IF(AND(MIN(D940:F940)&gt;=0,MAX(D940:F940)&lt;=7,MAX(D940,1)+MAX(E940,1)+MAX(F940,1)&lt;=9,OR(H940="-",AND(H940=0,D940&gt;0),AND(H940=1,E940&gt;0),AND(H940=2,F940&gt;0)),OR(I940=0,AND(I940=1,OR(J940=0,J940=1,J940=2),R940&lt;&gt;"000")),Y940&lt;=9,MIN(T940:V940)&gt;=0),"合法","输入违约")</x:f>
        <x:v>合法</x:v>
      </x:c>
    </x:row>
    <x:row r="941" ht="23" customHeight="1">
      <x:c r="A941" s="3" t="str">
        <x:v>CT-0934</x:v>
      </x:c>
      <x:c r="B941" s="3" t="str">
        <x:v>ST-069</x:v>
      </x:c>
      <x:c r="C941" s="3" t="str">
        <x:v>仅AR接收</x:v>
      </x:c>
      <x:c r="D941" s="25" t="n">
        <x:v>1</x:v>
      </x:c>
      <x:c r="E941" s="25" t="n">
        <x:v>5</x:v>
      </x:c>
      <x:c r="F941" s="25" t="n">
        <x:v>0</x:v>
      </x:c>
      <x:c r="G941" s="19" t="n">
        <x:f>SUM(D941:F941)</x:f>
        <x:v>6</x:v>
      </x:c>
      <x:c r="H941" s="25" t="str">
        <x:v>-</x:v>
      </x:c>
      <x:c r="I941" s="25" t="n">
        <x:v>1</x:v>
      </x:c>
      <x:c r="J941" s="25" t="n">
        <x:v>0</x:v>
      </x:c>
      <x:c r="K941" s="19" t="n">
        <x:f>D941-IF(H941=0,1,0)</x:f>
        <x:v>1</x:v>
      </x:c>
      <x:c r="L941" s="19" t="n">
        <x:f>E941-IF(H941=1,1,0)</x:f>
        <x:v>5</x:v>
      </x:c>
      <x:c r="M941" s="19" t="n">
        <x:f>F941-IF(H941=2,1,0)</x:f>
        <x:v>0</x:v>
      </x:c>
      <x:c r="N941" s="19" t="n">
        <x:f>MAX(K941-1,0)+MAX(L941-1,0)+MAX(M941-1,0)</x:f>
        <x:v>4</x:v>
      </x:c>
      <x:c r="O941" s="19" t="n">
        <x:f>IF(AND(SUM(K941:M941)&lt;9,OR(M941=0,N941&lt;6)),1,0)</x:f>
        <x:v>1</x:v>
      </x:c>
      <x:c r="P941" s="19" t="n">
        <x:f>IF(AND(SUM(K941:M941)&lt;9,OR(L941=0,N941&lt;6)),1,0)</x:f>
        <x:v>1</x:v>
      </x:c>
      <x:c r="Q941" s="19" t="n">
        <x:f>IF(AND(SUM(K941:M941)&lt;9,OR(K941=0,N941&lt;6)),1,0)</x:f>
        <x:v>1</x:v>
      </x:c>
      <x:c r="R941" s="22" t="str">
        <x:f>O941&amp;P941&amp;Q941</x:f>
        <x:v>111</x:v>
      </x:c>
      <x:c r="S941" s="19" t="n">
        <x:f>IF(I941=1,IF(J941=0,Q941,IF(J941=1,P941,IF(J941=2,O941,0))),0)</x:f>
        <x:v>1</x:v>
      </x:c>
      <x:c r="T941" s="19" t="n">
        <x:f>K941+IF(AND(S941=1,J941=0),1,0)</x:f>
        <x:v>2</x:v>
      </x:c>
      <x:c r="U941" s="19" t="n">
        <x:f>L941+IF(AND(S941=1,J941=1),1,0)</x:f>
        <x:v>5</x:v>
      </x:c>
      <x:c r="V941" s="19" t="n">
        <x:f>M941+IF(AND(S941=1,J941=2),1,0)</x:f>
        <x:v>0</x:v>
      </x:c>
      <x:c r="W941" s="19" t="n">
        <x:f>SUM(T941:V941)</x:f>
        <x:v>7</x:v>
      </x:c>
      <x:c r="X941" s="19" t="n">
        <x:f>W941-G941</x:f>
        <x:v>1</x:v>
      </x:c>
      <x:c r="Y941" s="19" t="n">
        <x:f>MAX(T941,1)+MAX(U941,1)+MAX(V941,1)</x:f>
        <x:v>8</x:v>
      </x:c>
      <x:c r="Z941" s="21" t="str">
        <x:f>IF(AND(MIN(D941:F941)&gt;=0,MAX(D941:F941)&lt;=7,MAX(D941,1)+MAX(E941,1)+MAX(F941,1)&lt;=9,OR(H941="-",AND(H941=0,D941&gt;0),AND(H941=1,E941&gt;0),AND(H941=2,F941&gt;0)),OR(I941=0,AND(I941=1,OR(J941=0,J941=1,J941=2),R941&lt;&gt;"000")),Y941&lt;=9,MIN(T941:V941)&gt;=0),"合法","输入违约")</x:f>
        <x:v>合法</x:v>
      </x:c>
    </x:row>
    <x:row r="942" ht="23" customHeight="1">
      <x:c r="A942" s="3" t="str">
        <x:v>CT-0935</x:v>
      </x:c>
      <x:c r="B942" s="3" t="str">
        <x:v>ST-069</x:v>
      </x:c>
      <x:c r="C942" s="3" t="str">
        <x:v>仅AR接收</x:v>
      </x:c>
      <x:c r="D942" s="25" t="n">
        <x:v>1</x:v>
      </x:c>
      <x:c r="E942" s="25" t="n">
        <x:v>5</x:v>
      </x:c>
      <x:c r="F942" s="25" t="n">
        <x:v>0</x:v>
      </x:c>
      <x:c r="G942" s="19" t="n">
        <x:f>SUM(D942:F942)</x:f>
        <x:v>6</x:v>
      </x:c>
      <x:c r="H942" s="25" t="str">
        <x:v>-</x:v>
      </x:c>
      <x:c r="I942" s="25" t="n">
        <x:v>1</x:v>
      </x:c>
      <x:c r="J942" s="25" t="n">
        <x:v>1</x:v>
      </x:c>
      <x:c r="K942" s="19" t="n">
        <x:f>D942-IF(H942=0,1,0)</x:f>
        <x:v>1</x:v>
      </x:c>
      <x:c r="L942" s="19" t="n">
        <x:f>E942-IF(H942=1,1,0)</x:f>
        <x:v>5</x:v>
      </x:c>
      <x:c r="M942" s="19" t="n">
        <x:f>F942-IF(H942=2,1,0)</x:f>
        <x:v>0</x:v>
      </x:c>
      <x:c r="N942" s="19" t="n">
        <x:f>MAX(K942-1,0)+MAX(L942-1,0)+MAX(M942-1,0)</x:f>
        <x:v>4</x:v>
      </x:c>
      <x:c r="O942" s="19" t="n">
        <x:f>IF(AND(SUM(K942:M942)&lt;9,OR(M942=0,N942&lt;6)),1,0)</x:f>
        <x:v>1</x:v>
      </x:c>
      <x:c r="P942" s="19" t="n">
        <x:f>IF(AND(SUM(K942:M942)&lt;9,OR(L942=0,N942&lt;6)),1,0)</x:f>
        <x:v>1</x:v>
      </x:c>
      <x:c r="Q942" s="19" t="n">
        <x:f>IF(AND(SUM(K942:M942)&lt;9,OR(K942=0,N942&lt;6)),1,0)</x:f>
        <x:v>1</x:v>
      </x:c>
      <x:c r="R942" s="22" t="str">
        <x:f>O942&amp;P942&amp;Q942</x:f>
        <x:v>111</x:v>
      </x:c>
      <x:c r="S942" s="19" t="n">
        <x:f>IF(I942=1,IF(J942=0,Q942,IF(J942=1,P942,IF(J942=2,O942,0))),0)</x:f>
        <x:v>1</x:v>
      </x:c>
      <x:c r="T942" s="19" t="n">
        <x:f>K942+IF(AND(S942=1,J942=0),1,0)</x:f>
        <x:v>1</x:v>
      </x:c>
      <x:c r="U942" s="19" t="n">
        <x:f>L942+IF(AND(S942=1,J942=1),1,0)</x:f>
        <x:v>6</x:v>
      </x:c>
      <x:c r="V942" s="19" t="n">
        <x:f>M942+IF(AND(S942=1,J942=2),1,0)</x:f>
        <x:v>0</x:v>
      </x:c>
      <x:c r="W942" s="19" t="n">
        <x:f>SUM(T942:V942)</x:f>
        <x:v>7</x:v>
      </x:c>
      <x:c r="X942" s="19" t="n">
        <x:f>W942-G942</x:f>
        <x:v>1</x:v>
      </x:c>
      <x:c r="Y942" s="19" t="n">
        <x:f>MAX(T942,1)+MAX(U942,1)+MAX(V942,1)</x:f>
        <x:v>8</x:v>
      </x:c>
      <x:c r="Z942" s="21" t="str">
        <x:f>IF(AND(MIN(D942:F942)&gt;=0,MAX(D942:F942)&lt;=7,MAX(D942,1)+MAX(E942,1)+MAX(F942,1)&lt;=9,OR(H942="-",AND(H942=0,D942&gt;0),AND(H942=1,E942&gt;0),AND(H942=2,F942&gt;0)),OR(I942=0,AND(I942=1,OR(J942=0,J942=1,J942=2),R942&lt;&gt;"000")),Y942&lt;=9,MIN(T942:V942)&gt;=0),"合法","输入违约")</x:f>
        <x:v>合法</x:v>
      </x:c>
    </x:row>
    <x:row r="943" ht="23" customHeight="1">
      <x:c r="A943" s="3" t="str">
        <x:v>CT-0936</x:v>
      </x:c>
      <x:c r="B943" s="3" t="str">
        <x:v>ST-069</x:v>
      </x:c>
      <x:c r="C943" s="3" t="str">
        <x:v>仅AR接收</x:v>
      </x:c>
      <x:c r="D943" s="25" t="n">
        <x:v>1</x:v>
      </x:c>
      <x:c r="E943" s="25" t="n">
        <x:v>5</x:v>
      </x:c>
      <x:c r="F943" s="25" t="n">
        <x:v>0</x:v>
      </x:c>
      <x:c r="G943" s="19" t="n">
        <x:f>SUM(D943:F943)</x:f>
        <x:v>6</x:v>
      </x:c>
      <x:c r="H943" s="25" t="str">
        <x:v>-</x:v>
      </x:c>
      <x:c r="I943" s="25" t="n">
        <x:v>1</x:v>
      </x:c>
      <x:c r="J943" s="25" t="n">
        <x:v>2</x:v>
      </x:c>
      <x:c r="K943" s="19" t="n">
        <x:f>D943-IF(H943=0,1,0)</x:f>
        <x:v>1</x:v>
      </x:c>
      <x:c r="L943" s="19" t="n">
        <x:f>E943-IF(H943=1,1,0)</x:f>
        <x:v>5</x:v>
      </x:c>
      <x:c r="M943" s="19" t="n">
        <x:f>F943-IF(H943=2,1,0)</x:f>
        <x:v>0</x:v>
      </x:c>
      <x:c r="N943" s="19" t="n">
        <x:f>MAX(K943-1,0)+MAX(L943-1,0)+MAX(M943-1,0)</x:f>
        <x:v>4</x:v>
      </x:c>
      <x:c r="O943" s="19" t="n">
        <x:f>IF(AND(SUM(K943:M943)&lt;9,OR(M943=0,N943&lt;6)),1,0)</x:f>
        <x:v>1</x:v>
      </x:c>
      <x:c r="P943" s="19" t="n">
        <x:f>IF(AND(SUM(K943:M943)&lt;9,OR(L943=0,N943&lt;6)),1,0)</x:f>
        <x:v>1</x:v>
      </x:c>
      <x:c r="Q943" s="19" t="n">
        <x:f>IF(AND(SUM(K943:M943)&lt;9,OR(K943=0,N943&lt;6)),1,0)</x:f>
        <x:v>1</x:v>
      </x:c>
      <x:c r="R943" s="22" t="str">
        <x:f>O943&amp;P943&amp;Q943</x:f>
        <x:v>111</x:v>
      </x:c>
      <x:c r="S943" s="19" t="n">
        <x:f>IF(I943=1,IF(J943=0,Q943,IF(J943=1,P943,IF(J943=2,O943,0))),0)</x:f>
        <x:v>1</x:v>
      </x:c>
      <x:c r="T943" s="19" t="n">
        <x:f>K943+IF(AND(S943=1,J943=0),1,0)</x:f>
        <x:v>1</x:v>
      </x:c>
      <x:c r="U943" s="19" t="n">
        <x:f>L943+IF(AND(S943=1,J943=1),1,0)</x:f>
        <x:v>5</x:v>
      </x:c>
      <x:c r="V943" s="19" t="n">
        <x:f>M943+IF(AND(S943=1,J943=2),1,0)</x:f>
        <x:v>1</x:v>
      </x:c>
      <x:c r="W943" s="19" t="n">
        <x:f>SUM(T943:V943)</x:f>
        <x:v>7</x:v>
      </x:c>
      <x:c r="X943" s="19" t="n">
        <x:f>W943-G943</x:f>
        <x:v>1</x:v>
      </x:c>
      <x:c r="Y943" s="19" t="n">
        <x:f>MAX(T943,1)+MAX(U943,1)+MAX(V943,1)</x:f>
        <x:v>7</x:v>
      </x:c>
      <x:c r="Z943" s="21" t="str">
        <x:f>IF(AND(MIN(D943:F943)&gt;=0,MAX(D943:F943)&lt;=7,MAX(D943,1)+MAX(E943,1)+MAX(F943,1)&lt;=9,OR(H943="-",AND(H943=0,D943&gt;0),AND(H943=1,E943&gt;0),AND(H943=2,F943&gt;0)),OR(I943=0,AND(I943=1,OR(J943=0,J943=1,J943=2),R943&lt;&gt;"000")),Y943&lt;=9,MIN(T943:V943)&gt;=0),"合法","输入违约")</x:f>
        <x:v>合法</x:v>
      </x:c>
    </x:row>
    <x:row r="944" ht="23" customHeight="1">
      <x:c r="A944" s="3" t="str">
        <x:v>CT-0937</x:v>
      </x:c>
      <x:c r="B944" s="3" t="str">
        <x:v>ST-069</x:v>
      </x:c>
      <x:c r="C944" s="3" t="str">
        <x:v>仅R回收</x:v>
      </x:c>
      <x:c r="D944" s="25" t="n">
        <x:v>1</x:v>
      </x:c>
      <x:c r="E944" s="25" t="n">
        <x:v>5</x:v>
      </x:c>
      <x:c r="F944" s="25" t="n">
        <x:v>0</x:v>
      </x:c>
      <x:c r="G944" s="19" t="n">
        <x:f>SUM(D944:F944)</x:f>
        <x:v>6</x:v>
      </x:c>
      <x:c r="H944" s="25" t="n">
        <x:v>0</x:v>
      </x:c>
      <x:c r="I944" s="25" t="n">
        <x:v>0</x:v>
      </x:c>
      <x:c r="J944" s="25" t="str">
        <x:v>-</x:v>
      </x:c>
      <x:c r="K944" s="19" t="n">
        <x:f>D944-IF(H944=0,1,0)</x:f>
        <x:v>0</x:v>
      </x:c>
      <x:c r="L944" s="19" t="n">
        <x:f>E944-IF(H944=1,1,0)</x:f>
        <x:v>5</x:v>
      </x:c>
      <x:c r="M944" s="19" t="n">
        <x:f>F944-IF(H944=2,1,0)</x:f>
        <x:v>0</x:v>
      </x:c>
      <x:c r="N944" s="19" t="n">
        <x:f>MAX(K944-1,0)+MAX(L944-1,0)+MAX(M944-1,0)</x:f>
        <x:v>4</x:v>
      </x:c>
      <x:c r="O944" s="19" t="n">
        <x:f>IF(AND(SUM(K944:M944)&lt;9,OR(M944=0,N944&lt;6)),1,0)</x:f>
        <x:v>1</x:v>
      </x:c>
      <x:c r="P944" s="19" t="n">
        <x:f>IF(AND(SUM(K944:M944)&lt;9,OR(L944=0,N944&lt;6)),1,0)</x:f>
        <x:v>1</x:v>
      </x:c>
      <x:c r="Q944" s="19" t="n">
        <x:f>IF(AND(SUM(K944:M944)&lt;9,OR(K944=0,N944&lt;6)),1,0)</x:f>
        <x:v>1</x:v>
      </x:c>
      <x:c r="R944" s="22" t="str">
        <x:f>O944&amp;P944&amp;Q944</x:f>
        <x:v>111</x:v>
      </x:c>
      <x:c r="S944" s="19" t="n">
        <x:f>IF(I944=1,IF(J944=0,Q944,IF(J944=1,P944,IF(J944=2,O944,0))),0)</x:f>
        <x:v>0</x:v>
      </x:c>
      <x:c r="T944" s="19" t="n">
        <x:f>K944+IF(AND(S944=1,J944=0),1,0)</x:f>
        <x:v>0</x:v>
      </x:c>
      <x:c r="U944" s="19" t="n">
        <x:f>L944+IF(AND(S944=1,J944=1),1,0)</x:f>
        <x:v>5</x:v>
      </x:c>
      <x:c r="V944" s="19" t="n">
        <x:f>M944+IF(AND(S944=1,J944=2),1,0)</x:f>
        <x:v>0</x:v>
      </x:c>
      <x:c r="W944" s="19" t="n">
        <x:f>SUM(T944:V944)</x:f>
        <x:v>5</x:v>
      </x:c>
      <x:c r="X944" s="19" t="n">
        <x:f>W944-G944</x:f>
        <x:v>-1</x:v>
      </x:c>
      <x:c r="Y944" s="19" t="n">
        <x:f>MAX(T944,1)+MAX(U944,1)+MAX(V944,1)</x:f>
        <x:v>7</x:v>
      </x:c>
      <x:c r="Z944" s="21" t="str">
        <x:f>IF(AND(MIN(D944:F944)&gt;=0,MAX(D944:F944)&lt;=7,MAX(D944,1)+MAX(E944,1)+MAX(F944,1)&lt;=9,OR(H944="-",AND(H944=0,D944&gt;0),AND(H944=1,E944&gt;0),AND(H944=2,F944&gt;0)),OR(I944=0,AND(I944=1,OR(J944=0,J944=1,J944=2),R944&lt;&gt;"000")),Y944&lt;=9,MIN(T944:V944)&gt;=0),"合法","输入违约")</x:f>
        <x:v>合法</x:v>
      </x:c>
    </x:row>
    <x:row r="945" ht="23" customHeight="1">
      <x:c r="A945" s="3" t="str">
        <x:v>CT-0938</x:v>
      </x:c>
      <x:c r="B945" s="3" t="str">
        <x:v>ST-069</x:v>
      </x:c>
      <x:c r="C945" s="3" t="str">
        <x:v>R+AR同收同发</x:v>
      </x:c>
      <x:c r="D945" s="25" t="n">
        <x:v>1</x:v>
      </x:c>
      <x:c r="E945" s="25" t="n">
        <x:v>5</x:v>
      </x:c>
      <x:c r="F945" s="25" t="n">
        <x:v>0</x:v>
      </x:c>
      <x:c r="G945" s="19" t="n">
        <x:f>SUM(D945:F945)</x:f>
        <x:v>6</x:v>
      </x:c>
      <x:c r="H945" s="25" t="n">
        <x:v>0</x:v>
      </x:c>
      <x:c r="I945" s="25" t="n">
        <x:v>1</x:v>
      </x:c>
      <x:c r="J945" s="25" t="n">
        <x:v>0</x:v>
      </x:c>
      <x:c r="K945" s="19" t="n">
        <x:f>D945-IF(H945=0,1,0)</x:f>
        <x:v>0</x:v>
      </x:c>
      <x:c r="L945" s="19" t="n">
        <x:f>E945-IF(H945=1,1,0)</x:f>
        <x:v>5</x:v>
      </x:c>
      <x:c r="M945" s="19" t="n">
        <x:f>F945-IF(H945=2,1,0)</x:f>
        <x:v>0</x:v>
      </x:c>
      <x:c r="N945" s="19" t="n">
        <x:f>MAX(K945-1,0)+MAX(L945-1,0)+MAX(M945-1,0)</x:f>
        <x:v>4</x:v>
      </x:c>
      <x:c r="O945" s="19" t="n">
        <x:f>IF(AND(SUM(K945:M945)&lt;9,OR(M945=0,N945&lt;6)),1,0)</x:f>
        <x:v>1</x:v>
      </x:c>
      <x:c r="P945" s="19" t="n">
        <x:f>IF(AND(SUM(K945:M945)&lt;9,OR(L945=0,N945&lt;6)),1,0)</x:f>
        <x:v>1</x:v>
      </x:c>
      <x:c r="Q945" s="19" t="n">
        <x:f>IF(AND(SUM(K945:M945)&lt;9,OR(K945=0,N945&lt;6)),1,0)</x:f>
        <x:v>1</x:v>
      </x:c>
      <x:c r="R945" s="22" t="str">
        <x:f>O945&amp;P945&amp;Q945</x:f>
        <x:v>111</x:v>
      </x:c>
      <x:c r="S945" s="19" t="n">
        <x:f>IF(I945=1,IF(J945=0,Q945,IF(J945=1,P945,IF(J945=2,O945,0))),0)</x:f>
        <x:v>1</x:v>
      </x:c>
      <x:c r="T945" s="19" t="n">
        <x:f>K945+IF(AND(S945=1,J945=0),1,0)</x:f>
        <x:v>1</x:v>
      </x:c>
      <x:c r="U945" s="19" t="n">
        <x:f>L945+IF(AND(S945=1,J945=1),1,0)</x:f>
        <x:v>5</x:v>
      </x:c>
      <x:c r="V945" s="19" t="n">
        <x:f>M945+IF(AND(S945=1,J945=2),1,0)</x:f>
        <x:v>0</x:v>
      </x:c>
      <x:c r="W945" s="19" t="n">
        <x:f>SUM(T945:V945)</x:f>
        <x:v>6</x:v>
      </x:c>
      <x:c r="X945" s="19" t="n">
        <x:f>W945-G945</x:f>
        <x:v>0</x:v>
      </x:c>
      <x:c r="Y945" s="19" t="n">
        <x:f>MAX(T945,1)+MAX(U945,1)+MAX(V945,1)</x:f>
        <x:v>7</x:v>
      </x:c>
      <x:c r="Z945" s="21" t="str">
        <x:f>IF(AND(MIN(D945:F945)&gt;=0,MAX(D945:F945)&lt;=7,MAX(D945,1)+MAX(E945,1)+MAX(F945,1)&lt;=9,OR(H945="-",AND(H945=0,D945&gt;0),AND(H945=1,E945&gt;0),AND(H945=2,F945&gt;0)),OR(I945=0,AND(I945=1,OR(J945=0,J945=1,J945=2),R945&lt;&gt;"000")),Y945&lt;=9,MIN(T945:V945)&gt;=0),"合法","输入违约")</x:f>
        <x:v>合法</x:v>
      </x:c>
    </x:row>
    <x:row r="946" ht="23" customHeight="1">
      <x:c r="A946" s="3" t="str">
        <x:v>CT-0939</x:v>
      </x:c>
      <x:c r="B946" s="3" t="str">
        <x:v>ST-069</x:v>
      </x:c>
      <x:c r="C946" s="3" t="str">
        <x:v>R+AR同收同发</x:v>
      </x:c>
      <x:c r="D946" s="25" t="n">
        <x:v>1</x:v>
      </x:c>
      <x:c r="E946" s="25" t="n">
        <x:v>5</x:v>
      </x:c>
      <x:c r="F946" s="25" t="n">
        <x:v>0</x:v>
      </x:c>
      <x:c r="G946" s="19" t="n">
        <x:f>SUM(D946:F946)</x:f>
        <x:v>6</x:v>
      </x:c>
      <x:c r="H946" s="25" t="n">
        <x:v>0</x:v>
      </x:c>
      <x:c r="I946" s="25" t="n">
        <x:v>1</x:v>
      </x:c>
      <x:c r="J946" s="25" t="n">
        <x:v>1</x:v>
      </x:c>
      <x:c r="K946" s="19" t="n">
        <x:f>D946-IF(H946=0,1,0)</x:f>
        <x:v>0</x:v>
      </x:c>
      <x:c r="L946" s="19" t="n">
        <x:f>E946-IF(H946=1,1,0)</x:f>
        <x:v>5</x:v>
      </x:c>
      <x:c r="M946" s="19" t="n">
        <x:f>F946-IF(H946=2,1,0)</x:f>
        <x:v>0</x:v>
      </x:c>
      <x:c r="N946" s="19" t="n">
        <x:f>MAX(K946-1,0)+MAX(L946-1,0)+MAX(M946-1,0)</x:f>
        <x:v>4</x:v>
      </x:c>
      <x:c r="O946" s="19" t="n">
        <x:f>IF(AND(SUM(K946:M946)&lt;9,OR(M946=0,N946&lt;6)),1,0)</x:f>
        <x:v>1</x:v>
      </x:c>
      <x:c r="P946" s="19" t="n">
        <x:f>IF(AND(SUM(K946:M946)&lt;9,OR(L946=0,N946&lt;6)),1,0)</x:f>
        <x:v>1</x:v>
      </x:c>
      <x:c r="Q946" s="19" t="n">
        <x:f>IF(AND(SUM(K946:M946)&lt;9,OR(K946=0,N946&lt;6)),1,0)</x:f>
        <x:v>1</x:v>
      </x:c>
      <x:c r="R946" s="22" t="str">
        <x:f>O946&amp;P946&amp;Q946</x:f>
        <x:v>111</x:v>
      </x:c>
      <x:c r="S946" s="19" t="n">
        <x:f>IF(I946=1,IF(J946=0,Q946,IF(J946=1,P946,IF(J946=2,O946,0))),0)</x:f>
        <x:v>1</x:v>
      </x:c>
      <x:c r="T946" s="19" t="n">
        <x:f>K946+IF(AND(S946=1,J946=0),1,0)</x:f>
        <x:v>0</x:v>
      </x:c>
      <x:c r="U946" s="19" t="n">
        <x:f>L946+IF(AND(S946=1,J946=1),1,0)</x:f>
        <x:v>6</x:v>
      </x:c>
      <x:c r="V946" s="19" t="n">
        <x:f>M946+IF(AND(S946=1,J946=2),1,0)</x:f>
        <x:v>0</x:v>
      </x:c>
      <x:c r="W946" s="19" t="n">
        <x:f>SUM(T946:V946)</x:f>
        <x:v>6</x:v>
      </x:c>
      <x:c r="X946" s="19" t="n">
        <x:f>W946-G946</x:f>
        <x:v>0</x:v>
      </x:c>
      <x:c r="Y946" s="19" t="n">
        <x:f>MAX(T946,1)+MAX(U946,1)+MAX(V946,1)</x:f>
        <x:v>8</x:v>
      </x:c>
      <x:c r="Z946" s="21" t="str">
        <x:f>IF(AND(MIN(D946:F946)&gt;=0,MAX(D946:F946)&lt;=7,MAX(D946,1)+MAX(E946,1)+MAX(F946,1)&lt;=9,OR(H946="-",AND(H946=0,D946&gt;0),AND(H946=1,E946&gt;0),AND(H946=2,F946&gt;0)),OR(I946=0,AND(I946=1,OR(J946=0,J946=1,J946=2),R946&lt;&gt;"000")),Y946&lt;=9,MIN(T946:V946)&gt;=0),"合法","输入违约")</x:f>
        <x:v>合法</x:v>
      </x:c>
    </x:row>
    <x:row r="947" ht="23" customHeight="1">
      <x:c r="A947" s="3" t="str">
        <x:v>CT-0940</x:v>
      </x:c>
      <x:c r="B947" s="3" t="str">
        <x:v>ST-069</x:v>
      </x:c>
      <x:c r="C947" s="3" t="str">
        <x:v>R+AR同收同发</x:v>
      </x:c>
      <x:c r="D947" s="25" t="n">
        <x:v>1</x:v>
      </x:c>
      <x:c r="E947" s="25" t="n">
        <x:v>5</x:v>
      </x:c>
      <x:c r="F947" s="25" t="n">
        <x:v>0</x:v>
      </x:c>
      <x:c r="G947" s="19" t="n">
        <x:f>SUM(D947:F947)</x:f>
        <x:v>6</x:v>
      </x:c>
      <x:c r="H947" s="25" t="n">
        <x:v>0</x:v>
      </x:c>
      <x:c r="I947" s="25" t="n">
        <x:v>1</x:v>
      </x:c>
      <x:c r="J947" s="25" t="n">
        <x:v>2</x:v>
      </x:c>
      <x:c r="K947" s="19" t="n">
        <x:f>D947-IF(H947=0,1,0)</x:f>
        <x:v>0</x:v>
      </x:c>
      <x:c r="L947" s="19" t="n">
        <x:f>E947-IF(H947=1,1,0)</x:f>
        <x:v>5</x:v>
      </x:c>
      <x:c r="M947" s="19" t="n">
        <x:f>F947-IF(H947=2,1,0)</x:f>
        <x:v>0</x:v>
      </x:c>
      <x:c r="N947" s="19" t="n">
        <x:f>MAX(K947-1,0)+MAX(L947-1,0)+MAX(M947-1,0)</x:f>
        <x:v>4</x:v>
      </x:c>
      <x:c r="O947" s="19" t="n">
        <x:f>IF(AND(SUM(K947:M947)&lt;9,OR(M947=0,N947&lt;6)),1,0)</x:f>
        <x:v>1</x:v>
      </x:c>
      <x:c r="P947" s="19" t="n">
        <x:f>IF(AND(SUM(K947:M947)&lt;9,OR(L947=0,N947&lt;6)),1,0)</x:f>
        <x:v>1</x:v>
      </x:c>
      <x:c r="Q947" s="19" t="n">
        <x:f>IF(AND(SUM(K947:M947)&lt;9,OR(K947=0,N947&lt;6)),1,0)</x:f>
        <x:v>1</x:v>
      </x:c>
      <x:c r="R947" s="22" t="str">
        <x:f>O947&amp;P947&amp;Q947</x:f>
        <x:v>111</x:v>
      </x:c>
      <x:c r="S947" s="19" t="n">
        <x:f>IF(I947=1,IF(J947=0,Q947,IF(J947=1,P947,IF(J947=2,O947,0))),0)</x:f>
        <x:v>1</x:v>
      </x:c>
      <x:c r="T947" s="19" t="n">
        <x:f>K947+IF(AND(S947=1,J947=0),1,0)</x:f>
        <x:v>0</x:v>
      </x:c>
      <x:c r="U947" s="19" t="n">
        <x:f>L947+IF(AND(S947=1,J947=1),1,0)</x:f>
        <x:v>5</x:v>
      </x:c>
      <x:c r="V947" s="19" t="n">
        <x:f>M947+IF(AND(S947=1,J947=2),1,0)</x:f>
        <x:v>1</x:v>
      </x:c>
      <x:c r="W947" s="19" t="n">
        <x:f>SUM(T947:V947)</x:f>
        <x:v>6</x:v>
      </x:c>
      <x:c r="X947" s="19" t="n">
        <x:f>W947-G947</x:f>
        <x:v>0</x:v>
      </x:c>
      <x:c r="Y947" s="19" t="n">
        <x:f>MAX(T947,1)+MAX(U947,1)+MAX(V947,1)</x:f>
        <x:v>7</x:v>
      </x:c>
      <x:c r="Z947" s="21" t="str">
        <x:f>IF(AND(MIN(D947:F947)&gt;=0,MAX(D947:F947)&lt;=7,MAX(D947,1)+MAX(E947,1)+MAX(F947,1)&lt;=9,OR(H947="-",AND(H947=0,D947&gt;0),AND(H947=1,E947&gt;0),AND(H947=2,F947&gt;0)),OR(I947=0,AND(I947=1,OR(J947=0,J947=1,J947=2),R947&lt;&gt;"000")),Y947&lt;=9,MIN(T947:V947)&gt;=0),"合法","输入违约")</x:f>
        <x:v>合法</x:v>
      </x:c>
    </x:row>
    <x:row r="948" ht="23" customHeight="1">
      <x:c r="A948" s="3" t="str">
        <x:v>CT-0941</x:v>
      </x:c>
      <x:c r="B948" s="3" t="str">
        <x:v>ST-069</x:v>
      </x:c>
      <x:c r="C948" s="3" t="str">
        <x:v>仅R回收</x:v>
      </x:c>
      <x:c r="D948" s="25" t="n">
        <x:v>1</x:v>
      </x:c>
      <x:c r="E948" s="25" t="n">
        <x:v>5</x:v>
      </x:c>
      <x:c r="F948" s="25" t="n">
        <x:v>0</x:v>
      </x:c>
      <x:c r="G948" s="19" t="n">
        <x:f>SUM(D948:F948)</x:f>
        <x:v>6</x:v>
      </x:c>
      <x:c r="H948" s="25" t="n">
        <x:v>1</x:v>
      </x:c>
      <x:c r="I948" s="25" t="n">
        <x:v>0</x:v>
      </x:c>
      <x:c r="J948" s="25" t="str">
        <x:v>-</x:v>
      </x:c>
      <x:c r="K948" s="19" t="n">
        <x:f>D948-IF(H948=0,1,0)</x:f>
        <x:v>1</x:v>
      </x:c>
      <x:c r="L948" s="19" t="n">
        <x:f>E948-IF(H948=1,1,0)</x:f>
        <x:v>4</x:v>
      </x:c>
      <x:c r="M948" s="19" t="n">
        <x:f>F948-IF(H948=2,1,0)</x:f>
        <x:v>0</x:v>
      </x:c>
      <x:c r="N948" s="19" t="n">
        <x:f>MAX(K948-1,0)+MAX(L948-1,0)+MAX(M948-1,0)</x:f>
        <x:v>3</x:v>
      </x:c>
      <x:c r="O948" s="19" t="n">
        <x:f>IF(AND(SUM(K948:M948)&lt;9,OR(M948=0,N948&lt;6)),1,0)</x:f>
        <x:v>1</x:v>
      </x:c>
      <x:c r="P948" s="19" t="n">
        <x:f>IF(AND(SUM(K948:M948)&lt;9,OR(L948=0,N948&lt;6)),1,0)</x:f>
        <x:v>1</x:v>
      </x:c>
      <x:c r="Q948" s="19" t="n">
        <x:f>IF(AND(SUM(K948:M948)&lt;9,OR(K948=0,N948&lt;6)),1,0)</x:f>
        <x:v>1</x:v>
      </x:c>
      <x:c r="R948" s="22" t="str">
        <x:f>O948&amp;P948&amp;Q948</x:f>
        <x:v>111</x:v>
      </x:c>
      <x:c r="S948" s="19" t="n">
        <x:f>IF(I948=1,IF(J948=0,Q948,IF(J948=1,P948,IF(J948=2,O948,0))),0)</x:f>
        <x:v>0</x:v>
      </x:c>
      <x:c r="T948" s="19" t="n">
        <x:f>K948+IF(AND(S948=1,J948=0),1,0)</x:f>
        <x:v>1</x:v>
      </x:c>
      <x:c r="U948" s="19" t="n">
        <x:f>L948+IF(AND(S948=1,J948=1),1,0)</x:f>
        <x:v>4</x:v>
      </x:c>
      <x:c r="V948" s="19" t="n">
        <x:f>M948+IF(AND(S948=1,J948=2),1,0)</x:f>
        <x:v>0</x:v>
      </x:c>
      <x:c r="W948" s="19" t="n">
        <x:f>SUM(T948:V948)</x:f>
        <x:v>5</x:v>
      </x:c>
      <x:c r="X948" s="19" t="n">
        <x:f>W948-G948</x:f>
        <x:v>-1</x:v>
      </x:c>
      <x:c r="Y948" s="19" t="n">
        <x:f>MAX(T948,1)+MAX(U948,1)+MAX(V948,1)</x:f>
        <x:v>6</x:v>
      </x:c>
      <x:c r="Z948" s="21" t="str">
        <x:f>IF(AND(MIN(D948:F948)&gt;=0,MAX(D948:F948)&lt;=7,MAX(D948,1)+MAX(E948,1)+MAX(F948,1)&lt;=9,OR(H948="-",AND(H948=0,D948&gt;0),AND(H948=1,E948&gt;0),AND(H948=2,F948&gt;0)),OR(I948=0,AND(I948=1,OR(J948=0,J948=1,J948=2),R948&lt;&gt;"000")),Y948&lt;=9,MIN(T948:V948)&gt;=0),"合法","输入违约")</x:f>
        <x:v>合法</x:v>
      </x:c>
    </x:row>
    <x:row r="949" ht="23" customHeight="1">
      <x:c r="A949" s="3" t="str">
        <x:v>CT-0942</x:v>
      </x:c>
      <x:c r="B949" s="3" t="str">
        <x:v>ST-069</x:v>
      </x:c>
      <x:c r="C949" s="3" t="str">
        <x:v>R+AR同收同发</x:v>
      </x:c>
      <x:c r="D949" s="25" t="n">
        <x:v>1</x:v>
      </x:c>
      <x:c r="E949" s="25" t="n">
        <x:v>5</x:v>
      </x:c>
      <x:c r="F949" s="25" t="n">
        <x:v>0</x:v>
      </x:c>
      <x:c r="G949" s="19" t="n">
        <x:f>SUM(D949:F949)</x:f>
        <x:v>6</x:v>
      </x:c>
      <x:c r="H949" s="25" t="n">
        <x:v>1</x:v>
      </x:c>
      <x:c r="I949" s="25" t="n">
        <x:v>1</x:v>
      </x:c>
      <x:c r="J949" s="25" t="n">
        <x:v>0</x:v>
      </x:c>
      <x:c r="K949" s="19" t="n">
        <x:f>D949-IF(H949=0,1,0)</x:f>
        <x:v>1</x:v>
      </x:c>
      <x:c r="L949" s="19" t="n">
        <x:f>E949-IF(H949=1,1,0)</x:f>
        <x:v>4</x:v>
      </x:c>
      <x:c r="M949" s="19" t="n">
        <x:f>F949-IF(H949=2,1,0)</x:f>
        <x:v>0</x:v>
      </x:c>
      <x:c r="N949" s="19" t="n">
        <x:f>MAX(K949-1,0)+MAX(L949-1,0)+MAX(M949-1,0)</x:f>
        <x:v>3</x:v>
      </x:c>
      <x:c r="O949" s="19" t="n">
        <x:f>IF(AND(SUM(K949:M949)&lt;9,OR(M949=0,N949&lt;6)),1,0)</x:f>
        <x:v>1</x:v>
      </x:c>
      <x:c r="P949" s="19" t="n">
        <x:f>IF(AND(SUM(K949:M949)&lt;9,OR(L949=0,N949&lt;6)),1,0)</x:f>
        <x:v>1</x:v>
      </x:c>
      <x:c r="Q949" s="19" t="n">
        <x:f>IF(AND(SUM(K949:M949)&lt;9,OR(K949=0,N949&lt;6)),1,0)</x:f>
        <x:v>1</x:v>
      </x:c>
      <x:c r="R949" s="22" t="str">
        <x:f>O949&amp;P949&amp;Q949</x:f>
        <x:v>111</x:v>
      </x:c>
      <x:c r="S949" s="19" t="n">
        <x:f>IF(I949=1,IF(J949=0,Q949,IF(J949=1,P949,IF(J949=2,O949,0))),0)</x:f>
        <x:v>1</x:v>
      </x:c>
      <x:c r="T949" s="19" t="n">
        <x:f>K949+IF(AND(S949=1,J949=0),1,0)</x:f>
        <x:v>2</x:v>
      </x:c>
      <x:c r="U949" s="19" t="n">
        <x:f>L949+IF(AND(S949=1,J949=1),1,0)</x:f>
        <x:v>4</x:v>
      </x:c>
      <x:c r="V949" s="19" t="n">
        <x:f>M949+IF(AND(S949=1,J949=2),1,0)</x:f>
        <x:v>0</x:v>
      </x:c>
      <x:c r="W949" s="19" t="n">
        <x:f>SUM(T949:V949)</x:f>
        <x:v>6</x:v>
      </x:c>
      <x:c r="X949" s="19" t="n">
        <x:f>W949-G949</x:f>
        <x:v>0</x:v>
      </x:c>
      <x:c r="Y949" s="19" t="n">
        <x:f>MAX(T949,1)+MAX(U949,1)+MAX(V949,1)</x:f>
        <x:v>7</x:v>
      </x:c>
      <x:c r="Z949" s="21" t="str">
        <x:f>IF(AND(MIN(D949:F949)&gt;=0,MAX(D949:F949)&lt;=7,MAX(D949,1)+MAX(E949,1)+MAX(F949,1)&lt;=9,OR(H949="-",AND(H949=0,D949&gt;0),AND(H949=1,E949&gt;0),AND(H949=2,F949&gt;0)),OR(I949=0,AND(I949=1,OR(J949=0,J949=1,J949=2),R949&lt;&gt;"000")),Y949&lt;=9,MIN(T949:V949)&gt;=0),"合法","输入违约")</x:f>
        <x:v>合法</x:v>
      </x:c>
    </x:row>
    <x:row r="950" ht="23" customHeight="1">
      <x:c r="A950" s="3" t="str">
        <x:v>CT-0943</x:v>
      </x:c>
      <x:c r="B950" s="3" t="str">
        <x:v>ST-069</x:v>
      </x:c>
      <x:c r="C950" s="3" t="str">
        <x:v>R+AR同收同发</x:v>
      </x:c>
      <x:c r="D950" s="25" t="n">
        <x:v>1</x:v>
      </x:c>
      <x:c r="E950" s="25" t="n">
        <x:v>5</x:v>
      </x:c>
      <x:c r="F950" s="25" t="n">
        <x:v>0</x:v>
      </x:c>
      <x:c r="G950" s="19" t="n">
        <x:f>SUM(D950:F950)</x:f>
        <x:v>6</x:v>
      </x:c>
      <x:c r="H950" s="25" t="n">
        <x:v>1</x:v>
      </x:c>
      <x:c r="I950" s="25" t="n">
        <x:v>1</x:v>
      </x:c>
      <x:c r="J950" s="25" t="n">
        <x:v>1</x:v>
      </x:c>
      <x:c r="K950" s="19" t="n">
        <x:f>D950-IF(H950=0,1,0)</x:f>
        <x:v>1</x:v>
      </x:c>
      <x:c r="L950" s="19" t="n">
        <x:f>E950-IF(H950=1,1,0)</x:f>
        <x:v>4</x:v>
      </x:c>
      <x:c r="M950" s="19" t="n">
        <x:f>F950-IF(H950=2,1,0)</x:f>
        <x:v>0</x:v>
      </x:c>
      <x:c r="N950" s="19" t="n">
        <x:f>MAX(K950-1,0)+MAX(L950-1,0)+MAX(M950-1,0)</x:f>
        <x:v>3</x:v>
      </x:c>
      <x:c r="O950" s="19" t="n">
        <x:f>IF(AND(SUM(K950:M950)&lt;9,OR(M950=0,N950&lt;6)),1,0)</x:f>
        <x:v>1</x:v>
      </x:c>
      <x:c r="P950" s="19" t="n">
        <x:f>IF(AND(SUM(K950:M950)&lt;9,OR(L950=0,N950&lt;6)),1,0)</x:f>
        <x:v>1</x:v>
      </x:c>
      <x:c r="Q950" s="19" t="n">
        <x:f>IF(AND(SUM(K950:M950)&lt;9,OR(K950=0,N950&lt;6)),1,0)</x:f>
        <x:v>1</x:v>
      </x:c>
      <x:c r="R950" s="22" t="str">
        <x:f>O950&amp;P950&amp;Q950</x:f>
        <x:v>111</x:v>
      </x:c>
      <x:c r="S950" s="19" t="n">
        <x:f>IF(I950=1,IF(J950=0,Q950,IF(J950=1,P950,IF(J950=2,O950,0))),0)</x:f>
        <x:v>1</x:v>
      </x:c>
      <x:c r="T950" s="19" t="n">
        <x:f>K950+IF(AND(S950=1,J950=0),1,0)</x:f>
        <x:v>1</x:v>
      </x:c>
      <x:c r="U950" s="19" t="n">
        <x:f>L950+IF(AND(S950=1,J950=1),1,0)</x:f>
        <x:v>5</x:v>
      </x:c>
      <x:c r="V950" s="19" t="n">
        <x:f>M950+IF(AND(S950=1,J950=2),1,0)</x:f>
        <x:v>0</x:v>
      </x:c>
      <x:c r="W950" s="19" t="n">
        <x:f>SUM(T950:V950)</x:f>
        <x:v>6</x:v>
      </x:c>
      <x:c r="X950" s="19" t="n">
        <x:f>W950-G950</x:f>
        <x:v>0</x:v>
      </x:c>
      <x:c r="Y950" s="19" t="n">
        <x:f>MAX(T950,1)+MAX(U950,1)+MAX(V950,1)</x:f>
        <x:v>7</x:v>
      </x:c>
      <x:c r="Z950" s="21" t="str">
        <x:f>IF(AND(MIN(D950:F950)&gt;=0,MAX(D950:F950)&lt;=7,MAX(D950,1)+MAX(E950,1)+MAX(F950,1)&lt;=9,OR(H950="-",AND(H950=0,D950&gt;0),AND(H950=1,E950&gt;0),AND(H950=2,F950&gt;0)),OR(I950=0,AND(I950=1,OR(J950=0,J950=1,J950=2),R950&lt;&gt;"000")),Y950&lt;=9,MIN(T950:V950)&gt;=0),"合法","输入违约")</x:f>
        <x:v>合法</x:v>
      </x:c>
    </x:row>
    <x:row r="951" ht="23" customHeight="1">
      <x:c r="A951" s="3" t="str">
        <x:v>CT-0944</x:v>
      </x:c>
      <x:c r="B951" s="3" t="str">
        <x:v>ST-069</x:v>
      </x:c>
      <x:c r="C951" s="3" t="str">
        <x:v>R+AR同收同发</x:v>
      </x:c>
      <x:c r="D951" s="25" t="n">
        <x:v>1</x:v>
      </x:c>
      <x:c r="E951" s="25" t="n">
        <x:v>5</x:v>
      </x:c>
      <x:c r="F951" s="25" t="n">
        <x:v>0</x:v>
      </x:c>
      <x:c r="G951" s="19" t="n">
        <x:f>SUM(D951:F951)</x:f>
        <x:v>6</x:v>
      </x:c>
      <x:c r="H951" s="25" t="n">
        <x:v>1</x:v>
      </x:c>
      <x:c r="I951" s="25" t="n">
        <x:v>1</x:v>
      </x:c>
      <x:c r="J951" s="25" t="n">
        <x:v>2</x:v>
      </x:c>
      <x:c r="K951" s="19" t="n">
        <x:f>D951-IF(H951=0,1,0)</x:f>
        <x:v>1</x:v>
      </x:c>
      <x:c r="L951" s="19" t="n">
        <x:f>E951-IF(H951=1,1,0)</x:f>
        <x:v>4</x:v>
      </x:c>
      <x:c r="M951" s="19" t="n">
        <x:f>F951-IF(H951=2,1,0)</x:f>
        <x:v>0</x:v>
      </x:c>
      <x:c r="N951" s="19" t="n">
        <x:f>MAX(K951-1,0)+MAX(L951-1,0)+MAX(M951-1,0)</x:f>
        <x:v>3</x:v>
      </x:c>
      <x:c r="O951" s="19" t="n">
        <x:f>IF(AND(SUM(K951:M951)&lt;9,OR(M951=0,N951&lt;6)),1,0)</x:f>
        <x:v>1</x:v>
      </x:c>
      <x:c r="P951" s="19" t="n">
        <x:f>IF(AND(SUM(K951:M951)&lt;9,OR(L951=0,N951&lt;6)),1,0)</x:f>
        <x:v>1</x:v>
      </x:c>
      <x:c r="Q951" s="19" t="n">
        <x:f>IF(AND(SUM(K951:M951)&lt;9,OR(K951=0,N951&lt;6)),1,0)</x:f>
        <x:v>1</x:v>
      </x:c>
      <x:c r="R951" s="22" t="str">
        <x:f>O951&amp;P951&amp;Q951</x:f>
        <x:v>111</x:v>
      </x:c>
      <x:c r="S951" s="19" t="n">
        <x:f>IF(I951=1,IF(J951=0,Q951,IF(J951=1,P951,IF(J951=2,O951,0))),0)</x:f>
        <x:v>1</x:v>
      </x:c>
      <x:c r="T951" s="19" t="n">
        <x:f>K951+IF(AND(S951=1,J951=0),1,0)</x:f>
        <x:v>1</x:v>
      </x:c>
      <x:c r="U951" s="19" t="n">
        <x:f>L951+IF(AND(S951=1,J951=1),1,0)</x:f>
        <x:v>4</x:v>
      </x:c>
      <x:c r="V951" s="19" t="n">
        <x:f>M951+IF(AND(S951=1,J951=2),1,0)</x:f>
        <x:v>1</x:v>
      </x:c>
      <x:c r="W951" s="19" t="n">
        <x:f>SUM(T951:V951)</x:f>
        <x:v>6</x:v>
      </x:c>
      <x:c r="X951" s="19" t="n">
        <x:f>W951-G951</x:f>
        <x:v>0</x:v>
      </x:c>
      <x:c r="Y951" s="19" t="n">
        <x:f>MAX(T951,1)+MAX(U951,1)+MAX(V951,1)</x:f>
        <x:v>6</x:v>
      </x:c>
      <x:c r="Z951" s="21" t="str">
        <x:f>IF(AND(MIN(D951:F951)&gt;=0,MAX(D951:F951)&lt;=7,MAX(D951,1)+MAX(E951,1)+MAX(F951,1)&lt;=9,OR(H951="-",AND(H951=0,D951&gt;0),AND(H951=1,E951&gt;0),AND(H951=2,F951&gt;0)),OR(I951=0,AND(I951=1,OR(J951=0,J951=1,J951=2),R951&lt;&gt;"000")),Y951&lt;=9,MIN(T951:V951)&gt;=0),"合法","输入违约")</x:f>
        <x:v>合法</x:v>
      </x:c>
    </x:row>
    <x:row r="952" ht="23" customHeight="1">
      <x:c r="A952" s="3" t="str">
        <x:v>CT-0945</x:v>
      </x:c>
      <x:c r="B952" s="3" t="str">
        <x:v>ST-098</x:v>
      </x:c>
      <x:c r="C952" s="3" t="str">
        <x:v>无AR/R</x:v>
      </x:c>
      <x:c r="D952" s="25" t="n">
        <x:v>1</x:v>
      </x:c>
      <x:c r="E952" s="25" t="n">
        <x:v>5</x:v>
      </x:c>
      <x:c r="F952" s="25" t="n">
        <x:v>1</x:v>
      </x:c>
      <x:c r="G952" s="19" t="n">
        <x:f>SUM(D952:F952)</x:f>
        <x:v>7</x:v>
      </x:c>
      <x:c r="H952" s="25" t="str">
        <x:v>-</x:v>
      </x:c>
      <x:c r="I952" s="25" t="n">
        <x:v>0</x:v>
      </x:c>
      <x:c r="J952" s="25" t="str">
        <x:v>-</x:v>
      </x:c>
      <x:c r="K952" s="19" t="n">
        <x:f>D952-IF(H952=0,1,0)</x:f>
        <x:v>1</x:v>
      </x:c>
      <x:c r="L952" s="19" t="n">
        <x:f>E952-IF(H952=1,1,0)</x:f>
        <x:v>5</x:v>
      </x:c>
      <x:c r="M952" s="19" t="n">
        <x:f>F952-IF(H952=2,1,0)</x:f>
        <x:v>1</x:v>
      </x:c>
      <x:c r="N952" s="19" t="n">
        <x:f>MAX(K952-1,0)+MAX(L952-1,0)+MAX(M952-1,0)</x:f>
        <x:v>4</x:v>
      </x:c>
      <x:c r="O952" s="19" t="n">
        <x:f>IF(AND(SUM(K952:M952)&lt;9,OR(M952=0,N952&lt;6)),1,0)</x:f>
        <x:v>1</x:v>
      </x:c>
      <x:c r="P952" s="19" t="n">
        <x:f>IF(AND(SUM(K952:M952)&lt;9,OR(L952=0,N952&lt;6)),1,0)</x:f>
        <x:v>1</x:v>
      </x:c>
      <x:c r="Q952" s="19" t="n">
        <x:f>IF(AND(SUM(K952:M952)&lt;9,OR(K952=0,N952&lt;6)),1,0)</x:f>
        <x:v>1</x:v>
      </x:c>
      <x:c r="R952" s="22" t="str">
        <x:f>O952&amp;P952&amp;Q952</x:f>
        <x:v>111</x:v>
      </x:c>
      <x:c r="S952" s="19" t="n">
        <x:f>IF(I952=1,IF(J952=0,Q952,IF(J952=1,P952,IF(J952=2,O952,0))),0)</x:f>
        <x:v>0</x:v>
      </x:c>
      <x:c r="T952" s="19" t="n">
        <x:f>K952+IF(AND(S952=1,J952=0),1,0)</x:f>
        <x:v>1</x:v>
      </x:c>
      <x:c r="U952" s="19" t="n">
        <x:f>L952+IF(AND(S952=1,J952=1),1,0)</x:f>
        <x:v>5</x:v>
      </x:c>
      <x:c r="V952" s="19" t="n">
        <x:f>M952+IF(AND(S952=1,J952=2),1,0)</x:f>
        <x:v>1</x:v>
      </x:c>
      <x:c r="W952" s="19" t="n">
        <x:f>SUM(T952:V952)</x:f>
        <x:v>7</x:v>
      </x:c>
      <x:c r="X952" s="19" t="n">
        <x:f>W952-G952</x:f>
        <x:v>0</x:v>
      </x:c>
      <x:c r="Y952" s="19" t="n">
        <x:f>MAX(T952,1)+MAX(U952,1)+MAX(V952,1)</x:f>
        <x:v>7</x:v>
      </x:c>
      <x:c r="Z952" s="21" t="str">
        <x:f>IF(AND(MIN(D952:F952)&gt;=0,MAX(D952:F952)&lt;=7,MAX(D952,1)+MAX(E952,1)+MAX(F952,1)&lt;=9,OR(H952="-",AND(H952=0,D952&gt;0),AND(H952=1,E952&gt;0),AND(H952=2,F952&gt;0)),OR(I952=0,AND(I952=1,OR(J952=0,J952=1,J952=2),R952&lt;&gt;"000")),Y952&lt;=9,MIN(T952:V952)&gt;=0),"合法","输入违约")</x:f>
        <x:v>合法</x:v>
      </x:c>
    </x:row>
    <x:row r="953" ht="23" customHeight="1">
      <x:c r="A953" s="3" t="str">
        <x:v>CT-0946</x:v>
      </x:c>
      <x:c r="B953" s="3" t="str">
        <x:v>ST-098</x:v>
      </x:c>
      <x:c r="C953" s="3" t="str">
        <x:v>仅AR接收</x:v>
      </x:c>
      <x:c r="D953" s="25" t="n">
        <x:v>1</x:v>
      </x:c>
      <x:c r="E953" s="25" t="n">
        <x:v>5</x:v>
      </x:c>
      <x:c r="F953" s="25" t="n">
        <x:v>1</x:v>
      </x:c>
      <x:c r="G953" s="19" t="n">
        <x:f>SUM(D953:F953)</x:f>
        <x:v>7</x:v>
      </x:c>
      <x:c r="H953" s="25" t="str">
        <x:v>-</x:v>
      </x:c>
      <x:c r="I953" s="25" t="n">
        <x:v>1</x:v>
      </x:c>
      <x:c r="J953" s="25" t="n">
        <x:v>0</x:v>
      </x:c>
      <x:c r="K953" s="19" t="n">
        <x:f>D953-IF(H953=0,1,0)</x:f>
        <x:v>1</x:v>
      </x:c>
      <x:c r="L953" s="19" t="n">
        <x:f>E953-IF(H953=1,1,0)</x:f>
        <x:v>5</x:v>
      </x:c>
      <x:c r="M953" s="19" t="n">
        <x:f>F953-IF(H953=2,1,0)</x:f>
        <x:v>1</x:v>
      </x:c>
      <x:c r="N953" s="19" t="n">
        <x:f>MAX(K953-1,0)+MAX(L953-1,0)+MAX(M953-1,0)</x:f>
        <x:v>4</x:v>
      </x:c>
      <x:c r="O953" s="19" t="n">
        <x:f>IF(AND(SUM(K953:M953)&lt;9,OR(M953=0,N953&lt;6)),1,0)</x:f>
        <x:v>1</x:v>
      </x:c>
      <x:c r="P953" s="19" t="n">
        <x:f>IF(AND(SUM(K953:M953)&lt;9,OR(L953=0,N953&lt;6)),1,0)</x:f>
        <x:v>1</x:v>
      </x:c>
      <x:c r="Q953" s="19" t="n">
        <x:f>IF(AND(SUM(K953:M953)&lt;9,OR(K953=0,N953&lt;6)),1,0)</x:f>
        <x:v>1</x:v>
      </x:c>
      <x:c r="R953" s="22" t="str">
        <x:f>O953&amp;P953&amp;Q953</x:f>
        <x:v>111</x:v>
      </x:c>
      <x:c r="S953" s="19" t="n">
        <x:f>IF(I953=1,IF(J953=0,Q953,IF(J953=1,P953,IF(J953=2,O953,0))),0)</x:f>
        <x:v>1</x:v>
      </x:c>
      <x:c r="T953" s="19" t="n">
        <x:f>K953+IF(AND(S953=1,J953=0),1,0)</x:f>
        <x:v>2</x:v>
      </x:c>
      <x:c r="U953" s="19" t="n">
        <x:f>L953+IF(AND(S953=1,J953=1),1,0)</x:f>
        <x:v>5</x:v>
      </x:c>
      <x:c r="V953" s="19" t="n">
        <x:f>M953+IF(AND(S953=1,J953=2),1,0)</x:f>
        <x:v>1</x:v>
      </x:c>
      <x:c r="W953" s="19" t="n">
        <x:f>SUM(T953:V953)</x:f>
        <x:v>8</x:v>
      </x:c>
      <x:c r="X953" s="19" t="n">
        <x:f>W953-G953</x:f>
        <x:v>1</x:v>
      </x:c>
      <x:c r="Y953" s="19" t="n">
        <x:f>MAX(T953,1)+MAX(U953,1)+MAX(V953,1)</x:f>
        <x:v>8</x:v>
      </x:c>
      <x:c r="Z953" s="21" t="str">
        <x:f>IF(AND(MIN(D953:F953)&gt;=0,MAX(D953:F953)&lt;=7,MAX(D953,1)+MAX(E953,1)+MAX(F953,1)&lt;=9,OR(H953="-",AND(H953=0,D953&gt;0),AND(H953=1,E953&gt;0),AND(H953=2,F953&gt;0)),OR(I953=0,AND(I953=1,OR(J953=0,J953=1,J953=2),R953&lt;&gt;"000")),Y953&lt;=9,MIN(T953:V953)&gt;=0),"合法","输入违约")</x:f>
        <x:v>合法</x:v>
      </x:c>
    </x:row>
    <x:row r="954" ht="23" customHeight="1">
      <x:c r="A954" s="3" t="str">
        <x:v>CT-0947</x:v>
      </x:c>
      <x:c r="B954" s="3" t="str">
        <x:v>ST-098</x:v>
      </x:c>
      <x:c r="C954" s="3" t="str">
        <x:v>仅AR接收</x:v>
      </x:c>
      <x:c r="D954" s="25" t="n">
        <x:v>1</x:v>
      </x:c>
      <x:c r="E954" s="25" t="n">
        <x:v>5</x:v>
      </x:c>
      <x:c r="F954" s="25" t="n">
        <x:v>1</x:v>
      </x:c>
      <x:c r="G954" s="19" t="n">
        <x:f>SUM(D954:F954)</x:f>
        <x:v>7</x:v>
      </x:c>
      <x:c r="H954" s="25" t="str">
        <x:v>-</x:v>
      </x:c>
      <x:c r="I954" s="25" t="n">
        <x:v>1</x:v>
      </x:c>
      <x:c r="J954" s="25" t="n">
        <x:v>1</x:v>
      </x:c>
      <x:c r="K954" s="19" t="n">
        <x:f>D954-IF(H954=0,1,0)</x:f>
        <x:v>1</x:v>
      </x:c>
      <x:c r="L954" s="19" t="n">
        <x:f>E954-IF(H954=1,1,0)</x:f>
        <x:v>5</x:v>
      </x:c>
      <x:c r="M954" s="19" t="n">
        <x:f>F954-IF(H954=2,1,0)</x:f>
        <x:v>1</x:v>
      </x:c>
      <x:c r="N954" s="19" t="n">
        <x:f>MAX(K954-1,0)+MAX(L954-1,0)+MAX(M954-1,0)</x:f>
        <x:v>4</x:v>
      </x:c>
      <x:c r="O954" s="19" t="n">
        <x:f>IF(AND(SUM(K954:M954)&lt;9,OR(M954=0,N954&lt;6)),1,0)</x:f>
        <x:v>1</x:v>
      </x:c>
      <x:c r="P954" s="19" t="n">
        <x:f>IF(AND(SUM(K954:M954)&lt;9,OR(L954=0,N954&lt;6)),1,0)</x:f>
        <x:v>1</x:v>
      </x:c>
      <x:c r="Q954" s="19" t="n">
        <x:f>IF(AND(SUM(K954:M954)&lt;9,OR(K954=0,N954&lt;6)),1,0)</x:f>
        <x:v>1</x:v>
      </x:c>
      <x:c r="R954" s="22" t="str">
        <x:f>O954&amp;P954&amp;Q954</x:f>
        <x:v>111</x:v>
      </x:c>
      <x:c r="S954" s="19" t="n">
        <x:f>IF(I954=1,IF(J954=0,Q954,IF(J954=1,P954,IF(J954=2,O954,0))),0)</x:f>
        <x:v>1</x:v>
      </x:c>
      <x:c r="T954" s="19" t="n">
        <x:f>K954+IF(AND(S954=1,J954=0),1,0)</x:f>
        <x:v>1</x:v>
      </x:c>
      <x:c r="U954" s="19" t="n">
        <x:f>L954+IF(AND(S954=1,J954=1),1,0)</x:f>
        <x:v>6</x:v>
      </x:c>
      <x:c r="V954" s="19" t="n">
        <x:f>M954+IF(AND(S954=1,J954=2),1,0)</x:f>
        <x:v>1</x:v>
      </x:c>
      <x:c r="W954" s="19" t="n">
        <x:f>SUM(T954:V954)</x:f>
        <x:v>8</x:v>
      </x:c>
      <x:c r="X954" s="19" t="n">
        <x:f>W954-G954</x:f>
        <x:v>1</x:v>
      </x:c>
      <x:c r="Y954" s="19" t="n">
        <x:f>MAX(T954,1)+MAX(U954,1)+MAX(V954,1)</x:f>
        <x:v>8</x:v>
      </x:c>
      <x:c r="Z954" s="21" t="str">
        <x:f>IF(AND(MIN(D954:F954)&gt;=0,MAX(D954:F954)&lt;=7,MAX(D954,1)+MAX(E954,1)+MAX(F954,1)&lt;=9,OR(H954="-",AND(H954=0,D954&gt;0),AND(H954=1,E954&gt;0),AND(H954=2,F954&gt;0)),OR(I954=0,AND(I954=1,OR(J954=0,J954=1,J954=2),R954&lt;&gt;"000")),Y954&lt;=9,MIN(T954:V954)&gt;=0),"合法","输入违约")</x:f>
        <x:v>合法</x:v>
      </x:c>
    </x:row>
    <x:row r="955" ht="23" customHeight="1">
      <x:c r="A955" s="3" t="str">
        <x:v>CT-0948</x:v>
      </x:c>
      <x:c r="B955" s="3" t="str">
        <x:v>ST-098</x:v>
      </x:c>
      <x:c r="C955" s="3" t="str">
        <x:v>仅AR接收</x:v>
      </x:c>
      <x:c r="D955" s="25" t="n">
        <x:v>1</x:v>
      </x:c>
      <x:c r="E955" s="25" t="n">
        <x:v>5</x:v>
      </x:c>
      <x:c r="F955" s="25" t="n">
        <x:v>1</x:v>
      </x:c>
      <x:c r="G955" s="19" t="n">
        <x:f>SUM(D955:F955)</x:f>
        <x:v>7</x:v>
      </x:c>
      <x:c r="H955" s="25" t="str">
        <x:v>-</x:v>
      </x:c>
      <x:c r="I955" s="25" t="n">
        <x:v>1</x:v>
      </x:c>
      <x:c r="J955" s="25" t="n">
        <x:v>2</x:v>
      </x:c>
      <x:c r="K955" s="19" t="n">
        <x:f>D955-IF(H955=0,1,0)</x:f>
        <x:v>1</x:v>
      </x:c>
      <x:c r="L955" s="19" t="n">
        <x:f>E955-IF(H955=1,1,0)</x:f>
        <x:v>5</x:v>
      </x:c>
      <x:c r="M955" s="19" t="n">
        <x:f>F955-IF(H955=2,1,0)</x:f>
        <x:v>1</x:v>
      </x:c>
      <x:c r="N955" s="19" t="n">
        <x:f>MAX(K955-1,0)+MAX(L955-1,0)+MAX(M955-1,0)</x:f>
        <x:v>4</x:v>
      </x:c>
      <x:c r="O955" s="19" t="n">
        <x:f>IF(AND(SUM(K955:M955)&lt;9,OR(M955=0,N955&lt;6)),1,0)</x:f>
        <x:v>1</x:v>
      </x:c>
      <x:c r="P955" s="19" t="n">
        <x:f>IF(AND(SUM(K955:M955)&lt;9,OR(L955=0,N955&lt;6)),1,0)</x:f>
        <x:v>1</x:v>
      </x:c>
      <x:c r="Q955" s="19" t="n">
        <x:f>IF(AND(SUM(K955:M955)&lt;9,OR(K955=0,N955&lt;6)),1,0)</x:f>
        <x:v>1</x:v>
      </x:c>
      <x:c r="R955" s="22" t="str">
        <x:f>O955&amp;P955&amp;Q955</x:f>
        <x:v>111</x:v>
      </x:c>
      <x:c r="S955" s="19" t="n">
        <x:f>IF(I955=1,IF(J955=0,Q955,IF(J955=1,P955,IF(J955=2,O955,0))),0)</x:f>
        <x:v>1</x:v>
      </x:c>
      <x:c r="T955" s="19" t="n">
        <x:f>K955+IF(AND(S955=1,J955=0),1,0)</x:f>
        <x:v>1</x:v>
      </x:c>
      <x:c r="U955" s="19" t="n">
        <x:f>L955+IF(AND(S955=1,J955=1),1,0)</x:f>
        <x:v>5</x:v>
      </x:c>
      <x:c r="V955" s="19" t="n">
        <x:f>M955+IF(AND(S955=1,J955=2),1,0)</x:f>
        <x:v>2</x:v>
      </x:c>
      <x:c r="W955" s="19" t="n">
        <x:f>SUM(T955:V955)</x:f>
        <x:v>8</x:v>
      </x:c>
      <x:c r="X955" s="19" t="n">
        <x:f>W955-G955</x:f>
        <x:v>1</x:v>
      </x:c>
      <x:c r="Y955" s="19" t="n">
        <x:f>MAX(T955,1)+MAX(U955,1)+MAX(V955,1)</x:f>
        <x:v>8</x:v>
      </x:c>
      <x:c r="Z955" s="21" t="str">
        <x:f>IF(AND(MIN(D955:F955)&gt;=0,MAX(D955:F955)&lt;=7,MAX(D955,1)+MAX(E955,1)+MAX(F955,1)&lt;=9,OR(H955="-",AND(H955=0,D955&gt;0),AND(H955=1,E955&gt;0),AND(H955=2,F955&gt;0)),OR(I955=0,AND(I955=1,OR(J955=0,J955=1,J955=2),R955&lt;&gt;"000")),Y955&lt;=9,MIN(T955:V955)&gt;=0),"合法","输入违约")</x:f>
        <x:v>合法</x:v>
      </x:c>
    </x:row>
    <x:row r="956" ht="23" customHeight="1">
      <x:c r="A956" s="3" t="str">
        <x:v>CT-0949</x:v>
      </x:c>
      <x:c r="B956" s="3" t="str">
        <x:v>ST-098</x:v>
      </x:c>
      <x:c r="C956" s="3" t="str">
        <x:v>仅R回收</x:v>
      </x:c>
      <x:c r="D956" s="25" t="n">
        <x:v>1</x:v>
      </x:c>
      <x:c r="E956" s="25" t="n">
        <x:v>5</x:v>
      </x:c>
      <x:c r="F956" s="25" t="n">
        <x:v>1</x:v>
      </x:c>
      <x:c r="G956" s="19" t="n">
        <x:f>SUM(D956:F956)</x:f>
        <x:v>7</x:v>
      </x:c>
      <x:c r="H956" s="25" t="n">
        <x:v>0</x:v>
      </x:c>
      <x:c r="I956" s="25" t="n">
        <x:v>0</x:v>
      </x:c>
      <x:c r="J956" s="25" t="str">
        <x:v>-</x:v>
      </x:c>
      <x:c r="K956" s="19" t="n">
        <x:f>D956-IF(H956=0,1,0)</x:f>
        <x:v>0</x:v>
      </x:c>
      <x:c r="L956" s="19" t="n">
        <x:f>E956-IF(H956=1,1,0)</x:f>
        <x:v>5</x:v>
      </x:c>
      <x:c r="M956" s="19" t="n">
        <x:f>F956-IF(H956=2,1,0)</x:f>
        <x:v>1</x:v>
      </x:c>
      <x:c r="N956" s="19" t="n">
        <x:f>MAX(K956-1,0)+MAX(L956-1,0)+MAX(M956-1,0)</x:f>
        <x:v>4</x:v>
      </x:c>
      <x:c r="O956" s="19" t="n">
        <x:f>IF(AND(SUM(K956:M956)&lt;9,OR(M956=0,N956&lt;6)),1,0)</x:f>
        <x:v>1</x:v>
      </x:c>
      <x:c r="P956" s="19" t="n">
        <x:f>IF(AND(SUM(K956:M956)&lt;9,OR(L956=0,N956&lt;6)),1,0)</x:f>
        <x:v>1</x:v>
      </x:c>
      <x:c r="Q956" s="19" t="n">
        <x:f>IF(AND(SUM(K956:M956)&lt;9,OR(K956=0,N956&lt;6)),1,0)</x:f>
        <x:v>1</x:v>
      </x:c>
      <x:c r="R956" s="22" t="str">
        <x:f>O956&amp;P956&amp;Q956</x:f>
        <x:v>111</x:v>
      </x:c>
      <x:c r="S956" s="19" t="n">
        <x:f>IF(I956=1,IF(J956=0,Q956,IF(J956=1,P956,IF(J956=2,O956,0))),0)</x:f>
        <x:v>0</x:v>
      </x:c>
      <x:c r="T956" s="19" t="n">
        <x:f>K956+IF(AND(S956=1,J956=0),1,0)</x:f>
        <x:v>0</x:v>
      </x:c>
      <x:c r="U956" s="19" t="n">
        <x:f>L956+IF(AND(S956=1,J956=1),1,0)</x:f>
        <x:v>5</x:v>
      </x:c>
      <x:c r="V956" s="19" t="n">
        <x:f>M956+IF(AND(S956=1,J956=2),1,0)</x:f>
        <x:v>1</x:v>
      </x:c>
      <x:c r="W956" s="19" t="n">
        <x:f>SUM(T956:V956)</x:f>
        <x:v>6</x:v>
      </x:c>
      <x:c r="X956" s="19" t="n">
        <x:f>W956-G956</x:f>
        <x:v>-1</x:v>
      </x:c>
      <x:c r="Y956" s="19" t="n">
        <x:f>MAX(T956,1)+MAX(U956,1)+MAX(V956,1)</x:f>
        <x:v>7</x:v>
      </x:c>
      <x:c r="Z956" s="21" t="str">
        <x:f>IF(AND(MIN(D956:F956)&gt;=0,MAX(D956:F956)&lt;=7,MAX(D956,1)+MAX(E956,1)+MAX(F956,1)&lt;=9,OR(H956="-",AND(H956=0,D956&gt;0),AND(H956=1,E956&gt;0),AND(H956=2,F956&gt;0)),OR(I956=0,AND(I956=1,OR(J956=0,J956=1,J956=2),R956&lt;&gt;"000")),Y956&lt;=9,MIN(T956:V956)&gt;=0),"合法","输入违约")</x:f>
        <x:v>合法</x:v>
      </x:c>
    </x:row>
    <x:row r="957" ht="23" customHeight="1">
      <x:c r="A957" s="3" t="str">
        <x:v>CT-0950</x:v>
      </x:c>
      <x:c r="B957" s="3" t="str">
        <x:v>ST-098</x:v>
      </x:c>
      <x:c r="C957" s="3" t="str">
        <x:v>R+AR同收同发</x:v>
      </x:c>
      <x:c r="D957" s="25" t="n">
        <x:v>1</x:v>
      </x:c>
      <x:c r="E957" s="25" t="n">
        <x:v>5</x:v>
      </x:c>
      <x:c r="F957" s="25" t="n">
        <x:v>1</x:v>
      </x:c>
      <x:c r="G957" s="19" t="n">
        <x:f>SUM(D957:F957)</x:f>
        <x:v>7</x:v>
      </x:c>
      <x:c r="H957" s="25" t="n">
        <x:v>0</x:v>
      </x:c>
      <x:c r="I957" s="25" t="n">
        <x:v>1</x:v>
      </x:c>
      <x:c r="J957" s="25" t="n">
        <x:v>0</x:v>
      </x:c>
      <x:c r="K957" s="19" t="n">
        <x:f>D957-IF(H957=0,1,0)</x:f>
        <x:v>0</x:v>
      </x:c>
      <x:c r="L957" s="19" t="n">
        <x:f>E957-IF(H957=1,1,0)</x:f>
        <x:v>5</x:v>
      </x:c>
      <x:c r="M957" s="19" t="n">
        <x:f>F957-IF(H957=2,1,0)</x:f>
        <x:v>1</x:v>
      </x:c>
      <x:c r="N957" s="19" t="n">
        <x:f>MAX(K957-1,0)+MAX(L957-1,0)+MAX(M957-1,0)</x:f>
        <x:v>4</x:v>
      </x:c>
      <x:c r="O957" s="19" t="n">
        <x:f>IF(AND(SUM(K957:M957)&lt;9,OR(M957=0,N957&lt;6)),1,0)</x:f>
        <x:v>1</x:v>
      </x:c>
      <x:c r="P957" s="19" t="n">
        <x:f>IF(AND(SUM(K957:M957)&lt;9,OR(L957=0,N957&lt;6)),1,0)</x:f>
        <x:v>1</x:v>
      </x:c>
      <x:c r="Q957" s="19" t="n">
        <x:f>IF(AND(SUM(K957:M957)&lt;9,OR(K957=0,N957&lt;6)),1,0)</x:f>
        <x:v>1</x:v>
      </x:c>
      <x:c r="R957" s="22" t="str">
        <x:f>O957&amp;P957&amp;Q957</x:f>
        <x:v>111</x:v>
      </x:c>
      <x:c r="S957" s="19" t="n">
        <x:f>IF(I957=1,IF(J957=0,Q957,IF(J957=1,P957,IF(J957=2,O957,0))),0)</x:f>
        <x:v>1</x:v>
      </x:c>
      <x:c r="T957" s="19" t="n">
        <x:f>K957+IF(AND(S957=1,J957=0),1,0)</x:f>
        <x:v>1</x:v>
      </x:c>
      <x:c r="U957" s="19" t="n">
        <x:f>L957+IF(AND(S957=1,J957=1),1,0)</x:f>
        <x:v>5</x:v>
      </x:c>
      <x:c r="V957" s="19" t="n">
        <x:f>M957+IF(AND(S957=1,J957=2),1,0)</x:f>
        <x:v>1</x:v>
      </x:c>
      <x:c r="W957" s="19" t="n">
        <x:f>SUM(T957:V957)</x:f>
        <x:v>7</x:v>
      </x:c>
      <x:c r="X957" s="19" t="n">
        <x:f>W957-G957</x:f>
        <x:v>0</x:v>
      </x:c>
      <x:c r="Y957" s="19" t="n">
        <x:f>MAX(T957,1)+MAX(U957,1)+MAX(V957,1)</x:f>
        <x:v>7</x:v>
      </x:c>
      <x:c r="Z957" s="21" t="str">
        <x:f>IF(AND(MIN(D957:F957)&gt;=0,MAX(D957:F957)&lt;=7,MAX(D957,1)+MAX(E957,1)+MAX(F957,1)&lt;=9,OR(H957="-",AND(H957=0,D957&gt;0),AND(H957=1,E957&gt;0),AND(H957=2,F957&gt;0)),OR(I957=0,AND(I957=1,OR(J957=0,J957=1,J957=2),R957&lt;&gt;"000")),Y957&lt;=9,MIN(T957:V957)&gt;=0),"合法","输入违约")</x:f>
        <x:v>合法</x:v>
      </x:c>
    </x:row>
    <x:row r="958" ht="23" customHeight="1">
      <x:c r="A958" s="3" t="str">
        <x:v>CT-0951</x:v>
      </x:c>
      <x:c r="B958" s="3" t="str">
        <x:v>ST-098</x:v>
      </x:c>
      <x:c r="C958" s="3" t="str">
        <x:v>R+AR同收同发</x:v>
      </x:c>
      <x:c r="D958" s="25" t="n">
        <x:v>1</x:v>
      </x:c>
      <x:c r="E958" s="25" t="n">
        <x:v>5</x:v>
      </x:c>
      <x:c r="F958" s="25" t="n">
        <x:v>1</x:v>
      </x:c>
      <x:c r="G958" s="19" t="n">
        <x:f>SUM(D958:F958)</x:f>
        <x:v>7</x:v>
      </x:c>
      <x:c r="H958" s="25" t="n">
        <x:v>0</x:v>
      </x:c>
      <x:c r="I958" s="25" t="n">
        <x:v>1</x:v>
      </x:c>
      <x:c r="J958" s="25" t="n">
        <x:v>1</x:v>
      </x:c>
      <x:c r="K958" s="19" t="n">
        <x:f>D958-IF(H958=0,1,0)</x:f>
        <x:v>0</x:v>
      </x:c>
      <x:c r="L958" s="19" t="n">
        <x:f>E958-IF(H958=1,1,0)</x:f>
        <x:v>5</x:v>
      </x:c>
      <x:c r="M958" s="19" t="n">
        <x:f>F958-IF(H958=2,1,0)</x:f>
        <x:v>1</x:v>
      </x:c>
      <x:c r="N958" s="19" t="n">
        <x:f>MAX(K958-1,0)+MAX(L958-1,0)+MAX(M958-1,0)</x:f>
        <x:v>4</x:v>
      </x:c>
      <x:c r="O958" s="19" t="n">
        <x:f>IF(AND(SUM(K958:M958)&lt;9,OR(M958=0,N958&lt;6)),1,0)</x:f>
        <x:v>1</x:v>
      </x:c>
      <x:c r="P958" s="19" t="n">
        <x:f>IF(AND(SUM(K958:M958)&lt;9,OR(L958=0,N958&lt;6)),1,0)</x:f>
        <x:v>1</x:v>
      </x:c>
      <x:c r="Q958" s="19" t="n">
        <x:f>IF(AND(SUM(K958:M958)&lt;9,OR(K958=0,N958&lt;6)),1,0)</x:f>
        <x:v>1</x:v>
      </x:c>
      <x:c r="R958" s="22" t="str">
        <x:f>O958&amp;P958&amp;Q958</x:f>
        <x:v>111</x:v>
      </x:c>
      <x:c r="S958" s="19" t="n">
        <x:f>IF(I958=1,IF(J958=0,Q958,IF(J958=1,P958,IF(J958=2,O958,0))),0)</x:f>
        <x:v>1</x:v>
      </x:c>
      <x:c r="T958" s="19" t="n">
        <x:f>K958+IF(AND(S958=1,J958=0),1,0)</x:f>
        <x:v>0</x:v>
      </x:c>
      <x:c r="U958" s="19" t="n">
        <x:f>L958+IF(AND(S958=1,J958=1),1,0)</x:f>
        <x:v>6</x:v>
      </x:c>
      <x:c r="V958" s="19" t="n">
        <x:f>M958+IF(AND(S958=1,J958=2),1,0)</x:f>
        <x:v>1</x:v>
      </x:c>
      <x:c r="W958" s="19" t="n">
        <x:f>SUM(T958:V958)</x:f>
        <x:v>7</x:v>
      </x:c>
      <x:c r="X958" s="19" t="n">
        <x:f>W958-G958</x:f>
        <x:v>0</x:v>
      </x:c>
      <x:c r="Y958" s="19" t="n">
        <x:f>MAX(T958,1)+MAX(U958,1)+MAX(V958,1)</x:f>
        <x:v>8</x:v>
      </x:c>
      <x:c r="Z958" s="21" t="str">
        <x:f>IF(AND(MIN(D958:F958)&gt;=0,MAX(D958:F958)&lt;=7,MAX(D958,1)+MAX(E958,1)+MAX(F958,1)&lt;=9,OR(H958="-",AND(H958=0,D958&gt;0),AND(H958=1,E958&gt;0),AND(H958=2,F958&gt;0)),OR(I958=0,AND(I958=1,OR(J958=0,J958=1,J958=2),R958&lt;&gt;"000")),Y958&lt;=9,MIN(T958:V958)&gt;=0),"合法","输入违约")</x:f>
        <x:v>合法</x:v>
      </x:c>
    </x:row>
    <x:row r="959" ht="23" customHeight="1">
      <x:c r="A959" s="3" t="str">
        <x:v>CT-0952</x:v>
      </x:c>
      <x:c r="B959" s="3" t="str">
        <x:v>ST-098</x:v>
      </x:c>
      <x:c r="C959" s="3" t="str">
        <x:v>R+AR同收同发</x:v>
      </x:c>
      <x:c r="D959" s="25" t="n">
        <x:v>1</x:v>
      </x:c>
      <x:c r="E959" s="25" t="n">
        <x:v>5</x:v>
      </x:c>
      <x:c r="F959" s="25" t="n">
        <x:v>1</x:v>
      </x:c>
      <x:c r="G959" s="19" t="n">
        <x:f>SUM(D959:F959)</x:f>
        <x:v>7</x:v>
      </x:c>
      <x:c r="H959" s="25" t="n">
        <x:v>0</x:v>
      </x:c>
      <x:c r="I959" s="25" t="n">
        <x:v>1</x:v>
      </x:c>
      <x:c r="J959" s="25" t="n">
        <x:v>2</x:v>
      </x:c>
      <x:c r="K959" s="19" t="n">
        <x:f>D959-IF(H959=0,1,0)</x:f>
        <x:v>0</x:v>
      </x:c>
      <x:c r="L959" s="19" t="n">
        <x:f>E959-IF(H959=1,1,0)</x:f>
        <x:v>5</x:v>
      </x:c>
      <x:c r="M959" s="19" t="n">
        <x:f>F959-IF(H959=2,1,0)</x:f>
        <x:v>1</x:v>
      </x:c>
      <x:c r="N959" s="19" t="n">
        <x:f>MAX(K959-1,0)+MAX(L959-1,0)+MAX(M959-1,0)</x:f>
        <x:v>4</x:v>
      </x:c>
      <x:c r="O959" s="19" t="n">
        <x:f>IF(AND(SUM(K959:M959)&lt;9,OR(M959=0,N959&lt;6)),1,0)</x:f>
        <x:v>1</x:v>
      </x:c>
      <x:c r="P959" s="19" t="n">
        <x:f>IF(AND(SUM(K959:M959)&lt;9,OR(L959=0,N959&lt;6)),1,0)</x:f>
        <x:v>1</x:v>
      </x:c>
      <x:c r="Q959" s="19" t="n">
        <x:f>IF(AND(SUM(K959:M959)&lt;9,OR(K959=0,N959&lt;6)),1,0)</x:f>
        <x:v>1</x:v>
      </x:c>
      <x:c r="R959" s="22" t="str">
        <x:f>O959&amp;P959&amp;Q959</x:f>
        <x:v>111</x:v>
      </x:c>
      <x:c r="S959" s="19" t="n">
        <x:f>IF(I959=1,IF(J959=0,Q959,IF(J959=1,P959,IF(J959=2,O959,0))),0)</x:f>
        <x:v>1</x:v>
      </x:c>
      <x:c r="T959" s="19" t="n">
        <x:f>K959+IF(AND(S959=1,J959=0),1,0)</x:f>
        <x:v>0</x:v>
      </x:c>
      <x:c r="U959" s="19" t="n">
        <x:f>L959+IF(AND(S959=1,J959=1),1,0)</x:f>
        <x:v>5</x:v>
      </x:c>
      <x:c r="V959" s="19" t="n">
        <x:f>M959+IF(AND(S959=1,J959=2),1,0)</x:f>
        <x:v>2</x:v>
      </x:c>
      <x:c r="W959" s="19" t="n">
        <x:f>SUM(T959:V959)</x:f>
        <x:v>7</x:v>
      </x:c>
      <x:c r="X959" s="19" t="n">
        <x:f>W959-G959</x:f>
        <x:v>0</x:v>
      </x:c>
      <x:c r="Y959" s="19" t="n">
        <x:f>MAX(T959,1)+MAX(U959,1)+MAX(V959,1)</x:f>
        <x:v>8</x:v>
      </x:c>
      <x:c r="Z959" s="21" t="str">
        <x:f>IF(AND(MIN(D959:F959)&gt;=0,MAX(D959:F959)&lt;=7,MAX(D959,1)+MAX(E959,1)+MAX(F959,1)&lt;=9,OR(H959="-",AND(H959=0,D959&gt;0),AND(H959=1,E959&gt;0),AND(H959=2,F959&gt;0)),OR(I959=0,AND(I959=1,OR(J959=0,J959=1,J959=2),R959&lt;&gt;"000")),Y959&lt;=9,MIN(T959:V959)&gt;=0),"合法","输入违约")</x:f>
        <x:v>合法</x:v>
      </x:c>
    </x:row>
    <x:row r="960" ht="23" customHeight="1">
      <x:c r="A960" s="3" t="str">
        <x:v>CT-0953</x:v>
      </x:c>
      <x:c r="B960" s="3" t="str">
        <x:v>ST-098</x:v>
      </x:c>
      <x:c r="C960" s="3" t="str">
        <x:v>仅R回收</x:v>
      </x:c>
      <x:c r="D960" s="25" t="n">
        <x:v>1</x:v>
      </x:c>
      <x:c r="E960" s="25" t="n">
        <x:v>5</x:v>
      </x:c>
      <x:c r="F960" s="25" t="n">
        <x:v>1</x:v>
      </x:c>
      <x:c r="G960" s="19" t="n">
        <x:f>SUM(D960:F960)</x:f>
        <x:v>7</x:v>
      </x:c>
      <x:c r="H960" s="25" t="n">
        <x:v>1</x:v>
      </x:c>
      <x:c r="I960" s="25" t="n">
        <x:v>0</x:v>
      </x:c>
      <x:c r="J960" s="25" t="str">
        <x:v>-</x:v>
      </x:c>
      <x:c r="K960" s="19" t="n">
        <x:f>D960-IF(H960=0,1,0)</x:f>
        <x:v>1</x:v>
      </x:c>
      <x:c r="L960" s="19" t="n">
        <x:f>E960-IF(H960=1,1,0)</x:f>
        <x:v>4</x:v>
      </x:c>
      <x:c r="M960" s="19" t="n">
        <x:f>F960-IF(H960=2,1,0)</x:f>
        <x:v>1</x:v>
      </x:c>
      <x:c r="N960" s="19" t="n">
        <x:f>MAX(K960-1,0)+MAX(L960-1,0)+MAX(M960-1,0)</x:f>
        <x:v>3</x:v>
      </x:c>
      <x:c r="O960" s="19" t="n">
        <x:f>IF(AND(SUM(K960:M960)&lt;9,OR(M960=0,N960&lt;6)),1,0)</x:f>
        <x:v>1</x:v>
      </x:c>
      <x:c r="P960" s="19" t="n">
        <x:f>IF(AND(SUM(K960:M960)&lt;9,OR(L960=0,N960&lt;6)),1,0)</x:f>
        <x:v>1</x:v>
      </x:c>
      <x:c r="Q960" s="19" t="n">
        <x:f>IF(AND(SUM(K960:M960)&lt;9,OR(K960=0,N960&lt;6)),1,0)</x:f>
        <x:v>1</x:v>
      </x:c>
      <x:c r="R960" s="22" t="str">
        <x:f>O960&amp;P960&amp;Q960</x:f>
        <x:v>111</x:v>
      </x:c>
      <x:c r="S960" s="19" t="n">
        <x:f>IF(I960=1,IF(J960=0,Q960,IF(J960=1,P960,IF(J960=2,O960,0))),0)</x:f>
        <x:v>0</x:v>
      </x:c>
      <x:c r="T960" s="19" t="n">
        <x:f>K960+IF(AND(S960=1,J960=0),1,0)</x:f>
        <x:v>1</x:v>
      </x:c>
      <x:c r="U960" s="19" t="n">
        <x:f>L960+IF(AND(S960=1,J960=1),1,0)</x:f>
        <x:v>4</x:v>
      </x:c>
      <x:c r="V960" s="19" t="n">
        <x:f>M960+IF(AND(S960=1,J960=2),1,0)</x:f>
        <x:v>1</x:v>
      </x:c>
      <x:c r="W960" s="19" t="n">
        <x:f>SUM(T960:V960)</x:f>
        <x:v>6</x:v>
      </x:c>
      <x:c r="X960" s="19" t="n">
        <x:f>W960-G960</x:f>
        <x:v>-1</x:v>
      </x:c>
      <x:c r="Y960" s="19" t="n">
        <x:f>MAX(T960,1)+MAX(U960,1)+MAX(V960,1)</x:f>
        <x:v>6</x:v>
      </x:c>
      <x:c r="Z960" s="21" t="str">
        <x:f>IF(AND(MIN(D960:F960)&gt;=0,MAX(D960:F960)&lt;=7,MAX(D960,1)+MAX(E960,1)+MAX(F960,1)&lt;=9,OR(H960="-",AND(H960=0,D960&gt;0),AND(H960=1,E960&gt;0),AND(H960=2,F960&gt;0)),OR(I960=0,AND(I960=1,OR(J960=0,J960=1,J960=2),R960&lt;&gt;"000")),Y960&lt;=9,MIN(T960:V960)&gt;=0),"合法","输入违约")</x:f>
        <x:v>合法</x:v>
      </x:c>
    </x:row>
    <x:row r="961" ht="23" customHeight="1">
      <x:c r="A961" s="3" t="str">
        <x:v>CT-0954</x:v>
      </x:c>
      <x:c r="B961" s="3" t="str">
        <x:v>ST-098</x:v>
      </x:c>
      <x:c r="C961" s="3" t="str">
        <x:v>R+AR同收同发</x:v>
      </x:c>
      <x:c r="D961" s="25" t="n">
        <x:v>1</x:v>
      </x:c>
      <x:c r="E961" s="25" t="n">
        <x:v>5</x:v>
      </x:c>
      <x:c r="F961" s="25" t="n">
        <x:v>1</x:v>
      </x:c>
      <x:c r="G961" s="19" t="n">
        <x:f>SUM(D961:F961)</x:f>
        <x:v>7</x:v>
      </x:c>
      <x:c r="H961" s="25" t="n">
        <x:v>1</x:v>
      </x:c>
      <x:c r="I961" s="25" t="n">
        <x:v>1</x:v>
      </x:c>
      <x:c r="J961" s="25" t="n">
        <x:v>0</x:v>
      </x:c>
      <x:c r="K961" s="19" t="n">
        <x:f>D961-IF(H961=0,1,0)</x:f>
        <x:v>1</x:v>
      </x:c>
      <x:c r="L961" s="19" t="n">
        <x:f>E961-IF(H961=1,1,0)</x:f>
        <x:v>4</x:v>
      </x:c>
      <x:c r="M961" s="19" t="n">
        <x:f>F961-IF(H961=2,1,0)</x:f>
        <x:v>1</x:v>
      </x:c>
      <x:c r="N961" s="19" t="n">
        <x:f>MAX(K961-1,0)+MAX(L961-1,0)+MAX(M961-1,0)</x:f>
        <x:v>3</x:v>
      </x:c>
      <x:c r="O961" s="19" t="n">
        <x:f>IF(AND(SUM(K961:M961)&lt;9,OR(M961=0,N961&lt;6)),1,0)</x:f>
        <x:v>1</x:v>
      </x:c>
      <x:c r="P961" s="19" t="n">
        <x:f>IF(AND(SUM(K961:M961)&lt;9,OR(L961=0,N961&lt;6)),1,0)</x:f>
        <x:v>1</x:v>
      </x:c>
      <x:c r="Q961" s="19" t="n">
        <x:f>IF(AND(SUM(K961:M961)&lt;9,OR(K961=0,N961&lt;6)),1,0)</x:f>
        <x:v>1</x:v>
      </x:c>
      <x:c r="R961" s="22" t="str">
        <x:f>O961&amp;P961&amp;Q961</x:f>
        <x:v>111</x:v>
      </x:c>
      <x:c r="S961" s="19" t="n">
        <x:f>IF(I961=1,IF(J961=0,Q961,IF(J961=1,P961,IF(J961=2,O961,0))),0)</x:f>
        <x:v>1</x:v>
      </x:c>
      <x:c r="T961" s="19" t="n">
        <x:f>K961+IF(AND(S961=1,J961=0),1,0)</x:f>
        <x:v>2</x:v>
      </x:c>
      <x:c r="U961" s="19" t="n">
        <x:f>L961+IF(AND(S961=1,J961=1),1,0)</x:f>
        <x:v>4</x:v>
      </x:c>
      <x:c r="V961" s="19" t="n">
        <x:f>M961+IF(AND(S961=1,J961=2),1,0)</x:f>
        <x:v>1</x:v>
      </x:c>
      <x:c r="W961" s="19" t="n">
        <x:f>SUM(T961:V961)</x:f>
        <x:v>7</x:v>
      </x:c>
      <x:c r="X961" s="19" t="n">
        <x:f>W961-G961</x:f>
        <x:v>0</x:v>
      </x:c>
      <x:c r="Y961" s="19" t="n">
        <x:f>MAX(T961,1)+MAX(U961,1)+MAX(V961,1)</x:f>
        <x:v>7</x:v>
      </x:c>
      <x:c r="Z961" s="21" t="str">
        <x:f>IF(AND(MIN(D961:F961)&gt;=0,MAX(D961:F961)&lt;=7,MAX(D961,1)+MAX(E961,1)+MAX(F961,1)&lt;=9,OR(H961="-",AND(H961=0,D961&gt;0),AND(H961=1,E961&gt;0),AND(H961=2,F961&gt;0)),OR(I961=0,AND(I961=1,OR(J961=0,J961=1,J961=2),R961&lt;&gt;"000")),Y961&lt;=9,MIN(T961:V961)&gt;=0),"合法","输入违约")</x:f>
        <x:v>合法</x:v>
      </x:c>
    </x:row>
    <x:row r="962" ht="23" customHeight="1">
      <x:c r="A962" s="3" t="str">
        <x:v>CT-0955</x:v>
      </x:c>
      <x:c r="B962" s="3" t="str">
        <x:v>ST-098</x:v>
      </x:c>
      <x:c r="C962" s="3" t="str">
        <x:v>R+AR同收同发</x:v>
      </x:c>
      <x:c r="D962" s="25" t="n">
        <x:v>1</x:v>
      </x:c>
      <x:c r="E962" s="25" t="n">
        <x:v>5</x:v>
      </x:c>
      <x:c r="F962" s="25" t="n">
        <x:v>1</x:v>
      </x:c>
      <x:c r="G962" s="19" t="n">
        <x:f>SUM(D962:F962)</x:f>
        <x:v>7</x:v>
      </x:c>
      <x:c r="H962" s="25" t="n">
        <x:v>1</x:v>
      </x:c>
      <x:c r="I962" s="25" t="n">
        <x:v>1</x:v>
      </x:c>
      <x:c r="J962" s="25" t="n">
        <x:v>1</x:v>
      </x:c>
      <x:c r="K962" s="19" t="n">
        <x:f>D962-IF(H962=0,1,0)</x:f>
        <x:v>1</x:v>
      </x:c>
      <x:c r="L962" s="19" t="n">
        <x:f>E962-IF(H962=1,1,0)</x:f>
        <x:v>4</x:v>
      </x:c>
      <x:c r="M962" s="19" t="n">
        <x:f>F962-IF(H962=2,1,0)</x:f>
        <x:v>1</x:v>
      </x:c>
      <x:c r="N962" s="19" t="n">
        <x:f>MAX(K962-1,0)+MAX(L962-1,0)+MAX(M962-1,0)</x:f>
        <x:v>3</x:v>
      </x:c>
      <x:c r="O962" s="19" t="n">
        <x:f>IF(AND(SUM(K962:M962)&lt;9,OR(M962=0,N962&lt;6)),1,0)</x:f>
        <x:v>1</x:v>
      </x:c>
      <x:c r="P962" s="19" t="n">
        <x:f>IF(AND(SUM(K962:M962)&lt;9,OR(L962=0,N962&lt;6)),1,0)</x:f>
        <x:v>1</x:v>
      </x:c>
      <x:c r="Q962" s="19" t="n">
        <x:f>IF(AND(SUM(K962:M962)&lt;9,OR(K962=0,N962&lt;6)),1,0)</x:f>
        <x:v>1</x:v>
      </x:c>
      <x:c r="R962" s="22" t="str">
        <x:f>O962&amp;P962&amp;Q962</x:f>
        <x:v>111</x:v>
      </x:c>
      <x:c r="S962" s="19" t="n">
        <x:f>IF(I962=1,IF(J962=0,Q962,IF(J962=1,P962,IF(J962=2,O962,0))),0)</x:f>
        <x:v>1</x:v>
      </x:c>
      <x:c r="T962" s="19" t="n">
        <x:f>K962+IF(AND(S962=1,J962=0),1,0)</x:f>
        <x:v>1</x:v>
      </x:c>
      <x:c r="U962" s="19" t="n">
        <x:f>L962+IF(AND(S962=1,J962=1),1,0)</x:f>
        <x:v>5</x:v>
      </x:c>
      <x:c r="V962" s="19" t="n">
        <x:f>M962+IF(AND(S962=1,J962=2),1,0)</x:f>
        <x:v>1</x:v>
      </x:c>
      <x:c r="W962" s="19" t="n">
        <x:f>SUM(T962:V962)</x:f>
        <x:v>7</x:v>
      </x:c>
      <x:c r="X962" s="19" t="n">
        <x:f>W962-G962</x:f>
        <x:v>0</x:v>
      </x:c>
      <x:c r="Y962" s="19" t="n">
        <x:f>MAX(T962,1)+MAX(U962,1)+MAX(V962,1)</x:f>
        <x:v>7</x:v>
      </x:c>
      <x:c r="Z962" s="21" t="str">
        <x:f>IF(AND(MIN(D962:F962)&gt;=0,MAX(D962:F962)&lt;=7,MAX(D962,1)+MAX(E962,1)+MAX(F962,1)&lt;=9,OR(H962="-",AND(H962=0,D962&gt;0),AND(H962=1,E962&gt;0),AND(H962=2,F962&gt;0)),OR(I962=0,AND(I962=1,OR(J962=0,J962=1,J962=2),R962&lt;&gt;"000")),Y962&lt;=9,MIN(T962:V962)&gt;=0),"合法","输入违约")</x:f>
        <x:v>合法</x:v>
      </x:c>
    </x:row>
    <x:row r="963" ht="23" customHeight="1">
      <x:c r="A963" s="3" t="str">
        <x:v>CT-0956</x:v>
      </x:c>
      <x:c r="B963" s="3" t="str">
        <x:v>ST-098</x:v>
      </x:c>
      <x:c r="C963" s="3" t="str">
        <x:v>R+AR同收同发</x:v>
      </x:c>
      <x:c r="D963" s="25" t="n">
        <x:v>1</x:v>
      </x:c>
      <x:c r="E963" s="25" t="n">
        <x:v>5</x:v>
      </x:c>
      <x:c r="F963" s="25" t="n">
        <x:v>1</x:v>
      </x:c>
      <x:c r="G963" s="19" t="n">
        <x:f>SUM(D963:F963)</x:f>
        <x:v>7</x:v>
      </x:c>
      <x:c r="H963" s="25" t="n">
        <x:v>1</x:v>
      </x:c>
      <x:c r="I963" s="25" t="n">
        <x:v>1</x:v>
      </x:c>
      <x:c r="J963" s="25" t="n">
        <x:v>2</x:v>
      </x:c>
      <x:c r="K963" s="19" t="n">
        <x:f>D963-IF(H963=0,1,0)</x:f>
        <x:v>1</x:v>
      </x:c>
      <x:c r="L963" s="19" t="n">
        <x:f>E963-IF(H963=1,1,0)</x:f>
        <x:v>4</x:v>
      </x:c>
      <x:c r="M963" s="19" t="n">
        <x:f>F963-IF(H963=2,1,0)</x:f>
        <x:v>1</x:v>
      </x:c>
      <x:c r="N963" s="19" t="n">
        <x:f>MAX(K963-1,0)+MAX(L963-1,0)+MAX(M963-1,0)</x:f>
        <x:v>3</x:v>
      </x:c>
      <x:c r="O963" s="19" t="n">
        <x:f>IF(AND(SUM(K963:M963)&lt;9,OR(M963=0,N963&lt;6)),1,0)</x:f>
        <x:v>1</x:v>
      </x:c>
      <x:c r="P963" s="19" t="n">
        <x:f>IF(AND(SUM(K963:M963)&lt;9,OR(L963=0,N963&lt;6)),1,0)</x:f>
        <x:v>1</x:v>
      </x:c>
      <x:c r="Q963" s="19" t="n">
        <x:f>IF(AND(SUM(K963:M963)&lt;9,OR(K963=0,N963&lt;6)),1,0)</x:f>
        <x:v>1</x:v>
      </x:c>
      <x:c r="R963" s="22" t="str">
        <x:f>O963&amp;P963&amp;Q963</x:f>
        <x:v>111</x:v>
      </x:c>
      <x:c r="S963" s="19" t="n">
        <x:f>IF(I963=1,IF(J963=0,Q963,IF(J963=1,P963,IF(J963=2,O963,0))),0)</x:f>
        <x:v>1</x:v>
      </x:c>
      <x:c r="T963" s="19" t="n">
        <x:f>K963+IF(AND(S963=1,J963=0),1,0)</x:f>
        <x:v>1</x:v>
      </x:c>
      <x:c r="U963" s="19" t="n">
        <x:f>L963+IF(AND(S963=1,J963=1),1,0)</x:f>
        <x:v>4</x:v>
      </x:c>
      <x:c r="V963" s="19" t="n">
        <x:f>M963+IF(AND(S963=1,J963=2),1,0)</x:f>
        <x:v>2</x:v>
      </x:c>
      <x:c r="W963" s="19" t="n">
        <x:f>SUM(T963:V963)</x:f>
        <x:v>7</x:v>
      </x:c>
      <x:c r="X963" s="19" t="n">
        <x:f>W963-G963</x:f>
        <x:v>0</x:v>
      </x:c>
      <x:c r="Y963" s="19" t="n">
        <x:f>MAX(T963,1)+MAX(U963,1)+MAX(V963,1)</x:f>
        <x:v>7</x:v>
      </x:c>
      <x:c r="Z963" s="21" t="str">
        <x:f>IF(AND(MIN(D963:F963)&gt;=0,MAX(D963:F963)&lt;=7,MAX(D963,1)+MAX(E963,1)+MAX(F963,1)&lt;=9,OR(H963="-",AND(H963=0,D963&gt;0),AND(H963=1,E963&gt;0),AND(H963=2,F963&gt;0)),OR(I963=0,AND(I963=1,OR(J963=0,J963=1,J963=2),R963&lt;&gt;"000")),Y963&lt;=9,MIN(T963:V963)&gt;=0),"合法","输入违约")</x:f>
        <x:v>合法</x:v>
      </x:c>
    </x:row>
    <x:row r="964" ht="23" customHeight="1">
      <x:c r="A964" s="3" t="str">
        <x:v>CT-0957</x:v>
      </x:c>
      <x:c r="B964" s="3" t="str">
        <x:v>ST-098</x:v>
      </x:c>
      <x:c r="C964" s="3" t="str">
        <x:v>仅R回收</x:v>
      </x:c>
      <x:c r="D964" s="25" t="n">
        <x:v>1</x:v>
      </x:c>
      <x:c r="E964" s="25" t="n">
        <x:v>5</x:v>
      </x:c>
      <x:c r="F964" s="25" t="n">
        <x:v>1</x:v>
      </x:c>
      <x:c r="G964" s="19" t="n">
        <x:f>SUM(D964:F964)</x:f>
        <x:v>7</x:v>
      </x:c>
      <x:c r="H964" s="25" t="n">
        <x:v>2</x:v>
      </x:c>
      <x:c r="I964" s="25" t="n">
        <x:v>0</x:v>
      </x:c>
      <x:c r="J964" s="25" t="str">
        <x:v>-</x:v>
      </x:c>
      <x:c r="K964" s="19" t="n">
        <x:f>D964-IF(H964=0,1,0)</x:f>
        <x:v>1</x:v>
      </x:c>
      <x:c r="L964" s="19" t="n">
        <x:f>E964-IF(H964=1,1,0)</x:f>
        <x:v>5</x:v>
      </x:c>
      <x:c r="M964" s="19" t="n">
        <x:f>F964-IF(H964=2,1,0)</x:f>
        <x:v>0</x:v>
      </x:c>
      <x:c r="N964" s="19" t="n">
        <x:f>MAX(K964-1,0)+MAX(L964-1,0)+MAX(M964-1,0)</x:f>
        <x:v>4</x:v>
      </x:c>
      <x:c r="O964" s="19" t="n">
        <x:f>IF(AND(SUM(K964:M964)&lt;9,OR(M964=0,N964&lt;6)),1,0)</x:f>
        <x:v>1</x:v>
      </x:c>
      <x:c r="P964" s="19" t="n">
        <x:f>IF(AND(SUM(K964:M964)&lt;9,OR(L964=0,N964&lt;6)),1,0)</x:f>
        <x:v>1</x:v>
      </x:c>
      <x:c r="Q964" s="19" t="n">
        <x:f>IF(AND(SUM(K964:M964)&lt;9,OR(K964=0,N964&lt;6)),1,0)</x:f>
        <x:v>1</x:v>
      </x:c>
      <x:c r="R964" s="22" t="str">
        <x:f>O964&amp;P964&amp;Q964</x:f>
        <x:v>111</x:v>
      </x:c>
      <x:c r="S964" s="19" t="n">
        <x:f>IF(I964=1,IF(J964=0,Q964,IF(J964=1,P964,IF(J964=2,O964,0))),0)</x:f>
        <x:v>0</x:v>
      </x:c>
      <x:c r="T964" s="19" t="n">
        <x:f>K964+IF(AND(S964=1,J964=0),1,0)</x:f>
        <x:v>1</x:v>
      </x:c>
      <x:c r="U964" s="19" t="n">
        <x:f>L964+IF(AND(S964=1,J964=1),1,0)</x:f>
        <x:v>5</x:v>
      </x:c>
      <x:c r="V964" s="19" t="n">
        <x:f>M964+IF(AND(S964=1,J964=2),1,0)</x:f>
        <x:v>0</x:v>
      </x:c>
      <x:c r="W964" s="19" t="n">
        <x:f>SUM(T964:V964)</x:f>
        <x:v>6</x:v>
      </x:c>
      <x:c r="X964" s="19" t="n">
        <x:f>W964-G964</x:f>
        <x:v>-1</x:v>
      </x:c>
      <x:c r="Y964" s="19" t="n">
        <x:f>MAX(T964,1)+MAX(U964,1)+MAX(V964,1)</x:f>
        <x:v>7</x:v>
      </x:c>
      <x:c r="Z964" s="21" t="str">
        <x:f>IF(AND(MIN(D964:F964)&gt;=0,MAX(D964:F964)&lt;=7,MAX(D964,1)+MAX(E964,1)+MAX(F964,1)&lt;=9,OR(H964="-",AND(H964=0,D964&gt;0),AND(H964=1,E964&gt;0),AND(H964=2,F964&gt;0)),OR(I964=0,AND(I964=1,OR(J964=0,J964=1,J964=2),R964&lt;&gt;"000")),Y964&lt;=9,MIN(T964:V964)&gt;=0),"合法","输入违约")</x:f>
        <x:v>合法</x:v>
      </x:c>
    </x:row>
    <x:row r="965" ht="23" customHeight="1">
      <x:c r="A965" s="3" t="str">
        <x:v>CT-0958</x:v>
      </x:c>
      <x:c r="B965" s="3" t="str">
        <x:v>ST-098</x:v>
      </x:c>
      <x:c r="C965" s="3" t="str">
        <x:v>R+AR同收同发</x:v>
      </x:c>
      <x:c r="D965" s="25" t="n">
        <x:v>1</x:v>
      </x:c>
      <x:c r="E965" s="25" t="n">
        <x:v>5</x:v>
      </x:c>
      <x:c r="F965" s="25" t="n">
        <x:v>1</x:v>
      </x:c>
      <x:c r="G965" s="19" t="n">
        <x:f>SUM(D965:F965)</x:f>
        <x:v>7</x:v>
      </x:c>
      <x:c r="H965" s="25" t="n">
        <x:v>2</x:v>
      </x:c>
      <x:c r="I965" s="25" t="n">
        <x:v>1</x:v>
      </x:c>
      <x:c r="J965" s="25" t="n">
        <x:v>0</x:v>
      </x:c>
      <x:c r="K965" s="19" t="n">
        <x:f>D965-IF(H965=0,1,0)</x:f>
        <x:v>1</x:v>
      </x:c>
      <x:c r="L965" s="19" t="n">
        <x:f>E965-IF(H965=1,1,0)</x:f>
        <x:v>5</x:v>
      </x:c>
      <x:c r="M965" s="19" t="n">
        <x:f>F965-IF(H965=2,1,0)</x:f>
        <x:v>0</x:v>
      </x:c>
      <x:c r="N965" s="19" t="n">
        <x:f>MAX(K965-1,0)+MAX(L965-1,0)+MAX(M965-1,0)</x:f>
        <x:v>4</x:v>
      </x:c>
      <x:c r="O965" s="19" t="n">
        <x:f>IF(AND(SUM(K965:M965)&lt;9,OR(M965=0,N965&lt;6)),1,0)</x:f>
        <x:v>1</x:v>
      </x:c>
      <x:c r="P965" s="19" t="n">
        <x:f>IF(AND(SUM(K965:M965)&lt;9,OR(L965=0,N965&lt;6)),1,0)</x:f>
        <x:v>1</x:v>
      </x:c>
      <x:c r="Q965" s="19" t="n">
        <x:f>IF(AND(SUM(K965:M965)&lt;9,OR(K965=0,N965&lt;6)),1,0)</x:f>
        <x:v>1</x:v>
      </x:c>
      <x:c r="R965" s="22" t="str">
        <x:f>O965&amp;P965&amp;Q965</x:f>
        <x:v>111</x:v>
      </x:c>
      <x:c r="S965" s="19" t="n">
        <x:f>IF(I965=1,IF(J965=0,Q965,IF(J965=1,P965,IF(J965=2,O965,0))),0)</x:f>
        <x:v>1</x:v>
      </x:c>
      <x:c r="T965" s="19" t="n">
        <x:f>K965+IF(AND(S965=1,J965=0),1,0)</x:f>
        <x:v>2</x:v>
      </x:c>
      <x:c r="U965" s="19" t="n">
        <x:f>L965+IF(AND(S965=1,J965=1),1,0)</x:f>
        <x:v>5</x:v>
      </x:c>
      <x:c r="V965" s="19" t="n">
        <x:f>M965+IF(AND(S965=1,J965=2),1,0)</x:f>
        <x:v>0</x:v>
      </x:c>
      <x:c r="W965" s="19" t="n">
        <x:f>SUM(T965:V965)</x:f>
        <x:v>7</x:v>
      </x:c>
      <x:c r="X965" s="19" t="n">
        <x:f>W965-G965</x:f>
        <x:v>0</x:v>
      </x:c>
      <x:c r="Y965" s="19" t="n">
        <x:f>MAX(T965,1)+MAX(U965,1)+MAX(V965,1)</x:f>
        <x:v>8</x:v>
      </x:c>
      <x:c r="Z965" s="21" t="str">
        <x:f>IF(AND(MIN(D965:F965)&gt;=0,MAX(D965:F965)&lt;=7,MAX(D965,1)+MAX(E965,1)+MAX(F965,1)&lt;=9,OR(H965="-",AND(H965=0,D965&gt;0),AND(H965=1,E965&gt;0),AND(H965=2,F965&gt;0)),OR(I965=0,AND(I965=1,OR(J965=0,J965=1,J965=2),R965&lt;&gt;"000")),Y965&lt;=9,MIN(T965:V965)&gt;=0),"合法","输入违约")</x:f>
        <x:v>合法</x:v>
      </x:c>
    </x:row>
    <x:row r="966" ht="23" customHeight="1">
      <x:c r="A966" s="3" t="str">
        <x:v>CT-0959</x:v>
      </x:c>
      <x:c r="B966" s="3" t="str">
        <x:v>ST-098</x:v>
      </x:c>
      <x:c r="C966" s="3" t="str">
        <x:v>R+AR同收同发</x:v>
      </x:c>
      <x:c r="D966" s="25" t="n">
        <x:v>1</x:v>
      </x:c>
      <x:c r="E966" s="25" t="n">
        <x:v>5</x:v>
      </x:c>
      <x:c r="F966" s="25" t="n">
        <x:v>1</x:v>
      </x:c>
      <x:c r="G966" s="19" t="n">
        <x:f>SUM(D966:F966)</x:f>
        <x:v>7</x:v>
      </x:c>
      <x:c r="H966" s="25" t="n">
        <x:v>2</x:v>
      </x:c>
      <x:c r="I966" s="25" t="n">
        <x:v>1</x:v>
      </x:c>
      <x:c r="J966" s="25" t="n">
        <x:v>1</x:v>
      </x:c>
      <x:c r="K966" s="19" t="n">
        <x:f>D966-IF(H966=0,1,0)</x:f>
        <x:v>1</x:v>
      </x:c>
      <x:c r="L966" s="19" t="n">
        <x:f>E966-IF(H966=1,1,0)</x:f>
        <x:v>5</x:v>
      </x:c>
      <x:c r="M966" s="19" t="n">
        <x:f>F966-IF(H966=2,1,0)</x:f>
        <x:v>0</x:v>
      </x:c>
      <x:c r="N966" s="19" t="n">
        <x:f>MAX(K966-1,0)+MAX(L966-1,0)+MAX(M966-1,0)</x:f>
        <x:v>4</x:v>
      </x:c>
      <x:c r="O966" s="19" t="n">
        <x:f>IF(AND(SUM(K966:M966)&lt;9,OR(M966=0,N966&lt;6)),1,0)</x:f>
        <x:v>1</x:v>
      </x:c>
      <x:c r="P966" s="19" t="n">
        <x:f>IF(AND(SUM(K966:M966)&lt;9,OR(L966=0,N966&lt;6)),1,0)</x:f>
        <x:v>1</x:v>
      </x:c>
      <x:c r="Q966" s="19" t="n">
        <x:f>IF(AND(SUM(K966:M966)&lt;9,OR(K966=0,N966&lt;6)),1,0)</x:f>
        <x:v>1</x:v>
      </x:c>
      <x:c r="R966" s="22" t="str">
        <x:f>O966&amp;P966&amp;Q966</x:f>
        <x:v>111</x:v>
      </x:c>
      <x:c r="S966" s="19" t="n">
        <x:f>IF(I966=1,IF(J966=0,Q966,IF(J966=1,P966,IF(J966=2,O966,0))),0)</x:f>
        <x:v>1</x:v>
      </x:c>
      <x:c r="T966" s="19" t="n">
        <x:f>K966+IF(AND(S966=1,J966=0),1,0)</x:f>
        <x:v>1</x:v>
      </x:c>
      <x:c r="U966" s="19" t="n">
        <x:f>L966+IF(AND(S966=1,J966=1),1,0)</x:f>
        <x:v>6</x:v>
      </x:c>
      <x:c r="V966" s="19" t="n">
        <x:f>M966+IF(AND(S966=1,J966=2),1,0)</x:f>
        <x:v>0</x:v>
      </x:c>
      <x:c r="W966" s="19" t="n">
        <x:f>SUM(T966:V966)</x:f>
        <x:v>7</x:v>
      </x:c>
      <x:c r="X966" s="19" t="n">
        <x:f>W966-G966</x:f>
        <x:v>0</x:v>
      </x:c>
      <x:c r="Y966" s="19" t="n">
        <x:f>MAX(T966,1)+MAX(U966,1)+MAX(V966,1)</x:f>
        <x:v>8</x:v>
      </x:c>
      <x:c r="Z966" s="21" t="str">
        <x:f>IF(AND(MIN(D966:F966)&gt;=0,MAX(D966:F966)&lt;=7,MAX(D966,1)+MAX(E966,1)+MAX(F966,1)&lt;=9,OR(H966="-",AND(H966=0,D966&gt;0),AND(H966=1,E966&gt;0),AND(H966=2,F966&gt;0)),OR(I966=0,AND(I966=1,OR(J966=0,J966=1,J966=2),R966&lt;&gt;"000")),Y966&lt;=9,MIN(T966:V966)&gt;=0),"合法","输入违约")</x:f>
        <x:v>合法</x:v>
      </x:c>
    </x:row>
    <x:row r="967" ht="23" customHeight="1">
      <x:c r="A967" s="3" t="str">
        <x:v>CT-0960</x:v>
      </x:c>
      <x:c r="B967" s="3" t="str">
        <x:v>ST-098</x:v>
      </x:c>
      <x:c r="C967" s="3" t="str">
        <x:v>R+AR同收同发</x:v>
      </x:c>
      <x:c r="D967" s="25" t="n">
        <x:v>1</x:v>
      </x:c>
      <x:c r="E967" s="25" t="n">
        <x:v>5</x:v>
      </x:c>
      <x:c r="F967" s="25" t="n">
        <x:v>1</x:v>
      </x:c>
      <x:c r="G967" s="19" t="n">
        <x:f>SUM(D967:F967)</x:f>
        <x:v>7</x:v>
      </x:c>
      <x:c r="H967" s="25" t="n">
        <x:v>2</x:v>
      </x:c>
      <x:c r="I967" s="25" t="n">
        <x:v>1</x:v>
      </x:c>
      <x:c r="J967" s="25" t="n">
        <x:v>2</x:v>
      </x:c>
      <x:c r="K967" s="19" t="n">
        <x:f>D967-IF(H967=0,1,0)</x:f>
        <x:v>1</x:v>
      </x:c>
      <x:c r="L967" s="19" t="n">
        <x:f>E967-IF(H967=1,1,0)</x:f>
        <x:v>5</x:v>
      </x:c>
      <x:c r="M967" s="19" t="n">
        <x:f>F967-IF(H967=2,1,0)</x:f>
        <x:v>0</x:v>
      </x:c>
      <x:c r="N967" s="19" t="n">
        <x:f>MAX(K967-1,0)+MAX(L967-1,0)+MAX(M967-1,0)</x:f>
        <x:v>4</x:v>
      </x:c>
      <x:c r="O967" s="19" t="n">
        <x:f>IF(AND(SUM(K967:M967)&lt;9,OR(M967=0,N967&lt;6)),1,0)</x:f>
        <x:v>1</x:v>
      </x:c>
      <x:c r="P967" s="19" t="n">
        <x:f>IF(AND(SUM(K967:M967)&lt;9,OR(L967=0,N967&lt;6)),1,0)</x:f>
        <x:v>1</x:v>
      </x:c>
      <x:c r="Q967" s="19" t="n">
        <x:f>IF(AND(SUM(K967:M967)&lt;9,OR(K967=0,N967&lt;6)),1,0)</x:f>
        <x:v>1</x:v>
      </x:c>
      <x:c r="R967" s="22" t="str">
        <x:f>O967&amp;P967&amp;Q967</x:f>
        <x:v>111</x:v>
      </x:c>
      <x:c r="S967" s="19" t="n">
        <x:f>IF(I967=1,IF(J967=0,Q967,IF(J967=1,P967,IF(J967=2,O967,0))),0)</x:f>
        <x:v>1</x:v>
      </x:c>
      <x:c r="T967" s="19" t="n">
        <x:f>K967+IF(AND(S967=1,J967=0),1,0)</x:f>
        <x:v>1</x:v>
      </x:c>
      <x:c r="U967" s="19" t="n">
        <x:f>L967+IF(AND(S967=1,J967=1),1,0)</x:f>
        <x:v>5</x:v>
      </x:c>
      <x:c r="V967" s="19" t="n">
        <x:f>M967+IF(AND(S967=1,J967=2),1,0)</x:f>
        <x:v>1</x:v>
      </x:c>
      <x:c r="W967" s="19" t="n">
        <x:f>SUM(T967:V967)</x:f>
        <x:v>7</x:v>
      </x:c>
      <x:c r="X967" s="19" t="n">
        <x:f>W967-G967</x:f>
        <x:v>0</x:v>
      </x:c>
      <x:c r="Y967" s="19" t="n">
        <x:f>MAX(T967,1)+MAX(U967,1)+MAX(V967,1)</x:f>
        <x:v>7</x:v>
      </x:c>
      <x:c r="Z967" s="21" t="str">
        <x:f>IF(AND(MIN(D967:F967)&gt;=0,MAX(D967:F967)&lt;=7,MAX(D967,1)+MAX(E967,1)+MAX(F967,1)&lt;=9,OR(H967="-",AND(H967=0,D967&gt;0),AND(H967=1,E967&gt;0),AND(H967=2,F967&gt;0)),OR(I967=0,AND(I967=1,OR(J967=0,J967=1,J967=2),R967&lt;&gt;"000")),Y967&lt;=9,MIN(T967:V967)&gt;=0),"合法","输入违约")</x:f>
        <x:v>合法</x:v>
      </x:c>
    </x:row>
    <x:row r="968" ht="23" customHeight="1">
      <x:c r="A968" s="3" t="str">
        <x:v>CT-0961</x:v>
      </x:c>
      <x:c r="B968" s="3" t="str">
        <x:v>ST-133</x:v>
      </x:c>
      <x:c r="C968" s="3" t="str">
        <x:v>无AR/R</x:v>
      </x:c>
      <x:c r="D968" s="25" t="n">
        <x:v>1</x:v>
      </x:c>
      <x:c r="E968" s="25" t="n">
        <x:v>5</x:v>
      </x:c>
      <x:c r="F968" s="25" t="n">
        <x:v>2</x:v>
      </x:c>
      <x:c r="G968" s="19" t="n">
        <x:f>SUM(D968:F968)</x:f>
        <x:v>8</x:v>
      </x:c>
      <x:c r="H968" s="25" t="str">
        <x:v>-</x:v>
      </x:c>
      <x:c r="I968" s="25" t="n">
        <x:v>0</x:v>
      </x:c>
      <x:c r="J968" s="25" t="str">
        <x:v>-</x:v>
      </x:c>
      <x:c r="K968" s="19" t="n">
        <x:f>D968-IF(H968=0,1,0)</x:f>
        <x:v>1</x:v>
      </x:c>
      <x:c r="L968" s="19" t="n">
        <x:f>E968-IF(H968=1,1,0)</x:f>
        <x:v>5</x:v>
      </x:c>
      <x:c r="M968" s="19" t="n">
        <x:f>F968-IF(H968=2,1,0)</x:f>
        <x:v>2</x:v>
      </x:c>
      <x:c r="N968" s="19" t="n">
        <x:f>MAX(K968-1,0)+MAX(L968-1,0)+MAX(M968-1,0)</x:f>
        <x:v>5</x:v>
      </x:c>
      <x:c r="O968" s="19" t="n">
        <x:f>IF(AND(SUM(K968:M968)&lt;9,OR(M968=0,N968&lt;6)),1,0)</x:f>
        <x:v>1</x:v>
      </x:c>
      <x:c r="P968" s="19" t="n">
        <x:f>IF(AND(SUM(K968:M968)&lt;9,OR(L968=0,N968&lt;6)),1,0)</x:f>
        <x:v>1</x:v>
      </x:c>
      <x:c r="Q968" s="19" t="n">
        <x:f>IF(AND(SUM(K968:M968)&lt;9,OR(K968=0,N968&lt;6)),1,0)</x:f>
        <x:v>1</x:v>
      </x:c>
      <x:c r="R968" s="22" t="str">
        <x:f>O968&amp;P968&amp;Q968</x:f>
        <x:v>111</x:v>
      </x:c>
      <x:c r="S968" s="19" t="n">
        <x:f>IF(I968=1,IF(J968=0,Q968,IF(J968=1,P968,IF(J968=2,O968,0))),0)</x:f>
        <x:v>0</x:v>
      </x:c>
      <x:c r="T968" s="19" t="n">
        <x:f>K968+IF(AND(S968=1,J968=0),1,0)</x:f>
        <x:v>1</x:v>
      </x:c>
      <x:c r="U968" s="19" t="n">
        <x:f>L968+IF(AND(S968=1,J968=1),1,0)</x:f>
        <x:v>5</x:v>
      </x:c>
      <x:c r="V968" s="19" t="n">
        <x:f>M968+IF(AND(S968=1,J968=2),1,0)</x:f>
        <x:v>2</x:v>
      </x:c>
      <x:c r="W968" s="19" t="n">
        <x:f>SUM(T968:V968)</x:f>
        <x:v>8</x:v>
      </x:c>
      <x:c r="X968" s="19" t="n">
        <x:f>W968-G968</x:f>
        <x:v>0</x:v>
      </x:c>
      <x:c r="Y968" s="19" t="n">
        <x:f>MAX(T968,1)+MAX(U968,1)+MAX(V968,1)</x:f>
        <x:v>8</x:v>
      </x:c>
      <x:c r="Z968" s="21" t="str">
        <x:f>IF(AND(MIN(D968:F968)&gt;=0,MAX(D968:F968)&lt;=7,MAX(D968,1)+MAX(E968,1)+MAX(F968,1)&lt;=9,OR(H968="-",AND(H968=0,D968&gt;0),AND(H968=1,E968&gt;0),AND(H968=2,F968&gt;0)),OR(I968=0,AND(I968=1,OR(J968=0,J968=1,J968=2),R968&lt;&gt;"000")),Y968&lt;=9,MIN(T968:V968)&gt;=0),"合法","输入违约")</x:f>
        <x:v>合法</x:v>
      </x:c>
    </x:row>
    <x:row r="969" ht="23" customHeight="1">
      <x:c r="A969" s="3" t="str">
        <x:v>CT-0962</x:v>
      </x:c>
      <x:c r="B969" s="3" t="str">
        <x:v>ST-133</x:v>
      </x:c>
      <x:c r="C969" s="3" t="str">
        <x:v>仅AR接收</x:v>
      </x:c>
      <x:c r="D969" s="25" t="n">
        <x:v>1</x:v>
      </x:c>
      <x:c r="E969" s="25" t="n">
        <x:v>5</x:v>
      </x:c>
      <x:c r="F969" s="25" t="n">
        <x:v>2</x:v>
      </x:c>
      <x:c r="G969" s="19" t="n">
        <x:f>SUM(D969:F969)</x:f>
        <x:v>8</x:v>
      </x:c>
      <x:c r="H969" s="25" t="str">
        <x:v>-</x:v>
      </x:c>
      <x:c r="I969" s="25" t="n">
        <x:v>1</x:v>
      </x:c>
      <x:c r="J969" s="25" t="n">
        <x:v>0</x:v>
      </x:c>
      <x:c r="K969" s="19" t="n">
        <x:f>D969-IF(H969=0,1,0)</x:f>
        <x:v>1</x:v>
      </x:c>
      <x:c r="L969" s="19" t="n">
        <x:f>E969-IF(H969=1,1,0)</x:f>
        <x:v>5</x:v>
      </x:c>
      <x:c r="M969" s="19" t="n">
        <x:f>F969-IF(H969=2,1,0)</x:f>
        <x:v>2</x:v>
      </x:c>
      <x:c r="N969" s="19" t="n">
        <x:f>MAX(K969-1,0)+MAX(L969-1,0)+MAX(M969-1,0)</x:f>
        <x:v>5</x:v>
      </x:c>
      <x:c r="O969" s="19" t="n">
        <x:f>IF(AND(SUM(K969:M969)&lt;9,OR(M969=0,N969&lt;6)),1,0)</x:f>
        <x:v>1</x:v>
      </x:c>
      <x:c r="P969" s="19" t="n">
        <x:f>IF(AND(SUM(K969:M969)&lt;9,OR(L969=0,N969&lt;6)),1,0)</x:f>
        <x:v>1</x:v>
      </x:c>
      <x:c r="Q969" s="19" t="n">
        <x:f>IF(AND(SUM(K969:M969)&lt;9,OR(K969=0,N969&lt;6)),1,0)</x:f>
        <x:v>1</x:v>
      </x:c>
      <x:c r="R969" s="22" t="str">
        <x:f>O969&amp;P969&amp;Q969</x:f>
        <x:v>111</x:v>
      </x:c>
      <x:c r="S969" s="19" t="n">
        <x:f>IF(I969=1,IF(J969=0,Q969,IF(J969=1,P969,IF(J969=2,O969,0))),0)</x:f>
        <x:v>1</x:v>
      </x:c>
      <x:c r="T969" s="19" t="n">
        <x:f>K969+IF(AND(S969=1,J969=0),1,0)</x:f>
        <x:v>2</x:v>
      </x:c>
      <x:c r="U969" s="19" t="n">
        <x:f>L969+IF(AND(S969=1,J969=1),1,0)</x:f>
        <x:v>5</x:v>
      </x:c>
      <x:c r="V969" s="19" t="n">
        <x:f>M969+IF(AND(S969=1,J969=2),1,0)</x:f>
        <x:v>2</x:v>
      </x:c>
      <x:c r="W969" s="19" t="n">
        <x:f>SUM(T969:V969)</x:f>
        <x:v>9</x:v>
      </x:c>
      <x:c r="X969" s="19" t="n">
        <x:f>W969-G969</x:f>
        <x:v>1</x:v>
      </x:c>
      <x:c r="Y969" s="19" t="n">
        <x:f>MAX(T969,1)+MAX(U969,1)+MAX(V969,1)</x:f>
        <x:v>9</x:v>
      </x:c>
      <x:c r="Z969" s="21" t="str">
        <x:f>IF(AND(MIN(D969:F969)&gt;=0,MAX(D969:F969)&lt;=7,MAX(D969,1)+MAX(E969,1)+MAX(F969,1)&lt;=9,OR(H969="-",AND(H969=0,D969&gt;0),AND(H969=1,E969&gt;0),AND(H969=2,F969&gt;0)),OR(I969=0,AND(I969=1,OR(J969=0,J969=1,J969=2),R969&lt;&gt;"000")),Y969&lt;=9,MIN(T969:V969)&gt;=0),"合法","输入违约")</x:f>
        <x:v>合法</x:v>
      </x:c>
    </x:row>
    <x:row r="970" ht="23" customHeight="1">
      <x:c r="A970" s="3" t="str">
        <x:v>CT-0963</x:v>
      </x:c>
      <x:c r="B970" s="3" t="str">
        <x:v>ST-133</x:v>
      </x:c>
      <x:c r="C970" s="3" t="str">
        <x:v>仅AR接收</x:v>
      </x:c>
      <x:c r="D970" s="25" t="n">
        <x:v>1</x:v>
      </x:c>
      <x:c r="E970" s="25" t="n">
        <x:v>5</x:v>
      </x:c>
      <x:c r="F970" s="25" t="n">
        <x:v>2</x:v>
      </x:c>
      <x:c r="G970" s="19" t="n">
        <x:f>SUM(D970:F970)</x:f>
        <x:v>8</x:v>
      </x:c>
      <x:c r="H970" s="25" t="str">
        <x:v>-</x:v>
      </x:c>
      <x:c r="I970" s="25" t="n">
        <x:v>1</x:v>
      </x:c>
      <x:c r="J970" s="25" t="n">
        <x:v>1</x:v>
      </x:c>
      <x:c r="K970" s="19" t="n">
        <x:f>D970-IF(H970=0,1,0)</x:f>
        <x:v>1</x:v>
      </x:c>
      <x:c r="L970" s="19" t="n">
        <x:f>E970-IF(H970=1,1,0)</x:f>
        <x:v>5</x:v>
      </x:c>
      <x:c r="M970" s="19" t="n">
        <x:f>F970-IF(H970=2,1,0)</x:f>
        <x:v>2</x:v>
      </x:c>
      <x:c r="N970" s="19" t="n">
        <x:f>MAX(K970-1,0)+MAX(L970-1,0)+MAX(M970-1,0)</x:f>
        <x:v>5</x:v>
      </x:c>
      <x:c r="O970" s="19" t="n">
        <x:f>IF(AND(SUM(K970:M970)&lt;9,OR(M970=0,N970&lt;6)),1,0)</x:f>
        <x:v>1</x:v>
      </x:c>
      <x:c r="P970" s="19" t="n">
        <x:f>IF(AND(SUM(K970:M970)&lt;9,OR(L970=0,N970&lt;6)),1,0)</x:f>
        <x:v>1</x:v>
      </x:c>
      <x:c r="Q970" s="19" t="n">
        <x:f>IF(AND(SUM(K970:M970)&lt;9,OR(K970=0,N970&lt;6)),1,0)</x:f>
        <x:v>1</x:v>
      </x:c>
      <x:c r="R970" s="22" t="str">
        <x:f>O970&amp;P970&amp;Q970</x:f>
        <x:v>111</x:v>
      </x:c>
      <x:c r="S970" s="19" t="n">
        <x:f>IF(I970=1,IF(J970=0,Q970,IF(J970=1,P970,IF(J970=2,O970,0))),0)</x:f>
        <x:v>1</x:v>
      </x:c>
      <x:c r="T970" s="19" t="n">
        <x:f>K970+IF(AND(S970=1,J970=0),1,0)</x:f>
        <x:v>1</x:v>
      </x:c>
      <x:c r="U970" s="19" t="n">
        <x:f>L970+IF(AND(S970=1,J970=1),1,0)</x:f>
        <x:v>6</x:v>
      </x:c>
      <x:c r="V970" s="19" t="n">
        <x:f>M970+IF(AND(S970=1,J970=2),1,0)</x:f>
        <x:v>2</x:v>
      </x:c>
      <x:c r="W970" s="19" t="n">
        <x:f>SUM(T970:V970)</x:f>
        <x:v>9</x:v>
      </x:c>
      <x:c r="X970" s="19" t="n">
        <x:f>W970-G970</x:f>
        <x:v>1</x:v>
      </x:c>
      <x:c r="Y970" s="19" t="n">
        <x:f>MAX(T970,1)+MAX(U970,1)+MAX(V970,1)</x:f>
        <x:v>9</x:v>
      </x:c>
      <x:c r="Z970" s="21" t="str">
        <x:f>IF(AND(MIN(D970:F970)&gt;=0,MAX(D970:F970)&lt;=7,MAX(D970,1)+MAX(E970,1)+MAX(F970,1)&lt;=9,OR(H970="-",AND(H970=0,D970&gt;0),AND(H970=1,E970&gt;0),AND(H970=2,F970&gt;0)),OR(I970=0,AND(I970=1,OR(J970=0,J970=1,J970=2),R970&lt;&gt;"000")),Y970&lt;=9,MIN(T970:V970)&gt;=0),"合法","输入违约")</x:f>
        <x:v>合法</x:v>
      </x:c>
    </x:row>
    <x:row r="971" ht="23" customHeight="1">
      <x:c r="A971" s="3" t="str">
        <x:v>CT-0964</x:v>
      </x:c>
      <x:c r="B971" s="3" t="str">
        <x:v>ST-133</x:v>
      </x:c>
      <x:c r="C971" s="3" t="str">
        <x:v>仅AR接收</x:v>
      </x:c>
      <x:c r="D971" s="25" t="n">
        <x:v>1</x:v>
      </x:c>
      <x:c r="E971" s="25" t="n">
        <x:v>5</x:v>
      </x:c>
      <x:c r="F971" s="25" t="n">
        <x:v>2</x:v>
      </x:c>
      <x:c r="G971" s="19" t="n">
        <x:f>SUM(D971:F971)</x:f>
        <x:v>8</x:v>
      </x:c>
      <x:c r="H971" s="25" t="str">
        <x:v>-</x:v>
      </x:c>
      <x:c r="I971" s="25" t="n">
        <x:v>1</x:v>
      </x:c>
      <x:c r="J971" s="25" t="n">
        <x:v>2</x:v>
      </x:c>
      <x:c r="K971" s="19" t="n">
        <x:f>D971-IF(H971=0,1,0)</x:f>
        <x:v>1</x:v>
      </x:c>
      <x:c r="L971" s="19" t="n">
        <x:f>E971-IF(H971=1,1,0)</x:f>
        <x:v>5</x:v>
      </x:c>
      <x:c r="M971" s="19" t="n">
        <x:f>F971-IF(H971=2,1,0)</x:f>
        <x:v>2</x:v>
      </x:c>
      <x:c r="N971" s="19" t="n">
        <x:f>MAX(K971-1,0)+MAX(L971-1,0)+MAX(M971-1,0)</x:f>
        <x:v>5</x:v>
      </x:c>
      <x:c r="O971" s="19" t="n">
        <x:f>IF(AND(SUM(K971:M971)&lt;9,OR(M971=0,N971&lt;6)),1,0)</x:f>
        <x:v>1</x:v>
      </x:c>
      <x:c r="P971" s="19" t="n">
        <x:f>IF(AND(SUM(K971:M971)&lt;9,OR(L971=0,N971&lt;6)),1,0)</x:f>
        <x:v>1</x:v>
      </x:c>
      <x:c r="Q971" s="19" t="n">
        <x:f>IF(AND(SUM(K971:M971)&lt;9,OR(K971=0,N971&lt;6)),1,0)</x:f>
        <x:v>1</x:v>
      </x:c>
      <x:c r="R971" s="22" t="str">
        <x:f>O971&amp;P971&amp;Q971</x:f>
        <x:v>111</x:v>
      </x:c>
      <x:c r="S971" s="19" t="n">
        <x:f>IF(I971=1,IF(J971=0,Q971,IF(J971=1,P971,IF(J971=2,O971,0))),0)</x:f>
        <x:v>1</x:v>
      </x:c>
      <x:c r="T971" s="19" t="n">
        <x:f>K971+IF(AND(S971=1,J971=0),1,0)</x:f>
        <x:v>1</x:v>
      </x:c>
      <x:c r="U971" s="19" t="n">
        <x:f>L971+IF(AND(S971=1,J971=1),1,0)</x:f>
        <x:v>5</x:v>
      </x:c>
      <x:c r="V971" s="19" t="n">
        <x:f>M971+IF(AND(S971=1,J971=2),1,0)</x:f>
        <x:v>3</x:v>
      </x:c>
      <x:c r="W971" s="19" t="n">
        <x:f>SUM(T971:V971)</x:f>
        <x:v>9</x:v>
      </x:c>
      <x:c r="X971" s="19" t="n">
        <x:f>W971-G971</x:f>
        <x:v>1</x:v>
      </x:c>
      <x:c r="Y971" s="19" t="n">
        <x:f>MAX(T971,1)+MAX(U971,1)+MAX(V971,1)</x:f>
        <x:v>9</x:v>
      </x:c>
      <x:c r="Z971" s="21" t="str">
        <x:f>IF(AND(MIN(D971:F971)&gt;=0,MAX(D971:F971)&lt;=7,MAX(D971,1)+MAX(E971,1)+MAX(F971,1)&lt;=9,OR(H971="-",AND(H971=0,D971&gt;0),AND(H971=1,E971&gt;0),AND(H971=2,F971&gt;0)),OR(I971=0,AND(I971=1,OR(J971=0,J971=1,J971=2),R971&lt;&gt;"000")),Y971&lt;=9,MIN(T971:V971)&gt;=0),"合法","输入违约")</x:f>
        <x:v>合法</x:v>
      </x:c>
    </x:row>
    <x:row r="972" ht="23" customHeight="1">
      <x:c r="A972" s="3" t="str">
        <x:v>CT-0965</x:v>
      </x:c>
      <x:c r="B972" s="3" t="str">
        <x:v>ST-133</x:v>
      </x:c>
      <x:c r="C972" s="3" t="str">
        <x:v>仅R回收</x:v>
      </x:c>
      <x:c r="D972" s="25" t="n">
        <x:v>1</x:v>
      </x:c>
      <x:c r="E972" s="25" t="n">
        <x:v>5</x:v>
      </x:c>
      <x:c r="F972" s="25" t="n">
        <x:v>2</x:v>
      </x:c>
      <x:c r="G972" s="19" t="n">
        <x:f>SUM(D972:F972)</x:f>
        <x:v>8</x:v>
      </x:c>
      <x:c r="H972" s="25" t="n">
        <x:v>0</x:v>
      </x:c>
      <x:c r="I972" s="25" t="n">
        <x:v>0</x:v>
      </x:c>
      <x:c r="J972" s="25" t="str">
        <x:v>-</x:v>
      </x:c>
      <x:c r="K972" s="19" t="n">
        <x:f>D972-IF(H972=0,1,0)</x:f>
        <x:v>0</x:v>
      </x:c>
      <x:c r="L972" s="19" t="n">
        <x:f>E972-IF(H972=1,1,0)</x:f>
        <x:v>5</x:v>
      </x:c>
      <x:c r="M972" s="19" t="n">
        <x:f>F972-IF(H972=2,1,0)</x:f>
        <x:v>2</x:v>
      </x:c>
      <x:c r="N972" s="19" t="n">
        <x:f>MAX(K972-1,0)+MAX(L972-1,0)+MAX(M972-1,0)</x:f>
        <x:v>5</x:v>
      </x:c>
      <x:c r="O972" s="19" t="n">
        <x:f>IF(AND(SUM(K972:M972)&lt;9,OR(M972=0,N972&lt;6)),1,0)</x:f>
        <x:v>1</x:v>
      </x:c>
      <x:c r="P972" s="19" t="n">
        <x:f>IF(AND(SUM(K972:M972)&lt;9,OR(L972=0,N972&lt;6)),1,0)</x:f>
        <x:v>1</x:v>
      </x:c>
      <x:c r="Q972" s="19" t="n">
        <x:f>IF(AND(SUM(K972:M972)&lt;9,OR(K972=0,N972&lt;6)),1,0)</x:f>
        <x:v>1</x:v>
      </x:c>
      <x:c r="R972" s="22" t="str">
        <x:f>O972&amp;P972&amp;Q972</x:f>
        <x:v>111</x:v>
      </x:c>
      <x:c r="S972" s="19" t="n">
        <x:f>IF(I972=1,IF(J972=0,Q972,IF(J972=1,P972,IF(J972=2,O972,0))),0)</x:f>
        <x:v>0</x:v>
      </x:c>
      <x:c r="T972" s="19" t="n">
        <x:f>K972+IF(AND(S972=1,J972=0),1,0)</x:f>
        <x:v>0</x:v>
      </x:c>
      <x:c r="U972" s="19" t="n">
        <x:f>L972+IF(AND(S972=1,J972=1),1,0)</x:f>
        <x:v>5</x:v>
      </x:c>
      <x:c r="V972" s="19" t="n">
        <x:f>M972+IF(AND(S972=1,J972=2),1,0)</x:f>
        <x:v>2</x:v>
      </x:c>
      <x:c r="W972" s="19" t="n">
        <x:f>SUM(T972:V972)</x:f>
        <x:v>7</x:v>
      </x:c>
      <x:c r="X972" s="19" t="n">
        <x:f>W972-G972</x:f>
        <x:v>-1</x:v>
      </x:c>
      <x:c r="Y972" s="19" t="n">
        <x:f>MAX(T972,1)+MAX(U972,1)+MAX(V972,1)</x:f>
        <x:v>8</x:v>
      </x:c>
      <x:c r="Z972" s="21" t="str">
        <x:f>IF(AND(MIN(D972:F972)&gt;=0,MAX(D972:F972)&lt;=7,MAX(D972,1)+MAX(E972,1)+MAX(F972,1)&lt;=9,OR(H972="-",AND(H972=0,D972&gt;0),AND(H972=1,E972&gt;0),AND(H972=2,F972&gt;0)),OR(I972=0,AND(I972=1,OR(J972=0,J972=1,J972=2),R972&lt;&gt;"000")),Y972&lt;=9,MIN(T972:V972)&gt;=0),"合法","输入违约")</x:f>
        <x:v>合法</x:v>
      </x:c>
    </x:row>
    <x:row r="973" ht="23" customHeight="1">
      <x:c r="A973" s="3" t="str">
        <x:v>CT-0966</x:v>
      </x:c>
      <x:c r="B973" s="3" t="str">
        <x:v>ST-133</x:v>
      </x:c>
      <x:c r="C973" s="3" t="str">
        <x:v>R+AR同收同发</x:v>
      </x:c>
      <x:c r="D973" s="25" t="n">
        <x:v>1</x:v>
      </x:c>
      <x:c r="E973" s="25" t="n">
        <x:v>5</x:v>
      </x:c>
      <x:c r="F973" s="25" t="n">
        <x:v>2</x:v>
      </x:c>
      <x:c r="G973" s="19" t="n">
        <x:f>SUM(D973:F973)</x:f>
        <x:v>8</x:v>
      </x:c>
      <x:c r="H973" s="25" t="n">
        <x:v>0</x:v>
      </x:c>
      <x:c r="I973" s="25" t="n">
        <x:v>1</x:v>
      </x:c>
      <x:c r="J973" s="25" t="n">
        <x:v>0</x:v>
      </x:c>
      <x:c r="K973" s="19" t="n">
        <x:f>D973-IF(H973=0,1,0)</x:f>
        <x:v>0</x:v>
      </x:c>
      <x:c r="L973" s="19" t="n">
        <x:f>E973-IF(H973=1,1,0)</x:f>
        <x:v>5</x:v>
      </x:c>
      <x:c r="M973" s="19" t="n">
        <x:f>F973-IF(H973=2,1,0)</x:f>
        <x:v>2</x:v>
      </x:c>
      <x:c r="N973" s="19" t="n">
        <x:f>MAX(K973-1,0)+MAX(L973-1,0)+MAX(M973-1,0)</x:f>
        <x:v>5</x:v>
      </x:c>
      <x:c r="O973" s="19" t="n">
        <x:f>IF(AND(SUM(K973:M973)&lt;9,OR(M973=0,N973&lt;6)),1,0)</x:f>
        <x:v>1</x:v>
      </x:c>
      <x:c r="P973" s="19" t="n">
        <x:f>IF(AND(SUM(K973:M973)&lt;9,OR(L973=0,N973&lt;6)),1,0)</x:f>
        <x:v>1</x:v>
      </x:c>
      <x:c r="Q973" s="19" t="n">
        <x:f>IF(AND(SUM(K973:M973)&lt;9,OR(K973=0,N973&lt;6)),1,0)</x:f>
        <x:v>1</x:v>
      </x:c>
      <x:c r="R973" s="22" t="str">
        <x:f>O973&amp;P973&amp;Q973</x:f>
        <x:v>111</x:v>
      </x:c>
      <x:c r="S973" s="19" t="n">
        <x:f>IF(I973=1,IF(J973=0,Q973,IF(J973=1,P973,IF(J973=2,O973,0))),0)</x:f>
        <x:v>1</x:v>
      </x:c>
      <x:c r="T973" s="19" t="n">
        <x:f>K973+IF(AND(S973=1,J973=0),1,0)</x:f>
        <x:v>1</x:v>
      </x:c>
      <x:c r="U973" s="19" t="n">
        <x:f>L973+IF(AND(S973=1,J973=1),1,0)</x:f>
        <x:v>5</x:v>
      </x:c>
      <x:c r="V973" s="19" t="n">
        <x:f>M973+IF(AND(S973=1,J973=2),1,0)</x:f>
        <x:v>2</x:v>
      </x:c>
      <x:c r="W973" s="19" t="n">
        <x:f>SUM(T973:V973)</x:f>
        <x:v>8</x:v>
      </x:c>
      <x:c r="X973" s="19" t="n">
        <x:f>W973-G973</x:f>
        <x:v>0</x:v>
      </x:c>
      <x:c r="Y973" s="19" t="n">
        <x:f>MAX(T973,1)+MAX(U973,1)+MAX(V973,1)</x:f>
        <x:v>8</x:v>
      </x:c>
      <x:c r="Z973" s="21" t="str">
        <x:f>IF(AND(MIN(D973:F973)&gt;=0,MAX(D973:F973)&lt;=7,MAX(D973,1)+MAX(E973,1)+MAX(F973,1)&lt;=9,OR(H973="-",AND(H973=0,D973&gt;0),AND(H973=1,E973&gt;0),AND(H973=2,F973&gt;0)),OR(I973=0,AND(I973=1,OR(J973=0,J973=1,J973=2),R973&lt;&gt;"000")),Y973&lt;=9,MIN(T973:V973)&gt;=0),"合法","输入违约")</x:f>
        <x:v>合法</x:v>
      </x:c>
    </x:row>
    <x:row r="974" ht="23" customHeight="1">
      <x:c r="A974" s="3" t="str">
        <x:v>CT-0967</x:v>
      </x:c>
      <x:c r="B974" s="3" t="str">
        <x:v>ST-133</x:v>
      </x:c>
      <x:c r="C974" s="3" t="str">
        <x:v>R+AR同收同发</x:v>
      </x:c>
      <x:c r="D974" s="25" t="n">
        <x:v>1</x:v>
      </x:c>
      <x:c r="E974" s="25" t="n">
        <x:v>5</x:v>
      </x:c>
      <x:c r="F974" s="25" t="n">
        <x:v>2</x:v>
      </x:c>
      <x:c r="G974" s="19" t="n">
        <x:f>SUM(D974:F974)</x:f>
        <x:v>8</x:v>
      </x:c>
      <x:c r="H974" s="25" t="n">
        <x:v>0</x:v>
      </x:c>
      <x:c r="I974" s="25" t="n">
        <x:v>1</x:v>
      </x:c>
      <x:c r="J974" s="25" t="n">
        <x:v>1</x:v>
      </x:c>
      <x:c r="K974" s="19" t="n">
        <x:f>D974-IF(H974=0,1,0)</x:f>
        <x:v>0</x:v>
      </x:c>
      <x:c r="L974" s="19" t="n">
        <x:f>E974-IF(H974=1,1,0)</x:f>
        <x:v>5</x:v>
      </x:c>
      <x:c r="M974" s="19" t="n">
        <x:f>F974-IF(H974=2,1,0)</x:f>
        <x:v>2</x:v>
      </x:c>
      <x:c r="N974" s="19" t="n">
        <x:f>MAX(K974-1,0)+MAX(L974-1,0)+MAX(M974-1,0)</x:f>
        <x:v>5</x:v>
      </x:c>
      <x:c r="O974" s="19" t="n">
        <x:f>IF(AND(SUM(K974:M974)&lt;9,OR(M974=0,N974&lt;6)),1,0)</x:f>
        <x:v>1</x:v>
      </x:c>
      <x:c r="P974" s="19" t="n">
        <x:f>IF(AND(SUM(K974:M974)&lt;9,OR(L974=0,N974&lt;6)),1,0)</x:f>
        <x:v>1</x:v>
      </x:c>
      <x:c r="Q974" s="19" t="n">
        <x:f>IF(AND(SUM(K974:M974)&lt;9,OR(K974=0,N974&lt;6)),1,0)</x:f>
        <x:v>1</x:v>
      </x:c>
      <x:c r="R974" s="22" t="str">
        <x:f>O974&amp;P974&amp;Q974</x:f>
        <x:v>111</x:v>
      </x:c>
      <x:c r="S974" s="19" t="n">
        <x:f>IF(I974=1,IF(J974=0,Q974,IF(J974=1,P974,IF(J974=2,O974,0))),0)</x:f>
        <x:v>1</x:v>
      </x:c>
      <x:c r="T974" s="19" t="n">
        <x:f>K974+IF(AND(S974=1,J974=0),1,0)</x:f>
        <x:v>0</x:v>
      </x:c>
      <x:c r="U974" s="19" t="n">
        <x:f>L974+IF(AND(S974=1,J974=1),1,0)</x:f>
        <x:v>6</x:v>
      </x:c>
      <x:c r="V974" s="19" t="n">
        <x:f>M974+IF(AND(S974=1,J974=2),1,0)</x:f>
        <x:v>2</x:v>
      </x:c>
      <x:c r="W974" s="19" t="n">
        <x:f>SUM(T974:V974)</x:f>
        <x:v>8</x:v>
      </x:c>
      <x:c r="X974" s="19" t="n">
        <x:f>W974-G974</x:f>
        <x:v>0</x:v>
      </x:c>
      <x:c r="Y974" s="19" t="n">
        <x:f>MAX(T974,1)+MAX(U974,1)+MAX(V974,1)</x:f>
        <x:v>9</x:v>
      </x:c>
      <x:c r="Z974" s="21" t="str">
        <x:f>IF(AND(MIN(D974:F974)&gt;=0,MAX(D974:F974)&lt;=7,MAX(D974,1)+MAX(E974,1)+MAX(F974,1)&lt;=9,OR(H974="-",AND(H974=0,D974&gt;0),AND(H974=1,E974&gt;0),AND(H974=2,F974&gt;0)),OR(I974=0,AND(I974=1,OR(J974=0,J974=1,J974=2),R974&lt;&gt;"000")),Y974&lt;=9,MIN(T974:V974)&gt;=0),"合法","输入违约")</x:f>
        <x:v>合法</x:v>
      </x:c>
    </x:row>
    <x:row r="975" ht="23" customHeight="1">
      <x:c r="A975" s="3" t="str">
        <x:v>CT-0968</x:v>
      </x:c>
      <x:c r="B975" s="3" t="str">
        <x:v>ST-133</x:v>
      </x:c>
      <x:c r="C975" s="3" t="str">
        <x:v>R+AR同收同发</x:v>
      </x:c>
      <x:c r="D975" s="25" t="n">
        <x:v>1</x:v>
      </x:c>
      <x:c r="E975" s="25" t="n">
        <x:v>5</x:v>
      </x:c>
      <x:c r="F975" s="25" t="n">
        <x:v>2</x:v>
      </x:c>
      <x:c r="G975" s="19" t="n">
        <x:f>SUM(D975:F975)</x:f>
        <x:v>8</x:v>
      </x:c>
      <x:c r="H975" s="25" t="n">
        <x:v>0</x:v>
      </x:c>
      <x:c r="I975" s="25" t="n">
        <x:v>1</x:v>
      </x:c>
      <x:c r="J975" s="25" t="n">
        <x:v>2</x:v>
      </x:c>
      <x:c r="K975" s="19" t="n">
        <x:f>D975-IF(H975=0,1,0)</x:f>
        <x:v>0</x:v>
      </x:c>
      <x:c r="L975" s="19" t="n">
        <x:f>E975-IF(H975=1,1,0)</x:f>
        <x:v>5</x:v>
      </x:c>
      <x:c r="M975" s="19" t="n">
        <x:f>F975-IF(H975=2,1,0)</x:f>
        <x:v>2</x:v>
      </x:c>
      <x:c r="N975" s="19" t="n">
        <x:f>MAX(K975-1,0)+MAX(L975-1,0)+MAX(M975-1,0)</x:f>
        <x:v>5</x:v>
      </x:c>
      <x:c r="O975" s="19" t="n">
        <x:f>IF(AND(SUM(K975:M975)&lt;9,OR(M975=0,N975&lt;6)),1,0)</x:f>
        <x:v>1</x:v>
      </x:c>
      <x:c r="P975" s="19" t="n">
        <x:f>IF(AND(SUM(K975:M975)&lt;9,OR(L975=0,N975&lt;6)),1,0)</x:f>
        <x:v>1</x:v>
      </x:c>
      <x:c r="Q975" s="19" t="n">
        <x:f>IF(AND(SUM(K975:M975)&lt;9,OR(K975=0,N975&lt;6)),1,0)</x:f>
        <x:v>1</x:v>
      </x:c>
      <x:c r="R975" s="22" t="str">
        <x:f>O975&amp;P975&amp;Q975</x:f>
        <x:v>111</x:v>
      </x:c>
      <x:c r="S975" s="19" t="n">
        <x:f>IF(I975=1,IF(J975=0,Q975,IF(J975=1,P975,IF(J975=2,O975,0))),0)</x:f>
        <x:v>1</x:v>
      </x:c>
      <x:c r="T975" s="19" t="n">
        <x:f>K975+IF(AND(S975=1,J975=0),1,0)</x:f>
        <x:v>0</x:v>
      </x:c>
      <x:c r="U975" s="19" t="n">
        <x:f>L975+IF(AND(S975=1,J975=1),1,0)</x:f>
        <x:v>5</x:v>
      </x:c>
      <x:c r="V975" s="19" t="n">
        <x:f>M975+IF(AND(S975=1,J975=2),1,0)</x:f>
        <x:v>3</x:v>
      </x:c>
      <x:c r="W975" s="19" t="n">
        <x:f>SUM(T975:V975)</x:f>
        <x:v>8</x:v>
      </x:c>
      <x:c r="X975" s="19" t="n">
        <x:f>W975-G975</x:f>
        <x:v>0</x:v>
      </x:c>
      <x:c r="Y975" s="19" t="n">
        <x:f>MAX(T975,1)+MAX(U975,1)+MAX(V975,1)</x:f>
        <x:v>9</x:v>
      </x:c>
      <x:c r="Z975" s="21" t="str">
        <x:f>IF(AND(MIN(D975:F975)&gt;=0,MAX(D975:F975)&lt;=7,MAX(D975,1)+MAX(E975,1)+MAX(F975,1)&lt;=9,OR(H975="-",AND(H975=0,D975&gt;0),AND(H975=1,E975&gt;0),AND(H975=2,F975&gt;0)),OR(I975=0,AND(I975=1,OR(J975=0,J975=1,J975=2),R975&lt;&gt;"000")),Y975&lt;=9,MIN(T975:V975)&gt;=0),"合法","输入违约")</x:f>
        <x:v>合法</x:v>
      </x:c>
    </x:row>
    <x:row r="976" ht="23" customHeight="1">
      <x:c r="A976" s="3" t="str">
        <x:v>CT-0969</x:v>
      </x:c>
      <x:c r="B976" s="3" t="str">
        <x:v>ST-133</x:v>
      </x:c>
      <x:c r="C976" s="3" t="str">
        <x:v>仅R回收</x:v>
      </x:c>
      <x:c r="D976" s="25" t="n">
        <x:v>1</x:v>
      </x:c>
      <x:c r="E976" s="25" t="n">
        <x:v>5</x:v>
      </x:c>
      <x:c r="F976" s="25" t="n">
        <x:v>2</x:v>
      </x:c>
      <x:c r="G976" s="19" t="n">
        <x:f>SUM(D976:F976)</x:f>
        <x:v>8</x:v>
      </x:c>
      <x:c r="H976" s="25" t="n">
        <x:v>1</x:v>
      </x:c>
      <x:c r="I976" s="25" t="n">
        <x:v>0</x:v>
      </x:c>
      <x:c r="J976" s="25" t="str">
        <x:v>-</x:v>
      </x:c>
      <x:c r="K976" s="19" t="n">
        <x:f>D976-IF(H976=0,1,0)</x:f>
        <x:v>1</x:v>
      </x:c>
      <x:c r="L976" s="19" t="n">
        <x:f>E976-IF(H976=1,1,0)</x:f>
        <x:v>4</x:v>
      </x:c>
      <x:c r="M976" s="19" t="n">
        <x:f>F976-IF(H976=2,1,0)</x:f>
        <x:v>2</x:v>
      </x:c>
      <x:c r="N976" s="19" t="n">
        <x:f>MAX(K976-1,0)+MAX(L976-1,0)+MAX(M976-1,0)</x:f>
        <x:v>4</x:v>
      </x:c>
      <x:c r="O976" s="19" t="n">
        <x:f>IF(AND(SUM(K976:M976)&lt;9,OR(M976=0,N976&lt;6)),1,0)</x:f>
        <x:v>1</x:v>
      </x:c>
      <x:c r="P976" s="19" t="n">
        <x:f>IF(AND(SUM(K976:M976)&lt;9,OR(L976=0,N976&lt;6)),1,0)</x:f>
        <x:v>1</x:v>
      </x:c>
      <x:c r="Q976" s="19" t="n">
        <x:f>IF(AND(SUM(K976:M976)&lt;9,OR(K976=0,N976&lt;6)),1,0)</x:f>
        <x:v>1</x:v>
      </x:c>
      <x:c r="R976" s="22" t="str">
        <x:f>O976&amp;P976&amp;Q976</x:f>
        <x:v>111</x:v>
      </x:c>
      <x:c r="S976" s="19" t="n">
        <x:f>IF(I976=1,IF(J976=0,Q976,IF(J976=1,P976,IF(J976=2,O976,0))),0)</x:f>
        <x:v>0</x:v>
      </x:c>
      <x:c r="T976" s="19" t="n">
        <x:f>K976+IF(AND(S976=1,J976=0),1,0)</x:f>
        <x:v>1</x:v>
      </x:c>
      <x:c r="U976" s="19" t="n">
        <x:f>L976+IF(AND(S976=1,J976=1),1,0)</x:f>
        <x:v>4</x:v>
      </x:c>
      <x:c r="V976" s="19" t="n">
        <x:f>M976+IF(AND(S976=1,J976=2),1,0)</x:f>
        <x:v>2</x:v>
      </x:c>
      <x:c r="W976" s="19" t="n">
        <x:f>SUM(T976:V976)</x:f>
        <x:v>7</x:v>
      </x:c>
      <x:c r="X976" s="19" t="n">
        <x:f>W976-G976</x:f>
        <x:v>-1</x:v>
      </x:c>
      <x:c r="Y976" s="19" t="n">
        <x:f>MAX(T976,1)+MAX(U976,1)+MAX(V976,1)</x:f>
        <x:v>7</x:v>
      </x:c>
      <x:c r="Z976" s="21" t="str">
        <x:f>IF(AND(MIN(D976:F976)&gt;=0,MAX(D976:F976)&lt;=7,MAX(D976,1)+MAX(E976,1)+MAX(F976,1)&lt;=9,OR(H976="-",AND(H976=0,D976&gt;0),AND(H976=1,E976&gt;0),AND(H976=2,F976&gt;0)),OR(I976=0,AND(I976=1,OR(J976=0,J976=1,J976=2),R976&lt;&gt;"000")),Y976&lt;=9,MIN(T976:V976)&gt;=0),"合法","输入违约")</x:f>
        <x:v>合法</x:v>
      </x:c>
    </x:row>
    <x:row r="977" ht="23" customHeight="1">
      <x:c r="A977" s="3" t="str">
        <x:v>CT-0970</x:v>
      </x:c>
      <x:c r="B977" s="3" t="str">
        <x:v>ST-133</x:v>
      </x:c>
      <x:c r="C977" s="3" t="str">
        <x:v>R+AR同收同发</x:v>
      </x:c>
      <x:c r="D977" s="25" t="n">
        <x:v>1</x:v>
      </x:c>
      <x:c r="E977" s="25" t="n">
        <x:v>5</x:v>
      </x:c>
      <x:c r="F977" s="25" t="n">
        <x:v>2</x:v>
      </x:c>
      <x:c r="G977" s="19" t="n">
        <x:f>SUM(D977:F977)</x:f>
        <x:v>8</x:v>
      </x:c>
      <x:c r="H977" s="25" t="n">
        <x:v>1</x:v>
      </x:c>
      <x:c r="I977" s="25" t="n">
        <x:v>1</x:v>
      </x:c>
      <x:c r="J977" s="25" t="n">
        <x:v>0</x:v>
      </x:c>
      <x:c r="K977" s="19" t="n">
        <x:f>D977-IF(H977=0,1,0)</x:f>
        <x:v>1</x:v>
      </x:c>
      <x:c r="L977" s="19" t="n">
        <x:f>E977-IF(H977=1,1,0)</x:f>
        <x:v>4</x:v>
      </x:c>
      <x:c r="M977" s="19" t="n">
        <x:f>F977-IF(H977=2,1,0)</x:f>
        <x:v>2</x:v>
      </x:c>
      <x:c r="N977" s="19" t="n">
        <x:f>MAX(K977-1,0)+MAX(L977-1,0)+MAX(M977-1,0)</x:f>
        <x:v>4</x:v>
      </x:c>
      <x:c r="O977" s="19" t="n">
        <x:f>IF(AND(SUM(K977:M977)&lt;9,OR(M977=0,N977&lt;6)),1,0)</x:f>
        <x:v>1</x:v>
      </x:c>
      <x:c r="P977" s="19" t="n">
        <x:f>IF(AND(SUM(K977:M977)&lt;9,OR(L977=0,N977&lt;6)),1,0)</x:f>
        <x:v>1</x:v>
      </x:c>
      <x:c r="Q977" s="19" t="n">
        <x:f>IF(AND(SUM(K977:M977)&lt;9,OR(K977=0,N977&lt;6)),1,0)</x:f>
        <x:v>1</x:v>
      </x:c>
      <x:c r="R977" s="22" t="str">
        <x:f>O977&amp;P977&amp;Q977</x:f>
        <x:v>111</x:v>
      </x:c>
      <x:c r="S977" s="19" t="n">
        <x:f>IF(I977=1,IF(J977=0,Q977,IF(J977=1,P977,IF(J977=2,O977,0))),0)</x:f>
        <x:v>1</x:v>
      </x:c>
      <x:c r="T977" s="19" t="n">
        <x:f>K977+IF(AND(S977=1,J977=0),1,0)</x:f>
        <x:v>2</x:v>
      </x:c>
      <x:c r="U977" s="19" t="n">
        <x:f>L977+IF(AND(S977=1,J977=1),1,0)</x:f>
        <x:v>4</x:v>
      </x:c>
      <x:c r="V977" s="19" t="n">
        <x:f>M977+IF(AND(S977=1,J977=2),1,0)</x:f>
        <x:v>2</x:v>
      </x:c>
      <x:c r="W977" s="19" t="n">
        <x:f>SUM(T977:V977)</x:f>
        <x:v>8</x:v>
      </x:c>
      <x:c r="X977" s="19" t="n">
        <x:f>W977-G977</x:f>
        <x:v>0</x:v>
      </x:c>
      <x:c r="Y977" s="19" t="n">
        <x:f>MAX(T977,1)+MAX(U977,1)+MAX(V977,1)</x:f>
        <x:v>8</x:v>
      </x:c>
      <x:c r="Z977" s="21" t="str">
        <x:f>IF(AND(MIN(D977:F977)&gt;=0,MAX(D977:F977)&lt;=7,MAX(D977,1)+MAX(E977,1)+MAX(F977,1)&lt;=9,OR(H977="-",AND(H977=0,D977&gt;0),AND(H977=1,E977&gt;0),AND(H977=2,F977&gt;0)),OR(I977=0,AND(I977=1,OR(J977=0,J977=1,J977=2),R977&lt;&gt;"000")),Y977&lt;=9,MIN(T977:V977)&gt;=0),"合法","输入违约")</x:f>
        <x:v>合法</x:v>
      </x:c>
    </x:row>
    <x:row r="978" ht="23" customHeight="1">
      <x:c r="A978" s="3" t="str">
        <x:v>CT-0971</x:v>
      </x:c>
      <x:c r="B978" s="3" t="str">
        <x:v>ST-133</x:v>
      </x:c>
      <x:c r="C978" s="3" t="str">
        <x:v>R+AR同收同发</x:v>
      </x:c>
      <x:c r="D978" s="25" t="n">
        <x:v>1</x:v>
      </x:c>
      <x:c r="E978" s="25" t="n">
        <x:v>5</x:v>
      </x:c>
      <x:c r="F978" s="25" t="n">
        <x:v>2</x:v>
      </x:c>
      <x:c r="G978" s="19" t="n">
        <x:f>SUM(D978:F978)</x:f>
        <x:v>8</x:v>
      </x:c>
      <x:c r="H978" s="25" t="n">
        <x:v>1</x:v>
      </x:c>
      <x:c r="I978" s="25" t="n">
        <x:v>1</x:v>
      </x:c>
      <x:c r="J978" s="25" t="n">
        <x:v>1</x:v>
      </x:c>
      <x:c r="K978" s="19" t="n">
        <x:f>D978-IF(H978=0,1,0)</x:f>
        <x:v>1</x:v>
      </x:c>
      <x:c r="L978" s="19" t="n">
        <x:f>E978-IF(H978=1,1,0)</x:f>
        <x:v>4</x:v>
      </x:c>
      <x:c r="M978" s="19" t="n">
        <x:f>F978-IF(H978=2,1,0)</x:f>
        <x:v>2</x:v>
      </x:c>
      <x:c r="N978" s="19" t="n">
        <x:f>MAX(K978-1,0)+MAX(L978-1,0)+MAX(M978-1,0)</x:f>
        <x:v>4</x:v>
      </x:c>
      <x:c r="O978" s="19" t="n">
        <x:f>IF(AND(SUM(K978:M978)&lt;9,OR(M978=0,N978&lt;6)),1,0)</x:f>
        <x:v>1</x:v>
      </x:c>
      <x:c r="P978" s="19" t="n">
        <x:f>IF(AND(SUM(K978:M978)&lt;9,OR(L978=0,N978&lt;6)),1,0)</x:f>
        <x:v>1</x:v>
      </x:c>
      <x:c r="Q978" s="19" t="n">
        <x:f>IF(AND(SUM(K978:M978)&lt;9,OR(K978=0,N978&lt;6)),1,0)</x:f>
        <x:v>1</x:v>
      </x:c>
      <x:c r="R978" s="22" t="str">
        <x:f>O978&amp;P978&amp;Q978</x:f>
        <x:v>111</x:v>
      </x:c>
      <x:c r="S978" s="19" t="n">
        <x:f>IF(I978=1,IF(J978=0,Q978,IF(J978=1,P978,IF(J978=2,O978,0))),0)</x:f>
        <x:v>1</x:v>
      </x:c>
      <x:c r="T978" s="19" t="n">
        <x:f>K978+IF(AND(S978=1,J978=0),1,0)</x:f>
        <x:v>1</x:v>
      </x:c>
      <x:c r="U978" s="19" t="n">
        <x:f>L978+IF(AND(S978=1,J978=1),1,0)</x:f>
        <x:v>5</x:v>
      </x:c>
      <x:c r="V978" s="19" t="n">
        <x:f>M978+IF(AND(S978=1,J978=2),1,0)</x:f>
        <x:v>2</x:v>
      </x:c>
      <x:c r="W978" s="19" t="n">
        <x:f>SUM(T978:V978)</x:f>
        <x:v>8</x:v>
      </x:c>
      <x:c r="X978" s="19" t="n">
        <x:f>W978-G978</x:f>
        <x:v>0</x:v>
      </x:c>
      <x:c r="Y978" s="19" t="n">
        <x:f>MAX(T978,1)+MAX(U978,1)+MAX(V978,1)</x:f>
        <x:v>8</x:v>
      </x:c>
      <x:c r="Z978" s="21" t="str">
        <x:f>IF(AND(MIN(D978:F978)&gt;=0,MAX(D978:F978)&lt;=7,MAX(D978,1)+MAX(E978,1)+MAX(F978,1)&lt;=9,OR(H978="-",AND(H978=0,D978&gt;0),AND(H978=1,E978&gt;0),AND(H978=2,F978&gt;0)),OR(I978=0,AND(I978=1,OR(J978=0,J978=1,J978=2),R978&lt;&gt;"000")),Y978&lt;=9,MIN(T978:V978)&gt;=0),"合法","输入违约")</x:f>
        <x:v>合法</x:v>
      </x:c>
    </x:row>
    <x:row r="979" ht="23" customHeight="1">
      <x:c r="A979" s="3" t="str">
        <x:v>CT-0972</x:v>
      </x:c>
      <x:c r="B979" s="3" t="str">
        <x:v>ST-133</x:v>
      </x:c>
      <x:c r="C979" s="3" t="str">
        <x:v>R+AR同收同发</x:v>
      </x:c>
      <x:c r="D979" s="25" t="n">
        <x:v>1</x:v>
      </x:c>
      <x:c r="E979" s="25" t="n">
        <x:v>5</x:v>
      </x:c>
      <x:c r="F979" s="25" t="n">
        <x:v>2</x:v>
      </x:c>
      <x:c r="G979" s="19" t="n">
        <x:f>SUM(D979:F979)</x:f>
        <x:v>8</x:v>
      </x:c>
      <x:c r="H979" s="25" t="n">
        <x:v>1</x:v>
      </x:c>
      <x:c r="I979" s="25" t="n">
        <x:v>1</x:v>
      </x:c>
      <x:c r="J979" s="25" t="n">
        <x:v>2</x:v>
      </x:c>
      <x:c r="K979" s="19" t="n">
        <x:f>D979-IF(H979=0,1,0)</x:f>
        <x:v>1</x:v>
      </x:c>
      <x:c r="L979" s="19" t="n">
        <x:f>E979-IF(H979=1,1,0)</x:f>
        <x:v>4</x:v>
      </x:c>
      <x:c r="M979" s="19" t="n">
        <x:f>F979-IF(H979=2,1,0)</x:f>
        <x:v>2</x:v>
      </x:c>
      <x:c r="N979" s="19" t="n">
        <x:f>MAX(K979-1,0)+MAX(L979-1,0)+MAX(M979-1,0)</x:f>
        <x:v>4</x:v>
      </x:c>
      <x:c r="O979" s="19" t="n">
        <x:f>IF(AND(SUM(K979:M979)&lt;9,OR(M979=0,N979&lt;6)),1,0)</x:f>
        <x:v>1</x:v>
      </x:c>
      <x:c r="P979" s="19" t="n">
        <x:f>IF(AND(SUM(K979:M979)&lt;9,OR(L979=0,N979&lt;6)),1,0)</x:f>
        <x:v>1</x:v>
      </x:c>
      <x:c r="Q979" s="19" t="n">
        <x:f>IF(AND(SUM(K979:M979)&lt;9,OR(K979=0,N979&lt;6)),1,0)</x:f>
        <x:v>1</x:v>
      </x:c>
      <x:c r="R979" s="22" t="str">
        <x:f>O979&amp;P979&amp;Q979</x:f>
        <x:v>111</x:v>
      </x:c>
      <x:c r="S979" s="19" t="n">
        <x:f>IF(I979=1,IF(J979=0,Q979,IF(J979=1,P979,IF(J979=2,O979,0))),0)</x:f>
        <x:v>1</x:v>
      </x:c>
      <x:c r="T979" s="19" t="n">
        <x:f>K979+IF(AND(S979=1,J979=0),1,0)</x:f>
        <x:v>1</x:v>
      </x:c>
      <x:c r="U979" s="19" t="n">
        <x:f>L979+IF(AND(S979=1,J979=1),1,0)</x:f>
        <x:v>4</x:v>
      </x:c>
      <x:c r="V979" s="19" t="n">
        <x:f>M979+IF(AND(S979=1,J979=2),1,0)</x:f>
        <x:v>3</x:v>
      </x:c>
      <x:c r="W979" s="19" t="n">
        <x:f>SUM(T979:V979)</x:f>
        <x:v>8</x:v>
      </x:c>
      <x:c r="X979" s="19" t="n">
        <x:f>W979-G979</x:f>
        <x:v>0</x:v>
      </x:c>
      <x:c r="Y979" s="19" t="n">
        <x:f>MAX(T979,1)+MAX(U979,1)+MAX(V979,1)</x:f>
        <x:v>8</x:v>
      </x:c>
      <x:c r="Z979" s="21" t="str">
        <x:f>IF(AND(MIN(D979:F979)&gt;=0,MAX(D979:F979)&lt;=7,MAX(D979,1)+MAX(E979,1)+MAX(F979,1)&lt;=9,OR(H979="-",AND(H979=0,D979&gt;0),AND(H979=1,E979&gt;0),AND(H979=2,F979&gt;0)),OR(I979=0,AND(I979=1,OR(J979=0,J979=1,J979=2),R979&lt;&gt;"000")),Y979&lt;=9,MIN(T979:V979)&gt;=0),"合法","输入违约")</x:f>
        <x:v>合法</x:v>
      </x:c>
    </x:row>
    <x:row r="980" ht="23" customHeight="1">
      <x:c r="A980" s="3" t="str">
        <x:v>CT-0973</x:v>
      </x:c>
      <x:c r="B980" s="3" t="str">
        <x:v>ST-133</x:v>
      </x:c>
      <x:c r="C980" s="3" t="str">
        <x:v>仅R回收</x:v>
      </x:c>
      <x:c r="D980" s="25" t="n">
        <x:v>1</x:v>
      </x:c>
      <x:c r="E980" s="25" t="n">
        <x:v>5</x:v>
      </x:c>
      <x:c r="F980" s="25" t="n">
        <x:v>2</x:v>
      </x:c>
      <x:c r="G980" s="19" t="n">
        <x:f>SUM(D980:F980)</x:f>
        <x:v>8</x:v>
      </x:c>
      <x:c r="H980" s="25" t="n">
        <x:v>2</x:v>
      </x:c>
      <x:c r="I980" s="25" t="n">
        <x:v>0</x:v>
      </x:c>
      <x:c r="J980" s="25" t="str">
        <x:v>-</x:v>
      </x:c>
      <x:c r="K980" s="19" t="n">
        <x:f>D980-IF(H980=0,1,0)</x:f>
        <x:v>1</x:v>
      </x:c>
      <x:c r="L980" s="19" t="n">
        <x:f>E980-IF(H980=1,1,0)</x:f>
        <x:v>5</x:v>
      </x:c>
      <x:c r="M980" s="19" t="n">
        <x:f>F980-IF(H980=2,1,0)</x:f>
        <x:v>1</x:v>
      </x:c>
      <x:c r="N980" s="19" t="n">
        <x:f>MAX(K980-1,0)+MAX(L980-1,0)+MAX(M980-1,0)</x:f>
        <x:v>4</x:v>
      </x:c>
      <x:c r="O980" s="19" t="n">
        <x:f>IF(AND(SUM(K980:M980)&lt;9,OR(M980=0,N980&lt;6)),1,0)</x:f>
        <x:v>1</x:v>
      </x:c>
      <x:c r="P980" s="19" t="n">
        <x:f>IF(AND(SUM(K980:M980)&lt;9,OR(L980=0,N980&lt;6)),1,0)</x:f>
        <x:v>1</x:v>
      </x:c>
      <x:c r="Q980" s="19" t="n">
        <x:f>IF(AND(SUM(K980:M980)&lt;9,OR(K980=0,N980&lt;6)),1,0)</x:f>
        <x:v>1</x:v>
      </x:c>
      <x:c r="R980" s="22" t="str">
        <x:f>O980&amp;P980&amp;Q980</x:f>
        <x:v>111</x:v>
      </x:c>
      <x:c r="S980" s="19" t="n">
        <x:f>IF(I980=1,IF(J980=0,Q980,IF(J980=1,P980,IF(J980=2,O980,0))),0)</x:f>
        <x:v>0</x:v>
      </x:c>
      <x:c r="T980" s="19" t="n">
        <x:f>K980+IF(AND(S980=1,J980=0),1,0)</x:f>
        <x:v>1</x:v>
      </x:c>
      <x:c r="U980" s="19" t="n">
        <x:f>L980+IF(AND(S980=1,J980=1),1,0)</x:f>
        <x:v>5</x:v>
      </x:c>
      <x:c r="V980" s="19" t="n">
        <x:f>M980+IF(AND(S980=1,J980=2),1,0)</x:f>
        <x:v>1</x:v>
      </x:c>
      <x:c r="W980" s="19" t="n">
        <x:f>SUM(T980:V980)</x:f>
        <x:v>7</x:v>
      </x:c>
      <x:c r="X980" s="19" t="n">
        <x:f>W980-G980</x:f>
        <x:v>-1</x:v>
      </x:c>
      <x:c r="Y980" s="19" t="n">
        <x:f>MAX(T980,1)+MAX(U980,1)+MAX(V980,1)</x:f>
        <x:v>7</x:v>
      </x:c>
      <x:c r="Z980" s="21" t="str">
        <x:f>IF(AND(MIN(D980:F980)&gt;=0,MAX(D980:F980)&lt;=7,MAX(D980,1)+MAX(E980,1)+MAX(F980,1)&lt;=9,OR(H980="-",AND(H980=0,D980&gt;0),AND(H980=1,E980&gt;0),AND(H980=2,F980&gt;0)),OR(I980=0,AND(I980=1,OR(J980=0,J980=1,J980=2),R980&lt;&gt;"000")),Y980&lt;=9,MIN(T980:V980)&gt;=0),"合法","输入违约")</x:f>
        <x:v>合法</x:v>
      </x:c>
    </x:row>
    <x:row r="981" ht="23" customHeight="1">
      <x:c r="A981" s="3" t="str">
        <x:v>CT-0974</x:v>
      </x:c>
      <x:c r="B981" s="3" t="str">
        <x:v>ST-133</x:v>
      </x:c>
      <x:c r="C981" s="3" t="str">
        <x:v>R+AR同收同发</x:v>
      </x:c>
      <x:c r="D981" s="25" t="n">
        <x:v>1</x:v>
      </x:c>
      <x:c r="E981" s="25" t="n">
        <x:v>5</x:v>
      </x:c>
      <x:c r="F981" s="25" t="n">
        <x:v>2</x:v>
      </x:c>
      <x:c r="G981" s="19" t="n">
        <x:f>SUM(D981:F981)</x:f>
        <x:v>8</x:v>
      </x:c>
      <x:c r="H981" s="25" t="n">
        <x:v>2</x:v>
      </x:c>
      <x:c r="I981" s="25" t="n">
        <x:v>1</x:v>
      </x:c>
      <x:c r="J981" s="25" t="n">
        <x:v>0</x:v>
      </x:c>
      <x:c r="K981" s="19" t="n">
        <x:f>D981-IF(H981=0,1,0)</x:f>
        <x:v>1</x:v>
      </x:c>
      <x:c r="L981" s="19" t="n">
        <x:f>E981-IF(H981=1,1,0)</x:f>
        <x:v>5</x:v>
      </x:c>
      <x:c r="M981" s="19" t="n">
        <x:f>F981-IF(H981=2,1,0)</x:f>
        <x:v>1</x:v>
      </x:c>
      <x:c r="N981" s="19" t="n">
        <x:f>MAX(K981-1,0)+MAX(L981-1,0)+MAX(M981-1,0)</x:f>
        <x:v>4</x:v>
      </x:c>
      <x:c r="O981" s="19" t="n">
        <x:f>IF(AND(SUM(K981:M981)&lt;9,OR(M981=0,N981&lt;6)),1,0)</x:f>
        <x:v>1</x:v>
      </x:c>
      <x:c r="P981" s="19" t="n">
        <x:f>IF(AND(SUM(K981:M981)&lt;9,OR(L981=0,N981&lt;6)),1,0)</x:f>
        <x:v>1</x:v>
      </x:c>
      <x:c r="Q981" s="19" t="n">
        <x:f>IF(AND(SUM(K981:M981)&lt;9,OR(K981=0,N981&lt;6)),1,0)</x:f>
        <x:v>1</x:v>
      </x:c>
      <x:c r="R981" s="22" t="str">
        <x:f>O981&amp;P981&amp;Q981</x:f>
        <x:v>111</x:v>
      </x:c>
      <x:c r="S981" s="19" t="n">
        <x:f>IF(I981=1,IF(J981=0,Q981,IF(J981=1,P981,IF(J981=2,O981,0))),0)</x:f>
        <x:v>1</x:v>
      </x:c>
      <x:c r="T981" s="19" t="n">
        <x:f>K981+IF(AND(S981=1,J981=0),1,0)</x:f>
        <x:v>2</x:v>
      </x:c>
      <x:c r="U981" s="19" t="n">
        <x:f>L981+IF(AND(S981=1,J981=1),1,0)</x:f>
        <x:v>5</x:v>
      </x:c>
      <x:c r="V981" s="19" t="n">
        <x:f>M981+IF(AND(S981=1,J981=2),1,0)</x:f>
        <x:v>1</x:v>
      </x:c>
      <x:c r="W981" s="19" t="n">
        <x:f>SUM(T981:V981)</x:f>
        <x:v>8</x:v>
      </x:c>
      <x:c r="X981" s="19" t="n">
        <x:f>W981-G981</x:f>
        <x:v>0</x:v>
      </x:c>
      <x:c r="Y981" s="19" t="n">
        <x:f>MAX(T981,1)+MAX(U981,1)+MAX(V981,1)</x:f>
        <x:v>8</x:v>
      </x:c>
      <x:c r="Z981" s="21" t="str">
        <x:f>IF(AND(MIN(D981:F981)&gt;=0,MAX(D981:F981)&lt;=7,MAX(D981,1)+MAX(E981,1)+MAX(F981,1)&lt;=9,OR(H981="-",AND(H981=0,D981&gt;0),AND(H981=1,E981&gt;0),AND(H981=2,F981&gt;0)),OR(I981=0,AND(I981=1,OR(J981=0,J981=1,J981=2),R981&lt;&gt;"000")),Y981&lt;=9,MIN(T981:V981)&gt;=0),"合法","输入违约")</x:f>
        <x:v>合法</x:v>
      </x:c>
    </x:row>
    <x:row r="982" ht="23" customHeight="1">
      <x:c r="A982" s="3" t="str">
        <x:v>CT-0975</x:v>
      </x:c>
      <x:c r="B982" s="3" t="str">
        <x:v>ST-133</x:v>
      </x:c>
      <x:c r="C982" s="3" t="str">
        <x:v>R+AR同收同发</x:v>
      </x:c>
      <x:c r="D982" s="25" t="n">
        <x:v>1</x:v>
      </x:c>
      <x:c r="E982" s="25" t="n">
        <x:v>5</x:v>
      </x:c>
      <x:c r="F982" s="25" t="n">
        <x:v>2</x:v>
      </x:c>
      <x:c r="G982" s="19" t="n">
        <x:f>SUM(D982:F982)</x:f>
        <x:v>8</x:v>
      </x:c>
      <x:c r="H982" s="25" t="n">
        <x:v>2</x:v>
      </x:c>
      <x:c r="I982" s="25" t="n">
        <x:v>1</x:v>
      </x:c>
      <x:c r="J982" s="25" t="n">
        <x:v>1</x:v>
      </x:c>
      <x:c r="K982" s="19" t="n">
        <x:f>D982-IF(H982=0,1,0)</x:f>
        <x:v>1</x:v>
      </x:c>
      <x:c r="L982" s="19" t="n">
        <x:f>E982-IF(H982=1,1,0)</x:f>
        <x:v>5</x:v>
      </x:c>
      <x:c r="M982" s="19" t="n">
        <x:f>F982-IF(H982=2,1,0)</x:f>
        <x:v>1</x:v>
      </x:c>
      <x:c r="N982" s="19" t="n">
        <x:f>MAX(K982-1,0)+MAX(L982-1,0)+MAX(M982-1,0)</x:f>
        <x:v>4</x:v>
      </x:c>
      <x:c r="O982" s="19" t="n">
        <x:f>IF(AND(SUM(K982:M982)&lt;9,OR(M982=0,N982&lt;6)),1,0)</x:f>
        <x:v>1</x:v>
      </x:c>
      <x:c r="P982" s="19" t="n">
        <x:f>IF(AND(SUM(K982:M982)&lt;9,OR(L982=0,N982&lt;6)),1,0)</x:f>
        <x:v>1</x:v>
      </x:c>
      <x:c r="Q982" s="19" t="n">
        <x:f>IF(AND(SUM(K982:M982)&lt;9,OR(K982=0,N982&lt;6)),1,0)</x:f>
        <x:v>1</x:v>
      </x:c>
      <x:c r="R982" s="22" t="str">
        <x:f>O982&amp;P982&amp;Q982</x:f>
        <x:v>111</x:v>
      </x:c>
      <x:c r="S982" s="19" t="n">
        <x:f>IF(I982=1,IF(J982=0,Q982,IF(J982=1,P982,IF(J982=2,O982,0))),0)</x:f>
        <x:v>1</x:v>
      </x:c>
      <x:c r="T982" s="19" t="n">
        <x:f>K982+IF(AND(S982=1,J982=0),1,0)</x:f>
        <x:v>1</x:v>
      </x:c>
      <x:c r="U982" s="19" t="n">
        <x:f>L982+IF(AND(S982=1,J982=1),1,0)</x:f>
        <x:v>6</x:v>
      </x:c>
      <x:c r="V982" s="19" t="n">
        <x:f>M982+IF(AND(S982=1,J982=2),1,0)</x:f>
        <x:v>1</x:v>
      </x:c>
      <x:c r="W982" s="19" t="n">
        <x:f>SUM(T982:V982)</x:f>
        <x:v>8</x:v>
      </x:c>
      <x:c r="X982" s="19" t="n">
        <x:f>W982-G982</x:f>
        <x:v>0</x:v>
      </x:c>
      <x:c r="Y982" s="19" t="n">
        <x:f>MAX(T982,1)+MAX(U982,1)+MAX(V982,1)</x:f>
        <x:v>8</x:v>
      </x:c>
      <x:c r="Z982" s="21" t="str">
        <x:f>IF(AND(MIN(D982:F982)&gt;=0,MAX(D982:F982)&lt;=7,MAX(D982,1)+MAX(E982,1)+MAX(F982,1)&lt;=9,OR(H982="-",AND(H982=0,D982&gt;0),AND(H982=1,E982&gt;0),AND(H982=2,F982&gt;0)),OR(I982=0,AND(I982=1,OR(J982=0,J982=1,J982=2),R982&lt;&gt;"000")),Y982&lt;=9,MIN(T982:V982)&gt;=0),"合法","输入违约")</x:f>
        <x:v>合法</x:v>
      </x:c>
    </x:row>
    <x:row r="983" ht="23" customHeight="1">
      <x:c r="A983" s="3" t="str">
        <x:v>CT-0976</x:v>
      </x:c>
      <x:c r="B983" s="3" t="str">
        <x:v>ST-133</x:v>
      </x:c>
      <x:c r="C983" s="3" t="str">
        <x:v>R+AR同收同发</x:v>
      </x:c>
      <x:c r="D983" s="25" t="n">
        <x:v>1</x:v>
      </x:c>
      <x:c r="E983" s="25" t="n">
        <x:v>5</x:v>
      </x:c>
      <x:c r="F983" s="25" t="n">
        <x:v>2</x:v>
      </x:c>
      <x:c r="G983" s="19" t="n">
        <x:f>SUM(D983:F983)</x:f>
        <x:v>8</x:v>
      </x:c>
      <x:c r="H983" s="25" t="n">
        <x:v>2</x:v>
      </x:c>
      <x:c r="I983" s="25" t="n">
        <x:v>1</x:v>
      </x:c>
      <x:c r="J983" s="25" t="n">
        <x:v>2</x:v>
      </x:c>
      <x:c r="K983" s="19" t="n">
        <x:f>D983-IF(H983=0,1,0)</x:f>
        <x:v>1</x:v>
      </x:c>
      <x:c r="L983" s="19" t="n">
        <x:f>E983-IF(H983=1,1,0)</x:f>
        <x:v>5</x:v>
      </x:c>
      <x:c r="M983" s="19" t="n">
        <x:f>F983-IF(H983=2,1,0)</x:f>
        <x:v>1</x:v>
      </x:c>
      <x:c r="N983" s="19" t="n">
        <x:f>MAX(K983-1,0)+MAX(L983-1,0)+MAX(M983-1,0)</x:f>
        <x:v>4</x:v>
      </x:c>
      <x:c r="O983" s="19" t="n">
        <x:f>IF(AND(SUM(K983:M983)&lt;9,OR(M983=0,N983&lt;6)),1,0)</x:f>
        <x:v>1</x:v>
      </x:c>
      <x:c r="P983" s="19" t="n">
        <x:f>IF(AND(SUM(K983:M983)&lt;9,OR(L983=0,N983&lt;6)),1,0)</x:f>
        <x:v>1</x:v>
      </x:c>
      <x:c r="Q983" s="19" t="n">
        <x:f>IF(AND(SUM(K983:M983)&lt;9,OR(K983=0,N983&lt;6)),1,0)</x:f>
        <x:v>1</x:v>
      </x:c>
      <x:c r="R983" s="22" t="str">
        <x:f>O983&amp;P983&amp;Q983</x:f>
        <x:v>111</x:v>
      </x:c>
      <x:c r="S983" s="19" t="n">
        <x:f>IF(I983=1,IF(J983=0,Q983,IF(J983=1,P983,IF(J983=2,O983,0))),0)</x:f>
        <x:v>1</x:v>
      </x:c>
      <x:c r="T983" s="19" t="n">
        <x:f>K983+IF(AND(S983=1,J983=0),1,0)</x:f>
        <x:v>1</x:v>
      </x:c>
      <x:c r="U983" s="19" t="n">
        <x:f>L983+IF(AND(S983=1,J983=1),1,0)</x:f>
        <x:v>5</x:v>
      </x:c>
      <x:c r="V983" s="19" t="n">
        <x:f>M983+IF(AND(S983=1,J983=2),1,0)</x:f>
        <x:v>2</x:v>
      </x:c>
      <x:c r="W983" s="19" t="n">
        <x:f>SUM(T983:V983)</x:f>
        <x:v>8</x:v>
      </x:c>
      <x:c r="X983" s="19" t="n">
        <x:f>W983-G983</x:f>
        <x:v>0</x:v>
      </x:c>
      <x:c r="Y983" s="19" t="n">
        <x:f>MAX(T983,1)+MAX(U983,1)+MAX(V983,1)</x:f>
        <x:v>8</x:v>
      </x:c>
      <x:c r="Z983" s="21" t="str">
        <x:f>IF(AND(MIN(D983:F983)&gt;=0,MAX(D983:F983)&lt;=7,MAX(D983,1)+MAX(E983,1)+MAX(F983,1)&lt;=9,OR(H983="-",AND(H983=0,D983&gt;0),AND(H983=1,E983&gt;0),AND(H983=2,F983&gt;0)),OR(I983=0,AND(I983=1,OR(J983=0,J983=1,J983=2),R983&lt;&gt;"000")),Y983&lt;=9,MIN(T983:V983)&gt;=0),"合法","输入违约")</x:f>
        <x:v>合法</x:v>
      </x:c>
    </x:row>
    <x:row r="984" ht="23" customHeight="1">
      <x:c r="A984" s="3" t="str">
        <x:v>CT-0977</x:v>
      </x:c>
      <x:c r="B984" s="3" t="str">
        <x:v>ST-167</x:v>
      </x:c>
      <x:c r="C984" s="3" t="str">
        <x:v>无AR/R</x:v>
      </x:c>
      <x:c r="D984" s="25" t="n">
        <x:v>1</x:v>
      </x:c>
      <x:c r="E984" s="25" t="n">
        <x:v>5</x:v>
      </x:c>
      <x:c r="F984" s="25" t="n">
        <x:v>3</x:v>
      </x:c>
      <x:c r="G984" s="19" t="n">
        <x:f>SUM(D984:F984)</x:f>
        <x:v>9</x:v>
      </x:c>
      <x:c r="H984" s="25" t="str">
        <x:v>-</x:v>
      </x:c>
      <x:c r="I984" s="25" t="n">
        <x:v>0</x:v>
      </x:c>
      <x:c r="J984" s="25" t="str">
        <x:v>-</x:v>
      </x:c>
      <x:c r="K984" s="19" t="n">
        <x:f>D984-IF(H984=0,1,0)</x:f>
        <x:v>1</x:v>
      </x:c>
      <x:c r="L984" s="19" t="n">
        <x:f>E984-IF(H984=1,1,0)</x:f>
        <x:v>5</x:v>
      </x:c>
      <x:c r="M984" s="19" t="n">
        <x:f>F984-IF(H984=2,1,0)</x:f>
        <x:v>3</x:v>
      </x:c>
      <x:c r="N984" s="19" t="n">
        <x:f>MAX(K984-1,0)+MAX(L984-1,0)+MAX(M984-1,0)</x:f>
        <x:v>6</x:v>
      </x:c>
      <x:c r="O984" s="19" t="n">
        <x:f>IF(AND(SUM(K984:M984)&lt;9,OR(M984=0,N984&lt;6)),1,0)</x:f>
        <x:v>0</x:v>
      </x:c>
      <x:c r="P984" s="19" t="n">
        <x:f>IF(AND(SUM(K984:M984)&lt;9,OR(L984=0,N984&lt;6)),1,0)</x:f>
        <x:v>0</x:v>
      </x:c>
      <x:c r="Q984" s="19" t="n">
        <x:f>IF(AND(SUM(K984:M984)&lt;9,OR(K984=0,N984&lt;6)),1,0)</x:f>
        <x:v>0</x:v>
      </x:c>
      <x:c r="R984" s="22" t="str">
        <x:f>O984&amp;P984&amp;Q984</x:f>
        <x:v>000</x:v>
      </x:c>
      <x:c r="S984" s="19" t="n">
        <x:f>IF(I984=1,IF(J984=0,Q984,IF(J984=1,P984,IF(J984=2,O984,0))),0)</x:f>
        <x:v>0</x:v>
      </x:c>
      <x:c r="T984" s="19" t="n">
        <x:f>K984+IF(AND(S984=1,J984=0),1,0)</x:f>
        <x:v>1</x:v>
      </x:c>
      <x:c r="U984" s="19" t="n">
        <x:f>L984+IF(AND(S984=1,J984=1),1,0)</x:f>
        <x:v>5</x:v>
      </x:c>
      <x:c r="V984" s="19" t="n">
        <x:f>M984+IF(AND(S984=1,J984=2),1,0)</x:f>
        <x:v>3</x:v>
      </x:c>
      <x:c r="W984" s="19" t="n">
        <x:f>SUM(T984:V984)</x:f>
        <x:v>9</x:v>
      </x:c>
      <x:c r="X984" s="19" t="n">
        <x:f>W984-G984</x:f>
        <x:v>0</x:v>
      </x:c>
      <x:c r="Y984" s="19" t="n">
        <x:f>MAX(T984,1)+MAX(U984,1)+MAX(V984,1)</x:f>
        <x:v>9</x:v>
      </x:c>
      <x:c r="Z984" s="21" t="str">
        <x:f>IF(AND(MIN(D984:F984)&gt;=0,MAX(D984:F984)&lt;=7,MAX(D984,1)+MAX(E984,1)+MAX(F984,1)&lt;=9,OR(H984="-",AND(H984=0,D984&gt;0),AND(H984=1,E984&gt;0),AND(H984=2,F984&gt;0)),OR(I984=0,AND(I984=1,OR(J984=0,J984=1,J984=2),R984&lt;&gt;"000")),Y984&lt;=9,MIN(T984:V984)&gt;=0),"合法","输入违约")</x:f>
        <x:v>合法</x:v>
      </x:c>
    </x:row>
    <x:row r="985" ht="23" customHeight="1">
      <x:c r="A985" s="3" t="str">
        <x:v>CT-0978</x:v>
      </x:c>
      <x:c r="B985" s="3" t="str">
        <x:v>ST-167</x:v>
      </x:c>
      <x:c r="C985" s="3" t="str">
        <x:v>仅R回收</x:v>
      </x:c>
      <x:c r="D985" s="25" t="n">
        <x:v>1</x:v>
      </x:c>
      <x:c r="E985" s="25" t="n">
        <x:v>5</x:v>
      </x:c>
      <x:c r="F985" s="25" t="n">
        <x:v>3</x:v>
      </x:c>
      <x:c r="G985" s="19" t="n">
        <x:f>SUM(D985:F985)</x:f>
        <x:v>9</x:v>
      </x:c>
      <x:c r="H985" s="25" t="n">
        <x:v>0</x:v>
      </x:c>
      <x:c r="I985" s="25" t="n">
        <x:v>0</x:v>
      </x:c>
      <x:c r="J985" s="25" t="str">
        <x:v>-</x:v>
      </x:c>
      <x:c r="K985" s="19" t="n">
        <x:f>D985-IF(H985=0,1,0)</x:f>
        <x:v>0</x:v>
      </x:c>
      <x:c r="L985" s="19" t="n">
        <x:f>E985-IF(H985=1,1,0)</x:f>
        <x:v>5</x:v>
      </x:c>
      <x:c r="M985" s="19" t="n">
        <x:f>F985-IF(H985=2,1,0)</x:f>
        <x:v>3</x:v>
      </x:c>
      <x:c r="N985" s="19" t="n">
        <x:f>MAX(K985-1,0)+MAX(L985-1,0)+MAX(M985-1,0)</x:f>
        <x:v>6</x:v>
      </x:c>
      <x:c r="O985" s="19" t="n">
        <x:f>IF(AND(SUM(K985:M985)&lt;9,OR(M985=0,N985&lt;6)),1,0)</x:f>
        <x:v>0</x:v>
      </x:c>
      <x:c r="P985" s="19" t="n">
        <x:f>IF(AND(SUM(K985:M985)&lt;9,OR(L985=0,N985&lt;6)),1,0)</x:f>
        <x:v>0</x:v>
      </x:c>
      <x:c r="Q985" s="19" t="n">
        <x:f>IF(AND(SUM(K985:M985)&lt;9,OR(K985=0,N985&lt;6)),1,0)</x:f>
        <x:v>1</x:v>
      </x:c>
      <x:c r="R985" s="22" t="str">
        <x:f>O985&amp;P985&amp;Q985</x:f>
        <x:v>001</x:v>
      </x:c>
      <x:c r="S985" s="19" t="n">
        <x:f>IF(I985=1,IF(J985=0,Q985,IF(J985=1,P985,IF(J985=2,O985,0))),0)</x:f>
        <x:v>0</x:v>
      </x:c>
      <x:c r="T985" s="19" t="n">
        <x:f>K985+IF(AND(S985=1,J985=0),1,0)</x:f>
        <x:v>0</x:v>
      </x:c>
      <x:c r="U985" s="19" t="n">
        <x:f>L985+IF(AND(S985=1,J985=1),1,0)</x:f>
        <x:v>5</x:v>
      </x:c>
      <x:c r="V985" s="19" t="n">
        <x:f>M985+IF(AND(S985=1,J985=2),1,0)</x:f>
        <x:v>3</x:v>
      </x:c>
      <x:c r="W985" s="19" t="n">
        <x:f>SUM(T985:V985)</x:f>
        <x:v>8</x:v>
      </x:c>
      <x:c r="X985" s="19" t="n">
        <x:f>W985-G985</x:f>
        <x:v>-1</x:v>
      </x:c>
      <x:c r="Y985" s="19" t="n">
        <x:f>MAX(T985,1)+MAX(U985,1)+MAX(V985,1)</x:f>
        <x:v>9</x:v>
      </x:c>
      <x:c r="Z985" s="21" t="str">
        <x:f>IF(AND(MIN(D985:F985)&gt;=0,MAX(D985:F985)&lt;=7,MAX(D985,1)+MAX(E985,1)+MAX(F985,1)&lt;=9,OR(H985="-",AND(H985=0,D985&gt;0),AND(H985=1,E985&gt;0),AND(H985=2,F985&gt;0)),OR(I985=0,AND(I985=1,OR(J985=0,J985=1,J985=2),R985&lt;&gt;"000")),Y985&lt;=9,MIN(T985:V985)&gt;=0),"合法","输入违约")</x:f>
        <x:v>合法</x:v>
      </x:c>
    </x:row>
    <x:row r="986" ht="23" customHeight="1">
      <x:c r="A986" s="3" t="str">
        <x:v>CT-0979</x:v>
      </x:c>
      <x:c r="B986" s="3" t="str">
        <x:v>ST-167</x:v>
      </x:c>
      <x:c r="C986" s="3" t="str">
        <x:v>R+AR同收同发</x:v>
      </x:c>
      <x:c r="D986" s="25" t="n">
        <x:v>1</x:v>
      </x:c>
      <x:c r="E986" s="25" t="n">
        <x:v>5</x:v>
      </x:c>
      <x:c r="F986" s="25" t="n">
        <x:v>3</x:v>
      </x:c>
      <x:c r="G986" s="19" t="n">
        <x:f>SUM(D986:F986)</x:f>
        <x:v>9</x:v>
      </x:c>
      <x:c r="H986" s="25" t="n">
        <x:v>0</x:v>
      </x:c>
      <x:c r="I986" s="25" t="n">
        <x:v>1</x:v>
      </x:c>
      <x:c r="J986" s="25" t="n">
        <x:v>0</x:v>
      </x:c>
      <x:c r="K986" s="19" t="n">
        <x:f>D986-IF(H986=0,1,0)</x:f>
        <x:v>0</x:v>
      </x:c>
      <x:c r="L986" s="19" t="n">
        <x:f>E986-IF(H986=1,1,0)</x:f>
        <x:v>5</x:v>
      </x:c>
      <x:c r="M986" s="19" t="n">
        <x:f>F986-IF(H986=2,1,0)</x:f>
        <x:v>3</x:v>
      </x:c>
      <x:c r="N986" s="19" t="n">
        <x:f>MAX(K986-1,0)+MAX(L986-1,0)+MAX(M986-1,0)</x:f>
        <x:v>6</x:v>
      </x:c>
      <x:c r="O986" s="19" t="n">
        <x:f>IF(AND(SUM(K986:M986)&lt;9,OR(M986=0,N986&lt;6)),1,0)</x:f>
        <x:v>0</x:v>
      </x:c>
      <x:c r="P986" s="19" t="n">
        <x:f>IF(AND(SUM(K986:M986)&lt;9,OR(L986=0,N986&lt;6)),1,0)</x:f>
        <x:v>0</x:v>
      </x:c>
      <x:c r="Q986" s="19" t="n">
        <x:f>IF(AND(SUM(K986:M986)&lt;9,OR(K986=0,N986&lt;6)),1,0)</x:f>
        <x:v>1</x:v>
      </x:c>
      <x:c r="R986" s="22" t="str">
        <x:f>O986&amp;P986&amp;Q986</x:f>
        <x:v>001</x:v>
      </x:c>
      <x:c r="S986" s="19" t="n">
        <x:f>IF(I986=1,IF(J986=0,Q986,IF(J986=1,P986,IF(J986=2,O986,0))),0)</x:f>
        <x:v>1</x:v>
      </x:c>
      <x:c r="T986" s="19" t="n">
        <x:f>K986+IF(AND(S986=1,J986=0),1,0)</x:f>
        <x:v>1</x:v>
      </x:c>
      <x:c r="U986" s="19" t="n">
        <x:f>L986+IF(AND(S986=1,J986=1),1,0)</x:f>
        <x:v>5</x:v>
      </x:c>
      <x:c r="V986" s="19" t="n">
        <x:f>M986+IF(AND(S986=1,J986=2),1,0)</x:f>
        <x:v>3</x:v>
      </x:c>
      <x:c r="W986" s="19" t="n">
        <x:f>SUM(T986:V986)</x:f>
        <x:v>9</x:v>
      </x:c>
      <x:c r="X986" s="19" t="n">
        <x:f>W986-G986</x:f>
        <x:v>0</x:v>
      </x:c>
      <x:c r="Y986" s="19" t="n">
        <x:f>MAX(T986,1)+MAX(U986,1)+MAX(V986,1)</x:f>
        <x:v>9</x:v>
      </x:c>
      <x:c r="Z986" s="21" t="str">
        <x:f>IF(AND(MIN(D986:F986)&gt;=0,MAX(D986:F986)&lt;=7,MAX(D986,1)+MAX(E986,1)+MAX(F986,1)&lt;=9,OR(H986="-",AND(H986=0,D986&gt;0),AND(H986=1,E986&gt;0),AND(H986=2,F986&gt;0)),OR(I986=0,AND(I986=1,OR(J986=0,J986=1,J986=2),R986&lt;&gt;"000")),Y986&lt;=9,MIN(T986:V986)&gt;=0),"合法","输入违约")</x:f>
        <x:v>合法</x:v>
      </x:c>
    </x:row>
    <x:row r="987" ht="23" customHeight="1">
      <x:c r="A987" s="3" t="str">
        <x:v>CT-0980</x:v>
      </x:c>
      <x:c r="B987" s="3" t="str">
        <x:v>ST-167</x:v>
      </x:c>
      <x:c r="C987" s="3" t="str">
        <x:v>仅R回收</x:v>
      </x:c>
      <x:c r="D987" s="25" t="n">
        <x:v>1</x:v>
      </x:c>
      <x:c r="E987" s="25" t="n">
        <x:v>5</x:v>
      </x:c>
      <x:c r="F987" s="25" t="n">
        <x:v>3</x:v>
      </x:c>
      <x:c r="G987" s="19" t="n">
        <x:f>SUM(D987:F987)</x:f>
        <x:v>9</x:v>
      </x:c>
      <x:c r="H987" s="25" t="n">
        <x:v>0</x:v>
      </x:c>
      <x:c r="I987" s="25" t="n">
        <x:v>1</x:v>
      </x:c>
      <x:c r="J987" s="25" t="n">
        <x:v>1</x:v>
      </x:c>
      <x:c r="K987" s="19" t="n">
        <x:f>D987-IF(H987=0,1,0)</x:f>
        <x:v>0</x:v>
      </x:c>
      <x:c r="L987" s="19" t="n">
        <x:f>E987-IF(H987=1,1,0)</x:f>
        <x:v>5</x:v>
      </x:c>
      <x:c r="M987" s="19" t="n">
        <x:f>F987-IF(H987=2,1,0)</x:f>
        <x:v>3</x:v>
      </x:c>
      <x:c r="N987" s="19" t="n">
        <x:f>MAX(K987-1,0)+MAX(L987-1,0)+MAX(M987-1,0)</x:f>
        <x:v>6</x:v>
      </x:c>
      <x:c r="O987" s="19" t="n">
        <x:f>IF(AND(SUM(K987:M987)&lt;9,OR(M987=0,N987&lt;6)),1,0)</x:f>
        <x:v>0</x:v>
      </x:c>
      <x:c r="P987" s="19" t="n">
        <x:f>IF(AND(SUM(K987:M987)&lt;9,OR(L987=0,N987&lt;6)),1,0)</x:f>
        <x:v>0</x:v>
      </x:c>
      <x:c r="Q987" s="19" t="n">
        <x:f>IF(AND(SUM(K987:M987)&lt;9,OR(K987=0,N987&lt;6)),1,0)</x:f>
        <x:v>1</x:v>
      </x:c>
      <x:c r="R987" s="22" t="str">
        <x:f>O987&amp;P987&amp;Q987</x:f>
        <x:v>001</x:v>
      </x:c>
      <x:c r="S987" s="19" t="n">
        <x:f>IF(I987=1,IF(J987=0,Q987,IF(J987=1,P987,IF(J987=2,O987,0))),0)</x:f>
        <x:v>0</x:v>
      </x:c>
      <x:c r="T987" s="19" t="n">
        <x:f>K987+IF(AND(S987=1,J987=0),1,0)</x:f>
        <x:v>0</x:v>
      </x:c>
      <x:c r="U987" s="19" t="n">
        <x:f>L987+IF(AND(S987=1,J987=1),1,0)</x:f>
        <x:v>5</x:v>
      </x:c>
      <x:c r="V987" s="19" t="n">
        <x:f>M987+IF(AND(S987=1,J987=2),1,0)</x:f>
        <x:v>3</x:v>
      </x:c>
      <x:c r="W987" s="19" t="n">
        <x:f>SUM(T987:V987)</x:f>
        <x:v>8</x:v>
      </x:c>
      <x:c r="X987" s="19" t="n">
        <x:f>W987-G987</x:f>
        <x:v>-1</x:v>
      </x:c>
      <x:c r="Y987" s="19" t="n">
        <x:f>MAX(T987,1)+MAX(U987,1)+MAX(V987,1)</x:f>
        <x:v>9</x:v>
      </x:c>
      <x:c r="Z987" s="21" t="str">
        <x:f>IF(AND(MIN(D987:F987)&gt;=0,MAX(D987:F987)&lt;=7,MAX(D987,1)+MAX(E987,1)+MAX(F987,1)&lt;=9,OR(H987="-",AND(H987=0,D987&gt;0),AND(H987=1,E987&gt;0),AND(H987=2,F987&gt;0)),OR(I987=0,AND(I987=1,OR(J987=0,J987=1,J987=2),R987&lt;&gt;"000")),Y987&lt;=9,MIN(T987:V987)&gt;=0),"合法","输入违约")</x:f>
        <x:v>合法</x:v>
      </x:c>
    </x:row>
    <x:row r="988" ht="23" customHeight="1">
      <x:c r="A988" s="3" t="str">
        <x:v>CT-0981</x:v>
      </x:c>
      <x:c r="B988" s="3" t="str">
        <x:v>ST-167</x:v>
      </x:c>
      <x:c r="C988" s="3" t="str">
        <x:v>仅R回收</x:v>
      </x:c>
      <x:c r="D988" s="25" t="n">
        <x:v>1</x:v>
      </x:c>
      <x:c r="E988" s="25" t="n">
        <x:v>5</x:v>
      </x:c>
      <x:c r="F988" s="25" t="n">
        <x:v>3</x:v>
      </x:c>
      <x:c r="G988" s="19" t="n">
        <x:f>SUM(D988:F988)</x:f>
        <x:v>9</x:v>
      </x:c>
      <x:c r="H988" s="25" t="n">
        <x:v>0</x:v>
      </x:c>
      <x:c r="I988" s="25" t="n">
        <x:v>1</x:v>
      </x:c>
      <x:c r="J988" s="25" t="n">
        <x:v>2</x:v>
      </x:c>
      <x:c r="K988" s="19" t="n">
        <x:f>D988-IF(H988=0,1,0)</x:f>
        <x:v>0</x:v>
      </x:c>
      <x:c r="L988" s="19" t="n">
        <x:f>E988-IF(H988=1,1,0)</x:f>
        <x:v>5</x:v>
      </x:c>
      <x:c r="M988" s="19" t="n">
        <x:f>F988-IF(H988=2,1,0)</x:f>
        <x:v>3</x:v>
      </x:c>
      <x:c r="N988" s="19" t="n">
        <x:f>MAX(K988-1,0)+MAX(L988-1,0)+MAX(M988-1,0)</x:f>
        <x:v>6</x:v>
      </x:c>
      <x:c r="O988" s="19" t="n">
        <x:f>IF(AND(SUM(K988:M988)&lt;9,OR(M988=0,N988&lt;6)),1,0)</x:f>
        <x:v>0</x:v>
      </x:c>
      <x:c r="P988" s="19" t="n">
        <x:f>IF(AND(SUM(K988:M988)&lt;9,OR(L988=0,N988&lt;6)),1,0)</x:f>
        <x:v>0</x:v>
      </x:c>
      <x:c r="Q988" s="19" t="n">
        <x:f>IF(AND(SUM(K988:M988)&lt;9,OR(K988=0,N988&lt;6)),1,0)</x:f>
        <x:v>1</x:v>
      </x:c>
      <x:c r="R988" s="22" t="str">
        <x:f>O988&amp;P988&amp;Q988</x:f>
        <x:v>001</x:v>
      </x:c>
      <x:c r="S988" s="19" t="n">
        <x:f>IF(I988=1,IF(J988=0,Q988,IF(J988=1,P988,IF(J988=2,O988,0))),0)</x:f>
        <x:v>0</x:v>
      </x:c>
      <x:c r="T988" s="19" t="n">
        <x:f>K988+IF(AND(S988=1,J988=0),1,0)</x:f>
        <x:v>0</x:v>
      </x:c>
      <x:c r="U988" s="19" t="n">
        <x:f>L988+IF(AND(S988=1,J988=1),1,0)</x:f>
        <x:v>5</x:v>
      </x:c>
      <x:c r="V988" s="19" t="n">
        <x:f>M988+IF(AND(S988=1,J988=2),1,0)</x:f>
        <x:v>3</x:v>
      </x:c>
      <x:c r="W988" s="19" t="n">
        <x:f>SUM(T988:V988)</x:f>
        <x:v>8</x:v>
      </x:c>
      <x:c r="X988" s="19" t="n">
        <x:f>W988-G988</x:f>
        <x:v>-1</x:v>
      </x:c>
      <x:c r="Y988" s="19" t="n">
        <x:f>MAX(T988,1)+MAX(U988,1)+MAX(V988,1)</x:f>
        <x:v>9</x:v>
      </x:c>
      <x:c r="Z988" s="21" t="str">
        <x:f>IF(AND(MIN(D988:F988)&gt;=0,MAX(D988:F988)&lt;=7,MAX(D988,1)+MAX(E988,1)+MAX(F988,1)&lt;=9,OR(H988="-",AND(H988=0,D988&gt;0),AND(H988=1,E988&gt;0),AND(H988=2,F988&gt;0)),OR(I988=0,AND(I988=1,OR(J988=0,J988=1,J988=2),R988&lt;&gt;"000")),Y988&lt;=9,MIN(T988:V988)&gt;=0),"合法","输入违约")</x:f>
        <x:v>合法</x:v>
      </x:c>
    </x:row>
    <x:row r="989" ht="23" customHeight="1">
      <x:c r="A989" s="3" t="str">
        <x:v>CT-0982</x:v>
      </x:c>
      <x:c r="B989" s="3" t="str">
        <x:v>ST-167</x:v>
      </x:c>
      <x:c r="C989" s="3" t="str">
        <x:v>仅R回收</x:v>
      </x:c>
      <x:c r="D989" s="25" t="n">
        <x:v>1</x:v>
      </x:c>
      <x:c r="E989" s="25" t="n">
        <x:v>5</x:v>
      </x:c>
      <x:c r="F989" s="25" t="n">
        <x:v>3</x:v>
      </x:c>
      <x:c r="G989" s="19" t="n">
        <x:f>SUM(D989:F989)</x:f>
        <x:v>9</x:v>
      </x:c>
      <x:c r="H989" s="25" t="n">
        <x:v>1</x:v>
      </x:c>
      <x:c r="I989" s="25" t="n">
        <x:v>0</x:v>
      </x:c>
      <x:c r="J989" s="25" t="str">
        <x:v>-</x:v>
      </x:c>
      <x:c r="K989" s="19" t="n">
        <x:f>D989-IF(H989=0,1,0)</x:f>
        <x:v>1</x:v>
      </x:c>
      <x:c r="L989" s="19" t="n">
        <x:f>E989-IF(H989=1,1,0)</x:f>
        <x:v>4</x:v>
      </x:c>
      <x:c r="M989" s="19" t="n">
        <x:f>F989-IF(H989=2,1,0)</x:f>
        <x:v>3</x:v>
      </x:c>
      <x:c r="N989" s="19" t="n">
        <x:f>MAX(K989-1,0)+MAX(L989-1,0)+MAX(M989-1,0)</x:f>
        <x:v>5</x:v>
      </x:c>
      <x:c r="O989" s="19" t="n">
        <x:f>IF(AND(SUM(K989:M989)&lt;9,OR(M989=0,N989&lt;6)),1,0)</x:f>
        <x:v>1</x:v>
      </x:c>
      <x:c r="P989" s="19" t="n">
        <x:f>IF(AND(SUM(K989:M989)&lt;9,OR(L989=0,N989&lt;6)),1,0)</x:f>
        <x:v>1</x:v>
      </x:c>
      <x:c r="Q989" s="19" t="n">
        <x:f>IF(AND(SUM(K989:M989)&lt;9,OR(K989=0,N989&lt;6)),1,0)</x:f>
        <x:v>1</x:v>
      </x:c>
      <x:c r="R989" s="22" t="str">
        <x:f>O989&amp;P989&amp;Q989</x:f>
        <x:v>111</x:v>
      </x:c>
      <x:c r="S989" s="19" t="n">
        <x:f>IF(I989=1,IF(J989=0,Q989,IF(J989=1,P989,IF(J989=2,O989,0))),0)</x:f>
        <x:v>0</x:v>
      </x:c>
      <x:c r="T989" s="19" t="n">
        <x:f>K989+IF(AND(S989=1,J989=0),1,0)</x:f>
        <x:v>1</x:v>
      </x:c>
      <x:c r="U989" s="19" t="n">
        <x:f>L989+IF(AND(S989=1,J989=1),1,0)</x:f>
        <x:v>4</x:v>
      </x:c>
      <x:c r="V989" s="19" t="n">
        <x:f>M989+IF(AND(S989=1,J989=2),1,0)</x:f>
        <x:v>3</x:v>
      </x:c>
      <x:c r="W989" s="19" t="n">
        <x:f>SUM(T989:V989)</x:f>
        <x:v>8</x:v>
      </x:c>
      <x:c r="X989" s="19" t="n">
        <x:f>W989-G989</x:f>
        <x:v>-1</x:v>
      </x:c>
      <x:c r="Y989" s="19" t="n">
        <x:f>MAX(T989,1)+MAX(U989,1)+MAX(V989,1)</x:f>
        <x:v>8</x:v>
      </x:c>
      <x:c r="Z989" s="21" t="str">
        <x:f>IF(AND(MIN(D989:F989)&gt;=0,MAX(D989:F989)&lt;=7,MAX(D989,1)+MAX(E989,1)+MAX(F989,1)&lt;=9,OR(H989="-",AND(H989=0,D989&gt;0),AND(H989=1,E989&gt;0),AND(H989=2,F989&gt;0)),OR(I989=0,AND(I989=1,OR(J989=0,J989=1,J989=2),R989&lt;&gt;"000")),Y989&lt;=9,MIN(T989:V989)&gt;=0),"合法","输入违约")</x:f>
        <x:v>合法</x:v>
      </x:c>
    </x:row>
    <x:row r="990" ht="23" customHeight="1">
      <x:c r="A990" s="3" t="str">
        <x:v>CT-0983</x:v>
      </x:c>
      <x:c r="B990" s="3" t="str">
        <x:v>ST-167</x:v>
      </x:c>
      <x:c r="C990" s="3" t="str">
        <x:v>R+AR同收同发</x:v>
      </x:c>
      <x:c r="D990" s="25" t="n">
        <x:v>1</x:v>
      </x:c>
      <x:c r="E990" s="25" t="n">
        <x:v>5</x:v>
      </x:c>
      <x:c r="F990" s="25" t="n">
        <x:v>3</x:v>
      </x:c>
      <x:c r="G990" s="19" t="n">
        <x:f>SUM(D990:F990)</x:f>
        <x:v>9</x:v>
      </x:c>
      <x:c r="H990" s="25" t="n">
        <x:v>1</x:v>
      </x:c>
      <x:c r="I990" s="25" t="n">
        <x:v>1</x:v>
      </x:c>
      <x:c r="J990" s="25" t="n">
        <x:v>0</x:v>
      </x:c>
      <x:c r="K990" s="19" t="n">
        <x:f>D990-IF(H990=0,1,0)</x:f>
        <x:v>1</x:v>
      </x:c>
      <x:c r="L990" s="19" t="n">
        <x:f>E990-IF(H990=1,1,0)</x:f>
        <x:v>4</x:v>
      </x:c>
      <x:c r="M990" s="19" t="n">
        <x:f>F990-IF(H990=2,1,0)</x:f>
        <x:v>3</x:v>
      </x:c>
      <x:c r="N990" s="19" t="n">
        <x:f>MAX(K990-1,0)+MAX(L990-1,0)+MAX(M990-1,0)</x:f>
        <x:v>5</x:v>
      </x:c>
      <x:c r="O990" s="19" t="n">
        <x:f>IF(AND(SUM(K990:M990)&lt;9,OR(M990=0,N990&lt;6)),1,0)</x:f>
        <x:v>1</x:v>
      </x:c>
      <x:c r="P990" s="19" t="n">
        <x:f>IF(AND(SUM(K990:M990)&lt;9,OR(L990=0,N990&lt;6)),1,0)</x:f>
        <x:v>1</x:v>
      </x:c>
      <x:c r="Q990" s="19" t="n">
        <x:f>IF(AND(SUM(K990:M990)&lt;9,OR(K990=0,N990&lt;6)),1,0)</x:f>
        <x:v>1</x:v>
      </x:c>
      <x:c r="R990" s="22" t="str">
        <x:f>O990&amp;P990&amp;Q990</x:f>
        <x:v>111</x:v>
      </x:c>
      <x:c r="S990" s="19" t="n">
        <x:f>IF(I990=1,IF(J990=0,Q990,IF(J990=1,P990,IF(J990=2,O990,0))),0)</x:f>
        <x:v>1</x:v>
      </x:c>
      <x:c r="T990" s="19" t="n">
        <x:f>K990+IF(AND(S990=1,J990=0),1,0)</x:f>
        <x:v>2</x:v>
      </x:c>
      <x:c r="U990" s="19" t="n">
        <x:f>L990+IF(AND(S990=1,J990=1),1,0)</x:f>
        <x:v>4</x:v>
      </x:c>
      <x:c r="V990" s="19" t="n">
        <x:f>M990+IF(AND(S990=1,J990=2),1,0)</x:f>
        <x:v>3</x:v>
      </x:c>
      <x:c r="W990" s="19" t="n">
        <x:f>SUM(T990:V990)</x:f>
        <x:v>9</x:v>
      </x:c>
      <x:c r="X990" s="19" t="n">
        <x:f>W990-G990</x:f>
        <x:v>0</x:v>
      </x:c>
      <x:c r="Y990" s="19" t="n">
        <x:f>MAX(T990,1)+MAX(U990,1)+MAX(V990,1)</x:f>
        <x:v>9</x:v>
      </x:c>
      <x:c r="Z990" s="21" t="str">
        <x:f>IF(AND(MIN(D990:F990)&gt;=0,MAX(D990:F990)&lt;=7,MAX(D990,1)+MAX(E990,1)+MAX(F990,1)&lt;=9,OR(H990="-",AND(H990=0,D990&gt;0),AND(H990=1,E990&gt;0),AND(H990=2,F990&gt;0)),OR(I990=0,AND(I990=1,OR(J990=0,J990=1,J990=2),R990&lt;&gt;"000")),Y990&lt;=9,MIN(T990:V990)&gt;=0),"合法","输入违约")</x:f>
        <x:v>合法</x:v>
      </x:c>
    </x:row>
    <x:row r="991" ht="23" customHeight="1">
      <x:c r="A991" s="3" t="str">
        <x:v>CT-0984</x:v>
      </x:c>
      <x:c r="B991" s="3" t="str">
        <x:v>ST-167</x:v>
      </x:c>
      <x:c r="C991" s="3" t="str">
        <x:v>R+AR同收同发</x:v>
      </x:c>
      <x:c r="D991" s="25" t="n">
        <x:v>1</x:v>
      </x:c>
      <x:c r="E991" s="25" t="n">
        <x:v>5</x:v>
      </x:c>
      <x:c r="F991" s="25" t="n">
        <x:v>3</x:v>
      </x:c>
      <x:c r="G991" s="19" t="n">
        <x:f>SUM(D991:F991)</x:f>
        <x:v>9</x:v>
      </x:c>
      <x:c r="H991" s="25" t="n">
        <x:v>1</x:v>
      </x:c>
      <x:c r="I991" s="25" t="n">
        <x:v>1</x:v>
      </x:c>
      <x:c r="J991" s="25" t="n">
        <x:v>1</x:v>
      </x:c>
      <x:c r="K991" s="19" t="n">
        <x:f>D991-IF(H991=0,1,0)</x:f>
        <x:v>1</x:v>
      </x:c>
      <x:c r="L991" s="19" t="n">
        <x:f>E991-IF(H991=1,1,0)</x:f>
        <x:v>4</x:v>
      </x:c>
      <x:c r="M991" s="19" t="n">
        <x:f>F991-IF(H991=2,1,0)</x:f>
        <x:v>3</x:v>
      </x:c>
      <x:c r="N991" s="19" t="n">
        <x:f>MAX(K991-1,0)+MAX(L991-1,0)+MAX(M991-1,0)</x:f>
        <x:v>5</x:v>
      </x:c>
      <x:c r="O991" s="19" t="n">
        <x:f>IF(AND(SUM(K991:M991)&lt;9,OR(M991=0,N991&lt;6)),1,0)</x:f>
        <x:v>1</x:v>
      </x:c>
      <x:c r="P991" s="19" t="n">
        <x:f>IF(AND(SUM(K991:M991)&lt;9,OR(L991=0,N991&lt;6)),1,0)</x:f>
        <x:v>1</x:v>
      </x:c>
      <x:c r="Q991" s="19" t="n">
        <x:f>IF(AND(SUM(K991:M991)&lt;9,OR(K991=0,N991&lt;6)),1,0)</x:f>
        <x:v>1</x:v>
      </x:c>
      <x:c r="R991" s="22" t="str">
        <x:f>O991&amp;P991&amp;Q991</x:f>
        <x:v>111</x:v>
      </x:c>
      <x:c r="S991" s="19" t="n">
        <x:f>IF(I991=1,IF(J991=0,Q991,IF(J991=1,P991,IF(J991=2,O991,0))),0)</x:f>
        <x:v>1</x:v>
      </x:c>
      <x:c r="T991" s="19" t="n">
        <x:f>K991+IF(AND(S991=1,J991=0),1,0)</x:f>
        <x:v>1</x:v>
      </x:c>
      <x:c r="U991" s="19" t="n">
        <x:f>L991+IF(AND(S991=1,J991=1),1,0)</x:f>
        <x:v>5</x:v>
      </x:c>
      <x:c r="V991" s="19" t="n">
        <x:f>M991+IF(AND(S991=1,J991=2),1,0)</x:f>
        <x:v>3</x:v>
      </x:c>
      <x:c r="W991" s="19" t="n">
        <x:f>SUM(T991:V991)</x:f>
        <x:v>9</x:v>
      </x:c>
      <x:c r="X991" s="19" t="n">
        <x:f>W991-G991</x:f>
        <x:v>0</x:v>
      </x:c>
      <x:c r="Y991" s="19" t="n">
        <x:f>MAX(T991,1)+MAX(U991,1)+MAX(V991,1)</x:f>
        <x:v>9</x:v>
      </x:c>
      <x:c r="Z991" s="21" t="str">
        <x:f>IF(AND(MIN(D991:F991)&gt;=0,MAX(D991:F991)&lt;=7,MAX(D991,1)+MAX(E991,1)+MAX(F991,1)&lt;=9,OR(H991="-",AND(H991=0,D991&gt;0),AND(H991=1,E991&gt;0),AND(H991=2,F991&gt;0)),OR(I991=0,AND(I991=1,OR(J991=0,J991=1,J991=2),R991&lt;&gt;"000")),Y991&lt;=9,MIN(T991:V991)&gt;=0),"合法","输入违约")</x:f>
        <x:v>合法</x:v>
      </x:c>
    </x:row>
    <x:row r="992" ht="23" customHeight="1">
      <x:c r="A992" s="3" t="str">
        <x:v>CT-0985</x:v>
      </x:c>
      <x:c r="B992" s="3" t="str">
        <x:v>ST-167</x:v>
      </x:c>
      <x:c r="C992" s="3" t="str">
        <x:v>R+AR同收同发</x:v>
      </x:c>
      <x:c r="D992" s="25" t="n">
        <x:v>1</x:v>
      </x:c>
      <x:c r="E992" s="25" t="n">
        <x:v>5</x:v>
      </x:c>
      <x:c r="F992" s="25" t="n">
        <x:v>3</x:v>
      </x:c>
      <x:c r="G992" s="19" t="n">
        <x:f>SUM(D992:F992)</x:f>
        <x:v>9</x:v>
      </x:c>
      <x:c r="H992" s="25" t="n">
        <x:v>1</x:v>
      </x:c>
      <x:c r="I992" s="25" t="n">
        <x:v>1</x:v>
      </x:c>
      <x:c r="J992" s="25" t="n">
        <x:v>2</x:v>
      </x:c>
      <x:c r="K992" s="19" t="n">
        <x:f>D992-IF(H992=0,1,0)</x:f>
        <x:v>1</x:v>
      </x:c>
      <x:c r="L992" s="19" t="n">
        <x:f>E992-IF(H992=1,1,0)</x:f>
        <x:v>4</x:v>
      </x:c>
      <x:c r="M992" s="19" t="n">
        <x:f>F992-IF(H992=2,1,0)</x:f>
        <x:v>3</x:v>
      </x:c>
      <x:c r="N992" s="19" t="n">
        <x:f>MAX(K992-1,0)+MAX(L992-1,0)+MAX(M992-1,0)</x:f>
        <x:v>5</x:v>
      </x:c>
      <x:c r="O992" s="19" t="n">
        <x:f>IF(AND(SUM(K992:M992)&lt;9,OR(M992=0,N992&lt;6)),1,0)</x:f>
        <x:v>1</x:v>
      </x:c>
      <x:c r="P992" s="19" t="n">
        <x:f>IF(AND(SUM(K992:M992)&lt;9,OR(L992=0,N992&lt;6)),1,0)</x:f>
        <x:v>1</x:v>
      </x:c>
      <x:c r="Q992" s="19" t="n">
        <x:f>IF(AND(SUM(K992:M992)&lt;9,OR(K992=0,N992&lt;6)),1,0)</x:f>
        <x:v>1</x:v>
      </x:c>
      <x:c r="R992" s="22" t="str">
        <x:f>O992&amp;P992&amp;Q992</x:f>
        <x:v>111</x:v>
      </x:c>
      <x:c r="S992" s="19" t="n">
        <x:f>IF(I992=1,IF(J992=0,Q992,IF(J992=1,P992,IF(J992=2,O992,0))),0)</x:f>
        <x:v>1</x:v>
      </x:c>
      <x:c r="T992" s="19" t="n">
        <x:f>K992+IF(AND(S992=1,J992=0),1,0)</x:f>
        <x:v>1</x:v>
      </x:c>
      <x:c r="U992" s="19" t="n">
        <x:f>L992+IF(AND(S992=1,J992=1),1,0)</x:f>
        <x:v>4</x:v>
      </x:c>
      <x:c r="V992" s="19" t="n">
        <x:f>M992+IF(AND(S992=1,J992=2),1,0)</x:f>
        <x:v>4</x:v>
      </x:c>
      <x:c r="W992" s="19" t="n">
        <x:f>SUM(T992:V992)</x:f>
        <x:v>9</x:v>
      </x:c>
      <x:c r="X992" s="19" t="n">
        <x:f>W992-G992</x:f>
        <x:v>0</x:v>
      </x:c>
      <x:c r="Y992" s="19" t="n">
        <x:f>MAX(T992,1)+MAX(U992,1)+MAX(V992,1)</x:f>
        <x:v>9</x:v>
      </x:c>
      <x:c r="Z992" s="21" t="str">
        <x:f>IF(AND(MIN(D992:F992)&gt;=0,MAX(D992:F992)&lt;=7,MAX(D992,1)+MAX(E992,1)+MAX(F992,1)&lt;=9,OR(H992="-",AND(H992=0,D992&gt;0),AND(H992=1,E992&gt;0),AND(H992=2,F992&gt;0)),OR(I992=0,AND(I992=1,OR(J992=0,J992=1,J992=2),R992&lt;&gt;"000")),Y992&lt;=9,MIN(T992:V992)&gt;=0),"合法","输入违约")</x:f>
        <x:v>合法</x:v>
      </x:c>
    </x:row>
    <x:row r="993" ht="23" customHeight="1">
      <x:c r="A993" s="3" t="str">
        <x:v>CT-0986</x:v>
      </x:c>
      <x:c r="B993" s="3" t="str">
        <x:v>ST-167</x:v>
      </x:c>
      <x:c r="C993" s="3" t="str">
        <x:v>仅R回收</x:v>
      </x:c>
      <x:c r="D993" s="25" t="n">
        <x:v>1</x:v>
      </x:c>
      <x:c r="E993" s="25" t="n">
        <x:v>5</x:v>
      </x:c>
      <x:c r="F993" s="25" t="n">
        <x:v>3</x:v>
      </x:c>
      <x:c r="G993" s="19" t="n">
        <x:f>SUM(D993:F993)</x:f>
        <x:v>9</x:v>
      </x:c>
      <x:c r="H993" s="25" t="n">
        <x:v>2</x:v>
      </x:c>
      <x:c r="I993" s="25" t="n">
        <x:v>0</x:v>
      </x:c>
      <x:c r="J993" s="25" t="str">
        <x:v>-</x:v>
      </x:c>
      <x:c r="K993" s="19" t="n">
        <x:f>D993-IF(H993=0,1,0)</x:f>
        <x:v>1</x:v>
      </x:c>
      <x:c r="L993" s="19" t="n">
        <x:f>E993-IF(H993=1,1,0)</x:f>
        <x:v>5</x:v>
      </x:c>
      <x:c r="M993" s="19" t="n">
        <x:f>F993-IF(H993=2,1,0)</x:f>
        <x:v>2</x:v>
      </x:c>
      <x:c r="N993" s="19" t="n">
        <x:f>MAX(K993-1,0)+MAX(L993-1,0)+MAX(M993-1,0)</x:f>
        <x:v>5</x:v>
      </x:c>
      <x:c r="O993" s="19" t="n">
        <x:f>IF(AND(SUM(K993:M993)&lt;9,OR(M993=0,N993&lt;6)),1,0)</x:f>
        <x:v>1</x:v>
      </x:c>
      <x:c r="P993" s="19" t="n">
        <x:f>IF(AND(SUM(K993:M993)&lt;9,OR(L993=0,N993&lt;6)),1,0)</x:f>
        <x:v>1</x:v>
      </x:c>
      <x:c r="Q993" s="19" t="n">
        <x:f>IF(AND(SUM(K993:M993)&lt;9,OR(K993=0,N993&lt;6)),1,0)</x:f>
        <x:v>1</x:v>
      </x:c>
      <x:c r="R993" s="22" t="str">
        <x:f>O993&amp;P993&amp;Q993</x:f>
        <x:v>111</x:v>
      </x:c>
      <x:c r="S993" s="19" t="n">
        <x:f>IF(I993=1,IF(J993=0,Q993,IF(J993=1,P993,IF(J993=2,O993,0))),0)</x:f>
        <x:v>0</x:v>
      </x:c>
      <x:c r="T993" s="19" t="n">
        <x:f>K993+IF(AND(S993=1,J993=0),1,0)</x:f>
        <x:v>1</x:v>
      </x:c>
      <x:c r="U993" s="19" t="n">
        <x:f>L993+IF(AND(S993=1,J993=1),1,0)</x:f>
        <x:v>5</x:v>
      </x:c>
      <x:c r="V993" s="19" t="n">
        <x:f>M993+IF(AND(S993=1,J993=2),1,0)</x:f>
        <x:v>2</x:v>
      </x:c>
      <x:c r="W993" s="19" t="n">
        <x:f>SUM(T993:V993)</x:f>
        <x:v>8</x:v>
      </x:c>
      <x:c r="X993" s="19" t="n">
        <x:f>W993-G993</x:f>
        <x:v>-1</x:v>
      </x:c>
      <x:c r="Y993" s="19" t="n">
        <x:f>MAX(T993,1)+MAX(U993,1)+MAX(V993,1)</x:f>
        <x:v>8</x:v>
      </x:c>
      <x:c r="Z993" s="21" t="str">
        <x:f>IF(AND(MIN(D993:F993)&gt;=0,MAX(D993:F993)&lt;=7,MAX(D993,1)+MAX(E993,1)+MAX(F993,1)&lt;=9,OR(H993="-",AND(H993=0,D993&gt;0),AND(H993=1,E993&gt;0),AND(H993=2,F993&gt;0)),OR(I993=0,AND(I993=1,OR(J993=0,J993=1,J993=2),R993&lt;&gt;"000")),Y993&lt;=9,MIN(T993:V993)&gt;=0),"合法","输入违约")</x:f>
        <x:v>合法</x:v>
      </x:c>
    </x:row>
    <x:row r="994" ht="23" customHeight="1">
      <x:c r="A994" s="3" t="str">
        <x:v>CT-0987</x:v>
      </x:c>
      <x:c r="B994" s="3" t="str">
        <x:v>ST-167</x:v>
      </x:c>
      <x:c r="C994" s="3" t="str">
        <x:v>R+AR同收同发</x:v>
      </x:c>
      <x:c r="D994" s="25" t="n">
        <x:v>1</x:v>
      </x:c>
      <x:c r="E994" s="25" t="n">
        <x:v>5</x:v>
      </x:c>
      <x:c r="F994" s="25" t="n">
        <x:v>3</x:v>
      </x:c>
      <x:c r="G994" s="19" t="n">
        <x:f>SUM(D994:F994)</x:f>
        <x:v>9</x:v>
      </x:c>
      <x:c r="H994" s="25" t="n">
        <x:v>2</x:v>
      </x:c>
      <x:c r="I994" s="25" t="n">
        <x:v>1</x:v>
      </x:c>
      <x:c r="J994" s="25" t="n">
        <x:v>0</x:v>
      </x:c>
      <x:c r="K994" s="19" t="n">
        <x:f>D994-IF(H994=0,1,0)</x:f>
        <x:v>1</x:v>
      </x:c>
      <x:c r="L994" s="19" t="n">
        <x:f>E994-IF(H994=1,1,0)</x:f>
        <x:v>5</x:v>
      </x:c>
      <x:c r="M994" s="19" t="n">
        <x:f>F994-IF(H994=2,1,0)</x:f>
        <x:v>2</x:v>
      </x:c>
      <x:c r="N994" s="19" t="n">
        <x:f>MAX(K994-1,0)+MAX(L994-1,0)+MAX(M994-1,0)</x:f>
        <x:v>5</x:v>
      </x:c>
      <x:c r="O994" s="19" t="n">
        <x:f>IF(AND(SUM(K994:M994)&lt;9,OR(M994=0,N994&lt;6)),1,0)</x:f>
        <x:v>1</x:v>
      </x:c>
      <x:c r="P994" s="19" t="n">
        <x:f>IF(AND(SUM(K994:M994)&lt;9,OR(L994=0,N994&lt;6)),1,0)</x:f>
        <x:v>1</x:v>
      </x:c>
      <x:c r="Q994" s="19" t="n">
        <x:f>IF(AND(SUM(K994:M994)&lt;9,OR(K994=0,N994&lt;6)),1,0)</x:f>
        <x:v>1</x:v>
      </x:c>
      <x:c r="R994" s="22" t="str">
        <x:f>O994&amp;P994&amp;Q994</x:f>
        <x:v>111</x:v>
      </x:c>
      <x:c r="S994" s="19" t="n">
        <x:f>IF(I994=1,IF(J994=0,Q994,IF(J994=1,P994,IF(J994=2,O994,0))),0)</x:f>
        <x:v>1</x:v>
      </x:c>
      <x:c r="T994" s="19" t="n">
        <x:f>K994+IF(AND(S994=1,J994=0),1,0)</x:f>
        <x:v>2</x:v>
      </x:c>
      <x:c r="U994" s="19" t="n">
        <x:f>L994+IF(AND(S994=1,J994=1),1,0)</x:f>
        <x:v>5</x:v>
      </x:c>
      <x:c r="V994" s="19" t="n">
        <x:f>M994+IF(AND(S994=1,J994=2),1,0)</x:f>
        <x:v>2</x:v>
      </x:c>
      <x:c r="W994" s="19" t="n">
        <x:f>SUM(T994:V994)</x:f>
        <x:v>9</x:v>
      </x:c>
      <x:c r="X994" s="19" t="n">
        <x:f>W994-G994</x:f>
        <x:v>0</x:v>
      </x:c>
      <x:c r="Y994" s="19" t="n">
        <x:f>MAX(T994,1)+MAX(U994,1)+MAX(V994,1)</x:f>
        <x:v>9</x:v>
      </x:c>
      <x:c r="Z994" s="21" t="str">
        <x:f>IF(AND(MIN(D994:F994)&gt;=0,MAX(D994:F994)&lt;=7,MAX(D994,1)+MAX(E994,1)+MAX(F994,1)&lt;=9,OR(H994="-",AND(H994=0,D994&gt;0),AND(H994=1,E994&gt;0),AND(H994=2,F994&gt;0)),OR(I994=0,AND(I994=1,OR(J994=0,J994=1,J994=2),R994&lt;&gt;"000")),Y994&lt;=9,MIN(T994:V994)&gt;=0),"合法","输入违约")</x:f>
        <x:v>合法</x:v>
      </x:c>
    </x:row>
    <x:row r="995" ht="23" customHeight="1">
      <x:c r="A995" s="3" t="str">
        <x:v>CT-0988</x:v>
      </x:c>
      <x:c r="B995" s="3" t="str">
        <x:v>ST-167</x:v>
      </x:c>
      <x:c r="C995" s="3" t="str">
        <x:v>R+AR同收同发</x:v>
      </x:c>
      <x:c r="D995" s="25" t="n">
        <x:v>1</x:v>
      </x:c>
      <x:c r="E995" s="25" t="n">
        <x:v>5</x:v>
      </x:c>
      <x:c r="F995" s="25" t="n">
        <x:v>3</x:v>
      </x:c>
      <x:c r="G995" s="19" t="n">
        <x:f>SUM(D995:F995)</x:f>
        <x:v>9</x:v>
      </x:c>
      <x:c r="H995" s="25" t="n">
        <x:v>2</x:v>
      </x:c>
      <x:c r="I995" s="25" t="n">
        <x:v>1</x:v>
      </x:c>
      <x:c r="J995" s="25" t="n">
        <x:v>1</x:v>
      </x:c>
      <x:c r="K995" s="19" t="n">
        <x:f>D995-IF(H995=0,1,0)</x:f>
        <x:v>1</x:v>
      </x:c>
      <x:c r="L995" s="19" t="n">
        <x:f>E995-IF(H995=1,1,0)</x:f>
        <x:v>5</x:v>
      </x:c>
      <x:c r="M995" s="19" t="n">
        <x:f>F995-IF(H995=2,1,0)</x:f>
        <x:v>2</x:v>
      </x:c>
      <x:c r="N995" s="19" t="n">
        <x:f>MAX(K995-1,0)+MAX(L995-1,0)+MAX(M995-1,0)</x:f>
        <x:v>5</x:v>
      </x:c>
      <x:c r="O995" s="19" t="n">
        <x:f>IF(AND(SUM(K995:M995)&lt;9,OR(M995=0,N995&lt;6)),1,0)</x:f>
        <x:v>1</x:v>
      </x:c>
      <x:c r="P995" s="19" t="n">
        <x:f>IF(AND(SUM(K995:M995)&lt;9,OR(L995=0,N995&lt;6)),1,0)</x:f>
        <x:v>1</x:v>
      </x:c>
      <x:c r="Q995" s="19" t="n">
        <x:f>IF(AND(SUM(K995:M995)&lt;9,OR(K995=0,N995&lt;6)),1,0)</x:f>
        <x:v>1</x:v>
      </x:c>
      <x:c r="R995" s="22" t="str">
        <x:f>O995&amp;P995&amp;Q995</x:f>
        <x:v>111</x:v>
      </x:c>
      <x:c r="S995" s="19" t="n">
        <x:f>IF(I995=1,IF(J995=0,Q995,IF(J995=1,P995,IF(J995=2,O995,0))),0)</x:f>
        <x:v>1</x:v>
      </x:c>
      <x:c r="T995" s="19" t="n">
        <x:f>K995+IF(AND(S995=1,J995=0),1,0)</x:f>
        <x:v>1</x:v>
      </x:c>
      <x:c r="U995" s="19" t="n">
        <x:f>L995+IF(AND(S995=1,J995=1),1,0)</x:f>
        <x:v>6</x:v>
      </x:c>
      <x:c r="V995" s="19" t="n">
        <x:f>M995+IF(AND(S995=1,J995=2),1,0)</x:f>
        <x:v>2</x:v>
      </x:c>
      <x:c r="W995" s="19" t="n">
        <x:f>SUM(T995:V995)</x:f>
        <x:v>9</x:v>
      </x:c>
      <x:c r="X995" s="19" t="n">
        <x:f>W995-G995</x:f>
        <x:v>0</x:v>
      </x:c>
      <x:c r="Y995" s="19" t="n">
        <x:f>MAX(T995,1)+MAX(U995,1)+MAX(V995,1)</x:f>
        <x:v>9</x:v>
      </x:c>
      <x:c r="Z995" s="21" t="str">
        <x:f>IF(AND(MIN(D995:F995)&gt;=0,MAX(D995:F995)&lt;=7,MAX(D995,1)+MAX(E995,1)+MAX(F995,1)&lt;=9,OR(H995="-",AND(H995=0,D995&gt;0),AND(H995=1,E995&gt;0),AND(H995=2,F995&gt;0)),OR(I995=0,AND(I995=1,OR(J995=0,J995=1,J995=2),R995&lt;&gt;"000")),Y995&lt;=9,MIN(T995:V995)&gt;=0),"合法","输入违约")</x:f>
        <x:v>合法</x:v>
      </x:c>
    </x:row>
    <x:row r="996" ht="23" customHeight="1">
      <x:c r="A996" s="3" t="str">
        <x:v>CT-0989</x:v>
      </x:c>
      <x:c r="B996" s="3" t="str">
        <x:v>ST-167</x:v>
      </x:c>
      <x:c r="C996" s="3" t="str">
        <x:v>R+AR同收同发</x:v>
      </x:c>
      <x:c r="D996" s="25" t="n">
        <x:v>1</x:v>
      </x:c>
      <x:c r="E996" s="25" t="n">
        <x:v>5</x:v>
      </x:c>
      <x:c r="F996" s="25" t="n">
        <x:v>3</x:v>
      </x:c>
      <x:c r="G996" s="19" t="n">
        <x:f>SUM(D996:F996)</x:f>
        <x:v>9</x:v>
      </x:c>
      <x:c r="H996" s="25" t="n">
        <x:v>2</x:v>
      </x:c>
      <x:c r="I996" s="25" t="n">
        <x:v>1</x:v>
      </x:c>
      <x:c r="J996" s="25" t="n">
        <x:v>2</x:v>
      </x:c>
      <x:c r="K996" s="19" t="n">
        <x:f>D996-IF(H996=0,1,0)</x:f>
        <x:v>1</x:v>
      </x:c>
      <x:c r="L996" s="19" t="n">
        <x:f>E996-IF(H996=1,1,0)</x:f>
        <x:v>5</x:v>
      </x:c>
      <x:c r="M996" s="19" t="n">
        <x:f>F996-IF(H996=2,1,0)</x:f>
        <x:v>2</x:v>
      </x:c>
      <x:c r="N996" s="19" t="n">
        <x:f>MAX(K996-1,0)+MAX(L996-1,0)+MAX(M996-1,0)</x:f>
        <x:v>5</x:v>
      </x:c>
      <x:c r="O996" s="19" t="n">
        <x:f>IF(AND(SUM(K996:M996)&lt;9,OR(M996=0,N996&lt;6)),1,0)</x:f>
        <x:v>1</x:v>
      </x:c>
      <x:c r="P996" s="19" t="n">
        <x:f>IF(AND(SUM(K996:M996)&lt;9,OR(L996=0,N996&lt;6)),1,0)</x:f>
        <x:v>1</x:v>
      </x:c>
      <x:c r="Q996" s="19" t="n">
        <x:f>IF(AND(SUM(K996:M996)&lt;9,OR(K996=0,N996&lt;6)),1,0)</x:f>
        <x:v>1</x:v>
      </x:c>
      <x:c r="R996" s="22" t="str">
        <x:f>O996&amp;P996&amp;Q996</x:f>
        <x:v>111</x:v>
      </x:c>
      <x:c r="S996" s="19" t="n">
        <x:f>IF(I996=1,IF(J996=0,Q996,IF(J996=1,P996,IF(J996=2,O996,0))),0)</x:f>
        <x:v>1</x:v>
      </x:c>
      <x:c r="T996" s="19" t="n">
        <x:f>K996+IF(AND(S996=1,J996=0),1,0)</x:f>
        <x:v>1</x:v>
      </x:c>
      <x:c r="U996" s="19" t="n">
        <x:f>L996+IF(AND(S996=1,J996=1),1,0)</x:f>
        <x:v>5</x:v>
      </x:c>
      <x:c r="V996" s="19" t="n">
        <x:f>M996+IF(AND(S996=1,J996=2),1,0)</x:f>
        <x:v>3</x:v>
      </x:c>
      <x:c r="W996" s="19" t="n">
        <x:f>SUM(T996:V996)</x:f>
        <x:v>9</x:v>
      </x:c>
      <x:c r="X996" s="19" t="n">
        <x:f>W996-G996</x:f>
        <x:v>0</x:v>
      </x:c>
      <x:c r="Y996" s="19" t="n">
        <x:f>MAX(T996,1)+MAX(U996,1)+MAX(V996,1)</x:f>
        <x:v>9</x:v>
      </x:c>
      <x:c r="Z996" s="21" t="str">
        <x:f>IF(AND(MIN(D996:F996)&gt;=0,MAX(D996:F996)&lt;=7,MAX(D996,1)+MAX(E996,1)+MAX(F996,1)&lt;=9,OR(H996="-",AND(H996=0,D996&gt;0),AND(H996=1,E996&gt;0),AND(H996=2,F996&gt;0)),OR(I996=0,AND(I996=1,OR(J996=0,J996=1,J996=2),R996&lt;&gt;"000")),Y996&lt;=9,MIN(T996:V996)&gt;=0),"合法","输入违约")</x:f>
        <x:v>合法</x:v>
      </x:c>
    </x:row>
    <x:row r="997" ht="23" customHeight="1">
      <x:c r="A997" s="3" t="str">
        <x:v>CT-0990</x:v>
      </x:c>
      <x:c r="B997" s="3" t="str">
        <x:v>ST-099</x:v>
      </x:c>
      <x:c r="C997" s="3" t="str">
        <x:v>无AR/R</x:v>
      </x:c>
      <x:c r="D997" s="25" t="n">
        <x:v>1</x:v>
      </x:c>
      <x:c r="E997" s="25" t="n">
        <x:v>6</x:v>
      </x:c>
      <x:c r="F997" s="25" t="n">
        <x:v>0</x:v>
      </x:c>
      <x:c r="G997" s="19" t="n">
        <x:f>SUM(D997:F997)</x:f>
        <x:v>7</x:v>
      </x:c>
      <x:c r="H997" s="25" t="str">
        <x:v>-</x:v>
      </x:c>
      <x:c r="I997" s="25" t="n">
        <x:v>0</x:v>
      </x:c>
      <x:c r="J997" s="25" t="str">
        <x:v>-</x:v>
      </x:c>
      <x:c r="K997" s="19" t="n">
        <x:f>D997-IF(H997=0,1,0)</x:f>
        <x:v>1</x:v>
      </x:c>
      <x:c r="L997" s="19" t="n">
        <x:f>E997-IF(H997=1,1,0)</x:f>
        <x:v>6</x:v>
      </x:c>
      <x:c r="M997" s="19" t="n">
        <x:f>F997-IF(H997=2,1,0)</x:f>
        <x:v>0</x:v>
      </x:c>
      <x:c r="N997" s="19" t="n">
        <x:f>MAX(K997-1,0)+MAX(L997-1,0)+MAX(M997-1,0)</x:f>
        <x:v>5</x:v>
      </x:c>
      <x:c r="O997" s="19" t="n">
        <x:f>IF(AND(SUM(K997:M997)&lt;9,OR(M997=0,N997&lt;6)),1,0)</x:f>
        <x:v>1</x:v>
      </x:c>
      <x:c r="P997" s="19" t="n">
        <x:f>IF(AND(SUM(K997:M997)&lt;9,OR(L997=0,N997&lt;6)),1,0)</x:f>
        <x:v>1</x:v>
      </x:c>
      <x:c r="Q997" s="19" t="n">
        <x:f>IF(AND(SUM(K997:M997)&lt;9,OR(K997=0,N997&lt;6)),1,0)</x:f>
        <x:v>1</x:v>
      </x:c>
      <x:c r="R997" s="22" t="str">
        <x:f>O997&amp;P997&amp;Q997</x:f>
        <x:v>111</x:v>
      </x:c>
      <x:c r="S997" s="19" t="n">
        <x:f>IF(I997=1,IF(J997=0,Q997,IF(J997=1,P997,IF(J997=2,O997,0))),0)</x:f>
        <x:v>0</x:v>
      </x:c>
      <x:c r="T997" s="19" t="n">
        <x:f>K997+IF(AND(S997=1,J997=0),1,0)</x:f>
        <x:v>1</x:v>
      </x:c>
      <x:c r="U997" s="19" t="n">
        <x:f>L997+IF(AND(S997=1,J997=1),1,0)</x:f>
        <x:v>6</x:v>
      </x:c>
      <x:c r="V997" s="19" t="n">
        <x:f>M997+IF(AND(S997=1,J997=2),1,0)</x:f>
        <x:v>0</x:v>
      </x:c>
      <x:c r="W997" s="19" t="n">
        <x:f>SUM(T997:V997)</x:f>
        <x:v>7</x:v>
      </x:c>
      <x:c r="X997" s="19" t="n">
        <x:f>W997-G997</x:f>
        <x:v>0</x:v>
      </x:c>
      <x:c r="Y997" s="19" t="n">
        <x:f>MAX(T997,1)+MAX(U997,1)+MAX(V997,1)</x:f>
        <x:v>8</x:v>
      </x:c>
      <x:c r="Z997" s="21" t="str">
        <x:f>IF(AND(MIN(D997:F997)&gt;=0,MAX(D997:F997)&lt;=7,MAX(D997,1)+MAX(E997,1)+MAX(F997,1)&lt;=9,OR(H997="-",AND(H997=0,D997&gt;0),AND(H997=1,E997&gt;0),AND(H997=2,F997&gt;0)),OR(I997=0,AND(I997=1,OR(J997=0,J997=1,J997=2),R997&lt;&gt;"000")),Y997&lt;=9,MIN(T997:V997)&gt;=0),"合法","输入违约")</x:f>
        <x:v>合法</x:v>
      </x:c>
    </x:row>
    <x:row r="998" ht="23" customHeight="1">
      <x:c r="A998" s="3" t="str">
        <x:v>CT-0991</x:v>
      </x:c>
      <x:c r="B998" s="3" t="str">
        <x:v>ST-099</x:v>
      </x:c>
      <x:c r="C998" s="3" t="str">
        <x:v>仅AR接收</x:v>
      </x:c>
      <x:c r="D998" s="25" t="n">
        <x:v>1</x:v>
      </x:c>
      <x:c r="E998" s="25" t="n">
        <x:v>6</x:v>
      </x:c>
      <x:c r="F998" s="25" t="n">
        <x:v>0</x:v>
      </x:c>
      <x:c r="G998" s="19" t="n">
        <x:f>SUM(D998:F998)</x:f>
        <x:v>7</x:v>
      </x:c>
      <x:c r="H998" s="25" t="str">
        <x:v>-</x:v>
      </x:c>
      <x:c r="I998" s="25" t="n">
        <x:v>1</x:v>
      </x:c>
      <x:c r="J998" s="25" t="n">
        <x:v>0</x:v>
      </x:c>
      <x:c r="K998" s="19" t="n">
        <x:f>D998-IF(H998=0,1,0)</x:f>
        <x:v>1</x:v>
      </x:c>
      <x:c r="L998" s="19" t="n">
        <x:f>E998-IF(H998=1,1,0)</x:f>
        <x:v>6</x:v>
      </x:c>
      <x:c r="M998" s="19" t="n">
        <x:f>F998-IF(H998=2,1,0)</x:f>
        <x:v>0</x:v>
      </x:c>
      <x:c r="N998" s="19" t="n">
        <x:f>MAX(K998-1,0)+MAX(L998-1,0)+MAX(M998-1,0)</x:f>
        <x:v>5</x:v>
      </x:c>
      <x:c r="O998" s="19" t="n">
        <x:f>IF(AND(SUM(K998:M998)&lt;9,OR(M998=0,N998&lt;6)),1,0)</x:f>
        <x:v>1</x:v>
      </x:c>
      <x:c r="P998" s="19" t="n">
        <x:f>IF(AND(SUM(K998:M998)&lt;9,OR(L998=0,N998&lt;6)),1,0)</x:f>
        <x:v>1</x:v>
      </x:c>
      <x:c r="Q998" s="19" t="n">
        <x:f>IF(AND(SUM(K998:M998)&lt;9,OR(K998=0,N998&lt;6)),1,0)</x:f>
        <x:v>1</x:v>
      </x:c>
      <x:c r="R998" s="22" t="str">
        <x:f>O998&amp;P998&amp;Q998</x:f>
        <x:v>111</x:v>
      </x:c>
      <x:c r="S998" s="19" t="n">
        <x:f>IF(I998=1,IF(J998=0,Q998,IF(J998=1,P998,IF(J998=2,O998,0))),0)</x:f>
        <x:v>1</x:v>
      </x:c>
      <x:c r="T998" s="19" t="n">
        <x:f>K998+IF(AND(S998=1,J998=0),1,0)</x:f>
        <x:v>2</x:v>
      </x:c>
      <x:c r="U998" s="19" t="n">
        <x:f>L998+IF(AND(S998=1,J998=1),1,0)</x:f>
        <x:v>6</x:v>
      </x:c>
      <x:c r="V998" s="19" t="n">
        <x:f>M998+IF(AND(S998=1,J998=2),1,0)</x:f>
        <x:v>0</x:v>
      </x:c>
      <x:c r="W998" s="19" t="n">
        <x:f>SUM(T998:V998)</x:f>
        <x:v>8</x:v>
      </x:c>
      <x:c r="X998" s="19" t="n">
        <x:f>W998-G998</x:f>
        <x:v>1</x:v>
      </x:c>
      <x:c r="Y998" s="19" t="n">
        <x:f>MAX(T998,1)+MAX(U998,1)+MAX(V998,1)</x:f>
        <x:v>9</x:v>
      </x:c>
      <x:c r="Z998" s="21" t="str">
        <x:f>IF(AND(MIN(D998:F998)&gt;=0,MAX(D998:F998)&lt;=7,MAX(D998,1)+MAX(E998,1)+MAX(F998,1)&lt;=9,OR(H998="-",AND(H998=0,D998&gt;0),AND(H998=1,E998&gt;0),AND(H998=2,F998&gt;0)),OR(I998=0,AND(I998=1,OR(J998=0,J998=1,J998=2),R998&lt;&gt;"000")),Y998&lt;=9,MIN(T998:V998)&gt;=0),"合法","输入违约")</x:f>
        <x:v>合法</x:v>
      </x:c>
    </x:row>
    <x:row r="999" ht="23" customHeight="1">
      <x:c r="A999" s="3" t="str">
        <x:v>CT-0992</x:v>
      </x:c>
      <x:c r="B999" s="3" t="str">
        <x:v>ST-099</x:v>
      </x:c>
      <x:c r="C999" s="3" t="str">
        <x:v>仅AR接收</x:v>
      </x:c>
      <x:c r="D999" s="25" t="n">
        <x:v>1</x:v>
      </x:c>
      <x:c r="E999" s="25" t="n">
        <x:v>6</x:v>
      </x:c>
      <x:c r="F999" s="25" t="n">
        <x:v>0</x:v>
      </x:c>
      <x:c r="G999" s="19" t="n">
        <x:f>SUM(D999:F999)</x:f>
        <x:v>7</x:v>
      </x:c>
      <x:c r="H999" s="25" t="str">
        <x:v>-</x:v>
      </x:c>
      <x:c r="I999" s="25" t="n">
        <x:v>1</x:v>
      </x:c>
      <x:c r="J999" s="25" t="n">
        <x:v>1</x:v>
      </x:c>
      <x:c r="K999" s="19" t="n">
        <x:f>D999-IF(H999=0,1,0)</x:f>
        <x:v>1</x:v>
      </x:c>
      <x:c r="L999" s="19" t="n">
        <x:f>E999-IF(H999=1,1,0)</x:f>
        <x:v>6</x:v>
      </x:c>
      <x:c r="M999" s="19" t="n">
        <x:f>F999-IF(H999=2,1,0)</x:f>
        <x:v>0</x:v>
      </x:c>
      <x:c r="N999" s="19" t="n">
        <x:f>MAX(K999-1,0)+MAX(L999-1,0)+MAX(M999-1,0)</x:f>
        <x:v>5</x:v>
      </x:c>
      <x:c r="O999" s="19" t="n">
        <x:f>IF(AND(SUM(K999:M999)&lt;9,OR(M999=0,N999&lt;6)),1,0)</x:f>
        <x:v>1</x:v>
      </x:c>
      <x:c r="P999" s="19" t="n">
        <x:f>IF(AND(SUM(K999:M999)&lt;9,OR(L999=0,N999&lt;6)),1,0)</x:f>
        <x:v>1</x:v>
      </x:c>
      <x:c r="Q999" s="19" t="n">
        <x:f>IF(AND(SUM(K999:M999)&lt;9,OR(K999=0,N999&lt;6)),1,0)</x:f>
        <x:v>1</x:v>
      </x:c>
      <x:c r="R999" s="22" t="str">
        <x:f>O999&amp;P999&amp;Q999</x:f>
        <x:v>111</x:v>
      </x:c>
      <x:c r="S999" s="19" t="n">
        <x:f>IF(I999=1,IF(J999=0,Q999,IF(J999=1,P999,IF(J999=2,O999,0))),0)</x:f>
        <x:v>1</x:v>
      </x:c>
      <x:c r="T999" s="19" t="n">
        <x:f>K999+IF(AND(S999=1,J999=0),1,0)</x:f>
        <x:v>1</x:v>
      </x:c>
      <x:c r="U999" s="19" t="n">
        <x:f>L999+IF(AND(S999=1,J999=1),1,0)</x:f>
        <x:v>7</x:v>
      </x:c>
      <x:c r="V999" s="19" t="n">
        <x:f>M999+IF(AND(S999=1,J999=2),1,0)</x:f>
        <x:v>0</x:v>
      </x:c>
      <x:c r="W999" s="19" t="n">
        <x:f>SUM(T999:V999)</x:f>
        <x:v>8</x:v>
      </x:c>
      <x:c r="X999" s="19" t="n">
        <x:f>W999-G999</x:f>
        <x:v>1</x:v>
      </x:c>
      <x:c r="Y999" s="19" t="n">
        <x:f>MAX(T999,1)+MAX(U999,1)+MAX(V999,1)</x:f>
        <x:v>9</x:v>
      </x:c>
      <x:c r="Z999" s="21" t="str">
        <x:f>IF(AND(MIN(D999:F999)&gt;=0,MAX(D999:F999)&lt;=7,MAX(D999,1)+MAX(E999,1)+MAX(F999,1)&lt;=9,OR(H999="-",AND(H999=0,D999&gt;0),AND(H999=1,E999&gt;0),AND(H999=2,F999&gt;0)),OR(I999=0,AND(I999=1,OR(J999=0,J999=1,J999=2),R999&lt;&gt;"000")),Y999&lt;=9,MIN(T999:V999)&gt;=0),"合法","输入违约")</x:f>
        <x:v>合法</x:v>
      </x:c>
    </x:row>
    <x:row r="1000" ht="23" customHeight="1">
      <x:c r="A1000" s="3" t="str">
        <x:v>CT-0993</x:v>
      </x:c>
      <x:c r="B1000" s="3" t="str">
        <x:v>ST-099</x:v>
      </x:c>
      <x:c r="C1000" s="3" t="str">
        <x:v>仅AR接收</x:v>
      </x:c>
      <x:c r="D1000" s="25" t="n">
        <x:v>1</x:v>
      </x:c>
      <x:c r="E1000" s="25" t="n">
        <x:v>6</x:v>
      </x:c>
      <x:c r="F1000" s="25" t="n">
        <x:v>0</x:v>
      </x:c>
      <x:c r="G1000" s="19" t="n">
        <x:f>SUM(D1000:F1000)</x:f>
        <x:v>7</x:v>
      </x:c>
      <x:c r="H1000" s="25" t="str">
        <x:v>-</x:v>
      </x:c>
      <x:c r="I1000" s="25" t="n">
        <x:v>1</x:v>
      </x:c>
      <x:c r="J1000" s="25" t="n">
        <x:v>2</x:v>
      </x:c>
      <x:c r="K1000" s="19" t="n">
        <x:f>D1000-IF(H1000=0,1,0)</x:f>
        <x:v>1</x:v>
      </x:c>
      <x:c r="L1000" s="19" t="n">
        <x:f>E1000-IF(H1000=1,1,0)</x:f>
        <x:v>6</x:v>
      </x:c>
      <x:c r="M1000" s="19" t="n">
        <x:f>F1000-IF(H1000=2,1,0)</x:f>
        <x:v>0</x:v>
      </x:c>
      <x:c r="N1000" s="19" t="n">
        <x:f>MAX(K1000-1,0)+MAX(L1000-1,0)+MAX(M1000-1,0)</x:f>
        <x:v>5</x:v>
      </x:c>
      <x:c r="O1000" s="19" t="n">
        <x:f>IF(AND(SUM(K1000:M1000)&lt;9,OR(M1000=0,N1000&lt;6)),1,0)</x:f>
        <x:v>1</x:v>
      </x:c>
      <x:c r="P1000" s="19" t="n">
        <x:f>IF(AND(SUM(K1000:M1000)&lt;9,OR(L1000=0,N1000&lt;6)),1,0)</x:f>
        <x:v>1</x:v>
      </x:c>
      <x:c r="Q1000" s="19" t="n">
        <x:f>IF(AND(SUM(K1000:M1000)&lt;9,OR(K1000=0,N1000&lt;6)),1,0)</x:f>
        <x:v>1</x:v>
      </x:c>
      <x:c r="R1000" s="22" t="str">
        <x:f>O1000&amp;P1000&amp;Q1000</x:f>
        <x:v>111</x:v>
      </x:c>
      <x:c r="S1000" s="19" t="n">
        <x:f>IF(I1000=1,IF(J1000=0,Q1000,IF(J1000=1,P1000,IF(J1000=2,O1000,0))),0)</x:f>
        <x:v>1</x:v>
      </x:c>
      <x:c r="T1000" s="19" t="n">
        <x:f>K1000+IF(AND(S1000=1,J1000=0),1,0)</x:f>
        <x:v>1</x:v>
      </x:c>
      <x:c r="U1000" s="19" t="n">
        <x:f>L1000+IF(AND(S1000=1,J1000=1),1,0)</x:f>
        <x:v>6</x:v>
      </x:c>
      <x:c r="V1000" s="19" t="n">
        <x:f>M1000+IF(AND(S1000=1,J1000=2),1,0)</x:f>
        <x:v>1</x:v>
      </x:c>
      <x:c r="W1000" s="19" t="n">
        <x:f>SUM(T1000:V1000)</x:f>
        <x:v>8</x:v>
      </x:c>
      <x:c r="X1000" s="19" t="n">
        <x:f>W1000-G1000</x:f>
        <x:v>1</x:v>
      </x:c>
      <x:c r="Y1000" s="19" t="n">
        <x:f>MAX(T1000,1)+MAX(U1000,1)+MAX(V1000,1)</x:f>
        <x:v>8</x:v>
      </x:c>
      <x:c r="Z1000" s="21" t="str">
        <x:f>IF(AND(MIN(D1000:F1000)&gt;=0,MAX(D1000:F1000)&lt;=7,MAX(D1000,1)+MAX(E1000,1)+MAX(F1000,1)&lt;=9,OR(H1000="-",AND(H1000=0,D1000&gt;0),AND(H1000=1,E1000&gt;0),AND(H1000=2,F1000&gt;0)),OR(I1000=0,AND(I1000=1,OR(J1000=0,J1000=1,J1000=2),R1000&lt;&gt;"000")),Y1000&lt;=9,MIN(T1000:V1000)&gt;=0),"合法","输入违约")</x:f>
        <x:v>合法</x:v>
      </x:c>
    </x:row>
    <x:row r="1001" ht="23" customHeight="1">
      <x:c r="A1001" s="3" t="str">
        <x:v>CT-0994</x:v>
      </x:c>
      <x:c r="B1001" s="3" t="str">
        <x:v>ST-099</x:v>
      </x:c>
      <x:c r="C1001" s="3" t="str">
        <x:v>仅R回收</x:v>
      </x:c>
      <x:c r="D1001" s="25" t="n">
        <x:v>1</x:v>
      </x:c>
      <x:c r="E1001" s="25" t="n">
        <x:v>6</x:v>
      </x:c>
      <x:c r="F1001" s="25" t="n">
        <x:v>0</x:v>
      </x:c>
      <x:c r="G1001" s="19" t="n">
        <x:f>SUM(D1001:F1001)</x:f>
        <x:v>7</x:v>
      </x:c>
      <x:c r="H1001" s="25" t="n">
        <x:v>0</x:v>
      </x:c>
      <x:c r="I1001" s="25" t="n">
        <x:v>0</x:v>
      </x:c>
      <x:c r="J1001" s="25" t="str">
        <x:v>-</x:v>
      </x:c>
      <x:c r="K1001" s="19" t="n">
        <x:f>D1001-IF(H1001=0,1,0)</x:f>
        <x:v>0</x:v>
      </x:c>
      <x:c r="L1001" s="19" t="n">
        <x:f>E1001-IF(H1001=1,1,0)</x:f>
        <x:v>6</x:v>
      </x:c>
      <x:c r="M1001" s="19" t="n">
        <x:f>F1001-IF(H1001=2,1,0)</x:f>
        <x:v>0</x:v>
      </x:c>
      <x:c r="N1001" s="19" t="n">
        <x:f>MAX(K1001-1,0)+MAX(L1001-1,0)+MAX(M1001-1,0)</x:f>
        <x:v>5</x:v>
      </x:c>
      <x:c r="O1001" s="19" t="n">
        <x:f>IF(AND(SUM(K1001:M1001)&lt;9,OR(M1001=0,N1001&lt;6)),1,0)</x:f>
        <x:v>1</x:v>
      </x:c>
      <x:c r="P1001" s="19" t="n">
        <x:f>IF(AND(SUM(K1001:M1001)&lt;9,OR(L1001=0,N1001&lt;6)),1,0)</x:f>
        <x:v>1</x:v>
      </x:c>
      <x:c r="Q1001" s="19" t="n">
        <x:f>IF(AND(SUM(K1001:M1001)&lt;9,OR(K1001=0,N1001&lt;6)),1,0)</x:f>
        <x:v>1</x:v>
      </x:c>
      <x:c r="R1001" s="22" t="str">
        <x:f>O1001&amp;P1001&amp;Q1001</x:f>
        <x:v>111</x:v>
      </x:c>
      <x:c r="S1001" s="19" t="n">
        <x:f>IF(I1001=1,IF(J1001=0,Q1001,IF(J1001=1,P1001,IF(J1001=2,O1001,0))),0)</x:f>
        <x:v>0</x:v>
      </x:c>
      <x:c r="T1001" s="19" t="n">
        <x:f>K1001+IF(AND(S1001=1,J1001=0),1,0)</x:f>
        <x:v>0</x:v>
      </x:c>
      <x:c r="U1001" s="19" t="n">
        <x:f>L1001+IF(AND(S1001=1,J1001=1),1,0)</x:f>
        <x:v>6</x:v>
      </x:c>
      <x:c r="V1001" s="19" t="n">
        <x:f>M1001+IF(AND(S1001=1,J1001=2),1,0)</x:f>
        <x:v>0</x:v>
      </x:c>
      <x:c r="W1001" s="19" t="n">
        <x:f>SUM(T1001:V1001)</x:f>
        <x:v>6</x:v>
      </x:c>
      <x:c r="X1001" s="19" t="n">
        <x:f>W1001-G1001</x:f>
        <x:v>-1</x:v>
      </x:c>
      <x:c r="Y1001" s="19" t="n">
        <x:f>MAX(T1001,1)+MAX(U1001,1)+MAX(V1001,1)</x:f>
        <x:v>8</x:v>
      </x:c>
      <x:c r="Z1001" s="21" t="str">
        <x:f>IF(AND(MIN(D1001:F1001)&gt;=0,MAX(D1001:F1001)&lt;=7,MAX(D1001,1)+MAX(E1001,1)+MAX(F1001,1)&lt;=9,OR(H1001="-",AND(H1001=0,D1001&gt;0),AND(H1001=1,E1001&gt;0),AND(H1001=2,F1001&gt;0)),OR(I1001=0,AND(I1001=1,OR(J1001=0,J1001=1,J1001=2),R1001&lt;&gt;"000")),Y1001&lt;=9,MIN(T1001:V1001)&gt;=0),"合法","输入违约")</x:f>
        <x:v>合法</x:v>
      </x:c>
    </x:row>
    <x:row r="1002" ht="23" customHeight="1">
      <x:c r="A1002" s="3" t="str">
        <x:v>CT-0995</x:v>
      </x:c>
      <x:c r="B1002" s="3" t="str">
        <x:v>ST-099</x:v>
      </x:c>
      <x:c r="C1002" s="3" t="str">
        <x:v>R+AR同收同发</x:v>
      </x:c>
      <x:c r="D1002" s="25" t="n">
        <x:v>1</x:v>
      </x:c>
      <x:c r="E1002" s="25" t="n">
        <x:v>6</x:v>
      </x:c>
      <x:c r="F1002" s="25" t="n">
        <x:v>0</x:v>
      </x:c>
      <x:c r="G1002" s="19" t="n">
        <x:f>SUM(D1002:F1002)</x:f>
        <x:v>7</x:v>
      </x:c>
      <x:c r="H1002" s="25" t="n">
        <x:v>0</x:v>
      </x:c>
      <x:c r="I1002" s="25" t="n">
        <x:v>1</x:v>
      </x:c>
      <x:c r="J1002" s="25" t="n">
        <x:v>0</x:v>
      </x:c>
      <x:c r="K1002" s="19" t="n">
        <x:f>D1002-IF(H1002=0,1,0)</x:f>
        <x:v>0</x:v>
      </x:c>
      <x:c r="L1002" s="19" t="n">
        <x:f>E1002-IF(H1002=1,1,0)</x:f>
        <x:v>6</x:v>
      </x:c>
      <x:c r="M1002" s="19" t="n">
        <x:f>F1002-IF(H1002=2,1,0)</x:f>
        <x:v>0</x:v>
      </x:c>
      <x:c r="N1002" s="19" t="n">
        <x:f>MAX(K1002-1,0)+MAX(L1002-1,0)+MAX(M1002-1,0)</x:f>
        <x:v>5</x:v>
      </x:c>
      <x:c r="O1002" s="19" t="n">
        <x:f>IF(AND(SUM(K1002:M1002)&lt;9,OR(M1002=0,N1002&lt;6)),1,0)</x:f>
        <x:v>1</x:v>
      </x:c>
      <x:c r="P1002" s="19" t="n">
        <x:f>IF(AND(SUM(K1002:M1002)&lt;9,OR(L1002=0,N1002&lt;6)),1,0)</x:f>
        <x:v>1</x:v>
      </x:c>
      <x:c r="Q1002" s="19" t="n">
        <x:f>IF(AND(SUM(K1002:M1002)&lt;9,OR(K1002=0,N1002&lt;6)),1,0)</x:f>
        <x:v>1</x:v>
      </x:c>
      <x:c r="R1002" s="22" t="str">
        <x:f>O1002&amp;P1002&amp;Q1002</x:f>
        <x:v>111</x:v>
      </x:c>
      <x:c r="S1002" s="19" t="n">
        <x:f>IF(I1002=1,IF(J1002=0,Q1002,IF(J1002=1,P1002,IF(J1002=2,O1002,0))),0)</x:f>
        <x:v>1</x:v>
      </x:c>
      <x:c r="T1002" s="19" t="n">
        <x:f>K1002+IF(AND(S1002=1,J1002=0),1,0)</x:f>
        <x:v>1</x:v>
      </x:c>
      <x:c r="U1002" s="19" t="n">
        <x:f>L1002+IF(AND(S1002=1,J1002=1),1,0)</x:f>
        <x:v>6</x:v>
      </x:c>
      <x:c r="V1002" s="19" t="n">
        <x:f>M1002+IF(AND(S1002=1,J1002=2),1,0)</x:f>
        <x:v>0</x:v>
      </x:c>
      <x:c r="W1002" s="19" t="n">
        <x:f>SUM(T1002:V1002)</x:f>
        <x:v>7</x:v>
      </x:c>
      <x:c r="X1002" s="19" t="n">
        <x:f>W1002-G1002</x:f>
        <x:v>0</x:v>
      </x:c>
      <x:c r="Y1002" s="19" t="n">
        <x:f>MAX(T1002,1)+MAX(U1002,1)+MAX(V1002,1)</x:f>
        <x:v>8</x:v>
      </x:c>
      <x:c r="Z1002" s="21" t="str">
        <x:f>IF(AND(MIN(D1002:F1002)&gt;=0,MAX(D1002:F1002)&lt;=7,MAX(D1002,1)+MAX(E1002,1)+MAX(F1002,1)&lt;=9,OR(H1002="-",AND(H1002=0,D1002&gt;0),AND(H1002=1,E1002&gt;0),AND(H1002=2,F1002&gt;0)),OR(I1002=0,AND(I1002=1,OR(J1002=0,J1002=1,J1002=2),R1002&lt;&gt;"000")),Y1002&lt;=9,MIN(T1002:V1002)&gt;=0),"合法","输入违约")</x:f>
        <x:v>合法</x:v>
      </x:c>
    </x:row>
    <x:row r="1003" ht="23" customHeight="1">
      <x:c r="A1003" s="3" t="str">
        <x:v>CT-0996</x:v>
      </x:c>
      <x:c r="B1003" s="3" t="str">
        <x:v>ST-099</x:v>
      </x:c>
      <x:c r="C1003" s="3" t="str">
        <x:v>R+AR同收同发</x:v>
      </x:c>
      <x:c r="D1003" s="25" t="n">
        <x:v>1</x:v>
      </x:c>
      <x:c r="E1003" s="25" t="n">
        <x:v>6</x:v>
      </x:c>
      <x:c r="F1003" s="25" t="n">
        <x:v>0</x:v>
      </x:c>
      <x:c r="G1003" s="19" t="n">
        <x:f>SUM(D1003:F1003)</x:f>
        <x:v>7</x:v>
      </x:c>
      <x:c r="H1003" s="25" t="n">
        <x:v>0</x:v>
      </x:c>
      <x:c r="I1003" s="25" t="n">
        <x:v>1</x:v>
      </x:c>
      <x:c r="J1003" s="25" t="n">
        <x:v>1</x:v>
      </x:c>
      <x:c r="K1003" s="19" t="n">
        <x:f>D1003-IF(H1003=0,1,0)</x:f>
        <x:v>0</x:v>
      </x:c>
      <x:c r="L1003" s="19" t="n">
        <x:f>E1003-IF(H1003=1,1,0)</x:f>
        <x:v>6</x:v>
      </x:c>
      <x:c r="M1003" s="19" t="n">
        <x:f>F1003-IF(H1003=2,1,0)</x:f>
        <x:v>0</x:v>
      </x:c>
      <x:c r="N1003" s="19" t="n">
        <x:f>MAX(K1003-1,0)+MAX(L1003-1,0)+MAX(M1003-1,0)</x:f>
        <x:v>5</x:v>
      </x:c>
      <x:c r="O1003" s="19" t="n">
        <x:f>IF(AND(SUM(K1003:M1003)&lt;9,OR(M1003=0,N1003&lt;6)),1,0)</x:f>
        <x:v>1</x:v>
      </x:c>
      <x:c r="P1003" s="19" t="n">
        <x:f>IF(AND(SUM(K1003:M1003)&lt;9,OR(L1003=0,N1003&lt;6)),1,0)</x:f>
        <x:v>1</x:v>
      </x:c>
      <x:c r="Q1003" s="19" t="n">
        <x:f>IF(AND(SUM(K1003:M1003)&lt;9,OR(K1003=0,N1003&lt;6)),1,0)</x:f>
        <x:v>1</x:v>
      </x:c>
      <x:c r="R1003" s="22" t="str">
        <x:f>O1003&amp;P1003&amp;Q1003</x:f>
        <x:v>111</x:v>
      </x:c>
      <x:c r="S1003" s="19" t="n">
        <x:f>IF(I1003=1,IF(J1003=0,Q1003,IF(J1003=1,P1003,IF(J1003=2,O1003,0))),0)</x:f>
        <x:v>1</x:v>
      </x:c>
      <x:c r="T1003" s="19" t="n">
        <x:f>K1003+IF(AND(S1003=1,J1003=0),1,0)</x:f>
        <x:v>0</x:v>
      </x:c>
      <x:c r="U1003" s="19" t="n">
        <x:f>L1003+IF(AND(S1003=1,J1003=1),1,0)</x:f>
        <x:v>7</x:v>
      </x:c>
      <x:c r="V1003" s="19" t="n">
        <x:f>M1003+IF(AND(S1003=1,J1003=2),1,0)</x:f>
        <x:v>0</x:v>
      </x:c>
      <x:c r="W1003" s="19" t="n">
        <x:f>SUM(T1003:V1003)</x:f>
        <x:v>7</x:v>
      </x:c>
      <x:c r="X1003" s="19" t="n">
        <x:f>W1003-G1003</x:f>
        <x:v>0</x:v>
      </x:c>
      <x:c r="Y1003" s="19" t="n">
        <x:f>MAX(T1003,1)+MAX(U1003,1)+MAX(V1003,1)</x:f>
        <x:v>9</x:v>
      </x:c>
      <x:c r="Z1003" s="21" t="str">
        <x:f>IF(AND(MIN(D1003:F1003)&gt;=0,MAX(D1003:F1003)&lt;=7,MAX(D1003,1)+MAX(E1003,1)+MAX(F1003,1)&lt;=9,OR(H1003="-",AND(H1003=0,D1003&gt;0),AND(H1003=1,E1003&gt;0),AND(H1003=2,F1003&gt;0)),OR(I1003=0,AND(I1003=1,OR(J1003=0,J1003=1,J1003=2),R1003&lt;&gt;"000")),Y1003&lt;=9,MIN(T1003:V1003)&gt;=0),"合法","输入违约")</x:f>
        <x:v>合法</x:v>
      </x:c>
    </x:row>
    <x:row r="1004" ht="23" customHeight="1">
      <x:c r="A1004" s="3" t="str">
        <x:v>CT-0997</x:v>
      </x:c>
      <x:c r="B1004" s="3" t="str">
        <x:v>ST-099</x:v>
      </x:c>
      <x:c r="C1004" s="3" t="str">
        <x:v>R+AR同收同发</x:v>
      </x:c>
      <x:c r="D1004" s="25" t="n">
        <x:v>1</x:v>
      </x:c>
      <x:c r="E1004" s="25" t="n">
        <x:v>6</x:v>
      </x:c>
      <x:c r="F1004" s="25" t="n">
        <x:v>0</x:v>
      </x:c>
      <x:c r="G1004" s="19" t="n">
        <x:f>SUM(D1004:F1004)</x:f>
        <x:v>7</x:v>
      </x:c>
      <x:c r="H1004" s="25" t="n">
        <x:v>0</x:v>
      </x:c>
      <x:c r="I1004" s="25" t="n">
        <x:v>1</x:v>
      </x:c>
      <x:c r="J1004" s="25" t="n">
        <x:v>2</x:v>
      </x:c>
      <x:c r="K1004" s="19" t="n">
        <x:f>D1004-IF(H1004=0,1,0)</x:f>
        <x:v>0</x:v>
      </x:c>
      <x:c r="L1004" s="19" t="n">
        <x:f>E1004-IF(H1004=1,1,0)</x:f>
        <x:v>6</x:v>
      </x:c>
      <x:c r="M1004" s="19" t="n">
        <x:f>F1004-IF(H1004=2,1,0)</x:f>
        <x:v>0</x:v>
      </x:c>
      <x:c r="N1004" s="19" t="n">
        <x:f>MAX(K1004-1,0)+MAX(L1004-1,0)+MAX(M1004-1,0)</x:f>
        <x:v>5</x:v>
      </x:c>
      <x:c r="O1004" s="19" t="n">
        <x:f>IF(AND(SUM(K1004:M1004)&lt;9,OR(M1004=0,N1004&lt;6)),1,0)</x:f>
        <x:v>1</x:v>
      </x:c>
      <x:c r="P1004" s="19" t="n">
        <x:f>IF(AND(SUM(K1004:M1004)&lt;9,OR(L1004=0,N1004&lt;6)),1,0)</x:f>
        <x:v>1</x:v>
      </x:c>
      <x:c r="Q1004" s="19" t="n">
        <x:f>IF(AND(SUM(K1004:M1004)&lt;9,OR(K1004=0,N1004&lt;6)),1,0)</x:f>
        <x:v>1</x:v>
      </x:c>
      <x:c r="R1004" s="22" t="str">
        <x:f>O1004&amp;P1004&amp;Q1004</x:f>
        <x:v>111</x:v>
      </x:c>
      <x:c r="S1004" s="19" t="n">
        <x:f>IF(I1004=1,IF(J1004=0,Q1004,IF(J1004=1,P1004,IF(J1004=2,O1004,0))),0)</x:f>
        <x:v>1</x:v>
      </x:c>
      <x:c r="T1004" s="19" t="n">
        <x:f>K1004+IF(AND(S1004=1,J1004=0),1,0)</x:f>
        <x:v>0</x:v>
      </x:c>
      <x:c r="U1004" s="19" t="n">
        <x:f>L1004+IF(AND(S1004=1,J1004=1),1,0)</x:f>
        <x:v>6</x:v>
      </x:c>
      <x:c r="V1004" s="19" t="n">
        <x:f>M1004+IF(AND(S1004=1,J1004=2),1,0)</x:f>
        <x:v>1</x:v>
      </x:c>
      <x:c r="W1004" s="19" t="n">
        <x:f>SUM(T1004:V1004)</x:f>
        <x:v>7</x:v>
      </x:c>
      <x:c r="X1004" s="19" t="n">
        <x:f>W1004-G1004</x:f>
        <x:v>0</x:v>
      </x:c>
      <x:c r="Y1004" s="19" t="n">
        <x:f>MAX(T1004,1)+MAX(U1004,1)+MAX(V1004,1)</x:f>
        <x:v>8</x:v>
      </x:c>
      <x:c r="Z1004" s="21" t="str">
        <x:f>IF(AND(MIN(D1004:F1004)&gt;=0,MAX(D1004:F1004)&lt;=7,MAX(D1004,1)+MAX(E1004,1)+MAX(F1004,1)&lt;=9,OR(H1004="-",AND(H1004=0,D1004&gt;0),AND(H1004=1,E1004&gt;0),AND(H1004=2,F1004&gt;0)),OR(I1004=0,AND(I1004=1,OR(J1004=0,J1004=1,J1004=2),R1004&lt;&gt;"000")),Y1004&lt;=9,MIN(T1004:V1004)&gt;=0),"合法","输入违约")</x:f>
        <x:v>合法</x:v>
      </x:c>
    </x:row>
    <x:row r="1005" ht="23" customHeight="1">
      <x:c r="A1005" s="3" t="str">
        <x:v>CT-0998</x:v>
      </x:c>
      <x:c r="B1005" s="3" t="str">
        <x:v>ST-099</x:v>
      </x:c>
      <x:c r="C1005" s="3" t="str">
        <x:v>仅R回收</x:v>
      </x:c>
      <x:c r="D1005" s="25" t="n">
        <x:v>1</x:v>
      </x:c>
      <x:c r="E1005" s="25" t="n">
        <x:v>6</x:v>
      </x:c>
      <x:c r="F1005" s="25" t="n">
        <x:v>0</x:v>
      </x:c>
      <x:c r="G1005" s="19" t="n">
        <x:f>SUM(D1005:F1005)</x:f>
        <x:v>7</x:v>
      </x:c>
      <x:c r="H1005" s="25" t="n">
        <x:v>1</x:v>
      </x:c>
      <x:c r="I1005" s="25" t="n">
        <x:v>0</x:v>
      </x:c>
      <x:c r="J1005" s="25" t="str">
        <x:v>-</x:v>
      </x:c>
      <x:c r="K1005" s="19" t="n">
        <x:f>D1005-IF(H1005=0,1,0)</x:f>
        <x:v>1</x:v>
      </x:c>
      <x:c r="L1005" s="19" t="n">
        <x:f>E1005-IF(H1005=1,1,0)</x:f>
        <x:v>5</x:v>
      </x:c>
      <x:c r="M1005" s="19" t="n">
        <x:f>F1005-IF(H1005=2,1,0)</x:f>
        <x:v>0</x:v>
      </x:c>
      <x:c r="N1005" s="19" t="n">
        <x:f>MAX(K1005-1,0)+MAX(L1005-1,0)+MAX(M1005-1,0)</x:f>
        <x:v>4</x:v>
      </x:c>
      <x:c r="O1005" s="19" t="n">
        <x:f>IF(AND(SUM(K1005:M1005)&lt;9,OR(M1005=0,N1005&lt;6)),1,0)</x:f>
        <x:v>1</x:v>
      </x:c>
      <x:c r="P1005" s="19" t="n">
        <x:f>IF(AND(SUM(K1005:M1005)&lt;9,OR(L1005=0,N1005&lt;6)),1,0)</x:f>
        <x:v>1</x:v>
      </x:c>
      <x:c r="Q1005" s="19" t="n">
        <x:f>IF(AND(SUM(K1005:M1005)&lt;9,OR(K1005=0,N1005&lt;6)),1,0)</x:f>
        <x:v>1</x:v>
      </x:c>
      <x:c r="R1005" s="22" t="str">
        <x:f>O1005&amp;P1005&amp;Q1005</x:f>
        <x:v>111</x:v>
      </x:c>
      <x:c r="S1005" s="19" t="n">
        <x:f>IF(I1005=1,IF(J1005=0,Q1005,IF(J1005=1,P1005,IF(J1005=2,O1005,0))),0)</x:f>
        <x:v>0</x:v>
      </x:c>
      <x:c r="T1005" s="19" t="n">
        <x:f>K1005+IF(AND(S1005=1,J1005=0),1,0)</x:f>
        <x:v>1</x:v>
      </x:c>
      <x:c r="U1005" s="19" t="n">
        <x:f>L1005+IF(AND(S1005=1,J1005=1),1,0)</x:f>
        <x:v>5</x:v>
      </x:c>
      <x:c r="V1005" s="19" t="n">
        <x:f>M1005+IF(AND(S1005=1,J1005=2),1,0)</x:f>
        <x:v>0</x:v>
      </x:c>
      <x:c r="W1005" s="19" t="n">
        <x:f>SUM(T1005:V1005)</x:f>
        <x:v>6</x:v>
      </x:c>
      <x:c r="X1005" s="19" t="n">
        <x:f>W1005-G1005</x:f>
        <x:v>-1</x:v>
      </x:c>
      <x:c r="Y1005" s="19" t="n">
        <x:f>MAX(T1005,1)+MAX(U1005,1)+MAX(V1005,1)</x:f>
        <x:v>7</x:v>
      </x:c>
      <x:c r="Z1005" s="21" t="str">
        <x:f>IF(AND(MIN(D1005:F1005)&gt;=0,MAX(D1005:F1005)&lt;=7,MAX(D1005,1)+MAX(E1005,1)+MAX(F1005,1)&lt;=9,OR(H1005="-",AND(H1005=0,D1005&gt;0),AND(H1005=1,E1005&gt;0),AND(H1005=2,F1005&gt;0)),OR(I1005=0,AND(I1005=1,OR(J1005=0,J1005=1,J1005=2),R1005&lt;&gt;"000")),Y1005&lt;=9,MIN(T1005:V1005)&gt;=0),"合法","输入违约")</x:f>
        <x:v>合法</x:v>
      </x:c>
    </x:row>
    <x:row r="1006" ht="23" customHeight="1">
      <x:c r="A1006" s="3" t="str">
        <x:v>CT-0999</x:v>
      </x:c>
      <x:c r="B1006" s="3" t="str">
        <x:v>ST-099</x:v>
      </x:c>
      <x:c r="C1006" s="3" t="str">
        <x:v>R+AR同收同发</x:v>
      </x:c>
      <x:c r="D1006" s="25" t="n">
        <x:v>1</x:v>
      </x:c>
      <x:c r="E1006" s="25" t="n">
        <x:v>6</x:v>
      </x:c>
      <x:c r="F1006" s="25" t="n">
        <x:v>0</x:v>
      </x:c>
      <x:c r="G1006" s="19" t="n">
        <x:f>SUM(D1006:F1006)</x:f>
        <x:v>7</x:v>
      </x:c>
      <x:c r="H1006" s="25" t="n">
        <x:v>1</x:v>
      </x:c>
      <x:c r="I1006" s="25" t="n">
        <x:v>1</x:v>
      </x:c>
      <x:c r="J1006" s="25" t="n">
        <x:v>0</x:v>
      </x:c>
      <x:c r="K1006" s="19" t="n">
        <x:f>D1006-IF(H1006=0,1,0)</x:f>
        <x:v>1</x:v>
      </x:c>
      <x:c r="L1006" s="19" t="n">
        <x:f>E1006-IF(H1006=1,1,0)</x:f>
        <x:v>5</x:v>
      </x:c>
      <x:c r="M1006" s="19" t="n">
        <x:f>F1006-IF(H1006=2,1,0)</x:f>
        <x:v>0</x:v>
      </x:c>
      <x:c r="N1006" s="19" t="n">
        <x:f>MAX(K1006-1,0)+MAX(L1006-1,0)+MAX(M1006-1,0)</x:f>
        <x:v>4</x:v>
      </x:c>
      <x:c r="O1006" s="19" t="n">
        <x:f>IF(AND(SUM(K1006:M1006)&lt;9,OR(M1006=0,N1006&lt;6)),1,0)</x:f>
        <x:v>1</x:v>
      </x:c>
      <x:c r="P1006" s="19" t="n">
        <x:f>IF(AND(SUM(K1006:M1006)&lt;9,OR(L1006=0,N1006&lt;6)),1,0)</x:f>
        <x:v>1</x:v>
      </x:c>
      <x:c r="Q1006" s="19" t="n">
        <x:f>IF(AND(SUM(K1006:M1006)&lt;9,OR(K1006=0,N1006&lt;6)),1,0)</x:f>
        <x:v>1</x:v>
      </x:c>
      <x:c r="R1006" s="22" t="str">
        <x:f>O1006&amp;P1006&amp;Q1006</x:f>
        <x:v>111</x:v>
      </x:c>
      <x:c r="S1006" s="19" t="n">
        <x:f>IF(I1006=1,IF(J1006=0,Q1006,IF(J1006=1,P1006,IF(J1006=2,O1006,0))),0)</x:f>
        <x:v>1</x:v>
      </x:c>
      <x:c r="T1006" s="19" t="n">
        <x:f>K1006+IF(AND(S1006=1,J1006=0),1,0)</x:f>
        <x:v>2</x:v>
      </x:c>
      <x:c r="U1006" s="19" t="n">
        <x:f>L1006+IF(AND(S1006=1,J1006=1),1,0)</x:f>
        <x:v>5</x:v>
      </x:c>
      <x:c r="V1006" s="19" t="n">
        <x:f>M1006+IF(AND(S1006=1,J1006=2),1,0)</x:f>
        <x:v>0</x:v>
      </x:c>
      <x:c r="W1006" s="19" t="n">
        <x:f>SUM(T1006:V1006)</x:f>
        <x:v>7</x:v>
      </x:c>
      <x:c r="X1006" s="19" t="n">
        <x:f>W1006-G1006</x:f>
        <x:v>0</x:v>
      </x:c>
      <x:c r="Y1006" s="19" t="n">
        <x:f>MAX(T1006,1)+MAX(U1006,1)+MAX(V1006,1)</x:f>
        <x:v>8</x:v>
      </x:c>
      <x:c r="Z1006" s="21" t="str">
        <x:f>IF(AND(MIN(D1006:F1006)&gt;=0,MAX(D1006:F1006)&lt;=7,MAX(D1006,1)+MAX(E1006,1)+MAX(F1006,1)&lt;=9,OR(H1006="-",AND(H1006=0,D1006&gt;0),AND(H1006=1,E1006&gt;0),AND(H1006=2,F1006&gt;0)),OR(I1006=0,AND(I1006=1,OR(J1006=0,J1006=1,J1006=2),R1006&lt;&gt;"000")),Y1006&lt;=9,MIN(T1006:V1006)&gt;=0),"合法","输入违约")</x:f>
        <x:v>合法</x:v>
      </x:c>
    </x:row>
    <x:row r="1007" ht="23" customHeight="1">
      <x:c r="A1007" s="3" t="str">
        <x:v>CT-1000</x:v>
      </x:c>
      <x:c r="B1007" s="3" t="str">
        <x:v>ST-099</x:v>
      </x:c>
      <x:c r="C1007" s="3" t="str">
        <x:v>R+AR同收同发</x:v>
      </x:c>
      <x:c r="D1007" s="25" t="n">
        <x:v>1</x:v>
      </x:c>
      <x:c r="E1007" s="25" t="n">
        <x:v>6</x:v>
      </x:c>
      <x:c r="F1007" s="25" t="n">
        <x:v>0</x:v>
      </x:c>
      <x:c r="G1007" s="19" t="n">
        <x:f>SUM(D1007:F1007)</x:f>
        <x:v>7</x:v>
      </x:c>
      <x:c r="H1007" s="25" t="n">
        <x:v>1</x:v>
      </x:c>
      <x:c r="I1007" s="25" t="n">
        <x:v>1</x:v>
      </x:c>
      <x:c r="J1007" s="25" t="n">
        <x:v>1</x:v>
      </x:c>
      <x:c r="K1007" s="19" t="n">
        <x:f>D1007-IF(H1007=0,1,0)</x:f>
        <x:v>1</x:v>
      </x:c>
      <x:c r="L1007" s="19" t="n">
        <x:f>E1007-IF(H1007=1,1,0)</x:f>
        <x:v>5</x:v>
      </x:c>
      <x:c r="M1007" s="19" t="n">
        <x:f>F1007-IF(H1007=2,1,0)</x:f>
        <x:v>0</x:v>
      </x:c>
      <x:c r="N1007" s="19" t="n">
        <x:f>MAX(K1007-1,0)+MAX(L1007-1,0)+MAX(M1007-1,0)</x:f>
        <x:v>4</x:v>
      </x:c>
      <x:c r="O1007" s="19" t="n">
        <x:f>IF(AND(SUM(K1007:M1007)&lt;9,OR(M1007=0,N1007&lt;6)),1,0)</x:f>
        <x:v>1</x:v>
      </x:c>
      <x:c r="P1007" s="19" t="n">
        <x:f>IF(AND(SUM(K1007:M1007)&lt;9,OR(L1007=0,N1007&lt;6)),1,0)</x:f>
        <x:v>1</x:v>
      </x:c>
      <x:c r="Q1007" s="19" t="n">
        <x:f>IF(AND(SUM(K1007:M1007)&lt;9,OR(K1007=0,N1007&lt;6)),1,0)</x:f>
        <x:v>1</x:v>
      </x:c>
      <x:c r="R1007" s="22" t="str">
        <x:f>O1007&amp;P1007&amp;Q1007</x:f>
        <x:v>111</x:v>
      </x:c>
      <x:c r="S1007" s="19" t="n">
        <x:f>IF(I1007=1,IF(J1007=0,Q1007,IF(J1007=1,P1007,IF(J1007=2,O1007,0))),0)</x:f>
        <x:v>1</x:v>
      </x:c>
      <x:c r="T1007" s="19" t="n">
        <x:f>K1007+IF(AND(S1007=1,J1007=0),1,0)</x:f>
        <x:v>1</x:v>
      </x:c>
      <x:c r="U1007" s="19" t="n">
        <x:f>L1007+IF(AND(S1007=1,J1007=1),1,0)</x:f>
        <x:v>6</x:v>
      </x:c>
      <x:c r="V1007" s="19" t="n">
        <x:f>M1007+IF(AND(S1007=1,J1007=2),1,0)</x:f>
        <x:v>0</x:v>
      </x:c>
      <x:c r="W1007" s="19" t="n">
        <x:f>SUM(T1007:V1007)</x:f>
        <x:v>7</x:v>
      </x:c>
      <x:c r="X1007" s="19" t="n">
        <x:f>W1007-G1007</x:f>
        <x:v>0</x:v>
      </x:c>
      <x:c r="Y1007" s="19" t="n">
        <x:f>MAX(T1007,1)+MAX(U1007,1)+MAX(V1007,1)</x:f>
        <x:v>8</x:v>
      </x:c>
      <x:c r="Z1007" s="21" t="str">
        <x:f>IF(AND(MIN(D1007:F1007)&gt;=0,MAX(D1007:F1007)&lt;=7,MAX(D1007,1)+MAX(E1007,1)+MAX(F1007,1)&lt;=9,OR(H1007="-",AND(H1007=0,D1007&gt;0),AND(H1007=1,E1007&gt;0),AND(H1007=2,F1007&gt;0)),OR(I1007=0,AND(I1007=1,OR(J1007=0,J1007=1,J1007=2),R1007&lt;&gt;"000")),Y1007&lt;=9,MIN(T1007:V1007)&gt;=0),"合法","输入违约")</x:f>
        <x:v>合法</x:v>
      </x:c>
    </x:row>
    <x:row r="1008" ht="23" customHeight="1">
      <x:c r="A1008" s="3" t="str">
        <x:v>CT-1001</x:v>
      </x:c>
      <x:c r="B1008" s="3" t="str">
        <x:v>ST-099</x:v>
      </x:c>
      <x:c r="C1008" s="3" t="str">
        <x:v>R+AR同收同发</x:v>
      </x:c>
      <x:c r="D1008" s="25" t="n">
        <x:v>1</x:v>
      </x:c>
      <x:c r="E1008" s="25" t="n">
        <x:v>6</x:v>
      </x:c>
      <x:c r="F1008" s="25" t="n">
        <x:v>0</x:v>
      </x:c>
      <x:c r="G1008" s="19" t="n">
        <x:f>SUM(D1008:F1008)</x:f>
        <x:v>7</x:v>
      </x:c>
      <x:c r="H1008" s="25" t="n">
        <x:v>1</x:v>
      </x:c>
      <x:c r="I1008" s="25" t="n">
        <x:v>1</x:v>
      </x:c>
      <x:c r="J1008" s="25" t="n">
        <x:v>2</x:v>
      </x:c>
      <x:c r="K1008" s="19" t="n">
        <x:f>D1008-IF(H1008=0,1,0)</x:f>
        <x:v>1</x:v>
      </x:c>
      <x:c r="L1008" s="19" t="n">
        <x:f>E1008-IF(H1008=1,1,0)</x:f>
        <x:v>5</x:v>
      </x:c>
      <x:c r="M1008" s="19" t="n">
        <x:f>F1008-IF(H1008=2,1,0)</x:f>
        <x:v>0</x:v>
      </x:c>
      <x:c r="N1008" s="19" t="n">
        <x:f>MAX(K1008-1,0)+MAX(L1008-1,0)+MAX(M1008-1,0)</x:f>
        <x:v>4</x:v>
      </x:c>
      <x:c r="O1008" s="19" t="n">
        <x:f>IF(AND(SUM(K1008:M1008)&lt;9,OR(M1008=0,N1008&lt;6)),1,0)</x:f>
        <x:v>1</x:v>
      </x:c>
      <x:c r="P1008" s="19" t="n">
        <x:f>IF(AND(SUM(K1008:M1008)&lt;9,OR(L1008=0,N1008&lt;6)),1,0)</x:f>
        <x:v>1</x:v>
      </x:c>
      <x:c r="Q1008" s="19" t="n">
        <x:f>IF(AND(SUM(K1008:M1008)&lt;9,OR(K1008=0,N1008&lt;6)),1,0)</x:f>
        <x:v>1</x:v>
      </x:c>
      <x:c r="R1008" s="22" t="str">
        <x:f>O1008&amp;P1008&amp;Q1008</x:f>
        <x:v>111</x:v>
      </x:c>
      <x:c r="S1008" s="19" t="n">
        <x:f>IF(I1008=1,IF(J1008=0,Q1008,IF(J1008=1,P1008,IF(J1008=2,O1008,0))),0)</x:f>
        <x:v>1</x:v>
      </x:c>
      <x:c r="T1008" s="19" t="n">
        <x:f>K1008+IF(AND(S1008=1,J1008=0),1,0)</x:f>
        <x:v>1</x:v>
      </x:c>
      <x:c r="U1008" s="19" t="n">
        <x:f>L1008+IF(AND(S1008=1,J1008=1),1,0)</x:f>
        <x:v>5</x:v>
      </x:c>
      <x:c r="V1008" s="19" t="n">
        <x:f>M1008+IF(AND(S1008=1,J1008=2),1,0)</x:f>
        <x:v>1</x:v>
      </x:c>
      <x:c r="W1008" s="19" t="n">
        <x:f>SUM(T1008:V1008)</x:f>
        <x:v>7</x:v>
      </x:c>
      <x:c r="X1008" s="19" t="n">
        <x:f>W1008-G1008</x:f>
        <x:v>0</x:v>
      </x:c>
      <x:c r="Y1008" s="19" t="n">
        <x:f>MAX(T1008,1)+MAX(U1008,1)+MAX(V1008,1)</x:f>
        <x:v>7</x:v>
      </x:c>
      <x:c r="Z1008" s="21" t="str">
        <x:f>IF(AND(MIN(D1008:F1008)&gt;=0,MAX(D1008:F1008)&lt;=7,MAX(D1008,1)+MAX(E1008,1)+MAX(F1008,1)&lt;=9,OR(H1008="-",AND(H1008=0,D1008&gt;0),AND(H1008=1,E1008&gt;0),AND(H1008=2,F1008&gt;0)),OR(I1008=0,AND(I1008=1,OR(J1008=0,J1008=1,J1008=2),R1008&lt;&gt;"000")),Y1008&lt;=9,MIN(T1008:V1008)&gt;=0),"合法","输入违约")</x:f>
        <x:v>合法</x:v>
      </x:c>
    </x:row>
    <x:row r="1009" ht="23" customHeight="1">
      <x:c r="A1009" s="3" t="str">
        <x:v>CT-1002</x:v>
      </x:c>
      <x:c r="B1009" s="3" t="str">
        <x:v>ST-134</x:v>
      </x:c>
      <x:c r="C1009" s="3" t="str">
        <x:v>无AR/R</x:v>
      </x:c>
      <x:c r="D1009" s="25" t="n">
        <x:v>1</x:v>
      </x:c>
      <x:c r="E1009" s="25" t="n">
        <x:v>6</x:v>
      </x:c>
      <x:c r="F1009" s="25" t="n">
        <x:v>1</x:v>
      </x:c>
      <x:c r="G1009" s="19" t="n">
        <x:f>SUM(D1009:F1009)</x:f>
        <x:v>8</x:v>
      </x:c>
      <x:c r="H1009" s="25" t="str">
        <x:v>-</x:v>
      </x:c>
      <x:c r="I1009" s="25" t="n">
        <x:v>0</x:v>
      </x:c>
      <x:c r="J1009" s="25" t="str">
        <x:v>-</x:v>
      </x:c>
      <x:c r="K1009" s="19" t="n">
        <x:f>D1009-IF(H1009=0,1,0)</x:f>
        <x:v>1</x:v>
      </x:c>
      <x:c r="L1009" s="19" t="n">
        <x:f>E1009-IF(H1009=1,1,0)</x:f>
        <x:v>6</x:v>
      </x:c>
      <x:c r="M1009" s="19" t="n">
        <x:f>F1009-IF(H1009=2,1,0)</x:f>
        <x:v>1</x:v>
      </x:c>
      <x:c r="N1009" s="19" t="n">
        <x:f>MAX(K1009-1,0)+MAX(L1009-1,0)+MAX(M1009-1,0)</x:f>
        <x:v>5</x:v>
      </x:c>
      <x:c r="O1009" s="19" t="n">
        <x:f>IF(AND(SUM(K1009:M1009)&lt;9,OR(M1009=0,N1009&lt;6)),1,0)</x:f>
        <x:v>1</x:v>
      </x:c>
      <x:c r="P1009" s="19" t="n">
        <x:f>IF(AND(SUM(K1009:M1009)&lt;9,OR(L1009=0,N1009&lt;6)),1,0)</x:f>
        <x:v>1</x:v>
      </x:c>
      <x:c r="Q1009" s="19" t="n">
        <x:f>IF(AND(SUM(K1009:M1009)&lt;9,OR(K1009=0,N1009&lt;6)),1,0)</x:f>
        <x:v>1</x:v>
      </x:c>
      <x:c r="R1009" s="22" t="str">
        <x:f>O1009&amp;P1009&amp;Q1009</x:f>
        <x:v>111</x:v>
      </x:c>
      <x:c r="S1009" s="19" t="n">
        <x:f>IF(I1009=1,IF(J1009=0,Q1009,IF(J1009=1,P1009,IF(J1009=2,O1009,0))),0)</x:f>
        <x:v>0</x:v>
      </x:c>
      <x:c r="T1009" s="19" t="n">
        <x:f>K1009+IF(AND(S1009=1,J1009=0),1,0)</x:f>
        <x:v>1</x:v>
      </x:c>
      <x:c r="U1009" s="19" t="n">
        <x:f>L1009+IF(AND(S1009=1,J1009=1),1,0)</x:f>
        <x:v>6</x:v>
      </x:c>
      <x:c r="V1009" s="19" t="n">
        <x:f>M1009+IF(AND(S1009=1,J1009=2),1,0)</x:f>
        <x:v>1</x:v>
      </x:c>
      <x:c r="W1009" s="19" t="n">
        <x:f>SUM(T1009:V1009)</x:f>
        <x:v>8</x:v>
      </x:c>
      <x:c r="X1009" s="19" t="n">
        <x:f>W1009-G1009</x:f>
        <x:v>0</x:v>
      </x:c>
      <x:c r="Y1009" s="19" t="n">
        <x:f>MAX(T1009,1)+MAX(U1009,1)+MAX(V1009,1)</x:f>
        <x:v>8</x:v>
      </x:c>
      <x:c r="Z1009" s="21" t="str">
        <x:f>IF(AND(MIN(D1009:F1009)&gt;=0,MAX(D1009:F1009)&lt;=7,MAX(D1009,1)+MAX(E1009,1)+MAX(F1009,1)&lt;=9,OR(H1009="-",AND(H1009=0,D1009&gt;0),AND(H1009=1,E1009&gt;0),AND(H1009=2,F1009&gt;0)),OR(I1009=0,AND(I1009=1,OR(J1009=0,J1009=1,J1009=2),R1009&lt;&gt;"000")),Y1009&lt;=9,MIN(T1009:V1009)&gt;=0),"合法","输入违约")</x:f>
        <x:v>合法</x:v>
      </x:c>
    </x:row>
    <x:row r="1010" ht="23" customHeight="1">
      <x:c r="A1010" s="3" t="str">
        <x:v>CT-1003</x:v>
      </x:c>
      <x:c r="B1010" s="3" t="str">
        <x:v>ST-134</x:v>
      </x:c>
      <x:c r="C1010" s="3" t="str">
        <x:v>仅AR接收</x:v>
      </x:c>
      <x:c r="D1010" s="25" t="n">
        <x:v>1</x:v>
      </x:c>
      <x:c r="E1010" s="25" t="n">
        <x:v>6</x:v>
      </x:c>
      <x:c r="F1010" s="25" t="n">
        <x:v>1</x:v>
      </x:c>
      <x:c r="G1010" s="19" t="n">
        <x:f>SUM(D1010:F1010)</x:f>
        <x:v>8</x:v>
      </x:c>
      <x:c r="H1010" s="25" t="str">
        <x:v>-</x:v>
      </x:c>
      <x:c r="I1010" s="25" t="n">
        <x:v>1</x:v>
      </x:c>
      <x:c r="J1010" s="25" t="n">
        <x:v>0</x:v>
      </x:c>
      <x:c r="K1010" s="19" t="n">
        <x:f>D1010-IF(H1010=0,1,0)</x:f>
        <x:v>1</x:v>
      </x:c>
      <x:c r="L1010" s="19" t="n">
        <x:f>E1010-IF(H1010=1,1,0)</x:f>
        <x:v>6</x:v>
      </x:c>
      <x:c r="M1010" s="19" t="n">
        <x:f>F1010-IF(H1010=2,1,0)</x:f>
        <x:v>1</x:v>
      </x:c>
      <x:c r="N1010" s="19" t="n">
        <x:f>MAX(K1010-1,0)+MAX(L1010-1,0)+MAX(M1010-1,0)</x:f>
        <x:v>5</x:v>
      </x:c>
      <x:c r="O1010" s="19" t="n">
        <x:f>IF(AND(SUM(K1010:M1010)&lt;9,OR(M1010=0,N1010&lt;6)),1,0)</x:f>
        <x:v>1</x:v>
      </x:c>
      <x:c r="P1010" s="19" t="n">
        <x:f>IF(AND(SUM(K1010:M1010)&lt;9,OR(L1010=0,N1010&lt;6)),1,0)</x:f>
        <x:v>1</x:v>
      </x:c>
      <x:c r="Q1010" s="19" t="n">
        <x:f>IF(AND(SUM(K1010:M1010)&lt;9,OR(K1010=0,N1010&lt;6)),1,0)</x:f>
        <x:v>1</x:v>
      </x:c>
      <x:c r="R1010" s="22" t="str">
        <x:f>O1010&amp;P1010&amp;Q1010</x:f>
        <x:v>111</x:v>
      </x:c>
      <x:c r="S1010" s="19" t="n">
        <x:f>IF(I1010=1,IF(J1010=0,Q1010,IF(J1010=1,P1010,IF(J1010=2,O1010,0))),0)</x:f>
        <x:v>1</x:v>
      </x:c>
      <x:c r="T1010" s="19" t="n">
        <x:f>K1010+IF(AND(S1010=1,J1010=0),1,0)</x:f>
        <x:v>2</x:v>
      </x:c>
      <x:c r="U1010" s="19" t="n">
        <x:f>L1010+IF(AND(S1010=1,J1010=1),1,0)</x:f>
        <x:v>6</x:v>
      </x:c>
      <x:c r="V1010" s="19" t="n">
        <x:f>M1010+IF(AND(S1010=1,J1010=2),1,0)</x:f>
        <x:v>1</x:v>
      </x:c>
      <x:c r="W1010" s="19" t="n">
        <x:f>SUM(T1010:V1010)</x:f>
        <x:v>9</x:v>
      </x:c>
      <x:c r="X1010" s="19" t="n">
        <x:f>W1010-G1010</x:f>
        <x:v>1</x:v>
      </x:c>
      <x:c r="Y1010" s="19" t="n">
        <x:f>MAX(T1010,1)+MAX(U1010,1)+MAX(V1010,1)</x:f>
        <x:v>9</x:v>
      </x:c>
      <x:c r="Z1010" s="21" t="str">
        <x:f>IF(AND(MIN(D1010:F1010)&gt;=0,MAX(D1010:F1010)&lt;=7,MAX(D1010,1)+MAX(E1010,1)+MAX(F1010,1)&lt;=9,OR(H1010="-",AND(H1010=0,D1010&gt;0),AND(H1010=1,E1010&gt;0),AND(H1010=2,F1010&gt;0)),OR(I1010=0,AND(I1010=1,OR(J1010=0,J1010=1,J1010=2),R1010&lt;&gt;"000")),Y1010&lt;=9,MIN(T1010:V1010)&gt;=0),"合法","输入违约")</x:f>
        <x:v>合法</x:v>
      </x:c>
    </x:row>
    <x:row r="1011" ht="23" customHeight="1">
      <x:c r="A1011" s="3" t="str">
        <x:v>CT-1004</x:v>
      </x:c>
      <x:c r="B1011" s="3" t="str">
        <x:v>ST-134</x:v>
      </x:c>
      <x:c r="C1011" s="3" t="str">
        <x:v>仅AR接收</x:v>
      </x:c>
      <x:c r="D1011" s="25" t="n">
        <x:v>1</x:v>
      </x:c>
      <x:c r="E1011" s="25" t="n">
        <x:v>6</x:v>
      </x:c>
      <x:c r="F1011" s="25" t="n">
        <x:v>1</x:v>
      </x:c>
      <x:c r="G1011" s="19" t="n">
        <x:f>SUM(D1011:F1011)</x:f>
        <x:v>8</x:v>
      </x:c>
      <x:c r="H1011" s="25" t="str">
        <x:v>-</x:v>
      </x:c>
      <x:c r="I1011" s="25" t="n">
        <x:v>1</x:v>
      </x:c>
      <x:c r="J1011" s="25" t="n">
        <x:v>1</x:v>
      </x:c>
      <x:c r="K1011" s="19" t="n">
        <x:f>D1011-IF(H1011=0,1,0)</x:f>
        <x:v>1</x:v>
      </x:c>
      <x:c r="L1011" s="19" t="n">
        <x:f>E1011-IF(H1011=1,1,0)</x:f>
        <x:v>6</x:v>
      </x:c>
      <x:c r="M1011" s="19" t="n">
        <x:f>F1011-IF(H1011=2,1,0)</x:f>
        <x:v>1</x:v>
      </x:c>
      <x:c r="N1011" s="19" t="n">
        <x:f>MAX(K1011-1,0)+MAX(L1011-1,0)+MAX(M1011-1,0)</x:f>
        <x:v>5</x:v>
      </x:c>
      <x:c r="O1011" s="19" t="n">
        <x:f>IF(AND(SUM(K1011:M1011)&lt;9,OR(M1011=0,N1011&lt;6)),1,0)</x:f>
        <x:v>1</x:v>
      </x:c>
      <x:c r="P1011" s="19" t="n">
        <x:f>IF(AND(SUM(K1011:M1011)&lt;9,OR(L1011=0,N1011&lt;6)),1,0)</x:f>
        <x:v>1</x:v>
      </x:c>
      <x:c r="Q1011" s="19" t="n">
        <x:f>IF(AND(SUM(K1011:M1011)&lt;9,OR(K1011=0,N1011&lt;6)),1,0)</x:f>
        <x:v>1</x:v>
      </x:c>
      <x:c r="R1011" s="22" t="str">
        <x:f>O1011&amp;P1011&amp;Q1011</x:f>
        <x:v>111</x:v>
      </x:c>
      <x:c r="S1011" s="19" t="n">
        <x:f>IF(I1011=1,IF(J1011=0,Q1011,IF(J1011=1,P1011,IF(J1011=2,O1011,0))),0)</x:f>
        <x:v>1</x:v>
      </x:c>
      <x:c r="T1011" s="19" t="n">
        <x:f>K1011+IF(AND(S1011=1,J1011=0),1,0)</x:f>
        <x:v>1</x:v>
      </x:c>
      <x:c r="U1011" s="19" t="n">
        <x:f>L1011+IF(AND(S1011=1,J1011=1),1,0)</x:f>
        <x:v>7</x:v>
      </x:c>
      <x:c r="V1011" s="19" t="n">
        <x:f>M1011+IF(AND(S1011=1,J1011=2),1,0)</x:f>
        <x:v>1</x:v>
      </x:c>
      <x:c r="W1011" s="19" t="n">
        <x:f>SUM(T1011:V1011)</x:f>
        <x:v>9</x:v>
      </x:c>
      <x:c r="X1011" s="19" t="n">
        <x:f>W1011-G1011</x:f>
        <x:v>1</x:v>
      </x:c>
      <x:c r="Y1011" s="19" t="n">
        <x:f>MAX(T1011,1)+MAX(U1011,1)+MAX(V1011,1)</x:f>
        <x:v>9</x:v>
      </x:c>
      <x:c r="Z1011" s="21" t="str">
        <x:f>IF(AND(MIN(D1011:F1011)&gt;=0,MAX(D1011:F1011)&lt;=7,MAX(D1011,1)+MAX(E1011,1)+MAX(F1011,1)&lt;=9,OR(H1011="-",AND(H1011=0,D1011&gt;0),AND(H1011=1,E1011&gt;0),AND(H1011=2,F1011&gt;0)),OR(I1011=0,AND(I1011=1,OR(J1011=0,J1011=1,J1011=2),R1011&lt;&gt;"000")),Y1011&lt;=9,MIN(T1011:V1011)&gt;=0),"合法","输入违约")</x:f>
        <x:v>合法</x:v>
      </x:c>
    </x:row>
    <x:row r="1012" ht="23" customHeight="1">
      <x:c r="A1012" s="3" t="str">
        <x:v>CT-1005</x:v>
      </x:c>
      <x:c r="B1012" s="3" t="str">
        <x:v>ST-134</x:v>
      </x:c>
      <x:c r="C1012" s="3" t="str">
        <x:v>仅AR接收</x:v>
      </x:c>
      <x:c r="D1012" s="25" t="n">
        <x:v>1</x:v>
      </x:c>
      <x:c r="E1012" s="25" t="n">
        <x:v>6</x:v>
      </x:c>
      <x:c r="F1012" s="25" t="n">
        <x:v>1</x:v>
      </x:c>
      <x:c r="G1012" s="19" t="n">
        <x:f>SUM(D1012:F1012)</x:f>
        <x:v>8</x:v>
      </x:c>
      <x:c r="H1012" s="25" t="str">
        <x:v>-</x:v>
      </x:c>
      <x:c r="I1012" s="25" t="n">
        <x:v>1</x:v>
      </x:c>
      <x:c r="J1012" s="25" t="n">
        <x:v>2</x:v>
      </x:c>
      <x:c r="K1012" s="19" t="n">
        <x:f>D1012-IF(H1012=0,1,0)</x:f>
        <x:v>1</x:v>
      </x:c>
      <x:c r="L1012" s="19" t="n">
        <x:f>E1012-IF(H1012=1,1,0)</x:f>
        <x:v>6</x:v>
      </x:c>
      <x:c r="M1012" s="19" t="n">
        <x:f>F1012-IF(H1012=2,1,0)</x:f>
        <x:v>1</x:v>
      </x:c>
      <x:c r="N1012" s="19" t="n">
        <x:f>MAX(K1012-1,0)+MAX(L1012-1,0)+MAX(M1012-1,0)</x:f>
        <x:v>5</x:v>
      </x:c>
      <x:c r="O1012" s="19" t="n">
        <x:f>IF(AND(SUM(K1012:M1012)&lt;9,OR(M1012=0,N1012&lt;6)),1,0)</x:f>
        <x:v>1</x:v>
      </x:c>
      <x:c r="P1012" s="19" t="n">
        <x:f>IF(AND(SUM(K1012:M1012)&lt;9,OR(L1012=0,N1012&lt;6)),1,0)</x:f>
        <x:v>1</x:v>
      </x:c>
      <x:c r="Q1012" s="19" t="n">
        <x:f>IF(AND(SUM(K1012:M1012)&lt;9,OR(K1012=0,N1012&lt;6)),1,0)</x:f>
        <x:v>1</x:v>
      </x:c>
      <x:c r="R1012" s="22" t="str">
        <x:f>O1012&amp;P1012&amp;Q1012</x:f>
        <x:v>111</x:v>
      </x:c>
      <x:c r="S1012" s="19" t="n">
        <x:f>IF(I1012=1,IF(J1012=0,Q1012,IF(J1012=1,P1012,IF(J1012=2,O1012,0))),0)</x:f>
        <x:v>1</x:v>
      </x:c>
      <x:c r="T1012" s="19" t="n">
        <x:f>K1012+IF(AND(S1012=1,J1012=0),1,0)</x:f>
        <x:v>1</x:v>
      </x:c>
      <x:c r="U1012" s="19" t="n">
        <x:f>L1012+IF(AND(S1012=1,J1012=1),1,0)</x:f>
        <x:v>6</x:v>
      </x:c>
      <x:c r="V1012" s="19" t="n">
        <x:f>M1012+IF(AND(S1012=1,J1012=2),1,0)</x:f>
        <x:v>2</x:v>
      </x:c>
      <x:c r="W1012" s="19" t="n">
        <x:f>SUM(T1012:V1012)</x:f>
        <x:v>9</x:v>
      </x:c>
      <x:c r="X1012" s="19" t="n">
        <x:f>W1012-G1012</x:f>
        <x:v>1</x:v>
      </x:c>
      <x:c r="Y1012" s="19" t="n">
        <x:f>MAX(T1012,1)+MAX(U1012,1)+MAX(V1012,1)</x:f>
        <x:v>9</x:v>
      </x:c>
      <x:c r="Z1012" s="21" t="str">
        <x:f>IF(AND(MIN(D1012:F1012)&gt;=0,MAX(D1012:F1012)&lt;=7,MAX(D1012,1)+MAX(E1012,1)+MAX(F1012,1)&lt;=9,OR(H1012="-",AND(H1012=0,D1012&gt;0),AND(H1012=1,E1012&gt;0),AND(H1012=2,F1012&gt;0)),OR(I1012=0,AND(I1012=1,OR(J1012=0,J1012=1,J1012=2),R1012&lt;&gt;"000")),Y1012&lt;=9,MIN(T1012:V1012)&gt;=0),"合法","输入违约")</x:f>
        <x:v>合法</x:v>
      </x:c>
    </x:row>
    <x:row r="1013" ht="23" customHeight="1">
      <x:c r="A1013" s="3" t="str">
        <x:v>CT-1006</x:v>
      </x:c>
      <x:c r="B1013" s="3" t="str">
        <x:v>ST-134</x:v>
      </x:c>
      <x:c r="C1013" s="3" t="str">
        <x:v>仅R回收</x:v>
      </x:c>
      <x:c r="D1013" s="25" t="n">
        <x:v>1</x:v>
      </x:c>
      <x:c r="E1013" s="25" t="n">
        <x:v>6</x:v>
      </x:c>
      <x:c r="F1013" s="25" t="n">
        <x:v>1</x:v>
      </x:c>
      <x:c r="G1013" s="19" t="n">
        <x:f>SUM(D1013:F1013)</x:f>
        <x:v>8</x:v>
      </x:c>
      <x:c r="H1013" s="25" t="n">
        <x:v>0</x:v>
      </x:c>
      <x:c r="I1013" s="25" t="n">
        <x:v>0</x:v>
      </x:c>
      <x:c r="J1013" s="25" t="str">
        <x:v>-</x:v>
      </x:c>
      <x:c r="K1013" s="19" t="n">
        <x:f>D1013-IF(H1013=0,1,0)</x:f>
        <x:v>0</x:v>
      </x:c>
      <x:c r="L1013" s="19" t="n">
        <x:f>E1013-IF(H1013=1,1,0)</x:f>
        <x:v>6</x:v>
      </x:c>
      <x:c r="M1013" s="19" t="n">
        <x:f>F1013-IF(H1013=2,1,0)</x:f>
        <x:v>1</x:v>
      </x:c>
      <x:c r="N1013" s="19" t="n">
        <x:f>MAX(K1013-1,0)+MAX(L1013-1,0)+MAX(M1013-1,0)</x:f>
        <x:v>5</x:v>
      </x:c>
      <x:c r="O1013" s="19" t="n">
        <x:f>IF(AND(SUM(K1013:M1013)&lt;9,OR(M1013=0,N1013&lt;6)),1,0)</x:f>
        <x:v>1</x:v>
      </x:c>
      <x:c r="P1013" s="19" t="n">
        <x:f>IF(AND(SUM(K1013:M1013)&lt;9,OR(L1013=0,N1013&lt;6)),1,0)</x:f>
        <x:v>1</x:v>
      </x:c>
      <x:c r="Q1013" s="19" t="n">
        <x:f>IF(AND(SUM(K1013:M1013)&lt;9,OR(K1013=0,N1013&lt;6)),1,0)</x:f>
        <x:v>1</x:v>
      </x:c>
      <x:c r="R1013" s="22" t="str">
        <x:f>O1013&amp;P1013&amp;Q1013</x:f>
        <x:v>111</x:v>
      </x:c>
      <x:c r="S1013" s="19" t="n">
        <x:f>IF(I1013=1,IF(J1013=0,Q1013,IF(J1013=1,P1013,IF(J1013=2,O1013,0))),0)</x:f>
        <x:v>0</x:v>
      </x:c>
      <x:c r="T1013" s="19" t="n">
        <x:f>K1013+IF(AND(S1013=1,J1013=0),1,0)</x:f>
        <x:v>0</x:v>
      </x:c>
      <x:c r="U1013" s="19" t="n">
        <x:f>L1013+IF(AND(S1013=1,J1013=1),1,0)</x:f>
        <x:v>6</x:v>
      </x:c>
      <x:c r="V1013" s="19" t="n">
        <x:f>M1013+IF(AND(S1013=1,J1013=2),1,0)</x:f>
        <x:v>1</x:v>
      </x:c>
      <x:c r="W1013" s="19" t="n">
        <x:f>SUM(T1013:V1013)</x:f>
        <x:v>7</x:v>
      </x:c>
      <x:c r="X1013" s="19" t="n">
        <x:f>W1013-G1013</x:f>
        <x:v>-1</x:v>
      </x:c>
      <x:c r="Y1013" s="19" t="n">
        <x:f>MAX(T1013,1)+MAX(U1013,1)+MAX(V1013,1)</x:f>
        <x:v>8</x:v>
      </x:c>
      <x:c r="Z1013" s="21" t="str">
        <x:f>IF(AND(MIN(D1013:F1013)&gt;=0,MAX(D1013:F1013)&lt;=7,MAX(D1013,1)+MAX(E1013,1)+MAX(F1013,1)&lt;=9,OR(H1013="-",AND(H1013=0,D1013&gt;0),AND(H1013=1,E1013&gt;0),AND(H1013=2,F1013&gt;0)),OR(I1013=0,AND(I1013=1,OR(J1013=0,J1013=1,J1013=2),R1013&lt;&gt;"000")),Y1013&lt;=9,MIN(T1013:V1013)&gt;=0),"合法","输入违约")</x:f>
        <x:v>合法</x:v>
      </x:c>
    </x:row>
    <x:row r="1014" ht="23" customHeight="1">
      <x:c r="A1014" s="3" t="str">
        <x:v>CT-1007</x:v>
      </x:c>
      <x:c r="B1014" s="3" t="str">
        <x:v>ST-134</x:v>
      </x:c>
      <x:c r="C1014" s="3" t="str">
        <x:v>R+AR同收同发</x:v>
      </x:c>
      <x:c r="D1014" s="25" t="n">
        <x:v>1</x:v>
      </x:c>
      <x:c r="E1014" s="25" t="n">
        <x:v>6</x:v>
      </x:c>
      <x:c r="F1014" s="25" t="n">
        <x:v>1</x:v>
      </x:c>
      <x:c r="G1014" s="19" t="n">
        <x:f>SUM(D1014:F1014)</x:f>
        <x:v>8</x:v>
      </x:c>
      <x:c r="H1014" s="25" t="n">
        <x:v>0</x:v>
      </x:c>
      <x:c r="I1014" s="25" t="n">
        <x:v>1</x:v>
      </x:c>
      <x:c r="J1014" s="25" t="n">
        <x:v>0</x:v>
      </x:c>
      <x:c r="K1014" s="19" t="n">
        <x:f>D1014-IF(H1014=0,1,0)</x:f>
        <x:v>0</x:v>
      </x:c>
      <x:c r="L1014" s="19" t="n">
        <x:f>E1014-IF(H1014=1,1,0)</x:f>
        <x:v>6</x:v>
      </x:c>
      <x:c r="M1014" s="19" t="n">
        <x:f>F1014-IF(H1014=2,1,0)</x:f>
        <x:v>1</x:v>
      </x:c>
      <x:c r="N1014" s="19" t="n">
        <x:f>MAX(K1014-1,0)+MAX(L1014-1,0)+MAX(M1014-1,0)</x:f>
        <x:v>5</x:v>
      </x:c>
      <x:c r="O1014" s="19" t="n">
        <x:f>IF(AND(SUM(K1014:M1014)&lt;9,OR(M1014=0,N1014&lt;6)),1,0)</x:f>
        <x:v>1</x:v>
      </x:c>
      <x:c r="P1014" s="19" t="n">
        <x:f>IF(AND(SUM(K1014:M1014)&lt;9,OR(L1014=0,N1014&lt;6)),1,0)</x:f>
        <x:v>1</x:v>
      </x:c>
      <x:c r="Q1014" s="19" t="n">
        <x:f>IF(AND(SUM(K1014:M1014)&lt;9,OR(K1014=0,N1014&lt;6)),1,0)</x:f>
        <x:v>1</x:v>
      </x:c>
      <x:c r="R1014" s="22" t="str">
        <x:f>O1014&amp;P1014&amp;Q1014</x:f>
        <x:v>111</x:v>
      </x:c>
      <x:c r="S1014" s="19" t="n">
        <x:f>IF(I1014=1,IF(J1014=0,Q1014,IF(J1014=1,P1014,IF(J1014=2,O1014,0))),0)</x:f>
        <x:v>1</x:v>
      </x:c>
      <x:c r="T1014" s="19" t="n">
        <x:f>K1014+IF(AND(S1014=1,J1014=0),1,0)</x:f>
        <x:v>1</x:v>
      </x:c>
      <x:c r="U1014" s="19" t="n">
        <x:f>L1014+IF(AND(S1014=1,J1014=1),1,0)</x:f>
        <x:v>6</x:v>
      </x:c>
      <x:c r="V1014" s="19" t="n">
        <x:f>M1014+IF(AND(S1014=1,J1014=2),1,0)</x:f>
        <x:v>1</x:v>
      </x:c>
      <x:c r="W1014" s="19" t="n">
        <x:f>SUM(T1014:V1014)</x:f>
        <x:v>8</x:v>
      </x:c>
      <x:c r="X1014" s="19" t="n">
        <x:f>W1014-G1014</x:f>
        <x:v>0</x:v>
      </x:c>
      <x:c r="Y1014" s="19" t="n">
        <x:f>MAX(T1014,1)+MAX(U1014,1)+MAX(V1014,1)</x:f>
        <x:v>8</x:v>
      </x:c>
      <x:c r="Z1014" s="21" t="str">
        <x:f>IF(AND(MIN(D1014:F1014)&gt;=0,MAX(D1014:F1014)&lt;=7,MAX(D1014,1)+MAX(E1014,1)+MAX(F1014,1)&lt;=9,OR(H1014="-",AND(H1014=0,D1014&gt;0),AND(H1014=1,E1014&gt;0),AND(H1014=2,F1014&gt;0)),OR(I1014=0,AND(I1014=1,OR(J1014=0,J1014=1,J1014=2),R1014&lt;&gt;"000")),Y1014&lt;=9,MIN(T1014:V1014)&gt;=0),"合法","输入违约")</x:f>
        <x:v>合法</x:v>
      </x:c>
    </x:row>
    <x:row r="1015" ht="23" customHeight="1">
      <x:c r="A1015" s="3" t="str">
        <x:v>CT-1008</x:v>
      </x:c>
      <x:c r="B1015" s="3" t="str">
        <x:v>ST-134</x:v>
      </x:c>
      <x:c r="C1015" s="3" t="str">
        <x:v>R+AR同收同发</x:v>
      </x:c>
      <x:c r="D1015" s="25" t="n">
        <x:v>1</x:v>
      </x:c>
      <x:c r="E1015" s="25" t="n">
        <x:v>6</x:v>
      </x:c>
      <x:c r="F1015" s="25" t="n">
        <x:v>1</x:v>
      </x:c>
      <x:c r="G1015" s="19" t="n">
        <x:f>SUM(D1015:F1015)</x:f>
        <x:v>8</x:v>
      </x:c>
      <x:c r="H1015" s="25" t="n">
        <x:v>0</x:v>
      </x:c>
      <x:c r="I1015" s="25" t="n">
        <x:v>1</x:v>
      </x:c>
      <x:c r="J1015" s="25" t="n">
        <x:v>1</x:v>
      </x:c>
      <x:c r="K1015" s="19" t="n">
        <x:f>D1015-IF(H1015=0,1,0)</x:f>
        <x:v>0</x:v>
      </x:c>
      <x:c r="L1015" s="19" t="n">
        <x:f>E1015-IF(H1015=1,1,0)</x:f>
        <x:v>6</x:v>
      </x:c>
      <x:c r="M1015" s="19" t="n">
        <x:f>F1015-IF(H1015=2,1,0)</x:f>
        <x:v>1</x:v>
      </x:c>
      <x:c r="N1015" s="19" t="n">
        <x:f>MAX(K1015-1,0)+MAX(L1015-1,0)+MAX(M1015-1,0)</x:f>
        <x:v>5</x:v>
      </x:c>
      <x:c r="O1015" s="19" t="n">
        <x:f>IF(AND(SUM(K1015:M1015)&lt;9,OR(M1015=0,N1015&lt;6)),1,0)</x:f>
        <x:v>1</x:v>
      </x:c>
      <x:c r="P1015" s="19" t="n">
        <x:f>IF(AND(SUM(K1015:M1015)&lt;9,OR(L1015=0,N1015&lt;6)),1,0)</x:f>
        <x:v>1</x:v>
      </x:c>
      <x:c r="Q1015" s="19" t="n">
        <x:f>IF(AND(SUM(K1015:M1015)&lt;9,OR(K1015=0,N1015&lt;6)),1,0)</x:f>
        <x:v>1</x:v>
      </x:c>
      <x:c r="R1015" s="22" t="str">
        <x:f>O1015&amp;P1015&amp;Q1015</x:f>
        <x:v>111</x:v>
      </x:c>
      <x:c r="S1015" s="19" t="n">
        <x:f>IF(I1015=1,IF(J1015=0,Q1015,IF(J1015=1,P1015,IF(J1015=2,O1015,0))),0)</x:f>
        <x:v>1</x:v>
      </x:c>
      <x:c r="T1015" s="19" t="n">
        <x:f>K1015+IF(AND(S1015=1,J1015=0),1,0)</x:f>
        <x:v>0</x:v>
      </x:c>
      <x:c r="U1015" s="19" t="n">
        <x:f>L1015+IF(AND(S1015=1,J1015=1),1,0)</x:f>
        <x:v>7</x:v>
      </x:c>
      <x:c r="V1015" s="19" t="n">
        <x:f>M1015+IF(AND(S1015=1,J1015=2),1,0)</x:f>
        <x:v>1</x:v>
      </x:c>
      <x:c r="W1015" s="19" t="n">
        <x:f>SUM(T1015:V1015)</x:f>
        <x:v>8</x:v>
      </x:c>
      <x:c r="X1015" s="19" t="n">
        <x:f>W1015-G1015</x:f>
        <x:v>0</x:v>
      </x:c>
      <x:c r="Y1015" s="19" t="n">
        <x:f>MAX(T1015,1)+MAX(U1015,1)+MAX(V1015,1)</x:f>
        <x:v>9</x:v>
      </x:c>
      <x:c r="Z1015" s="21" t="str">
        <x:f>IF(AND(MIN(D1015:F1015)&gt;=0,MAX(D1015:F1015)&lt;=7,MAX(D1015,1)+MAX(E1015,1)+MAX(F1015,1)&lt;=9,OR(H1015="-",AND(H1015=0,D1015&gt;0),AND(H1015=1,E1015&gt;0),AND(H1015=2,F1015&gt;0)),OR(I1015=0,AND(I1015=1,OR(J1015=0,J1015=1,J1015=2),R1015&lt;&gt;"000")),Y1015&lt;=9,MIN(T1015:V1015)&gt;=0),"合法","输入违约")</x:f>
        <x:v>合法</x:v>
      </x:c>
    </x:row>
    <x:row r="1016" ht="23" customHeight="1">
      <x:c r="A1016" s="3" t="str">
        <x:v>CT-1009</x:v>
      </x:c>
      <x:c r="B1016" s="3" t="str">
        <x:v>ST-134</x:v>
      </x:c>
      <x:c r="C1016" s="3" t="str">
        <x:v>R+AR同收同发</x:v>
      </x:c>
      <x:c r="D1016" s="25" t="n">
        <x:v>1</x:v>
      </x:c>
      <x:c r="E1016" s="25" t="n">
        <x:v>6</x:v>
      </x:c>
      <x:c r="F1016" s="25" t="n">
        <x:v>1</x:v>
      </x:c>
      <x:c r="G1016" s="19" t="n">
        <x:f>SUM(D1016:F1016)</x:f>
        <x:v>8</x:v>
      </x:c>
      <x:c r="H1016" s="25" t="n">
        <x:v>0</x:v>
      </x:c>
      <x:c r="I1016" s="25" t="n">
        <x:v>1</x:v>
      </x:c>
      <x:c r="J1016" s="25" t="n">
        <x:v>2</x:v>
      </x:c>
      <x:c r="K1016" s="19" t="n">
        <x:f>D1016-IF(H1016=0,1,0)</x:f>
        <x:v>0</x:v>
      </x:c>
      <x:c r="L1016" s="19" t="n">
        <x:f>E1016-IF(H1016=1,1,0)</x:f>
        <x:v>6</x:v>
      </x:c>
      <x:c r="M1016" s="19" t="n">
        <x:f>F1016-IF(H1016=2,1,0)</x:f>
        <x:v>1</x:v>
      </x:c>
      <x:c r="N1016" s="19" t="n">
        <x:f>MAX(K1016-1,0)+MAX(L1016-1,0)+MAX(M1016-1,0)</x:f>
        <x:v>5</x:v>
      </x:c>
      <x:c r="O1016" s="19" t="n">
        <x:f>IF(AND(SUM(K1016:M1016)&lt;9,OR(M1016=0,N1016&lt;6)),1,0)</x:f>
        <x:v>1</x:v>
      </x:c>
      <x:c r="P1016" s="19" t="n">
        <x:f>IF(AND(SUM(K1016:M1016)&lt;9,OR(L1016=0,N1016&lt;6)),1,0)</x:f>
        <x:v>1</x:v>
      </x:c>
      <x:c r="Q1016" s="19" t="n">
        <x:f>IF(AND(SUM(K1016:M1016)&lt;9,OR(K1016=0,N1016&lt;6)),1,0)</x:f>
        <x:v>1</x:v>
      </x:c>
      <x:c r="R1016" s="22" t="str">
        <x:f>O1016&amp;P1016&amp;Q1016</x:f>
        <x:v>111</x:v>
      </x:c>
      <x:c r="S1016" s="19" t="n">
        <x:f>IF(I1016=1,IF(J1016=0,Q1016,IF(J1016=1,P1016,IF(J1016=2,O1016,0))),0)</x:f>
        <x:v>1</x:v>
      </x:c>
      <x:c r="T1016" s="19" t="n">
        <x:f>K1016+IF(AND(S1016=1,J1016=0),1,0)</x:f>
        <x:v>0</x:v>
      </x:c>
      <x:c r="U1016" s="19" t="n">
        <x:f>L1016+IF(AND(S1016=1,J1016=1),1,0)</x:f>
        <x:v>6</x:v>
      </x:c>
      <x:c r="V1016" s="19" t="n">
        <x:f>M1016+IF(AND(S1016=1,J1016=2),1,0)</x:f>
        <x:v>2</x:v>
      </x:c>
      <x:c r="W1016" s="19" t="n">
        <x:f>SUM(T1016:V1016)</x:f>
        <x:v>8</x:v>
      </x:c>
      <x:c r="X1016" s="19" t="n">
        <x:f>W1016-G1016</x:f>
        <x:v>0</x:v>
      </x:c>
      <x:c r="Y1016" s="19" t="n">
        <x:f>MAX(T1016,1)+MAX(U1016,1)+MAX(V1016,1)</x:f>
        <x:v>9</x:v>
      </x:c>
      <x:c r="Z1016" s="21" t="str">
        <x:f>IF(AND(MIN(D1016:F1016)&gt;=0,MAX(D1016:F1016)&lt;=7,MAX(D1016,1)+MAX(E1016,1)+MAX(F1016,1)&lt;=9,OR(H1016="-",AND(H1016=0,D1016&gt;0),AND(H1016=1,E1016&gt;0),AND(H1016=2,F1016&gt;0)),OR(I1016=0,AND(I1016=1,OR(J1016=0,J1016=1,J1016=2),R1016&lt;&gt;"000")),Y1016&lt;=9,MIN(T1016:V1016)&gt;=0),"合法","输入违约")</x:f>
        <x:v>合法</x:v>
      </x:c>
    </x:row>
    <x:row r="1017" ht="23" customHeight="1">
      <x:c r="A1017" s="3" t="str">
        <x:v>CT-1010</x:v>
      </x:c>
      <x:c r="B1017" s="3" t="str">
        <x:v>ST-134</x:v>
      </x:c>
      <x:c r="C1017" s="3" t="str">
        <x:v>仅R回收</x:v>
      </x:c>
      <x:c r="D1017" s="25" t="n">
        <x:v>1</x:v>
      </x:c>
      <x:c r="E1017" s="25" t="n">
        <x:v>6</x:v>
      </x:c>
      <x:c r="F1017" s="25" t="n">
        <x:v>1</x:v>
      </x:c>
      <x:c r="G1017" s="19" t="n">
        <x:f>SUM(D1017:F1017)</x:f>
        <x:v>8</x:v>
      </x:c>
      <x:c r="H1017" s="25" t="n">
        <x:v>1</x:v>
      </x:c>
      <x:c r="I1017" s="25" t="n">
        <x:v>0</x:v>
      </x:c>
      <x:c r="J1017" s="25" t="str">
        <x:v>-</x:v>
      </x:c>
      <x:c r="K1017" s="19" t="n">
        <x:f>D1017-IF(H1017=0,1,0)</x:f>
        <x:v>1</x:v>
      </x:c>
      <x:c r="L1017" s="19" t="n">
        <x:f>E1017-IF(H1017=1,1,0)</x:f>
        <x:v>5</x:v>
      </x:c>
      <x:c r="M1017" s="19" t="n">
        <x:f>F1017-IF(H1017=2,1,0)</x:f>
        <x:v>1</x:v>
      </x:c>
      <x:c r="N1017" s="19" t="n">
        <x:f>MAX(K1017-1,0)+MAX(L1017-1,0)+MAX(M1017-1,0)</x:f>
        <x:v>4</x:v>
      </x:c>
      <x:c r="O1017" s="19" t="n">
        <x:f>IF(AND(SUM(K1017:M1017)&lt;9,OR(M1017=0,N1017&lt;6)),1,0)</x:f>
        <x:v>1</x:v>
      </x:c>
      <x:c r="P1017" s="19" t="n">
        <x:f>IF(AND(SUM(K1017:M1017)&lt;9,OR(L1017=0,N1017&lt;6)),1,0)</x:f>
        <x:v>1</x:v>
      </x:c>
      <x:c r="Q1017" s="19" t="n">
        <x:f>IF(AND(SUM(K1017:M1017)&lt;9,OR(K1017=0,N1017&lt;6)),1,0)</x:f>
        <x:v>1</x:v>
      </x:c>
      <x:c r="R1017" s="22" t="str">
        <x:f>O1017&amp;P1017&amp;Q1017</x:f>
        <x:v>111</x:v>
      </x:c>
      <x:c r="S1017" s="19" t="n">
        <x:f>IF(I1017=1,IF(J1017=0,Q1017,IF(J1017=1,P1017,IF(J1017=2,O1017,0))),0)</x:f>
        <x:v>0</x:v>
      </x:c>
      <x:c r="T1017" s="19" t="n">
        <x:f>K1017+IF(AND(S1017=1,J1017=0),1,0)</x:f>
        <x:v>1</x:v>
      </x:c>
      <x:c r="U1017" s="19" t="n">
        <x:f>L1017+IF(AND(S1017=1,J1017=1),1,0)</x:f>
        <x:v>5</x:v>
      </x:c>
      <x:c r="V1017" s="19" t="n">
        <x:f>M1017+IF(AND(S1017=1,J1017=2),1,0)</x:f>
        <x:v>1</x:v>
      </x:c>
      <x:c r="W1017" s="19" t="n">
        <x:f>SUM(T1017:V1017)</x:f>
        <x:v>7</x:v>
      </x:c>
      <x:c r="X1017" s="19" t="n">
        <x:f>W1017-G1017</x:f>
        <x:v>-1</x:v>
      </x:c>
      <x:c r="Y1017" s="19" t="n">
        <x:f>MAX(T1017,1)+MAX(U1017,1)+MAX(V1017,1)</x:f>
        <x:v>7</x:v>
      </x:c>
      <x:c r="Z1017" s="21" t="str">
        <x:f>IF(AND(MIN(D1017:F1017)&gt;=0,MAX(D1017:F1017)&lt;=7,MAX(D1017,1)+MAX(E1017,1)+MAX(F1017,1)&lt;=9,OR(H1017="-",AND(H1017=0,D1017&gt;0),AND(H1017=1,E1017&gt;0),AND(H1017=2,F1017&gt;0)),OR(I1017=0,AND(I1017=1,OR(J1017=0,J1017=1,J1017=2),R1017&lt;&gt;"000")),Y1017&lt;=9,MIN(T1017:V1017)&gt;=0),"合法","输入违约")</x:f>
        <x:v>合法</x:v>
      </x:c>
    </x:row>
    <x:row r="1018" ht="23" customHeight="1">
      <x:c r="A1018" s="3" t="str">
        <x:v>CT-1011</x:v>
      </x:c>
      <x:c r="B1018" s="3" t="str">
        <x:v>ST-134</x:v>
      </x:c>
      <x:c r="C1018" s="3" t="str">
        <x:v>R+AR同收同发</x:v>
      </x:c>
      <x:c r="D1018" s="25" t="n">
        <x:v>1</x:v>
      </x:c>
      <x:c r="E1018" s="25" t="n">
        <x:v>6</x:v>
      </x:c>
      <x:c r="F1018" s="25" t="n">
        <x:v>1</x:v>
      </x:c>
      <x:c r="G1018" s="19" t="n">
        <x:f>SUM(D1018:F1018)</x:f>
        <x:v>8</x:v>
      </x:c>
      <x:c r="H1018" s="25" t="n">
        <x:v>1</x:v>
      </x:c>
      <x:c r="I1018" s="25" t="n">
        <x:v>1</x:v>
      </x:c>
      <x:c r="J1018" s="25" t="n">
        <x:v>0</x:v>
      </x:c>
      <x:c r="K1018" s="19" t="n">
        <x:f>D1018-IF(H1018=0,1,0)</x:f>
        <x:v>1</x:v>
      </x:c>
      <x:c r="L1018" s="19" t="n">
        <x:f>E1018-IF(H1018=1,1,0)</x:f>
        <x:v>5</x:v>
      </x:c>
      <x:c r="M1018" s="19" t="n">
        <x:f>F1018-IF(H1018=2,1,0)</x:f>
        <x:v>1</x:v>
      </x:c>
      <x:c r="N1018" s="19" t="n">
        <x:f>MAX(K1018-1,0)+MAX(L1018-1,0)+MAX(M1018-1,0)</x:f>
        <x:v>4</x:v>
      </x:c>
      <x:c r="O1018" s="19" t="n">
        <x:f>IF(AND(SUM(K1018:M1018)&lt;9,OR(M1018=0,N1018&lt;6)),1,0)</x:f>
        <x:v>1</x:v>
      </x:c>
      <x:c r="P1018" s="19" t="n">
        <x:f>IF(AND(SUM(K1018:M1018)&lt;9,OR(L1018=0,N1018&lt;6)),1,0)</x:f>
        <x:v>1</x:v>
      </x:c>
      <x:c r="Q1018" s="19" t="n">
        <x:f>IF(AND(SUM(K1018:M1018)&lt;9,OR(K1018=0,N1018&lt;6)),1,0)</x:f>
        <x:v>1</x:v>
      </x:c>
      <x:c r="R1018" s="22" t="str">
        <x:f>O1018&amp;P1018&amp;Q1018</x:f>
        <x:v>111</x:v>
      </x:c>
      <x:c r="S1018" s="19" t="n">
        <x:f>IF(I1018=1,IF(J1018=0,Q1018,IF(J1018=1,P1018,IF(J1018=2,O1018,0))),0)</x:f>
        <x:v>1</x:v>
      </x:c>
      <x:c r="T1018" s="19" t="n">
        <x:f>K1018+IF(AND(S1018=1,J1018=0),1,0)</x:f>
        <x:v>2</x:v>
      </x:c>
      <x:c r="U1018" s="19" t="n">
        <x:f>L1018+IF(AND(S1018=1,J1018=1),1,0)</x:f>
        <x:v>5</x:v>
      </x:c>
      <x:c r="V1018" s="19" t="n">
        <x:f>M1018+IF(AND(S1018=1,J1018=2),1,0)</x:f>
        <x:v>1</x:v>
      </x:c>
      <x:c r="W1018" s="19" t="n">
        <x:f>SUM(T1018:V1018)</x:f>
        <x:v>8</x:v>
      </x:c>
      <x:c r="X1018" s="19" t="n">
        <x:f>W1018-G1018</x:f>
        <x:v>0</x:v>
      </x:c>
      <x:c r="Y1018" s="19" t="n">
        <x:f>MAX(T1018,1)+MAX(U1018,1)+MAX(V1018,1)</x:f>
        <x:v>8</x:v>
      </x:c>
      <x:c r="Z1018" s="21" t="str">
        <x:f>IF(AND(MIN(D1018:F1018)&gt;=0,MAX(D1018:F1018)&lt;=7,MAX(D1018,1)+MAX(E1018,1)+MAX(F1018,1)&lt;=9,OR(H1018="-",AND(H1018=0,D1018&gt;0),AND(H1018=1,E1018&gt;0),AND(H1018=2,F1018&gt;0)),OR(I1018=0,AND(I1018=1,OR(J1018=0,J1018=1,J1018=2),R1018&lt;&gt;"000")),Y1018&lt;=9,MIN(T1018:V1018)&gt;=0),"合法","输入违约")</x:f>
        <x:v>合法</x:v>
      </x:c>
    </x:row>
    <x:row r="1019" ht="23" customHeight="1">
      <x:c r="A1019" s="3" t="str">
        <x:v>CT-1012</x:v>
      </x:c>
      <x:c r="B1019" s="3" t="str">
        <x:v>ST-134</x:v>
      </x:c>
      <x:c r="C1019" s="3" t="str">
        <x:v>R+AR同收同发</x:v>
      </x:c>
      <x:c r="D1019" s="25" t="n">
        <x:v>1</x:v>
      </x:c>
      <x:c r="E1019" s="25" t="n">
        <x:v>6</x:v>
      </x:c>
      <x:c r="F1019" s="25" t="n">
        <x:v>1</x:v>
      </x:c>
      <x:c r="G1019" s="19" t="n">
        <x:f>SUM(D1019:F1019)</x:f>
        <x:v>8</x:v>
      </x:c>
      <x:c r="H1019" s="25" t="n">
        <x:v>1</x:v>
      </x:c>
      <x:c r="I1019" s="25" t="n">
        <x:v>1</x:v>
      </x:c>
      <x:c r="J1019" s="25" t="n">
        <x:v>1</x:v>
      </x:c>
      <x:c r="K1019" s="19" t="n">
        <x:f>D1019-IF(H1019=0,1,0)</x:f>
        <x:v>1</x:v>
      </x:c>
      <x:c r="L1019" s="19" t="n">
        <x:f>E1019-IF(H1019=1,1,0)</x:f>
        <x:v>5</x:v>
      </x:c>
      <x:c r="M1019" s="19" t="n">
        <x:f>F1019-IF(H1019=2,1,0)</x:f>
        <x:v>1</x:v>
      </x:c>
      <x:c r="N1019" s="19" t="n">
        <x:f>MAX(K1019-1,0)+MAX(L1019-1,0)+MAX(M1019-1,0)</x:f>
        <x:v>4</x:v>
      </x:c>
      <x:c r="O1019" s="19" t="n">
        <x:f>IF(AND(SUM(K1019:M1019)&lt;9,OR(M1019=0,N1019&lt;6)),1,0)</x:f>
        <x:v>1</x:v>
      </x:c>
      <x:c r="P1019" s="19" t="n">
        <x:f>IF(AND(SUM(K1019:M1019)&lt;9,OR(L1019=0,N1019&lt;6)),1,0)</x:f>
        <x:v>1</x:v>
      </x:c>
      <x:c r="Q1019" s="19" t="n">
        <x:f>IF(AND(SUM(K1019:M1019)&lt;9,OR(K1019=0,N1019&lt;6)),1,0)</x:f>
        <x:v>1</x:v>
      </x:c>
      <x:c r="R1019" s="22" t="str">
        <x:f>O1019&amp;P1019&amp;Q1019</x:f>
        <x:v>111</x:v>
      </x:c>
      <x:c r="S1019" s="19" t="n">
        <x:f>IF(I1019=1,IF(J1019=0,Q1019,IF(J1019=1,P1019,IF(J1019=2,O1019,0))),0)</x:f>
        <x:v>1</x:v>
      </x:c>
      <x:c r="T1019" s="19" t="n">
        <x:f>K1019+IF(AND(S1019=1,J1019=0),1,0)</x:f>
        <x:v>1</x:v>
      </x:c>
      <x:c r="U1019" s="19" t="n">
        <x:f>L1019+IF(AND(S1019=1,J1019=1),1,0)</x:f>
        <x:v>6</x:v>
      </x:c>
      <x:c r="V1019" s="19" t="n">
        <x:f>M1019+IF(AND(S1019=1,J1019=2),1,0)</x:f>
        <x:v>1</x:v>
      </x:c>
      <x:c r="W1019" s="19" t="n">
        <x:f>SUM(T1019:V1019)</x:f>
        <x:v>8</x:v>
      </x:c>
      <x:c r="X1019" s="19" t="n">
        <x:f>W1019-G1019</x:f>
        <x:v>0</x:v>
      </x:c>
      <x:c r="Y1019" s="19" t="n">
        <x:f>MAX(T1019,1)+MAX(U1019,1)+MAX(V1019,1)</x:f>
        <x:v>8</x:v>
      </x:c>
      <x:c r="Z1019" s="21" t="str">
        <x:f>IF(AND(MIN(D1019:F1019)&gt;=0,MAX(D1019:F1019)&lt;=7,MAX(D1019,1)+MAX(E1019,1)+MAX(F1019,1)&lt;=9,OR(H1019="-",AND(H1019=0,D1019&gt;0),AND(H1019=1,E1019&gt;0),AND(H1019=2,F1019&gt;0)),OR(I1019=0,AND(I1019=1,OR(J1019=0,J1019=1,J1019=2),R1019&lt;&gt;"000")),Y1019&lt;=9,MIN(T1019:V1019)&gt;=0),"合法","输入违约")</x:f>
        <x:v>合法</x:v>
      </x:c>
    </x:row>
    <x:row r="1020" ht="23" customHeight="1">
      <x:c r="A1020" s="3" t="str">
        <x:v>CT-1013</x:v>
      </x:c>
      <x:c r="B1020" s="3" t="str">
        <x:v>ST-134</x:v>
      </x:c>
      <x:c r="C1020" s="3" t="str">
        <x:v>R+AR同收同发</x:v>
      </x:c>
      <x:c r="D1020" s="25" t="n">
        <x:v>1</x:v>
      </x:c>
      <x:c r="E1020" s="25" t="n">
        <x:v>6</x:v>
      </x:c>
      <x:c r="F1020" s="25" t="n">
        <x:v>1</x:v>
      </x:c>
      <x:c r="G1020" s="19" t="n">
        <x:f>SUM(D1020:F1020)</x:f>
        <x:v>8</x:v>
      </x:c>
      <x:c r="H1020" s="25" t="n">
        <x:v>1</x:v>
      </x:c>
      <x:c r="I1020" s="25" t="n">
        <x:v>1</x:v>
      </x:c>
      <x:c r="J1020" s="25" t="n">
        <x:v>2</x:v>
      </x:c>
      <x:c r="K1020" s="19" t="n">
        <x:f>D1020-IF(H1020=0,1,0)</x:f>
        <x:v>1</x:v>
      </x:c>
      <x:c r="L1020" s="19" t="n">
        <x:f>E1020-IF(H1020=1,1,0)</x:f>
        <x:v>5</x:v>
      </x:c>
      <x:c r="M1020" s="19" t="n">
        <x:f>F1020-IF(H1020=2,1,0)</x:f>
        <x:v>1</x:v>
      </x:c>
      <x:c r="N1020" s="19" t="n">
        <x:f>MAX(K1020-1,0)+MAX(L1020-1,0)+MAX(M1020-1,0)</x:f>
        <x:v>4</x:v>
      </x:c>
      <x:c r="O1020" s="19" t="n">
        <x:f>IF(AND(SUM(K1020:M1020)&lt;9,OR(M1020=0,N1020&lt;6)),1,0)</x:f>
        <x:v>1</x:v>
      </x:c>
      <x:c r="P1020" s="19" t="n">
        <x:f>IF(AND(SUM(K1020:M1020)&lt;9,OR(L1020=0,N1020&lt;6)),1,0)</x:f>
        <x:v>1</x:v>
      </x:c>
      <x:c r="Q1020" s="19" t="n">
        <x:f>IF(AND(SUM(K1020:M1020)&lt;9,OR(K1020=0,N1020&lt;6)),1,0)</x:f>
        <x:v>1</x:v>
      </x:c>
      <x:c r="R1020" s="22" t="str">
        <x:f>O1020&amp;P1020&amp;Q1020</x:f>
        <x:v>111</x:v>
      </x:c>
      <x:c r="S1020" s="19" t="n">
        <x:f>IF(I1020=1,IF(J1020=0,Q1020,IF(J1020=1,P1020,IF(J1020=2,O1020,0))),0)</x:f>
        <x:v>1</x:v>
      </x:c>
      <x:c r="T1020" s="19" t="n">
        <x:f>K1020+IF(AND(S1020=1,J1020=0),1,0)</x:f>
        <x:v>1</x:v>
      </x:c>
      <x:c r="U1020" s="19" t="n">
        <x:f>L1020+IF(AND(S1020=1,J1020=1),1,0)</x:f>
        <x:v>5</x:v>
      </x:c>
      <x:c r="V1020" s="19" t="n">
        <x:f>M1020+IF(AND(S1020=1,J1020=2),1,0)</x:f>
        <x:v>2</x:v>
      </x:c>
      <x:c r="W1020" s="19" t="n">
        <x:f>SUM(T1020:V1020)</x:f>
        <x:v>8</x:v>
      </x:c>
      <x:c r="X1020" s="19" t="n">
        <x:f>W1020-G1020</x:f>
        <x:v>0</x:v>
      </x:c>
      <x:c r="Y1020" s="19" t="n">
        <x:f>MAX(T1020,1)+MAX(U1020,1)+MAX(V1020,1)</x:f>
        <x:v>8</x:v>
      </x:c>
      <x:c r="Z1020" s="21" t="str">
        <x:f>IF(AND(MIN(D1020:F1020)&gt;=0,MAX(D1020:F1020)&lt;=7,MAX(D1020,1)+MAX(E1020,1)+MAX(F1020,1)&lt;=9,OR(H1020="-",AND(H1020=0,D1020&gt;0),AND(H1020=1,E1020&gt;0),AND(H1020=2,F1020&gt;0)),OR(I1020=0,AND(I1020=1,OR(J1020=0,J1020=1,J1020=2),R1020&lt;&gt;"000")),Y1020&lt;=9,MIN(T1020:V1020)&gt;=0),"合法","输入违约")</x:f>
        <x:v>合法</x:v>
      </x:c>
    </x:row>
    <x:row r="1021" ht="23" customHeight="1">
      <x:c r="A1021" s="3" t="str">
        <x:v>CT-1014</x:v>
      </x:c>
      <x:c r="B1021" s="3" t="str">
        <x:v>ST-134</x:v>
      </x:c>
      <x:c r="C1021" s="3" t="str">
        <x:v>仅R回收</x:v>
      </x:c>
      <x:c r="D1021" s="25" t="n">
        <x:v>1</x:v>
      </x:c>
      <x:c r="E1021" s="25" t="n">
        <x:v>6</x:v>
      </x:c>
      <x:c r="F1021" s="25" t="n">
        <x:v>1</x:v>
      </x:c>
      <x:c r="G1021" s="19" t="n">
        <x:f>SUM(D1021:F1021)</x:f>
        <x:v>8</x:v>
      </x:c>
      <x:c r="H1021" s="25" t="n">
        <x:v>2</x:v>
      </x:c>
      <x:c r="I1021" s="25" t="n">
        <x:v>0</x:v>
      </x:c>
      <x:c r="J1021" s="25" t="str">
        <x:v>-</x:v>
      </x:c>
      <x:c r="K1021" s="19" t="n">
        <x:f>D1021-IF(H1021=0,1,0)</x:f>
        <x:v>1</x:v>
      </x:c>
      <x:c r="L1021" s="19" t="n">
        <x:f>E1021-IF(H1021=1,1,0)</x:f>
        <x:v>6</x:v>
      </x:c>
      <x:c r="M1021" s="19" t="n">
        <x:f>F1021-IF(H1021=2,1,0)</x:f>
        <x:v>0</x:v>
      </x:c>
      <x:c r="N1021" s="19" t="n">
        <x:f>MAX(K1021-1,0)+MAX(L1021-1,0)+MAX(M1021-1,0)</x:f>
        <x:v>5</x:v>
      </x:c>
      <x:c r="O1021" s="19" t="n">
        <x:f>IF(AND(SUM(K1021:M1021)&lt;9,OR(M1021=0,N1021&lt;6)),1,0)</x:f>
        <x:v>1</x:v>
      </x:c>
      <x:c r="P1021" s="19" t="n">
        <x:f>IF(AND(SUM(K1021:M1021)&lt;9,OR(L1021=0,N1021&lt;6)),1,0)</x:f>
        <x:v>1</x:v>
      </x:c>
      <x:c r="Q1021" s="19" t="n">
        <x:f>IF(AND(SUM(K1021:M1021)&lt;9,OR(K1021=0,N1021&lt;6)),1,0)</x:f>
        <x:v>1</x:v>
      </x:c>
      <x:c r="R1021" s="22" t="str">
        <x:f>O1021&amp;P1021&amp;Q1021</x:f>
        <x:v>111</x:v>
      </x:c>
      <x:c r="S1021" s="19" t="n">
        <x:f>IF(I1021=1,IF(J1021=0,Q1021,IF(J1021=1,P1021,IF(J1021=2,O1021,0))),0)</x:f>
        <x:v>0</x:v>
      </x:c>
      <x:c r="T1021" s="19" t="n">
        <x:f>K1021+IF(AND(S1021=1,J1021=0),1,0)</x:f>
        <x:v>1</x:v>
      </x:c>
      <x:c r="U1021" s="19" t="n">
        <x:f>L1021+IF(AND(S1021=1,J1021=1),1,0)</x:f>
        <x:v>6</x:v>
      </x:c>
      <x:c r="V1021" s="19" t="n">
        <x:f>M1021+IF(AND(S1021=1,J1021=2),1,0)</x:f>
        <x:v>0</x:v>
      </x:c>
      <x:c r="W1021" s="19" t="n">
        <x:f>SUM(T1021:V1021)</x:f>
        <x:v>7</x:v>
      </x:c>
      <x:c r="X1021" s="19" t="n">
        <x:f>W1021-G1021</x:f>
        <x:v>-1</x:v>
      </x:c>
      <x:c r="Y1021" s="19" t="n">
        <x:f>MAX(T1021,1)+MAX(U1021,1)+MAX(V1021,1)</x:f>
        <x:v>8</x:v>
      </x:c>
      <x:c r="Z1021" s="21" t="str">
        <x:f>IF(AND(MIN(D1021:F1021)&gt;=0,MAX(D1021:F1021)&lt;=7,MAX(D1021,1)+MAX(E1021,1)+MAX(F1021,1)&lt;=9,OR(H1021="-",AND(H1021=0,D1021&gt;0),AND(H1021=1,E1021&gt;0),AND(H1021=2,F1021&gt;0)),OR(I1021=0,AND(I1021=1,OR(J1021=0,J1021=1,J1021=2),R1021&lt;&gt;"000")),Y1021&lt;=9,MIN(T1021:V1021)&gt;=0),"合法","输入违约")</x:f>
        <x:v>合法</x:v>
      </x:c>
    </x:row>
    <x:row r="1022" ht="23" customHeight="1">
      <x:c r="A1022" s="3" t="str">
        <x:v>CT-1015</x:v>
      </x:c>
      <x:c r="B1022" s="3" t="str">
        <x:v>ST-134</x:v>
      </x:c>
      <x:c r="C1022" s="3" t="str">
        <x:v>R+AR同收同发</x:v>
      </x:c>
      <x:c r="D1022" s="25" t="n">
        <x:v>1</x:v>
      </x:c>
      <x:c r="E1022" s="25" t="n">
        <x:v>6</x:v>
      </x:c>
      <x:c r="F1022" s="25" t="n">
        <x:v>1</x:v>
      </x:c>
      <x:c r="G1022" s="19" t="n">
        <x:f>SUM(D1022:F1022)</x:f>
        <x:v>8</x:v>
      </x:c>
      <x:c r="H1022" s="25" t="n">
        <x:v>2</x:v>
      </x:c>
      <x:c r="I1022" s="25" t="n">
        <x:v>1</x:v>
      </x:c>
      <x:c r="J1022" s="25" t="n">
        <x:v>0</x:v>
      </x:c>
      <x:c r="K1022" s="19" t="n">
        <x:f>D1022-IF(H1022=0,1,0)</x:f>
        <x:v>1</x:v>
      </x:c>
      <x:c r="L1022" s="19" t="n">
        <x:f>E1022-IF(H1022=1,1,0)</x:f>
        <x:v>6</x:v>
      </x:c>
      <x:c r="M1022" s="19" t="n">
        <x:f>F1022-IF(H1022=2,1,0)</x:f>
        <x:v>0</x:v>
      </x:c>
      <x:c r="N1022" s="19" t="n">
        <x:f>MAX(K1022-1,0)+MAX(L1022-1,0)+MAX(M1022-1,0)</x:f>
        <x:v>5</x:v>
      </x:c>
      <x:c r="O1022" s="19" t="n">
        <x:f>IF(AND(SUM(K1022:M1022)&lt;9,OR(M1022=0,N1022&lt;6)),1,0)</x:f>
        <x:v>1</x:v>
      </x:c>
      <x:c r="P1022" s="19" t="n">
        <x:f>IF(AND(SUM(K1022:M1022)&lt;9,OR(L1022=0,N1022&lt;6)),1,0)</x:f>
        <x:v>1</x:v>
      </x:c>
      <x:c r="Q1022" s="19" t="n">
        <x:f>IF(AND(SUM(K1022:M1022)&lt;9,OR(K1022=0,N1022&lt;6)),1,0)</x:f>
        <x:v>1</x:v>
      </x:c>
      <x:c r="R1022" s="22" t="str">
        <x:f>O1022&amp;P1022&amp;Q1022</x:f>
        <x:v>111</x:v>
      </x:c>
      <x:c r="S1022" s="19" t="n">
        <x:f>IF(I1022=1,IF(J1022=0,Q1022,IF(J1022=1,P1022,IF(J1022=2,O1022,0))),0)</x:f>
        <x:v>1</x:v>
      </x:c>
      <x:c r="T1022" s="19" t="n">
        <x:f>K1022+IF(AND(S1022=1,J1022=0),1,0)</x:f>
        <x:v>2</x:v>
      </x:c>
      <x:c r="U1022" s="19" t="n">
        <x:f>L1022+IF(AND(S1022=1,J1022=1),1,0)</x:f>
        <x:v>6</x:v>
      </x:c>
      <x:c r="V1022" s="19" t="n">
        <x:f>M1022+IF(AND(S1022=1,J1022=2),1,0)</x:f>
        <x:v>0</x:v>
      </x:c>
      <x:c r="W1022" s="19" t="n">
        <x:f>SUM(T1022:V1022)</x:f>
        <x:v>8</x:v>
      </x:c>
      <x:c r="X1022" s="19" t="n">
        <x:f>W1022-G1022</x:f>
        <x:v>0</x:v>
      </x:c>
      <x:c r="Y1022" s="19" t="n">
        <x:f>MAX(T1022,1)+MAX(U1022,1)+MAX(V1022,1)</x:f>
        <x:v>9</x:v>
      </x:c>
      <x:c r="Z1022" s="21" t="str">
        <x:f>IF(AND(MIN(D1022:F1022)&gt;=0,MAX(D1022:F1022)&lt;=7,MAX(D1022,1)+MAX(E1022,1)+MAX(F1022,1)&lt;=9,OR(H1022="-",AND(H1022=0,D1022&gt;0),AND(H1022=1,E1022&gt;0),AND(H1022=2,F1022&gt;0)),OR(I1022=0,AND(I1022=1,OR(J1022=0,J1022=1,J1022=2),R1022&lt;&gt;"000")),Y1022&lt;=9,MIN(T1022:V1022)&gt;=0),"合法","输入违约")</x:f>
        <x:v>合法</x:v>
      </x:c>
    </x:row>
    <x:row r="1023" ht="23" customHeight="1">
      <x:c r="A1023" s="3" t="str">
        <x:v>CT-1016</x:v>
      </x:c>
      <x:c r="B1023" s="3" t="str">
        <x:v>ST-134</x:v>
      </x:c>
      <x:c r="C1023" s="3" t="str">
        <x:v>R+AR同收同发</x:v>
      </x:c>
      <x:c r="D1023" s="25" t="n">
        <x:v>1</x:v>
      </x:c>
      <x:c r="E1023" s="25" t="n">
        <x:v>6</x:v>
      </x:c>
      <x:c r="F1023" s="25" t="n">
        <x:v>1</x:v>
      </x:c>
      <x:c r="G1023" s="19" t="n">
        <x:f>SUM(D1023:F1023)</x:f>
        <x:v>8</x:v>
      </x:c>
      <x:c r="H1023" s="25" t="n">
        <x:v>2</x:v>
      </x:c>
      <x:c r="I1023" s="25" t="n">
        <x:v>1</x:v>
      </x:c>
      <x:c r="J1023" s="25" t="n">
        <x:v>1</x:v>
      </x:c>
      <x:c r="K1023" s="19" t="n">
        <x:f>D1023-IF(H1023=0,1,0)</x:f>
        <x:v>1</x:v>
      </x:c>
      <x:c r="L1023" s="19" t="n">
        <x:f>E1023-IF(H1023=1,1,0)</x:f>
        <x:v>6</x:v>
      </x:c>
      <x:c r="M1023" s="19" t="n">
        <x:f>F1023-IF(H1023=2,1,0)</x:f>
        <x:v>0</x:v>
      </x:c>
      <x:c r="N1023" s="19" t="n">
        <x:f>MAX(K1023-1,0)+MAX(L1023-1,0)+MAX(M1023-1,0)</x:f>
        <x:v>5</x:v>
      </x:c>
      <x:c r="O1023" s="19" t="n">
        <x:f>IF(AND(SUM(K1023:M1023)&lt;9,OR(M1023=0,N1023&lt;6)),1,0)</x:f>
        <x:v>1</x:v>
      </x:c>
      <x:c r="P1023" s="19" t="n">
        <x:f>IF(AND(SUM(K1023:M1023)&lt;9,OR(L1023=0,N1023&lt;6)),1,0)</x:f>
        <x:v>1</x:v>
      </x:c>
      <x:c r="Q1023" s="19" t="n">
        <x:f>IF(AND(SUM(K1023:M1023)&lt;9,OR(K1023=0,N1023&lt;6)),1,0)</x:f>
        <x:v>1</x:v>
      </x:c>
      <x:c r="R1023" s="22" t="str">
        <x:f>O1023&amp;P1023&amp;Q1023</x:f>
        <x:v>111</x:v>
      </x:c>
      <x:c r="S1023" s="19" t="n">
        <x:f>IF(I1023=1,IF(J1023=0,Q1023,IF(J1023=1,P1023,IF(J1023=2,O1023,0))),0)</x:f>
        <x:v>1</x:v>
      </x:c>
      <x:c r="T1023" s="19" t="n">
        <x:f>K1023+IF(AND(S1023=1,J1023=0),1,0)</x:f>
        <x:v>1</x:v>
      </x:c>
      <x:c r="U1023" s="19" t="n">
        <x:f>L1023+IF(AND(S1023=1,J1023=1),1,0)</x:f>
        <x:v>7</x:v>
      </x:c>
      <x:c r="V1023" s="19" t="n">
        <x:f>M1023+IF(AND(S1023=1,J1023=2),1,0)</x:f>
        <x:v>0</x:v>
      </x:c>
      <x:c r="W1023" s="19" t="n">
        <x:f>SUM(T1023:V1023)</x:f>
        <x:v>8</x:v>
      </x:c>
      <x:c r="X1023" s="19" t="n">
        <x:f>W1023-G1023</x:f>
        <x:v>0</x:v>
      </x:c>
      <x:c r="Y1023" s="19" t="n">
        <x:f>MAX(T1023,1)+MAX(U1023,1)+MAX(V1023,1)</x:f>
        <x:v>9</x:v>
      </x:c>
      <x:c r="Z1023" s="21" t="str">
        <x:f>IF(AND(MIN(D1023:F1023)&gt;=0,MAX(D1023:F1023)&lt;=7,MAX(D1023,1)+MAX(E1023,1)+MAX(F1023,1)&lt;=9,OR(H1023="-",AND(H1023=0,D1023&gt;0),AND(H1023=1,E1023&gt;0),AND(H1023=2,F1023&gt;0)),OR(I1023=0,AND(I1023=1,OR(J1023=0,J1023=1,J1023=2),R1023&lt;&gt;"000")),Y1023&lt;=9,MIN(T1023:V1023)&gt;=0),"合法","输入违约")</x:f>
        <x:v>合法</x:v>
      </x:c>
    </x:row>
    <x:row r="1024" ht="23" customHeight="1">
      <x:c r="A1024" s="3" t="str">
        <x:v>CT-1017</x:v>
      </x:c>
      <x:c r="B1024" s="3" t="str">
        <x:v>ST-134</x:v>
      </x:c>
      <x:c r="C1024" s="3" t="str">
        <x:v>R+AR同收同发</x:v>
      </x:c>
      <x:c r="D1024" s="25" t="n">
        <x:v>1</x:v>
      </x:c>
      <x:c r="E1024" s="25" t="n">
        <x:v>6</x:v>
      </x:c>
      <x:c r="F1024" s="25" t="n">
        <x:v>1</x:v>
      </x:c>
      <x:c r="G1024" s="19" t="n">
        <x:f>SUM(D1024:F1024)</x:f>
        <x:v>8</x:v>
      </x:c>
      <x:c r="H1024" s="25" t="n">
        <x:v>2</x:v>
      </x:c>
      <x:c r="I1024" s="25" t="n">
        <x:v>1</x:v>
      </x:c>
      <x:c r="J1024" s="25" t="n">
        <x:v>2</x:v>
      </x:c>
      <x:c r="K1024" s="19" t="n">
        <x:f>D1024-IF(H1024=0,1,0)</x:f>
        <x:v>1</x:v>
      </x:c>
      <x:c r="L1024" s="19" t="n">
        <x:f>E1024-IF(H1024=1,1,0)</x:f>
        <x:v>6</x:v>
      </x:c>
      <x:c r="M1024" s="19" t="n">
        <x:f>F1024-IF(H1024=2,1,0)</x:f>
        <x:v>0</x:v>
      </x:c>
      <x:c r="N1024" s="19" t="n">
        <x:f>MAX(K1024-1,0)+MAX(L1024-1,0)+MAX(M1024-1,0)</x:f>
        <x:v>5</x:v>
      </x:c>
      <x:c r="O1024" s="19" t="n">
        <x:f>IF(AND(SUM(K1024:M1024)&lt;9,OR(M1024=0,N1024&lt;6)),1,0)</x:f>
        <x:v>1</x:v>
      </x:c>
      <x:c r="P1024" s="19" t="n">
        <x:f>IF(AND(SUM(K1024:M1024)&lt;9,OR(L1024=0,N1024&lt;6)),1,0)</x:f>
        <x:v>1</x:v>
      </x:c>
      <x:c r="Q1024" s="19" t="n">
        <x:f>IF(AND(SUM(K1024:M1024)&lt;9,OR(K1024=0,N1024&lt;6)),1,0)</x:f>
        <x:v>1</x:v>
      </x:c>
      <x:c r="R1024" s="22" t="str">
        <x:f>O1024&amp;P1024&amp;Q1024</x:f>
        <x:v>111</x:v>
      </x:c>
      <x:c r="S1024" s="19" t="n">
        <x:f>IF(I1024=1,IF(J1024=0,Q1024,IF(J1024=1,P1024,IF(J1024=2,O1024,0))),0)</x:f>
        <x:v>1</x:v>
      </x:c>
      <x:c r="T1024" s="19" t="n">
        <x:f>K1024+IF(AND(S1024=1,J1024=0),1,0)</x:f>
        <x:v>1</x:v>
      </x:c>
      <x:c r="U1024" s="19" t="n">
        <x:f>L1024+IF(AND(S1024=1,J1024=1),1,0)</x:f>
        <x:v>6</x:v>
      </x:c>
      <x:c r="V1024" s="19" t="n">
        <x:f>M1024+IF(AND(S1024=1,J1024=2),1,0)</x:f>
        <x:v>1</x:v>
      </x:c>
      <x:c r="W1024" s="19" t="n">
        <x:f>SUM(T1024:V1024)</x:f>
        <x:v>8</x:v>
      </x:c>
      <x:c r="X1024" s="19" t="n">
        <x:f>W1024-G1024</x:f>
        <x:v>0</x:v>
      </x:c>
      <x:c r="Y1024" s="19" t="n">
        <x:f>MAX(T1024,1)+MAX(U1024,1)+MAX(V1024,1)</x:f>
        <x:v>8</x:v>
      </x:c>
      <x:c r="Z1024" s="21" t="str">
        <x:f>IF(AND(MIN(D1024:F1024)&gt;=0,MAX(D1024:F1024)&lt;=7,MAX(D1024,1)+MAX(E1024,1)+MAX(F1024,1)&lt;=9,OR(H1024="-",AND(H1024=0,D1024&gt;0),AND(H1024=1,E1024&gt;0),AND(H1024=2,F1024&gt;0)),OR(I1024=0,AND(I1024=1,OR(J1024=0,J1024=1,J1024=2),R1024&lt;&gt;"000")),Y1024&lt;=9,MIN(T1024:V1024)&gt;=0),"合法","输入违约")</x:f>
        <x:v>合法</x:v>
      </x:c>
    </x:row>
    <x:row r="1025" ht="23" customHeight="1">
      <x:c r="A1025" s="3" t="str">
        <x:v>CT-1018</x:v>
      </x:c>
      <x:c r="B1025" s="3" t="str">
        <x:v>ST-168</x:v>
      </x:c>
      <x:c r="C1025" s="3" t="str">
        <x:v>无AR/R</x:v>
      </x:c>
      <x:c r="D1025" s="25" t="n">
        <x:v>1</x:v>
      </x:c>
      <x:c r="E1025" s="25" t="n">
        <x:v>6</x:v>
      </x:c>
      <x:c r="F1025" s="25" t="n">
        <x:v>2</x:v>
      </x:c>
      <x:c r="G1025" s="19" t="n">
        <x:f>SUM(D1025:F1025)</x:f>
        <x:v>9</x:v>
      </x:c>
      <x:c r="H1025" s="25" t="str">
        <x:v>-</x:v>
      </x:c>
      <x:c r="I1025" s="25" t="n">
        <x:v>0</x:v>
      </x:c>
      <x:c r="J1025" s="25" t="str">
        <x:v>-</x:v>
      </x:c>
      <x:c r="K1025" s="19" t="n">
        <x:f>D1025-IF(H1025=0,1,0)</x:f>
        <x:v>1</x:v>
      </x:c>
      <x:c r="L1025" s="19" t="n">
        <x:f>E1025-IF(H1025=1,1,0)</x:f>
        <x:v>6</x:v>
      </x:c>
      <x:c r="M1025" s="19" t="n">
        <x:f>F1025-IF(H1025=2,1,0)</x:f>
        <x:v>2</x:v>
      </x:c>
      <x:c r="N1025" s="19" t="n">
        <x:f>MAX(K1025-1,0)+MAX(L1025-1,0)+MAX(M1025-1,0)</x:f>
        <x:v>6</x:v>
      </x:c>
      <x:c r="O1025" s="19" t="n">
        <x:f>IF(AND(SUM(K1025:M1025)&lt;9,OR(M1025=0,N1025&lt;6)),1,0)</x:f>
        <x:v>0</x:v>
      </x:c>
      <x:c r="P1025" s="19" t="n">
        <x:f>IF(AND(SUM(K1025:M1025)&lt;9,OR(L1025=0,N1025&lt;6)),1,0)</x:f>
        <x:v>0</x:v>
      </x:c>
      <x:c r="Q1025" s="19" t="n">
        <x:f>IF(AND(SUM(K1025:M1025)&lt;9,OR(K1025=0,N1025&lt;6)),1,0)</x:f>
        <x:v>0</x:v>
      </x:c>
      <x:c r="R1025" s="22" t="str">
        <x:f>O1025&amp;P1025&amp;Q1025</x:f>
        <x:v>000</x:v>
      </x:c>
      <x:c r="S1025" s="19" t="n">
        <x:f>IF(I1025=1,IF(J1025=0,Q1025,IF(J1025=1,P1025,IF(J1025=2,O1025,0))),0)</x:f>
        <x:v>0</x:v>
      </x:c>
      <x:c r="T1025" s="19" t="n">
        <x:f>K1025+IF(AND(S1025=1,J1025=0),1,0)</x:f>
        <x:v>1</x:v>
      </x:c>
      <x:c r="U1025" s="19" t="n">
        <x:f>L1025+IF(AND(S1025=1,J1025=1),1,0)</x:f>
        <x:v>6</x:v>
      </x:c>
      <x:c r="V1025" s="19" t="n">
        <x:f>M1025+IF(AND(S1025=1,J1025=2),1,0)</x:f>
        <x:v>2</x:v>
      </x:c>
      <x:c r="W1025" s="19" t="n">
        <x:f>SUM(T1025:V1025)</x:f>
        <x:v>9</x:v>
      </x:c>
      <x:c r="X1025" s="19" t="n">
        <x:f>W1025-G1025</x:f>
        <x:v>0</x:v>
      </x:c>
      <x:c r="Y1025" s="19" t="n">
        <x:f>MAX(T1025,1)+MAX(U1025,1)+MAX(V1025,1)</x:f>
        <x:v>9</x:v>
      </x:c>
      <x:c r="Z1025" s="21" t="str">
        <x:f>IF(AND(MIN(D1025:F1025)&gt;=0,MAX(D1025:F1025)&lt;=7,MAX(D1025,1)+MAX(E1025,1)+MAX(F1025,1)&lt;=9,OR(H1025="-",AND(H1025=0,D1025&gt;0),AND(H1025=1,E1025&gt;0),AND(H1025=2,F1025&gt;0)),OR(I1025=0,AND(I1025=1,OR(J1025=0,J1025=1,J1025=2),R1025&lt;&gt;"000")),Y1025&lt;=9,MIN(T1025:V1025)&gt;=0),"合法","输入违约")</x:f>
        <x:v>合法</x:v>
      </x:c>
    </x:row>
    <x:row r="1026" ht="23" customHeight="1">
      <x:c r="A1026" s="3" t="str">
        <x:v>CT-1019</x:v>
      </x:c>
      <x:c r="B1026" s="3" t="str">
        <x:v>ST-168</x:v>
      </x:c>
      <x:c r="C1026" s="3" t="str">
        <x:v>仅R回收</x:v>
      </x:c>
      <x:c r="D1026" s="25" t="n">
        <x:v>1</x:v>
      </x:c>
      <x:c r="E1026" s="25" t="n">
        <x:v>6</x:v>
      </x:c>
      <x:c r="F1026" s="25" t="n">
        <x:v>2</x:v>
      </x:c>
      <x:c r="G1026" s="19" t="n">
        <x:f>SUM(D1026:F1026)</x:f>
        <x:v>9</x:v>
      </x:c>
      <x:c r="H1026" s="25" t="n">
        <x:v>0</x:v>
      </x:c>
      <x:c r="I1026" s="25" t="n">
        <x:v>0</x:v>
      </x:c>
      <x:c r="J1026" s="25" t="str">
        <x:v>-</x:v>
      </x:c>
      <x:c r="K1026" s="19" t="n">
        <x:f>D1026-IF(H1026=0,1,0)</x:f>
        <x:v>0</x:v>
      </x:c>
      <x:c r="L1026" s="19" t="n">
        <x:f>E1026-IF(H1026=1,1,0)</x:f>
        <x:v>6</x:v>
      </x:c>
      <x:c r="M1026" s="19" t="n">
        <x:f>F1026-IF(H1026=2,1,0)</x:f>
        <x:v>2</x:v>
      </x:c>
      <x:c r="N1026" s="19" t="n">
        <x:f>MAX(K1026-1,0)+MAX(L1026-1,0)+MAX(M1026-1,0)</x:f>
        <x:v>6</x:v>
      </x:c>
      <x:c r="O1026" s="19" t="n">
        <x:f>IF(AND(SUM(K1026:M1026)&lt;9,OR(M1026=0,N1026&lt;6)),1,0)</x:f>
        <x:v>0</x:v>
      </x:c>
      <x:c r="P1026" s="19" t="n">
        <x:f>IF(AND(SUM(K1026:M1026)&lt;9,OR(L1026=0,N1026&lt;6)),1,0)</x:f>
        <x:v>0</x:v>
      </x:c>
      <x:c r="Q1026" s="19" t="n">
        <x:f>IF(AND(SUM(K1026:M1026)&lt;9,OR(K1026=0,N1026&lt;6)),1,0)</x:f>
        <x:v>1</x:v>
      </x:c>
      <x:c r="R1026" s="22" t="str">
        <x:f>O1026&amp;P1026&amp;Q1026</x:f>
        <x:v>001</x:v>
      </x:c>
      <x:c r="S1026" s="19" t="n">
        <x:f>IF(I1026=1,IF(J1026=0,Q1026,IF(J1026=1,P1026,IF(J1026=2,O1026,0))),0)</x:f>
        <x:v>0</x:v>
      </x:c>
      <x:c r="T1026" s="19" t="n">
        <x:f>K1026+IF(AND(S1026=1,J1026=0),1,0)</x:f>
        <x:v>0</x:v>
      </x:c>
      <x:c r="U1026" s="19" t="n">
        <x:f>L1026+IF(AND(S1026=1,J1026=1),1,0)</x:f>
        <x:v>6</x:v>
      </x:c>
      <x:c r="V1026" s="19" t="n">
        <x:f>M1026+IF(AND(S1026=1,J1026=2),1,0)</x:f>
        <x:v>2</x:v>
      </x:c>
      <x:c r="W1026" s="19" t="n">
        <x:f>SUM(T1026:V1026)</x:f>
        <x:v>8</x:v>
      </x:c>
      <x:c r="X1026" s="19" t="n">
        <x:f>W1026-G1026</x:f>
        <x:v>-1</x:v>
      </x:c>
      <x:c r="Y1026" s="19" t="n">
        <x:f>MAX(T1026,1)+MAX(U1026,1)+MAX(V1026,1)</x:f>
        <x:v>9</x:v>
      </x:c>
      <x:c r="Z1026" s="21" t="str">
        <x:f>IF(AND(MIN(D1026:F1026)&gt;=0,MAX(D1026:F1026)&lt;=7,MAX(D1026,1)+MAX(E1026,1)+MAX(F1026,1)&lt;=9,OR(H1026="-",AND(H1026=0,D1026&gt;0),AND(H1026=1,E1026&gt;0),AND(H1026=2,F1026&gt;0)),OR(I1026=0,AND(I1026=1,OR(J1026=0,J1026=1,J1026=2),R1026&lt;&gt;"000")),Y1026&lt;=9,MIN(T1026:V1026)&gt;=0),"合法","输入违约")</x:f>
        <x:v>合法</x:v>
      </x:c>
    </x:row>
    <x:row r="1027" ht="23" customHeight="1">
      <x:c r="A1027" s="3" t="str">
        <x:v>CT-1020</x:v>
      </x:c>
      <x:c r="B1027" s="3" t="str">
        <x:v>ST-168</x:v>
      </x:c>
      <x:c r="C1027" s="3" t="str">
        <x:v>R+AR同收同发</x:v>
      </x:c>
      <x:c r="D1027" s="25" t="n">
        <x:v>1</x:v>
      </x:c>
      <x:c r="E1027" s="25" t="n">
        <x:v>6</x:v>
      </x:c>
      <x:c r="F1027" s="25" t="n">
        <x:v>2</x:v>
      </x:c>
      <x:c r="G1027" s="19" t="n">
        <x:f>SUM(D1027:F1027)</x:f>
        <x:v>9</x:v>
      </x:c>
      <x:c r="H1027" s="25" t="n">
        <x:v>0</x:v>
      </x:c>
      <x:c r="I1027" s="25" t="n">
        <x:v>1</x:v>
      </x:c>
      <x:c r="J1027" s="25" t="n">
        <x:v>0</x:v>
      </x:c>
      <x:c r="K1027" s="19" t="n">
        <x:f>D1027-IF(H1027=0,1,0)</x:f>
        <x:v>0</x:v>
      </x:c>
      <x:c r="L1027" s="19" t="n">
        <x:f>E1027-IF(H1027=1,1,0)</x:f>
        <x:v>6</x:v>
      </x:c>
      <x:c r="M1027" s="19" t="n">
        <x:f>F1027-IF(H1027=2,1,0)</x:f>
        <x:v>2</x:v>
      </x:c>
      <x:c r="N1027" s="19" t="n">
        <x:f>MAX(K1027-1,0)+MAX(L1027-1,0)+MAX(M1027-1,0)</x:f>
        <x:v>6</x:v>
      </x:c>
      <x:c r="O1027" s="19" t="n">
        <x:f>IF(AND(SUM(K1027:M1027)&lt;9,OR(M1027=0,N1027&lt;6)),1,0)</x:f>
        <x:v>0</x:v>
      </x:c>
      <x:c r="P1027" s="19" t="n">
        <x:f>IF(AND(SUM(K1027:M1027)&lt;9,OR(L1027=0,N1027&lt;6)),1,0)</x:f>
        <x:v>0</x:v>
      </x:c>
      <x:c r="Q1027" s="19" t="n">
        <x:f>IF(AND(SUM(K1027:M1027)&lt;9,OR(K1027=0,N1027&lt;6)),1,0)</x:f>
        <x:v>1</x:v>
      </x:c>
      <x:c r="R1027" s="22" t="str">
        <x:f>O1027&amp;P1027&amp;Q1027</x:f>
        <x:v>001</x:v>
      </x:c>
      <x:c r="S1027" s="19" t="n">
        <x:f>IF(I1027=1,IF(J1027=0,Q1027,IF(J1027=1,P1027,IF(J1027=2,O1027,0))),0)</x:f>
        <x:v>1</x:v>
      </x:c>
      <x:c r="T1027" s="19" t="n">
        <x:f>K1027+IF(AND(S1027=1,J1027=0),1,0)</x:f>
        <x:v>1</x:v>
      </x:c>
      <x:c r="U1027" s="19" t="n">
        <x:f>L1027+IF(AND(S1027=1,J1027=1),1,0)</x:f>
        <x:v>6</x:v>
      </x:c>
      <x:c r="V1027" s="19" t="n">
        <x:f>M1027+IF(AND(S1027=1,J1027=2),1,0)</x:f>
        <x:v>2</x:v>
      </x:c>
      <x:c r="W1027" s="19" t="n">
        <x:f>SUM(T1027:V1027)</x:f>
        <x:v>9</x:v>
      </x:c>
      <x:c r="X1027" s="19" t="n">
        <x:f>W1027-G1027</x:f>
        <x:v>0</x:v>
      </x:c>
      <x:c r="Y1027" s="19" t="n">
        <x:f>MAX(T1027,1)+MAX(U1027,1)+MAX(V1027,1)</x:f>
        <x:v>9</x:v>
      </x:c>
      <x:c r="Z1027" s="21" t="str">
        <x:f>IF(AND(MIN(D1027:F1027)&gt;=0,MAX(D1027:F1027)&lt;=7,MAX(D1027,1)+MAX(E1027,1)+MAX(F1027,1)&lt;=9,OR(H1027="-",AND(H1027=0,D1027&gt;0),AND(H1027=1,E1027&gt;0),AND(H1027=2,F1027&gt;0)),OR(I1027=0,AND(I1027=1,OR(J1027=0,J1027=1,J1027=2),R1027&lt;&gt;"000")),Y1027&lt;=9,MIN(T1027:V1027)&gt;=0),"合法","输入违约")</x:f>
        <x:v>合法</x:v>
      </x:c>
    </x:row>
    <x:row r="1028" ht="23" customHeight="1">
      <x:c r="A1028" s="3" t="str">
        <x:v>CT-1021</x:v>
      </x:c>
      <x:c r="B1028" s="3" t="str">
        <x:v>ST-168</x:v>
      </x:c>
      <x:c r="C1028" s="3" t="str">
        <x:v>仅R回收</x:v>
      </x:c>
      <x:c r="D1028" s="25" t="n">
        <x:v>1</x:v>
      </x:c>
      <x:c r="E1028" s="25" t="n">
        <x:v>6</x:v>
      </x:c>
      <x:c r="F1028" s="25" t="n">
        <x:v>2</x:v>
      </x:c>
      <x:c r="G1028" s="19" t="n">
        <x:f>SUM(D1028:F1028)</x:f>
        <x:v>9</x:v>
      </x:c>
      <x:c r="H1028" s="25" t="n">
        <x:v>0</x:v>
      </x:c>
      <x:c r="I1028" s="25" t="n">
        <x:v>1</x:v>
      </x:c>
      <x:c r="J1028" s="25" t="n">
        <x:v>1</x:v>
      </x:c>
      <x:c r="K1028" s="19" t="n">
        <x:f>D1028-IF(H1028=0,1,0)</x:f>
        <x:v>0</x:v>
      </x:c>
      <x:c r="L1028" s="19" t="n">
        <x:f>E1028-IF(H1028=1,1,0)</x:f>
        <x:v>6</x:v>
      </x:c>
      <x:c r="M1028" s="19" t="n">
        <x:f>F1028-IF(H1028=2,1,0)</x:f>
        <x:v>2</x:v>
      </x:c>
      <x:c r="N1028" s="19" t="n">
        <x:f>MAX(K1028-1,0)+MAX(L1028-1,0)+MAX(M1028-1,0)</x:f>
        <x:v>6</x:v>
      </x:c>
      <x:c r="O1028" s="19" t="n">
        <x:f>IF(AND(SUM(K1028:M1028)&lt;9,OR(M1028=0,N1028&lt;6)),1,0)</x:f>
        <x:v>0</x:v>
      </x:c>
      <x:c r="P1028" s="19" t="n">
        <x:f>IF(AND(SUM(K1028:M1028)&lt;9,OR(L1028=0,N1028&lt;6)),1,0)</x:f>
        <x:v>0</x:v>
      </x:c>
      <x:c r="Q1028" s="19" t="n">
        <x:f>IF(AND(SUM(K1028:M1028)&lt;9,OR(K1028=0,N1028&lt;6)),1,0)</x:f>
        <x:v>1</x:v>
      </x:c>
      <x:c r="R1028" s="22" t="str">
        <x:f>O1028&amp;P1028&amp;Q1028</x:f>
        <x:v>001</x:v>
      </x:c>
      <x:c r="S1028" s="19" t="n">
        <x:f>IF(I1028=1,IF(J1028=0,Q1028,IF(J1028=1,P1028,IF(J1028=2,O1028,0))),0)</x:f>
        <x:v>0</x:v>
      </x:c>
      <x:c r="T1028" s="19" t="n">
        <x:f>K1028+IF(AND(S1028=1,J1028=0),1,0)</x:f>
        <x:v>0</x:v>
      </x:c>
      <x:c r="U1028" s="19" t="n">
        <x:f>L1028+IF(AND(S1028=1,J1028=1),1,0)</x:f>
        <x:v>6</x:v>
      </x:c>
      <x:c r="V1028" s="19" t="n">
        <x:f>M1028+IF(AND(S1028=1,J1028=2),1,0)</x:f>
        <x:v>2</x:v>
      </x:c>
      <x:c r="W1028" s="19" t="n">
        <x:f>SUM(T1028:V1028)</x:f>
        <x:v>8</x:v>
      </x:c>
      <x:c r="X1028" s="19" t="n">
        <x:f>W1028-G1028</x:f>
        <x:v>-1</x:v>
      </x:c>
      <x:c r="Y1028" s="19" t="n">
        <x:f>MAX(T1028,1)+MAX(U1028,1)+MAX(V1028,1)</x:f>
        <x:v>9</x:v>
      </x:c>
      <x:c r="Z1028" s="21" t="str">
        <x:f>IF(AND(MIN(D1028:F1028)&gt;=0,MAX(D1028:F1028)&lt;=7,MAX(D1028,1)+MAX(E1028,1)+MAX(F1028,1)&lt;=9,OR(H1028="-",AND(H1028=0,D1028&gt;0),AND(H1028=1,E1028&gt;0),AND(H1028=2,F1028&gt;0)),OR(I1028=0,AND(I1028=1,OR(J1028=0,J1028=1,J1028=2),R1028&lt;&gt;"000")),Y1028&lt;=9,MIN(T1028:V1028)&gt;=0),"合法","输入违约")</x:f>
        <x:v>合法</x:v>
      </x:c>
    </x:row>
    <x:row r="1029" ht="23" customHeight="1">
      <x:c r="A1029" s="3" t="str">
        <x:v>CT-1022</x:v>
      </x:c>
      <x:c r="B1029" s="3" t="str">
        <x:v>ST-168</x:v>
      </x:c>
      <x:c r="C1029" s="3" t="str">
        <x:v>仅R回收</x:v>
      </x:c>
      <x:c r="D1029" s="25" t="n">
        <x:v>1</x:v>
      </x:c>
      <x:c r="E1029" s="25" t="n">
        <x:v>6</x:v>
      </x:c>
      <x:c r="F1029" s="25" t="n">
        <x:v>2</x:v>
      </x:c>
      <x:c r="G1029" s="19" t="n">
        <x:f>SUM(D1029:F1029)</x:f>
        <x:v>9</x:v>
      </x:c>
      <x:c r="H1029" s="25" t="n">
        <x:v>0</x:v>
      </x:c>
      <x:c r="I1029" s="25" t="n">
        <x:v>1</x:v>
      </x:c>
      <x:c r="J1029" s="25" t="n">
        <x:v>2</x:v>
      </x:c>
      <x:c r="K1029" s="19" t="n">
        <x:f>D1029-IF(H1029=0,1,0)</x:f>
        <x:v>0</x:v>
      </x:c>
      <x:c r="L1029" s="19" t="n">
        <x:f>E1029-IF(H1029=1,1,0)</x:f>
        <x:v>6</x:v>
      </x:c>
      <x:c r="M1029" s="19" t="n">
        <x:f>F1029-IF(H1029=2,1,0)</x:f>
        <x:v>2</x:v>
      </x:c>
      <x:c r="N1029" s="19" t="n">
        <x:f>MAX(K1029-1,0)+MAX(L1029-1,0)+MAX(M1029-1,0)</x:f>
        <x:v>6</x:v>
      </x:c>
      <x:c r="O1029" s="19" t="n">
        <x:f>IF(AND(SUM(K1029:M1029)&lt;9,OR(M1029=0,N1029&lt;6)),1,0)</x:f>
        <x:v>0</x:v>
      </x:c>
      <x:c r="P1029" s="19" t="n">
        <x:f>IF(AND(SUM(K1029:M1029)&lt;9,OR(L1029=0,N1029&lt;6)),1,0)</x:f>
        <x:v>0</x:v>
      </x:c>
      <x:c r="Q1029" s="19" t="n">
        <x:f>IF(AND(SUM(K1029:M1029)&lt;9,OR(K1029=0,N1029&lt;6)),1,0)</x:f>
        <x:v>1</x:v>
      </x:c>
      <x:c r="R1029" s="22" t="str">
        <x:f>O1029&amp;P1029&amp;Q1029</x:f>
        <x:v>001</x:v>
      </x:c>
      <x:c r="S1029" s="19" t="n">
        <x:f>IF(I1029=1,IF(J1029=0,Q1029,IF(J1029=1,P1029,IF(J1029=2,O1029,0))),0)</x:f>
        <x:v>0</x:v>
      </x:c>
      <x:c r="T1029" s="19" t="n">
        <x:f>K1029+IF(AND(S1029=1,J1029=0),1,0)</x:f>
        <x:v>0</x:v>
      </x:c>
      <x:c r="U1029" s="19" t="n">
        <x:f>L1029+IF(AND(S1029=1,J1029=1),1,0)</x:f>
        <x:v>6</x:v>
      </x:c>
      <x:c r="V1029" s="19" t="n">
        <x:f>M1029+IF(AND(S1029=1,J1029=2),1,0)</x:f>
        <x:v>2</x:v>
      </x:c>
      <x:c r="W1029" s="19" t="n">
        <x:f>SUM(T1029:V1029)</x:f>
        <x:v>8</x:v>
      </x:c>
      <x:c r="X1029" s="19" t="n">
        <x:f>W1029-G1029</x:f>
        <x:v>-1</x:v>
      </x:c>
      <x:c r="Y1029" s="19" t="n">
        <x:f>MAX(T1029,1)+MAX(U1029,1)+MAX(V1029,1)</x:f>
        <x:v>9</x:v>
      </x:c>
      <x:c r="Z1029" s="21" t="str">
        <x:f>IF(AND(MIN(D1029:F1029)&gt;=0,MAX(D1029:F1029)&lt;=7,MAX(D1029,1)+MAX(E1029,1)+MAX(F1029,1)&lt;=9,OR(H1029="-",AND(H1029=0,D1029&gt;0),AND(H1029=1,E1029&gt;0),AND(H1029=2,F1029&gt;0)),OR(I1029=0,AND(I1029=1,OR(J1029=0,J1029=1,J1029=2),R1029&lt;&gt;"000")),Y1029&lt;=9,MIN(T1029:V1029)&gt;=0),"合法","输入违约")</x:f>
        <x:v>合法</x:v>
      </x:c>
    </x:row>
    <x:row r="1030" ht="23" customHeight="1">
      <x:c r="A1030" s="3" t="str">
        <x:v>CT-1023</x:v>
      </x:c>
      <x:c r="B1030" s="3" t="str">
        <x:v>ST-168</x:v>
      </x:c>
      <x:c r="C1030" s="3" t="str">
        <x:v>仅R回收</x:v>
      </x:c>
      <x:c r="D1030" s="25" t="n">
        <x:v>1</x:v>
      </x:c>
      <x:c r="E1030" s="25" t="n">
        <x:v>6</x:v>
      </x:c>
      <x:c r="F1030" s="25" t="n">
        <x:v>2</x:v>
      </x:c>
      <x:c r="G1030" s="19" t="n">
        <x:f>SUM(D1030:F1030)</x:f>
        <x:v>9</x:v>
      </x:c>
      <x:c r="H1030" s="25" t="n">
        <x:v>1</x:v>
      </x:c>
      <x:c r="I1030" s="25" t="n">
        <x:v>0</x:v>
      </x:c>
      <x:c r="J1030" s="25" t="str">
        <x:v>-</x:v>
      </x:c>
      <x:c r="K1030" s="19" t="n">
        <x:f>D1030-IF(H1030=0,1,0)</x:f>
        <x:v>1</x:v>
      </x:c>
      <x:c r="L1030" s="19" t="n">
        <x:f>E1030-IF(H1030=1,1,0)</x:f>
        <x:v>5</x:v>
      </x:c>
      <x:c r="M1030" s="19" t="n">
        <x:f>F1030-IF(H1030=2,1,0)</x:f>
        <x:v>2</x:v>
      </x:c>
      <x:c r="N1030" s="19" t="n">
        <x:f>MAX(K1030-1,0)+MAX(L1030-1,0)+MAX(M1030-1,0)</x:f>
        <x:v>5</x:v>
      </x:c>
      <x:c r="O1030" s="19" t="n">
        <x:f>IF(AND(SUM(K1030:M1030)&lt;9,OR(M1030=0,N1030&lt;6)),1,0)</x:f>
        <x:v>1</x:v>
      </x:c>
      <x:c r="P1030" s="19" t="n">
        <x:f>IF(AND(SUM(K1030:M1030)&lt;9,OR(L1030=0,N1030&lt;6)),1,0)</x:f>
        <x:v>1</x:v>
      </x:c>
      <x:c r="Q1030" s="19" t="n">
        <x:f>IF(AND(SUM(K1030:M1030)&lt;9,OR(K1030=0,N1030&lt;6)),1,0)</x:f>
        <x:v>1</x:v>
      </x:c>
      <x:c r="R1030" s="22" t="str">
        <x:f>O1030&amp;P1030&amp;Q1030</x:f>
        <x:v>111</x:v>
      </x:c>
      <x:c r="S1030" s="19" t="n">
        <x:f>IF(I1030=1,IF(J1030=0,Q1030,IF(J1030=1,P1030,IF(J1030=2,O1030,0))),0)</x:f>
        <x:v>0</x:v>
      </x:c>
      <x:c r="T1030" s="19" t="n">
        <x:f>K1030+IF(AND(S1030=1,J1030=0),1,0)</x:f>
        <x:v>1</x:v>
      </x:c>
      <x:c r="U1030" s="19" t="n">
        <x:f>L1030+IF(AND(S1030=1,J1030=1),1,0)</x:f>
        <x:v>5</x:v>
      </x:c>
      <x:c r="V1030" s="19" t="n">
        <x:f>M1030+IF(AND(S1030=1,J1030=2),1,0)</x:f>
        <x:v>2</x:v>
      </x:c>
      <x:c r="W1030" s="19" t="n">
        <x:f>SUM(T1030:V1030)</x:f>
        <x:v>8</x:v>
      </x:c>
      <x:c r="X1030" s="19" t="n">
        <x:f>W1030-G1030</x:f>
        <x:v>-1</x:v>
      </x:c>
      <x:c r="Y1030" s="19" t="n">
        <x:f>MAX(T1030,1)+MAX(U1030,1)+MAX(V1030,1)</x:f>
        <x:v>8</x:v>
      </x:c>
      <x:c r="Z1030" s="21" t="str">
        <x:f>IF(AND(MIN(D1030:F1030)&gt;=0,MAX(D1030:F1030)&lt;=7,MAX(D1030,1)+MAX(E1030,1)+MAX(F1030,1)&lt;=9,OR(H1030="-",AND(H1030=0,D1030&gt;0),AND(H1030=1,E1030&gt;0),AND(H1030=2,F1030&gt;0)),OR(I1030=0,AND(I1030=1,OR(J1030=0,J1030=1,J1030=2),R1030&lt;&gt;"000")),Y1030&lt;=9,MIN(T1030:V1030)&gt;=0),"合法","输入违约")</x:f>
        <x:v>合法</x:v>
      </x:c>
    </x:row>
    <x:row r="1031" ht="23" customHeight="1">
      <x:c r="A1031" s="3" t="str">
        <x:v>CT-1024</x:v>
      </x:c>
      <x:c r="B1031" s="3" t="str">
        <x:v>ST-168</x:v>
      </x:c>
      <x:c r="C1031" s="3" t="str">
        <x:v>R+AR同收同发</x:v>
      </x:c>
      <x:c r="D1031" s="25" t="n">
        <x:v>1</x:v>
      </x:c>
      <x:c r="E1031" s="25" t="n">
        <x:v>6</x:v>
      </x:c>
      <x:c r="F1031" s="25" t="n">
        <x:v>2</x:v>
      </x:c>
      <x:c r="G1031" s="19" t="n">
        <x:f>SUM(D1031:F1031)</x:f>
        <x:v>9</x:v>
      </x:c>
      <x:c r="H1031" s="25" t="n">
        <x:v>1</x:v>
      </x:c>
      <x:c r="I1031" s="25" t="n">
        <x:v>1</x:v>
      </x:c>
      <x:c r="J1031" s="25" t="n">
        <x:v>0</x:v>
      </x:c>
      <x:c r="K1031" s="19" t="n">
        <x:f>D1031-IF(H1031=0,1,0)</x:f>
        <x:v>1</x:v>
      </x:c>
      <x:c r="L1031" s="19" t="n">
        <x:f>E1031-IF(H1031=1,1,0)</x:f>
        <x:v>5</x:v>
      </x:c>
      <x:c r="M1031" s="19" t="n">
        <x:f>F1031-IF(H1031=2,1,0)</x:f>
        <x:v>2</x:v>
      </x:c>
      <x:c r="N1031" s="19" t="n">
        <x:f>MAX(K1031-1,0)+MAX(L1031-1,0)+MAX(M1031-1,0)</x:f>
        <x:v>5</x:v>
      </x:c>
      <x:c r="O1031" s="19" t="n">
        <x:f>IF(AND(SUM(K1031:M1031)&lt;9,OR(M1031=0,N1031&lt;6)),1,0)</x:f>
        <x:v>1</x:v>
      </x:c>
      <x:c r="P1031" s="19" t="n">
        <x:f>IF(AND(SUM(K1031:M1031)&lt;9,OR(L1031=0,N1031&lt;6)),1,0)</x:f>
        <x:v>1</x:v>
      </x:c>
      <x:c r="Q1031" s="19" t="n">
        <x:f>IF(AND(SUM(K1031:M1031)&lt;9,OR(K1031=0,N1031&lt;6)),1,0)</x:f>
        <x:v>1</x:v>
      </x:c>
      <x:c r="R1031" s="22" t="str">
        <x:f>O1031&amp;P1031&amp;Q1031</x:f>
        <x:v>111</x:v>
      </x:c>
      <x:c r="S1031" s="19" t="n">
        <x:f>IF(I1031=1,IF(J1031=0,Q1031,IF(J1031=1,P1031,IF(J1031=2,O1031,0))),0)</x:f>
        <x:v>1</x:v>
      </x:c>
      <x:c r="T1031" s="19" t="n">
        <x:f>K1031+IF(AND(S1031=1,J1031=0),1,0)</x:f>
        <x:v>2</x:v>
      </x:c>
      <x:c r="U1031" s="19" t="n">
        <x:f>L1031+IF(AND(S1031=1,J1031=1),1,0)</x:f>
        <x:v>5</x:v>
      </x:c>
      <x:c r="V1031" s="19" t="n">
        <x:f>M1031+IF(AND(S1031=1,J1031=2),1,0)</x:f>
        <x:v>2</x:v>
      </x:c>
      <x:c r="W1031" s="19" t="n">
        <x:f>SUM(T1031:V1031)</x:f>
        <x:v>9</x:v>
      </x:c>
      <x:c r="X1031" s="19" t="n">
        <x:f>W1031-G1031</x:f>
        <x:v>0</x:v>
      </x:c>
      <x:c r="Y1031" s="19" t="n">
        <x:f>MAX(T1031,1)+MAX(U1031,1)+MAX(V1031,1)</x:f>
        <x:v>9</x:v>
      </x:c>
      <x:c r="Z1031" s="21" t="str">
        <x:f>IF(AND(MIN(D1031:F1031)&gt;=0,MAX(D1031:F1031)&lt;=7,MAX(D1031,1)+MAX(E1031,1)+MAX(F1031,1)&lt;=9,OR(H1031="-",AND(H1031=0,D1031&gt;0),AND(H1031=1,E1031&gt;0),AND(H1031=2,F1031&gt;0)),OR(I1031=0,AND(I1031=1,OR(J1031=0,J1031=1,J1031=2),R1031&lt;&gt;"000")),Y1031&lt;=9,MIN(T1031:V1031)&gt;=0),"合法","输入违约")</x:f>
        <x:v>合法</x:v>
      </x:c>
    </x:row>
    <x:row r="1032" ht="23" customHeight="1">
      <x:c r="A1032" s="3" t="str">
        <x:v>CT-1025</x:v>
      </x:c>
      <x:c r="B1032" s="3" t="str">
        <x:v>ST-168</x:v>
      </x:c>
      <x:c r="C1032" s="3" t="str">
        <x:v>R+AR同收同发</x:v>
      </x:c>
      <x:c r="D1032" s="25" t="n">
        <x:v>1</x:v>
      </x:c>
      <x:c r="E1032" s="25" t="n">
        <x:v>6</x:v>
      </x:c>
      <x:c r="F1032" s="25" t="n">
        <x:v>2</x:v>
      </x:c>
      <x:c r="G1032" s="19" t="n">
        <x:f>SUM(D1032:F1032)</x:f>
        <x:v>9</x:v>
      </x:c>
      <x:c r="H1032" s="25" t="n">
        <x:v>1</x:v>
      </x:c>
      <x:c r="I1032" s="25" t="n">
        <x:v>1</x:v>
      </x:c>
      <x:c r="J1032" s="25" t="n">
        <x:v>1</x:v>
      </x:c>
      <x:c r="K1032" s="19" t="n">
        <x:f>D1032-IF(H1032=0,1,0)</x:f>
        <x:v>1</x:v>
      </x:c>
      <x:c r="L1032" s="19" t="n">
        <x:f>E1032-IF(H1032=1,1,0)</x:f>
        <x:v>5</x:v>
      </x:c>
      <x:c r="M1032" s="19" t="n">
        <x:f>F1032-IF(H1032=2,1,0)</x:f>
        <x:v>2</x:v>
      </x:c>
      <x:c r="N1032" s="19" t="n">
        <x:f>MAX(K1032-1,0)+MAX(L1032-1,0)+MAX(M1032-1,0)</x:f>
        <x:v>5</x:v>
      </x:c>
      <x:c r="O1032" s="19" t="n">
        <x:f>IF(AND(SUM(K1032:M1032)&lt;9,OR(M1032=0,N1032&lt;6)),1,0)</x:f>
        <x:v>1</x:v>
      </x:c>
      <x:c r="P1032" s="19" t="n">
        <x:f>IF(AND(SUM(K1032:M1032)&lt;9,OR(L1032=0,N1032&lt;6)),1,0)</x:f>
        <x:v>1</x:v>
      </x:c>
      <x:c r="Q1032" s="19" t="n">
        <x:f>IF(AND(SUM(K1032:M1032)&lt;9,OR(K1032=0,N1032&lt;6)),1,0)</x:f>
        <x:v>1</x:v>
      </x:c>
      <x:c r="R1032" s="22" t="str">
        <x:f>O1032&amp;P1032&amp;Q1032</x:f>
        <x:v>111</x:v>
      </x:c>
      <x:c r="S1032" s="19" t="n">
        <x:f>IF(I1032=1,IF(J1032=0,Q1032,IF(J1032=1,P1032,IF(J1032=2,O1032,0))),0)</x:f>
        <x:v>1</x:v>
      </x:c>
      <x:c r="T1032" s="19" t="n">
        <x:f>K1032+IF(AND(S1032=1,J1032=0),1,0)</x:f>
        <x:v>1</x:v>
      </x:c>
      <x:c r="U1032" s="19" t="n">
        <x:f>L1032+IF(AND(S1032=1,J1032=1),1,0)</x:f>
        <x:v>6</x:v>
      </x:c>
      <x:c r="V1032" s="19" t="n">
        <x:f>M1032+IF(AND(S1032=1,J1032=2),1,0)</x:f>
        <x:v>2</x:v>
      </x:c>
      <x:c r="W1032" s="19" t="n">
        <x:f>SUM(T1032:V1032)</x:f>
        <x:v>9</x:v>
      </x:c>
      <x:c r="X1032" s="19" t="n">
        <x:f>W1032-G1032</x:f>
        <x:v>0</x:v>
      </x:c>
      <x:c r="Y1032" s="19" t="n">
        <x:f>MAX(T1032,1)+MAX(U1032,1)+MAX(V1032,1)</x:f>
        <x:v>9</x:v>
      </x:c>
      <x:c r="Z1032" s="21" t="str">
        <x:f>IF(AND(MIN(D1032:F1032)&gt;=0,MAX(D1032:F1032)&lt;=7,MAX(D1032,1)+MAX(E1032,1)+MAX(F1032,1)&lt;=9,OR(H1032="-",AND(H1032=0,D1032&gt;0),AND(H1032=1,E1032&gt;0),AND(H1032=2,F1032&gt;0)),OR(I1032=0,AND(I1032=1,OR(J1032=0,J1032=1,J1032=2),R1032&lt;&gt;"000")),Y1032&lt;=9,MIN(T1032:V1032)&gt;=0),"合法","输入违约")</x:f>
        <x:v>合法</x:v>
      </x:c>
    </x:row>
    <x:row r="1033" ht="23" customHeight="1">
      <x:c r="A1033" s="3" t="str">
        <x:v>CT-1026</x:v>
      </x:c>
      <x:c r="B1033" s="3" t="str">
        <x:v>ST-168</x:v>
      </x:c>
      <x:c r="C1033" s="3" t="str">
        <x:v>R+AR同收同发</x:v>
      </x:c>
      <x:c r="D1033" s="25" t="n">
        <x:v>1</x:v>
      </x:c>
      <x:c r="E1033" s="25" t="n">
        <x:v>6</x:v>
      </x:c>
      <x:c r="F1033" s="25" t="n">
        <x:v>2</x:v>
      </x:c>
      <x:c r="G1033" s="19" t="n">
        <x:f>SUM(D1033:F1033)</x:f>
        <x:v>9</x:v>
      </x:c>
      <x:c r="H1033" s="25" t="n">
        <x:v>1</x:v>
      </x:c>
      <x:c r="I1033" s="25" t="n">
        <x:v>1</x:v>
      </x:c>
      <x:c r="J1033" s="25" t="n">
        <x:v>2</x:v>
      </x:c>
      <x:c r="K1033" s="19" t="n">
        <x:f>D1033-IF(H1033=0,1,0)</x:f>
        <x:v>1</x:v>
      </x:c>
      <x:c r="L1033" s="19" t="n">
        <x:f>E1033-IF(H1033=1,1,0)</x:f>
        <x:v>5</x:v>
      </x:c>
      <x:c r="M1033" s="19" t="n">
        <x:f>F1033-IF(H1033=2,1,0)</x:f>
        <x:v>2</x:v>
      </x:c>
      <x:c r="N1033" s="19" t="n">
        <x:f>MAX(K1033-1,0)+MAX(L1033-1,0)+MAX(M1033-1,0)</x:f>
        <x:v>5</x:v>
      </x:c>
      <x:c r="O1033" s="19" t="n">
        <x:f>IF(AND(SUM(K1033:M1033)&lt;9,OR(M1033=0,N1033&lt;6)),1,0)</x:f>
        <x:v>1</x:v>
      </x:c>
      <x:c r="P1033" s="19" t="n">
        <x:f>IF(AND(SUM(K1033:M1033)&lt;9,OR(L1033=0,N1033&lt;6)),1,0)</x:f>
        <x:v>1</x:v>
      </x:c>
      <x:c r="Q1033" s="19" t="n">
        <x:f>IF(AND(SUM(K1033:M1033)&lt;9,OR(K1033=0,N1033&lt;6)),1,0)</x:f>
        <x:v>1</x:v>
      </x:c>
      <x:c r="R1033" s="22" t="str">
        <x:f>O1033&amp;P1033&amp;Q1033</x:f>
        <x:v>111</x:v>
      </x:c>
      <x:c r="S1033" s="19" t="n">
        <x:f>IF(I1033=1,IF(J1033=0,Q1033,IF(J1033=1,P1033,IF(J1033=2,O1033,0))),0)</x:f>
        <x:v>1</x:v>
      </x:c>
      <x:c r="T1033" s="19" t="n">
        <x:f>K1033+IF(AND(S1033=1,J1033=0),1,0)</x:f>
        <x:v>1</x:v>
      </x:c>
      <x:c r="U1033" s="19" t="n">
        <x:f>L1033+IF(AND(S1033=1,J1033=1),1,0)</x:f>
        <x:v>5</x:v>
      </x:c>
      <x:c r="V1033" s="19" t="n">
        <x:f>M1033+IF(AND(S1033=1,J1033=2),1,0)</x:f>
        <x:v>3</x:v>
      </x:c>
      <x:c r="W1033" s="19" t="n">
        <x:f>SUM(T1033:V1033)</x:f>
        <x:v>9</x:v>
      </x:c>
      <x:c r="X1033" s="19" t="n">
        <x:f>W1033-G1033</x:f>
        <x:v>0</x:v>
      </x:c>
      <x:c r="Y1033" s="19" t="n">
        <x:f>MAX(T1033,1)+MAX(U1033,1)+MAX(V1033,1)</x:f>
        <x:v>9</x:v>
      </x:c>
      <x:c r="Z1033" s="21" t="str">
        <x:f>IF(AND(MIN(D1033:F1033)&gt;=0,MAX(D1033:F1033)&lt;=7,MAX(D1033,1)+MAX(E1033,1)+MAX(F1033,1)&lt;=9,OR(H1033="-",AND(H1033=0,D1033&gt;0),AND(H1033=1,E1033&gt;0),AND(H1033=2,F1033&gt;0)),OR(I1033=0,AND(I1033=1,OR(J1033=0,J1033=1,J1033=2),R1033&lt;&gt;"000")),Y1033&lt;=9,MIN(T1033:V1033)&gt;=0),"合法","输入违约")</x:f>
        <x:v>合法</x:v>
      </x:c>
    </x:row>
    <x:row r="1034" ht="23" customHeight="1">
      <x:c r="A1034" s="3" t="str">
        <x:v>CT-1027</x:v>
      </x:c>
      <x:c r="B1034" s="3" t="str">
        <x:v>ST-168</x:v>
      </x:c>
      <x:c r="C1034" s="3" t="str">
        <x:v>仅R回收</x:v>
      </x:c>
      <x:c r="D1034" s="25" t="n">
        <x:v>1</x:v>
      </x:c>
      <x:c r="E1034" s="25" t="n">
        <x:v>6</x:v>
      </x:c>
      <x:c r="F1034" s="25" t="n">
        <x:v>2</x:v>
      </x:c>
      <x:c r="G1034" s="19" t="n">
        <x:f>SUM(D1034:F1034)</x:f>
        <x:v>9</x:v>
      </x:c>
      <x:c r="H1034" s="25" t="n">
        <x:v>2</x:v>
      </x:c>
      <x:c r="I1034" s="25" t="n">
        <x:v>0</x:v>
      </x:c>
      <x:c r="J1034" s="25" t="str">
        <x:v>-</x:v>
      </x:c>
      <x:c r="K1034" s="19" t="n">
        <x:f>D1034-IF(H1034=0,1,0)</x:f>
        <x:v>1</x:v>
      </x:c>
      <x:c r="L1034" s="19" t="n">
        <x:f>E1034-IF(H1034=1,1,0)</x:f>
        <x:v>6</x:v>
      </x:c>
      <x:c r="M1034" s="19" t="n">
        <x:f>F1034-IF(H1034=2,1,0)</x:f>
        <x:v>1</x:v>
      </x:c>
      <x:c r="N1034" s="19" t="n">
        <x:f>MAX(K1034-1,0)+MAX(L1034-1,0)+MAX(M1034-1,0)</x:f>
        <x:v>5</x:v>
      </x:c>
      <x:c r="O1034" s="19" t="n">
        <x:f>IF(AND(SUM(K1034:M1034)&lt;9,OR(M1034=0,N1034&lt;6)),1,0)</x:f>
        <x:v>1</x:v>
      </x:c>
      <x:c r="P1034" s="19" t="n">
        <x:f>IF(AND(SUM(K1034:M1034)&lt;9,OR(L1034=0,N1034&lt;6)),1,0)</x:f>
        <x:v>1</x:v>
      </x:c>
      <x:c r="Q1034" s="19" t="n">
        <x:f>IF(AND(SUM(K1034:M1034)&lt;9,OR(K1034=0,N1034&lt;6)),1,0)</x:f>
        <x:v>1</x:v>
      </x:c>
      <x:c r="R1034" s="22" t="str">
        <x:f>O1034&amp;P1034&amp;Q1034</x:f>
        <x:v>111</x:v>
      </x:c>
      <x:c r="S1034" s="19" t="n">
        <x:f>IF(I1034=1,IF(J1034=0,Q1034,IF(J1034=1,P1034,IF(J1034=2,O1034,0))),0)</x:f>
        <x:v>0</x:v>
      </x:c>
      <x:c r="T1034" s="19" t="n">
        <x:f>K1034+IF(AND(S1034=1,J1034=0),1,0)</x:f>
        <x:v>1</x:v>
      </x:c>
      <x:c r="U1034" s="19" t="n">
        <x:f>L1034+IF(AND(S1034=1,J1034=1),1,0)</x:f>
        <x:v>6</x:v>
      </x:c>
      <x:c r="V1034" s="19" t="n">
        <x:f>M1034+IF(AND(S1034=1,J1034=2),1,0)</x:f>
        <x:v>1</x:v>
      </x:c>
      <x:c r="W1034" s="19" t="n">
        <x:f>SUM(T1034:V1034)</x:f>
        <x:v>8</x:v>
      </x:c>
      <x:c r="X1034" s="19" t="n">
        <x:f>W1034-G1034</x:f>
        <x:v>-1</x:v>
      </x:c>
      <x:c r="Y1034" s="19" t="n">
        <x:f>MAX(T1034,1)+MAX(U1034,1)+MAX(V1034,1)</x:f>
        <x:v>8</x:v>
      </x:c>
      <x:c r="Z1034" s="21" t="str">
        <x:f>IF(AND(MIN(D1034:F1034)&gt;=0,MAX(D1034:F1034)&lt;=7,MAX(D1034,1)+MAX(E1034,1)+MAX(F1034,1)&lt;=9,OR(H1034="-",AND(H1034=0,D1034&gt;0),AND(H1034=1,E1034&gt;0),AND(H1034=2,F1034&gt;0)),OR(I1034=0,AND(I1034=1,OR(J1034=0,J1034=1,J1034=2),R1034&lt;&gt;"000")),Y1034&lt;=9,MIN(T1034:V1034)&gt;=0),"合法","输入违约")</x:f>
        <x:v>合法</x:v>
      </x:c>
    </x:row>
    <x:row r="1035" ht="23" customHeight="1">
      <x:c r="A1035" s="3" t="str">
        <x:v>CT-1028</x:v>
      </x:c>
      <x:c r="B1035" s="3" t="str">
        <x:v>ST-168</x:v>
      </x:c>
      <x:c r="C1035" s="3" t="str">
        <x:v>R+AR同收同发</x:v>
      </x:c>
      <x:c r="D1035" s="25" t="n">
        <x:v>1</x:v>
      </x:c>
      <x:c r="E1035" s="25" t="n">
        <x:v>6</x:v>
      </x:c>
      <x:c r="F1035" s="25" t="n">
        <x:v>2</x:v>
      </x:c>
      <x:c r="G1035" s="19" t="n">
        <x:f>SUM(D1035:F1035)</x:f>
        <x:v>9</x:v>
      </x:c>
      <x:c r="H1035" s="25" t="n">
        <x:v>2</x:v>
      </x:c>
      <x:c r="I1035" s="25" t="n">
        <x:v>1</x:v>
      </x:c>
      <x:c r="J1035" s="25" t="n">
        <x:v>0</x:v>
      </x:c>
      <x:c r="K1035" s="19" t="n">
        <x:f>D1035-IF(H1035=0,1,0)</x:f>
        <x:v>1</x:v>
      </x:c>
      <x:c r="L1035" s="19" t="n">
        <x:f>E1035-IF(H1035=1,1,0)</x:f>
        <x:v>6</x:v>
      </x:c>
      <x:c r="M1035" s="19" t="n">
        <x:f>F1035-IF(H1035=2,1,0)</x:f>
        <x:v>1</x:v>
      </x:c>
      <x:c r="N1035" s="19" t="n">
        <x:f>MAX(K1035-1,0)+MAX(L1035-1,0)+MAX(M1035-1,0)</x:f>
        <x:v>5</x:v>
      </x:c>
      <x:c r="O1035" s="19" t="n">
        <x:f>IF(AND(SUM(K1035:M1035)&lt;9,OR(M1035=0,N1035&lt;6)),1,0)</x:f>
        <x:v>1</x:v>
      </x:c>
      <x:c r="P1035" s="19" t="n">
        <x:f>IF(AND(SUM(K1035:M1035)&lt;9,OR(L1035=0,N1035&lt;6)),1,0)</x:f>
        <x:v>1</x:v>
      </x:c>
      <x:c r="Q1035" s="19" t="n">
        <x:f>IF(AND(SUM(K1035:M1035)&lt;9,OR(K1035=0,N1035&lt;6)),1,0)</x:f>
        <x:v>1</x:v>
      </x:c>
      <x:c r="R1035" s="22" t="str">
        <x:f>O1035&amp;P1035&amp;Q1035</x:f>
        <x:v>111</x:v>
      </x:c>
      <x:c r="S1035" s="19" t="n">
        <x:f>IF(I1035=1,IF(J1035=0,Q1035,IF(J1035=1,P1035,IF(J1035=2,O1035,0))),0)</x:f>
        <x:v>1</x:v>
      </x:c>
      <x:c r="T1035" s="19" t="n">
        <x:f>K1035+IF(AND(S1035=1,J1035=0),1,0)</x:f>
        <x:v>2</x:v>
      </x:c>
      <x:c r="U1035" s="19" t="n">
        <x:f>L1035+IF(AND(S1035=1,J1035=1),1,0)</x:f>
        <x:v>6</x:v>
      </x:c>
      <x:c r="V1035" s="19" t="n">
        <x:f>M1035+IF(AND(S1035=1,J1035=2),1,0)</x:f>
        <x:v>1</x:v>
      </x:c>
      <x:c r="W1035" s="19" t="n">
        <x:f>SUM(T1035:V1035)</x:f>
        <x:v>9</x:v>
      </x:c>
      <x:c r="X1035" s="19" t="n">
        <x:f>W1035-G1035</x:f>
        <x:v>0</x:v>
      </x:c>
      <x:c r="Y1035" s="19" t="n">
        <x:f>MAX(T1035,1)+MAX(U1035,1)+MAX(V1035,1)</x:f>
        <x:v>9</x:v>
      </x:c>
      <x:c r="Z1035" s="21" t="str">
        <x:f>IF(AND(MIN(D1035:F1035)&gt;=0,MAX(D1035:F1035)&lt;=7,MAX(D1035,1)+MAX(E1035,1)+MAX(F1035,1)&lt;=9,OR(H1035="-",AND(H1035=0,D1035&gt;0),AND(H1035=1,E1035&gt;0),AND(H1035=2,F1035&gt;0)),OR(I1035=0,AND(I1035=1,OR(J1035=0,J1035=1,J1035=2),R1035&lt;&gt;"000")),Y1035&lt;=9,MIN(T1035:V1035)&gt;=0),"合法","输入违约")</x:f>
        <x:v>合法</x:v>
      </x:c>
    </x:row>
    <x:row r="1036" ht="23" customHeight="1">
      <x:c r="A1036" s="3" t="str">
        <x:v>CT-1029</x:v>
      </x:c>
      <x:c r="B1036" s="3" t="str">
        <x:v>ST-168</x:v>
      </x:c>
      <x:c r="C1036" s="3" t="str">
        <x:v>R+AR同收同发</x:v>
      </x:c>
      <x:c r="D1036" s="25" t="n">
        <x:v>1</x:v>
      </x:c>
      <x:c r="E1036" s="25" t="n">
        <x:v>6</x:v>
      </x:c>
      <x:c r="F1036" s="25" t="n">
        <x:v>2</x:v>
      </x:c>
      <x:c r="G1036" s="19" t="n">
        <x:f>SUM(D1036:F1036)</x:f>
        <x:v>9</x:v>
      </x:c>
      <x:c r="H1036" s="25" t="n">
        <x:v>2</x:v>
      </x:c>
      <x:c r="I1036" s="25" t="n">
        <x:v>1</x:v>
      </x:c>
      <x:c r="J1036" s="25" t="n">
        <x:v>1</x:v>
      </x:c>
      <x:c r="K1036" s="19" t="n">
        <x:f>D1036-IF(H1036=0,1,0)</x:f>
        <x:v>1</x:v>
      </x:c>
      <x:c r="L1036" s="19" t="n">
        <x:f>E1036-IF(H1036=1,1,0)</x:f>
        <x:v>6</x:v>
      </x:c>
      <x:c r="M1036" s="19" t="n">
        <x:f>F1036-IF(H1036=2,1,0)</x:f>
        <x:v>1</x:v>
      </x:c>
      <x:c r="N1036" s="19" t="n">
        <x:f>MAX(K1036-1,0)+MAX(L1036-1,0)+MAX(M1036-1,0)</x:f>
        <x:v>5</x:v>
      </x:c>
      <x:c r="O1036" s="19" t="n">
        <x:f>IF(AND(SUM(K1036:M1036)&lt;9,OR(M1036=0,N1036&lt;6)),1,0)</x:f>
        <x:v>1</x:v>
      </x:c>
      <x:c r="P1036" s="19" t="n">
        <x:f>IF(AND(SUM(K1036:M1036)&lt;9,OR(L1036=0,N1036&lt;6)),1,0)</x:f>
        <x:v>1</x:v>
      </x:c>
      <x:c r="Q1036" s="19" t="n">
        <x:f>IF(AND(SUM(K1036:M1036)&lt;9,OR(K1036=0,N1036&lt;6)),1,0)</x:f>
        <x:v>1</x:v>
      </x:c>
      <x:c r="R1036" s="22" t="str">
        <x:f>O1036&amp;P1036&amp;Q1036</x:f>
        <x:v>111</x:v>
      </x:c>
      <x:c r="S1036" s="19" t="n">
        <x:f>IF(I1036=1,IF(J1036=0,Q1036,IF(J1036=1,P1036,IF(J1036=2,O1036,0))),0)</x:f>
        <x:v>1</x:v>
      </x:c>
      <x:c r="T1036" s="19" t="n">
        <x:f>K1036+IF(AND(S1036=1,J1036=0),1,0)</x:f>
        <x:v>1</x:v>
      </x:c>
      <x:c r="U1036" s="19" t="n">
        <x:f>L1036+IF(AND(S1036=1,J1036=1),1,0)</x:f>
        <x:v>7</x:v>
      </x:c>
      <x:c r="V1036" s="19" t="n">
        <x:f>M1036+IF(AND(S1036=1,J1036=2),1,0)</x:f>
        <x:v>1</x:v>
      </x:c>
      <x:c r="W1036" s="19" t="n">
        <x:f>SUM(T1036:V1036)</x:f>
        <x:v>9</x:v>
      </x:c>
      <x:c r="X1036" s="19" t="n">
        <x:f>W1036-G1036</x:f>
        <x:v>0</x:v>
      </x:c>
      <x:c r="Y1036" s="19" t="n">
        <x:f>MAX(T1036,1)+MAX(U1036,1)+MAX(V1036,1)</x:f>
        <x:v>9</x:v>
      </x:c>
      <x:c r="Z1036" s="21" t="str">
        <x:f>IF(AND(MIN(D1036:F1036)&gt;=0,MAX(D1036:F1036)&lt;=7,MAX(D1036,1)+MAX(E1036,1)+MAX(F1036,1)&lt;=9,OR(H1036="-",AND(H1036=0,D1036&gt;0),AND(H1036=1,E1036&gt;0),AND(H1036=2,F1036&gt;0)),OR(I1036=0,AND(I1036=1,OR(J1036=0,J1036=1,J1036=2),R1036&lt;&gt;"000")),Y1036&lt;=9,MIN(T1036:V1036)&gt;=0),"合法","输入违约")</x:f>
        <x:v>合法</x:v>
      </x:c>
    </x:row>
    <x:row r="1037" ht="23" customHeight="1">
      <x:c r="A1037" s="3" t="str">
        <x:v>CT-1030</x:v>
      </x:c>
      <x:c r="B1037" s="3" t="str">
        <x:v>ST-168</x:v>
      </x:c>
      <x:c r="C1037" s="3" t="str">
        <x:v>R+AR同收同发</x:v>
      </x:c>
      <x:c r="D1037" s="25" t="n">
        <x:v>1</x:v>
      </x:c>
      <x:c r="E1037" s="25" t="n">
        <x:v>6</x:v>
      </x:c>
      <x:c r="F1037" s="25" t="n">
        <x:v>2</x:v>
      </x:c>
      <x:c r="G1037" s="19" t="n">
        <x:f>SUM(D1037:F1037)</x:f>
        <x:v>9</x:v>
      </x:c>
      <x:c r="H1037" s="25" t="n">
        <x:v>2</x:v>
      </x:c>
      <x:c r="I1037" s="25" t="n">
        <x:v>1</x:v>
      </x:c>
      <x:c r="J1037" s="25" t="n">
        <x:v>2</x:v>
      </x:c>
      <x:c r="K1037" s="19" t="n">
        <x:f>D1037-IF(H1037=0,1,0)</x:f>
        <x:v>1</x:v>
      </x:c>
      <x:c r="L1037" s="19" t="n">
        <x:f>E1037-IF(H1037=1,1,0)</x:f>
        <x:v>6</x:v>
      </x:c>
      <x:c r="M1037" s="19" t="n">
        <x:f>F1037-IF(H1037=2,1,0)</x:f>
        <x:v>1</x:v>
      </x:c>
      <x:c r="N1037" s="19" t="n">
        <x:f>MAX(K1037-1,0)+MAX(L1037-1,0)+MAX(M1037-1,0)</x:f>
        <x:v>5</x:v>
      </x:c>
      <x:c r="O1037" s="19" t="n">
        <x:f>IF(AND(SUM(K1037:M1037)&lt;9,OR(M1037=0,N1037&lt;6)),1,0)</x:f>
        <x:v>1</x:v>
      </x:c>
      <x:c r="P1037" s="19" t="n">
        <x:f>IF(AND(SUM(K1037:M1037)&lt;9,OR(L1037=0,N1037&lt;6)),1,0)</x:f>
        <x:v>1</x:v>
      </x:c>
      <x:c r="Q1037" s="19" t="n">
        <x:f>IF(AND(SUM(K1037:M1037)&lt;9,OR(K1037=0,N1037&lt;6)),1,0)</x:f>
        <x:v>1</x:v>
      </x:c>
      <x:c r="R1037" s="22" t="str">
        <x:f>O1037&amp;P1037&amp;Q1037</x:f>
        <x:v>111</x:v>
      </x:c>
      <x:c r="S1037" s="19" t="n">
        <x:f>IF(I1037=1,IF(J1037=0,Q1037,IF(J1037=1,P1037,IF(J1037=2,O1037,0))),0)</x:f>
        <x:v>1</x:v>
      </x:c>
      <x:c r="T1037" s="19" t="n">
        <x:f>K1037+IF(AND(S1037=1,J1037=0),1,0)</x:f>
        <x:v>1</x:v>
      </x:c>
      <x:c r="U1037" s="19" t="n">
        <x:f>L1037+IF(AND(S1037=1,J1037=1),1,0)</x:f>
        <x:v>6</x:v>
      </x:c>
      <x:c r="V1037" s="19" t="n">
        <x:f>M1037+IF(AND(S1037=1,J1037=2),1,0)</x:f>
        <x:v>2</x:v>
      </x:c>
      <x:c r="W1037" s="19" t="n">
        <x:f>SUM(T1037:V1037)</x:f>
        <x:v>9</x:v>
      </x:c>
      <x:c r="X1037" s="19" t="n">
        <x:f>W1037-G1037</x:f>
        <x:v>0</x:v>
      </x:c>
      <x:c r="Y1037" s="19" t="n">
        <x:f>MAX(T1037,1)+MAX(U1037,1)+MAX(V1037,1)</x:f>
        <x:v>9</x:v>
      </x:c>
      <x:c r="Z1037" s="21" t="str">
        <x:f>IF(AND(MIN(D1037:F1037)&gt;=0,MAX(D1037:F1037)&lt;=7,MAX(D1037,1)+MAX(E1037,1)+MAX(F1037,1)&lt;=9,OR(H1037="-",AND(H1037=0,D1037&gt;0),AND(H1037=1,E1037&gt;0),AND(H1037=2,F1037&gt;0)),OR(I1037=0,AND(I1037=1,OR(J1037=0,J1037=1,J1037=2),R1037&lt;&gt;"000")),Y1037&lt;=9,MIN(T1037:V1037)&gt;=0),"合法","输入违约")</x:f>
        <x:v>合法</x:v>
      </x:c>
    </x:row>
    <x:row r="1038" ht="23" customHeight="1">
      <x:c r="A1038" s="3" t="str">
        <x:v>CT-1031</x:v>
      </x:c>
      <x:c r="B1038" s="3" t="str">
        <x:v>ST-135</x:v>
      </x:c>
      <x:c r="C1038" s="3" t="str">
        <x:v>无AR/R</x:v>
      </x:c>
      <x:c r="D1038" s="25" t="n">
        <x:v>1</x:v>
      </x:c>
      <x:c r="E1038" s="25" t="n">
        <x:v>7</x:v>
      </x:c>
      <x:c r="F1038" s="25" t="n">
        <x:v>0</x:v>
      </x:c>
      <x:c r="G1038" s="19" t="n">
        <x:f>SUM(D1038:F1038)</x:f>
        <x:v>8</x:v>
      </x:c>
      <x:c r="H1038" s="25" t="str">
        <x:v>-</x:v>
      </x:c>
      <x:c r="I1038" s="25" t="n">
        <x:v>0</x:v>
      </x:c>
      <x:c r="J1038" s="25" t="str">
        <x:v>-</x:v>
      </x:c>
      <x:c r="K1038" s="19" t="n">
        <x:f>D1038-IF(H1038=0,1,0)</x:f>
        <x:v>1</x:v>
      </x:c>
      <x:c r="L1038" s="19" t="n">
        <x:f>E1038-IF(H1038=1,1,0)</x:f>
        <x:v>7</x:v>
      </x:c>
      <x:c r="M1038" s="19" t="n">
        <x:f>F1038-IF(H1038=2,1,0)</x:f>
        <x:v>0</x:v>
      </x:c>
      <x:c r="N1038" s="19" t="n">
        <x:f>MAX(K1038-1,0)+MAX(L1038-1,0)+MAX(M1038-1,0)</x:f>
        <x:v>6</x:v>
      </x:c>
      <x:c r="O1038" s="19" t="n">
        <x:f>IF(AND(SUM(K1038:M1038)&lt;9,OR(M1038=0,N1038&lt;6)),1,0)</x:f>
        <x:v>1</x:v>
      </x:c>
      <x:c r="P1038" s="19" t="n">
        <x:f>IF(AND(SUM(K1038:M1038)&lt;9,OR(L1038=0,N1038&lt;6)),1,0)</x:f>
        <x:v>0</x:v>
      </x:c>
      <x:c r="Q1038" s="19" t="n">
        <x:f>IF(AND(SUM(K1038:M1038)&lt;9,OR(K1038=0,N1038&lt;6)),1,0)</x:f>
        <x:v>0</x:v>
      </x:c>
      <x:c r="R1038" s="22" t="str">
        <x:f>O1038&amp;P1038&amp;Q1038</x:f>
        <x:v>100</x:v>
      </x:c>
      <x:c r="S1038" s="19" t="n">
        <x:f>IF(I1038=1,IF(J1038=0,Q1038,IF(J1038=1,P1038,IF(J1038=2,O1038,0))),0)</x:f>
        <x:v>0</x:v>
      </x:c>
      <x:c r="T1038" s="19" t="n">
        <x:f>K1038+IF(AND(S1038=1,J1038=0),1,0)</x:f>
        <x:v>1</x:v>
      </x:c>
      <x:c r="U1038" s="19" t="n">
        <x:f>L1038+IF(AND(S1038=1,J1038=1),1,0)</x:f>
        <x:v>7</x:v>
      </x:c>
      <x:c r="V1038" s="19" t="n">
        <x:f>M1038+IF(AND(S1038=1,J1038=2),1,0)</x:f>
        <x:v>0</x:v>
      </x:c>
      <x:c r="W1038" s="19" t="n">
        <x:f>SUM(T1038:V1038)</x:f>
        <x:v>8</x:v>
      </x:c>
      <x:c r="X1038" s="19" t="n">
        <x:f>W1038-G1038</x:f>
        <x:v>0</x:v>
      </x:c>
      <x:c r="Y1038" s="19" t="n">
        <x:f>MAX(T1038,1)+MAX(U1038,1)+MAX(V1038,1)</x:f>
        <x:v>9</x:v>
      </x:c>
      <x:c r="Z1038" s="21" t="str">
        <x:f>IF(AND(MIN(D1038:F1038)&gt;=0,MAX(D1038:F1038)&lt;=7,MAX(D1038,1)+MAX(E1038,1)+MAX(F1038,1)&lt;=9,OR(H1038="-",AND(H1038=0,D1038&gt;0),AND(H1038=1,E1038&gt;0),AND(H1038=2,F1038&gt;0)),OR(I1038=0,AND(I1038=1,OR(J1038=0,J1038=1,J1038=2),R1038&lt;&gt;"000")),Y1038&lt;=9,MIN(T1038:V1038)&gt;=0),"合法","输入违约")</x:f>
        <x:v>合法</x:v>
      </x:c>
    </x:row>
    <x:row r="1039" ht="23" customHeight="1">
      <x:c r="A1039" s="3" t="str">
        <x:v>CT-1032</x:v>
      </x:c>
      <x:c r="B1039" s="3" t="str">
        <x:v>ST-135</x:v>
      </x:c>
      <x:c r="C1039" s="3" t="str">
        <x:v>所选源被阻塞</x:v>
      </x:c>
      <x:c r="D1039" s="25" t="n">
        <x:v>1</x:v>
      </x:c>
      <x:c r="E1039" s="25" t="n">
        <x:v>7</x:v>
      </x:c>
      <x:c r="F1039" s="25" t="n">
        <x:v>0</x:v>
      </x:c>
      <x:c r="G1039" s="19" t="n">
        <x:f>SUM(D1039:F1039)</x:f>
        <x:v>8</x:v>
      </x:c>
      <x:c r="H1039" s="25" t="str">
        <x:v>-</x:v>
      </x:c>
      <x:c r="I1039" s="25" t="n">
        <x:v>1</x:v>
      </x:c>
      <x:c r="J1039" s="25" t="n">
        <x:v>0</x:v>
      </x:c>
      <x:c r="K1039" s="19" t="n">
        <x:f>D1039-IF(H1039=0,1,0)</x:f>
        <x:v>1</x:v>
      </x:c>
      <x:c r="L1039" s="19" t="n">
        <x:f>E1039-IF(H1039=1,1,0)</x:f>
        <x:v>7</x:v>
      </x:c>
      <x:c r="M1039" s="19" t="n">
        <x:f>F1039-IF(H1039=2,1,0)</x:f>
        <x:v>0</x:v>
      </x:c>
      <x:c r="N1039" s="19" t="n">
        <x:f>MAX(K1039-1,0)+MAX(L1039-1,0)+MAX(M1039-1,0)</x:f>
        <x:v>6</x:v>
      </x:c>
      <x:c r="O1039" s="19" t="n">
        <x:f>IF(AND(SUM(K1039:M1039)&lt;9,OR(M1039=0,N1039&lt;6)),1,0)</x:f>
        <x:v>1</x:v>
      </x:c>
      <x:c r="P1039" s="19" t="n">
        <x:f>IF(AND(SUM(K1039:M1039)&lt;9,OR(L1039=0,N1039&lt;6)),1,0)</x:f>
        <x:v>0</x:v>
      </x:c>
      <x:c r="Q1039" s="19" t="n">
        <x:f>IF(AND(SUM(K1039:M1039)&lt;9,OR(K1039=0,N1039&lt;6)),1,0)</x:f>
        <x:v>0</x:v>
      </x:c>
      <x:c r="R1039" s="22" t="str">
        <x:f>O1039&amp;P1039&amp;Q1039</x:f>
        <x:v>100</x:v>
      </x:c>
      <x:c r="S1039" s="19" t="n">
        <x:f>IF(I1039=1,IF(J1039=0,Q1039,IF(J1039=1,P1039,IF(J1039=2,O1039,0))),0)</x:f>
        <x:v>0</x:v>
      </x:c>
      <x:c r="T1039" s="19" t="n">
        <x:f>K1039+IF(AND(S1039=1,J1039=0),1,0)</x:f>
        <x:v>1</x:v>
      </x:c>
      <x:c r="U1039" s="19" t="n">
        <x:f>L1039+IF(AND(S1039=1,J1039=1),1,0)</x:f>
        <x:v>7</x:v>
      </x:c>
      <x:c r="V1039" s="19" t="n">
        <x:f>M1039+IF(AND(S1039=1,J1039=2),1,0)</x:f>
        <x:v>0</x:v>
      </x:c>
      <x:c r="W1039" s="19" t="n">
        <x:f>SUM(T1039:V1039)</x:f>
        <x:v>8</x:v>
      </x:c>
      <x:c r="X1039" s="19" t="n">
        <x:f>W1039-G1039</x:f>
        <x:v>0</x:v>
      </x:c>
      <x:c r="Y1039" s="19" t="n">
        <x:f>MAX(T1039,1)+MAX(U1039,1)+MAX(V1039,1)</x:f>
        <x:v>9</x:v>
      </x:c>
      <x:c r="Z1039" s="21" t="str">
        <x:f>IF(AND(MIN(D1039:F1039)&gt;=0,MAX(D1039:F1039)&lt;=7,MAX(D1039,1)+MAX(E1039,1)+MAX(F1039,1)&lt;=9,OR(H1039="-",AND(H1039=0,D1039&gt;0),AND(H1039=1,E1039&gt;0),AND(H1039=2,F1039&gt;0)),OR(I1039=0,AND(I1039=1,OR(J1039=0,J1039=1,J1039=2),R1039&lt;&gt;"000")),Y1039&lt;=9,MIN(T1039:V1039)&gt;=0),"合法","输入违约")</x:f>
        <x:v>合法</x:v>
      </x:c>
    </x:row>
    <x:row r="1040" ht="23" customHeight="1">
      <x:c r="A1040" s="3" t="str">
        <x:v>CT-1033</x:v>
      </x:c>
      <x:c r="B1040" s="3" t="str">
        <x:v>ST-135</x:v>
      </x:c>
      <x:c r="C1040" s="3" t="str">
        <x:v>所选源被阻塞</x:v>
      </x:c>
      <x:c r="D1040" s="25" t="n">
        <x:v>1</x:v>
      </x:c>
      <x:c r="E1040" s="25" t="n">
        <x:v>7</x:v>
      </x:c>
      <x:c r="F1040" s="25" t="n">
        <x:v>0</x:v>
      </x:c>
      <x:c r="G1040" s="19" t="n">
        <x:f>SUM(D1040:F1040)</x:f>
        <x:v>8</x:v>
      </x:c>
      <x:c r="H1040" s="25" t="str">
        <x:v>-</x:v>
      </x:c>
      <x:c r="I1040" s="25" t="n">
        <x:v>1</x:v>
      </x:c>
      <x:c r="J1040" s="25" t="n">
        <x:v>1</x:v>
      </x:c>
      <x:c r="K1040" s="19" t="n">
        <x:f>D1040-IF(H1040=0,1,0)</x:f>
        <x:v>1</x:v>
      </x:c>
      <x:c r="L1040" s="19" t="n">
        <x:f>E1040-IF(H1040=1,1,0)</x:f>
        <x:v>7</x:v>
      </x:c>
      <x:c r="M1040" s="19" t="n">
        <x:f>F1040-IF(H1040=2,1,0)</x:f>
        <x:v>0</x:v>
      </x:c>
      <x:c r="N1040" s="19" t="n">
        <x:f>MAX(K1040-1,0)+MAX(L1040-1,0)+MAX(M1040-1,0)</x:f>
        <x:v>6</x:v>
      </x:c>
      <x:c r="O1040" s="19" t="n">
        <x:f>IF(AND(SUM(K1040:M1040)&lt;9,OR(M1040=0,N1040&lt;6)),1,0)</x:f>
        <x:v>1</x:v>
      </x:c>
      <x:c r="P1040" s="19" t="n">
        <x:f>IF(AND(SUM(K1040:M1040)&lt;9,OR(L1040=0,N1040&lt;6)),1,0)</x:f>
        <x:v>0</x:v>
      </x:c>
      <x:c r="Q1040" s="19" t="n">
        <x:f>IF(AND(SUM(K1040:M1040)&lt;9,OR(K1040=0,N1040&lt;6)),1,0)</x:f>
        <x:v>0</x:v>
      </x:c>
      <x:c r="R1040" s="22" t="str">
        <x:f>O1040&amp;P1040&amp;Q1040</x:f>
        <x:v>100</x:v>
      </x:c>
      <x:c r="S1040" s="19" t="n">
        <x:f>IF(I1040=1,IF(J1040=0,Q1040,IF(J1040=1,P1040,IF(J1040=2,O1040,0))),0)</x:f>
        <x:v>0</x:v>
      </x:c>
      <x:c r="T1040" s="19" t="n">
        <x:f>K1040+IF(AND(S1040=1,J1040=0),1,0)</x:f>
        <x:v>1</x:v>
      </x:c>
      <x:c r="U1040" s="19" t="n">
        <x:f>L1040+IF(AND(S1040=1,J1040=1),1,0)</x:f>
        <x:v>7</x:v>
      </x:c>
      <x:c r="V1040" s="19" t="n">
        <x:f>M1040+IF(AND(S1040=1,J1040=2),1,0)</x:f>
        <x:v>0</x:v>
      </x:c>
      <x:c r="W1040" s="19" t="n">
        <x:f>SUM(T1040:V1040)</x:f>
        <x:v>8</x:v>
      </x:c>
      <x:c r="X1040" s="19" t="n">
        <x:f>W1040-G1040</x:f>
        <x:v>0</x:v>
      </x:c>
      <x:c r="Y1040" s="19" t="n">
        <x:f>MAX(T1040,1)+MAX(U1040,1)+MAX(V1040,1)</x:f>
        <x:v>9</x:v>
      </x:c>
      <x:c r="Z1040" s="21" t="str">
        <x:f>IF(AND(MIN(D1040:F1040)&gt;=0,MAX(D1040:F1040)&lt;=7,MAX(D1040,1)+MAX(E1040,1)+MAX(F1040,1)&lt;=9,OR(H1040="-",AND(H1040=0,D1040&gt;0),AND(H1040=1,E1040&gt;0),AND(H1040=2,F1040&gt;0)),OR(I1040=0,AND(I1040=1,OR(J1040=0,J1040=1,J1040=2),R1040&lt;&gt;"000")),Y1040&lt;=9,MIN(T1040:V1040)&gt;=0),"合法","输入违约")</x:f>
        <x:v>合法</x:v>
      </x:c>
    </x:row>
    <x:row r="1041" ht="23" customHeight="1">
      <x:c r="A1041" s="3" t="str">
        <x:v>CT-1034</x:v>
      </x:c>
      <x:c r="B1041" s="3" t="str">
        <x:v>ST-135</x:v>
      </x:c>
      <x:c r="C1041" s="3" t="str">
        <x:v>仅AR接收</x:v>
      </x:c>
      <x:c r="D1041" s="25" t="n">
        <x:v>1</x:v>
      </x:c>
      <x:c r="E1041" s="25" t="n">
        <x:v>7</x:v>
      </x:c>
      <x:c r="F1041" s="25" t="n">
        <x:v>0</x:v>
      </x:c>
      <x:c r="G1041" s="19" t="n">
        <x:f>SUM(D1041:F1041)</x:f>
        <x:v>8</x:v>
      </x:c>
      <x:c r="H1041" s="25" t="str">
        <x:v>-</x:v>
      </x:c>
      <x:c r="I1041" s="25" t="n">
        <x:v>1</x:v>
      </x:c>
      <x:c r="J1041" s="25" t="n">
        <x:v>2</x:v>
      </x:c>
      <x:c r="K1041" s="19" t="n">
        <x:f>D1041-IF(H1041=0,1,0)</x:f>
        <x:v>1</x:v>
      </x:c>
      <x:c r="L1041" s="19" t="n">
        <x:f>E1041-IF(H1041=1,1,0)</x:f>
        <x:v>7</x:v>
      </x:c>
      <x:c r="M1041" s="19" t="n">
        <x:f>F1041-IF(H1041=2,1,0)</x:f>
        <x:v>0</x:v>
      </x:c>
      <x:c r="N1041" s="19" t="n">
        <x:f>MAX(K1041-1,0)+MAX(L1041-1,0)+MAX(M1041-1,0)</x:f>
        <x:v>6</x:v>
      </x:c>
      <x:c r="O1041" s="19" t="n">
        <x:f>IF(AND(SUM(K1041:M1041)&lt;9,OR(M1041=0,N1041&lt;6)),1,0)</x:f>
        <x:v>1</x:v>
      </x:c>
      <x:c r="P1041" s="19" t="n">
        <x:f>IF(AND(SUM(K1041:M1041)&lt;9,OR(L1041=0,N1041&lt;6)),1,0)</x:f>
        <x:v>0</x:v>
      </x:c>
      <x:c r="Q1041" s="19" t="n">
        <x:f>IF(AND(SUM(K1041:M1041)&lt;9,OR(K1041=0,N1041&lt;6)),1,0)</x:f>
        <x:v>0</x:v>
      </x:c>
      <x:c r="R1041" s="22" t="str">
        <x:f>O1041&amp;P1041&amp;Q1041</x:f>
        <x:v>100</x:v>
      </x:c>
      <x:c r="S1041" s="19" t="n">
        <x:f>IF(I1041=1,IF(J1041=0,Q1041,IF(J1041=1,P1041,IF(J1041=2,O1041,0))),0)</x:f>
        <x:v>1</x:v>
      </x:c>
      <x:c r="T1041" s="19" t="n">
        <x:f>K1041+IF(AND(S1041=1,J1041=0),1,0)</x:f>
        <x:v>1</x:v>
      </x:c>
      <x:c r="U1041" s="19" t="n">
        <x:f>L1041+IF(AND(S1041=1,J1041=1),1,0)</x:f>
        <x:v>7</x:v>
      </x:c>
      <x:c r="V1041" s="19" t="n">
        <x:f>M1041+IF(AND(S1041=1,J1041=2),1,0)</x:f>
        <x:v>1</x:v>
      </x:c>
      <x:c r="W1041" s="19" t="n">
        <x:f>SUM(T1041:V1041)</x:f>
        <x:v>9</x:v>
      </x:c>
      <x:c r="X1041" s="19" t="n">
        <x:f>W1041-G1041</x:f>
        <x:v>1</x:v>
      </x:c>
      <x:c r="Y1041" s="19" t="n">
        <x:f>MAX(T1041,1)+MAX(U1041,1)+MAX(V1041,1)</x:f>
        <x:v>9</x:v>
      </x:c>
      <x:c r="Z1041" s="21" t="str">
        <x:f>IF(AND(MIN(D1041:F1041)&gt;=0,MAX(D1041:F1041)&lt;=7,MAX(D1041,1)+MAX(E1041,1)+MAX(F1041,1)&lt;=9,OR(H1041="-",AND(H1041=0,D1041&gt;0),AND(H1041=1,E1041&gt;0),AND(H1041=2,F1041&gt;0)),OR(I1041=0,AND(I1041=1,OR(J1041=0,J1041=1,J1041=2),R1041&lt;&gt;"000")),Y1041&lt;=9,MIN(T1041:V1041)&gt;=0),"合法","输入违约")</x:f>
        <x:v>合法</x:v>
      </x:c>
    </x:row>
    <x:row r="1042" ht="23" customHeight="1">
      <x:c r="A1042" s="3" t="str">
        <x:v>CT-1035</x:v>
      </x:c>
      <x:c r="B1042" s="3" t="str">
        <x:v>ST-135</x:v>
      </x:c>
      <x:c r="C1042" s="3" t="str">
        <x:v>仅R回收</x:v>
      </x:c>
      <x:c r="D1042" s="25" t="n">
        <x:v>1</x:v>
      </x:c>
      <x:c r="E1042" s="25" t="n">
        <x:v>7</x:v>
      </x:c>
      <x:c r="F1042" s="25" t="n">
        <x:v>0</x:v>
      </x:c>
      <x:c r="G1042" s="19" t="n">
        <x:f>SUM(D1042:F1042)</x:f>
        <x:v>8</x:v>
      </x:c>
      <x:c r="H1042" s="25" t="n">
        <x:v>0</x:v>
      </x:c>
      <x:c r="I1042" s="25" t="n">
        <x:v>0</x:v>
      </x:c>
      <x:c r="J1042" s="25" t="str">
        <x:v>-</x:v>
      </x:c>
      <x:c r="K1042" s="19" t="n">
        <x:f>D1042-IF(H1042=0,1,0)</x:f>
        <x:v>0</x:v>
      </x:c>
      <x:c r="L1042" s="19" t="n">
        <x:f>E1042-IF(H1042=1,1,0)</x:f>
        <x:v>7</x:v>
      </x:c>
      <x:c r="M1042" s="19" t="n">
        <x:f>F1042-IF(H1042=2,1,0)</x:f>
        <x:v>0</x:v>
      </x:c>
      <x:c r="N1042" s="19" t="n">
        <x:f>MAX(K1042-1,0)+MAX(L1042-1,0)+MAX(M1042-1,0)</x:f>
        <x:v>6</x:v>
      </x:c>
      <x:c r="O1042" s="19" t="n">
        <x:f>IF(AND(SUM(K1042:M1042)&lt;9,OR(M1042=0,N1042&lt;6)),1,0)</x:f>
        <x:v>1</x:v>
      </x:c>
      <x:c r="P1042" s="19" t="n">
        <x:f>IF(AND(SUM(K1042:M1042)&lt;9,OR(L1042=0,N1042&lt;6)),1,0)</x:f>
        <x:v>0</x:v>
      </x:c>
      <x:c r="Q1042" s="19" t="n">
        <x:f>IF(AND(SUM(K1042:M1042)&lt;9,OR(K1042=0,N1042&lt;6)),1,0)</x:f>
        <x:v>1</x:v>
      </x:c>
      <x:c r="R1042" s="22" t="str">
        <x:f>O1042&amp;P1042&amp;Q1042</x:f>
        <x:v>101</x:v>
      </x:c>
      <x:c r="S1042" s="19" t="n">
        <x:f>IF(I1042=1,IF(J1042=0,Q1042,IF(J1042=1,P1042,IF(J1042=2,O1042,0))),0)</x:f>
        <x:v>0</x:v>
      </x:c>
      <x:c r="T1042" s="19" t="n">
        <x:f>K1042+IF(AND(S1042=1,J1042=0),1,0)</x:f>
        <x:v>0</x:v>
      </x:c>
      <x:c r="U1042" s="19" t="n">
        <x:f>L1042+IF(AND(S1042=1,J1042=1),1,0)</x:f>
        <x:v>7</x:v>
      </x:c>
      <x:c r="V1042" s="19" t="n">
        <x:f>M1042+IF(AND(S1042=1,J1042=2),1,0)</x:f>
        <x:v>0</x:v>
      </x:c>
      <x:c r="W1042" s="19" t="n">
        <x:f>SUM(T1042:V1042)</x:f>
        <x:v>7</x:v>
      </x:c>
      <x:c r="X1042" s="19" t="n">
        <x:f>W1042-G1042</x:f>
        <x:v>-1</x:v>
      </x:c>
      <x:c r="Y1042" s="19" t="n">
        <x:f>MAX(T1042,1)+MAX(U1042,1)+MAX(V1042,1)</x:f>
        <x:v>9</x:v>
      </x:c>
      <x:c r="Z1042" s="21" t="str">
        <x:f>IF(AND(MIN(D1042:F1042)&gt;=0,MAX(D1042:F1042)&lt;=7,MAX(D1042,1)+MAX(E1042,1)+MAX(F1042,1)&lt;=9,OR(H1042="-",AND(H1042=0,D1042&gt;0),AND(H1042=1,E1042&gt;0),AND(H1042=2,F1042&gt;0)),OR(I1042=0,AND(I1042=1,OR(J1042=0,J1042=1,J1042=2),R1042&lt;&gt;"000")),Y1042&lt;=9,MIN(T1042:V1042)&gt;=0),"合法","输入违约")</x:f>
        <x:v>合法</x:v>
      </x:c>
    </x:row>
    <x:row r="1043" ht="23" customHeight="1">
      <x:c r="A1043" s="3" t="str">
        <x:v>CT-1036</x:v>
      </x:c>
      <x:c r="B1043" s="3" t="str">
        <x:v>ST-135</x:v>
      </x:c>
      <x:c r="C1043" s="3" t="str">
        <x:v>R+AR同收同发</x:v>
      </x:c>
      <x:c r="D1043" s="25" t="n">
        <x:v>1</x:v>
      </x:c>
      <x:c r="E1043" s="25" t="n">
        <x:v>7</x:v>
      </x:c>
      <x:c r="F1043" s="25" t="n">
        <x:v>0</x:v>
      </x:c>
      <x:c r="G1043" s="19" t="n">
        <x:f>SUM(D1043:F1043)</x:f>
        <x:v>8</x:v>
      </x:c>
      <x:c r="H1043" s="25" t="n">
        <x:v>0</x:v>
      </x:c>
      <x:c r="I1043" s="25" t="n">
        <x:v>1</x:v>
      </x:c>
      <x:c r="J1043" s="25" t="n">
        <x:v>0</x:v>
      </x:c>
      <x:c r="K1043" s="19" t="n">
        <x:f>D1043-IF(H1043=0,1,0)</x:f>
        <x:v>0</x:v>
      </x:c>
      <x:c r="L1043" s="19" t="n">
        <x:f>E1043-IF(H1043=1,1,0)</x:f>
        <x:v>7</x:v>
      </x:c>
      <x:c r="M1043" s="19" t="n">
        <x:f>F1043-IF(H1043=2,1,0)</x:f>
        <x:v>0</x:v>
      </x:c>
      <x:c r="N1043" s="19" t="n">
        <x:f>MAX(K1043-1,0)+MAX(L1043-1,0)+MAX(M1043-1,0)</x:f>
        <x:v>6</x:v>
      </x:c>
      <x:c r="O1043" s="19" t="n">
        <x:f>IF(AND(SUM(K1043:M1043)&lt;9,OR(M1043=0,N1043&lt;6)),1,0)</x:f>
        <x:v>1</x:v>
      </x:c>
      <x:c r="P1043" s="19" t="n">
        <x:f>IF(AND(SUM(K1043:M1043)&lt;9,OR(L1043=0,N1043&lt;6)),1,0)</x:f>
        <x:v>0</x:v>
      </x:c>
      <x:c r="Q1043" s="19" t="n">
        <x:f>IF(AND(SUM(K1043:M1043)&lt;9,OR(K1043=0,N1043&lt;6)),1,0)</x:f>
        <x:v>1</x:v>
      </x:c>
      <x:c r="R1043" s="22" t="str">
        <x:f>O1043&amp;P1043&amp;Q1043</x:f>
        <x:v>101</x:v>
      </x:c>
      <x:c r="S1043" s="19" t="n">
        <x:f>IF(I1043=1,IF(J1043=0,Q1043,IF(J1043=1,P1043,IF(J1043=2,O1043,0))),0)</x:f>
        <x:v>1</x:v>
      </x:c>
      <x:c r="T1043" s="19" t="n">
        <x:f>K1043+IF(AND(S1043=1,J1043=0),1,0)</x:f>
        <x:v>1</x:v>
      </x:c>
      <x:c r="U1043" s="19" t="n">
        <x:f>L1043+IF(AND(S1043=1,J1043=1),1,0)</x:f>
        <x:v>7</x:v>
      </x:c>
      <x:c r="V1043" s="19" t="n">
        <x:f>M1043+IF(AND(S1043=1,J1043=2),1,0)</x:f>
        <x:v>0</x:v>
      </x:c>
      <x:c r="W1043" s="19" t="n">
        <x:f>SUM(T1043:V1043)</x:f>
        <x:v>8</x:v>
      </x:c>
      <x:c r="X1043" s="19" t="n">
        <x:f>W1043-G1043</x:f>
        <x:v>0</x:v>
      </x:c>
      <x:c r="Y1043" s="19" t="n">
        <x:f>MAX(T1043,1)+MAX(U1043,1)+MAX(V1043,1)</x:f>
        <x:v>9</x:v>
      </x:c>
      <x:c r="Z1043" s="21" t="str">
        <x:f>IF(AND(MIN(D1043:F1043)&gt;=0,MAX(D1043:F1043)&lt;=7,MAX(D1043,1)+MAX(E1043,1)+MAX(F1043,1)&lt;=9,OR(H1043="-",AND(H1043=0,D1043&gt;0),AND(H1043=1,E1043&gt;0),AND(H1043=2,F1043&gt;0)),OR(I1043=0,AND(I1043=1,OR(J1043=0,J1043=1,J1043=2),R1043&lt;&gt;"000")),Y1043&lt;=9,MIN(T1043:V1043)&gt;=0),"合法","输入违约")</x:f>
        <x:v>合法</x:v>
      </x:c>
    </x:row>
    <x:row r="1044" ht="23" customHeight="1">
      <x:c r="A1044" s="3" t="str">
        <x:v>CT-1037</x:v>
      </x:c>
      <x:c r="B1044" s="3" t="str">
        <x:v>ST-135</x:v>
      </x:c>
      <x:c r="C1044" s="3" t="str">
        <x:v>仅R回收</x:v>
      </x:c>
      <x:c r="D1044" s="25" t="n">
        <x:v>1</x:v>
      </x:c>
      <x:c r="E1044" s="25" t="n">
        <x:v>7</x:v>
      </x:c>
      <x:c r="F1044" s="25" t="n">
        <x:v>0</x:v>
      </x:c>
      <x:c r="G1044" s="19" t="n">
        <x:f>SUM(D1044:F1044)</x:f>
        <x:v>8</x:v>
      </x:c>
      <x:c r="H1044" s="25" t="n">
        <x:v>0</x:v>
      </x:c>
      <x:c r="I1044" s="25" t="n">
        <x:v>1</x:v>
      </x:c>
      <x:c r="J1044" s="25" t="n">
        <x:v>1</x:v>
      </x:c>
      <x:c r="K1044" s="19" t="n">
        <x:f>D1044-IF(H1044=0,1,0)</x:f>
        <x:v>0</x:v>
      </x:c>
      <x:c r="L1044" s="19" t="n">
        <x:f>E1044-IF(H1044=1,1,0)</x:f>
        <x:v>7</x:v>
      </x:c>
      <x:c r="M1044" s="19" t="n">
        <x:f>F1044-IF(H1044=2,1,0)</x:f>
        <x:v>0</x:v>
      </x:c>
      <x:c r="N1044" s="19" t="n">
        <x:f>MAX(K1044-1,0)+MAX(L1044-1,0)+MAX(M1044-1,0)</x:f>
        <x:v>6</x:v>
      </x:c>
      <x:c r="O1044" s="19" t="n">
        <x:f>IF(AND(SUM(K1044:M1044)&lt;9,OR(M1044=0,N1044&lt;6)),1,0)</x:f>
        <x:v>1</x:v>
      </x:c>
      <x:c r="P1044" s="19" t="n">
        <x:f>IF(AND(SUM(K1044:M1044)&lt;9,OR(L1044=0,N1044&lt;6)),1,0)</x:f>
        <x:v>0</x:v>
      </x:c>
      <x:c r="Q1044" s="19" t="n">
        <x:f>IF(AND(SUM(K1044:M1044)&lt;9,OR(K1044=0,N1044&lt;6)),1,0)</x:f>
        <x:v>1</x:v>
      </x:c>
      <x:c r="R1044" s="22" t="str">
        <x:f>O1044&amp;P1044&amp;Q1044</x:f>
        <x:v>101</x:v>
      </x:c>
      <x:c r="S1044" s="19" t="n">
        <x:f>IF(I1044=1,IF(J1044=0,Q1044,IF(J1044=1,P1044,IF(J1044=2,O1044,0))),0)</x:f>
        <x:v>0</x:v>
      </x:c>
      <x:c r="T1044" s="19" t="n">
        <x:f>K1044+IF(AND(S1044=1,J1044=0),1,0)</x:f>
        <x:v>0</x:v>
      </x:c>
      <x:c r="U1044" s="19" t="n">
        <x:f>L1044+IF(AND(S1044=1,J1044=1),1,0)</x:f>
        <x:v>7</x:v>
      </x:c>
      <x:c r="V1044" s="19" t="n">
        <x:f>M1044+IF(AND(S1044=1,J1044=2),1,0)</x:f>
        <x:v>0</x:v>
      </x:c>
      <x:c r="W1044" s="19" t="n">
        <x:f>SUM(T1044:V1044)</x:f>
        <x:v>7</x:v>
      </x:c>
      <x:c r="X1044" s="19" t="n">
        <x:f>W1044-G1044</x:f>
        <x:v>-1</x:v>
      </x:c>
      <x:c r="Y1044" s="19" t="n">
        <x:f>MAX(T1044,1)+MAX(U1044,1)+MAX(V1044,1)</x:f>
        <x:v>9</x:v>
      </x:c>
      <x:c r="Z1044" s="21" t="str">
        <x:f>IF(AND(MIN(D1044:F1044)&gt;=0,MAX(D1044:F1044)&lt;=7,MAX(D1044,1)+MAX(E1044,1)+MAX(F1044,1)&lt;=9,OR(H1044="-",AND(H1044=0,D1044&gt;0),AND(H1044=1,E1044&gt;0),AND(H1044=2,F1044&gt;0)),OR(I1044=0,AND(I1044=1,OR(J1044=0,J1044=1,J1044=2),R1044&lt;&gt;"000")),Y1044&lt;=9,MIN(T1044:V1044)&gt;=0),"合法","输入违约")</x:f>
        <x:v>合法</x:v>
      </x:c>
    </x:row>
    <x:row r="1045" ht="23" customHeight="1">
      <x:c r="A1045" s="3" t="str">
        <x:v>CT-1038</x:v>
      </x:c>
      <x:c r="B1045" s="3" t="str">
        <x:v>ST-135</x:v>
      </x:c>
      <x:c r="C1045" s="3" t="str">
        <x:v>R+AR同收同发</x:v>
      </x:c>
      <x:c r="D1045" s="25" t="n">
        <x:v>1</x:v>
      </x:c>
      <x:c r="E1045" s="25" t="n">
        <x:v>7</x:v>
      </x:c>
      <x:c r="F1045" s="25" t="n">
        <x:v>0</x:v>
      </x:c>
      <x:c r="G1045" s="19" t="n">
        <x:f>SUM(D1045:F1045)</x:f>
        <x:v>8</x:v>
      </x:c>
      <x:c r="H1045" s="25" t="n">
        <x:v>0</x:v>
      </x:c>
      <x:c r="I1045" s="25" t="n">
        <x:v>1</x:v>
      </x:c>
      <x:c r="J1045" s="25" t="n">
        <x:v>2</x:v>
      </x:c>
      <x:c r="K1045" s="19" t="n">
        <x:f>D1045-IF(H1045=0,1,0)</x:f>
        <x:v>0</x:v>
      </x:c>
      <x:c r="L1045" s="19" t="n">
        <x:f>E1045-IF(H1045=1,1,0)</x:f>
        <x:v>7</x:v>
      </x:c>
      <x:c r="M1045" s="19" t="n">
        <x:f>F1045-IF(H1045=2,1,0)</x:f>
        <x:v>0</x:v>
      </x:c>
      <x:c r="N1045" s="19" t="n">
        <x:f>MAX(K1045-1,0)+MAX(L1045-1,0)+MAX(M1045-1,0)</x:f>
        <x:v>6</x:v>
      </x:c>
      <x:c r="O1045" s="19" t="n">
        <x:f>IF(AND(SUM(K1045:M1045)&lt;9,OR(M1045=0,N1045&lt;6)),1,0)</x:f>
        <x:v>1</x:v>
      </x:c>
      <x:c r="P1045" s="19" t="n">
        <x:f>IF(AND(SUM(K1045:M1045)&lt;9,OR(L1045=0,N1045&lt;6)),1,0)</x:f>
        <x:v>0</x:v>
      </x:c>
      <x:c r="Q1045" s="19" t="n">
        <x:f>IF(AND(SUM(K1045:M1045)&lt;9,OR(K1045=0,N1045&lt;6)),1,0)</x:f>
        <x:v>1</x:v>
      </x:c>
      <x:c r="R1045" s="22" t="str">
        <x:f>O1045&amp;P1045&amp;Q1045</x:f>
        <x:v>101</x:v>
      </x:c>
      <x:c r="S1045" s="19" t="n">
        <x:f>IF(I1045=1,IF(J1045=0,Q1045,IF(J1045=1,P1045,IF(J1045=2,O1045,0))),0)</x:f>
        <x:v>1</x:v>
      </x:c>
      <x:c r="T1045" s="19" t="n">
        <x:f>K1045+IF(AND(S1045=1,J1045=0),1,0)</x:f>
        <x:v>0</x:v>
      </x:c>
      <x:c r="U1045" s="19" t="n">
        <x:f>L1045+IF(AND(S1045=1,J1045=1),1,0)</x:f>
        <x:v>7</x:v>
      </x:c>
      <x:c r="V1045" s="19" t="n">
        <x:f>M1045+IF(AND(S1045=1,J1045=2),1,0)</x:f>
        <x:v>1</x:v>
      </x:c>
      <x:c r="W1045" s="19" t="n">
        <x:f>SUM(T1045:V1045)</x:f>
        <x:v>8</x:v>
      </x:c>
      <x:c r="X1045" s="19" t="n">
        <x:f>W1045-G1045</x:f>
        <x:v>0</x:v>
      </x:c>
      <x:c r="Y1045" s="19" t="n">
        <x:f>MAX(T1045,1)+MAX(U1045,1)+MAX(V1045,1)</x:f>
        <x:v>9</x:v>
      </x:c>
      <x:c r="Z1045" s="21" t="str">
        <x:f>IF(AND(MIN(D1045:F1045)&gt;=0,MAX(D1045:F1045)&lt;=7,MAX(D1045,1)+MAX(E1045,1)+MAX(F1045,1)&lt;=9,OR(H1045="-",AND(H1045=0,D1045&gt;0),AND(H1045=1,E1045&gt;0),AND(H1045=2,F1045&gt;0)),OR(I1045=0,AND(I1045=1,OR(J1045=0,J1045=1,J1045=2),R1045&lt;&gt;"000")),Y1045&lt;=9,MIN(T1045:V1045)&gt;=0),"合法","输入违约")</x:f>
        <x:v>合法</x:v>
      </x:c>
    </x:row>
    <x:row r="1046" ht="23" customHeight="1">
      <x:c r="A1046" s="3" t="str">
        <x:v>CT-1039</x:v>
      </x:c>
      <x:c r="B1046" s="3" t="str">
        <x:v>ST-135</x:v>
      </x:c>
      <x:c r="C1046" s="3" t="str">
        <x:v>仅R回收</x:v>
      </x:c>
      <x:c r="D1046" s="25" t="n">
        <x:v>1</x:v>
      </x:c>
      <x:c r="E1046" s="25" t="n">
        <x:v>7</x:v>
      </x:c>
      <x:c r="F1046" s="25" t="n">
        <x:v>0</x:v>
      </x:c>
      <x:c r="G1046" s="19" t="n">
        <x:f>SUM(D1046:F1046)</x:f>
        <x:v>8</x:v>
      </x:c>
      <x:c r="H1046" s="25" t="n">
        <x:v>1</x:v>
      </x:c>
      <x:c r="I1046" s="25" t="n">
        <x:v>0</x:v>
      </x:c>
      <x:c r="J1046" s="25" t="str">
        <x:v>-</x:v>
      </x:c>
      <x:c r="K1046" s="19" t="n">
        <x:f>D1046-IF(H1046=0,1,0)</x:f>
        <x:v>1</x:v>
      </x:c>
      <x:c r="L1046" s="19" t="n">
        <x:f>E1046-IF(H1046=1,1,0)</x:f>
        <x:v>6</x:v>
      </x:c>
      <x:c r="M1046" s="19" t="n">
        <x:f>F1046-IF(H1046=2,1,0)</x:f>
        <x:v>0</x:v>
      </x:c>
      <x:c r="N1046" s="19" t="n">
        <x:f>MAX(K1046-1,0)+MAX(L1046-1,0)+MAX(M1046-1,0)</x:f>
        <x:v>5</x:v>
      </x:c>
      <x:c r="O1046" s="19" t="n">
        <x:f>IF(AND(SUM(K1046:M1046)&lt;9,OR(M1046=0,N1046&lt;6)),1,0)</x:f>
        <x:v>1</x:v>
      </x:c>
      <x:c r="P1046" s="19" t="n">
        <x:f>IF(AND(SUM(K1046:M1046)&lt;9,OR(L1046=0,N1046&lt;6)),1,0)</x:f>
        <x:v>1</x:v>
      </x:c>
      <x:c r="Q1046" s="19" t="n">
        <x:f>IF(AND(SUM(K1046:M1046)&lt;9,OR(K1046=0,N1046&lt;6)),1,0)</x:f>
        <x:v>1</x:v>
      </x:c>
      <x:c r="R1046" s="22" t="str">
        <x:f>O1046&amp;P1046&amp;Q1046</x:f>
        <x:v>111</x:v>
      </x:c>
      <x:c r="S1046" s="19" t="n">
        <x:f>IF(I1046=1,IF(J1046=0,Q1046,IF(J1046=1,P1046,IF(J1046=2,O1046,0))),0)</x:f>
        <x:v>0</x:v>
      </x:c>
      <x:c r="T1046" s="19" t="n">
        <x:f>K1046+IF(AND(S1046=1,J1046=0),1,0)</x:f>
        <x:v>1</x:v>
      </x:c>
      <x:c r="U1046" s="19" t="n">
        <x:f>L1046+IF(AND(S1046=1,J1046=1),1,0)</x:f>
        <x:v>6</x:v>
      </x:c>
      <x:c r="V1046" s="19" t="n">
        <x:f>M1046+IF(AND(S1046=1,J1046=2),1,0)</x:f>
        <x:v>0</x:v>
      </x:c>
      <x:c r="W1046" s="19" t="n">
        <x:f>SUM(T1046:V1046)</x:f>
        <x:v>7</x:v>
      </x:c>
      <x:c r="X1046" s="19" t="n">
        <x:f>W1046-G1046</x:f>
        <x:v>-1</x:v>
      </x:c>
      <x:c r="Y1046" s="19" t="n">
        <x:f>MAX(T1046,1)+MAX(U1046,1)+MAX(V1046,1)</x:f>
        <x:v>8</x:v>
      </x:c>
      <x:c r="Z1046" s="21" t="str">
        <x:f>IF(AND(MIN(D1046:F1046)&gt;=0,MAX(D1046:F1046)&lt;=7,MAX(D1046,1)+MAX(E1046,1)+MAX(F1046,1)&lt;=9,OR(H1046="-",AND(H1046=0,D1046&gt;0),AND(H1046=1,E1046&gt;0),AND(H1046=2,F1046&gt;0)),OR(I1046=0,AND(I1046=1,OR(J1046=0,J1046=1,J1046=2),R1046&lt;&gt;"000")),Y1046&lt;=9,MIN(T1046:V1046)&gt;=0),"合法","输入违约")</x:f>
        <x:v>合法</x:v>
      </x:c>
    </x:row>
    <x:row r="1047" ht="23" customHeight="1">
      <x:c r="A1047" s="3" t="str">
        <x:v>CT-1040</x:v>
      </x:c>
      <x:c r="B1047" s="3" t="str">
        <x:v>ST-135</x:v>
      </x:c>
      <x:c r="C1047" s="3" t="str">
        <x:v>R+AR同收同发</x:v>
      </x:c>
      <x:c r="D1047" s="25" t="n">
        <x:v>1</x:v>
      </x:c>
      <x:c r="E1047" s="25" t="n">
        <x:v>7</x:v>
      </x:c>
      <x:c r="F1047" s="25" t="n">
        <x:v>0</x:v>
      </x:c>
      <x:c r="G1047" s="19" t="n">
        <x:f>SUM(D1047:F1047)</x:f>
        <x:v>8</x:v>
      </x:c>
      <x:c r="H1047" s="25" t="n">
        <x:v>1</x:v>
      </x:c>
      <x:c r="I1047" s="25" t="n">
        <x:v>1</x:v>
      </x:c>
      <x:c r="J1047" s="25" t="n">
        <x:v>0</x:v>
      </x:c>
      <x:c r="K1047" s="19" t="n">
        <x:f>D1047-IF(H1047=0,1,0)</x:f>
        <x:v>1</x:v>
      </x:c>
      <x:c r="L1047" s="19" t="n">
        <x:f>E1047-IF(H1047=1,1,0)</x:f>
        <x:v>6</x:v>
      </x:c>
      <x:c r="M1047" s="19" t="n">
        <x:f>F1047-IF(H1047=2,1,0)</x:f>
        <x:v>0</x:v>
      </x:c>
      <x:c r="N1047" s="19" t="n">
        <x:f>MAX(K1047-1,0)+MAX(L1047-1,0)+MAX(M1047-1,0)</x:f>
        <x:v>5</x:v>
      </x:c>
      <x:c r="O1047" s="19" t="n">
        <x:f>IF(AND(SUM(K1047:M1047)&lt;9,OR(M1047=0,N1047&lt;6)),1,0)</x:f>
        <x:v>1</x:v>
      </x:c>
      <x:c r="P1047" s="19" t="n">
        <x:f>IF(AND(SUM(K1047:M1047)&lt;9,OR(L1047=0,N1047&lt;6)),1,0)</x:f>
        <x:v>1</x:v>
      </x:c>
      <x:c r="Q1047" s="19" t="n">
        <x:f>IF(AND(SUM(K1047:M1047)&lt;9,OR(K1047=0,N1047&lt;6)),1,0)</x:f>
        <x:v>1</x:v>
      </x:c>
      <x:c r="R1047" s="22" t="str">
        <x:f>O1047&amp;P1047&amp;Q1047</x:f>
        <x:v>111</x:v>
      </x:c>
      <x:c r="S1047" s="19" t="n">
        <x:f>IF(I1047=1,IF(J1047=0,Q1047,IF(J1047=1,P1047,IF(J1047=2,O1047,0))),0)</x:f>
        <x:v>1</x:v>
      </x:c>
      <x:c r="T1047" s="19" t="n">
        <x:f>K1047+IF(AND(S1047=1,J1047=0),1,0)</x:f>
        <x:v>2</x:v>
      </x:c>
      <x:c r="U1047" s="19" t="n">
        <x:f>L1047+IF(AND(S1047=1,J1047=1),1,0)</x:f>
        <x:v>6</x:v>
      </x:c>
      <x:c r="V1047" s="19" t="n">
        <x:f>M1047+IF(AND(S1047=1,J1047=2),1,0)</x:f>
        <x:v>0</x:v>
      </x:c>
      <x:c r="W1047" s="19" t="n">
        <x:f>SUM(T1047:V1047)</x:f>
        <x:v>8</x:v>
      </x:c>
      <x:c r="X1047" s="19" t="n">
        <x:f>W1047-G1047</x:f>
        <x:v>0</x:v>
      </x:c>
      <x:c r="Y1047" s="19" t="n">
        <x:f>MAX(T1047,1)+MAX(U1047,1)+MAX(V1047,1)</x:f>
        <x:v>9</x:v>
      </x:c>
      <x:c r="Z1047" s="21" t="str">
        <x:f>IF(AND(MIN(D1047:F1047)&gt;=0,MAX(D1047:F1047)&lt;=7,MAX(D1047,1)+MAX(E1047,1)+MAX(F1047,1)&lt;=9,OR(H1047="-",AND(H1047=0,D1047&gt;0),AND(H1047=1,E1047&gt;0),AND(H1047=2,F1047&gt;0)),OR(I1047=0,AND(I1047=1,OR(J1047=0,J1047=1,J1047=2),R1047&lt;&gt;"000")),Y1047&lt;=9,MIN(T1047:V1047)&gt;=0),"合法","输入违约")</x:f>
        <x:v>合法</x:v>
      </x:c>
    </x:row>
    <x:row r="1048" ht="23" customHeight="1">
      <x:c r="A1048" s="3" t="str">
        <x:v>CT-1041</x:v>
      </x:c>
      <x:c r="B1048" s="3" t="str">
        <x:v>ST-135</x:v>
      </x:c>
      <x:c r="C1048" s="3" t="str">
        <x:v>R+AR同收同发</x:v>
      </x:c>
      <x:c r="D1048" s="25" t="n">
        <x:v>1</x:v>
      </x:c>
      <x:c r="E1048" s="25" t="n">
        <x:v>7</x:v>
      </x:c>
      <x:c r="F1048" s="25" t="n">
        <x:v>0</x:v>
      </x:c>
      <x:c r="G1048" s="19" t="n">
        <x:f>SUM(D1048:F1048)</x:f>
        <x:v>8</x:v>
      </x:c>
      <x:c r="H1048" s="25" t="n">
        <x:v>1</x:v>
      </x:c>
      <x:c r="I1048" s="25" t="n">
        <x:v>1</x:v>
      </x:c>
      <x:c r="J1048" s="25" t="n">
        <x:v>1</x:v>
      </x:c>
      <x:c r="K1048" s="19" t="n">
        <x:f>D1048-IF(H1048=0,1,0)</x:f>
        <x:v>1</x:v>
      </x:c>
      <x:c r="L1048" s="19" t="n">
        <x:f>E1048-IF(H1048=1,1,0)</x:f>
        <x:v>6</x:v>
      </x:c>
      <x:c r="M1048" s="19" t="n">
        <x:f>F1048-IF(H1048=2,1,0)</x:f>
        <x:v>0</x:v>
      </x:c>
      <x:c r="N1048" s="19" t="n">
        <x:f>MAX(K1048-1,0)+MAX(L1048-1,0)+MAX(M1048-1,0)</x:f>
        <x:v>5</x:v>
      </x:c>
      <x:c r="O1048" s="19" t="n">
        <x:f>IF(AND(SUM(K1048:M1048)&lt;9,OR(M1048=0,N1048&lt;6)),1,0)</x:f>
        <x:v>1</x:v>
      </x:c>
      <x:c r="P1048" s="19" t="n">
        <x:f>IF(AND(SUM(K1048:M1048)&lt;9,OR(L1048=0,N1048&lt;6)),1,0)</x:f>
        <x:v>1</x:v>
      </x:c>
      <x:c r="Q1048" s="19" t="n">
        <x:f>IF(AND(SUM(K1048:M1048)&lt;9,OR(K1048=0,N1048&lt;6)),1,0)</x:f>
        <x:v>1</x:v>
      </x:c>
      <x:c r="R1048" s="22" t="str">
        <x:f>O1048&amp;P1048&amp;Q1048</x:f>
        <x:v>111</x:v>
      </x:c>
      <x:c r="S1048" s="19" t="n">
        <x:f>IF(I1048=1,IF(J1048=0,Q1048,IF(J1048=1,P1048,IF(J1048=2,O1048,0))),0)</x:f>
        <x:v>1</x:v>
      </x:c>
      <x:c r="T1048" s="19" t="n">
        <x:f>K1048+IF(AND(S1048=1,J1048=0),1,0)</x:f>
        <x:v>1</x:v>
      </x:c>
      <x:c r="U1048" s="19" t="n">
        <x:f>L1048+IF(AND(S1048=1,J1048=1),1,0)</x:f>
        <x:v>7</x:v>
      </x:c>
      <x:c r="V1048" s="19" t="n">
        <x:f>M1048+IF(AND(S1048=1,J1048=2),1,0)</x:f>
        <x:v>0</x:v>
      </x:c>
      <x:c r="W1048" s="19" t="n">
        <x:f>SUM(T1048:V1048)</x:f>
        <x:v>8</x:v>
      </x:c>
      <x:c r="X1048" s="19" t="n">
        <x:f>W1048-G1048</x:f>
        <x:v>0</x:v>
      </x:c>
      <x:c r="Y1048" s="19" t="n">
        <x:f>MAX(T1048,1)+MAX(U1048,1)+MAX(V1048,1)</x:f>
        <x:v>9</x:v>
      </x:c>
      <x:c r="Z1048" s="21" t="str">
        <x:f>IF(AND(MIN(D1048:F1048)&gt;=0,MAX(D1048:F1048)&lt;=7,MAX(D1048,1)+MAX(E1048,1)+MAX(F1048,1)&lt;=9,OR(H1048="-",AND(H1048=0,D1048&gt;0),AND(H1048=1,E1048&gt;0),AND(H1048=2,F1048&gt;0)),OR(I1048=0,AND(I1048=1,OR(J1048=0,J1048=1,J1048=2),R1048&lt;&gt;"000")),Y1048&lt;=9,MIN(T1048:V1048)&gt;=0),"合法","输入违约")</x:f>
        <x:v>合法</x:v>
      </x:c>
    </x:row>
    <x:row r="1049" ht="23" customHeight="1">
      <x:c r="A1049" s="3" t="str">
        <x:v>CT-1042</x:v>
      </x:c>
      <x:c r="B1049" s="3" t="str">
        <x:v>ST-135</x:v>
      </x:c>
      <x:c r="C1049" s="3" t="str">
        <x:v>R+AR同收同发</x:v>
      </x:c>
      <x:c r="D1049" s="25" t="n">
        <x:v>1</x:v>
      </x:c>
      <x:c r="E1049" s="25" t="n">
        <x:v>7</x:v>
      </x:c>
      <x:c r="F1049" s="25" t="n">
        <x:v>0</x:v>
      </x:c>
      <x:c r="G1049" s="19" t="n">
        <x:f>SUM(D1049:F1049)</x:f>
        <x:v>8</x:v>
      </x:c>
      <x:c r="H1049" s="25" t="n">
        <x:v>1</x:v>
      </x:c>
      <x:c r="I1049" s="25" t="n">
        <x:v>1</x:v>
      </x:c>
      <x:c r="J1049" s="25" t="n">
        <x:v>2</x:v>
      </x:c>
      <x:c r="K1049" s="19" t="n">
        <x:f>D1049-IF(H1049=0,1,0)</x:f>
        <x:v>1</x:v>
      </x:c>
      <x:c r="L1049" s="19" t="n">
        <x:f>E1049-IF(H1049=1,1,0)</x:f>
        <x:v>6</x:v>
      </x:c>
      <x:c r="M1049" s="19" t="n">
        <x:f>F1049-IF(H1049=2,1,0)</x:f>
        <x:v>0</x:v>
      </x:c>
      <x:c r="N1049" s="19" t="n">
        <x:f>MAX(K1049-1,0)+MAX(L1049-1,0)+MAX(M1049-1,0)</x:f>
        <x:v>5</x:v>
      </x:c>
      <x:c r="O1049" s="19" t="n">
        <x:f>IF(AND(SUM(K1049:M1049)&lt;9,OR(M1049=0,N1049&lt;6)),1,0)</x:f>
        <x:v>1</x:v>
      </x:c>
      <x:c r="P1049" s="19" t="n">
        <x:f>IF(AND(SUM(K1049:M1049)&lt;9,OR(L1049=0,N1049&lt;6)),1,0)</x:f>
        <x:v>1</x:v>
      </x:c>
      <x:c r="Q1049" s="19" t="n">
        <x:f>IF(AND(SUM(K1049:M1049)&lt;9,OR(K1049=0,N1049&lt;6)),1,0)</x:f>
        <x:v>1</x:v>
      </x:c>
      <x:c r="R1049" s="22" t="str">
        <x:f>O1049&amp;P1049&amp;Q1049</x:f>
        <x:v>111</x:v>
      </x:c>
      <x:c r="S1049" s="19" t="n">
        <x:f>IF(I1049=1,IF(J1049=0,Q1049,IF(J1049=1,P1049,IF(J1049=2,O1049,0))),0)</x:f>
        <x:v>1</x:v>
      </x:c>
      <x:c r="T1049" s="19" t="n">
        <x:f>K1049+IF(AND(S1049=1,J1049=0),1,0)</x:f>
        <x:v>1</x:v>
      </x:c>
      <x:c r="U1049" s="19" t="n">
        <x:f>L1049+IF(AND(S1049=1,J1049=1),1,0)</x:f>
        <x:v>6</x:v>
      </x:c>
      <x:c r="V1049" s="19" t="n">
        <x:f>M1049+IF(AND(S1049=1,J1049=2),1,0)</x:f>
        <x:v>1</x:v>
      </x:c>
      <x:c r="W1049" s="19" t="n">
        <x:f>SUM(T1049:V1049)</x:f>
        <x:v>8</x:v>
      </x:c>
      <x:c r="X1049" s="19" t="n">
        <x:f>W1049-G1049</x:f>
        <x:v>0</x:v>
      </x:c>
      <x:c r="Y1049" s="19" t="n">
        <x:f>MAX(T1049,1)+MAX(U1049,1)+MAX(V1049,1)</x:f>
        <x:v>8</x:v>
      </x:c>
      <x:c r="Z1049" s="21" t="str">
        <x:f>IF(AND(MIN(D1049:F1049)&gt;=0,MAX(D1049:F1049)&lt;=7,MAX(D1049,1)+MAX(E1049,1)+MAX(F1049,1)&lt;=9,OR(H1049="-",AND(H1049=0,D1049&gt;0),AND(H1049=1,E1049&gt;0),AND(H1049=2,F1049&gt;0)),OR(I1049=0,AND(I1049=1,OR(J1049=0,J1049=1,J1049=2),R1049&lt;&gt;"000")),Y1049&lt;=9,MIN(T1049:V1049)&gt;=0),"合法","输入违约")</x:f>
        <x:v>合法</x:v>
      </x:c>
    </x:row>
    <x:row r="1050" ht="23" customHeight="1">
      <x:c r="A1050" s="3" t="str">
        <x:v>CT-1043</x:v>
      </x:c>
      <x:c r="B1050" s="3" t="str">
        <x:v>ST-169</x:v>
      </x:c>
      <x:c r="C1050" s="3" t="str">
        <x:v>无AR/R</x:v>
      </x:c>
      <x:c r="D1050" s="25" t="n">
        <x:v>1</x:v>
      </x:c>
      <x:c r="E1050" s="25" t="n">
        <x:v>7</x:v>
      </x:c>
      <x:c r="F1050" s="25" t="n">
        <x:v>1</x:v>
      </x:c>
      <x:c r="G1050" s="19" t="n">
        <x:f>SUM(D1050:F1050)</x:f>
        <x:v>9</x:v>
      </x:c>
      <x:c r="H1050" s="25" t="str">
        <x:v>-</x:v>
      </x:c>
      <x:c r="I1050" s="25" t="n">
        <x:v>0</x:v>
      </x:c>
      <x:c r="J1050" s="25" t="str">
        <x:v>-</x:v>
      </x:c>
      <x:c r="K1050" s="19" t="n">
        <x:f>D1050-IF(H1050=0,1,0)</x:f>
        <x:v>1</x:v>
      </x:c>
      <x:c r="L1050" s="19" t="n">
        <x:f>E1050-IF(H1050=1,1,0)</x:f>
        <x:v>7</x:v>
      </x:c>
      <x:c r="M1050" s="19" t="n">
        <x:f>F1050-IF(H1050=2,1,0)</x:f>
        <x:v>1</x:v>
      </x:c>
      <x:c r="N1050" s="19" t="n">
        <x:f>MAX(K1050-1,0)+MAX(L1050-1,0)+MAX(M1050-1,0)</x:f>
        <x:v>6</x:v>
      </x:c>
      <x:c r="O1050" s="19" t="n">
        <x:f>IF(AND(SUM(K1050:M1050)&lt;9,OR(M1050=0,N1050&lt;6)),1,0)</x:f>
        <x:v>0</x:v>
      </x:c>
      <x:c r="P1050" s="19" t="n">
        <x:f>IF(AND(SUM(K1050:M1050)&lt;9,OR(L1050=0,N1050&lt;6)),1,0)</x:f>
        <x:v>0</x:v>
      </x:c>
      <x:c r="Q1050" s="19" t="n">
        <x:f>IF(AND(SUM(K1050:M1050)&lt;9,OR(K1050=0,N1050&lt;6)),1,0)</x:f>
        <x:v>0</x:v>
      </x:c>
      <x:c r="R1050" s="22" t="str">
        <x:f>O1050&amp;P1050&amp;Q1050</x:f>
        <x:v>000</x:v>
      </x:c>
      <x:c r="S1050" s="19" t="n">
        <x:f>IF(I1050=1,IF(J1050=0,Q1050,IF(J1050=1,P1050,IF(J1050=2,O1050,0))),0)</x:f>
        <x:v>0</x:v>
      </x:c>
      <x:c r="T1050" s="19" t="n">
        <x:f>K1050+IF(AND(S1050=1,J1050=0),1,0)</x:f>
        <x:v>1</x:v>
      </x:c>
      <x:c r="U1050" s="19" t="n">
        <x:f>L1050+IF(AND(S1050=1,J1050=1),1,0)</x:f>
        <x:v>7</x:v>
      </x:c>
      <x:c r="V1050" s="19" t="n">
        <x:f>M1050+IF(AND(S1050=1,J1050=2),1,0)</x:f>
        <x:v>1</x:v>
      </x:c>
      <x:c r="W1050" s="19" t="n">
        <x:f>SUM(T1050:V1050)</x:f>
        <x:v>9</x:v>
      </x:c>
      <x:c r="X1050" s="19" t="n">
        <x:f>W1050-G1050</x:f>
        <x:v>0</x:v>
      </x:c>
      <x:c r="Y1050" s="19" t="n">
        <x:f>MAX(T1050,1)+MAX(U1050,1)+MAX(V1050,1)</x:f>
        <x:v>9</x:v>
      </x:c>
      <x:c r="Z1050" s="21" t="str">
        <x:f>IF(AND(MIN(D1050:F1050)&gt;=0,MAX(D1050:F1050)&lt;=7,MAX(D1050,1)+MAX(E1050,1)+MAX(F1050,1)&lt;=9,OR(H1050="-",AND(H1050=0,D1050&gt;0),AND(H1050=1,E1050&gt;0),AND(H1050=2,F1050&gt;0)),OR(I1050=0,AND(I1050=1,OR(J1050=0,J1050=1,J1050=2),R1050&lt;&gt;"000")),Y1050&lt;=9,MIN(T1050:V1050)&gt;=0),"合法","输入违约")</x:f>
        <x:v>合法</x:v>
      </x:c>
    </x:row>
    <x:row r="1051" ht="23" customHeight="1">
      <x:c r="A1051" s="3" t="str">
        <x:v>CT-1044</x:v>
      </x:c>
      <x:c r="B1051" s="3" t="str">
        <x:v>ST-169</x:v>
      </x:c>
      <x:c r="C1051" s="3" t="str">
        <x:v>仅R回收</x:v>
      </x:c>
      <x:c r="D1051" s="25" t="n">
        <x:v>1</x:v>
      </x:c>
      <x:c r="E1051" s="25" t="n">
        <x:v>7</x:v>
      </x:c>
      <x:c r="F1051" s="25" t="n">
        <x:v>1</x:v>
      </x:c>
      <x:c r="G1051" s="19" t="n">
        <x:f>SUM(D1051:F1051)</x:f>
        <x:v>9</x:v>
      </x:c>
      <x:c r="H1051" s="25" t="n">
        <x:v>0</x:v>
      </x:c>
      <x:c r="I1051" s="25" t="n">
        <x:v>0</x:v>
      </x:c>
      <x:c r="J1051" s="25" t="str">
        <x:v>-</x:v>
      </x:c>
      <x:c r="K1051" s="19" t="n">
        <x:f>D1051-IF(H1051=0,1,0)</x:f>
        <x:v>0</x:v>
      </x:c>
      <x:c r="L1051" s="19" t="n">
        <x:f>E1051-IF(H1051=1,1,0)</x:f>
        <x:v>7</x:v>
      </x:c>
      <x:c r="M1051" s="19" t="n">
        <x:f>F1051-IF(H1051=2,1,0)</x:f>
        <x:v>1</x:v>
      </x:c>
      <x:c r="N1051" s="19" t="n">
        <x:f>MAX(K1051-1,0)+MAX(L1051-1,0)+MAX(M1051-1,0)</x:f>
        <x:v>6</x:v>
      </x:c>
      <x:c r="O1051" s="19" t="n">
        <x:f>IF(AND(SUM(K1051:M1051)&lt;9,OR(M1051=0,N1051&lt;6)),1,0)</x:f>
        <x:v>0</x:v>
      </x:c>
      <x:c r="P1051" s="19" t="n">
        <x:f>IF(AND(SUM(K1051:M1051)&lt;9,OR(L1051=0,N1051&lt;6)),1,0)</x:f>
        <x:v>0</x:v>
      </x:c>
      <x:c r="Q1051" s="19" t="n">
        <x:f>IF(AND(SUM(K1051:M1051)&lt;9,OR(K1051=0,N1051&lt;6)),1,0)</x:f>
        <x:v>1</x:v>
      </x:c>
      <x:c r="R1051" s="22" t="str">
        <x:f>O1051&amp;P1051&amp;Q1051</x:f>
        <x:v>001</x:v>
      </x:c>
      <x:c r="S1051" s="19" t="n">
        <x:f>IF(I1051=1,IF(J1051=0,Q1051,IF(J1051=1,P1051,IF(J1051=2,O1051,0))),0)</x:f>
        <x:v>0</x:v>
      </x:c>
      <x:c r="T1051" s="19" t="n">
        <x:f>K1051+IF(AND(S1051=1,J1051=0),1,0)</x:f>
        <x:v>0</x:v>
      </x:c>
      <x:c r="U1051" s="19" t="n">
        <x:f>L1051+IF(AND(S1051=1,J1051=1),1,0)</x:f>
        <x:v>7</x:v>
      </x:c>
      <x:c r="V1051" s="19" t="n">
        <x:f>M1051+IF(AND(S1051=1,J1051=2),1,0)</x:f>
        <x:v>1</x:v>
      </x:c>
      <x:c r="W1051" s="19" t="n">
        <x:f>SUM(T1051:V1051)</x:f>
        <x:v>8</x:v>
      </x:c>
      <x:c r="X1051" s="19" t="n">
        <x:f>W1051-G1051</x:f>
        <x:v>-1</x:v>
      </x:c>
      <x:c r="Y1051" s="19" t="n">
        <x:f>MAX(T1051,1)+MAX(U1051,1)+MAX(V1051,1)</x:f>
        <x:v>9</x:v>
      </x:c>
      <x:c r="Z1051" s="21" t="str">
        <x:f>IF(AND(MIN(D1051:F1051)&gt;=0,MAX(D1051:F1051)&lt;=7,MAX(D1051,1)+MAX(E1051,1)+MAX(F1051,1)&lt;=9,OR(H1051="-",AND(H1051=0,D1051&gt;0),AND(H1051=1,E1051&gt;0),AND(H1051=2,F1051&gt;0)),OR(I1051=0,AND(I1051=1,OR(J1051=0,J1051=1,J1051=2),R1051&lt;&gt;"000")),Y1051&lt;=9,MIN(T1051:V1051)&gt;=0),"合法","输入违约")</x:f>
        <x:v>合法</x:v>
      </x:c>
    </x:row>
    <x:row r="1052" ht="23" customHeight="1">
      <x:c r="A1052" s="3" t="str">
        <x:v>CT-1045</x:v>
      </x:c>
      <x:c r="B1052" s="3" t="str">
        <x:v>ST-169</x:v>
      </x:c>
      <x:c r="C1052" s="3" t="str">
        <x:v>R+AR同收同发</x:v>
      </x:c>
      <x:c r="D1052" s="25" t="n">
        <x:v>1</x:v>
      </x:c>
      <x:c r="E1052" s="25" t="n">
        <x:v>7</x:v>
      </x:c>
      <x:c r="F1052" s="25" t="n">
        <x:v>1</x:v>
      </x:c>
      <x:c r="G1052" s="19" t="n">
        <x:f>SUM(D1052:F1052)</x:f>
        <x:v>9</x:v>
      </x:c>
      <x:c r="H1052" s="25" t="n">
        <x:v>0</x:v>
      </x:c>
      <x:c r="I1052" s="25" t="n">
        <x:v>1</x:v>
      </x:c>
      <x:c r="J1052" s="25" t="n">
        <x:v>0</x:v>
      </x:c>
      <x:c r="K1052" s="19" t="n">
        <x:f>D1052-IF(H1052=0,1,0)</x:f>
        <x:v>0</x:v>
      </x:c>
      <x:c r="L1052" s="19" t="n">
        <x:f>E1052-IF(H1052=1,1,0)</x:f>
        <x:v>7</x:v>
      </x:c>
      <x:c r="M1052" s="19" t="n">
        <x:f>F1052-IF(H1052=2,1,0)</x:f>
        <x:v>1</x:v>
      </x:c>
      <x:c r="N1052" s="19" t="n">
        <x:f>MAX(K1052-1,0)+MAX(L1052-1,0)+MAX(M1052-1,0)</x:f>
        <x:v>6</x:v>
      </x:c>
      <x:c r="O1052" s="19" t="n">
        <x:f>IF(AND(SUM(K1052:M1052)&lt;9,OR(M1052=0,N1052&lt;6)),1,0)</x:f>
        <x:v>0</x:v>
      </x:c>
      <x:c r="P1052" s="19" t="n">
        <x:f>IF(AND(SUM(K1052:M1052)&lt;9,OR(L1052=0,N1052&lt;6)),1,0)</x:f>
        <x:v>0</x:v>
      </x:c>
      <x:c r="Q1052" s="19" t="n">
        <x:f>IF(AND(SUM(K1052:M1052)&lt;9,OR(K1052=0,N1052&lt;6)),1,0)</x:f>
        <x:v>1</x:v>
      </x:c>
      <x:c r="R1052" s="22" t="str">
        <x:f>O1052&amp;P1052&amp;Q1052</x:f>
        <x:v>001</x:v>
      </x:c>
      <x:c r="S1052" s="19" t="n">
        <x:f>IF(I1052=1,IF(J1052=0,Q1052,IF(J1052=1,P1052,IF(J1052=2,O1052,0))),0)</x:f>
        <x:v>1</x:v>
      </x:c>
      <x:c r="T1052" s="19" t="n">
        <x:f>K1052+IF(AND(S1052=1,J1052=0),1,0)</x:f>
        <x:v>1</x:v>
      </x:c>
      <x:c r="U1052" s="19" t="n">
        <x:f>L1052+IF(AND(S1052=1,J1052=1),1,0)</x:f>
        <x:v>7</x:v>
      </x:c>
      <x:c r="V1052" s="19" t="n">
        <x:f>M1052+IF(AND(S1052=1,J1052=2),1,0)</x:f>
        <x:v>1</x:v>
      </x:c>
      <x:c r="W1052" s="19" t="n">
        <x:f>SUM(T1052:V1052)</x:f>
        <x:v>9</x:v>
      </x:c>
      <x:c r="X1052" s="19" t="n">
        <x:f>W1052-G1052</x:f>
        <x:v>0</x:v>
      </x:c>
      <x:c r="Y1052" s="19" t="n">
        <x:f>MAX(T1052,1)+MAX(U1052,1)+MAX(V1052,1)</x:f>
        <x:v>9</x:v>
      </x:c>
      <x:c r="Z1052" s="21" t="str">
        <x:f>IF(AND(MIN(D1052:F1052)&gt;=0,MAX(D1052:F1052)&lt;=7,MAX(D1052,1)+MAX(E1052,1)+MAX(F1052,1)&lt;=9,OR(H1052="-",AND(H1052=0,D1052&gt;0),AND(H1052=1,E1052&gt;0),AND(H1052=2,F1052&gt;0)),OR(I1052=0,AND(I1052=1,OR(J1052=0,J1052=1,J1052=2),R1052&lt;&gt;"000")),Y1052&lt;=9,MIN(T1052:V1052)&gt;=0),"合法","输入违约")</x:f>
        <x:v>合法</x:v>
      </x:c>
    </x:row>
    <x:row r="1053" ht="23" customHeight="1">
      <x:c r="A1053" s="3" t="str">
        <x:v>CT-1046</x:v>
      </x:c>
      <x:c r="B1053" s="3" t="str">
        <x:v>ST-169</x:v>
      </x:c>
      <x:c r="C1053" s="3" t="str">
        <x:v>仅R回收</x:v>
      </x:c>
      <x:c r="D1053" s="25" t="n">
        <x:v>1</x:v>
      </x:c>
      <x:c r="E1053" s="25" t="n">
        <x:v>7</x:v>
      </x:c>
      <x:c r="F1053" s="25" t="n">
        <x:v>1</x:v>
      </x:c>
      <x:c r="G1053" s="19" t="n">
        <x:f>SUM(D1053:F1053)</x:f>
        <x:v>9</x:v>
      </x:c>
      <x:c r="H1053" s="25" t="n">
        <x:v>0</x:v>
      </x:c>
      <x:c r="I1053" s="25" t="n">
        <x:v>1</x:v>
      </x:c>
      <x:c r="J1053" s="25" t="n">
        <x:v>1</x:v>
      </x:c>
      <x:c r="K1053" s="19" t="n">
        <x:f>D1053-IF(H1053=0,1,0)</x:f>
        <x:v>0</x:v>
      </x:c>
      <x:c r="L1053" s="19" t="n">
        <x:f>E1053-IF(H1053=1,1,0)</x:f>
        <x:v>7</x:v>
      </x:c>
      <x:c r="M1053" s="19" t="n">
        <x:f>F1053-IF(H1053=2,1,0)</x:f>
        <x:v>1</x:v>
      </x:c>
      <x:c r="N1053" s="19" t="n">
        <x:f>MAX(K1053-1,0)+MAX(L1053-1,0)+MAX(M1053-1,0)</x:f>
        <x:v>6</x:v>
      </x:c>
      <x:c r="O1053" s="19" t="n">
        <x:f>IF(AND(SUM(K1053:M1053)&lt;9,OR(M1053=0,N1053&lt;6)),1,0)</x:f>
        <x:v>0</x:v>
      </x:c>
      <x:c r="P1053" s="19" t="n">
        <x:f>IF(AND(SUM(K1053:M1053)&lt;9,OR(L1053=0,N1053&lt;6)),1,0)</x:f>
        <x:v>0</x:v>
      </x:c>
      <x:c r="Q1053" s="19" t="n">
        <x:f>IF(AND(SUM(K1053:M1053)&lt;9,OR(K1053=0,N1053&lt;6)),1,0)</x:f>
        <x:v>1</x:v>
      </x:c>
      <x:c r="R1053" s="22" t="str">
        <x:f>O1053&amp;P1053&amp;Q1053</x:f>
        <x:v>001</x:v>
      </x:c>
      <x:c r="S1053" s="19" t="n">
        <x:f>IF(I1053=1,IF(J1053=0,Q1053,IF(J1053=1,P1053,IF(J1053=2,O1053,0))),0)</x:f>
        <x:v>0</x:v>
      </x:c>
      <x:c r="T1053" s="19" t="n">
        <x:f>K1053+IF(AND(S1053=1,J1053=0),1,0)</x:f>
        <x:v>0</x:v>
      </x:c>
      <x:c r="U1053" s="19" t="n">
        <x:f>L1053+IF(AND(S1053=1,J1053=1),1,0)</x:f>
        <x:v>7</x:v>
      </x:c>
      <x:c r="V1053" s="19" t="n">
        <x:f>M1053+IF(AND(S1053=1,J1053=2),1,0)</x:f>
        <x:v>1</x:v>
      </x:c>
      <x:c r="W1053" s="19" t="n">
        <x:f>SUM(T1053:V1053)</x:f>
        <x:v>8</x:v>
      </x:c>
      <x:c r="X1053" s="19" t="n">
        <x:f>W1053-G1053</x:f>
        <x:v>-1</x:v>
      </x:c>
      <x:c r="Y1053" s="19" t="n">
        <x:f>MAX(T1053,1)+MAX(U1053,1)+MAX(V1053,1)</x:f>
        <x:v>9</x:v>
      </x:c>
      <x:c r="Z1053" s="21" t="str">
        <x:f>IF(AND(MIN(D1053:F1053)&gt;=0,MAX(D1053:F1053)&lt;=7,MAX(D1053,1)+MAX(E1053,1)+MAX(F1053,1)&lt;=9,OR(H1053="-",AND(H1053=0,D1053&gt;0),AND(H1053=1,E1053&gt;0),AND(H1053=2,F1053&gt;0)),OR(I1053=0,AND(I1053=1,OR(J1053=0,J1053=1,J1053=2),R1053&lt;&gt;"000")),Y1053&lt;=9,MIN(T1053:V1053)&gt;=0),"合法","输入违约")</x:f>
        <x:v>合法</x:v>
      </x:c>
    </x:row>
    <x:row r="1054" ht="23" customHeight="1">
      <x:c r="A1054" s="3" t="str">
        <x:v>CT-1047</x:v>
      </x:c>
      <x:c r="B1054" s="3" t="str">
        <x:v>ST-169</x:v>
      </x:c>
      <x:c r="C1054" s="3" t="str">
        <x:v>仅R回收</x:v>
      </x:c>
      <x:c r="D1054" s="25" t="n">
        <x:v>1</x:v>
      </x:c>
      <x:c r="E1054" s="25" t="n">
        <x:v>7</x:v>
      </x:c>
      <x:c r="F1054" s="25" t="n">
        <x:v>1</x:v>
      </x:c>
      <x:c r="G1054" s="19" t="n">
        <x:f>SUM(D1054:F1054)</x:f>
        <x:v>9</x:v>
      </x:c>
      <x:c r="H1054" s="25" t="n">
        <x:v>0</x:v>
      </x:c>
      <x:c r="I1054" s="25" t="n">
        <x:v>1</x:v>
      </x:c>
      <x:c r="J1054" s="25" t="n">
        <x:v>2</x:v>
      </x:c>
      <x:c r="K1054" s="19" t="n">
        <x:f>D1054-IF(H1054=0,1,0)</x:f>
        <x:v>0</x:v>
      </x:c>
      <x:c r="L1054" s="19" t="n">
        <x:f>E1054-IF(H1054=1,1,0)</x:f>
        <x:v>7</x:v>
      </x:c>
      <x:c r="M1054" s="19" t="n">
        <x:f>F1054-IF(H1054=2,1,0)</x:f>
        <x:v>1</x:v>
      </x:c>
      <x:c r="N1054" s="19" t="n">
        <x:f>MAX(K1054-1,0)+MAX(L1054-1,0)+MAX(M1054-1,0)</x:f>
        <x:v>6</x:v>
      </x:c>
      <x:c r="O1054" s="19" t="n">
        <x:f>IF(AND(SUM(K1054:M1054)&lt;9,OR(M1054=0,N1054&lt;6)),1,0)</x:f>
        <x:v>0</x:v>
      </x:c>
      <x:c r="P1054" s="19" t="n">
        <x:f>IF(AND(SUM(K1054:M1054)&lt;9,OR(L1054=0,N1054&lt;6)),1,0)</x:f>
        <x:v>0</x:v>
      </x:c>
      <x:c r="Q1054" s="19" t="n">
        <x:f>IF(AND(SUM(K1054:M1054)&lt;9,OR(K1054=0,N1054&lt;6)),1,0)</x:f>
        <x:v>1</x:v>
      </x:c>
      <x:c r="R1054" s="22" t="str">
        <x:f>O1054&amp;P1054&amp;Q1054</x:f>
        <x:v>001</x:v>
      </x:c>
      <x:c r="S1054" s="19" t="n">
        <x:f>IF(I1054=1,IF(J1054=0,Q1054,IF(J1054=1,P1054,IF(J1054=2,O1054,0))),0)</x:f>
        <x:v>0</x:v>
      </x:c>
      <x:c r="T1054" s="19" t="n">
        <x:f>K1054+IF(AND(S1054=1,J1054=0),1,0)</x:f>
        <x:v>0</x:v>
      </x:c>
      <x:c r="U1054" s="19" t="n">
        <x:f>L1054+IF(AND(S1054=1,J1054=1),1,0)</x:f>
        <x:v>7</x:v>
      </x:c>
      <x:c r="V1054" s="19" t="n">
        <x:f>M1054+IF(AND(S1054=1,J1054=2),1,0)</x:f>
        <x:v>1</x:v>
      </x:c>
      <x:c r="W1054" s="19" t="n">
        <x:f>SUM(T1054:V1054)</x:f>
        <x:v>8</x:v>
      </x:c>
      <x:c r="X1054" s="19" t="n">
        <x:f>W1054-G1054</x:f>
        <x:v>-1</x:v>
      </x:c>
      <x:c r="Y1054" s="19" t="n">
        <x:f>MAX(T1054,1)+MAX(U1054,1)+MAX(V1054,1)</x:f>
        <x:v>9</x:v>
      </x:c>
      <x:c r="Z1054" s="21" t="str">
        <x:f>IF(AND(MIN(D1054:F1054)&gt;=0,MAX(D1054:F1054)&lt;=7,MAX(D1054,1)+MAX(E1054,1)+MAX(F1054,1)&lt;=9,OR(H1054="-",AND(H1054=0,D1054&gt;0),AND(H1054=1,E1054&gt;0),AND(H1054=2,F1054&gt;0)),OR(I1054=0,AND(I1054=1,OR(J1054=0,J1054=1,J1054=2),R1054&lt;&gt;"000")),Y1054&lt;=9,MIN(T1054:V1054)&gt;=0),"合法","输入违约")</x:f>
        <x:v>合法</x:v>
      </x:c>
    </x:row>
    <x:row r="1055" ht="23" customHeight="1">
      <x:c r="A1055" s="3" t="str">
        <x:v>CT-1048</x:v>
      </x:c>
      <x:c r="B1055" s="3" t="str">
        <x:v>ST-169</x:v>
      </x:c>
      <x:c r="C1055" s="3" t="str">
        <x:v>仅R回收</x:v>
      </x:c>
      <x:c r="D1055" s="25" t="n">
        <x:v>1</x:v>
      </x:c>
      <x:c r="E1055" s="25" t="n">
        <x:v>7</x:v>
      </x:c>
      <x:c r="F1055" s="25" t="n">
        <x:v>1</x:v>
      </x:c>
      <x:c r="G1055" s="19" t="n">
        <x:f>SUM(D1055:F1055)</x:f>
        <x:v>9</x:v>
      </x:c>
      <x:c r="H1055" s="25" t="n">
        <x:v>1</x:v>
      </x:c>
      <x:c r="I1055" s="25" t="n">
        <x:v>0</x:v>
      </x:c>
      <x:c r="J1055" s="25" t="str">
        <x:v>-</x:v>
      </x:c>
      <x:c r="K1055" s="19" t="n">
        <x:f>D1055-IF(H1055=0,1,0)</x:f>
        <x:v>1</x:v>
      </x:c>
      <x:c r="L1055" s="19" t="n">
        <x:f>E1055-IF(H1055=1,1,0)</x:f>
        <x:v>6</x:v>
      </x:c>
      <x:c r="M1055" s="19" t="n">
        <x:f>F1055-IF(H1055=2,1,0)</x:f>
        <x:v>1</x:v>
      </x:c>
      <x:c r="N1055" s="19" t="n">
        <x:f>MAX(K1055-1,0)+MAX(L1055-1,0)+MAX(M1055-1,0)</x:f>
        <x:v>5</x:v>
      </x:c>
      <x:c r="O1055" s="19" t="n">
        <x:f>IF(AND(SUM(K1055:M1055)&lt;9,OR(M1055=0,N1055&lt;6)),1,0)</x:f>
        <x:v>1</x:v>
      </x:c>
      <x:c r="P1055" s="19" t="n">
        <x:f>IF(AND(SUM(K1055:M1055)&lt;9,OR(L1055=0,N1055&lt;6)),1,0)</x:f>
        <x:v>1</x:v>
      </x:c>
      <x:c r="Q1055" s="19" t="n">
        <x:f>IF(AND(SUM(K1055:M1055)&lt;9,OR(K1055=0,N1055&lt;6)),1,0)</x:f>
        <x:v>1</x:v>
      </x:c>
      <x:c r="R1055" s="22" t="str">
        <x:f>O1055&amp;P1055&amp;Q1055</x:f>
        <x:v>111</x:v>
      </x:c>
      <x:c r="S1055" s="19" t="n">
        <x:f>IF(I1055=1,IF(J1055=0,Q1055,IF(J1055=1,P1055,IF(J1055=2,O1055,0))),0)</x:f>
        <x:v>0</x:v>
      </x:c>
      <x:c r="T1055" s="19" t="n">
        <x:f>K1055+IF(AND(S1055=1,J1055=0),1,0)</x:f>
        <x:v>1</x:v>
      </x:c>
      <x:c r="U1055" s="19" t="n">
        <x:f>L1055+IF(AND(S1055=1,J1055=1),1,0)</x:f>
        <x:v>6</x:v>
      </x:c>
      <x:c r="V1055" s="19" t="n">
        <x:f>M1055+IF(AND(S1055=1,J1055=2),1,0)</x:f>
        <x:v>1</x:v>
      </x:c>
      <x:c r="W1055" s="19" t="n">
        <x:f>SUM(T1055:V1055)</x:f>
        <x:v>8</x:v>
      </x:c>
      <x:c r="X1055" s="19" t="n">
        <x:f>W1055-G1055</x:f>
        <x:v>-1</x:v>
      </x:c>
      <x:c r="Y1055" s="19" t="n">
        <x:f>MAX(T1055,1)+MAX(U1055,1)+MAX(V1055,1)</x:f>
        <x:v>8</x:v>
      </x:c>
      <x:c r="Z1055" s="21" t="str">
        <x:f>IF(AND(MIN(D1055:F1055)&gt;=0,MAX(D1055:F1055)&lt;=7,MAX(D1055,1)+MAX(E1055,1)+MAX(F1055,1)&lt;=9,OR(H1055="-",AND(H1055=0,D1055&gt;0),AND(H1055=1,E1055&gt;0),AND(H1055=2,F1055&gt;0)),OR(I1055=0,AND(I1055=1,OR(J1055=0,J1055=1,J1055=2),R1055&lt;&gt;"000")),Y1055&lt;=9,MIN(T1055:V1055)&gt;=0),"合法","输入违约")</x:f>
        <x:v>合法</x:v>
      </x:c>
    </x:row>
    <x:row r="1056" ht="23" customHeight="1">
      <x:c r="A1056" s="3" t="str">
        <x:v>CT-1049</x:v>
      </x:c>
      <x:c r="B1056" s="3" t="str">
        <x:v>ST-169</x:v>
      </x:c>
      <x:c r="C1056" s="3" t="str">
        <x:v>R+AR同收同发</x:v>
      </x:c>
      <x:c r="D1056" s="25" t="n">
        <x:v>1</x:v>
      </x:c>
      <x:c r="E1056" s="25" t="n">
        <x:v>7</x:v>
      </x:c>
      <x:c r="F1056" s="25" t="n">
        <x:v>1</x:v>
      </x:c>
      <x:c r="G1056" s="19" t="n">
        <x:f>SUM(D1056:F1056)</x:f>
        <x:v>9</x:v>
      </x:c>
      <x:c r="H1056" s="25" t="n">
        <x:v>1</x:v>
      </x:c>
      <x:c r="I1056" s="25" t="n">
        <x:v>1</x:v>
      </x:c>
      <x:c r="J1056" s="25" t="n">
        <x:v>0</x:v>
      </x:c>
      <x:c r="K1056" s="19" t="n">
        <x:f>D1056-IF(H1056=0,1,0)</x:f>
        <x:v>1</x:v>
      </x:c>
      <x:c r="L1056" s="19" t="n">
        <x:f>E1056-IF(H1056=1,1,0)</x:f>
        <x:v>6</x:v>
      </x:c>
      <x:c r="M1056" s="19" t="n">
        <x:f>F1056-IF(H1056=2,1,0)</x:f>
        <x:v>1</x:v>
      </x:c>
      <x:c r="N1056" s="19" t="n">
        <x:f>MAX(K1056-1,0)+MAX(L1056-1,0)+MAX(M1056-1,0)</x:f>
        <x:v>5</x:v>
      </x:c>
      <x:c r="O1056" s="19" t="n">
        <x:f>IF(AND(SUM(K1056:M1056)&lt;9,OR(M1056=0,N1056&lt;6)),1,0)</x:f>
        <x:v>1</x:v>
      </x:c>
      <x:c r="P1056" s="19" t="n">
        <x:f>IF(AND(SUM(K1056:M1056)&lt;9,OR(L1056=0,N1056&lt;6)),1,0)</x:f>
        <x:v>1</x:v>
      </x:c>
      <x:c r="Q1056" s="19" t="n">
        <x:f>IF(AND(SUM(K1056:M1056)&lt;9,OR(K1056=0,N1056&lt;6)),1,0)</x:f>
        <x:v>1</x:v>
      </x:c>
      <x:c r="R1056" s="22" t="str">
        <x:f>O1056&amp;P1056&amp;Q1056</x:f>
        <x:v>111</x:v>
      </x:c>
      <x:c r="S1056" s="19" t="n">
        <x:f>IF(I1056=1,IF(J1056=0,Q1056,IF(J1056=1,P1056,IF(J1056=2,O1056,0))),0)</x:f>
        <x:v>1</x:v>
      </x:c>
      <x:c r="T1056" s="19" t="n">
        <x:f>K1056+IF(AND(S1056=1,J1056=0),1,0)</x:f>
        <x:v>2</x:v>
      </x:c>
      <x:c r="U1056" s="19" t="n">
        <x:f>L1056+IF(AND(S1056=1,J1056=1),1,0)</x:f>
        <x:v>6</x:v>
      </x:c>
      <x:c r="V1056" s="19" t="n">
        <x:f>M1056+IF(AND(S1056=1,J1056=2),1,0)</x:f>
        <x:v>1</x:v>
      </x:c>
      <x:c r="W1056" s="19" t="n">
        <x:f>SUM(T1056:V1056)</x:f>
        <x:v>9</x:v>
      </x:c>
      <x:c r="X1056" s="19" t="n">
        <x:f>W1056-G1056</x:f>
        <x:v>0</x:v>
      </x:c>
      <x:c r="Y1056" s="19" t="n">
        <x:f>MAX(T1056,1)+MAX(U1056,1)+MAX(V1056,1)</x:f>
        <x:v>9</x:v>
      </x:c>
      <x:c r="Z1056" s="21" t="str">
        <x:f>IF(AND(MIN(D1056:F1056)&gt;=0,MAX(D1056:F1056)&lt;=7,MAX(D1056,1)+MAX(E1056,1)+MAX(F1056,1)&lt;=9,OR(H1056="-",AND(H1056=0,D1056&gt;0),AND(H1056=1,E1056&gt;0),AND(H1056=2,F1056&gt;0)),OR(I1056=0,AND(I1056=1,OR(J1056=0,J1056=1,J1056=2),R1056&lt;&gt;"000")),Y1056&lt;=9,MIN(T1056:V1056)&gt;=0),"合法","输入违约")</x:f>
        <x:v>合法</x:v>
      </x:c>
    </x:row>
    <x:row r="1057" ht="23" customHeight="1">
      <x:c r="A1057" s="3" t="str">
        <x:v>CT-1050</x:v>
      </x:c>
      <x:c r="B1057" s="3" t="str">
        <x:v>ST-169</x:v>
      </x:c>
      <x:c r="C1057" s="3" t="str">
        <x:v>R+AR同收同发</x:v>
      </x:c>
      <x:c r="D1057" s="25" t="n">
        <x:v>1</x:v>
      </x:c>
      <x:c r="E1057" s="25" t="n">
        <x:v>7</x:v>
      </x:c>
      <x:c r="F1057" s="25" t="n">
        <x:v>1</x:v>
      </x:c>
      <x:c r="G1057" s="19" t="n">
        <x:f>SUM(D1057:F1057)</x:f>
        <x:v>9</x:v>
      </x:c>
      <x:c r="H1057" s="25" t="n">
        <x:v>1</x:v>
      </x:c>
      <x:c r="I1057" s="25" t="n">
        <x:v>1</x:v>
      </x:c>
      <x:c r="J1057" s="25" t="n">
        <x:v>1</x:v>
      </x:c>
      <x:c r="K1057" s="19" t="n">
        <x:f>D1057-IF(H1057=0,1,0)</x:f>
        <x:v>1</x:v>
      </x:c>
      <x:c r="L1057" s="19" t="n">
        <x:f>E1057-IF(H1057=1,1,0)</x:f>
        <x:v>6</x:v>
      </x:c>
      <x:c r="M1057" s="19" t="n">
        <x:f>F1057-IF(H1057=2,1,0)</x:f>
        <x:v>1</x:v>
      </x:c>
      <x:c r="N1057" s="19" t="n">
        <x:f>MAX(K1057-1,0)+MAX(L1057-1,0)+MAX(M1057-1,0)</x:f>
        <x:v>5</x:v>
      </x:c>
      <x:c r="O1057" s="19" t="n">
        <x:f>IF(AND(SUM(K1057:M1057)&lt;9,OR(M1057=0,N1057&lt;6)),1,0)</x:f>
        <x:v>1</x:v>
      </x:c>
      <x:c r="P1057" s="19" t="n">
        <x:f>IF(AND(SUM(K1057:M1057)&lt;9,OR(L1057=0,N1057&lt;6)),1,0)</x:f>
        <x:v>1</x:v>
      </x:c>
      <x:c r="Q1057" s="19" t="n">
        <x:f>IF(AND(SUM(K1057:M1057)&lt;9,OR(K1057=0,N1057&lt;6)),1,0)</x:f>
        <x:v>1</x:v>
      </x:c>
      <x:c r="R1057" s="22" t="str">
        <x:f>O1057&amp;P1057&amp;Q1057</x:f>
        <x:v>111</x:v>
      </x:c>
      <x:c r="S1057" s="19" t="n">
        <x:f>IF(I1057=1,IF(J1057=0,Q1057,IF(J1057=1,P1057,IF(J1057=2,O1057,0))),0)</x:f>
        <x:v>1</x:v>
      </x:c>
      <x:c r="T1057" s="19" t="n">
        <x:f>K1057+IF(AND(S1057=1,J1057=0),1,0)</x:f>
        <x:v>1</x:v>
      </x:c>
      <x:c r="U1057" s="19" t="n">
        <x:f>L1057+IF(AND(S1057=1,J1057=1),1,0)</x:f>
        <x:v>7</x:v>
      </x:c>
      <x:c r="V1057" s="19" t="n">
        <x:f>M1057+IF(AND(S1057=1,J1057=2),1,0)</x:f>
        <x:v>1</x:v>
      </x:c>
      <x:c r="W1057" s="19" t="n">
        <x:f>SUM(T1057:V1057)</x:f>
        <x:v>9</x:v>
      </x:c>
      <x:c r="X1057" s="19" t="n">
        <x:f>W1057-G1057</x:f>
        <x:v>0</x:v>
      </x:c>
      <x:c r="Y1057" s="19" t="n">
        <x:f>MAX(T1057,1)+MAX(U1057,1)+MAX(V1057,1)</x:f>
        <x:v>9</x:v>
      </x:c>
      <x:c r="Z1057" s="21" t="str">
        <x:f>IF(AND(MIN(D1057:F1057)&gt;=0,MAX(D1057:F1057)&lt;=7,MAX(D1057,1)+MAX(E1057,1)+MAX(F1057,1)&lt;=9,OR(H1057="-",AND(H1057=0,D1057&gt;0),AND(H1057=1,E1057&gt;0),AND(H1057=2,F1057&gt;0)),OR(I1057=0,AND(I1057=1,OR(J1057=0,J1057=1,J1057=2),R1057&lt;&gt;"000")),Y1057&lt;=9,MIN(T1057:V1057)&gt;=0),"合法","输入违约")</x:f>
        <x:v>合法</x:v>
      </x:c>
    </x:row>
    <x:row r="1058" ht="23" customHeight="1">
      <x:c r="A1058" s="3" t="str">
        <x:v>CT-1051</x:v>
      </x:c>
      <x:c r="B1058" s="3" t="str">
        <x:v>ST-169</x:v>
      </x:c>
      <x:c r="C1058" s="3" t="str">
        <x:v>R+AR同收同发</x:v>
      </x:c>
      <x:c r="D1058" s="25" t="n">
        <x:v>1</x:v>
      </x:c>
      <x:c r="E1058" s="25" t="n">
        <x:v>7</x:v>
      </x:c>
      <x:c r="F1058" s="25" t="n">
        <x:v>1</x:v>
      </x:c>
      <x:c r="G1058" s="19" t="n">
        <x:f>SUM(D1058:F1058)</x:f>
        <x:v>9</x:v>
      </x:c>
      <x:c r="H1058" s="25" t="n">
        <x:v>1</x:v>
      </x:c>
      <x:c r="I1058" s="25" t="n">
        <x:v>1</x:v>
      </x:c>
      <x:c r="J1058" s="25" t="n">
        <x:v>2</x:v>
      </x:c>
      <x:c r="K1058" s="19" t="n">
        <x:f>D1058-IF(H1058=0,1,0)</x:f>
        <x:v>1</x:v>
      </x:c>
      <x:c r="L1058" s="19" t="n">
        <x:f>E1058-IF(H1058=1,1,0)</x:f>
        <x:v>6</x:v>
      </x:c>
      <x:c r="M1058" s="19" t="n">
        <x:f>F1058-IF(H1058=2,1,0)</x:f>
        <x:v>1</x:v>
      </x:c>
      <x:c r="N1058" s="19" t="n">
        <x:f>MAX(K1058-1,0)+MAX(L1058-1,0)+MAX(M1058-1,0)</x:f>
        <x:v>5</x:v>
      </x:c>
      <x:c r="O1058" s="19" t="n">
        <x:f>IF(AND(SUM(K1058:M1058)&lt;9,OR(M1058=0,N1058&lt;6)),1,0)</x:f>
        <x:v>1</x:v>
      </x:c>
      <x:c r="P1058" s="19" t="n">
        <x:f>IF(AND(SUM(K1058:M1058)&lt;9,OR(L1058=0,N1058&lt;6)),1,0)</x:f>
        <x:v>1</x:v>
      </x:c>
      <x:c r="Q1058" s="19" t="n">
        <x:f>IF(AND(SUM(K1058:M1058)&lt;9,OR(K1058=0,N1058&lt;6)),1,0)</x:f>
        <x:v>1</x:v>
      </x:c>
      <x:c r="R1058" s="22" t="str">
        <x:f>O1058&amp;P1058&amp;Q1058</x:f>
        <x:v>111</x:v>
      </x:c>
      <x:c r="S1058" s="19" t="n">
        <x:f>IF(I1058=1,IF(J1058=0,Q1058,IF(J1058=1,P1058,IF(J1058=2,O1058,0))),0)</x:f>
        <x:v>1</x:v>
      </x:c>
      <x:c r="T1058" s="19" t="n">
        <x:f>K1058+IF(AND(S1058=1,J1058=0),1,0)</x:f>
        <x:v>1</x:v>
      </x:c>
      <x:c r="U1058" s="19" t="n">
        <x:f>L1058+IF(AND(S1058=1,J1058=1),1,0)</x:f>
        <x:v>6</x:v>
      </x:c>
      <x:c r="V1058" s="19" t="n">
        <x:f>M1058+IF(AND(S1058=1,J1058=2),1,0)</x:f>
        <x:v>2</x:v>
      </x:c>
      <x:c r="W1058" s="19" t="n">
        <x:f>SUM(T1058:V1058)</x:f>
        <x:v>9</x:v>
      </x:c>
      <x:c r="X1058" s="19" t="n">
        <x:f>W1058-G1058</x:f>
        <x:v>0</x:v>
      </x:c>
      <x:c r="Y1058" s="19" t="n">
        <x:f>MAX(T1058,1)+MAX(U1058,1)+MAX(V1058,1)</x:f>
        <x:v>9</x:v>
      </x:c>
      <x:c r="Z1058" s="21" t="str">
        <x:f>IF(AND(MIN(D1058:F1058)&gt;=0,MAX(D1058:F1058)&lt;=7,MAX(D1058,1)+MAX(E1058,1)+MAX(F1058,1)&lt;=9,OR(H1058="-",AND(H1058=0,D1058&gt;0),AND(H1058=1,E1058&gt;0),AND(H1058=2,F1058&gt;0)),OR(I1058=0,AND(I1058=1,OR(J1058=0,J1058=1,J1058=2),R1058&lt;&gt;"000")),Y1058&lt;=9,MIN(T1058:V1058)&gt;=0),"合法","输入违约")</x:f>
        <x:v>合法</x:v>
      </x:c>
    </x:row>
    <x:row r="1059" ht="23" customHeight="1">
      <x:c r="A1059" s="3" t="str">
        <x:v>CT-1052</x:v>
      </x:c>
      <x:c r="B1059" s="3" t="str">
        <x:v>ST-169</x:v>
      </x:c>
      <x:c r="C1059" s="3" t="str">
        <x:v>仅R回收</x:v>
      </x:c>
      <x:c r="D1059" s="25" t="n">
        <x:v>1</x:v>
      </x:c>
      <x:c r="E1059" s="25" t="n">
        <x:v>7</x:v>
      </x:c>
      <x:c r="F1059" s="25" t="n">
        <x:v>1</x:v>
      </x:c>
      <x:c r="G1059" s="19" t="n">
        <x:f>SUM(D1059:F1059)</x:f>
        <x:v>9</x:v>
      </x:c>
      <x:c r="H1059" s="25" t="n">
        <x:v>2</x:v>
      </x:c>
      <x:c r="I1059" s="25" t="n">
        <x:v>0</x:v>
      </x:c>
      <x:c r="J1059" s="25" t="str">
        <x:v>-</x:v>
      </x:c>
      <x:c r="K1059" s="19" t="n">
        <x:f>D1059-IF(H1059=0,1,0)</x:f>
        <x:v>1</x:v>
      </x:c>
      <x:c r="L1059" s="19" t="n">
        <x:f>E1059-IF(H1059=1,1,0)</x:f>
        <x:v>7</x:v>
      </x:c>
      <x:c r="M1059" s="19" t="n">
        <x:f>F1059-IF(H1059=2,1,0)</x:f>
        <x:v>0</x:v>
      </x:c>
      <x:c r="N1059" s="19" t="n">
        <x:f>MAX(K1059-1,0)+MAX(L1059-1,0)+MAX(M1059-1,0)</x:f>
        <x:v>6</x:v>
      </x:c>
      <x:c r="O1059" s="19" t="n">
        <x:f>IF(AND(SUM(K1059:M1059)&lt;9,OR(M1059=0,N1059&lt;6)),1,0)</x:f>
        <x:v>1</x:v>
      </x:c>
      <x:c r="P1059" s="19" t="n">
        <x:f>IF(AND(SUM(K1059:M1059)&lt;9,OR(L1059=0,N1059&lt;6)),1,0)</x:f>
        <x:v>0</x:v>
      </x:c>
      <x:c r="Q1059" s="19" t="n">
        <x:f>IF(AND(SUM(K1059:M1059)&lt;9,OR(K1059=0,N1059&lt;6)),1,0)</x:f>
        <x:v>0</x:v>
      </x:c>
      <x:c r="R1059" s="22" t="str">
        <x:f>O1059&amp;P1059&amp;Q1059</x:f>
        <x:v>100</x:v>
      </x:c>
      <x:c r="S1059" s="19" t="n">
        <x:f>IF(I1059=1,IF(J1059=0,Q1059,IF(J1059=1,P1059,IF(J1059=2,O1059,0))),0)</x:f>
        <x:v>0</x:v>
      </x:c>
      <x:c r="T1059" s="19" t="n">
        <x:f>K1059+IF(AND(S1059=1,J1059=0),1,0)</x:f>
        <x:v>1</x:v>
      </x:c>
      <x:c r="U1059" s="19" t="n">
        <x:f>L1059+IF(AND(S1059=1,J1059=1),1,0)</x:f>
        <x:v>7</x:v>
      </x:c>
      <x:c r="V1059" s="19" t="n">
        <x:f>M1059+IF(AND(S1059=1,J1059=2),1,0)</x:f>
        <x:v>0</x:v>
      </x:c>
      <x:c r="W1059" s="19" t="n">
        <x:f>SUM(T1059:V1059)</x:f>
        <x:v>8</x:v>
      </x:c>
      <x:c r="X1059" s="19" t="n">
        <x:f>W1059-G1059</x:f>
        <x:v>-1</x:v>
      </x:c>
      <x:c r="Y1059" s="19" t="n">
        <x:f>MAX(T1059,1)+MAX(U1059,1)+MAX(V1059,1)</x:f>
        <x:v>9</x:v>
      </x:c>
      <x:c r="Z1059" s="21" t="str">
        <x:f>IF(AND(MIN(D1059:F1059)&gt;=0,MAX(D1059:F1059)&lt;=7,MAX(D1059,1)+MAX(E1059,1)+MAX(F1059,1)&lt;=9,OR(H1059="-",AND(H1059=0,D1059&gt;0),AND(H1059=1,E1059&gt;0),AND(H1059=2,F1059&gt;0)),OR(I1059=0,AND(I1059=1,OR(J1059=0,J1059=1,J1059=2),R1059&lt;&gt;"000")),Y1059&lt;=9,MIN(T1059:V1059)&gt;=0),"合法","输入违约")</x:f>
        <x:v>合法</x:v>
      </x:c>
    </x:row>
    <x:row r="1060" ht="23" customHeight="1">
      <x:c r="A1060" s="3" t="str">
        <x:v>CT-1053</x:v>
      </x:c>
      <x:c r="B1060" s="3" t="str">
        <x:v>ST-169</x:v>
      </x:c>
      <x:c r="C1060" s="3" t="str">
        <x:v>仅R回收</x:v>
      </x:c>
      <x:c r="D1060" s="25" t="n">
        <x:v>1</x:v>
      </x:c>
      <x:c r="E1060" s="25" t="n">
        <x:v>7</x:v>
      </x:c>
      <x:c r="F1060" s="25" t="n">
        <x:v>1</x:v>
      </x:c>
      <x:c r="G1060" s="19" t="n">
        <x:f>SUM(D1060:F1060)</x:f>
        <x:v>9</x:v>
      </x:c>
      <x:c r="H1060" s="25" t="n">
        <x:v>2</x:v>
      </x:c>
      <x:c r="I1060" s="25" t="n">
        <x:v>1</x:v>
      </x:c>
      <x:c r="J1060" s="25" t="n">
        <x:v>0</x:v>
      </x:c>
      <x:c r="K1060" s="19" t="n">
        <x:f>D1060-IF(H1060=0,1,0)</x:f>
        <x:v>1</x:v>
      </x:c>
      <x:c r="L1060" s="19" t="n">
        <x:f>E1060-IF(H1060=1,1,0)</x:f>
        <x:v>7</x:v>
      </x:c>
      <x:c r="M1060" s="19" t="n">
        <x:f>F1060-IF(H1060=2,1,0)</x:f>
        <x:v>0</x:v>
      </x:c>
      <x:c r="N1060" s="19" t="n">
        <x:f>MAX(K1060-1,0)+MAX(L1060-1,0)+MAX(M1060-1,0)</x:f>
        <x:v>6</x:v>
      </x:c>
      <x:c r="O1060" s="19" t="n">
        <x:f>IF(AND(SUM(K1060:M1060)&lt;9,OR(M1060=0,N1060&lt;6)),1,0)</x:f>
        <x:v>1</x:v>
      </x:c>
      <x:c r="P1060" s="19" t="n">
        <x:f>IF(AND(SUM(K1060:M1060)&lt;9,OR(L1060=0,N1060&lt;6)),1,0)</x:f>
        <x:v>0</x:v>
      </x:c>
      <x:c r="Q1060" s="19" t="n">
        <x:f>IF(AND(SUM(K1060:M1060)&lt;9,OR(K1060=0,N1060&lt;6)),1,0)</x:f>
        <x:v>0</x:v>
      </x:c>
      <x:c r="R1060" s="22" t="str">
        <x:f>O1060&amp;P1060&amp;Q1060</x:f>
        <x:v>100</x:v>
      </x:c>
      <x:c r="S1060" s="19" t="n">
        <x:f>IF(I1060=1,IF(J1060=0,Q1060,IF(J1060=1,P1060,IF(J1060=2,O1060,0))),0)</x:f>
        <x:v>0</x:v>
      </x:c>
      <x:c r="T1060" s="19" t="n">
        <x:f>K1060+IF(AND(S1060=1,J1060=0),1,0)</x:f>
        <x:v>1</x:v>
      </x:c>
      <x:c r="U1060" s="19" t="n">
        <x:f>L1060+IF(AND(S1060=1,J1060=1),1,0)</x:f>
        <x:v>7</x:v>
      </x:c>
      <x:c r="V1060" s="19" t="n">
        <x:f>M1060+IF(AND(S1060=1,J1060=2),1,0)</x:f>
        <x:v>0</x:v>
      </x:c>
      <x:c r="W1060" s="19" t="n">
        <x:f>SUM(T1060:V1060)</x:f>
        <x:v>8</x:v>
      </x:c>
      <x:c r="X1060" s="19" t="n">
        <x:f>W1060-G1060</x:f>
        <x:v>-1</x:v>
      </x:c>
      <x:c r="Y1060" s="19" t="n">
        <x:f>MAX(T1060,1)+MAX(U1060,1)+MAX(V1060,1)</x:f>
        <x:v>9</x:v>
      </x:c>
      <x:c r="Z1060" s="21" t="str">
        <x:f>IF(AND(MIN(D1060:F1060)&gt;=0,MAX(D1060:F1060)&lt;=7,MAX(D1060,1)+MAX(E1060,1)+MAX(F1060,1)&lt;=9,OR(H1060="-",AND(H1060=0,D1060&gt;0),AND(H1060=1,E1060&gt;0),AND(H1060=2,F1060&gt;0)),OR(I1060=0,AND(I1060=1,OR(J1060=0,J1060=1,J1060=2),R1060&lt;&gt;"000")),Y1060&lt;=9,MIN(T1060:V1060)&gt;=0),"合法","输入违约")</x:f>
        <x:v>合法</x:v>
      </x:c>
    </x:row>
    <x:row r="1061" ht="23" customHeight="1">
      <x:c r="A1061" s="3" t="str">
        <x:v>CT-1054</x:v>
      </x:c>
      <x:c r="B1061" s="3" t="str">
        <x:v>ST-169</x:v>
      </x:c>
      <x:c r="C1061" s="3" t="str">
        <x:v>仅R回收</x:v>
      </x:c>
      <x:c r="D1061" s="25" t="n">
        <x:v>1</x:v>
      </x:c>
      <x:c r="E1061" s="25" t="n">
        <x:v>7</x:v>
      </x:c>
      <x:c r="F1061" s="25" t="n">
        <x:v>1</x:v>
      </x:c>
      <x:c r="G1061" s="19" t="n">
        <x:f>SUM(D1061:F1061)</x:f>
        <x:v>9</x:v>
      </x:c>
      <x:c r="H1061" s="25" t="n">
        <x:v>2</x:v>
      </x:c>
      <x:c r="I1061" s="25" t="n">
        <x:v>1</x:v>
      </x:c>
      <x:c r="J1061" s="25" t="n">
        <x:v>1</x:v>
      </x:c>
      <x:c r="K1061" s="19" t="n">
        <x:f>D1061-IF(H1061=0,1,0)</x:f>
        <x:v>1</x:v>
      </x:c>
      <x:c r="L1061" s="19" t="n">
        <x:f>E1061-IF(H1061=1,1,0)</x:f>
        <x:v>7</x:v>
      </x:c>
      <x:c r="M1061" s="19" t="n">
        <x:f>F1061-IF(H1061=2,1,0)</x:f>
        <x:v>0</x:v>
      </x:c>
      <x:c r="N1061" s="19" t="n">
        <x:f>MAX(K1061-1,0)+MAX(L1061-1,0)+MAX(M1061-1,0)</x:f>
        <x:v>6</x:v>
      </x:c>
      <x:c r="O1061" s="19" t="n">
        <x:f>IF(AND(SUM(K1061:M1061)&lt;9,OR(M1061=0,N1061&lt;6)),1,0)</x:f>
        <x:v>1</x:v>
      </x:c>
      <x:c r="P1061" s="19" t="n">
        <x:f>IF(AND(SUM(K1061:M1061)&lt;9,OR(L1061=0,N1061&lt;6)),1,0)</x:f>
        <x:v>0</x:v>
      </x:c>
      <x:c r="Q1061" s="19" t="n">
        <x:f>IF(AND(SUM(K1061:M1061)&lt;9,OR(K1061=0,N1061&lt;6)),1,0)</x:f>
        <x:v>0</x:v>
      </x:c>
      <x:c r="R1061" s="22" t="str">
        <x:f>O1061&amp;P1061&amp;Q1061</x:f>
        <x:v>100</x:v>
      </x:c>
      <x:c r="S1061" s="19" t="n">
        <x:f>IF(I1061=1,IF(J1061=0,Q1061,IF(J1061=1,P1061,IF(J1061=2,O1061,0))),0)</x:f>
        <x:v>0</x:v>
      </x:c>
      <x:c r="T1061" s="19" t="n">
        <x:f>K1061+IF(AND(S1061=1,J1061=0),1,0)</x:f>
        <x:v>1</x:v>
      </x:c>
      <x:c r="U1061" s="19" t="n">
        <x:f>L1061+IF(AND(S1061=1,J1061=1),1,0)</x:f>
        <x:v>7</x:v>
      </x:c>
      <x:c r="V1061" s="19" t="n">
        <x:f>M1061+IF(AND(S1061=1,J1061=2),1,0)</x:f>
        <x:v>0</x:v>
      </x:c>
      <x:c r="W1061" s="19" t="n">
        <x:f>SUM(T1061:V1061)</x:f>
        <x:v>8</x:v>
      </x:c>
      <x:c r="X1061" s="19" t="n">
        <x:f>W1061-G1061</x:f>
        <x:v>-1</x:v>
      </x:c>
      <x:c r="Y1061" s="19" t="n">
        <x:f>MAX(T1061,1)+MAX(U1061,1)+MAX(V1061,1)</x:f>
        <x:v>9</x:v>
      </x:c>
      <x:c r="Z1061" s="21" t="str">
        <x:f>IF(AND(MIN(D1061:F1061)&gt;=0,MAX(D1061:F1061)&lt;=7,MAX(D1061,1)+MAX(E1061,1)+MAX(F1061,1)&lt;=9,OR(H1061="-",AND(H1061=0,D1061&gt;0),AND(H1061=1,E1061&gt;0),AND(H1061=2,F1061&gt;0)),OR(I1061=0,AND(I1061=1,OR(J1061=0,J1061=1,J1061=2),R1061&lt;&gt;"000")),Y1061&lt;=9,MIN(T1061:V1061)&gt;=0),"合法","输入违约")</x:f>
        <x:v>合法</x:v>
      </x:c>
    </x:row>
    <x:row r="1062" ht="23" customHeight="1">
      <x:c r="A1062" s="3" t="str">
        <x:v>CT-1055</x:v>
      </x:c>
      <x:c r="B1062" s="3" t="str">
        <x:v>ST-169</x:v>
      </x:c>
      <x:c r="C1062" s="3" t="str">
        <x:v>R+AR同收同发</x:v>
      </x:c>
      <x:c r="D1062" s="25" t="n">
        <x:v>1</x:v>
      </x:c>
      <x:c r="E1062" s="25" t="n">
        <x:v>7</x:v>
      </x:c>
      <x:c r="F1062" s="25" t="n">
        <x:v>1</x:v>
      </x:c>
      <x:c r="G1062" s="19" t="n">
        <x:f>SUM(D1062:F1062)</x:f>
        <x:v>9</x:v>
      </x:c>
      <x:c r="H1062" s="25" t="n">
        <x:v>2</x:v>
      </x:c>
      <x:c r="I1062" s="25" t="n">
        <x:v>1</x:v>
      </x:c>
      <x:c r="J1062" s="25" t="n">
        <x:v>2</x:v>
      </x:c>
      <x:c r="K1062" s="19" t="n">
        <x:f>D1062-IF(H1062=0,1,0)</x:f>
        <x:v>1</x:v>
      </x:c>
      <x:c r="L1062" s="19" t="n">
        <x:f>E1062-IF(H1062=1,1,0)</x:f>
        <x:v>7</x:v>
      </x:c>
      <x:c r="M1062" s="19" t="n">
        <x:f>F1062-IF(H1062=2,1,0)</x:f>
        <x:v>0</x:v>
      </x:c>
      <x:c r="N1062" s="19" t="n">
        <x:f>MAX(K1062-1,0)+MAX(L1062-1,0)+MAX(M1062-1,0)</x:f>
        <x:v>6</x:v>
      </x:c>
      <x:c r="O1062" s="19" t="n">
        <x:f>IF(AND(SUM(K1062:M1062)&lt;9,OR(M1062=0,N1062&lt;6)),1,0)</x:f>
        <x:v>1</x:v>
      </x:c>
      <x:c r="P1062" s="19" t="n">
        <x:f>IF(AND(SUM(K1062:M1062)&lt;9,OR(L1062=0,N1062&lt;6)),1,0)</x:f>
        <x:v>0</x:v>
      </x:c>
      <x:c r="Q1062" s="19" t="n">
        <x:f>IF(AND(SUM(K1062:M1062)&lt;9,OR(K1062=0,N1062&lt;6)),1,0)</x:f>
        <x:v>0</x:v>
      </x:c>
      <x:c r="R1062" s="22" t="str">
        <x:f>O1062&amp;P1062&amp;Q1062</x:f>
        <x:v>100</x:v>
      </x:c>
      <x:c r="S1062" s="19" t="n">
        <x:f>IF(I1062=1,IF(J1062=0,Q1062,IF(J1062=1,P1062,IF(J1062=2,O1062,0))),0)</x:f>
        <x:v>1</x:v>
      </x:c>
      <x:c r="T1062" s="19" t="n">
        <x:f>K1062+IF(AND(S1062=1,J1062=0),1,0)</x:f>
        <x:v>1</x:v>
      </x:c>
      <x:c r="U1062" s="19" t="n">
        <x:f>L1062+IF(AND(S1062=1,J1062=1),1,0)</x:f>
        <x:v>7</x:v>
      </x:c>
      <x:c r="V1062" s="19" t="n">
        <x:f>M1062+IF(AND(S1062=1,J1062=2),1,0)</x:f>
        <x:v>1</x:v>
      </x:c>
      <x:c r="W1062" s="19" t="n">
        <x:f>SUM(T1062:V1062)</x:f>
        <x:v>9</x:v>
      </x:c>
      <x:c r="X1062" s="19" t="n">
        <x:f>W1062-G1062</x:f>
        <x:v>0</x:v>
      </x:c>
      <x:c r="Y1062" s="19" t="n">
        <x:f>MAX(T1062,1)+MAX(U1062,1)+MAX(V1062,1)</x:f>
        <x:v>9</x:v>
      </x:c>
      <x:c r="Z1062" s="21" t="str">
        <x:f>IF(AND(MIN(D1062:F1062)&gt;=0,MAX(D1062:F1062)&lt;=7,MAX(D1062,1)+MAX(E1062,1)+MAX(F1062,1)&lt;=9,OR(H1062="-",AND(H1062=0,D1062&gt;0),AND(H1062=1,E1062&gt;0),AND(H1062=2,F1062&gt;0)),OR(I1062=0,AND(I1062=1,OR(J1062=0,J1062=1,J1062=2),R1062&lt;&gt;"000")),Y1062&lt;=9,MIN(T1062:V1062)&gt;=0),"合法","输入违约")</x:f>
        <x:v>合法</x:v>
      </x:c>
    </x:row>
    <x:row r="1063" ht="23" customHeight="1">
      <x:c r="A1063" s="3" t="str">
        <x:v>CT-1056</x:v>
      </x:c>
      <x:c r="B1063" s="3" t="str">
        <x:v>ST-010</x:v>
      </x:c>
      <x:c r="C1063" s="3" t="str">
        <x:v>无AR/R</x:v>
      </x:c>
      <x:c r="D1063" s="25" t="n">
        <x:v>2</x:v>
      </x:c>
      <x:c r="E1063" s="25" t="n">
        <x:v>0</x:v>
      </x:c>
      <x:c r="F1063" s="25" t="n">
        <x:v>0</x:v>
      </x:c>
      <x:c r="G1063" s="19" t="n">
        <x:f>SUM(D1063:F1063)</x:f>
        <x:v>2</x:v>
      </x:c>
      <x:c r="H1063" s="25" t="str">
        <x:v>-</x:v>
      </x:c>
      <x:c r="I1063" s="25" t="n">
        <x:v>0</x:v>
      </x:c>
      <x:c r="J1063" s="25" t="str">
        <x:v>-</x:v>
      </x:c>
      <x:c r="K1063" s="19" t="n">
        <x:f>D1063-IF(H1063=0,1,0)</x:f>
        <x:v>2</x:v>
      </x:c>
      <x:c r="L1063" s="19" t="n">
        <x:f>E1063-IF(H1063=1,1,0)</x:f>
        <x:v>0</x:v>
      </x:c>
      <x:c r="M1063" s="19" t="n">
        <x:f>F1063-IF(H1063=2,1,0)</x:f>
        <x:v>0</x:v>
      </x:c>
      <x:c r="N1063" s="19" t="n">
        <x:f>MAX(K1063-1,0)+MAX(L1063-1,0)+MAX(M1063-1,0)</x:f>
        <x:v>1</x:v>
      </x:c>
      <x:c r="O1063" s="19" t="n">
        <x:f>IF(AND(SUM(K1063:M1063)&lt;9,OR(M1063=0,N1063&lt;6)),1,0)</x:f>
        <x:v>1</x:v>
      </x:c>
      <x:c r="P1063" s="19" t="n">
        <x:f>IF(AND(SUM(K1063:M1063)&lt;9,OR(L1063=0,N1063&lt;6)),1,0)</x:f>
        <x:v>1</x:v>
      </x:c>
      <x:c r="Q1063" s="19" t="n">
        <x:f>IF(AND(SUM(K1063:M1063)&lt;9,OR(K1063=0,N1063&lt;6)),1,0)</x:f>
        <x:v>1</x:v>
      </x:c>
      <x:c r="R1063" s="22" t="str">
        <x:f>O1063&amp;P1063&amp;Q1063</x:f>
        <x:v>111</x:v>
      </x:c>
      <x:c r="S1063" s="19" t="n">
        <x:f>IF(I1063=1,IF(J1063=0,Q1063,IF(J1063=1,P1063,IF(J1063=2,O1063,0))),0)</x:f>
        <x:v>0</x:v>
      </x:c>
      <x:c r="T1063" s="19" t="n">
        <x:f>K1063+IF(AND(S1063=1,J1063=0),1,0)</x:f>
        <x:v>2</x:v>
      </x:c>
      <x:c r="U1063" s="19" t="n">
        <x:f>L1063+IF(AND(S1063=1,J1063=1),1,0)</x:f>
        <x:v>0</x:v>
      </x:c>
      <x:c r="V1063" s="19" t="n">
        <x:f>M1063+IF(AND(S1063=1,J1063=2),1,0)</x:f>
        <x:v>0</x:v>
      </x:c>
      <x:c r="W1063" s="19" t="n">
        <x:f>SUM(T1063:V1063)</x:f>
        <x:v>2</x:v>
      </x:c>
      <x:c r="X1063" s="19" t="n">
        <x:f>W1063-G1063</x:f>
        <x:v>0</x:v>
      </x:c>
      <x:c r="Y1063" s="19" t="n">
        <x:f>MAX(T1063,1)+MAX(U1063,1)+MAX(V1063,1)</x:f>
        <x:v>4</x:v>
      </x:c>
      <x:c r="Z1063" s="21" t="str">
        <x:f>IF(AND(MIN(D1063:F1063)&gt;=0,MAX(D1063:F1063)&lt;=7,MAX(D1063,1)+MAX(E1063,1)+MAX(F1063,1)&lt;=9,OR(H1063="-",AND(H1063=0,D1063&gt;0),AND(H1063=1,E1063&gt;0),AND(H1063=2,F1063&gt;0)),OR(I1063=0,AND(I1063=1,OR(J1063=0,J1063=1,J1063=2),R1063&lt;&gt;"000")),Y1063&lt;=9,MIN(T1063:V1063)&gt;=0),"合法","输入违约")</x:f>
        <x:v>合法</x:v>
      </x:c>
    </x:row>
    <x:row r="1064" ht="23" customHeight="1">
      <x:c r="A1064" s="3" t="str">
        <x:v>CT-1057</x:v>
      </x:c>
      <x:c r="B1064" s="3" t="str">
        <x:v>ST-010</x:v>
      </x:c>
      <x:c r="C1064" s="3" t="str">
        <x:v>仅AR接收</x:v>
      </x:c>
      <x:c r="D1064" s="25" t="n">
        <x:v>2</x:v>
      </x:c>
      <x:c r="E1064" s="25" t="n">
        <x:v>0</x:v>
      </x:c>
      <x:c r="F1064" s="25" t="n">
        <x:v>0</x:v>
      </x:c>
      <x:c r="G1064" s="19" t="n">
        <x:f>SUM(D1064:F1064)</x:f>
        <x:v>2</x:v>
      </x:c>
      <x:c r="H1064" s="25" t="str">
        <x:v>-</x:v>
      </x:c>
      <x:c r="I1064" s="25" t="n">
        <x:v>1</x:v>
      </x:c>
      <x:c r="J1064" s="25" t="n">
        <x:v>0</x:v>
      </x:c>
      <x:c r="K1064" s="19" t="n">
        <x:f>D1064-IF(H1064=0,1,0)</x:f>
        <x:v>2</x:v>
      </x:c>
      <x:c r="L1064" s="19" t="n">
        <x:f>E1064-IF(H1064=1,1,0)</x:f>
        <x:v>0</x:v>
      </x:c>
      <x:c r="M1064" s="19" t="n">
        <x:f>F1064-IF(H1064=2,1,0)</x:f>
        <x:v>0</x:v>
      </x:c>
      <x:c r="N1064" s="19" t="n">
        <x:f>MAX(K1064-1,0)+MAX(L1064-1,0)+MAX(M1064-1,0)</x:f>
        <x:v>1</x:v>
      </x:c>
      <x:c r="O1064" s="19" t="n">
        <x:f>IF(AND(SUM(K1064:M1064)&lt;9,OR(M1064=0,N1064&lt;6)),1,0)</x:f>
        <x:v>1</x:v>
      </x:c>
      <x:c r="P1064" s="19" t="n">
        <x:f>IF(AND(SUM(K1064:M1064)&lt;9,OR(L1064=0,N1064&lt;6)),1,0)</x:f>
        <x:v>1</x:v>
      </x:c>
      <x:c r="Q1064" s="19" t="n">
        <x:f>IF(AND(SUM(K1064:M1064)&lt;9,OR(K1064=0,N1064&lt;6)),1,0)</x:f>
        <x:v>1</x:v>
      </x:c>
      <x:c r="R1064" s="22" t="str">
        <x:f>O1064&amp;P1064&amp;Q1064</x:f>
        <x:v>111</x:v>
      </x:c>
      <x:c r="S1064" s="19" t="n">
        <x:f>IF(I1064=1,IF(J1064=0,Q1064,IF(J1064=1,P1064,IF(J1064=2,O1064,0))),0)</x:f>
        <x:v>1</x:v>
      </x:c>
      <x:c r="T1064" s="19" t="n">
        <x:f>K1064+IF(AND(S1064=1,J1064=0),1,0)</x:f>
        <x:v>3</x:v>
      </x:c>
      <x:c r="U1064" s="19" t="n">
        <x:f>L1064+IF(AND(S1064=1,J1064=1),1,0)</x:f>
        <x:v>0</x:v>
      </x:c>
      <x:c r="V1064" s="19" t="n">
        <x:f>M1064+IF(AND(S1064=1,J1064=2),1,0)</x:f>
        <x:v>0</x:v>
      </x:c>
      <x:c r="W1064" s="19" t="n">
        <x:f>SUM(T1064:V1064)</x:f>
        <x:v>3</x:v>
      </x:c>
      <x:c r="X1064" s="19" t="n">
        <x:f>W1064-G1064</x:f>
        <x:v>1</x:v>
      </x:c>
      <x:c r="Y1064" s="19" t="n">
        <x:f>MAX(T1064,1)+MAX(U1064,1)+MAX(V1064,1)</x:f>
        <x:v>5</x:v>
      </x:c>
      <x:c r="Z1064" s="21" t="str">
        <x:f>IF(AND(MIN(D1064:F1064)&gt;=0,MAX(D1064:F1064)&lt;=7,MAX(D1064,1)+MAX(E1064,1)+MAX(F1064,1)&lt;=9,OR(H1064="-",AND(H1064=0,D1064&gt;0),AND(H1064=1,E1064&gt;0),AND(H1064=2,F1064&gt;0)),OR(I1064=0,AND(I1064=1,OR(J1064=0,J1064=1,J1064=2),R1064&lt;&gt;"000")),Y1064&lt;=9,MIN(T1064:V1064)&gt;=0),"合法","输入违约")</x:f>
        <x:v>合法</x:v>
      </x:c>
    </x:row>
    <x:row r="1065" ht="23" customHeight="1">
      <x:c r="A1065" s="3" t="str">
        <x:v>CT-1058</x:v>
      </x:c>
      <x:c r="B1065" s="3" t="str">
        <x:v>ST-010</x:v>
      </x:c>
      <x:c r="C1065" s="3" t="str">
        <x:v>仅AR接收</x:v>
      </x:c>
      <x:c r="D1065" s="25" t="n">
        <x:v>2</x:v>
      </x:c>
      <x:c r="E1065" s="25" t="n">
        <x:v>0</x:v>
      </x:c>
      <x:c r="F1065" s="25" t="n">
        <x:v>0</x:v>
      </x:c>
      <x:c r="G1065" s="19" t="n">
        <x:f>SUM(D1065:F1065)</x:f>
        <x:v>2</x:v>
      </x:c>
      <x:c r="H1065" s="25" t="str">
        <x:v>-</x:v>
      </x:c>
      <x:c r="I1065" s="25" t="n">
        <x:v>1</x:v>
      </x:c>
      <x:c r="J1065" s="25" t="n">
        <x:v>1</x:v>
      </x:c>
      <x:c r="K1065" s="19" t="n">
        <x:f>D1065-IF(H1065=0,1,0)</x:f>
        <x:v>2</x:v>
      </x:c>
      <x:c r="L1065" s="19" t="n">
        <x:f>E1065-IF(H1065=1,1,0)</x:f>
        <x:v>0</x:v>
      </x:c>
      <x:c r="M1065" s="19" t="n">
        <x:f>F1065-IF(H1065=2,1,0)</x:f>
        <x:v>0</x:v>
      </x:c>
      <x:c r="N1065" s="19" t="n">
        <x:f>MAX(K1065-1,0)+MAX(L1065-1,0)+MAX(M1065-1,0)</x:f>
        <x:v>1</x:v>
      </x:c>
      <x:c r="O1065" s="19" t="n">
        <x:f>IF(AND(SUM(K1065:M1065)&lt;9,OR(M1065=0,N1065&lt;6)),1,0)</x:f>
        <x:v>1</x:v>
      </x:c>
      <x:c r="P1065" s="19" t="n">
        <x:f>IF(AND(SUM(K1065:M1065)&lt;9,OR(L1065=0,N1065&lt;6)),1,0)</x:f>
        <x:v>1</x:v>
      </x:c>
      <x:c r="Q1065" s="19" t="n">
        <x:f>IF(AND(SUM(K1065:M1065)&lt;9,OR(K1065=0,N1065&lt;6)),1,0)</x:f>
        <x:v>1</x:v>
      </x:c>
      <x:c r="R1065" s="22" t="str">
        <x:f>O1065&amp;P1065&amp;Q1065</x:f>
        <x:v>111</x:v>
      </x:c>
      <x:c r="S1065" s="19" t="n">
        <x:f>IF(I1065=1,IF(J1065=0,Q1065,IF(J1065=1,P1065,IF(J1065=2,O1065,0))),0)</x:f>
        <x:v>1</x:v>
      </x:c>
      <x:c r="T1065" s="19" t="n">
        <x:f>K1065+IF(AND(S1065=1,J1065=0),1,0)</x:f>
        <x:v>2</x:v>
      </x:c>
      <x:c r="U1065" s="19" t="n">
        <x:f>L1065+IF(AND(S1065=1,J1065=1),1,0)</x:f>
        <x:v>1</x:v>
      </x:c>
      <x:c r="V1065" s="19" t="n">
        <x:f>M1065+IF(AND(S1065=1,J1065=2),1,0)</x:f>
        <x:v>0</x:v>
      </x:c>
      <x:c r="W1065" s="19" t="n">
        <x:f>SUM(T1065:V1065)</x:f>
        <x:v>3</x:v>
      </x:c>
      <x:c r="X1065" s="19" t="n">
        <x:f>W1065-G1065</x:f>
        <x:v>1</x:v>
      </x:c>
      <x:c r="Y1065" s="19" t="n">
        <x:f>MAX(T1065,1)+MAX(U1065,1)+MAX(V1065,1)</x:f>
        <x:v>4</x:v>
      </x:c>
      <x:c r="Z1065" s="21" t="str">
        <x:f>IF(AND(MIN(D1065:F1065)&gt;=0,MAX(D1065:F1065)&lt;=7,MAX(D1065,1)+MAX(E1065,1)+MAX(F1065,1)&lt;=9,OR(H1065="-",AND(H1065=0,D1065&gt;0),AND(H1065=1,E1065&gt;0),AND(H1065=2,F1065&gt;0)),OR(I1065=0,AND(I1065=1,OR(J1065=0,J1065=1,J1065=2),R1065&lt;&gt;"000")),Y1065&lt;=9,MIN(T1065:V1065)&gt;=0),"合法","输入违约")</x:f>
        <x:v>合法</x:v>
      </x:c>
    </x:row>
    <x:row r="1066" ht="23" customHeight="1">
      <x:c r="A1066" s="3" t="str">
        <x:v>CT-1059</x:v>
      </x:c>
      <x:c r="B1066" s="3" t="str">
        <x:v>ST-010</x:v>
      </x:c>
      <x:c r="C1066" s="3" t="str">
        <x:v>仅AR接收</x:v>
      </x:c>
      <x:c r="D1066" s="25" t="n">
        <x:v>2</x:v>
      </x:c>
      <x:c r="E1066" s="25" t="n">
        <x:v>0</x:v>
      </x:c>
      <x:c r="F1066" s="25" t="n">
        <x:v>0</x:v>
      </x:c>
      <x:c r="G1066" s="19" t="n">
        <x:f>SUM(D1066:F1066)</x:f>
        <x:v>2</x:v>
      </x:c>
      <x:c r="H1066" s="25" t="str">
        <x:v>-</x:v>
      </x:c>
      <x:c r="I1066" s="25" t="n">
        <x:v>1</x:v>
      </x:c>
      <x:c r="J1066" s="25" t="n">
        <x:v>2</x:v>
      </x:c>
      <x:c r="K1066" s="19" t="n">
        <x:f>D1066-IF(H1066=0,1,0)</x:f>
        <x:v>2</x:v>
      </x:c>
      <x:c r="L1066" s="19" t="n">
        <x:f>E1066-IF(H1066=1,1,0)</x:f>
        <x:v>0</x:v>
      </x:c>
      <x:c r="M1066" s="19" t="n">
        <x:f>F1066-IF(H1066=2,1,0)</x:f>
        <x:v>0</x:v>
      </x:c>
      <x:c r="N1066" s="19" t="n">
        <x:f>MAX(K1066-1,0)+MAX(L1066-1,0)+MAX(M1066-1,0)</x:f>
        <x:v>1</x:v>
      </x:c>
      <x:c r="O1066" s="19" t="n">
        <x:f>IF(AND(SUM(K1066:M1066)&lt;9,OR(M1066=0,N1066&lt;6)),1,0)</x:f>
        <x:v>1</x:v>
      </x:c>
      <x:c r="P1066" s="19" t="n">
        <x:f>IF(AND(SUM(K1066:M1066)&lt;9,OR(L1066=0,N1066&lt;6)),1,0)</x:f>
        <x:v>1</x:v>
      </x:c>
      <x:c r="Q1066" s="19" t="n">
        <x:f>IF(AND(SUM(K1066:M1066)&lt;9,OR(K1066=0,N1066&lt;6)),1,0)</x:f>
        <x:v>1</x:v>
      </x:c>
      <x:c r="R1066" s="22" t="str">
        <x:f>O1066&amp;P1066&amp;Q1066</x:f>
        <x:v>111</x:v>
      </x:c>
      <x:c r="S1066" s="19" t="n">
        <x:f>IF(I1066=1,IF(J1066=0,Q1066,IF(J1066=1,P1066,IF(J1066=2,O1066,0))),0)</x:f>
        <x:v>1</x:v>
      </x:c>
      <x:c r="T1066" s="19" t="n">
        <x:f>K1066+IF(AND(S1066=1,J1066=0),1,0)</x:f>
        <x:v>2</x:v>
      </x:c>
      <x:c r="U1066" s="19" t="n">
        <x:f>L1066+IF(AND(S1066=1,J1066=1),1,0)</x:f>
        <x:v>0</x:v>
      </x:c>
      <x:c r="V1066" s="19" t="n">
        <x:f>M1066+IF(AND(S1066=1,J1066=2),1,0)</x:f>
        <x:v>1</x:v>
      </x:c>
      <x:c r="W1066" s="19" t="n">
        <x:f>SUM(T1066:V1066)</x:f>
        <x:v>3</x:v>
      </x:c>
      <x:c r="X1066" s="19" t="n">
        <x:f>W1066-G1066</x:f>
        <x:v>1</x:v>
      </x:c>
      <x:c r="Y1066" s="19" t="n">
        <x:f>MAX(T1066,1)+MAX(U1066,1)+MAX(V1066,1)</x:f>
        <x:v>4</x:v>
      </x:c>
      <x:c r="Z1066" s="21" t="str">
        <x:f>IF(AND(MIN(D1066:F1066)&gt;=0,MAX(D1066:F1066)&lt;=7,MAX(D1066,1)+MAX(E1066,1)+MAX(F1066,1)&lt;=9,OR(H1066="-",AND(H1066=0,D1066&gt;0),AND(H1066=1,E1066&gt;0),AND(H1066=2,F1066&gt;0)),OR(I1066=0,AND(I1066=1,OR(J1066=0,J1066=1,J1066=2),R1066&lt;&gt;"000")),Y1066&lt;=9,MIN(T1066:V1066)&gt;=0),"合法","输入违约")</x:f>
        <x:v>合法</x:v>
      </x:c>
    </x:row>
    <x:row r="1067" ht="23" customHeight="1">
      <x:c r="A1067" s="3" t="str">
        <x:v>CT-1060</x:v>
      </x:c>
      <x:c r="B1067" s="3" t="str">
        <x:v>ST-010</x:v>
      </x:c>
      <x:c r="C1067" s="3" t="str">
        <x:v>仅R回收</x:v>
      </x:c>
      <x:c r="D1067" s="25" t="n">
        <x:v>2</x:v>
      </x:c>
      <x:c r="E1067" s="25" t="n">
        <x:v>0</x:v>
      </x:c>
      <x:c r="F1067" s="25" t="n">
        <x:v>0</x:v>
      </x:c>
      <x:c r="G1067" s="19" t="n">
        <x:f>SUM(D1067:F1067)</x:f>
        <x:v>2</x:v>
      </x:c>
      <x:c r="H1067" s="25" t="n">
        <x:v>0</x:v>
      </x:c>
      <x:c r="I1067" s="25" t="n">
        <x:v>0</x:v>
      </x:c>
      <x:c r="J1067" s="25" t="str">
        <x:v>-</x:v>
      </x:c>
      <x:c r="K1067" s="19" t="n">
        <x:f>D1067-IF(H1067=0,1,0)</x:f>
        <x:v>1</x:v>
      </x:c>
      <x:c r="L1067" s="19" t="n">
        <x:f>E1067-IF(H1067=1,1,0)</x:f>
        <x:v>0</x:v>
      </x:c>
      <x:c r="M1067" s="19" t="n">
        <x:f>F1067-IF(H1067=2,1,0)</x:f>
        <x:v>0</x:v>
      </x:c>
      <x:c r="N1067" s="19" t="n">
        <x:f>MAX(K1067-1,0)+MAX(L1067-1,0)+MAX(M1067-1,0)</x:f>
        <x:v>0</x:v>
      </x:c>
      <x:c r="O1067" s="19" t="n">
        <x:f>IF(AND(SUM(K1067:M1067)&lt;9,OR(M1067=0,N1067&lt;6)),1,0)</x:f>
        <x:v>1</x:v>
      </x:c>
      <x:c r="P1067" s="19" t="n">
        <x:f>IF(AND(SUM(K1067:M1067)&lt;9,OR(L1067=0,N1067&lt;6)),1,0)</x:f>
        <x:v>1</x:v>
      </x:c>
      <x:c r="Q1067" s="19" t="n">
        <x:f>IF(AND(SUM(K1067:M1067)&lt;9,OR(K1067=0,N1067&lt;6)),1,0)</x:f>
        <x:v>1</x:v>
      </x:c>
      <x:c r="R1067" s="22" t="str">
        <x:f>O1067&amp;P1067&amp;Q1067</x:f>
        <x:v>111</x:v>
      </x:c>
      <x:c r="S1067" s="19" t="n">
        <x:f>IF(I1067=1,IF(J1067=0,Q1067,IF(J1067=1,P1067,IF(J1067=2,O1067,0))),0)</x:f>
        <x:v>0</x:v>
      </x:c>
      <x:c r="T1067" s="19" t="n">
        <x:f>K1067+IF(AND(S1067=1,J1067=0),1,0)</x:f>
        <x:v>1</x:v>
      </x:c>
      <x:c r="U1067" s="19" t="n">
        <x:f>L1067+IF(AND(S1067=1,J1067=1),1,0)</x:f>
        <x:v>0</x:v>
      </x:c>
      <x:c r="V1067" s="19" t="n">
        <x:f>M1067+IF(AND(S1067=1,J1067=2),1,0)</x:f>
        <x:v>0</x:v>
      </x:c>
      <x:c r="W1067" s="19" t="n">
        <x:f>SUM(T1067:V1067)</x:f>
        <x:v>1</x:v>
      </x:c>
      <x:c r="X1067" s="19" t="n">
        <x:f>W1067-G1067</x:f>
        <x:v>-1</x:v>
      </x:c>
      <x:c r="Y1067" s="19" t="n">
        <x:f>MAX(T1067,1)+MAX(U1067,1)+MAX(V1067,1)</x:f>
        <x:v>3</x:v>
      </x:c>
      <x:c r="Z1067" s="21" t="str">
        <x:f>IF(AND(MIN(D1067:F1067)&gt;=0,MAX(D1067:F1067)&lt;=7,MAX(D1067,1)+MAX(E1067,1)+MAX(F1067,1)&lt;=9,OR(H1067="-",AND(H1067=0,D1067&gt;0),AND(H1067=1,E1067&gt;0),AND(H1067=2,F1067&gt;0)),OR(I1067=0,AND(I1067=1,OR(J1067=0,J1067=1,J1067=2),R1067&lt;&gt;"000")),Y1067&lt;=9,MIN(T1067:V1067)&gt;=0),"合法","输入违约")</x:f>
        <x:v>合法</x:v>
      </x:c>
    </x:row>
    <x:row r="1068" ht="23" customHeight="1">
      <x:c r="A1068" s="3" t="str">
        <x:v>CT-1061</x:v>
      </x:c>
      <x:c r="B1068" s="3" t="str">
        <x:v>ST-010</x:v>
      </x:c>
      <x:c r="C1068" s="3" t="str">
        <x:v>R+AR同收同发</x:v>
      </x:c>
      <x:c r="D1068" s="25" t="n">
        <x:v>2</x:v>
      </x:c>
      <x:c r="E1068" s="25" t="n">
        <x:v>0</x:v>
      </x:c>
      <x:c r="F1068" s="25" t="n">
        <x:v>0</x:v>
      </x:c>
      <x:c r="G1068" s="19" t="n">
        <x:f>SUM(D1068:F1068)</x:f>
        <x:v>2</x:v>
      </x:c>
      <x:c r="H1068" s="25" t="n">
        <x:v>0</x:v>
      </x:c>
      <x:c r="I1068" s="25" t="n">
        <x:v>1</x:v>
      </x:c>
      <x:c r="J1068" s="25" t="n">
        <x:v>0</x:v>
      </x:c>
      <x:c r="K1068" s="19" t="n">
        <x:f>D1068-IF(H1068=0,1,0)</x:f>
        <x:v>1</x:v>
      </x:c>
      <x:c r="L1068" s="19" t="n">
        <x:f>E1068-IF(H1068=1,1,0)</x:f>
        <x:v>0</x:v>
      </x:c>
      <x:c r="M1068" s="19" t="n">
        <x:f>F1068-IF(H1068=2,1,0)</x:f>
        <x:v>0</x:v>
      </x:c>
      <x:c r="N1068" s="19" t="n">
        <x:f>MAX(K1068-1,0)+MAX(L1068-1,0)+MAX(M1068-1,0)</x:f>
        <x:v>0</x:v>
      </x:c>
      <x:c r="O1068" s="19" t="n">
        <x:f>IF(AND(SUM(K1068:M1068)&lt;9,OR(M1068=0,N1068&lt;6)),1,0)</x:f>
        <x:v>1</x:v>
      </x:c>
      <x:c r="P1068" s="19" t="n">
        <x:f>IF(AND(SUM(K1068:M1068)&lt;9,OR(L1068=0,N1068&lt;6)),1,0)</x:f>
        <x:v>1</x:v>
      </x:c>
      <x:c r="Q1068" s="19" t="n">
        <x:f>IF(AND(SUM(K1068:M1068)&lt;9,OR(K1068=0,N1068&lt;6)),1,0)</x:f>
        <x:v>1</x:v>
      </x:c>
      <x:c r="R1068" s="22" t="str">
        <x:f>O1068&amp;P1068&amp;Q1068</x:f>
        <x:v>111</x:v>
      </x:c>
      <x:c r="S1068" s="19" t="n">
        <x:f>IF(I1068=1,IF(J1068=0,Q1068,IF(J1068=1,P1068,IF(J1068=2,O1068,0))),0)</x:f>
        <x:v>1</x:v>
      </x:c>
      <x:c r="T1068" s="19" t="n">
        <x:f>K1068+IF(AND(S1068=1,J1068=0),1,0)</x:f>
        <x:v>2</x:v>
      </x:c>
      <x:c r="U1068" s="19" t="n">
        <x:f>L1068+IF(AND(S1068=1,J1068=1),1,0)</x:f>
        <x:v>0</x:v>
      </x:c>
      <x:c r="V1068" s="19" t="n">
        <x:f>M1068+IF(AND(S1068=1,J1068=2),1,0)</x:f>
        <x:v>0</x:v>
      </x:c>
      <x:c r="W1068" s="19" t="n">
        <x:f>SUM(T1068:V1068)</x:f>
        <x:v>2</x:v>
      </x:c>
      <x:c r="X1068" s="19" t="n">
        <x:f>W1068-G1068</x:f>
        <x:v>0</x:v>
      </x:c>
      <x:c r="Y1068" s="19" t="n">
        <x:f>MAX(T1068,1)+MAX(U1068,1)+MAX(V1068,1)</x:f>
        <x:v>4</x:v>
      </x:c>
      <x:c r="Z1068" s="21" t="str">
        <x:f>IF(AND(MIN(D1068:F1068)&gt;=0,MAX(D1068:F1068)&lt;=7,MAX(D1068,1)+MAX(E1068,1)+MAX(F1068,1)&lt;=9,OR(H1068="-",AND(H1068=0,D1068&gt;0),AND(H1068=1,E1068&gt;0),AND(H1068=2,F1068&gt;0)),OR(I1068=0,AND(I1068=1,OR(J1068=0,J1068=1,J1068=2),R1068&lt;&gt;"000")),Y1068&lt;=9,MIN(T1068:V1068)&gt;=0),"合法","输入违约")</x:f>
        <x:v>合法</x:v>
      </x:c>
    </x:row>
    <x:row r="1069" ht="23" customHeight="1">
      <x:c r="A1069" s="3" t="str">
        <x:v>CT-1062</x:v>
      </x:c>
      <x:c r="B1069" s="3" t="str">
        <x:v>ST-010</x:v>
      </x:c>
      <x:c r="C1069" s="3" t="str">
        <x:v>R+AR同收同发</x:v>
      </x:c>
      <x:c r="D1069" s="25" t="n">
        <x:v>2</x:v>
      </x:c>
      <x:c r="E1069" s="25" t="n">
        <x:v>0</x:v>
      </x:c>
      <x:c r="F1069" s="25" t="n">
        <x:v>0</x:v>
      </x:c>
      <x:c r="G1069" s="19" t="n">
        <x:f>SUM(D1069:F1069)</x:f>
        <x:v>2</x:v>
      </x:c>
      <x:c r="H1069" s="25" t="n">
        <x:v>0</x:v>
      </x:c>
      <x:c r="I1069" s="25" t="n">
        <x:v>1</x:v>
      </x:c>
      <x:c r="J1069" s="25" t="n">
        <x:v>1</x:v>
      </x:c>
      <x:c r="K1069" s="19" t="n">
        <x:f>D1069-IF(H1069=0,1,0)</x:f>
        <x:v>1</x:v>
      </x:c>
      <x:c r="L1069" s="19" t="n">
        <x:f>E1069-IF(H1069=1,1,0)</x:f>
        <x:v>0</x:v>
      </x:c>
      <x:c r="M1069" s="19" t="n">
        <x:f>F1069-IF(H1069=2,1,0)</x:f>
        <x:v>0</x:v>
      </x:c>
      <x:c r="N1069" s="19" t="n">
        <x:f>MAX(K1069-1,0)+MAX(L1069-1,0)+MAX(M1069-1,0)</x:f>
        <x:v>0</x:v>
      </x:c>
      <x:c r="O1069" s="19" t="n">
        <x:f>IF(AND(SUM(K1069:M1069)&lt;9,OR(M1069=0,N1069&lt;6)),1,0)</x:f>
        <x:v>1</x:v>
      </x:c>
      <x:c r="P1069" s="19" t="n">
        <x:f>IF(AND(SUM(K1069:M1069)&lt;9,OR(L1069=0,N1069&lt;6)),1,0)</x:f>
        <x:v>1</x:v>
      </x:c>
      <x:c r="Q1069" s="19" t="n">
        <x:f>IF(AND(SUM(K1069:M1069)&lt;9,OR(K1069=0,N1069&lt;6)),1,0)</x:f>
        <x:v>1</x:v>
      </x:c>
      <x:c r="R1069" s="22" t="str">
        <x:f>O1069&amp;P1069&amp;Q1069</x:f>
        <x:v>111</x:v>
      </x:c>
      <x:c r="S1069" s="19" t="n">
        <x:f>IF(I1069=1,IF(J1069=0,Q1069,IF(J1069=1,P1069,IF(J1069=2,O1069,0))),0)</x:f>
        <x:v>1</x:v>
      </x:c>
      <x:c r="T1069" s="19" t="n">
        <x:f>K1069+IF(AND(S1069=1,J1069=0),1,0)</x:f>
        <x:v>1</x:v>
      </x:c>
      <x:c r="U1069" s="19" t="n">
        <x:f>L1069+IF(AND(S1069=1,J1069=1),1,0)</x:f>
        <x:v>1</x:v>
      </x:c>
      <x:c r="V1069" s="19" t="n">
        <x:f>M1069+IF(AND(S1069=1,J1069=2),1,0)</x:f>
        <x:v>0</x:v>
      </x:c>
      <x:c r="W1069" s="19" t="n">
        <x:f>SUM(T1069:V1069)</x:f>
        <x:v>2</x:v>
      </x:c>
      <x:c r="X1069" s="19" t="n">
        <x:f>W1069-G1069</x:f>
        <x:v>0</x:v>
      </x:c>
      <x:c r="Y1069" s="19" t="n">
        <x:f>MAX(T1069,1)+MAX(U1069,1)+MAX(V1069,1)</x:f>
        <x:v>3</x:v>
      </x:c>
      <x:c r="Z1069" s="21" t="str">
        <x:f>IF(AND(MIN(D1069:F1069)&gt;=0,MAX(D1069:F1069)&lt;=7,MAX(D1069,1)+MAX(E1069,1)+MAX(F1069,1)&lt;=9,OR(H1069="-",AND(H1069=0,D1069&gt;0),AND(H1069=1,E1069&gt;0),AND(H1069=2,F1069&gt;0)),OR(I1069=0,AND(I1069=1,OR(J1069=0,J1069=1,J1069=2),R1069&lt;&gt;"000")),Y1069&lt;=9,MIN(T1069:V1069)&gt;=0),"合法","输入违约")</x:f>
        <x:v>合法</x:v>
      </x:c>
    </x:row>
    <x:row r="1070" ht="23" customHeight="1">
      <x:c r="A1070" s="3" t="str">
        <x:v>CT-1063</x:v>
      </x:c>
      <x:c r="B1070" s="3" t="str">
        <x:v>ST-010</x:v>
      </x:c>
      <x:c r="C1070" s="3" t="str">
        <x:v>R+AR同收同发</x:v>
      </x:c>
      <x:c r="D1070" s="25" t="n">
        <x:v>2</x:v>
      </x:c>
      <x:c r="E1070" s="25" t="n">
        <x:v>0</x:v>
      </x:c>
      <x:c r="F1070" s="25" t="n">
        <x:v>0</x:v>
      </x:c>
      <x:c r="G1070" s="19" t="n">
        <x:f>SUM(D1070:F1070)</x:f>
        <x:v>2</x:v>
      </x:c>
      <x:c r="H1070" s="25" t="n">
        <x:v>0</x:v>
      </x:c>
      <x:c r="I1070" s="25" t="n">
        <x:v>1</x:v>
      </x:c>
      <x:c r="J1070" s="25" t="n">
        <x:v>2</x:v>
      </x:c>
      <x:c r="K1070" s="19" t="n">
        <x:f>D1070-IF(H1070=0,1,0)</x:f>
        <x:v>1</x:v>
      </x:c>
      <x:c r="L1070" s="19" t="n">
        <x:f>E1070-IF(H1070=1,1,0)</x:f>
        <x:v>0</x:v>
      </x:c>
      <x:c r="M1070" s="19" t="n">
        <x:f>F1070-IF(H1070=2,1,0)</x:f>
        <x:v>0</x:v>
      </x:c>
      <x:c r="N1070" s="19" t="n">
        <x:f>MAX(K1070-1,0)+MAX(L1070-1,0)+MAX(M1070-1,0)</x:f>
        <x:v>0</x:v>
      </x:c>
      <x:c r="O1070" s="19" t="n">
        <x:f>IF(AND(SUM(K1070:M1070)&lt;9,OR(M1070=0,N1070&lt;6)),1,0)</x:f>
        <x:v>1</x:v>
      </x:c>
      <x:c r="P1070" s="19" t="n">
        <x:f>IF(AND(SUM(K1070:M1070)&lt;9,OR(L1070=0,N1070&lt;6)),1,0)</x:f>
        <x:v>1</x:v>
      </x:c>
      <x:c r="Q1070" s="19" t="n">
        <x:f>IF(AND(SUM(K1070:M1070)&lt;9,OR(K1070=0,N1070&lt;6)),1,0)</x:f>
        <x:v>1</x:v>
      </x:c>
      <x:c r="R1070" s="22" t="str">
        <x:f>O1070&amp;P1070&amp;Q1070</x:f>
        <x:v>111</x:v>
      </x:c>
      <x:c r="S1070" s="19" t="n">
        <x:f>IF(I1070=1,IF(J1070=0,Q1070,IF(J1070=1,P1070,IF(J1070=2,O1070,0))),0)</x:f>
        <x:v>1</x:v>
      </x:c>
      <x:c r="T1070" s="19" t="n">
        <x:f>K1070+IF(AND(S1070=1,J1070=0),1,0)</x:f>
        <x:v>1</x:v>
      </x:c>
      <x:c r="U1070" s="19" t="n">
        <x:f>L1070+IF(AND(S1070=1,J1070=1),1,0)</x:f>
        <x:v>0</x:v>
      </x:c>
      <x:c r="V1070" s="19" t="n">
        <x:f>M1070+IF(AND(S1070=1,J1070=2),1,0)</x:f>
        <x:v>1</x:v>
      </x:c>
      <x:c r="W1070" s="19" t="n">
        <x:f>SUM(T1070:V1070)</x:f>
        <x:v>2</x:v>
      </x:c>
      <x:c r="X1070" s="19" t="n">
        <x:f>W1070-G1070</x:f>
        <x:v>0</x:v>
      </x:c>
      <x:c r="Y1070" s="19" t="n">
        <x:f>MAX(T1070,1)+MAX(U1070,1)+MAX(V1070,1)</x:f>
        <x:v>3</x:v>
      </x:c>
      <x:c r="Z1070" s="21" t="str">
        <x:f>IF(AND(MIN(D1070:F1070)&gt;=0,MAX(D1070:F1070)&lt;=7,MAX(D1070,1)+MAX(E1070,1)+MAX(F1070,1)&lt;=9,OR(H1070="-",AND(H1070=0,D1070&gt;0),AND(H1070=1,E1070&gt;0),AND(H1070=2,F1070&gt;0)),OR(I1070=0,AND(I1070=1,OR(J1070=0,J1070=1,J1070=2),R1070&lt;&gt;"000")),Y1070&lt;=9,MIN(T1070:V1070)&gt;=0),"合法","输入违约")</x:f>
        <x:v>合法</x:v>
      </x:c>
    </x:row>
    <x:row r="1071" ht="23" customHeight="1">
      <x:c r="A1071" s="3" t="str">
        <x:v>CT-1064</x:v>
      </x:c>
      <x:c r="B1071" s="3" t="str">
        <x:v>ST-018</x:v>
      </x:c>
      <x:c r="C1071" s="3" t="str">
        <x:v>无AR/R</x:v>
      </x:c>
      <x:c r="D1071" s="25" t="n">
        <x:v>2</x:v>
      </x:c>
      <x:c r="E1071" s="25" t="n">
        <x:v>0</x:v>
      </x:c>
      <x:c r="F1071" s="25" t="n">
        <x:v>1</x:v>
      </x:c>
      <x:c r="G1071" s="19" t="n">
        <x:f>SUM(D1071:F1071)</x:f>
        <x:v>3</x:v>
      </x:c>
      <x:c r="H1071" s="25" t="str">
        <x:v>-</x:v>
      </x:c>
      <x:c r="I1071" s="25" t="n">
        <x:v>0</x:v>
      </x:c>
      <x:c r="J1071" s="25" t="str">
        <x:v>-</x:v>
      </x:c>
      <x:c r="K1071" s="19" t="n">
        <x:f>D1071-IF(H1071=0,1,0)</x:f>
        <x:v>2</x:v>
      </x:c>
      <x:c r="L1071" s="19" t="n">
        <x:f>E1071-IF(H1071=1,1,0)</x:f>
        <x:v>0</x:v>
      </x:c>
      <x:c r="M1071" s="19" t="n">
        <x:f>F1071-IF(H1071=2,1,0)</x:f>
        <x:v>1</x:v>
      </x:c>
      <x:c r="N1071" s="19" t="n">
        <x:f>MAX(K1071-1,0)+MAX(L1071-1,0)+MAX(M1071-1,0)</x:f>
        <x:v>1</x:v>
      </x:c>
      <x:c r="O1071" s="19" t="n">
        <x:f>IF(AND(SUM(K1071:M1071)&lt;9,OR(M1071=0,N1071&lt;6)),1,0)</x:f>
        <x:v>1</x:v>
      </x:c>
      <x:c r="P1071" s="19" t="n">
        <x:f>IF(AND(SUM(K1071:M1071)&lt;9,OR(L1071=0,N1071&lt;6)),1,0)</x:f>
        <x:v>1</x:v>
      </x:c>
      <x:c r="Q1071" s="19" t="n">
        <x:f>IF(AND(SUM(K1071:M1071)&lt;9,OR(K1071=0,N1071&lt;6)),1,0)</x:f>
        <x:v>1</x:v>
      </x:c>
      <x:c r="R1071" s="22" t="str">
        <x:f>O1071&amp;P1071&amp;Q1071</x:f>
        <x:v>111</x:v>
      </x:c>
      <x:c r="S1071" s="19" t="n">
        <x:f>IF(I1071=1,IF(J1071=0,Q1071,IF(J1071=1,P1071,IF(J1071=2,O1071,0))),0)</x:f>
        <x:v>0</x:v>
      </x:c>
      <x:c r="T1071" s="19" t="n">
        <x:f>K1071+IF(AND(S1071=1,J1071=0),1,0)</x:f>
        <x:v>2</x:v>
      </x:c>
      <x:c r="U1071" s="19" t="n">
        <x:f>L1071+IF(AND(S1071=1,J1071=1),1,0)</x:f>
        <x:v>0</x:v>
      </x:c>
      <x:c r="V1071" s="19" t="n">
        <x:f>M1071+IF(AND(S1071=1,J1071=2),1,0)</x:f>
        <x:v>1</x:v>
      </x:c>
      <x:c r="W1071" s="19" t="n">
        <x:f>SUM(T1071:V1071)</x:f>
        <x:v>3</x:v>
      </x:c>
      <x:c r="X1071" s="19" t="n">
        <x:f>W1071-G1071</x:f>
        <x:v>0</x:v>
      </x:c>
      <x:c r="Y1071" s="19" t="n">
        <x:f>MAX(T1071,1)+MAX(U1071,1)+MAX(V1071,1)</x:f>
        <x:v>4</x:v>
      </x:c>
      <x:c r="Z1071" s="21" t="str">
        <x:f>IF(AND(MIN(D1071:F1071)&gt;=0,MAX(D1071:F1071)&lt;=7,MAX(D1071,1)+MAX(E1071,1)+MAX(F1071,1)&lt;=9,OR(H1071="-",AND(H1071=0,D1071&gt;0),AND(H1071=1,E1071&gt;0),AND(H1071=2,F1071&gt;0)),OR(I1071=0,AND(I1071=1,OR(J1071=0,J1071=1,J1071=2),R1071&lt;&gt;"000")),Y1071&lt;=9,MIN(T1071:V1071)&gt;=0),"合法","输入违约")</x:f>
        <x:v>合法</x:v>
      </x:c>
    </x:row>
    <x:row r="1072" ht="23" customHeight="1">
      <x:c r="A1072" s="3" t="str">
        <x:v>CT-1065</x:v>
      </x:c>
      <x:c r="B1072" s="3" t="str">
        <x:v>ST-018</x:v>
      </x:c>
      <x:c r="C1072" s="3" t="str">
        <x:v>仅AR接收</x:v>
      </x:c>
      <x:c r="D1072" s="25" t="n">
        <x:v>2</x:v>
      </x:c>
      <x:c r="E1072" s="25" t="n">
        <x:v>0</x:v>
      </x:c>
      <x:c r="F1072" s="25" t="n">
        <x:v>1</x:v>
      </x:c>
      <x:c r="G1072" s="19" t="n">
        <x:f>SUM(D1072:F1072)</x:f>
        <x:v>3</x:v>
      </x:c>
      <x:c r="H1072" s="25" t="str">
        <x:v>-</x:v>
      </x:c>
      <x:c r="I1072" s="25" t="n">
        <x:v>1</x:v>
      </x:c>
      <x:c r="J1072" s="25" t="n">
        <x:v>0</x:v>
      </x:c>
      <x:c r="K1072" s="19" t="n">
        <x:f>D1072-IF(H1072=0,1,0)</x:f>
        <x:v>2</x:v>
      </x:c>
      <x:c r="L1072" s="19" t="n">
        <x:f>E1072-IF(H1072=1,1,0)</x:f>
        <x:v>0</x:v>
      </x:c>
      <x:c r="M1072" s="19" t="n">
        <x:f>F1072-IF(H1072=2,1,0)</x:f>
        <x:v>1</x:v>
      </x:c>
      <x:c r="N1072" s="19" t="n">
        <x:f>MAX(K1072-1,0)+MAX(L1072-1,0)+MAX(M1072-1,0)</x:f>
        <x:v>1</x:v>
      </x:c>
      <x:c r="O1072" s="19" t="n">
        <x:f>IF(AND(SUM(K1072:M1072)&lt;9,OR(M1072=0,N1072&lt;6)),1,0)</x:f>
        <x:v>1</x:v>
      </x:c>
      <x:c r="P1072" s="19" t="n">
        <x:f>IF(AND(SUM(K1072:M1072)&lt;9,OR(L1072=0,N1072&lt;6)),1,0)</x:f>
        <x:v>1</x:v>
      </x:c>
      <x:c r="Q1072" s="19" t="n">
        <x:f>IF(AND(SUM(K1072:M1072)&lt;9,OR(K1072=0,N1072&lt;6)),1,0)</x:f>
        <x:v>1</x:v>
      </x:c>
      <x:c r="R1072" s="22" t="str">
        <x:f>O1072&amp;P1072&amp;Q1072</x:f>
        <x:v>111</x:v>
      </x:c>
      <x:c r="S1072" s="19" t="n">
        <x:f>IF(I1072=1,IF(J1072=0,Q1072,IF(J1072=1,P1072,IF(J1072=2,O1072,0))),0)</x:f>
        <x:v>1</x:v>
      </x:c>
      <x:c r="T1072" s="19" t="n">
        <x:f>K1072+IF(AND(S1072=1,J1072=0),1,0)</x:f>
        <x:v>3</x:v>
      </x:c>
      <x:c r="U1072" s="19" t="n">
        <x:f>L1072+IF(AND(S1072=1,J1072=1),1,0)</x:f>
        <x:v>0</x:v>
      </x:c>
      <x:c r="V1072" s="19" t="n">
        <x:f>M1072+IF(AND(S1072=1,J1072=2),1,0)</x:f>
        <x:v>1</x:v>
      </x:c>
      <x:c r="W1072" s="19" t="n">
        <x:f>SUM(T1072:V1072)</x:f>
        <x:v>4</x:v>
      </x:c>
      <x:c r="X1072" s="19" t="n">
        <x:f>W1072-G1072</x:f>
        <x:v>1</x:v>
      </x:c>
      <x:c r="Y1072" s="19" t="n">
        <x:f>MAX(T1072,1)+MAX(U1072,1)+MAX(V1072,1)</x:f>
        <x:v>5</x:v>
      </x:c>
      <x:c r="Z1072" s="21" t="str">
        <x:f>IF(AND(MIN(D1072:F1072)&gt;=0,MAX(D1072:F1072)&lt;=7,MAX(D1072,1)+MAX(E1072,1)+MAX(F1072,1)&lt;=9,OR(H1072="-",AND(H1072=0,D1072&gt;0),AND(H1072=1,E1072&gt;0),AND(H1072=2,F1072&gt;0)),OR(I1072=0,AND(I1072=1,OR(J1072=0,J1072=1,J1072=2),R1072&lt;&gt;"000")),Y1072&lt;=9,MIN(T1072:V1072)&gt;=0),"合法","输入违约")</x:f>
        <x:v>合法</x:v>
      </x:c>
    </x:row>
    <x:row r="1073" ht="23" customHeight="1">
      <x:c r="A1073" s="3" t="str">
        <x:v>CT-1066</x:v>
      </x:c>
      <x:c r="B1073" s="3" t="str">
        <x:v>ST-018</x:v>
      </x:c>
      <x:c r="C1073" s="3" t="str">
        <x:v>仅AR接收</x:v>
      </x:c>
      <x:c r="D1073" s="25" t="n">
        <x:v>2</x:v>
      </x:c>
      <x:c r="E1073" s="25" t="n">
        <x:v>0</x:v>
      </x:c>
      <x:c r="F1073" s="25" t="n">
        <x:v>1</x:v>
      </x:c>
      <x:c r="G1073" s="19" t="n">
        <x:f>SUM(D1073:F1073)</x:f>
        <x:v>3</x:v>
      </x:c>
      <x:c r="H1073" s="25" t="str">
        <x:v>-</x:v>
      </x:c>
      <x:c r="I1073" s="25" t="n">
        <x:v>1</x:v>
      </x:c>
      <x:c r="J1073" s="25" t="n">
        <x:v>1</x:v>
      </x:c>
      <x:c r="K1073" s="19" t="n">
        <x:f>D1073-IF(H1073=0,1,0)</x:f>
        <x:v>2</x:v>
      </x:c>
      <x:c r="L1073" s="19" t="n">
        <x:f>E1073-IF(H1073=1,1,0)</x:f>
        <x:v>0</x:v>
      </x:c>
      <x:c r="M1073" s="19" t="n">
        <x:f>F1073-IF(H1073=2,1,0)</x:f>
        <x:v>1</x:v>
      </x:c>
      <x:c r="N1073" s="19" t="n">
        <x:f>MAX(K1073-1,0)+MAX(L1073-1,0)+MAX(M1073-1,0)</x:f>
        <x:v>1</x:v>
      </x:c>
      <x:c r="O1073" s="19" t="n">
        <x:f>IF(AND(SUM(K1073:M1073)&lt;9,OR(M1073=0,N1073&lt;6)),1,0)</x:f>
        <x:v>1</x:v>
      </x:c>
      <x:c r="P1073" s="19" t="n">
        <x:f>IF(AND(SUM(K1073:M1073)&lt;9,OR(L1073=0,N1073&lt;6)),1,0)</x:f>
        <x:v>1</x:v>
      </x:c>
      <x:c r="Q1073" s="19" t="n">
        <x:f>IF(AND(SUM(K1073:M1073)&lt;9,OR(K1073=0,N1073&lt;6)),1,0)</x:f>
        <x:v>1</x:v>
      </x:c>
      <x:c r="R1073" s="22" t="str">
        <x:f>O1073&amp;P1073&amp;Q1073</x:f>
        <x:v>111</x:v>
      </x:c>
      <x:c r="S1073" s="19" t="n">
        <x:f>IF(I1073=1,IF(J1073=0,Q1073,IF(J1073=1,P1073,IF(J1073=2,O1073,0))),0)</x:f>
        <x:v>1</x:v>
      </x:c>
      <x:c r="T1073" s="19" t="n">
        <x:f>K1073+IF(AND(S1073=1,J1073=0),1,0)</x:f>
        <x:v>2</x:v>
      </x:c>
      <x:c r="U1073" s="19" t="n">
        <x:f>L1073+IF(AND(S1073=1,J1073=1),1,0)</x:f>
        <x:v>1</x:v>
      </x:c>
      <x:c r="V1073" s="19" t="n">
        <x:f>M1073+IF(AND(S1073=1,J1073=2),1,0)</x:f>
        <x:v>1</x:v>
      </x:c>
      <x:c r="W1073" s="19" t="n">
        <x:f>SUM(T1073:V1073)</x:f>
        <x:v>4</x:v>
      </x:c>
      <x:c r="X1073" s="19" t="n">
        <x:f>W1073-G1073</x:f>
        <x:v>1</x:v>
      </x:c>
      <x:c r="Y1073" s="19" t="n">
        <x:f>MAX(T1073,1)+MAX(U1073,1)+MAX(V1073,1)</x:f>
        <x:v>4</x:v>
      </x:c>
      <x:c r="Z1073" s="21" t="str">
        <x:f>IF(AND(MIN(D1073:F1073)&gt;=0,MAX(D1073:F1073)&lt;=7,MAX(D1073,1)+MAX(E1073,1)+MAX(F1073,1)&lt;=9,OR(H1073="-",AND(H1073=0,D1073&gt;0),AND(H1073=1,E1073&gt;0),AND(H1073=2,F1073&gt;0)),OR(I1073=0,AND(I1073=1,OR(J1073=0,J1073=1,J1073=2),R1073&lt;&gt;"000")),Y1073&lt;=9,MIN(T1073:V1073)&gt;=0),"合法","输入违约")</x:f>
        <x:v>合法</x:v>
      </x:c>
    </x:row>
    <x:row r="1074" ht="23" customHeight="1">
      <x:c r="A1074" s="3" t="str">
        <x:v>CT-1067</x:v>
      </x:c>
      <x:c r="B1074" s="3" t="str">
        <x:v>ST-018</x:v>
      </x:c>
      <x:c r="C1074" s="3" t="str">
        <x:v>仅AR接收</x:v>
      </x:c>
      <x:c r="D1074" s="25" t="n">
        <x:v>2</x:v>
      </x:c>
      <x:c r="E1074" s="25" t="n">
        <x:v>0</x:v>
      </x:c>
      <x:c r="F1074" s="25" t="n">
        <x:v>1</x:v>
      </x:c>
      <x:c r="G1074" s="19" t="n">
        <x:f>SUM(D1074:F1074)</x:f>
        <x:v>3</x:v>
      </x:c>
      <x:c r="H1074" s="25" t="str">
        <x:v>-</x:v>
      </x:c>
      <x:c r="I1074" s="25" t="n">
        <x:v>1</x:v>
      </x:c>
      <x:c r="J1074" s="25" t="n">
        <x:v>2</x:v>
      </x:c>
      <x:c r="K1074" s="19" t="n">
        <x:f>D1074-IF(H1074=0,1,0)</x:f>
        <x:v>2</x:v>
      </x:c>
      <x:c r="L1074" s="19" t="n">
        <x:f>E1074-IF(H1074=1,1,0)</x:f>
        <x:v>0</x:v>
      </x:c>
      <x:c r="M1074" s="19" t="n">
        <x:f>F1074-IF(H1074=2,1,0)</x:f>
        <x:v>1</x:v>
      </x:c>
      <x:c r="N1074" s="19" t="n">
        <x:f>MAX(K1074-1,0)+MAX(L1074-1,0)+MAX(M1074-1,0)</x:f>
        <x:v>1</x:v>
      </x:c>
      <x:c r="O1074" s="19" t="n">
        <x:f>IF(AND(SUM(K1074:M1074)&lt;9,OR(M1074=0,N1074&lt;6)),1,0)</x:f>
        <x:v>1</x:v>
      </x:c>
      <x:c r="P1074" s="19" t="n">
        <x:f>IF(AND(SUM(K1074:M1074)&lt;9,OR(L1074=0,N1074&lt;6)),1,0)</x:f>
        <x:v>1</x:v>
      </x:c>
      <x:c r="Q1074" s="19" t="n">
        <x:f>IF(AND(SUM(K1074:M1074)&lt;9,OR(K1074=0,N1074&lt;6)),1,0)</x:f>
        <x:v>1</x:v>
      </x:c>
      <x:c r="R1074" s="22" t="str">
        <x:f>O1074&amp;P1074&amp;Q1074</x:f>
        <x:v>111</x:v>
      </x:c>
      <x:c r="S1074" s="19" t="n">
        <x:f>IF(I1074=1,IF(J1074=0,Q1074,IF(J1074=1,P1074,IF(J1074=2,O1074,0))),0)</x:f>
        <x:v>1</x:v>
      </x:c>
      <x:c r="T1074" s="19" t="n">
        <x:f>K1074+IF(AND(S1074=1,J1074=0),1,0)</x:f>
        <x:v>2</x:v>
      </x:c>
      <x:c r="U1074" s="19" t="n">
        <x:f>L1074+IF(AND(S1074=1,J1074=1),1,0)</x:f>
        <x:v>0</x:v>
      </x:c>
      <x:c r="V1074" s="19" t="n">
        <x:f>M1074+IF(AND(S1074=1,J1074=2),1,0)</x:f>
        <x:v>2</x:v>
      </x:c>
      <x:c r="W1074" s="19" t="n">
        <x:f>SUM(T1074:V1074)</x:f>
        <x:v>4</x:v>
      </x:c>
      <x:c r="X1074" s="19" t="n">
        <x:f>W1074-G1074</x:f>
        <x:v>1</x:v>
      </x:c>
      <x:c r="Y1074" s="19" t="n">
        <x:f>MAX(T1074,1)+MAX(U1074,1)+MAX(V1074,1)</x:f>
        <x:v>5</x:v>
      </x:c>
      <x:c r="Z1074" s="21" t="str">
        <x:f>IF(AND(MIN(D1074:F1074)&gt;=0,MAX(D1074:F1074)&lt;=7,MAX(D1074,1)+MAX(E1074,1)+MAX(F1074,1)&lt;=9,OR(H1074="-",AND(H1074=0,D1074&gt;0),AND(H1074=1,E1074&gt;0),AND(H1074=2,F1074&gt;0)),OR(I1074=0,AND(I1074=1,OR(J1074=0,J1074=1,J1074=2),R1074&lt;&gt;"000")),Y1074&lt;=9,MIN(T1074:V1074)&gt;=0),"合法","输入违约")</x:f>
        <x:v>合法</x:v>
      </x:c>
    </x:row>
    <x:row r="1075" ht="23" customHeight="1">
      <x:c r="A1075" s="3" t="str">
        <x:v>CT-1068</x:v>
      </x:c>
      <x:c r="B1075" s="3" t="str">
        <x:v>ST-018</x:v>
      </x:c>
      <x:c r="C1075" s="3" t="str">
        <x:v>仅R回收</x:v>
      </x:c>
      <x:c r="D1075" s="25" t="n">
        <x:v>2</x:v>
      </x:c>
      <x:c r="E1075" s="25" t="n">
        <x:v>0</x:v>
      </x:c>
      <x:c r="F1075" s="25" t="n">
        <x:v>1</x:v>
      </x:c>
      <x:c r="G1075" s="19" t="n">
        <x:f>SUM(D1075:F1075)</x:f>
        <x:v>3</x:v>
      </x:c>
      <x:c r="H1075" s="25" t="n">
        <x:v>0</x:v>
      </x:c>
      <x:c r="I1075" s="25" t="n">
        <x:v>0</x:v>
      </x:c>
      <x:c r="J1075" s="25" t="str">
        <x:v>-</x:v>
      </x:c>
      <x:c r="K1075" s="19" t="n">
        <x:f>D1075-IF(H1075=0,1,0)</x:f>
        <x:v>1</x:v>
      </x:c>
      <x:c r="L1075" s="19" t="n">
        <x:f>E1075-IF(H1075=1,1,0)</x:f>
        <x:v>0</x:v>
      </x:c>
      <x:c r="M1075" s="19" t="n">
        <x:f>F1075-IF(H1075=2,1,0)</x:f>
        <x:v>1</x:v>
      </x:c>
      <x:c r="N1075" s="19" t="n">
        <x:f>MAX(K1075-1,0)+MAX(L1075-1,0)+MAX(M1075-1,0)</x:f>
        <x:v>0</x:v>
      </x:c>
      <x:c r="O1075" s="19" t="n">
        <x:f>IF(AND(SUM(K1075:M1075)&lt;9,OR(M1075=0,N1075&lt;6)),1,0)</x:f>
        <x:v>1</x:v>
      </x:c>
      <x:c r="P1075" s="19" t="n">
        <x:f>IF(AND(SUM(K1075:M1075)&lt;9,OR(L1075=0,N1075&lt;6)),1,0)</x:f>
        <x:v>1</x:v>
      </x:c>
      <x:c r="Q1075" s="19" t="n">
        <x:f>IF(AND(SUM(K1075:M1075)&lt;9,OR(K1075=0,N1075&lt;6)),1,0)</x:f>
        <x:v>1</x:v>
      </x:c>
      <x:c r="R1075" s="22" t="str">
        <x:f>O1075&amp;P1075&amp;Q1075</x:f>
        <x:v>111</x:v>
      </x:c>
      <x:c r="S1075" s="19" t="n">
        <x:f>IF(I1075=1,IF(J1075=0,Q1075,IF(J1075=1,P1075,IF(J1075=2,O1075,0))),0)</x:f>
        <x:v>0</x:v>
      </x:c>
      <x:c r="T1075" s="19" t="n">
        <x:f>K1075+IF(AND(S1075=1,J1075=0),1,0)</x:f>
        <x:v>1</x:v>
      </x:c>
      <x:c r="U1075" s="19" t="n">
        <x:f>L1075+IF(AND(S1075=1,J1075=1),1,0)</x:f>
        <x:v>0</x:v>
      </x:c>
      <x:c r="V1075" s="19" t="n">
        <x:f>M1075+IF(AND(S1075=1,J1075=2),1,0)</x:f>
        <x:v>1</x:v>
      </x:c>
      <x:c r="W1075" s="19" t="n">
        <x:f>SUM(T1075:V1075)</x:f>
        <x:v>2</x:v>
      </x:c>
      <x:c r="X1075" s="19" t="n">
        <x:f>W1075-G1075</x:f>
        <x:v>-1</x:v>
      </x:c>
      <x:c r="Y1075" s="19" t="n">
        <x:f>MAX(T1075,1)+MAX(U1075,1)+MAX(V1075,1)</x:f>
        <x:v>3</x:v>
      </x:c>
      <x:c r="Z1075" s="21" t="str">
        <x:f>IF(AND(MIN(D1075:F1075)&gt;=0,MAX(D1075:F1075)&lt;=7,MAX(D1075,1)+MAX(E1075,1)+MAX(F1075,1)&lt;=9,OR(H1075="-",AND(H1075=0,D1075&gt;0),AND(H1075=1,E1075&gt;0),AND(H1075=2,F1075&gt;0)),OR(I1075=0,AND(I1075=1,OR(J1075=0,J1075=1,J1075=2),R1075&lt;&gt;"000")),Y1075&lt;=9,MIN(T1075:V1075)&gt;=0),"合法","输入违约")</x:f>
        <x:v>合法</x:v>
      </x:c>
    </x:row>
    <x:row r="1076" ht="23" customHeight="1">
      <x:c r="A1076" s="3" t="str">
        <x:v>CT-1069</x:v>
      </x:c>
      <x:c r="B1076" s="3" t="str">
        <x:v>ST-018</x:v>
      </x:c>
      <x:c r="C1076" s="3" t="str">
        <x:v>R+AR同收同发</x:v>
      </x:c>
      <x:c r="D1076" s="25" t="n">
        <x:v>2</x:v>
      </x:c>
      <x:c r="E1076" s="25" t="n">
        <x:v>0</x:v>
      </x:c>
      <x:c r="F1076" s="25" t="n">
        <x:v>1</x:v>
      </x:c>
      <x:c r="G1076" s="19" t="n">
        <x:f>SUM(D1076:F1076)</x:f>
        <x:v>3</x:v>
      </x:c>
      <x:c r="H1076" s="25" t="n">
        <x:v>0</x:v>
      </x:c>
      <x:c r="I1076" s="25" t="n">
        <x:v>1</x:v>
      </x:c>
      <x:c r="J1076" s="25" t="n">
        <x:v>0</x:v>
      </x:c>
      <x:c r="K1076" s="19" t="n">
        <x:f>D1076-IF(H1076=0,1,0)</x:f>
        <x:v>1</x:v>
      </x:c>
      <x:c r="L1076" s="19" t="n">
        <x:f>E1076-IF(H1076=1,1,0)</x:f>
        <x:v>0</x:v>
      </x:c>
      <x:c r="M1076" s="19" t="n">
        <x:f>F1076-IF(H1076=2,1,0)</x:f>
        <x:v>1</x:v>
      </x:c>
      <x:c r="N1076" s="19" t="n">
        <x:f>MAX(K1076-1,0)+MAX(L1076-1,0)+MAX(M1076-1,0)</x:f>
        <x:v>0</x:v>
      </x:c>
      <x:c r="O1076" s="19" t="n">
        <x:f>IF(AND(SUM(K1076:M1076)&lt;9,OR(M1076=0,N1076&lt;6)),1,0)</x:f>
        <x:v>1</x:v>
      </x:c>
      <x:c r="P1076" s="19" t="n">
        <x:f>IF(AND(SUM(K1076:M1076)&lt;9,OR(L1076=0,N1076&lt;6)),1,0)</x:f>
        <x:v>1</x:v>
      </x:c>
      <x:c r="Q1076" s="19" t="n">
        <x:f>IF(AND(SUM(K1076:M1076)&lt;9,OR(K1076=0,N1076&lt;6)),1,0)</x:f>
        <x:v>1</x:v>
      </x:c>
      <x:c r="R1076" s="22" t="str">
        <x:f>O1076&amp;P1076&amp;Q1076</x:f>
        <x:v>111</x:v>
      </x:c>
      <x:c r="S1076" s="19" t="n">
        <x:f>IF(I1076=1,IF(J1076=0,Q1076,IF(J1076=1,P1076,IF(J1076=2,O1076,0))),0)</x:f>
        <x:v>1</x:v>
      </x:c>
      <x:c r="T1076" s="19" t="n">
        <x:f>K1076+IF(AND(S1076=1,J1076=0),1,0)</x:f>
        <x:v>2</x:v>
      </x:c>
      <x:c r="U1076" s="19" t="n">
        <x:f>L1076+IF(AND(S1076=1,J1076=1),1,0)</x:f>
        <x:v>0</x:v>
      </x:c>
      <x:c r="V1076" s="19" t="n">
        <x:f>M1076+IF(AND(S1076=1,J1076=2),1,0)</x:f>
        <x:v>1</x:v>
      </x:c>
      <x:c r="W1076" s="19" t="n">
        <x:f>SUM(T1076:V1076)</x:f>
        <x:v>3</x:v>
      </x:c>
      <x:c r="X1076" s="19" t="n">
        <x:f>W1076-G1076</x:f>
        <x:v>0</x:v>
      </x:c>
      <x:c r="Y1076" s="19" t="n">
        <x:f>MAX(T1076,1)+MAX(U1076,1)+MAX(V1076,1)</x:f>
        <x:v>4</x:v>
      </x:c>
      <x:c r="Z1076" s="21" t="str">
        <x:f>IF(AND(MIN(D1076:F1076)&gt;=0,MAX(D1076:F1076)&lt;=7,MAX(D1076,1)+MAX(E1076,1)+MAX(F1076,1)&lt;=9,OR(H1076="-",AND(H1076=0,D1076&gt;0),AND(H1076=1,E1076&gt;0),AND(H1076=2,F1076&gt;0)),OR(I1076=0,AND(I1076=1,OR(J1076=0,J1076=1,J1076=2),R1076&lt;&gt;"000")),Y1076&lt;=9,MIN(T1076:V1076)&gt;=0),"合法","输入违约")</x:f>
        <x:v>合法</x:v>
      </x:c>
    </x:row>
    <x:row r="1077" ht="23" customHeight="1">
      <x:c r="A1077" s="3" t="str">
        <x:v>CT-1070</x:v>
      </x:c>
      <x:c r="B1077" s="3" t="str">
        <x:v>ST-018</x:v>
      </x:c>
      <x:c r="C1077" s="3" t="str">
        <x:v>R+AR同收同发</x:v>
      </x:c>
      <x:c r="D1077" s="25" t="n">
        <x:v>2</x:v>
      </x:c>
      <x:c r="E1077" s="25" t="n">
        <x:v>0</x:v>
      </x:c>
      <x:c r="F1077" s="25" t="n">
        <x:v>1</x:v>
      </x:c>
      <x:c r="G1077" s="19" t="n">
        <x:f>SUM(D1077:F1077)</x:f>
        <x:v>3</x:v>
      </x:c>
      <x:c r="H1077" s="25" t="n">
        <x:v>0</x:v>
      </x:c>
      <x:c r="I1077" s="25" t="n">
        <x:v>1</x:v>
      </x:c>
      <x:c r="J1077" s="25" t="n">
        <x:v>1</x:v>
      </x:c>
      <x:c r="K1077" s="19" t="n">
        <x:f>D1077-IF(H1077=0,1,0)</x:f>
        <x:v>1</x:v>
      </x:c>
      <x:c r="L1077" s="19" t="n">
        <x:f>E1077-IF(H1077=1,1,0)</x:f>
        <x:v>0</x:v>
      </x:c>
      <x:c r="M1077" s="19" t="n">
        <x:f>F1077-IF(H1077=2,1,0)</x:f>
        <x:v>1</x:v>
      </x:c>
      <x:c r="N1077" s="19" t="n">
        <x:f>MAX(K1077-1,0)+MAX(L1077-1,0)+MAX(M1077-1,0)</x:f>
        <x:v>0</x:v>
      </x:c>
      <x:c r="O1077" s="19" t="n">
        <x:f>IF(AND(SUM(K1077:M1077)&lt;9,OR(M1077=0,N1077&lt;6)),1,0)</x:f>
        <x:v>1</x:v>
      </x:c>
      <x:c r="P1077" s="19" t="n">
        <x:f>IF(AND(SUM(K1077:M1077)&lt;9,OR(L1077=0,N1077&lt;6)),1,0)</x:f>
        <x:v>1</x:v>
      </x:c>
      <x:c r="Q1077" s="19" t="n">
        <x:f>IF(AND(SUM(K1077:M1077)&lt;9,OR(K1077=0,N1077&lt;6)),1,0)</x:f>
        <x:v>1</x:v>
      </x:c>
      <x:c r="R1077" s="22" t="str">
        <x:f>O1077&amp;P1077&amp;Q1077</x:f>
        <x:v>111</x:v>
      </x:c>
      <x:c r="S1077" s="19" t="n">
        <x:f>IF(I1077=1,IF(J1077=0,Q1077,IF(J1077=1,P1077,IF(J1077=2,O1077,0))),0)</x:f>
        <x:v>1</x:v>
      </x:c>
      <x:c r="T1077" s="19" t="n">
        <x:f>K1077+IF(AND(S1077=1,J1077=0),1,0)</x:f>
        <x:v>1</x:v>
      </x:c>
      <x:c r="U1077" s="19" t="n">
        <x:f>L1077+IF(AND(S1077=1,J1077=1),1,0)</x:f>
        <x:v>1</x:v>
      </x:c>
      <x:c r="V1077" s="19" t="n">
        <x:f>M1077+IF(AND(S1077=1,J1077=2),1,0)</x:f>
        <x:v>1</x:v>
      </x:c>
      <x:c r="W1077" s="19" t="n">
        <x:f>SUM(T1077:V1077)</x:f>
        <x:v>3</x:v>
      </x:c>
      <x:c r="X1077" s="19" t="n">
        <x:f>W1077-G1077</x:f>
        <x:v>0</x:v>
      </x:c>
      <x:c r="Y1077" s="19" t="n">
        <x:f>MAX(T1077,1)+MAX(U1077,1)+MAX(V1077,1)</x:f>
        <x:v>3</x:v>
      </x:c>
      <x:c r="Z1077" s="21" t="str">
        <x:f>IF(AND(MIN(D1077:F1077)&gt;=0,MAX(D1077:F1077)&lt;=7,MAX(D1077,1)+MAX(E1077,1)+MAX(F1077,1)&lt;=9,OR(H1077="-",AND(H1077=0,D1077&gt;0),AND(H1077=1,E1077&gt;0),AND(H1077=2,F1077&gt;0)),OR(I1077=0,AND(I1077=1,OR(J1077=0,J1077=1,J1077=2),R1077&lt;&gt;"000")),Y1077&lt;=9,MIN(T1077:V1077)&gt;=0),"合法","输入违约")</x:f>
        <x:v>合法</x:v>
      </x:c>
    </x:row>
    <x:row r="1078" ht="23" customHeight="1">
      <x:c r="A1078" s="3" t="str">
        <x:v>CT-1071</x:v>
      </x:c>
      <x:c r="B1078" s="3" t="str">
        <x:v>ST-018</x:v>
      </x:c>
      <x:c r="C1078" s="3" t="str">
        <x:v>R+AR同收同发</x:v>
      </x:c>
      <x:c r="D1078" s="25" t="n">
        <x:v>2</x:v>
      </x:c>
      <x:c r="E1078" s="25" t="n">
        <x:v>0</x:v>
      </x:c>
      <x:c r="F1078" s="25" t="n">
        <x:v>1</x:v>
      </x:c>
      <x:c r="G1078" s="19" t="n">
        <x:f>SUM(D1078:F1078)</x:f>
        <x:v>3</x:v>
      </x:c>
      <x:c r="H1078" s="25" t="n">
        <x:v>0</x:v>
      </x:c>
      <x:c r="I1078" s="25" t="n">
        <x:v>1</x:v>
      </x:c>
      <x:c r="J1078" s="25" t="n">
        <x:v>2</x:v>
      </x:c>
      <x:c r="K1078" s="19" t="n">
        <x:f>D1078-IF(H1078=0,1,0)</x:f>
        <x:v>1</x:v>
      </x:c>
      <x:c r="L1078" s="19" t="n">
        <x:f>E1078-IF(H1078=1,1,0)</x:f>
        <x:v>0</x:v>
      </x:c>
      <x:c r="M1078" s="19" t="n">
        <x:f>F1078-IF(H1078=2,1,0)</x:f>
        <x:v>1</x:v>
      </x:c>
      <x:c r="N1078" s="19" t="n">
        <x:f>MAX(K1078-1,0)+MAX(L1078-1,0)+MAX(M1078-1,0)</x:f>
        <x:v>0</x:v>
      </x:c>
      <x:c r="O1078" s="19" t="n">
        <x:f>IF(AND(SUM(K1078:M1078)&lt;9,OR(M1078=0,N1078&lt;6)),1,0)</x:f>
        <x:v>1</x:v>
      </x:c>
      <x:c r="P1078" s="19" t="n">
        <x:f>IF(AND(SUM(K1078:M1078)&lt;9,OR(L1078=0,N1078&lt;6)),1,0)</x:f>
        <x:v>1</x:v>
      </x:c>
      <x:c r="Q1078" s="19" t="n">
        <x:f>IF(AND(SUM(K1078:M1078)&lt;9,OR(K1078=0,N1078&lt;6)),1,0)</x:f>
        <x:v>1</x:v>
      </x:c>
      <x:c r="R1078" s="22" t="str">
        <x:f>O1078&amp;P1078&amp;Q1078</x:f>
        <x:v>111</x:v>
      </x:c>
      <x:c r="S1078" s="19" t="n">
        <x:f>IF(I1078=1,IF(J1078=0,Q1078,IF(J1078=1,P1078,IF(J1078=2,O1078,0))),0)</x:f>
        <x:v>1</x:v>
      </x:c>
      <x:c r="T1078" s="19" t="n">
        <x:f>K1078+IF(AND(S1078=1,J1078=0),1,0)</x:f>
        <x:v>1</x:v>
      </x:c>
      <x:c r="U1078" s="19" t="n">
        <x:f>L1078+IF(AND(S1078=1,J1078=1),1,0)</x:f>
        <x:v>0</x:v>
      </x:c>
      <x:c r="V1078" s="19" t="n">
        <x:f>M1078+IF(AND(S1078=1,J1078=2),1,0)</x:f>
        <x:v>2</x:v>
      </x:c>
      <x:c r="W1078" s="19" t="n">
        <x:f>SUM(T1078:V1078)</x:f>
        <x:v>3</x:v>
      </x:c>
      <x:c r="X1078" s="19" t="n">
        <x:f>W1078-G1078</x:f>
        <x:v>0</x:v>
      </x:c>
      <x:c r="Y1078" s="19" t="n">
        <x:f>MAX(T1078,1)+MAX(U1078,1)+MAX(V1078,1)</x:f>
        <x:v>4</x:v>
      </x:c>
      <x:c r="Z1078" s="21" t="str">
        <x:f>IF(AND(MIN(D1078:F1078)&gt;=0,MAX(D1078:F1078)&lt;=7,MAX(D1078,1)+MAX(E1078,1)+MAX(F1078,1)&lt;=9,OR(H1078="-",AND(H1078=0,D1078&gt;0),AND(H1078=1,E1078&gt;0),AND(H1078=2,F1078&gt;0)),OR(I1078=0,AND(I1078=1,OR(J1078=0,J1078=1,J1078=2),R1078&lt;&gt;"000")),Y1078&lt;=9,MIN(T1078:V1078)&gt;=0),"合法","输入违约")</x:f>
        <x:v>合法</x:v>
      </x:c>
    </x:row>
    <x:row r="1079" ht="23" customHeight="1">
      <x:c r="A1079" s="3" t="str">
        <x:v>CT-1072</x:v>
      </x:c>
      <x:c r="B1079" s="3" t="str">
        <x:v>ST-018</x:v>
      </x:c>
      <x:c r="C1079" s="3" t="str">
        <x:v>仅R回收</x:v>
      </x:c>
      <x:c r="D1079" s="25" t="n">
        <x:v>2</x:v>
      </x:c>
      <x:c r="E1079" s="25" t="n">
        <x:v>0</x:v>
      </x:c>
      <x:c r="F1079" s="25" t="n">
        <x:v>1</x:v>
      </x:c>
      <x:c r="G1079" s="19" t="n">
        <x:f>SUM(D1079:F1079)</x:f>
        <x:v>3</x:v>
      </x:c>
      <x:c r="H1079" s="25" t="n">
        <x:v>2</x:v>
      </x:c>
      <x:c r="I1079" s="25" t="n">
        <x:v>0</x:v>
      </x:c>
      <x:c r="J1079" s="25" t="str">
        <x:v>-</x:v>
      </x:c>
      <x:c r="K1079" s="19" t="n">
        <x:f>D1079-IF(H1079=0,1,0)</x:f>
        <x:v>2</x:v>
      </x:c>
      <x:c r="L1079" s="19" t="n">
        <x:f>E1079-IF(H1079=1,1,0)</x:f>
        <x:v>0</x:v>
      </x:c>
      <x:c r="M1079" s="19" t="n">
        <x:f>F1079-IF(H1079=2,1,0)</x:f>
        <x:v>0</x:v>
      </x:c>
      <x:c r="N1079" s="19" t="n">
        <x:f>MAX(K1079-1,0)+MAX(L1079-1,0)+MAX(M1079-1,0)</x:f>
        <x:v>1</x:v>
      </x:c>
      <x:c r="O1079" s="19" t="n">
        <x:f>IF(AND(SUM(K1079:M1079)&lt;9,OR(M1079=0,N1079&lt;6)),1,0)</x:f>
        <x:v>1</x:v>
      </x:c>
      <x:c r="P1079" s="19" t="n">
        <x:f>IF(AND(SUM(K1079:M1079)&lt;9,OR(L1079=0,N1079&lt;6)),1,0)</x:f>
        <x:v>1</x:v>
      </x:c>
      <x:c r="Q1079" s="19" t="n">
        <x:f>IF(AND(SUM(K1079:M1079)&lt;9,OR(K1079=0,N1079&lt;6)),1,0)</x:f>
        <x:v>1</x:v>
      </x:c>
      <x:c r="R1079" s="22" t="str">
        <x:f>O1079&amp;P1079&amp;Q1079</x:f>
        <x:v>111</x:v>
      </x:c>
      <x:c r="S1079" s="19" t="n">
        <x:f>IF(I1079=1,IF(J1079=0,Q1079,IF(J1079=1,P1079,IF(J1079=2,O1079,0))),0)</x:f>
        <x:v>0</x:v>
      </x:c>
      <x:c r="T1079" s="19" t="n">
        <x:f>K1079+IF(AND(S1079=1,J1079=0),1,0)</x:f>
        <x:v>2</x:v>
      </x:c>
      <x:c r="U1079" s="19" t="n">
        <x:f>L1079+IF(AND(S1079=1,J1079=1),1,0)</x:f>
        <x:v>0</x:v>
      </x:c>
      <x:c r="V1079" s="19" t="n">
        <x:f>M1079+IF(AND(S1079=1,J1079=2),1,0)</x:f>
        <x:v>0</x:v>
      </x:c>
      <x:c r="W1079" s="19" t="n">
        <x:f>SUM(T1079:V1079)</x:f>
        <x:v>2</x:v>
      </x:c>
      <x:c r="X1079" s="19" t="n">
        <x:f>W1079-G1079</x:f>
        <x:v>-1</x:v>
      </x:c>
      <x:c r="Y1079" s="19" t="n">
        <x:f>MAX(T1079,1)+MAX(U1079,1)+MAX(V1079,1)</x:f>
        <x:v>4</x:v>
      </x:c>
      <x:c r="Z1079" s="21" t="str">
        <x:f>IF(AND(MIN(D1079:F1079)&gt;=0,MAX(D1079:F1079)&lt;=7,MAX(D1079,1)+MAX(E1079,1)+MAX(F1079,1)&lt;=9,OR(H1079="-",AND(H1079=0,D1079&gt;0),AND(H1079=1,E1079&gt;0),AND(H1079=2,F1079&gt;0)),OR(I1079=0,AND(I1079=1,OR(J1079=0,J1079=1,J1079=2),R1079&lt;&gt;"000")),Y1079&lt;=9,MIN(T1079:V1079)&gt;=0),"合法","输入违约")</x:f>
        <x:v>合法</x:v>
      </x:c>
    </x:row>
    <x:row r="1080" ht="23" customHeight="1">
      <x:c r="A1080" s="3" t="str">
        <x:v>CT-1073</x:v>
      </x:c>
      <x:c r="B1080" s="3" t="str">
        <x:v>ST-018</x:v>
      </x:c>
      <x:c r="C1080" s="3" t="str">
        <x:v>R+AR同收同发</x:v>
      </x:c>
      <x:c r="D1080" s="25" t="n">
        <x:v>2</x:v>
      </x:c>
      <x:c r="E1080" s="25" t="n">
        <x:v>0</x:v>
      </x:c>
      <x:c r="F1080" s="25" t="n">
        <x:v>1</x:v>
      </x:c>
      <x:c r="G1080" s="19" t="n">
        <x:f>SUM(D1080:F1080)</x:f>
        <x:v>3</x:v>
      </x:c>
      <x:c r="H1080" s="25" t="n">
        <x:v>2</x:v>
      </x:c>
      <x:c r="I1080" s="25" t="n">
        <x:v>1</x:v>
      </x:c>
      <x:c r="J1080" s="25" t="n">
        <x:v>0</x:v>
      </x:c>
      <x:c r="K1080" s="19" t="n">
        <x:f>D1080-IF(H1080=0,1,0)</x:f>
        <x:v>2</x:v>
      </x:c>
      <x:c r="L1080" s="19" t="n">
        <x:f>E1080-IF(H1080=1,1,0)</x:f>
        <x:v>0</x:v>
      </x:c>
      <x:c r="M1080" s="19" t="n">
        <x:f>F1080-IF(H1080=2,1,0)</x:f>
        <x:v>0</x:v>
      </x:c>
      <x:c r="N1080" s="19" t="n">
        <x:f>MAX(K1080-1,0)+MAX(L1080-1,0)+MAX(M1080-1,0)</x:f>
        <x:v>1</x:v>
      </x:c>
      <x:c r="O1080" s="19" t="n">
        <x:f>IF(AND(SUM(K1080:M1080)&lt;9,OR(M1080=0,N1080&lt;6)),1,0)</x:f>
        <x:v>1</x:v>
      </x:c>
      <x:c r="P1080" s="19" t="n">
        <x:f>IF(AND(SUM(K1080:M1080)&lt;9,OR(L1080=0,N1080&lt;6)),1,0)</x:f>
        <x:v>1</x:v>
      </x:c>
      <x:c r="Q1080" s="19" t="n">
        <x:f>IF(AND(SUM(K1080:M1080)&lt;9,OR(K1080=0,N1080&lt;6)),1,0)</x:f>
        <x:v>1</x:v>
      </x:c>
      <x:c r="R1080" s="22" t="str">
        <x:f>O1080&amp;P1080&amp;Q1080</x:f>
        <x:v>111</x:v>
      </x:c>
      <x:c r="S1080" s="19" t="n">
        <x:f>IF(I1080=1,IF(J1080=0,Q1080,IF(J1080=1,P1080,IF(J1080=2,O1080,0))),0)</x:f>
        <x:v>1</x:v>
      </x:c>
      <x:c r="T1080" s="19" t="n">
        <x:f>K1080+IF(AND(S1080=1,J1080=0),1,0)</x:f>
        <x:v>3</x:v>
      </x:c>
      <x:c r="U1080" s="19" t="n">
        <x:f>L1080+IF(AND(S1080=1,J1080=1),1,0)</x:f>
        <x:v>0</x:v>
      </x:c>
      <x:c r="V1080" s="19" t="n">
        <x:f>M1080+IF(AND(S1080=1,J1080=2),1,0)</x:f>
        <x:v>0</x:v>
      </x:c>
      <x:c r="W1080" s="19" t="n">
        <x:f>SUM(T1080:V1080)</x:f>
        <x:v>3</x:v>
      </x:c>
      <x:c r="X1080" s="19" t="n">
        <x:f>W1080-G1080</x:f>
        <x:v>0</x:v>
      </x:c>
      <x:c r="Y1080" s="19" t="n">
        <x:f>MAX(T1080,1)+MAX(U1080,1)+MAX(V1080,1)</x:f>
        <x:v>5</x:v>
      </x:c>
      <x:c r="Z1080" s="21" t="str">
        <x:f>IF(AND(MIN(D1080:F1080)&gt;=0,MAX(D1080:F1080)&lt;=7,MAX(D1080,1)+MAX(E1080,1)+MAX(F1080,1)&lt;=9,OR(H1080="-",AND(H1080=0,D1080&gt;0),AND(H1080=1,E1080&gt;0),AND(H1080=2,F1080&gt;0)),OR(I1080=0,AND(I1080=1,OR(J1080=0,J1080=1,J1080=2),R1080&lt;&gt;"000")),Y1080&lt;=9,MIN(T1080:V1080)&gt;=0),"合法","输入违约")</x:f>
        <x:v>合法</x:v>
      </x:c>
    </x:row>
    <x:row r="1081" ht="23" customHeight="1">
      <x:c r="A1081" s="3" t="str">
        <x:v>CT-1074</x:v>
      </x:c>
      <x:c r="B1081" s="3" t="str">
        <x:v>ST-018</x:v>
      </x:c>
      <x:c r="C1081" s="3" t="str">
        <x:v>R+AR同收同发</x:v>
      </x:c>
      <x:c r="D1081" s="25" t="n">
        <x:v>2</x:v>
      </x:c>
      <x:c r="E1081" s="25" t="n">
        <x:v>0</x:v>
      </x:c>
      <x:c r="F1081" s="25" t="n">
        <x:v>1</x:v>
      </x:c>
      <x:c r="G1081" s="19" t="n">
        <x:f>SUM(D1081:F1081)</x:f>
        <x:v>3</x:v>
      </x:c>
      <x:c r="H1081" s="25" t="n">
        <x:v>2</x:v>
      </x:c>
      <x:c r="I1081" s="25" t="n">
        <x:v>1</x:v>
      </x:c>
      <x:c r="J1081" s="25" t="n">
        <x:v>1</x:v>
      </x:c>
      <x:c r="K1081" s="19" t="n">
        <x:f>D1081-IF(H1081=0,1,0)</x:f>
        <x:v>2</x:v>
      </x:c>
      <x:c r="L1081" s="19" t="n">
        <x:f>E1081-IF(H1081=1,1,0)</x:f>
        <x:v>0</x:v>
      </x:c>
      <x:c r="M1081" s="19" t="n">
        <x:f>F1081-IF(H1081=2,1,0)</x:f>
        <x:v>0</x:v>
      </x:c>
      <x:c r="N1081" s="19" t="n">
        <x:f>MAX(K1081-1,0)+MAX(L1081-1,0)+MAX(M1081-1,0)</x:f>
        <x:v>1</x:v>
      </x:c>
      <x:c r="O1081" s="19" t="n">
        <x:f>IF(AND(SUM(K1081:M1081)&lt;9,OR(M1081=0,N1081&lt;6)),1,0)</x:f>
        <x:v>1</x:v>
      </x:c>
      <x:c r="P1081" s="19" t="n">
        <x:f>IF(AND(SUM(K1081:M1081)&lt;9,OR(L1081=0,N1081&lt;6)),1,0)</x:f>
        <x:v>1</x:v>
      </x:c>
      <x:c r="Q1081" s="19" t="n">
        <x:f>IF(AND(SUM(K1081:M1081)&lt;9,OR(K1081=0,N1081&lt;6)),1,0)</x:f>
        <x:v>1</x:v>
      </x:c>
      <x:c r="R1081" s="22" t="str">
        <x:f>O1081&amp;P1081&amp;Q1081</x:f>
        <x:v>111</x:v>
      </x:c>
      <x:c r="S1081" s="19" t="n">
        <x:f>IF(I1081=1,IF(J1081=0,Q1081,IF(J1081=1,P1081,IF(J1081=2,O1081,0))),0)</x:f>
        <x:v>1</x:v>
      </x:c>
      <x:c r="T1081" s="19" t="n">
        <x:f>K1081+IF(AND(S1081=1,J1081=0),1,0)</x:f>
        <x:v>2</x:v>
      </x:c>
      <x:c r="U1081" s="19" t="n">
        <x:f>L1081+IF(AND(S1081=1,J1081=1),1,0)</x:f>
        <x:v>1</x:v>
      </x:c>
      <x:c r="V1081" s="19" t="n">
        <x:f>M1081+IF(AND(S1081=1,J1081=2),1,0)</x:f>
        <x:v>0</x:v>
      </x:c>
      <x:c r="W1081" s="19" t="n">
        <x:f>SUM(T1081:V1081)</x:f>
        <x:v>3</x:v>
      </x:c>
      <x:c r="X1081" s="19" t="n">
        <x:f>W1081-G1081</x:f>
        <x:v>0</x:v>
      </x:c>
      <x:c r="Y1081" s="19" t="n">
        <x:f>MAX(T1081,1)+MAX(U1081,1)+MAX(V1081,1)</x:f>
        <x:v>4</x:v>
      </x:c>
      <x:c r="Z1081" s="21" t="str">
        <x:f>IF(AND(MIN(D1081:F1081)&gt;=0,MAX(D1081:F1081)&lt;=7,MAX(D1081,1)+MAX(E1081,1)+MAX(F1081,1)&lt;=9,OR(H1081="-",AND(H1081=0,D1081&gt;0),AND(H1081=1,E1081&gt;0),AND(H1081=2,F1081&gt;0)),OR(I1081=0,AND(I1081=1,OR(J1081=0,J1081=1,J1081=2),R1081&lt;&gt;"000")),Y1081&lt;=9,MIN(T1081:V1081)&gt;=0),"合法","输入违约")</x:f>
        <x:v>合法</x:v>
      </x:c>
    </x:row>
    <x:row r="1082" ht="23" customHeight="1">
      <x:c r="A1082" s="3" t="str">
        <x:v>CT-1075</x:v>
      </x:c>
      <x:c r="B1082" s="3" t="str">
        <x:v>ST-018</x:v>
      </x:c>
      <x:c r="C1082" s="3" t="str">
        <x:v>R+AR同收同发</x:v>
      </x:c>
      <x:c r="D1082" s="25" t="n">
        <x:v>2</x:v>
      </x:c>
      <x:c r="E1082" s="25" t="n">
        <x:v>0</x:v>
      </x:c>
      <x:c r="F1082" s="25" t="n">
        <x:v>1</x:v>
      </x:c>
      <x:c r="G1082" s="19" t="n">
        <x:f>SUM(D1082:F1082)</x:f>
        <x:v>3</x:v>
      </x:c>
      <x:c r="H1082" s="25" t="n">
        <x:v>2</x:v>
      </x:c>
      <x:c r="I1082" s="25" t="n">
        <x:v>1</x:v>
      </x:c>
      <x:c r="J1082" s="25" t="n">
        <x:v>2</x:v>
      </x:c>
      <x:c r="K1082" s="19" t="n">
        <x:f>D1082-IF(H1082=0,1,0)</x:f>
        <x:v>2</x:v>
      </x:c>
      <x:c r="L1082" s="19" t="n">
        <x:f>E1082-IF(H1082=1,1,0)</x:f>
        <x:v>0</x:v>
      </x:c>
      <x:c r="M1082" s="19" t="n">
        <x:f>F1082-IF(H1082=2,1,0)</x:f>
        <x:v>0</x:v>
      </x:c>
      <x:c r="N1082" s="19" t="n">
        <x:f>MAX(K1082-1,0)+MAX(L1082-1,0)+MAX(M1082-1,0)</x:f>
        <x:v>1</x:v>
      </x:c>
      <x:c r="O1082" s="19" t="n">
        <x:f>IF(AND(SUM(K1082:M1082)&lt;9,OR(M1082=0,N1082&lt;6)),1,0)</x:f>
        <x:v>1</x:v>
      </x:c>
      <x:c r="P1082" s="19" t="n">
        <x:f>IF(AND(SUM(K1082:M1082)&lt;9,OR(L1082=0,N1082&lt;6)),1,0)</x:f>
        <x:v>1</x:v>
      </x:c>
      <x:c r="Q1082" s="19" t="n">
        <x:f>IF(AND(SUM(K1082:M1082)&lt;9,OR(K1082=0,N1082&lt;6)),1,0)</x:f>
        <x:v>1</x:v>
      </x:c>
      <x:c r="R1082" s="22" t="str">
        <x:f>O1082&amp;P1082&amp;Q1082</x:f>
        <x:v>111</x:v>
      </x:c>
      <x:c r="S1082" s="19" t="n">
        <x:f>IF(I1082=1,IF(J1082=0,Q1082,IF(J1082=1,P1082,IF(J1082=2,O1082,0))),0)</x:f>
        <x:v>1</x:v>
      </x:c>
      <x:c r="T1082" s="19" t="n">
        <x:f>K1082+IF(AND(S1082=1,J1082=0),1,0)</x:f>
        <x:v>2</x:v>
      </x:c>
      <x:c r="U1082" s="19" t="n">
        <x:f>L1082+IF(AND(S1082=1,J1082=1),1,0)</x:f>
        <x:v>0</x:v>
      </x:c>
      <x:c r="V1082" s="19" t="n">
        <x:f>M1082+IF(AND(S1082=1,J1082=2),1,0)</x:f>
        <x:v>1</x:v>
      </x:c>
      <x:c r="W1082" s="19" t="n">
        <x:f>SUM(T1082:V1082)</x:f>
        <x:v>3</x:v>
      </x:c>
      <x:c r="X1082" s="19" t="n">
        <x:f>W1082-G1082</x:f>
        <x:v>0</x:v>
      </x:c>
      <x:c r="Y1082" s="19" t="n">
        <x:f>MAX(T1082,1)+MAX(U1082,1)+MAX(V1082,1)</x:f>
        <x:v>4</x:v>
      </x:c>
      <x:c r="Z1082" s="21" t="str">
        <x:f>IF(AND(MIN(D1082:F1082)&gt;=0,MAX(D1082:F1082)&lt;=7,MAX(D1082,1)+MAX(E1082,1)+MAX(F1082,1)&lt;=9,OR(H1082="-",AND(H1082=0,D1082&gt;0),AND(H1082=1,E1082&gt;0),AND(H1082=2,F1082&gt;0)),OR(I1082=0,AND(I1082=1,OR(J1082=0,J1082=1,J1082=2),R1082&lt;&gt;"000")),Y1082&lt;=9,MIN(T1082:V1082)&gt;=0),"合法","输入违约")</x:f>
        <x:v>合法</x:v>
      </x:c>
    </x:row>
    <x:row r="1083" ht="23" customHeight="1">
      <x:c r="A1083" s="3" t="str">
        <x:v>CT-1076</x:v>
      </x:c>
      <x:c r="B1083" s="3" t="str">
        <x:v>ST-030</x:v>
      </x:c>
      <x:c r="C1083" s="3" t="str">
        <x:v>无AR/R</x:v>
      </x:c>
      <x:c r="D1083" s="25" t="n">
        <x:v>2</x:v>
      </x:c>
      <x:c r="E1083" s="25" t="n">
        <x:v>0</x:v>
      </x:c>
      <x:c r="F1083" s="25" t="n">
        <x:v>2</x:v>
      </x:c>
      <x:c r="G1083" s="19" t="n">
        <x:f>SUM(D1083:F1083)</x:f>
        <x:v>4</x:v>
      </x:c>
      <x:c r="H1083" s="25" t="str">
        <x:v>-</x:v>
      </x:c>
      <x:c r="I1083" s="25" t="n">
        <x:v>0</x:v>
      </x:c>
      <x:c r="J1083" s="25" t="str">
        <x:v>-</x:v>
      </x:c>
      <x:c r="K1083" s="19" t="n">
        <x:f>D1083-IF(H1083=0,1,0)</x:f>
        <x:v>2</x:v>
      </x:c>
      <x:c r="L1083" s="19" t="n">
        <x:f>E1083-IF(H1083=1,1,0)</x:f>
        <x:v>0</x:v>
      </x:c>
      <x:c r="M1083" s="19" t="n">
        <x:f>F1083-IF(H1083=2,1,0)</x:f>
        <x:v>2</x:v>
      </x:c>
      <x:c r="N1083" s="19" t="n">
        <x:f>MAX(K1083-1,0)+MAX(L1083-1,0)+MAX(M1083-1,0)</x:f>
        <x:v>2</x:v>
      </x:c>
      <x:c r="O1083" s="19" t="n">
        <x:f>IF(AND(SUM(K1083:M1083)&lt;9,OR(M1083=0,N1083&lt;6)),1,0)</x:f>
        <x:v>1</x:v>
      </x:c>
      <x:c r="P1083" s="19" t="n">
        <x:f>IF(AND(SUM(K1083:M1083)&lt;9,OR(L1083=0,N1083&lt;6)),1,0)</x:f>
        <x:v>1</x:v>
      </x:c>
      <x:c r="Q1083" s="19" t="n">
        <x:f>IF(AND(SUM(K1083:M1083)&lt;9,OR(K1083=0,N1083&lt;6)),1,0)</x:f>
        <x:v>1</x:v>
      </x:c>
      <x:c r="R1083" s="22" t="str">
        <x:f>O1083&amp;P1083&amp;Q1083</x:f>
        <x:v>111</x:v>
      </x:c>
      <x:c r="S1083" s="19" t="n">
        <x:f>IF(I1083=1,IF(J1083=0,Q1083,IF(J1083=1,P1083,IF(J1083=2,O1083,0))),0)</x:f>
        <x:v>0</x:v>
      </x:c>
      <x:c r="T1083" s="19" t="n">
        <x:f>K1083+IF(AND(S1083=1,J1083=0),1,0)</x:f>
        <x:v>2</x:v>
      </x:c>
      <x:c r="U1083" s="19" t="n">
        <x:f>L1083+IF(AND(S1083=1,J1083=1),1,0)</x:f>
        <x:v>0</x:v>
      </x:c>
      <x:c r="V1083" s="19" t="n">
        <x:f>M1083+IF(AND(S1083=1,J1083=2),1,0)</x:f>
        <x:v>2</x:v>
      </x:c>
      <x:c r="W1083" s="19" t="n">
        <x:f>SUM(T1083:V1083)</x:f>
        <x:v>4</x:v>
      </x:c>
      <x:c r="X1083" s="19" t="n">
        <x:f>W1083-G1083</x:f>
        <x:v>0</x:v>
      </x:c>
      <x:c r="Y1083" s="19" t="n">
        <x:f>MAX(T1083,1)+MAX(U1083,1)+MAX(V1083,1)</x:f>
        <x:v>5</x:v>
      </x:c>
      <x:c r="Z1083" s="21" t="str">
        <x:f>IF(AND(MIN(D1083:F1083)&gt;=0,MAX(D1083:F1083)&lt;=7,MAX(D1083,1)+MAX(E1083,1)+MAX(F1083,1)&lt;=9,OR(H1083="-",AND(H1083=0,D1083&gt;0),AND(H1083=1,E1083&gt;0),AND(H1083=2,F1083&gt;0)),OR(I1083=0,AND(I1083=1,OR(J1083=0,J1083=1,J1083=2),R1083&lt;&gt;"000")),Y1083&lt;=9,MIN(T1083:V1083)&gt;=0),"合法","输入违约")</x:f>
        <x:v>合法</x:v>
      </x:c>
    </x:row>
    <x:row r="1084" ht="23" customHeight="1">
      <x:c r="A1084" s="3" t="str">
        <x:v>CT-1077</x:v>
      </x:c>
      <x:c r="B1084" s="3" t="str">
        <x:v>ST-030</x:v>
      </x:c>
      <x:c r="C1084" s="3" t="str">
        <x:v>仅AR接收</x:v>
      </x:c>
      <x:c r="D1084" s="25" t="n">
        <x:v>2</x:v>
      </x:c>
      <x:c r="E1084" s="25" t="n">
        <x:v>0</x:v>
      </x:c>
      <x:c r="F1084" s="25" t="n">
        <x:v>2</x:v>
      </x:c>
      <x:c r="G1084" s="19" t="n">
        <x:f>SUM(D1084:F1084)</x:f>
        <x:v>4</x:v>
      </x:c>
      <x:c r="H1084" s="25" t="str">
        <x:v>-</x:v>
      </x:c>
      <x:c r="I1084" s="25" t="n">
        <x:v>1</x:v>
      </x:c>
      <x:c r="J1084" s="25" t="n">
        <x:v>0</x:v>
      </x:c>
      <x:c r="K1084" s="19" t="n">
        <x:f>D1084-IF(H1084=0,1,0)</x:f>
        <x:v>2</x:v>
      </x:c>
      <x:c r="L1084" s="19" t="n">
        <x:f>E1084-IF(H1084=1,1,0)</x:f>
        <x:v>0</x:v>
      </x:c>
      <x:c r="M1084" s="19" t="n">
        <x:f>F1084-IF(H1084=2,1,0)</x:f>
        <x:v>2</x:v>
      </x:c>
      <x:c r="N1084" s="19" t="n">
        <x:f>MAX(K1084-1,0)+MAX(L1084-1,0)+MAX(M1084-1,0)</x:f>
        <x:v>2</x:v>
      </x:c>
      <x:c r="O1084" s="19" t="n">
        <x:f>IF(AND(SUM(K1084:M1084)&lt;9,OR(M1084=0,N1084&lt;6)),1,0)</x:f>
        <x:v>1</x:v>
      </x:c>
      <x:c r="P1084" s="19" t="n">
        <x:f>IF(AND(SUM(K1084:M1084)&lt;9,OR(L1084=0,N1084&lt;6)),1,0)</x:f>
        <x:v>1</x:v>
      </x:c>
      <x:c r="Q1084" s="19" t="n">
        <x:f>IF(AND(SUM(K1084:M1084)&lt;9,OR(K1084=0,N1084&lt;6)),1,0)</x:f>
        <x:v>1</x:v>
      </x:c>
      <x:c r="R1084" s="22" t="str">
        <x:f>O1084&amp;P1084&amp;Q1084</x:f>
        <x:v>111</x:v>
      </x:c>
      <x:c r="S1084" s="19" t="n">
        <x:f>IF(I1084=1,IF(J1084=0,Q1084,IF(J1084=1,P1084,IF(J1084=2,O1084,0))),0)</x:f>
        <x:v>1</x:v>
      </x:c>
      <x:c r="T1084" s="19" t="n">
        <x:f>K1084+IF(AND(S1084=1,J1084=0),1,0)</x:f>
        <x:v>3</x:v>
      </x:c>
      <x:c r="U1084" s="19" t="n">
        <x:f>L1084+IF(AND(S1084=1,J1084=1),1,0)</x:f>
        <x:v>0</x:v>
      </x:c>
      <x:c r="V1084" s="19" t="n">
        <x:f>M1084+IF(AND(S1084=1,J1084=2),1,0)</x:f>
        <x:v>2</x:v>
      </x:c>
      <x:c r="W1084" s="19" t="n">
        <x:f>SUM(T1084:V1084)</x:f>
        <x:v>5</x:v>
      </x:c>
      <x:c r="X1084" s="19" t="n">
        <x:f>W1084-G1084</x:f>
        <x:v>1</x:v>
      </x:c>
      <x:c r="Y1084" s="19" t="n">
        <x:f>MAX(T1084,1)+MAX(U1084,1)+MAX(V1084,1)</x:f>
        <x:v>6</x:v>
      </x:c>
      <x:c r="Z1084" s="21" t="str">
        <x:f>IF(AND(MIN(D1084:F1084)&gt;=0,MAX(D1084:F1084)&lt;=7,MAX(D1084,1)+MAX(E1084,1)+MAX(F1084,1)&lt;=9,OR(H1084="-",AND(H1084=0,D1084&gt;0),AND(H1084=1,E1084&gt;0),AND(H1084=2,F1084&gt;0)),OR(I1084=0,AND(I1084=1,OR(J1084=0,J1084=1,J1084=2),R1084&lt;&gt;"000")),Y1084&lt;=9,MIN(T1084:V1084)&gt;=0),"合法","输入违约")</x:f>
        <x:v>合法</x:v>
      </x:c>
    </x:row>
    <x:row r="1085" ht="23" customHeight="1">
      <x:c r="A1085" s="3" t="str">
        <x:v>CT-1078</x:v>
      </x:c>
      <x:c r="B1085" s="3" t="str">
        <x:v>ST-030</x:v>
      </x:c>
      <x:c r="C1085" s="3" t="str">
        <x:v>仅AR接收</x:v>
      </x:c>
      <x:c r="D1085" s="25" t="n">
        <x:v>2</x:v>
      </x:c>
      <x:c r="E1085" s="25" t="n">
        <x:v>0</x:v>
      </x:c>
      <x:c r="F1085" s="25" t="n">
        <x:v>2</x:v>
      </x:c>
      <x:c r="G1085" s="19" t="n">
        <x:f>SUM(D1085:F1085)</x:f>
        <x:v>4</x:v>
      </x:c>
      <x:c r="H1085" s="25" t="str">
        <x:v>-</x:v>
      </x:c>
      <x:c r="I1085" s="25" t="n">
        <x:v>1</x:v>
      </x:c>
      <x:c r="J1085" s="25" t="n">
        <x:v>1</x:v>
      </x:c>
      <x:c r="K1085" s="19" t="n">
        <x:f>D1085-IF(H1085=0,1,0)</x:f>
        <x:v>2</x:v>
      </x:c>
      <x:c r="L1085" s="19" t="n">
        <x:f>E1085-IF(H1085=1,1,0)</x:f>
        <x:v>0</x:v>
      </x:c>
      <x:c r="M1085" s="19" t="n">
        <x:f>F1085-IF(H1085=2,1,0)</x:f>
        <x:v>2</x:v>
      </x:c>
      <x:c r="N1085" s="19" t="n">
        <x:f>MAX(K1085-1,0)+MAX(L1085-1,0)+MAX(M1085-1,0)</x:f>
        <x:v>2</x:v>
      </x:c>
      <x:c r="O1085" s="19" t="n">
        <x:f>IF(AND(SUM(K1085:M1085)&lt;9,OR(M1085=0,N1085&lt;6)),1,0)</x:f>
        <x:v>1</x:v>
      </x:c>
      <x:c r="P1085" s="19" t="n">
        <x:f>IF(AND(SUM(K1085:M1085)&lt;9,OR(L1085=0,N1085&lt;6)),1,0)</x:f>
        <x:v>1</x:v>
      </x:c>
      <x:c r="Q1085" s="19" t="n">
        <x:f>IF(AND(SUM(K1085:M1085)&lt;9,OR(K1085=0,N1085&lt;6)),1,0)</x:f>
        <x:v>1</x:v>
      </x:c>
      <x:c r="R1085" s="22" t="str">
        <x:f>O1085&amp;P1085&amp;Q1085</x:f>
        <x:v>111</x:v>
      </x:c>
      <x:c r="S1085" s="19" t="n">
        <x:f>IF(I1085=1,IF(J1085=0,Q1085,IF(J1085=1,P1085,IF(J1085=2,O1085,0))),0)</x:f>
        <x:v>1</x:v>
      </x:c>
      <x:c r="T1085" s="19" t="n">
        <x:f>K1085+IF(AND(S1085=1,J1085=0),1,0)</x:f>
        <x:v>2</x:v>
      </x:c>
      <x:c r="U1085" s="19" t="n">
        <x:f>L1085+IF(AND(S1085=1,J1085=1),1,0)</x:f>
        <x:v>1</x:v>
      </x:c>
      <x:c r="V1085" s="19" t="n">
        <x:f>M1085+IF(AND(S1085=1,J1085=2),1,0)</x:f>
        <x:v>2</x:v>
      </x:c>
      <x:c r="W1085" s="19" t="n">
        <x:f>SUM(T1085:V1085)</x:f>
        <x:v>5</x:v>
      </x:c>
      <x:c r="X1085" s="19" t="n">
        <x:f>W1085-G1085</x:f>
        <x:v>1</x:v>
      </x:c>
      <x:c r="Y1085" s="19" t="n">
        <x:f>MAX(T1085,1)+MAX(U1085,1)+MAX(V1085,1)</x:f>
        <x:v>5</x:v>
      </x:c>
      <x:c r="Z1085" s="21" t="str">
        <x:f>IF(AND(MIN(D1085:F1085)&gt;=0,MAX(D1085:F1085)&lt;=7,MAX(D1085,1)+MAX(E1085,1)+MAX(F1085,1)&lt;=9,OR(H1085="-",AND(H1085=0,D1085&gt;0),AND(H1085=1,E1085&gt;0),AND(H1085=2,F1085&gt;0)),OR(I1085=0,AND(I1085=1,OR(J1085=0,J1085=1,J1085=2),R1085&lt;&gt;"000")),Y1085&lt;=9,MIN(T1085:V1085)&gt;=0),"合法","输入违约")</x:f>
        <x:v>合法</x:v>
      </x:c>
    </x:row>
    <x:row r="1086" ht="23" customHeight="1">
      <x:c r="A1086" s="3" t="str">
        <x:v>CT-1079</x:v>
      </x:c>
      <x:c r="B1086" s="3" t="str">
        <x:v>ST-030</x:v>
      </x:c>
      <x:c r="C1086" s="3" t="str">
        <x:v>仅AR接收</x:v>
      </x:c>
      <x:c r="D1086" s="25" t="n">
        <x:v>2</x:v>
      </x:c>
      <x:c r="E1086" s="25" t="n">
        <x:v>0</x:v>
      </x:c>
      <x:c r="F1086" s="25" t="n">
        <x:v>2</x:v>
      </x:c>
      <x:c r="G1086" s="19" t="n">
        <x:f>SUM(D1086:F1086)</x:f>
        <x:v>4</x:v>
      </x:c>
      <x:c r="H1086" s="25" t="str">
        <x:v>-</x:v>
      </x:c>
      <x:c r="I1086" s="25" t="n">
        <x:v>1</x:v>
      </x:c>
      <x:c r="J1086" s="25" t="n">
        <x:v>2</x:v>
      </x:c>
      <x:c r="K1086" s="19" t="n">
        <x:f>D1086-IF(H1086=0,1,0)</x:f>
        <x:v>2</x:v>
      </x:c>
      <x:c r="L1086" s="19" t="n">
        <x:f>E1086-IF(H1086=1,1,0)</x:f>
        <x:v>0</x:v>
      </x:c>
      <x:c r="M1086" s="19" t="n">
        <x:f>F1086-IF(H1086=2,1,0)</x:f>
        <x:v>2</x:v>
      </x:c>
      <x:c r="N1086" s="19" t="n">
        <x:f>MAX(K1086-1,0)+MAX(L1086-1,0)+MAX(M1086-1,0)</x:f>
        <x:v>2</x:v>
      </x:c>
      <x:c r="O1086" s="19" t="n">
        <x:f>IF(AND(SUM(K1086:M1086)&lt;9,OR(M1086=0,N1086&lt;6)),1,0)</x:f>
        <x:v>1</x:v>
      </x:c>
      <x:c r="P1086" s="19" t="n">
        <x:f>IF(AND(SUM(K1086:M1086)&lt;9,OR(L1086=0,N1086&lt;6)),1,0)</x:f>
        <x:v>1</x:v>
      </x:c>
      <x:c r="Q1086" s="19" t="n">
        <x:f>IF(AND(SUM(K1086:M1086)&lt;9,OR(K1086=0,N1086&lt;6)),1,0)</x:f>
        <x:v>1</x:v>
      </x:c>
      <x:c r="R1086" s="22" t="str">
        <x:f>O1086&amp;P1086&amp;Q1086</x:f>
        <x:v>111</x:v>
      </x:c>
      <x:c r="S1086" s="19" t="n">
        <x:f>IF(I1086=1,IF(J1086=0,Q1086,IF(J1086=1,P1086,IF(J1086=2,O1086,0))),0)</x:f>
        <x:v>1</x:v>
      </x:c>
      <x:c r="T1086" s="19" t="n">
        <x:f>K1086+IF(AND(S1086=1,J1086=0),1,0)</x:f>
        <x:v>2</x:v>
      </x:c>
      <x:c r="U1086" s="19" t="n">
        <x:f>L1086+IF(AND(S1086=1,J1086=1),1,0)</x:f>
        <x:v>0</x:v>
      </x:c>
      <x:c r="V1086" s="19" t="n">
        <x:f>M1086+IF(AND(S1086=1,J1086=2),1,0)</x:f>
        <x:v>3</x:v>
      </x:c>
      <x:c r="W1086" s="19" t="n">
        <x:f>SUM(T1086:V1086)</x:f>
        <x:v>5</x:v>
      </x:c>
      <x:c r="X1086" s="19" t="n">
        <x:f>W1086-G1086</x:f>
        <x:v>1</x:v>
      </x:c>
      <x:c r="Y1086" s="19" t="n">
        <x:f>MAX(T1086,1)+MAX(U1086,1)+MAX(V1086,1)</x:f>
        <x:v>6</x:v>
      </x:c>
      <x:c r="Z1086" s="21" t="str">
        <x:f>IF(AND(MIN(D1086:F1086)&gt;=0,MAX(D1086:F1086)&lt;=7,MAX(D1086,1)+MAX(E1086,1)+MAX(F1086,1)&lt;=9,OR(H1086="-",AND(H1086=0,D1086&gt;0),AND(H1086=1,E1086&gt;0),AND(H1086=2,F1086&gt;0)),OR(I1086=0,AND(I1086=1,OR(J1086=0,J1086=1,J1086=2),R1086&lt;&gt;"000")),Y1086&lt;=9,MIN(T1086:V1086)&gt;=0),"合法","输入违约")</x:f>
        <x:v>合法</x:v>
      </x:c>
    </x:row>
    <x:row r="1087" ht="23" customHeight="1">
      <x:c r="A1087" s="3" t="str">
        <x:v>CT-1080</x:v>
      </x:c>
      <x:c r="B1087" s="3" t="str">
        <x:v>ST-030</x:v>
      </x:c>
      <x:c r="C1087" s="3" t="str">
        <x:v>仅R回收</x:v>
      </x:c>
      <x:c r="D1087" s="25" t="n">
        <x:v>2</x:v>
      </x:c>
      <x:c r="E1087" s="25" t="n">
        <x:v>0</x:v>
      </x:c>
      <x:c r="F1087" s="25" t="n">
        <x:v>2</x:v>
      </x:c>
      <x:c r="G1087" s="19" t="n">
        <x:f>SUM(D1087:F1087)</x:f>
        <x:v>4</x:v>
      </x:c>
      <x:c r="H1087" s="25" t="n">
        <x:v>0</x:v>
      </x:c>
      <x:c r="I1087" s="25" t="n">
        <x:v>0</x:v>
      </x:c>
      <x:c r="J1087" s="25" t="str">
        <x:v>-</x:v>
      </x:c>
      <x:c r="K1087" s="19" t="n">
        <x:f>D1087-IF(H1087=0,1,0)</x:f>
        <x:v>1</x:v>
      </x:c>
      <x:c r="L1087" s="19" t="n">
        <x:f>E1087-IF(H1087=1,1,0)</x:f>
        <x:v>0</x:v>
      </x:c>
      <x:c r="M1087" s="19" t="n">
        <x:f>F1087-IF(H1087=2,1,0)</x:f>
        <x:v>2</x:v>
      </x:c>
      <x:c r="N1087" s="19" t="n">
        <x:f>MAX(K1087-1,0)+MAX(L1087-1,0)+MAX(M1087-1,0)</x:f>
        <x:v>1</x:v>
      </x:c>
      <x:c r="O1087" s="19" t="n">
        <x:f>IF(AND(SUM(K1087:M1087)&lt;9,OR(M1087=0,N1087&lt;6)),1,0)</x:f>
        <x:v>1</x:v>
      </x:c>
      <x:c r="P1087" s="19" t="n">
        <x:f>IF(AND(SUM(K1087:M1087)&lt;9,OR(L1087=0,N1087&lt;6)),1,0)</x:f>
        <x:v>1</x:v>
      </x:c>
      <x:c r="Q1087" s="19" t="n">
        <x:f>IF(AND(SUM(K1087:M1087)&lt;9,OR(K1087=0,N1087&lt;6)),1,0)</x:f>
        <x:v>1</x:v>
      </x:c>
      <x:c r="R1087" s="22" t="str">
        <x:f>O1087&amp;P1087&amp;Q1087</x:f>
        <x:v>111</x:v>
      </x:c>
      <x:c r="S1087" s="19" t="n">
        <x:f>IF(I1087=1,IF(J1087=0,Q1087,IF(J1087=1,P1087,IF(J1087=2,O1087,0))),0)</x:f>
        <x:v>0</x:v>
      </x:c>
      <x:c r="T1087" s="19" t="n">
        <x:f>K1087+IF(AND(S1087=1,J1087=0),1,0)</x:f>
        <x:v>1</x:v>
      </x:c>
      <x:c r="U1087" s="19" t="n">
        <x:f>L1087+IF(AND(S1087=1,J1087=1),1,0)</x:f>
        <x:v>0</x:v>
      </x:c>
      <x:c r="V1087" s="19" t="n">
        <x:f>M1087+IF(AND(S1087=1,J1087=2),1,0)</x:f>
        <x:v>2</x:v>
      </x:c>
      <x:c r="W1087" s="19" t="n">
        <x:f>SUM(T1087:V1087)</x:f>
        <x:v>3</x:v>
      </x:c>
      <x:c r="X1087" s="19" t="n">
        <x:f>W1087-G1087</x:f>
        <x:v>-1</x:v>
      </x:c>
      <x:c r="Y1087" s="19" t="n">
        <x:f>MAX(T1087,1)+MAX(U1087,1)+MAX(V1087,1)</x:f>
        <x:v>4</x:v>
      </x:c>
      <x:c r="Z1087" s="21" t="str">
        <x:f>IF(AND(MIN(D1087:F1087)&gt;=0,MAX(D1087:F1087)&lt;=7,MAX(D1087,1)+MAX(E1087,1)+MAX(F1087,1)&lt;=9,OR(H1087="-",AND(H1087=0,D1087&gt;0),AND(H1087=1,E1087&gt;0),AND(H1087=2,F1087&gt;0)),OR(I1087=0,AND(I1087=1,OR(J1087=0,J1087=1,J1087=2),R1087&lt;&gt;"000")),Y1087&lt;=9,MIN(T1087:V1087)&gt;=0),"合法","输入违约")</x:f>
        <x:v>合法</x:v>
      </x:c>
    </x:row>
    <x:row r="1088" ht="23" customHeight="1">
      <x:c r="A1088" s="3" t="str">
        <x:v>CT-1081</x:v>
      </x:c>
      <x:c r="B1088" s="3" t="str">
        <x:v>ST-030</x:v>
      </x:c>
      <x:c r="C1088" s="3" t="str">
        <x:v>R+AR同收同发</x:v>
      </x:c>
      <x:c r="D1088" s="25" t="n">
        <x:v>2</x:v>
      </x:c>
      <x:c r="E1088" s="25" t="n">
        <x:v>0</x:v>
      </x:c>
      <x:c r="F1088" s="25" t="n">
        <x:v>2</x:v>
      </x:c>
      <x:c r="G1088" s="19" t="n">
        <x:f>SUM(D1088:F1088)</x:f>
        <x:v>4</x:v>
      </x:c>
      <x:c r="H1088" s="25" t="n">
        <x:v>0</x:v>
      </x:c>
      <x:c r="I1088" s="25" t="n">
        <x:v>1</x:v>
      </x:c>
      <x:c r="J1088" s="25" t="n">
        <x:v>0</x:v>
      </x:c>
      <x:c r="K1088" s="19" t="n">
        <x:f>D1088-IF(H1088=0,1,0)</x:f>
        <x:v>1</x:v>
      </x:c>
      <x:c r="L1088" s="19" t="n">
        <x:f>E1088-IF(H1088=1,1,0)</x:f>
        <x:v>0</x:v>
      </x:c>
      <x:c r="M1088" s="19" t="n">
        <x:f>F1088-IF(H1088=2,1,0)</x:f>
        <x:v>2</x:v>
      </x:c>
      <x:c r="N1088" s="19" t="n">
        <x:f>MAX(K1088-1,0)+MAX(L1088-1,0)+MAX(M1088-1,0)</x:f>
        <x:v>1</x:v>
      </x:c>
      <x:c r="O1088" s="19" t="n">
        <x:f>IF(AND(SUM(K1088:M1088)&lt;9,OR(M1088=0,N1088&lt;6)),1,0)</x:f>
        <x:v>1</x:v>
      </x:c>
      <x:c r="P1088" s="19" t="n">
        <x:f>IF(AND(SUM(K1088:M1088)&lt;9,OR(L1088=0,N1088&lt;6)),1,0)</x:f>
        <x:v>1</x:v>
      </x:c>
      <x:c r="Q1088" s="19" t="n">
        <x:f>IF(AND(SUM(K1088:M1088)&lt;9,OR(K1088=0,N1088&lt;6)),1,0)</x:f>
        <x:v>1</x:v>
      </x:c>
      <x:c r="R1088" s="22" t="str">
        <x:f>O1088&amp;P1088&amp;Q1088</x:f>
        <x:v>111</x:v>
      </x:c>
      <x:c r="S1088" s="19" t="n">
        <x:f>IF(I1088=1,IF(J1088=0,Q1088,IF(J1088=1,P1088,IF(J1088=2,O1088,0))),0)</x:f>
        <x:v>1</x:v>
      </x:c>
      <x:c r="T1088" s="19" t="n">
        <x:f>K1088+IF(AND(S1088=1,J1088=0),1,0)</x:f>
        <x:v>2</x:v>
      </x:c>
      <x:c r="U1088" s="19" t="n">
        <x:f>L1088+IF(AND(S1088=1,J1088=1),1,0)</x:f>
        <x:v>0</x:v>
      </x:c>
      <x:c r="V1088" s="19" t="n">
        <x:f>M1088+IF(AND(S1088=1,J1088=2),1,0)</x:f>
        <x:v>2</x:v>
      </x:c>
      <x:c r="W1088" s="19" t="n">
        <x:f>SUM(T1088:V1088)</x:f>
        <x:v>4</x:v>
      </x:c>
      <x:c r="X1088" s="19" t="n">
        <x:f>W1088-G1088</x:f>
        <x:v>0</x:v>
      </x:c>
      <x:c r="Y1088" s="19" t="n">
        <x:f>MAX(T1088,1)+MAX(U1088,1)+MAX(V1088,1)</x:f>
        <x:v>5</x:v>
      </x:c>
      <x:c r="Z1088" s="21" t="str">
        <x:f>IF(AND(MIN(D1088:F1088)&gt;=0,MAX(D1088:F1088)&lt;=7,MAX(D1088,1)+MAX(E1088,1)+MAX(F1088,1)&lt;=9,OR(H1088="-",AND(H1088=0,D1088&gt;0),AND(H1088=1,E1088&gt;0),AND(H1088=2,F1088&gt;0)),OR(I1088=0,AND(I1088=1,OR(J1088=0,J1088=1,J1088=2),R1088&lt;&gt;"000")),Y1088&lt;=9,MIN(T1088:V1088)&gt;=0),"合法","输入违约")</x:f>
        <x:v>合法</x:v>
      </x:c>
    </x:row>
    <x:row r="1089" ht="23" customHeight="1">
      <x:c r="A1089" s="3" t="str">
        <x:v>CT-1082</x:v>
      </x:c>
      <x:c r="B1089" s="3" t="str">
        <x:v>ST-030</x:v>
      </x:c>
      <x:c r="C1089" s="3" t="str">
        <x:v>R+AR同收同发</x:v>
      </x:c>
      <x:c r="D1089" s="25" t="n">
        <x:v>2</x:v>
      </x:c>
      <x:c r="E1089" s="25" t="n">
        <x:v>0</x:v>
      </x:c>
      <x:c r="F1089" s="25" t="n">
        <x:v>2</x:v>
      </x:c>
      <x:c r="G1089" s="19" t="n">
        <x:f>SUM(D1089:F1089)</x:f>
        <x:v>4</x:v>
      </x:c>
      <x:c r="H1089" s="25" t="n">
        <x:v>0</x:v>
      </x:c>
      <x:c r="I1089" s="25" t="n">
        <x:v>1</x:v>
      </x:c>
      <x:c r="J1089" s="25" t="n">
        <x:v>1</x:v>
      </x:c>
      <x:c r="K1089" s="19" t="n">
        <x:f>D1089-IF(H1089=0,1,0)</x:f>
        <x:v>1</x:v>
      </x:c>
      <x:c r="L1089" s="19" t="n">
        <x:f>E1089-IF(H1089=1,1,0)</x:f>
        <x:v>0</x:v>
      </x:c>
      <x:c r="M1089" s="19" t="n">
        <x:f>F1089-IF(H1089=2,1,0)</x:f>
        <x:v>2</x:v>
      </x:c>
      <x:c r="N1089" s="19" t="n">
        <x:f>MAX(K1089-1,0)+MAX(L1089-1,0)+MAX(M1089-1,0)</x:f>
        <x:v>1</x:v>
      </x:c>
      <x:c r="O1089" s="19" t="n">
        <x:f>IF(AND(SUM(K1089:M1089)&lt;9,OR(M1089=0,N1089&lt;6)),1,0)</x:f>
        <x:v>1</x:v>
      </x:c>
      <x:c r="P1089" s="19" t="n">
        <x:f>IF(AND(SUM(K1089:M1089)&lt;9,OR(L1089=0,N1089&lt;6)),1,0)</x:f>
        <x:v>1</x:v>
      </x:c>
      <x:c r="Q1089" s="19" t="n">
        <x:f>IF(AND(SUM(K1089:M1089)&lt;9,OR(K1089=0,N1089&lt;6)),1,0)</x:f>
        <x:v>1</x:v>
      </x:c>
      <x:c r="R1089" s="22" t="str">
        <x:f>O1089&amp;P1089&amp;Q1089</x:f>
        <x:v>111</x:v>
      </x:c>
      <x:c r="S1089" s="19" t="n">
        <x:f>IF(I1089=1,IF(J1089=0,Q1089,IF(J1089=1,P1089,IF(J1089=2,O1089,0))),0)</x:f>
        <x:v>1</x:v>
      </x:c>
      <x:c r="T1089" s="19" t="n">
        <x:f>K1089+IF(AND(S1089=1,J1089=0),1,0)</x:f>
        <x:v>1</x:v>
      </x:c>
      <x:c r="U1089" s="19" t="n">
        <x:f>L1089+IF(AND(S1089=1,J1089=1),1,0)</x:f>
        <x:v>1</x:v>
      </x:c>
      <x:c r="V1089" s="19" t="n">
        <x:f>M1089+IF(AND(S1089=1,J1089=2),1,0)</x:f>
        <x:v>2</x:v>
      </x:c>
      <x:c r="W1089" s="19" t="n">
        <x:f>SUM(T1089:V1089)</x:f>
        <x:v>4</x:v>
      </x:c>
      <x:c r="X1089" s="19" t="n">
        <x:f>W1089-G1089</x:f>
        <x:v>0</x:v>
      </x:c>
      <x:c r="Y1089" s="19" t="n">
        <x:f>MAX(T1089,1)+MAX(U1089,1)+MAX(V1089,1)</x:f>
        <x:v>4</x:v>
      </x:c>
      <x:c r="Z1089" s="21" t="str">
        <x:f>IF(AND(MIN(D1089:F1089)&gt;=0,MAX(D1089:F1089)&lt;=7,MAX(D1089,1)+MAX(E1089,1)+MAX(F1089,1)&lt;=9,OR(H1089="-",AND(H1089=0,D1089&gt;0),AND(H1089=1,E1089&gt;0),AND(H1089=2,F1089&gt;0)),OR(I1089=0,AND(I1089=1,OR(J1089=0,J1089=1,J1089=2),R1089&lt;&gt;"000")),Y1089&lt;=9,MIN(T1089:V1089)&gt;=0),"合法","输入违约")</x:f>
        <x:v>合法</x:v>
      </x:c>
    </x:row>
    <x:row r="1090" ht="23" customHeight="1">
      <x:c r="A1090" s="3" t="str">
        <x:v>CT-1083</x:v>
      </x:c>
      <x:c r="B1090" s="3" t="str">
        <x:v>ST-030</x:v>
      </x:c>
      <x:c r="C1090" s="3" t="str">
        <x:v>R+AR同收同发</x:v>
      </x:c>
      <x:c r="D1090" s="25" t="n">
        <x:v>2</x:v>
      </x:c>
      <x:c r="E1090" s="25" t="n">
        <x:v>0</x:v>
      </x:c>
      <x:c r="F1090" s="25" t="n">
        <x:v>2</x:v>
      </x:c>
      <x:c r="G1090" s="19" t="n">
        <x:f>SUM(D1090:F1090)</x:f>
        <x:v>4</x:v>
      </x:c>
      <x:c r="H1090" s="25" t="n">
        <x:v>0</x:v>
      </x:c>
      <x:c r="I1090" s="25" t="n">
        <x:v>1</x:v>
      </x:c>
      <x:c r="J1090" s="25" t="n">
        <x:v>2</x:v>
      </x:c>
      <x:c r="K1090" s="19" t="n">
        <x:f>D1090-IF(H1090=0,1,0)</x:f>
        <x:v>1</x:v>
      </x:c>
      <x:c r="L1090" s="19" t="n">
        <x:f>E1090-IF(H1090=1,1,0)</x:f>
        <x:v>0</x:v>
      </x:c>
      <x:c r="M1090" s="19" t="n">
        <x:f>F1090-IF(H1090=2,1,0)</x:f>
        <x:v>2</x:v>
      </x:c>
      <x:c r="N1090" s="19" t="n">
        <x:f>MAX(K1090-1,0)+MAX(L1090-1,0)+MAX(M1090-1,0)</x:f>
        <x:v>1</x:v>
      </x:c>
      <x:c r="O1090" s="19" t="n">
        <x:f>IF(AND(SUM(K1090:M1090)&lt;9,OR(M1090=0,N1090&lt;6)),1,0)</x:f>
        <x:v>1</x:v>
      </x:c>
      <x:c r="P1090" s="19" t="n">
        <x:f>IF(AND(SUM(K1090:M1090)&lt;9,OR(L1090=0,N1090&lt;6)),1,0)</x:f>
        <x:v>1</x:v>
      </x:c>
      <x:c r="Q1090" s="19" t="n">
        <x:f>IF(AND(SUM(K1090:M1090)&lt;9,OR(K1090=0,N1090&lt;6)),1,0)</x:f>
        <x:v>1</x:v>
      </x:c>
      <x:c r="R1090" s="22" t="str">
        <x:f>O1090&amp;P1090&amp;Q1090</x:f>
        <x:v>111</x:v>
      </x:c>
      <x:c r="S1090" s="19" t="n">
        <x:f>IF(I1090=1,IF(J1090=0,Q1090,IF(J1090=1,P1090,IF(J1090=2,O1090,0))),0)</x:f>
        <x:v>1</x:v>
      </x:c>
      <x:c r="T1090" s="19" t="n">
        <x:f>K1090+IF(AND(S1090=1,J1090=0),1,0)</x:f>
        <x:v>1</x:v>
      </x:c>
      <x:c r="U1090" s="19" t="n">
        <x:f>L1090+IF(AND(S1090=1,J1090=1),1,0)</x:f>
        <x:v>0</x:v>
      </x:c>
      <x:c r="V1090" s="19" t="n">
        <x:f>M1090+IF(AND(S1090=1,J1090=2),1,0)</x:f>
        <x:v>3</x:v>
      </x:c>
      <x:c r="W1090" s="19" t="n">
        <x:f>SUM(T1090:V1090)</x:f>
        <x:v>4</x:v>
      </x:c>
      <x:c r="X1090" s="19" t="n">
        <x:f>W1090-G1090</x:f>
        <x:v>0</x:v>
      </x:c>
      <x:c r="Y1090" s="19" t="n">
        <x:f>MAX(T1090,1)+MAX(U1090,1)+MAX(V1090,1)</x:f>
        <x:v>5</x:v>
      </x:c>
      <x:c r="Z1090" s="21" t="str">
        <x:f>IF(AND(MIN(D1090:F1090)&gt;=0,MAX(D1090:F1090)&lt;=7,MAX(D1090,1)+MAX(E1090,1)+MAX(F1090,1)&lt;=9,OR(H1090="-",AND(H1090=0,D1090&gt;0),AND(H1090=1,E1090&gt;0),AND(H1090=2,F1090&gt;0)),OR(I1090=0,AND(I1090=1,OR(J1090=0,J1090=1,J1090=2),R1090&lt;&gt;"000")),Y1090&lt;=9,MIN(T1090:V1090)&gt;=0),"合法","输入违约")</x:f>
        <x:v>合法</x:v>
      </x:c>
    </x:row>
    <x:row r="1091" ht="23" customHeight="1">
      <x:c r="A1091" s="3" t="str">
        <x:v>CT-1084</x:v>
      </x:c>
      <x:c r="B1091" s="3" t="str">
        <x:v>ST-030</x:v>
      </x:c>
      <x:c r="C1091" s="3" t="str">
        <x:v>仅R回收</x:v>
      </x:c>
      <x:c r="D1091" s="25" t="n">
        <x:v>2</x:v>
      </x:c>
      <x:c r="E1091" s="25" t="n">
        <x:v>0</x:v>
      </x:c>
      <x:c r="F1091" s="25" t="n">
        <x:v>2</x:v>
      </x:c>
      <x:c r="G1091" s="19" t="n">
        <x:f>SUM(D1091:F1091)</x:f>
        <x:v>4</x:v>
      </x:c>
      <x:c r="H1091" s="25" t="n">
        <x:v>2</x:v>
      </x:c>
      <x:c r="I1091" s="25" t="n">
        <x:v>0</x:v>
      </x:c>
      <x:c r="J1091" s="25" t="str">
        <x:v>-</x:v>
      </x:c>
      <x:c r="K1091" s="19" t="n">
        <x:f>D1091-IF(H1091=0,1,0)</x:f>
        <x:v>2</x:v>
      </x:c>
      <x:c r="L1091" s="19" t="n">
        <x:f>E1091-IF(H1091=1,1,0)</x:f>
        <x:v>0</x:v>
      </x:c>
      <x:c r="M1091" s="19" t="n">
        <x:f>F1091-IF(H1091=2,1,0)</x:f>
        <x:v>1</x:v>
      </x:c>
      <x:c r="N1091" s="19" t="n">
        <x:f>MAX(K1091-1,0)+MAX(L1091-1,0)+MAX(M1091-1,0)</x:f>
        <x:v>1</x:v>
      </x:c>
      <x:c r="O1091" s="19" t="n">
        <x:f>IF(AND(SUM(K1091:M1091)&lt;9,OR(M1091=0,N1091&lt;6)),1,0)</x:f>
        <x:v>1</x:v>
      </x:c>
      <x:c r="P1091" s="19" t="n">
        <x:f>IF(AND(SUM(K1091:M1091)&lt;9,OR(L1091=0,N1091&lt;6)),1,0)</x:f>
        <x:v>1</x:v>
      </x:c>
      <x:c r="Q1091" s="19" t="n">
        <x:f>IF(AND(SUM(K1091:M1091)&lt;9,OR(K1091=0,N1091&lt;6)),1,0)</x:f>
        <x:v>1</x:v>
      </x:c>
      <x:c r="R1091" s="22" t="str">
        <x:f>O1091&amp;P1091&amp;Q1091</x:f>
        <x:v>111</x:v>
      </x:c>
      <x:c r="S1091" s="19" t="n">
        <x:f>IF(I1091=1,IF(J1091=0,Q1091,IF(J1091=1,P1091,IF(J1091=2,O1091,0))),0)</x:f>
        <x:v>0</x:v>
      </x:c>
      <x:c r="T1091" s="19" t="n">
        <x:f>K1091+IF(AND(S1091=1,J1091=0),1,0)</x:f>
        <x:v>2</x:v>
      </x:c>
      <x:c r="U1091" s="19" t="n">
        <x:f>L1091+IF(AND(S1091=1,J1091=1),1,0)</x:f>
        <x:v>0</x:v>
      </x:c>
      <x:c r="V1091" s="19" t="n">
        <x:f>M1091+IF(AND(S1091=1,J1091=2),1,0)</x:f>
        <x:v>1</x:v>
      </x:c>
      <x:c r="W1091" s="19" t="n">
        <x:f>SUM(T1091:V1091)</x:f>
        <x:v>3</x:v>
      </x:c>
      <x:c r="X1091" s="19" t="n">
        <x:f>W1091-G1091</x:f>
        <x:v>-1</x:v>
      </x:c>
      <x:c r="Y1091" s="19" t="n">
        <x:f>MAX(T1091,1)+MAX(U1091,1)+MAX(V1091,1)</x:f>
        <x:v>4</x:v>
      </x:c>
      <x:c r="Z1091" s="21" t="str">
        <x:f>IF(AND(MIN(D1091:F1091)&gt;=0,MAX(D1091:F1091)&lt;=7,MAX(D1091,1)+MAX(E1091,1)+MAX(F1091,1)&lt;=9,OR(H1091="-",AND(H1091=0,D1091&gt;0),AND(H1091=1,E1091&gt;0),AND(H1091=2,F1091&gt;0)),OR(I1091=0,AND(I1091=1,OR(J1091=0,J1091=1,J1091=2),R1091&lt;&gt;"000")),Y1091&lt;=9,MIN(T1091:V1091)&gt;=0),"合法","输入违约")</x:f>
        <x:v>合法</x:v>
      </x:c>
    </x:row>
    <x:row r="1092" ht="23" customHeight="1">
      <x:c r="A1092" s="3" t="str">
        <x:v>CT-1085</x:v>
      </x:c>
      <x:c r="B1092" s="3" t="str">
        <x:v>ST-030</x:v>
      </x:c>
      <x:c r="C1092" s="3" t="str">
        <x:v>R+AR同收同发</x:v>
      </x:c>
      <x:c r="D1092" s="25" t="n">
        <x:v>2</x:v>
      </x:c>
      <x:c r="E1092" s="25" t="n">
        <x:v>0</x:v>
      </x:c>
      <x:c r="F1092" s="25" t="n">
        <x:v>2</x:v>
      </x:c>
      <x:c r="G1092" s="19" t="n">
        <x:f>SUM(D1092:F1092)</x:f>
        <x:v>4</x:v>
      </x:c>
      <x:c r="H1092" s="25" t="n">
        <x:v>2</x:v>
      </x:c>
      <x:c r="I1092" s="25" t="n">
        <x:v>1</x:v>
      </x:c>
      <x:c r="J1092" s="25" t="n">
        <x:v>0</x:v>
      </x:c>
      <x:c r="K1092" s="19" t="n">
        <x:f>D1092-IF(H1092=0,1,0)</x:f>
        <x:v>2</x:v>
      </x:c>
      <x:c r="L1092" s="19" t="n">
        <x:f>E1092-IF(H1092=1,1,0)</x:f>
        <x:v>0</x:v>
      </x:c>
      <x:c r="M1092" s="19" t="n">
        <x:f>F1092-IF(H1092=2,1,0)</x:f>
        <x:v>1</x:v>
      </x:c>
      <x:c r="N1092" s="19" t="n">
        <x:f>MAX(K1092-1,0)+MAX(L1092-1,0)+MAX(M1092-1,0)</x:f>
        <x:v>1</x:v>
      </x:c>
      <x:c r="O1092" s="19" t="n">
        <x:f>IF(AND(SUM(K1092:M1092)&lt;9,OR(M1092=0,N1092&lt;6)),1,0)</x:f>
        <x:v>1</x:v>
      </x:c>
      <x:c r="P1092" s="19" t="n">
        <x:f>IF(AND(SUM(K1092:M1092)&lt;9,OR(L1092=0,N1092&lt;6)),1,0)</x:f>
        <x:v>1</x:v>
      </x:c>
      <x:c r="Q1092" s="19" t="n">
        <x:f>IF(AND(SUM(K1092:M1092)&lt;9,OR(K1092=0,N1092&lt;6)),1,0)</x:f>
        <x:v>1</x:v>
      </x:c>
      <x:c r="R1092" s="22" t="str">
        <x:f>O1092&amp;P1092&amp;Q1092</x:f>
        <x:v>111</x:v>
      </x:c>
      <x:c r="S1092" s="19" t="n">
        <x:f>IF(I1092=1,IF(J1092=0,Q1092,IF(J1092=1,P1092,IF(J1092=2,O1092,0))),0)</x:f>
        <x:v>1</x:v>
      </x:c>
      <x:c r="T1092" s="19" t="n">
        <x:f>K1092+IF(AND(S1092=1,J1092=0),1,0)</x:f>
        <x:v>3</x:v>
      </x:c>
      <x:c r="U1092" s="19" t="n">
        <x:f>L1092+IF(AND(S1092=1,J1092=1),1,0)</x:f>
        <x:v>0</x:v>
      </x:c>
      <x:c r="V1092" s="19" t="n">
        <x:f>M1092+IF(AND(S1092=1,J1092=2),1,0)</x:f>
        <x:v>1</x:v>
      </x:c>
      <x:c r="W1092" s="19" t="n">
        <x:f>SUM(T1092:V1092)</x:f>
        <x:v>4</x:v>
      </x:c>
      <x:c r="X1092" s="19" t="n">
        <x:f>W1092-G1092</x:f>
        <x:v>0</x:v>
      </x:c>
      <x:c r="Y1092" s="19" t="n">
        <x:f>MAX(T1092,1)+MAX(U1092,1)+MAX(V1092,1)</x:f>
        <x:v>5</x:v>
      </x:c>
      <x:c r="Z1092" s="21" t="str">
        <x:f>IF(AND(MIN(D1092:F1092)&gt;=0,MAX(D1092:F1092)&lt;=7,MAX(D1092,1)+MAX(E1092,1)+MAX(F1092,1)&lt;=9,OR(H1092="-",AND(H1092=0,D1092&gt;0),AND(H1092=1,E1092&gt;0),AND(H1092=2,F1092&gt;0)),OR(I1092=0,AND(I1092=1,OR(J1092=0,J1092=1,J1092=2),R1092&lt;&gt;"000")),Y1092&lt;=9,MIN(T1092:V1092)&gt;=0),"合法","输入违约")</x:f>
        <x:v>合法</x:v>
      </x:c>
    </x:row>
    <x:row r="1093" ht="23" customHeight="1">
      <x:c r="A1093" s="3" t="str">
        <x:v>CT-1086</x:v>
      </x:c>
      <x:c r="B1093" s="3" t="str">
        <x:v>ST-030</x:v>
      </x:c>
      <x:c r="C1093" s="3" t="str">
        <x:v>R+AR同收同发</x:v>
      </x:c>
      <x:c r="D1093" s="25" t="n">
        <x:v>2</x:v>
      </x:c>
      <x:c r="E1093" s="25" t="n">
        <x:v>0</x:v>
      </x:c>
      <x:c r="F1093" s="25" t="n">
        <x:v>2</x:v>
      </x:c>
      <x:c r="G1093" s="19" t="n">
        <x:f>SUM(D1093:F1093)</x:f>
        <x:v>4</x:v>
      </x:c>
      <x:c r="H1093" s="25" t="n">
        <x:v>2</x:v>
      </x:c>
      <x:c r="I1093" s="25" t="n">
        <x:v>1</x:v>
      </x:c>
      <x:c r="J1093" s="25" t="n">
        <x:v>1</x:v>
      </x:c>
      <x:c r="K1093" s="19" t="n">
        <x:f>D1093-IF(H1093=0,1,0)</x:f>
        <x:v>2</x:v>
      </x:c>
      <x:c r="L1093" s="19" t="n">
        <x:f>E1093-IF(H1093=1,1,0)</x:f>
        <x:v>0</x:v>
      </x:c>
      <x:c r="M1093" s="19" t="n">
        <x:f>F1093-IF(H1093=2,1,0)</x:f>
        <x:v>1</x:v>
      </x:c>
      <x:c r="N1093" s="19" t="n">
        <x:f>MAX(K1093-1,0)+MAX(L1093-1,0)+MAX(M1093-1,0)</x:f>
        <x:v>1</x:v>
      </x:c>
      <x:c r="O1093" s="19" t="n">
        <x:f>IF(AND(SUM(K1093:M1093)&lt;9,OR(M1093=0,N1093&lt;6)),1,0)</x:f>
        <x:v>1</x:v>
      </x:c>
      <x:c r="P1093" s="19" t="n">
        <x:f>IF(AND(SUM(K1093:M1093)&lt;9,OR(L1093=0,N1093&lt;6)),1,0)</x:f>
        <x:v>1</x:v>
      </x:c>
      <x:c r="Q1093" s="19" t="n">
        <x:f>IF(AND(SUM(K1093:M1093)&lt;9,OR(K1093=0,N1093&lt;6)),1,0)</x:f>
        <x:v>1</x:v>
      </x:c>
      <x:c r="R1093" s="22" t="str">
        <x:f>O1093&amp;P1093&amp;Q1093</x:f>
        <x:v>111</x:v>
      </x:c>
      <x:c r="S1093" s="19" t="n">
        <x:f>IF(I1093=1,IF(J1093=0,Q1093,IF(J1093=1,P1093,IF(J1093=2,O1093,0))),0)</x:f>
        <x:v>1</x:v>
      </x:c>
      <x:c r="T1093" s="19" t="n">
        <x:f>K1093+IF(AND(S1093=1,J1093=0),1,0)</x:f>
        <x:v>2</x:v>
      </x:c>
      <x:c r="U1093" s="19" t="n">
        <x:f>L1093+IF(AND(S1093=1,J1093=1),1,0)</x:f>
        <x:v>1</x:v>
      </x:c>
      <x:c r="V1093" s="19" t="n">
        <x:f>M1093+IF(AND(S1093=1,J1093=2),1,0)</x:f>
        <x:v>1</x:v>
      </x:c>
      <x:c r="W1093" s="19" t="n">
        <x:f>SUM(T1093:V1093)</x:f>
        <x:v>4</x:v>
      </x:c>
      <x:c r="X1093" s="19" t="n">
        <x:f>W1093-G1093</x:f>
        <x:v>0</x:v>
      </x:c>
      <x:c r="Y1093" s="19" t="n">
        <x:f>MAX(T1093,1)+MAX(U1093,1)+MAX(V1093,1)</x:f>
        <x:v>4</x:v>
      </x:c>
      <x:c r="Z1093" s="21" t="str">
        <x:f>IF(AND(MIN(D1093:F1093)&gt;=0,MAX(D1093:F1093)&lt;=7,MAX(D1093,1)+MAX(E1093,1)+MAX(F1093,1)&lt;=9,OR(H1093="-",AND(H1093=0,D1093&gt;0),AND(H1093=1,E1093&gt;0),AND(H1093=2,F1093&gt;0)),OR(I1093=0,AND(I1093=1,OR(J1093=0,J1093=1,J1093=2),R1093&lt;&gt;"000")),Y1093&lt;=9,MIN(T1093:V1093)&gt;=0),"合法","输入违约")</x:f>
        <x:v>合法</x:v>
      </x:c>
    </x:row>
    <x:row r="1094" ht="23" customHeight="1">
      <x:c r="A1094" s="3" t="str">
        <x:v>CT-1087</x:v>
      </x:c>
      <x:c r="B1094" s="3" t="str">
        <x:v>ST-030</x:v>
      </x:c>
      <x:c r="C1094" s="3" t="str">
        <x:v>R+AR同收同发</x:v>
      </x:c>
      <x:c r="D1094" s="25" t="n">
        <x:v>2</x:v>
      </x:c>
      <x:c r="E1094" s="25" t="n">
        <x:v>0</x:v>
      </x:c>
      <x:c r="F1094" s="25" t="n">
        <x:v>2</x:v>
      </x:c>
      <x:c r="G1094" s="19" t="n">
        <x:f>SUM(D1094:F1094)</x:f>
        <x:v>4</x:v>
      </x:c>
      <x:c r="H1094" s="25" t="n">
        <x:v>2</x:v>
      </x:c>
      <x:c r="I1094" s="25" t="n">
        <x:v>1</x:v>
      </x:c>
      <x:c r="J1094" s="25" t="n">
        <x:v>2</x:v>
      </x:c>
      <x:c r="K1094" s="19" t="n">
        <x:f>D1094-IF(H1094=0,1,0)</x:f>
        <x:v>2</x:v>
      </x:c>
      <x:c r="L1094" s="19" t="n">
        <x:f>E1094-IF(H1094=1,1,0)</x:f>
        <x:v>0</x:v>
      </x:c>
      <x:c r="M1094" s="19" t="n">
        <x:f>F1094-IF(H1094=2,1,0)</x:f>
        <x:v>1</x:v>
      </x:c>
      <x:c r="N1094" s="19" t="n">
        <x:f>MAX(K1094-1,0)+MAX(L1094-1,0)+MAX(M1094-1,0)</x:f>
        <x:v>1</x:v>
      </x:c>
      <x:c r="O1094" s="19" t="n">
        <x:f>IF(AND(SUM(K1094:M1094)&lt;9,OR(M1094=0,N1094&lt;6)),1,0)</x:f>
        <x:v>1</x:v>
      </x:c>
      <x:c r="P1094" s="19" t="n">
        <x:f>IF(AND(SUM(K1094:M1094)&lt;9,OR(L1094=0,N1094&lt;6)),1,0)</x:f>
        <x:v>1</x:v>
      </x:c>
      <x:c r="Q1094" s="19" t="n">
        <x:f>IF(AND(SUM(K1094:M1094)&lt;9,OR(K1094=0,N1094&lt;6)),1,0)</x:f>
        <x:v>1</x:v>
      </x:c>
      <x:c r="R1094" s="22" t="str">
        <x:f>O1094&amp;P1094&amp;Q1094</x:f>
        <x:v>111</x:v>
      </x:c>
      <x:c r="S1094" s="19" t="n">
        <x:f>IF(I1094=1,IF(J1094=0,Q1094,IF(J1094=1,P1094,IF(J1094=2,O1094,0))),0)</x:f>
        <x:v>1</x:v>
      </x:c>
      <x:c r="T1094" s="19" t="n">
        <x:f>K1094+IF(AND(S1094=1,J1094=0),1,0)</x:f>
        <x:v>2</x:v>
      </x:c>
      <x:c r="U1094" s="19" t="n">
        <x:f>L1094+IF(AND(S1094=1,J1094=1),1,0)</x:f>
        <x:v>0</x:v>
      </x:c>
      <x:c r="V1094" s="19" t="n">
        <x:f>M1094+IF(AND(S1094=1,J1094=2),1,0)</x:f>
        <x:v>2</x:v>
      </x:c>
      <x:c r="W1094" s="19" t="n">
        <x:f>SUM(T1094:V1094)</x:f>
        <x:v>4</x:v>
      </x:c>
      <x:c r="X1094" s="19" t="n">
        <x:f>W1094-G1094</x:f>
        <x:v>0</x:v>
      </x:c>
      <x:c r="Y1094" s="19" t="n">
        <x:f>MAX(T1094,1)+MAX(U1094,1)+MAX(V1094,1)</x:f>
        <x:v>5</x:v>
      </x:c>
      <x:c r="Z1094" s="21" t="str">
        <x:f>IF(AND(MIN(D1094:F1094)&gt;=0,MAX(D1094:F1094)&lt;=7,MAX(D1094,1)+MAX(E1094,1)+MAX(F1094,1)&lt;=9,OR(H1094="-",AND(H1094=0,D1094&gt;0),AND(H1094=1,E1094&gt;0),AND(H1094=2,F1094&gt;0)),OR(I1094=0,AND(I1094=1,OR(J1094=0,J1094=1,J1094=2),R1094&lt;&gt;"000")),Y1094&lt;=9,MIN(T1094:V1094)&gt;=0),"合法","输入违约")</x:f>
        <x:v>合法</x:v>
      </x:c>
    </x:row>
    <x:row r="1095" ht="23" customHeight="1">
      <x:c r="A1095" s="3" t="str">
        <x:v>CT-1088</x:v>
      </x:c>
      <x:c r="B1095" s="3" t="str">
        <x:v>ST-047</x:v>
      </x:c>
      <x:c r="C1095" s="3" t="str">
        <x:v>无AR/R</x:v>
      </x:c>
      <x:c r="D1095" s="25" t="n">
        <x:v>2</x:v>
      </x:c>
      <x:c r="E1095" s="25" t="n">
        <x:v>0</x:v>
      </x:c>
      <x:c r="F1095" s="25" t="n">
        <x:v>3</x:v>
      </x:c>
      <x:c r="G1095" s="19" t="n">
        <x:f>SUM(D1095:F1095)</x:f>
        <x:v>5</x:v>
      </x:c>
      <x:c r="H1095" s="25" t="str">
        <x:v>-</x:v>
      </x:c>
      <x:c r="I1095" s="25" t="n">
        <x:v>0</x:v>
      </x:c>
      <x:c r="J1095" s="25" t="str">
        <x:v>-</x:v>
      </x:c>
      <x:c r="K1095" s="19" t="n">
        <x:f>D1095-IF(H1095=0,1,0)</x:f>
        <x:v>2</x:v>
      </x:c>
      <x:c r="L1095" s="19" t="n">
        <x:f>E1095-IF(H1095=1,1,0)</x:f>
        <x:v>0</x:v>
      </x:c>
      <x:c r="M1095" s="19" t="n">
        <x:f>F1095-IF(H1095=2,1,0)</x:f>
        <x:v>3</x:v>
      </x:c>
      <x:c r="N1095" s="19" t="n">
        <x:f>MAX(K1095-1,0)+MAX(L1095-1,0)+MAX(M1095-1,0)</x:f>
        <x:v>3</x:v>
      </x:c>
      <x:c r="O1095" s="19" t="n">
        <x:f>IF(AND(SUM(K1095:M1095)&lt;9,OR(M1095=0,N1095&lt;6)),1,0)</x:f>
        <x:v>1</x:v>
      </x:c>
      <x:c r="P1095" s="19" t="n">
        <x:f>IF(AND(SUM(K1095:M1095)&lt;9,OR(L1095=0,N1095&lt;6)),1,0)</x:f>
        <x:v>1</x:v>
      </x:c>
      <x:c r="Q1095" s="19" t="n">
        <x:f>IF(AND(SUM(K1095:M1095)&lt;9,OR(K1095=0,N1095&lt;6)),1,0)</x:f>
        <x:v>1</x:v>
      </x:c>
      <x:c r="R1095" s="22" t="str">
        <x:f>O1095&amp;P1095&amp;Q1095</x:f>
        <x:v>111</x:v>
      </x:c>
      <x:c r="S1095" s="19" t="n">
        <x:f>IF(I1095=1,IF(J1095=0,Q1095,IF(J1095=1,P1095,IF(J1095=2,O1095,0))),0)</x:f>
        <x:v>0</x:v>
      </x:c>
      <x:c r="T1095" s="19" t="n">
        <x:f>K1095+IF(AND(S1095=1,J1095=0),1,0)</x:f>
        <x:v>2</x:v>
      </x:c>
      <x:c r="U1095" s="19" t="n">
        <x:f>L1095+IF(AND(S1095=1,J1095=1),1,0)</x:f>
        <x:v>0</x:v>
      </x:c>
      <x:c r="V1095" s="19" t="n">
        <x:f>M1095+IF(AND(S1095=1,J1095=2),1,0)</x:f>
        <x:v>3</x:v>
      </x:c>
      <x:c r="W1095" s="19" t="n">
        <x:f>SUM(T1095:V1095)</x:f>
        <x:v>5</x:v>
      </x:c>
      <x:c r="X1095" s="19" t="n">
        <x:f>W1095-G1095</x:f>
        <x:v>0</x:v>
      </x:c>
      <x:c r="Y1095" s="19" t="n">
        <x:f>MAX(T1095,1)+MAX(U1095,1)+MAX(V1095,1)</x:f>
        <x:v>6</x:v>
      </x:c>
      <x:c r="Z1095" s="21" t="str">
        <x:f>IF(AND(MIN(D1095:F1095)&gt;=0,MAX(D1095:F1095)&lt;=7,MAX(D1095,1)+MAX(E1095,1)+MAX(F1095,1)&lt;=9,OR(H1095="-",AND(H1095=0,D1095&gt;0),AND(H1095=1,E1095&gt;0),AND(H1095=2,F1095&gt;0)),OR(I1095=0,AND(I1095=1,OR(J1095=0,J1095=1,J1095=2),R1095&lt;&gt;"000")),Y1095&lt;=9,MIN(T1095:V1095)&gt;=0),"合法","输入违约")</x:f>
        <x:v>合法</x:v>
      </x:c>
    </x:row>
    <x:row r="1096" ht="23" customHeight="1">
      <x:c r="A1096" s="3" t="str">
        <x:v>CT-1089</x:v>
      </x:c>
      <x:c r="B1096" s="3" t="str">
        <x:v>ST-047</x:v>
      </x:c>
      <x:c r="C1096" s="3" t="str">
        <x:v>仅AR接收</x:v>
      </x:c>
      <x:c r="D1096" s="25" t="n">
        <x:v>2</x:v>
      </x:c>
      <x:c r="E1096" s="25" t="n">
        <x:v>0</x:v>
      </x:c>
      <x:c r="F1096" s="25" t="n">
        <x:v>3</x:v>
      </x:c>
      <x:c r="G1096" s="19" t="n">
        <x:f>SUM(D1096:F1096)</x:f>
        <x:v>5</x:v>
      </x:c>
      <x:c r="H1096" s="25" t="str">
        <x:v>-</x:v>
      </x:c>
      <x:c r="I1096" s="25" t="n">
        <x:v>1</x:v>
      </x:c>
      <x:c r="J1096" s="25" t="n">
        <x:v>0</x:v>
      </x:c>
      <x:c r="K1096" s="19" t="n">
        <x:f>D1096-IF(H1096=0,1,0)</x:f>
        <x:v>2</x:v>
      </x:c>
      <x:c r="L1096" s="19" t="n">
        <x:f>E1096-IF(H1096=1,1,0)</x:f>
        <x:v>0</x:v>
      </x:c>
      <x:c r="M1096" s="19" t="n">
        <x:f>F1096-IF(H1096=2,1,0)</x:f>
        <x:v>3</x:v>
      </x:c>
      <x:c r="N1096" s="19" t="n">
        <x:f>MAX(K1096-1,0)+MAX(L1096-1,0)+MAX(M1096-1,0)</x:f>
        <x:v>3</x:v>
      </x:c>
      <x:c r="O1096" s="19" t="n">
        <x:f>IF(AND(SUM(K1096:M1096)&lt;9,OR(M1096=0,N1096&lt;6)),1,0)</x:f>
        <x:v>1</x:v>
      </x:c>
      <x:c r="P1096" s="19" t="n">
        <x:f>IF(AND(SUM(K1096:M1096)&lt;9,OR(L1096=0,N1096&lt;6)),1,0)</x:f>
        <x:v>1</x:v>
      </x:c>
      <x:c r="Q1096" s="19" t="n">
        <x:f>IF(AND(SUM(K1096:M1096)&lt;9,OR(K1096=0,N1096&lt;6)),1,0)</x:f>
        <x:v>1</x:v>
      </x:c>
      <x:c r="R1096" s="22" t="str">
        <x:f>O1096&amp;P1096&amp;Q1096</x:f>
        <x:v>111</x:v>
      </x:c>
      <x:c r="S1096" s="19" t="n">
        <x:f>IF(I1096=1,IF(J1096=0,Q1096,IF(J1096=1,P1096,IF(J1096=2,O1096,0))),0)</x:f>
        <x:v>1</x:v>
      </x:c>
      <x:c r="T1096" s="19" t="n">
        <x:f>K1096+IF(AND(S1096=1,J1096=0),1,0)</x:f>
        <x:v>3</x:v>
      </x:c>
      <x:c r="U1096" s="19" t="n">
        <x:f>L1096+IF(AND(S1096=1,J1096=1),1,0)</x:f>
        <x:v>0</x:v>
      </x:c>
      <x:c r="V1096" s="19" t="n">
        <x:f>M1096+IF(AND(S1096=1,J1096=2),1,0)</x:f>
        <x:v>3</x:v>
      </x:c>
      <x:c r="W1096" s="19" t="n">
        <x:f>SUM(T1096:V1096)</x:f>
        <x:v>6</x:v>
      </x:c>
      <x:c r="X1096" s="19" t="n">
        <x:f>W1096-G1096</x:f>
        <x:v>1</x:v>
      </x:c>
      <x:c r="Y1096" s="19" t="n">
        <x:f>MAX(T1096,1)+MAX(U1096,1)+MAX(V1096,1)</x:f>
        <x:v>7</x:v>
      </x:c>
      <x:c r="Z1096" s="21" t="str">
        <x:f>IF(AND(MIN(D1096:F1096)&gt;=0,MAX(D1096:F1096)&lt;=7,MAX(D1096,1)+MAX(E1096,1)+MAX(F1096,1)&lt;=9,OR(H1096="-",AND(H1096=0,D1096&gt;0),AND(H1096=1,E1096&gt;0),AND(H1096=2,F1096&gt;0)),OR(I1096=0,AND(I1096=1,OR(J1096=0,J1096=1,J1096=2),R1096&lt;&gt;"000")),Y1096&lt;=9,MIN(T1096:V1096)&gt;=0),"合法","输入违约")</x:f>
        <x:v>合法</x:v>
      </x:c>
    </x:row>
    <x:row r="1097" ht="23" customHeight="1">
      <x:c r="A1097" s="3" t="str">
        <x:v>CT-1090</x:v>
      </x:c>
      <x:c r="B1097" s="3" t="str">
        <x:v>ST-047</x:v>
      </x:c>
      <x:c r="C1097" s="3" t="str">
        <x:v>仅AR接收</x:v>
      </x:c>
      <x:c r="D1097" s="25" t="n">
        <x:v>2</x:v>
      </x:c>
      <x:c r="E1097" s="25" t="n">
        <x:v>0</x:v>
      </x:c>
      <x:c r="F1097" s="25" t="n">
        <x:v>3</x:v>
      </x:c>
      <x:c r="G1097" s="19" t="n">
        <x:f>SUM(D1097:F1097)</x:f>
        <x:v>5</x:v>
      </x:c>
      <x:c r="H1097" s="25" t="str">
        <x:v>-</x:v>
      </x:c>
      <x:c r="I1097" s="25" t="n">
        <x:v>1</x:v>
      </x:c>
      <x:c r="J1097" s="25" t="n">
        <x:v>1</x:v>
      </x:c>
      <x:c r="K1097" s="19" t="n">
        <x:f>D1097-IF(H1097=0,1,0)</x:f>
        <x:v>2</x:v>
      </x:c>
      <x:c r="L1097" s="19" t="n">
        <x:f>E1097-IF(H1097=1,1,0)</x:f>
        <x:v>0</x:v>
      </x:c>
      <x:c r="M1097" s="19" t="n">
        <x:f>F1097-IF(H1097=2,1,0)</x:f>
        <x:v>3</x:v>
      </x:c>
      <x:c r="N1097" s="19" t="n">
        <x:f>MAX(K1097-1,0)+MAX(L1097-1,0)+MAX(M1097-1,0)</x:f>
        <x:v>3</x:v>
      </x:c>
      <x:c r="O1097" s="19" t="n">
        <x:f>IF(AND(SUM(K1097:M1097)&lt;9,OR(M1097=0,N1097&lt;6)),1,0)</x:f>
        <x:v>1</x:v>
      </x:c>
      <x:c r="P1097" s="19" t="n">
        <x:f>IF(AND(SUM(K1097:M1097)&lt;9,OR(L1097=0,N1097&lt;6)),1,0)</x:f>
        <x:v>1</x:v>
      </x:c>
      <x:c r="Q1097" s="19" t="n">
        <x:f>IF(AND(SUM(K1097:M1097)&lt;9,OR(K1097=0,N1097&lt;6)),1,0)</x:f>
        <x:v>1</x:v>
      </x:c>
      <x:c r="R1097" s="22" t="str">
        <x:f>O1097&amp;P1097&amp;Q1097</x:f>
        <x:v>111</x:v>
      </x:c>
      <x:c r="S1097" s="19" t="n">
        <x:f>IF(I1097=1,IF(J1097=0,Q1097,IF(J1097=1,P1097,IF(J1097=2,O1097,0))),0)</x:f>
        <x:v>1</x:v>
      </x:c>
      <x:c r="T1097" s="19" t="n">
        <x:f>K1097+IF(AND(S1097=1,J1097=0),1,0)</x:f>
        <x:v>2</x:v>
      </x:c>
      <x:c r="U1097" s="19" t="n">
        <x:f>L1097+IF(AND(S1097=1,J1097=1),1,0)</x:f>
        <x:v>1</x:v>
      </x:c>
      <x:c r="V1097" s="19" t="n">
        <x:f>M1097+IF(AND(S1097=1,J1097=2),1,0)</x:f>
        <x:v>3</x:v>
      </x:c>
      <x:c r="W1097" s="19" t="n">
        <x:f>SUM(T1097:V1097)</x:f>
        <x:v>6</x:v>
      </x:c>
      <x:c r="X1097" s="19" t="n">
        <x:f>W1097-G1097</x:f>
        <x:v>1</x:v>
      </x:c>
      <x:c r="Y1097" s="19" t="n">
        <x:f>MAX(T1097,1)+MAX(U1097,1)+MAX(V1097,1)</x:f>
        <x:v>6</x:v>
      </x:c>
      <x:c r="Z1097" s="21" t="str">
        <x:f>IF(AND(MIN(D1097:F1097)&gt;=0,MAX(D1097:F1097)&lt;=7,MAX(D1097,1)+MAX(E1097,1)+MAX(F1097,1)&lt;=9,OR(H1097="-",AND(H1097=0,D1097&gt;0),AND(H1097=1,E1097&gt;0),AND(H1097=2,F1097&gt;0)),OR(I1097=0,AND(I1097=1,OR(J1097=0,J1097=1,J1097=2),R1097&lt;&gt;"000")),Y1097&lt;=9,MIN(T1097:V1097)&gt;=0),"合法","输入违约")</x:f>
        <x:v>合法</x:v>
      </x:c>
    </x:row>
    <x:row r="1098" ht="23" customHeight="1">
      <x:c r="A1098" s="3" t="str">
        <x:v>CT-1091</x:v>
      </x:c>
      <x:c r="B1098" s="3" t="str">
        <x:v>ST-047</x:v>
      </x:c>
      <x:c r="C1098" s="3" t="str">
        <x:v>仅AR接收</x:v>
      </x:c>
      <x:c r="D1098" s="25" t="n">
        <x:v>2</x:v>
      </x:c>
      <x:c r="E1098" s="25" t="n">
        <x:v>0</x:v>
      </x:c>
      <x:c r="F1098" s="25" t="n">
        <x:v>3</x:v>
      </x:c>
      <x:c r="G1098" s="19" t="n">
        <x:f>SUM(D1098:F1098)</x:f>
        <x:v>5</x:v>
      </x:c>
      <x:c r="H1098" s="25" t="str">
        <x:v>-</x:v>
      </x:c>
      <x:c r="I1098" s="25" t="n">
        <x:v>1</x:v>
      </x:c>
      <x:c r="J1098" s="25" t="n">
        <x:v>2</x:v>
      </x:c>
      <x:c r="K1098" s="19" t="n">
        <x:f>D1098-IF(H1098=0,1,0)</x:f>
        <x:v>2</x:v>
      </x:c>
      <x:c r="L1098" s="19" t="n">
        <x:f>E1098-IF(H1098=1,1,0)</x:f>
        <x:v>0</x:v>
      </x:c>
      <x:c r="M1098" s="19" t="n">
        <x:f>F1098-IF(H1098=2,1,0)</x:f>
        <x:v>3</x:v>
      </x:c>
      <x:c r="N1098" s="19" t="n">
        <x:f>MAX(K1098-1,0)+MAX(L1098-1,0)+MAX(M1098-1,0)</x:f>
        <x:v>3</x:v>
      </x:c>
      <x:c r="O1098" s="19" t="n">
        <x:f>IF(AND(SUM(K1098:M1098)&lt;9,OR(M1098=0,N1098&lt;6)),1,0)</x:f>
        <x:v>1</x:v>
      </x:c>
      <x:c r="P1098" s="19" t="n">
        <x:f>IF(AND(SUM(K1098:M1098)&lt;9,OR(L1098=0,N1098&lt;6)),1,0)</x:f>
        <x:v>1</x:v>
      </x:c>
      <x:c r="Q1098" s="19" t="n">
        <x:f>IF(AND(SUM(K1098:M1098)&lt;9,OR(K1098=0,N1098&lt;6)),1,0)</x:f>
        <x:v>1</x:v>
      </x:c>
      <x:c r="R1098" s="22" t="str">
        <x:f>O1098&amp;P1098&amp;Q1098</x:f>
        <x:v>111</x:v>
      </x:c>
      <x:c r="S1098" s="19" t="n">
        <x:f>IF(I1098=1,IF(J1098=0,Q1098,IF(J1098=1,P1098,IF(J1098=2,O1098,0))),0)</x:f>
        <x:v>1</x:v>
      </x:c>
      <x:c r="T1098" s="19" t="n">
        <x:f>K1098+IF(AND(S1098=1,J1098=0),1,0)</x:f>
        <x:v>2</x:v>
      </x:c>
      <x:c r="U1098" s="19" t="n">
        <x:f>L1098+IF(AND(S1098=1,J1098=1),1,0)</x:f>
        <x:v>0</x:v>
      </x:c>
      <x:c r="V1098" s="19" t="n">
        <x:f>M1098+IF(AND(S1098=1,J1098=2),1,0)</x:f>
        <x:v>4</x:v>
      </x:c>
      <x:c r="W1098" s="19" t="n">
        <x:f>SUM(T1098:V1098)</x:f>
        <x:v>6</x:v>
      </x:c>
      <x:c r="X1098" s="19" t="n">
        <x:f>W1098-G1098</x:f>
        <x:v>1</x:v>
      </x:c>
      <x:c r="Y1098" s="19" t="n">
        <x:f>MAX(T1098,1)+MAX(U1098,1)+MAX(V1098,1)</x:f>
        <x:v>7</x:v>
      </x:c>
      <x:c r="Z1098" s="21" t="str">
        <x:f>IF(AND(MIN(D1098:F1098)&gt;=0,MAX(D1098:F1098)&lt;=7,MAX(D1098,1)+MAX(E1098,1)+MAX(F1098,1)&lt;=9,OR(H1098="-",AND(H1098=0,D1098&gt;0),AND(H1098=1,E1098&gt;0),AND(H1098=2,F1098&gt;0)),OR(I1098=0,AND(I1098=1,OR(J1098=0,J1098=1,J1098=2),R1098&lt;&gt;"000")),Y1098&lt;=9,MIN(T1098:V1098)&gt;=0),"合法","输入违约")</x:f>
        <x:v>合法</x:v>
      </x:c>
    </x:row>
    <x:row r="1099" ht="23" customHeight="1">
      <x:c r="A1099" s="3" t="str">
        <x:v>CT-1092</x:v>
      </x:c>
      <x:c r="B1099" s="3" t="str">
        <x:v>ST-047</x:v>
      </x:c>
      <x:c r="C1099" s="3" t="str">
        <x:v>仅R回收</x:v>
      </x:c>
      <x:c r="D1099" s="25" t="n">
        <x:v>2</x:v>
      </x:c>
      <x:c r="E1099" s="25" t="n">
        <x:v>0</x:v>
      </x:c>
      <x:c r="F1099" s="25" t="n">
        <x:v>3</x:v>
      </x:c>
      <x:c r="G1099" s="19" t="n">
        <x:f>SUM(D1099:F1099)</x:f>
        <x:v>5</x:v>
      </x:c>
      <x:c r="H1099" s="25" t="n">
        <x:v>0</x:v>
      </x:c>
      <x:c r="I1099" s="25" t="n">
        <x:v>0</x:v>
      </x:c>
      <x:c r="J1099" s="25" t="str">
        <x:v>-</x:v>
      </x:c>
      <x:c r="K1099" s="19" t="n">
        <x:f>D1099-IF(H1099=0,1,0)</x:f>
        <x:v>1</x:v>
      </x:c>
      <x:c r="L1099" s="19" t="n">
        <x:f>E1099-IF(H1099=1,1,0)</x:f>
        <x:v>0</x:v>
      </x:c>
      <x:c r="M1099" s="19" t="n">
        <x:f>F1099-IF(H1099=2,1,0)</x:f>
        <x:v>3</x:v>
      </x:c>
      <x:c r="N1099" s="19" t="n">
        <x:f>MAX(K1099-1,0)+MAX(L1099-1,0)+MAX(M1099-1,0)</x:f>
        <x:v>2</x:v>
      </x:c>
      <x:c r="O1099" s="19" t="n">
        <x:f>IF(AND(SUM(K1099:M1099)&lt;9,OR(M1099=0,N1099&lt;6)),1,0)</x:f>
        <x:v>1</x:v>
      </x:c>
      <x:c r="P1099" s="19" t="n">
        <x:f>IF(AND(SUM(K1099:M1099)&lt;9,OR(L1099=0,N1099&lt;6)),1,0)</x:f>
        <x:v>1</x:v>
      </x:c>
      <x:c r="Q1099" s="19" t="n">
        <x:f>IF(AND(SUM(K1099:M1099)&lt;9,OR(K1099=0,N1099&lt;6)),1,0)</x:f>
        <x:v>1</x:v>
      </x:c>
      <x:c r="R1099" s="22" t="str">
        <x:f>O1099&amp;P1099&amp;Q1099</x:f>
        <x:v>111</x:v>
      </x:c>
      <x:c r="S1099" s="19" t="n">
        <x:f>IF(I1099=1,IF(J1099=0,Q1099,IF(J1099=1,P1099,IF(J1099=2,O1099,0))),0)</x:f>
        <x:v>0</x:v>
      </x:c>
      <x:c r="T1099" s="19" t="n">
        <x:f>K1099+IF(AND(S1099=1,J1099=0),1,0)</x:f>
        <x:v>1</x:v>
      </x:c>
      <x:c r="U1099" s="19" t="n">
        <x:f>L1099+IF(AND(S1099=1,J1099=1),1,0)</x:f>
        <x:v>0</x:v>
      </x:c>
      <x:c r="V1099" s="19" t="n">
        <x:f>M1099+IF(AND(S1099=1,J1099=2),1,0)</x:f>
        <x:v>3</x:v>
      </x:c>
      <x:c r="W1099" s="19" t="n">
        <x:f>SUM(T1099:V1099)</x:f>
        <x:v>4</x:v>
      </x:c>
      <x:c r="X1099" s="19" t="n">
        <x:f>W1099-G1099</x:f>
        <x:v>-1</x:v>
      </x:c>
      <x:c r="Y1099" s="19" t="n">
        <x:f>MAX(T1099,1)+MAX(U1099,1)+MAX(V1099,1)</x:f>
        <x:v>5</x:v>
      </x:c>
      <x:c r="Z1099" s="21" t="str">
        <x:f>IF(AND(MIN(D1099:F1099)&gt;=0,MAX(D1099:F1099)&lt;=7,MAX(D1099,1)+MAX(E1099,1)+MAX(F1099,1)&lt;=9,OR(H1099="-",AND(H1099=0,D1099&gt;0),AND(H1099=1,E1099&gt;0),AND(H1099=2,F1099&gt;0)),OR(I1099=0,AND(I1099=1,OR(J1099=0,J1099=1,J1099=2),R1099&lt;&gt;"000")),Y1099&lt;=9,MIN(T1099:V1099)&gt;=0),"合法","输入违约")</x:f>
        <x:v>合法</x:v>
      </x:c>
    </x:row>
    <x:row r="1100" ht="23" customHeight="1">
      <x:c r="A1100" s="3" t="str">
        <x:v>CT-1093</x:v>
      </x:c>
      <x:c r="B1100" s="3" t="str">
        <x:v>ST-047</x:v>
      </x:c>
      <x:c r="C1100" s="3" t="str">
        <x:v>R+AR同收同发</x:v>
      </x:c>
      <x:c r="D1100" s="25" t="n">
        <x:v>2</x:v>
      </x:c>
      <x:c r="E1100" s="25" t="n">
        <x:v>0</x:v>
      </x:c>
      <x:c r="F1100" s="25" t="n">
        <x:v>3</x:v>
      </x:c>
      <x:c r="G1100" s="19" t="n">
        <x:f>SUM(D1100:F1100)</x:f>
        <x:v>5</x:v>
      </x:c>
      <x:c r="H1100" s="25" t="n">
        <x:v>0</x:v>
      </x:c>
      <x:c r="I1100" s="25" t="n">
        <x:v>1</x:v>
      </x:c>
      <x:c r="J1100" s="25" t="n">
        <x:v>0</x:v>
      </x:c>
      <x:c r="K1100" s="19" t="n">
        <x:f>D1100-IF(H1100=0,1,0)</x:f>
        <x:v>1</x:v>
      </x:c>
      <x:c r="L1100" s="19" t="n">
        <x:f>E1100-IF(H1100=1,1,0)</x:f>
        <x:v>0</x:v>
      </x:c>
      <x:c r="M1100" s="19" t="n">
        <x:f>F1100-IF(H1100=2,1,0)</x:f>
        <x:v>3</x:v>
      </x:c>
      <x:c r="N1100" s="19" t="n">
        <x:f>MAX(K1100-1,0)+MAX(L1100-1,0)+MAX(M1100-1,0)</x:f>
        <x:v>2</x:v>
      </x:c>
      <x:c r="O1100" s="19" t="n">
        <x:f>IF(AND(SUM(K1100:M1100)&lt;9,OR(M1100=0,N1100&lt;6)),1,0)</x:f>
        <x:v>1</x:v>
      </x:c>
      <x:c r="P1100" s="19" t="n">
        <x:f>IF(AND(SUM(K1100:M1100)&lt;9,OR(L1100=0,N1100&lt;6)),1,0)</x:f>
        <x:v>1</x:v>
      </x:c>
      <x:c r="Q1100" s="19" t="n">
        <x:f>IF(AND(SUM(K1100:M1100)&lt;9,OR(K1100=0,N1100&lt;6)),1,0)</x:f>
        <x:v>1</x:v>
      </x:c>
      <x:c r="R1100" s="22" t="str">
        <x:f>O1100&amp;P1100&amp;Q1100</x:f>
        <x:v>111</x:v>
      </x:c>
      <x:c r="S1100" s="19" t="n">
        <x:f>IF(I1100=1,IF(J1100=0,Q1100,IF(J1100=1,P1100,IF(J1100=2,O1100,0))),0)</x:f>
        <x:v>1</x:v>
      </x:c>
      <x:c r="T1100" s="19" t="n">
        <x:f>K1100+IF(AND(S1100=1,J1100=0),1,0)</x:f>
        <x:v>2</x:v>
      </x:c>
      <x:c r="U1100" s="19" t="n">
        <x:f>L1100+IF(AND(S1100=1,J1100=1),1,0)</x:f>
        <x:v>0</x:v>
      </x:c>
      <x:c r="V1100" s="19" t="n">
        <x:f>M1100+IF(AND(S1100=1,J1100=2),1,0)</x:f>
        <x:v>3</x:v>
      </x:c>
      <x:c r="W1100" s="19" t="n">
        <x:f>SUM(T1100:V1100)</x:f>
        <x:v>5</x:v>
      </x:c>
      <x:c r="X1100" s="19" t="n">
        <x:f>W1100-G1100</x:f>
        <x:v>0</x:v>
      </x:c>
      <x:c r="Y1100" s="19" t="n">
        <x:f>MAX(T1100,1)+MAX(U1100,1)+MAX(V1100,1)</x:f>
        <x:v>6</x:v>
      </x:c>
      <x:c r="Z1100" s="21" t="str">
        <x:f>IF(AND(MIN(D1100:F1100)&gt;=0,MAX(D1100:F1100)&lt;=7,MAX(D1100,1)+MAX(E1100,1)+MAX(F1100,1)&lt;=9,OR(H1100="-",AND(H1100=0,D1100&gt;0),AND(H1100=1,E1100&gt;0),AND(H1100=2,F1100&gt;0)),OR(I1100=0,AND(I1100=1,OR(J1100=0,J1100=1,J1100=2),R1100&lt;&gt;"000")),Y1100&lt;=9,MIN(T1100:V1100)&gt;=0),"合法","输入违约")</x:f>
        <x:v>合法</x:v>
      </x:c>
    </x:row>
    <x:row r="1101" ht="23" customHeight="1">
      <x:c r="A1101" s="3" t="str">
        <x:v>CT-1094</x:v>
      </x:c>
      <x:c r="B1101" s="3" t="str">
        <x:v>ST-047</x:v>
      </x:c>
      <x:c r="C1101" s="3" t="str">
        <x:v>R+AR同收同发</x:v>
      </x:c>
      <x:c r="D1101" s="25" t="n">
        <x:v>2</x:v>
      </x:c>
      <x:c r="E1101" s="25" t="n">
        <x:v>0</x:v>
      </x:c>
      <x:c r="F1101" s="25" t="n">
        <x:v>3</x:v>
      </x:c>
      <x:c r="G1101" s="19" t="n">
        <x:f>SUM(D1101:F1101)</x:f>
        <x:v>5</x:v>
      </x:c>
      <x:c r="H1101" s="25" t="n">
        <x:v>0</x:v>
      </x:c>
      <x:c r="I1101" s="25" t="n">
        <x:v>1</x:v>
      </x:c>
      <x:c r="J1101" s="25" t="n">
        <x:v>1</x:v>
      </x:c>
      <x:c r="K1101" s="19" t="n">
        <x:f>D1101-IF(H1101=0,1,0)</x:f>
        <x:v>1</x:v>
      </x:c>
      <x:c r="L1101" s="19" t="n">
        <x:f>E1101-IF(H1101=1,1,0)</x:f>
        <x:v>0</x:v>
      </x:c>
      <x:c r="M1101" s="19" t="n">
        <x:f>F1101-IF(H1101=2,1,0)</x:f>
        <x:v>3</x:v>
      </x:c>
      <x:c r="N1101" s="19" t="n">
        <x:f>MAX(K1101-1,0)+MAX(L1101-1,0)+MAX(M1101-1,0)</x:f>
        <x:v>2</x:v>
      </x:c>
      <x:c r="O1101" s="19" t="n">
        <x:f>IF(AND(SUM(K1101:M1101)&lt;9,OR(M1101=0,N1101&lt;6)),1,0)</x:f>
        <x:v>1</x:v>
      </x:c>
      <x:c r="P1101" s="19" t="n">
        <x:f>IF(AND(SUM(K1101:M1101)&lt;9,OR(L1101=0,N1101&lt;6)),1,0)</x:f>
        <x:v>1</x:v>
      </x:c>
      <x:c r="Q1101" s="19" t="n">
        <x:f>IF(AND(SUM(K1101:M1101)&lt;9,OR(K1101=0,N1101&lt;6)),1,0)</x:f>
        <x:v>1</x:v>
      </x:c>
      <x:c r="R1101" s="22" t="str">
        <x:f>O1101&amp;P1101&amp;Q1101</x:f>
        <x:v>111</x:v>
      </x:c>
      <x:c r="S1101" s="19" t="n">
        <x:f>IF(I1101=1,IF(J1101=0,Q1101,IF(J1101=1,P1101,IF(J1101=2,O1101,0))),0)</x:f>
        <x:v>1</x:v>
      </x:c>
      <x:c r="T1101" s="19" t="n">
        <x:f>K1101+IF(AND(S1101=1,J1101=0),1,0)</x:f>
        <x:v>1</x:v>
      </x:c>
      <x:c r="U1101" s="19" t="n">
        <x:f>L1101+IF(AND(S1101=1,J1101=1),1,0)</x:f>
        <x:v>1</x:v>
      </x:c>
      <x:c r="V1101" s="19" t="n">
        <x:f>M1101+IF(AND(S1101=1,J1101=2),1,0)</x:f>
        <x:v>3</x:v>
      </x:c>
      <x:c r="W1101" s="19" t="n">
        <x:f>SUM(T1101:V1101)</x:f>
        <x:v>5</x:v>
      </x:c>
      <x:c r="X1101" s="19" t="n">
        <x:f>W1101-G1101</x:f>
        <x:v>0</x:v>
      </x:c>
      <x:c r="Y1101" s="19" t="n">
        <x:f>MAX(T1101,1)+MAX(U1101,1)+MAX(V1101,1)</x:f>
        <x:v>5</x:v>
      </x:c>
      <x:c r="Z1101" s="21" t="str">
        <x:f>IF(AND(MIN(D1101:F1101)&gt;=0,MAX(D1101:F1101)&lt;=7,MAX(D1101,1)+MAX(E1101,1)+MAX(F1101,1)&lt;=9,OR(H1101="-",AND(H1101=0,D1101&gt;0),AND(H1101=1,E1101&gt;0),AND(H1101=2,F1101&gt;0)),OR(I1101=0,AND(I1101=1,OR(J1101=0,J1101=1,J1101=2),R1101&lt;&gt;"000")),Y1101&lt;=9,MIN(T1101:V1101)&gt;=0),"合法","输入违约")</x:f>
        <x:v>合法</x:v>
      </x:c>
    </x:row>
    <x:row r="1102" ht="23" customHeight="1">
      <x:c r="A1102" s="3" t="str">
        <x:v>CT-1095</x:v>
      </x:c>
      <x:c r="B1102" s="3" t="str">
        <x:v>ST-047</x:v>
      </x:c>
      <x:c r="C1102" s="3" t="str">
        <x:v>R+AR同收同发</x:v>
      </x:c>
      <x:c r="D1102" s="25" t="n">
        <x:v>2</x:v>
      </x:c>
      <x:c r="E1102" s="25" t="n">
        <x:v>0</x:v>
      </x:c>
      <x:c r="F1102" s="25" t="n">
        <x:v>3</x:v>
      </x:c>
      <x:c r="G1102" s="19" t="n">
        <x:f>SUM(D1102:F1102)</x:f>
        <x:v>5</x:v>
      </x:c>
      <x:c r="H1102" s="25" t="n">
        <x:v>0</x:v>
      </x:c>
      <x:c r="I1102" s="25" t="n">
        <x:v>1</x:v>
      </x:c>
      <x:c r="J1102" s="25" t="n">
        <x:v>2</x:v>
      </x:c>
      <x:c r="K1102" s="19" t="n">
        <x:f>D1102-IF(H1102=0,1,0)</x:f>
        <x:v>1</x:v>
      </x:c>
      <x:c r="L1102" s="19" t="n">
        <x:f>E1102-IF(H1102=1,1,0)</x:f>
        <x:v>0</x:v>
      </x:c>
      <x:c r="M1102" s="19" t="n">
        <x:f>F1102-IF(H1102=2,1,0)</x:f>
        <x:v>3</x:v>
      </x:c>
      <x:c r="N1102" s="19" t="n">
        <x:f>MAX(K1102-1,0)+MAX(L1102-1,0)+MAX(M1102-1,0)</x:f>
        <x:v>2</x:v>
      </x:c>
      <x:c r="O1102" s="19" t="n">
        <x:f>IF(AND(SUM(K1102:M1102)&lt;9,OR(M1102=0,N1102&lt;6)),1,0)</x:f>
        <x:v>1</x:v>
      </x:c>
      <x:c r="P1102" s="19" t="n">
        <x:f>IF(AND(SUM(K1102:M1102)&lt;9,OR(L1102=0,N1102&lt;6)),1,0)</x:f>
        <x:v>1</x:v>
      </x:c>
      <x:c r="Q1102" s="19" t="n">
        <x:f>IF(AND(SUM(K1102:M1102)&lt;9,OR(K1102=0,N1102&lt;6)),1,0)</x:f>
        <x:v>1</x:v>
      </x:c>
      <x:c r="R1102" s="22" t="str">
        <x:f>O1102&amp;P1102&amp;Q1102</x:f>
        <x:v>111</x:v>
      </x:c>
      <x:c r="S1102" s="19" t="n">
        <x:f>IF(I1102=1,IF(J1102=0,Q1102,IF(J1102=1,P1102,IF(J1102=2,O1102,0))),0)</x:f>
        <x:v>1</x:v>
      </x:c>
      <x:c r="T1102" s="19" t="n">
        <x:f>K1102+IF(AND(S1102=1,J1102=0),1,0)</x:f>
        <x:v>1</x:v>
      </x:c>
      <x:c r="U1102" s="19" t="n">
        <x:f>L1102+IF(AND(S1102=1,J1102=1),1,0)</x:f>
        <x:v>0</x:v>
      </x:c>
      <x:c r="V1102" s="19" t="n">
        <x:f>M1102+IF(AND(S1102=1,J1102=2),1,0)</x:f>
        <x:v>4</x:v>
      </x:c>
      <x:c r="W1102" s="19" t="n">
        <x:f>SUM(T1102:V1102)</x:f>
        <x:v>5</x:v>
      </x:c>
      <x:c r="X1102" s="19" t="n">
        <x:f>W1102-G1102</x:f>
        <x:v>0</x:v>
      </x:c>
      <x:c r="Y1102" s="19" t="n">
        <x:f>MAX(T1102,1)+MAX(U1102,1)+MAX(V1102,1)</x:f>
        <x:v>6</x:v>
      </x:c>
      <x:c r="Z1102" s="21" t="str">
        <x:f>IF(AND(MIN(D1102:F1102)&gt;=0,MAX(D1102:F1102)&lt;=7,MAX(D1102,1)+MAX(E1102,1)+MAX(F1102,1)&lt;=9,OR(H1102="-",AND(H1102=0,D1102&gt;0),AND(H1102=1,E1102&gt;0),AND(H1102=2,F1102&gt;0)),OR(I1102=0,AND(I1102=1,OR(J1102=0,J1102=1,J1102=2),R1102&lt;&gt;"000")),Y1102&lt;=9,MIN(T1102:V1102)&gt;=0),"合法","输入违约")</x:f>
        <x:v>合法</x:v>
      </x:c>
    </x:row>
    <x:row r="1103" ht="23" customHeight="1">
      <x:c r="A1103" s="3" t="str">
        <x:v>CT-1096</x:v>
      </x:c>
      <x:c r="B1103" s="3" t="str">
        <x:v>ST-047</x:v>
      </x:c>
      <x:c r="C1103" s="3" t="str">
        <x:v>仅R回收</x:v>
      </x:c>
      <x:c r="D1103" s="25" t="n">
        <x:v>2</x:v>
      </x:c>
      <x:c r="E1103" s="25" t="n">
        <x:v>0</x:v>
      </x:c>
      <x:c r="F1103" s="25" t="n">
        <x:v>3</x:v>
      </x:c>
      <x:c r="G1103" s="19" t="n">
        <x:f>SUM(D1103:F1103)</x:f>
        <x:v>5</x:v>
      </x:c>
      <x:c r="H1103" s="25" t="n">
        <x:v>2</x:v>
      </x:c>
      <x:c r="I1103" s="25" t="n">
        <x:v>0</x:v>
      </x:c>
      <x:c r="J1103" s="25" t="str">
        <x:v>-</x:v>
      </x:c>
      <x:c r="K1103" s="19" t="n">
        <x:f>D1103-IF(H1103=0,1,0)</x:f>
        <x:v>2</x:v>
      </x:c>
      <x:c r="L1103" s="19" t="n">
        <x:f>E1103-IF(H1103=1,1,0)</x:f>
        <x:v>0</x:v>
      </x:c>
      <x:c r="M1103" s="19" t="n">
        <x:f>F1103-IF(H1103=2,1,0)</x:f>
        <x:v>2</x:v>
      </x:c>
      <x:c r="N1103" s="19" t="n">
        <x:f>MAX(K1103-1,0)+MAX(L1103-1,0)+MAX(M1103-1,0)</x:f>
        <x:v>2</x:v>
      </x:c>
      <x:c r="O1103" s="19" t="n">
        <x:f>IF(AND(SUM(K1103:M1103)&lt;9,OR(M1103=0,N1103&lt;6)),1,0)</x:f>
        <x:v>1</x:v>
      </x:c>
      <x:c r="P1103" s="19" t="n">
        <x:f>IF(AND(SUM(K1103:M1103)&lt;9,OR(L1103=0,N1103&lt;6)),1,0)</x:f>
        <x:v>1</x:v>
      </x:c>
      <x:c r="Q1103" s="19" t="n">
        <x:f>IF(AND(SUM(K1103:M1103)&lt;9,OR(K1103=0,N1103&lt;6)),1,0)</x:f>
        <x:v>1</x:v>
      </x:c>
      <x:c r="R1103" s="22" t="str">
        <x:f>O1103&amp;P1103&amp;Q1103</x:f>
        <x:v>111</x:v>
      </x:c>
      <x:c r="S1103" s="19" t="n">
        <x:f>IF(I1103=1,IF(J1103=0,Q1103,IF(J1103=1,P1103,IF(J1103=2,O1103,0))),0)</x:f>
        <x:v>0</x:v>
      </x:c>
      <x:c r="T1103" s="19" t="n">
        <x:f>K1103+IF(AND(S1103=1,J1103=0),1,0)</x:f>
        <x:v>2</x:v>
      </x:c>
      <x:c r="U1103" s="19" t="n">
        <x:f>L1103+IF(AND(S1103=1,J1103=1),1,0)</x:f>
        <x:v>0</x:v>
      </x:c>
      <x:c r="V1103" s="19" t="n">
        <x:f>M1103+IF(AND(S1103=1,J1103=2),1,0)</x:f>
        <x:v>2</x:v>
      </x:c>
      <x:c r="W1103" s="19" t="n">
        <x:f>SUM(T1103:V1103)</x:f>
        <x:v>4</x:v>
      </x:c>
      <x:c r="X1103" s="19" t="n">
        <x:f>W1103-G1103</x:f>
        <x:v>-1</x:v>
      </x:c>
      <x:c r="Y1103" s="19" t="n">
        <x:f>MAX(T1103,1)+MAX(U1103,1)+MAX(V1103,1)</x:f>
        <x:v>5</x:v>
      </x:c>
      <x:c r="Z1103" s="21" t="str">
        <x:f>IF(AND(MIN(D1103:F1103)&gt;=0,MAX(D1103:F1103)&lt;=7,MAX(D1103,1)+MAX(E1103,1)+MAX(F1103,1)&lt;=9,OR(H1103="-",AND(H1103=0,D1103&gt;0),AND(H1103=1,E1103&gt;0),AND(H1103=2,F1103&gt;0)),OR(I1103=0,AND(I1103=1,OR(J1103=0,J1103=1,J1103=2),R1103&lt;&gt;"000")),Y1103&lt;=9,MIN(T1103:V1103)&gt;=0),"合法","输入违约")</x:f>
        <x:v>合法</x:v>
      </x:c>
    </x:row>
    <x:row r="1104" ht="23" customHeight="1">
      <x:c r="A1104" s="3" t="str">
        <x:v>CT-1097</x:v>
      </x:c>
      <x:c r="B1104" s="3" t="str">
        <x:v>ST-047</x:v>
      </x:c>
      <x:c r="C1104" s="3" t="str">
        <x:v>R+AR同收同发</x:v>
      </x:c>
      <x:c r="D1104" s="25" t="n">
        <x:v>2</x:v>
      </x:c>
      <x:c r="E1104" s="25" t="n">
        <x:v>0</x:v>
      </x:c>
      <x:c r="F1104" s="25" t="n">
        <x:v>3</x:v>
      </x:c>
      <x:c r="G1104" s="19" t="n">
        <x:f>SUM(D1104:F1104)</x:f>
        <x:v>5</x:v>
      </x:c>
      <x:c r="H1104" s="25" t="n">
        <x:v>2</x:v>
      </x:c>
      <x:c r="I1104" s="25" t="n">
        <x:v>1</x:v>
      </x:c>
      <x:c r="J1104" s="25" t="n">
        <x:v>0</x:v>
      </x:c>
      <x:c r="K1104" s="19" t="n">
        <x:f>D1104-IF(H1104=0,1,0)</x:f>
        <x:v>2</x:v>
      </x:c>
      <x:c r="L1104" s="19" t="n">
        <x:f>E1104-IF(H1104=1,1,0)</x:f>
        <x:v>0</x:v>
      </x:c>
      <x:c r="M1104" s="19" t="n">
        <x:f>F1104-IF(H1104=2,1,0)</x:f>
        <x:v>2</x:v>
      </x:c>
      <x:c r="N1104" s="19" t="n">
        <x:f>MAX(K1104-1,0)+MAX(L1104-1,0)+MAX(M1104-1,0)</x:f>
        <x:v>2</x:v>
      </x:c>
      <x:c r="O1104" s="19" t="n">
        <x:f>IF(AND(SUM(K1104:M1104)&lt;9,OR(M1104=0,N1104&lt;6)),1,0)</x:f>
        <x:v>1</x:v>
      </x:c>
      <x:c r="P1104" s="19" t="n">
        <x:f>IF(AND(SUM(K1104:M1104)&lt;9,OR(L1104=0,N1104&lt;6)),1,0)</x:f>
        <x:v>1</x:v>
      </x:c>
      <x:c r="Q1104" s="19" t="n">
        <x:f>IF(AND(SUM(K1104:M1104)&lt;9,OR(K1104=0,N1104&lt;6)),1,0)</x:f>
        <x:v>1</x:v>
      </x:c>
      <x:c r="R1104" s="22" t="str">
        <x:f>O1104&amp;P1104&amp;Q1104</x:f>
        <x:v>111</x:v>
      </x:c>
      <x:c r="S1104" s="19" t="n">
        <x:f>IF(I1104=1,IF(J1104=0,Q1104,IF(J1104=1,P1104,IF(J1104=2,O1104,0))),0)</x:f>
        <x:v>1</x:v>
      </x:c>
      <x:c r="T1104" s="19" t="n">
        <x:f>K1104+IF(AND(S1104=1,J1104=0),1,0)</x:f>
        <x:v>3</x:v>
      </x:c>
      <x:c r="U1104" s="19" t="n">
        <x:f>L1104+IF(AND(S1104=1,J1104=1),1,0)</x:f>
        <x:v>0</x:v>
      </x:c>
      <x:c r="V1104" s="19" t="n">
        <x:f>M1104+IF(AND(S1104=1,J1104=2),1,0)</x:f>
        <x:v>2</x:v>
      </x:c>
      <x:c r="W1104" s="19" t="n">
        <x:f>SUM(T1104:V1104)</x:f>
        <x:v>5</x:v>
      </x:c>
      <x:c r="X1104" s="19" t="n">
        <x:f>W1104-G1104</x:f>
        <x:v>0</x:v>
      </x:c>
      <x:c r="Y1104" s="19" t="n">
        <x:f>MAX(T1104,1)+MAX(U1104,1)+MAX(V1104,1)</x:f>
        <x:v>6</x:v>
      </x:c>
      <x:c r="Z1104" s="21" t="str">
        <x:f>IF(AND(MIN(D1104:F1104)&gt;=0,MAX(D1104:F1104)&lt;=7,MAX(D1104,1)+MAX(E1104,1)+MAX(F1104,1)&lt;=9,OR(H1104="-",AND(H1104=0,D1104&gt;0),AND(H1104=1,E1104&gt;0),AND(H1104=2,F1104&gt;0)),OR(I1104=0,AND(I1104=1,OR(J1104=0,J1104=1,J1104=2),R1104&lt;&gt;"000")),Y1104&lt;=9,MIN(T1104:V1104)&gt;=0),"合法","输入违约")</x:f>
        <x:v>合法</x:v>
      </x:c>
    </x:row>
    <x:row r="1105" ht="23" customHeight="1">
      <x:c r="A1105" s="3" t="str">
        <x:v>CT-1098</x:v>
      </x:c>
      <x:c r="B1105" s="3" t="str">
        <x:v>ST-047</x:v>
      </x:c>
      <x:c r="C1105" s="3" t="str">
        <x:v>R+AR同收同发</x:v>
      </x:c>
      <x:c r="D1105" s="25" t="n">
        <x:v>2</x:v>
      </x:c>
      <x:c r="E1105" s="25" t="n">
        <x:v>0</x:v>
      </x:c>
      <x:c r="F1105" s="25" t="n">
        <x:v>3</x:v>
      </x:c>
      <x:c r="G1105" s="19" t="n">
        <x:f>SUM(D1105:F1105)</x:f>
        <x:v>5</x:v>
      </x:c>
      <x:c r="H1105" s="25" t="n">
        <x:v>2</x:v>
      </x:c>
      <x:c r="I1105" s="25" t="n">
        <x:v>1</x:v>
      </x:c>
      <x:c r="J1105" s="25" t="n">
        <x:v>1</x:v>
      </x:c>
      <x:c r="K1105" s="19" t="n">
        <x:f>D1105-IF(H1105=0,1,0)</x:f>
        <x:v>2</x:v>
      </x:c>
      <x:c r="L1105" s="19" t="n">
        <x:f>E1105-IF(H1105=1,1,0)</x:f>
        <x:v>0</x:v>
      </x:c>
      <x:c r="M1105" s="19" t="n">
        <x:f>F1105-IF(H1105=2,1,0)</x:f>
        <x:v>2</x:v>
      </x:c>
      <x:c r="N1105" s="19" t="n">
        <x:f>MAX(K1105-1,0)+MAX(L1105-1,0)+MAX(M1105-1,0)</x:f>
        <x:v>2</x:v>
      </x:c>
      <x:c r="O1105" s="19" t="n">
        <x:f>IF(AND(SUM(K1105:M1105)&lt;9,OR(M1105=0,N1105&lt;6)),1,0)</x:f>
        <x:v>1</x:v>
      </x:c>
      <x:c r="P1105" s="19" t="n">
        <x:f>IF(AND(SUM(K1105:M1105)&lt;9,OR(L1105=0,N1105&lt;6)),1,0)</x:f>
        <x:v>1</x:v>
      </x:c>
      <x:c r="Q1105" s="19" t="n">
        <x:f>IF(AND(SUM(K1105:M1105)&lt;9,OR(K1105=0,N1105&lt;6)),1,0)</x:f>
        <x:v>1</x:v>
      </x:c>
      <x:c r="R1105" s="22" t="str">
        <x:f>O1105&amp;P1105&amp;Q1105</x:f>
        <x:v>111</x:v>
      </x:c>
      <x:c r="S1105" s="19" t="n">
        <x:f>IF(I1105=1,IF(J1105=0,Q1105,IF(J1105=1,P1105,IF(J1105=2,O1105,0))),0)</x:f>
        <x:v>1</x:v>
      </x:c>
      <x:c r="T1105" s="19" t="n">
        <x:f>K1105+IF(AND(S1105=1,J1105=0),1,0)</x:f>
        <x:v>2</x:v>
      </x:c>
      <x:c r="U1105" s="19" t="n">
        <x:f>L1105+IF(AND(S1105=1,J1105=1),1,0)</x:f>
        <x:v>1</x:v>
      </x:c>
      <x:c r="V1105" s="19" t="n">
        <x:f>M1105+IF(AND(S1105=1,J1105=2),1,0)</x:f>
        <x:v>2</x:v>
      </x:c>
      <x:c r="W1105" s="19" t="n">
        <x:f>SUM(T1105:V1105)</x:f>
        <x:v>5</x:v>
      </x:c>
      <x:c r="X1105" s="19" t="n">
        <x:f>W1105-G1105</x:f>
        <x:v>0</x:v>
      </x:c>
      <x:c r="Y1105" s="19" t="n">
        <x:f>MAX(T1105,1)+MAX(U1105,1)+MAX(V1105,1)</x:f>
        <x:v>5</x:v>
      </x:c>
      <x:c r="Z1105" s="21" t="str">
        <x:f>IF(AND(MIN(D1105:F1105)&gt;=0,MAX(D1105:F1105)&lt;=7,MAX(D1105,1)+MAX(E1105,1)+MAX(F1105,1)&lt;=9,OR(H1105="-",AND(H1105=0,D1105&gt;0),AND(H1105=1,E1105&gt;0),AND(H1105=2,F1105&gt;0)),OR(I1105=0,AND(I1105=1,OR(J1105=0,J1105=1,J1105=2),R1105&lt;&gt;"000")),Y1105&lt;=9,MIN(T1105:V1105)&gt;=0),"合法","输入违约")</x:f>
        <x:v>合法</x:v>
      </x:c>
    </x:row>
    <x:row r="1106" ht="23" customHeight="1">
      <x:c r="A1106" s="3" t="str">
        <x:v>CT-1099</x:v>
      </x:c>
      <x:c r="B1106" s="3" t="str">
        <x:v>ST-047</x:v>
      </x:c>
      <x:c r="C1106" s="3" t="str">
        <x:v>R+AR同收同发</x:v>
      </x:c>
      <x:c r="D1106" s="25" t="n">
        <x:v>2</x:v>
      </x:c>
      <x:c r="E1106" s="25" t="n">
        <x:v>0</x:v>
      </x:c>
      <x:c r="F1106" s="25" t="n">
        <x:v>3</x:v>
      </x:c>
      <x:c r="G1106" s="19" t="n">
        <x:f>SUM(D1106:F1106)</x:f>
        <x:v>5</x:v>
      </x:c>
      <x:c r="H1106" s="25" t="n">
        <x:v>2</x:v>
      </x:c>
      <x:c r="I1106" s="25" t="n">
        <x:v>1</x:v>
      </x:c>
      <x:c r="J1106" s="25" t="n">
        <x:v>2</x:v>
      </x:c>
      <x:c r="K1106" s="19" t="n">
        <x:f>D1106-IF(H1106=0,1,0)</x:f>
        <x:v>2</x:v>
      </x:c>
      <x:c r="L1106" s="19" t="n">
        <x:f>E1106-IF(H1106=1,1,0)</x:f>
        <x:v>0</x:v>
      </x:c>
      <x:c r="M1106" s="19" t="n">
        <x:f>F1106-IF(H1106=2,1,0)</x:f>
        <x:v>2</x:v>
      </x:c>
      <x:c r="N1106" s="19" t="n">
        <x:f>MAX(K1106-1,0)+MAX(L1106-1,0)+MAX(M1106-1,0)</x:f>
        <x:v>2</x:v>
      </x:c>
      <x:c r="O1106" s="19" t="n">
        <x:f>IF(AND(SUM(K1106:M1106)&lt;9,OR(M1106=0,N1106&lt;6)),1,0)</x:f>
        <x:v>1</x:v>
      </x:c>
      <x:c r="P1106" s="19" t="n">
        <x:f>IF(AND(SUM(K1106:M1106)&lt;9,OR(L1106=0,N1106&lt;6)),1,0)</x:f>
        <x:v>1</x:v>
      </x:c>
      <x:c r="Q1106" s="19" t="n">
        <x:f>IF(AND(SUM(K1106:M1106)&lt;9,OR(K1106=0,N1106&lt;6)),1,0)</x:f>
        <x:v>1</x:v>
      </x:c>
      <x:c r="R1106" s="22" t="str">
        <x:f>O1106&amp;P1106&amp;Q1106</x:f>
        <x:v>111</x:v>
      </x:c>
      <x:c r="S1106" s="19" t="n">
        <x:f>IF(I1106=1,IF(J1106=0,Q1106,IF(J1106=1,P1106,IF(J1106=2,O1106,0))),0)</x:f>
        <x:v>1</x:v>
      </x:c>
      <x:c r="T1106" s="19" t="n">
        <x:f>K1106+IF(AND(S1106=1,J1106=0),1,0)</x:f>
        <x:v>2</x:v>
      </x:c>
      <x:c r="U1106" s="19" t="n">
        <x:f>L1106+IF(AND(S1106=1,J1106=1),1,0)</x:f>
        <x:v>0</x:v>
      </x:c>
      <x:c r="V1106" s="19" t="n">
        <x:f>M1106+IF(AND(S1106=1,J1106=2),1,0)</x:f>
        <x:v>3</x:v>
      </x:c>
      <x:c r="W1106" s="19" t="n">
        <x:f>SUM(T1106:V1106)</x:f>
        <x:v>5</x:v>
      </x:c>
      <x:c r="X1106" s="19" t="n">
        <x:f>W1106-G1106</x:f>
        <x:v>0</x:v>
      </x:c>
      <x:c r="Y1106" s="19" t="n">
        <x:f>MAX(T1106,1)+MAX(U1106,1)+MAX(V1106,1)</x:f>
        <x:v>6</x:v>
      </x:c>
      <x:c r="Z1106" s="21" t="str">
        <x:f>IF(AND(MIN(D1106:F1106)&gt;=0,MAX(D1106:F1106)&lt;=7,MAX(D1106,1)+MAX(E1106,1)+MAX(F1106,1)&lt;=9,OR(H1106="-",AND(H1106=0,D1106&gt;0),AND(H1106=1,E1106&gt;0),AND(H1106=2,F1106&gt;0)),OR(I1106=0,AND(I1106=1,OR(J1106=0,J1106=1,J1106=2),R1106&lt;&gt;"000")),Y1106&lt;=9,MIN(T1106:V1106)&gt;=0),"合法","输入违约")</x:f>
        <x:v>合法</x:v>
      </x:c>
    </x:row>
    <x:row r="1107" ht="23" customHeight="1">
      <x:c r="A1107" s="3" t="str">
        <x:v>CT-1100</x:v>
      </x:c>
      <x:c r="B1107" s="3" t="str">
        <x:v>ST-070</x:v>
      </x:c>
      <x:c r="C1107" s="3" t="str">
        <x:v>无AR/R</x:v>
      </x:c>
      <x:c r="D1107" s="25" t="n">
        <x:v>2</x:v>
      </x:c>
      <x:c r="E1107" s="25" t="n">
        <x:v>0</x:v>
      </x:c>
      <x:c r="F1107" s="25" t="n">
        <x:v>4</x:v>
      </x:c>
      <x:c r="G1107" s="19" t="n">
        <x:f>SUM(D1107:F1107)</x:f>
        <x:v>6</x:v>
      </x:c>
      <x:c r="H1107" s="25" t="str">
        <x:v>-</x:v>
      </x:c>
      <x:c r="I1107" s="25" t="n">
        <x:v>0</x:v>
      </x:c>
      <x:c r="J1107" s="25" t="str">
        <x:v>-</x:v>
      </x:c>
      <x:c r="K1107" s="19" t="n">
        <x:f>D1107-IF(H1107=0,1,0)</x:f>
        <x:v>2</x:v>
      </x:c>
      <x:c r="L1107" s="19" t="n">
        <x:f>E1107-IF(H1107=1,1,0)</x:f>
        <x:v>0</x:v>
      </x:c>
      <x:c r="M1107" s="19" t="n">
        <x:f>F1107-IF(H1107=2,1,0)</x:f>
        <x:v>4</x:v>
      </x:c>
      <x:c r="N1107" s="19" t="n">
        <x:f>MAX(K1107-1,0)+MAX(L1107-1,0)+MAX(M1107-1,0)</x:f>
        <x:v>4</x:v>
      </x:c>
      <x:c r="O1107" s="19" t="n">
        <x:f>IF(AND(SUM(K1107:M1107)&lt;9,OR(M1107=0,N1107&lt;6)),1,0)</x:f>
        <x:v>1</x:v>
      </x:c>
      <x:c r="P1107" s="19" t="n">
        <x:f>IF(AND(SUM(K1107:M1107)&lt;9,OR(L1107=0,N1107&lt;6)),1,0)</x:f>
        <x:v>1</x:v>
      </x:c>
      <x:c r="Q1107" s="19" t="n">
        <x:f>IF(AND(SUM(K1107:M1107)&lt;9,OR(K1107=0,N1107&lt;6)),1,0)</x:f>
        <x:v>1</x:v>
      </x:c>
      <x:c r="R1107" s="22" t="str">
        <x:f>O1107&amp;P1107&amp;Q1107</x:f>
        <x:v>111</x:v>
      </x:c>
      <x:c r="S1107" s="19" t="n">
        <x:f>IF(I1107=1,IF(J1107=0,Q1107,IF(J1107=1,P1107,IF(J1107=2,O1107,0))),0)</x:f>
        <x:v>0</x:v>
      </x:c>
      <x:c r="T1107" s="19" t="n">
        <x:f>K1107+IF(AND(S1107=1,J1107=0),1,0)</x:f>
        <x:v>2</x:v>
      </x:c>
      <x:c r="U1107" s="19" t="n">
        <x:f>L1107+IF(AND(S1107=1,J1107=1),1,0)</x:f>
        <x:v>0</x:v>
      </x:c>
      <x:c r="V1107" s="19" t="n">
        <x:f>M1107+IF(AND(S1107=1,J1107=2),1,0)</x:f>
        <x:v>4</x:v>
      </x:c>
      <x:c r="W1107" s="19" t="n">
        <x:f>SUM(T1107:V1107)</x:f>
        <x:v>6</x:v>
      </x:c>
      <x:c r="X1107" s="19" t="n">
        <x:f>W1107-G1107</x:f>
        <x:v>0</x:v>
      </x:c>
      <x:c r="Y1107" s="19" t="n">
        <x:f>MAX(T1107,1)+MAX(U1107,1)+MAX(V1107,1)</x:f>
        <x:v>7</x:v>
      </x:c>
      <x:c r="Z1107" s="21" t="str">
        <x:f>IF(AND(MIN(D1107:F1107)&gt;=0,MAX(D1107:F1107)&lt;=7,MAX(D1107,1)+MAX(E1107,1)+MAX(F1107,1)&lt;=9,OR(H1107="-",AND(H1107=0,D1107&gt;0),AND(H1107=1,E1107&gt;0),AND(H1107=2,F1107&gt;0)),OR(I1107=0,AND(I1107=1,OR(J1107=0,J1107=1,J1107=2),R1107&lt;&gt;"000")),Y1107&lt;=9,MIN(T1107:V1107)&gt;=0),"合法","输入违约")</x:f>
        <x:v>合法</x:v>
      </x:c>
    </x:row>
    <x:row r="1108" ht="23" customHeight="1">
      <x:c r="A1108" s="3" t="str">
        <x:v>CT-1101</x:v>
      </x:c>
      <x:c r="B1108" s="3" t="str">
        <x:v>ST-070</x:v>
      </x:c>
      <x:c r="C1108" s="3" t="str">
        <x:v>仅AR接收</x:v>
      </x:c>
      <x:c r="D1108" s="25" t="n">
        <x:v>2</x:v>
      </x:c>
      <x:c r="E1108" s="25" t="n">
        <x:v>0</x:v>
      </x:c>
      <x:c r="F1108" s="25" t="n">
        <x:v>4</x:v>
      </x:c>
      <x:c r="G1108" s="19" t="n">
        <x:f>SUM(D1108:F1108)</x:f>
        <x:v>6</x:v>
      </x:c>
      <x:c r="H1108" s="25" t="str">
        <x:v>-</x:v>
      </x:c>
      <x:c r="I1108" s="25" t="n">
        <x:v>1</x:v>
      </x:c>
      <x:c r="J1108" s="25" t="n">
        <x:v>0</x:v>
      </x:c>
      <x:c r="K1108" s="19" t="n">
        <x:f>D1108-IF(H1108=0,1,0)</x:f>
        <x:v>2</x:v>
      </x:c>
      <x:c r="L1108" s="19" t="n">
        <x:f>E1108-IF(H1108=1,1,0)</x:f>
        <x:v>0</x:v>
      </x:c>
      <x:c r="M1108" s="19" t="n">
        <x:f>F1108-IF(H1108=2,1,0)</x:f>
        <x:v>4</x:v>
      </x:c>
      <x:c r="N1108" s="19" t="n">
        <x:f>MAX(K1108-1,0)+MAX(L1108-1,0)+MAX(M1108-1,0)</x:f>
        <x:v>4</x:v>
      </x:c>
      <x:c r="O1108" s="19" t="n">
        <x:f>IF(AND(SUM(K1108:M1108)&lt;9,OR(M1108=0,N1108&lt;6)),1,0)</x:f>
        <x:v>1</x:v>
      </x:c>
      <x:c r="P1108" s="19" t="n">
        <x:f>IF(AND(SUM(K1108:M1108)&lt;9,OR(L1108=0,N1108&lt;6)),1,0)</x:f>
        <x:v>1</x:v>
      </x:c>
      <x:c r="Q1108" s="19" t="n">
        <x:f>IF(AND(SUM(K1108:M1108)&lt;9,OR(K1108=0,N1108&lt;6)),1,0)</x:f>
        <x:v>1</x:v>
      </x:c>
      <x:c r="R1108" s="22" t="str">
        <x:f>O1108&amp;P1108&amp;Q1108</x:f>
        <x:v>111</x:v>
      </x:c>
      <x:c r="S1108" s="19" t="n">
        <x:f>IF(I1108=1,IF(J1108=0,Q1108,IF(J1108=1,P1108,IF(J1108=2,O1108,0))),0)</x:f>
        <x:v>1</x:v>
      </x:c>
      <x:c r="T1108" s="19" t="n">
        <x:f>K1108+IF(AND(S1108=1,J1108=0),1,0)</x:f>
        <x:v>3</x:v>
      </x:c>
      <x:c r="U1108" s="19" t="n">
        <x:f>L1108+IF(AND(S1108=1,J1108=1),1,0)</x:f>
        <x:v>0</x:v>
      </x:c>
      <x:c r="V1108" s="19" t="n">
        <x:f>M1108+IF(AND(S1108=1,J1108=2),1,0)</x:f>
        <x:v>4</x:v>
      </x:c>
      <x:c r="W1108" s="19" t="n">
        <x:f>SUM(T1108:V1108)</x:f>
        <x:v>7</x:v>
      </x:c>
      <x:c r="X1108" s="19" t="n">
        <x:f>W1108-G1108</x:f>
        <x:v>1</x:v>
      </x:c>
      <x:c r="Y1108" s="19" t="n">
        <x:f>MAX(T1108,1)+MAX(U1108,1)+MAX(V1108,1)</x:f>
        <x:v>8</x:v>
      </x:c>
      <x:c r="Z1108" s="21" t="str">
        <x:f>IF(AND(MIN(D1108:F1108)&gt;=0,MAX(D1108:F1108)&lt;=7,MAX(D1108,1)+MAX(E1108,1)+MAX(F1108,1)&lt;=9,OR(H1108="-",AND(H1108=0,D1108&gt;0),AND(H1108=1,E1108&gt;0),AND(H1108=2,F1108&gt;0)),OR(I1108=0,AND(I1108=1,OR(J1108=0,J1108=1,J1108=2),R1108&lt;&gt;"000")),Y1108&lt;=9,MIN(T1108:V1108)&gt;=0),"合法","输入违约")</x:f>
        <x:v>合法</x:v>
      </x:c>
    </x:row>
    <x:row r="1109" ht="23" customHeight="1">
      <x:c r="A1109" s="3" t="str">
        <x:v>CT-1102</x:v>
      </x:c>
      <x:c r="B1109" s="3" t="str">
        <x:v>ST-070</x:v>
      </x:c>
      <x:c r="C1109" s="3" t="str">
        <x:v>仅AR接收</x:v>
      </x:c>
      <x:c r="D1109" s="25" t="n">
        <x:v>2</x:v>
      </x:c>
      <x:c r="E1109" s="25" t="n">
        <x:v>0</x:v>
      </x:c>
      <x:c r="F1109" s="25" t="n">
        <x:v>4</x:v>
      </x:c>
      <x:c r="G1109" s="19" t="n">
        <x:f>SUM(D1109:F1109)</x:f>
        <x:v>6</x:v>
      </x:c>
      <x:c r="H1109" s="25" t="str">
        <x:v>-</x:v>
      </x:c>
      <x:c r="I1109" s="25" t="n">
        <x:v>1</x:v>
      </x:c>
      <x:c r="J1109" s="25" t="n">
        <x:v>1</x:v>
      </x:c>
      <x:c r="K1109" s="19" t="n">
        <x:f>D1109-IF(H1109=0,1,0)</x:f>
        <x:v>2</x:v>
      </x:c>
      <x:c r="L1109" s="19" t="n">
        <x:f>E1109-IF(H1109=1,1,0)</x:f>
        <x:v>0</x:v>
      </x:c>
      <x:c r="M1109" s="19" t="n">
        <x:f>F1109-IF(H1109=2,1,0)</x:f>
        <x:v>4</x:v>
      </x:c>
      <x:c r="N1109" s="19" t="n">
        <x:f>MAX(K1109-1,0)+MAX(L1109-1,0)+MAX(M1109-1,0)</x:f>
        <x:v>4</x:v>
      </x:c>
      <x:c r="O1109" s="19" t="n">
        <x:f>IF(AND(SUM(K1109:M1109)&lt;9,OR(M1109=0,N1109&lt;6)),1,0)</x:f>
        <x:v>1</x:v>
      </x:c>
      <x:c r="P1109" s="19" t="n">
        <x:f>IF(AND(SUM(K1109:M1109)&lt;9,OR(L1109=0,N1109&lt;6)),1,0)</x:f>
        <x:v>1</x:v>
      </x:c>
      <x:c r="Q1109" s="19" t="n">
        <x:f>IF(AND(SUM(K1109:M1109)&lt;9,OR(K1109=0,N1109&lt;6)),1,0)</x:f>
        <x:v>1</x:v>
      </x:c>
      <x:c r="R1109" s="22" t="str">
        <x:f>O1109&amp;P1109&amp;Q1109</x:f>
        <x:v>111</x:v>
      </x:c>
      <x:c r="S1109" s="19" t="n">
        <x:f>IF(I1109=1,IF(J1109=0,Q1109,IF(J1109=1,P1109,IF(J1109=2,O1109,0))),0)</x:f>
        <x:v>1</x:v>
      </x:c>
      <x:c r="T1109" s="19" t="n">
        <x:f>K1109+IF(AND(S1109=1,J1109=0),1,0)</x:f>
        <x:v>2</x:v>
      </x:c>
      <x:c r="U1109" s="19" t="n">
        <x:f>L1109+IF(AND(S1109=1,J1109=1),1,0)</x:f>
        <x:v>1</x:v>
      </x:c>
      <x:c r="V1109" s="19" t="n">
        <x:f>M1109+IF(AND(S1109=1,J1109=2),1,0)</x:f>
        <x:v>4</x:v>
      </x:c>
      <x:c r="W1109" s="19" t="n">
        <x:f>SUM(T1109:V1109)</x:f>
        <x:v>7</x:v>
      </x:c>
      <x:c r="X1109" s="19" t="n">
        <x:f>W1109-G1109</x:f>
        <x:v>1</x:v>
      </x:c>
      <x:c r="Y1109" s="19" t="n">
        <x:f>MAX(T1109,1)+MAX(U1109,1)+MAX(V1109,1)</x:f>
        <x:v>7</x:v>
      </x:c>
      <x:c r="Z1109" s="21" t="str">
        <x:f>IF(AND(MIN(D1109:F1109)&gt;=0,MAX(D1109:F1109)&lt;=7,MAX(D1109,1)+MAX(E1109,1)+MAX(F1109,1)&lt;=9,OR(H1109="-",AND(H1109=0,D1109&gt;0),AND(H1109=1,E1109&gt;0),AND(H1109=2,F1109&gt;0)),OR(I1109=0,AND(I1109=1,OR(J1109=0,J1109=1,J1109=2),R1109&lt;&gt;"000")),Y1109&lt;=9,MIN(T1109:V1109)&gt;=0),"合法","输入违约")</x:f>
        <x:v>合法</x:v>
      </x:c>
    </x:row>
    <x:row r="1110" ht="23" customHeight="1">
      <x:c r="A1110" s="3" t="str">
        <x:v>CT-1103</x:v>
      </x:c>
      <x:c r="B1110" s="3" t="str">
        <x:v>ST-070</x:v>
      </x:c>
      <x:c r="C1110" s="3" t="str">
        <x:v>仅AR接收</x:v>
      </x:c>
      <x:c r="D1110" s="25" t="n">
        <x:v>2</x:v>
      </x:c>
      <x:c r="E1110" s="25" t="n">
        <x:v>0</x:v>
      </x:c>
      <x:c r="F1110" s="25" t="n">
        <x:v>4</x:v>
      </x:c>
      <x:c r="G1110" s="19" t="n">
        <x:f>SUM(D1110:F1110)</x:f>
        <x:v>6</x:v>
      </x:c>
      <x:c r="H1110" s="25" t="str">
        <x:v>-</x:v>
      </x:c>
      <x:c r="I1110" s="25" t="n">
        <x:v>1</x:v>
      </x:c>
      <x:c r="J1110" s="25" t="n">
        <x:v>2</x:v>
      </x:c>
      <x:c r="K1110" s="19" t="n">
        <x:f>D1110-IF(H1110=0,1,0)</x:f>
        <x:v>2</x:v>
      </x:c>
      <x:c r="L1110" s="19" t="n">
        <x:f>E1110-IF(H1110=1,1,0)</x:f>
        <x:v>0</x:v>
      </x:c>
      <x:c r="M1110" s="19" t="n">
        <x:f>F1110-IF(H1110=2,1,0)</x:f>
        <x:v>4</x:v>
      </x:c>
      <x:c r="N1110" s="19" t="n">
        <x:f>MAX(K1110-1,0)+MAX(L1110-1,0)+MAX(M1110-1,0)</x:f>
        <x:v>4</x:v>
      </x:c>
      <x:c r="O1110" s="19" t="n">
        <x:f>IF(AND(SUM(K1110:M1110)&lt;9,OR(M1110=0,N1110&lt;6)),1,0)</x:f>
        <x:v>1</x:v>
      </x:c>
      <x:c r="P1110" s="19" t="n">
        <x:f>IF(AND(SUM(K1110:M1110)&lt;9,OR(L1110=0,N1110&lt;6)),1,0)</x:f>
        <x:v>1</x:v>
      </x:c>
      <x:c r="Q1110" s="19" t="n">
        <x:f>IF(AND(SUM(K1110:M1110)&lt;9,OR(K1110=0,N1110&lt;6)),1,0)</x:f>
        <x:v>1</x:v>
      </x:c>
      <x:c r="R1110" s="22" t="str">
        <x:f>O1110&amp;P1110&amp;Q1110</x:f>
        <x:v>111</x:v>
      </x:c>
      <x:c r="S1110" s="19" t="n">
        <x:f>IF(I1110=1,IF(J1110=0,Q1110,IF(J1110=1,P1110,IF(J1110=2,O1110,0))),0)</x:f>
        <x:v>1</x:v>
      </x:c>
      <x:c r="T1110" s="19" t="n">
        <x:f>K1110+IF(AND(S1110=1,J1110=0),1,0)</x:f>
        <x:v>2</x:v>
      </x:c>
      <x:c r="U1110" s="19" t="n">
        <x:f>L1110+IF(AND(S1110=1,J1110=1),1,0)</x:f>
        <x:v>0</x:v>
      </x:c>
      <x:c r="V1110" s="19" t="n">
        <x:f>M1110+IF(AND(S1110=1,J1110=2),1,0)</x:f>
        <x:v>5</x:v>
      </x:c>
      <x:c r="W1110" s="19" t="n">
        <x:f>SUM(T1110:V1110)</x:f>
        <x:v>7</x:v>
      </x:c>
      <x:c r="X1110" s="19" t="n">
        <x:f>W1110-G1110</x:f>
        <x:v>1</x:v>
      </x:c>
      <x:c r="Y1110" s="19" t="n">
        <x:f>MAX(T1110,1)+MAX(U1110,1)+MAX(V1110,1)</x:f>
        <x:v>8</x:v>
      </x:c>
      <x:c r="Z1110" s="21" t="str">
        <x:f>IF(AND(MIN(D1110:F1110)&gt;=0,MAX(D1110:F1110)&lt;=7,MAX(D1110,1)+MAX(E1110,1)+MAX(F1110,1)&lt;=9,OR(H1110="-",AND(H1110=0,D1110&gt;0),AND(H1110=1,E1110&gt;0),AND(H1110=2,F1110&gt;0)),OR(I1110=0,AND(I1110=1,OR(J1110=0,J1110=1,J1110=2),R1110&lt;&gt;"000")),Y1110&lt;=9,MIN(T1110:V1110)&gt;=0),"合法","输入违约")</x:f>
        <x:v>合法</x:v>
      </x:c>
    </x:row>
    <x:row r="1111" ht="23" customHeight="1">
      <x:c r="A1111" s="3" t="str">
        <x:v>CT-1104</x:v>
      </x:c>
      <x:c r="B1111" s="3" t="str">
        <x:v>ST-070</x:v>
      </x:c>
      <x:c r="C1111" s="3" t="str">
        <x:v>仅R回收</x:v>
      </x:c>
      <x:c r="D1111" s="25" t="n">
        <x:v>2</x:v>
      </x:c>
      <x:c r="E1111" s="25" t="n">
        <x:v>0</x:v>
      </x:c>
      <x:c r="F1111" s="25" t="n">
        <x:v>4</x:v>
      </x:c>
      <x:c r="G1111" s="19" t="n">
        <x:f>SUM(D1111:F1111)</x:f>
        <x:v>6</x:v>
      </x:c>
      <x:c r="H1111" s="25" t="n">
        <x:v>0</x:v>
      </x:c>
      <x:c r="I1111" s="25" t="n">
        <x:v>0</x:v>
      </x:c>
      <x:c r="J1111" s="25" t="str">
        <x:v>-</x:v>
      </x:c>
      <x:c r="K1111" s="19" t="n">
        <x:f>D1111-IF(H1111=0,1,0)</x:f>
        <x:v>1</x:v>
      </x:c>
      <x:c r="L1111" s="19" t="n">
        <x:f>E1111-IF(H1111=1,1,0)</x:f>
        <x:v>0</x:v>
      </x:c>
      <x:c r="M1111" s="19" t="n">
        <x:f>F1111-IF(H1111=2,1,0)</x:f>
        <x:v>4</x:v>
      </x:c>
      <x:c r="N1111" s="19" t="n">
        <x:f>MAX(K1111-1,0)+MAX(L1111-1,0)+MAX(M1111-1,0)</x:f>
        <x:v>3</x:v>
      </x:c>
      <x:c r="O1111" s="19" t="n">
        <x:f>IF(AND(SUM(K1111:M1111)&lt;9,OR(M1111=0,N1111&lt;6)),1,0)</x:f>
        <x:v>1</x:v>
      </x:c>
      <x:c r="P1111" s="19" t="n">
        <x:f>IF(AND(SUM(K1111:M1111)&lt;9,OR(L1111=0,N1111&lt;6)),1,0)</x:f>
        <x:v>1</x:v>
      </x:c>
      <x:c r="Q1111" s="19" t="n">
        <x:f>IF(AND(SUM(K1111:M1111)&lt;9,OR(K1111=0,N1111&lt;6)),1,0)</x:f>
        <x:v>1</x:v>
      </x:c>
      <x:c r="R1111" s="22" t="str">
        <x:f>O1111&amp;P1111&amp;Q1111</x:f>
        <x:v>111</x:v>
      </x:c>
      <x:c r="S1111" s="19" t="n">
        <x:f>IF(I1111=1,IF(J1111=0,Q1111,IF(J1111=1,P1111,IF(J1111=2,O1111,0))),0)</x:f>
        <x:v>0</x:v>
      </x:c>
      <x:c r="T1111" s="19" t="n">
        <x:f>K1111+IF(AND(S1111=1,J1111=0),1,0)</x:f>
        <x:v>1</x:v>
      </x:c>
      <x:c r="U1111" s="19" t="n">
        <x:f>L1111+IF(AND(S1111=1,J1111=1),1,0)</x:f>
        <x:v>0</x:v>
      </x:c>
      <x:c r="V1111" s="19" t="n">
        <x:f>M1111+IF(AND(S1111=1,J1111=2),1,0)</x:f>
        <x:v>4</x:v>
      </x:c>
      <x:c r="W1111" s="19" t="n">
        <x:f>SUM(T1111:V1111)</x:f>
        <x:v>5</x:v>
      </x:c>
      <x:c r="X1111" s="19" t="n">
        <x:f>W1111-G1111</x:f>
        <x:v>-1</x:v>
      </x:c>
      <x:c r="Y1111" s="19" t="n">
        <x:f>MAX(T1111,1)+MAX(U1111,1)+MAX(V1111,1)</x:f>
        <x:v>6</x:v>
      </x:c>
      <x:c r="Z1111" s="21" t="str">
        <x:f>IF(AND(MIN(D1111:F1111)&gt;=0,MAX(D1111:F1111)&lt;=7,MAX(D1111,1)+MAX(E1111,1)+MAX(F1111,1)&lt;=9,OR(H1111="-",AND(H1111=0,D1111&gt;0),AND(H1111=1,E1111&gt;0),AND(H1111=2,F1111&gt;0)),OR(I1111=0,AND(I1111=1,OR(J1111=0,J1111=1,J1111=2),R1111&lt;&gt;"000")),Y1111&lt;=9,MIN(T1111:V1111)&gt;=0),"合法","输入违约")</x:f>
        <x:v>合法</x:v>
      </x:c>
    </x:row>
    <x:row r="1112" ht="23" customHeight="1">
      <x:c r="A1112" s="3" t="str">
        <x:v>CT-1105</x:v>
      </x:c>
      <x:c r="B1112" s="3" t="str">
        <x:v>ST-070</x:v>
      </x:c>
      <x:c r="C1112" s="3" t="str">
        <x:v>R+AR同收同发</x:v>
      </x:c>
      <x:c r="D1112" s="25" t="n">
        <x:v>2</x:v>
      </x:c>
      <x:c r="E1112" s="25" t="n">
        <x:v>0</x:v>
      </x:c>
      <x:c r="F1112" s="25" t="n">
        <x:v>4</x:v>
      </x:c>
      <x:c r="G1112" s="19" t="n">
        <x:f>SUM(D1112:F1112)</x:f>
        <x:v>6</x:v>
      </x:c>
      <x:c r="H1112" s="25" t="n">
        <x:v>0</x:v>
      </x:c>
      <x:c r="I1112" s="25" t="n">
        <x:v>1</x:v>
      </x:c>
      <x:c r="J1112" s="25" t="n">
        <x:v>0</x:v>
      </x:c>
      <x:c r="K1112" s="19" t="n">
        <x:f>D1112-IF(H1112=0,1,0)</x:f>
        <x:v>1</x:v>
      </x:c>
      <x:c r="L1112" s="19" t="n">
        <x:f>E1112-IF(H1112=1,1,0)</x:f>
        <x:v>0</x:v>
      </x:c>
      <x:c r="M1112" s="19" t="n">
        <x:f>F1112-IF(H1112=2,1,0)</x:f>
        <x:v>4</x:v>
      </x:c>
      <x:c r="N1112" s="19" t="n">
        <x:f>MAX(K1112-1,0)+MAX(L1112-1,0)+MAX(M1112-1,0)</x:f>
        <x:v>3</x:v>
      </x:c>
      <x:c r="O1112" s="19" t="n">
        <x:f>IF(AND(SUM(K1112:M1112)&lt;9,OR(M1112=0,N1112&lt;6)),1,0)</x:f>
        <x:v>1</x:v>
      </x:c>
      <x:c r="P1112" s="19" t="n">
        <x:f>IF(AND(SUM(K1112:M1112)&lt;9,OR(L1112=0,N1112&lt;6)),1,0)</x:f>
        <x:v>1</x:v>
      </x:c>
      <x:c r="Q1112" s="19" t="n">
        <x:f>IF(AND(SUM(K1112:M1112)&lt;9,OR(K1112=0,N1112&lt;6)),1,0)</x:f>
        <x:v>1</x:v>
      </x:c>
      <x:c r="R1112" s="22" t="str">
        <x:f>O1112&amp;P1112&amp;Q1112</x:f>
        <x:v>111</x:v>
      </x:c>
      <x:c r="S1112" s="19" t="n">
        <x:f>IF(I1112=1,IF(J1112=0,Q1112,IF(J1112=1,P1112,IF(J1112=2,O1112,0))),0)</x:f>
        <x:v>1</x:v>
      </x:c>
      <x:c r="T1112" s="19" t="n">
        <x:f>K1112+IF(AND(S1112=1,J1112=0),1,0)</x:f>
        <x:v>2</x:v>
      </x:c>
      <x:c r="U1112" s="19" t="n">
        <x:f>L1112+IF(AND(S1112=1,J1112=1),1,0)</x:f>
        <x:v>0</x:v>
      </x:c>
      <x:c r="V1112" s="19" t="n">
        <x:f>M1112+IF(AND(S1112=1,J1112=2),1,0)</x:f>
        <x:v>4</x:v>
      </x:c>
      <x:c r="W1112" s="19" t="n">
        <x:f>SUM(T1112:V1112)</x:f>
        <x:v>6</x:v>
      </x:c>
      <x:c r="X1112" s="19" t="n">
        <x:f>W1112-G1112</x:f>
        <x:v>0</x:v>
      </x:c>
      <x:c r="Y1112" s="19" t="n">
        <x:f>MAX(T1112,1)+MAX(U1112,1)+MAX(V1112,1)</x:f>
        <x:v>7</x:v>
      </x:c>
      <x:c r="Z1112" s="21" t="str">
        <x:f>IF(AND(MIN(D1112:F1112)&gt;=0,MAX(D1112:F1112)&lt;=7,MAX(D1112,1)+MAX(E1112,1)+MAX(F1112,1)&lt;=9,OR(H1112="-",AND(H1112=0,D1112&gt;0),AND(H1112=1,E1112&gt;0),AND(H1112=2,F1112&gt;0)),OR(I1112=0,AND(I1112=1,OR(J1112=0,J1112=1,J1112=2),R1112&lt;&gt;"000")),Y1112&lt;=9,MIN(T1112:V1112)&gt;=0),"合法","输入违约")</x:f>
        <x:v>合法</x:v>
      </x:c>
    </x:row>
    <x:row r="1113" ht="23" customHeight="1">
      <x:c r="A1113" s="3" t="str">
        <x:v>CT-1106</x:v>
      </x:c>
      <x:c r="B1113" s="3" t="str">
        <x:v>ST-070</x:v>
      </x:c>
      <x:c r="C1113" s="3" t="str">
        <x:v>R+AR同收同发</x:v>
      </x:c>
      <x:c r="D1113" s="25" t="n">
        <x:v>2</x:v>
      </x:c>
      <x:c r="E1113" s="25" t="n">
        <x:v>0</x:v>
      </x:c>
      <x:c r="F1113" s="25" t="n">
        <x:v>4</x:v>
      </x:c>
      <x:c r="G1113" s="19" t="n">
        <x:f>SUM(D1113:F1113)</x:f>
        <x:v>6</x:v>
      </x:c>
      <x:c r="H1113" s="25" t="n">
        <x:v>0</x:v>
      </x:c>
      <x:c r="I1113" s="25" t="n">
        <x:v>1</x:v>
      </x:c>
      <x:c r="J1113" s="25" t="n">
        <x:v>1</x:v>
      </x:c>
      <x:c r="K1113" s="19" t="n">
        <x:f>D1113-IF(H1113=0,1,0)</x:f>
        <x:v>1</x:v>
      </x:c>
      <x:c r="L1113" s="19" t="n">
        <x:f>E1113-IF(H1113=1,1,0)</x:f>
        <x:v>0</x:v>
      </x:c>
      <x:c r="M1113" s="19" t="n">
        <x:f>F1113-IF(H1113=2,1,0)</x:f>
        <x:v>4</x:v>
      </x:c>
      <x:c r="N1113" s="19" t="n">
        <x:f>MAX(K1113-1,0)+MAX(L1113-1,0)+MAX(M1113-1,0)</x:f>
        <x:v>3</x:v>
      </x:c>
      <x:c r="O1113" s="19" t="n">
        <x:f>IF(AND(SUM(K1113:M1113)&lt;9,OR(M1113=0,N1113&lt;6)),1,0)</x:f>
        <x:v>1</x:v>
      </x:c>
      <x:c r="P1113" s="19" t="n">
        <x:f>IF(AND(SUM(K1113:M1113)&lt;9,OR(L1113=0,N1113&lt;6)),1,0)</x:f>
        <x:v>1</x:v>
      </x:c>
      <x:c r="Q1113" s="19" t="n">
        <x:f>IF(AND(SUM(K1113:M1113)&lt;9,OR(K1113=0,N1113&lt;6)),1,0)</x:f>
        <x:v>1</x:v>
      </x:c>
      <x:c r="R1113" s="22" t="str">
        <x:f>O1113&amp;P1113&amp;Q1113</x:f>
        <x:v>111</x:v>
      </x:c>
      <x:c r="S1113" s="19" t="n">
        <x:f>IF(I1113=1,IF(J1113=0,Q1113,IF(J1113=1,P1113,IF(J1113=2,O1113,0))),0)</x:f>
        <x:v>1</x:v>
      </x:c>
      <x:c r="T1113" s="19" t="n">
        <x:f>K1113+IF(AND(S1113=1,J1113=0),1,0)</x:f>
        <x:v>1</x:v>
      </x:c>
      <x:c r="U1113" s="19" t="n">
        <x:f>L1113+IF(AND(S1113=1,J1113=1),1,0)</x:f>
        <x:v>1</x:v>
      </x:c>
      <x:c r="V1113" s="19" t="n">
        <x:f>M1113+IF(AND(S1113=1,J1113=2),1,0)</x:f>
        <x:v>4</x:v>
      </x:c>
      <x:c r="W1113" s="19" t="n">
        <x:f>SUM(T1113:V1113)</x:f>
        <x:v>6</x:v>
      </x:c>
      <x:c r="X1113" s="19" t="n">
        <x:f>W1113-G1113</x:f>
        <x:v>0</x:v>
      </x:c>
      <x:c r="Y1113" s="19" t="n">
        <x:f>MAX(T1113,1)+MAX(U1113,1)+MAX(V1113,1)</x:f>
        <x:v>6</x:v>
      </x:c>
      <x:c r="Z1113" s="21" t="str">
        <x:f>IF(AND(MIN(D1113:F1113)&gt;=0,MAX(D1113:F1113)&lt;=7,MAX(D1113,1)+MAX(E1113,1)+MAX(F1113,1)&lt;=9,OR(H1113="-",AND(H1113=0,D1113&gt;0),AND(H1113=1,E1113&gt;0),AND(H1113=2,F1113&gt;0)),OR(I1113=0,AND(I1113=1,OR(J1113=0,J1113=1,J1113=2),R1113&lt;&gt;"000")),Y1113&lt;=9,MIN(T1113:V1113)&gt;=0),"合法","输入违约")</x:f>
        <x:v>合法</x:v>
      </x:c>
    </x:row>
    <x:row r="1114" ht="23" customHeight="1">
      <x:c r="A1114" s="3" t="str">
        <x:v>CT-1107</x:v>
      </x:c>
      <x:c r="B1114" s="3" t="str">
        <x:v>ST-070</x:v>
      </x:c>
      <x:c r="C1114" s="3" t="str">
        <x:v>R+AR同收同发</x:v>
      </x:c>
      <x:c r="D1114" s="25" t="n">
        <x:v>2</x:v>
      </x:c>
      <x:c r="E1114" s="25" t="n">
        <x:v>0</x:v>
      </x:c>
      <x:c r="F1114" s="25" t="n">
        <x:v>4</x:v>
      </x:c>
      <x:c r="G1114" s="19" t="n">
        <x:f>SUM(D1114:F1114)</x:f>
        <x:v>6</x:v>
      </x:c>
      <x:c r="H1114" s="25" t="n">
        <x:v>0</x:v>
      </x:c>
      <x:c r="I1114" s="25" t="n">
        <x:v>1</x:v>
      </x:c>
      <x:c r="J1114" s="25" t="n">
        <x:v>2</x:v>
      </x:c>
      <x:c r="K1114" s="19" t="n">
        <x:f>D1114-IF(H1114=0,1,0)</x:f>
        <x:v>1</x:v>
      </x:c>
      <x:c r="L1114" s="19" t="n">
        <x:f>E1114-IF(H1114=1,1,0)</x:f>
        <x:v>0</x:v>
      </x:c>
      <x:c r="M1114" s="19" t="n">
        <x:f>F1114-IF(H1114=2,1,0)</x:f>
        <x:v>4</x:v>
      </x:c>
      <x:c r="N1114" s="19" t="n">
        <x:f>MAX(K1114-1,0)+MAX(L1114-1,0)+MAX(M1114-1,0)</x:f>
        <x:v>3</x:v>
      </x:c>
      <x:c r="O1114" s="19" t="n">
        <x:f>IF(AND(SUM(K1114:M1114)&lt;9,OR(M1114=0,N1114&lt;6)),1,0)</x:f>
        <x:v>1</x:v>
      </x:c>
      <x:c r="P1114" s="19" t="n">
        <x:f>IF(AND(SUM(K1114:M1114)&lt;9,OR(L1114=0,N1114&lt;6)),1,0)</x:f>
        <x:v>1</x:v>
      </x:c>
      <x:c r="Q1114" s="19" t="n">
        <x:f>IF(AND(SUM(K1114:M1114)&lt;9,OR(K1114=0,N1114&lt;6)),1,0)</x:f>
        <x:v>1</x:v>
      </x:c>
      <x:c r="R1114" s="22" t="str">
        <x:f>O1114&amp;P1114&amp;Q1114</x:f>
        <x:v>111</x:v>
      </x:c>
      <x:c r="S1114" s="19" t="n">
        <x:f>IF(I1114=1,IF(J1114=0,Q1114,IF(J1114=1,P1114,IF(J1114=2,O1114,0))),0)</x:f>
        <x:v>1</x:v>
      </x:c>
      <x:c r="T1114" s="19" t="n">
        <x:f>K1114+IF(AND(S1114=1,J1114=0),1,0)</x:f>
        <x:v>1</x:v>
      </x:c>
      <x:c r="U1114" s="19" t="n">
        <x:f>L1114+IF(AND(S1114=1,J1114=1),1,0)</x:f>
        <x:v>0</x:v>
      </x:c>
      <x:c r="V1114" s="19" t="n">
        <x:f>M1114+IF(AND(S1114=1,J1114=2),1,0)</x:f>
        <x:v>5</x:v>
      </x:c>
      <x:c r="W1114" s="19" t="n">
        <x:f>SUM(T1114:V1114)</x:f>
        <x:v>6</x:v>
      </x:c>
      <x:c r="X1114" s="19" t="n">
        <x:f>W1114-G1114</x:f>
        <x:v>0</x:v>
      </x:c>
      <x:c r="Y1114" s="19" t="n">
        <x:f>MAX(T1114,1)+MAX(U1114,1)+MAX(V1114,1)</x:f>
        <x:v>7</x:v>
      </x:c>
      <x:c r="Z1114" s="21" t="str">
        <x:f>IF(AND(MIN(D1114:F1114)&gt;=0,MAX(D1114:F1114)&lt;=7,MAX(D1114,1)+MAX(E1114,1)+MAX(F1114,1)&lt;=9,OR(H1114="-",AND(H1114=0,D1114&gt;0),AND(H1114=1,E1114&gt;0),AND(H1114=2,F1114&gt;0)),OR(I1114=0,AND(I1114=1,OR(J1114=0,J1114=1,J1114=2),R1114&lt;&gt;"000")),Y1114&lt;=9,MIN(T1114:V1114)&gt;=0),"合法","输入违约")</x:f>
        <x:v>合法</x:v>
      </x:c>
    </x:row>
    <x:row r="1115" ht="23" customHeight="1">
      <x:c r="A1115" s="3" t="str">
        <x:v>CT-1108</x:v>
      </x:c>
      <x:c r="B1115" s="3" t="str">
        <x:v>ST-070</x:v>
      </x:c>
      <x:c r="C1115" s="3" t="str">
        <x:v>仅R回收</x:v>
      </x:c>
      <x:c r="D1115" s="25" t="n">
        <x:v>2</x:v>
      </x:c>
      <x:c r="E1115" s="25" t="n">
        <x:v>0</x:v>
      </x:c>
      <x:c r="F1115" s="25" t="n">
        <x:v>4</x:v>
      </x:c>
      <x:c r="G1115" s="19" t="n">
        <x:f>SUM(D1115:F1115)</x:f>
        <x:v>6</x:v>
      </x:c>
      <x:c r="H1115" s="25" t="n">
        <x:v>2</x:v>
      </x:c>
      <x:c r="I1115" s="25" t="n">
        <x:v>0</x:v>
      </x:c>
      <x:c r="J1115" s="25" t="str">
        <x:v>-</x:v>
      </x:c>
      <x:c r="K1115" s="19" t="n">
        <x:f>D1115-IF(H1115=0,1,0)</x:f>
        <x:v>2</x:v>
      </x:c>
      <x:c r="L1115" s="19" t="n">
        <x:f>E1115-IF(H1115=1,1,0)</x:f>
        <x:v>0</x:v>
      </x:c>
      <x:c r="M1115" s="19" t="n">
        <x:f>F1115-IF(H1115=2,1,0)</x:f>
        <x:v>3</x:v>
      </x:c>
      <x:c r="N1115" s="19" t="n">
        <x:f>MAX(K1115-1,0)+MAX(L1115-1,0)+MAX(M1115-1,0)</x:f>
        <x:v>3</x:v>
      </x:c>
      <x:c r="O1115" s="19" t="n">
        <x:f>IF(AND(SUM(K1115:M1115)&lt;9,OR(M1115=0,N1115&lt;6)),1,0)</x:f>
        <x:v>1</x:v>
      </x:c>
      <x:c r="P1115" s="19" t="n">
        <x:f>IF(AND(SUM(K1115:M1115)&lt;9,OR(L1115=0,N1115&lt;6)),1,0)</x:f>
        <x:v>1</x:v>
      </x:c>
      <x:c r="Q1115" s="19" t="n">
        <x:f>IF(AND(SUM(K1115:M1115)&lt;9,OR(K1115=0,N1115&lt;6)),1,0)</x:f>
        <x:v>1</x:v>
      </x:c>
      <x:c r="R1115" s="22" t="str">
        <x:f>O1115&amp;P1115&amp;Q1115</x:f>
        <x:v>111</x:v>
      </x:c>
      <x:c r="S1115" s="19" t="n">
        <x:f>IF(I1115=1,IF(J1115=0,Q1115,IF(J1115=1,P1115,IF(J1115=2,O1115,0))),0)</x:f>
        <x:v>0</x:v>
      </x:c>
      <x:c r="T1115" s="19" t="n">
        <x:f>K1115+IF(AND(S1115=1,J1115=0),1,0)</x:f>
        <x:v>2</x:v>
      </x:c>
      <x:c r="U1115" s="19" t="n">
        <x:f>L1115+IF(AND(S1115=1,J1115=1),1,0)</x:f>
        <x:v>0</x:v>
      </x:c>
      <x:c r="V1115" s="19" t="n">
        <x:f>M1115+IF(AND(S1115=1,J1115=2),1,0)</x:f>
        <x:v>3</x:v>
      </x:c>
      <x:c r="W1115" s="19" t="n">
        <x:f>SUM(T1115:V1115)</x:f>
        <x:v>5</x:v>
      </x:c>
      <x:c r="X1115" s="19" t="n">
        <x:f>W1115-G1115</x:f>
        <x:v>-1</x:v>
      </x:c>
      <x:c r="Y1115" s="19" t="n">
        <x:f>MAX(T1115,1)+MAX(U1115,1)+MAX(V1115,1)</x:f>
        <x:v>6</x:v>
      </x:c>
      <x:c r="Z1115" s="21" t="str">
        <x:f>IF(AND(MIN(D1115:F1115)&gt;=0,MAX(D1115:F1115)&lt;=7,MAX(D1115,1)+MAX(E1115,1)+MAX(F1115,1)&lt;=9,OR(H1115="-",AND(H1115=0,D1115&gt;0),AND(H1115=1,E1115&gt;0),AND(H1115=2,F1115&gt;0)),OR(I1115=0,AND(I1115=1,OR(J1115=0,J1115=1,J1115=2),R1115&lt;&gt;"000")),Y1115&lt;=9,MIN(T1115:V1115)&gt;=0),"合法","输入违约")</x:f>
        <x:v>合法</x:v>
      </x:c>
    </x:row>
    <x:row r="1116" ht="23" customHeight="1">
      <x:c r="A1116" s="3" t="str">
        <x:v>CT-1109</x:v>
      </x:c>
      <x:c r="B1116" s="3" t="str">
        <x:v>ST-070</x:v>
      </x:c>
      <x:c r="C1116" s="3" t="str">
        <x:v>R+AR同收同发</x:v>
      </x:c>
      <x:c r="D1116" s="25" t="n">
        <x:v>2</x:v>
      </x:c>
      <x:c r="E1116" s="25" t="n">
        <x:v>0</x:v>
      </x:c>
      <x:c r="F1116" s="25" t="n">
        <x:v>4</x:v>
      </x:c>
      <x:c r="G1116" s="19" t="n">
        <x:f>SUM(D1116:F1116)</x:f>
        <x:v>6</x:v>
      </x:c>
      <x:c r="H1116" s="25" t="n">
        <x:v>2</x:v>
      </x:c>
      <x:c r="I1116" s="25" t="n">
        <x:v>1</x:v>
      </x:c>
      <x:c r="J1116" s="25" t="n">
        <x:v>0</x:v>
      </x:c>
      <x:c r="K1116" s="19" t="n">
        <x:f>D1116-IF(H1116=0,1,0)</x:f>
        <x:v>2</x:v>
      </x:c>
      <x:c r="L1116" s="19" t="n">
        <x:f>E1116-IF(H1116=1,1,0)</x:f>
        <x:v>0</x:v>
      </x:c>
      <x:c r="M1116" s="19" t="n">
        <x:f>F1116-IF(H1116=2,1,0)</x:f>
        <x:v>3</x:v>
      </x:c>
      <x:c r="N1116" s="19" t="n">
        <x:f>MAX(K1116-1,0)+MAX(L1116-1,0)+MAX(M1116-1,0)</x:f>
        <x:v>3</x:v>
      </x:c>
      <x:c r="O1116" s="19" t="n">
        <x:f>IF(AND(SUM(K1116:M1116)&lt;9,OR(M1116=0,N1116&lt;6)),1,0)</x:f>
        <x:v>1</x:v>
      </x:c>
      <x:c r="P1116" s="19" t="n">
        <x:f>IF(AND(SUM(K1116:M1116)&lt;9,OR(L1116=0,N1116&lt;6)),1,0)</x:f>
        <x:v>1</x:v>
      </x:c>
      <x:c r="Q1116" s="19" t="n">
        <x:f>IF(AND(SUM(K1116:M1116)&lt;9,OR(K1116=0,N1116&lt;6)),1,0)</x:f>
        <x:v>1</x:v>
      </x:c>
      <x:c r="R1116" s="22" t="str">
        <x:f>O1116&amp;P1116&amp;Q1116</x:f>
        <x:v>111</x:v>
      </x:c>
      <x:c r="S1116" s="19" t="n">
        <x:f>IF(I1116=1,IF(J1116=0,Q1116,IF(J1116=1,P1116,IF(J1116=2,O1116,0))),0)</x:f>
        <x:v>1</x:v>
      </x:c>
      <x:c r="T1116" s="19" t="n">
        <x:f>K1116+IF(AND(S1116=1,J1116=0),1,0)</x:f>
        <x:v>3</x:v>
      </x:c>
      <x:c r="U1116" s="19" t="n">
        <x:f>L1116+IF(AND(S1116=1,J1116=1),1,0)</x:f>
        <x:v>0</x:v>
      </x:c>
      <x:c r="V1116" s="19" t="n">
        <x:f>M1116+IF(AND(S1116=1,J1116=2),1,0)</x:f>
        <x:v>3</x:v>
      </x:c>
      <x:c r="W1116" s="19" t="n">
        <x:f>SUM(T1116:V1116)</x:f>
        <x:v>6</x:v>
      </x:c>
      <x:c r="X1116" s="19" t="n">
        <x:f>W1116-G1116</x:f>
        <x:v>0</x:v>
      </x:c>
      <x:c r="Y1116" s="19" t="n">
        <x:f>MAX(T1116,1)+MAX(U1116,1)+MAX(V1116,1)</x:f>
        <x:v>7</x:v>
      </x:c>
      <x:c r="Z1116" s="21" t="str">
        <x:f>IF(AND(MIN(D1116:F1116)&gt;=0,MAX(D1116:F1116)&lt;=7,MAX(D1116,1)+MAX(E1116,1)+MAX(F1116,1)&lt;=9,OR(H1116="-",AND(H1116=0,D1116&gt;0),AND(H1116=1,E1116&gt;0),AND(H1116=2,F1116&gt;0)),OR(I1116=0,AND(I1116=1,OR(J1116=0,J1116=1,J1116=2),R1116&lt;&gt;"000")),Y1116&lt;=9,MIN(T1116:V1116)&gt;=0),"合法","输入违约")</x:f>
        <x:v>合法</x:v>
      </x:c>
    </x:row>
    <x:row r="1117" ht="23" customHeight="1">
      <x:c r="A1117" s="3" t="str">
        <x:v>CT-1110</x:v>
      </x:c>
      <x:c r="B1117" s="3" t="str">
        <x:v>ST-070</x:v>
      </x:c>
      <x:c r="C1117" s="3" t="str">
        <x:v>R+AR同收同发</x:v>
      </x:c>
      <x:c r="D1117" s="25" t="n">
        <x:v>2</x:v>
      </x:c>
      <x:c r="E1117" s="25" t="n">
        <x:v>0</x:v>
      </x:c>
      <x:c r="F1117" s="25" t="n">
        <x:v>4</x:v>
      </x:c>
      <x:c r="G1117" s="19" t="n">
        <x:f>SUM(D1117:F1117)</x:f>
        <x:v>6</x:v>
      </x:c>
      <x:c r="H1117" s="25" t="n">
        <x:v>2</x:v>
      </x:c>
      <x:c r="I1117" s="25" t="n">
        <x:v>1</x:v>
      </x:c>
      <x:c r="J1117" s="25" t="n">
        <x:v>1</x:v>
      </x:c>
      <x:c r="K1117" s="19" t="n">
        <x:f>D1117-IF(H1117=0,1,0)</x:f>
        <x:v>2</x:v>
      </x:c>
      <x:c r="L1117" s="19" t="n">
        <x:f>E1117-IF(H1117=1,1,0)</x:f>
        <x:v>0</x:v>
      </x:c>
      <x:c r="M1117" s="19" t="n">
        <x:f>F1117-IF(H1117=2,1,0)</x:f>
        <x:v>3</x:v>
      </x:c>
      <x:c r="N1117" s="19" t="n">
        <x:f>MAX(K1117-1,0)+MAX(L1117-1,0)+MAX(M1117-1,0)</x:f>
        <x:v>3</x:v>
      </x:c>
      <x:c r="O1117" s="19" t="n">
        <x:f>IF(AND(SUM(K1117:M1117)&lt;9,OR(M1117=0,N1117&lt;6)),1,0)</x:f>
        <x:v>1</x:v>
      </x:c>
      <x:c r="P1117" s="19" t="n">
        <x:f>IF(AND(SUM(K1117:M1117)&lt;9,OR(L1117=0,N1117&lt;6)),1,0)</x:f>
        <x:v>1</x:v>
      </x:c>
      <x:c r="Q1117" s="19" t="n">
        <x:f>IF(AND(SUM(K1117:M1117)&lt;9,OR(K1117=0,N1117&lt;6)),1,0)</x:f>
        <x:v>1</x:v>
      </x:c>
      <x:c r="R1117" s="22" t="str">
        <x:f>O1117&amp;P1117&amp;Q1117</x:f>
        <x:v>111</x:v>
      </x:c>
      <x:c r="S1117" s="19" t="n">
        <x:f>IF(I1117=1,IF(J1117=0,Q1117,IF(J1117=1,P1117,IF(J1117=2,O1117,0))),0)</x:f>
        <x:v>1</x:v>
      </x:c>
      <x:c r="T1117" s="19" t="n">
        <x:f>K1117+IF(AND(S1117=1,J1117=0),1,0)</x:f>
        <x:v>2</x:v>
      </x:c>
      <x:c r="U1117" s="19" t="n">
        <x:f>L1117+IF(AND(S1117=1,J1117=1),1,0)</x:f>
        <x:v>1</x:v>
      </x:c>
      <x:c r="V1117" s="19" t="n">
        <x:f>M1117+IF(AND(S1117=1,J1117=2),1,0)</x:f>
        <x:v>3</x:v>
      </x:c>
      <x:c r="W1117" s="19" t="n">
        <x:f>SUM(T1117:V1117)</x:f>
        <x:v>6</x:v>
      </x:c>
      <x:c r="X1117" s="19" t="n">
        <x:f>W1117-G1117</x:f>
        <x:v>0</x:v>
      </x:c>
      <x:c r="Y1117" s="19" t="n">
        <x:f>MAX(T1117,1)+MAX(U1117,1)+MAX(V1117,1)</x:f>
        <x:v>6</x:v>
      </x:c>
      <x:c r="Z1117" s="21" t="str">
        <x:f>IF(AND(MIN(D1117:F1117)&gt;=0,MAX(D1117:F1117)&lt;=7,MAX(D1117,1)+MAX(E1117,1)+MAX(F1117,1)&lt;=9,OR(H1117="-",AND(H1117=0,D1117&gt;0),AND(H1117=1,E1117&gt;0),AND(H1117=2,F1117&gt;0)),OR(I1117=0,AND(I1117=1,OR(J1117=0,J1117=1,J1117=2),R1117&lt;&gt;"000")),Y1117&lt;=9,MIN(T1117:V1117)&gt;=0),"合法","输入违约")</x:f>
        <x:v>合法</x:v>
      </x:c>
    </x:row>
    <x:row r="1118" ht="23" customHeight="1">
      <x:c r="A1118" s="3" t="str">
        <x:v>CT-1111</x:v>
      </x:c>
      <x:c r="B1118" s="3" t="str">
        <x:v>ST-070</x:v>
      </x:c>
      <x:c r="C1118" s="3" t="str">
        <x:v>R+AR同收同发</x:v>
      </x:c>
      <x:c r="D1118" s="25" t="n">
        <x:v>2</x:v>
      </x:c>
      <x:c r="E1118" s="25" t="n">
        <x:v>0</x:v>
      </x:c>
      <x:c r="F1118" s="25" t="n">
        <x:v>4</x:v>
      </x:c>
      <x:c r="G1118" s="19" t="n">
        <x:f>SUM(D1118:F1118)</x:f>
        <x:v>6</x:v>
      </x:c>
      <x:c r="H1118" s="25" t="n">
        <x:v>2</x:v>
      </x:c>
      <x:c r="I1118" s="25" t="n">
        <x:v>1</x:v>
      </x:c>
      <x:c r="J1118" s="25" t="n">
        <x:v>2</x:v>
      </x:c>
      <x:c r="K1118" s="19" t="n">
        <x:f>D1118-IF(H1118=0,1,0)</x:f>
        <x:v>2</x:v>
      </x:c>
      <x:c r="L1118" s="19" t="n">
        <x:f>E1118-IF(H1118=1,1,0)</x:f>
        <x:v>0</x:v>
      </x:c>
      <x:c r="M1118" s="19" t="n">
        <x:f>F1118-IF(H1118=2,1,0)</x:f>
        <x:v>3</x:v>
      </x:c>
      <x:c r="N1118" s="19" t="n">
        <x:f>MAX(K1118-1,0)+MAX(L1118-1,0)+MAX(M1118-1,0)</x:f>
        <x:v>3</x:v>
      </x:c>
      <x:c r="O1118" s="19" t="n">
        <x:f>IF(AND(SUM(K1118:M1118)&lt;9,OR(M1118=0,N1118&lt;6)),1,0)</x:f>
        <x:v>1</x:v>
      </x:c>
      <x:c r="P1118" s="19" t="n">
        <x:f>IF(AND(SUM(K1118:M1118)&lt;9,OR(L1118=0,N1118&lt;6)),1,0)</x:f>
        <x:v>1</x:v>
      </x:c>
      <x:c r="Q1118" s="19" t="n">
        <x:f>IF(AND(SUM(K1118:M1118)&lt;9,OR(K1118=0,N1118&lt;6)),1,0)</x:f>
        <x:v>1</x:v>
      </x:c>
      <x:c r="R1118" s="22" t="str">
        <x:f>O1118&amp;P1118&amp;Q1118</x:f>
        <x:v>111</x:v>
      </x:c>
      <x:c r="S1118" s="19" t="n">
        <x:f>IF(I1118=1,IF(J1118=0,Q1118,IF(J1118=1,P1118,IF(J1118=2,O1118,0))),0)</x:f>
        <x:v>1</x:v>
      </x:c>
      <x:c r="T1118" s="19" t="n">
        <x:f>K1118+IF(AND(S1118=1,J1118=0),1,0)</x:f>
        <x:v>2</x:v>
      </x:c>
      <x:c r="U1118" s="19" t="n">
        <x:f>L1118+IF(AND(S1118=1,J1118=1),1,0)</x:f>
        <x:v>0</x:v>
      </x:c>
      <x:c r="V1118" s="19" t="n">
        <x:f>M1118+IF(AND(S1118=1,J1118=2),1,0)</x:f>
        <x:v>4</x:v>
      </x:c>
      <x:c r="W1118" s="19" t="n">
        <x:f>SUM(T1118:V1118)</x:f>
        <x:v>6</x:v>
      </x:c>
      <x:c r="X1118" s="19" t="n">
        <x:f>W1118-G1118</x:f>
        <x:v>0</x:v>
      </x:c>
      <x:c r="Y1118" s="19" t="n">
        <x:f>MAX(T1118,1)+MAX(U1118,1)+MAX(V1118,1)</x:f>
        <x:v>7</x:v>
      </x:c>
      <x:c r="Z1118" s="21" t="str">
        <x:f>IF(AND(MIN(D1118:F1118)&gt;=0,MAX(D1118:F1118)&lt;=7,MAX(D1118,1)+MAX(E1118,1)+MAX(F1118,1)&lt;=9,OR(H1118="-",AND(H1118=0,D1118&gt;0),AND(H1118=1,E1118&gt;0),AND(H1118=2,F1118&gt;0)),OR(I1118=0,AND(I1118=1,OR(J1118=0,J1118=1,J1118=2),R1118&lt;&gt;"000")),Y1118&lt;=9,MIN(T1118:V1118)&gt;=0),"合法","输入违约")</x:f>
        <x:v>合法</x:v>
      </x:c>
    </x:row>
    <x:row r="1119" ht="23" customHeight="1">
      <x:c r="A1119" s="3" t="str">
        <x:v>CT-1112</x:v>
      </x:c>
      <x:c r="B1119" s="3" t="str">
        <x:v>ST-100</x:v>
      </x:c>
      <x:c r="C1119" s="3" t="str">
        <x:v>无AR/R</x:v>
      </x:c>
      <x:c r="D1119" s="25" t="n">
        <x:v>2</x:v>
      </x:c>
      <x:c r="E1119" s="25" t="n">
        <x:v>0</x:v>
      </x:c>
      <x:c r="F1119" s="25" t="n">
        <x:v>5</x:v>
      </x:c>
      <x:c r="G1119" s="19" t="n">
        <x:f>SUM(D1119:F1119)</x:f>
        <x:v>7</x:v>
      </x:c>
      <x:c r="H1119" s="25" t="str">
        <x:v>-</x:v>
      </x:c>
      <x:c r="I1119" s="25" t="n">
        <x:v>0</x:v>
      </x:c>
      <x:c r="J1119" s="25" t="str">
        <x:v>-</x:v>
      </x:c>
      <x:c r="K1119" s="19" t="n">
        <x:f>D1119-IF(H1119=0,1,0)</x:f>
        <x:v>2</x:v>
      </x:c>
      <x:c r="L1119" s="19" t="n">
        <x:f>E1119-IF(H1119=1,1,0)</x:f>
        <x:v>0</x:v>
      </x:c>
      <x:c r="M1119" s="19" t="n">
        <x:f>F1119-IF(H1119=2,1,0)</x:f>
        <x:v>5</x:v>
      </x:c>
      <x:c r="N1119" s="19" t="n">
        <x:f>MAX(K1119-1,0)+MAX(L1119-1,0)+MAX(M1119-1,0)</x:f>
        <x:v>5</x:v>
      </x:c>
      <x:c r="O1119" s="19" t="n">
        <x:f>IF(AND(SUM(K1119:M1119)&lt;9,OR(M1119=0,N1119&lt;6)),1,0)</x:f>
        <x:v>1</x:v>
      </x:c>
      <x:c r="P1119" s="19" t="n">
        <x:f>IF(AND(SUM(K1119:M1119)&lt;9,OR(L1119=0,N1119&lt;6)),1,0)</x:f>
        <x:v>1</x:v>
      </x:c>
      <x:c r="Q1119" s="19" t="n">
        <x:f>IF(AND(SUM(K1119:M1119)&lt;9,OR(K1119=0,N1119&lt;6)),1,0)</x:f>
        <x:v>1</x:v>
      </x:c>
      <x:c r="R1119" s="22" t="str">
        <x:f>O1119&amp;P1119&amp;Q1119</x:f>
        <x:v>111</x:v>
      </x:c>
      <x:c r="S1119" s="19" t="n">
        <x:f>IF(I1119=1,IF(J1119=0,Q1119,IF(J1119=1,P1119,IF(J1119=2,O1119,0))),0)</x:f>
        <x:v>0</x:v>
      </x:c>
      <x:c r="T1119" s="19" t="n">
        <x:f>K1119+IF(AND(S1119=1,J1119=0),1,0)</x:f>
        <x:v>2</x:v>
      </x:c>
      <x:c r="U1119" s="19" t="n">
        <x:f>L1119+IF(AND(S1119=1,J1119=1),1,0)</x:f>
        <x:v>0</x:v>
      </x:c>
      <x:c r="V1119" s="19" t="n">
        <x:f>M1119+IF(AND(S1119=1,J1119=2),1,0)</x:f>
        <x:v>5</x:v>
      </x:c>
      <x:c r="W1119" s="19" t="n">
        <x:f>SUM(T1119:V1119)</x:f>
        <x:v>7</x:v>
      </x:c>
      <x:c r="X1119" s="19" t="n">
        <x:f>W1119-G1119</x:f>
        <x:v>0</x:v>
      </x:c>
      <x:c r="Y1119" s="19" t="n">
        <x:f>MAX(T1119,1)+MAX(U1119,1)+MAX(V1119,1)</x:f>
        <x:v>8</x:v>
      </x:c>
      <x:c r="Z1119" s="21" t="str">
        <x:f>IF(AND(MIN(D1119:F1119)&gt;=0,MAX(D1119:F1119)&lt;=7,MAX(D1119,1)+MAX(E1119,1)+MAX(F1119,1)&lt;=9,OR(H1119="-",AND(H1119=0,D1119&gt;0),AND(H1119=1,E1119&gt;0),AND(H1119=2,F1119&gt;0)),OR(I1119=0,AND(I1119=1,OR(J1119=0,J1119=1,J1119=2),R1119&lt;&gt;"000")),Y1119&lt;=9,MIN(T1119:V1119)&gt;=0),"合法","输入违约")</x:f>
        <x:v>合法</x:v>
      </x:c>
    </x:row>
    <x:row r="1120" ht="23" customHeight="1">
      <x:c r="A1120" s="3" t="str">
        <x:v>CT-1113</x:v>
      </x:c>
      <x:c r="B1120" s="3" t="str">
        <x:v>ST-100</x:v>
      </x:c>
      <x:c r="C1120" s="3" t="str">
        <x:v>仅AR接收</x:v>
      </x:c>
      <x:c r="D1120" s="25" t="n">
        <x:v>2</x:v>
      </x:c>
      <x:c r="E1120" s="25" t="n">
        <x:v>0</x:v>
      </x:c>
      <x:c r="F1120" s="25" t="n">
        <x:v>5</x:v>
      </x:c>
      <x:c r="G1120" s="19" t="n">
        <x:f>SUM(D1120:F1120)</x:f>
        <x:v>7</x:v>
      </x:c>
      <x:c r="H1120" s="25" t="str">
        <x:v>-</x:v>
      </x:c>
      <x:c r="I1120" s="25" t="n">
        <x:v>1</x:v>
      </x:c>
      <x:c r="J1120" s="25" t="n">
        <x:v>0</x:v>
      </x:c>
      <x:c r="K1120" s="19" t="n">
        <x:f>D1120-IF(H1120=0,1,0)</x:f>
        <x:v>2</x:v>
      </x:c>
      <x:c r="L1120" s="19" t="n">
        <x:f>E1120-IF(H1120=1,1,0)</x:f>
        <x:v>0</x:v>
      </x:c>
      <x:c r="M1120" s="19" t="n">
        <x:f>F1120-IF(H1120=2,1,0)</x:f>
        <x:v>5</x:v>
      </x:c>
      <x:c r="N1120" s="19" t="n">
        <x:f>MAX(K1120-1,0)+MAX(L1120-1,0)+MAX(M1120-1,0)</x:f>
        <x:v>5</x:v>
      </x:c>
      <x:c r="O1120" s="19" t="n">
        <x:f>IF(AND(SUM(K1120:M1120)&lt;9,OR(M1120=0,N1120&lt;6)),1,0)</x:f>
        <x:v>1</x:v>
      </x:c>
      <x:c r="P1120" s="19" t="n">
        <x:f>IF(AND(SUM(K1120:M1120)&lt;9,OR(L1120=0,N1120&lt;6)),1,0)</x:f>
        <x:v>1</x:v>
      </x:c>
      <x:c r="Q1120" s="19" t="n">
        <x:f>IF(AND(SUM(K1120:M1120)&lt;9,OR(K1120=0,N1120&lt;6)),1,0)</x:f>
        <x:v>1</x:v>
      </x:c>
      <x:c r="R1120" s="22" t="str">
        <x:f>O1120&amp;P1120&amp;Q1120</x:f>
        <x:v>111</x:v>
      </x:c>
      <x:c r="S1120" s="19" t="n">
        <x:f>IF(I1120=1,IF(J1120=0,Q1120,IF(J1120=1,P1120,IF(J1120=2,O1120,0))),0)</x:f>
        <x:v>1</x:v>
      </x:c>
      <x:c r="T1120" s="19" t="n">
        <x:f>K1120+IF(AND(S1120=1,J1120=0),1,0)</x:f>
        <x:v>3</x:v>
      </x:c>
      <x:c r="U1120" s="19" t="n">
        <x:f>L1120+IF(AND(S1120=1,J1120=1),1,0)</x:f>
        <x:v>0</x:v>
      </x:c>
      <x:c r="V1120" s="19" t="n">
        <x:f>M1120+IF(AND(S1120=1,J1120=2),1,0)</x:f>
        <x:v>5</x:v>
      </x:c>
      <x:c r="W1120" s="19" t="n">
        <x:f>SUM(T1120:V1120)</x:f>
        <x:v>8</x:v>
      </x:c>
      <x:c r="X1120" s="19" t="n">
        <x:f>W1120-G1120</x:f>
        <x:v>1</x:v>
      </x:c>
      <x:c r="Y1120" s="19" t="n">
        <x:f>MAX(T1120,1)+MAX(U1120,1)+MAX(V1120,1)</x:f>
        <x:v>9</x:v>
      </x:c>
      <x:c r="Z1120" s="21" t="str">
        <x:f>IF(AND(MIN(D1120:F1120)&gt;=0,MAX(D1120:F1120)&lt;=7,MAX(D1120,1)+MAX(E1120,1)+MAX(F1120,1)&lt;=9,OR(H1120="-",AND(H1120=0,D1120&gt;0),AND(H1120=1,E1120&gt;0),AND(H1120=2,F1120&gt;0)),OR(I1120=0,AND(I1120=1,OR(J1120=0,J1120=1,J1120=2),R1120&lt;&gt;"000")),Y1120&lt;=9,MIN(T1120:V1120)&gt;=0),"合法","输入违约")</x:f>
        <x:v>合法</x:v>
      </x:c>
    </x:row>
    <x:row r="1121" ht="23" customHeight="1">
      <x:c r="A1121" s="3" t="str">
        <x:v>CT-1114</x:v>
      </x:c>
      <x:c r="B1121" s="3" t="str">
        <x:v>ST-100</x:v>
      </x:c>
      <x:c r="C1121" s="3" t="str">
        <x:v>仅AR接收</x:v>
      </x:c>
      <x:c r="D1121" s="25" t="n">
        <x:v>2</x:v>
      </x:c>
      <x:c r="E1121" s="25" t="n">
        <x:v>0</x:v>
      </x:c>
      <x:c r="F1121" s="25" t="n">
        <x:v>5</x:v>
      </x:c>
      <x:c r="G1121" s="19" t="n">
        <x:f>SUM(D1121:F1121)</x:f>
        <x:v>7</x:v>
      </x:c>
      <x:c r="H1121" s="25" t="str">
        <x:v>-</x:v>
      </x:c>
      <x:c r="I1121" s="25" t="n">
        <x:v>1</x:v>
      </x:c>
      <x:c r="J1121" s="25" t="n">
        <x:v>1</x:v>
      </x:c>
      <x:c r="K1121" s="19" t="n">
        <x:f>D1121-IF(H1121=0,1,0)</x:f>
        <x:v>2</x:v>
      </x:c>
      <x:c r="L1121" s="19" t="n">
        <x:f>E1121-IF(H1121=1,1,0)</x:f>
        <x:v>0</x:v>
      </x:c>
      <x:c r="M1121" s="19" t="n">
        <x:f>F1121-IF(H1121=2,1,0)</x:f>
        <x:v>5</x:v>
      </x:c>
      <x:c r="N1121" s="19" t="n">
        <x:f>MAX(K1121-1,0)+MAX(L1121-1,0)+MAX(M1121-1,0)</x:f>
        <x:v>5</x:v>
      </x:c>
      <x:c r="O1121" s="19" t="n">
        <x:f>IF(AND(SUM(K1121:M1121)&lt;9,OR(M1121=0,N1121&lt;6)),1,0)</x:f>
        <x:v>1</x:v>
      </x:c>
      <x:c r="P1121" s="19" t="n">
        <x:f>IF(AND(SUM(K1121:M1121)&lt;9,OR(L1121=0,N1121&lt;6)),1,0)</x:f>
        <x:v>1</x:v>
      </x:c>
      <x:c r="Q1121" s="19" t="n">
        <x:f>IF(AND(SUM(K1121:M1121)&lt;9,OR(K1121=0,N1121&lt;6)),1,0)</x:f>
        <x:v>1</x:v>
      </x:c>
      <x:c r="R1121" s="22" t="str">
        <x:f>O1121&amp;P1121&amp;Q1121</x:f>
        <x:v>111</x:v>
      </x:c>
      <x:c r="S1121" s="19" t="n">
        <x:f>IF(I1121=1,IF(J1121=0,Q1121,IF(J1121=1,P1121,IF(J1121=2,O1121,0))),0)</x:f>
        <x:v>1</x:v>
      </x:c>
      <x:c r="T1121" s="19" t="n">
        <x:f>K1121+IF(AND(S1121=1,J1121=0),1,0)</x:f>
        <x:v>2</x:v>
      </x:c>
      <x:c r="U1121" s="19" t="n">
        <x:f>L1121+IF(AND(S1121=1,J1121=1),1,0)</x:f>
        <x:v>1</x:v>
      </x:c>
      <x:c r="V1121" s="19" t="n">
        <x:f>M1121+IF(AND(S1121=1,J1121=2),1,0)</x:f>
        <x:v>5</x:v>
      </x:c>
      <x:c r="W1121" s="19" t="n">
        <x:f>SUM(T1121:V1121)</x:f>
        <x:v>8</x:v>
      </x:c>
      <x:c r="X1121" s="19" t="n">
        <x:f>W1121-G1121</x:f>
        <x:v>1</x:v>
      </x:c>
      <x:c r="Y1121" s="19" t="n">
        <x:f>MAX(T1121,1)+MAX(U1121,1)+MAX(V1121,1)</x:f>
        <x:v>8</x:v>
      </x:c>
      <x:c r="Z1121" s="21" t="str">
        <x:f>IF(AND(MIN(D1121:F1121)&gt;=0,MAX(D1121:F1121)&lt;=7,MAX(D1121,1)+MAX(E1121,1)+MAX(F1121,1)&lt;=9,OR(H1121="-",AND(H1121=0,D1121&gt;0),AND(H1121=1,E1121&gt;0),AND(H1121=2,F1121&gt;0)),OR(I1121=0,AND(I1121=1,OR(J1121=0,J1121=1,J1121=2),R1121&lt;&gt;"000")),Y1121&lt;=9,MIN(T1121:V1121)&gt;=0),"合法","输入违约")</x:f>
        <x:v>合法</x:v>
      </x:c>
    </x:row>
    <x:row r="1122" ht="23" customHeight="1">
      <x:c r="A1122" s="3" t="str">
        <x:v>CT-1115</x:v>
      </x:c>
      <x:c r="B1122" s="3" t="str">
        <x:v>ST-100</x:v>
      </x:c>
      <x:c r="C1122" s="3" t="str">
        <x:v>仅AR接收</x:v>
      </x:c>
      <x:c r="D1122" s="25" t="n">
        <x:v>2</x:v>
      </x:c>
      <x:c r="E1122" s="25" t="n">
        <x:v>0</x:v>
      </x:c>
      <x:c r="F1122" s="25" t="n">
        <x:v>5</x:v>
      </x:c>
      <x:c r="G1122" s="19" t="n">
        <x:f>SUM(D1122:F1122)</x:f>
        <x:v>7</x:v>
      </x:c>
      <x:c r="H1122" s="25" t="str">
        <x:v>-</x:v>
      </x:c>
      <x:c r="I1122" s="25" t="n">
        <x:v>1</x:v>
      </x:c>
      <x:c r="J1122" s="25" t="n">
        <x:v>2</x:v>
      </x:c>
      <x:c r="K1122" s="19" t="n">
        <x:f>D1122-IF(H1122=0,1,0)</x:f>
        <x:v>2</x:v>
      </x:c>
      <x:c r="L1122" s="19" t="n">
        <x:f>E1122-IF(H1122=1,1,0)</x:f>
        <x:v>0</x:v>
      </x:c>
      <x:c r="M1122" s="19" t="n">
        <x:f>F1122-IF(H1122=2,1,0)</x:f>
        <x:v>5</x:v>
      </x:c>
      <x:c r="N1122" s="19" t="n">
        <x:f>MAX(K1122-1,0)+MAX(L1122-1,0)+MAX(M1122-1,0)</x:f>
        <x:v>5</x:v>
      </x:c>
      <x:c r="O1122" s="19" t="n">
        <x:f>IF(AND(SUM(K1122:M1122)&lt;9,OR(M1122=0,N1122&lt;6)),1,0)</x:f>
        <x:v>1</x:v>
      </x:c>
      <x:c r="P1122" s="19" t="n">
        <x:f>IF(AND(SUM(K1122:M1122)&lt;9,OR(L1122=0,N1122&lt;6)),1,0)</x:f>
        <x:v>1</x:v>
      </x:c>
      <x:c r="Q1122" s="19" t="n">
        <x:f>IF(AND(SUM(K1122:M1122)&lt;9,OR(K1122=0,N1122&lt;6)),1,0)</x:f>
        <x:v>1</x:v>
      </x:c>
      <x:c r="R1122" s="22" t="str">
        <x:f>O1122&amp;P1122&amp;Q1122</x:f>
        <x:v>111</x:v>
      </x:c>
      <x:c r="S1122" s="19" t="n">
        <x:f>IF(I1122=1,IF(J1122=0,Q1122,IF(J1122=1,P1122,IF(J1122=2,O1122,0))),0)</x:f>
        <x:v>1</x:v>
      </x:c>
      <x:c r="T1122" s="19" t="n">
        <x:f>K1122+IF(AND(S1122=1,J1122=0),1,0)</x:f>
        <x:v>2</x:v>
      </x:c>
      <x:c r="U1122" s="19" t="n">
        <x:f>L1122+IF(AND(S1122=1,J1122=1),1,0)</x:f>
        <x:v>0</x:v>
      </x:c>
      <x:c r="V1122" s="19" t="n">
        <x:f>M1122+IF(AND(S1122=1,J1122=2),1,0)</x:f>
        <x:v>6</x:v>
      </x:c>
      <x:c r="W1122" s="19" t="n">
        <x:f>SUM(T1122:V1122)</x:f>
        <x:v>8</x:v>
      </x:c>
      <x:c r="X1122" s="19" t="n">
        <x:f>W1122-G1122</x:f>
        <x:v>1</x:v>
      </x:c>
      <x:c r="Y1122" s="19" t="n">
        <x:f>MAX(T1122,1)+MAX(U1122,1)+MAX(V1122,1)</x:f>
        <x:v>9</x:v>
      </x:c>
      <x:c r="Z1122" s="21" t="str">
        <x:f>IF(AND(MIN(D1122:F1122)&gt;=0,MAX(D1122:F1122)&lt;=7,MAX(D1122,1)+MAX(E1122,1)+MAX(F1122,1)&lt;=9,OR(H1122="-",AND(H1122=0,D1122&gt;0),AND(H1122=1,E1122&gt;0),AND(H1122=2,F1122&gt;0)),OR(I1122=0,AND(I1122=1,OR(J1122=0,J1122=1,J1122=2),R1122&lt;&gt;"000")),Y1122&lt;=9,MIN(T1122:V1122)&gt;=0),"合法","输入违约")</x:f>
        <x:v>合法</x:v>
      </x:c>
    </x:row>
    <x:row r="1123" ht="23" customHeight="1">
      <x:c r="A1123" s="3" t="str">
        <x:v>CT-1116</x:v>
      </x:c>
      <x:c r="B1123" s="3" t="str">
        <x:v>ST-100</x:v>
      </x:c>
      <x:c r="C1123" s="3" t="str">
        <x:v>仅R回收</x:v>
      </x:c>
      <x:c r="D1123" s="25" t="n">
        <x:v>2</x:v>
      </x:c>
      <x:c r="E1123" s="25" t="n">
        <x:v>0</x:v>
      </x:c>
      <x:c r="F1123" s="25" t="n">
        <x:v>5</x:v>
      </x:c>
      <x:c r="G1123" s="19" t="n">
        <x:f>SUM(D1123:F1123)</x:f>
        <x:v>7</x:v>
      </x:c>
      <x:c r="H1123" s="25" t="n">
        <x:v>0</x:v>
      </x:c>
      <x:c r="I1123" s="25" t="n">
        <x:v>0</x:v>
      </x:c>
      <x:c r="J1123" s="25" t="str">
        <x:v>-</x:v>
      </x:c>
      <x:c r="K1123" s="19" t="n">
        <x:f>D1123-IF(H1123=0,1,0)</x:f>
        <x:v>1</x:v>
      </x:c>
      <x:c r="L1123" s="19" t="n">
        <x:f>E1123-IF(H1123=1,1,0)</x:f>
        <x:v>0</x:v>
      </x:c>
      <x:c r="M1123" s="19" t="n">
        <x:f>F1123-IF(H1123=2,1,0)</x:f>
        <x:v>5</x:v>
      </x:c>
      <x:c r="N1123" s="19" t="n">
        <x:f>MAX(K1123-1,0)+MAX(L1123-1,0)+MAX(M1123-1,0)</x:f>
        <x:v>4</x:v>
      </x:c>
      <x:c r="O1123" s="19" t="n">
        <x:f>IF(AND(SUM(K1123:M1123)&lt;9,OR(M1123=0,N1123&lt;6)),1,0)</x:f>
        <x:v>1</x:v>
      </x:c>
      <x:c r="P1123" s="19" t="n">
        <x:f>IF(AND(SUM(K1123:M1123)&lt;9,OR(L1123=0,N1123&lt;6)),1,0)</x:f>
        <x:v>1</x:v>
      </x:c>
      <x:c r="Q1123" s="19" t="n">
        <x:f>IF(AND(SUM(K1123:M1123)&lt;9,OR(K1123=0,N1123&lt;6)),1,0)</x:f>
        <x:v>1</x:v>
      </x:c>
      <x:c r="R1123" s="22" t="str">
        <x:f>O1123&amp;P1123&amp;Q1123</x:f>
        <x:v>111</x:v>
      </x:c>
      <x:c r="S1123" s="19" t="n">
        <x:f>IF(I1123=1,IF(J1123=0,Q1123,IF(J1123=1,P1123,IF(J1123=2,O1123,0))),0)</x:f>
        <x:v>0</x:v>
      </x:c>
      <x:c r="T1123" s="19" t="n">
        <x:f>K1123+IF(AND(S1123=1,J1123=0),1,0)</x:f>
        <x:v>1</x:v>
      </x:c>
      <x:c r="U1123" s="19" t="n">
        <x:f>L1123+IF(AND(S1123=1,J1123=1),1,0)</x:f>
        <x:v>0</x:v>
      </x:c>
      <x:c r="V1123" s="19" t="n">
        <x:f>M1123+IF(AND(S1123=1,J1123=2),1,0)</x:f>
        <x:v>5</x:v>
      </x:c>
      <x:c r="W1123" s="19" t="n">
        <x:f>SUM(T1123:V1123)</x:f>
        <x:v>6</x:v>
      </x:c>
      <x:c r="X1123" s="19" t="n">
        <x:f>W1123-G1123</x:f>
        <x:v>-1</x:v>
      </x:c>
      <x:c r="Y1123" s="19" t="n">
        <x:f>MAX(T1123,1)+MAX(U1123,1)+MAX(V1123,1)</x:f>
        <x:v>7</x:v>
      </x:c>
      <x:c r="Z1123" s="21" t="str">
        <x:f>IF(AND(MIN(D1123:F1123)&gt;=0,MAX(D1123:F1123)&lt;=7,MAX(D1123,1)+MAX(E1123,1)+MAX(F1123,1)&lt;=9,OR(H1123="-",AND(H1123=0,D1123&gt;0),AND(H1123=1,E1123&gt;0),AND(H1123=2,F1123&gt;0)),OR(I1123=0,AND(I1123=1,OR(J1123=0,J1123=1,J1123=2),R1123&lt;&gt;"000")),Y1123&lt;=9,MIN(T1123:V1123)&gt;=0),"合法","输入违约")</x:f>
        <x:v>合法</x:v>
      </x:c>
    </x:row>
    <x:row r="1124" ht="23" customHeight="1">
      <x:c r="A1124" s="3" t="str">
        <x:v>CT-1117</x:v>
      </x:c>
      <x:c r="B1124" s="3" t="str">
        <x:v>ST-100</x:v>
      </x:c>
      <x:c r="C1124" s="3" t="str">
        <x:v>R+AR同收同发</x:v>
      </x:c>
      <x:c r="D1124" s="25" t="n">
        <x:v>2</x:v>
      </x:c>
      <x:c r="E1124" s="25" t="n">
        <x:v>0</x:v>
      </x:c>
      <x:c r="F1124" s="25" t="n">
        <x:v>5</x:v>
      </x:c>
      <x:c r="G1124" s="19" t="n">
        <x:f>SUM(D1124:F1124)</x:f>
        <x:v>7</x:v>
      </x:c>
      <x:c r="H1124" s="25" t="n">
        <x:v>0</x:v>
      </x:c>
      <x:c r="I1124" s="25" t="n">
        <x:v>1</x:v>
      </x:c>
      <x:c r="J1124" s="25" t="n">
        <x:v>0</x:v>
      </x:c>
      <x:c r="K1124" s="19" t="n">
        <x:f>D1124-IF(H1124=0,1,0)</x:f>
        <x:v>1</x:v>
      </x:c>
      <x:c r="L1124" s="19" t="n">
        <x:f>E1124-IF(H1124=1,1,0)</x:f>
        <x:v>0</x:v>
      </x:c>
      <x:c r="M1124" s="19" t="n">
        <x:f>F1124-IF(H1124=2,1,0)</x:f>
        <x:v>5</x:v>
      </x:c>
      <x:c r="N1124" s="19" t="n">
        <x:f>MAX(K1124-1,0)+MAX(L1124-1,0)+MAX(M1124-1,0)</x:f>
        <x:v>4</x:v>
      </x:c>
      <x:c r="O1124" s="19" t="n">
        <x:f>IF(AND(SUM(K1124:M1124)&lt;9,OR(M1124=0,N1124&lt;6)),1,0)</x:f>
        <x:v>1</x:v>
      </x:c>
      <x:c r="P1124" s="19" t="n">
        <x:f>IF(AND(SUM(K1124:M1124)&lt;9,OR(L1124=0,N1124&lt;6)),1,0)</x:f>
        <x:v>1</x:v>
      </x:c>
      <x:c r="Q1124" s="19" t="n">
        <x:f>IF(AND(SUM(K1124:M1124)&lt;9,OR(K1124=0,N1124&lt;6)),1,0)</x:f>
        <x:v>1</x:v>
      </x:c>
      <x:c r="R1124" s="22" t="str">
        <x:f>O1124&amp;P1124&amp;Q1124</x:f>
        <x:v>111</x:v>
      </x:c>
      <x:c r="S1124" s="19" t="n">
        <x:f>IF(I1124=1,IF(J1124=0,Q1124,IF(J1124=1,P1124,IF(J1124=2,O1124,0))),0)</x:f>
        <x:v>1</x:v>
      </x:c>
      <x:c r="T1124" s="19" t="n">
        <x:f>K1124+IF(AND(S1124=1,J1124=0),1,0)</x:f>
        <x:v>2</x:v>
      </x:c>
      <x:c r="U1124" s="19" t="n">
        <x:f>L1124+IF(AND(S1124=1,J1124=1),1,0)</x:f>
        <x:v>0</x:v>
      </x:c>
      <x:c r="V1124" s="19" t="n">
        <x:f>M1124+IF(AND(S1124=1,J1124=2),1,0)</x:f>
        <x:v>5</x:v>
      </x:c>
      <x:c r="W1124" s="19" t="n">
        <x:f>SUM(T1124:V1124)</x:f>
        <x:v>7</x:v>
      </x:c>
      <x:c r="X1124" s="19" t="n">
        <x:f>W1124-G1124</x:f>
        <x:v>0</x:v>
      </x:c>
      <x:c r="Y1124" s="19" t="n">
        <x:f>MAX(T1124,1)+MAX(U1124,1)+MAX(V1124,1)</x:f>
        <x:v>8</x:v>
      </x:c>
      <x:c r="Z1124" s="21" t="str">
        <x:f>IF(AND(MIN(D1124:F1124)&gt;=0,MAX(D1124:F1124)&lt;=7,MAX(D1124,1)+MAX(E1124,1)+MAX(F1124,1)&lt;=9,OR(H1124="-",AND(H1124=0,D1124&gt;0),AND(H1124=1,E1124&gt;0),AND(H1124=2,F1124&gt;0)),OR(I1124=0,AND(I1124=1,OR(J1124=0,J1124=1,J1124=2),R1124&lt;&gt;"000")),Y1124&lt;=9,MIN(T1124:V1124)&gt;=0),"合法","输入违约")</x:f>
        <x:v>合法</x:v>
      </x:c>
    </x:row>
    <x:row r="1125" ht="23" customHeight="1">
      <x:c r="A1125" s="3" t="str">
        <x:v>CT-1118</x:v>
      </x:c>
      <x:c r="B1125" s="3" t="str">
        <x:v>ST-100</x:v>
      </x:c>
      <x:c r="C1125" s="3" t="str">
        <x:v>R+AR同收同发</x:v>
      </x:c>
      <x:c r="D1125" s="25" t="n">
        <x:v>2</x:v>
      </x:c>
      <x:c r="E1125" s="25" t="n">
        <x:v>0</x:v>
      </x:c>
      <x:c r="F1125" s="25" t="n">
        <x:v>5</x:v>
      </x:c>
      <x:c r="G1125" s="19" t="n">
        <x:f>SUM(D1125:F1125)</x:f>
        <x:v>7</x:v>
      </x:c>
      <x:c r="H1125" s="25" t="n">
        <x:v>0</x:v>
      </x:c>
      <x:c r="I1125" s="25" t="n">
        <x:v>1</x:v>
      </x:c>
      <x:c r="J1125" s="25" t="n">
        <x:v>1</x:v>
      </x:c>
      <x:c r="K1125" s="19" t="n">
        <x:f>D1125-IF(H1125=0,1,0)</x:f>
        <x:v>1</x:v>
      </x:c>
      <x:c r="L1125" s="19" t="n">
        <x:f>E1125-IF(H1125=1,1,0)</x:f>
        <x:v>0</x:v>
      </x:c>
      <x:c r="M1125" s="19" t="n">
        <x:f>F1125-IF(H1125=2,1,0)</x:f>
        <x:v>5</x:v>
      </x:c>
      <x:c r="N1125" s="19" t="n">
        <x:f>MAX(K1125-1,0)+MAX(L1125-1,0)+MAX(M1125-1,0)</x:f>
        <x:v>4</x:v>
      </x:c>
      <x:c r="O1125" s="19" t="n">
        <x:f>IF(AND(SUM(K1125:M1125)&lt;9,OR(M1125=0,N1125&lt;6)),1,0)</x:f>
        <x:v>1</x:v>
      </x:c>
      <x:c r="P1125" s="19" t="n">
        <x:f>IF(AND(SUM(K1125:M1125)&lt;9,OR(L1125=0,N1125&lt;6)),1,0)</x:f>
        <x:v>1</x:v>
      </x:c>
      <x:c r="Q1125" s="19" t="n">
        <x:f>IF(AND(SUM(K1125:M1125)&lt;9,OR(K1125=0,N1125&lt;6)),1,0)</x:f>
        <x:v>1</x:v>
      </x:c>
      <x:c r="R1125" s="22" t="str">
        <x:f>O1125&amp;P1125&amp;Q1125</x:f>
        <x:v>111</x:v>
      </x:c>
      <x:c r="S1125" s="19" t="n">
        <x:f>IF(I1125=1,IF(J1125=0,Q1125,IF(J1125=1,P1125,IF(J1125=2,O1125,0))),0)</x:f>
        <x:v>1</x:v>
      </x:c>
      <x:c r="T1125" s="19" t="n">
        <x:f>K1125+IF(AND(S1125=1,J1125=0),1,0)</x:f>
        <x:v>1</x:v>
      </x:c>
      <x:c r="U1125" s="19" t="n">
        <x:f>L1125+IF(AND(S1125=1,J1125=1),1,0)</x:f>
        <x:v>1</x:v>
      </x:c>
      <x:c r="V1125" s="19" t="n">
        <x:f>M1125+IF(AND(S1125=1,J1125=2),1,0)</x:f>
        <x:v>5</x:v>
      </x:c>
      <x:c r="W1125" s="19" t="n">
        <x:f>SUM(T1125:V1125)</x:f>
        <x:v>7</x:v>
      </x:c>
      <x:c r="X1125" s="19" t="n">
        <x:f>W1125-G1125</x:f>
        <x:v>0</x:v>
      </x:c>
      <x:c r="Y1125" s="19" t="n">
        <x:f>MAX(T1125,1)+MAX(U1125,1)+MAX(V1125,1)</x:f>
        <x:v>7</x:v>
      </x:c>
      <x:c r="Z1125" s="21" t="str">
        <x:f>IF(AND(MIN(D1125:F1125)&gt;=0,MAX(D1125:F1125)&lt;=7,MAX(D1125,1)+MAX(E1125,1)+MAX(F1125,1)&lt;=9,OR(H1125="-",AND(H1125=0,D1125&gt;0),AND(H1125=1,E1125&gt;0),AND(H1125=2,F1125&gt;0)),OR(I1125=0,AND(I1125=1,OR(J1125=0,J1125=1,J1125=2),R1125&lt;&gt;"000")),Y1125&lt;=9,MIN(T1125:V1125)&gt;=0),"合法","输入违约")</x:f>
        <x:v>合法</x:v>
      </x:c>
    </x:row>
    <x:row r="1126" ht="23" customHeight="1">
      <x:c r="A1126" s="3" t="str">
        <x:v>CT-1119</x:v>
      </x:c>
      <x:c r="B1126" s="3" t="str">
        <x:v>ST-100</x:v>
      </x:c>
      <x:c r="C1126" s="3" t="str">
        <x:v>R+AR同收同发</x:v>
      </x:c>
      <x:c r="D1126" s="25" t="n">
        <x:v>2</x:v>
      </x:c>
      <x:c r="E1126" s="25" t="n">
        <x:v>0</x:v>
      </x:c>
      <x:c r="F1126" s="25" t="n">
        <x:v>5</x:v>
      </x:c>
      <x:c r="G1126" s="19" t="n">
        <x:f>SUM(D1126:F1126)</x:f>
        <x:v>7</x:v>
      </x:c>
      <x:c r="H1126" s="25" t="n">
        <x:v>0</x:v>
      </x:c>
      <x:c r="I1126" s="25" t="n">
        <x:v>1</x:v>
      </x:c>
      <x:c r="J1126" s="25" t="n">
        <x:v>2</x:v>
      </x:c>
      <x:c r="K1126" s="19" t="n">
        <x:f>D1126-IF(H1126=0,1,0)</x:f>
        <x:v>1</x:v>
      </x:c>
      <x:c r="L1126" s="19" t="n">
        <x:f>E1126-IF(H1126=1,1,0)</x:f>
        <x:v>0</x:v>
      </x:c>
      <x:c r="M1126" s="19" t="n">
        <x:f>F1126-IF(H1126=2,1,0)</x:f>
        <x:v>5</x:v>
      </x:c>
      <x:c r="N1126" s="19" t="n">
        <x:f>MAX(K1126-1,0)+MAX(L1126-1,0)+MAX(M1126-1,0)</x:f>
        <x:v>4</x:v>
      </x:c>
      <x:c r="O1126" s="19" t="n">
        <x:f>IF(AND(SUM(K1126:M1126)&lt;9,OR(M1126=0,N1126&lt;6)),1,0)</x:f>
        <x:v>1</x:v>
      </x:c>
      <x:c r="P1126" s="19" t="n">
        <x:f>IF(AND(SUM(K1126:M1126)&lt;9,OR(L1126=0,N1126&lt;6)),1,0)</x:f>
        <x:v>1</x:v>
      </x:c>
      <x:c r="Q1126" s="19" t="n">
        <x:f>IF(AND(SUM(K1126:M1126)&lt;9,OR(K1126=0,N1126&lt;6)),1,0)</x:f>
        <x:v>1</x:v>
      </x:c>
      <x:c r="R1126" s="22" t="str">
        <x:f>O1126&amp;P1126&amp;Q1126</x:f>
        <x:v>111</x:v>
      </x:c>
      <x:c r="S1126" s="19" t="n">
        <x:f>IF(I1126=1,IF(J1126=0,Q1126,IF(J1126=1,P1126,IF(J1126=2,O1126,0))),0)</x:f>
        <x:v>1</x:v>
      </x:c>
      <x:c r="T1126" s="19" t="n">
        <x:f>K1126+IF(AND(S1126=1,J1126=0),1,0)</x:f>
        <x:v>1</x:v>
      </x:c>
      <x:c r="U1126" s="19" t="n">
        <x:f>L1126+IF(AND(S1126=1,J1126=1),1,0)</x:f>
        <x:v>0</x:v>
      </x:c>
      <x:c r="V1126" s="19" t="n">
        <x:f>M1126+IF(AND(S1126=1,J1126=2),1,0)</x:f>
        <x:v>6</x:v>
      </x:c>
      <x:c r="W1126" s="19" t="n">
        <x:f>SUM(T1126:V1126)</x:f>
        <x:v>7</x:v>
      </x:c>
      <x:c r="X1126" s="19" t="n">
        <x:f>W1126-G1126</x:f>
        <x:v>0</x:v>
      </x:c>
      <x:c r="Y1126" s="19" t="n">
        <x:f>MAX(T1126,1)+MAX(U1126,1)+MAX(V1126,1)</x:f>
        <x:v>8</x:v>
      </x:c>
      <x:c r="Z1126" s="21" t="str">
        <x:f>IF(AND(MIN(D1126:F1126)&gt;=0,MAX(D1126:F1126)&lt;=7,MAX(D1126,1)+MAX(E1126,1)+MAX(F1126,1)&lt;=9,OR(H1126="-",AND(H1126=0,D1126&gt;0),AND(H1126=1,E1126&gt;0),AND(H1126=2,F1126&gt;0)),OR(I1126=0,AND(I1126=1,OR(J1126=0,J1126=1,J1126=2),R1126&lt;&gt;"000")),Y1126&lt;=9,MIN(T1126:V1126)&gt;=0),"合法","输入违约")</x:f>
        <x:v>合法</x:v>
      </x:c>
    </x:row>
    <x:row r="1127" ht="23" customHeight="1">
      <x:c r="A1127" s="3" t="str">
        <x:v>CT-1120</x:v>
      </x:c>
      <x:c r="B1127" s="3" t="str">
        <x:v>ST-100</x:v>
      </x:c>
      <x:c r="C1127" s="3" t="str">
        <x:v>仅R回收</x:v>
      </x:c>
      <x:c r="D1127" s="25" t="n">
        <x:v>2</x:v>
      </x:c>
      <x:c r="E1127" s="25" t="n">
        <x:v>0</x:v>
      </x:c>
      <x:c r="F1127" s="25" t="n">
        <x:v>5</x:v>
      </x:c>
      <x:c r="G1127" s="19" t="n">
        <x:f>SUM(D1127:F1127)</x:f>
        <x:v>7</x:v>
      </x:c>
      <x:c r="H1127" s="25" t="n">
        <x:v>2</x:v>
      </x:c>
      <x:c r="I1127" s="25" t="n">
        <x:v>0</x:v>
      </x:c>
      <x:c r="J1127" s="25" t="str">
        <x:v>-</x:v>
      </x:c>
      <x:c r="K1127" s="19" t="n">
        <x:f>D1127-IF(H1127=0,1,0)</x:f>
        <x:v>2</x:v>
      </x:c>
      <x:c r="L1127" s="19" t="n">
        <x:f>E1127-IF(H1127=1,1,0)</x:f>
        <x:v>0</x:v>
      </x:c>
      <x:c r="M1127" s="19" t="n">
        <x:f>F1127-IF(H1127=2,1,0)</x:f>
        <x:v>4</x:v>
      </x:c>
      <x:c r="N1127" s="19" t="n">
        <x:f>MAX(K1127-1,0)+MAX(L1127-1,0)+MAX(M1127-1,0)</x:f>
        <x:v>4</x:v>
      </x:c>
      <x:c r="O1127" s="19" t="n">
        <x:f>IF(AND(SUM(K1127:M1127)&lt;9,OR(M1127=0,N1127&lt;6)),1,0)</x:f>
        <x:v>1</x:v>
      </x:c>
      <x:c r="P1127" s="19" t="n">
        <x:f>IF(AND(SUM(K1127:M1127)&lt;9,OR(L1127=0,N1127&lt;6)),1,0)</x:f>
        <x:v>1</x:v>
      </x:c>
      <x:c r="Q1127" s="19" t="n">
        <x:f>IF(AND(SUM(K1127:M1127)&lt;9,OR(K1127=0,N1127&lt;6)),1,0)</x:f>
        <x:v>1</x:v>
      </x:c>
      <x:c r="R1127" s="22" t="str">
        <x:f>O1127&amp;P1127&amp;Q1127</x:f>
        <x:v>111</x:v>
      </x:c>
      <x:c r="S1127" s="19" t="n">
        <x:f>IF(I1127=1,IF(J1127=0,Q1127,IF(J1127=1,P1127,IF(J1127=2,O1127,0))),0)</x:f>
        <x:v>0</x:v>
      </x:c>
      <x:c r="T1127" s="19" t="n">
        <x:f>K1127+IF(AND(S1127=1,J1127=0),1,0)</x:f>
        <x:v>2</x:v>
      </x:c>
      <x:c r="U1127" s="19" t="n">
        <x:f>L1127+IF(AND(S1127=1,J1127=1),1,0)</x:f>
        <x:v>0</x:v>
      </x:c>
      <x:c r="V1127" s="19" t="n">
        <x:f>M1127+IF(AND(S1127=1,J1127=2),1,0)</x:f>
        <x:v>4</x:v>
      </x:c>
      <x:c r="W1127" s="19" t="n">
        <x:f>SUM(T1127:V1127)</x:f>
        <x:v>6</x:v>
      </x:c>
      <x:c r="X1127" s="19" t="n">
        <x:f>W1127-G1127</x:f>
        <x:v>-1</x:v>
      </x:c>
      <x:c r="Y1127" s="19" t="n">
        <x:f>MAX(T1127,1)+MAX(U1127,1)+MAX(V1127,1)</x:f>
        <x:v>7</x:v>
      </x:c>
      <x:c r="Z1127" s="21" t="str">
        <x:f>IF(AND(MIN(D1127:F1127)&gt;=0,MAX(D1127:F1127)&lt;=7,MAX(D1127,1)+MAX(E1127,1)+MAX(F1127,1)&lt;=9,OR(H1127="-",AND(H1127=0,D1127&gt;0),AND(H1127=1,E1127&gt;0),AND(H1127=2,F1127&gt;0)),OR(I1127=0,AND(I1127=1,OR(J1127=0,J1127=1,J1127=2),R1127&lt;&gt;"000")),Y1127&lt;=9,MIN(T1127:V1127)&gt;=0),"合法","输入违约")</x:f>
        <x:v>合法</x:v>
      </x:c>
    </x:row>
    <x:row r="1128" ht="23" customHeight="1">
      <x:c r="A1128" s="3" t="str">
        <x:v>CT-1121</x:v>
      </x:c>
      <x:c r="B1128" s="3" t="str">
        <x:v>ST-100</x:v>
      </x:c>
      <x:c r="C1128" s="3" t="str">
        <x:v>R+AR同收同发</x:v>
      </x:c>
      <x:c r="D1128" s="25" t="n">
        <x:v>2</x:v>
      </x:c>
      <x:c r="E1128" s="25" t="n">
        <x:v>0</x:v>
      </x:c>
      <x:c r="F1128" s="25" t="n">
        <x:v>5</x:v>
      </x:c>
      <x:c r="G1128" s="19" t="n">
        <x:f>SUM(D1128:F1128)</x:f>
        <x:v>7</x:v>
      </x:c>
      <x:c r="H1128" s="25" t="n">
        <x:v>2</x:v>
      </x:c>
      <x:c r="I1128" s="25" t="n">
        <x:v>1</x:v>
      </x:c>
      <x:c r="J1128" s="25" t="n">
        <x:v>0</x:v>
      </x:c>
      <x:c r="K1128" s="19" t="n">
        <x:f>D1128-IF(H1128=0,1,0)</x:f>
        <x:v>2</x:v>
      </x:c>
      <x:c r="L1128" s="19" t="n">
        <x:f>E1128-IF(H1128=1,1,0)</x:f>
        <x:v>0</x:v>
      </x:c>
      <x:c r="M1128" s="19" t="n">
        <x:f>F1128-IF(H1128=2,1,0)</x:f>
        <x:v>4</x:v>
      </x:c>
      <x:c r="N1128" s="19" t="n">
        <x:f>MAX(K1128-1,0)+MAX(L1128-1,0)+MAX(M1128-1,0)</x:f>
        <x:v>4</x:v>
      </x:c>
      <x:c r="O1128" s="19" t="n">
        <x:f>IF(AND(SUM(K1128:M1128)&lt;9,OR(M1128=0,N1128&lt;6)),1,0)</x:f>
        <x:v>1</x:v>
      </x:c>
      <x:c r="P1128" s="19" t="n">
        <x:f>IF(AND(SUM(K1128:M1128)&lt;9,OR(L1128=0,N1128&lt;6)),1,0)</x:f>
        <x:v>1</x:v>
      </x:c>
      <x:c r="Q1128" s="19" t="n">
        <x:f>IF(AND(SUM(K1128:M1128)&lt;9,OR(K1128=0,N1128&lt;6)),1,0)</x:f>
        <x:v>1</x:v>
      </x:c>
      <x:c r="R1128" s="22" t="str">
        <x:f>O1128&amp;P1128&amp;Q1128</x:f>
        <x:v>111</x:v>
      </x:c>
      <x:c r="S1128" s="19" t="n">
        <x:f>IF(I1128=1,IF(J1128=0,Q1128,IF(J1128=1,P1128,IF(J1128=2,O1128,0))),0)</x:f>
        <x:v>1</x:v>
      </x:c>
      <x:c r="T1128" s="19" t="n">
        <x:f>K1128+IF(AND(S1128=1,J1128=0),1,0)</x:f>
        <x:v>3</x:v>
      </x:c>
      <x:c r="U1128" s="19" t="n">
        <x:f>L1128+IF(AND(S1128=1,J1128=1),1,0)</x:f>
        <x:v>0</x:v>
      </x:c>
      <x:c r="V1128" s="19" t="n">
        <x:f>M1128+IF(AND(S1128=1,J1128=2),1,0)</x:f>
        <x:v>4</x:v>
      </x:c>
      <x:c r="W1128" s="19" t="n">
        <x:f>SUM(T1128:V1128)</x:f>
        <x:v>7</x:v>
      </x:c>
      <x:c r="X1128" s="19" t="n">
        <x:f>W1128-G1128</x:f>
        <x:v>0</x:v>
      </x:c>
      <x:c r="Y1128" s="19" t="n">
        <x:f>MAX(T1128,1)+MAX(U1128,1)+MAX(V1128,1)</x:f>
        <x:v>8</x:v>
      </x:c>
      <x:c r="Z1128" s="21" t="str">
        <x:f>IF(AND(MIN(D1128:F1128)&gt;=0,MAX(D1128:F1128)&lt;=7,MAX(D1128,1)+MAX(E1128,1)+MAX(F1128,1)&lt;=9,OR(H1128="-",AND(H1128=0,D1128&gt;0),AND(H1128=1,E1128&gt;0),AND(H1128=2,F1128&gt;0)),OR(I1128=0,AND(I1128=1,OR(J1128=0,J1128=1,J1128=2),R1128&lt;&gt;"000")),Y1128&lt;=9,MIN(T1128:V1128)&gt;=0),"合法","输入违约")</x:f>
        <x:v>合法</x:v>
      </x:c>
    </x:row>
    <x:row r="1129" ht="23" customHeight="1">
      <x:c r="A1129" s="3" t="str">
        <x:v>CT-1122</x:v>
      </x:c>
      <x:c r="B1129" s="3" t="str">
        <x:v>ST-100</x:v>
      </x:c>
      <x:c r="C1129" s="3" t="str">
        <x:v>R+AR同收同发</x:v>
      </x:c>
      <x:c r="D1129" s="25" t="n">
        <x:v>2</x:v>
      </x:c>
      <x:c r="E1129" s="25" t="n">
        <x:v>0</x:v>
      </x:c>
      <x:c r="F1129" s="25" t="n">
        <x:v>5</x:v>
      </x:c>
      <x:c r="G1129" s="19" t="n">
        <x:f>SUM(D1129:F1129)</x:f>
        <x:v>7</x:v>
      </x:c>
      <x:c r="H1129" s="25" t="n">
        <x:v>2</x:v>
      </x:c>
      <x:c r="I1129" s="25" t="n">
        <x:v>1</x:v>
      </x:c>
      <x:c r="J1129" s="25" t="n">
        <x:v>1</x:v>
      </x:c>
      <x:c r="K1129" s="19" t="n">
        <x:f>D1129-IF(H1129=0,1,0)</x:f>
        <x:v>2</x:v>
      </x:c>
      <x:c r="L1129" s="19" t="n">
        <x:f>E1129-IF(H1129=1,1,0)</x:f>
        <x:v>0</x:v>
      </x:c>
      <x:c r="M1129" s="19" t="n">
        <x:f>F1129-IF(H1129=2,1,0)</x:f>
        <x:v>4</x:v>
      </x:c>
      <x:c r="N1129" s="19" t="n">
        <x:f>MAX(K1129-1,0)+MAX(L1129-1,0)+MAX(M1129-1,0)</x:f>
        <x:v>4</x:v>
      </x:c>
      <x:c r="O1129" s="19" t="n">
        <x:f>IF(AND(SUM(K1129:M1129)&lt;9,OR(M1129=0,N1129&lt;6)),1,0)</x:f>
        <x:v>1</x:v>
      </x:c>
      <x:c r="P1129" s="19" t="n">
        <x:f>IF(AND(SUM(K1129:M1129)&lt;9,OR(L1129=0,N1129&lt;6)),1,0)</x:f>
        <x:v>1</x:v>
      </x:c>
      <x:c r="Q1129" s="19" t="n">
        <x:f>IF(AND(SUM(K1129:M1129)&lt;9,OR(K1129=0,N1129&lt;6)),1,0)</x:f>
        <x:v>1</x:v>
      </x:c>
      <x:c r="R1129" s="22" t="str">
        <x:f>O1129&amp;P1129&amp;Q1129</x:f>
        <x:v>111</x:v>
      </x:c>
      <x:c r="S1129" s="19" t="n">
        <x:f>IF(I1129=1,IF(J1129=0,Q1129,IF(J1129=1,P1129,IF(J1129=2,O1129,0))),0)</x:f>
        <x:v>1</x:v>
      </x:c>
      <x:c r="T1129" s="19" t="n">
        <x:f>K1129+IF(AND(S1129=1,J1129=0),1,0)</x:f>
        <x:v>2</x:v>
      </x:c>
      <x:c r="U1129" s="19" t="n">
        <x:f>L1129+IF(AND(S1129=1,J1129=1),1,0)</x:f>
        <x:v>1</x:v>
      </x:c>
      <x:c r="V1129" s="19" t="n">
        <x:f>M1129+IF(AND(S1129=1,J1129=2),1,0)</x:f>
        <x:v>4</x:v>
      </x:c>
      <x:c r="W1129" s="19" t="n">
        <x:f>SUM(T1129:V1129)</x:f>
        <x:v>7</x:v>
      </x:c>
      <x:c r="X1129" s="19" t="n">
        <x:f>W1129-G1129</x:f>
        <x:v>0</x:v>
      </x:c>
      <x:c r="Y1129" s="19" t="n">
        <x:f>MAX(T1129,1)+MAX(U1129,1)+MAX(V1129,1)</x:f>
        <x:v>7</x:v>
      </x:c>
      <x:c r="Z1129" s="21" t="str">
        <x:f>IF(AND(MIN(D1129:F1129)&gt;=0,MAX(D1129:F1129)&lt;=7,MAX(D1129,1)+MAX(E1129,1)+MAX(F1129,1)&lt;=9,OR(H1129="-",AND(H1129=0,D1129&gt;0),AND(H1129=1,E1129&gt;0),AND(H1129=2,F1129&gt;0)),OR(I1129=0,AND(I1129=1,OR(J1129=0,J1129=1,J1129=2),R1129&lt;&gt;"000")),Y1129&lt;=9,MIN(T1129:V1129)&gt;=0),"合法","输入违约")</x:f>
        <x:v>合法</x:v>
      </x:c>
    </x:row>
    <x:row r="1130" ht="23" customHeight="1">
      <x:c r="A1130" s="3" t="str">
        <x:v>CT-1123</x:v>
      </x:c>
      <x:c r="B1130" s="3" t="str">
        <x:v>ST-100</x:v>
      </x:c>
      <x:c r="C1130" s="3" t="str">
        <x:v>R+AR同收同发</x:v>
      </x:c>
      <x:c r="D1130" s="25" t="n">
        <x:v>2</x:v>
      </x:c>
      <x:c r="E1130" s="25" t="n">
        <x:v>0</x:v>
      </x:c>
      <x:c r="F1130" s="25" t="n">
        <x:v>5</x:v>
      </x:c>
      <x:c r="G1130" s="19" t="n">
        <x:f>SUM(D1130:F1130)</x:f>
        <x:v>7</x:v>
      </x:c>
      <x:c r="H1130" s="25" t="n">
        <x:v>2</x:v>
      </x:c>
      <x:c r="I1130" s="25" t="n">
        <x:v>1</x:v>
      </x:c>
      <x:c r="J1130" s="25" t="n">
        <x:v>2</x:v>
      </x:c>
      <x:c r="K1130" s="19" t="n">
        <x:f>D1130-IF(H1130=0,1,0)</x:f>
        <x:v>2</x:v>
      </x:c>
      <x:c r="L1130" s="19" t="n">
        <x:f>E1130-IF(H1130=1,1,0)</x:f>
        <x:v>0</x:v>
      </x:c>
      <x:c r="M1130" s="19" t="n">
        <x:f>F1130-IF(H1130=2,1,0)</x:f>
        <x:v>4</x:v>
      </x:c>
      <x:c r="N1130" s="19" t="n">
        <x:f>MAX(K1130-1,0)+MAX(L1130-1,0)+MAX(M1130-1,0)</x:f>
        <x:v>4</x:v>
      </x:c>
      <x:c r="O1130" s="19" t="n">
        <x:f>IF(AND(SUM(K1130:M1130)&lt;9,OR(M1130=0,N1130&lt;6)),1,0)</x:f>
        <x:v>1</x:v>
      </x:c>
      <x:c r="P1130" s="19" t="n">
        <x:f>IF(AND(SUM(K1130:M1130)&lt;9,OR(L1130=0,N1130&lt;6)),1,0)</x:f>
        <x:v>1</x:v>
      </x:c>
      <x:c r="Q1130" s="19" t="n">
        <x:f>IF(AND(SUM(K1130:M1130)&lt;9,OR(K1130=0,N1130&lt;6)),1,0)</x:f>
        <x:v>1</x:v>
      </x:c>
      <x:c r="R1130" s="22" t="str">
        <x:f>O1130&amp;P1130&amp;Q1130</x:f>
        <x:v>111</x:v>
      </x:c>
      <x:c r="S1130" s="19" t="n">
        <x:f>IF(I1130=1,IF(J1130=0,Q1130,IF(J1130=1,P1130,IF(J1130=2,O1130,0))),0)</x:f>
        <x:v>1</x:v>
      </x:c>
      <x:c r="T1130" s="19" t="n">
        <x:f>K1130+IF(AND(S1130=1,J1130=0),1,0)</x:f>
        <x:v>2</x:v>
      </x:c>
      <x:c r="U1130" s="19" t="n">
        <x:f>L1130+IF(AND(S1130=1,J1130=1),1,0)</x:f>
        <x:v>0</x:v>
      </x:c>
      <x:c r="V1130" s="19" t="n">
        <x:f>M1130+IF(AND(S1130=1,J1130=2),1,0)</x:f>
        <x:v>5</x:v>
      </x:c>
      <x:c r="W1130" s="19" t="n">
        <x:f>SUM(T1130:V1130)</x:f>
        <x:v>7</x:v>
      </x:c>
      <x:c r="X1130" s="19" t="n">
        <x:f>W1130-G1130</x:f>
        <x:v>0</x:v>
      </x:c>
      <x:c r="Y1130" s="19" t="n">
        <x:f>MAX(T1130,1)+MAX(U1130,1)+MAX(V1130,1)</x:f>
        <x:v>8</x:v>
      </x:c>
      <x:c r="Z1130" s="21" t="str">
        <x:f>IF(AND(MIN(D1130:F1130)&gt;=0,MAX(D1130:F1130)&lt;=7,MAX(D1130,1)+MAX(E1130,1)+MAX(F1130,1)&lt;=9,OR(H1130="-",AND(H1130=0,D1130&gt;0),AND(H1130=1,E1130&gt;0),AND(H1130=2,F1130&gt;0)),OR(I1130=0,AND(I1130=1,OR(J1130=0,J1130=1,J1130=2),R1130&lt;&gt;"000")),Y1130&lt;=9,MIN(T1130:V1130)&gt;=0),"合法","输入违约")</x:f>
        <x:v>合法</x:v>
      </x:c>
    </x:row>
    <x:row r="1131" ht="23" customHeight="1">
      <x:c r="A1131" s="3" t="str">
        <x:v>CT-1124</x:v>
      </x:c>
      <x:c r="B1131" s="3" t="str">
        <x:v>ST-136</x:v>
      </x:c>
      <x:c r="C1131" s="3" t="str">
        <x:v>无AR/R</x:v>
      </x:c>
      <x:c r="D1131" s="25" t="n">
        <x:v>2</x:v>
      </x:c>
      <x:c r="E1131" s="25" t="n">
        <x:v>0</x:v>
      </x:c>
      <x:c r="F1131" s="25" t="n">
        <x:v>6</x:v>
      </x:c>
      <x:c r="G1131" s="19" t="n">
        <x:f>SUM(D1131:F1131)</x:f>
        <x:v>8</x:v>
      </x:c>
      <x:c r="H1131" s="25" t="str">
        <x:v>-</x:v>
      </x:c>
      <x:c r="I1131" s="25" t="n">
        <x:v>0</x:v>
      </x:c>
      <x:c r="J1131" s="25" t="str">
        <x:v>-</x:v>
      </x:c>
      <x:c r="K1131" s="19" t="n">
        <x:f>D1131-IF(H1131=0,1,0)</x:f>
        <x:v>2</x:v>
      </x:c>
      <x:c r="L1131" s="19" t="n">
        <x:f>E1131-IF(H1131=1,1,0)</x:f>
        <x:v>0</x:v>
      </x:c>
      <x:c r="M1131" s="19" t="n">
        <x:f>F1131-IF(H1131=2,1,0)</x:f>
        <x:v>6</x:v>
      </x:c>
      <x:c r="N1131" s="19" t="n">
        <x:f>MAX(K1131-1,0)+MAX(L1131-1,0)+MAX(M1131-1,0)</x:f>
        <x:v>6</x:v>
      </x:c>
      <x:c r="O1131" s="19" t="n">
        <x:f>IF(AND(SUM(K1131:M1131)&lt;9,OR(M1131=0,N1131&lt;6)),1,0)</x:f>
        <x:v>0</x:v>
      </x:c>
      <x:c r="P1131" s="19" t="n">
        <x:f>IF(AND(SUM(K1131:M1131)&lt;9,OR(L1131=0,N1131&lt;6)),1,0)</x:f>
        <x:v>1</x:v>
      </x:c>
      <x:c r="Q1131" s="19" t="n">
        <x:f>IF(AND(SUM(K1131:M1131)&lt;9,OR(K1131=0,N1131&lt;6)),1,0)</x:f>
        <x:v>0</x:v>
      </x:c>
      <x:c r="R1131" s="22" t="str">
        <x:f>O1131&amp;P1131&amp;Q1131</x:f>
        <x:v>010</x:v>
      </x:c>
      <x:c r="S1131" s="19" t="n">
        <x:f>IF(I1131=1,IF(J1131=0,Q1131,IF(J1131=1,P1131,IF(J1131=2,O1131,0))),0)</x:f>
        <x:v>0</x:v>
      </x:c>
      <x:c r="T1131" s="19" t="n">
        <x:f>K1131+IF(AND(S1131=1,J1131=0),1,0)</x:f>
        <x:v>2</x:v>
      </x:c>
      <x:c r="U1131" s="19" t="n">
        <x:f>L1131+IF(AND(S1131=1,J1131=1),1,0)</x:f>
        <x:v>0</x:v>
      </x:c>
      <x:c r="V1131" s="19" t="n">
        <x:f>M1131+IF(AND(S1131=1,J1131=2),1,0)</x:f>
        <x:v>6</x:v>
      </x:c>
      <x:c r="W1131" s="19" t="n">
        <x:f>SUM(T1131:V1131)</x:f>
        <x:v>8</x:v>
      </x:c>
      <x:c r="X1131" s="19" t="n">
        <x:f>W1131-G1131</x:f>
        <x:v>0</x:v>
      </x:c>
      <x:c r="Y1131" s="19" t="n">
        <x:f>MAX(T1131,1)+MAX(U1131,1)+MAX(V1131,1)</x:f>
        <x:v>9</x:v>
      </x:c>
      <x:c r="Z1131" s="21" t="str">
        <x:f>IF(AND(MIN(D1131:F1131)&gt;=0,MAX(D1131:F1131)&lt;=7,MAX(D1131,1)+MAX(E1131,1)+MAX(F1131,1)&lt;=9,OR(H1131="-",AND(H1131=0,D1131&gt;0),AND(H1131=1,E1131&gt;0),AND(H1131=2,F1131&gt;0)),OR(I1131=0,AND(I1131=1,OR(J1131=0,J1131=1,J1131=2),R1131&lt;&gt;"000")),Y1131&lt;=9,MIN(T1131:V1131)&gt;=0),"合法","输入违约")</x:f>
        <x:v>合法</x:v>
      </x:c>
    </x:row>
    <x:row r="1132" ht="23" customHeight="1">
      <x:c r="A1132" s="3" t="str">
        <x:v>CT-1125</x:v>
      </x:c>
      <x:c r="B1132" s="3" t="str">
        <x:v>ST-136</x:v>
      </x:c>
      <x:c r="C1132" s="3" t="str">
        <x:v>所选源被阻塞</x:v>
      </x:c>
      <x:c r="D1132" s="25" t="n">
        <x:v>2</x:v>
      </x:c>
      <x:c r="E1132" s="25" t="n">
        <x:v>0</x:v>
      </x:c>
      <x:c r="F1132" s="25" t="n">
        <x:v>6</x:v>
      </x:c>
      <x:c r="G1132" s="19" t="n">
        <x:f>SUM(D1132:F1132)</x:f>
        <x:v>8</x:v>
      </x:c>
      <x:c r="H1132" s="25" t="str">
        <x:v>-</x:v>
      </x:c>
      <x:c r="I1132" s="25" t="n">
        <x:v>1</x:v>
      </x:c>
      <x:c r="J1132" s="25" t="n">
        <x:v>0</x:v>
      </x:c>
      <x:c r="K1132" s="19" t="n">
        <x:f>D1132-IF(H1132=0,1,0)</x:f>
        <x:v>2</x:v>
      </x:c>
      <x:c r="L1132" s="19" t="n">
        <x:f>E1132-IF(H1132=1,1,0)</x:f>
        <x:v>0</x:v>
      </x:c>
      <x:c r="M1132" s="19" t="n">
        <x:f>F1132-IF(H1132=2,1,0)</x:f>
        <x:v>6</x:v>
      </x:c>
      <x:c r="N1132" s="19" t="n">
        <x:f>MAX(K1132-1,0)+MAX(L1132-1,0)+MAX(M1132-1,0)</x:f>
        <x:v>6</x:v>
      </x:c>
      <x:c r="O1132" s="19" t="n">
        <x:f>IF(AND(SUM(K1132:M1132)&lt;9,OR(M1132=0,N1132&lt;6)),1,0)</x:f>
        <x:v>0</x:v>
      </x:c>
      <x:c r="P1132" s="19" t="n">
        <x:f>IF(AND(SUM(K1132:M1132)&lt;9,OR(L1132=0,N1132&lt;6)),1,0)</x:f>
        <x:v>1</x:v>
      </x:c>
      <x:c r="Q1132" s="19" t="n">
        <x:f>IF(AND(SUM(K1132:M1132)&lt;9,OR(K1132=0,N1132&lt;6)),1,0)</x:f>
        <x:v>0</x:v>
      </x:c>
      <x:c r="R1132" s="22" t="str">
        <x:f>O1132&amp;P1132&amp;Q1132</x:f>
        <x:v>010</x:v>
      </x:c>
      <x:c r="S1132" s="19" t="n">
        <x:f>IF(I1132=1,IF(J1132=0,Q1132,IF(J1132=1,P1132,IF(J1132=2,O1132,0))),0)</x:f>
        <x:v>0</x:v>
      </x:c>
      <x:c r="T1132" s="19" t="n">
        <x:f>K1132+IF(AND(S1132=1,J1132=0),1,0)</x:f>
        <x:v>2</x:v>
      </x:c>
      <x:c r="U1132" s="19" t="n">
        <x:f>L1132+IF(AND(S1132=1,J1132=1),1,0)</x:f>
        <x:v>0</x:v>
      </x:c>
      <x:c r="V1132" s="19" t="n">
        <x:f>M1132+IF(AND(S1132=1,J1132=2),1,0)</x:f>
        <x:v>6</x:v>
      </x:c>
      <x:c r="W1132" s="19" t="n">
        <x:f>SUM(T1132:V1132)</x:f>
        <x:v>8</x:v>
      </x:c>
      <x:c r="X1132" s="19" t="n">
        <x:f>W1132-G1132</x:f>
        <x:v>0</x:v>
      </x:c>
      <x:c r="Y1132" s="19" t="n">
        <x:f>MAX(T1132,1)+MAX(U1132,1)+MAX(V1132,1)</x:f>
        <x:v>9</x:v>
      </x:c>
      <x:c r="Z1132" s="21" t="str">
        <x:f>IF(AND(MIN(D1132:F1132)&gt;=0,MAX(D1132:F1132)&lt;=7,MAX(D1132,1)+MAX(E1132,1)+MAX(F1132,1)&lt;=9,OR(H1132="-",AND(H1132=0,D1132&gt;0),AND(H1132=1,E1132&gt;0),AND(H1132=2,F1132&gt;0)),OR(I1132=0,AND(I1132=1,OR(J1132=0,J1132=1,J1132=2),R1132&lt;&gt;"000")),Y1132&lt;=9,MIN(T1132:V1132)&gt;=0),"合法","输入违约")</x:f>
        <x:v>合法</x:v>
      </x:c>
    </x:row>
    <x:row r="1133" ht="23" customHeight="1">
      <x:c r="A1133" s="3" t="str">
        <x:v>CT-1126</x:v>
      </x:c>
      <x:c r="B1133" s="3" t="str">
        <x:v>ST-136</x:v>
      </x:c>
      <x:c r="C1133" s="3" t="str">
        <x:v>仅AR接收</x:v>
      </x:c>
      <x:c r="D1133" s="25" t="n">
        <x:v>2</x:v>
      </x:c>
      <x:c r="E1133" s="25" t="n">
        <x:v>0</x:v>
      </x:c>
      <x:c r="F1133" s="25" t="n">
        <x:v>6</x:v>
      </x:c>
      <x:c r="G1133" s="19" t="n">
        <x:f>SUM(D1133:F1133)</x:f>
        <x:v>8</x:v>
      </x:c>
      <x:c r="H1133" s="25" t="str">
        <x:v>-</x:v>
      </x:c>
      <x:c r="I1133" s="25" t="n">
        <x:v>1</x:v>
      </x:c>
      <x:c r="J1133" s="25" t="n">
        <x:v>1</x:v>
      </x:c>
      <x:c r="K1133" s="19" t="n">
        <x:f>D1133-IF(H1133=0,1,0)</x:f>
        <x:v>2</x:v>
      </x:c>
      <x:c r="L1133" s="19" t="n">
        <x:f>E1133-IF(H1133=1,1,0)</x:f>
        <x:v>0</x:v>
      </x:c>
      <x:c r="M1133" s="19" t="n">
        <x:f>F1133-IF(H1133=2,1,0)</x:f>
        <x:v>6</x:v>
      </x:c>
      <x:c r="N1133" s="19" t="n">
        <x:f>MAX(K1133-1,0)+MAX(L1133-1,0)+MAX(M1133-1,0)</x:f>
        <x:v>6</x:v>
      </x:c>
      <x:c r="O1133" s="19" t="n">
        <x:f>IF(AND(SUM(K1133:M1133)&lt;9,OR(M1133=0,N1133&lt;6)),1,0)</x:f>
        <x:v>0</x:v>
      </x:c>
      <x:c r="P1133" s="19" t="n">
        <x:f>IF(AND(SUM(K1133:M1133)&lt;9,OR(L1133=0,N1133&lt;6)),1,0)</x:f>
        <x:v>1</x:v>
      </x:c>
      <x:c r="Q1133" s="19" t="n">
        <x:f>IF(AND(SUM(K1133:M1133)&lt;9,OR(K1133=0,N1133&lt;6)),1,0)</x:f>
        <x:v>0</x:v>
      </x:c>
      <x:c r="R1133" s="22" t="str">
        <x:f>O1133&amp;P1133&amp;Q1133</x:f>
        <x:v>010</x:v>
      </x:c>
      <x:c r="S1133" s="19" t="n">
        <x:f>IF(I1133=1,IF(J1133=0,Q1133,IF(J1133=1,P1133,IF(J1133=2,O1133,0))),0)</x:f>
        <x:v>1</x:v>
      </x:c>
      <x:c r="T1133" s="19" t="n">
        <x:f>K1133+IF(AND(S1133=1,J1133=0),1,0)</x:f>
        <x:v>2</x:v>
      </x:c>
      <x:c r="U1133" s="19" t="n">
        <x:f>L1133+IF(AND(S1133=1,J1133=1),1,0)</x:f>
        <x:v>1</x:v>
      </x:c>
      <x:c r="V1133" s="19" t="n">
        <x:f>M1133+IF(AND(S1133=1,J1133=2),1,0)</x:f>
        <x:v>6</x:v>
      </x:c>
      <x:c r="W1133" s="19" t="n">
        <x:f>SUM(T1133:V1133)</x:f>
        <x:v>9</x:v>
      </x:c>
      <x:c r="X1133" s="19" t="n">
        <x:f>W1133-G1133</x:f>
        <x:v>1</x:v>
      </x:c>
      <x:c r="Y1133" s="19" t="n">
        <x:f>MAX(T1133,1)+MAX(U1133,1)+MAX(V1133,1)</x:f>
        <x:v>9</x:v>
      </x:c>
      <x:c r="Z1133" s="21" t="str">
        <x:f>IF(AND(MIN(D1133:F1133)&gt;=0,MAX(D1133:F1133)&lt;=7,MAX(D1133,1)+MAX(E1133,1)+MAX(F1133,1)&lt;=9,OR(H1133="-",AND(H1133=0,D1133&gt;0),AND(H1133=1,E1133&gt;0),AND(H1133=2,F1133&gt;0)),OR(I1133=0,AND(I1133=1,OR(J1133=0,J1133=1,J1133=2),R1133&lt;&gt;"000")),Y1133&lt;=9,MIN(T1133:V1133)&gt;=0),"合法","输入违约")</x:f>
        <x:v>合法</x:v>
      </x:c>
    </x:row>
    <x:row r="1134" ht="23" customHeight="1">
      <x:c r="A1134" s="3" t="str">
        <x:v>CT-1127</x:v>
      </x:c>
      <x:c r="B1134" s="3" t="str">
        <x:v>ST-136</x:v>
      </x:c>
      <x:c r="C1134" s="3" t="str">
        <x:v>所选源被阻塞</x:v>
      </x:c>
      <x:c r="D1134" s="25" t="n">
        <x:v>2</x:v>
      </x:c>
      <x:c r="E1134" s="25" t="n">
        <x:v>0</x:v>
      </x:c>
      <x:c r="F1134" s="25" t="n">
        <x:v>6</x:v>
      </x:c>
      <x:c r="G1134" s="19" t="n">
        <x:f>SUM(D1134:F1134)</x:f>
        <x:v>8</x:v>
      </x:c>
      <x:c r="H1134" s="25" t="str">
        <x:v>-</x:v>
      </x:c>
      <x:c r="I1134" s="25" t="n">
        <x:v>1</x:v>
      </x:c>
      <x:c r="J1134" s="25" t="n">
        <x:v>2</x:v>
      </x:c>
      <x:c r="K1134" s="19" t="n">
        <x:f>D1134-IF(H1134=0,1,0)</x:f>
        <x:v>2</x:v>
      </x:c>
      <x:c r="L1134" s="19" t="n">
        <x:f>E1134-IF(H1134=1,1,0)</x:f>
        <x:v>0</x:v>
      </x:c>
      <x:c r="M1134" s="19" t="n">
        <x:f>F1134-IF(H1134=2,1,0)</x:f>
        <x:v>6</x:v>
      </x:c>
      <x:c r="N1134" s="19" t="n">
        <x:f>MAX(K1134-1,0)+MAX(L1134-1,0)+MAX(M1134-1,0)</x:f>
        <x:v>6</x:v>
      </x:c>
      <x:c r="O1134" s="19" t="n">
        <x:f>IF(AND(SUM(K1134:M1134)&lt;9,OR(M1134=0,N1134&lt;6)),1,0)</x:f>
        <x:v>0</x:v>
      </x:c>
      <x:c r="P1134" s="19" t="n">
        <x:f>IF(AND(SUM(K1134:M1134)&lt;9,OR(L1134=0,N1134&lt;6)),1,0)</x:f>
        <x:v>1</x:v>
      </x:c>
      <x:c r="Q1134" s="19" t="n">
        <x:f>IF(AND(SUM(K1134:M1134)&lt;9,OR(K1134=0,N1134&lt;6)),1,0)</x:f>
        <x:v>0</x:v>
      </x:c>
      <x:c r="R1134" s="22" t="str">
        <x:f>O1134&amp;P1134&amp;Q1134</x:f>
        <x:v>010</x:v>
      </x:c>
      <x:c r="S1134" s="19" t="n">
        <x:f>IF(I1134=1,IF(J1134=0,Q1134,IF(J1134=1,P1134,IF(J1134=2,O1134,0))),0)</x:f>
        <x:v>0</x:v>
      </x:c>
      <x:c r="T1134" s="19" t="n">
        <x:f>K1134+IF(AND(S1134=1,J1134=0),1,0)</x:f>
        <x:v>2</x:v>
      </x:c>
      <x:c r="U1134" s="19" t="n">
        <x:f>L1134+IF(AND(S1134=1,J1134=1),1,0)</x:f>
        <x:v>0</x:v>
      </x:c>
      <x:c r="V1134" s="19" t="n">
        <x:f>M1134+IF(AND(S1134=1,J1134=2),1,0)</x:f>
        <x:v>6</x:v>
      </x:c>
      <x:c r="W1134" s="19" t="n">
        <x:f>SUM(T1134:V1134)</x:f>
        <x:v>8</x:v>
      </x:c>
      <x:c r="X1134" s="19" t="n">
        <x:f>W1134-G1134</x:f>
        <x:v>0</x:v>
      </x:c>
      <x:c r="Y1134" s="19" t="n">
        <x:f>MAX(T1134,1)+MAX(U1134,1)+MAX(V1134,1)</x:f>
        <x:v>9</x:v>
      </x:c>
      <x:c r="Z1134" s="21" t="str">
        <x:f>IF(AND(MIN(D1134:F1134)&gt;=0,MAX(D1134:F1134)&lt;=7,MAX(D1134,1)+MAX(E1134,1)+MAX(F1134,1)&lt;=9,OR(H1134="-",AND(H1134=0,D1134&gt;0),AND(H1134=1,E1134&gt;0),AND(H1134=2,F1134&gt;0)),OR(I1134=0,AND(I1134=1,OR(J1134=0,J1134=1,J1134=2),R1134&lt;&gt;"000")),Y1134&lt;=9,MIN(T1134:V1134)&gt;=0),"合法","输入违约")</x:f>
        <x:v>合法</x:v>
      </x:c>
    </x:row>
    <x:row r="1135" ht="23" customHeight="1">
      <x:c r="A1135" s="3" t="str">
        <x:v>CT-1128</x:v>
      </x:c>
      <x:c r="B1135" s="3" t="str">
        <x:v>ST-136</x:v>
      </x:c>
      <x:c r="C1135" s="3" t="str">
        <x:v>仅R回收</x:v>
      </x:c>
      <x:c r="D1135" s="25" t="n">
        <x:v>2</x:v>
      </x:c>
      <x:c r="E1135" s="25" t="n">
        <x:v>0</x:v>
      </x:c>
      <x:c r="F1135" s="25" t="n">
        <x:v>6</x:v>
      </x:c>
      <x:c r="G1135" s="19" t="n">
        <x:f>SUM(D1135:F1135)</x:f>
        <x:v>8</x:v>
      </x:c>
      <x:c r="H1135" s="25" t="n">
        <x:v>0</x:v>
      </x:c>
      <x:c r="I1135" s="25" t="n">
        <x:v>0</x:v>
      </x:c>
      <x:c r="J1135" s="25" t="str">
        <x:v>-</x:v>
      </x:c>
      <x:c r="K1135" s="19" t="n">
        <x:f>D1135-IF(H1135=0,1,0)</x:f>
        <x:v>1</x:v>
      </x:c>
      <x:c r="L1135" s="19" t="n">
        <x:f>E1135-IF(H1135=1,1,0)</x:f>
        <x:v>0</x:v>
      </x:c>
      <x:c r="M1135" s="19" t="n">
        <x:f>F1135-IF(H1135=2,1,0)</x:f>
        <x:v>6</x:v>
      </x:c>
      <x:c r="N1135" s="19" t="n">
        <x:f>MAX(K1135-1,0)+MAX(L1135-1,0)+MAX(M1135-1,0)</x:f>
        <x:v>5</x:v>
      </x:c>
      <x:c r="O1135" s="19" t="n">
        <x:f>IF(AND(SUM(K1135:M1135)&lt;9,OR(M1135=0,N1135&lt;6)),1,0)</x:f>
        <x:v>1</x:v>
      </x:c>
      <x:c r="P1135" s="19" t="n">
        <x:f>IF(AND(SUM(K1135:M1135)&lt;9,OR(L1135=0,N1135&lt;6)),1,0)</x:f>
        <x:v>1</x:v>
      </x:c>
      <x:c r="Q1135" s="19" t="n">
        <x:f>IF(AND(SUM(K1135:M1135)&lt;9,OR(K1135=0,N1135&lt;6)),1,0)</x:f>
        <x:v>1</x:v>
      </x:c>
      <x:c r="R1135" s="22" t="str">
        <x:f>O1135&amp;P1135&amp;Q1135</x:f>
        <x:v>111</x:v>
      </x:c>
      <x:c r="S1135" s="19" t="n">
        <x:f>IF(I1135=1,IF(J1135=0,Q1135,IF(J1135=1,P1135,IF(J1135=2,O1135,0))),0)</x:f>
        <x:v>0</x:v>
      </x:c>
      <x:c r="T1135" s="19" t="n">
        <x:f>K1135+IF(AND(S1135=1,J1135=0),1,0)</x:f>
        <x:v>1</x:v>
      </x:c>
      <x:c r="U1135" s="19" t="n">
        <x:f>L1135+IF(AND(S1135=1,J1135=1),1,0)</x:f>
        <x:v>0</x:v>
      </x:c>
      <x:c r="V1135" s="19" t="n">
        <x:f>M1135+IF(AND(S1135=1,J1135=2),1,0)</x:f>
        <x:v>6</x:v>
      </x:c>
      <x:c r="W1135" s="19" t="n">
        <x:f>SUM(T1135:V1135)</x:f>
        <x:v>7</x:v>
      </x:c>
      <x:c r="X1135" s="19" t="n">
        <x:f>W1135-G1135</x:f>
        <x:v>-1</x:v>
      </x:c>
      <x:c r="Y1135" s="19" t="n">
        <x:f>MAX(T1135,1)+MAX(U1135,1)+MAX(V1135,1)</x:f>
        <x:v>8</x:v>
      </x:c>
      <x:c r="Z1135" s="21" t="str">
        <x:f>IF(AND(MIN(D1135:F1135)&gt;=0,MAX(D1135:F1135)&lt;=7,MAX(D1135,1)+MAX(E1135,1)+MAX(F1135,1)&lt;=9,OR(H1135="-",AND(H1135=0,D1135&gt;0),AND(H1135=1,E1135&gt;0),AND(H1135=2,F1135&gt;0)),OR(I1135=0,AND(I1135=1,OR(J1135=0,J1135=1,J1135=2),R1135&lt;&gt;"000")),Y1135&lt;=9,MIN(T1135:V1135)&gt;=0),"合法","输入违约")</x:f>
        <x:v>合法</x:v>
      </x:c>
    </x:row>
    <x:row r="1136" ht="23" customHeight="1">
      <x:c r="A1136" s="3" t="str">
        <x:v>CT-1129</x:v>
      </x:c>
      <x:c r="B1136" s="3" t="str">
        <x:v>ST-136</x:v>
      </x:c>
      <x:c r="C1136" s="3" t="str">
        <x:v>R+AR同收同发</x:v>
      </x:c>
      <x:c r="D1136" s="25" t="n">
        <x:v>2</x:v>
      </x:c>
      <x:c r="E1136" s="25" t="n">
        <x:v>0</x:v>
      </x:c>
      <x:c r="F1136" s="25" t="n">
        <x:v>6</x:v>
      </x:c>
      <x:c r="G1136" s="19" t="n">
        <x:f>SUM(D1136:F1136)</x:f>
        <x:v>8</x:v>
      </x:c>
      <x:c r="H1136" s="25" t="n">
        <x:v>0</x:v>
      </x:c>
      <x:c r="I1136" s="25" t="n">
        <x:v>1</x:v>
      </x:c>
      <x:c r="J1136" s="25" t="n">
        <x:v>0</x:v>
      </x:c>
      <x:c r="K1136" s="19" t="n">
        <x:f>D1136-IF(H1136=0,1,0)</x:f>
        <x:v>1</x:v>
      </x:c>
      <x:c r="L1136" s="19" t="n">
        <x:f>E1136-IF(H1136=1,1,0)</x:f>
        <x:v>0</x:v>
      </x:c>
      <x:c r="M1136" s="19" t="n">
        <x:f>F1136-IF(H1136=2,1,0)</x:f>
        <x:v>6</x:v>
      </x:c>
      <x:c r="N1136" s="19" t="n">
        <x:f>MAX(K1136-1,0)+MAX(L1136-1,0)+MAX(M1136-1,0)</x:f>
        <x:v>5</x:v>
      </x:c>
      <x:c r="O1136" s="19" t="n">
        <x:f>IF(AND(SUM(K1136:M1136)&lt;9,OR(M1136=0,N1136&lt;6)),1,0)</x:f>
        <x:v>1</x:v>
      </x:c>
      <x:c r="P1136" s="19" t="n">
        <x:f>IF(AND(SUM(K1136:M1136)&lt;9,OR(L1136=0,N1136&lt;6)),1,0)</x:f>
        <x:v>1</x:v>
      </x:c>
      <x:c r="Q1136" s="19" t="n">
        <x:f>IF(AND(SUM(K1136:M1136)&lt;9,OR(K1136=0,N1136&lt;6)),1,0)</x:f>
        <x:v>1</x:v>
      </x:c>
      <x:c r="R1136" s="22" t="str">
        <x:f>O1136&amp;P1136&amp;Q1136</x:f>
        <x:v>111</x:v>
      </x:c>
      <x:c r="S1136" s="19" t="n">
        <x:f>IF(I1136=1,IF(J1136=0,Q1136,IF(J1136=1,P1136,IF(J1136=2,O1136,0))),0)</x:f>
        <x:v>1</x:v>
      </x:c>
      <x:c r="T1136" s="19" t="n">
        <x:f>K1136+IF(AND(S1136=1,J1136=0),1,0)</x:f>
        <x:v>2</x:v>
      </x:c>
      <x:c r="U1136" s="19" t="n">
        <x:f>L1136+IF(AND(S1136=1,J1136=1),1,0)</x:f>
        <x:v>0</x:v>
      </x:c>
      <x:c r="V1136" s="19" t="n">
        <x:f>M1136+IF(AND(S1136=1,J1136=2),1,0)</x:f>
        <x:v>6</x:v>
      </x:c>
      <x:c r="W1136" s="19" t="n">
        <x:f>SUM(T1136:V1136)</x:f>
        <x:v>8</x:v>
      </x:c>
      <x:c r="X1136" s="19" t="n">
        <x:f>W1136-G1136</x:f>
        <x:v>0</x:v>
      </x:c>
      <x:c r="Y1136" s="19" t="n">
        <x:f>MAX(T1136,1)+MAX(U1136,1)+MAX(V1136,1)</x:f>
        <x:v>9</x:v>
      </x:c>
      <x:c r="Z1136" s="21" t="str">
        <x:f>IF(AND(MIN(D1136:F1136)&gt;=0,MAX(D1136:F1136)&lt;=7,MAX(D1136,1)+MAX(E1136,1)+MAX(F1136,1)&lt;=9,OR(H1136="-",AND(H1136=0,D1136&gt;0),AND(H1136=1,E1136&gt;0),AND(H1136=2,F1136&gt;0)),OR(I1136=0,AND(I1136=1,OR(J1136=0,J1136=1,J1136=2),R1136&lt;&gt;"000")),Y1136&lt;=9,MIN(T1136:V1136)&gt;=0),"合法","输入违约")</x:f>
        <x:v>合法</x:v>
      </x:c>
    </x:row>
    <x:row r="1137" ht="23" customHeight="1">
      <x:c r="A1137" s="3" t="str">
        <x:v>CT-1130</x:v>
      </x:c>
      <x:c r="B1137" s="3" t="str">
        <x:v>ST-136</x:v>
      </x:c>
      <x:c r="C1137" s="3" t="str">
        <x:v>R+AR同收同发</x:v>
      </x:c>
      <x:c r="D1137" s="25" t="n">
        <x:v>2</x:v>
      </x:c>
      <x:c r="E1137" s="25" t="n">
        <x:v>0</x:v>
      </x:c>
      <x:c r="F1137" s="25" t="n">
        <x:v>6</x:v>
      </x:c>
      <x:c r="G1137" s="19" t="n">
        <x:f>SUM(D1137:F1137)</x:f>
        <x:v>8</x:v>
      </x:c>
      <x:c r="H1137" s="25" t="n">
        <x:v>0</x:v>
      </x:c>
      <x:c r="I1137" s="25" t="n">
        <x:v>1</x:v>
      </x:c>
      <x:c r="J1137" s="25" t="n">
        <x:v>1</x:v>
      </x:c>
      <x:c r="K1137" s="19" t="n">
        <x:f>D1137-IF(H1137=0,1,0)</x:f>
        <x:v>1</x:v>
      </x:c>
      <x:c r="L1137" s="19" t="n">
        <x:f>E1137-IF(H1137=1,1,0)</x:f>
        <x:v>0</x:v>
      </x:c>
      <x:c r="M1137" s="19" t="n">
        <x:f>F1137-IF(H1137=2,1,0)</x:f>
        <x:v>6</x:v>
      </x:c>
      <x:c r="N1137" s="19" t="n">
        <x:f>MAX(K1137-1,0)+MAX(L1137-1,0)+MAX(M1137-1,0)</x:f>
        <x:v>5</x:v>
      </x:c>
      <x:c r="O1137" s="19" t="n">
        <x:f>IF(AND(SUM(K1137:M1137)&lt;9,OR(M1137=0,N1137&lt;6)),1,0)</x:f>
        <x:v>1</x:v>
      </x:c>
      <x:c r="P1137" s="19" t="n">
        <x:f>IF(AND(SUM(K1137:M1137)&lt;9,OR(L1137=0,N1137&lt;6)),1,0)</x:f>
        <x:v>1</x:v>
      </x:c>
      <x:c r="Q1137" s="19" t="n">
        <x:f>IF(AND(SUM(K1137:M1137)&lt;9,OR(K1137=0,N1137&lt;6)),1,0)</x:f>
        <x:v>1</x:v>
      </x:c>
      <x:c r="R1137" s="22" t="str">
        <x:f>O1137&amp;P1137&amp;Q1137</x:f>
        <x:v>111</x:v>
      </x:c>
      <x:c r="S1137" s="19" t="n">
        <x:f>IF(I1137=1,IF(J1137=0,Q1137,IF(J1137=1,P1137,IF(J1137=2,O1137,0))),0)</x:f>
        <x:v>1</x:v>
      </x:c>
      <x:c r="T1137" s="19" t="n">
        <x:f>K1137+IF(AND(S1137=1,J1137=0),1,0)</x:f>
        <x:v>1</x:v>
      </x:c>
      <x:c r="U1137" s="19" t="n">
        <x:f>L1137+IF(AND(S1137=1,J1137=1),1,0)</x:f>
        <x:v>1</x:v>
      </x:c>
      <x:c r="V1137" s="19" t="n">
        <x:f>M1137+IF(AND(S1137=1,J1137=2),1,0)</x:f>
        <x:v>6</x:v>
      </x:c>
      <x:c r="W1137" s="19" t="n">
        <x:f>SUM(T1137:V1137)</x:f>
        <x:v>8</x:v>
      </x:c>
      <x:c r="X1137" s="19" t="n">
        <x:f>W1137-G1137</x:f>
        <x:v>0</x:v>
      </x:c>
      <x:c r="Y1137" s="19" t="n">
        <x:f>MAX(T1137,1)+MAX(U1137,1)+MAX(V1137,1)</x:f>
        <x:v>8</x:v>
      </x:c>
      <x:c r="Z1137" s="21" t="str">
        <x:f>IF(AND(MIN(D1137:F1137)&gt;=0,MAX(D1137:F1137)&lt;=7,MAX(D1137,1)+MAX(E1137,1)+MAX(F1137,1)&lt;=9,OR(H1137="-",AND(H1137=0,D1137&gt;0),AND(H1137=1,E1137&gt;0),AND(H1137=2,F1137&gt;0)),OR(I1137=0,AND(I1137=1,OR(J1137=0,J1137=1,J1137=2),R1137&lt;&gt;"000")),Y1137&lt;=9,MIN(T1137:V1137)&gt;=0),"合法","输入违约")</x:f>
        <x:v>合法</x:v>
      </x:c>
    </x:row>
    <x:row r="1138" ht="23" customHeight="1">
      <x:c r="A1138" s="3" t="str">
        <x:v>CT-1131</x:v>
      </x:c>
      <x:c r="B1138" s="3" t="str">
        <x:v>ST-136</x:v>
      </x:c>
      <x:c r="C1138" s="3" t="str">
        <x:v>R+AR同收同发</x:v>
      </x:c>
      <x:c r="D1138" s="25" t="n">
        <x:v>2</x:v>
      </x:c>
      <x:c r="E1138" s="25" t="n">
        <x:v>0</x:v>
      </x:c>
      <x:c r="F1138" s="25" t="n">
        <x:v>6</x:v>
      </x:c>
      <x:c r="G1138" s="19" t="n">
        <x:f>SUM(D1138:F1138)</x:f>
        <x:v>8</x:v>
      </x:c>
      <x:c r="H1138" s="25" t="n">
        <x:v>0</x:v>
      </x:c>
      <x:c r="I1138" s="25" t="n">
        <x:v>1</x:v>
      </x:c>
      <x:c r="J1138" s="25" t="n">
        <x:v>2</x:v>
      </x:c>
      <x:c r="K1138" s="19" t="n">
        <x:f>D1138-IF(H1138=0,1,0)</x:f>
        <x:v>1</x:v>
      </x:c>
      <x:c r="L1138" s="19" t="n">
        <x:f>E1138-IF(H1138=1,1,0)</x:f>
        <x:v>0</x:v>
      </x:c>
      <x:c r="M1138" s="19" t="n">
        <x:f>F1138-IF(H1138=2,1,0)</x:f>
        <x:v>6</x:v>
      </x:c>
      <x:c r="N1138" s="19" t="n">
        <x:f>MAX(K1138-1,0)+MAX(L1138-1,0)+MAX(M1138-1,0)</x:f>
        <x:v>5</x:v>
      </x:c>
      <x:c r="O1138" s="19" t="n">
        <x:f>IF(AND(SUM(K1138:M1138)&lt;9,OR(M1138=0,N1138&lt;6)),1,0)</x:f>
        <x:v>1</x:v>
      </x:c>
      <x:c r="P1138" s="19" t="n">
        <x:f>IF(AND(SUM(K1138:M1138)&lt;9,OR(L1138=0,N1138&lt;6)),1,0)</x:f>
        <x:v>1</x:v>
      </x:c>
      <x:c r="Q1138" s="19" t="n">
        <x:f>IF(AND(SUM(K1138:M1138)&lt;9,OR(K1138=0,N1138&lt;6)),1,0)</x:f>
        <x:v>1</x:v>
      </x:c>
      <x:c r="R1138" s="22" t="str">
        <x:f>O1138&amp;P1138&amp;Q1138</x:f>
        <x:v>111</x:v>
      </x:c>
      <x:c r="S1138" s="19" t="n">
        <x:f>IF(I1138=1,IF(J1138=0,Q1138,IF(J1138=1,P1138,IF(J1138=2,O1138,0))),0)</x:f>
        <x:v>1</x:v>
      </x:c>
      <x:c r="T1138" s="19" t="n">
        <x:f>K1138+IF(AND(S1138=1,J1138=0),1,0)</x:f>
        <x:v>1</x:v>
      </x:c>
      <x:c r="U1138" s="19" t="n">
        <x:f>L1138+IF(AND(S1138=1,J1138=1),1,0)</x:f>
        <x:v>0</x:v>
      </x:c>
      <x:c r="V1138" s="19" t="n">
        <x:f>M1138+IF(AND(S1138=1,J1138=2),1,0)</x:f>
        <x:v>7</x:v>
      </x:c>
      <x:c r="W1138" s="19" t="n">
        <x:f>SUM(T1138:V1138)</x:f>
        <x:v>8</x:v>
      </x:c>
      <x:c r="X1138" s="19" t="n">
        <x:f>W1138-G1138</x:f>
        <x:v>0</x:v>
      </x:c>
      <x:c r="Y1138" s="19" t="n">
        <x:f>MAX(T1138,1)+MAX(U1138,1)+MAX(V1138,1)</x:f>
        <x:v>9</x:v>
      </x:c>
      <x:c r="Z1138" s="21" t="str">
        <x:f>IF(AND(MIN(D1138:F1138)&gt;=0,MAX(D1138:F1138)&lt;=7,MAX(D1138,1)+MAX(E1138,1)+MAX(F1138,1)&lt;=9,OR(H1138="-",AND(H1138=0,D1138&gt;0),AND(H1138=1,E1138&gt;0),AND(H1138=2,F1138&gt;0)),OR(I1138=0,AND(I1138=1,OR(J1138=0,J1138=1,J1138=2),R1138&lt;&gt;"000")),Y1138&lt;=9,MIN(T1138:V1138)&gt;=0),"合法","输入违约")</x:f>
        <x:v>合法</x:v>
      </x:c>
    </x:row>
    <x:row r="1139" ht="23" customHeight="1">
      <x:c r="A1139" s="3" t="str">
        <x:v>CT-1132</x:v>
      </x:c>
      <x:c r="B1139" s="3" t="str">
        <x:v>ST-136</x:v>
      </x:c>
      <x:c r="C1139" s="3" t="str">
        <x:v>仅R回收</x:v>
      </x:c>
      <x:c r="D1139" s="25" t="n">
        <x:v>2</x:v>
      </x:c>
      <x:c r="E1139" s="25" t="n">
        <x:v>0</x:v>
      </x:c>
      <x:c r="F1139" s="25" t="n">
        <x:v>6</x:v>
      </x:c>
      <x:c r="G1139" s="19" t="n">
        <x:f>SUM(D1139:F1139)</x:f>
        <x:v>8</x:v>
      </x:c>
      <x:c r="H1139" s="25" t="n">
        <x:v>2</x:v>
      </x:c>
      <x:c r="I1139" s="25" t="n">
        <x:v>0</x:v>
      </x:c>
      <x:c r="J1139" s="25" t="str">
        <x:v>-</x:v>
      </x:c>
      <x:c r="K1139" s="19" t="n">
        <x:f>D1139-IF(H1139=0,1,0)</x:f>
        <x:v>2</x:v>
      </x:c>
      <x:c r="L1139" s="19" t="n">
        <x:f>E1139-IF(H1139=1,1,0)</x:f>
        <x:v>0</x:v>
      </x:c>
      <x:c r="M1139" s="19" t="n">
        <x:f>F1139-IF(H1139=2,1,0)</x:f>
        <x:v>5</x:v>
      </x:c>
      <x:c r="N1139" s="19" t="n">
        <x:f>MAX(K1139-1,0)+MAX(L1139-1,0)+MAX(M1139-1,0)</x:f>
        <x:v>5</x:v>
      </x:c>
      <x:c r="O1139" s="19" t="n">
        <x:f>IF(AND(SUM(K1139:M1139)&lt;9,OR(M1139=0,N1139&lt;6)),1,0)</x:f>
        <x:v>1</x:v>
      </x:c>
      <x:c r="P1139" s="19" t="n">
        <x:f>IF(AND(SUM(K1139:M1139)&lt;9,OR(L1139=0,N1139&lt;6)),1,0)</x:f>
        <x:v>1</x:v>
      </x:c>
      <x:c r="Q1139" s="19" t="n">
        <x:f>IF(AND(SUM(K1139:M1139)&lt;9,OR(K1139=0,N1139&lt;6)),1,0)</x:f>
        <x:v>1</x:v>
      </x:c>
      <x:c r="R1139" s="22" t="str">
        <x:f>O1139&amp;P1139&amp;Q1139</x:f>
        <x:v>111</x:v>
      </x:c>
      <x:c r="S1139" s="19" t="n">
        <x:f>IF(I1139=1,IF(J1139=0,Q1139,IF(J1139=1,P1139,IF(J1139=2,O1139,0))),0)</x:f>
        <x:v>0</x:v>
      </x:c>
      <x:c r="T1139" s="19" t="n">
        <x:f>K1139+IF(AND(S1139=1,J1139=0),1,0)</x:f>
        <x:v>2</x:v>
      </x:c>
      <x:c r="U1139" s="19" t="n">
        <x:f>L1139+IF(AND(S1139=1,J1139=1),1,0)</x:f>
        <x:v>0</x:v>
      </x:c>
      <x:c r="V1139" s="19" t="n">
        <x:f>M1139+IF(AND(S1139=1,J1139=2),1,0)</x:f>
        <x:v>5</x:v>
      </x:c>
      <x:c r="W1139" s="19" t="n">
        <x:f>SUM(T1139:V1139)</x:f>
        <x:v>7</x:v>
      </x:c>
      <x:c r="X1139" s="19" t="n">
        <x:f>W1139-G1139</x:f>
        <x:v>-1</x:v>
      </x:c>
      <x:c r="Y1139" s="19" t="n">
        <x:f>MAX(T1139,1)+MAX(U1139,1)+MAX(V1139,1)</x:f>
        <x:v>8</x:v>
      </x:c>
      <x:c r="Z1139" s="21" t="str">
        <x:f>IF(AND(MIN(D1139:F1139)&gt;=0,MAX(D1139:F1139)&lt;=7,MAX(D1139,1)+MAX(E1139,1)+MAX(F1139,1)&lt;=9,OR(H1139="-",AND(H1139=0,D1139&gt;0),AND(H1139=1,E1139&gt;0),AND(H1139=2,F1139&gt;0)),OR(I1139=0,AND(I1139=1,OR(J1139=0,J1139=1,J1139=2),R1139&lt;&gt;"000")),Y1139&lt;=9,MIN(T1139:V1139)&gt;=0),"合法","输入违约")</x:f>
        <x:v>合法</x:v>
      </x:c>
    </x:row>
    <x:row r="1140" ht="23" customHeight="1">
      <x:c r="A1140" s="3" t="str">
        <x:v>CT-1133</x:v>
      </x:c>
      <x:c r="B1140" s="3" t="str">
        <x:v>ST-136</x:v>
      </x:c>
      <x:c r="C1140" s="3" t="str">
        <x:v>R+AR同收同发</x:v>
      </x:c>
      <x:c r="D1140" s="25" t="n">
        <x:v>2</x:v>
      </x:c>
      <x:c r="E1140" s="25" t="n">
        <x:v>0</x:v>
      </x:c>
      <x:c r="F1140" s="25" t="n">
        <x:v>6</x:v>
      </x:c>
      <x:c r="G1140" s="19" t="n">
        <x:f>SUM(D1140:F1140)</x:f>
        <x:v>8</x:v>
      </x:c>
      <x:c r="H1140" s="25" t="n">
        <x:v>2</x:v>
      </x:c>
      <x:c r="I1140" s="25" t="n">
        <x:v>1</x:v>
      </x:c>
      <x:c r="J1140" s="25" t="n">
        <x:v>0</x:v>
      </x:c>
      <x:c r="K1140" s="19" t="n">
        <x:f>D1140-IF(H1140=0,1,0)</x:f>
        <x:v>2</x:v>
      </x:c>
      <x:c r="L1140" s="19" t="n">
        <x:f>E1140-IF(H1140=1,1,0)</x:f>
        <x:v>0</x:v>
      </x:c>
      <x:c r="M1140" s="19" t="n">
        <x:f>F1140-IF(H1140=2,1,0)</x:f>
        <x:v>5</x:v>
      </x:c>
      <x:c r="N1140" s="19" t="n">
        <x:f>MAX(K1140-1,0)+MAX(L1140-1,0)+MAX(M1140-1,0)</x:f>
        <x:v>5</x:v>
      </x:c>
      <x:c r="O1140" s="19" t="n">
        <x:f>IF(AND(SUM(K1140:M1140)&lt;9,OR(M1140=0,N1140&lt;6)),1,0)</x:f>
        <x:v>1</x:v>
      </x:c>
      <x:c r="P1140" s="19" t="n">
        <x:f>IF(AND(SUM(K1140:M1140)&lt;9,OR(L1140=0,N1140&lt;6)),1,0)</x:f>
        <x:v>1</x:v>
      </x:c>
      <x:c r="Q1140" s="19" t="n">
        <x:f>IF(AND(SUM(K1140:M1140)&lt;9,OR(K1140=0,N1140&lt;6)),1,0)</x:f>
        <x:v>1</x:v>
      </x:c>
      <x:c r="R1140" s="22" t="str">
        <x:f>O1140&amp;P1140&amp;Q1140</x:f>
        <x:v>111</x:v>
      </x:c>
      <x:c r="S1140" s="19" t="n">
        <x:f>IF(I1140=1,IF(J1140=0,Q1140,IF(J1140=1,P1140,IF(J1140=2,O1140,0))),0)</x:f>
        <x:v>1</x:v>
      </x:c>
      <x:c r="T1140" s="19" t="n">
        <x:f>K1140+IF(AND(S1140=1,J1140=0),1,0)</x:f>
        <x:v>3</x:v>
      </x:c>
      <x:c r="U1140" s="19" t="n">
        <x:f>L1140+IF(AND(S1140=1,J1140=1),1,0)</x:f>
        <x:v>0</x:v>
      </x:c>
      <x:c r="V1140" s="19" t="n">
        <x:f>M1140+IF(AND(S1140=1,J1140=2),1,0)</x:f>
        <x:v>5</x:v>
      </x:c>
      <x:c r="W1140" s="19" t="n">
        <x:f>SUM(T1140:V1140)</x:f>
        <x:v>8</x:v>
      </x:c>
      <x:c r="X1140" s="19" t="n">
        <x:f>W1140-G1140</x:f>
        <x:v>0</x:v>
      </x:c>
      <x:c r="Y1140" s="19" t="n">
        <x:f>MAX(T1140,1)+MAX(U1140,1)+MAX(V1140,1)</x:f>
        <x:v>9</x:v>
      </x:c>
      <x:c r="Z1140" s="21" t="str">
        <x:f>IF(AND(MIN(D1140:F1140)&gt;=0,MAX(D1140:F1140)&lt;=7,MAX(D1140,1)+MAX(E1140,1)+MAX(F1140,1)&lt;=9,OR(H1140="-",AND(H1140=0,D1140&gt;0),AND(H1140=1,E1140&gt;0),AND(H1140=2,F1140&gt;0)),OR(I1140=0,AND(I1140=1,OR(J1140=0,J1140=1,J1140=2),R1140&lt;&gt;"000")),Y1140&lt;=9,MIN(T1140:V1140)&gt;=0),"合法","输入违约")</x:f>
        <x:v>合法</x:v>
      </x:c>
    </x:row>
    <x:row r="1141" ht="23" customHeight="1">
      <x:c r="A1141" s="3" t="str">
        <x:v>CT-1134</x:v>
      </x:c>
      <x:c r="B1141" s="3" t="str">
        <x:v>ST-136</x:v>
      </x:c>
      <x:c r="C1141" s="3" t="str">
        <x:v>R+AR同收同发</x:v>
      </x:c>
      <x:c r="D1141" s="25" t="n">
        <x:v>2</x:v>
      </x:c>
      <x:c r="E1141" s="25" t="n">
        <x:v>0</x:v>
      </x:c>
      <x:c r="F1141" s="25" t="n">
        <x:v>6</x:v>
      </x:c>
      <x:c r="G1141" s="19" t="n">
        <x:f>SUM(D1141:F1141)</x:f>
        <x:v>8</x:v>
      </x:c>
      <x:c r="H1141" s="25" t="n">
        <x:v>2</x:v>
      </x:c>
      <x:c r="I1141" s="25" t="n">
        <x:v>1</x:v>
      </x:c>
      <x:c r="J1141" s="25" t="n">
        <x:v>1</x:v>
      </x:c>
      <x:c r="K1141" s="19" t="n">
        <x:f>D1141-IF(H1141=0,1,0)</x:f>
        <x:v>2</x:v>
      </x:c>
      <x:c r="L1141" s="19" t="n">
        <x:f>E1141-IF(H1141=1,1,0)</x:f>
        <x:v>0</x:v>
      </x:c>
      <x:c r="M1141" s="19" t="n">
        <x:f>F1141-IF(H1141=2,1,0)</x:f>
        <x:v>5</x:v>
      </x:c>
      <x:c r="N1141" s="19" t="n">
        <x:f>MAX(K1141-1,0)+MAX(L1141-1,0)+MAX(M1141-1,0)</x:f>
        <x:v>5</x:v>
      </x:c>
      <x:c r="O1141" s="19" t="n">
        <x:f>IF(AND(SUM(K1141:M1141)&lt;9,OR(M1141=0,N1141&lt;6)),1,0)</x:f>
        <x:v>1</x:v>
      </x:c>
      <x:c r="P1141" s="19" t="n">
        <x:f>IF(AND(SUM(K1141:M1141)&lt;9,OR(L1141=0,N1141&lt;6)),1,0)</x:f>
        <x:v>1</x:v>
      </x:c>
      <x:c r="Q1141" s="19" t="n">
        <x:f>IF(AND(SUM(K1141:M1141)&lt;9,OR(K1141=0,N1141&lt;6)),1,0)</x:f>
        <x:v>1</x:v>
      </x:c>
      <x:c r="R1141" s="22" t="str">
        <x:f>O1141&amp;P1141&amp;Q1141</x:f>
        <x:v>111</x:v>
      </x:c>
      <x:c r="S1141" s="19" t="n">
        <x:f>IF(I1141=1,IF(J1141=0,Q1141,IF(J1141=1,P1141,IF(J1141=2,O1141,0))),0)</x:f>
        <x:v>1</x:v>
      </x:c>
      <x:c r="T1141" s="19" t="n">
        <x:f>K1141+IF(AND(S1141=1,J1141=0),1,0)</x:f>
        <x:v>2</x:v>
      </x:c>
      <x:c r="U1141" s="19" t="n">
        <x:f>L1141+IF(AND(S1141=1,J1141=1),1,0)</x:f>
        <x:v>1</x:v>
      </x:c>
      <x:c r="V1141" s="19" t="n">
        <x:f>M1141+IF(AND(S1141=1,J1141=2),1,0)</x:f>
        <x:v>5</x:v>
      </x:c>
      <x:c r="W1141" s="19" t="n">
        <x:f>SUM(T1141:V1141)</x:f>
        <x:v>8</x:v>
      </x:c>
      <x:c r="X1141" s="19" t="n">
        <x:f>W1141-G1141</x:f>
        <x:v>0</x:v>
      </x:c>
      <x:c r="Y1141" s="19" t="n">
        <x:f>MAX(T1141,1)+MAX(U1141,1)+MAX(V1141,1)</x:f>
        <x:v>8</x:v>
      </x:c>
      <x:c r="Z1141" s="21" t="str">
        <x:f>IF(AND(MIN(D1141:F1141)&gt;=0,MAX(D1141:F1141)&lt;=7,MAX(D1141,1)+MAX(E1141,1)+MAX(F1141,1)&lt;=9,OR(H1141="-",AND(H1141=0,D1141&gt;0),AND(H1141=1,E1141&gt;0),AND(H1141=2,F1141&gt;0)),OR(I1141=0,AND(I1141=1,OR(J1141=0,J1141=1,J1141=2),R1141&lt;&gt;"000")),Y1141&lt;=9,MIN(T1141:V1141)&gt;=0),"合法","输入违约")</x:f>
        <x:v>合法</x:v>
      </x:c>
    </x:row>
    <x:row r="1142" ht="23" customHeight="1">
      <x:c r="A1142" s="3" t="str">
        <x:v>CT-1135</x:v>
      </x:c>
      <x:c r="B1142" s="3" t="str">
        <x:v>ST-136</x:v>
      </x:c>
      <x:c r="C1142" s="3" t="str">
        <x:v>R+AR同收同发</x:v>
      </x:c>
      <x:c r="D1142" s="25" t="n">
        <x:v>2</x:v>
      </x:c>
      <x:c r="E1142" s="25" t="n">
        <x:v>0</x:v>
      </x:c>
      <x:c r="F1142" s="25" t="n">
        <x:v>6</x:v>
      </x:c>
      <x:c r="G1142" s="19" t="n">
        <x:f>SUM(D1142:F1142)</x:f>
        <x:v>8</x:v>
      </x:c>
      <x:c r="H1142" s="25" t="n">
        <x:v>2</x:v>
      </x:c>
      <x:c r="I1142" s="25" t="n">
        <x:v>1</x:v>
      </x:c>
      <x:c r="J1142" s="25" t="n">
        <x:v>2</x:v>
      </x:c>
      <x:c r="K1142" s="19" t="n">
        <x:f>D1142-IF(H1142=0,1,0)</x:f>
        <x:v>2</x:v>
      </x:c>
      <x:c r="L1142" s="19" t="n">
        <x:f>E1142-IF(H1142=1,1,0)</x:f>
        <x:v>0</x:v>
      </x:c>
      <x:c r="M1142" s="19" t="n">
        <x:f>F1142-IF(H1142=2,1,0)</x:f>
        <x:v>5</x:v>
      </x:c>
      <x:c r="N1142" s="19" t="n">
        <x:f>MAX(K1142-1,0)+MAX(L1142-1,0)+MAX(M1142-1,0)</x:f>
        <x:v>5</x:v>
      </x:c>
      <x:c r="O1142" s="19" t="n">
        <x:f>IF(AND(SUM(K1142:M1142)&lt;9,OR(M1142=0,N1142&lt;6)),1,0)</x:f>
        <x:v>1</x:v>
      </x:c>
      <x:c r="P1142" s="19" t="n">
        <x:f>IF(AND(SUM(K1142:M1142)&lt;9,OR(L1142=0,N1142&lt;6)),1,0)</x:f>
        <x:v>1</x:v>
      </x:c>
      <x:c r="Q1142" s="19" t="n">
        <x:f>IF(AND(SUM(K1142:M1142)&lt;9,OR(K1142=0,N1142&lt;6)),1,0)</x:f>
        <x:v>1</x:v>
      </x:c>
      <x:c r="R1142" s="22" t="str">
        <x:f>O1142&amp;P1142&amp;Q1142</x:f>
        <x:v>111</x:v>
      </x:c>
      <x:c r="S1142" s="19" t="n">
        <x:f>IF(I1142=1,IF(J1142=0,Q1142,IF(J1142=1,P1142,IF(J1142=2,O1142,0))),0)</x:f>
        <x:v>1</x:v>
      </x:c>
      <x:c r="T1142" s="19" t="n">
        <x:f>K1142+IF(AND(S1142=1,J1142=0),1,0)</x:f>
        <x:v>2</x:v>
      </x:c>
      <x:c r="U1142" s="19" t="n">
        <x:f>L1142+IF(AND(S1142=1,J1142=1),1,0)</x:f>
        <x:v>0</x:v>
      </x:c>
      <x:c r="V1142" s="19" t="n">
        <x:f>M1142+IF(AND(S1142=1,J1142=2),1,0)</x:f>
        <x:v>6</x:v>
      </x:c>
      <x:c r="W1142" s="19" t="n">
        <x:f>SUM(T1142:V1142)</x:f>
        <x:v>8</x:v>
      </x:c>
      <x:c r="X1142" s="19" t="n">
        <x:f>W1142-G1142</x:f>
        <x:v>0</x:v>
      </x:c>
      <x:c r="Y1142" s="19" t="n">
        <x:f>MAX(T1142,1)+MAX(U1142,1)+MAX(V1142,1)</x:f>
        <x:v>9</x:v>
      </x:c>
      <x:c r="Z1142" s="21" t="str">
        <x:f>IF(AND(MIN(D1142:F1142)&gt;=0,MAX(D1142:F1142)&lt;=7,MAX(D1142,1)+MAX(E1142,1)+MAX(F1142,1)&lt;=9,OR(H1142="-",AND(H1142=0,D1142&gt;0),AND(H1142=1,E1142&gt;0),AND(H1142=2,F1142&gt;0)),OR(I1142=0,AND(I1142=1,OR(J1142=0,J1142=1,J1142=2),R1142&lt;&gt;"000")),Y1142&lt;=9,MIN(T1142:V1142)&gt;=0),"合法","输入违约")</x:f>
        <x:v>合法</x:v>
      </x:c>
    </x:row>
    <x:row r="1143" ht="23" customHeight="1">
      <x:c r="A1143" s="3" t="str">
        <x:v>CT-1136</x:v>
      </x:c>
      <x:c r="B1143" s="3" t="str">
        <x:v>ST-019</x:v>
      </x:c>
      <x:c r="C1143" s="3" t="str">
        <x:v>无AR/R</x:v>
      </x:c>
      <x:c r="D1143" s="25" t="n">
        <x:v>2</x:v>
      </x:c>
      <x:c r="E1143" s="25" t="n">
        <x:v>1</x:v>
      </x:c>
      <x:c r="F1143" s="25" t="n">
        <x:v>0</x:v>
      </x:c>
      <x:c r="G1143" s="19" t="n">
        <x:f>SUM(D1143:F1143)</x:f>
        <x:v>3</x:v>
      </x:c>
      <x:c r="H1143" s="25" t="str">
        <x:v>-</x:v>
      </x:c>
      <x:c r="I1143" s="25" t="n">
        <x:v>0</x:v>
      </x:c>
      <x:c r="J1143" s="25" t="str">
        <x:v>-</x:v>
      </x:c>
      <x:c r="K1143" s="19" t="n">
        <x:f>D1143-IF(H1143=0,1,0)</x:f>
        <x:v>2</x:v>
      </x:c>
      <x:c r="L1143" s="19" t="n">
        <x:f>E1143-IF(H1143=1,1,0)</x:f>
        <x:v>1</x:v>
      </x:c>
      <x:c r="M1143" s="19" t="n">
        <x:f>F1143-IF(H1143=2,1,0)</x:f>
        <x:v>0</x:v>
      </x:c>
      <x:c r="N1143" s="19" t="n">
        <x:f>MAX(K1143-1,0)+MAX(L1143-1,0)+MAX(M1143-1,0)</x:f>
        <x:v>1</x:v>
      </x:c>
      <x:c r="O1143" s="19" t="n">
        <x:f>IF(AND(SUM(K1143:M1143)&lt;9,OR(M1143=0,N1143&lt;6)),1,0)</x:f>
        <x:v>1</x:v>
      </x:c>
      <x:c r="P1143" s="19" t="n">
        <x:f>IF(AND(SUM(K1143:M1143)&lt;9,OR(L1143=0,N1143&lt;6)),1,0)</x:f>
        <x:v>1</x:v>
      </x:c>
      <x:c r="Q1143" s="19" t="n">
        <x:f>IF(AND(SUM(K1143:M1143)&lt;9,OR(K1143=0,N1143&lt;6)),1,0)</x:f>
        <x:v>1</x:v>
      </x:c>
      <x:c r="R1143" s="22" t="str">
        <x:f>O1143&amp;P1143&amp;Q1143</x:f>
        <x:v>111</x:v>
      </x:c>
      <x:c r="S1143" s="19" t="n">
        <x:f>IF(I1143=1,IF(J1143=0,Q1143,IF(J1143=1,P1143,IF(J1143=2,O1143,0))),0)</x:f>
        <x:v>0</x:v>
      </x:c>
      <x:c r="T1143" s="19" t="n">
        <x:f>K1143+IF(AND(S1143=1,J1143=0),1,0)</x:f>
        <x:v>2</x:v>
      </x:c>
      <x:c r="U1143" s="19" t="n">
        <x:f>L1143+IF(AND(S1143=1,J1143=1),1,0)</x:f>
        <x:v>1</x:v>
      </x:c>
      <x:c r="V1143" s="19" t="n">
        <x:f>M1143+IF(AND(S1143=1,J1143=2),1,0)</x:f>
        <x:v>0</x:v>
      </x:c>
      <x:c r="W1143" s="19" t="n">
        <x:f>SUM(T1143:V1143)</x:f>
        <x:v>3</x:v>
      </x:c>
      <x:c r="X1143" s="19" t="n">
        <x:f>W1143-G1143</x:f>
        <x:v>0</x:v>
      </x:c>
      <x:c r="Y1143" s="19" t="n">
        <x:f>MAX(T1143,1)+MAX(U1143,1)+MAX(V1143,1)</x:f>
        <x:v>4</x:v>
      </x:c>
      <x:c r="Z1143" s="21" t="str">
        <x:f>IF(AND(MIN(D1143:F1143)&gt;=0,MAX(D1143:F1143)&lt;=7,MAX(D1143,1)+MAX(E1143,1)+MAX(F1143,1)&lt;=9,OR(H1143="-",AND(H1143=0,D1143&gt;0),AND(H1143=1,E1143&gt;0),AND(H1143=2,F1143&gt;0)),OR(I1143=0,AND(I1143=1,OR(J1143=0,J1143=1,J1143=2),R1143&lt;&gt;"000")),Y1143&lt;=9,MIN(T1143:V1143)&gt;=0),"合法","输入违约")</x:f>
        <x:v>合法</x:v>
      </x:c>
    </x:row>
    <x:row r="1144" ht="23" customHeight="1">
      <x:c r="A1144" s="3" t="str">
        <x:v>CT-1137</x:v>
      </x:c>
      <x:c r="B1144" s="3" t="str">
        <x:v>ST-019</x:v>
      </x:c>
      <x:c r="C1144" s="3" t="str">
        <x:v>仅AR接收</x:v>
      </x:c>
      <x:c r="D1144" s="25" t="n">
        <x:v>2</x:v>
      </x:c>
      <x:c r="E1144" s="25" t="n">
        <x:v>1</x:v>
      </x:c>
      <x:c r="F1144" s="25" t="n">
        <x:v>0</x:v>
      </x:c>
      <x:c r="G1144" s="19" t="n">
        <x:f>SUM(D1144:F1144)</x:f>
        <x:v>3</x:v>
      </x:c>
      <x:c r="H1144" s="25" t="str">
        <x:v>-</x:v>
      </x:c>
      <x:c r="I1144" s="25" t="n">
        <x:v>1</x:v>
      </x:c>
      <x:c r="J1144" s="25" t="n">
        <x:v>0</x:v>
      </x:c>
      <x:c r="K1144" s="19" t="n">
        <x:f>D1144-IF(H1144=0,1,0)</x:f>
        <x:v>2</x:v>
      </x:c>
      <x:c r="L1144" s="19" t="n">
        <x:f>E1144-IF(H1144=1,1,0)</x:f>
        <x:v>1</x:v>
      </x:c>
      <x:c r="M1144" s="19" t="n">
        <x:f>F1144-IF(H1144=2,1,0)</x:f>
        <x:v>0</x:v>
      </x:c>
      <x:c r="N1144" s="19" t="n">
        <x:f>MAX(K1144-1,0)+MAX(L1144-1,0)+MAX(M1144-1,0)</x:f>
        <x:v>1</x:v>
      </x:c>
      <x:c r="O1144" s="19" t="n">
        <x:f>IF(AND(SUM(K1144:M1144)&lt;9,OR(M1144=0,N1144&lt;6)),1,0)</x:f>
        <x:v>1</x:v>
      </x:c>
      <x:c r="P1144" s="19" t="n">
        <x:f>IF(AND(SUM(K1144:M1144)&lt;9,OR(L1144=0,N1144&lt;6)),1,0)</x:f>
        <x:v>1</x:v>
      </x:c>
      <x:c r="Q1144" s="19" t="n">
        <x:f>IF(AND(SUM(K1144:M1144)&lt;9,OR(K1144=0,N1144&lt;6)),1,0)</x:f>
        <x:v>1</x:v>
      </x:c>
      <x:c r="R1144" s="22" t="str">
        <x:f>O1144&amp;P1144&amp;Q1144</x:f>
        <x:v>111</x:v>
      </x:c>
      <x:c r="S1144" s="19" t="n">
        <x:f>IF(I1144=1,IF(J1144=0,Q1144,IF(J1144=1,P1144,IF(J1144=2,O1144,0))),0)</x:f>
        <x:v>1</x:v>
      </x:c>
      <x:c r="T1144" s="19" t="n">
        <x:f>K1144+IF(AND(S1144=1,J1144=0),1,0)</x:f>
        <x:v>3</x:v>
      </x:c>
      <x:c r="U1144" s="19" t="n">
        <x:f>L1144+IF(AND(S1144=1,J1144=1),1,0)</x:f>
        <x:v>1</x:v>
      </x:c>
      <x:c r="V1144" s="19" t="n">
        <x:f>M1144+IF(AND(S1144=1,J1144=2),1,0)</x:f>
        <x:v>0</x:v>
      </x:c>
      <x:c r="W1144" s="19" t="n">
        <x:f>SUM(T1144:V1144)</x:f>
        <x:v>4</x:v>
      </x:c>
      <x:c r="X1144" s="19" t="n">
        <x:f>W1144-G1144</x:f>
        <x:v>1</x:v>
      </x:c>
      <x:c r="Y1144" s="19" t="n">
        <x:f>MAX(T1144,1)+MAX(U1144,1)+MAX(V1144,1)</x:f>
        <x:v>5</x:v>
      </x:c>
      <x:c r="Z1144" s="21" t="str">
        <x:f>IF(AND(MIN(D1144:F1144)&gt;=0,MAX(D1144:F1144)&lt;=7,MAX(D1144,1)+MAX(E1144,1)+MAX(F1144,1)&lt;=9,OR(H1144="-",AND(H1144=0,D1144&gt;0),AND(H1144=1,E1144&gt;0),AND(H1144=2,F1144&gt;0)),OR(I1144=0,AND(I1144=1,OR(J1144=0,J1144=1,J1144=2),R1144&lt;&gt;"000")),Y1144&lt;=9,MIN(T1144:V1144)&gt;=0),"合法","输入违约")</x:f>
        <x:v>合法</x:v>
      </x:c>
    </x:row>
    <x:row r="1145" ht="23" customHeight="1">
      <x:c r="A1145" s="3" t="str">
        <x:v>CT-1138</x:v>
      </x:c>
      <x:c r="B1145" s="3" t="str">
        <x:v>ST-019</x:v>
      </x:c>
      <x:c r="C1145" s="3" t="str">
        <x:v>仅AR接收</x:v>
      </x:c>
      <x:c r="D1145" s="25" t="n">
        <x:v>2</x:v>
      </x:c>
      <x:c r="E1145" s="25" t="n">
        <x:v>1</x:v>
      </x:c>
      <x:c r="F1145" s="25" t="n">
        <x:v>0</x:v>
      </x:c>
      <x:c r="G1145" s="19" t="n">
        <x:f>SUM(D1145:F1145)</x:f>
        <x:v>3</x:v>
      </x:c>
      <x:c r="H1145" s="25" t="str">
        <x:v>-</x:v>
      </x:c>
      <x:c r="I1145" s="25" t="n">
        <x:v>1</x:v>
      </x:c>
      <x:c r="J1145" s="25" t="n">
        <x:v>1</x:v>
      </x:c>
      <x:c r="K1145" s="19" t="n">
        <x:f>D1145-IF(H1145=0,1,0)</x:f>
        <x:v>2</x:v>
      </x:c>
      <x:c r="L1145" s="19" t="n">
        <x:f>E1145-IF(H1145=1,1,0)</x:f>
        <x:v>1</x:v>
      </x:c>
      <x:c r="M1145" s="19" t="n">
        <x:f>F1145-IF(H1145=2,1,0)</x:f>
        <x:v>0</x:v>
      </x:c>
      <x:c r="N1145" s="19" t="n">
        <x:f>MAX(K1145-1,0)+MAX(L1145-1,0)+MAX(M1145-1,0)</x:f>
        <x:v>1</x:v>
      </x:c>
      <x:c r="O1145" s="19" t="n">
        <x:f>IF(AND(SUM(K1145:M1145)&lt;9,OR(M1145=0,N1145&lt;6)),1,0)</x:f>
        <x:v>1</x:v>
      </x:c>
      <x:c r="P1145" s="19" t="n">
        <x:f>IF(AND(SUM(K1145:M1145)&lt;9,OR(L1145=0,N1145&lt;6)),1,0)</x:f>
        <x:v>1</x:v>
      </x:c>
      <x:c r="Q1145" s="19" t="n">
        <x:f>IF(AND(SUM(K1145:M1145)&lt;9,OR(K1145=0,N1145&lt;6)),1,0)</x:f>
        <x:v>1</x:v>
      </x:c>
      <x:c r="R1145" s="22" t="str">
        <x:f>O1145&amp;P1145&amp;Q1145</x:f>
        <x:v>111</x:v>
      </x:c>
      <x:c r="S1145" s="19" t="n">
        <x:f>IF(I1145=1,IF(J1145=0,Q1145,IF(J1145=1,P1145,IF(J1145=2,O1145,0))),0)</x:f>
        <x:v>1</x:v>
      </x:c>
      <x:c r="T1145" s="19" t="n">
        <x:f>K1145+IF(AND(S1145=1,J1145=0),1,0)</x:f>
        <x:v>2</x:v>
      </x:c>
      <x:c r="U1145" s="19" t="n">
        <x:f>L1145+IF(AND(S1145=1,J1145=1),1,0)</x:f>
        <x:v>2</x:v>
      </x:c>
      <x:c r="V1145" s="19" t="n">
        <x:f>M1145+IF(AND(S1145=1,J1145=2),1,0)</x:f>
        <x:v>0</x:v>
      </x:c>
      <x:c r="W1145" s="19" t="n">
        <x:f>SUM(T1145:V1145)</x:f>
        <x:v>4</x:v>
      </x:c>
      <x:c r="X1145" s="19" t="n">
        <x:f>W1145-G1145</x:f>
        <x:v>1</x:v>
      </x:c>
      <x:c r="Y1145" s="19" t="n">
        <x:f>MAX(T1145,1)+MAX(U1145,1)+MAX(V1145,1)</x:f>
        <x:v>5</x:v>
      </x:c>
      <x:c r="Z1145" s="21" t="str">
        <x:f>IF(AND(MIN(D1145:F1145)&gt;=0,MAX(D1145:F1145)&lt;=7,MAX(D1145,1)+MAX(E1145,1)+MAX(F1145,1)&lt;=9,OR(H1145="-",AND(H1145=0,D1145&gt;0),AND(H1145=1,E1145&gt;0),AND(H1145=2,F1145&gt;0)),OR(I1145=0,AND(I1145=1,OR(J1145=0,J1145=1,J1145=2),R1145&lt;&gt;"000")),Y1145&lt;=9,MIN(T1145:V1145)&gt;=0),"合法","输入违约")</x:f>
        <x:v>合法</x:v>
      </x:c>
    </x:row>
    <x:row r="1146" ht="23" customHeight="1">
      <x:c r="A1146" s="3" t="str">
        <x:v>CT-1139</x:v>
      </x:c>
      <x:c r="B1146" s="3" t="str">
        <x:v>ST-019</x:v>
      </x:c>
      <x:c r="C1146" s="3" t="str">
        <x:v>仅AR接收</x:v>
      </x:c>
      <x:c r="D1146" s="25" t="n">
        <x:v>2</x:v>
      </x:c>
      <x:c r="E1146" s="25" t="n">
        <x:v>1</x:v>
      </x:c>
      <x:c r="F1146" s="25" t="n">
        <x:v>0</x:v>
      </x:c>
      <x:c r="G1146" s="19" t="n">
        <x:f>SUM(D1146:F1146)</x:f>
        <x:v>3</x:v>
      </x:c>
      <x:c r="H1146" s="25" t="str">
        <x:v>-</x:v>
      </x:c>
      <x:c r="I1146" s="25" t="n">
        <x:v>1</x:v>
      </x:c>
      <x:c r="J1146" s="25" t="n">
        <x:v>2</x:v>
      </x:c>
      <x:c r="K1146" s="19" t="n">
        <x:f>D1146-IF(H1146=0,1,0)</x:f>
        <x:v>2</x:v>
      </x:c>
      <x:c r="L1146" s="19" t="n">
        <x:f>E1146-IF(H1146=1,1,0)</x:f>
        <x:v>1</x:v>
      </x:c>
      <x:c r="M1146" s="19" t="n">
        <x:f>F1146-IF(H1146=2,1,0)</x:f>
        <x:v>0</x:v>
      </x:c>
      <x:c r="N1146" s="19" t="n">
        <x:f>MAX(K1146-1,0)+MAX(L1146-1,0)+MAX(M1146-1,0)</x:f>
        <x:v>1</x:v>
      </x:c>
      <x:c r="O1146" s="19" t="n">
        <x:f>IF(AND(SUM(K1146:M1146)&lt;9,OR(M1146=0,N1146&lt;6)),1,0)</x:f>
        <x:v>1</x:v>
      </x:c>
      <x:c r="P1146" s="19" t="n">
        <x:f>IF(AND(SUM(K1146:M1146)&lt;9,OR(L1146=0,N1146&lt;6)),1,0)</x:f>
        <x:v>1</x:v>
      </x:c>
      <x:c r="Q1146" s="19" t="n">
        <x:f>IF(AND(SUM(K1146:M1146)&lt;9,OR(K1146=0,N1146&lt;6)),1,0)</x:f>
        <x:v>1</x:v>
      </x:c>
      <x:c r="R1146" s="22" t="str">
        <x:f>O1146&amp;P1146&amp;Q1146</x:f>
        <x:v>111</x:v>
      </x:c>
      <x:c r="S1146" s="19" t="n">
        <x:f>IF(I1146=1,IF(J1146=0,Q1146,IF(J1146=1,P1146,IF(J1146=2,O1146,0))),0)</x:f>
        <x:v>1</x:v>
      </x:c>
      <x:c r="T1146" s="19" t="n">
        <x:f>K1146+IF(AND(S1146=1,J1146=0),1,0)</x:f>
        <x:v>2</x:v>
      </x:c>
      <x:c r="U1146" s="19" t="n">
        <x:f>L1146+IF(AND(S1146=1,J1146=1),1,0)</x:f>
        <x:v>1</x:v>
      </x:c>
      <x:c r="V1146" s="19" t="n">
        <x:f>M1146+IF(AND(S1146=1,J1146=2),1,0)</x:f>
        <x:v>1</x:v>
      </x:c>
      <x:c r="W1146" s="19" t="n">
        <x:f>SUM(T1146:V1146)</x:f>
        <x:v>4</x:v>
      </x:c>
      <x:c r="X1146" s="19" t="n">
        <x:f>W1146-G1146</x:f>
        <x:v>1</x:v>
      </x:c>
      <x:c r="Y1146" s="19" t="n">
        <x:f>MAX(T1146,1)+MAX(U1146,1)+MAX(V1146,1)</x:f>
        <x:v>4</x:v>
      </x:c>
      <x:c r="Z1146" s="21" t="str">
        <x:f>IF(AND(MIN(D1146:F1146)&gt;=0,MAX(D1146:F1146)&lt;=7,MAX(D1146,1)+MAX(E1146,1)+MAX(F1146,1)&lt;=9,OR(H1146="-",AND(H1146=0,D1146&gt;0),AND(H1146=1,E1146&gt;0),AND(H1146=2,F1146&gt;0)),OR(I1146=0,AND(I1146=1,OR(J1146=0,J1146=1,J1146=2),R1146&lt;&gt;"000")),Y1146&lt;=9,MIN(T1146:V1146)&gt;=0),"合法","输入违约")</x:f>
        <x:v>合法</x:v>
      </x:c>
    </x:row>
    <x:row r="1147" ht="23" customHeight="1">
      <x:c r="A1147" s="3" t="str">
        <x:v>CT-1140</x:v>
      </x:c>
      <x:c r="B1147" s="3" t="str">
        <x:v>ST-019</x:v>
      </x:c>
      <x:c r="C1147" s="3" t="str">
        <x:v>仅R回收</x:v>
      </x:c>
      <x:c r="D1147" s="25" t="n">
        <x:v>2</x:v>
      </x:c>
      <x:c r="E1147" s="25" t="n">
        <x:v>1</x:v>
      </x:c>
      <x:c r="F1147" s="25" t="n">
        <x:v>0</x:v>
      </x:c>
      <x:c r="G1147" s="19" t="n">
        <x:f>SUM(D1147:F1147)</x:f>
        <x:v>3</x:v>
      </x:c>
      <x:c r="H1147" s="25" t="n">
        <x:v>0</x:v>
      </x:c>
      <x:c r="I1147" s="25" t="n">
        <x:v>0</x:v>
      </x:c>
      <x:c r="J1147" s="25" t="str">
        <x:v>-</x:v>
      </x:c>
      <x:c r="K1147" s="19" t="n">
        <x:f>D1147-IF(H1147=0,1,0)</x:f>
        <x:v>1</x:v>
      </x:c>
      <x:c r="L1147" s="19" t="n">
        <x:f>E1147-IF(H1147=1,1,0)</x:f>
        <x:v>1</x:v>
      </x:c>
      <x:c r="M1147" s="19" t="n">
        <x:f>F1147-IF(H1147=2,1,0)</x:f>
        <x:v>0</x:v>
      </x:c>
      <x:c r="N1147" s="19" t="n">
        <x:f>MAX(K1147-1,0)+MAX(L1147-1,0)+MAX(M1147-1,0)</x:f>
        <x:v>0</x:v>
      </x:c>
      <x:c r="O1147" s="19" t="n">
        <x:f>IF(AND(SUM(K1147:M1147)&lt;9,OR(M1147=0,N1147&lt;6)),1,0)</x:f>
        <x:v>1</x:v>
      </x:c>
      <x:c r="P1147" s="19" t="n">
        <x:f>IF(AND(SUM(K1147:M1147)&lt;9,OR(L1147=0,N1147&lt;6)),1,0)</x:f>
        <x:v>1</x:v>
      </x:c>
      <x:c r="Q1147" s="19" t="n">
        <x:f>IF(AND(SUM(K1147:M1147)&lt;9,OR(K1147=0,N1147&lt;6)),1,0)</x:f>
        <x:v>1</x:v>
      </x:c>
      <x:c r="R1147" s="22" t="str">
        <x:f>O1147&amp;P1147&amp;Q1147</x:f>
        <x:v>111</x:v>
      </x:c>
      <x:c r="S1147" s="19" t="n">
        <x:f>IF(I1147=1,IF(J1147=0,Q1147,IF(J1147=1,P1147,IF(J1147=2,O1147,0))),0)</x:f>
        <x:v>0</x:v>
      </x:c>
      <x:c r="T1147" s="19" t="n">
        <x:f>K1147+IF(AND(S1147=1,J1147=0),1,0)</x:f>
        <x:v>1</x:v>
      </x:c>
      <x:c r="U1147" s="19" t="n">
        <x:f>L1147+IF(AND(S1147=1,J1147=1),1,0)</x:f>
        <x:v>1</x:v>
      </x:c>
      <x:c r="V1147" s="19" t="n">
        <x:f>M1147+IF(AND(S1147=1,J1147=2),1,0)</x:f>
        <x:v>0</x:v>
      </x:c>
      <x:c r="W1147" s="19" t="n">
        <x:f>SUM(T1147:V1147)</x:f>
        <x:v>2</x:v>
      </x:c>
      <x:c r="X1147" s="19" t="n">
        <x:f>W1147-G1147</x:f>
        <x:v>-1</x:v>
      </x:c>
      <x:c r="Y1147" s="19" t="n">
        <x:f>MAX(T1147,1)+MAX(U1147,1)+MAX(V1147,1)</x:f>
        <x:v>3</x:v>
      </x:c>
      <x:c r="Z1147" s="21" t="str">
        <x:f>IF(AND(MIN(D1147:F1147)&gt;=0,MAX(D1147:F1147)&lt;=7,MAX(D1147,1)+MAX(E1147,1)+MAX(F1147,1)&lt;=9,OR(H1147="-",AND(H1147=0,D1147&gt;0),AND(H1147=1,E1147&gt;0),AND(H1147=2,F1147&gt;0)),OR(I1147=0,AND(I1147=1,OR(J1147=0,J1147=1,J1147=2),R1147&lt;&gt;"000")),Y1147&lt;=9,MIN(T1147:V1147)&gt;=0),"合法","输入违约")</x:f>
        <x:v>合法</x:v>
      </x:c>
    </x:row>
    <x:row r="1148" ht="23" customHeight="1">
      <x:c r="A1148" s="3" t="str">
        <x:v>CT-1141</x:v>
      </x:c>
      <x:c r="B1148" s="3" t="str">
        <x:v>ST-019</x:v>
      </x:c>
      <x:c r="C1148" s="3" t="str">
        <x:v>R+AR同收同发</x:v>
      </x:c>
      <x:c r="D1148" s="25" t="n">
        <x:v>2</x:v>
      </x:c>
      <x:c r="E1148" s="25" t="n">
        <x:v>1</x:v>
      </x:c>
      <x:c r="F1148" s="25" t="n">
        <x:v>0</x:v>
      </x:c>
      <x:c r="G1148" s="19" t="n">
        <x:f>SUM(D1148:F1148)</x:f>
        <x:v>3</x:v>
      </x:c>
      <x:c r="H1148" s="25" t="n">
        <x:v>0</x:v>
      </x:c>
      <x:c r="I1148" s="25" t="n">
        <x:v>1</x:v>
      </x:c>
      <x:c r="J1148" s="25" t="n">
        <x:v>0</x:v>
      </x:c>
      <x:c r="K1148" s="19" t="n">
        <x:f>D1148-IF(H1148=0,1,0)</x:f>
        <x:v>1</x:v>
      </x:c>
      <x:c r="L1148" s="19" t="n">
        <x:f>E1148-IF(H1148=1,1,0)</x:f>
        <x:v>1</x:v>
      </x:c>
      <x:c r="M1148" s="19" t="n">
        <x:f>F1148-IF(H1148=2,1,0)</x:f>
        <x:v>0</x:v>
      </x:c>
      <x:c r="N1148" s="19" t="n">
        <x:f>MAX(K1148-1,0)+MAX(L1148-1,0)+MAX(M1148-1,0)</x:f>
        <x:v>0</x:v>
      </x:c>
      <x:c r="O1148" s="19" t="n">
        <x:f>IF(AND(SUM(K1148:M1148)&lt;9,OR(M1148=0,N1148&lt;6)),1,0)</x:f>
        <x:v>1</x:v>
      </x:c>
      <x:c r="P1148" s="19" t="n">
        <x:f>IF(AND(SUM(K1148:M1148)&lt;9,OR(L1148=0,N1148&lt;6)),1,0)</x:f>
        <x:v>1</x:v>
      </x:c>
      <x:c r="Q1148" s="19" t="n">
        <x:f>IF(AND(SUM(K1148:M1148)&lt;9,OR(K1148=0,N1148&lt;6)),1,0)</x:f>
        <x:v>1</x:v>
      </x:c>
      <x:c r="R1148" s="22" t="str">
        <x:f>O1148&amp;P1148&amp;Q1148</x:f>
        <x:v>111</x:v>
      </x:c>
      <x:c r="S1148" s="19" t="n">
        <x:f>IF(I1148=1,IF(J1148=0,Q1148,IF(J1148=1,P1148,IF(J1148=2,O1148,0))),0)</x:f>
        <x:v>1</x:v>
      </x:c>
      <x:c r="T1148" s="19" t="n">
        <x:f>K1148+IF(AND(S1148=1,J1148=0),1,0)</x:f>
        <x:v>2</x:v>
      </x:c>
      <x:c r="U1148" s="19" t="n">
        <x:f>L1148+IF(AND(S1148=1,J1148=1),1,0)</x:f>
        <x:v>1</x:v>
      </x:c>
      <x:c r="V1148" s="19" t="n">
        <x:f>M1148+IF(AND(S1148=1,J1148=2),1,0)</x:f>
        <x:v>0</x:v>
      </x:c>
      <x:c r="W1148" s="19" t="n">
        <x:f>SUM(T1148:V1148)</x:f>
        <x:v>3</x:v>
      </x:c>
      <x:c r="X1148" s="19" t="n">
        <x:f>W1148-G1148</x:f>
        <x:v>0</x:v>
      </x:c>
      <x:c r="Y1148" s="19" t="n">
        <x:f>MAX(T1148,1)+MAX(U1148,1)+MAX(V1148,1)</x:f>
        <x:v>4</x:v>
      </x:c>
      <x:c r="Z1148" s="21" t="str">
        <x:f>IF(AND(MIN(D1148:F1148)&gt;=0,MAX(D1148:F1148)&lt;=7,MAX(D1148,1)+MAX(E1148,1)+MAX(F1148,1)&lt;=9,OR(H1148="-",AND(H1148=0,D1148&gt;0),AND(H1148=1,E1148&gt;0),AND(H1148=2,F1148&gt;0)),OR(I1148=0,AND(I1148=1,OR(J1148=0,J1148=1,J1148=2),R1148&lt;&gt;"000")),Y1148&lt;=9,MIN(T1148:V1148)&gt;=0),"合法","输入违约")</x:f>
        <x:v>合法</x:v>
      </x:c>
    </x:row>
    <x:row r="1149" ht="23" customHeight="1">
      <x:c r="A1149" s="3" t="str">
        <x:v>CT-1142</x:v>
      </x:c>
      <x:c r="B1149" s="3" t="str">
        <x:v>ST-019</x:v>
      </x:c>
      <x:c r="C1149" s="3" t="str">
        <x:v>R+AR同收同发</x:v>
      </x:c>
      <x:c r="D1149" s="25" t="n">
        <x:v>2</x:v>
      </x:c>
      <x:c r="E1149" s="25" t="n">
        <x:v>1</x:v>
      </x:c>
      <x:c r="F1149" s="25" t="n">
        <x:v>0</x:v>
      </x:c>
      <x:c r="G1149" s="19" t="n">
        <x:f>SUM(D1149:F1149)</x:f>
        <x:v>3</x:v>
      </x:c>
      <x:c r="H1149" s="25" t="n">
        <x:v>0</x:v>
      </x:c>
      <x:c r="I1149" s="25" t="n">
        <x:v>1</x:v>
      </x:c>
      <x:c r="J1149" s="25" t="n">
        <x:v>1</x:v>
      </x:c>
      <x:c r="K1149" s="19" t="n">
        <x:f>D1149-IF(H1149=0,1,0)</x:f>
        <x:v>1</x:v>
      </x:c>
      <x:c r="L1149" s="19" t="n">
        <x:f>E1149-IF(H1149=1,1,0)</x:f>
        <x:v>1</x:v>
      </x:c>
      <x:c r="M1149" s="19" t="n">
        <x:f>F1149-IF(H1149=2,1,0)</x:f>
        <x:v>0</x:v>
      </x:c>
      <x:c r="N1149" s="19" t="n">
        <x:f>MAX(K1149-1,0)+MAX(L1149-1,0)+MAX(M1149-1,0)</x:f>
        <x:v>0</x:v>
      </x:c>
      <x:c r="O1149" s="19" t="n">
        <x:f>IF(AND(SUM(K1149:M1149)&lt;9,OR(M1149=0,N1149&lt;6)),1,0)</x:f>
        <x:v>1</x:v>
      </x:c>
      <x:c r="P1149" s="19" t="n">
        <x:f>IF(AND(SUM(K1149:M1149)&lt;9,OR(L1149=0,N1149&lt;6)),1,0)</x:f>
        <x:v>1</x:v>
      </x:c>
      <x:c r="Q1149" s="19" t="n">
        <x:f>IF(AND(SUM(K1149:M1149)&lt;9,OR(K1149=0,N1149&lt;6)),1,0)</x:f>
        <x:v>1</x:v>
      </x:c>
      <x:c r="R1149" s="22" t="str">
        <x:f>O1149&amp;P1149&amp;Q1149</x:f>
        <x:v>111</x:v>
      </x:c>
      <x:c r="S1149" s="19" t="n">
        <x:f>IF(I1149=1,IF(J1149=0,Q1149,IF(J1149=1,P1149,IF(J1149=2,O1149,0))),0)</x:f>
        <x:v>1</x:v>
      </x:c>
      <x:c r="T1149" s="19" t="n">
        <x:f>K1149+IF(AND(S1149=1,J1149=0),1,0)</x:f>
        <x:v>1</x:v>
      </x:c>
      <x:c r="U1149" s="19" t="n">
        <x:f>L1149+IF(AND(S1149=1,J1149=1),1,0)</x:f>
        <x:v>2</x:v>
      </x:c>
      <x:c r="V1149" s="19" t="n">
        <x:f>M1149+IF(AND(S1149=1,J1149=2),1,0)</x:f>
        <x:v>0</x:v>
      </x:c>
      <x:c r="W1149" s="19" t="n">
        <x:f>SUM(T1149:V1149)</x:f>
        <x:v>3</x:v>
      </x:c>
      <x:c r="X1149" s="19" t="n">
        <x:f>W1149-G1149</x:f>
        <x:v>0</x:v>
      </x:c>
      <x:c r="Y1149" s="19" t="n">
        <x:f>MAX(T1149,1)+MAX(U1149,1)+MAX(V1149,1)</x:f>
        <x:v>4</x:v>
      </x:c>
      <x:c r="Z1149" s="21" t="str">
        <x:f>IF(AND(MIN(D1149:F1149)&gt;=0,MAX(D1149:F1149)&lt;=7,MAX(D1149,1)+MAX(E1149,1)+MAX(F1149,1)&lt;=9,OR(H1149="-",AND(H1149=0,D1149&gt;0),AND(H1149=1,E1149&gt;0),AND(H1149=2,F1149&gt;0)),OR(I1149=0,AND(I1149=1,OR(J1149=0,J1149=1,J1149=2),R1149&lt;&gt;"000")),Y1149&lt;=9,MIN(T1149:V1149)&gt;=0),"合法","输入违约")</x:f>
        <x:v>合法</x:v>
      </x:c>
    </x:row>
    <x:row r="1150" ht="23" customHeight="1">
      <x:c r="A1150" s="3" t="str">
        <x:v>CT-1143</x:v>
      </x:c>
      <x:c r="B1150" s="3" t="str">
        <x:v>ST-019</x:v>
      </x:c>
      <x:c r="C1150" s="3" t="str">
        <x:v>R+AR同收同发</x:v>
      </x:c>
      <x:c r="D1150" s="25" t="n">
        <x:v>2</x:v>
      </x:c>
      <x:c r="E1150" s="25" t="n">
        <x:v>1</x:v>
      </x:c>
      <x:c r="F1150" s="25" t="n">
        <x:v>0</x:v>
      </x:c>
      <x:c r="G1150" s="19" t="n">
        <x:f>SUM(D1150:F1150)</x:f>
        <x:v>3</x:v>
      </x:c>
      <x:c r="H1150" s="25" t="n">
        <x:v>0</x:v>
      </x:c>
      <x:c r="I1150" s="25" t="n">
        <x:v>1</x:v>
      </x:c>
      <x:c r="J1150" s="25" t="n">
        <x:v>2</x:v>
      </x:c>
      <x:c r="K1150" s="19" t="n">
        <x:f>D1150-IF(H1150=0,1,0)</x:f>
        <x:v>1</x:v>
      </x:c>
      <x:c r="L1150" s="19" t="n">
        <x:f>E1150-IF(H1150=1,1,0)</x:f>
        <x:v>1</x:v>
      </x:c>
      <x:c r="M1150" s="19" t="n">
        <x:f>F1150-IF(H1150=2,1,0)</x:f>
        <x:v>0</x:v>
      </x:c>
      <x:c r="N1150" s="19" t="n">
        <x:f>MAX(K1150-1,0)+MAX(L1150-1,0)+MAX(M1150-1,0)</x:f>
        <x:v>0</x:v>
      </x:c>
      <x:c r="O1150" s="19" t="n">
        <x:f>IF(AND(SUM(K1150:M1150)&lt;9,OR(M1150=0,N1150&lt;6)),1,0)</x:f>
        <x:v>1</x:v>
      </x:c>
      <x:c r="P1150" s="19" t="n">
        <x:f>IF(AND(SUM(K1150:M1150)&lt;9,OR(L1150=0,N1150&lt;6)),1,0)</x:f>
        <x:v>1</x:v>
      </x:c>
      <x:c r="Q1150" s="19" t="n">
        <x:f>IF(AND(SUM(K1150:M1150)&lt;9,OR(K1150=0,N1150&lt;6)),1,0)</x:f>
        <x:v>1</x:v>
      </x:c>
      <x:c r="R1150" s="22" t="str">
        <x:f>O1150&amp;P1150&amp;Q1150</x:f>
        <x:v>111</x:v>
      </x:c>
      <x:c r="S1150" s="19" t="n">
        <x:f>IF(I1150=1,IF(J1150=0,Q1150,IF(J1150=1,P1150,IF(J1150=2,O1150,0))),0)</x:f>
        <x:v>1</x:v>
      </x:c>
      <x:c r="T1150" s="19" t="n">
        <x:f>K1150+IF(AND(S1150=1,J1150=0),1,0)</x:f>
        <x:v>1</x:v>
      </x:c>
      <x:c r="U1150" s="19" t="n">
        <x:f>L1150+IF(AND(S1150=1,J1150=1),1,0)</x:f>
        <x:v>1</x:v>
      </x:c>
      <x:c r="V1150" s="19" t="n">
        <x:f>M1150+IF(AND(S1150=1,J1150=2),1,0)</x:f>
        <x:v>1</x:v>
      </x:c>
      <x:c r="W1150" s="19" t="n">
        <x:f>SUM(T1150:V1150)</x:f>
        <x:v>3</x:v>
      </x:c>
      <x:c r="X1150" s="19" t="n">
        <x:f>W1150-G1150</x:f>
        <x:v>0</x:v>
      </x:c>
      <x:c r="Y1150" s="19" t="n">
        <x:f>MAX(T1150,1)+MAX(U1150,1)+MAX(V1150,1)</x:f>
        <x:v>3</x:v>
      </x:c>
      <x:c r="Z1150" s="21" t="str">
        <x:f>IF(AND(MIN(D1150:F1150)&gt;=0,MAX(D1150:F1150)&lt;=7,MAX(D1150,1)+MAX(E1150,1)+MAX(F1150,1)&lt;=9,OR(H1150="-",AND(H1150=0,D1150&gt;0),AND(H1150=1,E1150&gt;0),AND(H1150=2,F1150&gt;0)),OR(I1150=0,AND(I1150=1,OR(J1150=0,J1150=1,J1150=2),R1150&lt;&gt;"000")),Y1150&lt;=9,MIN(T1150:V1150)&gt;=0),"合法","输入违约")</x:f>
        <x:v>合法</x:v>
      </x:c>
    </x:row>
    <x:row r="1151" ht="23" customHeight="1">
      <x:c r="A1151" s="3" t="str">
        <x:v>CT-1144</x:v>
      </x:c>
      <x:c r="B1151" s="3" t="str">
        <x:v>ST-019</x:v>
      </x:c>
      <x:c r="C1151" s="3" t="str">
        <x:v>仅R回收</x:v>
      </x:c>
      <x:c r="D1151" s="25" t="n">
        <x:v>2</x:v>
      </x:c>
      <x:c r="E1151" s="25" t="n">
        <x:v>1</x:v>
      </x:c>
      <x:c r="F1151" s="25" t="n">
        <x:v>0</x:v>
      </x:c>
      <x:c r="G1151" s="19" t="n">
        <x:f>SUM(D1151:F1151)</x:f>
        <x:v>3</x:v>
      </x:c>
      <x:c r="H1151" s="25" t="n">
        <x:v>1</x:v>
      </x:c>
      <x:c r="I1151" s="25" t="n">
        <x:v>0</x:v>
      </x:c>
      <x:c r="J1151" s="25" t="str">
        <x:v>-</x:v>
      </x:c>
      <x:c r="K1151" s="19" t="n">
        <x:f>D1151-IF(H1151=0,1,0)</x:f>
        <x:v>2</x:v>
      </x:c>
      <x:c r="L1151" s="19" t="n">
        <x:f>E1151-IF(H1151=1,1,0)</x:f>
        <x:v>0</x:v>
      </x:c>
      <x:c r="M1151" s="19" t="n">
        <x:f>F1151-IF(H1151=2,1,0)</x:f>
        <x:v>0</x:v>
      </x:c>
      <x:c r="N1151" s="19" t="n">
        <x:f>MAX(K1151-1,0)+MAX(L1151-1,0)+MAX(M1151-1,0)</x:f>
        <x:v>1</x:v>
      </x:c>
      <x:c r="O1151" s="19" t="n">
        <x:f>IF(AND(SUM(K1151:M1151)&lt;9,OR(M1151=0,N1151&lt;6)),1,0)</x:f>
        <x:v>1</x:v>
      </x:c>
      <x:c r="P1151" s="19" t="n">
        <x:f>IF(AND(SUM(K1151:M1151)&lt;9,OR(L1151=0,N1151&lt;6)),1,0)</x:f>
        <x:v>1</x:v>
      </x:c>
      <x:c r="Q1151" s="19" t="n">
        <x:f>IF(AND(SUM(K1151:M1151)&lt;9,OR(K1151=0,N1151&lt;6)),1,0)</x:f>
        <x:v>1</x:v>
      </x:c>
      <x:c r="R1151" s="22" t="str">
        <x:f>O1151&amp;P1151&amp;Q1151</x:f>
        <x:v>111</x:v>
      </x:c>
      <x:c r="S1151" s="19" t="n">
        <x:f>IF(I1151=1,IF(J1151=0,Q1151,IF(J1151=1,P1151,IF(J1151=2,O1151,0))),0)</x:f>
        <x:v>0</x:v>
      </x:c>
      <x:c r="T1151" s="19" t="n">
        <x:f>K1151+IF(AND(S1151=1,J1151=0),1,0)</x:f>
        <x:v>2</x:v>
      </x:c>
      <x:c r="U1151" s="19" t="n">
        <x:f>L1151+IF(AND(S1151=1,J1151=1),1,0)</x:f>
        <x:v>0</x:v>
      </x:c>
      <x:c r="V1151" s="19" t="n">
        <x:f>M1151+IF(AND(S1151=1,J1151=2),1,0)</x:f>
        <x:v>0</x:v>
      </x:c>
      <x:c r="W1151" s="19" t="n">
        <x:f>SUM(T1151:V1151)</x:f>
        <x:v>2</x:v>
      </x:c>
      <x:c r="X1151" s="19" t="n">
        <x:f>W1151-G1151</x:f>
        <x:v>-1</x:v>
      </x:c>
      <x:c r="Y1151" s="19" t="n">
        <x:f>MAX(T1151,1)+MAX(U1151,1)+MAX(V1151,1)</x:f>
        <x:v>4</x:v>
      </x:c>
      <x:c r="Z1151" s="21" t="str">
        <x:f>IF(AND(MIN(D1151:F1151)&gt;=0,MAX(D1151:F1151)&lt;=7,MAX(D1151,1)+MAX(E1151,1)+MAX(F1151,1)&lt;=9,OR(H1151="-",AND(H1151=0,D1151&gt;0),AND(H1151=1,E1151&gt;0),AND(H1151=2,F1151&gt;0)),OR(I1151=0,AND(I1151=1,OR(J1151=0,J1151=1,J1151=2),R1151&lt;&gt;"000")),Y1151&lt;=9,MIN(T1151:V1151)&gt;=0),"合法","输入违约")</x:f>
        <x:v>合法</x:v>
      </x:c>
    </x:row>
    <x:row r="1152" ht="23" customHeight="1">
      <x:c r="A1152" s="3" t="str">
        <x:v>CT-1145</x:v>
      </x:c>
      <x:c r="B1152" s="3" t="str">
        <x:v>ST-019</x:v>
      </x:c>
      <x:c r="C1152" s="3" t="str">
        <x:v>R+AR同收同发</x:v>
      </x:c>
      <x:c r="D1152" s="25" t="n">
        <x:v>2</x:v>
      </x:c>
      <x:c r="E1152" s="25" t="n">
        <x:v>1</x:v>
      </x:c>
      <x:c r="F1152" s="25" t="n">
        <x:v>0</x:v>
      </x:c>
      <x:c r="G1152" s="19" t="n">
        <x:f>SUM(D1152:F1152)</x:f>
        <x:v>3</x:v>
      </x:c>
      <x:c r="H1152" s="25" t="n">
        <x:v>1</x:v>
      </x:c>
      <x:c r="I1152" s="25" t="n">
        <x:v>1</x:v>
      </x:c>
      <x:c r="J1152" s="25" t="n">
        <x:v>0</x:v>
      </x:c>
      <x:c r="K1152" s="19" t="n">
        <x:f>D1152-IF(H1152=0,1,0)</x:f>
        <x:v>2</x:v>
      </x:c>
      <x:c r="L1152" s="19" t="n">
        <x:f>E1152-IF(H1152=1,1,0)</x:f>
        <x:v>0</x:v>
      </x:c>
      <x:c r="M1152" s="19" t="n">
        <x:f>F1152-IF(H1152=2,1,0)</x:f>
        <x:v>0</x:v>
      </x:c>
      <x:c r="N1152" s="19" t="n">
        <x:f>MAX(K1152-1,0)+MAX(L1152-1,0)+MAX(M1152-1,0)</x:f>
        <x:v>1</x:v>
      </x:c>
      <x:c r="O1152" s="19" t="n">
        <x:f>IF(AND(SUM(K1152:M1152)&lt;9,OR(M1152=0,N1152&lt;6)),1,0)</x:f>
        <x:v>1</x:v>
      </x:c>
      <x:c r="P1152" s="19" t="n">
        <x:f>IF(AND(SUM(K1152:M1152)&lt;9,OR(L1152=0,N1152&lt;6)),1,0)</x:f>
        <x:v>1</x:v>
      </x:c>
      <x:c r="Q1152" s="19" t="n">
        <x:f>IF(AND(SUM(K1152:M1152)&lt;9,OR(K1152=0,N1152&lt;6)),1,0)</x:f>
        <x:v>1</x:v>
      </x:c>
      <x:c r="R1152" s="22" t="str">
        <x:f>O1152&amp;P1152&amp;Q1152</x:f>
        <x:v>111</x:v>
      </x:c>
      <x:c r="S1152" s="19" t="n">
        <x:f>IF(I1152=1,IF(J1152=0,Q1152,IF(J1152=1,P1152,IF(J1152=2,O1152,0))),0)</x:f>
        <x:v>1</x:v>
      </x:c>
      <x:c r="T1152" s="19" t="n">
        <x:f>K1152+IF(AND(S1152=1,J1152=0),1,0)</x:f>
        <x:v>3</x:v>
      </x:c>
      <x:c r="U1152" s="19" t="n">
        <x:f>L1152+IF(AND(S1152=1,J1152=1),1,0)</x:f>
        <x:v>0</x:v>
      </x:c>
      <x:c r="V1152" s="19" t="n">
        <x:f>M1152+IF(AND(S1152=1,J1152=2),1,0)</x:f>
        <x:v>0</x:v>
      </x:c>
      <x:c r="W1152" s="19" t="n">
        <x:f>SUM(T1152:V1152)</x:f>
        <x:v>3</x:v>
      </x:c>
      <x:c r="X1152" s="19" t="n">
        <x:f>W1152-G1152</x:f>
        <x:v>0</x:v>
      </x:c>
      <x:c r="Y1152" s="19" t="n">
        <x:f>MAX(T1152,1)+MAX(U1152,1)+MAX(V1152,1)</x:f>
        <x:v>5</x:v>
      </x:c>
      <x:c r="Z1152" s="21" t="str">
        <x:f>IF(AND(MIN(D1152:F1152)&gt;=0,MAX(D1152:F1152)&lt;=7,MAX(D1152,1)+MAX(E1152,1)+MAX(F1152,1)&lt;=9,OR(H1152="-",AND(H1152=0,D1152&gt;0),AND(H1152=1,E1152&gt;0),AND(H1152=2,F1152&gt;0)),OR(I1152=0,AND(I1152=1,OR(J1152=0,J1152=1,J1152=2),R1152&lt;&gt;"000")),Y1152&lt;=9,MIN(T1152:V1152)&gt;=0),"合法","输入违约")</x:f>
        <x:v>合法</x:v>
      </x:c>
    </x:row>
    <x:row r="1153" ht="23" customHeight="1">
      <x:c r="A1153" s="3" t="str">
        <x:v>CT-1146</x:v>
      </x:c>
      <x:c r="B1153" s="3" t="str">
        <x:v>ST-019</x:v>
      </x:c>
      <x:c r="C1153" s="3" t="str">
        <x:v>R+AR同收同发</x:v>
      </x:c>
      <x:c r="D1153" s="25" t="n">
        <x:v>2</x:v>
      </x:c>
      <x:c r="E1153" s="25" t="n">
        <x:v>1</x:v>
      </x:c>
      <x:c r="F1153" s="25" t="n">
        <x:v>0</x:v>
      </x:c>
      <x:c r="G1153" s="19" t="n">
        <x:f>SUM(D1153:F1153)</x:f>
        <x:v>3</x:v>
      </x:c>
      <x:c r="H1153" s="25" t="n">
        <x:v>1</x:v>
      </x:c>
      <x:c r="I1153" s="25" t="n">
        <x:v>1</x:v>
      </x:c>
      <x:c r="J1153" s="25" t="n">
        <x:v>1</x:v>
      </x:c>
      <x:c r="K1153" s="19" t="n">
        <x:f>D1153-IF(H1153=0,1,0)</x:f>
        <x:v>2</x:v>
      </x:c>
      <x:c r="L1153" s="19" t="n">
        <x:f>E1153-IF(H1153=1,1,0)</x:f>
        <x:v>0</x:v>
      </x:c>
      <x:c r="M1153" s="19" t="n">
        <x:f>F1153-IF(H1153=2,1,0)</x:f>
        <x:v>0</x:v>
      </x:c>
      <x:c r="N1153" s="19" t="n">
        <x:f>MAX(K1153-1,0)+MAX(L1153-1,0)+MAX(M1153-1,0)</x:f>
        <x:v>1</x:v>
      </x:c>
      <x:c r="O1153" s="19" t="n">
        <x:f>IF(AND(SUM(K1153:M1153)&lt;9,OR(M1153=0,N1153&lt;6)),1,0)</x:f>
        <x:v>1</x:v>
      </x:c>
      <x:c r="P1153" s="19" t="n">
        <x:f>IF(AND(SUM(K1153:M1153)&lt;9,OR(L1153=0,N1153&lt;6)),1,0)</x:f>
        <x:v>1</x:v>
      </x:c>
      <x:c r="Q1153" s="19" t="n">
        <x:f>IF(AND(SUM(K1153:M1153)&lt;9,OR(K1153=0,N1153&lt;6)),1,0)</x:f>
        <x:v>1</x:v>
      </x:c>
      <x:c r="R1153" s="22" t="str">
        <x:f>O1153&amp;P1153&amp;Q1153</x:f>
        <x:v>111</x:v>
      </x:c>
      <x:c r="S1153" s="19" t="n">
        <x:f>IF(I1153=1,IF(J1153=0,Q1153,IF(J1153=1,P1153,IF(J1153=2,O1153,0))),0)</x:f>
        <x:v>1</x:v>
      </x:c>
      <x:c r="T1153" s="19" t="n">
        <x:f>K1153+IF(AND(S1153=1,J1153=0),1,0)</x:f>
        <x:v>2</x:v>
      </x:c>
      <x:c r="U1153" s="19" t="n">
        <x:f>L1153+IF(AND(S1153=1,J1153=1),1,0)</x:f>
        <x:v>1</x:v>
      </x:c>
      <x:c r="V1153" s="19" t="n">
        <x:f>M1153+IF(AND(S1153=1,J1153=2),1,0)</x:f>
        <x:v>0</x:v>
      </x:c>
      <x:c r="W1153" s="19" t="n">
        <x:f>SUM(T1153:V1153)</x:f>
        <x:v>3</x:v>
      </x:c>
      <x:c r="X1153" s="19" t="n">
        <x:f>W1153-G1153</x:f>
        <x:v>0</x:v>
      </x:c>
      <x:c r="Y1153" s="19" t="n">
        <x:f>MAX(T1153,1)+MAX(U1153,1)+MAX(V1153,1)</x:f>
        <x:v>4</x:v>
      </x:c>
      <x:c r="Z1153" s="21" t="str">
        <x:f>IF(AND(MIN(D1153:F1153)&gt;=0,MAX(D1153:F1153)&lt;=7,MAX(D1153,1)+MAX(E1153,1)+MAX(F1153,1)&lt;=9,OR(H1153="-",AND(H1153=0,D1153&gt;0),AND(H1153=1,E1153&gt;0),AND(H1153=2,F1153&gt;0)),OR(I1153=0,AND(I1153=1,OR(J1153=0,J1153=1,J1153=2),R1153&lt;&gt;"000")),Y1153&lt;=9,MIN(T1153:V1153)&gt;=0),"合法","输入违约")</x:f>
        <x:v>合法</x:v>
      </x:c>
    </x:row>
    <x:row r="1154" ht="23" customHeight="1">
      <x:c r="A1154" s="3" t="str">
        <x:v>CT-1147</x:v>
      </x:c>
      <x:c r="B1154" s="3" t="str">
        <x:v>ST-019</x:v>
      </x:c>
      <x:c r="C1154" s="3" t="str">
        <x:v>R+AR同收同发</x:v>
      </x:c>
      <x:c r="D1154" s="25" t="n">
        <x:v>2</x:v>
      </x:c>
      <x:c r="E1154" s="25" t="n">
        <x:v>1</x:v>
      </x:c>
      <x:c r="F1154" s="25" t="n">
        <x:v>0</x:v>
      </x:c>
      <x:c r="G1154" s="19" t="n">
        <x:f>SUM(D1154:F1154)</x:f>
        <x:v>3</x:v>
      </x:c>
      <x:c r="H1154" s="25" t="n">
        <x:v>1</x:v>
      </x:c>
      <x:c r="I1154" s="25" t="n">
        <x:v>1</x:v>
      </x:c>
      <x:c r="J1154" s="25" t="n">
        <x:v>2</x:v>
      </x:c>
      <x:c r="K1154" s="19" t="n">
        <x:f>D1154-IF(H1154=0,1,0)</x:f>
        <x:v>2</x:v>
      </x:c>
      <x:c r="L1154" s="19" t="n">
        <x:f>E1154-IF(H1154=1,1,0)</x:f>
        <x:v>0</x:v>
      </x:c>
      <x:c r="M1154" s="19" t="n">
        <x:f>F1154-IF(H1154=2,1,0)</x:f>
        <x:v>0</x:v>
      </x:c>
      <x:c r="N1154" s="19" t="n">
        <x:f>MAX(K1154-1,0)+MAX(L1154-1,0)+MAX(M1154-1,0)</x:f>
        <x:v>1</x:v>
      </x:c>
      <x:c r="O1154" s="19" t="n">
        <x:f>IF(AND(SUM(K1154:M1154)&lt;9,OR(M1154=0,N1154&lt;6)),1,0)</x:f>
        <x:v>1</x:v>
      </x:c>
      <x:c r="P1154" s="19" t="n">
        <x:f>IF(AND(SUM(K1154:M1154)&lt;9,OR(L1154=0,N1154&lt;6)),1,0)</x:f>
        <x:v>1</x:v>
      </x:c>
      <x:c r="Q1154" s="19" t="n">
        <x:f>IF(AND(SUM(K1154:M1154)&lt;9,OR(K1154=0,N1154&lt;6)),1,0)</x:f>
        <x:v>1</x:v>
      </x:c>
      <x:c r="R1154" s="22" t="str">
        <x:f>O1154&amp;P1154&amp;Q1154</x:f>
        <x:v>111</x:v>
      </x:c>
      <x:c r="S1154" s="19" t="n">
        <x:f>IF(I1154=1,IF(J1154=0,Q1154,IF(J1154=1,P1154,IF(J1154=2,O1154,0))),0)</x:f>
        <x:v>1</x:v>
      </x:c>
      <x:c r="T1154" s="19" t="n">
        <x:f>K1154+IF(AND(S1154=1,J1154=0),1,0)</x:f>
        <x:v>2</x:v>
      </x:c>
      <x:c r="U1154" s="19" t="n">
        <x:f>L1154+IF(AND(S1154=1,J1154=1),1,0)</x:f>
        <x:v>0</x:v>
      </x:c>
      <x:c r="V1154" s="19" t="n">
        <x:f>M1154+IF(AND(S1154=1,J1154=2),1,0)</x:f>
        <x:v>1</x:v>
      </x:c>
      <x:c r="W1154" s="19" t="n">
        <x:f>SUM(T1154:V1154)</x:f>
        <x:v>3</x:v>
      </x:c>
      <x:c r="X1154" s="19" t="n">
        <x:f>W1154-G1154</x:f>
        <x:v>0</x:v>
      </x:c>
      <x:c r="Y1154" s="19" t="n">
        <x:f>MAX(T1154,1)+MAX(U1154,1)+MAX(V1154,1)</x:f>
        <x:v>4</x:v>
      </x:c>
      <x:c r="Z1154" s="21" t="str">
        <x:f>IF(AND(MIN(D1154:F1154)&gt;=0,MAX(D1154:F1154)&lt;=7,MAX(D1154,1)+MAX(E1154,1)+MAX(F1154,1)&lt;=9,OR(H1154="-",AND(H1154=0,D1154&gt;0),AND(H1154=1,E1154&gt;0),AND(H1154=2,F1154&gt;0)),OR(I1154=0,AND(I1154=1,OR(J1154=0,J1154=1,J1154=2),R1154&lt;&gt;"000")),Y1154&lt;=9,MIN(T1154:V1154)&gt;=0),"合法","输入违约")</x:f>
        <x:v>合法</x:v>
      </x:c>
    </x:row>
    <x:row r="1155" ht="23" customHeight="1">
      <x:c r="A1155" s="3" t="str">
        <x:v>CT-1148</x:v>
      </x:c>
      <x:c r="B1155" s="3" t="str">
        <x:v>ST-031</x:v>
      </x:c>
      <x:c r="C1155" s="3" t="str">
        <x:v>无AR/R</x:v>
      </x:c>
      <x:c r="D1155" s="25" t="n">
        <x:v>2</x:v>
      </x:c>
      <x:c r="E1155" s="25" t="n">
        <x:v>1</x:v>
      </x:c>
      <x:c r="F1155" s="25" t="n">
        <x:v>1</x:v>
      </x:c>
      <x:c r="G1155" s="19" t="n">
        <x:f>SUM(D1155:F1155)</x:f>
        <x:v>4</x:v>
      </x:c>
      <x:c r="H1155" s="25" t="str">
        <x:v>-</x:v>
      </x:c>
      <x:c r="I1155" s="25" t="n">
        <x:v>0</x:v>
      </x:c>
      <x:c r="J1155" s="25" t="str">
        <x:v>-</x:v>
      </x:c>
      <x:c r="K1155" s="19" t="n">
        <x:f>D1155-IF(H1155=0,1,0)</x:f>
        <x:v>2</x:v>
      </x:c>
      <x:c r="L1155" s="19" t="n">
        <x:f>E1155-IF(H1155=1,1,0)</x:f>
        <x:v>1</x:v>
      </x:c>
      <x:c r="M1155" s="19" t="n">
        <x:f>F1155-IF(H1155=2,1,0)</x:f>
        <x:v>1</x:v>
      </x:c>
      <x:c r="N1155" s="19" t="n">
        <x:f>MAX(K1155-1,0)+MAX(L1155-1,0)+MAX(M1155-1,0)</x:f>
        <x:v>1</x:v>
      </x:c>
      <x:c r="O1155" s="19" t="n">
        <x:f>IF(AND(SUM(K1155:M1155)&lt;9,OR(M1155=0,N1155&lt;6)),1,0)</x:f>
        <x:v>1</x:v>
      </x:c>
      <x:c r="P1155" s="19" t="n">
        <x:f>IF(AND(SUM(K1155:M1155)&lt;9,OR(L1155=0,N1155&lt;6)),1,0)</x:f>
        <x:v>1</x:v>
      </x:c>
      <x:c r="Q1155" s="19" t="n">
        <x:f>IF(AND(SUM(K1155:M1155)&lt;9,OR(K1155=0,N1155&lt;6)),1,0)</x:f>
        <x:v>1</x:v>
      </x:c>
      <x:c r="R1155" s="22" t="str">
        <x:f>O1155&amp;P1155&amp;Q1155</x:f>
        <x:v>111</x:v>
      </x:c>
      <x:c r="S1155" s="19" t="n">
        <x:f>IF(I1155=1,IF(J1155=0,Q1155,IF(J1155=1,P1155,IF(J1155=2,O1155,0))),0)</x:f>
        <x:v>0</x:v>
      </x:c>
      <x:c r="T1155" s="19" t="n">
        <x:f>K1155+IF(AND(S1155=1,J1155=0),1,0)</x:f>
        <x:v>2</x:v>
      </x:c>
      <x:c r="U1155" s="19" t="n">
        <x:f>L1155+IF(AND(S1155=1,J1155=1),1,0)</x:f>
        <x:v>1</x:v>
      </x:c>
      <x:c r="V1155" s="19" t="n">
        <x:f>M1155+IF(AND(S1155=1,J1155=2),1,0)</x:f>
        <x:v>1</x:v>
      </x:c>
      <x:c r="W1155" s="19" t="n">
        <x:f>SUM(T1155:V1155)</x:f>
        <x:v>4</x:v>
      </x:c>
      <x:c r="X1155" s="19" t="n">
        <x:f>W1155-G1155</x:f>
        <x:v>0</x:v>
      </x:c>
      <x:c r="Y1155" s="19" t="n">
        <x:f>MAX(T1155,1)+MAX(U1155,1)+MAX(V1155,1)</x:f>
        <x:v>4</x:v>
      </x:c>
      <x:c r="Z1155" s="21" t="str">
        <x:f>IF(AND(MIN(D1155:F1155)&gt;=0,MAX(D1155:F1155)&lt;=7,MAX(D1155,1)+MAX(E1155,1)+MAX(F1155,1)&lt;=9,OR(H1155="-",AND(H1155=0,D1155&gt;0),AND(H1155=1,E1155&gt;0),AND(H1155=2,F1155&gt;0)),OR(I1155=0,AND(I1155=1,OR(J1155=0,J1155=1,J1155=2),R1155&lt;&gt;"000")),Y1155&lt;=9,MIN(T1155:V1155)&gt;=0),"合法","输入违约")</x:f>
        <x:v>合法</x:v>
      </x:c>
    </x:row>
    <x:row r="1156" ht="23" customHeight="1">
      <x:c r="A1156" s="3" t="str">
        <x:v>CT-1149</x:v>
      </x:c>
      <x:c r="B1156" s="3" t="str">
        <x:v>ST-031</x:v>
      </x:c>
      <x:c r="C1156" s="3" t="str">
        <x:v>仅AR接收</x:v>
      </x:c>
      <x:c r="D1156" s="25" t="n">
        <x:v>2</x:v>
      </x:c>
      <x:c r="E1156" s="25" t="n">
        <x:v>1</x:v>
      </x:c>
      <x:c r="F1156" s="25" t="n">
        <x:v>1</x:v>
      </x:c>
      <x:c r="G1156" s="19" t="n">
        <x:f>SUM(D1156:F1156)</x:f>
        <x:v>4</x:v>
      </x:c>
      <x:c r="H1156" s="25" t="str">
        <x:v>-</x:v>
      </x:c>
      <x:c r="I1156" s="25" t="n">
        <x:v>1</x:v>
      </x:c>
      <x:c r="J1156" s="25" t="n">
        <x:v>0</x:v>
      </x:c>
      <x:c r="K1156" s="19" t="n">
        <x:f>D1156-IF(H1156=0,1,0)</x:f>
        <x:v>2</x:v>
      </x:c>
      <x:c r="L1156" s="19" t="n">
        <x:f>E1156-IF(H1156=1,1,0)</x:f>
        <x:v>1</x:v>
      </x:c>
      <x:c r="M1156" s="19" t="n">
        <x:f>F1156-IF(H1156=2,1,0)</x:f>
        <x:v>1</x:v>
      </x:c>
      <x:c r="N1156" s="19" t="n">
        <x:f>MAX(K1156-1,0)+MAX(L1156-1,0)+MAX(M1156-1,0)</x:f>
        <x:v>1</x:v>
      </x:c>
      <x:c r="O1156" s="19" t="n">
        <x:f>IF(AND(SUM(K1156:M1156)&lt;9,OR(M1156=0,N1156&lt;6)),1,0)</x:f>
        <x:v>1</x:v>
      </x:c>
      <x:c r="P1156" s="19" t="n">
        <x:f>IF(AND(SUM(K1156:M1156)&lt;9,OR(L1156=0,N1156&lt;6)),1,0)</x:f>
        <x:v>1</x:v>
      </x:c>
      <x:c r="Q1156" s="19" t="n">
        <x:f>IF(AND(SUM(K1156:M1156)&lt;9,OR(K1156=0,N1156&lt;6)),1,0)</x:f>
        <x:v>1</x:v>
      </x:c>
      <x:c r="R1156" s="22" t="str">
        <x:f>O1156&amp;P1156&amp;Q1156</x:f>
        <x:v>111</x:v>
      </x:c>
      <x:c r="S1156" s="19" t="n">
        <x:f>IF(I1156=1,IF(J1156=0,Q1156,IF(J1156=1,P1156,IF(J1156=2,O1156,0))),0)</x:f>
        <x:v>1</x:v>
      </x:c>
      <x:c r="T1156" s="19" t="n">
        <x:f>K1156+IF(AND(S1156=1,J1156=0),1,0)</x:f>
        <x:v>3</x:v>
      </x:c>
      <x:c r="U1156" s="19" t="n">
        <x:f>L1156+IF(AND(S1156=1,J1156=1),1,0)</x:f>
        <x:v>1</x:v>
      </x:c>
      <x:c r="V1156" s="19" t="n">
        <x:f>M1156+IF(AND(S1156=1,J1156=2),1,0)</x:f>
        <x:v>1</x:v>
      </x:c>
      <x:c r="W1156" s="19" t="n">
        <x:f>SUM(T1156:V1156)</x:f>
        <x:v>5</x:v>
      </x:c>
      <x:c r="X1156" s="19" t="n">
        <x:f>W1156-G1156</x:f>
        <x:v>1</x:v>
      </x:c>
      <x:c r="Y1156" s="19" t="n">
        <x:f>MAX(T1156,1)+MAX(U1156,1)+MAX(V1156,1)</x:f>
        <x:v>5</x:v>
      </x:c>
      <x:c r="Z1156" s="21" t="str">
        <x:f>IF(AND(MIN(D1156:F1156)&gt;=0,MAX(D1156:F1156)&lt;=7,MAX(D1156,1)+MAX(E1156,1)+MAX(F1156,1)&lt;=9,OR(H1156="-",AND(H1156=0,D1156&gt;0),AND(H1156=1,E1156&gt;0),AND(H1156=2,F1156&gt;0)),OR(I1156=0,AND(I1156=1,OR(J1156=0,J1156=1,J1156=2),R1156&lt;&gt;"000")),Y1156&lt;=9,MIN(T1156:V1156)&gt;=0),"合法","输入违约")</x:f>
        <x:v>合法</x:v>
      </x:c>
    </x:row>
    <x:row r="1157" ht="23" customHeight="1">
      <x:c r="A1157" s="3" t="str">
        <x:v>CT-1150</x:v>
      </x:c>
      <x:c r="B1157" s="3" t="str">
        <x:v>ST-031</x:v>
      </x:c>
      <x:c r="C1157" s="3" t="str">
        <x:v>仅AR接收</x:v>
      </x:c>
      <x:c r="D1157" s="25" t="n">
        <x:v>2</x:v>
      </x:c>
      <x:c r="E1157" s="25" t="n">
        <x:v>1</x:v>
      </x:c>
      <x:c r="F1157" s="25" t="n">
        <x:v>1</x:v>
      </x:c>
      <x:c r="G1157" s="19" t="n">
        <x:f>SUM(D1157:F1157)</x:f>
        <x:v>4</x:v>
      </x:c>
      <x:c r="H1157" s="25" t="str">
        <x:v>-</x:v>
      </x:c>
      <x:c r="I1157" s="25" t="n">
        <x:v>1</x:v>
      </x:c>
      <x:c r="J1157" s="25" t="n">
        <x:v>1</x:v>
      </x:c>
      <x:c r="K1157" s="19" t="n">
        <x:f>D1157-IF(H1157=0,1,0)</x:f>
        <x:v>2</x:v>
      </x:c>
      <x:c r="L1157" s="19" t="n">
        <x:f>E1157-IF(H1157=1,1,0)</x:f>
        <x:v>1</x:v>
      </x:c>
      <x:c r="M1157" s="19" t="n">
        <x:f>F1157-IF(H1157=2,1,0)</x:f>
        <x:v>1</x:v>
      </x:c>
      <x:c r="N1157" s="19" t="n">
        <x:f>MAX(K1157-1,0)+MAX(L1157-1,0)+MAX(M1157-1,0)</x:f>
        <x:v>1</x:v>
      </x:c>
      <x:c r="O1157" s="19" t="n">
        <x:f>IF(AND(SUM(K1157:M1157)&lt;9,OR(M1157=0,N1157&lt;6)),1,0)</x:f>
        <x:v>1</x:v>
      </x:c>
      <x:c r="P1157" s="19" t="n">
        <x:f>IF(AND(SUM(K1157:M1157)&lt;9,OR(L1157=0,N1157&lt;6)),1,0)</x:f>
        <x:v>1</x:v>
      </x:c>
      <x:c r="Q1157" s="19" t="n">
        <x:f>IF(AND(SUM(K1157:M1157)&lt;9,OR(K1157=0,N1157&lt;6)),1,0)</x:f>
        <x:v>1</x:v>
      </x:c>
      <x:c r="R1157" s="22" t="str">
        <x:f>O1157&amp;P1157&amp;Q1157</x:f>
        <x:v>111</x:v>
      </x:c>
      <x:c r="S1157" s="19" t="n">
        <x:f>IF(I1157=1,IF(J1157=0,Q1157,IF(J1157=1,P1157,IF(J1157=2,O1157,0))),0)</x:f>
        <x:v>1</x:v>
      </x:c>
      <x:c r="T1157" s="19" t="n">
        <x:f>K1157+IF(AND(S1157=1,J1157=0),1,0)</x:f>
        <x:v>2</x:v>
      </x:c>
      <x:c r="U1157" s="19" t="n">
        <x:f>L1157+IF(AND(S1157=1,J1157=1),1,0)</x:f>
        <x:v>2</x:v>
      </x:c>
      <x:c r="V1157" s="19" t="n">
        <x:f>M1157+IF(AND(S1157=1,J1157=2),1,0)</x:f>
        <x:v>1</x:v>
      </x:c>
      <x:c r="W1157" s="19" t="n">
        <x:f>SUM(T1157:V1157)</x:f>
        <x:v>5</x:v>
      </x:c>
      <x:c r="X1157" s="19" t="n">
        <x:f>W1157-G1157</x:f>
        <x:v>1</x:v>
      </x:c>
      <x:c r="Y1157" s="19" t="n">
        <x:f>MAX(T1157,1)+MAX(U1157,1)+MAX(V1157,1)</x:f>
        <x:v>5</x:v>
      </x:c>
      <x:c r="Z1157" s="21" t="str">
        <x:f>IF(AND(MIN(D1157:F1157)&gt;=0,MAX(D1157:F1157)&lt;=7,MAX(D1157,1)+MAX(E1157,1)+MAX(F1157,1)&lt;=9,OR(H1157="-",AND(H1157=0,D1157&gt;0),AND(H1157=1,E1157&gt;0),AND(H1157=2,F1157&gt;0)),OR(I1157=0,AND(I1157=1,OR(J1157=0,J1157=1,J1157=2),R1157&lt;&gt;"000")),Y1157&lt;=9,MIN(T1157:V1157)&gt;=0),"合法","输入违约")</x:f>
        <x:v>合法</x:v>
      </x:c>
    </x:row>
    <x:row r="1158" ht="23" customHeight="1">
      <x:c r="A1158" s="3" t="str">
        <x:v>CT-1151</x:v>
      </x:c>
      <x:c r="B1158" s="3" t="str">
        <x:v>ST-031</x:v>
      </x:c>
      <x:c r="C1158" s="3" t="str">
        <x:v>仅AR接收</x:v>
      </x:c>
      <x:c r="D1158" s="25" t="n">
        <x:v>2</x:v>
      </x:c>
      <x:c r="E1158" s="25" t="n">
        <x:v>1</x:v>
      </x:c>
      <x:c r="F1158" s="25" t="n">
        <x:v>1</x:v>
      </x:c>
      <x:c r="G1158" s="19" t="n">
        <x:f>SUM(D1158:F1158)</x:f>
        <x:v>4</x:v>
      </x:c>
      <x:c r="H1158" s="25" t="str">
        <x:v>-</x:v>
      </x:c>
      <x:c r="I1158" s="25" t="n">
        <x:v>1</x:v>
      </x:c>
      <x:c r="J1158" s="25" t="n">
        <x:v>2</x:v>
      </x:c>
      <x:c r="K1158" s="19" t="n">
        <x:f>D1158-IF(H1158=0,1,0)</x:f>
        <x:v>2</x:v>
      </x:c>
      <x:c r="L1158" s="19" t="n">
        <x:f>E1158-IF(H1158=1,1,0)</x:f>
        <x:v>1</x:v>
      </x:c>
      <x:c r="M1158" s="19" t="n">
        <x:f>F1158-IF(H1158=2,1,0)</x:f>
        <x:v>1</x:v>
      </x:c>
      <x:c r="N1158" s="19" t="n">
        <x:f>MAX(K1158-1,0)+MAX(L1158-1,0)+MAX(M1158-1,0)</x:f>
        <x:v>1</x:v>
      </x:c>
      <x:c r="O1158" s="19" t="n">
        <x:f>IF(AND(SUM(K1158:M1158)&lt;9,OR(M1158=0,N1158&lt;6)),1,0)</x:f>
        <x:v>1</x:v>
      </x:c>
      <x:c r="P1158" s="19" t="n">
        <x:f>IF(AND(SUM(K1158:M1158)&lt;9,OR(L1158=0,N1158&lt;6)),1,0)</x:f>
        <x:v>1</x:v>
      </x:c>
      <x:c r="Q1158" s="19" t="n">
        <x:f>IF(AND(SUM(K1158:M1158)&lt;9,OR(K1158=0,N1158&lt;6)),1,0)</x:f>
        <x:v>1</x:v>
      </x:c>
      <x:c r="R1158" s="22" t="str">
        <x:f>O1158&amp;P1158&amp;Q1158</x:f>
        <x:v>111</x:v>
      </x:c>
      <x:c r="S1158" s="19" t="n">
        <x:f>IF(I1158=1,IF(J1158=0,Q1158,IF(J1158=1,P1158,IF(J1158=2,O1158,0))),0)</x:f>
        <x:v>1</x:v>
      </x:c>
      <x:c r="T1158" s="19" t="n">
        <x:f>K1158+IF(AND(S1158=1,J1158=0),1,0)</x:f>
        <x:v>2</x:v>
      </x:c>
      <x:c r="U1158" s="19" t="n">
        <x:f>L1158+IF(AND(S1158=1,J1158=1),1,0)</x:f>
        <x:v>1</x:v>
      </x:c>
      <x:c r="V1158" s="19" t="n">
        <x:f>M1158+IF(AND(S1158=1,J1158=2),1,0)</x:f>
        <x:v>2</x:v>
      </x:c>
      <x:c r="W1158" s="19" t="n">
        <x:f>SUM(T1158:V1158)</x:f>
        <x:v>5</x:v>
      </x:c>
      <x:c r="X1158" s="19" t="n">
        <x:f>W1158-G1158</x:f>
        <x:v>1</x:v>
      </x:c>
      <x:c r="Y1158" s="19" t="n">
        <x:f>MAX(T1158,1)+MAX(U1158,1)+MAX(V1158,1)</x:f>
        <x:v>5</x:v>
      </x:c>
      <x:c r="Z1158" s="21" t="str">
        <x:f>IF(AND(MIN(D1158:F1158)&gt;=0,MAX(D1158:F1158)&lt;=7,MAX(D1158,1)+MAX(E1158,1)+MAX(F1158,1)&lt;=9,OR(H1158="-",AND(H1158=0,D1158&gt;0),AND(H1158=1,E1158&gt;0),AND(H1158=2,F1158&gt;0)),OR(I1158=0,AND(I1158=1,OR(J1158=0,J1158=1,J1158=2),R1158&lt;&gt;"000")),Y1158&lt;=9,MIN(T1158:V1158)&gt;=0),"合法","输入违约")</x:f>
        <x:v>合法</x:v>
      </x:c>
    </x:row>
    <x:row r="1159" ht="23" customHeight="1">
      <x:c r="A1159" s="3" t="str">
        <x:v>CT-1152</x:v>
      </x:c>
      <x:c r="B1159" s="3" t="str">
        <x:v>ST-031</x:v>
      </x:c>
      <x:c r="C1159" s="3" t="str">
        <x:v>仅R回收</x:v>
      </x:c>
      <x:c r="D1159" s="25" t="n">
        <x:v>2</x:v>
      </x:c>
      <x:c r="E1159" s="25" t="n">
        <x:v>1</x:v>
      </x:c>
      <x:c r="F1159" s="25" t="n">
        <x:v>1</x:v>
      </x:c>
      <x:c r="G1159" s="19" t="n">
        <x:f>SUM(D1159:F1159)</x:f>
        <x:v>4</x:v>
      </x:c>
      <x:c r="H1159" s="25" t="n">
        <x:v>0</x:v>
      </x:c>
      <x:c r="I1159" s="25" t="n">
        <x:v>0</x:v>
      </x:c>
      <x:c r="J1159" s="25" t="str">
        <x:v>-</x:v>
      </x:c>
      <x:c r="K1159" s="19" t="n">
        <x:f>D1159-IF(H1159=0,1,0)</x:f>
        <x:v>1</x:v>
      </x:c>
      <x:c r="L1159" s="19" t="n">
        <x:f>E1159-IF(H1159=1,1,0)</x:f>
        <x:v>1</x:v>
      </x:c>
      <x:c r="M1159" s="19" t="n">
        <x:f>F1159-IF(H1159=2,1,0)</x:f>
        <x:v>1</x:v>
      </x:c>
      <x:c r="N1159" s="19" t="n">
        <x:f>MAX(K1159-1,0)+MAX(L1159-1,0)+MAX(M1159-1,0)</x:f>
        <x:v>0</x:v>
      </x:c>
      <x:c r="O1159" s="19" t="n">
        <x:f>IF(AND(SUM(K1159:M1159)&lt;9,OR(M1159=0,N1159&lt;6)),1,0)</x:f>
        <x:v>1</x:v>
      </x:c>
      <x:c r="P1159" s="19" t="n">
        <x:f>IF(AND(SUM(K1159:M1159)&lt;9,OR(L1159=0,N1159&lt;6)),1,0)</x:f>
        <x:v>1</x:v>
      </x:c>
      <x:c r="Q1159" s="19" t="n">
        <x:f>IF(AND(SUM(K1159:M1159)&lt;9,OR(K1159=0,N1159&lt;6)),1,0)</x:f>
        <x:v>1</x:v>
      </x:c>
      <x:c r="R1159" s="22" t="str">
        <x:f>O1159&amp;P1159&amp;Q1159</x:f>
        <x:v>111</x:v>
      </x:c>
      <x:c r="S1159" s="19" t="n">
        <x:f>IF(I1159=1,IF(J1159=0,Q1159,IF(J1159=1,P1159,IF(J1159=2,O1159,0))),0)</x:f>
        <x:v>0</x:v>
      </x:c>
      <x:c r="T1159" s="19" t="n">
        <x:f>K1159+IF(AND(S1159=1,J1159=0),1,0)</x:f>
        <x:v>1</x:v>
      </x:c>
      <x:c r="U1159" s="19" t="n">
        <x:f>L1159+IF(AND(S1159=1,J1159=1),1,0)</x:f>
        <x:v>1</x:v>
      </x:c>
      <x:c r="V1159" s="19" t="n">
        <x:f>M1159+IF(AND(S1159=1,J1159=2),1,0)</x:f>
        <x:v>1</x:v>
      </x:c>
      <x:c r="W1159" s="19" t="n">
        <x:f>SUM(T1159:V1159)</x:f>
        <x:v>3</x:v>
      </x:c>
      <x:c r="X1159" s="19" t="n">
        <x:f>W1159-G1159</x:f>
        <x:v>-1</x:v>
      </x:c>
      <x:c r="Y1159" s="19" t="n">
        <x:f>MAX(T1159,1)+MAX(U1159,1)+MAX(V1159,1)</x:f>
        <x:v>3</x:v>
      </x:c>
      <x:c r="Z1159" s="21" t="str">
        <x:f>IF(AND(MIN(D1159:F1159)&gt;=0,MAX(D1159:F1159)&lt;=7,MAX(D1159,1)+MAX(E1159,1)+MAX(F1159,1)&lt;=9,OR(H1159="-",AND(H1159=0,D1159&gt;0),AND(H1159=1,E1159&gt;0),AND(H1159=2,F1159&gt;0)),OR(I1159=0,AND(I1159=1,OR(J1159=0,J1159=1,J1159=2),R1159&lt;&gt;"000")),Y1159&lt;=9,MIN(T1159:V1159)&gt;=0),"合法","输入违约")</x:f>
        <x:v>合法</x:v>
      </x:c>
    </x:row>
    <x:row r="1160" ht="23" customHeight="1">
      <x:c r="A1160" s="3" t="str">
        <x:v>CT-1153</x:v>
      </x:c>
      <x:c r="B1160" s="3" t="str">
        <x:v>ST-031</x:v>
      </x:c>
      <x:c r="C1160" s="3" t="str">
        <x:v>R+AR同收同发</x:v>
      </x:c>
      <x:c r="D1160" s="25" t="n">
        <x:v>2</x:v>
      </x:c>
      <x:c r="E1160" s="25" t="n">
        <x:v>1</x:v>
      </x:c>
      <x:c r="F1160" s="25" t="n">
        <x:v>1</x:v>
      </x:c>
      <x:c r="G1160" s="19" t="n">
        <x:f>SUM(D1160:F1160)</x:f>
        <x:v>4</x:v>
      </x:c>
      <x:c r="H1160" s="25" t="n">
        <x:v>0</x:v>
      </x:c>
      <x:c r="I1160" s="25" t="n">
        <x:v>1</x:v>
      </x:c>
      <x:c r="J1160" s="25" t="n">
        <x:v>0</x:v>
      </x:c>
      <x:c r="K1160" s="19" t="n">
        <x:f>D1160-IF(H1160=0,1,0)</x:f>
        <x:v>1</x:v>
      </x:c>
      <x:c r="L1160" s="19" t="n">
        <x:f>E1160-IF(H1160=1,1,0)</x:f>
        <x:v>1</x:v>
      </x:c>
      <x:c r="M1160" s="19" t="n">
        <x:f>F1160-IF(H1160=2,1,0)</x:f>
        <x:v>1</x:v>
      </x:c>
      <x:c r="N1160" s="19" t="n">
        <x:f>MAX(K1160-1,0)+MAX(L1160-1,0)+MAX(M1160-1,0)</x:f>
        <x:v>0</x:v>
      </x:c>
      <x:c r="O1160" s="19" t="n">
        <x:f>IF(AND(SUM(K1160:M1160)&lt;9,OR(M1160=0,N1160&lt;6)),1,0)</x:f>
        <x:v>1</x:v>
      </x:c>
      <x:c r="P1160" s="19" t="n">
        <x:f>IF(AND(SUM(K1160:M1160)&lt;9,OR(L1160=0,N1160&lt;6)),1,0)</x:f>
        <x:v>1</x:v>
      </x:c>
      <x:c r="Q1160" s="19" t="n">
        <x:f>IF(AND(SUM(K1160:M1160)&lt;9,OR(K1160=0,N1160&lt;6)),1,0)</x:f>
        <x:v>1</x:v>
      </x:c>
      <x:c r="R1160" s="22" t="str">
        <x:f>O1160&amp;P1160&amp;Q1160</x:f>
        <x:v>111</x:v>
      </x:c>
      <x:c r="S1160" s="19" t="n">
        <x:f>IF(I1160=1,IF(J1160=0,Q1160,IF(J1160=1,P1160,IF(J1160=2,O1160,0))),0)</x:f>
        <x:v>1</x:v>
      </x:c>
      <x:c r="T1160" s="19" t="n">
        <x:f>K1160+IF(AND(S1160=1,J1160=0),1,0)</x:f>
        <x:v>2</x:v>
      </x:c>
      <x:c r="U1160" s="19" t="n">
        <x:f>L1160+IF(AND(S1160=1,J1160=1),1,0)</x:f>
        <x:v>1</x:v>
      </x:c>
      <x:c r="V1160" s="19" t="n">
        <x:f>M1160+IF(AND(S1160=1,J1160=2),1,0)</x:f>
        <x:v>1</x:v>
      </x:c>
      <x:c r="W1160" s="19" t="n">
        <x:f>SUM(T1160:V1160)</x:f>
        <x:v>4</x:v>
      </x:c>
      <x:c r="X1160" s="19" t="n">
        <x:f>W1160-G1160</x:f>
        <x:v>0</x:v>
      </x:c>
      <x:c r="Y1160" s="19" t="n">
        <x:f>MAX(T1160,1)+MAX(U1160,1)+MAX(V1160,1)</x:f>
        <x:v>4</x:v>
      </x:c>
      <x:c r="Z1160" s="21" t="str">
        <x:f>IF(AND(MIN(D1160:F1160)&gt;=0,MAX(D1160:F1160)&lt;=7,MAX(D1160,1)+MAX(E1160,1)+MAX(F1160,1)&lt;=9,OR(H1160="-",AND(H1160=0,D1160&gt;0),AND(H1160=1,E1160&gt;0),AND(H1160=2,F1160&gt;0)),OR(I1160=0,AND(I1160=1,OR(J1160=0,J1160=1,J1160=2),R1160&lt;&gt;"000")),Y1160&lt;=9,MIN(T1160:V1160)&gt;=0),"合法","输入违约")</x:f>
        <x:v>合法</x:v>
      </x:c>
    </x:row>
    <x:row r="1161" ht="23" customHeight="1">
      <x:c r="A1161" s="3" t="str">
        <x:v>CT-1154</x:v>
      </x:c>
      <x:c r="B1161" s="3" t="str">
        <x:v>ST-031</x:v>
      </x:c>
      <x:c r="C1161" s="3" t="str">
        <x:v>R+AR同收同发</x:v>
      </x:c>
      <x:c r="D1161" s="25" t="n">
        <x:v>2</x:v>
      </x:c>
      <x:c r="E1161" s="25" t="n">
        <x:v>1</x:v>
      </x:c>
      <x:c r="F1161" s="25" t="n">
        <x:v>1</x:v>
      </x:c>
      <x:c r="G1161" s="19" t="n">
        <x:f>SUM(D1161:F1161)</x:f>
        <x:v>4</x:v>
      </x:c>
      <x:c r="H1161" s="25" t="n">
        <x:v>0</x:v>
      </x:c>
      <x:c r="I1161" s="25" t="n">
        <x:v>1</x:v>
      </x:c>
      <x:c r="J1161" s="25" t="n">
        <x:v>1</x:v>
      </x:c>
      <x:c r="K1161" s="19" t="n">
        <x:f>D1161-IF(H1161=0,1,0)</x:f>
        <x:v>1</x:v>
      </x:c>
      <x:c r="L1161" s="19" t="n">
        <x:f>E1161-IF(H1161=1,1,0)</x:f>
        <x:v>1</x:v>
      </x:c>
      <x:c r="M1161" s="19" t="n">
        <x:f>F1161-IF(H1161=2,1,0)</x:f>
        <x:v>1</x:v>
      </x:c>
      <x:c r="N1161" s="19" t="n">
        <x:f>MAX(K1161-1,0)+MAX(L1161-1,0)+MAX(M1161-1,0)</x:f>
        <x:v>0</x:v>
      </x:c>
      <x:c r="O1161" s="19" t="n">
        <x:f>IF(AND(SUM(K1161:M1161)&lt;9,OR(M1161=0,N1161&lt;6)),1,0)</x:f>
        <x:v>1</x:v>
      </x:c>
      <x:c r="P1161" s="19" t="n">
        <x:f>IF(AND(SUM(K1161:M1161)&lt;9,OR(L1161=0,N1161&lt;6)),1,0)</x:f>
        <x:v>1</x:v>
      </x:c>
      <x:c r="Q1161" s="19" t="n">
        <x:f>IF(AND(SUM(K1161:M1161)&lt;9,OR(K1161=0,N1161&lt;6)),1,0)</x:f>
        <x:v>1</x:v>
      </x:c>
      <x:c r="R1161" s="22" t="str">
        <x:f>O1161&amp;P1161&amp;Q1161</x:f>
        <x:v>111</x:v>
      </x:c>
      <x:c r="S1161" s="19" t="n">
        <x:f>IF(I1161=1,IF(J1161=0,Q1161,IF(J1161=1,P1161,IF(J1161=2,O1161,0))),0)</x:f>
        <x:v>1</x:v>
      </x:c>
      <x:c r="T1161" s="19" t="n">
        <x:f>K1161+IF(AND(S1161=1,J1161=0),1,0)</x:f>
        <x:v>1</x:v>
      </x:c>
      <x:c r="U1161" s="19" t="n">
        <x:f>L1161+IF(AND(S1161=1,J1161=1),1,0)</x:f>
        <x:v>2</x:v>
      </x:c>
      <x:c r="V1161" s="19" t="n">
        <x:f>M1161+IF(AND(S1161=1,J1161=2),1,0)</x:f>
        <x:v>1</x:v>
      </x:c>
      <x:c r="W1161" s="19" t="n">
        <x:f>SUM(T1161:V1161)</x:f>
        <x:v>4</x:v>
      </x:c>
      <x:c r="X1161" s="19" t="n">
        <x:f>W1161-G1161</x:f>
        <x:v>0</x:v>
      </x:c>
      <x:c r="Y1161" s="19" t="n">
        <x:f>MAX(T1161,1)+MAX(U1161,1)+MAX(V1161,1)</x:f>
        <x:v>4</x:v>
      </x:c>
      <x:c r="Z1161" s="21" t="str">
        <x:f>IF(AND(MIN(D1161:F1161)&gt;=0,MAX(D1161:F1161)&lt;=7,MAX(D1161,1)+MAX(E1161,1)+MAX(F1161,1)&lt;=9,OR(H1161="-",AND(H1161=0,D1161&gt;0),AND(H1161=1,E1161&gt;0),AND(H1161=2,F1161&gt;0)),OR(I1161=0,AND(I1161=1,OR(J1161=0,J1161=1,J1161=2),R1161&lt;&gt;"000")),Y1161&lt;=9,MIN(T1161:V1161)&gt;=0),"合法","输入违约")</x:f>
        <x:v>合法</x:v>
      </x:c>
    </x:row>
    <x:row r="1162" ht="23" customHeight="1">
      <x:c r="A1162" s="3" t="str">
        <x:v>CT-1155</x:v>
      </x:c>
      <x:c r="B1162" s="3" t="str">
        <x:v>ST-031</x:v>
      </x:c>
      <x:c r="C1162" s="3" t="str">
        <x:v>R+AR同收同发</x:v>
      </x:c>
      <x:c r="D1162" s="25" t="n">
        <x:v>2</x:v>
      </x:c>
      <x:c r="E1162" s="25" t="n">
        <x:v>1</x:v>
      </x:c>
      <x:c r="F1162" s="25" t="n">
        <x:v>1</x:v>
      </x:c>
      <x:c r="G1162" s="19" t="n">
        <x:f>SUM(D1162:F1162)</x:f>
        <x:v>4</x:v>
      </x:c>
      <x:c r="H1162" s="25" t="n">
        <x:v>0</x:v>
      </x:c>
      <x:c r="I1162" s="25" t="n">
        <x:v>1</x:v>
      </x:c>
      <x:c r="J1162" s="25" t="n">
        <x:v>2</x:v>
      </x:c>
      <x:c r="K1162" s="19" t="n">
        <x:f>D1162-IF(H1162=0,1,0)</x:f>
        <x:v>1</x:v>
      </x:c>
      <x:c r="L1162" s="19" t="n">
        <x:f>E1162-IF(H1162=1,1,0)</x:f>
        <x:v>1</x:v>
      </x:c>
      <x:c r="M1162" s="19" t="n">
        <x:f>F1162-IF(H1162=2,1,0)</x:f>
        <x:v>1</x:v>
      </x:c>
      <x:c r="N1162" s="19" t="n">
        <x:f>MAX(K1162-1,0)+MAX(L1162-1,0)+MAX(M1162-1,0)</x:f>
        <x:v>0</x:v>
      </x:c>
      <x:c r="O1162" s="19" t="n">
        <x:f>IF(AND(SUM(K1162:M1162)&lt;9,OR(M1162=0,N1162&lt;6)),1,0)</x:f>
        <x:v>1</x:v>
      </x:c>
      <x:c r="P1162" s="19" t="n">
        <x:f>IF(AND(SUM(K1162:M1162)&lt;9,OR(L1162=0,N1162&lt;6)),1,0)</x:f>
        <x:v>1</x:v>
      </x:c>
      <x:c r="Q1162" s="19" t="n">
        <x:f>IF(AND(SUM(K1162:M1162)&lt;9,OR(K1162=0,N1162&lt;6)),1,0)</x:f>
        <x:v>1</x:v>
      </x:c>
      <x:c r="R1162" s="22" t="str">
        <x:f>O1162&amp;P1162&amp;Q1162</x:f>
        <x:v>111</x:v>
      </x:c>
      <x:c r="S1162" s="19" t="n">
        <x:f>IF(I1162=1,IF(J1162=0,Q1162,IF(J1162=1,P1162,IF(J1162=2,O1162,0))),0)</x:f>
        <x:v>1</x:v>
      </x:c>
      <x:c r="T1162" s="19" t="n">
        <x:f>K1162+IF(AND(S1162=1,J1162=0),1,0)</x:f>
        <x:v>1</x:v>
      </x:c>
      <x:c r="U1162" s="19" t="n">
        <x:f>L1162+IF(AND(S1162=1,J1162=1),1,0)</x:f>
        <x:v>1</x:v>
      </x:c>
      <x:c r="V1162" s="19" t="n">
        <x:f>M1162+IF(AND(S1162=1,J1162=2),1,0)</x:f>
        <x:v>2</x:v>
      </x:c>
      <x:c r="W1162" s="19" t="n">
        <x:f>SUM(T1162:V1162)</x:f>
        <x:v>4</x:v>
      </x:c>
      <x:c r="X1162" s="19" t="n">
        <x:f>W1162-G1162</x:f>
        <x:v>0</x:v>
      </x:c>
      <x:c r="Y1162" s="19" t="n">
        <x:f>MAX(T1162,1)+MAX(U1162,1)+MAX(V1162,1)</x:f>
        <x:v>4</x:v>
      </x:c>
      <x:c r="Z1162" s="21" t="str">
        <x:f>IF(AND(MIN(D1162:F1162)&gt;=0,MAX(D1162:F1162)&lt;=7,MAX(D1162,1)+MAX(E1162,1)+MAX(F1162,1)&lt;=9,OR(H1162="-",AND(H1162=0,D1162&gt;0),AND(H1162=1,E1162&gt;0),AND(H1162=2,F1162&gt;0)),OR(I1162=0,AND(I1162=1,OR(J1162=0,J1162=1,J1162=2),R1162&lt;&gt;"000")),Y1162&lt;=9,MIN(T1162:V1162)&gt;=0),"合法","输入违约")</x:f>
        <x:v>合法</x:v>
      </x:c>
    </x:row>
    <x:row r="1163" ht="23" customHeight="1">
      <x:c r="A1163" s="3" t="str">
        <x:v>CT-1156</x:v>
      </x:c>
      <x:c r="B1163" s="3" t="str">
        <x:v>ST-031</x:v>
      </x:c>
      <x:c r="C1163" s="3" t="str">
        <x:v>仅R回收</x:v>
      </x:c>
      <x:c r="D1163" s="25" t="n">
        <x:v>2</x:v>
      </x:c>
      <x:c r="E1163" s="25" t="n">
        <x:v>1</x:v>
      </x:c>
      <x:c r="F1163" s="25" t="n">
        <x:v>1</x:v>
      </x:c>
      <x:c r="G1163" s="19" t="n">
        <x:f>SUM(D1163:F1163)</x:f>
        <x:v>4</x:v>
      </x:c>
      <x:c r="H1163" s="25" t="n">
        <x:v>1</x:v>
      </x:c>
      <x:c r="I1163" s="25" t="n">
        <x:v>0</x:v>
      </x:c>
      <x:c r="J1163" s="25" t="str">
        <x:v>-</x:v>
      </x:c>
      <x:c r="K1163" s="19" t="n">
        <x:f>D1163-IF(H1163=0,1,0)</x:f>
        <x:v>2</x:v>
      </x:c>
      <x:c r="L1163" s="19" t="n">
        <x:f>E1163-IF(H1163=1,1,0)</x:f>
        <x:v>0</x:v>
      </x:c>
      <x:c r="M1163" s="19" t="n">
        <x:f>F1163-IF(H1163=2,1,0)</x:f>
        <x:v>1</x:v>
      </x:c>
      <x:c r="N1163" s="19" t="n">
        <x:f>MAX(K1163-1,0)+MAX(L1163-1,0)+MAX(M1163-1,0)</x:f>
        <x:v>1</x:v>
      </x:c>
      <x:c r="O1163" s="19" t="n">
        <x:f>IF(AND(SUM(K1163:M1163)&lt;9,OR(M1163=0,N1163&lt;6)),1,0)</x:f>
        <x:v>1</x:v>
      </x:c>
      <x:c r="P1163" s="19" t="n">
        <x:f>IF(AND(SUM(K1163:M1163)&lt;9,OR(L1163=0,N1163&lt;6)),1,0)</x:f>
        <x:v>1</x:v>
      </x:c>
      <x:c r="Q1163" s="19" t="n">
        <x:f>IF(AND(SUM(K1163:M1163)&lt;9,OR(K1163=0,N1163&lt;6)),1,0)</x:f>
        <x:v>1</x:v>
      </x:c>
      <x:c r="R1163" s="22" t="str">
        <x:f>O1163&amp;P1163&amp;Q1163</x:f>
        <x:v>111</x:v>
      </x:c>
      <x:c r="S1163" s="19" t="n">
        <x:f>IF(I1163=1,IF(J1163=0,Q1163,IF(J1163=1,P1163,IF(J1163=2,O1163,0))),0)</x:f>
        <x:v>0</x:v>
      </x:c>
      <x:c r="T1163" s="19" t="n">
        <x:f>K1163+IF(AND(S1163=1,J1163=0),1,0)</x:f>
        <x:v>2</x:v>
      </x:c>
      <x:c r="U1163" s="19" t="n">
        <x:f>L1163+IF(AND(S1163=1,J1163=1),1,0)</x:f>
        <x:v>0</x:v>
      </x:c>
      <x:c r="V1163" s="19" t="n">
        <x:f>M1163+IF(AND(S1163=1,J1163=2),1,0)</x:f>
        <x:v>1</x:v>
      </x:c>
      <x:c r="W1163" s="19" t="n">
        <x:f>SUM(T1163:V1163)</x:f>
        <x:v>3</x:v>
      </x:c>
      <x:c r="X1163" s="19" t="n">
        <x:f>W1163-G1163</x:f>
        <x:v>-1</x:v>
      </x:c>
      <x:c r="Y1163" s="19" t="n">
        <x:f>MAX(T1163,1)+MAX(U1163,1)+MAX(V1163,1)</x:f>
        <x:v>4</x:v>
      </x:c>
      <x:c r="Z1163" s="21" t="str">
        <x:f>IF(AND(MIN(D1163:F1163)&gt;=0,MAX(D1163:F1163)&lt;=7,MAX(D1163,1)+MAX(E1163,1)+MAX(F1163,1)&lt;=9,OR(H1163="-",AND(H1163=0,D1163&gt;0),AND(H1163=1,E1163&gt;0),AND(H1163=2,F1163&gt;0)),OR(I1163=0,AND(I1163=1,OR(J1163=0,J1163=1,J1163=2),R1163&lt;&gt;"000")),Y1163&lt;=9,MIN(T1163:V1163)&gt;=0),"合法","输入违约")</x:f>
        <x:v>合法</x:v>
      </x:c>
    </x:row>
    <x:row r="1164" ht="23" customHeight="1">
      <x:c r="A1164" s="3" t="str">
        <x:v>CT-1157</x:v>
      </x:c>
      <x:c r="B1164" s="3" t="str">
        <x:v>ST-031</x:v>
      </x:c>
      <x:c r="C1164" s="3" t="str">
        <x:v>R+AR同收同发</x:v>
      </x:c>
      <x:c r="D1164" s="25" t="n">
        <x:v>2</x:v>
      </x:c>
      <x:c r="E1164" s="25" t="n">
        <x:v>1</x:v>
      </x:c>
      <x:c r="F1164" s="25" t="n">
        <x:v>1</x:v>
      </x:c>
      <x:c r="G1164" s="19" t="n">
        <x:f>SUM(D1164:F1164)</x:f>
        <x:v>4</x:v>
      </x:c>
      <x:c r="H1164" s="25" t="n">
        <x:v>1</x:v>
      </x:c>
      <x:c r="I1164" s="25" t="n">
        <x:v>1</x:v>
      </x:c>
      <x:c r="J1164" s="25" t="n">
        <x:v>0</x:v>
      </x:c>
      <x:c r="K1164" s="19" t="n">
        <x:f>D1164-IF(H1164=0,1,0)</x:f>
        <x:v>2</x:v>
      </x:c>
      <x:c r="L1164" s="19" t="n">
        <x:f>E1164-IF(H1164=1,1,0)</x:f>
        <x:v>0</x:v>
      </x:c>
      <x:c r="M1164" s="19" t="n">
        <x:f>F1164-IF(H1164=2,1,0)</x:f>
        <x:v>1</x:v>
      </x:c>
      <x:c r="N1164" s="19" t="n">
        <x:f>MAX(K1164-1,0)+MAX(L1164-1,0)+MAX(M1164-1,0)</x:f>
        <x:v>1</x:v>
      </x:c>
      <x:c r="O1164" s="19" t="n">
        <x:f>IF(AND(SUM(K1164:M1164)&lt;9,OR(M1164=0,N1164&lt;6)),1,0)</x:f>
        <x:v>1</x:v>
      </x:c>
      <x:c r="P1164" s="19" t="n">
        <x:f>IF(AND(SUM(K1164:M1164)&lt;9,OR(L1164=0,N1164&lt;6)),1,0)</x:f>
        <x:v>1</x:v>
      </x:c>
      <x:c r="Q1164" s="19" t="n">
        <x:f>IF(AND(SUM(K1164:M1164)&lt;9,OR(K1164=0,N1164&lt;6)),1,0)</x:f>
        <x:v>1</x:v>
      </x:c>
      <x:c r="R1164" s="22" t="str">
        <x:f>O1164&amp;P1164&amp;Q1164</x:f>
        <x:v>111</x:v>
      </x:c>
      <x:c r="S1164" s="19" t="n">
        <x:f>IF(I1164=1,IF(J1164=0,Q1164,IF(J1164=1,P1164,IF(J1164=2,O1164,0))),0)</x:f>
        <x:v>1</x:v>
      </x:c>
      <x:c r="T1164" s="19" t="n">
        <x:f>K1164+IF(AND(S1164=1,J1164=0),1,0)</x:f>
        <x:v>3</x:v>
      </x:c>
      <x:c r="U1164" s="19" t="n">
        <x:f>L1164+IF(AND(S1164=1,J1164=1),1,0)</x:f>
        <x:v>0</x:v>
      </x:c>
      <x:c r="V1164" s="19" t="n">
        <x:f>M1164+IF(AND(S1164=1,J1164=2),1,0)</x:f>
        <x:v>1</x:v>
      </x:c>
      <x:c r="W1164" s="19" t="n">
        <x:f>SUM(T1164:V1164)</x:f>
        <x:v>4</x:v>
      </x:c>
      <x:c r="X1164" s="19" t="n">
        <x:f>W1164-G1164</x:f>
        <x:v>0</x:v>
      </x:c>
      <x:c r="Y1164" s="19" t="n">
        <x:f>MAX(T1164,1)+MAX(U1164,1)+MAX(V1164,1)</x:f>
        <x:v>5</x:v>
      </x:c>
      <x:c r="Z1164" s="21" t="str">
        <x:f>IF(AND(MIN(D1164:F1164)&gt;=0,MAX(D1164:F1164)&lt;=7,MAX(D1164,1)+MAX(E1164,1)+MAX(F1164,1)&lt;=9,OR(H1164="-",AND(H1164=0,D1164&gt;0),AND(H1164=1,E1164&gt;0),AND(H1164=2,F1164&gt;0)),OR(I1164=0,AND(I1164=1,OR(J1164=0,J1164=1,J1164=2),R1164&lt;&gt;"000")),Y1164&lt;=9,MIN(T1164:V1164)&gt;=0),"合法","输入违约")</x:f>
        <x:v>合法</x:v>
      </x:c>
    </x:row>
    <x:row r="1165" ht="23" customHeight="1">
      <x:c r="A1165" s="3" t="str">
        <x:v>CT-1158</x:v>
      </x:c>
      <x:c r="B1165" s="3" t="str">
        <x:v>ST-031</x:v>
      </x:c>
      <x:c r="C1165" s="3" t="str">
        <x:v>R+AR同收同发</x:v>
      </x:c>
      <x:c r="D1165" s="25" t="n">
        <x:v>2</x:v>
      </x:c>
      <x:c r="E1165" s="25" t="n">
        <x:v>1</x:v>
      </x:c>
      <x:c r="F1165" s="25" t="n">
        <x:v>1</x:v>
      </x:c>
      <x:c r="G1165" s="19" t="n">
        <x:f>SUM(D1165:F1165)</x:f>
        <x:v>4</x:v>
      </x:c>
      <x:c r="H1165" s="25" t="n">
        <x:v>1</x:v>
      </x:c>
      <x:c r="I1165" s="25" t="n">
        <x:v>1</x:v>
      </x:c>
      <x:c r="J1165" s="25" t="n">
        <x:v>1</x:v>
      </x:c>
      <x:c r="K1165" s="19" t="n">
        <x:f>D1165-IF(H1165=0,1,0)</x:f>
        <x:v>2</x:v>
      </x:c>
      <x:c r="L1165" s="19" t="n">
        <x:f>E1165-IF(H1165=1,1,0)</x:f>
        <x:v>0</x:v>
      </x:c>
      <x:c r="M1165" s="19" t="n">
        <x:f>F1165-IF(H1165=2,1,0)</x:f>
        <x:v>1</x:v>
      </x:c>
      <x:c r="N1165" s="19" t="n">
        <x:f>MAX(K1165-1,0)+MAX(L1165-1,0)+MAX(M1165-1,0)</x:f>
        <x:v>1</x:v>
      </x:c>
      <x:c r="O1165" s="19" t="n">
        <x:f>IF(AND(SUM(K1165:M1165)&lt;9,OR(M1165=0,N1165&lt;6)),1,0)</x:f>
        <x:v>1</x:v>
      </x:c>
      <x:c r="P1165" s="19" t="n">
        <x:f>IF(AND(SUM(K1165:M1165)&lt;9,OR(L1165=0,N1165&lt;6)),1,0)</x:f>
        <x:v>1</x:v>
      </x:c>
      <x:c r="Q1165" s="19" t="n">
        <x:f>IF(AND(SUM(K1165:M1165)&lt;9,OR(K1165=0,N1165&lt;6)),1,0)</x:f>
        <x:v>1</x:v>
      </x:c>
      <x:c r="R1165" s="22" t="str">
        <x:f>O1165&amp;P1165&amp;Q1165</x:f>
        <x:v>111</x:v>
      </x:c>
      <x:c r="S1165" s="19" t="n">
        <x:f>IF(I1165=1,IF(J1165=0,Q1165,IF(J1165=1,P1165,IF(J1165=2,O1165,0))),0)</x:f>
        <x:v>1</x:v>
      </x:c>
      <x:c r="T1165" s="19" t="n">
        <x:f>K1165+IF(AND(S1165=1,J1165=0),1,0)</x:f>
        <x:v>2</x:v>
      </x:c>
      <x:c r="U1165" s="19" t="n">
        <x:f>L1165+IF(AND(S1165=1,J1165=1),1,0)</x:f>
        <x:v>1</x:v>
      </x:c>
      <x:c r="V1165" s="19" t="n">
        <x:f>M1165+IF(AND(S1165=1,J1165=2),1,0)</x:f>
        <x:v>1</x:v>
      </x:c>
      <x:c r="W1165" s="19" t="n">
        <x:f>SUM(T1165:V1165)</x:f>
        <x:v>4</x:v>
      </x:c>
      <x:c r="X1165" s="19" t="n">
        <x:f>W1165-G1165</x:f>
        <x:v>0</x:v>
      </x:c>
      <x:c r="Y1165" s="19" t="n">
        <x:f>MAX(T1165,1)+MAX(U1165,1)+MAX(V1165,1)</x:f>
        <x:v>4</x:v>
      </x:c>
      <x:c r="Z1165" s="21" t="str">
        <x:f>IF(AND(MIN(D1165:F1165)&gt;=0,MAX(D1165:F1165)&lt;=7,MAX(D1165,1)+MAX(E1165,1)+MAX(F1165,1)&lt;=9,OR(H1165="-",AND(H1165=0,D1165&gt;0),AND(H1165=1,E1165&gt;0),AND(H1165=2,F1165&gt;0)),OR(I1165=0,AND(I1165=1,OR(J1165=0,J1165=1,J1165=2),R1165&lt;&gt;"000")),Y1165&lt;=9,MIN(T1165:V1165)&gt;=0),"合法","输入违约")</x:f>
        <x:v>合法</x:v>
      </x:c>
    </x:row>
    <x:row r="1166" ht="23" customHeight="1">
      <x:c r="A1166" s="3" t="str">
        <x:v>CT-1159</x:v>
      </x:c>
      <x:c r="B1166" s="3" t="str">
        <x:v>ST-031</x:v>
      </x:c>
      <x:c r="C1166" s="3" t="str">
        <x:v>R+AR同收同发</x:v>
      </x:c>
      <x:c r="D1166" s="25" t="n">
        <x:v>2</x:v>
      </x:c>
      <x:c r="E1166" s="25" t="n">
        <x:v>1</x:v>
      </x:c>
      <x:c r="F1166" s="25" t="n">
        <x:v>1</x:v>
      </x:c>
      <x:c r="G1166" s="19" t="n">
        <x:f>SUM(D1166:F1166)</x:f>
        <x:v>4</x:v>
      </x:c>
      <x:c r="H1166" s="25" t="n">
        <x:v>1</x:v>
      </x:c>
      <x:c r="I1166" s="25" t="n">
        <x:v>1</x:v>
      </x:c>
      <x:c r="J1166" s="25" t="n">
        <x:v>2</x:v>
      </x:c>
      <x:c r="K1166" s="19" t="n">
        <x:f>D1166-IF(H1166=0,1,0)</x:f>
        <x:v>2</x:v>
      </x:c>
      <x:c r="L1166" s="19" t="n">
        <x:f>E1166-IF(H1166=1,1,0)</x:f>
        <x:v>0</x:v>
      </x:c>
      <x:c r="M1166" s="19" t="n">
        <x:f>F1166-IF(H1166=2,1,0)</x:f>
        <x:v>1</x:v>
      </x:c>
      <x:c r="N1166" s="19" t="n">
        <x:f>MAX(K1166-1,0)+MAX(L1166-1,0)+MAX(M1166-1,0)</x:f>
        <x:v>1</x:v>
      </x:c>
      <x:c r="O1166" s="19" t="n">
        <x:f>IF(AND(SUM(K1166:M1166)&lt;9,OR(M1166=0,N1166&lt;6)),1,0)</x:f>
        <x:v>1</x:v>
      </x:c>
      <x:c r="P1166" s="19" t="n">
        <x:f>IF(AND(SUM(K1166:M1166)&lt;9,OR(L1166=0,N1166&lt;6)),1,0)</x:f>
        <x:v>1</x:v>
      </x:c>
      <x:c r="Q1166" s="19" t="n">
        <x:f>IF(AND(SUM(K1166:M1166)&lt;9,OR(K1166=0,N1166&lt;6)),1,0)</x:f>
        <x:v>1</x:v>
      </x:c>
      <x:c r="R1166" s="22" t="str">
        <x:f>O1166&amp;P1166&amp;Q1166</x:f>
        <x:v>111</x:v>
      </x:c>
      <x:c r="S1166" s="19" t="n">
        <x:f>IF(I1166=1,IF(J1166=0,Q1166,IF(J1166=1,P1166,IF(J1166=2,O1166,0))),0)</x:f>
        <x:v>1</x:v>
      </x:c>
      <x:c r="T1166" s="19" t="n">
        <x:f>K1166+IF(AND(S1166=1,J1166=0),1,0)</x:f>
        <x:v>2</x:v>
      </x:c>
      <x:c r="U1166" s="19" t="n">
        <x:f>L1166+IF(AND(S1166=1,J1166=1),1,0)</x:f>
        <x:v>0</x:v>
      </x:c>
      <x:c r="V1166" s="19" t="n">
        <x:f>M1166+IF(AND(S1166=1,J1166=2),1,0)</x:f>
        <x:v>2</x:v>
      </x:c>
      <x:c r="W1166" s="19" t="n">
        <x:f>SUM(T1166:V1166)</x:f>
        <x:v>4</x:v>
      </x:c>
      <x:c r="X1166" s="19" t="n">
        <x:f>W1166-G1166</x:f>
        <x:v>0</x:v>
      </x:c>
      <x:c r="Y1166" s="19" t="n">
        <x:f>MAX(T1166,1)+MAX(U1166,1)+MAX(V1166,1)</x:f>
        <x:v>5</x:v>
      </x:c>
      <x:c r="Z1166" s="21" t="str">
        <x:f>IF(AND(MIN(D1166:F1166)&gt;=0,MAX(D1166:F1166)&lt;=7,MAX(D1166,1)+MAX(E1166,1)+MAX(F1166,1)&lt;=9,OR(H1166="-",AND(H1166=0,D1166&gt;0),AND(H1166=1,E1166&gt;0),AND(H1166=2,F1166&gt;0)),OR(I1166=0,AND(I1166=1,OR(J1166=0,J1166=1,J1166=2),R1166&lt;&gt;"000")),Y1166&lt;=9,MIN(T1166:V1166)&gt;=0),"合法","输入违约")</x:f>
        <x:v>合法</x:v>
      </x:c>
    </x:row>
    <x:row r="1167" ht="23" customHeight="1">
      <x:c r="A1167" s="3" t="str">
        <x:v>CT-1160</x:v>
      </x:c>
      <x:c r="B1167" s="3" t="str">
        <x:v>ST-031</x:v>
      </x:c>
      <x:c r="C1167" s="3" t="str">
        <x:v>仅R回收</x:v>
      </x:c>
      <x:c r="D1167" s="25" t="n">
        <x:v>2</x:v>
      </x:c>
      <x:c r="E1167" s="25" t="n">
        <x:v>1</x:v>
      </x:c>
      <x:c r="F1167" s="25" t="n">
        <x:v>1</x:v>
      </x:c>
      <x:c r="G1167" s="19" t="n">
        <x:f>SUM(D1167:F1167)</x:f>
        <x:v>4</x:v>
      </x:c>
      <x:c r="H1167" s="25" t="n">
        <x:v>2</x:v>
      </x:c>
      <x:c r="I1167" s="25" t="n">
        <x:v>0</x:v>
      </x:c>
      <x:c r="J1167" s="25" t="str">
        <x:v>-</x:v>
      </x:c>
      <x:c r="K1167" s="19" t="n">
        <x:f>D1167-IF(H1167=0,1,0)</x:f>
        <x:v>2</x:v>
      </x:c>
      <x:c r="L1167" s="19" t="n">
        <x:f>E1167-IF(H1167=1,1,0)</x:f>
        <x:v>1</x:v>
      </x:c>
      <x:c r="M1167" s="19" t="n">
        <x:f>F1167-IF(H1167=2,1,0)</x:f>
        <x:v>0</x:v>
      </x:c>
      <x:c r="N1167" s="19" t="n">
        <x:f>MAX(K1167-1,0)+MAX(L1167-1,0)+MAX(M1167-1,0)</x:f>
        <x:v>1</x:v>
      </x:c>
      <x:c r="O1167" s="19" t="n">
        <x:f>IF(AND(SUM(K1167:M1167)&lt;9,OR(M1167=0,N1167&lt;6)),1,0)</x:f>
        <x:v>1</x:v>
      </x:c>
      <x:c r="P1167" s="19" t="n">
        <x:f>IF(AND(SUM(K1167:M1167)&lt;9,OR(L1167=0,N1167&lt;6)),1,0)</x:f>
        <x:v>1</x:v>
      </x:c>
      <x:c r="Q1167" s="19" t="n">
        <x:f>IF(AND(SUM(K1167:M1167)&lt;9,OR(K1167=0,N1167&lt;6)),1,0)</x:f>
        <x:v>1</x:v>
      </x:c>
      <x:c r="R1167" s="22" t="str">
        <x:f>O1167&amp;P1167&amp;Q1167</x:f>
        <x:v>111</x:v>
      </x:c>
      <x:c r="S1167" s="19" t="n">
        <x:f>IF(I1167=1,IF(J1167=0,Q1167,IF(J1167=1,P1167,IF(J1167=2,O1167,0))),0)</x:f>
        <x:v>0</x:v>
      </x:c>
      <x:c r="T1167" s="19" t="n">
        <x:f>K1167+IF(AND(S1167=1,J1167=0),1,0)</x:f>
        <x:v>2</x:v>
      </x:c>
      <x:c r="U1167" s="19" t="n">
        <x:f>L1167+IF(AND(S1167=1,J1167=1),1,0)</x:f>
        <x:v>1</x:v>
      </x:c>
      <x:c r="V1167" s="19" t="n">
        <x:f>M1167+IF(AND(S1167=1,J1167=2),1,0)</x:f>
        <x:v>0</x:v>
      </x:c>
      <x:c r="W1167" s="19" t="n">
        <x:f>SUM(T1167:V1167)</x:f>
        <x:v>3</x:v>
      </x:c>
      <x:c r="X1167" s="19" t="n">
        <x:f>W1167-G1167</x:f>
        <x:v>-1</x:v>
      </x:c>
      <x:c r="Y1167" s="19" t="n">
        <x:f>MAX(T1167,1)+MAX(U1167,1)+MAX(V1167,1)</x:f>
        <x:v>4</x:v>
      </x:c>
      <x:c r="Z1167" s="21" t="str">
        <x:f>IF(AND(MIN(D1167:F1167)&gt;=0,MAX(D1167:F1167)&lt;=7,MAX(D1167,1)+MAX(E1167,1)+MAX(F1167,1)&lt;=9,OR(H1167="-",AND(H1167=0,D1167&gt;0),AND(H1167=1,E1167&gt;0),AND(H1167=2,F1167&gt;0)),OR(I1167=0,AND(I1167=1,OR(J1167=0,J1167=1,J1167=2),R1167&lt;&gt;"000")),Y1167&lt;=9,MIN(T1167:V1167)&gt;=0),"合法","输入违约")</x:f>
        <x:v>合法</x:v>
      </x:c>
    </x:row>
    <x:row r="1168" ht="23" customHeight="1">
      <x:c r="A1168" s="3" t="str">
        <x:v>CT-1161</x:v>
      </x:c>
      <x:c r="B1168" s="3" t="str">
        <x:v>ST-031</x:v>
      </x:c>
      <x:c r="C1168" s="3" t="str">
        <x:v>R+AR同收同发</x:v>
      </x:c>
      <x:c r="D1168" s="25" t="n">
        <x:v>2</x:v>
      </x:c>
      <x:c r="E1168" s="25" t="n">
        <x:v>1</x:v>
      </x:c>
      <x:c r="F1168" s="25" t="n">
        <x:v>1</x:v>
      </x:c>
      <x:c r="G1168" s="19" t="n">
        <x:f>SUM(D1168:F1168)</x:f>
        <x:v>4</x:v>
      </x:c>
      <x:c r="H1168" s="25" t="n">
        <x:v>2</x:v>
      </x:c>
      <x:c r="I1168" s="25" t="n">
        <x:v>1</x:v>
      </x:c>
      <x:c r="J1168" s="25" t="n">
        <x:v>0</x:v>
      </x:c>
      <x:c r="K1168" s="19" t="n">
        <x:f>D1168-IF(H1168=0,1,0)</x:f>
        <x:v>2</x:v>
      </x:c>
      <x:c r="L1168" s="19" t="n">
        <x:f>E1168-IF(H1168=1,1,0)</x:f>
        <x:v>1</x:v>
      </x:c>
      <x:c r="M1168" s="19" t="n">
        <x:f>F1168-IF(H1168=2,1,0)</x:f>
        <x:v>0</x:v>
      </x:c>
      <x:c r="N1168" s="19" t="n">
        <x:f>MAX(K1168-1,0)+MAX(L1168-1,0)+MAX(M1168-1,0)</x:f>
        <x:v>1</x:v>
      </x:c>
      <x:c r="O1168" s="19" t="n">
        <x:f>IF(AND(SUM(K1168:M1168)&lt;9,OR(M1168=0,N1168&lt;6)),1,0)</x:f>
        <x:v>1</x:v>
      </x:c>
      <x:c r="P1168" s="19" t="n">
        <x:f>IF(AND(SUM(K1168:M1168)&lt;9,OR(L1168=0,N1168&lt;6)),1,0)</x:f>
        <x:v>1</x:v>
      </x:c>
      <x:c r="Q1168" s="19" t="n">
        <x:f>IF(AND(SUM(K1168:M1168)&lt;9,OR(K1168=0,N1168&lt;6)),1,0)</x:f>
        <x:v>1</x:v>
      </x:c>
      <x:c r="R1168" s="22" t="str">
        <x:f>O1168&amp;P1168&amp;Q1168</x:f>
        <x:v>111</x:v>
      </x:c>
      <x:c r="S1168" s="19" t="n">
        <x:f>IF(I1168=1,IF(J1168=0,Q1168,IF(J1168=1,P1168,IF(J1168=2,O1168,0))),0)</x:f>
        <x:v>1</x:v>
      </x:c>
      <x:c r="T1168" s="19" t="n">
        <x:f>K1168+IF(AND(S1168=1,J1168=0),1,0)</x:f>
        <x:v>3</x:v>
      </x:c>
      <x:c r="U1168" s="19" t="n">
        <x:f>L1168+IF(AND(S1168=1,J1168=1),1,0)</x:f>
        <x:v>1</x:v>
      </x:c>
      <x:c r="V1168" s="19" t="n">
        <x:f>M1168+IF(AND(S1168=1,J1168=2),1,0)</x:f>
        <x:v>0</x:v>
      </x:c>
      <x:c r="W1168" s="19" t="n">
        <x:f>SUM(T1168:V1168)</x:f>
        <x:v>4</x:v>
      </x:c>
      <x:c r="X1168" s="19" t="n">
        <x:f>W1168-G1168</x:f>
        <x:v>0</x:v>
      </x:c>
      <x:c r="Y1168" s="19" t="n">
        <x:f>MAX(T1168,1)+MAX(U1168,1)+MAX(V1168,1)</x:f>
        <x:v>5</x:v>
      </x:c>
      <x:c r="Z1168" s="21" t="str">
        <x:f>IF(AND(MIN(D1168:F1168)&gt;=0,MAX(D1168:F1168)&lt;=7,MAX(D1168,1)+MAX(E1168,1)+MAX(F1168,1)&lt;=9,OR(H1168="-",AND(H1168=0,D1168&gt;0),AND(H1168=1,E1168&gt;0),AND(H1168=2,F1168&gt;0)),OR(I1168=0,AND(I1168=1,OR(J1168=0,J1168=1,J1168=2),R1168&lt;&gt;"000")),Y1168&lt;=9,MIN(T1168:V1168)&gt;=0),"合法","输入违约")</x:f>
        <x:v>合法</x:v>
      </x:c>
    </x:row>
    <x:row r="1169" ht="23" customHeight="1">
      <x:c r="A1169" s="3" t="str">
        <x:v>CT-1162</x:v>
      </x:c>
      <x:c r="B1169" s="3" t="str">
        <x:v>ST-031</x:v>
      </x:c>
      <x:c r="C1169" s="3" t="str">
        <x:v>R+AR同收同发</x:v>
      </x:c>
      <x:c r="D1169" s="25" t="n">
        <x:v>2</x:v>
      </x:c>
      <x:c r="E1169" s="25" t="n">
        <x:v>1</x:v>
      </x:c>
      <x:c r="F1169" s="25" t="n">
        <x:v>1</x:v>
      </x:c>
      <x:c r="G1169" s="19" t="n">
        <x:f>SUM(D1169:F1169)</x:f>
        <x:v>4</x:v>
      </x:c>
      <x:c r="H1169" s="25" t="n">
        <x:v>2</x:v>
      </x:c>
      <x:c r="I1169" s="25" t="n">
        <x:v>1</x:v>
      </x:c>
      <x:c r="J1169" s="25" t="n">
        <x:v>1</x:v>
      </x:c>
      <x:c r="K1169" s="19" t="n">
        <x:f>D1169-IF(H1169=0,1,0)</x:f>
        <x:v>2</x:v>
      </x:c>
      <x:c r="L1169" s="19" t="n">
        <x:f>E1169-IF(H1169=1,1,0)</x:f>
        <x:v>1</x:v>
      </x:c>
      <x:c r="M1169" s="19" t="n">
        <x:f>F1169-IF(H1169=2,1,0)</x:f>
        <x:v>0</x:v>
      </x:c>
      <x:c r="N1169" s="19" t="n">
        <x:f>MAX(K1169-1,0)+MAX(L1169-1,0)+MAX(M1169-1,0)</x:f>
        <x:v>1</x:v>
      </x:c>
      <x:c r="O1169" s="19" t="n">
        <x:f>IF(AND(SUM(K1169:M1169)&lt;9,OR(M1169=0,N1169&lt;6)),1,0)</x:f>
        <x:v>1</x:v>
      </x:c>
      <x:c r="P1169" s="19" t="n">
        <x:f>IF(AND(SUM(K1169:M1169)&lt;9,OR(L1169=0,N1169&lt;6)),1,0)</x:f>
        <x:v>1</x:v>
      </x:c>
      <x:c r="Q1169" s="19" t="n">
        <x:f>IF(AND(SUM(K1169:M1169)&lt;9,OR(K1169=0,N1169&lt;6)),1,0)</x:f>
        <x:v>1</x:v>
      </x:c>
      <x:c r="R1169" s="22" t="str">
        <x:f>O1169&amp;P1169&amp;Q1169</x:f>
        <x:v>111</x:v>
      </x:c>
      <x:c r="S1169" s="19" t="n">
        <x:f>IF(I1169=1,IF(J1169=0,Q1169,IF(J1169=1,P1169,IF(J1169=2,O1169,0))),0)</x:f>
        <x:v>1</x:v>
      </x:c>
      <x:c r="T1169" s="19" t="n">
        <x:f>K1169+IF(AND(S1169=1,J1169=0),1,0)</x:f>
        <x:v>2</x:v>
      </x:c>
      <x:c r="U1169" s="19" t="n">
        <x:f>L1169+IF(AND(S1169=1,J1169=1),1,0)</x:f>
        <x:v>2</x:v>
      </x:c>
      <x:c r="V1169" s="19" t="n">
        <x:f>M1169+IF(AND(S1169=1,J1169=2),1,0)</x:f>
        <x:v>0</x:v>
      </x:c>
      <x:c r="W1169" s="19" t="n">
        <x:f>SUM(T1169:V1169)</x:f>
        <x:v>4</x:v>
      </x:c>
      <x:c r="X1169" s="19" t="n">
        <x:f>W1169-G1169</x:f>
        <x:v>0</x:v>
      </x:c>
      <x:c r="Y1169" s="19" t="n">
        <x:f>MAX(T1169,1)+MAX(U1169,1)+MAX(V1169,1)</x:f>
        <x:v>5</x:v>
      </x:c>
      <x:c r="Z1169" s="21" t="str">
        <x:f>IF(AND(MIN(D1169:F1169)&gt;=0,MAX(D1169:F1169)&lt;=7,MAX(D1169,1)+MAX(E1169,1)+MAX(F1169,1)&lt;=9,OR(H1169="-",AND(H1169=0,D1169&gt;0),AND(H1169=1,E1169&gt;0),AND(H1169=2,F1169&gt;0)),OR(I1169=0,AND(I1169=1,OR(J1169=0,J1169=1,J1169=2),R1169&lt;&gt;"000")),Y1169&lt;=9,MIN(T1169:V1169)&gt;=0),"合法","输入违约")</x:f>
        <x:v>合法</x:v>
      </x:c>
    </x:row>
    <x:row r="1170" ht="23" customHeight="1">
      <x:c r="A1170" s="3" t="str">
        <x:v>CT-1163</x:v>
      </x:c>
      <x:c r="B1170" s="3" t="str">
        <x:v>ST-031</x:v>
      </x:c>
      <x:c r="C1170" s="3" t="str">
        <x:v>R+AR同收同发</x:v>
      </x:c>
      <x:c r="D1170" s="25" t="n">
        <x:v>2</x:v>
      </x:c>
      <x:c r="E1170" s="25" t="n">
        <x:v>1</x:v>
      </x:c>
      <x:c r="F1170" s="25" t="n">
        <x:v>1</x:v>
      </x:c>
      <x:c r="G1170" s="19" t="n">
        <x:f>SUM(D1170:F1170)</x:f>
        <x:v>4</x:v>
      </x:c>
      <x:c r="H1170" s="25" t="n">
        <x:v>2</x:v>
      </x:c>
      <x:c r="I1170" s="25" t="n">
        <x:v>1</x:v>
      </x:c>
      <x:c r="J1170" s="25" t="n">
        <x:v>2</x:v>
      </x:c>
      <x:c r="K1170" s="19" t="n">
        <x:f>D1170-IF(H1170=0,1,0)</x:f>
        <x:v>2</x:v>
      </x:c>
      <x:c r="L1170" s="19" t="n">
        <x:f>E1170-IF(H1170=1,1,0)</x:f>
        <x:v>1</x:v>
      </x:c>
      <x:c r="M1170" s="19" t="n">
        <x:f>F1170-IF(H1170=2,1,0)</x:f>
        <x:v>0</x:v>
      </x:c>
      <x:c r="N1170" s="19" t="n">
        <x:f>MAX(K1170-1,0)+MAX(L1170-1,0)+MAX(M1170-1,0)</x:f>
        <x:v>1</x:v>
      </x:c>
      <x:c r="O1170" s="19" t="n">
        <x:f>IF(AND(SUM(K1170:M1170)&lt;9,OR(M1170=0,N1170&lt;6)),1,0)</x:f>
        <x:v>1</x:v>
      </x:c>
      <x:c r="P1170" s="19" t="n">
        <x:f>IF(AND(SUM(K1170:M1170)&lt;9,OR(L1170=0,N1170&lt;6)),1,0)</x:f>
        <x:v>1</x:v>
      </x:c>
      <x:c r="Q1170" s="19" t="n">
        <x:f>IF(AND(SUM(K1170:M1170)&lt;9,OR(K1170=0,N1170&lt;6)),1,0)</x:f>
        <x:v>1</x:v>
      </x:c>
      <x:c r="R1170" s="22" t="str">
        <x:f>O1170&amp;P1170&amp;Q1170</x:f>
        <x:v>111</x:v>
      </x:c>
      <x:c r="S1170" s="19" t="n">
        <x:f>IF(I1170=1,IF(J1170=0,Q1170,IF(J1170=1,P1170,IF(J1170=2,O1170,0))),0)</x:f>
        <x:v>1</x:v>
      </x:c>
      <x:c r="T1170" s="19" t="n">
        <x:f>K1170+IF(AND(S1170=1,J1170=0),1,0)</x:f>
        <x:v>2</x:v>
      </x:c>
      <x:c r="U1170" s="19" t="n">
        <x:f>L1170+IF(AND(S1170=1,J1170=1),1,0)</x:f>
        <x:v>1</x:v>
      </x:c>
      <x:c r="V1170" s="19" t="n">
        <x:f>M1170+IF(AND(S1170=1,J1170=2),1,0)</x:f>
        <x:v>1</x:v>
      </x:c>
      <x:c r="W1170" s="19" t="n">
        <x:f>SUM(T1170:V1170)</x:f>
        <x:v>4</x:v>
      </x:c>
      <x:c r="X1170" s="19" t="n">
        <x:f>W1170-G1170</x:f>
        <x:v>0</x:v>
      </x:c>
      <x:c r="Y1170" s="19" t="n">
        <x:f>MAX(T1170,1)+MAX(U1170,1)+MAX(V1170,1)</x:f>
        <x:v>4</x:v>
      </x:c>
      <x:c r="Z1170" s="21" t="str">
        <x:f>IF(AND(MIN(D1170:F1170)&gt;=0,MAX(D1170:F1170)&lt;=7,MAX(D1170,1)+MAX(E1170,1)+MAX(F1170,1)&lt;=9,OR(H1170="-",AND(H1170=0,D1170&gt;0),AND(H1170=1,E1170&gt;0),AND(H1170=2,F1170&gt;0)),OR(I1170=0,AND(I1170=1,OR(J1170=0,J1170=1,J1170=2),R1170&lt;&gt;"000")),Y1170&lt;=9,MIN(T1170:V1170)&gt;=0),"合法","输入违约")</x:f>
        <x:v>合法</x:v>
      </x:c>
    </x:row>
    <x:row r="1171" ht="23" customHeight="1">
      <x:c r="A1171" s="3" t="str">
        <x:v>CT-1164</x:v>
      </x:c>
      <x:c r="B1171" s="3" t="str">
        <x:v>ST-048</x:v>
      </x:c>
      <x:c r="C1171" s="3" t="str">
        <x:v>无AR/R</x:v>
      </x:c>
      <x:c r="D1171" s="25" t="n">
        <x:v>2</x:v>
      </x:c>
      <x:c r="E1171" s="25" t="n">
        <x:v>1</x:v>
      </x:c>
      <x:c r="F1171" s="25" t="n">
        <x:v>2</x:v>
      </x:c>
      <x:c r="G1171" s="19" t="n">
        <x:f>SUM(D1171:F1171)</x:f>
        <x:v>5</x:v>
      </x:c>
      <x:c r="H1171" s="25" t="str">
        <x:v>-</x:v>
      </x:c>
      <x:c r="I1171" s="25" t="n">
        <x:v>0</x:v>
      </x:c>
      <x:c r="J1171" s="25" t="str">
        <x:v>-</x:v>
      </x:c>
      <x:c r="K1171" s="19" t="n">
        <x:f>D1171-IF(H1171=0,1,0)</x:f>
        <x:v>2</x:v>
      </x:c>
      <x:c r="L1171" s="19" t="n">
        <x:f>E1171-IF(H1171=1,1,0)</x:f>
        <x:v>1</x:v>
      </x:c>
      <x:c r="M1171" s="19" t="n">
        <x:f>F1171-IF(H1171=2,1,0)</x:f>
        <x:v>2</x:v>
      </x:c>
      <x:c r="N1171" s="19" t="n">
        <x:f>MAX(K1171-1,0)+MAX(L1171-1,0)+MAX(M1171-1,0)</x:f>
        <x:v>2</x:v>
      </x:c>
      <x:c r="O1171" s="19" t="n">
        <x:f>IF(AND(SUM(K1171:M1171)&lt;9,OR(M1171=0,N1171&lt;6)),1,0)</x:f>
        <x:v>1</x:v>
      </x:c>
      <x:c r="P1171" s="19" t="n">
        <x:f>IF(AND(SUM(K1171:M1171)&lt;9,OR(L1171=0,N1171&lt;6)),1,0)</x:f>
        <x:v>1</x:v>
      </x:c>
      <x:c r="Q1171" s="19" t="n">
        <x:f>IF(AND(SUM(K1171:M1171)&lt;9,OR(K1171=0,N1171&lt;6)),1,0)</x:f>
        <x:v>1</x:v>
      </x:c>
      <x:c r="R1171" s="22" t="str">
        <x:f>O1171&amp;P1171&amp;Q1171</x:f>
        <x:v>111</x:v>
      </x:c>
      <x:c r="S1171" s="19" t="n">
        <x:f>IF(I1171=1,IF(J1171=0,Q1171,IF(J1171=1,P1171,IF(J1171=2,O1171,0))),0)</x:f>
        <x:v>0</x:v>
      </x:c>
      <x:c r="T1171" s="19" t="n">
        <x:f>K1171+IF(AND(S1171=1,J1171=0),1,0)</x:f>
        <x:v>2</x:v>
      </x:c>
      <x:c r="U1171" s="19" t="n">
        <x:f>L1171+IF(AND(S1171=1,J1171=1),1,0)</x:f>
        <x:v>1</x:v>
      </x:c>
      <x:c r="V1171" s="19" t="n">
        <x:f>M1171+IF(AND(S1171=1,J1171=2),1,0)</x:f>
        <x:v>2</x:v>
      </x:c>
      <x:c r="W1171" s="19" t="n">
        <x:f>SUM(T1171:V1171)</x:f>
        <x:v>5</x:v>
      </x:c>
      <x:c r="X1171" s="19" t="n">
        <x:f>W1171-G1171</x:f>
        <x:v>0</x:v>
      </x:c>
      <x:c r="Y1171" s="19" t="n">
        <x:f>MAX(T1171,1)+MAX(U1171,1)+MAX(V1171,1)</x:f>
        <x:v>5</x:v>
      </x:c>
      <x:c r="Z1171" s="21" t="str">
        <x:f>IF(AND(MIN(D1171:F1171)&gt;=0,MAX(D1171:F1171)&lt;=7,MAX(D1171,1)+MAX(E1171,1)+MAX(F1171,1)&lt;=9,OR(H1171="-",AND(H1171=0,D1171&gt;0),AND(H1171=1,E1171&gt;0),AND(H1171=2,F1171&gt;0)),OR(I1171=0,AND(I1171=1,OR(J1171=0,J1171=1,J1171=2),R1171&lt;&gt;"000")),Y1171&lt;=9,MIN(T1171:V1171)&gt;=0),"合法","输入违约")</x:f>
        <x:v>合法</x:v>
      </x:c>
    </x:row>
    <x:row r="1172" ht="23" customHeight="1">
      <x:c r="A1172" s="3" t="str">
        <x:v>CT-1165</x:v>
      </x:c>
      <x:c r="B1172" s="3" t="str">
        <x:v>ST-048</x:v>
      </x:c>
      <x:c r="C1172" s="3" t="str">
        <x:v>仅AR接收</x:v>
      </x:c>
      <x:c r="D1172" s="25" t="n">
        <x:v>2</x:v>
      </x:c>
      <x:c r="E1172" s="25" t="n">
        <x:v>1</x:v>
      </x:c>
      <x:c r="F1172" s="25" t="n">
        <x:v>2</x:v>
      </x:c>
      <x:c r="G1172" s="19" t="n">
        <x:f>SUM(D1172:F1172)</x:f>
        <x:v>5</x:v>
      </x:c>
      <x:c r="H1172" s="25" t="str">
        <x:v>-</x:v>
      </x:c>
      <x:c r="I1172" s="25" t="n">
        <x:v>1</x:v>
      </x:c>
      <x:c r="J1172" s="25" t="n">
        <x:v>0</x:v>
      </x:c>
      <x:c r="K1172" s="19" t="n">
        <x:f>D1172-IF(H1172=0,1,0)</x:f>
        <x:v>2</x:v>
      </x:c>
      <x:c r="L1172" s="19" t="n">
        <x:f>E1172-IF(H1172=1,1,0)</x:f>
        <x:v>1</x:v>
      </x:c>
      <x:c r="M1172" s="19" t="n">
        <x:f>F1172-IF(H1172=2,1,0)</x:f>
        <x:v>2</x:v>
      </x:c>
      <x:c r="N1172" s="19" t="n">
        <x:f>MAX(K1172-1,0)+MAX(L1172-1,0)+MAX(M1172-1,0)</x:f>
        <x:v>2</x:v>
      </x:c>
      <x:c r="O1172" s="19" t="n">
        <x:f>IF(AND(SUM(K1172:M1172)&lt;9,OR(M1172=0,N1172&lt;6)),1,0)</x:f>
        <x:v>1</x:v>
      </x:c>
      <x:c r="P1172" s="19" t="n">
        <x:f>IF(AND(SUM(K1172:M1172)&lt;9,OR(L1172=0,N1172&lt;6)),1,0)</x:f>
        <x:v>1</x:v>
      </x:c>
      <x:c r="Q1172" s="19" t="n">
        <x:f>IF(AND(SUM(K1172:M1172)&lt;9,OR(K1172=0,N1172&lt;6)),1,0)</x:f>
        <x:v>1</x:v>
      </x:c>
      <x:c r="R1172" s="22" t="str">
        <x:f>O1172&amp;P1172&amp;Q1172</x:f>
        <x:v>111</x:v>
      </x:c>
      <x:c r="S1172" s="19" t="n">
        <x:f>IF(I1172=1,IF(J1172=0,Q1172,IF(J1172=1,P1172,IF(J1172=2,O1172,0))),0)</x:f>
        <x:v>1</x:v>
      </x:c>
      <x:c r="T1172" s="19" t="n">
        <x:f>K1172+IF(AND(S1172=1,J1172=0),1,0)</x:f>
        <x:v>3</x:v>
      </x:c>
      <x:c r="U1172" s="19" t="n">
        <x:f>L1172+IF(AND(S1172=1,J1172=1),1,0)</x:f>
        <x:v>1</x:v>
      </x:c>
      <x:c r="V1172" s="19" t="n">
        <x:f>M1172+IF(AND(S1172=1,J1172=2),1,0)</x:f>
        <x:v>2</x:v>
      </x:c>
      <x:c r="W1172" s="19" t="n">
        <x:f>SUM(T1172:V1172)</x:f>
        <x:v>6</x:v>
      </x:c>
      <x:c r="X1172" s="19" t="n">
        <x:f>W1172-G1172</x:f>
        <x:v>1</x:v>
      </x:c>
      <x:c r="Y1172" s="19" t="n">
        <x:f>MAX(T1172,1)+MAX(U1172,1)+MAX(V1172,1)</x:f>
        <x:v>6</x:v>
      </x:c>
      <x:c r="Z1172" s="21" t="str">
        <x:f>IF(AND(MIN(D1172:F1172)&gt;=0,MAX(D1172:F1172)&lt;=7,MAX(D1172,1)+MAX(E1172,1)+MAX(F1172,1)&lt;=9,OR(H1172="-",AND(H1172=0,D1172&gt;0),AND(H1172=1,E1172&gt;0),AND(H1172=2,F1172&gt;0)),OR(I1172=0,AND(I1172=1,OR(J1172=0,J1172=1,J1172=2),R1172&lt;&gt;"000")),Y1172&lt;=9,MIN(T1172:V1172)&gt;=0),"合法","输入违约")</x:f>
        <x:v>合法</x:v>
      </x:c>
    </x:row>
    <x:row r="1173" ht="23" customHeight="1">
      <x:c r="A1173" s="3" t="str">
        <x:v>CT-1166</x:v>
      </x:c>
      <x:c r="B1173" s="3" t="str">
        <x:v>ST-048</x:v>
      </x:c>
      <x:c r="C1173" s="3" t="str">
        <x:v>仅AR接收</x:v>
      </x:c>
      <x:c r="D1173" s="25" t="n">
        <x:v>2</x:v>
      </x:c>
      <x:c r="E1173" s="25" t="n">
        <x:v>1</x:v>
      </x:c>
      <x:c r="F1173" s="25" t="n">
        <x:v>2</x:v>
      </x:c>
      <x:c r="G1173" s="19" t="n">
        <x:f>SUM(D1173:F1173)</x:f>
        <x:v>5</x:v>
      </x:c>
      <x:c r="H1173" s="25" t="str">
        <x:v>-</x:v>
      </x:c>
      <x:c r="I1173" s="25" t="n">
        <x:v>1</x:v>
      </x:c>
      <x:c r="J1173" s="25" t="n">
        <x:v>1</x:v>
      </x:c>
      <x:c r="K1173" s="19" t="n">
        <x:f>D1173-IF(H1173=0,1,0)</x:f>
        <x:v>2</x:v>
      </x:c>
      <x:c r="L1173" s="19" t="n">
        <x:f>E1173-IF(H1173=1,1,0)</x:f>
        <x:v>1</x:v>
      </x:c>
      <x:c r="M1173" s="19" t="n">
        <x:f>F1173-IF(H1173=2,1,0)</x:f>
        <x:v>2</x:v>
      </x:c>
      <x:c r="N1173" s="19" t="n">
        <x:f>MAX(K1173-1,0)+MAX(L1173-1,0)+MAX(M1173-1,0)</x:f>
        <x:v>2</x:v>
      </x:c>
      <x:c r="O1173" s="19" t="n">
        <x:f>IF(AND(SUM(K1173:M1173)&lt;9,OR(M1173=0,N1173&lt;6)),1,0)</x:f>
        <x:v>1</x:v>
      </x:c>
      <x:c r="P1173" s="19" t="n">
        <x:f>IF(AND(SUM(K1173:M1173)&lt;9,OR(L1173=0,N1173&lt;6)),1,0)</x:f>
        <x:v>1</x:v>
      </x:c>
      <x:c r="Q1173" s="19" t="n">
        <x:f>IF(AND(SUM(K1173:M1173)&lt;9,OR(K1173=0,N1173&lt;6)),1,0)</x:f>
        <x:v>1</x:v>
      </x:c>
      <x:c r="R1173" s="22" t="str">
        <x:f>O1173&amp;P1173&amp;Q1173</x:f>
        <x:v>111</x:v>
      </x:c>
      <x:c r="S1173" s="19" t="n">
        <x:f>IF(I1173=1,IF(J1173=0,Q1173,IF(J1173=1,P1173,IF(J1173=2,O1173,0))),0)</x:f>
        <x:v>1</x:v>
      </x:c>
      <x:c r="T1173" s="19" t="n">
        <x:f>K1173+IF(AND(S1173=1,J1173=0),1,0)</x:f>
        <x:v>2</x:v>
      </x:c>
      <x:c r="U1173" s="19" t="n">
        <x:f>L1173+IF(AND(S1173=1,J1173=1),1,0)</x:f>
        <x:v>2</x:v>
      </x:c>
      <x:c r="V1173" s="19" t="n">
        <x:f>M1173+IF(AND(S1173=1,J1173=2),1,0)</x:f>
        <x:v>2</x:v>
      </x:c>
      <x:c r="W1173" s="19" t="n">
        <x:f>SUM(T1173:V1173)</x:f>
        <x:v>6</x:v>
      </x:c>
      <x:c r="X1173" s="19" t="n">
        <x:f>W1173-G1173</x:f>
        <x:v>1</x:v>
      </x:c>
      <x:c r="Y1173" s="19" t="n">
        <x:f>MAX(T1173,1)+MAX(U1173,1)+MAX(V1173,1)</x:f>
        <x:v>6</x:v>
      </x:c>
      <x:c r="Z1173" s="21" t="str">
        <x:f>IF(AND(MIN(D1173:F1173)&gt;=0,MAX(D1173:F1173)&lt;=7,MAX(D1173,1)+MAX(E1173,1)+MAX(F1173,1)&lt;=9,OR(H1173="-",AND(H1173=0,D1173&gt;0),AND(H1173=1,E1173&gt;0),AND(H1173=2,F1173&gt;0)),OR(I1173=0,AND(I1173=1,OR(J1173=0,J1173=1,J1173=2),R1173&lt;&gt;"000")),Y1173&lt;=9,MIN(T1173:V1173)&gt;=0),"合法","输入违约")</x:f>
        <x:v>合法</x:v>
      </x:c>
    </x:row>
    <x:row r="1174" ht="23" customHeight="1">
      <x:c r="A1174" s="3" t="str">
        <x:v>CT-1167</x:v>
      </x:c>
      <x:c r="B1174" s="3" t="str">
        <x:v>ST-048</x:v>
      </x:c>
      <x:c r="C1174" s="3" t="str">
        <x:v>仅AR接收</x:v>
      </x:c>
      <x:c r="D1174" s="25" t="n">
        <x:v>2</x:v>
      </x:c>
      <x:c r="E1174" s="25" t="n">
        <x:v>1</x:v>
      </x:c>
      <x:c r="F1174" s="25" t="n">
        <x:v>2</x:v>
      </x:c>
      <x:c r="G1174" s="19" t="n">
        <x:f>SUM(D1174:F1174)</x:f>
        <x:v>5</x:v>
      </x:c>
      <x:c r="H1174" s="25" t="str">
        <x:v>-</x:v>
      </x:c>
      <x:c r="I1174" s="25" t="n">
        <x:v>1</x:v>
      </x:c>
      <x:c r="J1174" s="25" t="n">
        <x:v>2</x:v>
      </x:c>
      <x:c r="K1174" s="19" t="n">
        <x:f>D1174-IF(H1174=0,1,0)</x:f>
        <x:v>2</x:v>
      </x:c>
      <x:c r="L1174" s="19" t="n">
        <x:f>E1174-IF(H1174=1,1,0)</x:f>
        <x:v>1</x:v>
      </x:c>
      <x:c r="M1174" s="19" t="n">
        <x:f>F1174-IF(H1174=2,1,0)</x:f>
        <x:v>2</x:v>
      </x:c>
      <x:c r="N1174" s="19" t="n">
        <x:f>MAX(K1174-1,0)+MAX(L1174-1,0)+MAX(M1174-1,0)</x:f>
        <x:v>2</x:v>
      </x:c>
      <x:c r="O1174" s="19" t="n">
        <x:f>IF(AND(SUM(K1174:M1174)&lt;9,OR(M1174=0,N1174&lt;6)),1,0)</x:f>
        <x:v>1</x:v>
      </x:c>
      <x:c r="P1174" s="19" t="n">
        <x:f>IF(AND(SUM(K1174:M1174)&lt;9,OR(L1174=0,N1174&lt;6)),1,0)</x:f>
        <x:v>1</x:v>
      </x:c>
      <x:c r="Q1174" s="19" t="n">
        <x:f>IF(AND(SUM(K1174:M1174)&lt;9,OR(K1174=0,N1174&lt;6)),1,0)</x:f>
        <x:v>1</x:v>
      </x:c>
      <x:c r="R1174" s="22" t="str">
        <x:f>O1174&amp;P1174&amp;Q1174</x:f>
        <x:v>111</x:v>
      </x:c>
      <x:c r="S1174" s="19" t="n">
        <x:f>IF(I1174=1,IF(J1174=0,Q1174,IF(J1174=1,P1174,IF(J1174=2,O1174,0))),0)</x:f>
        <x:v>1</x:v>
      </x:c>
      <x:c r="T1174" s="19" t="n">
        <x:f>K1174+IF(AND(S1174=1,J1174=0),1,0)</x:f>
        <x:v>2</x:v>
      </x:c>
      <x:c r="U1174" s="19" t="n">
        <x:f>L1174+IF(AND(S1174=1,J1174=1),1,0)</x:f>
        <x:v>1</x:v>
      </x:c>
      <x:c r="V1174" s="19" t="n">
        <x:f>M1174+IF(AND(S1174=1,J1174=2),1,0)</x:f>
        <x:v>3</x:v>
      </x:c>
      <x:c r="W1174" s="19" t="n">
        <x:f>SUM(T1174:V1174)</x:f>
        <x:v>6</x:v>
      </x:c>
      <x:c r="X1174" s="19" t="n">
        <x:f>W1174-G1174</x:f>
        <x:v>1</x:v>
      </x:c>
      <x:c r="Y1174" s="19" t="n">
        <x:f>MAX(T1174,1)+MAX(U1174,1)+MAX(V1174,1)</x:f>
        <x:v>6</x:v>
      </x:c>
      <x:c r="Z1174" s="21" t="str">
        <x:f>IF(AND(MIN(D1174:F1174)&gt;=0,MAX(D1174:F1174)&lt;=7,MAX(D1174,1)+MAX(E1174,1)+MAX(F1174,1)&lt;=9,OR(H1174="-",AND(H1174=0,D1174&gt;0),AND(H1174=1,E1174&gt;0),AND(H1174=2,F1174&gt;0)),OR(I1174=0,AND(I1174=1,OR(J1174=0,J1174=1,J1174=2),R1174&lt;&gt;"000")),Y1174&lt;=9,MIN(T1174:V1174)&gt;=0),"合法","输入违约")</x:f>
        <x:v>合法</x:v>
      </x:c>
    </x:row>
    <x:row r="1175" ht="23" customHeight="1">
      <x:c r="A1175" s="3" t="str">
        <x:v>CT-1168</x:v>
      </x:c>
      <x:c r="B1175" s="3" t="str">
        <x:v>ST-048</x:v>
      </x:c>
      <x:c r="C1175" s="3" t="str">
        <x:v>仅R回收</x:v>
      </x:c>
      <x:c r="D1175" s="25" t="n">
        <x:v>2</x:v>
      </x:c>
      <x:c r="E1175" s="25" t="n">
        <x:v>1</x:v>
      </x:c>
      <x:c r="F1175" s="25" t="n">
        <x:v>2</x:v>
      </x:c>
      <x:c r="G1175" s="19" t="n">
        <x:f>SUM(D1175:F1175)</x:f>
        <x:v>5</x:v>
      </x:c>
      <x:c r="H1175" s="25" t="n">
        <x:v>0</x:v>
      </x:c>
      <x:c r="I1175" s="25" t="n">
        <x:v>0</x:v>
      </x:c>
      <x:c r="J1175" s="25" t="str">
        <x:v>-</x:v>
      </x:c>
      <x:c r="K1175" s="19" t="n">
        <x:f>D1175-IF(H1175=0,1,0)</x:f>
        <x:v>1</x:v>
      </x:c>
      <x:c r="L1175" s="19" t="n">
        <x:f>E1175-IF(H1175=1,1,0)</x:f>
        <x:v>1</x:v>
      </x:c>
      <x:c r="M1175" s="19" t="n">
        <x:f>F1175-IF(H1175=2,1,0)</x:f>
        <x:v>2</x:v>
      </x:c>
      <x:c r="N1175" s="19" t="n">
        <x:f>MAX(K1175-1,0)+MAX(L1175-1,0)+MAX(M1175-1,0)</x:f>
        <x:v>1</x:v>
      </x:c>
      <x:c r="O1175" s="19" t="n">
        <x:f>IF(AND(SUM(K1175:M1175)&lt;9,OR(M1175=0,N1175&lt;6)),1,0)</x:f>
        <x:v>1</x:v>
      </x:c>
      <x:c r="P1175" s="19" t="n">
        <x:f>IF(AND(SUM(K1175:M1175)&lt;9,OR(L1175=0,N1175&lt;6)),1,0)</x:f>
        <x:v>1</x:v>
      </x:c>
      <x:c r="Q1175" s="19" t="n">
        <x:f>IF(AND(SUM(K1175:M1175)&lt;9,OR(K1175=0,N1175&lt;6)),1,0)</x:f>
        <x:v>1</x:v>
      </x:c>
      <x:c r="R1175" s="22" t="str">
        <x:f>O1175&amp;P1175&amp;Q1175</x:f>
        <x:v>111</x:v>
      </x:c>
      <x:c r="S1175" s="19" t="n">
        <x:f>IF(I1175=1,IF(J1175=0,Q1175,IF(J1175=1,P1175,IF(J1175=2,O1175,0))),0)</x:f>
        <x:v>0</x:v>
      </x:c>
      <x:c r="T1175" s="19" t="n">
        <x:f>K1175+IF(AND(S1175=1,J1175=0),1,0)</x:f>
        <x:v>1</x:v>
      </x:c>
      <x:c r="U1175" s="19" t="n">
        <x:f>L1175+IF(AND(S1175=1,J1175=1),1,0)</x:f>
        <x:v>1</x:v>
      </x:c>
      <x:c r="V1175" s="19" t="n">
        <x:f>M1175+IF(AND(S1175=1,J1175=2),1,0)</x:f>
        <x:v>2</x:v>
      </x:c>
      <x:c r="W1175" s="19" t="n">
        <x:f>SUM(T1175:V1175)</x:f>
        <x:v>4</x:v>
      </x:c>
      <x:c r="X1175" s="19" t="n">
        <x:f>W1175-G1175</x:f>
        <x:v>-1</x:v>
      </x:c>
      <x:c r="Y1175" s="19" t="n">
        <x:f>MAX(T1175,1)+MAX(U1175,1)+MAX(V1175,1)</x:f>
        <x:v>4</x:v>
      </x:c>
      <x:c r="Z1175" s="21" t="str">
        <x:f>IF(AND(MIN(D1175:F1175)&gt;=0,MAX(D1175:F1175)&lt;=7,MAX(D1175,1)+MAX(E1175,1)+MAX(F1175,1)&lt;=9,OR(H1175="-",AND(H1175=0,D1175&gt;0),AND(H1175=1,E1175&gt;0),AND(H1175=2,F1175&gt;0)),OR(I1175=0,AND(I1175=1,OR(J1175=0,J1175=1,J1175=2),R1175&lt;&gt;"000")),Y1175&lt;=9,MIN(T1175:V1175)&gt;=0),"合法","输入违约")</x:f>
        <x:v>合法</x:v>
      </x:c>
    </x:row>
    <x:row r="1176" ht="23" customHeight="1">
      <x:c r="A1176" s="3" t="str">
        <x:v>CT-1169</x:v>
      </x:c>
      <x:c r="B1176" s="3" t="str">
        <x:v>ST-048</x:v>
      </x:c>
      <x:c r="C1176" s="3" t="str">
        <x:v>R+AR同收同发</x:v>
      </x:c>
      <x:c r="D1176" s="25" t="n">
        <x:v>2</x:v>
      </x:c>
      <x:c r="E1176" s="25" t="n">
        <x:v>1</x:v>
      </x:c>
      <x:c r="F1176" s="25" t="n">
        <x:v>2</x:v>
      </x:c>
      <x:c r="G1176" s="19" t="n">
        <x:f>SUM(D1176:F1176)</x:f>
        <x:v>5</x:v>
      </x:c>
      <x:c r="H1176" s="25" t="n">
        <x:v>0</x:v>
      </x:c>
      <x:c r="I1176" s="25" t="n">
        <x:v>1</x:v>
      </x:c>
      <x:c r="J1176" s="25" t="n">
        <x:v>0</x:v>
      </x:c>
      <x:c r="K1176" s="19" t="n">
        <x:f>D1176-IF(H1176=0,1,0)</x:f>
        <x:v>1</x:v>
      </x:c>
      <x:c r="L1176" s="19" t="n">
        <x:f>E1176-IF(H1176=1,1,0)</x:f>
        <x:v>1</x:v>
      </x:c>
      <x:c r="M1176" s="19" t="n">
        <x:f>F1176-IF(H1176=2,1,0)</x:f>
        <x:v>2</x:v>
      </x:c>
      <x:c r="N1176" s="19" t="n">
        <x:f>MAX(K1176-1,0)+MAX(L1176-1,0)+MAX(M1176-1,0)</x:f>
        <x:v>1</x:v>
      </x:c>
      <x:c r="O1176" s="19" t="n">
        <x:f>IF(AND(SUM(K1176:M1176)&lt;9,OR(M1176=0,N1176&lt;6)),1,0)</x:f>
        <x:v>1</x:v>
      </x:c>
      <x:c r="P1176" s="19" t="n">
        <x:f>IF(AND(SUM(K1176:M1176)&lt;9,OR(L1176=0,N1176&lt;6)),1,0)</x:f>
        <x:v>1</x:v>
      </x:c>
      <x:c r="Q1176" s="19" t="n">
        <x:f>IF(AND(SUM(K1176:M1176)&lt;9,OR(K1176=0,N1176&lt;6)),1,0)</x:f>
        <x:v>1</x:v>
      </x:c>
      <x:c r="R1176" s="22" t="str">
        <x:f>O1176&amp;P1176&amp;Q1176</x:f>
        <x:v>111</x:v>
      </x:c>
      <x:c r="S1176" s="19" t="n">
        <x:f>IF(I1176=1,IF(J1176=0,Q1176,IF(J1176=1,P1176,IF(J1176=2,O1176,0))),0)</x:f>
        <x:v>1</x:v>
      </x:c>
      <x:c r="T1176" s="19" t="n">
        <x:f>K1176+IF(AND(S1176=1,J1176=0),1,0)</x:f>
        <x:v>2</x:v>
      </x:c>
      <x:c r="U1176" s="19" t="n">
        <x:f>L1176+IF(AND(S1176=1,J1176=1),1,0)</x:f>
        <x:v>1</x:v>
      </x:c>
      <x:c r="V1176" s="19" t="n">
        <x:f>M1176+IF(AND(S1176=1,J1176=2),1,0)</x:f>
        <x:v>2</x:v>
      </x:c>
      <x:c r="W1176" s="19" t="n">
        <x:f>SUM(T1176:V1176)</x:f>
        <x:v>5</x:v>
      </x:c>
      <x:c r="X1176" s="19" t="n">
        <x:f>W1176-G1176</x:f>
        <x:v>0</x:v>
      </x:c>
      <x:c r="Y1176" s="19" t="n">
        <x:f>MAX(T1176,1)+MAX(U1176,1)+MAX(V1176,1)</x:f>
        <x:v>5</x:v>
      </x:c>
      <x:c r="Z1176" s="21" t="str">
        <x:f>IF(AND(MIN(D1176:F1176)&gt;=0,MAX(D1176:F1176)&lt;=7,MAX(D1176,1)+MAX(E1176,1)+MAX(F1176,1)&lt;=9,OR(H1176="-",AND(H1176=0,D1176&gt;0),AND(H1176=1,E1176&gt;0),AND(H1176=2,F1176&gt;0)),OR(I1176=0,AND(I1176=1,OR(J1176=0,J1176=1,J1176=2),R1176&lt;&gt;"000")),Y1176&lt;=9,MIN(T1176:V1176)&gt;=0),"合法","输入违约")</x:f>
        <x:v>合法</x:v>
      </x:c>
    </x:row>
    <x:row r="1177" ht="23" customHeight="1">
      <x:c r="A1177" s="3" t="str">
        <x:v>CT-1170</x:v>
      </x:c>
      <x:c r="B1177" s="3" t="str">
        <x:v>ST-048</x:v>
      </x:c>
      <x:c r="C1177" s="3" t="str">
        <x:v>R+AR同收同发</x:v>
      </x:c>
      <x:c r="D1177" s="25" t="n">
        <x:v>2</x:v>
      </x:c>
      <x:c r="E1177" s="25" t="n">
        <x:v>1</x:v>
      </x:c>
      <x:c r="F1177" s="25" t="n">
        <x:v>2</x:v>
      </x:c>
      <x:c r="G1177" s="19" t="n">
        <x:f>SUM(D1177:F1177)</x:f>
        <x:v>5</x:v>
      </x:c>
      <x:c r="H1177" s="25" t="n">
        <x:v>0</x:v>
      </x:c>
      <x:c r="I1177" s="25" t="n">
        <x:v>1</x:v>
      </x:c>
      <x:c r="J1177" s="25" t="n">
        <x:v>1</x:v>
      </x:c>
      <x:c r="K1177" s="19" t="n">
        <x:f>D1177-IF(H1177=0,1,0)</x:f>
        <x:v>1</x:v>
      </x:c>
      <x:c r="L1177" s="19" t="n">
        <x:f>E1177-IF(H1177=1,1,0)</x:f>
        <x:v>1</x:v>
      </x:c>
      <x:c r="M1177" s="19" t="n">
        <x:f>F1177-IF(H1177=2,1,0)</x:f>
        <x:v>2</x:v>
      </x:c>
      <x:c r="N1177" s="19" t="n">
        <x:f>MAX(K1177-1,0)+MAX(L1177-1,0)+MAX(M1177-1,0)</x:f>
        <x:v>1</x:v>
      </x:c>
      <x:c r="O1177" s="19" t="n">
        <x:f>IF(AND(SUM(K1177:M1177)&lt;9,OR(M1177=0,N1177&lt;6)),1,0)</x:f>
        <x:v>1</x:v>
      </x:c>
      <x:c r="P1177" s="19" t="n">
        <x:f>IF(AND(SUM(K1177:M1177)&lt;9,OR(L1177=0,N1177&lt;6)),1,0)</x:f>
        <x:v>1</x:v>
      </x:c>
      <x:c r="Q1177" s="19" t="n">
        <x:f>IF(AND(SUM(K1177:M1177)&lt;9,OR(K1177=0,N1177&lt;6)),1,0)</x:f>
        <x:v>1</x:v>
      </x:c>
      <x:c r="R1177" s="22" t="str">
        <x:f>O1177&amp;P1177&amp;Q1177</x:f>
        <x:v>111</x:v>
      </x:c>
      <x:c r="S1177" s="19" t="n">
        <x:f>IF(I1177=1,IF(J1177=0,Q1177,IF(J1177=1,P1177,IF(J1177=2,O1177,0))),0)</x:f>
        <x:v>1</x:v>
      </x:c>
      <x:c r="T1177" s="19" t="n">
        <x:f>K1177+IF(AND(S1177=1,J1177=0),1,0)</x:f>
        <x:v>1</x:v>
      </x:c>
      <x:c r="U1177" s="19" t="n">
        <x:f>L1177+IF(AND(S1177=1,J1177=1),1,0)</x:f>
        <x:v>2</x:v>
      </x:c>
      <x:c r="V1177" s="19" t="n">
        <x:f>M1177+IF(AND(S1177=1,J1177=2),1,0)</x:f>
        <x:v>2</x:v>
      </x:c>
      <x:c r="W1177" s="19" t="n">
        <x:f>SUM(T1177:V1177)</x:f>
        <x:v>5</x:v>
      </x:c>
      <x:c r="X1177" s="19" t="n">
        <x:f>W1177-G1177</x:f>
        <x:v>0</x:v>
      </x:c>
      <x:c r="Y1177" s="19" t="n">
        <x:f>MAX(T1177,1)+MAX(U1177,1)+MAX(V1177,1)</x:f>
        <x:v>5</x:v>
      </x:c>
      <x:c r="Z1177" s="21" t="str">
        <x:f>IF(AND(MIN(D1177:F1177)&gt;=0,MAX(D1177:F1177)&lt;=7,MAX(D1177,1)+MAX(E1177,1)+MAX(F1177,1)&lt;=9,OR(H1177="-",AND(H1177=0,D1177&gt;0),AND(H1177=1,E1177&gt;0),AND(H1177=2,F1177&gt;0)),OR(I1177=0,AND(I1177=1,OR(J1177=0,J1177=1,J1177=2),R1177&lt;&gt;"000")),Y1177&lt;=9,MIN(T1177:V1177)&gt;=0),"合法","输入违约")</x:f>
        <x:v>合法</x:v>
      </x:c>
    </x:row>
    <x:row r="1178" ht="23" customHeight="1">
      <x:c r="A1178" s="3" t="str">
        <x:v>CT-1171</x:v>
      </x:c>
      <x:c r="B1178" s="3" t="str">
        <x:v>ST-048</x:v>
      </x:c>
      <x:c r="C1178" s="3" t="str">
        <x:v>R+AR同收同发</x:v>
      </x:c>
      <x:c r="D1178" s="25" t="n">
        <x:v>2</x:v>
      </x:c>
      <x:c r="E1178" s="25" t="n">
        <x:v>1</x:v>
      </x:c>
      <x:c r="F1178" s="25" t="n">
        <x:v>2</x:v>
      </x:c>
      <x:c r="G1178" s="19" t="n">
        <x:f>SUM(D1178:F1178)</x:f>
        <x:v>5</x:v>
      </x:c>
      <x:c r="H1178" s="25" t="n">
        <x:v>0</x:v>
      </x:c>
      <x:c r="I1178" s="25" t="n">
        <x:v>1</x:v>
      </x:c>
      <x:c r="J1178" s="25" t="n">
        <x:v>2</x:v>
      </x:c>
      <x:c r="K1178" s="19" t="n">
        <x:f>D1178-IF(H1178=0,1,0)</x:f>
        <x:v>1</x:v>
      </x:c>
      <x:c r="L1178" s="19" t="n">
        <x:f>E1178-IF(H1178=1,1,0)</x:f>
        <x:v>1</x:v>
      </x:c>
      <x:c r="M1178" s="19" t="n">
        <x:f>F1178-IF(H1178=2,1,0)</x:f>
        <x:v>2</x:v>
      </x:c>
      <x:c r="N1178" s="19" t="n">
        <x:f>MAX(K1178-1,0)+MAX(L1178-1,0)+MAX(M1178-1,0)</x:f>
        <x:v>1</x:v>
      </x:c>
      <x:c r="O1178" s="19" t="n">
        <x:f>IF(AND(SUM(K1178:M1178)&lt;9,OR(M1178=0,N1178&lt;6)),1,0)</x:f>
        <x:v>1</x:v>
      </x:c>
      <x:c r="P1178" s="19" t="n">
        <x:f>IF(AND(SUM(K1178:M1178)&lt;9,OR(L1178=0,N1178&lt;6)),1,0)</x:f>
        <x:v>1</x:v>
      </x:c>
      <x:c r="Q1178" s="19" t="n">
        <x:f>IF(AND(SUM(K1178:M1178)&lt;9,OR(K1178=0,N1178&lt;6)),1,0)</x:f>
        <x:v>1</x:v>
      </x:c>
      <x:c r="R1178" s="22" t="str">
        <x:f>O1178&amp;P1178&amp;Q1178</x:f>
        <x:v>111</x:v>
      </x:c>
      <x:c r="S1178" s="19" t="n">
        <x:f>IF(I1178=1,IF(J1178=0,Q1178,IF(J1178=1,P1178,IF(J1178=2,O1178,0))),0)</x:f>
        <x:v>1</x:v>
      </x:c>
      <x:c r="T1178" s="19" t="n">
        <x:f>K1178+IF(AND(S1178=1,J1178=0),1,0)</x:f>
        <x:v>1</x:v>
      </x:c>
      <x:c r="U1178" s="19" t="n">
        <x:f>L1178+IF(AND(S1178=1,J1178=1),1,0)</x:f>
        <x:v>1</x:v>
      </x:c>
      <x:c r="V1178" s="19" t="n">
        <x:f>M1178+IF(AND(S1178=1,J1178=2),1,0)</x:f>
        <x:v>3</x:v>
      </x:c>
      <x:c r="W1178" s="19" t="n">
        <x:f>SUM(T1178:V1178)</x:f>
        <x:v>5</x:v>
      </x:c>
      <x:c r="X1178" s="19" t="n">
        <x:f>W1178-G1178</x:f>
        <x:v>0</x:v>
      </x:c>
      <x:c r="Y1178" s="19" t="n">
        <x:f>MAX(T1178,1)+MAX(U1178,1)+MAX(V1178,1)</x:f>
        <x:v>5</x:v>
      </x:c>
      <x:c r="Z1178" s="21" t="str">
        <x:f>IF(AND(MIN(D1178:F1178)&gt;=0,MAX(D1178:F1178)&lt;=7,MAX(D1178,1)+MAX(E1178,1)+MAX(F1178,1)&lt;=9,OR(H1178="-",AND(H1178=0,D1178&gt;0),AND(H1178=1,E1178&gt;0),AND(H1178=2,F1178&gt;0)),OR(I1178=0,AND(I1178=1,OR(J1178=0,J1178=1,J1178=2),R1178&lt;&gt;"000")),Y1178&lt;=9,MIN(T1178:V1178)&gt;=0),"合法","输入违约")</x:f>
        <x:v>合法</x:v>
      </x:c>
    </x:row>
    <x:row r="1179" ht="23" customHeight="1">
      <x:c r="A1179" s="3" t="str">
        <x:v>CT-1172</x:v>
      </x:c>
      <x:c r="B1179" s="3" t="str">
        <x:v>ST-048</x:v>
      </x:c>
      <x:c r="C1179" s="3" t="str">
        <x:v>仅R回收</x:v>
      </x:c>
      <x:c r="D1179" s="25" t="n">
        <x:v>2</x:v>
      </x:c>
      <x:c r="E1179" s="25" t="n">
        <x:v>1</x:v>
      </x:c>
      <x:c r="F1179" s="25" t="n">
        <x:v>2</x:v>
      </x:c>
      <x:c r="G1179" s="19" t="n">
        <x:f>SUM(D1179:F1179)</x:f>
        <x:v>5</x:v>
      </x:c>
      <x:c r="H1179" s="25" t="n">
        <x:v>1</x:v>
      </x:c>
      <x:c r="I1179" s="25" t="n">
        <x:v>0</x:v>
      </x:c>
      <x:c r="J1179" s="25" t="str">
        <x:v>-</x:v>
      </x:c>
      <x:c r="K1179" s="19" t="n">
        <x:f>D1179-IF(H1179=0,1,0)</x:f>
        <x:v>2</x:v>
      </x:c>
      <x:c r="L1179" s="19" t="n">
        <x:f>E1179-IF(H1179=1,1,0)</x:f>
        <x:v>0</x:v>
      </x:c>
      <x:c r="M1179" s="19" t="n">
        <x:f>F1179-IF(H1179=2,1,0)</x:f>
        <x:v>2</x:v>
      </x:c>
      <x:c r="N1179" s="19" t="n">
        <x:f>MAX(K1179-1,0)+MAX(L1179-1,0)+MAX(M1179-1,0)</x:f>
        <x:v>2</x:v>
      </x:c>
      <x:c r="O1179" s="19" t="n">
        <x:f>IF(AND(SUM(K1179:M1179)&lt;9,OR(M1179=0,N1179&lt;6)),1,0)</x:f>
        <x:v>1</x:v>
      </x:c>
      <x:c r="P1179" s="19" t="n">
        <x:f>IF(AND(SUM(K1179:M1179)&lt;9,OR(L1179=0,N1179&lt;6)),1,0)</x:f>
        <x:v>1</x:v>
      </x:c>
      <x:c r="Q1179" s="19" t="n">
        <x:f>IF(AND(SUM(K1179:M1179)&lt;9,OR(K1179=0,N1179&lt;6)),1,0)</x:f>
        <x:v>1</x:v>
      </x:c>
      <x:c r="R1179" s="22" t="str">
        <x:f>O1179&amp;P1179&amp;Q1179</x:f>
        <x:v>111</x:v>
      </x:c>
      <x:c r="S1179" s="19" t="n">
        <x:f>IF(I1179=1,IF(J1179=0,Q1179,IF(J1179=1,P1179,IF(J1179=2,O1179,0))),0)</x:f>
        <x:v>0</x:v>
      </x:c>
      <x:c r="T1179" s="19" t="n">
        <x:f>K1179+IF(AND(S1179=1,J1179=0),1,0)</x:f>
        <x:v>2</x:v>
      </x:c>
      <x:c r="U1179" s="19" t="n">
        <x:f>L1179+IF(AND(S1179=1,J1179=1),1,0)</x:f>
        <x:v>0</x:v>
      </x:c>
      <x:c r="V1179" s="19" t="n">
        <x:f>M1179+IF(AND(S1179=1,J1179=2),1,0)</x:f>
        <x:v>2</x:v>
      </x:c>
      <x:c r="W1179" s="19" t="n">
        <x:f>SUM(T1179:V1179)</x:f>
        <x:v>4</x:v>
      </x:c>
      <x:c r="X1179" s="19" t="n">
        <x:f>W1179-G1179</x:f>
        <x:v>-1</x:v>
      </x:c>
      <x:c r="Y1179" s="19" t="n">
        <x:f>MAX(T1179,1)+MAX(U1179,1)+MAX(V1179,1)</x:f>
        <x:v>5</x:v>
      </x:c>
      <x:c r="Z1179" s="21" t="str">
        <x:f>IF(AND(MIN(D1179:F1179)&gt;=0,MAX(D1179:F1179)&lt;=7,MAX(D1179,1)+MAX(E1179,1)+MAX(F1179,1)&lt;=9,OR(H1179="-",AND(H1179=0,D1179&gt;0),AND(H1179=1,E1179&gt;0),AND(H1179=2,F1179&gt;0)),OR(I1179=0,AND(I1179=1,OR(J1179=0,J1179=1,J1179=2),R1179&lt;&gt;"000")),Y1179&lt;=9,MIN(T1179:V1179)&gt;=0),"合法","输入违约")</x:f>
        <x:v>合法</x:v>
      </x:c>
    </x:row>
    <x:row r="1180" ht="23" customHeight="1">
      <x:c r="A1180" s="3" t="str">
        <x:v>CT-1173</x:v>
      </x:c>
      <x:c r="B1180" s="3" t="str">
        <x:v>ST-048</x:v>
      </x:c>
      <x:c r="C1180" s="3" t="str">
        <x:v>R+AR同收同发</x:v>
      </x:c>
      <x:c r="D1180" s="25" t="n">
        <x:v>2</x:v>
      </x:c>
      <x:c r="E1180" s="25" t="n">
        <x:v>1</x:v>
      </x:c>
      <x:c r="F1180" s="25" t="n">
        <x:v>2</x:v>
      </x:c>
      <x:c r="G1180" s="19" t="n">
        <x:f>SUM(D1180:F1180)</x:f>
        <x:v>5</x:v>
      </x:c>
      <x:c r="H1180" s="25" t="n">
        <x:v>1</x:v>
      </x:c>
      <x:c r="I1180" s="25" t="n">
        <x:v>1</x:v>
      </x:c>
      <x:c r="J1180" s="25" t="n">
        <x:v>0</x:v>
      </x:c>
      <x:c r="K1180" s="19" t="n">
        <x:f>D1180-IF(H1180=0,1,0)</x:f>
        <x:v>2</x:v>
      </x:c>
      <x:c r="L1180" s="19" t="n">
        <x:f>E1180-IF(H1180=1,1,0)</x:f>
        <x:v>0</x:v>
      </x:c>
      <x:c r="M1180" s="19" t="n">
        <x:f>F1180-IF(H1180=2,1,0)</x:f>
        <x:v>2</x:v>
      </x:c>
      <x:c r="N1180" s="19" t="n">
        <x:f>MAX(K1180-1,0)+MAX(L1180-1,0)+MAX(M1180-1,0)</x:f>
        <x:v>2</x:v>
      </x:c>
      <x:c r="O1180" s="19" t="n">
        <x:f>IF(AND(SUM(K1180:M1180)&lt;9,OR(M1180=0,N1180&lt;6)),1,0)</x:f>
        <x:v>1</x:v>
      </x:c>
      <x:c r="P1180" s="19" t="n">
        <x:f>IF(AND(SUM(K1180:M1180)&lt;9,OR(L1180=0,N1180&lt;6)),1,0)</x:f>
        <x:v>1</x:v>
      </x:c>
      <x:c r="Q1180" s="19" t="n">
        <x:f>IF(AND(SUM(K1180:M1180)&lt;9,OR(K1180=0,N1180&lt;6)),1,0)</x:f>
        <x:v>1</x:v>
      </x:c>
      <x:c r="R1180" s="22" t="str">
        <x:f>O1180&amp;P1180&amp;Q1180</x:f>
        <x:v>111</x:v>
      </x:c>
      <x:c r="S1180" s="19" t="n">
        <x:f>IF(I1180=1,IF(J1180=0,Q1180,IF(J1180=1,P1180,IF(J1180=2,O1180,0))),0)</x:f>
        <x:v>1</x:v>
      </x:c>
      <x:c r="T1180" s="19" t="n">
        <x:f>K1180+IF(AND(S1180=1,J1180=0),1,0)</x:f>
        <x:v>3</x:v>
      </x:c>
      <x:c r="U1180" s="19" t="n">
        <x:f>L1180+IF(AND(S1180=1,J1180=1),1,0)</x:f>
        <x:v>0</x:v>
      </x:c>
      <x:c r="V1180" s="19" t="n">
        <x:f>M1180+IF(AND(S1180=1,J1180=2),1,0)</x:f>
        <x:v>2</x:v>
      </x:c>
      <x:c r="W1180" s="19" t="n">
        <x:f>SUM(T1180:V1180)</x:f>
        <x:v>5</x:v>
      </x:c>
      <x:c r="X1180" s="19" t="n">
        <x:f>W1180-G1180</x:f>
        <x:v>0</x:v>
      </x:c>
      <x:c r="Y1180" s="19" t="n">
        <x:f>MAX(T1180,1)+MAX(U1180,1)+MAX(V1180,1)</x:f>
        <x:v>6</x:v>
      </x:c>
      <x:c r="Z1180" s="21" t="str">
        <x:f>IF(AND(MIN(D1180:F1180)&gt;=0,MAX(D1180:F1180)&lt;=7,MAX(D1180,1)+MAX(E1180,1)+MAX(F1180,1)&lt;=9,OR(H1180="-",AND(H1180=0,D1180&gt;0),AND(H1180=1,E1180&gt;0),AND(H1180=2,F1180&gt;0)),OR(I1180=0,AND(I1180=1,OR(J1180=0,J1180=1,J1180=2),R1180&lt;&gt;"000")),Y1180&lt;=9,MIN(T1180:V1180)&gt;=0),"合法","输入违约")</x:f>
        <x:v>合法</x:v>
      </x:c>
    </x:row>
    <x:row r="1181" ht="23" customHeight="1">
      <x:c r="A1181" s="3" t="str">
        <x:v>CT-1174</x:v>
      </x:c>
      <x:c r="B1181" s="3" t="str">
        <x:v>ST-048</x:v>
      </x:c>
      <x:c r="C1181" s="3" t="str">
        <x:v>R+AR同收同发</x:v>
      </x:c>
      <x:c r="D1181" s="25" t="n">
        <x:v>2</x:v>
      </x:c>
      <x:c r="E1181" s="25" t="n">
        <x:v>1</x:v>
      </x:c>
      <x:c r="F1181" s="25" t="n">
        <x:v>2</x:v>
      </x:c>
      <x:c r="G1181" s="19" t="n">
        <x:f>SUM(D1181:F1181)</x:f>
        <x:v>5</x:v>
      </x:c>
      <x:c r="H1181" s="25" t="n">
        <x:v>1</x:v>
      </x:c>
      <x:c r="I1181" s="25" t="n">
        <x:v>1</x:v>
      </x:c>
      <x:c r="J1181" s="25" t="n">
        <x:v>1</x:v>
      </x:c>
      <x:c r="K1181" s="19" t="n">
        <x:f>D1181-IF(H1181=0,1,0)</x:f>
        <x:v>2</x:v>
      </x:c>
      <x:c r="L1181" s="19" t="n">
        <x:f>E1181-IF(H1181=1,1,0)</x:f>
        <x:v>0</x:v>
      </x:c>
      <x:c r="M1181" s="19" t="n">
        <x:f>F1181-IF(H1181=2,1,0)</x:f>
        <x:v>2</x:v>
      </x:c>
      <x:c r="N1181" s="19" t="n">
        <x:f>MAX(K1181-1,0)+MAX(L1181-1,0)+MAX(M1181-1,0)</x:f>
        <x:v>2</x:v>
      </x:c>
      <x:c r="O1181" s="19" t="n">
        <x:f>IF(AND(SUM(K1181:M1181)&lt;9,OR(M1181=0,N1181&lt;6)),1,0)</x:f>
        <x:v>1</x:v>
      </x:c>
      <x:c r="P1181" s="19" t="n">
        <x:f>IF(AND(SUM(K1181:M1181)&lt;9,OR(L1181=0,N1181&lt;6)),1,0)</x:f>
        <x:v>1</x:v>
      </x:c>
      <x:c r="Q1181" s="19" t="n">
        <x:f>IF(AND(SUM(K1181:M1181)&lt;9,OR(K1181=0,N1181&lt;6)),1,0)</x:f>
        <x:v>1</x:v>
      </x:c>
      <x:c r="R1181" s="22" t="str">
        <x:f>O1181&amp;P1181&amp;Q1181</x:f>
        <x:v>111</x:v>
      </x:c>
      <x:c r="S1181" s="19" t="n">
        <x:f>IF(I1181=1,IF(J1181=0,Q1181,IF(J1181=1,P1181,IF(J1181=2,O1181,0))),0)</x:f>
        <x:v>1</x:v>
      </x:c>
      <x:c r="T1181" s="19" t="n">
        <x:f>K1181+IF(AND(S1181=1,J1181=0),1,0)</x:f>
        <x:v>2</x:v>
      </x:c>
      <x:c r="U1181" s="19" t="n">
        <x:f>L1181+IF(AND(S1181=1,J1181=1),1,0)</x:f>
        <x:v>1</x:v>
      </x:c>
      <x:c r="V1181" s="19" t="n">
        <x:f>M1181+IF(AND(S1181=1,J1181=2),1,0)</x:f>
        <x:v>2</x:v>
      </x:c>
      <x:c r="W1181" s="19" t="n">
        <x:f>SUM(T1181:V1181)</x:f>
        <x:v>5</x:v>
      </x:c>
      <x:c r="X1181" s="19" t="n">
        <x:f>W1181-G1181</x:f>
        <x:v>0</x:v>
      </x:c>
      <x:c r="Y1181" s="19" t="n">
        <x:f>MAX(T1181,1)+MAX(U1181,1)+MAX(V1181,1)</x:f>
        <x:v>5</x:v>
      </x:c>
      <x:c r="Z1181" s="21" t="str">
        <x:f>IF(AND(MIN(D1181:F1181)&gt;=0,MAX(D1181:F1181)&lt;=7,MAX(D1181,1)+MAX(E1181,1)+MAX(F1181,1)&lt;=9,OR(H1181="-",AND(H1181=0,D1181&gt;0),AND(H1181=1,E1181&gt;0),AND(H1181=2,F1181&gt;0)),OR(I1181=0,AND(I1181=1,OR(J1181=0,J1181=1,J1181=2),R1181&lt;&gt;"000")),Y1181&lt;=9,MIN(T1181:V1181)&gt;=0),"合法","输入违约")</x:f>
        <x:v>合法</x:v>
      </x:c>
    </x:row>
    <x:row r="1182" ht="23" customHeight="1">
      <x:c r="A1182" s="3" t="str">
        <x:v>CT-1175</x:v>
      </x:c>
      <x:c r="B1182" s="3" t="str">
        <x:v>ST-048</x:v>
      </x:c>
      <x:c r="C1182" s="3" t="str">
        <x:v>R+AR同收同发</x:v>
      </x:c>
      <x:c r="D1182" s="25" t="n">
        <x:v>2</x:v>
      </x:c>
      <x:c r="E1182" s="25" t="n">
        <x:v>1</x:v>
      </x:c>
      <x:c r="F1182" s="25" t="n">
        <x:v>2</x:v>
      </x:c>
      <x:c r="G1182" s="19" t="n">
        <x:f>SUM(D1182:F1182)</x:f>
        <x:v>5</x:v>
      </x:c>
      <x:c r="H1182" s="25" t="n">
        <x:v>1</x:v>
      </x:c>
      <x:c r="I1182" s="25" t="n">
        <x:v>1</x:v>
      </x:c>
      <x:c r="J1182" s="25" t="n">
        <x:v>2</x:v>
      </x:c>
      <x:c r="K1182" s="19" t="n">
        <x:f>D1182-IF(H1182=0,1,0)</x:f>
        <x:v>2</x:v>
      </x:c>
      <x:c r="L1182" s="19" t="n">
        <x:f>E1182-IF(H1182=1,1,0)</x:f>
        <x:v>0</x:v>
      </x:c>
      <x:c r="M1182" s="19" t="n">
        <x:f>F1182-IF(H1182=2,1,0)</x:f>
        <x:v>2</x:v>
      </x:c>
      <x:c r="N1182" s="19" t="n">
        <x:f>MAX(K1182-1,0)+MAX(L1182-1,0)+MAX(M1182-1,0)</x:f>
        <x:v>2</x:v>
      </x:c>
      <x:c r="O1182" s="19" t="n">
        <x:f>IF(AND(SUM(K1182:M1182)&lt;9,OR(M1182=0,N1182&lt;6)),1,0)</x:f>
        <x:v>1</x:v>
      </x:c>
      <x:c r="P1182" s="19" t="n">
        <x:f>IF(AND(SUM(K1182:M1182)&lt;9,OR(L1182=0,N1182&lt;6)),1,0)</x:f>
        <x:v>1</x:v>
      </x:c>
      <x:c r="Q1182" s="19" t="n">
        <x:f>IF(AND(SUM(K1182:M1182)&lt;9,OR(K1182=0,N1182&lt;6)),1,0)</x:f>
        <x:v>1</x:v>
      </x:c>
      <x:c r="R1182" s="22" t="str">
        <x:f>O1182&amp;P1182&amp;Q1182</x:f>
        <x:v>111</x:v>
      </x:c>
      <x:c r="S1182" s="19" t="n">
        <x:f>IF(I1182=1,IF(J1182=0,Q1182,IF(J1182=1,P1182,IF(J1182=2,O1182,0))),0)</x:f>
        <x:v>1</x:v>
      </x:c>
      <x:c r="T1182" s="19" t="n">
        <x:f>K1182+IF(AND(S1182=1,J1182=0),1,0)</x:f>
        <x:v>2</x:v>
      </x:c>
      <x:c r="U1182" s="19" t="n">
        <x:f>L1182+IF(AND(S1182=1,J1182=1),1,0)</x:f>
        <x:v>0</x:v>
      </x:c>
      <x:c r="V1182" s="19" t="n">
        <x:f>M1182+IF(AND(S1182=1,J1182=2),1,0)</x:f>
        <x:v>3</x:v>
      </x:c>
      <x:c r="W1182" s="19" t="n">
        <x:f>SUM(T1182:V1182)</x:f>
        <x:v>5</x:v>
      </x:c>
      <x:c r="X1182" s="19" t="n">
        <x:f>W1182-G1182</x:f>
        <x:v>0</x:v>
      </x:c>
      <x:c r="Y1182" s="19" t="n">
        <x:f>MAX(T1182,1)+MAX(U1182,1)+MAX(V1182,1)</x:f>
        <x:v>6</x:v>
      </x:c>
      <x:c r="Z1182" s="21" t="str">
        <x:f>IF(AND(MIN(D1182:F1182)&gt;=0,MAX(D1182:F1182)&lt;=7,MAX(D1182,1)+MAX(E1182,1)+MAX(F1182,1)&lt;=9,OR(H1182="-",AND(H1182=0,D1182&gt;0),AND(H1182=1,E1182&gt;0),AND(H1182=2,F1182&gt;0)),OR(I1182=0,AND(I1182=1,OR(J1182=0,J1182=1,J1182=2),R1182&lt;&gt;"000")),Y1182&lt;=9,MIN(T1182:V1182)&gt;=0),"合法","输入违约")</x:f>
        <x:v>合法</x:v>
      </x:c>
    </x:row>
    <x:row r="1183" ht="23" customHeight="1">
      <x:c r="A1183" s="3" t="str">
        <x:v>CT-1176</x:v>
      </x:c>
      <x:c r="B1183" s="3" t="str">
        <x:v>ST-048</x:v>
      </x:c>
      <x:c r="C1183" s="3" t="str">
        <x:v>仅R回收</x:v>
      </x:c>
      <x:c r="D1183" s="25" t="n">
        <x:v>2</x:v>
      </x:c>
      <x:c r="E1183" s="25" t="n">
        <x:v>1</x:v>
      </x:c>
      <x:c r="F1183" s="25" t="n">
        <x:v>2</x:v>
      </x:c>
      <x:c r="G1183" s="19" t="n">
        <x:f>SUM(D1183:F1183)</x:f>
        <x:v>5</x:v>
      </x:c>
      <x:c r="H1183" s="25" t="n">
        <x:v>2</x:v>
      </x:c>
      <x:c r="I1183" s="25" t="n">
        <x:v>0</x:v>
      </x:c>
      <x:c r="J1183" s="25" t="str">
        <x:v>-</x:v>
      </x:c>
      <x:c r="K1183" s="19" t="n">
        <x:f>D1183-IF(H1183=0,1,0)</x:f>
        <x:v>2</x:v>
      </x:c>
      <x:c r="L1183" s="19" t="n">
        <x:f>E1183-IF(H1183=1,1,0)</x:f>
        <x:v>1</x:v>
      </x:c>
      <x:c r="M1183" s="19" t="n">
        <x:f>F1183-IF(H1183=2,1,0)</x:f>
        <x:v>1</x:v>
      </x:c>
      <x:c r="N1183" s="19" t="n">
        <x:f>MAX(K1183-1,0)+MAX(L1183-1,0)+MAX(M1183-1,0)</x:f>
        <x:v>1</x:v>
      </x:c>
      <x:c r="O1183" s="19" t="n">
        <x:f>IF(AND(SUM(K1183:M1183)&lt;9,OR(M1183=0,N1183&lt;6)),1,0)</x:f>
        <x:v>1</x:v>
      </x:c>
      <x:c r="P1183" s="19" t="n">
        <x:f>IF(AND(SUM(K1183:M1183)&lt;9,OR(L1183=0,N1183&lt;6)),1,0)</x:f>
        <x:v>1</x:v>
      </x:c>
      <x:c r="Q1183" s="19" t="n">
        <x:f>IF(AND(SUM(K1183:M1183)&lt;9,OR(K1183=0,N1183&lt;6)),1,0)</x:f>
        <x:v>1</x:v>
      </x:c>
      <x:c r="R1183" s="22" t="str">
        <x:f>O1183&amp;P1183&amp;Q1183</x:f>
        <x:v>111</x:v>
      </x:c>
      <x:c r="S1183" s="19" t="n">
        <x:f>IF(I1183=1,IF(J1183=0,Q1183,IF(J1183=1,P1183,IF(J1183=2,O1183,0))),0)</x:f>
        <x:v>0</x:v>
      </x:c>
      <x:c r="T1183" s="19" t="n">
        <x:f>K1183+IF(AND(S1183=1,J1183=0),1,0)</x:f>
        <x:v>2</x:v>
      </x:c>
      <x:c r="U1183" s="19" t="n">
        <x:f>L1183+IF(AND(S1183=1,J1183=1),1,0)</x:f>
        <x:v>1</x:v>
      </x:c>
      <x:c r="V1183" s="19" t="n">
        <x:f>M1183+IF(AND(S1183=1,J1183=2),1,0)</x:f>
        <x:v>1</x:v>
      </x:c>
      <x:c r="W1183" s="19" t="n">
        <x:f>SUM(T1183:V1183)</x:f>
        <x:v>4</x:v>
      </x:c>
      <x:c r="X1183" s="19" t="n">
        <x:f>W1183-G1183</x:f>
        <x:v>-1</x:v>
      </x:c>
      <x:c r="Y1183" s="19" t="n">
        <x:f>MAX(T1183,1)+MAX(U1183,1)+MAX(V1183,1)</x:f>
        <x:v>4</x:v>
      </x:c>
      <x:c r="Z1183" s="21" t="str">
        <x:f>IF(AND(MIN(D1183:F1183)&gt;=0,MAX(D1183:F1183)&lt;=7,MAX(D1183,1)+MAX(E1183,1)+MAX(F1183,1)&lt;=9,OR(H1183="-",AND(H1183=0,D1183&gt;0),AND(H1183=1,E1183&gt;0),AND(H1183=2,F1183&gt;0)),OR(I1183=0,AND(I1183=1,OR(J1183=0,J1183=1,J1183=2),R1183&lt;&gt;"000")),Y1183&lt;=9,MIN(T1183:V1183)&gt;=0),"合法","输入违约")</x:f>
        <x:v>合法</x:v>
      </x:c>
    </x:row>
    <x:row r="1184" ht="23" customHeight="1">
      <x:c r="A1184" s="3" t="str">
        <x:v>CT-1177</x:v>
      </x:c>
      <x:c r="B1184" s="3" t="str">
        <x:v>ST-048</x:v>
      </x:c>
      <x:c r="C1184" s="3" t="str">
        <x:v>R+AR同收同发</x:v>
      </x:c>
      <x:c r="D1184" s="25" t="n">
        <x:v>2</x:v>
      </x:c>
      <x:c r="E1184" s="25" t="n">
        <x:v>1</x:v>
      </x:c>
      <x:c r="F1184" s="25" t="n">
        <x:v>2</x:v>
      </x:c>
      <x:c r="G1184" s="19" t="n">
        <x:f>SUM(D1184:F1184)</x:f>
        <x:v>5</x:v>
      </x:c>
      <x:c r="H1184" s="25" t="n">
        <x:v>2</x:v>
      </x:c>
      <x:c r="I1184" s="25" t="n">
        <x:v>1</x:v>
      </x:c>
      <x:c r="J1184" s="25" t="n">
        <x:v>0</x:v>
      </x:c>
      <x:c r="K1184" s="19" t="n">
        <x:f>D1184-IF(H1184=0,1,0)</x:f>
        <x:v>2</x:v>
      </x:c>
      <x:c r="L1184" s="19" t="n">
        <x:f>E1184-IF(H1184=1,1,0)</x:f>
        <x:v>1</x:v>
      </x:c>
      <x:c r="M1184" s="19" t="n">
        <x:f>F1184-IF(H1184=2,1,0)</x:f>
        <x:v>1</x:v>
      </x:c>
      <x:c r="N1184" s="19" t="n">
        <x:f>MAX(K1184-1,0)+MAX(L1184-1,0)+MAX(M1184-1,0)</x:f>
        <x:v>1</x:v>
      </x:c>
      <x:c r="O1184" s="19" t="n">
        <x:f>IF(AND(SUM(K1184:M1184)&lt;9,OR(M1184=0,N1184&lt;6)),1,0)</x:f>
        <x:v>1</x:v>
      </x:c>
      <x:c r="P1184" s="19" t="n">
        <x:f>IF(AND(SUM(K1184:M1184)&lt;9,OR(L1184=0,N1184&lt;6)),1,0)</x:f>
        <x:v>1</x:v>
      </x:c>
      <x:c r="Q1184" s="19" t="n">
        <x:f>IF(AND(SUM(K1184:M1184)&lt;9,OR(K1184=0,N1184&lt;6)),1,0)</x:f>
        <x:v>1</x:v>
      </x:c>
      <x:c r="R1184" s="22" t="str">
        <x:f>O1184&amp;P1184&amp;Q1184</x:f>
        <x:v>111</x:v>
      </x:c>
      <x:c r="S1184" s="19" t="n">
        <x:f>IF(I1184=1,IF(J1184=0,Q1184,IF(J1184=1,P1184,IF(J1184=2,O1184,0))),0)</x:f>
        <x:v>1</x:v>
      </x:c>
      <x:c r="T1184" s="19" t="n">
        <x:f>K1184+IF(AND(S1184=1,J1184=0),1,0)</x:f>
        <x:v>3</x:v>
      </x:c>
      <x:c r="U1184" s="19" t="n">
        <x:f>L1184+IF(AND(S1184=1,J1184=1),1,0)</x:f>
        <x:v>1</x:v>
      </x:c>
      <x:c r="V1184" s="19" t="n">
        <x:f>M1184+IF(AND(S1184=1,J1184=2),1,0)</x:f>
        <x:v>1</x:v>
      </x:c>
      <x:c r="W1184" s="19" t="n">
        <x:f>SUM(T1184:V1184)</x:f>
        <x:v>5</x:v>
      </x:c>
      <x:c r="X1184" s="19" t="n">
        <x:f>W1184-G1184</x:f>
        <x:v>0</x:v>
      </x:c>
      <x:c r="Y1184" s="19" t="n">
        <x:f>MAX(T1184,1)+MAX(U1184,1)+MAX(V1184,1)</x:f>
        <x:v>5</x:v>
      </x:c>
      <x:c r="Z1184" s="21" t="str">
        <x:f>IF(AND(MIN(D1184:F1184)&gt;=0,MAX(D1184:F1184)&lt;=7,MAX(D1184,1)+MAX(E1184,1)+MAX(F1184,1)&lt;=9,OR(H1184="-",AND(H1184=0,D1184&gt;0),AND(H1184=1,E1184&gt;0),AND(H1184=2,F1184&gt;0)),OR(I1184=0,AND(I1184=1,OR(J1184=0,J1184=1,J1184=2),R1184&lt;&gt;"000")),Y1184&lt;=9,MIN(T1184:V1184)&gt;=0),"合法","输入违约")</x:f>
        <x:v>合法</x:v>
      </x:c>
    </x:row>
    <x:row r="1185" ht="23" customHeight="1">
      <x:c r="A1185" s="3" t="str">
        <x:v>CT-1178</x:v>
      </x:c>
      <x:c r="B1185" s="3" t="str">
        <x:v>ST-048</x:v>
      </x:c>
      <x:c r="C1185" s="3" t="str">
        <x:v>R+AR同收同发</x:v>
      </x:c>
      <x:c r="D1185" s="25" t="n">
        <x:v>2</x:v>
      </x:c>
      <x:c r="E1185" s="25" t="n">
        <x:v>1</x:v>
      </x:c>
      <x:c r="F1185" s="25" t="n">
        <x:v>2</x:v>
      </x:c>
      <x:c r="G1185" s="19" t="n">
        <x:f>SUM(D1185:F1185)</x:f>
        <x:v>5</x:v>
      </x:c>
      <x:c r="H1185" s="25" t="n">
        <x:v>2</x:v>
      </x:c>
      <x:c r="I1185" s="25" t="n">
        <x:v>1</x:v>
      </x:c>
      <x:c r="J1185" s="25" t="n">
        <x:v>1</x:v>
      </x:c>
      <x:c r="K1185" s="19" t="n">
        <x:f>D1185-IF(H1185=0,1,0)</x:f>
        <x:v>2</x:v>
      </x:c>
      <x:c r="L1185" s="19" t="n">
        <x:f>E1185-IF(H1185=1,1,0)</x:f>
        <x:v>1</x:v>
      </x:c>
      <x:c r="M1185" s="19" t="n">
        <x:f>F1185-IF(H1185=2,1,0)</x:f>
        <x:v>1</x:v>
      </x:c>
      <x:c r="N1185" s="19" t="n">
        <x:f>MAX(K1185-1,0)+MAX(L1185-1,0)+MAX(M1185-1,0)</x:f>
        <x:v>1</x:v>
      </x:c>
      <x:c r="O1185" s="19" t="n">
        <x:f>IF(AND(SUM(K1185:M1185)&lt;9,OR(M1185=0,N1185&lt;6)),1,0)</x:f>
        <x:v>1</x:v>
      </x:c>
      <x:c r="P1185" s="19" t="n">
        <x:f>IF(AND(SUM(K1185:M1185)&lt;9,OR(L1185=0,N1185&lt;6)),1,0)</x:f>
        <x:v>1</x:v>
      </x:c>
      <x:c r="Q1185" s="19" t="n">
        <x:f>IF(AND(SUM(K1185:M1185)&lt;9,OR(K1185=0,N1185&lt;6)),1,0)</x:f>
        <x:v>1</x:v>
      </x:c>
      <x:c r="R1185" s="22" t="str">
        <x:f>O1185&amp;P1185&amp;Q1185</x:f>
        <x:v>111</x:v>
      </x:c>
      <x:c r="S1185" s="19" t="n">
        <x:f>IF(I1185=1,IF(J1185=0,Q1185,IF(J1185=1,P1185,IF(J1185=2,O1185,0))),0)</x:f>
        <x:v>1</x:v>
      </x:c>
      <x:c r="T1185" s="19" t="n">
        <x:f>K1185+IF(AND(S1185=1,J1185=0),1,0)</x:f>
        <x:v>2</x:v>
      </x:c>
      <x:c r="U1185" s="19" t="n">
        <x:f>L1185+IF(AND(S1185=1,J1185=1),1,0)</x:f>
        <x:v>2</x:v>
      </x:c>
      <x:c r="V1185" s="19" t="n">
        <x:f>M1185+IF(AND(S1185=1,J1185=2),1,0)</x:f>
        <x:v>1</x:v>
      </x:c>
      <x:c r="W1185" s="19" t="n">
        <x:f>SUM(T1185:V1185)</x:f>
        <x:v>5</x:v>
      </x:c>
      <x:c r="X1185" s="19" t="n">
        <x:f>W1185-G1185</x:f>
        <x:v>0</x:v>
      </x:c>
      <x:c r="Y1185" s="19" t="n">
        <x:f>MAX(T1185,1)+MAX(U1185,1)+MAX(V1185,1)</x:f>
        <x:v>5</x:v>
      </x:c>
      <x:c r="Z1185" s="21" t="str">
        <x:f>IF(AND(MIN(D1185:F1185)&gt;=0,MAX(D1185:F1185)&lt;=7,MAX(D1185,1)+MAX(E1185,1)+MAX(F1185,1)&lt;=9,OR(H1185="-",AND(H1185=0,D1185&gt;0),AND(H1185=1,E1185&gt;0),AND(H1185=2,F1185&gt;0)),OR(I1185=0,AND(I1185=1,OR(J1185=0,J1185=1,J1185=2),R1185&lt;&gt;"000")),Y1185&lt;=9,MIN(T1185:V1185)&gt;=0),"合法","输入违约")</x:f>
        <x:v>合法</x:v>
      </x:c>
    </x:row>
    <x:row r="1186" ht="23" customHeight="1">
      <x:c r="A1186" s="3" t="str">
        <x:v>CT-1179</x:v>
      </x:c>
      <x:c r="B1186" s="3" t="str">
        <x:v>ST-048</x:v>
      </x:c>
      <x:c r="C1186" s="3" t="str">
        <x:v>R+AR同收同发</x:v>
      </x:c>
      <x:c r="D1186" s="25" t="n">
        <x:v>2</x:v>
      </x:c>
      <x:c r="E1186" s="25" t="n">
        <x:v>1</x:v>
      </x:c>
      <x:c r="F1186" s="25" t="n">
        <x:v>2</x:v>
      </x:c>
      <x:c r="G1186" s="19" t="n">
        <x:f>SUM(D1186:F1186)</x:f>
        <x:v>5</x:v>
      </x:c>
      <x:c r="H1186" s="25" t="n">
        <x:v>2</x:v>
      </x:c>
      <x:c r="I1186" s="25" t="n">
        <x:v>1</x:v>
      </x:c>
      <x:c r="J1186" s="25" t="n">
        <x:v>2</x:v>
      </x:c>
      <x:c r="K1186" s="19" t="n">
        <x:f>D1186-IF(H1186=0,1,0)</x:f>
        <x:v>2</x:v>
      </x:c>
      <x:c r="L1186" s="19" t="n">
        <x:f>E1186-IF(H1186=1,1,0)</x:f>
        <x:v>1</x:v>
      </x:c>
      <x:c r="M1186" s="19" t="n">
        <x:f>F1186-IF(H1186=2,1,0)</x:f>
        <x:v>1</x:v>
      </x:c>
      <x:c r="N1186" s="19" t="n">
        <x:f>MAX(K1186-1,0)+MAX(L1186-1,0)+MAX(M1186-1,0)</x:f>
        <x:v>1</x:v>
      </x:c>
      <x:c r="O1186" s="19" t="n">
        <x:f>IF(AND(SUM(K1186:M1186)&lt;9,OR(M1186=0,N1186&lt;6)),1,0)</x:f>
        <x:v>1</x:v>
      </x:c>
      <x:c r="P1186" s="19" t="n">
        <x:f>IF(AND(SUM(K1186:M1186)&lt;9,OR(L1186=0,N1186&lt;6)),1,0)</x:f>
        <x:v>1</x:v>
      </x:c>
      <x:c r="Q1186" s="19" t="n">
        <x:f>IF(AND(SUM(K1186:M1186)&lt;9,OR(K1186=0,N1186&lt;6)),1,0)</x:f>
        <x:v>1</x:v>
      </x:c>
      <x:c r="R1186" s="22" t="str">
        <x:f>O1186&amp;P1186&amp;Q1186</x:f>
        <x:v>111</x:v>
      </x:c>
      <x:c r="S1186" s="19" t="n">
        <x:f>IF(I1186=1,IF(J1186=0,Q1186,IF(J1186=1,P1186,IF(J1186=2,O1186,0))),0)</x:f>
        <x:v>1</x:v>
      </x:c>
      <x:c r="T1186" s="19" t="n">
        <x:f>K1186+IF(AND(S1186=1,J1186=0),1,0)</x:f>
        <x:v>2</x:v>
      </x:c>
      <x:c r="U1186" s="19" t="n">
        <x:f>L1186+IF(AND(S1186=1,J1186=1),1,0)</x:f>
        <x:v>1</x:v>
      </x:c>
      <x:c r="V1186" s="19" t="n">
        <x:f>M1186+IF(AND(S1186=1,J1186=2),1,0)</x:f>
        <x:v>2</x:v>
      </x:c>
      <x:c r="W1186" s="19" t="n">
        <x:f>SUM(T1186:V1186)</x:f>
        <x:v>5</x:v>
      </x:c>
      <x:c r="X1186" s="19" t="n">
        <x:f>W1186-G1186</x:f>
        <x:v>0</x:v>
      </x:c>
      <x:c r="Y1186" s="19" t="n">
        <x:f>MAX(T1186,1)+MAX(U1186,1)+MAX(V1186,1)</x:f>
        <x:v>5</x:v>
      </x:c>
      <x:c r="Z1186" s="21" t="str">
        <x:f>IF(AND(MIN(D1186:F1186)&gt;=0,MAX(D1186:F1186)&lt;=7,MAX(D1186,1)+MAX(E1186,1)+MAX(F1186,1)&lt;=9,OR(H1186="-",AND(H1186=0,D1186&gt;0),AND(H1186=1,E1186&gt;0),AND(H1186=2,F1186&gt;0)),OR(I1186=0,AND(I1186=1,OR(J1186=0,J1186=1,J1186=2),R1186&lt;&gt;"000")),Y1186&lt;=9,MIN(T1186:V1186)&gt;=0),"合法","输入违约")</x:f>
        <x:v>合法</x:v>
      </x:c>
    </x:row>
    <x:row r="1187" ht="23" customHeight="1">
      <x:c r="A1187" s="3" t="str">
        <x:v>CT-1180</x:v>
      </x:c>
      <x:c r="B1187" s="3" t="str">
        <x:v>ST-071</x:v>
      </x:c>
      <x:c r="C1187" s="3" t="str">
        <x:v>无AR/R</x:v>
      </x:c>
      <x:c r="D1187" s="25" t="n">
        <x:v>2</x:v>
      </x:c>
      <x:c r="E1187" s="25" t="n">
        <x:v>1</x:v>
      </x:c>
      <x:c r="F1187" s="25" t="n">
        <x:v>3</x:v>
      </x:c>
      <x:c r="G1187" s="19" t="n">
        <x:f>SUM(D1187:F1187)</x:f>
        <x:v>6</x:v>
      </x:c>
      <x:c r="H1187" s="25" t="str">
        <x:v>-</x:v>
      </x:c>
      <x:c r="I1187" s="25" t="n">
        <x:v>0</x:v>
      </x:c>
      <x:c r="J1187" s="25" t="str">
        <x:v>-</x:v>
      </x:c>
      <x:c r="K1187" s="19" t="n">
        <x:f>D1187-IF(H1187=0,1,0)</x:f>
        <x:v>2</x:v>
      </x:c>
      <x:c r="L1187" s="19" t="n">
        <x:f>E1187-IF(H1187=1,1,0)</x:f>
        <x:v>1</x:v>
      </x:c>
      <x:c r="M1187" s="19" t="n">
        <x:f>F1187-IF(H1187=2,1,0)</x:f>
        <x:v>3</x:v>
      </x:c>
      <x:c r="N1187" s="19" t="n">
        <x:f>MAX(K1187-1,0)+MAX(L1187-1,0)+MAX(M1187-1,0)</x:f>
        <x:v>3</x:v>
      </x:c>
      <x:c r="O1187" s="19" t="n">
        <x:f>IF(AND(SUM(K1187:M1187)&lt;9,OR(M1187=0,N1187&lt;6)),1,0)</x:f>
        <x:v>1</x:v>
      </x:c>
      <x:c r="P1187" s="19" t="n">
        <x:f>IF(AND(SUM(K1187:M1187)&lt;9,OR(L1187=0,N1187&lt;6)),1,0)</x:f>
        <x:v>1</x:v>
      </x:c>
      <x:c r="Q1187" s="19" t="n">
        <x:f>IF(AND(SUM(K1187:M1187)&lt;9,OR(K1187=0,N1187&lt;6)),1,0)</x:f>
        <x:v>1</x:v>
      </x:c>
      <x:c r="R1187" s="22" t="str">
        <x:f>O1187&amp;P1187&amp;Q1187</x:f>
        <x:v>111</x:v>
      </x:c>
      <x:c r="S1187" s="19" t="n">
        <x:f>IF(I1187=1,IF(J1187=0,Q1187,IF(J1187=1,P1187,IF(J1187=2,O1187,0))),0)</x:f>
        <x:v>0</x:v>
      </x:c>
      <x:c r="T1187" s="19" t="n">
        <x:f>K1187+IF(AND(S1187=1,J1187=0),1,0)</x:f>
        <x:v>2</x:v>
      </x:c>
      <x:c r="U1187" s="19" t="n">
        <x:f>L1187+IF(AND(S1187=1,J1187=1),1,0)</x:f>
        <x:v>1</x:v>
      </x:c>
      <x:c r="V1187" s="19" t="n">
        <x:f>M1187+IF(AND(S1187=1,J1187=2),1,0)</x:f>
        <x:v>3</x:v>
      </x:c>
      <x:c r="W1187" s="19" t="n">
        <x:f>SUM(T1187:V1187)</x:f>
        <x:v>6</x:v>
      </x:c>
      <x:c r="X1187" s="19" t="n">
        <x:f>W1187-G1187</x:f>
        <x:v>0</x:v>
      </x:c>
      <x:c r="Y1187" s="19" t="n">
        <x:f>MAX(T1187,1)+MAX(U1187,1)+MAX(V1187,1)</x:f>
        <x:v>6</x:v>
      </x:c>
      <x:c r="Z1187" s="21" t="str">
        <x:f>IF(AND(MIN(D1187:F1187)&gt;=0,MAX(D1187:F1187)&lt;=7,MAX(D1187,1)+MAX(E1187,1)+MAX(F1187,1)&lt;=9,OR(H1187="-",AND(H1187=0,D1187&gt;0),AND(H1187=1,E1187&gt;0),AND(H1187=2,F1187&gt;0)),OR(I1187=0,AND(I1187=1,OR(J1187=0,J1187=1,J1187=2),R1187&lt;&gt;"000")),Y1187&lt;=9,MIN(T1187:V1187)&gt;=0),"合法","输入违约")</x:f>
        <x:v>合法</x:v>
      </x:c>
    </x:row>
    <x:row r="1188" ht="23" customHeight="1">
      <x:c r="A1188" s="3" t="str">
        <x:v>CT-1181</x:v>
      </x:c>
      <x:c r="B1188" s="3" t="str">
        <x:v>ST-071</x:v>
      </x:c>
      <x:c r="C1188" s="3" t="str">
        <x:v>仅AR接收</x:v>
      </x:c>
      <x:c r="D1188" s="25" t="n">
        <x:v>2</x:v>
      </x:c>
      <x:c r="E1188" s="25" t="n">
        <x:v>1</x:v>
      </x:c>
      <x:c r="F1188" s="25" t="n">
        <x:v>3</x:v>
      </x:c>
      <x:c r="G1188" s="19" t="n">
        <x:f>SUM(D1188:F1188)</x:f>
        <x:v>6</x:v>
      </x:c>
      <x:c r="H1188" s="25" t="str">
        <x:v>-</x:v>
      </x:c>
      <x:c r="I1188" s="25" t="n">
        <x:v>1</x:v>
      </x:c>
      <x:c r="J1188" s="25" t="n">
        <x:v>0</x:v>
      </x:c>
      <x:c r="K1188" s="19" t="n">
        <x:f>D1188-IF(H1188=0,1,0)</x:f>
        <x:v>2</x:v>
      </x:c>
      <x:c r="L1188" s="19" t="n">
        <x:f>E1188-IF(H1188=1,1,0)</x:f>
        <x:v>1</x:v>
      </x:c>
      <x:c r="M1188" s="19" t="n">
        <x:f>F1188-IF(H1188=2,1,0)</x:f>
        <x:v>3</x:v>
      </x:c>
      <x:c r="N1188" s="19" t="n">
        <x:f>MAX(K1188-1,0)+MAX(L1188-1,0)+MAX(M1188-1,0)</x:f>
        <x:v>3</x:v>
      </x:c>
      <x:c r="O1188" s="19" t="n">
        <x:f>IF(AND(SUM(K1188:M1188)&lt;9,OR(M1188=0,N1188&lt;6)),1,0)</x:f>
        <x:v>1</x:v>
      </x:c>
      <x:c r="P1188" s="19" t="n">
        <x:f>IF(AND(SUM(K1188:M1188)&lt;9,OR(L1188=0,N1188&lt;6)),1,0)</x:f>
        <x:v>1</x:v>
      </x:c>
      <x:c r="Q1188" s="19" t="n">
        <x:f>IF(AND(SUM(K1188:M1188)&lt;9,OR(K1188=0,N1188&lt;6)),1,0)</x:f>
        <x:v>1</x:v>
      </x:c>
      <x:c r="R1188" s="22" t="str">
        <x:f>O1188&amp;P1188&amp;Q1188</x:f>
        <x:v>111</x:v>
      </x:c>
      <x:c r="S1188" s="19" t="n">
        <x:f>IF(I1188=1,IF(J1188=0,Q1188,IF(J1188=1,P1188,IF(J1188=2,O1188,0))),0)</x:f>
        <x:v>1</x:v>
      </x:c>
      <x:c r="T1188" s="19" t="n">
        <x:f>K1188+IF(AND(S1188=1,J1188=0),1,0)</x:f>
        <x:v>3</x:v>
      </x:c>
      <x:c r="U1188" s="19" t="n">
        <x:f>L1188+IF(AND(S1188=1,J1188=1),1,0)</x:f>
        <x:v>1</x:v>
      </x:c>
      <x:c r="V1188" s="19" t="n">
        <x:f>M1188+IF(AND(S1188=1,J1188=2),1,0)</x:f>
        <x:v>3</x:v>
      </x:c>
      <x:c r="W1188" s="19" t="n">
        <x:f>SUM(T1188:V1188)</x:f>
        <x:v>7</x:v>
      </x:c>
      <x:c r="X1188" s="19" t="n">
        <x:f>W1188-G1188</x:f>
        <x:v>1</x:v>
      </x:c>
      <x:c r="Y1188" s="19" t="n">
        <x:f>MAX(T1188,1)+MAX(U1188,1)+MAX(V1188,1)</x:f>
        <x:v>7</x:v>
      </x:c>
      <x:c r="Z1188" s="21" t="str">
        <x:f>IF(AND(MIN(D1188:F1188)&gt;=0,MAX(D1188:F1188)&lt;=7,MAX(D1188,1)+MAX(E1188,1)+MAX(F1188,1)&lt;=9,OR(H1188="-",AND(H1188=0,D1188&gt;0),AND(H1188=1,E1188&gt;0),AND(H1188=2,F1188&gt;0)),OR(I1188=0,AND(I1188=1,OR(J1188=0,J1188=1,J1188=2),R1188&lt;&gt;"000")),Y1188&lt;=9,MIN(T1188:V1188)&gt;=0),"合法","输入违约")</x:f>
        <x:v>合法</x:v>
      </x:c>
    </x:row>
    <x:row r="1189" ht="23" customHeight="1">
      <x:c r="A1189" s="3" t="str">
        <x:v>CT-1182</x:v>
      </x:c>
      <x:c r="B1189" s="3" t="str">
        <x:v>ST-071</x:v>
      </x:c>
      <x:c r="C1189" s="3" t="str">
        <x:v>仅AR接收</x:v>
      </x:c>
      <x:c r="D1189" s="25" t="n">
        <x:v>2</x:v>
      </x:c>
      <x:c r="E1189" s="25" t="n">
        <x:v>1</x:v>
      </x:c>
      <x:c r="F1189" s="25" t="n">
        <x:v>3</x:v>
      </x:c>
      <x:c r="G1189" s="19" t="n">
        <x:f>SUM(D1189:F1189)</x:f>
        <x:v>6</x:v>
      </x:c>
      <x:c r="H1189" s="25" t="str">
        <x:v>-</x:v>
      </x:c>
      <x:c r="I1189" s="25" t="n">
        <x:v>1</x:v>
      </x:c>
      <x:c r="J1189" s="25" t="n">
        <x:v>1</x:v>
      </x:c>
      <x:c r="K1189" s="19" t="n">
        <x:f>D1189-IF(H1189=0,1,0)</x:f>
        <x:v>2</x:v>
      </x:c>
      <x:c r="L1189" s="19" t="n">
        <x:f>E1189-IF(H1189=1,1,0)</x:f>
        <x:v>1</x:v>
      </x:c>
      <x:c r="M1189" s="19" t="n">
        <x:f>F1189-IF(H1189=2,1,0)</x:f>
        <x:v>3</x:v>
      </x:c>
      <x:c r="N1189" s="19" t="n">
        <x:f>MAX(K1189-1,0)+MAX(L1189-1,0)+MAX(M1189-1,0)</x:f>
        <x:v>3</x:v>
      </x:c>
      <x:c r="O1189" s="19" t="n">
        <x:f>IF(AND(SUM(K1189:M1189)&lt;9,OR(M1189=0,N1189&lt;6)),1,0)</x:f>
        <x:v>1</x:v>
      </x:c>
      <x:c r="P1189" s="19" t="n">
        <x:f>IF(AND(SUM(K1189:M1189)&lt;9,OR(L1189=0,N1189&lt;6)),1,0)</x:f>
        <x:v>1</x:v>
      </x:c>
      <x:c r="Q1189" s="19" t="n">
        <x:f>IF(AND(SUM(K1189:M1189)&lt;9,OR(K1189=0,N1189&lt;6)),1,0)</x:f>
        <x:v>1</x:v>
      </x:c>
      <x:c r="R1189" s="22" t="str">
        <x:f>O1189&amp;P1189&amp;Q1189</x:f>
        <x:v>111</x:v>
      </x:c>
      <x:c r="S1189" s="19" t="n">
        <x:f>IF(I1189=1,IF(J1189=0,Q1189,IF(J1189=1,P1189,IF(J1189=2,O1189,0))),0)</x:f>
        <x:v>1</x:v>
      </x:c>
      <x:c r="T1189" s="19" t="n">
        <x:f>K1189+IF(AND(S1189=1,J1189=0),1,0)</x:f>
        <x:v>2</x:v>
      </x:c>
      <x:c r="U1189" s="19" t="n">
        <x:f>L1189+IF(AND(S1189=1,J1189=1),1,0)</x:f>
        <x:v>2</x:v>
      </x:c>
      <x:c r="V1189" s="19" t="n">
        <x:f>M1189+IF(AND(S1189=1,J1189=2),1,0)</x:f>
        <x:v>3</x:v>
      </x:c>
      <x:c r="W1189" s="19" t="n">
        <x:f>SUM(T1189:V1189)</x:f>
        <x:v>7</x:v>
      </x:c>
      <x:c r="X1189" s="19" t="n">
        <x:f>W1189-G1189</x:f>
        <x:v>1</x:v>
      </x:c>
      <x:c r="Y1189" s="19" t="n">
        <x:f>MAX(T1189,1)+MAX(U1189,1)+MAX(V1189,1)</x:f>
        <x:v>7</x:v>
      </x:c>
      <x:c r="Z1189" s="21" t="str">
        <x:f>IF(AND(MIN(D1189:F1189)&gt;=0,MAX(D1189:F1189)&lt;=7,MAX(D1189,1)+MAX(E1189,1)+MAX(F1189,1)&lt;=9,OR(H1189="-",AND(H1189=0,D1189&gt;0),AND(H1189=1,E1189&gt;0),AND(H1189=2,F1189&gt;0)),OR(I1189=0,AND(I1189=1,OR(J1189=0,J1189=1,J1189=2),R1189&lt;&gt;"000")),Y1189&lt;=9,MIN(T1189:V1189)&gt;=0),"合法","输入违约")</x:f>
        <x:v>合法</x:v>
      </x:c>
    </x:row>
    <x:row r="1190" ht="23" customHeight="1">
      <x:c r="A1190" s="3" t="str">
        <x:v>CT-1183</x:v>
      </x:c>
      <x:c r="B1190" s="3" t="str">
        <x:v>ST-071</x:v>
      </x:c>
      <x:c r="C1190" s="3" t="str">
        <x:v>仅AR接收</x:v>
      </x:c>
      <x:c r="D1190" s="25" t="n">
        <x:v>2</x:v>
      </x:c>
      <x:c r="E1190" s="25" t="n">
        <x:v>1</x:v>
      </x:c>
      <x:c r="F1190" s="25" t="n">
        <x:v>3</x:v>
      </x:c>
      <x:c r="G1190" s="19" t="n">
        <x:f>SUM(D1190:F1190)</x:f>
        <x:v>6</x:v>
      </x:c>
      <x:c r="H1190" s="25" t="str">
        <x:v>-</x:v>
      </x:c>
      <x:c r="I1190" s="25" t="n">
        <x:v>1</x:v>
      </x:c>
      <x:c r="J1190" s="25" t="n">
        <x:v>2</x:v>
      </x:c>
      <x:c r="K1190" s="19" t="n">
        <x:f>D1190-IF(H1190=0,1,0)</x:f>
        <x:v>2</x:v>
      </x:c>
      <x:c r="L1190" s="19" t="n">
        <x:f>E1190-IF(H1190=1,1,0)</x:f>
        <x:v>1</x:v>
      </x:c>
      <x:c r="M1190" s="19" t="n">
        <x:f>F1190-IF(H1190=2,1,0)</x:f>
        <x:v>3</x:v>
      </x:c>
      <x:c r="N1190" s="19" t="n">
        <x:f>MAX(K1190-1,0)+MAX(L1190-1,0)+MAX(M1190-1,0)</x:f>
        <x:v>3</x:v>
      </x:c>
      <x:c r="O1190" s="19" t="n">
        <x:f>IF(AND(SUM(K1190:M1190)&lt;9,OR(M1190=0,N1190&lt;6)),1,0)</x:f>
        <x:v>1</x:v>
      </x:c>
      <x:c r="P1190" s="19" t="n">
        <x:f>IF(AND(SUM(K1190:M1190)&lt;9,OR(L1190=0,N1190&lt;6)),1,0)</x:f>
        <x:v>1</x:v>
      </x:c>
      <x:c r="Q1190" s="19" t="n">
        <x:f>IF(AND(SUM(K1190:M1190)&lt;9,OR(K1190=0,N1190&lt;6)),1,0)</x:f>
        <x:v>1</x:v>
      </x:c>
      <x:c r="R1190" s="22" t="str">
        <x:f>O1190&amp;P1190&amp;Q1190</x:f>
        <x:v>111</x:v>
      </x:c>
      <x:c r="S1190" s="19" t="n">
        <x:f>IF(I1190=1,IF(J1190=0,Q1190,IF(J1190=1,P1190,IF(J1190=2,O1190,0))),0)</x:f>
        <x:v>1</x:v>
      </x:c>
      <x:c r="T1190" s="19" t="n">
        <x:f>K1190+IF(AND(S1190=1,J1190=0),1,0)</x:f>
        <x:v>2</x:v>
      </x:c>
      <x:c r="U1190" s="19" t="n">
        <x:f>L1190+IF(AND(S1190=1,J1190=1),1,0)</x:f>
        <x:v>1</x:v>
      </x:c>
      <x:c r="V1190" s="19" t="n">
        <x:f>M1190+IF(AND(S1190=1,J1190=2),1,0)</x:f>
        <x:v>4</x:v>
      </x:c>
      <x:c r="W1190" s="19" t="n">
        <x:f>SUM(T1190:V1190)</x:f>
        <x:v>7</x:v>
      </x:c>
      <x:c r="X1190" s="19" t="n">
        <x:f>W1190-G1190</x:f>
        <x:v>1</x:v>
      </x:c>
      <x:c r="Y1190" s="19" t="n">
        <x:f>MAX(T1190,1)+MAX(U1190,1)+MAX(V1190,1)</x:f>
        <x:v>7</x:v>
      </x:c>
      <x:c r="Z1190" s="21" t="str">
        <x:f>IF(AND(MIN(D1190:F1190)&gt;=0,MAX(D1190:F1190)&lt;=7,MAX(D1190,1)+MAX(E1190,1)+MAX(F1190,1)&lt;=9,OR(H1190="-",AND(H1190=0,D1190&gt;0),AND(H1190=1,E1190&gt;0),AND(H1190=2,F1190&gt;0)),OR(I1190=0,AND(I1190=1,OR(J1190=0,J1190=1,J1190=2),R1190&lt;&gt;"000")),Y1190&lt;=9,MIN(T1190:V1190)&gt;=0),"合法","输入违约")</x:f>
        <x:v>合法</x:v>
      </x:c>
    </x:row>
    <x:row r="1191" ht="23" customHeight="1">
      <x:c r="A1191" s="3" t="str">
        <x:v>CT-1184</x:v>
      </x:c>
      <x:c r="B1191" s="3" t="str">
        <x:v>ST-071</x:v>
      </x:c>
      <x:c r="C1191" s="3" t="str">
        <x:v>仅R回收</x:v>
      </x:c>
      <x:c r="D1191" s="25" t="n">
        <x:v>2</x:v>
      </x:c>
      <x:c r="E1191" s="25" t="n">
        <x:v>1</x:v>
      </x:c>
      <x:c r="F1191" s="25" t="n">
        <x:v>3</x:v>
      </x:c>
      <x:c r="G1191" s="19" t="n">
        <x:f>SUM(D1191:F1191)</x:f>
        <x:v>6</x:v>
      </x:c>
      <x:c r="H1191" s="25" t="n">
        <x:v>0</x:v>
      </x:c>
      <x:c r="I1191" s="25" t="n">
        <x:v>0</x:v>
      </x:c>
      <x:c r="J1191" s="25" t="str">
        <x:v>-</x:v>
      </x:c>
      <x:c r="K1191" s="19" t="n">
        <x:f>D1191-IF(H1191=0,1,0)</x:f>
        <x:v>1</x:v>
      </x:c>
      <x:c r="L1191" s="19" t="n">
        <x:f>E1191-IF(H1191=1,1,0)</x:f>
        <x:v>1</x:v>
      </x:c>
      <x:c r="M1191" s="19" t="n">
        <x:f>F1191-IF(H1191=2,1,0)</x:f>
        <x:v>3</x:v>
      </x:c>
      <x:c r="N1191" s="19" t="n">
        <x:f>MAX(K1191-1,0)+MAX(L1191-1,0)+MAX(M1191-1,0)</x:f>
        <x:v>2</x:v>
      </x:c>
      <x:c r="O1191" s="19" t="n">
        <x:f>IF(AND(SUM(K1191:M1191)&lt;9,OR(M1191=0,N1191&lt;6)),1,0)</x:f>
        <x:v>1</x:v>
      </x:c>
      <x:c r="P1191" s="19" t="n">
        <x:f>IF(AND(SUM(K1191:M1191)&lt;9,OR(L1191=0,N1191&lt;6)),1,0)</x:f>
        <x:v>1</x:v>
      </x:c>
      <x:c r="Q1191" s="19" t="n">
        <x:f>IF(AND(SUM(K1191:M1191)&lt;9,OR(K1191=0,N1191&lt;6)),1,0)</x:f>
        <x:v>1</x:v>
      </x:c>
      <x:c r="R1191" s="22" t="str">
        <x:f>O1191&amp;P1191&amp;Q1191</x:f>
        <x:v>111</x:v>
      </x:c>
      <x:c r="S1191" s="19" t="n">
        <x:f>IF(I1191=1,IF(J1191=0,Q1191,IF(J1191=1,P1191,IF(J1191=2,O1191,0))),0)</x:f>
        <x:v>0</x:v>
      </x:c>
      <x:c r="T1191" s="19" t="n">
        <x:f>K1191+IF(AND(S1191=1,J1191=0),1,0)</x:f>
        <x:v>1</x:v>
      </x:c>
      <x:c r="U1191" s="19" t="n">
        <x:f>L1191+IF(AND(S1191=1,J1191=1),1,0)</x:f>
        <x:v>1</x:v>
      </x:c>
      <x:c r="V1191" s="19" t="n">
        <x:f>M1191+IF(AND(S1191=1,J1191=2),1,0)</x:f>
        <x:v>3</x:v>
      </x:c>
      <x:c r="W1191" s="19" t="n">
        <x:f>SUM(T1191:V1191)</x:f>
        <x:v>5</x:v>
      </x:c>
      <x:c r="X1191" s="19" t="n">
        <x:f>W1191-G1191</x:f>
        <x:v>-1</x:v>
      </x:c>
      <x:c r="Y1191" s="19" t="n">
        <x:f>MAX(T1191,1)+MAX(U1191,1)+MAX(V1191,1)</x:f>
        <x:v>5</x:v>
      </x:c>
      <x:c r="Z1191" s="21" t="str">
        <x:f>IF(AND(MIN(D1191:F1191)&gt;=0,MAX(D1191:F1191)&lt;=7,MAX(D1191,1)+MAX(E1191,1)+MAX(F1191,1)&lt;=9,OR(H1191="-",AND(H1191=0,D1191&gt;0),AND(H1191=1,E1191&gt;0),AND(H1191=2,F1191&gt;0)),OR(I1191=0,AND(I1191=1,OR(J1191=0,J1191=1,J1191=2),R1191&lt;&gt;"000")),Y1191&lt;=9,MIN(T1191:V1191)&gt;=0),"合法","输入违约")</x:f>
        <x:v>合法</x:v>
      </x:c>
    </x:row>
    <x:row r="1192" ht="23" customHeight="1">
      <x:c r="A1192" s="3" t="str">
        <x:v>CT-1185</x:v>
      </x:c>
      <x:c r="B1192" s="3" t="str">
        <x:v>ST-071</x:v>
      </x:c>
      <x:c r="C1192" s="3" t="str">
        <x:v>R+AR同收同发</x:v>
      </x:c>
      <x:c r="D1192" s="25" t="n">
        <x:v>2</x:v>
      </x:c>
      <x:c r="E1192" s="25" t="n">
        <x:v>1</x:v>
      </x:c>
      <x:c r="F1192" s="25" t="n">
        <x:v>3</x:v>
      </x:c>
      <x:c r="G1192" s="19" t="n">
        <x:f>SUM(D1192:F1192)</x:f>
        <x:v>6</x:v>
      </x:c>
      <x:c r="H1192" s="25" t="n">
        <x:v>0</x:v>
      </x:c>
      <x:c r="I1192" s="25" t="n">
        <x:v>1</x:v>
      </x:c>
      <x:c r="J1192" s="25" t="n">
        <x:v>0</x:v>
      </x:c>
      <x:c r="K1192" s="19" t="n">
        <x:f>D1192-IF(H1192=0,1,0)</x:f>
        <x:v>1</x:v>
      </x:c>
      <x:c r="L1192" s="19" t="n">
        <x:f>E1192-IF(H1192=1,1,0)</x:f>
        <x:v>1</x:v>
      </x:c>
      <x:c r="M1192" s="19" t="n">
        <x:f>F1192-IF(H1192=2,1,0)</x:f>
        <x:v>3</x:v>
      </x:c>
      <x:c r="N1192" s="19" t="n">
        <x:f>MAX(K1192-1,0)+MAX(L1192-1,0)+MAX(M1192-1,0)</x:f>
        <x:v>2</x:v>
      </x:c>
      <x:c r="O1192" s="19" t="n">
        <x:f>IF(AND(SUM(K1192:M1192)&lt;9,OR(M1192=0,N1192&lt;6)),1,0)</x:f>
        <x:v>1</x:v>
      </x:c>
      <x:c r="P1192" s="19" t="n">
        <x:f>IF(AND(SUM(K1192:M1192)&lt;9,OR(L1192=0,N1192&lt;6)),1,0)</x:f>
        <x:v>1</x:v>
      </x:c>
      <x:c r="Q1192" s="19" t="n">
        <x:f>IF(AND(SUM(K1192:M1192)&lt;9,OR(K1192=0,N1192&lt;6)),1,0)</x:f>
        <x:v>1</x:v>
      </x:c>
      <x:c r="R1192" s="22" t="str">
        <x:f>O1192&amp;P1192&amp;Q1192</x:f>
        <x:v>111</x:v>
      </x:c>
      <x:c r="S1192" s="19" t="n">
        <x:f>IF(I1192=1,IF(J1192=0,Q1192,IF(J1192=1,P1192,IF(J1192=2,O1192,0))),0)</x:f>
        <x:v>1</x:v>
      </x:c>
      <x:c r="T1192" s="19" t="n">
        <x:f>K1192+IF(AND(S1192=1,J1192=0),1,0)</x:f>
        <x:v>2</x:v>
      </x:c>
      <x:c r="U1192" s="19" t="n">
        <x:f>L1192+IF(AND(S1192=1,J1192=1),1,0)</x:f>
        <x:v>1</x:v>
      </x:c>
      <x:c r="V1192" s="19" t="n">
        <x:f>M1192+IF(AND(S1192=1,J1192=2),1,0)</x:f>
        <x:v>3</x:v>
      </x:c>
      <x:c r="W1192" s="19" t="n">
        <x:f>SUM(T1192:V1192)</x:f>
        <x:v>6</x:v>
      </x:c>
      <x:c r="X1192" s="19" t="n">
        <x:f>W1192-G1192</x:f>
        <x:v>0</x:v>
      </x:c>
      <x:c r="Y1192" s="19" t="n">
        <x:f>MAX(T1192,1)+MAX(U1192,1)+MAX(V1192,1)</x:f>
        <x:v>6</x:v>
      </x:c>
      <x:c r="Z1192" s="21" t="str">
        <x:f>IF(AND(MIN(D1192:F1192)&gt;=0,MAX(D1192:F1192)&lt;=7,MAX(D1192,1)+MAX(E1192,1)+MAX(F1192,1)&lt;=9,OR(H1192="-",AND(H1192=0,D1192&gt;0),AND(H1192=1,E1192&gt;0),AND(H1192=2,F1192&gt;0)),OR(I1192=0,AND(I1192=1,OR(J1192=0,J1192=1,J1192=2),R1192&lt;&gt;"000")),Y1192&lt;=9,MIN(T1192:V1192)&gt;=0),"合法","输入违约")</x:f>
        <x:v>合法</x:v>
      </x:c>
    </x:row>
    <x:row r="1193" ht="23" customHeight="1">
      <x:c r="A1193" s="3" t="str">
        <x:v>CT-1186</x:v>
      </x:c>
      <x:c r="B1193" s="3" t="str">
        <x:v>ST-071</x:v>
      </x:c>
      <x:c r="C1193" s="3" t="str">
        <x:v>R+AR同收同发</x:v>
      </x:c>
      <x:c r="D1193" s="25" t="n">
        <x:v>2</x:v>
      </x:c>
      <x:c r="E1193" s="25" t="n">
        <x:v>1</x:v>
      </x:c>
      <x:c r="F1193" s="25" t="n">
        <x:v>3</x:v>
      </x:c>
      <x:c r="G1193" s="19" t="n">
        <x:f>SUM(D1193:F1193)</x:f>
        <x:v>6</x:v>
      </x:c>
      <x:c r="H1193" s="25" t="n">
        <x:v>0</x:v>
      </x:c>
      <x:c r="I1193" s="25" t="n">
        <x:v>1</x:v>
      </x:c>
      <x:c r="J1193" s="25" t="n">
        <x:v>1</x:v>
      </x:c>
      <x:c r="K1193" s="19" t="n">
        <x:f>D1193-IF(H1193=0,1,0)</x:f>
        <x:v>1</x:v>
      </x:c>
      <x:c r="L1193" s="19" t="n">
        <x:f>E1193-IF(H1193=1,1,0)</x:f>
        <x:v>1</x:v>
      </x:c>
      <x:c r="M1193" s="19" t="n">
        <x:f>F1193-IF(H1193=2,1,0)</x:f>
        <x:v>3</x:v>
      </x:c>
      <x:c r="N1193" s="19" t="n">
        <x:f>MAX(K1193-1,0)+MAX(L1193-1,0)+MAX(M1193-1,0)</x:f>
        <x:v>2</x:v>
      </x:c>
      <x:c r="O1193" s="19" t="n">
        <x:f>IF(AND(SUM(K1193:M1193)&lt;9,OR(M1193=0,N1193&lt;6)),1,0)</x:f>
        <x:v>1</x:v>
      </x:c>
      <x:c r="P1193" s="19" t="n">
        <x:f>IF(AND(SUM(K1193:M1193)&lt;9,OR(L1193=0,N1193&lt;6)),1,0)</x:f>
        <x:v>1</x:v>
      </x:c>
      <x:c r="Q1193" s="19" t="n">
        <x:f>IF(AND(SUM(K1193:M1193)&lt;9,OR(K1193=0,N1193&lt;6)),1,0)</x:f>
        <x:v>1</x:v>
      </x:c>
      <x:c r="R1193" s="22" t="str">
        <x:f>O1193&amp;P1193&amp;Q1193</x:f>
        <x:v>111</x:v>
      </x:c>
      <x:c r="S1193" s="19" t="n">
        <x:f>IF(I1193=1,IF(J1193=0,Q1193,IF(J1193=1,P1193,IF(J1193=2,O1193,0))),0)</x:f>
        <x:v>1</x:v>
      </x:c>
      <x:c r="T1193" s="19" t="n">
        <x:f>K1193+IF(AND(S1193=1,J1193=0),1,0)</x:f>
        <x:v>1</x:v>
      </x:c>
      <x:c r="U1193" s="19" t="n">
        <x:f>L1193+IF(AND(S1193=1,J1193=1),1,0)</x:f>
        <x:v>2</x:v>
      </x:c>
      <x:c r="V1193" s="19" t="n">
        <x:f>M1193+IF(AND(S1193=1,J1193=2),1,0)</x:f>
        <x:v>3</x:v>
      </x:c>
      <x:c r="W1193" s="19" t="n">
        <x:f>SUM(T1193:V1193)</x:f>
        <x:v>6</x:v>
      </x:c>
      <x:c r="X1193" s="19" t="n">
        <x:f>W1193-G1193</x:f>
        <x:v>0</x:v>
      </x:c>
      <x:c r="Y1193" s="19" t="n">
        <x:f>MAX(T1193,1)+MAX(U1193,1)+MAX(V1193,1)</x:f>
        <x:v>6</x:v>
      </x:c>
      <x:c r="Z1193" s="21" t="str">
        <x:f>IF(AND(MIN(D1193:F1193)&gt;=0,MAX(D1193:F1193)&lt;=7,MAX(D1193,1)+MAX(E1193,1)+MAX(F1193,1)&lt;=9,OR(H1193="-",AND(H1193=0,D1193&gt;0),AND(H1193=1,E1193&gt;0),AND(H1193=2,F1193&gt;0)),OR(I1193=0,AND(I1193=1,OR(J1193=0,J1193=1,J1193=2),R1193&lt;&gt;"000")),Y1193&lt;=9,MIN(T1193:V1193)&gt;=0),"合法","输入违约")</x:f>
        <x:v>合法</x:v>
      </x:c>
    </x:row>
    <x:row r="1194" ht="23" customHeight="1">
      <x:c r="A1194" s="3" t="str">
        <x:v>CT-1187</x:v>
      </x:c>
      <x:c r="B1194" s="3" t="str">
        <x:v>ST-071</x:v>
      </x:c>
      <x:c r="C1194" s="3" t="str">
        <x:v>R+AR同收同发</x:v>
      </x:c>
      <x:c r="D1194" s="25" t="n">
        <x:v>2</x:v>
      </x:c>
      <x:c r="E1194" s="25" t="n">
        <x:v>1</x:v>
      </x:c>
      <x:c r="F1194" s="25" t="n">
        <x:v>3</x:v>
      </x:c>
      <x:c r="G1194" s="19" t="n">
        <x:f>SUM(D1194:F1194)</x:f>
        <x:v>6</x:v>
      </x:c>
      <x:c r="H1194" s="25" t="n">
        <x:v>0</x:v>
      </x:c>
      <x:c r="I1194" s="25" t="n">
        <x:v>1</x:v>
      </x:c>
      <x:c r="J1194" s="25" t="n">
        <x:v>2</x:v>
      </x:c>
      <x:c r="K1194" s="19" t="n">
        <x:f>D1194-IF(H1194=0,1,0)</x:f>
        <x:v>1</x:v>
      </x:c>
      <x:c r="L1194" s="19" t="n">
        <x:f>E1194-IF(H1194=1,1,0)</x:f>
        <x:v>1</x:v>
      </x:c>
      <x:c r="M1194" s="19" t="n">
        <x:f>F1194-IF(H1194=2,1,0)</x:f>
        <x:v>3</x:v>
      </x:c>
      <x:c r="N1194" s="19" t="n">
        <x:f>MAX(K1194-1,0)+MAX(L1194-1,0)+MAX(M1194-1,0)</x:f>
        <x:v>2</x:v>
      </x:c>
      <x:c r="O1194" s="19" t="n">
        <x:f>IF(AND(SUM(K1194:M1194)&lt;9,OR(M1194=0,N1194&lt;6)),1,0)</x:f>
        <x:v>1</x:v>
      </x:c>
      <x:c r="P1194" s="19" t="n">
        <x:f>IF(AND(SUM(K1194:M1194)&lt;9,OR(L1194=0,N1194&lt;6)),1,0)</x:f>
        <x:v>1</x:v>
      </x:c>
      <x:c r="Q1194" s="19" t="n">
        <x:f>IF(AND(SUM(K1194:M1194)&lt;9,OR(K1194=0,N1194&lt;6)),1,0)</x:f>
        <x:v>1</x:v>
      </x:c>
      <x:c r="R1194" s="22" t="str">
        <x:f>O1194&amp;P1194&amp;Q1194</x:f>
        <x:v>111</x:v>
      </x:c>
      <x:c r="S1194" s="19" t="n">
        <x:f>IF(I1194=1,IF(J1194=0,Q1194,IF(J1194=1,P1194,IF(J1194=2,O1194,0))),0)</x:f>
        <x:v>1</x:v>
      </x:c>
      <x:c r="T1194" s="19" t="n">
        <x:f>K1194+IF(AND(S1194=1,J1194=0),1,0)</x:f>
        <x:v>1</x:v>
      </x:c>
      <x:c r="U1194" s="19" t="n">
        <x:f>L1194+IF(AND(S1194=1,J1194=1),1,0)</x:f>
        <x:v>1</x:v>
      </x:c>
      <x:c r="V1194" s="19" t="n">
        <x:f>M1194+IF(AND(S1194=1,J1194=2),1,0)</x:f>
        <x:v>4</x:v>
      </x:c>
      <x:c r="W1194" s="19" t="n">
        <x:f>SUM(T1194:V1194)</x:f>
        <x:v>6</x:v>
      </x:c>
      <x:c r="X1194" s="19" t="n">
        <x:f>W1194-G1194</x:f>
        <x:v>0</x:v>
      </x:c>
      <x:c r="Y1194" s="19" t="n">
        <x:f>MAX(T1194,1)+MAX(U1194,1)+MAX(V1194,1)</x:f>
        <x:v>6</x:v>
      </x:c>
      <x:c r="Z1194" s="21" t="str">
        <x:f>IF(AND(MIN(D1194:F1194)&gt;=0,MAX(D1194:F1194)&lt;=7,MAX(D1194,1)+MAX(E1194,1)+MAX(F1194,1)&lt;=9,OR(H1194="-",AND(H1194=0,D1194&gt;0),AND(H1194=1,E1194&gt;0),AND(H1194=2,F1194&gt;0)),OR(I1194=0,AND(I1194=1,OR(J1194=0,J1194=1,J1194=2),R1194&lt;&gt;"000")),Y1194&lt;=9,MIN(T1194:V1194)&gt;=0),"合法","输入违约")</x:f>
        <x:v>合法</x:v>
      </x:c>
    </x:row>
    <x:row r="1195" ht="23" customHeight="1">
      <x:c r="A1195" s="3" t="str">
        <x:v>CT-1188</x:v>
      </x:c>
      <x:c r="B1195" s="3" t="str">
        <x:v>ST-071</x:v>
      </x:c>
      <x:c r="C1195" s="3" t="str">
        <x:v>仅R回收</x:v>
      </x:c>
      <x:c r="D1195" s="25" t="n">
        <x:v>2</x:v>
      </x:c>
      <x:c r="E1195" s="25" t="n">
        <x:v>1</x:v>
      </x:c>
      <x:c r="F1195" s="25" t="n">
        <x:v>3</x:v>
      </x:c>
      <x:c r="G1195" s="19" t="n">
        <x:f>SUM(D1195:F1195)</x:f>
        <x:v>6</x:v>
      </x:c>
      <x:c r="H1195" s="25" t="n">
        <x:v>1</x:v>
      </x:c>
      <x:c r="I1195" s="25" t="n">
        <x:v>0</x:v>
      </x:c>
      <x:c r="J1195" s="25" t="str">
        <x:v>-</x:v>
      </x:c>
      <x:c r="K1195" s="19" t="n">
        <x:f>D1195-IF(H1195=0,1,0)</x:f>
        <x:v>2</x:v>
      </x:c>
      <x:c r="L1195" s="19" t="n">
        <x:f>E1195-IF(H1195=1,1,0)</x:f>
        <x:v>0</x:v>
      </x:c>
      <x:c r="M1195" s="19" t="n">
        <x:f>F1195-IF(H1195=2,1,0)</x:f>
        <x:v>3</x:v>
      </x:c>
      <x:c r="N1195" s="19" t="n">
        <x:f>MAX(K1195-1,0)+MAX(L1195-1,0)+MAX(M1195-1,0)</x:f>
        <x:v>3</x:v>
      </x:c>
      <x:c r="O1195" s="19" t="n">
        <x:f>IF(AND(SUM(K1195:M1195)&lt;9,OR(M1195=0,N1195&lt;6)),1,0)</x:f>
        <x:v>1</x:v>
      </x:c>
      <x:c r="P1195" s="19" t="n">
        <x:f>IF(AND(SUM(K1195:M1195)&lt;9,OR(L1195=0,N1195&lt;6)),1,0)</x:f>
        <x:v>1</x:v>
      </x:c>
      <x:c r="Q1195" s="19" t="n">
        <x:f>IF(AND(SUM(K1195:M1195)&lt;9,OR(K1195=0,N1195&lt;6)),1,0)</x:f>
        <x:v>1</x:v>
      </x:c>
      <x:c r="R1195" s="22" t="str">
        <x:f>O1195&amp;P1195&amp;Q1195</x:f>
        <x:v>111</x:v>
      </x:c>
      <x:c r="S1195" s="19" t="n">
        <x:f>IF(I1195=1,IF(J1195=0,Q1195,IF(J1195=1,P1195,IF(J1195=2,O1195,0))),0)</x:f>
        <x:v>0</x:v>
      </x:c>
      <x:c r="T1195" s="19" t="n">
        <x:f>K1195+IF(AND(S1195=1,J1195=0),1,0)</x:f>
        <x:v>2</x:v>
      </x:c>
      <x:c r="U1195" s="19" t="n">
        <x:f>L1195+IF(AND(S1195=1,J1195=1),1,0)</x:f>
        <x:v>0</x:v>
      </x:c>
      <x:c r="V1195" s="19" t="n">
        <x:f>M1195+IF(AND(S1195=1,J1195=2),1,0)</x:f>
        <x:v>3</x:v>
      </x:c>
      <x:c r="W1195" s="19" t="n">
        <x:f>SUM(T1195:V1195)</x:f>
        <x:v>5</x:v>
      </x:c>
      <x:c r="X1195" s="19" t="n">
        <x:f>W1195-G1195</x:f>
        <x:v>-1</x:v>
      </x:c>
      <x:c r="Y1195" s="19" t="n">
        <x:f>MAX(T1195,1)+MAX(U1195,1)+MAX(V1195,1)</x:f>
        <x:v>6</x:v>
      </x:c>
      <x:c r="Z1195" s="21" t="str">
        <x:f>IF(AND(MIN(D1195:F1195)&gt;=0,MAX(D1195:F1195)&lt;=7,MAX(D1195,1)+MAX(E1195,1)+MAX(F1195,1)&lt;=9,OR(H1195="-",AND(H1195=0,D1195&gt;0),AND(H1195=1,E1195&gt;0),AND(H1195=2,F1195&gt;0)),OR(I1195=0,AND(I1195=1,OR(J1195=0,J1195=1,J1195=2),R1195&lt;&gt;"000")),Y1195&lt;=9,MIN(T1195:V1195)&gt;=0),"合法","输入违约")</x:f>
        <x:v>合法</x:v>
      </x:c>
    </x:row>
    <x:row r="1196" ht="23" customHeight="1">
      <x:c r="A1196" s="3" t="str">
        <x:v>CT-1189</x:v>
      </x:c>
      <x:c r="B1196" s="3" t="str">
        <x:v>ST-071</x:v>
      </x:c>
      <x:c r="C1196" s="3" t="str">
        <x:v>R+AR同收同发</x:v>
      </x:c>
      <x:c r="D1196" s="25" t="n">
        <x:v>2</x:v>
      </x:c>
      <x:c r="E1196" s="25" t="n">
        <x:v>1</x:v>
      </x:c>
      <x:c r="F1196" s="25" t="n">
        <x:v>3</x:v>
      </x:c>
      <x:c r="G1196" s="19" t="n">
        <x:f>SUM(D1196:F1196)</x:f>
        <x:v>6</x:v>
      </x:c>
      <x:c r="H1196" s="25" t="n">
        <x:v>1</x:v>
      </x:c>
      <x:c r="I1196" s="25" t="n">
        <x:v>1</x:v>
      </x:c>
      <x:c r="J1196" s="25" t="n">
        <x:v>0</x:v>
      </x:c>
      <x:c r="K1196" s="19" t="n">
        <x:f>D1196-IF(H1196=0,1,0)</x:f>
        <x:v>2</x:v>
      </x:c>
      <x:c r="L1196" s="19" t="n">
        <x:f>E1196-IF(H1196=1,1,0)</x:f>
        <x:v>0</x:v>
      </x:c>
      <x:c r="M1196" s="19" t="n">
        <x:f>F1196-IF(H1196=2,1,0)</x:f>
        <x:v>3</x:v>
      </x:c>
      <x:c r="N1196" s="19" t="n">
        <x:f>MAX(K1196-1,0)+MAX(L1196-1,0)+MAX(M1196-1,0)</x:f>
        <x:v>3</x:v>
      </x:c>
      <x:c r="O1196" s="19" t="n">
        <x:f>IF(AND(SUM(K1196:M1196)&lt;9,OR(M1196=0,N1196&lt;6)),1,0)</x:f>
        <x:v>1</x:v>
      </x:c>
      <x:c r="P1196" s="19" t="n">
        <x:f>IF(AND(SUM(K1196:M1196)&lt;9,OR(L1196=0,N1196&lt;6)),1,0)</x:f>
        <x:v>1</x:v>
      </x:c>
      <x:c r="Q1196" s="19" t="n">
        <x:f>IF(AND(SUM(K1196:M1196)&lt;9,OR(K1196=0,N1196&lt;6)),1,0)</x:f>
        <x:v>1</x:v>
      </x:c>
      <x:c r="R1196" s="22" t="str">
        <x:f>O1196&amp;P1196&amp;Q1196</x:f>
        <x:v>111</x:v>
      </x:c>
      <x:c r="S1196" s="19" t="n">
        <x:f>IF(I1196=1,IF(J1196=0,Q1196,IF(J1196=1,P1196,IF(J1196=2,O1196,0))),0)</x:f>
        <x:v>1</x:v>
      </x:c>
      <x:c r="T1196" s="19" t="n">
        <x:f>K1196+IF(AND(S1196=1,J1196=0),1,0)</x:f>
        <x:v>3</x:v>
      </x:c>
      <x:c r="U1196" s="19" t="n">
        <x:f>L1196+IF(AND(S1196=1,J1196=1),1,0)</x:f>
        <x:v>0</x:v>
      </x:c>
      <x:c r="V1196" s="19" t="n">
        <x:f>M1196+IF(AND(S1196=1,J1196=2),1,0)</x:f>
        <x:v>3</x:v>
      </x:c>
      <x:c r="W1196" s="19" t="n">
        <x:f>SUM(T1196:V1196)</x:f>
        <x:v>6</x:v>
      </x:c>
      <x:c r="X1196" s="19" t="n">
        <x:f>W1196-G1196</x:f>
        <x:v>0</x:v>
      </x:c>
      <x:c r="Y1196" s="19" t="n">
        <x:f>MAX(T1196,1)+MAX(U1196,1)+MAX(V1196,1)</x:f>
        <x:v>7</x:v>
      </x:c>
      <x:c r="Z1196" s="21" t="str">
        <x:f>IF(AND(MIN(D1196:F1196)&gt;=0,MAX(D1196:F1196)&lt;=7,MAX(D1196,1)+MAX(E1196,1)+MAX(F1196,1)&lt;=9,OR(H1196="-",AND(H1196=0,D1196&gt;0),AND(H1196=1,E1196&gt;0),AND(H1196=2,F1196&gt;0)),OR(I1196=0,AND(I1196=1,OR(J1196=0,J1196=1,J1196=2),R1196&lt;&gt;"000")),Y1196&lt;=9,MIN(T1196:V1196)&gt;=0),"合法","输入违约")</x:f>
        <x:v>合法</x:v>
      </x:c>
    </x:row>
    <x:row r="1197" ht="23" customHeight="1">
      <x:c r="A1197" s="3" t="str">
        <x:v>CT-1190</x:v>
      </x:c>
      <x:c r="B1197" s="3" t="str">
        <x:v>ST-071</x:v>
      </x:c>
      <x:c r="C1197" s="3" t="str">
        <x:v>R+AR同收同发</x:v>
      </x:c>
      <x:c r="D1197" s="25" t="n">
        <x:v>2</x:v>
      </x:c>
      <x:c r="E1197" s="25" t="n">
        <x:v>1</x:v>
      </x:c>
      <x:c r="F1197" s="25" t="n">
        <x:v>3</x:v>
      </x:c>
      <x:c r="G1197" s="19" t="n">
        <x:f>SUM(D1197:F1197)</x:f>
        <x:v>6</x:v>
      </x:c>
      <x:c r="H1197" s="25" t="n">
        <x:v>1</x:v>
      </x:c>
      <x:c r="I1197" s="25" t="n">
        <x:v>1</x:v>
      </x:c>
      <x:c r="J1197" s="25" t="n">
        <x:v>1</x:v>
      </x:c>
      <x:c r="K1197" s="19" t="n">
        <x:f>D1197-IF(H1197=0,1,0)</x:f>
        <x:v>2</x:v>
      </x:c>
      <x:c r="L1197" s="19" t="n">
        <x:f>E1197-IF(H1197=1,1,0)</x:f>
        <x:v>0</x:v>
      </x:c>
      <x:c r="M1197" s="19" t="n">
        <x:f>F1197-IF(H1197=2,1,0)</x:f>
        <x:v>3</x:v>
      </x:c>
      <x:c r="N1197" s="19" t="n">
        <x:f>MAX(K1197-1,0)+MAX(L1197-1,0)+MAX(M1197-1,0)</x:f>
        <x:v>3</x:v>
      </x:c>
      <x:c r="O1197" s="19" t="n">
        <x:f>IF(AND(SUM(K1197:M1197)&lt;9,OR(M1197=0,N1197&lt;6)),1,0)</x:f>
        <x:v>1</x:v>
      </x:c>
      <x:c r="P1197" s="19" t="n">
        <x:f>IF(AND(SUM(K1197:M1197)&lt;9,OR(L1197=0,N1197&lt;6)),1,0)</x:f>
        <x:v>1</x:v>
      </x:c>
      <x:c r="Q1197" s="19" t="n">
        <x:f>IF(AND(SUM(K1197:M1197)&lt;9,OR(K1197=0,N1197&lt;6)),1,0)</x:f>
        <x:v>1</x:v>
      </x:c>
      <x:c r="R1197" s="22" t="str">
        <x:f>O1197&amp;P1197&amp;Q1197</x:f>
        <x:v>111</x:v>
      </x:c>
      <x:c r="S1197" s="19" t="n">
        <x:f>IF(I1197=1,IF(J1197=0,Q1197,IF(J1197=1,P1197,IF(J1197=2,O1197,0))),0)</x:f>
        <x:v>1</x:v>
      </x:c>
      <x:c r="T1197" s="19" t="n">
        <x:f>K1197+IF(AND(S1197=1,J1197=0),1,0)</x:f>
        <x:v>2</x:v>
      </x:c>
      <x:c r="U1197" s="19" t="n">
        <x:f>L1197+IF(AND(S1197=1,J1197=1),1,0)</x:f>
        <x:v>1</x:v>
      </x:c>
      <x:c r="V1197" s="19" t="n">
        <x:f>M1197+IF(AND(S1197=1,J1197=2),1,0)</x:f>
        <x:v>3</x:v>
      </x:c>
      <x:c r="W1197" s="19" t="n">
        <x:f>SUM(T1197:V1197)</x:f>
        <x:v>6</x:v>
      </x:c>
      <x:c r="X1197" s="19" t="n">
        <x:f>W1197-G1197</x:f>
        <x:v>0</x:v>
      </x:c>
      <x:c r="Y1197" s="19" t="n">
        <x:f>MAX(T1197,1)+MAX(U1197,1)+MAX(V1197,1)</x:f>
        <x:v>6</x:v>
      </x:c>
      <x:c r="Z1197" s="21" t="str">
        <x:f>IF(AND(MIN(D1197:F1197)&gt;=0,MAX(D1197:F1197)&lt;=7,MAX(D1197,1)+MAX(E1197,1)+MAX(F1197,1)&lt;=9,OR(H1197="-",AND(H1197=0,D1197&gt;0),AND(H1197=1,E1197&gt;0),AND(H1197=2,F1197&gt;0)),OR(I1197=0,AND(I1197=1,OR(J1197=0,J1197=1,J1197=2),R1197&lt;&gt;"000")),Y1197&lt;=9,MIN(T1197:V1197)&gt;=0),"合法","输入违约")</x:f>
        <x:v>合法</x:v>
      </x:c>
    </x:row>
    <x:row r="1198" ht="23" customHeight="1">
      <x:c r="A1198" s="3" t="str">
        <x:v>CT-1191</x:v>
      </x:c>
      <x:c r="B1198" s="3" t="str">
        <x:v>ST-071</x:v>
      </x:c>
      <x:c r="C1198" s="3" t="str">
        <x:v>R+AR同收同发</x:v>
      </x:c>
      <x:c r="D1198" s="25" t="n">
        <x:v>2</x:v>
      </x:c>
      <x:c r="E1198" s="25" t="n">
        <x:v>1</x:v>
      </x:c>
      <x:c r="F1198" s="25" t="n">
        <x:v>3</x:v>
      </x:c>
      <x:c r="G1198" s="19" t="n">
        <x:f>SUM(D1198:F1198)</x:f>
        <x:v>6</x:v>
      </x:c>
      <x:c r="H1198" s="25" t="n">
        <x:v>1</x:v>
      </x:c>
      <x:c r="I1198" s="25" t="n">
        <x:v>1</x:v>
      </x:c>
      <x:c r="J1198" s="25" t="n">
        <x:v>2</x:v>
      </x:c>
      <x:c r="K1198" s="19" t="n">
        <x:f>D1198-IF(H1198=0,1,0)</x:f>
        <x:v>2</x:v>
      </x:c>
      <x:c r="L1198" s="19" t="n">
        <x:f>E1198-IF(H1198=1,1,0)</x:f>
        <x:v>0</x:v>
      </x:c>
      <x:c r="M1198" s="19" t="n">
        <x:f>F1198-IF(H1198=2,1,0)</x:f>
        <x:v>3</x:v>
      </x:c>
      <x:c r="N1198" s="19" t="n">
        <x:f>MAX(K1198-1,0)+MAX(L1198-1,0)+MAX(M1198-1,0)</x:f>
        <x:v>3</x:v>
      </x:c>
      <x:c r="O1198" s="19" t="n">
        <x:f>IF(AND(SUM(K1198:M1198)&lt;9,OR(M1198=0,N1198&lt;6)),1,0)</x:f>
        <x:v>1</x:v>
      </x:c>
      <x:c r="P1198" s="19" t="n">
        <x:f>IF(AND(SUM(K1198:M1198)&lt;9,OR(L1198=0,N1198&lt;6)),1,0)</x:f>
        <x:v>1</x:v>
      </x:c>
      <x:c r="Q1198" s="19" t="n">
        <x:f>IF(AND(SUM(K1198:M1198)&lt;9,OR(K1198=0,N1198&lt;6)),1,0)</x:f>
        <x:v>1</x:v>
      </x:c>
      <x:c r="R1198" s="22" t="str">
        <x:f>O1198&amp;P1198&amp;Q1198</x:f>
        <x:v>111</x:v>
      </x:c>
      <x:c r="S1198" s="19" t="n">
        <x:f>IF(I1198=1,IF(J1198=0,Q1198,IF(J1198=1,P1198,IF(J1198=2,O1198,0))),0)</x:f>
        <x:v>1</x:v>
      </x:c>
      <x:c r="T1198" s="19" t="n">
        <x:f>K1198+IF(AND(S1198=1,J1198=0),1,0)</x:f>
        <x:v>2</x:v>
      </x:c>
      <x:c r="U1198" s="19" t="n">
        <x:f>L1198+IF(AND(S1198=1,J1198=1),1,0)</x:f>
        <x:v>0</x:v>
      </x:c>
      <x:c r="V1198" s="19" t="n">
        <x:f>M1198+IF(AND(S1198=1,J1198=2),1,0)</x:f>
        <x:v>4</x:v>
      </x:c>
      <x:c r="W1198" s="19" t="n">
        <x:f>SUM(T1198:V1198)</x:f>
        <x:v>6</x:v>
      </x:c>
      <x:c r="X1198" s="19" t="n">
        <x:f>W1198-G1198</x:f>
        <x:v>0</x:v>
      </x:c>
      <x:c r="Y1198" s="19" t="n">
        <x:f>MAX(T1198,1)+MAX(U1198,1)+MAX(V1198,1)</x:f>
        <x:v>7</x:v>
      </x:c>
      <x:c r="Z1198" s="21" t="str">
        <x:f>IF(AND(MIN(D1198:F1198)&gt;=0,MAX(D1198:F1198)&lt;=7,MAX(D1198,1)+MAX(E1198,1)+MAX(F1198,1)&lt;=9,OR(H1198="-",AND(H1198=0,D1198&gt;0),AND(H1198=1,E1198&gt;0),AND(H1198=2,F1198&gt;0)),OR(I1198=0,AND(I1198=1,OR(J1198=0,J1198=1,J1198=2),R1198&lt;&gt;"000")),Y1198&lt;=9,MIN(T1198:V1198)&gt;=0),"合法","输入违约")</x:f>
        <x:v>合法</x:v>
      </x:c>
    </x:row>
    <x:row r="1199" ht="23" customHeight="1">
      <x:c r="A1199" s="3" t="str">
        <x:v>CT-1192</x:v>
      </x:c>
      <x:c r="B1199" s="3" t="str">
        <x:v>ST-071</x:v>
      </x:c>
      <x:c r="C1199" s="3" t="str">
        <x:v>仅R回收</x:v>
      </x:c>
      <x:c r="D1199" s="25" t="n">
        <x:v>2</x:v>
      </x:c>
      <x:c r="E1199" s="25" t="n">
        <x:v>1</x:v>
      </x:c>
      <x:c r="F1199" s="25" t="n">
        <x:v>3</x:v>
      </x:c>
      <x:c r="G1199" s="19" t="n">
        <x:f>SUM(D1199:F1199)</x:f>
        <x:v>6</x:v>
      </x:c>
      <x:c r="H1199" s="25" t="n">
        <x:v>2</x:v>
      </x:c>
      <x:c r="I1199" s="25" t="n">
        <x:v>0</x:v>
      </x:c>
      <x:c r="J1199" s="25" t="str">
        <x:v>-</x:v>
      </x:c>
      <x:c r="K1199" s="19" t="n">
        <x:f>D1199-IF(H1199=0,1,0)</x:f>
        <x:v>2</x:v>
      </x:c>
      <x:c r="L1199" s="19" t="n">
        <x:f>E1199-IF(H1199=1,1,0)</x:f>
        <x:v>1</x:v>
      </x:c>
      <x:c r="M1199" s="19" t="n">
        <x:f>F1199-IF(H1199=2,1,0)</x:f>
        <x:v>2</x:v>
      </x:c>
      <x:c r="N1199" s="19" t="n">
        <x:f>MAX(K1199-1,0)+MAX(L1199-1,0)+MAX(M1199-1,0)</x:f>
        <x:v>2</x:v>
      </x:c>
      <x:c r="O1199" s="19" t="n">
        <x:f>IF(AND(SUM(K1199:M1199)&lt;9,OR(M1199=0,N1199&lt;6)),1,0)</x:f>
        <x:v>1</x:v>
      </x:c>
      <x:c r="P1199" s="19" t="n">
        <x:f>IF(AND(SUM(K1199:M1199)&lt;9,OR(L1199=0,N1199&lt;6)),1,0)</x:f>
        <x:v>1</x:v>
      </x:c>
      <x:c r="Q1199" s="19" t="n">
        <x:f>IF(AND(SUM(K1199:M1199)&lt;9,OR(K1199=0,N1199&lt;6)),1,0)</x:f>
        <x:v>1</x:v>
      </x:c>
      <x:c r="R1199" s="22" t="str">
        <x:f>O1199&amp;P1199&amp;Q1199</x:f>
        <x:v>111</x:v>
      </x:c>
      <x:c r="S1199" s="19" t="n">
        <x:f>IF(I1199=1,IF(J1199=0,Q1199,IF(J1199=1,P1199,IF(J1199=2,O1199,0))),0)</x:f>
        <x:v>0</x:v>
      </x:c>
      <x:c r="T1199" s="19" t="n">
        <x:f>K1199+IF(AND(S1199=1,J1199=0),1,0)</x:f>
        <x:v>2</x:v>
      </x:c>
      <x:c r="U1199" s="19" t="n">
        <x:f>L1199+IF(AND(S1199=1,J1199=1),1,0)</x:f>
        <x:v>1</x:v>
      </x:c>
      <x:c r="V1199" s="19" t="n">
        <x:f>M1199+IF(AND(S1199=1,J1199=2),1,0)</x:f>
        <x:v>2</x:v>
      </x:c>
      <x:c r="W1199" s="19" t="n">
        <x:f>SUM(T1199:V1199)</x:f>
        <x:v>5</x:v>
      </x:c>
      <x:c r="X1199" s="19" t="n">
        <x:f>W1199-G1199</x:f>
        <x:v>-1</x:v>
      </x:c>
      <x:c r="Y1199" s="19" t="n">
        <x:f>MAX(T1199,1)+MAX(U1199,1)+MAX(V1199,1)</x:f>
        <x:v>5</x:v>
      </x:c>
      <x:c r="Z1199" s="21" t="str">
        <x:f>IF(AND(MIN(D1199:F1199)&gt;=0,MAX(D1199:F1199)&lt;=7,MAX(D1199,1)+MAX(E1199,1)+MAX(F1199,1)&lt;=9,OR(H1199="-",AND(H1199=0,D1199&gt;0),AND(H1199=1,E1199&gt;0),AND(H1199=2,F1199&gt;0)),OR(I1199=0,AND(I1199=1,OR(J1199=0,J1199=1,J1199=2),R1199&lt;&gt;"000")),Y1199&lt;=9,MIN(T1199:V1199)&gt;=0),"合法","输入违约")</x:f>
        <x:v>合法</x:v>
      </x:c>
    </x:row>
    <x:row r="1200" ht="23" customHeight="1">
      <x:c r="A1200" s="3" t="str">
        <x:v>CT-1193</x:v>
      </x:c>
      <x:c r="B1200" s="3" t="str">
        <x:v>ST-071</x:v>
      </x:c>
      <x:c r="C1200" s="3" t="str">
        <x:v>R+AR同收同发</x:v>
      </x:c>
      <x:c r="D1200" s="25" t="n">
        <x:v>2</x:v>
      </x:c>
      <x:c r="E1200" s="25" t="n">
        <x:v>1</x:v>
      </x:c>
      <x:c r="F1200" s="25" t="n">
        <x:v>3</x:v>
      </x:c>
      <x:c r="G1200" s="19" t="n">
        <x:f>SUM(D1200:F1200)</x:f>
        <x:v>6</x:v>
      </x:c>
      <x:c r="H1200" s="25" t="n">
        <x:v>2</x:v>
      </x:c>
      <x:c r="I1200" s="25" t="n">
        <x:v>1</x:v>
      </x:c>
      <x:c r="J1200" s="25" t="n">
        <x:v>0</x:v>
      </x:c>
      <x:c r="K1200" s="19" t="n">
        <x:f>D1200-IF(H1200=0,1,0)</x:f>
        <x:v>2</x:v>
      </x:c>
      <x:c r="L1200" s="19" t="n">
        <x:f>E1200-IF(H1200=1,1,0)</x:f>
        <x:v>1</x:v>
      </x:c>
      <x:c r="M1200" s="19" t="n">
        <x:f>F1200-IF(H1200=2,1,0)</x:f>
        <x:v>2</x:v>
      </x:c>
      <x:c r="N1200" s="19" t="n">
        <x:f>MAX(K1200-1,0)+MAX(L1200-1,0)+MAX(M1200-1,0)</x:f>
        <x:v>2</x:v>
      </x:c>
      <x:c r="O1200" s="19" t="n">
        <x:f>IF(AND(SUM(K1200:M1200)&lt;9,OR(M1200=0,N1200&lt;6)),1,0)</x:f>
        <x:v>1</x:v>
      </x:c>
      <x:c r="P1200" s="19" t="n">
        <x:f>IF(AND(SUM(K1200:M1200)&lt;9,OR(L1200=0,N1200&lt;6)),1,0)</x:f>
        <x:v>1</x:v>
      </x:c>
      <x:c r="Q1200" s="19" t="n">
        <x:f>IF(AND(SUM(K1200:M1200)&lt;9,OR(K1200=0,N1200&lt;6)),1,0)</x:f>
        <x:v>1</x:v>
      </x:c>
      <x:c r="R1200" s="22" t="str">
        <x:f>O1200&amp;P1200&amp;Q1200</x:f>
        <x:v>111</x:v>
      </x:c>
      <x:c r="S1200" s="19" t="n">
        <x:f>IF(I1200=1,IF(J1200=0,Q1200,IF(J1200=1,P1200,IF(J1200=2,O1200,0))),0)</x:f>
        <x:v>1</x:v>
      </x:c>
      <x:c r="T1200" s="19" t="n">
        <x:f>K1200+IF(AND(S1200=1,J1200=0),1,0)</x:f>
        <x:v>3</x:v>
      </x:c>
      <x:c r="U1200" s="19" t="n">
        <x:f>L1200+IF(AND(S1200=1,J1200=1),1,0)</x:f>
        <x:v>1</x:v>
      </x:c>
      <x:c r="V1200" s="19" t="n">
        <x:f>M1200+IF(AND(S1200=1,J1200=2),1,0)</x:f>
        <x:v>2</x:v>
      </x:c>
      <x:c r="W1200" s="19" t="n">
        <x:f>SUM(T1200:V1200)</x:f>
        <x:v>6</x:v>
      </x:c>
      <x:c r="X1200" s="19" t="n">
        <x:f>W1200-G1200</x:f>
        <x:v>0</x:v>
      </x:c>
      <x:c r="Y1200" s="19" t="n">
        <x:f>MAX(T1200,1)+MAX(U1200,1)+MAX(V1200,1)</x:f>
        <x:v>6</x:v>
      </x:c>
      <x:c r="Z1200" s="21" t="str">
        <x:f>IF(AND(MIN(D1200:F1200)&gt;=0,MAX(D1200:F1200)&lt;=7,MAX(D1200,1)+MAX(E1200,1)+MAX(F1200,1)&lt;=9,OR(H1200="-",AND(H1200=0,D1200&gt;0),AND(H1200=1,E1200&gt;0),AND(H1200=2,F1200&gt;0)),OR(I1200=0,AND(I1200=1,OR(J1200=0,J1200=1,J1200=2),R1200&lt;&gt;"000")),Y1200&lt;=9,MIN(T1200:V1200)&gt;=0),"合法","输入违约")</x:f>
        <x:v>合法</x:v>
      </x:c>
    </x:row>
    <x:row r="1201" ht="23" customHeight="1">
      <x:c r="A1201" s="3" t="str">
        <x:v>CT-1194</x:v>
      </x:c>
      <x:c r="B1201" s="3" t="str">
        <x:v>ST-071</x:v>
      </x:c>
      <x:c r="C1201" s="3" t="str">
        <x:v>R+AR同收同发</x:v>
      </x:c>
      <x:c r="D1201" s="25" t="n">
        <x:v>2</x:v>
      </x:c>
      <x:c r="E1201" s="25" t="n">
        <x:v>1</x:v>
      </x:c>
      <x:c r="F1201" s="25" t="n">
        <x:v>3</x:v>
      </x:c>
      <x:c r="G1201" s="19" t="n">
        <x:f>SUM(D1201:F1201)</x:f>
        <x:v>6</x:v>
      </x:c>
      <x:c r="H1201" s="25" t="n">
        <x:v>2</x:v>
      </x:c>
      <x:c r="I1201" s="25" t="n">
        <x:v>1</x:v>
      </x:c>
      <x:c r="J1201" s="25" t="n">
        <x:v>1</x:v>
      </x:c>
      <x:c r="K1201" s="19" t="n">
        <x:f>D1201-IF(H1201=0,1,0)</x:f>
        <x:v>2</x:v>
      </x:c>
      <x:c r="L1201" s="19" t="n">
        <x:f>E1201-IF(H1201=1,1,0)</x:f>
        <x:v>1</x:v>
      </x:c>
      <x:c r="M1201" s="19" t="n">
        <x:f>F1201-IF(H1201=2,1,0)</x:f>
        <x:v>2</x:v>
      </x:c>
      <x:c r="N1201" s="19" t="n">
        <x:f>MAX(K1201-1,0)+MAX(L1201-1,0)+MAX(M1201-1,0)</x:f>
        <x:v>2</x:v>
      </x:c>
      <x:c r="O1201" s="19" t="n">
        <x:f>IF(AND(SUM(K1201:M1201)&lt;9,OR(M1201=0,N1201&lt;6)),1,0)</x:f>
        <x:v>1</x:v>
      </x:c>
      <x:c r="P1201" s="19" t="n">
        <x:f>IF(AND(SUM(K1201:M1201)&lt;9,OR(L1201=0,N1201&lt;6)),1,0)</x:f>
        <x:v>1</x:v>
      </x:c>
      <x:c r="Q1201" s="19" t="n">
        <x:f>IF(AND(SUM(K1201:M1201)&lt;9,OR(K1201=0,N1201&lt;6)),1,0)</x:f>
        <x:v>1</x:v>
      </x:c>
      <x:c r="R1201" s="22" t="str">
        <x:f>O1201&amp;P1201&amp;Q1201</x:f>
        <x:v>111</x:v>
      </x:c>
      <x:c r="S1201" s="19" t="n">
        <x:f>IF(I1201=1,IF(J1201=0,Q1201,IF(J1201=1,P1201,IF(J1201=2,O1201,0))),0)</x:f>
        <x:v>1</x:v>
      </x:c>
      <x:c r="T1201" s="19" t="n">
        <x:f>K1201+IF(AND(S1201=1,J1201=0),1,0)</x:f>
        <x:v>2</x:v>
      </x:c>
      <x:c r="U1201" s="19" t="n">
        <x:f>L1201+IF(AND(S1201=1,J1201=1),1,0)</x:f>
        <x:v>2</x:v>
      </x:c>
      <x:c r="V1201" s="19" t="n">
        <x:f>M1201+IF(AND(S1201=1,J1201=2),1,0)</x:f>
        <x:v>2</x:v>
      </x:c>
      <x:c r="W1201" s="19" t="n">
        <x:f>SUM(T1201:V1201)</x:f>
        <x:v>6</x:v>
      </x:c>
      <x:c r="X1201" s="19" t="n">
        <x:f>W1201-G1201</x:f>
        <x:v>0</x:v>
      </x:c>
      <x:c r="Y1201" s="19" t="n">
        <x:f>MAX(T1201,1)+MAX(U1201,1)+MAX(V1201,1)</x:f>
        <x:v>6</x:v>
      </x:c>
      <x:c r="Z1201" s="21" t="str">
        <x:f>IF(AND(MIN(D1201:F1201)&gt;=0,MAX(D1201:F1201)&lt;=7,MAX(D1201,1)+MAX(E1201,1)+MAX(F1201,1)&lt;=9,OR(H1201="-",AND(H1201=0,D1201&gt;0),AND(H1201=1,E1201&gt;0),AND(H1201=2,F1201&gt;0)),OR(I1201=0,AND(I1201=1,OR(J1201=0,J1201=1,J1201=2),R1201&lt;&gt;"000")),Y1201&lt;=9,MIN(T1201:V1201)&gt;=0),"合法","输入违约")</x:f>
        <x:v>合法</x:v>
      </x:c>
    </x:row>
    <x:row r="1202" ht="23" customHeight="1">
      <x:c r="A1202" s="3" t="str">
        <x:v>CT-1195</x:v>
      </x:c>
      <x:c r="B1202" s="3" t="str">
        <x:v>ST-071</x:v>
      </x:c>
      <x:c r="C1202" s="3" t="str">
        <x:v>R+AR同收同发</x:v>
      </x:c>
      <x:c r="D1202" s="25" t="n">
        <x:v>2</x:v>
      </x:c>
      <x:c r="E1202" s="25" t="n">
        <x:v>1</x:v>
      </x:c>
      <x:c r="F1202" s="25" t="n">
        <x:v>3</x:v>
      </x:c>
      <x:c r="G1202" s="19" t="n">
        <x:f>SUM(D1202:F1202)</x:f>
        <x:v>6</x:v>
      </x:c>
      <x:c r="H1202" s="25" t="n">
        <x:v>2</x:v>
      </x:c>
      <x:c r="I1202" s="25" t="n">
        <x:v>1</x:v>
      </x:c>
      <x:c r="J1202" s="25" t="n">
        <x:v>2</x:v>
      </x:c>
      <x:c r="K1202" s="19" t="n">
        <x:f>D1202-IF(H1202=0,1,0)</x:f>
        <x:v>2</x:v>
      </x:c>
      <x:c r="L1202" s="19" t="n">
        <x:f>E1202-IF(H1202=1,1,0)</x:f>
        <x:v>1</x:v>
      </x:c>
      <x:c r="M1202" s="19" t="n">
        <x:f>F1202-IF(H1202=2,1,0)</x:f>
        <x:v>2</x:v>
      </x:c>
      <x:c r="N1202" s="19" t="n">
        <x:f>MAX(K1202-1,0)+MAX(L1202-1,0)+MAX(M1202-1,0)</x:f>
        <x:v>2</x:v>
      </x:c>
      <x:c r="O1202" s="19" t="n">
        <x:f>IF(AND(SUM(K1202:M1202)&lt;9,OR(M1202=0,N1202&lt;6)),1,0)</x:f>
        <x:v>1</x:v>
      </x:c>
      <x:c r="P1202" s="19" t="n">
        <x:f>IF(AND(SUM(K1202:M1202)&lt;9,OR(L1202=0,N1202&lt;6)),1,0)</x:f>
        <x:v>1</x:v>
      </x:c>
      <x:c r="Q1202" s="19" t="n">
        <x:f>IF(AND(SUM(K1202:M1202)&lt;9,OR(K1202=0,N1202&lt;6)),1,0)</x:f>
        <x:v>1</x:v>
      </x:c>
      <x:c r="R1202" s="22" t="str">
        <x:f>O1202&amp;P1202&amp;Q1202</x:f>
        <x:v>111</x:v>
      </x:c>
      <x:c r="S1202" s="19" t="n">
        <x:f>IF(I1202=1,IF(J1202=0,Q1202,IF(J1202=1,P1202,IF(J1202=2,O1202,0))),0)</x:f>
        <x:v>1</x:v>
      </x:c>
      <x:c r="T1202" s="19" t="n">
        <x:f>K1202+IF(AND(S1202=1,J1202=0),1,0)</x:f>
        <x:v>2</x:v>
      </x:c>
      <x:c r="U1202" s="19" t="n">
        <x:f>L1202+IF(AND(S1202=1,J1202=1),1,0)</x:f>
        <x:v>1</x:v>
      </x:c>
      <x:c r="V1202" s="19" t="n">
        <x:f>M1202+IF(AND(S1202=1,J1202=2),1,0)</x:f>
        <x:v>3</x:v>
      </x:c>
      <x:c r="W1202" s="19" t="n">
        <x:f>SUM(T1202:V1202)</x:f>
        <x:v>6</x:v>
      </x:c>
      <x:c r="X1202" s="19" t="n">
        <x:f>W1202-G1202</x:f>
        <x:v>0</x:v>
      </x:c>
      <x:c r="Y1202" s="19" t="n">
        <x:f>MAX(T1202,1)+MAX(U1202,1)+MAX(V1202,1)</x:f>
        <x:v>6</x:v>
      </x:c>
      <x:c r="Z1202" s="21" t="str">
        <x:f>IF(AND(MIN(D1202:F1202)&gt;=0,MAX(D1202:F1202)&lt;=7,MAX(D1202,1)+MAX(E1202,1)+MAX(F1202,1)&lt;=9,OR(H1202="-",AND(H1202=0,D1202&gt;0),AND(H1202=1,E1202&gt;0),AND(H1202=2,F1202&gt;0)),OR(I1202=0,AND(I1202=1,OR(J1202=0,J1202=1,J1202=2),R1202&lt;&gt;"000")),Y1202&lt;=9,MIN(T1202:V1202)&gt;=0),"合法","输入违约")</x:f>
        <x:v>合法</x:v>
      </x:c>
    </x:row>
    <x:row r="1203" ht="23" customHeight="1">
      <x:c r="A1203" s="3" t="str">
        <x:v>CT-1196</x:v>
      </x:c>
      <x:c r="B1203" s="3" t="str">
        <x:v>ST-101</x:v>
      </x:c>
      <x:c r="C1203" s="3" t="str">
        <x:v>无AR/R</x:v>
      </x:c>
      <x:c r="D1203" s="25" t="n">
        <x:v>2</x:v>
      </x:c>
      <x:c r="E1203" s="25" t="n">
        <x:v>1</x:v>
      </x:c>
      <x:c r="F1203" s="25" t="n">
        <x:v>4</x:v>
      </x:c>
      <x:c r="G1203" s="19" t="n">
        <x:f>SUM(D1203:F1203)</x:f>
        <x:v>7</x:v>
      </x:c>
      <x:c r="H1203" s="25" t="str">
        <x:v>-</x:v>
      </x:c>
      <x:c r="I1203" s="25" t="n">
        <x:v>0</x:v>
      </x:c>
      <x:c r="J1203" s="25" t="str">
        <x:v>-</x:v>
      </x:c>
      <x:c r="K1203" s="19" t="n">
        <x:f>D1203-IF(H1203=0,1,0)</x:f>
        <x:v>2</x:v>
      </x:c>
      <x:c r="L1203" s="19" t="n">
        <x:f>E1203-IF(H1203=1,1,0)</x:f>
        <x:v>1</x:v>
      </x:c>
      <x:c r="M1203" s="19" t="n">
        <x:f>F1203-IF(H1203=2,1,0)</x:f>
        <x:v>4</x:v>
      </x:c>
      <x:c r="N1203" s="19" t="n">
        <x:f>MAX(K1203-1,0)+MAX(L1203-1,0)+MAX(M1203-1,0)</x:f>
        <x:v>4</x:v>
      </x:c>
      <x:c r="O1203" s="19" t="n">
        <x:f>IF(AND(SUM(K1203:M1203)&lt;9,OR(M1203=0,N1203&lt;6)),1,0)</x:f>
        <x:v>1</x:v>
      </x:c>
      <x:c r="P1203" s="19" t="n">
        <x:f>IF(AND(SUM(K1203:M1203)&lt;9,OR(L1203=0,N1203&lt;6)),1,0)</x:f>
        <x:v>1</x:v>
      </x:c>
      <x:c r="Q1203" s="19" t="n">
        <x:f>IF(AND(SUM(K1203:M1203)&lt;9,OR(K1203=0,N1203&lt;6)),1,0)</x:f>
        <x:v>1</x:v>
      </x:c>
      <x:c r="R1203" s="22" t="str">
        <x:f>O1203&amp;P1203&amp;Q1203</x:f>
        <x:v>111</x:v>
      </x:c>
      <x:c r="S1203" s="19" t="n">
        <x:f>IF(I1203=1,IF(J1203=0,Q1203,IF(J1203=1,P1203,IF(J1203=2,O1203,0))),0)</x:f>
        <x:v>0</x:v>
      </x:c>
      <x:c r="T1203" s="19" t="n">
        <x:f>K1203+IF(AND(S1203=1,J1203=0),1,0)</x:f>
        <x:v>2</x:v>
      </x:c>
      <x:c r="U1203" s="19" t="n">
        <x:f>L1203+IF(AND(S1203=1,J1203=1),1,0)</x:f>
        <x:v>1</x:v>
      </x:c>
      <x:c r="V1203" s="19" t="n">
        <x:f>M1203+IF(AND(S1203=1,J1203=2),1,0)</x:f>
        <x:v>4</x:v>
      </x:c>
      <x:c r="W1203" s="19" t="n">
        <x:f>SUM(T1203:V1203)</x:f>
        <x:v>7</x:v>
      </x:c>
      <x:c r="X1203" s="19" t="n">
        <x:f>W1203-G1203</x:f>
        <x:v>0</x:v>
      </x:c>
      <x:c r="Y1203" s="19" t="n">
        <x:f>MAX(T1203,1)+MAX(U1203,1)+MAX(V1203,1)</x:f>
        <x:v>7</x:v>
      </x:c>
      <x:c r="Z1203" s="21" t="str">
        <x:f>IF(AND(MIN(D1203:F1203)&gt;=0,MAX(D1203:F1203)&lt;=7,MAX(D1203,1)+MAX(E1203,1)+MAX(F1203,1)&lt;=9,OR(H1203="-",AND(H1203=0,D1203&gt;0),AND(H1203=1,E1203&gt;0),AND(H1203=2,F1203&gt;0)),OR(I1203=0,AND(I1203=1,OR(J1203=0,J1203=1,J1203=2),R1203&lt;&gt;"000")),Y1203&lt;=9,MIN(T1203:V1203)&gt;=0),"合法","输入违约")</x:f>
        <x:v>合法</x:v>
      </x:c>
    </x:row>
    <x:row r="1204" ht="23" customHeight="1">
      <x:c r="A1204" s="3" t="str">
        <x:v>CT-1197</x:v>
      </x:c>
      <x:c r="B1204" s="3" t="str">
        <x:v>ST-101</x:v>
      </x:c>
      <x:c r="C1204" s="3" t="str">
        <x:v>仅AR接收</x:v>
      </x:c>
      <x:c r="D1204" s="25" t="n">
        <x:v>2</x:v>
      </x:c>
      <x:c r="E1204" s="25" t="n">
        <x:v>1</x:v>
      </x:c>
      <x:c r="F1204" s="25" t="n">
        <x:v>4</x:v>
      </x:c>
      <x:c r="G1204" s="19" t="n">
        <x:f>SUM(D1204:F1204)</x:f>
        <x:v>7</x:v>
      </x:c>
      <x:c r="H1204" s="25" t="str">
        <x:v>-</x:v>
      </x:c>
      <x:c r="I1204" s="25" t="n">
        <x:v>1</x:v>
      </x:c>
      <x:c r="J1204" s="25" t="n">
        <x:v>0</x:v>
      </x:c>
      <x:c r="K1204" s="19" t="n">
        <x:f>D1204-IF(H1204=0,1,0)</x:f>
        <x:v>2</x:v>
      </x:c>
      <x:c r="L1204" s="19" t="n">
        <x:f>E1204-IF(H1204=1,1,0)</x:f>
        <x:v>1</x:v>
      </x:c>
      <x:c r="M1204" s="19" t="n">
        <x:f>F1204-IF(H1204=2,1,0)</x:f>
        <x:v>4</x:v>
      </x:c>
      <x:c r="N1204" s="19" t="n">
        <x:f>MAX(K1204-1,0)+MAX(L1204-1,0)+MAX(M1204-1,0)</x:f>
        <x:v>4</x:v>
      </x:c>
      <x:c r="O1204" s="19" t="n">
        <x:f>IF(AND(SUM(K1204:M1204)&lt;9,OR(M1204=0,N1204&lt;6)),1,0)</x:f>
        <x:v>1</x:v>
      </x:c>
      <x:c r="P1204" s="19" t="n">
        <x:f>IF(AND(SUM(K1204:M1204)&lt;9,OR(L1204=0,N1204&lt;6)),1,0)</x:f>
        <x:v>1</x:v>
      </x:c>
      <x:c r="Q1204" s="19" t="n">
        <x:f>IF(AND(SUM(K1204:M1204)&lt;9,OR(K1204=0,N1204&lt;6)),1,0)</x:f>
        <x:v>1</x:v>
      </x:c>
      <x:c r="R1204" s="22" t="str">
        <x:f>O1204&amp;P1204&amp;Q1204</x:f>
        <x:v>111</x:v>
      </x:c>
      <x:c r="S1204" s="19" t="n">
        <x:f>IF(I1204=1,IF(J1204=0,Q1204,IF(J1204=1,P1204,IF(J1204=2,O1204,0))),0)</x:f>
        <x:v>1</x:v>
      </x:c>
      <x:c r="T1204" s="19" t="n">
        <x:f>K1204+IF(AND(S1204=1,J1204=0),1,0)</x:f>
        <x:v>3</x:v>
      </x:c>
      <x:c r="U1204" s="19" t="n">
        <x:f>L1204+IF(AND(S1204=1,J1204=1),1,0)</x:f>
        <x:v>1</x:v>
      </x:c>
      <x:c r="V1204" s="19" t="n">
        <x:f>M1204+IF(AND(S1204=1,J1204=2),1,0)</x:f>
        <x:v>4</x:v>
      </x:c>
      <x:c r="W1204" s="19" t="n">
        <x:f>SUM(T1204:V1204)</x:f>
        <x:v>8</x:v>
      </x:c>
      <x:c r="X1204" s="19" t="n">
        <x:f>W1204-G1204</x:f>
        <x:v>1</x:v>
      </x:c>
      <x:c r="Y1204" s="19" t="n">
        <x:f>MAX(T1204,1)+MAX(U1204,1)+MAX(V1204,1)</x:f>
        <x:v>8</x:v>
      </x:c>
      <x:c r="Z1204" s="21" t="str">
        <x:f>IF(AND(MIN(D1204:F1204)&gt;=0,MAX(D1204:F1204)&lt;=7,MAX(D1204,1)+MAX(E1204,1)+MAX(F1204,1)&lt;=9,OR(H1204="-",AND(H1204=0,D1204&gt;0),AND(H1204=1,E1204&gt;0),AND(H1204=2,F1204&gt;0)),OR(I1204=0,AND(I1204=1,OR(J1204=0,J1204=1,J1204=2),R1204&lt;&gt;"000")),Y1204&lt;=9,MIN(T1204:V1204)&gt;=0),"合法","输入违约")</x:f>
        <x:v>合法</x:v>
      </x:c>
    </x:row>
    <x:row r="1205" ht="23" customHeight="1">
      <x:c r="A1205" s="3" t="str">
        <x:v>CT-1198</x:v>
      </x:c>
      <x:c r="B1205" s="3" t="str">
        <x:v>ST-101</x:v>
      </x:c>
      <x:c r="C1205" s="3" t="str">
        <x:v>仅AR接收</x:v>
      </x:c>
      <x:c r="D1205" s="25" t="n">
        <x:v>2</x:v>
      </x:c>
      <x:c r="E1205" s="25" t="n">
        <x:v>1</x:v>
      </x:c>
      <x:c r="F1205" s="25" t="n">
        <x:v>4</x:v>
      </x:c>
      <x:c r="G1205" s="19" t="n">
        <x:f>SUM(D1205:F1205)</x:f>
        <x:v>7</x:v>
      </x:c>
      <x:c r="H1205" s="25" t="str">
        <x:v>-</x:v>
      </x:c>
      <x:c r="I1205" s="25" t="n">
        <x:v>1</x:v>
      </x:c>
      <x:c r="J1205" s="25" t="n">
        <x:v>1</x:v>
      </x:c>
      <x:c r="K1205" s="19" t="n">
        <x:f>D1205-IF(H1205=0,1,0)</x:f>
        <x:v>2</x:v>
      </x:c>
      <x:c r="L1205" s="19" t="n">
        <x:f>E1205-IF(H1205=1,1,0)</x:f>
        <x:v>1</x:v>
      </x:c>
      <x:c r="M1205" s="19" t="n">
        <x:f>F1205-IF(H1205=2,1,0)</x:f>
        <x:v>4</x:v>
      </x:c>
      <x:c r="N1205" s="19" t="n">
        <x:f>MAX(K1205-1,0)+MAX(L1205-1,0)+MAX(M1205-1,0)</x:f>
        <x:v>4</x:v>
      </x:c>
      <x:c r="O1205" s="19" t="n">
        <x:f>IF(AND(SUM(K1205:M1205)&lt;9,OR(M1205=0,N1205&lt;6)),1,0)</x:f>
        <x:v>1</x:v>
      </x:c>
      <x:c r="P1205" s="19" t="n">
        <x:f>IF(AND(SUM(K1205:M1205)&lt;9,OR(L1205=0,N1205&lt;6)),1,0)</x:f>
        <x:v>1</x:v>
      </x:c>
      <x:c r="Q1205" s="19" t="n">
        <x:f>IF(AND(SUM(K1205:M1205)&lt;9,OR(K1205=0,N1205&lt;6)),1,0)</x:f>
        <x:v>1</x:v>
      </x:c>
      <x:c r="R1205" s="22" t="str">
        <x:f>O1205&amp;P1205&amp;Q1205</x:f>
        <x:v>111</x:v>
      </x:c>
      <x:c r="S1205" s="19" t="n">
        <x:f>IF(I1205=1,IF(J1205=0,Q1205,IF(J1205=1,P1205,IF(J1205=2,O1205,0))),0)</x:f>
        <x:v>1</x:v>
      </x:c>
      <x:c r="T1205" s="19" t="n">
        <x:f>K1205+IF(AND(S1205=1,J1205=0),1,0)</x:f>
        <x:v>2</x:v>
      </x:c>
      <x:c r="U1205" s="19" t="n">
        <x:f>L1205+IF(AND(S1205=1,J1205=1),1,0)</x:f>
        <x:v>2</x:v>
      </x:c>
      <x:c r="V1205" s="19" t="n">
        <x:f>M1205+IF(AND(S1205=1,J1205=2),1,0)</x:f>
        <x:v>4</x:v>
      </x:c>
      <x:c r="W1205" s="19" t="n">
        <x:f>SUM(T1205:V1205)</x:f>
        <x:v>8</x:v>
      </x:c>
      <x:c r="X1205" s="19" t="n">
        <x:f>W1205-G1205</x:f>
        <x:v>1</x:v>
      </x:c>
      <x:c r="Y1205" s="19" t="n">
        <x:f>MAX(T1205,1)+MAX(U1205,1)+MAX(V1205,1)</x:f>
        <x:v>8</x:v>
      </x:c>
      <x:c r="Z1205" s="21" t="str">
        <x:f>IF(AND(MIN(D1205:F1205)&gt;=0,MAX(D1205:F1205)&lt;=7,MAX(D1205,1)+MAX(E1205,1)+MAX(F1205,1)&lt;=9,OR(H1205="-",AND(H1205=0,D1205&gt;0),AND(H1205=1,E1205&gt;0),AND(H1205=2,F1205&gt;0)),OR(I1205=0,AND(I1205=1,OR(J1205=0,J1205=1,J1205=2),R1205&lt;&gt;"000")),Y1205&lt;=9,MIN(T1205:V1205)&gt;=0),"合法","输入违约")</x:f>
        <x:v>合法</x:v>
      </x:c>
    </x:row>
    <x:row r="1206" ht="23" customHeight="1">
      <x:c r="A1206" s="3" t="str">
        <x:v>CT-1199</x:v>
      </x:c>
      <x:c r="B1206" s="3" t="str">
        <x:v>ST-101</x:v>
      </x:c>
      <x:c r="C1206" s="3" t="str">
        <x:v>仅AR接收</x:v>
      </x:c>
      <x:c r="D1206" s="25" t="n">
        <x:v>2</x:v>
      </x:c>
      <x:c r="E1206" s="25" t="n">
        <x:v>1</x:v>
      </x:c>
      <x:c r="F1206" s="25" t="n">
        <x:v>4</x:v>
      </x:c>
      <x:c r="G1206" s="19" t="n">
        <x:f>SUM(D1206:F1206)</x:f>
        <x:v>7</x:v>
      </x:c>
      <x:c r="H1206" s="25" t="str">
        <x:v>-</x:v>
      </x:c>
      <x:c r="I1206" s="25" t="n">
        <x:v>1</x:v>
      </x:c>
      <x:c r="J1206" s="25" t="n">
        <x:v>2</x:v>
      </x:c>
      <x:c r="K1206" s="19" t="n">
        <x:f>D1206-IF(H1206=0,1,0)</x:f>
        <x:v>2</x:v>
      </x:c>
      <x:c r="L1206" s="19" t="n">
        <x:f>E1206-IF(H1206=1,1,0)</x:f>
        <x:v>1</x:v>
      </x:c>
      <x:c r="M1206" s="19" t="n">
        <x:f>F1206-IF(H1206=2,1,0)</x:f>
        <x:v>4</x:v>
      </x:c>
      <x:c r="N1206" s="19" t="n">
        <x:f>MAX(K1206-1,0)+MAX(L1206-1,0)+MAX(M1206-1,0)</x:f>
        <x:v>4</x:v>
      </x:c>
      <x:c r="O1206" s="19" t="n">
        <x:f>IF(AND(SUM(K1206:M1206)&lt;9,OR(M1206=0,N1206&lt;6)),1,0)</x:f>
        <x:v>1</x:v>
      </x:c>
      <x:c r="P1206" s="19" t="n">
        <x:f>IF(AND(SUM(K1206:M1206)&lt;9,OR(L1206=0,N1206&lt;6)),1,0)</x:f>
        <x:v>1</x:v>
      </x:c>
      <x:c r="Q1206" s="19" t="n">
        <x:f>IF(AND(SUM(K1206:M1206)&lt;9,OR(K1206=0,N1206&lt;6)),1,0)</x:f>
        <x:v>1</x:v>
      </x:c>
      <x:c r="R1206" s="22" t="str">
        <x:f>O1206&amp;P1206&amp;Q1206</x:f>
        <x:v>111</x:v>
      </x:c>
      <x:c r="S1206" s="19" t="n">
        <x:f>IF(I1206=1,IF(J1206=0,Q1206,IF(J1206=1,P1206,IF(J1206=2,O1206,0))),0)</x:f>
        <x:v>1</x:v>
      </x:c>
      <x:c r="T1206" s="19" t="n">
        <x:f>K1206+IF(AND(S1206=1,J1206=0),1,0)</x:f>
        <x:v>2</x:v>
      </x:c>
      <x:c r="U1206" s="19" t="n">
        <x:f>L1206+IF(AND(S1206=1,J1206=1),1,0)</x:f>
        <x:v>1</x:v>
      </x:c>
      <x:c r="V1206" s="19" t="n">
        <x:f>M1206+IF(AND(S1206=1,J1206=2),1,0)</x:f>
        <x:v>5</x:v>
      </x:c>
      <x:c r="W1206" s="19" t="n">
        <x:f>SUM(T1206:V1206)</x:f>
        <x:v>8</x:v>
      </x:c>
      <x:c r="X1206" s="19" t="n">
        <x:f>W1206-G1206</x:f>
        <x:v>1</x:v>
      </x:c>
      <x:c r="Y1206" s="19" t="n">
        <x:f>MAX(T1206,1)+MAX(U1206,1)+MAX(V1206,1)</x:f>
        <x:v>8</x:v>
      </x:c>
      <x:c r="Z1206" s="21" t="str">
        <x:f>IF(AND(MIN(D1206:F1206)&gt;=0,MAX(D1206:F1206)&lt;=7,MAX(D1206,1)+MAX(E1206,1)+MAX(F1206,1)&lt;=9,OR(H1206="-",AND(H1206=0,D1206&gt;0),AND(H1206=1,E1206&gt;0),AND(H1206=2,F1206&gt;0)),OR(I1206=0,AND(I1206=1,OR(J1206=0,J1206=1,J1206=2),R1206&lt;&gt;"000")),Y1206&lt;=9,MIN(T1206:V1206)&gt;=0),"合法","输入违约")</x:f>
        <x:v>合法</x:v>
      </x:c>
    </x:row>
    <x:row r="1207" ht="23" customHeight="1">
      <x:c r="A1207" s="3" t="str">
        <x:v>CT-1200</x:v>
      </x:c>
      <x:c r="B1207" s="3" t="str">
        <x:v>ST-101</x:v>
      </x:c>
      <x:c r="C1207" s="3" t="str">
        <x:v>仅R回收</x:v>
      </x:c>
      <x:c r="D1207" s="25" t="n">
        <x:v>2</x:v>
      </x:c>
      <x:c r="E1207" s="25" t="n">
        <x:v>1</x:v>
      </x:c>
      <x:c r="F1207" s="25" t="n">
        <x:v>4</x:v>
      </x:c>
      <x:c r="G1207" s="19" t="n">
        <x:f>SUM(D1207:F1207)</x:f>
        <x:v>7</x:v>
      </x:c>
      <x:c r="H1207" s="25" t="n">
        <x:v>0</x:v>
      </x:c>
      <x:c r="I1207" s="25" t="n">
        <x:v>0</x:v>
      </x:c>
      <x:c r="J1207" s="25" t="str">
        <x:v>-</x:v>
      </x:c>
      <x:c r="K1207" s="19" t="n">
        <x:f>D1207-IF(H1207=0,1,0)</x:f>
        <x:v>1</x:v>
      </x:c>
      <x:c r="L1207" s="19" t="n">
        <x:f>E1207-IF(H1207=1,1,0)</x:f>
        <x:v>1</x:v>
      </x:c>
      <x:c r="M1207" s="19" t="n">
        <x:f>F1207-IF(H1207=2,1,0)</x:f>
        <x:v>4</x:v>
      </x:c>
      <x:c r="N1207" s="19" t="n">
        <x:f>MAX(K1207-1,0)+MAX(L1207-1,0)+MAX(M1207-1,0)</x:f>
        <x:v>3</x:v>
      </x:c>
      <x:c r="O1207" s="19" t="n">
        <x:f>IF(AND(SUM(K1207:M1207)&lt;9,OR(M1207=0,N1207&lt;6)),1,0)</x:f>
        <x:v>1</x:v>
      </x:c>
      <x:c r="P1207" s="19" t="n">
        <x:f>IF(AND(SUM(K1207:M1207)&lt;9,OR(L1207=0,N1207&lt;6)),1,0)</x:f>
        <x:v>1</x:v>
      </x:c>
      <x:c r="Q1207" s="19" t="n">
        <x:f>IF(AND(SUM(K1207:M1207)&lt;9,OR(K1207=0,N1207&lt;6)),1,0)</x:f>
        <x:v>1</x:v>
      </x:c>
      <x:c r="R1207" s="22" t="str">
        <x:f>O1207&amp;P1207&amp;Q1207</x:f>
        <x:v>111</x:v>
      </x:c>
      <x:c r="S1207" s="19" t="n">
        <x:f>IF(I1207=1,IF(J1207=0,Q1207,IF(J1207=1,P1207,IF(J1207=2,O1207,0))),0)</x:f>
        <x:v>0</x:v>
      </x:c>
      <x:c r="T1207" s="19" t="n">
        <x:f>K1207+IF(AND(S1207=1,J1207=0),1,0)</x:f>
        <x:v>1</x:v>
      </x:c>
      <x:c r="U1207" s="19" t="n">
        <x:f>L1207+IF(AND(S1207=1,J1207=1),1,0)</x:f>
        <x:v>1</x:v>
      </x:c>
      <x:c r="V1207" s="19" t="n">
        <x:f>M1207+IF(AND(S1207=1,J1207=2),1,0)</x:f>
        <x:v>4</x:v>
      </x:c>
      <x:c r="W1207" s="19" t="n">
        <x:f>SUM(T1207:V1207)</x:f>
        <x:v>6</x:v>
      </x:c>
      <x:c r="X1207" s="19" t="n">
        <x:f>W1207-G1207</x:f>
        <x:v>-1</x:v>
      </x:c>
      <x:c r="Y1207" s="19" t="n">
        <x:f>MAX(T1207,1)+MAX(U1207,1)+MAX(V1207,1)</x:f>
        <x:v>6</x:v>
      </x:c>
      <x:c r="Z1207" s="21" t="str">
        <x:f>IF(AND(MIN(D1207:F1207)&gt;=0,MAX(D1207:F1207)&lt;=7,MAX(D1207,1)+MAX(E1207,1)+MAX(F1207,1)&lt;=9,OR(H1207="-",AND(H1207=0,D1207&gt;0),AND(H1207=1,E1207&gt;0),AND(H1207=2,F1207&gt;0)),OR(I1207=0,AND(I1207=1,OR(J1207=0,J1207=1,J1207=2),R1207&lt;&gt;"000")),Y1207&lt;=9,MIN(T1207:V1207)&gt;=0),"合法","输入违约")</x:f>
        <x:v>合法</x:v>
      </x:c>
    </x:row>
    <x:row r="1208" ht="23" customHeight="1">
      <x:c r="A1208" s="3" t="str">
        <x:v>CT-1201</x:v>
      </x:c>
      <x:c r="B1208" s="3" t="str">
        <x:v>ST-101</x:v>
      </x:c>
      <x:c r="C1208" s="3" t="str">
        <x:v>R+AR同收同发</x:v>
      </x:c>
      <x:c r="D1208" s="25" t="n">
        <x:v>2</x:v>
      </x:c>
      <x:c r="E1208" s="25" t="n">
        <x:v>1</x:v>
      </x:c>
      <x:c r="F1208" s="25" t="n">
        <x:v>4</x:v>
      </x:c>
      <x:c r="G1208" s="19" t="n">
        <x:f>SUM(D1208:F1208)</x:f>
        <x:v>7</x:v>
      </x:c>
      <x:c r="H1208" s="25" t="n">
        <x:v>0</x:v>
      </x:c>
      <x:c r="I1208" s="25" t="n">
        <x:v>1</x:v>
      </x:c>
      <x:c r="J1208" s="25" t="n">
        <x:v>0</x:v>
      </x:c>
      <x:c r="K1208" s="19" t="n">
        <x:f>D1208-IF(H1208=0,1,0)</x:f>
        <x:v>1</x:v>
      </x:c>
      <x:c r="L1208" s="19" t="n">
        <x:f>E1208-IF(H1208=1,1,0)</x:f>
        <x:v>1</x:v>
      </x:c>
      <x:c r="M1208" s="19" t="n">
        <x:f>F1208-IF(H1208=2,1,0)</x:f>
        <x:v>4</x:v>
      </x:c>
      <x:c r="N1208" s="19" t="n">
        <x:f>MAX(K1208-1,0)+MAX(L1208-1,0)+MAX(M1208-1,0)</x:f>
        <x:v>3</x:v>
      </x:c>
      <x:c r="O1208" s="19" t="n">
        <x:f>IF(AND(SUM(K1208:M1208)&lt;9,OR(M1208=0,N1208&lt;6)),1,0)</x:f>
        <x:v>1</x:v>
      </x:c>
      <x:c r="P1208" s="19" t="n">
        <x:f>IF(AND(SUM(K1208:M1208)&lt;9,OR(L1208=0,N1208&lt;6)),1,0)</x:f>
        <x:v>1</x:v>
      </x:c>
      <x:c r="Q1208" s="19" t="n">
        <x:f>IF(AND(SUM(K1208:M1208)&lt;9,OR(K1208=0,N1208&lt;6)),1,0)</x:f>
        <x:v>1</x:v>
      </x:c>
      <x:c r="R1208" s="22" t="str">
        <x:f>O1208&amp;P1208&amp;Q1208</x:f>
        <x:v>111</x:v>
      </x:c>
      <x:c r="S1208" s="19" t="n">
        <x:f>IF(I1208=1,IF(J1208=0,Q1208,IF(J1208=1,P1208,IF(J1208=2,O1208,0))),0)</x:f>
        <x:v>1</x:v>
      </x:c>
      <x:c r="T1208" s="19" t="n">
        <x:f>K1208+IF(AND(S1208=1,J1208=0),1,0)</x:f>
        <x:v>2</x:v>
      </x:c>
      <x:c r="U1208" s="19" t="n">
        <x:f>L1208+IF(AND(S1208=1,J1208=1),1,0)</x:f>
        <x:v>1</x:v>
      </x:c>
      <x:c r="V1208" s="19" t="n">
        <x:f>M1208+IF(AND(S1208=1,J1208=2),1,0)</x:f>
        <x:v>4</x:v>
      </x:c>
      <x:c r="W1208" s="19" t="n">
        <x:f>SUM(T1208:V1208)</x:f>
        <x:v>7</x:v>
      </x:c>
      <x:c r="X1208" s="19" t="n">
        <x:f>W1208-G1208</x:f>
        <x:v>0</x:v>
      </x:c>
      <x:c r="Y1208" s="19" t="n">
        <x:f>MAX(T1208,1)+MAX(U1208,1)+MAX(V1208,1)</x:f>
        <x:v>7</x:v>
      </x:c>
      <x:c r="Z1208" s="21" t="str">
        <x:f>IF(AND(MIN(D1208:F1208)&gt;=0,MAX(D1208:F1208)&lt;=7,MAX(D1208,1)+MAX(E1208,1)+MAX(F1208,1)&lt;=9,OR(H1208="-",AND(H1208=0,D1208&gt;0),AND(H1208=1,E1208&gt;0),AND(H1208=2,F1208&gt;0)),OR(I1208=0,AND(I1208=1,OR(J1208=0,J1208=1,J1208=2),R1208&lt;&gt;"000")),Y1208&lt;=9,MIN(T1208:V1208)&gt;=0),"合法","输入违约")</x:f>
        <x:v>合法</x:v>
      </x:c>
    </x:row>
    <x:row r="1209" ht="23" customHeight="1">
      <x:c r="A1209" s="3" t="str">
        <x:v>CT-1202</x:v>
      </x:c>
      <x:c r="B1209" s="3" t="str">
        <x:v>ST-101</x:v>
      </x:c>
      <x:c r="C1209" s="3" t="str">
        <x:v>R+AR同收同发</x:v>
      </x:c>
      <x:c r="D1209" s="25" t="n">
        <x:v>2</x:v>
      </x:c>
      <x:c r="E1209" s="25" t="n">
        <x:v>1</x:v>
      </x:c>
      <x:c r="F1209" s="25" t="n">
        <x:v>4</x:v>
      </x:c>
      <x:c r="G1209" s="19" t="n">
        <x:f>SUM(D1209:F1209)</x:f>
        <x:v>7</x:v>
      </x:c>
      <x:c r="H1209" s="25" t="n">
        <x:v>0</x:v>
      </x:c>
      <x:c r="I1209" s="25" t="n">
        <x:v>1</x:v>
      </x:c>
      <x:c r="J1209" s="25" t="n">
        <x:v>1</x:v>
      </x:c>
      <x:c r="K1209" s="19" t="n">
        <x:f>D1209-IF(H1209=0,1,0)</x:f>
        <x:v>1</x:v>
      </x:c>
      <x:c r="L1209" s="19" t="n">
        <x:f>E1209-IF(H1209=1,1,0)</x:f>
        <x:v>1</x:v>
      </x:c>
      <x:c r="M1209" s="19" t="n">
        <x:f>F1209-IF(H1209=2,1,0)</x:f>
        <x:v>4</x:v>
      </x:c>
      <x:c r="N1209" s="19" t="n">
        <x:f>MAX(K1209-1,0)+MAX(L1209-1,0)+MAX(M1209-1,0)</x:f>
        <x:v>3</x:v>
      </x:c>
      <x:c r="O1209" s="19" t="n">
        <x:f>IF(AND(SUM(K1209:M1209)&lt;9,OR(M1209=0,N1209&lt;6)),1,0)</x:f>
        <x:v>1</x:v>
      </x:c>
      <x:c r="P1209" s="19" t="n">
        <x:f>IF(AND(SUM(K1209:M1209)&lt;9,OR(L1209=0,N1209&lt;6)),1,0)</x:f>
        <x:v>1</x:v>
      </x:c>
      <x:c r="Q1209" s="19" t="n">
        <x:f>IF(AND(SUM(K1209:M1209)&lt;9,OR(K1209=0,N1209&lt;6)),1,0)</x:f>
        <x:v>1</x:v>
      </x:c>
      <x:c r="R1209" s="22" t="str">
        <x:f>O1209&amp;P1209&amp;Q1209</x:f>
        <x:v>111</x:v>
      </x:c>
      <x:c r="S1209" s="19" t="n">
        <x:f>IF(I1209=1,IF(J1209=0,Q1209,IF(J1209=1,P1209,IF(J1209=2,O1209,0))),0)</x:f>
        <x:v>1</x:v>
      </x:c>
      <x:c r="T1209" s="19" t="n">
        <x:f>K1209+IF(AND(S1209=1,J1209=0),1,0)</x:f>
        <x:v>1</x:v>
      </x:c>
      <x:c r="U1209" s="19" t="n">
        <x:f>L1209+IF(AND(S1209=1,J1209=1),1,0)</x:f>
        <x:v>2</x:v>
      </x:c>
      <x:c r="V1209" s="19" t="n">
        <x:f>M1209+IF(AND(S1209=1,J1209=2),1,0)</x:f>
        <x:v>4</x:v>
      </x:c>
      <x:c r="W1209" s="19" t="n">
        <x:f>SUM(T1209:V1209)</x:f>
        <x:v>7</x:v>
      </x:c>
      <x:c r="X1209" s="19" t="n">
        <x:f>W1209-G1209</x:f>
        <x:v>0</x:v>
      </x:c>
      <x:c r="Y1209" s="19" t="n">
        <x:f>MAX(T1209,1)+MAX(U1209,1)+MAX(V1209,1)</x:f>
        <x:v>7</x:v>
      </x:c>
      <x:c r="Z1209" s="21" t="str">
        <x:f>IF(AND(MIN(D1209:F1209)&gt;=0,MAX(D1209:F1209)&lt;=7,MAX(D1209,1)+MAX(E1209,1)+MAX(F1209,1)&lt;=9,OR(H1209="-",AND(H1209=0,D1209&gt;0),AND(H1209=1,E1209&gt;0),AND(H1209=2,F1209&gt;0)),OR(I1209=0,AND(I1209=1,OR(J1209=0,J1209=1,J1209=2),R1209&lt;&gt;"000")),Y1209&lt;=9,MIN(T1209:V1209)&gt;=0),"合法","输入违约")</x:f>
        <x:v>合法</x:v>
      </x:c>
    </x:row>
    <x:row r="1210" ht="23" customHeight="1">
      <x:c r="A1210" s="3" t="str">
        <x:v>CT-1203</x:v>
      </x:c>
      <x:c r="B1210" s="3" t="str">
        <x:v>ST-101</x:v>
      </x:c>
      <x:c r="C1210" s="3" t="str">
        <x:v>R+AR同收同发</x:v>
      </x:c>
      <x:c r="D1210" s="25" t="n">
        <x:v>2</x:v>
      </x:c>
      <x:c r="E1210" s="25" t="n">
        <x:v>1</x:v>
      </x:c>
      <x:c r="F1210" s="25" t="n">
        <x:v>4</x:v>
      </x:c>
      <x:c r="G1210" s="19" t="n">
        <x:f>SUM(D1210:F1210)</x:f>
        <x:v>7</x:v>
      </x:c>
      <x:c r="H1210" s="25" t="n">
        <x:v>0</x:v>
      </x:c>
      <x:c r="I1210" s="25" t="n">
        <x:v>1</x:v>
      </x:c>
      <x:c r="J1210" s="25" t="n">
        <x:v>2</x:v>
      </x:c>
      <x:c r="K1210" s="19" t="n">
        <x:f>D1210-IF(H1210=0,1,0)</x:f>
        <x:v>1</x:v>
      </x:c>
      <x:c r="L1210" s="19" t="n">
        <x:f>E1210-IF(H1210=1,1,0)</x:f>
        <x:v>1</x:v>
      </x:c>
      <x:c r="M1210" s="19" t="n">
        <x:f>F1210-IF(H1210=2,1,0)</x:f>
        <x:v>4</x:v>
      </x:c>
      <x:c r="N1210" s="19" t="n">
        <x:f>MAX(K1210-1,0)+MAX(L1210-1,0)+MAX(M1210-1,0)</x:f>
        <x:v>3</x:v>
      </x:c>
      <x:c r="O1210" s="19" t="n">
        <x:f>IF(AND(SUM(K1210:M1210)&lt;9,OR(M1210=0,N1210&lt;6)),1,0)</x:f>
        <x:v>1</x:v>
      </x:c>
      <x:c r="P1210" s="19" t="n">
        <x:f>IF(AND(SUM(K1210:M1210)&lt;9,OR(L1210=0,N1210&lt;6)),1,0)</x:f>
        <x:v>1</x:v>
      </x:c>
      <x:c r="Q1210" s="19" t="n">
        <x:f>IF(AND(SUM(K1210:M1210)&lt;9,OR(K1210=0,N1210&lt;6)),1,0)</x:f>
        <x:v>1</x:v>
      </x:c>
      <x:c r="R1210" s="22" t="str">
        <x:f>O1210&amp;P1210&amp;Q1210</x:f>
        <x:v>111</x:v>
      </x:c>
      <x:c r="S1210" s="19" t="n">
        <x:f>IF(I1210=1,IF(J1210=0,Q1210,IF(J1210=1,P1210,IF(J1210=2,O1210,0))),0)</x:f>
        <x:v>1</x:v>
      </x:c>
      <x:c r="T1210" s="19" t="n">
        <x:f>K1210+IF(AND(S1210=1,J1210=0),1,0)</x:f>
        <x:v>1</x:v>
      </x:c>
      <x:c r="U1210" s="19" t="n">
        <x:f>L1210+IF(AND(S1210=1,J1210=1),1,0)</x:f>
        <x:v>1</x:v>
      </x:c>
      <x:c r="V1210" s="19" t="n">
        <x:f>M1210+IF(AND(S1210=1,J1210=2),1,0)</x:f>
        <x:v>5</x:v>
      </x:c>
      <x:c r="W1210" s="19" t="n">
        <x:f>SUM(T1210:V1210)</x:f>
        <x:v>7</x:v>
      </x:c>
      <x:c r="X1210" s="19" t="n">
        <x:f>W1210-G1210</x:f>
        <x:v>0</x:v>
      </x:c>
      <x:c r="Y1210" s="19" t="n">
        <x:f>MAX(T1210,1)+MAX(U1210,1)+MAX(V1210,1)</x:f>
        <x:v>7</x:v>
      </x:c>
      <x:c r="Z1210" s="21" t="str">
        <x:f>IF(AND(MIN(D1210:F1210)&gt;=0,MAX(D1210:F1210)&lt;=7,MAX(D1210,1)+MAX(E1210,1)+MAX(F1210,1)&lt;=9,OR(H1210="-",AND(H1210=0,D1210&gt;0),AND(H1210=1,E1210&gt;0),AND(H1210=2,F1210&gt;0)),OR(I1210=0,AND(I1210=1,OR(J1210=0,J1210=1,J1210=2),R1210&lt;&gt;"000")),Y1210&lt;=9,MIN(T1210:V1210)&gt;=0),"合法","输入违约")</x:f>
        <x:v>合法</x:v>
      </x:c>
    </x:row>
    <x:row r="1211" ht="23" customHeight="1">
      <x:c r="A1211" s="3" t="str">
        <x:v>CT-1204</x:v>
      </x:c>
      <x:c r="B1211" s="3" t="str">
        <x:v>ST-101</x:v>
      </x:c>
      <x:c r="C1211" s="3" t="str">
        <x:v>仅R回收</x:v>
      </x:c>
      <x:c r="D1211" s="25" t="n">
        <x:v>2</x:v>
      </x:c>
      <x:c r="E1211" s="25" t="n">
        <x:v>1</x:v>
      </x:c>
      <x:c r="F1211" s="25" t="n">
        <x:v>4</x:v>
      </x:c>
      <x:c r="G1211" s="19" t="n">
        <x:f>SUM(D1211:F1211)</x:f>
        <x:v>7</x:v>
      </x:c>
      <x:c r="H1211" s="25" t="n">
        <x:v>1</x:v>
      </x:c>
      <x:c r="I1211" s="25" t="n">
        <x:v>0</x:v>
      </x:c>
      <x:c r="J1211" s="25" t="str">
        <x:v>-</x:v>
      </x:c>
      <x:c r="K1211" s="19" t="n">
        <x:f>D1211-IF(H1211=0,1,0)</x:f>
        <x:v>2</x:v>
      </x:c>
      <x:c r="L1211" s="19" t="n">
        <x:f>E1211-IF(H1211=1,1,0)</x:f>
        <x:v>0</x:v>
      </x:c>
      <x:c r="M1211" s="19" t="n">
        <x:f>F1211-IF(H1211=2,1,0)</x:f>
        <x:v>4</x:v>
      </x:c>
      <x:c r="N1211" s="19" t="n">
        <x:f>MAX(K1211-1,0)+MAX(L1211-1,0)+MAX(M1211-1,0)</x:f>
        <x:v>4</x:v>
      </x:c>
      <x:c r="O1211" s="19" t="n">
        <x:f>IF(AND(SUM(K1211:M1211)&lt;9,OR(M1211=0,N1211&lt;6)),1,0)</x:f>
        <x:v>1</x:v>
      </x:c>
      <x:c r="P1211" s="19" t="n">
        <x:f>IF(AND(SUM(K1211:M1211)&lt;9,OR(L1211=0,N1211&lt;6)),1,0)</x:f>
        <x:v>1</x:v>
      </x:c>
      <x:c r="Q1211" s="19" t="n">
        <x:f>IF(AND(SUM(K1211:M1211)&lt;9,OR(K1211=0,N1211&lt;6)),1,0)</x:f>
        <x:v>1</x:v>
      </x:c>
      <x:c r="R1211" s="22" t="str">
        <x:f>O1211&amp;P1211&amp;Q1211</x:f>
        <x:v>111</x:v>
      </x:c>
      <x:c r="S1211" s="19" t="n">
        <x:f>IF(I1211=1,IF(J1211=0,Q1211,IF(J1211=1,P1211,IF(J1211=2,O1211,0))),0)</x:f>
        <x:v>0</x:v>
      </x:c>
      <x:c r="T1211" s="19" t="n">
        <x:f>K1211+IF(AND(S1211=1,J1211=0),1,0)</x:f>
        <x:v>2</x:v>
      </x:c>
      <x:c r="U1211" s="19" t="n">
        <x:f>L1211+IF(AND(S1211=1,J1211=1),1,0)</x:f>
        <x:v>0</x:v>
      </x:c>
      <x:c r="V1211" s="19" t="n">
        <x:f>M1211+IF(AND(S1211=1,J1211=2),1,0)</x:f>
        <x:v>4</x:v>
      </x:c>
      <x:c r="W1211" s="19" t="n">
        <x:f>SUM(T1211:V1211)</x:f>
        <x:v>6</x:v>
      </x:c>
      <x:c r="X1211" s="19" t="n">
        <x:f>W1211-G1211</x:f>
        <x:v>-1</x:v>
      </x:c>
      <x:c r="Y1211" s="19" t="n">
        <x:f>MAX(T1211,1)+MAX(U1211,1)+MAX(V1211,1)</x:f>
        <x:v>7</x:v>
      </x:c>
      <x:c r="Z1211" s="21" t="str">
        <x:f>IF(AND(MIN(D1211:F1211)&gt;=0,MAX(D1211:F1211)&lt;=7,MAX(D1211,1)+MAX(E1211,1)+MAX(F1211,1)&lt;=9,OR(H1211="-",AND(H1211=0,D1211&gt;0),AND(H1211=1,E1211&gt;0),AND(H1211=2,F1211&gt;0)),OR(I1211=0,AND(I1211=1,OR(J1211=0,J1211=1,J1211=2),R1211&lt;&gt;"000")),Y1211&lt;=9,MIN(T1211:V1211)&gt;=0),"合法","输入违约")</x:f>
        <x:v>合法</x:v>
      </x:c>
    </x:row>
    <x:row r="1212" ht="23" customHeight="1">
      <x:c r="A1212" s="3" t="str">
        <x:v>CT-1205</x:v>
      </x:c>
      <x:c r="B1212" s="3" t="str">
        <x:v>ST-101</x:v>
      </x:c>
      <x:c r="C1212" s="3" t="str">
        <x:v>R+AR同收同发</x:v>
      </x:c>
      <x:c r="D1212" s="25" t="n">
        <x:v>2</x:v>
      </x:c>
      <x:c r="E1212" s="25" t="n">
        <x:v>1</x:v>
      </x:c>
      <x:c r="F1212" s="25" t="n">
        <x:v>4</x:v>
      </x:c>
      <x:c r="G1212" s="19" t="n">
        <x:f>SUM(D1212:F1212)</x:f>
        <x:v>7</x:v>
      </x:c>
      <x:c r="H1212" s="25" t="n">
        <x:v>1</x:v>
      </x:c>
      <x:c r="I1212" s="25" t="n">
        <x:v>1</x:v>
      </x:c>
      <x:c r="J1212" s="25" t="n">
        <x:v>0</x:v>
      </x:c>
      <x:c r="K1212" s="19" t="n">
        <x:f>D1212-IF(H1212=0,1,0)</x:f>
        <x:v>2</x:v>
      </x:c>
      <x:c r="L1212" s="19" t="n">
        <x:f>E1212-IF(H1212=1,1,0)</x:f>
        <x:v>0</x:v>
      </x:c>
      <x:c r="M1212" s="19" t="n">
        <x:f>F1212-IF(H1212=2,1,0)</x:f>
        <x:v>4</x:v>
      </x:c>
      <x:c r="N1212" s="19" t="n">
        <x:f>MAX(K1212-1,0)+MAX(L1212-1,0)+MAX(M1212-1,0)</x:f>
        <x:v>4</x:v>
      </x:c>
      <x:c r="O1212" s="19" t="n">
        <x:f>IF(AND(SUM(K1212:M1212)&lt;9,OR(M1212=0,N1212&lt;6)),1,0)</x:f>
        <x:v>1</x:v>
      </x:c>
      <x:c r="P1212" s="19" t="n">
        <x:f>IF(AND(SUM(K1212:M1212)&lt;9,OR(L1212=0,N1212&lt;6)),1,0)</x:f>
        <x:v>1</x:v>
      </x:c>
      <x:c r="Q1212" s="19" t="n">
        <x:f>IF(AND(SUM(K1212:M1212)&lt;9,OR(K1212=0,N1212&lt;6)),1,0)</x:f>
        <x:v>1</x:v>
      </x:c>
      <x:c r="R1212" s="22" t="str">
        <x:f>O1212&amp;P1212&amp;Q1212</x:f>
        <x:v>111</x:v>
      </x:c>
      <x:c r="S1212" s="19" t="n">
        <x:f>IF(I1212=1,IF(J1212=0,Q1212,IF(J1212=1,P1212,IF(J1212=2,O1212,0))),0)</x:f>
        <x:v>1</x:v>
      </x:c>
      <x:c r="T1212" s="19" t="n">
        <x:f>K1212+IF(AND(S1212=1,J1212=0),1,0)</x:f>
        <x:v>3</x:v>
      </x:c>
      <x:c r="U1212" s="19" t="n">
        <x:f>L1212+IF(AND(S1212=1,J1212=1),1,0)</x:f>
        <x:v>0</x:v>
      </x:c>
      <x:c r="V1212" s="19" t="n">
        <x:f>M1212+IF(AND(S1212=1,J1212=2),1,0)</x:f>
        <x:v>4</x:v>
      </x:c>
      <x:c r="W1212" s="19" t="n">
        <x:f>SUM(T1212:V1212)</x:f>
        <x:v>7</x:v>
      </x:c>
      <x:c r="X1212" s="19" t="n">
        <x:f>W1212-G1212</x:f>
        <x:v>0</x:v>
      </x:c>
      <x:c r="Y1212" s="19" t="n">
        <x:f>MAX(T1212,1)+MAX(U1212,1)+MAX(V1212,1)</x:f>
        <x:v>8</x:v>
      </x:c>
      <x:c r="Z1212" s="21" t="str">
        <x:f>IF(AND(MIN(D1212:F1212)&gt;=0,MAX(D1212:F1212)&lt;=7,MAX(D1212,1)+MAX(E1212,1)+MAX(F1212,1)&lt;=9,OR(H1212="-",AND(H1212=0,D1212&gt;0),AND(H1212=1,E1212&gt;0),AND(H1212=2,F1212&gt;0)),OR(I1212=0,AND(I1212=1,OR(J1212=0,J1212=1,J1212=2),R1212&lt;&gt;"000")),Y1212&lt;=9,MIN(T1212:V1212)&gt;=0),"合法","输入违约")</x:f>
        <x:v>合法</x:v>
      </x:c>
    </x:row>
    <x:row r="1213" ht="23" customHeight="1">
      <x:c r="A1213" s="3" t="str">
        <x:v>CT-1206</x:v>
      </x:c>
      <x:c r="B1213" s="3" t="str">
        <x:v>ST-101</x:v>
      </x:c>
      <x:c r="C1213" s="3" t="str">
        <x:v>R+AR同收同发</x:v>
      </x:c>
      <x:c r="D1213" s="25" t="n">
        <x:v>2</x:v>
      </x:c>
      <x:c r="E1213" s="25" t="n">
        <x:v>1</x:v>
      </x:c>
      <x:c r="F1213" s="25" t="n">
        <x:v>4</x:v>
      </x:c>
      <x:c r="G1213" s="19" t="n">
        <x:f>SUM(D1213:F1213)</x:f>
        <x:v>7</x:v>
      </x:c>
      <x:c r="H1213" s="25" t="n">
        <x:v>1</x:v>
      </x:c>
      <x:c r="I1213" s="25" t="n">
        <x:v>1</x:v>
      </x:c>
      <x:c r="J1213" s="25" t="n">
        <x:v>1</x:v>
      </x:c>
      <x:c r="K1213" s="19" t="n">
        <x:f>D1213-IF(H1213=0,1,0)</x:f>
        <x:v>2</x:v>
      </x:c>
      <x:c r="L1213" s="19" t="n">
        <x:f>E1213-IF(H1213=1,1,0)</x:f>
        <x:v>0</x:v>
      </x:c>
      <x:c r="M1213" s="19" t="n">
        <x:f>F1213-IF(H1213=2,1,0)</x:f>
        <x:v>4</x:v>
      </x:c>
      <x:c r="N1213" s="19" t="n">
        <x:f>MAX(K1213-1,0)+MAX(L1213-1,0)+MAX(M1213-1,0)</x:f>
        <x:v>4</x:v>
      </x:c>
      <x:c r="O1213" s="19" t="n">
        <x:f>IF(AND(SUM(K1213:M1213)&lt;9,OR(M1213=0,N1213&lt;6)),1,0)</x:f>
        <x:v>1</x:v>
      </x:c>
      <x:c r="P1213" s="19" t="n">
        <x:f>IF(AND(SUM(K1213:M1213)&lt;9,OR(L1213=0,N1213&lt;6)),1,0)</x:f>
        <x:v>1</x:v>
      </x:c>
      <x:c r="Q1213" s="19" t="n">
        <x:f>IF(AND(SUM(K1213:M1213)&lt;9,OR(K1213=0,N1213&lt;6)),1,0)</x:f>
        <x:v>1</x:v>
      </x:c>
      <x:c r="R1213" s="22" t="str">
        <x:f>O1213&amp;P1213&amp;Q1213</x:f>
        <x:v>111</x:v>
      </x:c>
      <x:c r="S1213" s="19" t="n">
        <x:f>IF(I1213=1,IF(J1213=0,Q1213,IF(J1213=1,P1213,IF(J1213=2,O1213,0))),0)</x:f>
        <x:v>1</x:v>
      </x:c>
      <x:c r="T1213" s="19" t="n">
        <x:f>K1213+IF(AND(S1213=1,J1213=0),1,0)</x:f>
        <x:v>2</x:v>
      </x:c>
      <x:c r="U1213" s="19" t="n">
        <x:f>L1213+IF(AND(S1213=1,J1213=1),1,0)</x:f>
        <x:v>1</x:v>
      </x:c>
      <x:c r="V1213" s="19" t="n">
        <x:f>M1213+IF(AND(S1213=1,J1213=2),1,0)</x:f>
        <x:v>4</x:v>
      </x:c>
      <x:c r="W1213" s="19" t="n">
        <x:f>SUM(T1213:V1213)</x:f>
        <x:v>7</x:v>
      </x:c>
      <x:c r="X1213" s="19" t="n">
        <x:f>W1213-G1213</x:f>
        <x:v>0</x:v>
      </x:c>
      <x:c r="Y1213" s="19" t="n">
        <x:f>MAX(T1213,1)+MAX(U1213,1)+MAX(V1213,1)</x:f>
        <x:v>7</x:v>
      </x:c>
      <x:c r="Z1213" s="21" t="str">
        <x:f>IF(AND(MIN(D1213:F1213)&gt;=0,MAX(D1213:F1213)&lt;=7,MAX(D1213,1)+MAX(E1213,1)+MAX(F1213,1)&lt;=9,OR(H1213="-",AND(H1213=0,D1213&gt;0),AND(H1213=1,E1213&gt;0),AND(H1213=2,F1213&gt;0)),OR(I1213=0,AND(I1213=1,OR(J1213=0,J1213=1,J1213=2),R1213&lt;&gt;"000")),Y1213&lt;=9,MIN(T1213:V1213)&gt;=0),"合法","输入违约")</x:f>
        <x:v>合法</x:v>
      </x:c>
    </x:row>
    <x:row r="1214" ht="23" customHeight="1">
      <x:c r="A1214" s="3" t="str">
        <x:v>CT-1207</x:v>
      </x:c>
      <x:c r="B1214" s="3" t="str">
        <x:v>ST-101</x:v>
      </x:c>
      <x:c r="C1214" s="3" t="str">
        <x:v>R+AR同收同发</x:v>
      </x:c>
      <x:c r="D1214" s="25" t="n">
        <x:v>2</x:v>
      </x:c>
      <x:c r="E1214" s="25" t="n">
        <x:v>1</x:v>
      </x:c>
      <x:c r="F1214" s="25" t="n">
        <x:v>4</x:v>
      </x:c>
      <x:c r="G1214" s="19" t="n">
        <x:f>SUM(D1214:F1214)</x:f>
        <x:v>7</x:v>
      </x:c>
      <x:c r="H1214" s="25" t="n">
        <x:v>1</x:v>
      </x:c>
      <x:c r="I1214" s="25" t="n">
        <x:v>1</x:v>
      </x:c>
      <x:c r="J1214" s="25" t="n">
        <x:v>2</x:v>
      </x:c>
      <x:c r="K1214" s="19" t="n">
        <x:f>D1214-IF(H1214=0,1,0)</x:f>
        <x:v>2</x:v>
      </x:c>
      <x:c r="L1214" s="19" t="n">
        <x:f>E1214-IF(H1214=1,1,0)</x:f>
        <x:v>0</x:v>
      </x:c>
      <x:c r="M1214" s="19" t="n">
        <x:f>F1214-IF(H1214=2,1,0)</x:f>
        <x:v>4</x:v>
      </x:c>
      <x:c r="N1214" s="19" t="n">
        <x:f>MAX(K1214-1,0)+MAX(L1214-1,0)+MAX(M1214-1,0)</x:f>
        <x:v>4</x:v>
      </x:c>
      <x:c r="O1214" s="19" t="n">
        <x:f>IF(AND(SUM(K1214:M1214)&lt;9,OR(M1214=0,N1214&lt;6)),1,0)</x:f>
        <x:v>1</x:v>
      </x:c>
      <x:c r="P1214" s="19" t="n">
        <x:f>IF(AND(SUM(K1214:M1214)&lt;9,OR(L1214=0,N1214&lt;6)),1,0)</x:f>
        <x:v>1</x:v>
      </x:c>
      <x:c r="Q1214" s="19" t="n">
        <x:f>IF(AND(SUM(K1214:M1214)&lt;9,OR(K1214=0,N1214&lt;6)),1,0)</x:f>
        <x:v>1</x:v>
      </x:c>
      <x:c r="R1214" s="22" t="str">
        <x:f>O1214&amp;P1214&amp;Q1214</x:f>
        <x:v>111</x:v>
      </x:c>
      <x:c r="S1214" s="19" t="n">
        <x:f>IF(I1214=1,IF(J1214=0,Q1214,IF(J1214=1,P1214,IF(J1214=2,O1214,0))),0)</x:f>
        <x:v>1</x:v>
      </x:c>
      <x:c r="T1214" s="19" t="n">
        <x:f>K1214+IF(AND(S1214=1,J1214=0),1,0)</x:f>
        <x:v>2</x:v>
      </x:c>
      <x:c r="U1214" s="19" t="n">
        <x:f>L1214+IF(AND(S1214=1,J1214=1),1,0)</x:f>
        <x:v>0</x:v>
      </x:c>
      <x:c r="V1214" s="19" t="n">
        <x:f>M1214+IF(AND(S1214=1,J1214=2),1,0)</x:f>
        <x:v>5</x:v>
      </x:c>
      <x:c r="W1214" s="19" t="n">
        <x:f>SUM(T1214:V1214)</x:f>
        <x:v>7</x:v>
      </x:c>
      <x:c r="X1214" s="19" t="n">
        <x:f>W1214-G1214</x:f>
        <x:v>0</x:v>
      </x:c>
      <x:c r="Y1214" s="19" t="n">
        <x:f>MAX(T1214,1)+MAX(U1214,1)+MAX(V1214,1)</x:f>
        <x:v>8</x:v>
      </x:c>
      <x:c r="Z1214" s="21" t="str">
        <x:f>IF(AND(MIN(D1214:F1214)&gt;=0,MAX(D1214:F1214)&lt;=7,MAX(D1214,1)+MAX(E1214,1)+MAX(F1214,1)&lt;=9,OR(H1214="-",AND(H1214=0,D1214&gt;0),AND(H1214=1,E1214&gt;0),AND(H1214=2,F1214&gt;0)),OR(I1214=0,AND(I1214=1,OR(J1214=0,J1214=1,J1214=2),R1214&lt;&gt;"000")),Y1214&lt;=9,MIN(T1214:V1214)&gt;=0),"合法","输入违约")</x:f>
        <x:v>合法</x:v>
      </x:c>
    </x:row>
    <x:row r="1215" ht="23" customHeight="1">
      <x:c r="A1215" s="3" t="str">
        <x:v>CT-1208</x:v>
      </x:c>
      <x:c r="B1215" s="3" t="str">
        <x:v>ST-101</x:v>
      </x:c>
      <x:c r="C1215" s="3" t="str">
        <x:v>仅R回收</x:v>
      </x:c>
      <x:c r="D1215" s="25" t="n">
        <x:v>2</x:v>
      </x:c>
      <x:c r="E1215" s="25" t="n">
        <x:v>1</x:v>
      </x:c>
      <x:c r="F1215" s="25" t="n">
        <x:v>4</x:v>
      </x:c>
      <x:c r="G1215" s="19" t="n">
        <x:f>SUM(D1215:F1215)</x:f>
        <x:v>7</x:v>
      </x:c>
      <x:c r="H1215" s="25" t="n">
        <x:v>2</x:v>
      </x:c>
      <x:c r="I1215" s="25" t="n">
        <x:v>0</x:v>
      </x:c>
      <x:c r="J1215" s="25" t="str">
        <x:v>-</x:v>
      </x:c>
      <x:c r="K1215" s="19" t="n">
        <x:f>D1215-IF(H1215=0,1,0)</x:f>
        <x:v>2</x:v>
      </x:c>
      <x:c r="L1215" s="19" t="n">
        <x:f>E1215-IF(H1215=1,1,0)</x:f>
        <x:v>1</x:v>
      </x:c>
      <x:c r="M1215" s="19" t="n">
        <x:f>F1215-IF(H1215=2,1,0)</x:f>
        <x:v>3</x:v>
      </x:c>
      <x:c r="N1215" s="19" t="n">
        <x:f>MAX(K1215-1,0)+MAX(L1215-1,0)+MAX(M1215-1,0)</x:f>
        <x:v>3</x:v>
      </x:c>
      <x:c r="O1215" s="19" t="n">
        <x:f>IF(AND(SUM(K1215:M1215)&lt;9,OR(M1215=0,N1215&lt;6)),1,0)</x:f>
        <x:v>1</x:v>
      </x:c>
      <x:c r="P1215" s="19" t="n">
        <x:f>IF(AND(SUM(K1215:M1215)&lt;9,OR(L1215=0,N1215&lt;6)),1,0)</x:f>
        <x:v>1</x:v>
      </x:c>
      <x:c r="Q1215" s="19" t="n">
        <x:f>IF(AND(SUM(K1215:M1215)&lt;9,OR(K1215=0,N1215&lt;6)),1,0)</x:f>
        <x:v>1</x:v>
      </x:c>
      <x:c r="R1215" s="22" t="str">
        <x:f>O1215&amp;P1215&amp;Q1215</x:f>
        <x:v>111</x:v>
      </x:c>
      <x:c r="S1215" s="19" t="n">
        <x:f>IF(I1215=1,IF(J1215=0,Q1215,IF(J1215=1,P1215,IF(J1215=2,O1215,0))),0)</x:f>
        <x:v>0</x:v>
      </x:c>
      <x:c r="T1215" s="19" t="n">
        <x:f>K1215+IF(AND(S1215=1,J1215=0),1,0)</x:f>
        <x:v>2</x:v>
      </x:c>
      <x:c r="U1215" s="19" t="n">
        <x:f>L1215+IF(AND(S1215=1,J1215=1),1,0)</x:f>
        <x:v>1</x:v>
      </x:c>
      <x:c r="V1215" s="19" t="n">
        <x:f>M1215+IF(AND(S1215=1,J1215=2),1,0)</x:f>
        <x:v>3</x:v>
      </x:c>
      <x:c r="W1215" s="19" t="n">
        <x:f>SUM(T1215:V1215)</x:f>
        <x:v>6</x:v>
      </x:c>
      <x:c r="X1215" s="19" t="n">
        <x:f>W1215-G1215</x:f>
        <x:v>-1</x:v>
      </x:c>
      <x:c r="Y1215" s="19" t="n">
        <x:f>MAX(T1215,1)+MAX(U1215,1)+MAX(V1215,1)</x:f>
        <x:v>6</x:v>
      </x:c>
      <x:c r="Z1215" s="21" t="str">
        <x:f>IF(AND(MIN(D1215:F1215)&gt;=0,MAX(D1215:F1215)&lt;=7,MAX(D1215,1)+MAX(E1215,1)+MAX(F1215,1)&lt;=9,OR(H1215="-",AND(H1215=0,D1215&gt;0),AND(H1215=1,E1215&gt;0),AND(H1215=2,F1215&gt;0)),OR(I1215=0,AND(I1215=1,OR(J1215=0,J1215=1,J1215=2),R1215&lt;&gt;"000")),Y1215&lt;=9,MIN(T1215:V1215)&gt;=0),"合法","输入违约")</x:f>
        <x:v>合法</x:v>
      </x:c>
    </x:row>
    <x:row r="1216" ht="23" customHeight="1">
      <x:c r="A1216" s="3" t="str">
        <x:v>CT-1209</x:v>
      </x:c>
      <x:c r="B1216" s="3" t="str">
        <x:v>ST-101</x:v>
      </x:c>
      <x:c r="C1216" s="3" t="str">
        <x:v>R+AR同收同发</x:v>
      </x:c>
      <x:c r="D1216" s="25" t="n">
        <x:v>2</x:v>
      </x:c>
      <x:c r="E1216" s="25" t="n">
        <x:v>1</x:v>
      </x:c>
      <x:c r="F1216" s="25" t="n">
        <x:v>4</x:v>
      </x:c>
      <x:c r="G1216" s="19" t="n">
        <x:f>SUM(D1216:F1216)</x:f>
        <x:v>7</x:v>
      </x:c>
      <x:c r="H1216" s="25" t="n">
        <x:v>2</x:v>
      </x:c>
      <x:c r="I1216" s="25" t="n">
        <x:v>1</x:v>
      </x:c>
      <x:c r="J1216" s="25" t="n">
        <x:v>0</x:v>
      </x:c>
      <x:c r="K1216" s="19" t="n">
        <x:f>D1216-IF(H1216=0,1,0)</x:f>
        <x:v>2</x:v>
      </x:c>
      <x:c r="L1216" s="19" t="n">
        <x:f>E1216-IF(H1216=1,1,0)</x:f>
        <x:v>1</x:v>
      </x:c>
      <x:c r="M1216" s="19" t="n">
        <x:f>F1216-IF(H1216=2,1,0)</x:f>
        <x:v>3</x:v>
      </x:c>
      <x:c r="N1216" s="19" t="n">
        <x:f>MAX(K1216-1,0)+MAX(L1216-1,0)+MAX(M1216-1,0)</x:f>
        <x:v>3</x:v>
      </x:c>
      <x:c r="O1216" s="19" t="n">
        <x:f>IF(AND(SUM(K1216:M1216)&lt;9,OR(M1216=0,N1216&lt;6)),1,0)</x:f>
        <x:v>1</x:v>
      </x:c>
      <x:c r="P1216" s="19" t="n">
        <x:f>IF(AND(SUM(K1216:M1216)&lt;9,OR(L1216=0,N1216&lt;6)),1,0)</x:f>
        <x:v>1</x:v>
      </x:c>
      <x:c r="Q1216" s="19" t="n">
        <x:f>IF(AND(SUM(K1216:M1216)&lt;9,OR(K1216=0,N1216&lt;6)),1,0)</x:f>
        <x:v>1</x:v>
      </x:c>
      <x:c r="R1216" s="22" t="str">
        <x:f>O1216&amp;P1216&amp;Q1216</x:f>
        <x:v>111</x:v>
      </x:c>
      <x:c r="S1216" s="19" t="n">
        <x:f>IF(I1216=1,IF(J1216=0,Q1216,IF(J1216=1,P1216,IF(J1216=2,O1216,0))),0)</x:f>
        <x:v>1</x:v>
      </x:c>
      <x:c r="T1216" s="19" t="n">
        <x:f>K1216+IF(AND(S1216=1,J1216=0),1,0)</x:f>
        <x:v>3</x:v>
      </x:c>
      <x:c r="U1216" s="19" t="n">
        <x:f>L1216+IF(AND(S1216=1,J1216=1),1,0)</x:f>
        <x:v>1</x:v>
      </x:c>
      <x:c r="V1216" s="19" t="n">
        <x:f>M1216+IF(AND(S1216=1,J1216=2),1,0)</x:f>
        <x:v>3</x:v>
      </x:c>
      <x:c r="W1216" s="19" t="n">
        <x:f>SUM(T1216:V1216)</x:f>
        <x:v>7</x:v>
      </x:c>
      <x:c r="X1216" s="19" t="n">
        <x:f>W1216-G1216</x:f>
        <x:v>0</x:v>
      </x:c>
      <x:c r="Y1216" s="19" t="n">
        <x:f>MAX(T1216,1)+MAX(U1216,1)+MAX(V1216,1)</x:f>
        <x:v>7</x:v>
      </x:c>
      <x:c r="Z1216" s="21" t="str">
        <x:f>IF(AND(MIN(D1216:F1216)&gt;=0,MAX(D1216:F1216)&lt;=7,MAX(D1216,1)+MAX(E1216,1)+MAX(F1216,1)&lt;=9,OR(H1216="-",AND(H1216=0,D1216&gt;0),AND(H1216=1,E1216&gt;0),AND(H1216=2,F1216&gt;0)),OR(I1216=0,AND(I1216=1,OR(J1216=0,J1216=1,J1216=2),R1216&lt;&gt;"000")),Y1216&lt;=9,MIN(T1216:V1216)&gt;=0),"合法","输入违约")</x:f>
        <x:v>合法</x:v>
      </x:c>
    </x:row>
    <x:row r="1217" ht="23" customHeight="1">
      <x:c r="A1217" s="3" t="str">
        <x:v>CT-1210</x:v>
      </x:c>
      <x:c r="B1217" s="3" t="str">
        <x:v>ST-101</x:v>
      </x:c>
      <x:c r="C1217" s="3" t="str">
        <x:v>R+AR同收同发</x:v>
      </x:c>
      <x:c r="D1217" s="25" t="n">
        <x:v>2</x:v>
      </x:c>
      <x:c r="E1217" s="25" t="n">
        <x:v>1</x:v>
      </x:c>
      <x:c r="F1217" s="25" t="n">
        <x:v>4</x:v>
      </x:c>
      <x:c r="G1217" s="19" t="n">
        <x:f>SUM(D1217:F1217)</x:f>
        <x:v>7</x:v>
      </x:c>
      <x:c r="H1217" s="25" t="n">
        <x:v>2</x:v>
      </x:c>
      <x:c r="I1217" s="25" t="n">
        <x:v>1</x:v>
      </x:c>
      <x:c r="J1217" s="25" t="n">
        <x:v>1</x:v>
      </x:c>
      <x:c r="K1217" s="19" t="n">
        <x:f>D1217-IF(H1217=0,1,0)</x:f>
        <x:v>2</x:v>
      </x:c>
      <x:c r="L1217" s="19" t="n">
        <x:f>E1217-IF(H1217=1,1,0)</x:f>
        <x:v>1</x:v>
      </x:c>
      <x:c r="M1217" s="19" t="n">
        <x:f>F1217-IF(H1217=2,1,0)</x:f>
        <x:v>3</x:v>
      </x:c>
      <x:c r="N1217" s="19" t="n">
        <x:f>MAX(K1217-1,0)+MAX(L1217-1,0)+MAX(M1217-1,0)</x:f>
        <x:v>3</x:v>
      </x:c>
      <x:c r="O1217" s="19" t="n">
        <x:f>IF(AND(SUM(K1217:M1217)&lt;9,OR(M1217=0,N1217&lt;6)),1,0)</x:f>
        <x:v>1</x:v>
      </x:c>
      <x:c r="P1217" s="19" t="n">
        <x:f>IF(AND(SUM(K1217:M1217)&lt;9,OR(L1217=0,N1217&lt;6)),1,0)</x:f>
        <x:v>1</x:v>
      </x:c>
      <x:c r="Q1217" s="19" t="n">
        <x:f>IF(AND(SUM(K1217:M1217)&lt;9,OR(K1217=0,N1217&lt;6)),1,0)</x:f>
        <x:v>1</x:v>
      </x:c>
      <x:c r="R1217" s="22" t="str">
        <x:f>O1217&amp;P1217&amp;Q1217</x:f>
        <x:v>111</x:v>
      </x:c>
      <x:c r="S1217" s="19" t="n">
        <x:f>IF(I1217=1,IF(J1217=0,Q1217,IF(J1217=1,P1217,IF(J1217=2,O1217,0))),0)</x:f>
        <x:v>1</x:v>
      </x:c>
      <x:c r="T1217" s="19" t="n">
        <x:f>K1217+IF(AND(S1217=1,J1217=0),1,0)</x:f>
        <x:v>2</x:v>
      </x:c>
      <x:c r="U1217" s="19" t="n">
        <x:f>L1217+IF(AND(S1217=1,J1217=1),1,0)</x:f>
        <x:v>2</x:v>
      </x:c>
      <x:c r="V1217" s="19" t="n">
        <x:f>M1217+IF(AND(S1217=1,J1217=2),1,0)</x:f>
        <x:v>3</x:v>
      </x:c>
      <x:c r="W1217" s="19" t="n">
        <x:f>SUM(T1217:V1217)</x:f>
        <x:v>7</x:v>
      </x:c>
      <x:c r="X1217" s="19" t="n">
        <x:f>W1217-G1217</x:f>
        <x:v>0</x:v>
      </x:c>
      <x:c r="Y1217" s="19" t="n">
        <x:f>MAX(T1217,1)+MAX(U1217,1)+MAX(V1217,1)</x:f>
        <x:v>7</x:v>
      </x:c>
      <x:c r="Z1217" s="21" t="str">
        <x:f>IF(AND(MIN(D1217:F1217)&gt;=0,MAX(D1217:F1217)&lt;=7,MAX(D1217,1)+MAX(E1217,1)+MAX(F1217,1)&lt;=9,OR(H1217="-",AND(H1217=0,D1217&gt;0),AND(H1217=1,E1217&gt;0),AND(H1217=2,F1217&gt;0)),OR(I1217=0,AND(I1217=1,OR(J1217=0,J1217=1,J1217=2),R1217&lt;&gt;"000")),Y1217&lt;=9,MIN(T1217:V1217)&gt;=0),"合法","输入违约")</x:f>
        <x:v>合法</x:v>
      </x:c>
    </x:row>
    <x:row r="1218" ht="23" customHeight="1">
      <x:c r="A1218" s="3" t="str">
        <x:v>CT-1211</x:v>
      </x:c>
      <x:c r="B1218" s="3" t="str">
        <x:v>ST-101</x:v>
      </x:c>
      <x:c r="C1218" s="3" t="str">
        <x:v>R+AR同收同发</x:v>
      </x:c>
      <x:c r="D1218" s="25" t="n">
        <x:v>2</x:v>
      </x:c>
      <x:c r="E1218" s="25" t="n">
        <x:v>1</x:v>
      </x:c>
      <x:c r="F1218" s="25" t="n">
        <x:v>4</x:v>
      </x:c>
      <x:c r="G1218" s="19" t="n">
        <x:f>SUM(D1218:F1218)</x:f>
        <x:v>7</x:v>
      </x:c>
      <x:c r="H1218" s="25" t="n">
        <x:v>2</x:v>
      </x:c>
      <x:c r="I1218" s="25" t="n">
        <x:v>1</x:v>
      </x:c>
      <x:c r="J1218" s="25" t="n">
        <x:v>2</x:v>
      </x:c>
      <x:c r="K1218" s="19" t="n">
        <x:f>D1218-IF(H1218=0,1,0)</x:f>
        <x:v>2</x:v>
      </x:c>
      <x:c r="L1218" s="19" t="n">
        <x:f>E1218-IF(H1218=1,1,0)</x:f>
        <x:v>1</x:v>
      </x:c>
      <x:c r="M1218" s="19" t="n">
        <x:f>F1218-IF(H1218=2,1,0)</x:f>
        <x:v>3</x:v>
      </x:c>
      <x:c r="N1218" s="19" t="n">
        <x:f>MAX(K1218-1,0)+MAX(L1218-1,0)+MAX(M1218-1,0)</x:f>
        <x:v>3</x:v>
      </x:c>
      <x:c r="O1218" s="19" t="n">
        <x:f>IF(AND(SUM(K1218:M1218)&lt;9,OR(M1218=0,N1218&lt;6)),1,0)</x:f>
        <x:v>1</x:v>
      </x:c>
      <x:c r="P1218" s="19" t="n">
        <x:f>IF(AND(SUM(K1218:M1218)&lt;9,OR(L1218=0,N1218&lt;6)),1,0)</x:f>
        <x:v>1</x:v>
      </x:c>
      <x:c r="Q1218" s="19" t="n">
        <x:f>IF(AND(SUM(K1218:M1218)&lt;9,OR(K1218=0,N1218&lt;6)),1,0)</x:f>
        <x:v>1</x:v>
      </x:c>
      <x:c r="R1218" s="22" t="str">
        <x:f>O1218&amp;P1218&amp;Q1218</x:f>
        <x:v>111</x:v>
      </x:c>
      <x:c r="S1218" s="19" t="n">
        <x:f>IF(I1218=1,IF(J1218=0,Q1218,IF(J1218=1,P1218,IF(J1218=2,O1218,0))),0)</x:f>
        <x:v>1</x:v>
      </x:c>
      <x:c r="T1218" s="19" t="n">
        <x:f>K1218+IF(AND(S1218=1,J1218=0),1,0)</x:f>
        <x:v>2</x:v>
      </x:c>
      <x:c r="U1218" s="19" t="n">
        <x:f>L1218+IF(AND(S1218=1,J1218=1),1,0)</x:f>
        <x:v>1</x:v>
      </x:c>
      <x:c r="V1218" s="19" t="n">
        <x:f>M1218+IF(AND(S1218=1,J1218=2),1,0)</x:f>
        <x:v>4</x:v>
      </x:c>
      <x:c r="W1218" s="19" t="n">
        <x:f>SUM(T1218:V1218)</x:f>
        <x:v>7</x:v>
      </x:c>
      <x:c r="X1218" s="19" t="n">
        <x:f>W1218-G1218</x:f>
        <x:v>0</x:v>
      </x:c>
      <x:c r="Y1218" s="19" t="n">
        <x:f>MAX(T1218,1)+MAX(U1218,1)+MAX(V1218,1)</x:f>
        <x:v>7</x:v>
      </x:c>
      <x:c r="Z1218" s="21" t="str">
        <x:f>IF(AND(MIN(D1218:F1218)&gt;=0,MAX(D1218:F1218)&lt;=7,MAX(D1218,1)+MAX(E1218,1)+MAX(F1218,1)&lt;=9,OR(H1218="-",AND(H1218=0,D1218&gt;0),AND(H1218=1,E1218&gt;0),AND(H1218=2,F1218&gt;0)),OR(I1218=0,AND(I1218=1,OR(J1218=0,J1218=1,J1218=2),R1218&lt;&gt;"000")),Y1218&lt;=9,MIN(T1218:V1218)&gt;=0),"合法","输入违约")</x:f>
        <x:v>合法</x:v>
      </x:c>
    </x:row>
    <x:row r="1219" ht="23" customHeight="1">
      <x:c r="A1219" s="3" t="str">
        <x:v>CT-1212</x:v>
      </x:c>
      <x:c r="B1219" s="3" t="str">
        <x:v>ST-137</x:v>
      </x:c>
      <x:c r="C1219" s="3" t="str">
        <x:v>无AR/R</x:v>
      </x:c>
      <x:c r="D1219" s="25" t="n">
        <x:v>2</x:v>
      </x:c>
      <x:c r="E1219" s="25" t="n">
        <x:v>1</x:v>
      </x:c>
      <x:c r="F1219" s="25" t="n">
        <x:v>5</x:v>
      </x:c>
      <x:c r="G1219" s="19" t="n">
        <x:f>SUM(D1219:F1219)</x:f>
        <x:v>8</x:v>
      </x:c>
      <x:c r="H1219" s="25" t="str">
        <x:v>-</x:v>
      </x:c>
      <x:c r="I1219" s="25" t="n">
        <x:v>0</x:v>
      </x:c>
      <x:c r="J1219" s="25" t="str">
        <x:v>-</x:v>
      </x:c>
      <x:c r="K1219" s="19" t="n">
        <x:f>D1219-IF(H1219=0,1,0)</x:f>
        <x:v>2</x:v>
      </x:c>
      <x:c r="L1219" s="19" t="n">
        <x:f>E1219-IF(H1219=1,1,0)</x:f>
        <x:v>1</x:v>
      </x:c>
      <x:c r="M1219" s="19" t="n">
        <x:f>F1219-IF(H1219=2,1,0)</x:f>
        <x:v>5</x:v>
      </x:c>
      <x:c r="N1219" s="19" t="n">
        <x:f>MAX(K1219-1,0)+MAX(L1219-1,0)+MAX(M1219-1,0)</x:f>
        <x:v>5</x:v>
      </x:c>
      <x:c r="O1219" s="19" t="n">
        <x:f>IF(AND(SUM(K1219:M1219)&lt;9,OR(M1219=0,N1219&lt;6)),1,0)</x:f>
        <x:v>1</x:v>
      </x:c>
      <x:c r="P1219" s="19" t="n">
        <x:f>IF(AND(SUM(K1219:M1219)&lt;9,OR(L1219=0,N1219&lt;6)),1,0)</x:f>
        <x:v>1</x:v>
      </x:c>
      <x:c r="Q1219" s="19" t="n">
        <x:f>IF(AND(SUM(K1219:M1219)&lt;9,OR(K1219=0,N1219&lt;6)),1,0)</x:f>
        <x:v>1</x:v>
      </x:c>
      <x:c r="R1219" s="22" t="str">
        <x:f>O1219&amp;P1219&amp;Q1219</x:f>
        <x:v>111</x:v>
      </x:c>
      <x:c r="S1219" s="19" t="n">
        <x:f>IF(I1219=1,IF(J1219=0,Q1219,IF(J1219=1,P1219,IF(J1219=2,O1219,0))),0)</x:f>
        <x:v>0</x:v>
      </x:c>
      <x:c r="T1219" s="19" t="n">
        <x:f>K1219+IF(AND(S1219=1,J1219=0),1,0)</x:f>
        <x:v>2</x:v>
      </x:c>
      <x:c r="U1219" s="19" t="n">
        <x:f>L1219+IF(AND(S1219=1,J1219=1),1,0)</x:f>
        <x:v>1</x:v>
      </x:c>
      <x:c r="V1219" s="19" t="n">
        <x:f>M1219+IF(AND(S1219=1,J1219=2),1,0)</x:f>
        <x:v>5</x:v>
      </x:c>
      <x:c r="W1219" s="19" t="n">
        <x:f>SUM(T1219:V1219)</x:f>
        <x:v>8</x:v>
      </x:c>
      <x:c r="X1219" s="19" t="n">
        <x:f>W1219-G1219</x:f>
        <x:v>0</x:v>
      </x:c>
      <x:c r="Y1219" s="19" t="n">
        <x:f>MAX(T1219,1)+MAX(U1219,1)+MAX(V1219,1)</x:f>
        <x:v>8</x:v>
      </x:c>
      <x:c r="Z1219" s="21" t="str">
        <x:f>IF(AND(MIN(D1219:F1219)&gt;=0,MAX(D1219:F1219)&lt;=7,MAX(D1219,1)+MAX(E1219,1)+MAX(F1219,1)&lt;=9,OR(H1219="-",AND(H1219=0,D1219&gt;0),AND(H1219=1,E1219&gt;0),AND(H1219=2,F1219&gt;0)),OR(I1219=0,AND(I1219=1,OR(J1219=0,J1219=1,J1219=2),R1219&lt;&gt;"000")),Y1219&lt;=9,MIN(T1219:V1219)&gt;=0),"合法","输入违约")</x:f>
        <x:v>合法</x:v>
      </x:c>
    </x:row>
    <x:row r="1220" ht="23" customHeight="1">
      <x:c r="A1220" s="3" t="str">
        <x:v>CT-1213</x:v>
      </x:c>
      <x:c r="B1220" s="3" t="str">
        <x:v>ST-137</x:v>
      </x:c>
      <x:c r="C1220" s="3" t="str">
        <x:v>仅AR接收</x:v>
      </x:c>
      <x:c r="D1220" s="25" t="n">
        <x:v>2</x:v>
      </x:c>
      <x:c r="E1220" s="25" t="n">
        <x:v>1</x:v>
      </x:c>
      <x:c r="F1220" s="25" t="n">
        <x:v>5</x:v>
      </x:c>
      <x:c r="G1220" s="19" t="n">
        <x:f>SUM(D1220:F1220)</x:f>
        <x:v>8</x:v>
      </x:c>
      <x:c r="H1220" s="25" t="str">
        <x:v>-</x:v>
      </x:c>
      <x:c r="I1220" s="25" t="n">
        <x:v>1</x:v>
      </x:c>
      <x:c r="J1220" s="25" t="n">
        <x:v>0</x:v>
      </x:c>
      <x:c r="K1220" s="19" t="n">
        <x:f>D1220-IF(H1220=0,1,0)</x:f>
        <x:v>2</x:v>
      </x:c>
      <x:c r="L1220" s="19" t="n">
        <x:f>E1220-IF(H1220=1,1,0)</x:f>
        <x:v>1</x:v>
      </x:c>
      <x:c r="M1220" s="19" t="n">
        <x:f>F1220-IF(H1220=2,1,0)</x:f>
        <x:v>5</x:v>
      </x:c>
      <x:c r="N1220" s="19" t="n">
        <x:f>MAX(K1220-1,0)+MAX(L1220-1,0)+MAX(M1220-1,0)</x:f>
        <x:v>5</x:v>
      </x:c>
      <x:c r="O1220" s="19" t="n">
        <x:f>IF(AND(SUM(K1220:M1220)&lt;9,OR(M1220=0,N1220&lt;6)),1,0)</x:f>
        <x:v>1</x:v>
      </x:c>
      <x:c r="P1220" s="19" t="n">
        <x:f>IF(AND(SUM(K1220:M1220)&lt;9,OR(L1220=0,N1220&lt;6)),1,0)</x:f>
        <x:v>1</x:v>
      </x:c>
      <x:c r="Q1220" s="19" t="n">
        <x:f>IF(AND(SUM(K1220:M1220)&lt;9,OR(K1220=0,N1220&lt;6)),1,0)</x:f>
        <x:v>1</x:v>
      </x:c>
      <x:c r="R1220" s="22" t="str">
        <x:f>O1220&amp;P1220&amp;Q1220</x:f>
        <x:v>111</x:v>
      </x:c>
      <x:c r="S1220" s="19" t="n">
        <x:f>IF(I1220=1,IF(J1220=0,Q1220,IF(J1220=1,P1220,IF(J1220=2,O1220,0))),0)</x:f>
        <x:v>1</x:v>
      </x:c>
      <x:c r="T1220" s="19" t="n">
        <x:f>K1220+IF(AND(S1220=1,J1220=0),1,0)</x:f>
        <x:v>3</x:v>
      </x:c>
      <x:c r="U1220" s="19" t="n">
        <x:f>L1220+IF(AND(S1220=1,J1220=1),1,0)</x:f>
        <x:v>1</x:v>
      </x:c>
      <x:c r="V1220" s="19" t="n">
        <x:f>M1220+IF(AND(S1220=1,J1220=2),1,0)</x:f>
        <x:v>5</x:v>
      </x:c>
      <x:c r="W1220" s="19" t="n">
        <x:f>SUM(T1220:V1220)</x:f>
        <x:v>9</x:v>
      </x:c>
      <x:c r="X1220" s="19" t="n">
        <x:f>W1220-G1220</x:f>
        <x:v>1</x:v>
      </x:c>
      <x:c r="Y1220" s="19" t="n">
        <x:f>MAX(T1220,1)+MAX(U1220,1)+MAX(V1220,1)</x:f>
        <x:v>9</x:v>
      </x:c>
      <x:c r="Z1220" s="21" t="str">
        <x:f>IF(AND(MIN(D1220:F1220)&gt;=0,MAX(D1220:F1220)&lt;=7,MAX(D1220,1)+MAX(E1220,1)+MAX(F1220,1)&lt;=9,OR(H1220="-",AND(H1220=0,D1220&gt;0),AND(H1220=1,E1220&gt;0),AND(H1220=2,F1220&gt;0)),OR(I1220=0,AND(I1220=1,OR(J1220=0,J1220=1,J1220=2),R1220&lt;&gt;"000")),Y1220&lt;=9,MIN(T1220:V1220)&gt;=0),"合法","输入违约")</x:f>
        <x:v>合法</x:v>
      </x:c>
    </x:row>
    <x:row r="1221" ht="23" customHeight="1">
      <x:c r="A1221" s="3" t="str">
        <x:v>CT-1214</x:v>
      </x:c>
      <x:c r="B1221" s="3" t="str">
        <x:v>ST-137</x:v>
      </x:c>
      <x:c r="C1221" s="3" t="str">
        <x:v>仅AR接收</x:v>
      </x:c>
      <x:c r="D1221" s="25" t="n">
        <x:v>2</x:v>
      </x:c>
      <x:c r="E1221" s="25" t="n">
        <x:v>1</x:v>
      </x:c>
      <x:c r="F1221" s="25" t="n">
        <x:v>5</x:v>
      </x:c>
      <x:c r="G1221" s="19" t="n">
        <x:f>SUM(D1221:F1221)</x:f>
        <x:v>8</x:v>
      </x:c>
      <x:c r="H1221" s="25" t="str">
        <x:v>-</x:v>
      </x:c>
      <x:c r="I1221" s="25" t="n">
        <x:v>1</x:v>
      </x:c>
      <x:c r="J1221" s="25" t="n">
        <x:v>1</x:v>
      </x:c>
      <x:c r="K1221" s="19" t="n">
        <x:f>D1221-IF(H1221=0,1,0)</x:f>
        <x:v>2</x:v>
      </x:c>
      <x:c r="L1221" s="19" t="n">
        <x:f>E1221-IF(H1221=1,1,0)</x:f>
        <x:v>1</x:v>
      </x:c>
      <x:c r="M1221" s="19" t="n">
        <x:f>F1221-IF(H1221=2,1,0)</x:f>
        <x:v>5</x:v>
      </x:c>
      <x:c r="N1221" s="19" t="n">
        <x:f>MAX(K1221-1,0)+MAX(L1221-1,0)+MAX(M1221-1,0)</x:f>
        <x:v>5</x:v>
      </x:c>
      <x:c r="O1221" s="19" t="n">
        <x:f>IF(AND(SUM(K1221:M1221)&lt;9,OR(M1221=0,N1221&lt;6)),1,0)</x:f>
        <x:v>1</x:v>
      </x:c>
      <x:c r="P1221" s="19" t="n">
        <x:f>IF(AND(SUM(K1221:M1221)&lt;9,OR(L1221=0,N1221&lt;6)),1,0)</x:f>
        <x:v>1</x:v>
      </x:c>
      <x:c r="Q1221" s="19" t="n">
        <x:f>IF(AND(SUM(K1221:M1221)&lt;9,OR(K1221=0,N1221&lt;6)),1,0)</x:f>
        <x:v>1</x:v>
      </x:c>
      <x:c r="R1221" s="22" t="str">
        <x:f>O1221&amp;P1221&amp;Q1221</x:f>
        <x:v>111</x:v>
      </x:c>
      <x:c r="S1221" s="19" t="n">
        <x:f>IF(I1221=1,IF(J1221=0,Q1221,IF(J1221=1,P1221,IF(J1221=2,O1221,0))),0)</x:f>
        <x:v>1</x:v>
      </x:c>
      <x:c r="T1221" s="19" t="n">
        <x:f>K1221+IF(AND(S1221=1,J1221=0),1,0)</x:f>
        <x:v>2</x:v>
      </x:c>
      <x:c r="U1221" s="19" t="n">
        <x:f>L1221+IF(AND(S1221=1,J1221=1),1,0)</x:f>
        <x:v>2</x:v>
      </x:c>
      <x:c r="V1221" s="19" t="n">
        <x:f>M1221+IF(AND(S1221=1,J1221=2),1,0)</x:f>
        <x:v>5</x:v>
      </x:c>
      <x:c r="W1221" s="19" t="n">
        <x:f>SUM(T1221:V1221)</x:f>
        <x:v>9</x:v>
      </x:c>
      <x:c r="X1221" s="19" t="n">
        <x:f>W1221-G1221</x:f>
        <x:v>1</x:v>
      </x:c>
      <x:c r="Y1221" s="19" t="n">
        <x:f>MAX(T1221,1)+MAX(U1221,1)+MAX(V1221,1)</x:f>
        <x:v>9</x:v>
      </x:c>
      <x:c r="Z1221" s="21" t="str">
        <x:f>IF(AND(MIN(D1221:F1221)&gt;=0,MAX(D1221:F1221)&lt;=7,MAX(D1221,1)+MAX(E1221,1)+MAX(F1221,1)&lt;=9,OR(H1221="-",AND(H1221=0,D1221&gt;0),AND(H1221=1,E1221&gt;0),AND(H1221=2,F1221&gt;0)),OR(I1221=0,AND(I1221=1,OR(J1221=0,J1221=1,J1221=2),R1221&lt;&gt;"000")),Y1221&lt;=9,MIN(T1221:V1221)&gt;=0),"合法","输入违约")</x:f>
        <x:v>合法</x:v>
      </x:c>
    </x:row>
    <x:row r="1222" ht="23" customHeight="1">
      <x:c r="A1222" s="3" t="str">
        <x:v>CT-1215</x:v>
      </x:c>
      <x:c r="B1222" s="3" t="str">
        <x:v>ST-137</x:v>
      </x:c>
      <x:c r="C1222" s="3" t="str">
        <x:v>仅AR接收</x:v>
      </x:c>
      <x:c r="D1222" s="25" t="n">
        <x:v>2</x:v>
      </x:c>
      <x:c r="E1222" s="25" t="n">
        <x:v>1</x:v>
      </x:c>
      <x:c r="F1222" s="25" t="n">
        <x:v>5</x:v>
      </x:c>
      <x:c r="G1222" s="19" t="n">
        <x:f>SUM(D1222:F1222)</x:f>
        <x:v>8</x:v>
      </x:c>
      <x:c r="H1222" s="25" t="str">
        <x:v>-</x:v>
      </x:c>
      <x:c r="I1222" s="25" t="n">
        <x:v>1</x:v>
      </x:c>
      <x:c r="J1222" s="25" t="n">
        <x:v>2</x:v>
      </x:c>
      <x:c r="K1222" s="19" t="n">
        <x:f>D1222-IF(H1222=0,1,0)</x:f>
        <x:v>2</x:v>
      </x:c>
      <x:c r="L1222" s="19" t="n">
        <x:f>E1222-IF(H1222=1,1,0)</x:f>
        <x:v>1</x:v>
      </x:c>
      <x:c r="M1222" s="19" t="n">
        <x:f>F1222-IF(H1222=2,1,0)</x:f>
        <x:v>5</x:v>
      </x:c>
      <x:c r="N1222" s="19" t="n">
        <x:f>MAX(K1222-1,0)+MAX(L1222-1,0)+MAX(M1222-1,0)</x:f>
        <x:v>5</x:v>
      </x:c>
      <x:c r="O1222" s="19" t="n">
        <x:f>IF(AND(SUM(K1222:M1222)&lt;9,OR(M1222=0,N1222&lt;6)),1,0)</x:f>
        <x:v>1</x:v>
      </x:c>
      <x:c r="P1222" s="19" t="n">
        <x:f>IF(AND(SUM(K1222:M1222)&lt;9,OR(L1222=0,N1222&lt;6)),1,0)</x:f>
        <x:v>1</x:v>
      </x:c>
      <x:c r="Q1222" s="19" t="n">
        <x:f>IF(AND(SUM(K1222:M1222)&lt;9,OR(K1222=0,N1222&lt;6)),1,0)</x:f>
        <x:v>1</x:v>
      </x:c>
      <x:c r="R1222" s="22" t="str">
        <x:f>O1222&amp;P1222&amp;Q1222</x:f>
        <x:v>111</x:v>
      </x:c>
      <x:c r="S1222" s="19" t="n">
        <x:f>IF(I1222=1,IF(J1222=0,Q1222,IF(J1222=1,P1222,IF(J1222=2,O1222,0))),0)</x:f>
        <x:v>1</x:v>
      </x:c>
      <x:c r="T1222" s="19" t="n">
        <x:f>K1222+IF(AND(S1222=1,J1222=0),1,0)</x:f>
        <x:v>2</x:v>
      </x:c>
      <x:c r="U1222" s="19" t="n">
        <x:f>L1222+IF(AND(S1222=1,J1222=1),1,0)</x:f>
        <x:v>1</x:v>
      </x:c>
      <x:c r="V1222" s="19" t="n">
        <x:f>M1222+IF(AND(S1222=1,J1222=2),1,0)</x:f>
        <x:v>6</x:v>
      </x:c>
      <x:c r="W1222" s="19" t="n">
        <x:f>SUM(T1222:V1222)</x:f>
        <x:v>9</x:v>
      </x:c>
      <x:c r="X1222" s="19" t="n">
        <x:f>W1222-G1222</x:f>
        <x:v>1</x:v>
      </x:c>
      <x:c r="Y1222" s="19" t="n">
        <x:f>MAX(T1222,1)+MAX(U1222,1)+MAX(V1222,1)</x:f>
        <x:v>9</x:v>
      </x:c>
      <x:c r="Z1222" s="21" t="str">
        <x:f>IF(AND(MIN(D1222:F1222)&gt;=0,MAX(D1222:F1222)&lt;=7,MAX(D1222,1)+MAX(E1222,1)+MAX(F1222,1)&lt;=9,OR(H1222="-",AND(H1222=0,D1222&gt;0),AND(H1222=1,E1222&gt;0),AND(H1222=2,F1222&gt;0)),OR(I1222=0,AND(I1222=1,OR(J1222=0,J1222=1,J1222=2),R1222&lt;&gt;"000")),Y1222&lt;=9,MIN(T1222:V1222)&gt;=0),"合法","输入违约")</x:f>
        <x:v>合法</x:v>
      </x:c>
    </x:row>
    <x:row r="1223" ht="23" customHeight="1">
      <x:c r="A1223" s="3" t="str">
        <x:v>CT-1216</x:v>
      </x:c>
      <x:c r="B1223" s="3" t="str">
        <x:v>ST-137</x:v>
      </x:c>
      <x:c r="C1223" s="3" t="str">
        <x:v>仅R回收</x:v>
      </x:c>
      <x:c r="D1223" s="25" t="n">
        <x:v>2</x:v>
      </x:c>
      <x:c r="E1223" s="25" t="n">
        <x:v>1</x:v>
      </x:c>
      <x:c r="F1223" s="25" t="n">
        <x:v>5</x:v>
      </x:c>
      <x:c r="G1223" s="19" t="n">
        <x:f>SUM(D1223:F1223)</x:f>
        <x:v>8</x:v>
      </x:c>
      <x:c r="H1223" s="25" t="n">
        <x:v>0</x:v>
      </x:c>
      <x:c r="I1223" s="25" t="n">
        <x:v>0</x:v>
      </x:c>
      <x:c r="J1223" s="25" t="str">
        <x:v>-</x:v>
      </x:c>
      <x:c r="K1223" s="19" t="n">
        <x:f>D1223-IF(H1223=0,1,0)</x:f>
        <x:v>1</x:v>
      </x:c>
      <x:c r="L1223" s="19" t="n">
        <x:f>E1223-IF(H1223=1,1,0)</x:f>
        <x:v>1</x:v>
      </x:c>
      <x:c r="M1223" s="19" t="n">
        <x:f>F1223-IF(H1223=2,1,0)</x:f>
        <x:v>5</x:v>
      </x:c>
      <x:c r="N1223" s="19" t="n">
        <x:f>MAX(K1223-1,0)+MAX(L1223-1,0)+MAX(M1223-1,0)</x:f>
        <x:v>4</x:v>
      </x:c>
      <x:c r="O1223" s="19" t="n">
        <x:f>IF(AND(SUM(K1223:M1223)&lt;9,OR(M1223=0,N1223&lt;6)),1,0)</x:f>
        <x:v>1</x:v>
      </x:c>
      <x:c r="P1223" s="19" t="n">
        <x:f>IF(AND(SUM(K1223:M1223)&lt;9,OR(L1223=0,N1223&lt;6)),1,0)</x:f>
        <x:v>1</x:v>
      </x:c>
      <x:c r="Q1223" s="19" t="n">
        <x:f>IF(AND(SUM(K1223:M1223)&lt;9,OR(K1223=0,N1223&lt;6)),1,0)</x:f>
        <x:v>1</x:v>
      </x:c>
      <x:c r="R1223" s="22" t="str">
        <x:f>O1223&amp;P1223&amp;Q1223</x:f>
        <x:v>111</x:v>
      </x:c>
      <x:c r="S1223" s="19" t="n">
        <x:f>IF(I1223=1,IF(J1223=0,Q1223,IF(J1223=1,P1223,IF(J1223=2,O1223,0))),0)</x:f>
        <x:v>0</x:v>
      </x:c>
      <x:c r="T1223" s="19" t="n">
        <x:f>K1223+IF(AND(S1223=1,J1223=0),1,0)</x:f>
        <x:v>1</x:v>
      </x:c>
      <x:c r="U1223" s="19" t="n">
        <x:f>L1223+IF(AND(S1223=1,J1223=1),1,0)</x:f>
        <x:v>1</x:v>
      </x:c>
      <x:c r="V1223" s="19" t="n">
        <x:f>M1223+IF(AND(S1223=1,J1223=2),1,0)</x:f>
        <x:v>5</x:v>
      </x:c>
      <x:c r="W1223" s="19" t="n">
        <x:f>SUM(T1223:V1223)</x:f>
        <x:v>7</x:v>
      </x:c>
      <x:c r="X1223" s="19" t="n">
        <x:f>W1223-G1223</x:f>
        <x:v>-1</x:v>
      </x:c>
      <x:c r="Y1223" s="19" t="n">
        <x:f>MAX(T1223,1)+MAX(U1223,1)+MAX(V1223,1)</x:f>
        <x:v>7</x:v>
      </x:c>
      <x:c r="Z1223" s="21" t="str">
        <x:f>IF(AND(MIN(D1223:F1223)&gt;=0,MAX(D1223:F1223)&lt;=7,MAX(D1223,1)+MAX(E1223,1)+MAX(F1223,1)&lt;=9,OR(H1223="-",AND(H1223=0,D1223&gt;0),AND(H1223=1,E1223&gt;0),AND(H1223=2,F1223&gt;0)),OR(I1223=0,AND(I1223=1,OR(J1223=0,J1223=1,J1223=2),R1223&lt;&gt;"000")),Y1223&lt;=9,MIN(T1223:V1223)&gt;=0),"合法","输入违约")</x:f>
        <x:v>合法</x:v>
      </x:c>
    </x:row>
    <x:row r="1224" ht="23" customHeight="1">
      <x:c r="A1224" s="3" t="str">
        <x:v>CT-1217</x:v>
      </x:c>
      <x:c r="B1224" s="3" t="str">
        <x:v>ST-137</x:v>
      </x:c>
      <x:c r="C1224" s="3" t="str">
        <x:v>R+AR同收同发</x:v>
      </x:c>
      <x:c r="D1224" s="25" t="n">
        <x:v>2</x:v>
      </x:c>
      <x:c r="E1224" s="25" t="n">
        <x:v>1</x:v>
      </x:c>
      <x:c r="F1224" s="25" t="n">
        <x:v>5</x:v>
      </x:c>
      <x:c r="G1224" s="19" t="n">
        <x:f>SUM(D1224:F1224)</x:f>
        <x:v>8</x:v>
      </x:c>
      <x:c r="H1224" s="25" t="n">
        <x:v>0</x:v>
      </x:c>
      <x:c r="I1224" s="25" t="n">
        <x:v>1</x:v>
      </x:c>
      <x:c r="J1224" s="25" t="n">
        <x:v>0</x:v>
      </x:c>
      <x:c r="K1224" s="19" t="n">
        <x:f>D1224-IF(H1224=0,1,0)</x:f>
        <x:v>1</x:v>
      </x:c>
      <x:c r="L1224" s="19" t="n">
        <x:f>E1224-IF(H1224=1,1,0)</x:f>
        <x:v>1</x:v>
      </x:c>
      <x:c r="M1224" s="19" t="n">
        <x:f>F1224-IF(H1224=2,1,0)</x:f>
        <x:v>5</x:v>
      </x:c>
      <x:c r="N1224" s="19" t="n">
        <x:f>MAX(K1224-1,0)+MAX(L1224-1,0)+MAX(M1224-1,0)</x:f>
        <x:v>4</x:v>
      </x:c>
      <x:c r="O1224" s="19" t="n">
        <x:f>IF(AND(SUM(K1224:M1224)&lt;9,OR(M1224=0,N1224&lt;6)),1,0)</x:f>
        <x:v>1</x:v>
      </x:c>
      <x:c r="P1224" s="19" t="n">
        <x:f>IF(AND(SUM(K1224:M1224)&lt;9,OR(L1224=0,N1224&lt;6)),1,0)</x:f>
        <x:v>1</x:v>
      </x:c>
      <x:c r="Q1224" s="19" t="n">
        <x:f>IF(AND(SUM(K1224:M1224)&lt;9,OR(K1224=0,N1224&lt;6)),1,0)</x:f>
        <x:v>1</x:v>
      </x:c>
      <x:c r="R1224" s="22" t="str">
        <x:f>O1224&amp;P1224&amp;Q1224</x:f>
        <x:v>111</x:v>
      </x:c>
      <x:c r="S1224" s="19" t="n">
        <x:f>IF(I1224=1,IF(J1224=0,Q1224,IF(J1224=1,P1224,IF(J1224=2,O1224,0))),0)</x:f>
        <x:v>1</x:v>
      </x:c>
      <x:c r="T1224" s="19" t="n">
        <x:f>K1224+IF(AND(S1224=1,J1224=0),1,0)</x:f>
        <x:v>2</x:v>
      </x:c>
      <x:c r="U1224" s="19" t="n">
        <x:f>L1224+IF(AND(S1224=1,J1224=1),1,0)</x:f>
        <x:v>1</x:v>
      </x:c>
      <x:c r="V1224" s="19" t="n">
        <x:f>M1224+IF(AND(S1224=1,J1224=2),1,0)</x:f>
        <x:v>5</x:v>
      </x:c>
      <x:c r="W1224" s="19" t="n">
        <x:f>SUM(T1224:V1224)</x:f>
        <x:v>8</x:v>
      </x:c>
      <x:c r="X1224" s="19" t="n">
        <x:f>W1224-G1224</x:f>
        <x:v>0</x:v>
      </x:c>
      <x:c r="Y1224" s="19" t="n">
        <x:f>MAX(T1224,1)+MAX(U1224,1)+MAX(V1224,1)</x:f>
        <x:v>8</x:v>
      </x:c>
      <x:c r="Z1224" s="21" t="str">
        <x:f>IF(AND(MIN(D1224:F1224)&gt;=0,MAX(D1224:F1224)&lt;=7,MAX(D1224,1)+MAX(E1224,1)+MAX(F1224,1)&lt;=9,OR(H1224="-",AND(H1224=0,D1224&gt;0),AND(H1224=1,E1224&gt;0),AND(H1224=2,F1224&gt;0)),OR(I1224=0,AND(I1224=1,OR(J1224=0,J1224=1,J1224=2),R1224&lt;&gt;"000")),Y1224&lt;=9,MIN(T1224:V1224)&gt;=0),"合法","输入违约")</x:f>
        <x:v>合法</x:v>
      </x:c>
    </x:row>
    <x:row r="1225" ht="23" customHeight="1">
      <x:c r="A1225" s="3" t="str">
        <x:v>CT-1218</x:v>
      </x:c>
      <x:c r="B1225" s="3" t="str">
        <x:v>ST-137</x:v>
      </x:c>
      <x:c r="C1225" s="3" t="str">
        <x:v>R+AR同收同发</x:v>
      </x:c>
      <x:c r="D1225" s="25" t="n">
        <x:v>2</x:v>
      </x:c>
      <x:c r="E1225" s="25" t="n">
        <x:v>1</x:v>
      </x:c>
      <x:c r="F1225" s="25" t="n">
        <x:v>5</x:v>
      </x:c>
      <x:c r="G1225" s="19" t="n">
        <x:f>SUM(D1225:F1225)</x:f>
        <x:v>8</x:v>
      </x:c>
      <x:c r="H1225" s="25" t="n">
        <x:v>0</x:v>
      </x:c>
      <x:c r="I1225" s="25" t="n">
        <x:v>1</x:v>
      </x:c>
      <x:c r="J1225" s="25" t="n">
        <x:v>1</x:v>
      </x:c>
      <x:c r="K1225" s="19" t="n">
        <x:f>D1225-IF(H1225=0,1,0)</x:f>
        <x:v>1</x:v>
      </x:c>
      <x:c r="L1225" s="19" t="n">
        <x:f>E1225-IF(H1225=1,1,0)</x:f>
        <x:v>1</x:v>
      </x:c>
      <x:c r="M1225" s="19" t="n">
        <x:f>F1225-IF(H1225=2,1,0)</x:f>
        <x:v>5</x:v>
      </x:c>
      <x:c r="N1225" s="19" t="n">
        <x:f>MAX(K1225-1,0)+MAX(L1225-1,0)+MAX(M1225-1,0)</x:f>
        <x:v>4</x:v>
      </x:c>
      <x:c r="O1225" s="19" t="n">
        <x:f>IF(AND(SUM(K1225:M1225)&lt;9,OR(M1225=0,N1225&lt;6)),1,0)</x:f>
        <x:v>1</x:v>
      </x:c>
      <x:c r="P1225" s="19" t="n">
        <x:f>IF(AND(SUM(K1225:M1225)&lt;9,OR(L1225=0,N1225&lt;6)),1,0)</x:f>
        <x:v>1</x:v>
      </x:c>
      <x:c r="Q1225" s="19" t="n">
        <x:f>IF(AND(SUM(K1225:M1225)&lt;9,OR(K1225=0,N1225&lt;6)),1,0)</x:f>
        <x:v>1</x:v>
      </x:c>
      <x:c r="R1225" s="22" t="str">
        <x:f>O1225&amp;P1225&amp;Q1225</x:f>
        <x:v>111</x:v>
      </x:c>
      <x:c r="S1225" s="19" t="n">
        <x:f>IF(I1225=1,IF(J1225=0,Q1225,IF(J1225=1,P1225,IF(J1225=2,O1225,0))),0)</x:f>
        <x:v>1</x:v>
      </x:c>
      <x:c r="T1225" s="19" t="n">
        <x:f>K1225+IF(AND(S1225=1,J1225=0),1,0)</x:f>
        <x:v>1</x:v>
      </x:c>
      <x:c r="U1225" s="19" t="n">
        <x:f>L1225+IF(AND(S1225=1,J1225=1),1,0)</x:f>
        <x:v>2</x:v>
      </x:c>
      <x:c r="V1225" s="19" t="n">
        <x:f>M1225+IF(AND(S1225=1,J1225=2),1,0)</x:f>
        <x:v>5</x:v>
      </x:c>
      <x:c r="W1225" s="19" t="n">
        <x:f>SUM(T1225:V1225)</x:f>
        <x:v>8</x:v>
      </x:c>
      <x:c r="X1225" s="19" t="n">
        <x:f>W1225-G1225</x:f>
        <x:v>0</x:v>
      </x:c>
      <x:c r="Y1225" s="19" t="n">
        <x:f>MAX(T1225,1)+MAX(U1225,1)+MAX(V1225,1)</x:f>
        <x:v>8</x:v>
      </x:c>
      <x:c r="Z1225" s="21" t="str">
        <x:f>IF(AND(MIN(D1225:F1225)&gt;=0,MAX(D1225:F1225)&lt;=7,MAX(D1225,1)+MAX(E1225,1)+MAX(F1225,1)&lt;=9,OR(H1225="-",AND(H1225=0,D1225&gt;0),AND(H1225=1,E1225&gt;0),AND(H1225=2,F1225&gt;0)),OR(I1225=0,AND(I1225=1,OR(J1225=0,J1225=1,J1225=2),R1225&lt;&gt;"000")),Y1225&lt;=9,MIN(T1225:V1225)&gt;=0),"合法","输入违约")</x:f>
        <x:v>合法</x:v>
      </x:c>
    </x:row>
    <x:row r="1226" ht="23" customHeight="1">
      <x:c r="A1226" s="3" t="str">
        <x:v>CT-1219</x:v>
      </x:c>
      <x:c r="B1226" s="3" t="str">
        <x:v>ST-137</x:v>
      </x:c>
      <x:c r="C1226" s="3" t="str">
        <x:v>R+AR同收同发</x:v>
      </x:c>
      <x:c r="D1226" s="25" t="n">
        <x:v>2</x:v>
      </x:c>
      <x:c r="E1226" s="25" t="n">
        <x:v>1</x:v>
      </x:c>
      <x:c r="F1226" s="25" t="n">
        <x:v>5</x:v>
      </x:c>
      <x:c r="G1226" s="19" t="n">
        <x:f>SUM(D1226:F1226)</x:f>
        <x:v>8</x:v>
      </x:c>
      <x:c r="H1226" s="25" t="n">
        <x:v>0</x:v>
      </x:c>
      <x:c r="I1226" s="25" t="n">
        <x:v>1</x:v>
      </x:c>
      <x:c r="J1226" s="25" t="n">
        <x:v>2</x:v>
      </x:c>
      <x:c r="K1226" s="19" t="n">
        <x:f>D1226-IF(H1226=0,1,0)</x:f>
        <x:v>1</x:v>
      </x:c>
      <x:c r="L1226" s="19" t="n">
        <x:f>E1226-IF(H1226=1,1,0)</x:f>
        <x:v>1</x:v>
      </x:c>
      <x:c r="M1226" s="19" t="n">
        <x:f>F1226-IF(H1226=2,1,0)</x:f>
        <x:v>5</x:v>
      </x:c>
      <x:c r="N1226" s="19" t="n">
        <x:f>MAX(K1226-1,0)+MAX(L1226-1,0)+MAX(M1226-1,0)</x:f>
        <x:v>4</x:v>
      </x:c>
      <x:c r="O1226" s="19" t="n">
        <x:f>IF(AND(SUM(K1226:M1226)&lt;9,OR(M1226=0,N1226&lt;6)),1,0)</x:f>
        <x:v>1</x:v>
      </x:c>
      <x:c r="P1226" s="19" t="n">
        <x:f>IF(AND(SUM(K1226:M1226)&lt;9,OR(L1226=0,N1226&lt;6)),1,0)</x:f>
        <x:v>1</x:v>
      </x:c>
      <x:c r="Q1226" s="19" t="n">
        <x:f>IF(AND(SUM(K1226:M1226)&lt;9,OR(K1226=0,N1226&lt;6)),1,0)</x:f>
        <x:v>1</x:v>
      </x:c>
      <x:c r="R1226" s="22" t="str">
        <x:f>O1226&amp;P1226&amp;Q1226</x:f>
        <x:v>111</x:v>
      </x:c>
      <x:c r="S1226" s="19" t="n">
        <x:f>IF(I1226=1,IF(J1226=0,Q1226,IF(J1226=1,P1226,IF(J1226=2,O1226,0))),0)</x:f>
        <x:v>1</x:v>
      </x:c>
      <x:c r="T1226" s="19" t="n">
        <x:f>K1226+IF(AND(S1226=1,J1226=0),1,0)</x:f>
        <x:v>1</x:v>
      </x:c>
      <x:c r="U1226" s="19" t="n">
        <x:f>L1226+IF(AND(S1226=1,J1226=1),1,0)</x:f>
        <x:v>1</x:v>
      </x:c>
      <x:c r="V1226" s="19" t="n">
        <x:f>M1226+IF(AND(S1226=1,J1226=2),1,0)</x:f>
        <x:v>6</x:v>
      </x:c>
      <x:c r="W1226" s="19" t="n">
        <x:f>SUM(T1226:V1226)</x:f>
        <x:v>8</x:v>
      </x:c>
      <x:c r="X1226" s="19" t="n">
        <x:f>W1226-G1226</x:f>
        <x:v>0</x:v>
      </x:c>
      <x:c r="Y1226" s="19" t="n">
        <x:f>MAX(T1226,1)+MAX(U1226,1)+MAX(V1226,1)</x:f>
        <x:v>8</x:v>
      </x:c>
      <x:c r="Z1226" s="21" t="str">
        <x:f>IF(AND(MIN(D1226:F1226)&gt;=0,MAX(D1226:F1226)&lt;=7,MAX(D1226,1)+MAX(E1226,1)+MAX(F1226,1)&lt;=9,OR(H1226="-",AND(H1226=0,D1226&gt;0),AND(H1226=1,E1226&gt;0),AND(H1226=2,F1226&gt;0)),OR(I1226=0,AND(I1226=1,OR(J1226=0,J1226=1,J1226=2),R1226&lt;&gt;"000")),Y1226&lt;=9,MIN(T1226:V1226)&gt;=0),"合法","输入违约")</x:f>
        <x:v>合法</x:v>
      </x:c>
    </x:row>
    <x:row r="1227" ht="23" customHeight="1">
      <x:c r="A1227" s="3" t="str">
        <x:v>CT-1220</x:v>
      </x:c>
      <x:c r="B1227" s="3" t="str">
        <x:v>ST-137</x:v>
      </x:c>
      <x:c r="C1227" s="3" t="str">
        <x:v>仅R回收</x:v>
      </x:c>
      <x:c r="D1227" s="25" t="n">
        <x:v>2</x:v>
      </x:c>
      <x:c r="E1227" s="25" t="n">
        <x:v>1</x:v>
      </x:c>
      <x:c r="F1227" s="25" t="n">
        <x:v>5</x:v>
      </x:c>
      <x:c r="G1227" s="19" t="n">
        <x:f>SUM(D1227:F1227)</x:f>
        <x:v>8</x:v>
      </x:c>
      <x:c r="H1227" s="25" t="n">
        <x:v>1</x:v>
      </x:c>
      <x:c r="I1227" s="25" t="n">
        <x:v>0</x:v>
      </x:c>
      <x:c r="J1227" s="25" t="str">
        <x:v>-</x:v>
      </x:c>
      <x:c r="K1227" s="19" t="n">
        <x:f>D1227-IF(H1227=0,1,0)</x:f>
        <x:v>2</x:v>
      </x:c>
      <x:c r="L1227" s="19" t="n">
        <x:f>E1227-IF(H1227=1,1,0)</x:f>
        <x:v>0</x:v>
      </x:c>
      <x:c r="M1227" s="19" t="n">
        <x:f>F1227-IF(H1227=2,1,0)</x:f>
        <x:v>5</x:v>
      </x:c>
      <x:c r="N1227" s="19" t="n">
        <x:f>MAX(K1227-1,0)+MAX(L1227-1,0)+MAX(M1227-1,0)</x:f>
        <x:v>5</x:v>
      </x:c>
      <x:c r="O1227" s="19" t="n">
        <x:f>IF(AND(SUM(K1227:M1227)&lt;9,OR(M1227=0,N1227&lt;6)),1,0)</x:f>
        <x:v>1</x:v>
      </x:c>
      <x:c r="P1227" s="19" t="n">
        <x:f>IF(AND(SUM(K1227:M1227)&lt;9,OR(L1227=0,N1227&lt;6)),1,0)</x:f>
        <x:v>1</x:v>
      </x:c>
      <x:c r="Q1227" s="19" t="n">
        <x:f>IF(AND(SUM(K1227:M1227)&lt;9,OR(K1227=0,N1227&lt;6)),1,0)</x:f>
        <x:v>1</x:v>
      </x:c>
      <x:c r="R1227" s="22" t="str">
        <x:f>O1227&amp;P1227&amp;Q1227</x:f>
        <x:v>111</x:v>
      </x:c>
      <x:c r="S1227" s="19" t="n">
        <x:f>IF(I1227=1,IF(J1227=0,Q1227,IF(J1227=1,P1227,IF(J1227=2,O1227,0))),0)</x:f>
        <x:v>0</x:v>
      </x:c>
      <x:c r="T1227" s="19" t="n">
        <x:f>K1227+IF(AND(S1227=1,J1227=0),1,0)</x:f>
        <x:v>2</x:v>
      </x:c>
      <x:c r="U1227" s="19" t="n">
        <x:f>L1227+IF(AND(S1227=1,J1227=1),1,0)</x:f>
        <x:v>0</x:v>
      </x:c>
      <x:c r="V1227" s="19" t="n">
        <x:f>M1227+IF(AND(S1227=1,J1227=2),1,0)</x:f>
        <x:v>5</x:v>
      </x:c>
      <x:c r="W1227" s="19" t="n">
        <x:f>SUM(T1227:V1227)</x:f>
        <x:v>7</x:v>
      </x:c>
      <x:c r="X1227" s="19" t="n">
        <x:f>W1227-G1227</x:f>
        <x:v>-1</x:v>
      </x:c>
      <x:c r="Y1227" s="19" t="n">
        <x:f>MAX(T1227,1)+MAX(U1227,1)+MAX(V1227,1)</x:f>
        <x:v>8</x:v>
      </x:c>
      <x:c r="Z1227" s="21" t="str">
        <x:f>IF(AND(MIN(D1227:F1227)&gt;=0,MAX(D1227:F1227)&lt;=7,MAX(D1227,1)+MAX(E1227,1)+MAX(F1227,1)&lt;=9,OR(H1227="-",AND(H1227=0,D1227&gt;0),AND(H1227=1,E1227&gt;0),AND(H1227=2,F1227&gt;0)),OR(I1227=0,AND(I1227=1,OR(J1227=0,J1227=1,J1227=2),R1227&lt;&gt;"000")),Y1227&lt;=9,MIN(T1227:V1227)&gt;=0),"合法","输入违约")</x:f>
        <x:v>合法</x:v>
      </x:c>
    </x:row>
    <x:row r="1228" ht="23" customHeight="1">
      <x:c r="A1228" s="3" t="str">
        <x:v>CT-1221</x:v>
      </x:c>
      <x:c r="B1228" s="3" t="str">
        <x:v>ST-137</x:v>
      </x:c>
      <x:c r="C1228" s="3" t="str">
        <x:v>R+AR同收同发</x:v>
      </x:c>
      <x:c r="D1228" s="25" t="n">
        <x:v>2</x:v>
      </x:c>
      <x:c r="E1228" s="25" t="n">
        <x:v>1</x:v>
      </x:c>
      <x:c r="F1228" s="25" t="n">
        <x:v>5</x:v>
      </x:c>
      <x:c r="G1228" s="19" t="n">
        <x:f>SUM(D1228:F1228)</x:f>
        <x:v>8</x:v>
      </x:c>
      <x:c r="H1228" s="25" t="n">
        <x:v>1</x:v>
      </x:c>
      <x:c r="I1228" s="25" t="n">
        <x:v>1</x:v>
      </x:c>
      <x:c r="J1228" s="25" t="n">
        <x:v>0</x:v>
      </x:c>
      <x:c r="K1228" s="19" t="n">
        <x:f>D1228-IF(H1228=0,1,0)</x:f>
        <x:v>2</x:v>
      </x:c>
      <x:c r="L1228" s="19" t="n">
        <x:f>E1228-IF(H1228=1,1,0)</x:f>
        <x:v>0</x:v>
      </x:c>
      <x:c r="M1228" s="19" t="n">
        <x:f>F1228-IF(H1228=2,1,0)</x:f>
        <x:v>5</x:v>
      </x:c>
      <x:c r="N1228" s="19" t="n">
        <x:f>MAX(K1228-1,0)+MAX(L1228-1,0)+MAX(M1228-1,0)</x:f>
        <x:v>5</x:v>
      </x:c>
      <x:c r="O1228" s="19" t="n">
        <x:f>IF(AND(SUM(K1228:M1228)&lt;9,OR(M1228=0,N1228&lt;6)),1,0)</x:f>
        <x:v>1</x:v>
      </x:c>
      <x:c r="P1228" s="19" t="n">
        <x:f>IF(AND(SUM(K1228:M1228)&lt;9,OR(L1228=0,N1228&lt;6)),1,0)</x:f>
        <x:v>1</x:v>
      </x:c>
      <x:c r="Q1228" s="19" t="n">
        <x:f>IF(AND(SUM(K1228:M1228)&lt;9,OR(K1228=0,N1228&lt;6)),1,0)</x:f>
        <x:v>1</x:v>
      </x:c>
      <x:c r="R1228" s="22" t="str">
        <x:f>O1228&amp;P1228&amp;Q1228</x:f>
        <x:v>111</x:v>
      </x:c>
      <x:c r="S1228" s="19" t="n">
        <x:f>IF(I1228=1,IF(J1228=0,Q1228,IF(J1228=1,P1228,IF(J1228=2,O1228,0))),0)</x:f>
        <x:v>1</x:v>
      </x:c>
      <x:c r="T1228" s="19" t="n">
        <x:f>K1228+IF(AND(S1228=1,J1228=0),1,0)</x:f>
        <x:v>3</x:v>
      </x:c>
      <x:c r="U1228" s="19" t="n">
        <x:f>L1228+IF(AND(S1228=1,J1228=1),1,0)</x:f>
        <x:v>0</x:v>
      </x:c>
      <x:c r="V1228" s="19" t="n">
        <x:f>M1228+IF(AND(S1228=1,J1228=2),1,0)</x:f>
        <x:v>5</x:v>
      </x:c>
      <x:c r="W1228" s="19" t="n">
        <x:f>SUM(T1228:V1228)</x:f>
        <x:v>8</x:v>
      </x:c>
      <x:c r="X1228" s="19" t="n">
        <x:f>W1228-G1228</x:f>
        <x:v>0</x:v>
      </x:c>
      <x:c r="Y1228" s="19" t="n">
        <x:f>MAX(T1228,1)+MAX(U1228,1)+MAX(V1228,1)</x:f>
        <x:v>9</x:v>
      </x:c>
      <x:c r="Z1228" s="21" t="str">
        <x:f>IF(AND(MIN(D1228:F1228)&gt;=0,MAX(D1228:F1228)&lt;=7,MAX(D1228,1)+MAX(E1228,1)+MAX(F1228,1)&lt;=9,OR(H1228="-",AND(H1228=0,D1228&gt;0),AND(H1228=1,E1228&gt;0),AND(H1228=2,F1228&gt;0)),OR(I1228=0,AND(I1228=1,OR(J1228=0,J1228=1,J1228=2),R1228&lt;&gt;"000")),Y1228&lt;=9,MIN(T1228:V1228)&gt;=0),"合法","输入违约")</x:f>
        <x:v>合法</x:v>
      </x:c>
    </x:row>
    <x:row r="1229" ht="23" customHeight="1">
      <x:c r="A1229" s="3" t="str">
        <x:v>CT-1222</x:v>
      </x:c>
      <x:c r="B1229" s="3" t="str">
        <x:v>ST-137</x:v>
      </x:c>
      <x:c r="C1229" s="3" t="str">
        <x:v>R+AR同收同发</x:v>
      </x:c>
      <x:c r="D1229" s="25" t="n">
        <x:v>2</x:v>
      </x:c>
      <x:c r="E1229" s="25" t="n">
        <x:v>1</x:v>
      </x:c>
      <x:c r="F1229" s="25" t="n">
        <x:v>5</x:v>
      </x:c>
      <x:c r="G1229" s="19" t="n">
        <x:f>SUM(D1229:F1229)</x:f>
        <x:v>8</x:v>
      </x:c>
      <x:c r="H1229" s="25" t="n">
        <x:v>1</x:v>
      </x:c>
      <x:c r="I1229" s="25" t="n">
        <x:v>1</x:v>
      </x:c>
      <x:c r="J1229" s="25" t="n">
        <x:v>1</x:v>
      </x:c>
      <x:c r="K1229" s="19" t="n">
        <x:f>D1229-IF(H1229=0,1,0)</x:f>
        <x:v>2</x:v>
      </x:c>
      <x:c r="L1229" s="19" t="n">
        <x:f>E1229-IF(H1229=1,1,0)</x:f>
        <x:v>0</x:v>
      </x:c>
      <x:c r="M1229" s="19" t="n">
        <x:f>F1229-IF(H1229=2,1,0)</x:f>
        <x:v>5</x:v>
      </x:c>
      <x:c r="N1229" s="19" t="n">
        <x:f>MAX(K1229-1,0)+MAX(L1229-1,0)+MAX(M1229-1,0)</x:f>
        <x:v>5</x:v>
      </x:c>
      <x:c r="O1229" s="19" t="n">
        <x:f>IF(AND(SUM(K1229:M1229)&lt;9,OR(M1229=0,N1229&lt;6)),1,0)</x:f>
        <x:v>1</x:v>
      </x:c>
      <x:c r="P1229" s="19" t="n">
        <x:f>IF(AND(SUM(K1229:M1229)&lt;9,OR(L1229=0,N1229&lt;6)),1,0)</x:f>
        <x:v>1</x:v>
      </x:c>
      <x:c r="Q1229" s="19" t="n">
        <x:f>IF(AND(SUM(K1229:M1229)&lt;9,OR(K1229=0,N1229&lt;6)),1,0)</x:f>
        <x:v>1</x:v>
      </x:c>
      <x:c r="R1229" s="22" t="str">
        <x:f>O1229&amp;P1229&amp;Q1229</x:f>
        <x:v>111</x:v>
      </x:c>
      <x:c r="S1229" s="19" t="n">
        <x:f>IF(I1229=1,IF(J1229=0,Q1229,IF(J1229=1,P1229,IF(J1229=2,O1229,0))),0)</x:f>
        <x:v>1</x:v>
      </x:c>
      <x:c r="T1229" s="19" t="n">
        <x:f>K1229+IF(AND(S1229=1,J1229=0),1,0)</x:f>
        <x:v>2</x:v>
      </x:c>
      <x:c r="U1229" s="19" t="n">
        <x:f>L1229+IF(AND(S1229=1,J1229=1),1,0)</x:f>
        <x:v>1</x:v>
      </x:c>
      <x:c r="V1229" s="19" t="n">
        <x:f>M1229+IF(AND(S1229=1,J1229=2),1,0)</x:f>
        <x:v>5</x:v>
      </x:c>
      <x:c r="W1229" s="19" t="n">
        <x:f>SUM(T1229:V1229)</x:f>
        <x:v>8</x:v>
      </x:c>
      <x:c r="X1229" s="19" t="n">
        <x:f>W1229-G1229</x:f>
        <x:v>0</x:v>
      </x:c>
      <x:c r="Y1229" s="19" t="n">
        <x:f>MAX(T1229,1)+MAX(U1229,1)+MAX(V1229,1)</x:f>
        <x:v>8</x:v>
      </x:c>
      <x:c r="Z1229" s="21" t="str">
        <x:f>IF(AND(MIN(D1229:F1229)&gt;=0,MAX(D1229:F1229)&lt;=7,MAX(D1229,1)+MAX(E1229,1)+MAX(F1229,1)&lt;=9,OR(H1229="-",AND(H1229=0,D1229&gt;0),AND(H1229=1,E1229&gt;0),AND(H1229=2,F1229&gt;0)),OR(I1229=0,AND(I1229=1,OR(J1229=0,J1229=1,J1229=2),R1229&lt;&gt;"000")),Y1229&lt;=9,MIN(T1229:V1229)&gt;=0),"合法","输入违约")</x:f>
        <x:v>合法</x:v>
      </x:c>
    </x:row>
    <x:row r="1230" ht="23" customHeight="1">
      <x:c r="A1230" s="3" t="str">
        <x:v>CT-1223</x:v>
      </x:c>
      <x:c r="B1230" s="3" t="str">
        <x:v>ST-137</x:v>
      </x:c>
      <x:c r="C1230" s="3" t="str">
        <x:v>R+AR同收同发</x:v>
      </x:c>
      <x:c r="D1230" s="25" t="n">
        <x:v>2</x:v>
      </x:c>
      <x:c r="E1230" s="25" t="n">
        <x:v>1</x:v>
      </x:c>
      <x:c r="F1230" s="25" t="n">
        <x:v>5</x:v>
      </x:c>
      <x:c r="G1230" s="19" t="n">
        <x:f>SUM(D1230:F1230)</x:f>
        <x:v>8</x:v>
      </x:c>
      <x:c r="H1230" s="25" t="n">
        <x:v>1</x:v>
      </x:c>
      <x:c r="I1230" s="25" t="n">
        <x:v>1</x:v>
      </x:c>
      <x:c r="J1230" s="25" t="n">
        <x:v>2</x:v>
      </x:c>
      <x:c r="K1230" s="19" t="n">
        <x:f>D1230-IF(H1230=0,1,0)</x:f>
        <x:v>2</x:v>
      </x:c>
      <x:c r="L1230" s="19" t="n">
        <x:f>E1230-IF(H1230=1,1,0)</x:f>
        <x:v>0</x:v>
      </x:c>
      <x:c r="M1230" s="19" t="n">
        <x:f>F1230-IF(H1230=2,1,0)</x:f>
        <x:v>5</x:v>
      </x:c>
      <x:c r="N1230" s="19" t="n">
        <x:f>MAX(K1230-1,0)+MAX(L1230-1,0)+MAX(M1230-1,0)</x:f>
        <x:v>5</x:v>
      </x:c>
      <x:c r="O1230" s="19" t="n">
        <x:f>IF(AND(SUM(K1230:M1230)&lt;9,OR(M1230=0,N1230&lt;6)),1,0)</x:f>
        <x:v>1</x:v>
      </x:c>
      <x:c r="P1230" s="19" t="n">
        <x:f>IF(AND(SUM(K1230:M1230)&lt;9,OR(L1230=0,N1230&lt;6)),1,0)</x:f>
        <x:v>1</x:v>
      </x:c>
      <x:c r="Q1230" s="19" t="n">
        <x:f>IF(AND(SUM(K1230:M1230)&lt;9,OR(K1230=0,N1230&lt;6)),1,0)</x:f>
        <x:v>1</x:v>
      </x:c>
      <x:c r="R1230" s="22" t="str">
        <x:f>O1230&amp;P1230&amp;Q1230</x:f>
        <x:v>111</x:v>
      </x:c>
      <x:c r="S1230" s="19" t="n">
        <x:f>IF(I1230=1,IF(J1230=0,Q1230,IF(J1230=1,P1230,IF(J1230=2,O1230,0))),0)</x:f>
        <x:v>1</x:v>
      </x:c>
      <x:c r="T1230" s="19" t="n">
        <x:f>K1230+IF(AND(S1230=1,J1230=0),1,0)</x:f>
        <x:v>2</x:v>
      </x:c>
      <x:c r="U1230" s="19" t="n">
        <x:f>L1230+IF(AND(S1230=1,J1230=1),1,0)</x:f>
        <x:v>0</x:v>
      </x:c>
      <x:c r="V1230" s="19" t="n">
        <x:f>M1230+IF(AND(S1230=1,J1230=2),1,0)</x:f>
        <x:v>6</x:v>
      </x:c>
      <x:c r="W1230" s="19" t="n">
        <x:f>SUM(T1230:V1230)</x:f>
        <x:v>8</x:v>
      </x:c>
      <x:c r="X1230" s="19" t="n">
        <x:f>W1230-G1230</x:f>
        <x:v>0</x:v>
      </x:c>
      <x:c r="Y1230" s="19" t="n">
        <x:f>MAX(T1230,1)+MAX(U1230,1)+MAX(V1230,1)</x:f>
        <x:v>9</x:v>
      </x:c>
      <x:c r="Z1230" s="21" t="str">
        <x:f>IF(AND(MIN(D1230:F1230)&gt;=0,MAX(D1230:F1230)&lt;=7,MAX(D1230,1)+MAX(E1230,1)+MAX(F1230,1)&lt;=9,OR(H1230="-",AND(H1230=0,D1230&gt;0),AND(H1230=1,E1230&gt;0),AND(H1230=2,F1230&gt;0)),OR(I1230=0,AND(I1230=1,OR(J1230=0,J1230=1,J1230=2),R1230&lt;&gt;"000")),Y1230&lt;=9,MIN(T1230:V1230)&gt;=0),"合法","输入违约")</x:f>
        <x:v>合法</x:v>
      </x:c>
    </x:row>
    <x:row r="1231" ht="23" customHeight="1">
      <x:c r="A1231" s="3" t="str">
        <x:v>CT-1224</x:v>
      </x:c>
      <x:c r="B1231" s="3" t="str">
        <x:v>ST-137</x:v>
      </x:c>
      <x:c r="C1231" s="3" t="str">
        <x:v>仅R回收</x:v>
      </x:c>
      <x:c r="D1231" s="25" t="n">
        <x:v>2</x:v>
      </x:c>
      <x:c r="E1231" s="25" t="n">
        <x:v>1</x:v>
      </x:c>
      <x:c r="F1231" s="25" t="n">
        <x:v>5</x:v>
      </x:c>
      <x:c r="G1231" s="19" t="n">
        <x:f>SUM(D1231:F1231)</x:f>
        <x:v>8</x:v>
      </x:c>
      <x:c r="H1231" s="25" t="n">
        <x:v>2</x:v>
      </x:c>
      <x:c r="I1231" s="25" t="n">
        <x:v>0</x:v>
      </x:c>
      <x:c r="J1231" s="25" t="str">
        <x:v>-</x:v>
      </x:c>
      <x:c r="K1231" s="19" t="n">
        <x:f>D1231-IF(H1231=0,1,0)</x:f>
        <x:v>2</x:v>
      </x:c>
      <x:c r="L1231" s="19" t="n">
        <x:f>E1231-IF(H1231=1,1,0)</x:f>
        <x:v>1</x:v>
      </x:c>
      <x:c r="M1231" s="19" t="n">
        <x:f>F1231-IF(H1231=2,1,0)</x:f>
        <x:v>4</x:v>
      </x:c>
      <x:c r="N1231" s="19" t="n">
        <x:f>MAX(K1231-1,0)+MAX(L1231-1,0)+MAX(M1231-1,0)</x:f>
        <x:v>4</x:v>
      </x:c>
      <x:c r="O1231" s="19" t="n">
        <x:f>IF(AND(SUM(K1231:M1231)&lt;9,OR(M1231=0,N1231&lt;6)),1,0)</x:f>
        <x:v>1</x:v>
      </x:c>
      <x:c r="P1231" s="19" t="n">
        <x:f>IF(AND(SUM(K1231:M1231)&lt;9,OR(L1231=0,N1231&lt;6)),1,0)</x:f>
        <x:v>1</x:v>
      </x:c>
      <x:c r="Q1231" s="19" t="n">
        <x:f>IF(AND(SUM(K1231:M1231)&lt;9,OR(K1231=0,N1231&lt;6)),1,0)</x:f>
        <x:v>1</x:v>
      </x:c>
      <x:c r="R1231" s="22" t="str">
        <x:f>O1231&amp;P1231&amp;Q1231</x:f>
        <x:v>111</x:v>
      </x:c>
      <x:c r="S1231" s="19" t="n">
        <x:f>IF(I1231=1,IF(J1231=0,Q1231,IF(J1231=1,P1231,IF(J1231=2,O1231,0))),0)</x:f>
        <x:v>0</x:v>
      </x:c>
      <x:c r="T1231" s="19" t="n">
        <x:f>K1231+IF(AND(S1231=1,J1231=0),1,0)</x:f>
        <x:v>2</x:v>
      </x:c>
      <x:c r="U1231" s="19" t="n">
        <x:f>L1231+IF(AND(S1231=1,J1231=1),1,0)</x:f>
        <x:v>1</x:v>
      </x:c>
      <x:c r="V1231" s="19" t="n">
        <x:f>M1231+IF(AND(S1231=1,J1231=2),1,0)</x:f>
        <x:v>4</x:v>
      </x:c>
      <x:c r="W1231" s="19" t="n">
        <x:f>SUM(T1231:V1231)</x:f>
        <x:v>7</x:v>
      </x:c>
      <x:c r="X1231" s="19" t="n">
        <x:f>W1231-G1231</x:f>
        <x:v>-1</x:v>
      </x:c>
      <x:c r="Y1231" s="19" t="n">
        <x:f>MAX(T1231,1)+MAX(U1231,1)+MAX(V1231,1)</x:f>
        <x:v>7</x:v>
      </x:c>
      <x:c r="Z1231" s="21" t="str">
        <x:f>IF(AND(MIN(D1231:F1231)&gt;=0,MAX(D1231:F1231)&lt;=7,MAX(D1231,1)+MAX(E1231,1)+MAX(F1231,1)&lt;=9,OR(H1231="-",AND(H1231=0,D1231&gt;0),AND(H1231=1,E1231&gt;0),AND(H1231=2,F1231&gt;0)),OR(I1231=0,AND(I1231=1,OR(J1231=0,J1231=1,J1231=2),R1231&lt;&gt;"000")),Y1231&lt;=9,MIN(T1231:V1231)&gt;=0),"合法","输入违约")</x:f>
        <x:v>合法</x:v>
      </x:c>
    </x:row>
    <x:row r="1232" ht="23" customHeight="1">
      <x:c r="A1232" s="3" t="str">
        <x:v>CT-1225</x:v>
      </x:c>
      <x:c r="B1232" s="3" t="str">
        <x:v>ST-137</x:v>
      </x:c>
      <x:c r="C1232" s="3" t="str">
        <x:v>R+AR同收同发</x:v>
      </x:c>
      <x:c r="D1232" s="25" t="n">
        <x:v>2</x:v>
      </x:c>
      <x:c r="E1232" s="25" t="n">
        <x:v>1</x:v>
      </x:c>
      <x:c r="F1232" s="25" t="n">
        <x:v>5</x:v>
      </x:c>
      <x:c r="G1232" s="19" t="n">
        <x:f>SUM(D1232:F1232)</x:f>
        <x:v>8</x:v>
      </x:c>
      <x:c r="H1232" s="25" t="n">
        <x:v>2</x:v>
      </x:c>
      <x:c r="I1232" s="25" t="n">
        <x:v>1</x:v>
      </x:c>
      <x:c r="J1232" s="25" t="n">
        <x:v>0</x:v>
      </x:c>
      <x:c r="K1232" s="19" t="n">
        <x:f>D1232-IF(H1232=0,1,0)</x:f>
        <x:v>2</x:v>
      </x:c>
      <x:c r="L1232" s="19" t="n">
        <x:f>E1232-IF(H1232=1,1,0)</x:f>
        <x:v>1</x:v>
      </x:c>
      <x:c r="M1232" s="19" t="n">
        <x:f>F1232-IF(H1232=2,1,0)</x:f>
        <x:v>4</x:v>
      </x:c>
      <x:c r="N1232" s="19" t="n">
        <x:f>MAX(K1232-1,0)+MAX(L1232-1,0)+MAX(M1232-1,0)</x:f>
        <x:v>4</x:v>
      </x:c>
      <x:c r="O1232" s="19" t="n">
        <x:f>IF(AND(SUM(K1232:M1232)&lt;9,OR(M1232=0,N1232&lt;6)),1,0)</x:f>
        <x:v>1</x:v>
      </x:c>
      <x:c r="P1232" s="19" t="n">
        <x:f>IF(AND(SUM(K1232:M1232)&lt;9,OR(L1232=0,N1232&lt;6)),1,0)</x:f>
        <x:v>1</x:v>
      </x:c>
      <x:c r="Q1232" s="19" t="n">
        <x:f>IF(AND(SUM(K1232:M1232)&lt;9,OR(K1232=0,N1232&lt;6)),1,0)</x:f>
        <x:v>1</x:v>
      </x:c>
      <x:c r="R1232" s="22" t="str">
        <x:f>O1232&amp;P1232&amp;Q1232</x:f>
        <x:v>111</x:v>
      </x:c>
      <x:c r="S1232" s="19" t="n">
        <x:f>IF(I1232=1,IF(J1232=0,Q1232,IF(J1232=1,P1232,IF(J1232=2,O1232,0))),0)</x:f>
        <x:v>1</x:v>
      </x:c>
      <x:c r="T1232" s="19" t="n">
        <x:f>K1232+IF(AND(S1232=1,J1232=0),1,0)</x:f>
        <x:v>3</x:v>
      </x:c>
      <x:c r="U1232" s="19" t="n">
        <x:f>L1232+IF(AND(S1232=1,J1232=1),1,0)</x:f>
        <x:v>1</x:v>
      </x:c>
      <x:c r="V1232" s="19" t="n">
        <x:f>M1232+IF(AND(S1232=1,J1232=2),1,0)</x:f>
        <x:v>4</x:v>
      </x:c>
      <x:c r="W1232" s="19" t="n">
        <x:f>SUM(T1232:V1232)</x:f>
        <x:v>8</x:v>
      </x:c>
      <x:c r="X1232" s="19" t="n">
        <x:f>W1232-G1232</x:f>
        <x:v>0</x:v>
      </x:c>
      <x:c r="Y1232" s="19" t="n">
        <x:f>MAX(T1232,1)+MAX(U1232,1)+MAX(V1232,1)</x:f>
        <x:v>8</x:v>
      </x:c>
      <x:c r="Z1232" s="21" t="str">
        <x:f>IF(AND(MIN(D1232:F1232)&gt;=0,MAX(D1232:F1232)&lt;=7,MAX(D1232,1)+MAX(E1232,1)+MAX(F1232,1)&lt;=9,OR(H1232="-",AND(H1232=0,D1232&gt;0),AND(H1232=1,E1232&gt;0),AND(H1232=2,F1232&gt;0)),OR(I1232=0,AND(I1232=1,OR(J1232=0,J1232=1,J1232=2),R1232&lt;&gt;"000")),Y1232&lt;=9,MIN(T1232:V1232)&gt;=0),"合法","输入违约")</x:f>
        <x:v>合法</x:v>
      </x:c>
    </x:row>
    <x:row r="1233" ht="23" customHeight="1">
      <x:c r="A1233" s="3" t="str">
        <x:v>CT-1226</x:v>
      </x:c>
      <x:c r="B1233" s="3" t="str">
        <x:v>ST-137</x:v>
      </x:c>
      <x:c r="C1233" s="3" t="str">
        <x:v>R+AR同收同发</x:v>
      </x:c>
      <x:c r="D1233" s="25" t="n">
        <x:v>2</x:v>
      </x:c>
      <x:c r="E1233" s="25" t="n">
        <x:v>1</x:v>
      </x:c>
      <x:c r="F1233" s="25" t="n">
        <x:v>5</x:v>
      </x:c>
      <x:c r="G1233" s="19" t="n">
        <x:f>SUM(D1233:F1233)</x:f>
        <x:v>8</x:v>
      </x:c>
      <x:c r="H1233" s="25" t="n">
        <x:v>2</x:v>
      </x:c>
      <x:c r="I1233" s="25" t="n">
        <x:v>1</x:v>
      </x:c>
      <x:c r="J1233" s="25" t="n">
        <x:v>1</x:v>
      </x:c>
      <x:c r="K1233" s="19" t="n">
        <x:f>D1233-IF(H1233=0,1,0)</x:f>
        <x:v>2</x:v>
      </x:c>
      <x:c r="L1233" s="19" t="n">
        <x:f>E1233-IF(H1233=1,1,0)</x:f>
        <x:v>1</x:v>
      </x:c>
      <x:c r="M1233" s="19" t="n">
        <x:f>F1233-IF(H1233=2,1,0)</x:f>
        <x:v>4</x:v>
      </x:c>
      <x:c r="N1233" s="19" t="n">
        <x:f>MAX(K1233-1,0)+MAX(L1233-1,0)+MAX(M1233-1,0)</x:f>
        <x:v>4</x:v>
      </x:c>
      <x:c r="O1233" s="19" t="n">
        <x:f>IF(AND(SUM(K1233:M1233)&lt;9,OR(M1233=0,N1233&lt;6)),1,0)</x:f>
        <x:v>1</x:v>
      </x:c>
      <x:c r="P1233" s="19" t="n">
        <x:f>IF(AND(SUM(K1233:M1233)&lt;9,OR(L1233=0,N1233&lt;6)),1,0)</x:f>
        <x:v>1</x:v>
      </x:c>
      <x:c r="Q1233" s="19" t="n">
        <x:f>IF(AND(SUM(K1233:M1233)&lt;9,OR(K1233=0,N1233&lt;6)),1,0)</x:f>
        <x:v>1</x:v>
      </x:c>
      <x:c r="R1233" s="22" t="str">
        <x:f>O1233&amp;P1233&amp;Q1233</x:f>
        <x:v>111</x:v>
      </x:c>
      <x:c r="S1233" s="19" t="n">
        <x:f>IF(I1233=1,IF(J1233=0,Q1233,IF(J1233=1,P1233,IF(J1233=2,O1233,0))),0)</x:f>
        <x:v>1</x:v>
      </x:c>
      <x:c r="T1233" s="19" t="n">
        <x:f>K1233+IF(AND(S1233=1,J1233=0),1,0)</x:f>
        <x:v>2</x:v>
      </x:c>
      <x:c r="U1233" s="19" t="n">
        <x:f>L1233+IF(AND(S1233=1,J1233=1),1,0)</x:f>
        <x:v>2</x:v>
      </x:c>
      <x:c r="V1233" s="19" t="n">
        <x:f>M1233+IF(AND(S1233=1,J1233=2),1,0)</x:f>
        <x:v>4</x:v>
      </x:c>
      <x:c r="W1233" s="19" t="n">
        <x:f>SUM(T1233:V1233)</x:f>
        <x:v>8</x:v>
      </x:c>
      <x:c r="X1233" s="19" t="n">
        <x:f>W1233-G1233</x:f>
        <x:v>0</x:v>
      </x:c>
      <x:c r="Y1233" s="19" t="n">
        <x:f>MAX(T1233,1)+MAX(U1233,1)+MAX(V1233,1)</x:f>
        <x:v>8</x:v>
      </x:c>
      <x:c r="Z1233" s="21" t="str">
        <x:f>IF(AND(MIN(D1233:F1233)&gt;=0,MAX(D1233:F1233)&lt;=7,MAX(D1233,1)+MAX(E1233,1)+MAX(F1233,1)&lt;=9,OR(H1233="-",AND(H1233=0,D1233&gt;0),AND(H1233=1,E1233&gt;0),AND(H1233=2,F1233&gt;0)),OR(I1233=0,AND(I1233=1,OR(J1233=0,J1233=1,J1233=2),R1233&lt;&gt;"000")),Y1233&lt;=9,MIN(T1233:V1233)&gt;=0),"合法","输入违约")</x:f>
        <x:v>合法</x:v>
      </x:c>
    </x:row>
    <x:row r="1234" ht="23" customHeight="1">
      <x:c r="A1234" s="3" t="str">
        <x:v>CT-1227</x:v>
      </x:c>
      <x:c r="B1234" s="3" t="str">
        <x:v>ST-137</x:v>
      </x:c>
      <x:c r="C1234" s="3" t="str">
        <x:v>R+AR同收同发</x:v>
      </x:c>
      <x:c r="D1234" s="25" t="n">
        <x:v>2</x:v>
      </x:c>
      <x:c r="E1234" s="25" t="n">
        <x:v>1</x:v>
      </x:c>
      <x:c r="F1234" s="25" t="n">
        <x:v>5</x:v>
      </x:c>
      <x:c r="G1234" s="19" t="n">
        <x:f>SUM(D1234:F1234)</x:f>
        <x:v>8</x:v>
      </x:c>
      <x:c r="H1234" s="25" t="n">
        <x:v>2</x:v>
      </x:c>
      <x:c r="I1234" s="25" t="n">
        <x:v>1</x:v>
      </x:c>
      <x:c r="J1234" s="25" t="n">
        <x:v>2</x:v>
      </x:c>
      <x:c r="K1234" s="19" t="n">
        <x:f>D1234-IF(H1234=0,1,0)</x:f>
        <x:v>2</x:v>
      </x:c>
      <x:c r="L1234" s="19" t="n">
        <x:f>E1234-IF(H1234=1,1,0)</x:f>
        <x:v>1</x:v>
      </x:c>
      <x:c r="M1234" s="19" t="n">
        <x:f>F1234-IF(H1234=2,1,0)</x:f>
        <x:v>4</x:v>
      </x:c>
      <x:c r="N1234" s="19" t="n">
        <x:f>MAX(K1234-1,0)+MAX(L1234-1,0)+MAX(M1234-1,0)</x:f>
        <x:v>4</x:v>
      </x:c>
      <x:c r="O1234" s="19" t="n">
        <x:f>IF(AND(SUM(K1234:M1234)&lt;9,OR(M1234=0,N1234&lt;6)),1,0)</x:f>
        <x:v>1</x:v>
      </x:c>
      <x:c r="P1234" s="19" t="n">
        <x:f>IF(AND(SUM(K1234:M1234)&lt;9,OR(L1234=0,N1234&lt;6)),1,0)</x:f>
        <x:v>1</x:v>
      </x:c>
      <x:c r="Q1234" s="19" t="n">
        <x:f>IF(AND(SUM(K1234:M1234)&lt;9,OR(K1234=0,N1234&lt;6)),1,0)</x:f>
        <x:v>1</x:v>
      </x:c>
      <x:c r="R1234" s="22" t="str">
        <x:f>O1234&amp;P1234&amp;Q1234</x:f>
        <x:v>111</x:v>
      </x:c>
      <x:c r="S1234" s="19" t="n">
        <x:f>IF(I1234=1,IF(J1234=0,Q1234,IF(J1234=1,P1234,IF(J1234=2,O1234,0))),0)</x:f>
        <x:v>1</x:v>
      </x:c>
      <x:c r="T1234" s="19" t="n">
        <x:f>K1234+IF(AND(S1234=1,J1234=0),1,0)</x:f>
        <x:v>2</x:v>
      </x:c>
      <x:c r="U1234" s="19" t="n">
        <x:f>L1234+IF(AND(S1234=1,J1234=1),1,0)</x:f>
        <x:v>1</x:v>
      </x:c>
      <x:c r="V1234" s="19" t="n">
        <x:f>M1234+IF(AND(S1234=1,J1234=2),1,0)</x:f>
        <x:v>5</x:v>
      </x:c>
      <x:c r="W1234" s="19" t="n">
        <x:f>SUM(T1234:V1234)</x:f>
        <x:v>8</x:v>
      </x:c>
      <x:c r="X1234" s="19" t="n">
        <x:f>W1234-G1234</x:f>
        <x:v>0</x:v>
      </x:c>
      <x:c r="Y1234" s="19" t="n">
        <x:f>MAX(T1234,1)+MAX(U1234,1)+MAX(V1234,1)</x:f>
        <x:v>8</x:v>
      </x:c>
      <x:c r="Z1234" s="21" t="str">
        <x:f>IF(AND(MIN(D1234:F1234)&gt;=0,MAX(D1234:F1234)&lt;=7,MAX(D1234,1)+MAX(E1234,1)+MAX(F1234,1)&lt;=9,OR(H1234="-",AND(H1234=0,D1234&gt;0),AND(H1234=1,E1234&gt;0),AND(H1234=2,F1234&gt;0)),OR(I1234=0,AND(I1234=1,OR(J1234=0,J1234=1,J1234=2),R1234&lt;&gt;"000")),Y1234&lt;=9,MIN(T1234:V1234)&gt;=0),"合法","输入违约")</x:f>
        <x:v>合法</x:v>
      </x:c>
    </x:row>
    <x:row r="1235" ht="23" customHeight="1">
      <x:c r="A1235" s="3" t="str">
        <x:v>CT-1228</x:v>
      </x:c>
      <x:c r="B1235" s="3" t="str">
        <x:v>ST-170</x:v>
      </x:c>
      <x:c r="C1235" s="3" t="str">
        <x:v>无AR/R</x:v>
      </x:c>
      <x:c r="D1235" s="25" t="n">
        <x:v>2</x:v>
      </x:c>
      <x:c r="E1235" s="25" t="n">
        <x:v>1</x:v>
      </x:c>
      <x:c r="F1235" s="25" t="n">
        <x:v>6</x:v>
      </x:c>
      <x:c r="G1235" s="19" t="n">
        <x:f>SUM(D1235:F1235)</x:f>
        <x:v>9</x:v>
      </x:c>
      <x:c r="H1235" s="25" t="str">
        <x:v>-</x:v>
      </x:c>
      <x:c r="I1235" s="25" t="n">
        <x:v>0</x:v>
      </x:c>
      <x:c r="J1235" s="25" t="str">
        <x:v>-</x:v>
      </x:c>
      <x:c r="K1235" s="19" t="n">
        <x:f>D1235-IF(H1235=0,1,0)</x:f>
        <x:v>2</x:v>
      </x:c>
      <x:c r="L1235" s="19" t="n">
        <x:f>E1235-IF(H1235=1,1,0)</x:f>
        <x:v>1</x:v>
      </x:c>
      <x:c r="M1235" s="19" t="n">
        <x:f>F1235-IF(H1235=2,1,0)</x:f>
        <x:v>6</x:v>
      </x:c>
      <x:c r="N1235" s="19" t="n">
        <x:f>MAX(K1235-1,0)+MAX(L1235-1,0)+MAX(M1235-1,0)</x:f>
        <x:v>6</x:v>
      </x:c>
      <x:c r="O1235" s="19" t="n">
        <x:f>IF(AND(SUM(K1235:M1235)&lt;9,OR(M1235=0,N1235&lt;6)),1,0)</x:f>
        <x:v>0</x:v>
      </x:c>
      <x:c r="P1235" s="19" t="n">
        <x:f>IF(AND(SUM(K1235:M1235)&lt;9,OR(L1235=0,N1235&lt;6)),1,0)</x:f>
        <x:v>0</x:v>
      </x:c>
      <x:c r="Q1235" s="19" t="n">
        <x:f>IF(AND(SUM(K1235:M1235)&lt;9,OR(K1235=0,N1235&lt;6)),1,0)</x:f>
        <x:v>0</x:v>
      </x:c>
      <x:c r="R1235" s="22" t="str">
        <x:f>O1235&amp;P1235&amp;Q1235</x:f>
        <x:v>000</x:v>
      </x:c>
      <x:c r="S1235" s="19" t="n">
        <x:f>IF(I1235=1,IF(J1235=0,Q1235,IF(J1235=1,P1235,IF(J1235=2,O1235,0))),0)</x:f>
        <x:v>0</x:v>
      </x:c>
      <x:c r="T1235" s="19" t="n">
        <x:f>K1235+IF(AND(S1235=1,J1235=0),1,0)</x:f>
        <x:v>2</x:v>
      </x:c>
      <x:c r="U1235" s="19" t="n">
        <x:f>L1235+IF(AND(S1235=1,J1235=1),1,0)</x:f>
        <x:v>1</x:v>
      </x:c>
      <x:c r="V1235" s="19" t="n">
        <x:f>M1235+IF(AND(S1235=1,J1235=2),1,0)</x:f>
        <x:v>6</x:v>
      </x:c>
      <x:c r="W1235" s="19" t="n">
        <x:f>SUM(T1235:V1235)</x:f>
        <x:v>9</x:v>
      </x:c>
      <x:c r="X1235" s="19" t="n">
        <x:f>W1235-G1235</x:f>
        <x:v>0</x:v>
      </x:c>
      <x:c r="Y1235" s="19" t="n">
        <x:f>MAX(T1235,1)+MAX(U1235,1)+MAX(V1235,1)</x:f>
        <x:v>9</x:v>
      </x:c>
      <x:c r="Z1235" s="21" t="str">
        <x:f>IF(AND(MIN(D1235:F1235)&gt;=0,MAX(D1235:F1235)&lt;=7,MAX(D1235,1)+MAX(E1235,1)+MAX(F1235,1)&lt;=9,OR(H1235="-",AND(H1235=0,D1235&gt;0),AND(H1235=1,E1235&gt;0),AND(H1235=2,F1235&gt;0)),OR(I1235=0,AND(I1235=1,OR(J1235=0,J1235=1,J1235=2),R1235&lt;&gt;"000")),Y1235&lt;=9,MIN(T1235:V1235)&gt;=0),"合法","输入违约")</x:f>
        <x:v>合法</x:v>
      </x:c>
    </x:row>
    <x:row r="1236" ht="23" customHeight="1">
      <x:c r="A1236" s="3" t="str">
        <x:v>CT-1229</x:v>
      </x:c>
      <x:c r="B1236" s="3" t="str">
        <x:v>ST-170</x:v>
      </x:c>
      <x:c r="C1236" s="3" t="str">
        <x:v>仅R回收</x:v>
      </x:c>
      <x:c r="D1236" s="25" t="n">
        <x:v>2</x:v>
      </x:c>
      <x:c r="E1236" s="25" t="n">
        <x:v>1</x:v>
      </x:c>
      <x:c r="F1236" s="25" t="n">
        <x:v>6</x:v>
      </x:c>
      <x:c r="G1236" s="19" t="n">
        <x:f>SUM(D1236:F1236)</x:f>
        <x:v>9</x:v>
      </x:c>
      <x:c r="H1236" s="25" t="n">
        <x:v>0</x:v>
      </x:c>
      <x:c r="I1236" s="25" t="n">
        <x:v>0</x:v>
      </x:c>
      <x:c r="J1236" s="25" t="str">
        <x:v>-</x:v>
      </x:c>
      <x:c r="K1236" s="19" t="n">
        <x:f>D1236-IF(H1236=0,1,0)</x:f>
        <x:v>1</x:v>
      </x:c>
      <x:c r="L1236" s="19" t="n">
        <x:f>E1236-IF(H1236=1,1,0)</x:f>
        <x:v>1</x:v>
      </x:c>
      <x:c r="M1236" s="19" t="n">
        <x:f>F1236-IF(H1236=2,1,0)</x:f>
        <x:v>6</x:v>
      </x:c>
      <x:c r="N1236" s="19" t="n">
        <x:f>MAX(K1236-1,0)+MAX(L1236-1,0)+MAX(M1236-1,0)</x:f>
        <x:v>5</x:v>
      </x:c>
      <x:c r="O1236" s="19" t="n">
        <x:f>IF(AND(SUM(K1236:M1236)&lt;9,OR(M1236=0,N1236&lt;6)),1,0)</x:f>
        <x:v>1</x:v>
      </x:c>
      <x:c r="P1236" s="19" t="n">
        <x:f>IF(AND(SUM(K1236:M1236)&lt;9,OR(L1236=0,N1236&lt;6)),1,0)</x:f>
        <x:v>1</x:v>
      </x:c>
      <x:c r="Q1236" s="19" t="n">
        <x:f>IF(AND(SUM(K1236:M1236)&lt;9,OR(K1236=0,N1236&lt;6)),1,0)</x:f>
        <x:v>1</x:v>
      </x:c>
      <x:c r="R1236" s="22" t="str">
        <x:f>O1236&amp;P1236&amp;Q1236</x:f>
        <x:v>111</x:v>
      </x:c>
      <x:c r="S1236" s="19" t="n">
        <x:f>IF(I1236=1,IF(J1236=0,Q1236,IF(J1236=1,P1236,IF(J1236=2,O1236,0))),0)</x:f>
        <x:v>0</x:v>
      </x:c>
      <x:c r="T1236" s="19" t="n">
        <x:f>K1236+IF(AND(S1236=1,J1236=0),1,0)</x:f>
        <x:v>1</x:v>
      </x:c>
      <x:c r="U1236" s="19" t="n">
        <x:f>L1236+IF(AND(S1236=1,J1236=1),1,0)</x:f>
        <x:v>1</x:v>
      </x:c>
      <x:c r="V1236" s="19" t="n">
        <x:f>M1236+IF(AND(S1236=1,J1236=2),1,0)</x:f>
        <x:v>6</x:v>
      </x:c>
      <x:c r="W1236" s="19" t="n">
        <x:f>SUM(T1236:V1236)</x:f>
        <x:v>8</x:v>
      </x:c>
      <x:c r="X1236" s="19" t="n">
        <x:f>W1236-G1236</x:f>
        <x:v>-1</x:v>
      </x:c>
      <x:c r="Y1236" s="19" t="n">
        <x:f>MAX(T1236,1)+MAX(U1236,1)+MAX(V1236,1)</x:f>
        <x:v>8</x:v>
      </x:c>
      <x:c r="Z1236" s="21" t="str">
        <x:f>IF(AND(MIN(D1236:F1236)&gt;=0,MAX(D1236:F1236)&lt;=7,MAX(D1236,1)+MAX(E1236,1)+MAX(F1236,1)&lt;=9,OR(H1236="-",AND(H1236=0,D1236&gt;0),AND(H1236=1,E1236&gt;0),AND(H1236=2,F1236&gt;0)),OR(I1236=0,AND(I1236=1,OR(J1236=0,J1236=1,J1236=2),R1236&lt;&gt;"000")),Y1236&lt;=9,MIN(T1236:V1236)&gt;=0),"合法","输入违约")</x:f>
        <x:v>合法</x:v>
      </x:c>
    </x:row>
    <x:row r="1237" ht="23" customHeight="1">
      <x:c r="A1237" s="3" t="str">
        <x:v>CT-1230</x:v>
      </x:c>
      <x:c r="B1237" s="3" t="str">
        <x:v>ST-170</x:v>
      </x:c>
      <x:c r="C1237" s="3" t="str">
        <x:v>R+AR同收同发</x:v>
      </x:c>
      <x:c r="D1237" s="25" t="n">
        <x:v>2</x:v>
      </x:c>
      <x:c r="E1237" s="25" t="n">
        <x:v>1</x:v>
      </x:c>
      <x:c r="F1237" s="25" t="n">
        <x:v>6</x:v>
      </x:c>
      <x:c r="G1237" s="19" t="n">
        <x:f>SUM(D1237:F1237)</x:f>
        <x:v>9</x:v>
      </x:c>
      <x:c r="H1237" s="25" t="n">
        <x:v>0</x:v>
      </x:c>
      <x:c r="I1237" s="25" t="n">
        <x:v>1</x:v>
      </x:c>
      <x:c r="J1237" s="25" t="n">
        <x:v>0</x:v>
      </x:c>
      <x:c r="K1237" s="19" t="n">
        <x:f>D1237-IF(H1237=0,1,0)</x:f>
        <x:v>1</x:v>
      </x:c>
      <x:c r="L1237" s="19" t="n">
        <x:f>E1237-IF(H1237=1,1,0)</x:f>
        <x:v>1</x:v>
      </x:c>
      <x:c r="M1237" s="19" t="n">
        <x:f>F1237-IF(H1237=2,1,0)</x:f>
        <x:v>6</x:v>
      </x:c>
      <x:c r="N1237" s="19" t="n">
        <x:f>MAX(K1237-1,0)+MAX(L1237-1,0)+MAX(M1237-1,0)</x:f>
        <x:v>5</x:v>
      </x:c>
      <x:c r="O1237" s="19" t="n">
        <x:f>IF(AND(SUM(K1237:M1237)&lt;9,OR(M1237=0,N1237&lt;6)),1,0)</x:f>
        <x:v>1</x:v>
      </x:c>
      <x:c r="P1237" s="19" t="n">
        <x:f>IF(AND(SUM(K1237:M1237)&lt;9,OR(L1237=0,N1237&lt;6)),1,0)</x:f>
        <x:v>1</x:v>
      </x:c>
      <x:c r="Q1237" s="19" t="n">
        <x:f>IF(AND(SUM(K1237:M1237)&lt;9,OR(K1237=0,N1237&lt;6)),1,0)</x:f>
        <x:v>1</x:v>
      </x:c>
      <x:c r="R1237" s="22" t="str">
        <x:f>O1237&amp;P1237&amp;Q1237</x:f>
        <x:v>111</x:v>
      </x:c>
      <x:c r="S1237" s="19" t="n">
        <x:f>IF(I1237=1,IF(J1237=0,Q1237,IF(J1237=1,P1237,IF(J1237=2,O1237,0))),0)</x:f>
        <x:v>1</x:v>
      </x:c>
      <x:c r="T1237" s="19" t="n">
        <x:f>K1237+IF(AND(S1237=1,J1237=0),1,0)</x:f>
        <x:v>2</x:v>
      </x:c>
      <x:c r="U1237" s="19" t="n">
        <x:f>L1237+IF(AND(S1237=1,J1237=1),1,0)</x:f>
        <x:v>1</x:v>
      </x:c>
      <x:c r="V1237" s="19" t="n">
        <x:f>M1237+IF(AND(S1237=1,J1237=2),1,0)</x:f>
        <x:v>6</x:v>
      </x:c>
      <x:c r="W1237" s="19" t="n">
        <x:f>SUM(T1237:V1237)</x:f>
        <x:v>9</x:v>
      </x:c>
      <x:c r="X1237" s="19" t="n">
        <x:f>W1237-G1237</x:f>
        <x:v>0</x:v>
      </x:c>
      <x:c r="Y1237" s="19" t="n">
        <x:f>MAX(T1237,1)+MAX(U1237,1)+MAX(V1237,1)</x:f>
        <x:v>9</x:v>
      </x:c>
      <x:c r="Z1237" s="21" t="str">
        <x:f>IF(AND(MIN(D1237:F1237)&gt;=0,MAX(D1237:F1237)&lt;=7,MAX(D1237,1)+MAX(E1237,1)+MAX(F1237,1)&lt;=9,OR(H1237="-",AND(H1237=0,D1237&gt;0),AND(H1237=1,E1237&gt;0),AND(H1237=2,F1237&gt;0)),OR(I1237=0,AND(I1237=1,OR(J1237=0,J1237=1,J1237=2),R1237&lt;&gt;"000")),Y1237&lt;=9,MIN(T1237:V1237)&gt;=0),"合法","输入违约")</x:f>
        <x:v>合法</x:v>
      </x:c>
    </x:row>
    <x:row r="1238" ht="23" customHeight="1">
      <x:c r="A1238" s="3" t="str">
        <x:v>CT-1231</x:v>
      </x:c>
      <x:c r="B1238" s="3" t="str">
        <x:v>ST-170</x:v>
      </x:c>
      <x:c r="C1238" s="3" t="str">
        <x:v>R+AR同收同发</x:v>
      </x:c>
      <x:c r="D1238" s="25" t="n">
        <x:v>2</x:v>
      </x:c>
      <x:c r="E1238" s="25" t="n">
        <x:v>1</x:v>
      </x:c>
      <x:c r="F1238" s="25" t="n">
        <x:v>6</x:v>
      </x:c>
      <x:c r="G1238" s="19" t="n">
        <x:f>SUM(D1238:F1238)</x:f>
        <x:v>9</x:v>
      </x:c>
      <x:c r="H1238" s="25" t="n">
        <x:v>0</x:v>
      </x:c>
      <x:c r="I1238" s="25" t="n">
        <x:v>1</x:v>
      </x:c>
      <x:c r="J1238" s="25" t="n">
        <x:v>1</x:v>
      </x:c>
      <x:c r="K1238" s="19" t="n">
        <x:f>D1238-IF(H1238=0,1,0)</x:f>
        <x:v>1</x:v>
      </x:c>
      <x:c r="L1238" s="19" t="n">
        <x:f>E1238-IF(H1238=1,1,0)</x:f>
        <x:v>1</x:v>
      </x:c>
      <x:c r="M1238" s="19" t="n">
        <x:f>F1238-IF(H1238=2,1,0)</x:f>
        <x:v>6</x:v>
      </x:c>
      <x:c r="N1238" s="19" t="n">
        <x:f>MAX(K1238-1,0)+MAX(L1238-1,0)+MAX(M1238-1,0)</x:f>
        <x:v>5</x:v>
      </x:c>
      <x:c r="O1238" s="19" t="n">
        <x:f>IF(AND(SUM(K1238:M1238)&lt;9,OR(M1238=0,N1238&lt;6)),1,0)</x:f>
        <x:v>1</x:v>
      </x:c>
      <x:c r="P1238" s="19" t="n">
        <x:f>IF(AND(SUM(K1238:M1238)&lt;9,OR(L1238=0,N1238&lt;6)),1,0)</x:f>
        <x:v>1</x:v>
      </x:c>
      <x:c r="Q1238" s="19" t="n">
        <x:f>IF(AND(SUM(K1238:M1238)&lt;9,OR(K1238=0,N1238&lt;6)),1,0)</x:f>
        <x:v>1</x:v>
      </x:c>
      <x:c r="R1238" s="22" t="str">
        <x:f>O1238&amp;P1238&amp;Q1238</x:f>
        <x:v>111</x:v>
      </x:c>
      <x:c r="S1238" s="19" t="n">
        <x:f>IF(I1238=1,IF(J1238=0,Q1238,IF(J1238=1,P1238,IF(J1238=2,O1238,0))),0)</x:f>
        <x:v>1</x:v>
      </x:c>
      <x:c r="T1238" s="19" t="n">
        <x:f>K1238+IF(AND(S1238=1,J1238=0),1,0)</x:f>
        <x:v>1</x:v>
      </x:c>
      <x:c r="U1238" s="19" t="n">
        <x:f>L1238+IF(AND(S1238=1,J1238=1),1,0)</x:f>
        <x:v>2</x:v>
      </x:c>
      <x:c r="V1238" s="19" t="n">
        <x:f>M1238+IF(AND(S1238=1,J1238=2),1,0)</x:f>
        <x:v>6</x:v>
      </x:c>
      <x:c r="W1238" s="19" t="n">
        <x:f>SUM(T1238:V1238)</x:f>
        <x:v>9</x:v>
      </x:c>
      <x:c r="X1238" s="19" t="n">
        <x:f>W1238-G1238</x:f>
        <x:v>0</x:v>
      </x:c>
      <x:c r="Y1238" s="19" t="n">
        <x:f>MAX(T1238,1)+MAX(U1238,1)+MAX(V1238,1)</x:f>
        <x:v>9</x:v>
      </x:c>
      <x:c r="Z1238" s="21" t="str">
        <x:f>IF(AND(MIN(D1238:F1238)&gt;=0,MAX(D1238:F1238)&lt;=7,MAX(D1238,1)+MAX(E1238,1)+MAX(F1238,1)&lt;=9,OR(H1238="-",AND(H1238=0,D1238&gt;0),AND(H1238=1,E1238&gt;0),AND(H1238=2,F1238&gt;0)),OR(I1238=0,AND(I1238=1,OR(J1238=0,J1238=1,J1238=2),R1238&lt;&gt;"000")),Y1238&lt;=9,MIN(T1238:V1238)&gt;=0),"合法","输入违约")</x:f>
        <x:v>合法</x:v>
      </x:c>
    </x:row>
    <x:row r="1239" ht="23" customHeight="1">
      <x:c r="A1239" s="3" t="str">
        <x:v>CT-1232</x:v>
      </x:c>
      <x:c r="B1239" s="3" t="str">
        <x:v>ST-170</x:v>
      </x:c>
      <x:c r="C1239" s="3" t="str">
        <x:v>R+AR同收同发</x:v>
      </x:c>
      <x:c r="D1239" s="25" t="n">
        <x:v>2</x:v>
      </x:c>
      <x:c r="E1239" s="25" t="n">
        <x:v>1</x:v>
      </x:c>
      <x:c r="F1239" s="25" t="n">
        <x:v>6</x:v>
      </x:c>
      <x:c r="G1239" s="19" t="n">
        <x:f>SUM(D1239:F1239)</x:f>
        <x:v>9</x:v>
      </x:c>
      <x:c r="H1239" s="25" t="n">
        <x:v>0</x:v>
      </x:c>
      <x:c r="I1239" s="25" t="n">
        <x:v>1</x:v>
      </x:c>
      <x:c r="J1239" s="25" t="n">
        <x:v>2</x:v>
      </x:c>
      <x:c r="K1239" s="19" t="n">
        <x:f>D1239-IF(H1239=0,1,0)</x:f>
        <x:v>1</x:v>
      </x:c>
      <x:c r="L1239" s="19" t="n">
        <x:f>E1239-IF(H1239=1,1,0)</x:f>
        <x:v>1</x:v>
      </x:c>
      <x:c r="M1239" s="19" t="n">
        <x:f>F1239-IF(H1239=2,1,0)</x:f>
        <x:v>6</x:v>
      </x:c>
      <x:c r="N1239" s="19" t="n">
        <x:f>MAX(K1239-1,0)+MAX(L1239-1,0)+MAX(M1239-1,0)</x:f>
        <x:v>5</x:v>
      </x:c>
      <x:c r="O1239" s="19" t="n">
        <x:f>IF(AND(SUM(K1239:M1239)&lt;9,OR(M1239=0,N1239&lt;6)),1,0)</x:f>
        <x:v>1</x:v>
      </x:c>
      <x:c r="P1239" s="19" t="n">
        <x:f>IF(AND(SUM(K1239:M1239)&lt;9,OR(L1239=0,N1239&lt;6)),1,0)</x:f>
        <x:v>1</x:v>
      </x:c>
      <x:c r="Q1239" s="19" t="n">
        <x:f>IF(AND(SUM(K1239:M1239)&lt;9,OR(K1239=0,N1239&lt;6)),1,0)</x:f>
        <x:v>1</x:v>
      </x:c>
      <x:c r="R1239" s="22" t="str">
        <x:f>O1239&amp;P1239&amp;Q1239</x:f>
        <x:v>111</x:v>
      </x:c>
      <x:c r="S1239" s="19" t="n">
        <x:f>IF(I1239=1,IF(J1239=0,Q1239,IF(J1239=1,P1239,IF(J1239=2,O1239,0))),0)</x:f>
        <x:v>1</x:v>
      </x:c>
      <x:c r="T1239" s="19" t="n">
        <x:f>K1239+IF(AND(S1239=1,J1239=0),1,0)</x:f>
        <x:v>1</x:v>
      </x:c>
      <x:c r="U1239" s="19" t="n">
        <x:f>L1239+IF(AND(S1239=1,J1239=1),1,0)</x:f>
        <x:v>1</x:v>
      </x:c>
      <x:c r="V1239" s="19" t="n">
        <x:f>M1239+IF(AND(S1239=1,J1239=2),1,0)</x:f>
        <x:v>7</x:v>
      </x:c>
      <x:c r="W1239" s="19" t="n">
        <x:f>SUM(T1239:V1239)</x:f>
        <x:v>9</x:v>
      </x:c>
      <x:c r="X1239" s="19" t="n">
        <x:f>W1239-G1239</x:f>
        <x:v>0</x:v>
      </x:c>
      <x:c r="Y1239" s="19" t="n">
        <x:f>MAX(T1239,1)+MAX(U1239,1)+MAX(V1239,1)</x:f>
        <x:v>9</x:v>
      </x:c>
      <x:c r="Z1239" s="21" t="str">
        <x:f>IF(AND(MIN(D1239:F1239)&gt;=0,MAX(D1239:F1239)&lt;=7,MAX(D1239,1)+MAX(E1239,1)+MAX(F1239,1)&lt;=9,OR(H1239="-",AND(H1239=0,D1239&gt;0),AND(H1239=1,E1239&gt;0),AND(H1239=2,F1239&gt;0)),OR(I1239=0,AND(I1239=1,OR(J1239=0,J1239=1,J1239=2),R1239&lt;&gt;"000")),Y1239&lt;=9,MIN(T1239:V1239)&gt;=0),"合法","输入违约")</x:f>
        <x:v>合法</x:v>
      </x:c>
    </x:row>
    <x:row r="1240" ht="23" customHeight="1">
      <x:c r="A1240" s="3" t="str">
        <x:v>CT-1233</x:v>
      </x:c>
      <x:c r="B1240" s="3" t="str">
        <x:v>ST-170</x:v>
      </x:c>
      <x:c r="C1240" s="3" t="str">
        <x:v>仅R回收</x:v>
      </x:c>
      <x:c r="D1240" s="25" t="n">
        <x:v>2</x:v>
      </x:c>
      <x:c r="E1240" s="25" t="n">
        <x:v>1</x:v>
      </x:c>
      <x:c r="F1240" s="25" t="n">
        <x:v>6</x:v>
      </x:c>
      <x:c r="G1240" s="19" t="n">
        <x:f>SUM(D1240:F1240)</x:f>
        <x:v>9</x:v>
      </x:c>
      <x:c r="H1240" s="25" t="n">
        <x:v>1</x:v>
      </x:c>
      <x:c r="I1240" s="25" t="n">
        <x:v>0</x:v>
      </x:c>
      <x:c r="J1240" s="25" t="str">
        <x:v>-</x:v>
      </x:c>
      <x:c r="K1240" s="19" t="n">
        <x:f>D1240-IF(H1240=0,1,0)</x:f>
        <x:v>2</x:v>
      </x:c>
      <x:c r="L1240" s="19" t="n">
        <x:f>E1240-IF(H1240=1,1,0)</x:f>
        <x:v>0</x:v>
      </x:c>
      <x:c r="M1240" s="19" t="n">
        <x:f>F1240-IF(H1240=2,1,0)</x:f>
        <x:v>6</x:v>
      </x:c>
      <x:c r="N1240" s="19" t="n">
        <x:f>MAX(K1240-1,0)+MAX(L1240-1,0)+MAX(M1240-1,0)</x:f>
        <x:v>6</x:v>
      </x:c>
      <x:c r="O1240" s="19" t="n">
        <x:f>IF(AND(SUM(K1240:M1240)&lt;9,OR(M1240=0,N1240&lt;6)),1,0)</x:f>
        <x:v>0</x:v>
      </x:c>
      <x:c r="P1240" s="19" t="n">
        <x:f>IF(AND(SUM(K1240:M1240)&lt;9,OR(L1240=0,N1240&lt;6)),1,0)</x:f>
        <x:v>1</x:v>
      </x:c>
      <x:c r="Q1240" s="19" t="n">
        <x:f>IF(AND(SUM(K1240:M1240)&lt;9,OR(K1240=0,N1240&lt;6)),1,0)</x:f>
        <x:v>0</x:v>
      </x:c>
      <x:c r="R1240" s="22" t="str">
        <x:f>O1240&amp;P1240&amp;Q1240</x:f>
        <x:v>010</x:v>
      </x:c>
      <x:c r="S1240" s="19" t="n">
        <x:f>IF(I1240=1,IF(J1240=0,Q1240,IF(J1240=1,P1240,IF(J1240=2,O1240,0))),0)</x:f>
        <x:v>0</x:v>
      </x:c>
      <x:c r="T1240" s="19" t="n">
        <x:f>K1240+IF(AND(S1240=1,J1240=0),1,0)</x:f>
        <x:v>2</x:v>
      </x:c>
      <x:c r="U1240" s="19" t="n">
        <x:f>L1240+IF(AND(S1240=1,J1240=1),1,0)</x:f>
        <x:v>0</x:v>
      </x:c>
      <x:c r="V1240" s="19" t="n">
        <x:f>M1240+IF(AND(S1240=1,J1240=2),1,0)</x:f>
        <x:v>6</x:v>
      </x:c>
      <x:c r="W1240" s="19" t="n">
        <x:f>SUM(T1240:V1240)</x:f>
        <x:v>8</x:v>
      </x:c>
      <x:c r="X1240" s="19" t="n">
        <x:f>W1240-G1240</x:f>
        <x:v>-1</x:v>
      </x:c>
      <x:c r="Y1240" s="19" t="n">
        <x:f>MAX(T1240,1)+MAX(U1240,1)+MAX(V1240,1)</x:f>
        <x:v>9</x:v>
      </x:c>
      <x:c r="Z1240" s="21" t="str">
        <x:f>IF(AND(MIN(D1240:F1240)&gt;=0,MAX(D1240:F1240)&lt;=7,MAX(D1240,1)+MAX(E1240,1)+MAX(F1240,1)&lt;=9,OR(H1240="-",AND(H1240=0,D1240&gt;0),AND(H1240=1,E1240&gt;0),AND(H1240=2,F1240&gt;0)),OR(I1240=0,AND(I1240=1,OR(J1240=0,J1240=1,J1240=2),R1240&lt;&gt;"000")),Y1240&lt;=9,MIN(T1240:V1240)&gt;=0),"合法","输入违约")</x:f>
        <x:v>合法</x:v>
      </x:c>
    </x:row>
    <x:row r="1241" ht="23" customHeight="1">
      <x:c r="A1241" s="3" t="str">
        <x:v>CT-1234</x:v>
      </x:c>
      <x:c r="B1241" s="3" t="str">
        <x:v>ST-170</x:v>
      </x:c>
      <x:c r="C1241" s="3" t="str">
        <x:v>仅R回收</x:v>
      </x:c>
      <x:c r="D1241" s="25" t="n">
        <x:v>2</x:v>
      </x:c>
      <x:c r="E1241" s="25" t="n">
        <x:v>1</x:v>
      </x:c>
      <x:c r="F1241" s="25" t="n">
        <x:v>6</x:v>
      </x:c>
      <x:c r="G1241" s="19" t="n">
        <x:f>SUM(D1241:F1241)</x:f>
        <x:v>9</x:v>
      </x:c>
      <x:c r="H1241" s="25" t="n">
        <x:v>1</x:v>
      </x:c>
      <x:c r="I1241" s="25" t="n">
        <x:v>1</x:v>
      </x:c>
      <x:c r="J1241" s="25" t="n">
        <x:v>0</x:v>
      </x:c>
      <x:c r="K1241" s="19" t="n">
        <x:f>D1241-IF(H1241=0,1,0)</x:f>
        <x:v>2</x:v>
      </x:c>
      <x:c r="L1241" s="19" t="n">
        <x:f>E1241-IF(H1241=1,1,0)</x:f>
        <x:v>0</x:v>
      </x:c>
      <x:c r="M1241" s="19" t="n">
        <x:f>F1241-IF(H1241=2,1,0)</x:f>
        <x:v>6</x:v>
      </x:c>
      <x:c r="N1241" s="19" t="n">
        <x:f>MAX(K1241-1,0)+MAX(L1241-1,0)+MAX(M1241-1,0)</x:f>
        <x:v>6</x:v>
      </x:c>
      <x:c r="O1241" s="19" t="n">
        <x:f>IF(AND(SUM(K1241:M1241)&lt;9,OR(M1241=0,N1241&lt;6)),1,0)</x:f>
        <x:v>0</x:v>
      </x:c>
      <x:c r="P1241" s="19" t="n">
        <x:f>IF(AND(SUM(K1241:M1241)&lt;9,OR(L1241=0,N1241&lt;6)),1,0)</x:f>
        <x:v>1</x:v>
      </x:c>
      <x:c r="Q1241" s="19" t="n">
        <x:f>IF(AND(SUM(K1241:M1241)&lt;9,OR(K1241=0,N1241&lt;6)),1,0)</x:f>
        <x:v>0</x:v>
      </x:c>
      <x:c r="R1241" s="22" t="str">
        <x:f>O1241&amp;P1241&amp;Q1241</x:f>
        <x:v>010</x:v>
      </x:c>
      <x:c r="S1241" s="19" t="n">
        <x:f>IF(I1241=1,IF(J1241=0,Q1241,IF(J1241=1,P1241,IF(J1241=2,O1241,0))),0)</x:f>
        <x:v>0</x:v>
      </x:c>
      <x:c r="T1241" s="19" t="n">
        <x:f>K1241+IF(AND(S1241=1,J1241=0),1,0)</x:f>
        <x:v>2</x:v>
      </x:c>
      <x:c r="U1241" s="19" t="n">
        <x:f>L1241+IF(AND(S1241=1,J1241=1),1,0)</x:f>
        <x:v>0</x:v>
      </x:c>
      <x:c r="V1241" s="19" t="n">
        <x:f>M1241+IF(AND(S1241=1,J1241=2),1,0)</x:f>
        <x:v>6</x:v>
      </x:c>
      <x:c r="W1241" s="19" t="n">
        <x:f>SUM(T1241:V1241)</x:f>
        <x:v>8</x:v>
      </x:c>
      <x:c r="X1241" s="19" t="n">
        <x:f>W1241-G1241</x:f>
        <x:v>-1</x:v>
      </x:c>
      <x:c r="Y1241" s="19" t="n">
        <x:f>MAX(T1241,1)+MAX(U1241,1)+MAX(V1241,1)</x:f>
        <x:v>9</x:v>
      </x:c>
      <x:c r="Z1241" s="21" t="str">
        <x:f>IF(AND(MIN(D1241:F1241)&gt;=0,MAX(D1241:F1241)&lt;=7,MAX(D1241,1)+MAX(E1241,1)+MAX(F1241,1)&lt;=9,OR(H1241="-",AND(H1241=0,D1241&gt;0),AND(H1241=1,E1241&gt;0),AND(H1241=2,F1241&gt;0)),OR(I1241=0,AND(I1241=1,OR(J1241=0,J1241=1,J1241=2),R1241&lt;&gt;"000")),Y1241&lt;=9,MIN(T1241:V1241)&gt;=0),"合法","输入违约")</x:f>
        <x:v>合法</x:v>
      </x:c>
    </x:row>
    <x:row r="1242" ht="23" customHeight="1">
      <x:c r="A1242" s="3" t="str">
        <x:v>CT-1235</x:v>
      </x:c>
      <x:c r="B1242" s="3" t="str">
        <x:v>ST-170</x:v>
      </x:c>
      <x:c r="C1242" s="3" t="str">
        <x:v>R+AR同收同发</x:v>
      </x:c>
      <x:c r="D1242" s="25" t="n">
        <x:v>2</x:v>
      </x:c>
      <x:c r="E1242" s="25" t="n">
        <x:v>1</x:v>
      </x:c>
      <x:c r="F1242" s="25" t="n">
        <x:v>6</x:v>
      </x:c>
      <x:c r="G1242" s="19" t="n">
        <x:f>SUM(D1242:F1242)</x:f>
        <x:v>9</x:v>
      </x:c>
      <x:c r="H1242" s="25" t="n">
        <x:v>1</x:v>
      </x:c>
      <x:c r="I1242" s="25" t="n">
        <x:v>1</x:v>
      </x:c>
      <x:c r="J1242" s="25" t="n">
        <x:v>1</x:v>
      </x:c>
      <x:c r="K1242" s="19" t="n">
        <x:f>D1242-IF(H1242=0,1,0)</x:f>
        <x:v>2</x:v>
      </x:c>
      <x:c r="L1242" s="19" t="n">
        <x:f>E1242-IF(H1242=1,1,0)</x:f>
        <x:v>0</x:v>
      </x:c>
      <x:c r="M1242" s="19" t="n">
        <x:f>F1242-IF(H1242=2,1,0)</x:f>
        <x:v>6</x:v>
      </x:c>
      <x:c r="N1242" s="19" t="n">
        <x:f>MAX(K1242-1,0)+MAX(L1242-1,0)+MAX(M1242-1,0)</x:f>
        <x:v>6</x:v>
      </x:c>
      <x:c r="O1242" s="19" t="n">
        <x:f>IF(AND(SUM(K1242:M1242)&lt;9,OR(M1242=0,N1242&lt;6)),1,0)</x:f>
        <x:v>0</x:v>
      </x:c>
      <x:c r="P1242" s="19" t="n">
        <x:f>IF(AND(SUM(K1242:M1242)&lt;9,OR(L1242=0,N1242&lt;6)),1,0)</x:f>
        <x:v>1</x:v>
      </x:c>
      <x:c r="Q1242" s="19" t="n">
        <x:f>IF(AND(SUM(K1242:M1242)&lt;9,OR(K1242=0,N1242&lt;6)),1,0)</x:f>
        <x:v>0</x:v>
      </x:c>
      <x:c r="R1242" s="22" t="str">
        <x:f>O1242&amp;P1242&amp;Q1242</x:f>
        <x:v>010</x:v>
      </x:c>
      <x:c r="S1242" s="19" t="n">
        <x:f>IF(I1242=1,IF(J1242=0,Q1242,IF(J1242=1,P1242,IF(J1242=2,O1242,0))),0)</x:f>
        <x:v>1</x:v>
      </x:c>
      <x:c r="T1242" s="19" t="n">
        <x:f>K1242+IF(AND(S1242=1,J1242=0),1,0)</x:f>
        <x:v>2</x:v>
      </x:c>
      <x:c r="U1242" s="19" t="n">
        <x:f>L1242+IF(AND(S1242=1,J1242=1),1,0)</x:f>
        <x:v>1</x:v>
      </x:c>
      <x:c r="V1242" s="19" t="n">
        <x:f>M1242+IF(AND(S1242=1,J1242=2),1,0)</x:f>
        <x:v>6</x:v>
      </x:c>
      <x:c r="W1242" s="19" t="n">
        <x:f>SUM(T1242:V1242)</x:f>
        <x:v>9</x:v>
      </x:c>
      <x:c r="X1242" s="19" t="n">
        <x:f>W1242-G1242</x:f>
        <x:v>0</x:v>
      </x:c>
      <x:c r="Y1242" s="19" t="n">
        <x:f>MAX(T1242,1)+MAX(U1242,1)+MAX(V1242,1)</x:f>
        <x:v>9</x:v>
      </x:c>
      <x:c r="Z1242" s="21" t="str">
        <x:f>IF(AND(MIN(D1242:F1242)&gt;=0,MAX(D1242:F1242)&lt;=7,MAX(D1242,1)+MAX(E1242,1)+MAX(F1242,1)&lt;=9,OR(H1242="-",AND(H1242=0,D1242&gt;0),AND(H1242=1,E1242&gt;0),AND(H1242=2,F1242&gt;0)),OR(I1242=0,AND(I1242=1,OR(J1242=0,J1242=1,J1242=2),R1242&lt;&gt;"000")),Y1242&lt;=9,MIN(T1242:V1242)&gt;=0),"合法","输入违约")</x:f>
        <x:v>合法</x:v>
      </x:c>
    </x:row>
    <x:row r="1243" ht="23" customHeight="1">
      <x:c r="A1243" s="3" t="str">
        <x:v>CT-1236</x:v>
      </x:c>
      <x:c r="B1243" s="3" t="str">
        <x:v>ST-170</x:v>
      </x:c>
      <x:c r="C1243" s="3" t="str">
        <x:v>仅R回收</x:v>
      </x:c>
      <x:c r="D1243" s="25" t="n">
        <x:v>2</x:v>
      </x:c>
      <x:c r="E1243" s="25" t="n">
        <x:v>1</x:v>
      </x:c>
      <x:c r="F1243" s="25" t="n">
        <x:v>6</x:v>
      </x:c>
      <x:c r="G1243" s="19" t="n">
        <x:f>SUM(D1243:F1243)</x:f>
        <x:v>9</x:v>
      </x:c>
      <x:c r="H1243" s="25" t="n">
        <x:v>1</x:v>
      </x:c>
      <x:c r="I1243" s="25" t="n">
        <x:v>1</x:v>
      </x:c>
      <x:c r="J1243" s="25" t="n">
        <x:v>2</x:v>
      </x:c>
      <x:c r="K1243" s="19" t="n">
        <x:f>D1243-IF(H1243=0,1,0)</x:f>
        <x:v>2</x:v>
      </x:c>
      <x:c r="L1243" s="19" t="n">
        <x:f>E1243-IF(H1243=1,1,0)</x:f>
        <x:v>0</x:v>
      </x:c>
      <x:c r="M1243" s="19" t="n">
        <x:f>F1243-IF(H1243=2,1,0)</x:f>
        <x:v>6</x:v>
      </x:c>
      <x:c r="N1243" s="19" t="n">
        <x:f>MAX(K1243-1,0)+MAX(L1243-1,0)+MAX(M1243-1,0)</x:f>
        <x:v>6</x:v>
      </x:c>
      <x:c r="O1243" s="19" t="n">
        <x:f>IF(AND(SUM(K1243:M1243)&lt;9,OR(M1243=0,N1243&lt;6)),1,0)</x:f>
        <x:v>0</x:v>
      </x:c>
      <x:c r="P1243" s="19" t="n">
        <x:f>IF(AND(SUM(K1243:M1243)&lt;9,OR(L1243=0,N1243&lt;6)),1,0)</x:f>
        <x:v>1</x:v>
      </x:c>
      <x:c r="Q1243" s="19" t="n">
        <x:f>IF(AND(SUM(K1243:M1243)&lt;9,OR(K1243=0,N1243&lt;6)),1,0)</x:f>
        <x:v>0</x:v>
      </x:c>
      <x:c r="R1243" s="22" t="str">
        <x:f>O1243&amp;P1243&amp;Q1243</x:f>
        <x:v>010</x:v>
      </x:c>
      <x:c r="S1243" s="19" t="n">
        <x:f>IF(I1243=1,IF(J1243=0,Q1243,IF(J1243=1,P1243,IF(J1243=2,O1243,0))),0)</x:f>
        <x:v>0</x:v>
      </x:c>
      <x:c r="T1243" s="19" t="n">
        <x:f>K1243+IF(AND(S1243=1,J1243=0),1,0)</x:f>
        <x:v>2</x:v>
      </x:c>
      <x:c r="U1243" s="19" t="n">
        <x:f>L1243+IF(AND(S1243=1,J1243=1),1,0)</x:f>
        <x:v>0</x:v>
      </x:c>
      <x:c r="V1243" s="19" t="n">
        <x:f>M1243+IF(AND(S1243=1,J1243=2),1,0)</x:f>
        <x:v>6</x:v>
      </x:c>
      <x:c r="W1243" s="19" t="n">
        <x:f>SUM(T1243:V1243)</x:f>
        <x:v>8</x:v>
      </x:c>
      <x:c r="X1243" s="19" t="n">
        <x:f>W1243-G1243</x:f>
        <x:v>-1</x:v>
      </x:c>
      <x:c r="Y1243" s="19" t="n">
        <x:f>MAX(T1243,1)+MAX(U1243,1)+MAX(V1243,1)</x:f>
        <x:v>9</x:v>
      </x:c>
      <x:c r="Z1243" s="21" t="str">
        <x:f>IF(AND(MIN(D1243:F1243)&gt;=0,MAX(D1243:F1243)&lt;=7,MAX(D1243,1)+MAX(E1243,1)+MAX(F1243,1)&lt;=9,OR(H1243="-",AND(H1243=0,D1243&gt;0),AND(H1243=1,E1243&gt;0),AND(H1243=2,F1243&gt;0)),OR(I1243=0,AND(I1243=1,OR(J1243=0,J1243=1,J1243=2),R1243&lt;&gt;"000")),Y1243&lt;=9,MIN(T1243:V1243)&gt;=0),"合法","输入违约")</x:f>
        <x:v>合法</x:v>
      </x:c>
    </x:row>
    <x:row r="1244" ht="23" customHeight="1">
      <x:c r="A1244" s="3" t="str">
        <x:v>CT-1237</x:v>
      </x:c>
      <x:c r="B1244" s="3" t="str">
        <x:v>ST-170</x:v>
      </x:c>
      <x:c r="C1244" s="3" t="str">
        <x:v>仅R回收</x:v>
      </x:c>
      <x:c r="D1244" s="25" t="n">
        <x:v>2</x:v>
      </x:c>
      <x:c r="E1244" s="25" t="n">
        <x:v>1</x:v>
      </x:c>
      <x:c r="F1244" s="25" t="n">
        <x:v>6</x:v>
      </x:c>
      <x:c r="G1244" s="19" t="n">
        <x:f>SUM(D1244:F1244)</x:f>
        <x:v>9</x:v>
      </x:c>
      <x:c r="H1244" s="25" t="n">
        <x:v>2</x:v>
      </x:c>
      <x:c r="I1244" s="25" t="n">
        <x:v>0</x:v>
      </x:c>
      <x:c r="J1244" s="25" t="str">
        <x:v>-</x:v>
      </x:c>
      <x:c r="K1244" s="19" t="n">
        <x:f>D1244-IF(H1244=0,1,0)</x:f>
        <x:v>2</x:v>
      </x:c>
      <x:c r="L1244" s="19" t="n">
        <x:f>E1244-IF(H1244=1,1,0)</x:f>
        <x:v>1</x:v>
      </x:c>
      <x:c r="M1244" s="19" t="n">
        <x:f>F1244-IF(H1244=2,1,0)</x:f>
        <x:v>5</x:v>
      </x:c>
      <x:c r="N1244" s="19" t="n">
        <x:f>MAX(K1244-1,0)+MAX(L1244-1,0)+MAX(M1244-1,0)</x:f>
        <x:v>5</x:v>
      </x:c>
      <x:c r="O1244" s="19" t="n">
        <x:f>IF(AND(SUM(K1244:M1244)&lt;9,OR(M1244=0,N1244&lt;6)),1,0)</x:f>
        <x:v>1</x:v>
      </x:c>
      <x:c r="P1244" s="19" t="n">
        <x:f>IF(AND(SUM(K1244:M1244)&lt;9,OR(L1244=0,N1244&lt;6)),1,0)</x:f>
        <x:v>1</x:v>
      </x:c>
      <x:c r="Q1244" s="19" t="n">
        <x:f>IF(AND(SUM(K1244:M1244)&lt;9,OR(K1244=0,N1244&lt;6)),1,0)</x:f>
        <x:v>1</x:v>
      </x:c>
      <x:c r="R1244" s="22" t="str">
        <x:f>O1244&amp;P1244&amp;Q1244</x:f>
        <x:v>111</x:v>
      </x:c>
      <x:c r="S1244" s="19" t="n">
        <x:f>IF(I1244=1,IF(J1244=0,Q1244,IF(J1244=1,P1244,IF(J1244=2,O1244,0))),0)</x:f>
        <x:v>0</x:v>
      </x:c>
      <x:c r="T1244" s="19" t="n">
        <x:f>K1244+IF(AND(S1244=1,J1244=0),1,0)</x:f>
        <x:v>2</x:v>
      </x:c>
      <x:c r="U1244" s="19" t="n">
        <x:f>L1244+IF(AND(S1244=1,J1244=1),1,0)</x:f>
        <x:v>1</x:v>
      </x:c>
      <x:c r="V1244" s="19" t="n">
        <x:f>M1244+IF(AND(S1244=1,J1244=2),1,0)</x:f>
        <x:v>5</x:v>
      </x:c>
      <x:c r="W1244" s="19" t="n">
        <x:f>SUM(T1244:V1244)</x:f>
        <x:v>8</x:v>
      </x:c>
      <x:c r="X1244" s="19" t="n">
        <x:f>W1244-G1244</x:f>
        <x:v>-1</x:v>
      </x:c>
      <x:c r="Y1244" s="19" t="n">
        <x:f>MAX(T1244,1)+MAX(U1244,1)+MAX(V1244,1)</x:f>
        <x:v>8</x:v>
      </x:c>
      <x:c r="Z1244" s="21" t="str">
        <x:f>IF(AND(MIN(D1244:F1244)&gt;=0,MAX(D1244:F1244)&lt;=7,MAX(D1244,1)+MAX(E1244,1)+MAX(F1244,1)&lt;=9,OR(H1244="-",AND(H1244=0,D1244&gt;0),AND(H1244=1,E1244&gt;0),AND(H1244=2,F1244&gt;0)),OR(I1244=0,AND(I1244=1,OR(J1244=0,J1244=1,J1244=2),R1244&lt;&gt;"000")),Y1244&lt;=9,MIN(T1244:V1244)&gt;=0),"合法","输入违约")</x:f>
        <x:v>合法</x:v>
      </x:c>
    </x:row>
    <x:row r="1245" ht="23" customHeight="1">
      <x:c r="A1245" s="3" t="str">
        <x:v>CT-1238</x:v>
      </x:c>
      <x:c r="B1245" s="3" t="str">
        <x:v>ST-170</x:v>
      </x:c>
      <x:c r="C1245" s="3" t="str">
        <x:v>R+AR同收同发</x:v>
      </x:c>
      <x:c r="D1245" s="25" t="n">
        <x:v>2</x:v>
      </x:c>
      <x:c r="E1245" s="25" t="n">
        <x:v>1</x:v>
      </x:c>
      <x:c r="F1245" s="25" t="n">
        <x:v>6</x:v>
      </x:c>
      <x:c r="G1245" s="19" t="n">
        <x:f>SUM(D1245:F1245)</x:f>
        <x:v>9</x:v>
      </x:c>
      <x:c r="H1245" s="25" t="n">
        <x:v>2</x:v>
      </x:c>
      <x:c r="I1245" s="25" t="n">
        <x:v>1</x:v>
      </x:c>
      <x:c r="J1245" s="25" t="n">
        <x:v>0</x:v>
      </x:c>
      <x:c r="K1245" s="19" t="n">
        <x:f>D1245-IF(H1245=0,1,0)</x:f>
        <x:v>2</x:v>
      </x:c>
      <x:c r="L1245" s="19" t="n">
        <x:f>E1245-IF(H1245=1,1,0)</x:f>
        <x:v>1</x:v>
      </x:c>
      <x:c r="M1245" s="19" t="n">
        <x:f>F1245-IF(H1245=2,1,0)</x:f>
        <x:v>5</x:v>
      </x:c>
      <x:c r="N1245" s="19" t="n">
        <x:f>MAX(K1245-1,0)+MAX(L1245-1,0)+MAX(M1245-1,0)</x:f>
        <x:v>5</x:v>
      </x:c>
      <x:c r="O1245" s="19" t="n">
        <x:f>IF(AND(SUM(K1245:M1245)&lt;9,OR(M1245=0,N1245&lt;6)),1,0)</x:f>
        <x:v>1</x:v>
      </x:c>
      <x:c r="P1245" s="19" t="n">
        <x:f>IF(AND(SUM(K1245:M1245)&lt;9,OR(L1245=0,N1245&lt;6)),1,0)</x:f>
        <x:v>1</x:v>
      </x:c>
      <x:c r="Q1245" s="19" t="n">
        <x:f>IF(AND(SUM(K1245:M1245)&lt;9,OR(K1245=0,N1245&lt;6)),1,0)</x:f>
        <x:v>1</x:v>
      </x:c>
      <x:c r="R1245" s="22" t="str">
        <x:f>O1245&amp;P1245&amp;Q1245</x:f>
        <x:v>111</x:v>
      </x:c>
      <x:c r="S1245" s="19" t="n">
        <x:f>IF(I1245=1,IF(J1245=0,Q1245,IF(J1245=1,P1245,IF(J1245=2,O1245,0))),0)</x:f>
        <x:v>1</x:v>
      </x:c>
      <x:c r="T1245" s="19" t="n">
        <x:f>K1245+IF(AND(S1245=1,J1245=0),1,0)</x:f>
        <x:v>3</x:v>
      </x:c>
      <x:c r="U1245" s="19" t="n">
        <x:f>L1245+IF(AND(S1245=1,J1245=1),1,0)</x:f>
        <x:v>1</x:v>
      </x:c>
      <x:c r="V1245" s="19" t="n">
        <x:f>M1245+IF(AND(S1245=1,J1245=2),1,0)</x:f>
        <x:v>5</x:v>
      </x:c>
      <x:c r="W1245" s="19" t="n">
        <x:f>SUM(T1245:V1245)</x:f>
        <x:v>9</x:v>
      </x:c>
      <x:c r="X1245" s="19" t="n">
        <x:f>W1245-G1245</x:f>
        <x:v>0</x:v>
      </x:c>
      <x:c r="Y1245" s="19" t="n">
        <x:f>MAX(T1245,1)+MAX(U1245,1)+MAX(V1245,1)</x:f>
        <x:v>9</x:v>
      </x:c>
      <x:c r="Z1245" s="21" t="str">
        <x:f>IF(AND(MIN(D1245:F1245)&gt;=0,MAX(D1245:F1245)&lt;=7,MAX(D1245,1)+MAX(E1245,1)+MAX(F1245,1)&lt;=9,OR(H1245="-",AND(H1245=0,D1245&gt;0),AND(H1245=1,E1245&gt;0),AND(H1245=2,F1245&gt;0)),OR(I1245=0,AND(I1245=1,OR(J1245=0,J1245=1,J1245=2),R1245&lt;&gt;"000")),Y1245&lt;=9,MIN(T1245:V1245)&gt;=0),"合法","输入违约")</x:f>
        <x:v>合法</x:v>
      </x:c>
    </x:row>
    <x:row r="1246" ht="23" customHeight="1">
      <x:c r="A1246" s="3" t="str">
        <x:v>CT-1239</x:v>
      </x:c>
      <x:c r="B1246" s="3" t="str">
        <x:v>ST-170</x:v>
      </x:c>
      <x:c r="C1246" s="3" t="str">
        <x:v>R+AR同收同发</x:v>
      </x:c>
      <x:c r="D1246" s="25" t="n">
        <x:v>2</x:v>
      </x:c>
      <x:c r="E1246" s="25" t="n">
        <x:v>1</x:v>
      </x:c>
      <x:c r="F1246" s="25" t="n">
        <x:v>6</x:v>
      </x:c>
      <x:c r="G1246" s="19" t="n">
        <x:f>SUM(D1246:F1246)</x:f>
        <x:v>9</x:v>
      </x:c>
      <x:c r="H1246" s="25" t="n">
        <x:v>2</x:v>
      </x:c>
      <x:c r="I1246" s="25" t="n">
        <x:v>1</x:v>
      </x:c>
      <x:c r="J1246" s="25" t="n">
        <x:v>1</x:v>
      </x:c>
      <x:c r="K1246" s="19" t="n">
        <x:f>D1246-IF(H1246=0,1,0)</x:f>
        <x:v>2</x:v>
      </x:c>
      <x:c r="L1246" s="19" t="n">
        <x:f>E1246-IF(H1246=1,1,0)</x:f>
        <x:v>1</x:v>
      </x:c>
      <x:c r="M1246" s="19" t="n">
        <x:f>F1246-IF(H1246=2,1,0)</x:f>
        <x:v>5</x:v>
      </x:c>
      <x:c r="N1246" s="19" t="n">
        <x:f>MAX(K1246-1,0)+MAX(L1246-1,0)+MAX(M1246-1,0)</x:f>
        <x:v>5</x:v>
      </x:c>
      <x:c r="O1246" s="19" t="n">
        <x:f>IF(AND(SUM(K1246:M1246)&lt;9,OR(M1246=0,N1246&lt;6)),1,0)</x:f>
        <x:v>1</x:v>
      </x:c>
      <x:c r="P1246" s="19" t="n">
        <x:f>IF(AND(SUM(K1246:M1246)&lt;9,OR(L1246=0,N1246&lt;6)),1,0)</x:f>
        <x:v>1</x:v>
      </x:c>
      <x:c r="Q1246" s="19" t="n">
        <x:f>IF(AND(SUM(K1246:M1246)&lt;9,OR(K1246=0,N1246&lt;6)),1,0)</x:f>
        <x:v>1</x:v>
      </x:c>
      <x:c r="R1246" s="22" t="str">
        <x:f>O1246&amp;P1246&amp;Q1246</x:f>
        <x:v>111</x:v>
      </x:c>
      <x:c r="S1246" s="19" t="n">
        <x:f>IF(I1246=1,IF(J1246=0,Q1246,IF(J1246=1,P1246,IF(J1246=2,O1246,0))),0)</x:f>
        <x:v>1</x:v>
      </x:c>
      <x:c r="T1246" s="19" t="n">
        <x:f>K1246+IF(AND(S1246=1,J1246=0),1,0)</x:f>
        <x:v>2</x:v>
      </x:c>
      <x:c r="U1246" s="19" t="n">
        <x:f>L1246+IF(AND(S1246=1,J1246=1),1,0)</x:f>
        <x:v>2</x:v>
      </x:c>
      <x:c r="V1246" s="19" t="n">
        <x:f>M1246+IF(AND(S1246=1,J1246=2),1,0)</x:f>
        <x:v>5</x:v>
      </x:c>
      <x:c r="W1246" s="19" t="n">
        <x:f>SUM(T1246:V1246)</x:f>
        <x:v>9</x:v>
      </x:c>
      <x:c r="X1246" s="19" t="n">
        <x:f>W1246-G1246</x:f>
        <x:v>0</x:v>
      </x:c>
      <x:c r="Y1246" s="19" t="n">
        <x:f>MAX(T1246,1)+MAX(U1246,1)+MAX(V1246,1)</x:f>
        <x:v>9</x:v>
      </x:c>
      <x:c r="Z1246" s="21" t="str">
        <x:f>IF(AND(MIN(D1246:F1246)&gt;=0,MAX(D1246:F1246)&lt;=7,MAX(D1246,1)+MAX(E1246,1)+MAX(F1246,1)&lt;=9,OR(H1246="-",AND(H1246=0,D1246&gt;0),AND(H1246=1,E1246&gt;0),AND(H1246=2,F1246&gt;0)),OR(I1246=0,AND(I1246=1,OR(J1246=0,J1246=1,J1246=2),R1246&lt;&gt;"000")),Y1246&lt;=9,MIN(T1246:V1246)&gt;=0),"合法","输入违约")</x:f>
        <x:v>合法</x:v>
      </x:c>
    </x:row>
    <x:row r="1247" ht="23" customHeight="1">
      <x:c r="A1247" s="3" t="str">
        <x:v>CT-1240</x:v>
      </x:c>
      <x:c r="B1247" s="3" t="str">
        <x:v>ST-170</x:v>
      </x:c>
      <x:c r="C1247" s="3" t="str">
        <x:v>R+AR同收同发</x:v>
      </x:c>
      <x:c r="D1247" s="25" t="n">
        <x:v>2</x:v>
      </x:c>
      <x:c r="E1247" s="25" t="n">
        <x:v>1</x:v>
      </x:c>
      <x:c r="F1247" s="25" t="n">
        <x:v>6</x:v>
      </x:c>
      <x:c r="G1247" s="19" t="n">
        <x:f>SUM(D1247:F1247)</x:f>
        <x:v>9</x:v>
      </x:c>
      <x:c r="H1247" s="25" t="n">
        <x:v>2</x:v>
      </x:c>
      <x:c r="I1247" s="25" t="n">
        <x:v>1</x:v>
      </x:c>
      <x:c r="J1247" s="25" t="n">
        <x:v>2</x:v>
      </x:c>
      <x:c r="K1247" s="19" t="n">
        <x:f>D1247-IF(H1247=0,1,0)</x:f>
        <x:v>2</x:v>
      </x:c>
      <x:c r="L1247" s="19" t="n">
        <x:f>E1247-IF(H1247=1,1,0)</x:f>
        <x:v>1</x:v>
      </x:c>
      <x:c r="M1247" s="19" t="n">
        <x:f>F1247-IF(H1247=2,1,0)</x:f>
        <x:v>5</x:v>
      </x:c>
      <x:c r="N1247" s="19" t="n">
        <x:f>MAX(K1247-1,0)+MAX(L1247-1,0)+MAX(M1247-1,0)</x:f>
        <x:v>5</x:v>
      </x:c>
      <x:c r="O1247" s="19" t="n">
        <x:f>IF(AND(SUM(K1247:M1247)&lt;9,OR(M1247=0,N1247&lt;6)),1,0)</x:f>
        <x:v>1</x:v>
      </x:c>
      <x:c r="P1247" s="19" t="n">
        <x:f>IF(AND(SUM(K1247:M1247)&lt;9,OR(L1247=0,N1247&lt;6)),1,0)</x:f>
        <x:v>1</x:v>
      </x:c>
      <x:c r="Q1247" s="19" t="n">
        <x:f>IF(AND(SUM(K1247:M1247)&lt;9,OR(K1247=0,N1247&lt;6)),1,0)</x:f>
        <x:v>1</x:v>
      </x:c>
      <x:c r="R1247" s="22" t="str">
        <x:f>O1247&amp;P1247&amp;Q1247</x:f>
        <x:v>111</x:v>
      </x:c>
      <x:c r="S1247" s="19" t="n">
        <x:f>IF(I1247=1,IF(J1247=0,Q1247,IF(J1247=1,P1247,IF(J1247=2,O1247,0))),0)</x:f>
        <x:v>1</x:v>
      </x:c>
      <x:c r="T1247" s="19" t="n">
        <x:f>K1247+IF(AND(S1247=1,J1247=0),1,0)</x:f>
        <x:v>2</x:v>
      </x:c>
      <x:c r="U1247" s="19" t="n">
        <x:f>L1247+IF(AND(S1247=1,J1247=1),1,0)</x:f>
        <x:v>1</x:v>
      </x:c>
      <x:c r="V1247" s="19" t="n">
        <x:f>M1247+IF(AND(S1247=1,J1247=2),1,0)</x:f>
        <x:v>6</x:v>
      </x:c>
      <x:c r="W1247" s="19" t="n">
        <x:f>SUM(T1247:V1247)</x:f>
        <x:v>9</x:v>
      </x:c>
      <x:c r="X1247" s="19" t="n">
        <x:f>W1247-G1247</x:f>
        <x:v>0</x:v>
      </x:c>
      <x:c r="Y1247" s="19" t="n">
        <x:f>MAX(T1247,1)+MAX(U1247,1)+MAX(V1247,1)</x:f>
        <x:v>9</x:v>
      </x:c>
      <x:c r="Z1247" s="21" t="str">
        <x:f>IF(AND(MIN(D1247:F1247)&gt;=0,MAX(D1247:F1247)&lt;=7,MAX(D1247,1)+MAX(E1247,1)+MAX(F1247,1)&lt;=9,OR(H1247="-",AND(H1247=0,D1247&gt;0),AND(H1247=1,E1247&gt;0),AND(H1247=2,F1247&gt;0)),OR(I1247=0,AND(I1247=1,OR(J1247=0,J1247=1,J1247=2),R1247&lt;&gt;"000")),Y1247&lt;=9,MIN(T1247:V1247)&gt;=0),"合法","输入违约")</x:f>
        <x:v>合法</x:v>
      </x:c>
    </x:row>
    <x:row r="1248" ht="23" customHeight="1">
      <x:c r="A1248" s="3" t="str">
        <x:v>CT-1241</x:v>
      </x:c>
      <x:c r="B1248" s="3" t="str">
        <x:v>ST-032</x:v>
      </x:c>
      <x:c r="C1248" s="3" t="str">
        <x:v>无AR/R</x:v>
      </x:c>
      <x:c r="D1248" s="25" t="n">
        <x:v>2</x:v>
      </x:c>
      <x:c r="E1248" s="25" t="n">
        <x:v>2</x:v>
      </x:c>
      <x:c r="F1248" s="25" t="n">
        <x:v>0</x:v>
      </x:c>
      <x:c r="G1248" s="19" t="n">
        <x:f>SUM(D1248:F1248)</x:f>
        <x:v>4</x:v>
      </x:c>
      <x:c r="H1248" s="25" t="str">
        <x:v>-</x:v>
      </x:c>
      <x:c r="I1248" s="25" t="n">
        <x:v>0</x:v>
      </x:c>
      <x:c r="J1248" s="25" t="str">
        <x:v>-</x:v>
      </x:c>
      <x:c r="K1248" s="19" t="n">
        <x:f>D1248-IF(H1248=0,1,0)</x:f>
        <x:v>2</x:v>
      </x:c>
      <x:c r="L1248" s="19" t="n">
        <x:f>E1248-IF(H1248=1,1,0)</x:f>
        <x:v>2</x:v>
      </x:c>
      <x:c r="M1248" s="19" t="n">
        <x:f>F1248-IF(H1248=2,1,0)</x:f>
        <x:v>0</x:v>
      </x:c>
      <x:c r="N1248" s="19" t="n">
        <x:f>MAX(K1248-1,0)+MAX(L1248-1,0)+MAX(M1248-1,0)</x:f>
        <x:v>2</x:v>
      </x:c>
      <x:c r="O1248" s="19" t="n">
        <x:f>IF(AND(SUM(K1248:M1248)&lt;9,OR(M1248=0,N1248&lt;6)),1,0)</x:f>
        <x:v>1</x:v>
      </x:c>
      <x:c r="P1248" s="19" t="n">
        <x:f>IF(AND(SUM(K1248:M1248)&lt;9,OR(L1248=0,N1248&lt;6)),1,0)</x:f>
        <x:v>1</x:v>
      </x:c>
      <x:c r="Q1248" s="19" t="n">
        <x:f>IF(AND(SUM(K1248:M1248)&lt;9,OR(K1248=0,N1248&lt;6)),1,0)</x:f>
        <x:v>1</x:v>
      </x:c>
      <x:c r="R1248" s="22" t="str">
        <x:f>O1248&amp;P1248&amp;Q1248</x:f>
        <x:v>111</x:v>
      </x:c>
      <x:c r="S1248" s="19" t="n">
        <x:f>IF(I1248=1,IF(J1248=0,Q1248,IF(J1248=1,P1248,IF(J1248=2,O1248,0))),0)</x:f>
        <x:v>0</x:v>
      </x:c>
      <x:c r="T1248" s="19" t="n">
        <x:f>K1248+IF(AND(S1248=1,J1248=0),1,0)</x:f>
        <x:v>2</x:v>
      </x:c>
      <x:c r="U1248" s="19" t="n">
        <x:f>L1248+IF(AND(S1248=1,J1248=1),1,0)</x:f>
        <x:v>2</x:v>
      </x:c>
      <x:c r="V1248" s="19" t="n">
        <x:f>M1248+IF(AND(S1248=1,J1248=2),1,0)</x:f>
        <x:v>0</x:v>
      </x:c>
      <x:c r="W1248" s="19" t="n">
        <x:f>SUM(T1248:V1248)</x:f>
        <x:v>4</x:v>
      </x:c>
      <x:c r="X1248" s="19" t="n">
        <x:f>W1248-G1248</x:f>
        <x:v>0</x:v>
      </x:c>
      <x:c r="Y1248" s="19" t="n">
        <x:f>MAX(T1248,1)+MAX(U1248,1)+MAX(V1248,1)</x:f>
        <x:v>5</x:v>
      </x:c>
      <x:c r="Z1248" s="21" t="str">
        <x:f>IF(AND(MIN(D1248:F1248)&gt;=0,MAX(D1248:F1248)&lt;=7,MAX(D1248,1)+MAX(E1248,1)+MAX(F1248,1)&lt;=9,OR(H1248="-",AND(H1248=0,D1248&gt;0),AND(H1248=1,E1248&gt;0),AND(H1248=2,F1248&gt;0)),OR(I1248=0,AND(I1248=1,OR(J1248=0,J1248=1,J1248=2),R1248&lt;&gt;"000")),Y1248&lt;=9,MIN(T1248:V1248)&gt;=0),"合法","输入违约")</x:f>
        <x:v>合法</x:v>
      </x:c>
    </x:row>
    <x:row r="1249" ht="23" customHeight="1">
      <x:c r="A1249" s="3" t="str">
        <x:v>CT-1242</x:v>
      </x:c>
      <x:c r="B1249" s="3" t="str">
        <x:v>ST-032</x:v>
      </x:c>
      <x:c r="C1249" s="3" t="str">
        <x:v>仅AR接收</x:v>
      </x:c>
      <x:c r="D1249" s="25" t="n">
        <x:v>2</x:v>
      </x:c>
      <x:c r="E1249" s="25" t="n">
        <x:v>2</x:v>
      </x:c>
      <x:c r="F1249" s="25" t="n">
        <x:v>0</x:v>
      </x:c>
      <x:c r="G1249" s="19" t="n">
        <x:f>SUM(D1249:F1249)</x:f>
        <x:v>4</x:v>
      </x:c>
      <x:c r="H1249" s="25" t="str">
        <x:v>-</x:v>
      </x:c>
      <x:c r="I1249" s="25" t="n">
        <x:v>1</x:v>
      </x:c>
      <x:c r="J1249" s="25" t="n">
        <x:v>0</x:v>
      </x:c>
      <x:c r="K1249" s="19" t="n">
        <x:f>D1249-IF(H1249=0,1,0)</x:f>
        <x:v>2</x:v>
      </x:c>
      <x:c r="L1249" s="19" t="n">
        <x:f>E1249-IF(H1249=1,1,0)</x:f>
        <x:v>2</x:v>
      </x:c>
      <x:c r="M1249" s="19" t="n">
        <x:f>F1249-IF(H1249=2,1,0)</x:f>
        <x:v>0</x:v>
      </x:c>
      <x:c r="N1249" s="19" t="n">
        <x:f>MAX(K1249-1,0)+MAX(L1249-1,0)+MAX(M1249-1,0)</x:f>
        <x:v>2</x:v>
      </x:c>
      <x:c r="O1249" s="19" t="n">
        <x:f>IF(AND(SUM(K1249:M1249)&lt;9,OR(M1249=0,N1249&lt;6)),1,0)</x:f>
        <x:v>1</x:v>
      </x:c>
      <x:c r="P1249" s="19" t="n">
        <x:f>IF(AND(SUM(K1249:M1249)&lt;9,OR(L1249=0,N1249&lt;6)),1,0)</x:f>
        <x:v>1</x:v>
      </x:c>
      <x:c r="Q1249" s="19" t="n">
        <x:f>IF(AND(SUM(K1249:M1249)&lt;9,OR(K1249=0,N1249&lt;6)),1,0)</x:f>
        <x:v>1</x:v>
      </x:c>
      <x:c r="R1249" s="22" t="str">
        <x:f>O1249&amp;P1249&amp;Q1249</x:f>
        <x:v>111</x:v>
      </x:c>
      <x:c r="S1249" s="19" t="n">
        <x:f>IF(I1249=1,IF(J1249=0,Q1249,IF(J1249=1,P1249,IF(J1249=2,O1249,0))),0)</x:f>
        <x:v>1</x:v>
      </x:c>
      <x:c r="T1249" s="19" t="n">
        <x:f>K1249+IF(AND(S1249=1,J1249=0),1,0)</x:f>
        <x:v>3</x:v>
      </x:c>
      <x:c r="U1249" s="19" t="n">
        <x:f>L1249+IF(AND(S1249=1,J1249=1),1,0)</x:f>
        <x:v>2</x:v>
      </x:c>
      <x:c r="V1249" s="19" t="n">
        <x:f>M1249+IF(AND(S1249=1,J1249=2),1,0)</x:f>
        <x:v>0</x:v>
      </x:c>
      <x:c r="W1249" s="19" t="n">
        <x:f>SUM(T1249:V1249)</x:f>
        <x:v>5</x:v>
      </x:c>
      <x:c r="X1249" s="19" t="n">
        <x:f>W1249-G1249</x:f>
        <x:v>1</x:v>
      </x:c>
      <x:c r="Y1249" s="19" t="n">
        <x:f>MAX(T1249,1)+MAX(U1249,1)+MAX(V1249,1)</x:f>
        <x:v>6</x:v>
      </x:c>
      <x:c r="Z1249" s="21" t="str">
        <x:f>IF(AND(MIN(D1249:F1249)&gt;=0,MAX(D1249:F1249)&lt;=7,MAX(D1249,1)+MAX(E1249,1)+MAX(F1249,1)&lt;=9,OR(H1249="-",AND(H1249=0,D1249&gt;0),AND(H1249=1,E1249&gt;0),AND(H1249=2,F1249&gt;0)),OR(I1249=0,AND(I1249=1,OR(J1249=0,J1249=1,J1249=2),R1249&lt;&gt;"000")),Y1249&lt;=9,MIN(T1249:V1249)&gt;=0),"合法","输入违约")</x:f>
        <x:v>合法</x:v>
      </x:c>
    </x:row>
    <x:row r="1250" ht="23" customHeight="1">
      <x:c r="A1250" s="3" t="str">
        <x:v>CT-1243</x:v>
      </x:c>
      <x:c r="B1250" s="3" t="str">
        <x:v>ST-032</x:v>
      </x:c>
      <x:c r="C1250" s="3" t="str">
        <x:v>仅AR接收</x:v>
      </x:c>
      <x:c r="D1250" s="25" t="n">
        <x:v>2</x:v>
      </x:c>
      <x:c r="E1250" s="25" t="n">
        <x:v>2</x:v>
      </x:c>
      <x:c r="F1250" s="25" t="n">
        <x:v>0</x:v>
      </x:c>
      <x:c r="G1250" s="19" t="n">
        <x:f>SUM(D1250:F1250)</x:f>
        <x:v>4</x:v>
      </x:c>
      <x:c r="H1250" s="25" t="str">
        <x:v>-</x:v>
      </x:c>
      <x:c r="I1250" s="25" t="n">
        <x:v>1</x:v>
      </x:c>
      <x:c r="J1250" s="25" t="n">
        <x:v>1</x:v>
      </x:c>
      <x:c r="K1250" s="19" t="n">
        <x:f>D1250-IF(H1250=0,1,0)</x:f>
        <x:v>2</x:v>
      </x:c>
      <x:c r="L1250" s="19" t="n">
        <x:f>E1250-IF(H1250=1,1,0)</x:f>
        <x:v>2</x:v>
      </x:c>
      <x:c r="M1250" s="19" t="n">
        <x:f>F1250-IF(H1250=2,1,0)</x:f>
        <x:v>0</x:v>
      </x:c>
      <x:c r="N1250" s="19" t="n">
        <x:f>MAX(K1250-1,0)+MAX(L1250-1,0)+MAX(M1250-1,0)</x:f>
        <x:v>2</x:v>
      </x:c>
      <x:c r="O1250" s="19" t="n">
        <x:f>IF(AND(SUM(K1250:M1250)&lt;9,OR(M1250=0,N1250&lt;6)),1,0)</x:f>
        <x:v>1</x:v>
      </x:c>
      <x:c r="P1250" s="19" t="n">
        <x:f>IF(AND(SUM(K1250:M1250)&lt;9,OR(L1250=0,N1250&lt;6)),1,0)</x:f>
        <x:v>1</x:v>
      </x:c>
      <x:c r="Q1250" s="19" t="n">
        <x:f>IF(AND(SUM(K1250:M1250)&lt;9,OR(K1250=0,N1250&lt;6)),1,0)</x:f>
        <x:v>1</x:v>
      </x:c>
      <x:c r="R1250" s="22" t="str">
        <x:f>O1250&amp;P1250&amp;Q1250</x:f>
        <x:v>111</x:v>
      </x:c>
      <x:c r="S1250" s="19" t="n">
        <x:f>IF(I1250=1,IF(J1250=0,Q1250,IF(J1250=1,P1250,IF(J1250=2,O1250,0))),0)</x:f>
        <x:v>1</x:v>
      </x:c>
      <x:c r="T1250" s="19" t="n">
        <x:f>K1250+IF(AND(S1250=1,J1250=0),1,0)</x:f>
        <x:v>2</x:v>
      </x:c>
      <x:c r="U1250" s="19" t="n">
        <x:f>L1250+IF(AND(S1250=1,J1250=1),1,0)</x:f>
        <x:v>3</x:v>
      </x:c>
      <x:c r="V1250" s="19" t="n">
        <x:f>M1250+IF(AND(S1250=1,J1250=2),1,0)</x:f>
        <x:v>0</x:v>
      </x:c>
      <x:c r="W1250" s="19" t="n">
        <x:f>SUM(T1250:V1250)</x:f>
        <x:v>5</x:v>
      </x:c>
      <x:c r="X1250" s="19" t="n">
        <x:f>W1250-G1250</x:f>
        <x:v>1</x:v>
      </x:c>
      <x:c r="Y1250" s="19" t="n">
        <x:f>MAX(T1250,1)+MAX(U1250,1)+MAX(V1250,1)</x:f>
        <x:v>6</x:v>
      </x:c>
      <x:c r="Z1250" s="21" t="str">
        <x:f>IF(AND(MIN(D1250:F1250)&gt;=0,MAX(D1250:F1250)&lt;=7,MAX(D1250,1)+MAX(E1250,1)+MAX(F1250,1)&lt;=9,OR(H1250="-",AND(H1250=0,D1250&gt;0),AND(H1250=1,E1250&gt;0),AND(H1250=2,F1250&gt;0)),OR(I1250=0,AND(I1250=1,OR(J1250=0,J1250=1,J1250=2),R1250&lt;&gt;"000")),Y1250&lt;=9,MIN(T1250:V1250)&gt;=0),"合法","输入违约")</x:f>
        <x:v>合法</x:v>
      </x:c>
    </x:row>
    <x:row r="1251" ht="23" customHeight="1">
      <x:c r="A1251" s="3" t="str">
        <x:v>CT-1244</x:v>
      </x:c>
      <x:c r="B1251" s="3" t="str">
        <x:v>ST-032</x:v>
      </x:c>
      <x:c r="C1251" s="3" t="str">
        <x:v>仅AR接收</x:v>
      </x:c>
      <x:c r="D1251" s="25" t="n">
        <x:v>2</x:v>
      </x:c>
      <x:c r="E1251" s="25" t="n">
        <x:v>2</x:v>
      </x:c>
      <x:c r="F1251" s="25" t="n">
        <x:v>0</x:v>
      </x:c>
      <x:c r="G1251" s="19" t="n">
        <x:f>SUM(D1251:F1251)</x:f>
        <x:v>4</x:v>
      </x:c>
      <x:c r="H1251" s="25" t="str">
        <x:v>-</x:v>
      </x:c>
      <x:c r="I1251" s="25" t="n">
        <x:v>1</x:v>
      </x:c>
      <x:c r="J1251" s="25" t="n">
        <x:v>2</x:v>
      </x:c>
      <x:c r="K1251" s="19" t="n">
        <x:f>D1251-IF(H1251=0,1,0)</x:f>
        <x:v>2</x:v>
      </x:c>
      <x:c r="L1251" s="19" t="n">
        <x:f>E1251-IF(H1251=1,1,0)</x:f>
        <x:v>2</x:v>
      </x:c>
      <x:c r="M1251" s="19" t="n">
        <x:f>F1251-IF(H1251=2,1,0)</x:f>
        <x:v>0</x:v>
      </x:c>
      <x:c r="N1251" s="19" t="n">
        <x:f>MAX(K1251-1,0)+MAX(L1251-1,0)+MAX(M1251-1,0)</x:f>
        <x:v>2</x:v>
      </x:c>
      <x:c r="O1251" s="19" t="n">
        <x:f>IF(AND(SUM(K1251:M1251)&lt;9,OR(M1251=0,N1251&lt;6)),1,0)</x:f>
        <x:v>1</x:v>
      </x:c>
      <x:c r="P1251" s="19" t="n">
        <x:f>IF(AND(SUM(K1251:M1251)&lt;9,OR(L1251=0,N1251&lt;6)),1,0)</x:f>
        <x:v>1</x:v>
      </x:c>
      <x:c r="Q1251" s="19" t="n">
        <x:f>IF(AND(SUM(K1251:M1251)&lt;9,OR(K1251=0,N1251&lt;6)),1,0)</x:f>
        <x:v>1</x:v>
      </x:c>
      <x:c r="R1251" s="22" t="str">
        <x:f>O1251&amp;P1251&amp;Q1251</x:f>
        <x:v>111</x:v>
      </x:c>
      <x:c r="S1251" s="19" t="n">
        <x:f>IF(I1251=1,IF(J1251=0,Q1251,IF(J1251=1,P1251,IF(J1251=2,O1251,0))),0)</x:f>
        <x:v>1</x:v>
      </x:c>
      <x:c r="T1251" s="19" t="n">
        <x:f>K1251+IF(AND(S1251=1,J1251=0),1,0)</x:f>
        <x:v>2</x:v>
      </x:c>
      <x:c r="U1251" s="19" t="n">
        <x:f>L1251+IF(AND(S1251=1,J1251=1),1,0)</x:f>
        <x:v>2</x:v>
      </x:c>
      <x:c r="V1251" s="19" t="n">
        <x:f>M1251+IF(AND(S1251=1,J1251=2),1,0)</x:f>
        <x:v>1</x:v>
      </x:c>
      <x:c r="W1251" s="19" t="n">
        <x:f>SUM(T1251:V1251)</x:f>
        <x:v>5</x:v>
      </x:c>
      <x:c r="X1251" s="19" t="n">
        <x:f>W1251-G1251</x:f>
        <x:v>1</x:v>
      </x:c>
      <x:c r="Y1251" s="19" t="n">
        <x:f>MAX(T1251,1)+MAX(U1251,1)+MAX(V1251,1)</x:f>
        <x:v>5</x:v>
      </x:c>
      <x:c r="Z1251" s="21" t="str">
        <x:f>IF(AND(MIN(D1251:F1251)&gt;=0,MAX(D1251:F1251)&lt;=7,MAX(D1251,1)+MAX(E1251,1)+MAX(F1251,1)&lt;=9,OR(H1251="-",AND(H1251=0,D1251&gt;0),AND(H1251=1,E1251&gt;0),AND(H1251=2,F1251&gt;0)),OR(I1251=0,AND(I1251=1,OR(J1251=0,J1251=1,J1251=2),R1251&lt;&gt;"000")),Y1251&lt;=9,MIN(T1251:V1251)&gt;=0),"合法","输入违约")</x:f>
        <x:v>合法</x:v>
      </x:c>
    </x:row>
    <x:row r="1252" ht="23" customHeight="1">
      <x:c r="A1252" s="3" t="str">
        <x:v>CT-1245</x:v>
      </x:c>
      <x:c r="B1252" s="3" t="str">
        <x:v>ST-032</x:v>
      </x:c>
      <x:c r="C1252" s="3" t="str">
        <x:v>仅R回收</x:v>
      </x:c>
      <x:c r="D1252" s="25" t="n">
        <x:v>2</x:v>
      </x:c>
      <x:c r="E1252" s="25" t="n">
        <x:v>2</x:v>
      </x:c>
      <x:c r="F1252" s="25" t="n">
        <x:v>0</x:v>
      </x:c>
      <x:c r="G1252" s="19" t="n">
        <x:f>SUM(D1252:F1252)</x:f>
        <x:v>4</x:v>
      </x:c>
      <x:c r="H1252" s="25" t="n">
        <x:v>0</x:v>
      </x:c>
      <x:c r="I1252" s="25" t="n">
        <x:v>0</x:v>
      </x:c>
      <x:c r="J1252" s="25" t="str">
        <x:v>-</x:v>
      </x:c>
      <x:c r="K1252" s="19" t="n">
        <x:f>D1252-IF(H1252=0,1,0)</x:f>
        <x:v>1</x:v>
      </x:c>
      <x:c r="L1252" s="19" t="n">
        <x:f>E1252-IF(H1252=1,1,0)</x:f>
        <x:v>2</x:v>
      </x:c>
      <x:c r="M1252" s="19" t="n">
        <x:f>F1252-IF(H1252=2,1,0)</x:f>
        <x:v>0</x:v>
      </x:c>
      <x:c r="N1252" s="19" t="n">
        <x:f>MAX(K1252-1,0)+MAX(L1252-1,0)+MAX(M1252-1,0)</x:f>
        <x:v>1</x:v>
      </x:c>
      <x:c r="O1252" s="19" t="n">
        <x:f>IF(AND(SUM(K1252:M1252)&lt;9,OR(M1252=0,N1252&lt;6)),1,0)</x:f>
        <x:v>1</x:v>
      </x:c>
      <x:c r="P1252" s="19" t="n">
        <x:f>IF(AND(SUM(K1252:M1252)&lt;9,OR(L1252=0,N1252&lt;6)),1,0)</x:f>
        <x:v>1</x:v>
      </x:c>
      <x:c r="Q1252" s="19" t="n">
        <x:f>IF(AND(SUM(K1252:M1252)&lt;9,OR(K1252=0,N1252&lt;6)),1,0)</x:f>
        <x:v>1</x:v>
      </x:c>
      <x:c r="R1252" s="22" t="str">
        <x:f>O1252&amp;P1252&amp;Q1252</x:f>
        <x:v>111</x:v>
      </x:c>
      <x:c r="S1252" s="19" t="n">
        <x:f>IF(I1252=1,IF(J1252=0,Q1252,IF(J1252=1,P1252,IF(J1252=2,O1252,0))),0)</x:f>
        <x:v>0</x:v>
      </x:c>
      <x:c r="T1252" s="19" t="n">
        <x:f>K1252+IF(AND(S1252=1,J1252=0),1,0)</x:f>
        <x:v>1</x:v>
      </x:c>
      <x:c r="U1252" s="19" t="n">
        <x:f>L1252+IF(AND(S1252=1,J1252=1),1,0)</x:f>
        <x:v>2</x:v>
      </x:c>
      <x:c r="V1252" s="19" t="n">
        <x:f>M1252+IF(AND(S1252=1,J1252=2),1,0)</x:f>
        <x:v>0</x:v>
      </x:c>
      <x:c r="W1252" s="19" t="n">
        <x:f>SUM(T1252:V1252)</x:f>
        <x:v>3</x:v>
      </x:c>
      <x:c r="X1252" s="19" t="n">
        <x:f>W1252-G1252</x:f>
        <x:v>-1</x:v>
      </x:c>
      <x:c r="Y1252" s="19" t="n">
        <x:f>MAX(T1252,1)+MAX(U1252,1)+MAX(V1252,1)</x:f>
        <x:v>4</x:v>
      </x:c>
      <x:c r="Z1252" s="21" t="str">
        <x:f>IF(AND(MIN(D1252:F1252)&gt;=0,MAX(D1252:F1252)&lt;=7,MAX(D1252,1)+MAX(E1252,1)+MAX(F1252,1)&lt;=9,OR(H1252="-",AND(H1252=0,D1252&gt;0),AND(H1252=1,E1252&gt;0),AND(H1252=2,F1252&gt;0)),OR(I1252=0,AND(I1252=1,OR(J1252=0,J1252=1,J1252=2),R1252&lt;&gt;"000")),Y1252&lt;=9,MIN(T1252:V1252)&gt;=0),"合法","输入违约")</x:f>
        <x:v>合法</x:v>
      </x:c>
    </x:row>
    <x:row r="1253" ht="23" customHeight="1">
      <x:c r="A1253" s="3" t="str">
        <x:v>CT-1246</x:v>
      </x:c>
      <x:c r="B1253" s="3" t="str">
        <x:v>ST-032</x:v>
      </x:c>
      <x:c r="C1253" s="3" t="str">
        <x:v>R+AR同收同发</x:v>
      </x:c>
      <x:c r="D1253" s="25" t="n">
        <x:v>2</x:v>
      </x:c>
      <x:c r="E1253" s="25" t="n">
        <x:v>2</x:v>
      </x:c>
      <x:c r="F1253" s="25" t="n">
        <x:v>0</x:v>
      </x:c>
      <x:c r="G1253" s="19" t="n">
        <x:f>SUM(D1253:F1253)</x:f>
        <x:v>4</x:v>
      </x:c>
      <x:c r="H1253" s="25" t="n">
        <x:v>0</x:v>
      </x:c>
      <x:c r="I1253" s="25" t="n">
        <x:v>1</x:v>
      </x:c>
      <x:c r="J1253" s="25" t="n">
        <x:v>0</x:v>
      </x:c>
      <x:c r="K1253" s="19" t="n">
        <x:f>D1253-IF(H1253=0,1,0)</x:f>
        <x:v>1</x:v>
      </x:c>
      <x:c r="L1253" s="19" t="n">
        <x:f>E1253-IF(H1253=1,1,0)</x:f>
        <x:v>2</x:v>
      </x:c>
      <x:c r="M1253" s="19" t="n">
        <x:f>F1253-IF(H1253=2,1,0)</x:f>
        <x:v>0</x:v>
      </x:c>
      <x:c r="N1253" s="19" t="n">
        <x:f>MAX(K1253-1,0)+MAX(L1253-1,0)+MAX(M1253-1,0)</x:f>
        <x:v>1</x:v>
      </x:c>
      <x:c r="O1253" s="19" t="n">
        <x:f>IF(AND(SUM(K1253:M1253)&lt;9,OR(M1253=0,N1253&lt;6)),1,0)</x:f>
        <x:v>1</x:v>
      </x:c>
      <x:c r="P1253" s="19" t="n">
        <x:f>IF(AND(SUM(K1253:M1253)&lt;9,OR(L1253=0,N1253&lt;6)),1,0)</x:f>
        <x:v>1</x:v>
      </x:c>
      <x:c r="Q1253" s="19" t="n">
        <x:f>IF(AND(SUM(K1253:M1253)&lt;9,OR(K1253=0,N1253&lt;6)),1,0)</x:f>
        <x:v>1</x:v>
      </x:c>
      <x:c r="R1253" s="22" t="str">
        <x:f>O1253&amp;P1253&amp;Q1253</x:f>
        <x:v>111</x:v>
      </x:c>
      <x:c r="S1253" s="19" t="n">
        <x:f>IF(I1253=1,IF(J1253=0,Q1253,IF(J1253=1,P1253,IF(J1253=2,O1253,0))),0)</x:f>
        <x:v>1</x:v>
      </x:c>
      <x:c r="T1253" s="19" t="n">
        <x:f>K1253+IF(AND(S1253=1,J1253=0),1,0)</x:f>
        <x:v>2</x:v>
      </x:c>
      <x:c r="U1253" s="19" t="n">
        <x:f>L1253+IF(AND(S1253=1,J1253=1),1,0)</x:f>
        <x:v>2</x:v>
      </x:c>
      <x:c r="V1253" s="19" t="n">
        <x:f>M1253+IF(AND(S1253=1,J1253=2),1,0)</x:f>
        <x:v>0</x:v>
      </x:c>
      <x:c r="W1253" s="19" t="n">
        <x:f>SUM(T1253:V1253)</x:f>
        <x:v>4</x:v>
      </x:c>
      <x:c r="X1253" s="19" t="n">
        <x:f>W1253-G1253</x:f>
        <x:v>0</x:v>
      </x:c>
      <x:c r="Y1253" s="19" t="n">
        <x:f>MAX(T1253,1)+MAX(U1253,1)+MAX(V1253,1)</x:f>
        <x:v>5</x:v>
      </x:c>
      <x:c r="Z1253" s="21" t="str">
        <x:f>IF(AND(MIN(D1253:F1253)&gt;=0,MAX(D1253:F1253)&lt;=7,MAX(D1253,1)+MAX(E1253,1)+MAX(F1253,1)&lt;=9,OR(H1253="-",AND(H1253=0,D1253&gt;0),AND(H1253=1,E1253&gt;0),AND(H1253=2,F1253&gt;0)),OR(I1253=0,AND(I1253=1,OR(J1253=0,J1253=1,J1253=2),R1253&lt;&gt;"000")),Y1253&lt;=9,MIN(T1253:V1253)&gt;=0),"合法","输入违约")</x:f>
        <x:v>合法</x:v>
      </x:c>
    </x:row>
    <x:row r="1254" ht="23" customHeight="1">
      <x:c r="A1254" s="3" t="str">
        <x:v>CT-1247</x:v>
      </x:c>
      <x:c r="B1254" s="3" t="str">
        <x:v>ST-032</x:v>
      </x:c>
      <x:c r="C1254" s="3" t="str">
        <x:v>R+AR同收同发</x:v>
      </x:c>
      <x:c r="D1254" s="25" t="n">
        <x:v>2</x:v>
      </x:c>
      <x:c r="E1254" s="25" t="n">
        <x:v>2</x:v>
      </x:c>
      <x:c r="F1254" s="25" t="n">
        <x:v>0</x:v>
      </x:c>
      <x:c r="G1254" s="19" t="n">
        <x:f>SUM(D1254:F1254)</x:f>
        <x:v>4</x:v>
      </x:c>
      <x:c r="H1254" s="25" t="n">
        <x:v>0</x:v>
      </x:c>
      <x:c r="I1254" s="25" t="n">
        <x:v>1</x:v>
      </x:c>
      <x:c r="J1254" s="25" t="n">
        <x:v>1</x:v>
      </x:c>
      <x:c r="K1254" s="19" t="n">
        <x:f>D1254-IF(H1254=0,1,0)</x:f>
        <x:v>1</x:v>
      </x:c>
      <x:c r="L1254" s="19" t="n">
        <x:f>E1254-IF(H1254=1,1,0)</x:f>
        <x:v>2</x:v>
      </x:c>
      <x:c r="M1254" s="19" t="n">
        <x:f>F1254-IF(H1254=2,1,0)</x:f>
        <x:v>0</x:v>
      </x:c>
      <x:c r="N1254" s="19" t="n">
        <x:f>MAX(K1254-1,0)+MAX(L1254-1,0)+MAX(M1254-1,0)</x:f>
        <x:v>1</x:v>
      </x:c>
      <x:c r="O1254" s="19" t="n">
        <x:f>IF(AND(SUM(K1254:M1254)&lt;9,OR(M1254=0,N1254&lt;6)),1,0)</x:f>
        <x:v>1</x:v>
      </x:c>
      <x:c r="P1254" s="19" t="n">
        <x:f>IF(AND(SUM(K1254:M1254)&lt;9,OR(L1254=0,N1254&lt;6)),1,0)</x:f>
        <x:v>1</x:v>
      </x:c>
      <x:c r="Q1254" s="19" t="n">
        <x:f>IF(AND(SUM(K1254:M1254)&lt;9,OR(K1254=0,N1254&lt;6)),1,0)</x:f>
        <x:v>1</x:v>
      </x:c>
      <x:c r="R1254" s="22" t="str">
        <x:f>O1254&amp;P1254&amp;Q1254</x:f>
        <x:v>111</x:v>
      </x:c>
      <x:c r="S1254" s="19" t="n">
        <x:f>IF(I1254=1,IF(J1254=0,Q1254,IF(J1254=1,P1254,IF(J1254=2,O1254,0))),0)</x:f>
        <x:v>1</x:v>
      </x:c>
      <x:c r="T1254" s="19" t="n">
        <x:f>K1254+IF(AND(S1254=1,J1254=0),1,0)</x:f>
        <x:v>1</x:v>
      </x:c>
      <x:c r="U1254" s="19" t="n">
        <x:f>L1254+IF(AND(S1254=1,J1254=1),1,0)</x:f>
        <x:v>3</x:v>
      </x:c>
      <x:c r="V1254" s="19" t="n">
        <x:f>M1254+IF(AND(S1254=1,J1254=2),1,0)</x:f>
        <x:v>0</x:v>
      </x:c>
      <x:c r="W1254" s="19" t="n">
        <x:f>SUM(T1254:V1254)</x:f>
        <x:v>4</x:v>
      </x:c>
      <x:c r="X1254" s="19" t="n">
        <x:f>W1254-G1254</x:f>
        <x:v>0</x:v>
      </x:c>
      <x:c r="Y1254" s="19" t="n">
        <x:f>MAX(T1254,1)+MAX(U1254,1)+MAX(V1254,1)</x:f>
        <x:v>5</x:v>
      </x:c>
      <x:c r="Z1254" s="21" t="str">
        <x:f>IF(AND(MIN(D1254:F1254)&gt;=0,MAX(D1254:F1254)&lt;=7,MAX(D1254,1)+MAX(E1254,1)+MAX(F1254,1)&lt;=9,OR(H1254="-",AND(H1254=0,D1254&gt;0),AND(H1254=1,E1254&gt;0),AND(H1254=2,F1254&gt;0)),OR(I1254=0,AND(I1254=1,OR(J1254=0,J1254=1,J1254=2),R1254&lt;&gt;"000")),Y1254&lt;=9,MIN(T1254:V1254)&gt;=0),"合法","输入违约")</x:f>
        <x:v>合法</x:v>
      </x:c>
    </x:row>
    <x:row r="1255" ht="23" customHeight="1">
      <x:c r="A1255" s="3" t="str">
        <x:v>CT-1248</x:v>
      </x:c>
      <x:c r="B1255" s="3" t="str">
        <x:v>ST-032</x:v>
      </x:c>
      <x:c r="C1255" s="3" t="str">
        <x:v>R+AR同收同发</x:v>
      </x:c>
      <x:c r="D1255" s="25" t="n">
        <x:v>2</x:v>
      </x:c>
      <x:c r="E1255" s="25" t="n">
        <x:v>2</x:v>
      </x:c>
      <x:c r="F1255" s="25" t="n">
        <x:v>0</x:v>
      </x:c>
      <x:c r="G1255" s="19" t="n">
        <x:f>SUM(D1255:F1255)</x:f>
        <x:v>4</x:v>
      </x:c>
      <x:c r="H1255" s="25" t="n">
        <x:v>0</x:v>
      </x:c>
      <x:c r="I1255" s="25" t="n">
        <x:v>1</x:v>
      </x:c>
      <x:c r="J1255" s="25" t="n">
        <x:v>2</x:v>
      </x:c>
      <x:c r="K1255" s="19" t="n">
        <x:f>D1255-IF(H1255=0,1,0)</x:f>
        <x:v>1</x:v>
      </x:c>
      <x:c r="L1255" s="19" t="n">
        <x:f>E1255-IF(H1255=1,1,0)</x:f>
        <x:v>2</x:v>
      </x:c>
      <x:c r="M1255" s="19" t="n">
        <x:f>F1255-IF(H1255=2,1,0)</x:f>
        <x:v>0</x:v>
      </x:c>
      <x:c r="N1255" s="19" t="n">
        <x:f>MAX(K1255-1,0)+MAX(L1255-1,0)+MAX(M1255-1,0)</x:f>
        <x:v>1</x:v>
      </x:c>
      <x:c r="O1255" s="19" t="n">
        <x:f>IF(AND(SUM(K1255:M1255)&lt;9,OR(M1255=0,N1255&lt;6)),1,0)</x:f>
        <x:v>1</x:v>
      </x:c>
      <x:c r="P1255" s="19" t="n">
        <x:f>IF(AND(SUM(K1255:M1255)&lt;9,OR(L1255=0,N1255&lt;6)),1,0)</x:f>
        <x:v>1</x:v>
      </x:c>
      <x:c r="Q1255" s="19" t="n">
        <x:f>IF(AND(SUM(K1255:M1255)&lt;9,OR(K1255=0,N1255&lt;6)),1,0)</x:f>
        <x:v>1</x:v>
      </x:c>
      <x:c r="R1255" s="22" t="str">
        <x:f>O1255&amp;P1255&amp;Q1255</x:f>
        <x:v>111</x:v>
      </x:c>
      <x:c r="S1255" s="19" t="n">
        <x:f>IF(I1255=1,IF(J1255=0,Q1255,IF(J1255=1,P1255,IF(J1255=2,O1255,0))),0)</x:f>
        <x:v>1</x:v>
      </x:c>
      <x:c r="T1255" s="19" t="n">
        <x:f>K1255+IF(AND(S1255=1,J1255=0),1,0)</x:f>
        <x:v>1</x:v>
      </x:c>
      <x:c r="U1255" s="19" t="n">
        <x:f>L1255+IF(AND(S1255=1,J1255=1),1,0)</x:f>
        <x:v>2</x:v>
      </x:c>
      <x:c r="V1255" s="19" t="n">
        <x:f>M1255+IF(AND(S1255=1,J1255=2),1,0)</x:f>
        <x:v>1</x:v>
      </x:c>
      <x:c r="W1255" s="19" t="n">
        <x:f>SUM(T1255:V1255)</x:f>
        <x:v>4</x:v>
      </x:c>
      <x:c r="X1255" s="19" t="n">
        <x:f>W1255-G1255</x:f>
        <x:v>0</x:v>
      </x:c>
      <x:c r="Y1255" s="19" t="n">
        <x:f>MAX(T1255,1)+MAX(U1255,1)+MAX(V1255,1)</x:f>
        <x:v>4</x:v>
      </x:c>
      <x:c r="Z1255" s="21" t="str">
        <x:f>IF(AND(MIN(D1255:F1255)&gt;=0,MAX(D1255:F1255)&lt;=7,MAX(D1255,1)+MAX(E1255,1)+MAX(F1255,1)&lt;=9,OR(H1255="-",AND(H1255=0,D1255&gt;0),AND(H1255=1,E1255&gt;0),AND(H1255=2,F1255&gt;0)),OR(I1255=0,AND(I1255=1,OR(J1255=0,J1255=1,J1255=2),R1255&lt;&gt;"000")),Y1255&lt;=9,MIN(T1255:V1255)&gt;=0),"合法","输入违约")</x:f>
        <x:v>合法</x:v>
      </x:c>
    </x:row>
    <x:row r="1256" ht="23" customHeight="1">
      <x:c r="A1256" s="3" t="str">
        <x:v>CT-1249</x:v>
      </x:c>
      <x:c r="B1256" s="3" t="str">
        <x:v>ST-032</x:v>
      </x:c>
      <x:c r="C1256" s="3" t="str">
        <x:v>仅R回收</x:v>
      </x:c>
      <x:c r="D1256" s="25" t="n">
        <x:v>2</x:v>
      </x:c>
      <x:c r="E1256" s="25" t="n">
        <x:v>2</x:v>
      </x:c>
      <x:c r="F1256" s="25" t="n">
        <x:v>0</x:v>
      </x:c>
      <x:c r="G1256" s="19" t="n">
        <x:f>SUM(D1256:F1256)</x:f>
        <x:v>4</x:v>
      </x:c>
      <x:c r="H1256" s="25" t="n">
        <x:v>1</x:v>
      </x:c>
      <x:c r="I1256" s="25" t="n">
        <x:v>0</x:v>
      </x:c>
      <x:c r="J1256" s="25" t="str">
        <x:v>-</x:v>
      </x:c>
      <x:c r="K1256" s="19" t="n">
        <x:f>D1256-IF(H1256=0,1,0)</x:f>
        <x:v>2</x:v>
      </x:c>
      <x:c r="L1256" s="19" t="n">
        <x:f>E1256-IF(H1256=1,1,0)</x:f>
        <x:v>1</x:v>
      </x:c>
      <x:c r="M1256" s="19" t="n">
        <x:f>F1256-IF(H1256=2,1,0)</x:f>
        <x:v>0</x:v>
      </x:c>
      <x:c r="N1256" s="19" t="n">
        <x:f>MAX(K1256-1,0)+MAX(L1256-1,0)+MAX(M1256-1,0)</x:f>
        <x:v>1</x:v>
      </x:c>
      <x:c r="O1256" s="19" t="n">
        <x:f>IF(AND(SUM(K1256:M1256)&lt;9,OR(M1256=0,N1256&lt;6)),1,0)</x:f>
        <x:v>1</x:v>
      </x:c>
      <x:c r="P1256" s="19" t="n">
        <x:f>IF(AND(SUM(K1256:M1256)&lt;9,OR(L1256=0,N1256&lt;6)),1,0)</x:f>
        <x:v>1</x:v>
      </x:c>
      <x:c r="Q1256" s="19" t="n">
        <x:f>IF(AND(SUM(K1256:M1256)&lt;9,OR(K1256=0,N1256&lt;6)),1,0)</x:f>
        <x:v>1</x:v>
      </x:c>
      <x:c r="R1256" s="22" t="str">
        <x:f>O1256&amp;P1256&amp;Q1256</x:f>
        <x:v>111</x:v>
      </x:c>
      <x:c r="S1256" s="19" t="n">
        <x:f>IF(I1256=1,IF(J1256=0,Q1256,IF(J1256=1,P1256,IF(J1256=2,O1256,0))),0)</x:f>
        <x:v>0</x:v>
      </x:c>
      <x:c r="T1256" s="19" t="n">
        <x:f>K1256+IF(AND(S1256=1,J1256=0),1,0)</x:f>
        <x:v>2</x:v>
      </x:c>
      <x:c r="U1256" s="19" t="n">
        <x:f>L1256+IF(AND(S1256=1,J1256=1),1,0)</x:f>
        <x:v>1</x:v>
      </x:c>
      <x:c r="V1256" s="19" t="n">
        <x:f>M1256+IF(AND(S1256=1,J1256=2),1,0)</x:f>
        <x:v>0</x:v>
      </x:c>
      <x:c r="W1256" s="19" t="n">
        <x:f>SUM(T1256:V1256)</x:f>
        <x:v>3</x:v>
      </x:c>
      <x:c r="X1256" s="19" t="n">
        <x:f>W1256-G1256</x:f>
        <x:v>-1</x:v>
      </x:c>
      <x:c r="Y1256" s="19" t="n">
        <x:f>MAX(T1256,1)+MAX(U1256,1)+MAX(V1256,1)</x:f>
        <x:v>4</x:v>
      </x:c>
      <x:c r="Z1256" s="21" t="str">
        <x:f>IF(AND(MIN(D1256:F1256)&gt;=0,MAX(D1256:F1256)&lt;=7,MAX(D1256,1)+MAX(E1256,1)+MAX(F1256,1)&lt;=9,OR(H1256="-",AND(H1256=0,D1256&gt;0),AND(H1256=1,E1256&gt;0),AND(H1256=2,F1256&gt;0)),OR(I1256=0,AND(I1256=1,OR(J1256=0,J1256=1,J1256=2),R1256&lt;&gt;"000")),Y1256&lt;=9,MIN(T1256:V1256)&gt;=0),"合法","输入违约")</x:f>
        <x:v>合法</x:v>
      </x:c>
    </x:row>
    <x:row r="1257" ht="23" customHeight="1">
      <x:c r="A1257" s="3" t="str">
        <x:v>CT-1250</x:v>
      </x:c>
      <x:c r="B1257" s="3" t="str">
        <x:v>ST-032</x:v>
      </x:c>
      <x:c r="C1257" s="3" t="str">
        <x:v>R+AR同收同发</x:v>
      </x:c>
      <x:c r="D1257" s="25" t="n">
        <x:v>2</x:v>
      </x:c>
      <x:c r="E1257" s="25" t="n">
        <x:v>2</x:v>
      </x:c>
      <x:c r="F1257" s="25" t="n">
        <x:v>0</x:v>
      </x:c>
      <x:c r="G1257" s="19" t="n">
        <x:f>SUM(D1257:F1257)</x:f>
        <x:v>4</x:v>
      </x:c>
      <x:c r="H1257" s="25" t="n">
        <x:v>1</x:v>
      </x:c>
      <x:c r="I1257" s="25" t="n">
        <x:v>1</x:v>
      </x:c>
      <x:c r="J1257" s="25" t="n">
        <x:v>0</x:v>
      </x:c>
      <x:c r="K1257" s="19" t="n">
        <x:f>D1257-IF(H1257=0,1,0)</x:f>
        <x:v>2</x:v>
      </x:c>
      <x:c r="L1257" s="19" t="n">
        <x:f>E1257-IF(H1257=1,1,0)</x:f>
        <x:v>1</x:v>
      </x:c>
      <x:c r="M1257" s="19" t="n">
        <x:f>F1257-IF(H1257=2,1,0)</x:f>
        <x:v>0</x:v>
      </x:c>
      <x:c r="N1257" s="19" t="n">
        <x:f>MAX(K1257-1,0)+MAX(L1257-1,0)+MAX(M1257-1,0)</x:f>
        <x:v>1</x:v>
      </x:c>
      <x:c r="O1257" s="19" t="n">
        <x:f>IF(AND(SUM(K1257:M1257)&lt;9,OR(M1257=0,N1257&lt;6)),1,0)</x:f>
        <x:v>1</x:v>
      </x:c>
      <x:c r="P1257" s="19" t="n">
        <x:f>IF(AND(SUM(K1257:M1257)&lt;9,OR(L1257=0,N1257&lt;6)),1,0)</x:f>
        <x:v>1</x:v>
      </x:c>
      <x:c r="Q1257" s="19" t="n">
        <x:f>IF(AND(SUM(K1257:M1257)&lt;9,OR(K1257=0,N1257&lt;6)),1,0)</x:f>
        <x:v>1</x:v>
      </x:c>
      <x:c r="R1257" s="22" t="str">
        <x:f>O1257&amp;P1257&amp;Q1257</x:f>
        <x:v>111</x:v>
      </x:c>
      <x:c r="S1257" s="19" t="n">
        <x:f>IF(I1257=1,IF(J1257=0,Q1257,IF(J1257=1,P1257,IF(J1257=2,O1257,0))),0)</x:f>
        <x:v>1</x:v>
      </x:c>
      <x:c r="T1257" s="19" t="n">
        <x:f>K1257+IF(AND(S1257=1,J1257=0),1,0)</x:f>
        <x:v>3</x:v>
      </x:c>
      <x:c r="U1257" s="19" t="n">
        <x:f>L1257+IF(AND(S1257=1,J1257=1),1,0)</x:f>
        <x:v>1</x:v>
      </x:c>
      <x:c r="V1257" s="19" t="n">
        <x:f>M1257+IF(AND(S1257=1,J1257=2),1,0)</x:f>
        <x:v>0</x:v>
      </x:c>
      <x:c r="W1257" s="19" t="n">
        <x:f>SUM(T1257:V1257)</x:f>
        <x:v>4</x:v>
      </x:c>
      <x:c r="X1257" s="19" t="n">
        <x:f>W1257-G1257</x:f>
        <x:v>0</x:v>
      </x:c>
      <x:c r="Y1257" s="19" t="n">
        <x:f>MAX(T1257,1)+MAX(U1257,1)+MAX(V1257,1)</x:f>
        <x:v>5</x:v>
      </x:c>
      <x:c r="Z1257" s="21" t="str">
        <x:f>IF(AND(MIN(D1257:F1257)&gt;=0,MAX(D1257:F1257)&lt;=7,MAX(D1257,1)+MAX(E1257,1)+MAX(F1257,1)&lt;=9,OR(H1257="-",AND(H1257=0,D1257&gt;0),AND(H1257=1,E1257&gt;0),AND(H1257=2,F1257&gt;0)),OR(I1257=0,AND(I1257=1,OR(J1257=0,J1257=1,J1257=2),R1257&lt;&gt;"000")),Y1257&lt;=9,MIN(T1257:V1257)&gt;=0),"合法","输入违约")</x:f>
        <x:v>合法</x:v>
      </x:c>
    </x:row>
    <x:row r="1258" ht="23" customHeight="1">
      <x:c r="A1258" s="3" t="str">
        <x:v>CT-1251</x:v>
      </x:c>
      <x:c r="B1258" s="3" t="str">
        <x:v>ST-032</x:v>
      </x:c>
      <x:c r="C1258" s="3" t="str">
        <x:v>R+AR同收同发</x:v>
      </x:c>
      <x:c r="D1258" s="25" t="n">
        <x:v>2</x:v>
      </x:c>
      <x:c r="E1258" s="25" t="n">
        <x:v>2</x:v>
      </x:c>
      <x:c r="F1258" s="25" t="n">
        <x:v>0</x:v>
      </x:c>
      <x:c r="G1258" s="19" t="n">
        <x:f>SUM(D1258:F1258)</x:f>
        <x:v>4</x:v>
      </x:c>
      <x:c r="H1258" s="25" t="n">
        <x:v>1</x:v>
      </x:c>
      <x:c r="I1258" s="25" t="n">
        <x:v>1</x:v>
      </x:c>
      <x:c r="J1258" s="25" t="n">
        <x:v>1</x:v>
      </x:c>
      <x:c r="K1258" s="19" t="n">
        <x:f>D1258-IF(H1258=0,1,0)</x:f>
        <x:v>2</x:v>
      </x:c>
      <x:c r="L1258" s="19" t="n">
        <x:f>E1258-IF(H1258=1,1,0)</x:f>
        <x:v>1</x:v>
      </x:c>
      <x:c r="M1258" s="19" t="n">
        <x:f>F1258-IF(H1258=2,1,0)</x:f>
        <x:v>0</x:v>
      </x:c>
      <x:c r="N1258" s="19" t="n">
        <x:f>MAX(K1258-1,0)+MAX(L1258-1,0)+MAX(M1258-1,0)</x:f>
        <x:v>1</x:v>
      </x:c>
      <x:c r="O1258" s="19" t="n">
        <x:f>IF(AND(SUM(K1258:M1258)&lt;9,OR(M1258=0,N1258&lt;6)),1,0)</x:f>
        <x:v>1</x:v>
      </x:c>
      <x:c r="P1258" s="19" t="n">
        <x:f>IF(AND(SUM(K1258:M1258)&lt;9,OR(L1258=0,N1258&lt;6)),1,0)</x:f>
        <x:v>1</x:v>
      </x:c>
      <x:c r="Q1258" s="19" t="n">
        <x:f>IF(AND(SUM(K1258:M1258)&lt;9,OR(K1258=0,N1258&lt;6)),1,0)</x:f>
        <x:v>1</x:v>
      </x:c>
      <x:c r="R1258" s="22" t="str">
        <x:f>O1258&amp;P1258&amp;Q1258</x:f>
        <x:v>111</x:v>
      </x:c>
      <x:c r="S1258" s="19" t="n">
        <x:f>IF(I1258=1,IF(J1258=0,Q1258,IF(J1258=1,P1258,IF(J1258=2,O1258,0))),0)</x:f>
        <x:v>1</x:v>
      </x:c>
      <x:c r="T1258" s="19" t="n">
        <x:f>K1258+IF(AND(S1258=1,J1258=0),1,0)</x:f>
        <x:v>2</x:v>
      </x:c>
      <x:c r="U1258" s="19" t="n">
        <x:f>L1258+IF(AND(S1258=1,J1258=1),1,0)</x:f>
        <x:v>2</x:v>
      </x:c>
      <x:c r="V1258" s="19" t="n">
        <x:f>M1258+IF(AND(S1258=1,J1258=2),1,0)</x:f>
        <x:v>0</x:v>
      </x:c>
      <x:c r="W1258" s="19" t="n">
        <x:f>SUM(T1258:V1258)</x:f>
        <x:v>4</x:v>
      </x:c>
      <x:c r="X1258" s="19" t="n">
        <x:f>W1258-G1258</x:f>
        <x:v>0</x:v>
      </x:c>
      <x:c r="Y1258" s="19" t="n">
        <x:f>MAX(T1258,1)+MAX(U1258,1)+MAX(V1258,1)</x:f>
        <x:v>5</x:v>
      </x:c>
      <x:c r="Z1258" s="21" t="str">
        <x:f>IF(AND(MIN(D1258:F1258)&gt;=0,MAX(D1258:F1258)&lt;=7,MAX(D1258,1)+MAX(E1258,1)+MAX(F1258,1)&lt;=9,OR(H1258="-",AND(H1258=0,D1258&gt;0),AND(H1258=1,E1258&gt;0),AND(H1258=2,F1258&gt;0)),OR(I1258=0,AND(I1258=1,OR(J1258=0,J1258=1,J1258=2),R1258&lt;&gt;"000")),Y1258&lt;=9,MIN(T1258:V1258)&gt;=0),"合法","输入违约")</x:f>
        <x:v>合法</x:v>
      </x:c>
    </x:row>
    <x:row r="1259" ht="23" customHeight="1">
      <x:c r="A1259" s="3" t="str">
        <x:v>CT-1252</x:v>
      </x:c>
      <x:c r="B1259" s="3" t="str">
        <x:v>ST-032</x:v>
      </x:c>
      <x:c r="C1259" s="3" t="str">
        <x:v>R+AR同收同发</x:v>
      </x:c>
      <x:c r="D1259" s="25" t="n">
        <x:v>2</x:v>
      </x:c>
      <x:c r="E1259" s="25" t="n">
        <x:v>2</x:v>
      </x:c>
      <x:c r="F1259" s="25" t="n">
        <x:v>0</x:v>
      </x:c>
      <x:c r="G1259" s="19" t="n">
        <x:f>SUM(D1259:F1259)</x:f>
        <x:v>4</x:v>
      </x:c>
      <x:c r="H1259" s="25" t="n">
        <x:v>1</x:v>
      </x:c>
      <x:c r="I1259" s="25" t="n">
        <x:v>1</x:v>
      </x:c>
      <x:c r="J1259" s="25" t="n">
        <x:v>2</x:v>
      </x:c>
      <x:c r="K1259" s="19" t="n">
        <x:f>D1259-IF(H1259=0,1,0)</x:f>
        <x:v>2</x:v>
      </x:c>
      <x:c r="L1259" s="19" t="n">
        <x:f>E1259-IF(H1259=1,1,0)</x:f>
        <x:v>1</x:v>
      </x:c>
      <x:c r="M1259" s="19" t="n">
        <x:f>F1259-IF(H1259=2,1,0)</x:f>
        <x:v>0</x:v>
      </x:c>
      <x:c r="N1259" s="19" t="n">
        <x:f>MAX(K1259-1,0)+MAX(L1259-1,0)+MAX(M1259-1,0)</x:f>
        <x:v>1</x:v>
      </x:c>
      <x:c r="O1259" s="19" t="n">
        <x:f>IF(AND(SUM(K1259:M1259)&lt;9,OR(M1259=0,N1259&lt;6)),1,0)</x:f>
        <x:v>1</x:v>
      </x:c>
      <x:c r="P1259" s="19" t="n">
        <x:f>IF(AND(SUM(K1259:M1259)&lt;9,OR(L1259=0,N1259&lt;6)),1,0)</x:f>
        <x:v>1</x:v>
      </x:c>
      <x:c r="Q1259" s="19" t="n">
        <x:f>IF(AND(SUM(K1259:M1259)&lt;9,OR(K1259=0,N1259&lt;6)),1,0)</x:f>
        <x:v>1</x:v>
      </x:c>
      <x:c r="R1259" s="22" t="str">
        <x:f>O1259&amp;P1259&amp;Q1259</x:f>
        <x:v>111</x:v>
      </x:c>
      <x:c r="S1259" s="19" t="n">
        <x:f>IF(I1259=1,IF(J1259=0,Q1259,IF(J1259=1,P1259,IF(J1259=2,O1259,0))),0)</x:f>
        <x:v>1</x:v>
      </x:c>
      <x:c r="T1259" s="19" t="n">
        <x:f>K1259+IF(AND(S1259=1,J1259=0),1,0)</x:f>
        <x:v>2</x:v>
      </x:c>
      <x:c r="U1259" s="19" t="n">
        <x:f>L1259+IF(AND(S1259=1,J1259=1),1,0)</x:f>
        <x:v>1</x:v>
      </x:c>
      <x:c r="V1259" s="19" t="n">
        <x:f>M1259+IF(AND(S1259=1,J1259=2),1,0)</x:f>
        <x:v>1</x:v>
      </x:c>
      <x:c r="W1259" s="19" t="n">
        <x:f>SUM(T1259:V1259)</x:f>
        <x:v>4</x:v>
      </x:c>
      <x:c r="X1259" s="19" t="n">
        <x:f>W1259-G1259</x:f>
        <x:v>0</x:v>
      </x:c>
      <x:c r="Y1259" s="19" t="n">
        <x:f>MAX(T1259,1)+MAX(U1259,1)+MAX(V1259,1)</x:f>
        <x:v>4</x:v>
      </x:c>
      <x:c r="Z1259" s="21" t="str">
        <x:f>IF(AND(MIN(D1259:F1259)&gt;=0,MAX(D1259:F1259)&lt;=7,MAX(D1259,1)+MAX(E1259,1)+MAX(F1259,1)&lt;=9,OR(H1259="-",AND(H1259=0,D1259&gt;0),AND(H1259=1,E1259&gt;0),AND(H1259=2,F1259&gt;0)),OR(I1259=0,AND(I1259=1,OR(J1259=0,J1259=1,J1259=2),R1259&lt;&gt;"000")),Y1259&lt;=9,MIN(T1259:V1259)&gt;=0),"合法","输入违约")</x:f>
        <x:v>合法</x:v>
      </x:c>
    </x:row>
    <x:row r="1260" ht="23" customHeight="1">
      <x:c r="A1260" s="3" t="str">
        <x:v>CT-1253</x:v>
      </x:c>
      <x:c r="B1260" s="3" t="str">
        <x:v>ST-049</x:v>
      </x:c>
      <x:c r="C1260" s="3" t="str">
        <x:v>无AR/R</x:v>
      </x:c>
      <x:c r="D1260" s="25" t="n">
        <x:v>2</x:v>
      </x:c>
      <x:c r="E1260" s="25" t="n">
        <x:v>2</x:v>
      </x:c>
      <x:c r="F1260" s="25" t="n">
        <x:v>1</x:v>
      </x:c>
      <x:c r="G1260" s="19" t="n">
        <x:f>SUM(D1260:F1260)</x:f>
        <x:v>5</x:v>
      </x:c>
      <x:c r="H1260" s="25" t="str">
        <x:v>-</x:v>
      </x:c>
      <x:c r="I1260" s="25" t="n">
        <x:v>0</x:v>
      </x:c>
      <x:c r="J1260" s="25" t="str">
        <x:v>-</x:v>
      </x:c>
      <x:c r="K1260" s="19" t="n">
        <x:f>D1260-IF(H1260=0,1,0)</x:f>
        <x:v>2</x:v>
      </x:c>
      <x:c r="L1260" s="19" t="n">
        <x:f>E1260-IF(H1260=1,1,0)</x:f>
        <x:v>2</x:v>
      </x:c>
      <x:c r="M1260" s="19" t="n">
        <x:f>F1260-IF(H1260=2,1,0)</x:f>
        <x:v>1</x:v>
      </x:c>
      <x:c r="N1260" s="19" t="n">
        <x:f>MAX(K1260-1,0)+MAX(L1260-1,0)+MAX(M1260-1,0)</x:f>
        <x:v>2</x:v>
      </x:c>
      <x:c r="O1260" s="19" t="n">
        <x:f>IF(AND(SUM(K1260:M1260)&lt;9,OR(M1260=0,N1260&lt;6)),1,0)</x:f>
        <x:v>1</x:v>
      </x:c>
      <x:c r="P1260" s="19" t="n">
        <x:f>IF(AND(SUM(K1260:M1260)&lt;9,OR(L1260=0,N1260&lt;6)),1,0)</x:f>
        <x:v>1</x:v>
      </x:c>
      <x:c r="Q1260" s="19" t="n">
        <x:f>IF(AND(SUM(K1260:M1260)&lt;9,OR(K1260=0,N1260&lt;6)),1,0)</x:f>
        <x:v>1</x:v>
      </x:c>
      <x:c r="R1260" s="22" t="str">
        <x:f>O1260&amp;P1260&amp;Q1260</x:f>
        <x:v>111</x:v>
      </x:c>
      <x:c r="S1260" s="19" t="n">
        <x:f>IF(I1260=1,IF(J1260=0,Q1260,IF(J1260=1,P1260,IF(J1260=2,O1260,0))),0)</x:f>
        <x:v>0</x:v>
      </x:c>
      <x:c r="T1260" s="19" t="n">
        <x:f>K1260+IF(AND(S1260=1,J1260=0),1,0)</x:f>
        <x:v>2</x:v>
      </x:c>
      <x:c r="U1260" s="19" t="n">
        <x:f>L1260+IF(AND(S1260=1,J1260=1),1,0)</x:f>
        <x:v>2</x:v>
      </x:c>
      <x:c r="V1260" s="19" t="n">
        <x:f>M1260+IF(AND(S1260=1,J1260=2),1,0)</x:f>
        <x:v>1</x:v>
      </x:c>
      <x:c r="W1260" s="19" t="n">
        <x:f>SUM(T1260:V1260)</x:f>
        <x:v>5</x:v>
      </x:c>
      <x:c r="X1260" s="19" t="n">
        <x:f>W1260-G1260</x:f>
        <x:v>0</x:v>
      </x:c>
      <x:c r="Y1260" s="19" t="n">
        <x:f>MAX(T1260,1)+MAX(U1260,1)+MAX(V1260,1)</x:f>
        <x:v>5</x:v>
      </x:c>
      <x:c r="Z1260" s="21" t="str">
        <x:f>IF(AND(MIN(D1260:F1260)&gt;=0,MAX(D1260:F1260)&lt;=7,MAX(D1260,1)+MAX(E1260,1)+MAX(F1260,1)&lt;=9,OR(H1260="-",AND(H1260=0,D1260&gt;0),AND(H1260=1,E1260&gt;0),AND(H1260=2,F1260&gt;0)),OR(I1260=0,AND(I1260=1,OR(J1260=0,J1260=1,J1260=2),R1260&lt;&gt;"000")),Y1260&lt;=9,MIN(T1260:V1260)&gt;=0),"合法","输入违约")</x:f>
        <x:v>合法</x:v>
      </x:c>
    </x:row>
    <x:row r="1261" ht="23" customHeight="1">
      <x:c r="A1261" s="3" t="str">
        <x:v>CT-1254</x:v>
      </x:c>
      <x:c r="B1261" s="3" t="str">
        <x:v>ST-049</x:v>
      </x:c>
      <x:c r="C1261" s="3" t="str">
        <x:v>仅AR接收</x:v>
      </x:c>
      <x:c r="D1261" s="25" t="n">
        <x:v>2</x:v>
      </x:c>
      <x:c r="E1261" s="25" t="n">
        <x:v>2</x:v>
      </x:c>
      <x:c r="F1261" s="25" t="n">
        <x:v>1</x:v>
      </x:c>
      <x:c r="G1261" s="19" t="n">
        <x:f>SUM(D1261:F1261)</x:f>
        <x:v>5</x:v>
      </x:c>
      <x:c r="H1261" s="25" t="str">
        <x:v>-</x:v>
      </x:c>
      <x:c r="I1261" s="25" t="n">
        <x:v>1</x:v>
      </x:c>
      <x:c r="J1261" s="25" t="n">
        <x:v>0</x:v>
      </x:c>
      <x:c r="K1261" s="19" t="n">
        <x:f>D1261-IF(H1261=0,1,0)</x:f>
        <x:v>2</x:v>
      </x:c>
      <x:c r="L1261" s="19" t="n">
        <x:f>E1261-IF(H1261=1,1,0)</x:f>
        <x:v>2</x:v>
      </x:c>
      <x:c r="M1261" s="19" t="n">
        <x:f>F1261-IF(H1261=2,1,0)</x:f>
        <x:v>1</x:v>
      </x:c>
      <x:c r="N1261" s="19" t="n">
        <x:f>MAX(K1261-1,0)+MAX(L1261-1,0)+MAX(M1261-1,0)</x:f>
        <x:v>2</x:v>
      </x:c>
      <x:c r="O1261" s="19" t="n">
        <x:f>IF(AND(SUM(K1261:M1261)&lt;9,OR(M1261=0,N1261&lt;6)),1,0)</x:f>
        <x:v>1</x:v>
      </x:c>
      <x:c r="P1261" s="19" t="n">
        <x:f>IF(AND(SUM(K1261:M1261)&lt;9,OR(L1261=0,N1261&lt;6)),1,0)</x:f>
        <x:v>1</x:v>
      </x:c>
      <x:c r="Q1261" s="19" t="n">
        <x:f>IF(AND(SUM(K1261:M1261)&lt;9,OR(K1261=0,N1261&lt;6)),1,0)</x:f>
        <x:v>1</x:v>
      </x:c>
      <x:c r="R1261" s="22" t="str">
        <x:f>O1261&amp;P1261&amp;Q1261</x:f>
        <x:v>111</x:v>
      </x:c>
      <x:c r="S1261" s="19" t="n">
        <x:f>IF(I1261=1,IF(J1261=0,Q1261,IF(J1261=1,P1261,IF(J1261=2,O1261,0))),0)</x:f>
        <x:v>1</x:v>
      </x:c>
      <x:c r="T1261" s="19" t="n">
        <x:f>K1261+IF(AND(S1261=1,J1261=0),1,0)</x:f>
        <x:v>3</x:v>
      </x:c>
      <x:c r="U1261" s="19" t="n">
        <x:f>L1261+IF(AND(S1261=1,J1261=1),1,0)</x:f>
        <x:v>2</x:v>
      </x:c>
      <x:c r="V1261" s="19" t="n">
        <x:f>M1261+IF(AND(S1261=1,J1261=2),1,0)</x:f>
        <x:v>1</x:v>
      </x:c>
      <x:c r="W1261" s="19" t="n">
        <x:f>SUM(T1261:V1261)</x:f>
        <x:v>6</x:v>
      </x:c>
      <x:c r="X1261" s="19" t="n">
        <x:f>W1261-G1261</x:f>
        <x:v>1</x:v>
      </x:c>
      <x:c r="Y1261" s="19" t="n">
        <x:f>MAX(T1261,1)+MAX(U1261,1)+MAX(V1261,1)</x:f>
        <x:v>6</x:v>
      </x:c>
      <x:c r="Z1261" s="21" t="str">
        <x:f>IF(AND(MIN(D1261:F1261)&gt;=0,MAX(D1261:F1261)&lt;=7,MAX(D1261,1)+MAX(E1261,1)+MAX(F1261,1)&lt;=9,OR(H1261="-",AND(H1261=0,D1261&gt;0),AND(H1261=1,E1261&gt;0),AND(H1261=2,F1261&gt;0)),OR(I1261=0,AND(I1261=1,OR(J1261=0,J1261=1,J1261=2),R1261&lt;&gt;"000")),Y1261&lt;=9,MIN(T1261:V1261)&gt;=0),"合法","输入违约")</x:f>
        <x:v>合法</x:v>
      </x:c>
    </x:row>
    <x:row r="1262" ht="23" customHeight="1">
      <x:c r="A1262" s="3" t="str">
        <x:v>CT-1255</x:v>
      </x:c>
      <x:c r="B1262" s="3" t="str">
        <x:v>ST-049</x:v>
      </x:c>
      <x:c r="C1262" s="3" t="str">
        <x:v>仅AR接收</x:v>
      </x:c>
      <x:c r="D1262" s="25" t="n">
        <x:v>2</x:v>
      </x:c>
      <x:c r="E1262" s="25" t="n">
        <x:v>2</x:v>
      </x:c>
      <x:c r="F1262" s="25" t="n">
        <x:v>1</x:v>
      </x:c>
      <x:c r="G1262" s="19" t="n">
        <x:f>SUM(D1262:F1262)</x:f>
        <x:v>5</x:v>
      </x:c>
      <x:c r="H1262" s="25" t="str">
        <x:v>-</x:v>
      </x:c>
      <x:c r="I1262" s="25" t="n">
        <x:v>1</x:v>
      </x:c>
      <x:c r="J1262" s="25" t="n">
        <x:v>1</x:v>
      </x:c>
      <x:c r="K1262" s="19" t="n">
        <x:f>D1262-IF(H1262=0,1,0)</x:f>
        <x:v>2</x:v>
      </x:c>
      <x:c r="L1262" s="19" t="n">
        <x:f>E1262-IF(H1262=1,1,0)</x:f>
        <x:v>2</x:v>
      </x:c>
      <x:c r="M1262" s="19" t="n">
        <x:f>F1262-IF(H1262=2,1,0)</x:f>
        <x:v>1</x:v>
      </x:c>
      <x:c r="N1262" s="19" t="n">
        <x:f>MAX(K1262-1,0)+MAX(L1262-1,0)+MAX(M1262-1,0)</x:f>
        <x:v>2</x:v>
      </x:c>
      <x:c r="O1262" s="19" t="n">
        <x:f>IF(AND(SUM(K1262:M1262)&lt;9,OR(M1262=0,N1262&lt;6)),1,0)</x:f>
        <x:v>1</x:v>
      </x:c>
      <x:c r="P1262" s="19" t="n">
        <x:f>IF(AND(SUM(K1262:M1262)&lt;9,OR(L1262=0,N1262&lt;6)),1,0)</x:f>
        <x:v>1</x:v>
      </x:c>
      <x:c r="Q1262" s="19" t="n">
        <x:f>IF(AND(SUM(K1262:M1262)&lt;9,OR(K1262=0,N1262&lt;6)),1,0)</x:f>
        <x:v>1</x:v>
      </x:c>
      <x:c r="R1262" s="22" t="str">
        <x:f>O1262&amp;P1262&amp;Q1262</x:f>
        <x:v>111</x:v>
      </x:c>
      <x:c r="S1262" s="19" t="n">
        <x:f>IF(I1262=1,IF(J1262=0,Q1262,IF(J1262=1,P1262,IF(J1262=2,O1262,0))),0)</x:f>
        <x:v>1</x:v>
      </x:c>
      <x:c r="T1262" s="19" t="n">
        <x:f>K1262+IF(AND(S1262=1,J1262=0),1,0)</x:f>
        <x:v>2</x:v>
      </x:c>
      <x:c r="U1262" s="19" t="n">
        <x:f>L1262+IF(AND(S1262=1,J1262=1),1,0)</x:f>
        <x:v>3</x:v>
      </x:c>
      <x:c r="V1262" s="19" t="n">
        <x:f>M1262+IF(AND(S1262=1,J1262=2),1,0)</x:f>
        <x:v>1</x:v>
      </x:c>
      <x:c r="W1262" s="19" t="n">
        <x:f>SUM(T1262:V1262)</x:f>
        <x:v>6</x:v>
      </x:c>
      <x:c r="X1262" s="19" t="n">
        <x:f>W1262-G1262</x:f>
        <x:v>1</x:v>
      </x:c>
      <x:c r="Y1262" s="19" t="n">
        <x:f>MAX(T1262,1)+MAX(U1262,1)+MAX(V1262,1)</x:f>
        <x:v>6</x:v>
      </x:c>
      <x:c r="Z1262" s="21" t="str">
        <x:f>IF(AND(MIN(D1262:F1262)&gt;=0,MAX(D1262:F1262)&lt;=7,MAX(D1262,1)+MAX(E1262,1)+MAX(F1262,1)&lt;=9,OR(H1262="-",AND(H1262=0,D1262&gt;0),AND(H1262=1,E1262&gt;0),AND(H1262=2,F1262&gt;0)),OR(I1262=0,AND(I1262=1,OR(J1262=0,J1262=1,J1262=2),R1262&lt;&gt;"000")),Y1262&lt;=9,MIN(T1262:V1262)&gt;=0),"合法","输入违约")</x:f>
        <x:v>合法</x:v>
      </x:c>
    </x:row>
    <x:row r="1263" ht="23" customHeight="1">
      <x:c r="A1263" s="3" t="str">
        <x:v>CT-1256</x:v>
      </x:c>
      <x:c r="B1263" s="3" t="str">
        <x:v>ST-049</x:v>
      </x:c>
      <x:c r="C1263" s="3" t="str">
        <x:v>仅AR接收</x:v>
      </x:c>
      <x:c r="D1263" s="25" t="n">
        <x:v>2</x:v>
      </x:c>
      <x:c r="E1263" s="25" t="n">
        <x:v>2</x:v>
      </x:c>
      <x:c r="F1263" s="25" t="n">
        <x:v>1</x:v>
      </x:c>
      <x:c r="G1263" s="19" t="n">
        <x:f>SUM(D1263:F1263)</x:f>
        <x:v>5</x:v>
      </x:c>
      <x:c r="H1263" s="25" t="str">
        <x:v>-</x:v>
      </x:c>
      <x:c r="I1263" s="25" t="n">
        <x:v>1</x:v>
      </x:c>
      <x:c r="J1263" s="25" t="n">
        <x:v>2</x:v>
      </x:c>
      <x:c r="K1263" s="19" t="n">
        <x:f>D1263-IF(H1263=0,1,0)</x:f>
        <x:v>2</x:v>
      </x:c>
      <x:c r="L1263" s="19" t="n">
        <x:f>E1263-IF(H1263=1,1,0)</x:f>
        <x:v>2</x:v>
      </x:c>
      <x:c r="M1263" s="19" t="n">
        <x:f>F1263-IF(H1263=2,1,0)</x:f>
        <x:v>1</x:v>
      </x:c>
      <x:c r="N1263" s="19" t="n">
        <x:f>MAX(K1263-1,0)+MAX(L1263-1,0)+MAX(M1263-1,0)</x:f>
        <x:v>2</x:v>
      </x:c>
      <x:c r="O1263" s="19" t="n">
        <x:f>IF(AND(SUM(K1263:M1263)&lt;9,OR(M1263=0,N1263&lt;6)),1,0)</x:f>
        <x:v>1</x:v>
      </x:c>
      <x:c r="P1263" s="19" t="n">
        <x:f>IF(AND(SUM(K1263:M1263)&lt;9,OR(L1263=0,N1263&lt;6)),1,0)</x:f>
        <x:v>1</x:v>
      </x:c>
      <x:c r="Q1263" s="19" t="n">
        <x:f>IF(AND(SUM(K1263:M1263)&lt;9,OR(K1263=0,N1263&lt;6)),1,0)</x:f>
        <x:v>1</x:v>
      </x:c>
      <x:c r="R1263" s="22" t="str">
        <x:f>O1263&amp;P1263&amp;Q1263</x:f>
        <x:v>111</x:v>
      </x:c>
      <x:c r="S1263" s="19" t="n">
        <x:f>IF(I1263=1,IF(J1263=0,Q1263,IF(J1263=1,P1263,IF(J1263=2,O1263,0))),0)</x:f>
        <x:v>1</x:v>
      </x:c>
      <x:c r="T1263" s="19" t="n">
        <x:f>K1263+IF(AND(S1263=1,J1263=0),1,0)</x:f>
        <x:v>2</x:v>
      </x:c>
      <x:c r="U1263" s="19" t="n">
        <x:f>L1263+IF(AND(S1263=1,J1263=1),1,0)</x:f>
        <x:v>2</x:v>
      </x:c>
      <x:c r="V1263" s="19" t="n">
        <x:f>M1263+IF(AND(S1263=1,J1263=2),1,0)</x:f>
        <x:v>2</x:v>
      </x:c>
      <x:c r="W1263" s="19" t="n">
        <x:f>SUM(T1263:V1263)</x:f>
        <x:v>6</x:v>
      </x:c>
      <x:c r="X1263" s="19" t="n">
        <x:f>W1263-G1263</x:f>
        <x:v>1</x:v>
      </x:c>
      <x:c r="Y1263" s="19" t="n">
        <x:f>MAX(T1263,1)+MAX(U1263,1)+MAX(V1263,1)</x:f>
        <x:v>6</x:v>
      </x:c>
      <x:c r="Z1263" s="21" t="str">
        <x:f>IF(AND(MIN(D1263:F1263)&gt;=0,MAX(D1263:F1263)&lt;=7,MAX(D1263,1)+MAX(E1263,1)+MAX(F1263,1)&lt;=9,OR(H1263="-",AND(H1263=0,D1263&gt;0),AND(H1263=1,E1263&gt;0),AND(H1263=2,F1263&gt;0)),OR(I1263=0,AND(I1263=1,OR(J1263=0,J1263=1,J1263=2),R1263&lt;&gt;"000")),Y1263&lt;=9,MIN(T1263:V1263)&gt;=0),"合法","输入违约")</x:f>
        <x:v>合法</x:v>
      </x:c>
    </x:row>
    <x:row r="1264" ht="23" customHeight="1">
      <x:c r="A1264" s="3" t="str">
        <x:v>CT-1257</x:v>
      </x:c>
      <x:c r="B1264" s="3" t="str">
        <x:v>ST-049</x:v>
      </x:c>
      <x:c r="C1264" s="3" t="str">
        <x:v>仅R回收</x:v>
      </x:c>
      <x:c r="D1264" s="25" t="n">
        <x:v>2</x:v>
      </x:c>
      <x:c r="E1264" s="25" t="n">
        <x:v>2</x:v>
      </x:c>
      <x:c r="F1264" s="25" t="n">
        <x:v>1</x:v>
      </x:c>
      <x:c r="G1264" s="19" t="n">
        <x:f>SUM(D1264:F1264)</x:f>
        <x:v>5</x:v>
      </x:c>
      <x:c r="H1264" s="25" t="n">
        <x:v>0</x:v>
      </x:c>
      <x:c r="I1264" s="25" t="n">
        <x:v>0</x:v>
      </x:c>
      <x:c r="J1264" s="25" t="str">
        <x:v>-</x:v>
      </x:c>
      <x:c r="K1264" s="19" t="n">
        <x:f>D1264-IF(H1264=0,1,0)</x:f>
        <x:v>1</x:v>
      </x:c>
      <x:c r="L1264" s="19" t="n">
        <x:f>E1264-IF(H1264=1,1,0)</x:f>
        <x:v>2</x:v>
      </x:c>
      <x:c r="M1264" s="19" t="n">
        <x:f>F1264-IF(H1264=2,1,0)</x:f>
        <x:v>1</x:v>
      </x:c>
      <x:c r="N1264" s="19" t="n">
        <x:f>MAX(K1264-1,0)+MAX(L1264-1,0)+MAX(M1264-1,0)</x:f>
        <x:v>1</x:v>
      </x:c>
      <x:c r="O1264" s="19" t="n">
        <x:f>IF(AND(SUM(K1264:M1264)&lt;9,OR(M1264=0,N1264&lt;6)),1,0)</x:f>
        <x:v>1</x:v>
      </x:c>
      <x:c r="P1264" s="19" t="n">
        <x:f>IF(AND(SUM(K1264:M1264)&lt;9,OR(L1264=0,N1264&lt;6)),1,0)</x:f>
        <x:v>1</x:v>
      </x:c>
      <x:c r="Q1264" s="19" t="n">
        <x:f>IF(AND(SUM(K1264:M1264)&lt;9,OR(K1264=0,N1264&lt;6)),1,0)</x:f>
        <x:v>1</x:v>
      </x:c>
      <x:c r="R1264" s="22" t="str">
        <x:f>O1264&amp;P1264&amp;Q1264</x:f>
        <x:v>111</x:v>
      </x:c>
      <x:c r="S1264" s="19" t="n">
        <x:f>IF(I1264=1,IF(J1264=0,Q1264,IF(J1264=1,P1264,IF(J1264=2,O1264,0))),0)</x:f>
        <x:v>0</x:v>
      </x:c>
      <x:c r="T1264" s="19" t="n">
        <x:f>K1264+IF(AND(S1264=1,J1264=0),1,0)</x:f>
        <x:v>1</x:v>
      </x:c>
      <x:c r="U1264" s="19" t="n">
        <x:f>L1264+IF(AND(S1264=1,J1264=1),1,0)</x:f>
        <x:v>2</x:v>
      </x:c>
      <x:c r="V1264" s="19" t="n">
        <x:f>M1264+IF(AND(S1264=1,J1264=2),1,0)</x:f>
        <x:v>1</x:v>
      </x:c>
      <x:c r="W1264" s="19" t="n">
        <x:f>SUM(T1264:V1264)</x:f>
        <x:v>4</x:v>
      </x:c>
      <x:c r="X1264" s="19" t="n">
        <x:f>W1264-G1264</x:f>
        <x:v>-1</x:v>
      </x:c>
      <x:c r="Y1264" s="19" t="n">
        <x:f>MAX(T1264,1)+MAX(U1264,1)+MAX(V1264,1)</x:f>
        <x:v>4</x:v>
      </x:c>
      <x:c r="Z1264" s="21" t="str">
        <x:f>IF(AND(MIN(D1264:F1264)&gt;=0,MAX(D1264:F1264)&lt;=7,MAX(D1264,1)+MAX(E1264,1)+MAX(F1264,1)&lt;=9,OR(H1264="-",AND(H1264=0,D1264&gt;0),AND(H1264=1,E1264&gt;0),AND(H1264=2,F1264&gt;0)),OR(I1264=0,AND(I1264=1,OR(J1264=0,J1264=1,J1264=2),R1264&lt;&gt;"000")),Y1264&lt;=9,MIN(T1264:V1264)&gt;=0),"合法","输入违约")</x:f>
        <x:v>合法</x:v>
      </x:c>
    </x:row>
    <x:row r="1265" ht="23" customHeight="1">
      <x:c r="A1265" s="3" t="str">
        <x:v>CT-1258</x:v>
      </x:c>
      <x:c r="B1265" s="3" t="str">
        <x:v>ST-049</x:v>
      </x:c>
      <x:c r="C1265" s="3" t="str">
        <x:v>R+AR同收同发</x:v>
      </x:c>
      <x:c r="D1265" s="25" t="n">
        <x:v>2</x:v>
      </x:c>
      <x:c r="E1265" s="25" t="n">
        <x:v>2</x:v>
      </x:c>
      <x:c r="F1265" s="25" t="n">
        <x:v>1</x:v>
      </x:c>
      <x:c r="G1265" s="19" t="n">
        <x:f>SUM(D1265:F1265)</x:f>
        <x:v>5</x:v>
      </x:c>
      <x:c r="H1265" s="25" t="n">
        <x:v>0</x:v>
      </x:c>
      <x:c r="I1265" s="25" t="n">
        <x:v>1</x:v>
      </x:c>
      <x:c r="J1265" s="25" t="n">
        <x:v>0</x:v>
      </x:c>
      <x:c r="K1265" s="19" t="n">
        <x:f>D1265-IF(H1265=0,1,0)</x:f>
        <x:v>1</x:v>
      </x:c>
      <x:c r="L1265" s="19" t="n">
        <x:f>E1265-IF(H1265=1,1,0)</x:f>
        <x:v>2</x:v>
      </x:c>
      <x:c r="M1265" s="19" t="n">
        <x:f>F1265-IF(H1265=2,1,0)</x:f>
        <x:v>1</x:v>
      </x:c>
      <x:c r="N1265" s="19" t="n">
        <x:f>MAX(K1265-1,0)+MAX(L1265-1,0)+MAX(M1265-1,0)</x:f>
        <x:v>1</x:v>
      </x:c>
      <x:c r="O1265" s="19" t="n">
        <x:f>IF(AND(SUM(K1265:M1265)&lt;9,OR(M1265=0,N1265&lt;6)),1,0)</x:f>
        <x:v>1</x:v>
      </x:c>
      <x:c r="P1265" s="19" t="n">
        <x:f>IF(AND(SUM(K1265:M1265)&lt;9,OR(L1265=0,N1265&lt;6)),1,0)</x:f>
        <x:v>1</x:v>
      </x:c>
      <x:c r="Q1265" s="19" t="n">
        <x:f>IF(AND(SUM(K1265:M1265)&lt;9,OR(K1265=0,N1265&lt;6)),1,0)</x:f>
        <x:v>1</x:v>
      </x:c>
      <x:c r="R1265" s="22" t="str">
        <x:f>O1265&amp;P1265&amp;Q1265</x:f>
        <x:v>111</x:v>
      </x:c>
      <x:c r="S1265" s="19" t="n">
        <x:f>IF(I1265=1,IF(J1265=0,Q1265,IF(J1265=1,P1265,IF(J1265=2,O1265,0))),0)</x:f>
        <x:v>1</x:v>
      </x:c>
      <x:c r="T1265" s="19" t="n">
        <x:f>K1265+IF(AND(S1265=1,J1265=0),1,0)</x:f>
        <x:v>2</x:v>
      </x:c>
      <x:c r="U1265" s="19" t="n">
        <x:f>L1265+IF(AND(S1265=1,J1265=1),1,0)</x:f>
        <x:v>2</x:v>
      </x:c>
      <x:c r="V1265" s="19" t="n">
        <x:f>M1265+IF(AND(S1265=1,J1265=2),1,0)</x:f>
        <x:v>1</x:v>
      </x:c>
      <x:c r="W1265" s="19" t="n">
        <x:f>SUM(T1265:V1265)</x:f>
        <x:v>5</x:v>
      </x:c>
      <x:c r="X1265" s="19" t="n">
        <x:f>W1265-G1265</x:f>
        <x:v>0</x:v>
      </x:c>
      <x:c r="Y1265" s="19" t="n">
        <x:f>MAX(T1265,1)+MAX(U1265,1)+MAX(V1265,1)</x:f>
        <x:v>5</x:v>
      </x:c>
      <x:c r="Z1265" s="21" t="str">
        <x:f>IF(AND(MIN(D1265:F1265)&gt;=0,MAX(D1265:F1265)&lt;=7,MAX(D1265,1)+MAX(E1265,1)+MAX(F1265,1)&lt;=9,OR(H1265="-",AND(H1265=0,D1265&gt;0),AND(H1265=1,E1265&gt;0),AND(H1265=2,F1265&gt;0)),OR(I1265=0,AND(I1265=1,OR(J1265=0,J1265=1,J1265=2),R1265&lt;&gt;"000")),Y1265&lt;=9,MIN(T1265:V1265)&gt;=0),"合法","输入违约")</x:f>
        <x:v>合法</x:v>
      </x:c>
    </x:row>
    <x:row r="1266" ht="23" customHeight="1">
      <x:c r="A1266" s="3" t="str">
        <x:v>CT-1259</x:v>
      </x:c>
      <x:c r="B1266" s="3" t="str">
        <x:v>ST-049</x:v>
      </x:c>
      <x:c r="C1266" s="3" t="str">
        <x:v>R+AR同收同发</x:v>
      </x:c>
      <x:c r="D1266" s="25" t="n">
        <x:v>2</x:v>
      </x:c>
      <x:c r="E1266" s="25" t="n">
        <x:v>2</x:v>
      </x:c>
      <x:c r="F1266" s="25" t="n">
        <x:v>1</x:v>
      </x:c>
      <x:c r="G1266" s="19" t="n">
        <x:f>SUM(D1266:F1266)</x:f>
        <x:v>5</x:v>
      </x:c>
      <x:c r="H1266" s="25" t="n">
        <x:v>0</x:v>
      </x:c>
      <x:c r="I1266" s="25" t="n">
        <x:v>1</x:v>
      </x:c>
      <x:c r="J1266" s="25" t="n">
        <x:v>1</x:v>
      </x:c>
      <x:c r="K1266" s="19" t="n">
        <x:f>D1266-IF(H1266=0,1,0)</x:f>
        <x:v>1</x:v>
      </x:c>
      <x:c r="L1266" s="19" t="n">
        <x:f>E1266-IF(H1266=1,1,0)</x:f>
        <x:v>2</x:v>
      </x:c>
      <x:c r="M1266" s="19" t="n">
        <x:f>F1266-IF(H1266=2,1,0)</x:f>
        <x:v>1</x:v>
      </x:c>
      <x:c r="N1266" s="19" t="n">
        <x:f>MAX(K1266-1,0)+MAX(L1266-1,0)+MAX(M1266-1,0)</x:f>
        <x:v>1</x:v>
      </x:c>
      <x:c r="O1266" s="19" t="n">
        <x:f>IF(AND(SUM(K1266:M1266)&lt;9,OR(M1266=0,N1266&lt;6)),1,0)</x:f>
        <x:v>1</x:v>
      </x:c>
      <x:c r="P1266" s="19" t="n">
        <x:f>IF(AND(SUM(K1266:M1266)&lt;9,OR(L1266=0,N1266&lt;6)),1,0)</x:f>
        <x:v>1</x:v>
      </x:c>
      <x:c r="Q1266" s="19" t="n">
        <x:f>IF(AND(SUM(K1266:M1266)&lt;9,OR(K1266=0,N1266&lt;6)),1,0)</x:f>
        <x:v>1</x:v>
      </x:c>
      <x:c r="R1266" s="22" t="str">
        <x:f>O1266&amp;P1266&amp;Q1266</x:f>
        <x:v>111</x:v>
      </x:c>
      <x:c r="S1266" s="19" t="n">
        <x:f>IF(I1266=1,IF(J1266=0,Q1266,IF(J1266=1,P1266,IF(J1266=2,O1266,0))),0)</x:f>
        <x:v>1</x:v>
      </x:c>
      <x:c r="T1266" s="19" t="n">
        <x:f>K1266+IF(AND(S1266=1,J1266=0),1,0)</x:f>
        <x:v>1</x:v>
      </x:c>
      <x:c r="U1266" s="19" t="n">
        <x:f>L1266+IF(AND(S1266=1,J1266=1),1,0)</x:f>
        <x:v>3</x:v>
      </x:c>
      <x:c r="V1266" s="19" t="n">
        <x:f>M1266+IF(AND(S1266=1,J1266=2),1,0)</x:f>
        <x:v>1</x:v>
      </x:c>
      <x:c r="W1266" s="19" t="n">
        <x:f>SUM(T1266:V1266)</x:f>
        <x:v>5</x:v>
      </x:c>
      <x:c r="X1266" s="19" t="n">
        <x:f>W1266-G1266</x:f>
        <x:v>0</x:v>
      </x:c>
      <x:c r="Y1266" s="19" t="n">
        <x:f>MAX(T1266,1)+MAX(U1266,1)+MAX(V1266,1)</x:f>
        <x:v>5</x:v>
      </x:c>
      <x:c r="Z1266" s="21" t="str">
        <x:f>IF(AND(MIN(D1266:F1266)&gt;=0,MAX(D1266:F1266)&lt;=7,MAX(D1266,1)+MAX(E1266,1)+MAX(F1266,1)&lt;=9,OR(H1266="-",AND(H1266=0,D1266&gt;0),AND(H1266=1,E1266&gt;0),AND(H1266=2,F1266&gt;0)),OR(I1266=0,AND(I1266=1,OR(J1266=0,J1266=1,J1266=2),R1266&lt;&gt;"000")),Y1266&lt;=9,MIN(T1266:V1266)&gt;=0),"合法","输入违约")</x:f>
        <x:v>合法</x:v>
      </x:c>
    </x:row>
    <x:row r="1267" ht="23" customHeight="1">
      <x:c r="A1267" s="3" t="str">
        <x:v>CT-1260</x:v>
      </x:c>
      <x:c r="B1267" s="3" t="str">
        <x:v>ST-049</x:v>
      </x:c>
      <x:c r="C1267" s="3" t="str">
        <x:v>R+AR同收同发</x:v>
      </x:c>
      <x:c r="D1267" s="25" t="n">
        <x:v>2</x:v>
      </x:c>
      <x:c r="E1267" s="25" t="n">
        <x:v>2</x:v>
      </x:c>
      <x:c r="F1267" s="25" t="n">
        <x:v>1</x:v>
      </x:c>
      <x:c r="G1267" s="19" t="n">
        <x:f>SUM(D1267:F1267)</x:f>
        <x:v>5</x:v>
      </x:c>
      <x:c r="H1267" s="25" t="n">
        <x:v>0</x:v>
      </x:c>
      <x:c r="I1267" s="25" t="n">
        <x:v>1</x:v>
      </x:c>
      <x:c r="J1267" s="25" t="n">
        <x:v>2</x:v>
      </x:c>
      <x:c r="K1267" s="19" t="n">
        <x:f>D1267-IF(H1267=0,1,0)</x:f>
        <x:v>1</x:v>
      </x:c>
      <x:c r="L1267" s="19" t="n">
        <x:f>E1267-IF(H1267=1,1,0)</x:f>
        <x:v>2</x:v>
      </x:c>
      <x:c r="M1267" s="19" t="n">
        <x:f>F1267-IF(H1267=2,1,0)</x:f>
        <x:v>1</x:v>
      </x:c>
      <x:c r="N1267" s="19" t="n">
        <x:f>MAX(K1267-1,0)+MAX(L1267-1,0)+MAX(M1267-1,0)</x:f>
        <x:v>1</x:v>
      </x:c>
      <x:c r="O1267" s="19" t="n">
        <x:f>IF(AND(SUM(K1267:M1267)&lt;9,OR(M1267=0,N1267&lt;6)),1,0)</x:f>
        <x:v>1</x:v>
      </x:c>
      <x:c r="P1267" s="19" t="n">
        <x:f>IF(AND(SUM(K1267:M1267)&lt;9,OR(L1267=0,N1267&lt;6)),1,0)</x:f>
        <x:v>1</x:v>
      </x:c>
      <x:c r="Q1267" s="19" t="n">
        <x:f>IF(AND(SUM(K1267:M1267)&lt;9,OR(K1267=0,N1267&lt;6)),1,0)</x:f>
        <x:v>1</x:v>
      </x:c>
      <x:c r="R1267" s="22" t="str">
        <x:f>O1267&amp;P1267&amp;Q1267</x:f>
        <x:v>111</x:v>
      </x:c>
      <x:c r="S1267" s="19" t="n">
        <x:f>IF(I1267=1,IF(J1267=0,Q1267,IF(J1267=1,P1267,IF(J1267=2,O1267,0))),0)</x:f>
        <x:v>1</x:v>
      </x:c>
      <x:c r="T1267" s="19" t="n">
        <x:f>K1267+IF(AND(S1267=1,J1267=0),1,0)</x:f>
        <x:v>1</x:v>
      </x:c>
      <x:c r="U1267" s="19" t="n">
        <x:f>L1267+IF(AND(S1267=1,J1267=1),1,0)</x:f>
        <x:v>2</x:v>
      </x:c>
      <x:c r="V1267" s="19" t="n">
        <x:f>M1267+IF(AND(S1267=1,J1267=2),1,0)</x:f>
        <x:v>2</x:v>
      </x:c>
      <x:c r="W1267" s="19" t="n">
        <x:f>SUM(T1267:V1267)</x:f>
        <x:v>5</x:v>
      </x:c>
      <x:c r="X1267" s="19" t="n">
        <x:f>W1267-G1267</x:f>
        <x:v>0</x:v>
      </x:c>
      <x:c r="Y1267" s="19" t="n">
        <x:f>MAX(T1267,1)+MAX(U1267,1)+MAX(V1267,1)</x:f>
        <x:v>5</x:v>
      </x:c>
      <x:c r="Z1267" s="21" t="str">
        <x:f>IF(AND(MIN(D1267:F1267)&gt;=0,MAX(D1267:F1267)&lt;=7,MAX(D1267,1)+MAX(E1267,1)+MAX(F1267,1)&lt;=9,OR(H1267="-",AND(H1267=0,D1267&gt;0),AND(H1267=1,E1267&gt;0),AND(H1267=2,F1267&gt;0)),OR(I1267=0,AND(I1267=1,OR(J1267=0,J1267=1,J1267=2),R1267&lt;&gt;"000")),Y1267&lt;=9,MIN(T1267:V1267)&gt;=0),"合法","输入违约")</x:f>
        <x:v>合法</x:v>
      </x:c>
    </x:row>
    <x:row r="1268" ht="23" customHeight="1">
      <x:c r="A1268" s="3" t="str">
        <x:v>CT-1261</x:v>
      </x:c>
      <x:c r="B1268" s="3" t="str">
        <x:v>ST-049</x:v>
      </x:c>
      <x:c r="C1268" s="3" t="str">
        <x:v>仅R回收</x:v>
      </x:c>
      <x:c r="D1268" s="25" t="n">
        <x:v>2</x:v>
      </x:c>
      <x:c r="E1268" s="25" t="n">
        <x:v>2</x:v>
      </x:c>
      <x:c r="F1268" s="25" t="n">
        <x:v>1</x:v>
      </x:c>
      <x:c r="G1268" s="19" t="n">
        <x:f>SUM(D1268:F1268)</x:f>
        <x:v>5</x:v>
      </x:c>
      <x:c r="H1268" s="25" t="n">
        <x:v>1</x:v>
      </x:c>
      <x:c r="I1268" s="25" t="n">
        <x:v>0</x:v>
      </x:c>
      <x:c r="J1268" s="25" t="str">
        <x:v>-</x:v>
      </x:c>
      <x:c r="K1268" s="19" t="n">
        <x:f>D1268-IF(H1268=0,1,0)</x:f>
        <x:v>2</x:v>
      </x:c>
      <x:c r="L1268" s="19" t="n">
        <x:f>E1268-IF(H1268=1,1,0)</x:f>
        <x:v>1</x:v>
      </x:c>
      <x:c r="M1268" s="19" t="n">
        <x:f>F1268-IF(H1268=2,1,0)</x:f>
        <x:v>1</x:v>
      </x:c>
      <x:c r="N1268" s="19" t="n">
        <x:f>MAX(K1268-1,0)+MAX(L1268-1,0)+MAX(M1268-1,0)</x:f>
        <x:v>1</x:v>
      </x:c>
      <x:c r="O1268" s="19" t="n">
        <x:f>IF(AND(SUM(K1268:M1268)&lt;9,OR(M1268=0,N1268&lt;6)),1,0)</x:f>
        <x:v>1</x:v>
      </x:c>
      <x:c r="P1268" s="19" t="n">
        <x:f>IF(AND(SUM(K1268:M1268)&lt;9,OR(L1268=0,N1268&lt;6)),1,0)</x:f>
        <x:v>1</x:v>
      </x:c>
      <x:c r="Q1268" s="19" t="n">
        <x:f>IF(AND(SUM(K1268:M1268)&lt;9,OR(K1268=0,N1268&lt;6)),1,0)</x:f>
        <x:v>1</x:v>
      </x:c>
      <x:c r="R1268" s="22" t="str">
        <x:f>O1268&amp;P1268&amp;Q1268</x:f>
        <x:v>111</x:v>
      </x:c>
      <x:c r="S1268" s="19" t="n">
        <x:f>IF(I1268=1,IF(J1268=0,Q1268,IF(J1268=1,P1268,IF(J1268=2,O1268,0))),0)</x:f>
        <x:v>0</x:v>
      </x:c>
      <x:c r="T1268" s="19" t="n">
        <x:f>K1268+IF(AND(S1268=1,J1268=0),1,0)</x:f>
        <x:v>2</x:v>
      </x:c>
      <x:c r="U1268" s="19" t="n">
        <x:f>L1268+IF(AND(S1268=1,J1268=1),1,0)</x:f>
        <x:v>1</x:v>
      </x:c>
      <x:c r="V1268" s="19" t="n">
        <x:f>M1268+IF(AND(S1268=1,J1268=2),1,0)</x:f>
        <x:v>1</x:v>
      </x:c>
      <x:c r="W1268" s="19" t="n">
        <x:f>SUM(T1268:V1268)</x:f>
        <x:v>4</x:v>
      </x:c>
      <x:c r="X1268" s="19" t="n">
        <x:f>W1268-G1268</x:f>
        <x:v>-1</x:v>
      </x:c>
      <x:c r="Y1268" s="19" t="n">
        <x:f>MAX(T1268,1)+MAX(U1268,1)+MAX(V1268,1)</x:f>
        <x:v>4</x:v>
      </x:c>
      <x:c r="Z1268" s="21" t="str">
        <x:f>IF(AND(MIN(D1268:F1268)&gt;=0,MAX(D1268:F1268)&lt;=7,MAX(D1268,1)+MAX(E1268,1)+MAX(F1268,1)&lt;=9,OR(H1268="-",AND(H1268=0,D1268&gt;0),AND(H1268=1,E1268&gt;0),AND(H1268=2,F1268&gt;0)),OR(I1268=0,AND(I1268=1,OR(J1268=0,J1268=1,J1268=2),R1268&lt;&gt;"000")),Y1268&lt;=9,MIN(T1268:V1268)&gt;=0),"合法","输入违约")</x:f>
        <x:v>合法</x:v>
      </x:c>
    </x:row>
    <x:row r="1269" ht="23" customHeight="1">
      <x:c r="A1269" s="3" t="str">
        <x:v>CT-1262</x:v>
      </x:c>
      <x:c r="B1269" s="3" t="str">
        <x:v>ST-049</x:v>
      </x:c>
      <x:c r="C1269" s="3" t="str">
        <x:v>R+AR同收同发</x:v>
      </x:c>
      <x:c r="D1269" s="25" t="n">
        <x:v>2</x:v>
      </x:c>
      <x:c r="E1269" s="25" t="n">
        <x:v>2</x:v>
      </x:c>
      <x:c r="F1269" s="25" t="n">
        <x:v>1</x:v>
      </x:c>
      <x:c r="G1269" s="19" t="n">
        <x:f>SUM(D1269:F1269)</x:f>
        <x:v>5</x:v>
      </x:c>
      <x:c r="H1269" s="25" t="n">
        <x:v>1</x:v>
      </x:c>
      <x:c r="I1269" s="25" t="n">
        <x:v>1</x:v>
      </x:c>
      <x:c r="J1269" s="25" t="n">
        <x:v>0</x:v>
      </x:c>
      <x:c r="K1269" s="19" t="n">
        <x:f>D1269-IF(H1269=0,1,0)</x:f>
        <x:v>2</x:v>
      </x:c>
      <x:c r="L1269" s="19" t="n">
        <x:f>E1269-IF(H1269=1,1,0)</x:f>
        <x:v>1</x:v>
      </x:c>
      <x:c r="M1269" s="19" t="n">
        <x:f>F1269-IF(H1269=2,1,0)</x:f>
        <x:v>1</x:v>
      </x:c>
      <x:c r="N1269" s="19" t="n">
        <x:f>MAX(K1269-1,0)+MAX(L1269-1,0)+MAX(M1269-1,0)</x:f>
        <x:v>1</x:v>
      </x:c>
      <x:c r="O1269" s="19" t="n">
        <x:f>IF(AND(SUM(K1269:M1269)&lt;9,OR(M1269=0,N1269&lt;6)),1,0)</x:f>
        <x:v>1</x:v>
      </x:c>
      <x:c r="P1269" s="19" t="n">
        <x:f>IF(AND(SUM(K1269:M1269)&lt;9,OR(L1269=0,N1269&lt;6)),1,0)</x:f>
        <x:v>1</x:v>
      </x:c>
      <x:c r="Q1269" s="19" t="n">
        <x:f>IF(AND(SUM(K1269:M1269)&lt;9,OR(K1269=0,N1269&lt;6)),1,0)</x:f>
        <x:v>1</x:v>
      </x:c>
      <x:c r="R1269" s="22" t="str">
        <x:f>O1269&amp;P1269&amp;Q1269</x:f>
        <x:v>111</x:v>
      </x:c>
      <x:c r="S1269" s="19" t="n">
        <x:f>IF(I1269=1,IF(J1269=0,Q1269,IF(J1269=1,P1269,IF(J1269=2,O1269,0))),0)</x:f>
        <x:v>1</x:v>
      </x:c>
      <x:c r="T1269" s="19" t="n">
        <x:f>K1269+IF(AND(S1269=1,J1269=0),1,0)</x:f>
        <x:v>3</x:v>
      </x:c>
      <x:c r="U1269" s="19" t="n">
        <x:f>L1269+IF(AND(S1269=1,J1269=1),1,0)</x:f>
        <x:v>1</x:v>
      </x:c>
      <x:c r="V1269" s="19" t="n">
        <x:f>M1269+IF(AND(S1269=1,J1269=2),1,0)</x:f>
        <x:v>1</x:v>
      </x:c>
      <x:c r="W1269" s="19" t="n">
        <x:f>SUM(T1269:V1269)</x:f>
        <x:v>5</x:v>
      </x:c>
      <x:c r="X1269" s="19" t="n">
        <x:f>W1269-G1269</x:f>
        <x:v>0</x:v>
      </x:c>
      <x:c r="Y1269" s="19" t="n">
        <x:f>MAX(T1269,1)+MAX(U1269,1)+MAX(V1269,1)</x:f>
        <x:v>5</x:v>
      </x:c>
      <x:c r="Z1269" s="21" t="str">
        <x:f>IF(AND(MIN(D1269:F1269)&gt;=0,MAX(D1269:F1269)&lt;=7,MAX(D1269,1)+MAX(E1269,1)+MAX(F1269,1)&lt;=9,OR(H1269="-",AND(H1269=0,D1269&gt;0),AND(H1269=1,E1269&gt;0),AND(H1269=2,F1269&gt;0)),OR(I1269=0,AND(I1269=1,OR(J1269=0,J1269=1,J1269=2),R1269&lt;&gt;"000")),Y1269&lt;=9,MIN(T1269:V1269)&gt;=0),"合法","输入违约")</x:f>
        <x:v>合法</x:v>
      </x:c>
    </x:row>
    <x:row r="1270" ht="23" customHeight="1">
      <x:c r="A1270" s="3" t="str">
        <x:v>CT-1263</x:v>
      </x:c>
      <x:c r="B1270" s="3" t="str">
        <x:v>ST-049</x:v>
      </x:c>
      <x:c r="C1270" s="3" t="str">
        <x:v>R+AR同收同发</x:v>
      </x:c>
      <x:c r="D1270" s="25" t="n">
        <x:v>2</x:v>
      </x:c>
      <x:c r="E1270" s="25" t="n">
        <x:v>2</x:v>
      </x:c>
      <x:c r="F1270" s="25" t="n">
        <x:v>1</x:v>
      </x:c>
      <x:c r="G1270" s="19" t="n">
        <x:f>SUM(D1270:F1270)</x:f>
        <x:v>5</x:v>
      </x:c>
      <x:c r="H1270" s="25" t="n">
        <x:v>1</x:v>
      </x:c>
      <x:c r="I1270" s="25" t="n">
        <x:v>1</x:v>
      </x:c>
      <x:c r="J1270" s="25" t="n">
        <x:v>1</x:v>
      </x:c>
      <x:c r="K1270" s="19" t="n">
        <x:f>D1270-IF(H1270=0,1,0)</x:f>
        <x:v>2</x:v>
      </x:c>
      <x:c r="L1270" s="19" t="n">
        <x:f>E1270-IF(H1270=1,1,0)</x:f>
        <x:v>1</x:v>
      </x:c>
      <x:c r="M1270" s="19" t="n">
        <x:f>F1270-IF(H1270=2,1,0)</x:f>
        <x:v>1</x:v>
      </x:c>
      <x:c r="N1270" s="19" t="n">
        <x:f>MAX(K1270-1,0)+MAX(L1270-1,0)+MAX(M1270-1,0)</x:f>
        <x:v>1</x:v>
      </x:c>
      <x:c r="O1270" s="19" t="n">
        <x:f>IF(AND(SUM(K1270:M1270)&lt;9,OR(M1270=0,N1270&lt;6)),1,0)</x:f>
        <x:v>1</x:v>
      </x:c>
      <x:c r="P1270" s="19" t="n">
        <x:f>IF(AND(SUM(K1270:M1270)&lt;9,OR(L1270=0,N1270&lt;6)),1,0)</x:f>
        <x:v>1</x:v>
      </x:c>
      <x:c r="Q1270" s="19" t="n">
        <x:f>IF(AND(SUM(K1270:M1270)&lt;9,OR(K1270=0,N1270&lt;6)),1,0)</x:f>
        <x:v>1</x:v>
      </x:c>
      <x:c r="R1270" s="22" t="str">
        <x:f>O1270&amp;P1270&amp;Q1270</x:f>
        <x:v>111</x:v>
      </x:c>
      <x:c r="S1270" s="19" t="n">
        <x:f>IF(I1270=1,IF(J1270=0,Q1270,IF(J1270=1,P1270,IF(J1270=2,O1270,0))),0)</x:f>
        <x:v>1</x:v>
      </x:c>
      <x:c r="T1270" s="19" t="n">
        <x:f>K1270+IF(AND(S1270=1,J1270=0),1,0)</x:f>
        <x:v>2</x:v>
      </x:c>
      <x:c r="U1270" s="19" t="n">
        <x:f>L1270+IF(AND(S1270=1,J1270=1),1,0)</x:f>
        <x:v>2</x:v>
      </x:c>
      <x:c r="V1270" s="19" t="n">
        <x:f>M1270+IF(AND(S1270=1,J1270=2),1,0)</x:f>
        <x:v>1</x:v>
      </x:c>
      <x:c r="W1270" s="19" t="n">
        <x:f>SUM(T1270:V1270)</x:f>
        <x:v>5</x:v>
      </x:c>
      <x:c r="X1270" s="19" t="n">
        <x:f>W1270-G1270</x:f>
        <x:v>0</x:v>
      </x:c>
      <x:c r="Y1270" s="19" t="n">
        <x:f>MAX(T1270,1)+MAX(U1270,1)+MAX(V1270,1)</x:f>
        <x:v>5</x:v>
      </x:c>
      <x:c r="Z1270" s="21" t="str">
        <x:f>IF(AND(MIN(D1270:F1270)&gt;=0,MAX(D1270:F1270)&lt;=7,MAX(D1270,1)+MAX(E1270,1)+MAX(F1270,1)&lt;=9,OR(H1270="-",AND(H1270=0,D1270&gt;0),AND(H1270=1,E1270&gt;0),AND(H1270=2,F1270&gt;0)),OR(I1270=0,AND(I1270=1,OR(J1270=0,J1270=1,J1270=2),R1270&lt;&gt;"000")),Y1270&lt;=9,MIN(T1270:V1270)&gt;=0),"合法","输入违约")</x:f>
        <x:v>合法</x:v>
      </x:c>
    </x:row>
    <x:row r="1271" ht="23" customHeight="1">
      <x:c r="A1271" s="3" t="str">
        <x:v>CT-1264</x:v>
      </x:c>
      <x:c r="B1271" s="3" t="str">
        <x:v>ST-049</x:v>
      </x:c>
      <x:c r="C1271" s="3" t="str">
        <x:v>R+AR同收同发</x:v>
      </x:c>
      <x:c r="D1271" s="25" t="n">
        <x:v>2</x:v>
      </x:c>
      <x:c r="E1271" s="25" t="n">
        <x:v>2</x:v>
      </x:c>
      <x:c r="F1271" s="25" t="n">
        <x:v>1</x:v>
      </x:c>
      <x:c r="G1271" s="19" t="n">
        <x:f>SUM(D1271:F1271)</x:f>
        <x:v>5</x:v>
      </x:c>
      <x:c r="H1271" s="25" t="n">
        <x:v>1</x:v>
      </x:c>
      <x:c r="I1271" s="25" t="n">
        <x:v>1</x:v>
      </x:c>
      <x:c r="J1271" s="25" t="n">
        <x:v>2</x:v>
      </x:c>
      <x:c r="K1271" s="19" t="n">
        <x:f>D1271-IF(H1271=0,1,0)</x:f>
        <x:v>2</x:v>
      </x:c>
      <x:c r="L1271" s="19" t="n">
        <x:f>E1271-IF(H1271=1,1,0)</x:f>
        <x:v>1</x:v>
      </x:c>
      <x:c r="M1271" s="19" t="n">
        <x:f>F1271-IF(H1271=2,1,0)</x:f>
        <x:v>1</x:v>
      </x:c>
      <x:c r="N1271" s="19" t="n">
        <x:f>MAX(K1271-1,0)+MAX(L1271-1,0)+MAX(M1271-1,0)</x:f>
        <x:v>1</x:v>
      </x:c>
      <x:c r="O1271" s="19" t="n">
        <x:f>IF(AND(SUM(K1271:M1271)&lt;9,OR(M1271=0,N1271&lt;6)),1,0)</x:f>
        <x:v>1</x:v>
      </x:c>
      <x:c r="P1271" s="19" t="n">
        <x:f>IF(AND(SUM(K1271:M1271)&lt;9,OR(L1271=0,N1271&lt;6)),1,0)</x:f>
        <x:v>1</x:v>
      </x:c>
      <x:c r="Q1271" s="19" t="n">
        <x:f>IF(AND(SUM(K1271:M1271)&lt;9,OR(K1271=0,N1271&lt;6)),1,0)</x:f>
        <x:v>1</x:v>
      </x:c>
      <x:c r="R1271" s="22" t="str">
        <x:f>O1271&amp;P1271&amp;Q1271</x:f>
        <x:v>111</x:v>
      </x:c>
      <x:c r="S1271" s="19" t="n">
        <x:f>IF(I1271=1,IF(J1271=0,Q1271,IF(J1271=1,P1271,IF(J1271=2,O1271,0))),0)</x:f>
        <x:v>1</x:v>
      </x:c>
      <x:c r="T1271" s="19" t="n">
        <x:f>K1271+IF(AND(S1271=1,J1271=0),1,0)</x:f>
        <x:v>2</x:v>
      </x:c>
      <x:c r="U1271" s="19" t="n">
        <x:f>L1271+IF(AND(S1271=1,J1271=1),1,0)</x:f>
        <x:v>1</x:v>
      </x:c>
      <x:c r="V1271" s="19" t="n">
        <x:f>M1271+IF(AND(S1271=1,J1271=2),1,0)</x:f>
        <x:v>2</x:v>
      </x:c>
      <x:c r="W1271" s="19" t="n">
        <x:f>SUM(T1271:V1271)</x:f>
        <x:v>5</x:v>
      </x:c>
      <x:c r="X1271" s="19" t="n">
        <x:f>W1271-G1271</x:f>
        <x:v>0</x:v>
      </x:c>
      <x:c r="Y1271" s="19" t="n">
        <x:f>MAX(T1271,1)+MAX(U1271,1)+MAX(V1271,1)</x:f>
        <x:v>5</x:v>
      </x:c>
      <x:c r="Z1271" s="21" t="str">
        <x:f>IF(AND(MIN(D1271:F1271)&gt;=0,MAX(D1271:F1271)&lt;=7,MAX(D1271,1)+MAX(E1271,1)+MAX(F1271,1)&lt;=9,OR(H1271="-",AND(H1271=0,D1271&gt;0),AND(H1271=1,E1271&gt;0),AND(H1271=2,F1271&gt;0)),OR(I1271=0,AND(I1271=1,OR(J1271=0,J1271=1,J1271=2),R1271&lt;&gt;"000")),Y1271&lt;=9,MIN(T1271:V1271)&gt;=0),"合法","输入违约")</x:f>
        <x:v>合法</x:v>
      </x:c>
    </x:row>
    <x:row r="1272" ht="23" customHeight="1">
      <x:c r="A1272" s="3" t="str">
        <x:v>CT-1265</x:v>
      </x:c>
      <x:c r="B1272" s="3" t="str">
        <x:v>ST-049</x:v>
      </x:c>
      <x:c r="C1272" s="3" t="str">
        <x:v>仅R回收</x:v>
      </x:c>
      <x:c r="D1272" s="25" t="n">
        <x:v>2</x:v>
      </x:c>
      <x:c r="E1272" s="25" t="n">
        <x:v>2</x:v>
      </x:c>
      <x:c r="F1272" s="25" t="n">
        <x:v>1</x:v>
      </x:c>
      <x:c r="G1272" s="19" t="n">
        <x:f>SUM(D1272:F1272)</x:f>
        <x:v>5</x:v>
      </x:c>
      <x:c r="H1272" s="25" t="n">
        <x:v>2</x:v>
      </x:c>
      <x:c r="I1272" s="25" t="n">
        <x:v>0</x:v>
      </x:c>
      <x:c r="J1272" s="25" t="str">
        <x:v>-</x:v>
      </x:c>
      <x:c r="K1272" s="19" t="n">
        <x:f>D1272-IF(H1272=0,1,0)</x:f>
        <x:v>2</x:v>
      </x:c>
      <x:c r="L1272" s="19" t="n">
        <x:f>E1272-IF(H1272=1,1,0)</x:f>
        <x:v>2</x:v>
      </x:c>
      <x:c r="M1272" s="19" t="n">
        <x:f>F1272-IF(H1272=2,1,0)</x:f>
        <x:v>0</x:v>
      </x:c>
      <x:c r="N1272" s="19" t="n">
        <x:f>MAX(K1272-1,0)+MAX(L1272-1,0)+MAX(M1272-1,0)</x:f>
        <x:v>2</x:v>
      </x:c>
      <x:c r="O1272" s="19" t="n">
        <x:f>IF(AND(SUM(K1272:M1272)&lt;9,OR(M1272=0,N1272&lt;6)),1,0)</x:f>
        <x:v>1</x:v>
      </x:c>
      <x:c r="P1272" s="19" t="n">
        <x:f>IF(AND(SUM(K1272:M1272)&lt;9,OR(L1272=0,N1272&lt;6)),1,0)</x:f>
        <x:v>1</x:v>
      </x:c>
      <x:c r="Q1272" s="19" t="n">
        <x:f>IF(AND(SUM(K1272:M1272)&lt;9,OR(K1272=0,N1272&lt;6)),1,0)</x:f>
        <x:v>1</x:v>
      </x:c>
      <x:c r="R1272" s="22" t="str">
        <x:f>O1272&amp;P1272&amp;Q1272</x:f>
        <x:v>111</x:v>
      </x:c>
      <x:c r="S1272" s="19" t="n">
        <x:f>IF(I1272=1,IF(J1272=0,Q1272,IF(J1272=1,P1272,IF(J1272=2,O1272,0))),0)</x:f>
        <x:v>0</x:v>
      </x:c>
      <x:c r="T1272" s="19" t="n">
        <x:f>K1272+IF(AND(S1272=1,J1272=0),1,0)</x:f>
        <x:v>2</x:v>
      </x:c>
      <x:c r="U1272" s="19" t="n">
        <x:f>L1272+IF(AND(S1272=1,J1272=1),1,0)</x:f>
        <x:v>2</x:v>
      </x:c>
      <x:c r="V1272" s="19" t="n">
        <x:f>M1272+IF(AND(S1272=1,J1272=2),1,0)</x:f>
        <x:v>0</x:v>
      </x:c>
      <x:c r="W1272" s="19" t="n">
        <x:f>SUM(T1272:V1272)</x:f>
        <x:v>4</x:v>
      </x:c>
      <x:c r="X1272" s="19" t="n">
        <x:f>W1272-G1272</x:f>
        <x:v>-1</x:v>
      </x:c>
      <x:c r="Y1272" s="19" t="n">
        <x:f>MAX(T1272,1)+MAX(U1272,1)+MAX(V1272,1)</x:f>
        <x:v>5</x:v>
      </x:c>
      <x:c r="Z1272" s="21" t="str">
        <x:f>IF(AND(MIN(D1272:F1272)&gt;=0,MAX(D1272:F1272)&lt;=7,MAX(D1272,1)+MAX(E1272,1)+MAX(F1272,1)&lt;=9,OR(H1272="-",AND(H1272=0,D1272&gt;0),AND(H1272=1,E1272&gt;0),AND(H1272=2,F1272&gt;0)),OR(I1272=0,AND(I1272=1,OR(J1272=0,J1272=1,J1272=2),R1272&lt;&gt;"000")),Y1272&lt;=9,MIN(T1272:V1272)&gt;=0),"合法","输入违约")</x:f>
        <x:v>合法</x:v>
      </x:c>
    </x:row>
    <x:row r="1273" ht="23" customHeight="1">
      <x:c r="A1273" s="3" t="str">
        <x:v>CT-1266</x:v>
      </x:c>
      <x:c r="B1273" s="3" t="str">
        <x:v>ST-049</x:v>
      </x:c>
      <x:c r="C1273" s="3" t="str">
        <x:v>R+AR同收同发</x:v>
      </x:c>
      <x:c r="D1273" s="25" t="n">
        <x:v>2</x:v>
      </x:c>
      <x:c r="E1273" s="25" t="n">
        <x:v>2</x:v>
      </x:c>
      <x:c r="F1273" s="25" t="n">
        <x:v>1</x:v>
      </x:c>
      <x:c r="G1273" s="19" t="n">
        <x:f>SUM(D1273:F1273)</x:f>
        <x:v>5</x:v>
      </x:c>
      <x:c r="H1273" s="25" t="n">
        <x:v>2</x:v>
      </x:c>
      <x:c r="I1273" s="25" t="n">
        <x:v>1</x:v>
      </x:c>
      <x:c r="J1273" s="25" t="n">
        <x:v>0</x:v>
      </x:c>
      <x:c r="K1273" s="19" t="n">
        <x:f>D1273-IF(H1273=0,1,0)</x:f>
        <x:v>2</x:v>
      </x:c>
      <x:c r="L1273" s="19" t="n">
        <x:f>E1273-IF(H1273=1,1,0)</x:f>
        <x:v>2</x:v>
      </x:c>
      <x:c r="M1273" s="19" t="n">
        <x:f>F1273-IF(H1273=2,1,0)</x:f>
        <x:v>0</x:v>
      </x:c>
      <x:c r="N1273" s="19" t="n">
        <x:f>MAX(K1273-1,0)+MAX(L1273-1,0)+MAX(M1273-1,0)</x:f>
        <x:v>2</x:v>
      </x:c>
      <x:c r="O1273" s="19" t="n">
        <x:f>IF(AND(SUM(K1273:M1273)&lt;9,OR(M1273=0,N1273&lt;6)),1,0)</x:f>
        <x:v>1</x:v>
      </x:c>
      <x:c r="P1273" s="19" t="n">
        <x:f>IF(AND(SUM(K1273:M1273)&lt;9,OR(L1273=0,N1273&lt;6)),1,0)</x:f>
        <x:v>1</x:v>
      </x:c>
      <x:c r="Q1273" s="19" t="n">
        <x:f>IF(AND(SUM(K1273:M1273)&lt;9,OR(K1273=0,N1273&lt;6)),1,0)</x:f>
        <x:v>1</x:v>
      </x:c>
      <x:c r="R1273" s="22" t="str">
        <x:f>O1273&amp;P1273&amp;Q1273</x:f>
        <x:v>111</x:v>
      </x:c>
      <x:c r="S1273" s="19" t="n">
        <x:f>IF(I1273=1,IF(J1273=0,Q1273,IF(J1273=1,P1273,IF(J1273=2,O1273,0))),0)</x:f>
        <x:v>1</x:v>
      </x:c>
      <x:c r="T1273" s="19" t="n">
        <x:f>K1273+IF(AND(S1273=1,J1273=0),1,0)</x:f>
        <x:v>3</x:v>
      </x:c>
      <x:c r="U1273" s="19" t="n">
        <x:f>L1273+IF(AND(S1273=1,J1273=1),1,0)</x:f>
        <x:v>2</x:v>
      </x:c>
      <x:c r="V1273" s="19" t="n">
        <x:f>M1273+IF(AND(S1273=1,J1273=2),1,0)</x:f>
        <x:v>0</x:v>
      </x:c>
      <x:c r="W1273" s="19" t="n">
        <x:f>SUM(T1273:V1273)</x:f>
        <x:v>5</x:v>
      </x:c>
      <x:c r="X1273" s="19" t="n">
        <x:f>W1273-G1273</x:f>
        <x:v>0</x:v>
      </x:c>
      <x:c r="Y1273" s="19" t="n">
        <x:f>MAX(T1273,1)+MAX(U1273,1)+MAX(V1273,1)</x:f>
        <x:v>6</x:v>
      </x:c>
      <x:c r="Z1273" s="21" t="str">
        <x:f>IF(AND(MIN(D1273:F1273)&gt;=0,MAX(D1273:F1273)&lt;=7,MAX(D1273,1)+MAX(E1273,1)+MAX(F1273,1)&lt;=9,OR(H1273="-",AND(H1273=0,D1273&gt;0),AND(H1273=1,E1273&gt;0),AND(H1273=2,F1273&gt;0)),OR(I1273=0,AND(I1273=1,OR(J1273=0,J1273=1,J1273=2),R1273&lt;&gt;"000")),Y1273&lt;=9,MIN(T1273:V1273)&gt;=0),"合法","输入违约")</x:f>
        <x:v>合法</x:v>
      </x:c>
    </x:row>
    <x:row r="1274" ht="23" customHeight="1">
      <x:c r="A1274" s="3" t="str">
        <x:v>CT-1267</x:v>
      </x:c>
      <x:c r="B1274" s="3" t="str">
        <x:v>ST-049</x:v>
      </x:c>
      <x:c r="C1274" s="3" t="str">
        <x:v>R+AR同收同发</x:v>
      </x:c>
      <x:c r="D1274" s="25" t="n">
        <x:v>2</x:v>
      </x:c>
      <x:c r="E1274" s="25" t="n">
        <x:v>2</x:v>
      </x:c>
      <x:c r="F1274" s="25" t="n">
        <x:v>1</x:v>
      </x:c>
      <x:c r="G1274" s="19" t="n">
        <x:f>SUM(D1274:F1274)</x:f>
        <x:v>5</x:v>
      </x:c>
      <x:c r="H1274" s="25" t="n">
        <x:v>2</x:v>
      </x:c>
      <x:c r="I1274" s="25" t="n">
        <x:v>1</x:v>
      </x:c>
      <x:c r="J1274" s="25" t="n">
        <x:v>1</x:v>
      </x:c>
      <x:c r="K1274" s="19" t="n">
        <x:f>D1274-IF(H1274=0,1,0)</x:f>
        <x:v>2</x:v>
      </x:c>
      <x:c r="L1274" s="19" t="n">
        <x:f>E1274-IF(H1274=1,1,0)</x:f>
        <x:v>2</x:v>
      </x:c>
      <x:c r="M1274" s="19" t="n">
        <x:f>F1274-IF(H1274=2,1,0)</x:f>
        <x:v>0</x:v>
      </x:c>
      <x:c r="N1274" s="19" t="n">
        <x:f>MAX(K1274-1,0)+MAX(L1274-1,0)+MAX(M1274-1,0)</x:f>
        <x:v>2</x:v>
      </x:c>
      <x:c r="O1274" s="19" t="n">
        <x:f>IF(AND(SUM(K1274:M1274)&lt;9,OR(M1274=0,N1274&lt;6)),1,0)</x:f>
        <x:v>1</x:v>
      </x:c>
      <x:c r="P1274" s="19" t="n">
        <x:f>IF(AND(SUM(K1274:M1274)&lt;9,OR(L1274=0,N1274&lt;6)),1,0)</x:f>
        <x:v>1</x:v>
      </x:c>
      <x:c r="Q1274" s="19" t="n">
        <x:f>IF(AND(SUM(K1274:M1274)&lt;9,OR(K1274=0,N1274&lt;6)),1,0)</x:f>
        <x:v>1</x:v>
      </x:c>
      <x:c r="R1274" s="22" t="str">
        <x:f>O1274&amp;P1274&amp;Q1274</x:f>
        <x:v>111</x:v>
      </x:c>
      <x:c r="S1274" s="19" t="n">
        <x:f>IF(I1274=1,IF(J1274=0,Q1274,IF(J1274=1,P1274,IF(J1274=2,O1274,0))),0)</x:f>
        <x:v>1</x:v>
      </x:c>
      <x:c r="T1274" s="19" t="n">
        <x:f>K1274+IF(AND(S1274=1,J1274=0),1,0)</x:f>
        <x:v>2</x:v>
      </x:c>
      <x:c r="U1274" s="19" t="n">
        <x:f>L1274+IF(AND(S1274=1,J1274=1),1,0)</x:f>
        <x:v>3</x:v>
      </x:c>
      <x:c r="V1274" s="19" t="n">
        <x:f>M1274+IF(AND(S1274=1,J1274=2),1,0)</x:f>
        <x:v>0</x:v>
      </x:c>
      <x:c r="W1274" s="19" t="n">
        <x:f>SUM(T1274:V1274)</x:f>
        <x:v>5</x:v>
      </x:c>
      <x:c r="X1274" s="19" t="n">
        <x:f>W1274-G1274</x:f>
        <x:v>0</x:v>
      </x:c>
      <x:c r="Y1274" s="19" t="n">
        <x:f>MAX(T1274,1)+MAX(U1274,1)+MAX(V1274,1)</x:f>
        <x:v>6</x:v>
      </x:c>
      <x:c r="Z1274" s="21" t="str">
        <x:f>IF(AND(MIN(D1274:F1274)&gt;=0,MAX(D1274:F1274)&lt;=7,MAX(D1274,1)+MAX(E1274,1)+MAX(F1274,1)&lt;=9,OR(H1274="-",AND(H1274=0,D1274&gt;0),AND(H1274=1,E1274&gt;0),AND(H1274=2,F1274&gt;0)),OR(I1274=0,AND(I1274=1,OR(J1274=0,J1274=1,J1274=2),R1274&lt;&gt;"000")),Y1274&lt;=9,MIN(T1274:V1274)&gt;=0),"合法","输入违约")</x:f>
        <x:v>合法</x:v>
      </x:c>
    </x:row>
    <x:row r="1275" ht="23" customHeight="1">
      <x:c r="A1275" s="3" t="str">
        <x:v>CT-1268</x:v>
      </x:c>
      <x:c r="B1275" s="3" t="str">
        <x:v>ST-049</x:v>
      </x:c>
      <x:c r="C1275" s="3" t="str">
        <x:v>R+AR同收同发</x:v>
      </x:c>
      <x:c r="D1275" s="25" t="n">
        <x:v>2</x:v>
      </x:c>
      <x:c r="E1275" s="25" t="n">
        <x:v>2</x:v>
      </x:c>
      <x:c r="F1275" s="25" t="n">
        <x:v>1</x:v>
      </x:c>
      <x:c r="G1275" s="19" t="n">
        <x:f>SUM(D1275:F1275)</x:f>
        <x:v>5</x:v>
      </x:c>
      <x:c r="H1275" s="25" t="n">
        <x:v>2</x:v>
      </x:c>
      <x:c r="I1275" s="25" t="n">
        <x:v>1</x:v>
      </x:c>
      <x:c r="J1275" s="25" t="n">
        <x:v>2</x:v>
      </x:c>
      <x:c r="K1275" s="19" t="n">
        <x:f>D1275-IF(H1275=0,1,0)</x:f>
        <x:v>2</x:v>
      </x:c>
      <x:c r="L1275" s="19" t="n">
        <x:f>E1275-IF(H1275=1,1,0)</x:f>
        <x:v>2</x:v>
      </x:c>
      <x:c r="M1275" s="19" t="n">
        <x:f>F1275-IF(H1275=2,1,0)</x:f>
        <x:v>0</x:v>
      </x:c>
      <x:c r="N1275" s="19" t="n">
        <x:f>MAX(K1275-1,0)+MAX(L1275-1,0)+MAX(M1275-1,0)</x:f>
        <x:v>2</x:v>
      </x:c>
      <x:c r="O1275" s="19" t="n">
        <x:f>IF(AND(SUM(K1275:M1275)&lt;9,OR(M1275=0,N1275&lt;6)),1,0)</x:f>
        <x:v>1</x:v>
      </x:c>
      <x:c r="P1275" s="19" t="n">
        <x:f>IF(AND(SUM(K1275:M1275)&lt;9,OR(L1275=0,N1275&lt;6)),1,0)</x:f>
        <x:v>1</x:v>
      </x:c>
      <x:c r="Q1275" s="19" t="n">
        <x:f>IF(AND(SUM(K1275:M1275)&lt;9,OR(K1275=0,N1275&lt;6)),1,0)</x:f>
        <x:v>1</x:v>
      </x:c>
      <x:c r="R1275" s="22" t="str">
        <x:f>O1275&amp;P1275&amp;Q1275</x:f>
        <x:v>111</x:v>
      </x:c>
      <x:c r="S1275" s="19" t="n">
        <x:f>IF(I1275=1,IF(J1275=0,Q1275,IF(J1275=1,P1275,IF(J1275=2,O1275,0))),0)</x:f>
        <x:v>1</x:v>
      </x:c>
      <x:c r="T1275" s="19" t="n">
        <x:f>K1275+IF(AND(S1275=1,J1275=0),1,0)</x:f>
        <x:v>2</x:v>
      </x:c>
      <x:c r="U1275" s="19" t="n">
        <x:f>L1275+IF(AND(S1275=1,J1275=1),1,0)</x:f>
        <x:v>2</x:v>
      </x:c>
      <x:c r="V1275" s="19" t="n">
        <x:f>M1275+IF(AND(S1275=1,J1275=2),1,0)</x:f>
        <x:v>1</x:v>
      </x:c>
      <x:c r="W1275" s="19" t="n">
        <x:f>SUM(T1275:V1275)</x:f>
        <x:v>5</x:v>
      </x:c>
      <x:c r="X1275" s="19" t="n">
        <x:f>W1275-G1275</x:f>
        <x:v>0</x:v>
      </x:c>
      <x:c r="Y1275" s="19" t="n">
        <x:f>MAX(T1275,1)+MAX(U1275,1)+MAX(V1275,1)</x:f>
        <x:v>5</x:v>
      </x:c>
      <x:c r="Z1275" s="21" t="str">
        <x:f>IF(AND(MIN(D1275:F1275)&gt;=0,MAX(D1275:F1275)&lt;=7,MAX(D1275,1)+MAX(E1275,1)+MAX(F1275,1)&lt;=9,OR(H1275="-",AND(H1275=0,D1275&gt;0),AND(H1275=1,E1275&gt;0),AND(H1275=2,F1275&gt;0)),OR(I1275=0,AND(I1275=1,OR(J1275=0,J1275=1,J1275=2),R1275&lt;&gt;"000")),Y1275&lt;=9,MIN(T1275:V1275)&gt;=0),"合法","输入违约")</x:f>
        <x:v>合法</x:v>
      </x:c>
    </x:row>
    <x:row r="1276" ht="23" customHeight="1">
      <x:c r="A1276" s="3" t="str">
        <x:v>CT-1269</x:v>
      </x:c>
      <x:c r="B1276" s="3" t="str">
        <x:v>ST-072</x:v>
      </x:c>
      <x:c r="C1276" s="3" t="str">
        <x:v>无AR/R</x:v>
      </x:c>
      <x:c r="D1276" s="25" t="n">
        <x:v>2</x:v>
      </x:c>
      <x:c r="E1276" s="25" t="n">
        <x:v>2</x:v>
      </x:c>
      <x:c r="F1276" s="25" t="n">
        <x:v>2</x:v>
      </x:c>
      <x:c r="G1276" s="19" t="n">
        <x:f>SUM(D1276:F1276)</x:f>
        <x:v>6</x:v>
      </x:c>
      <x:c r="H1276" s="25" t="str">
        <x:v>-</x:v>
      </x:c>
      <x:c r="I1276" s="25" t="n">
        <x:v>0</x:v>
      </x:c>
      <x:c r="J1276" s="25" t="str">
        <x:v>-</x:v>
      </x:c>
      <x:c r="K1276" s="19" t="n">
        <x:f>D1276-IF(H1276=0,1,0)</x:f>
        <x:v>2</x:v>
      </x:c>
      <x:c r="L1276" s="19" t="n">
        <x:f>E1276-IF(H1276=1,1,0)</x:f>
        <x:v>2</x:v>
      </x:c>
      <x:c r="M1276" s="19" t="n">
        <x:f>F1276-IF(H1276=2,1,0)</x:f>
        <x:v>2</x:v>
      </x:c>
      <x:c r="N1276" s="19" t="n">
        <x:f>MAX(K1276-1,0)+MAX(L1276-1,0)+MAX(M1276-1,0)</x:f>
        <x:v>3</x:v>
      </x:c>
      <x:c r="O1276" s="19" t="n">
        <x:f>IF(AND(SUM(K1276:M1276)&lt;9,OR(M1276=0,N1276&lt;6)),1,0)</x:f>
        <x:v>1</x:v>
      </x:c>
      <x:c r="P1276" s="19" t="n">
        <x:f>IF(AND(SUM(K1276:M1276)&lt;9,OR(L1276=0,N1276&lt;6)),1,0)</x:f>
        <x:v>1</x:v>
      </x:c>
      <x:c r="Q1276" s="19" t="n">
        <x:f>IF(AND(SUM(K1276:M1276)&lt;9,OR(K1276=0,N1276&lt;6)),1,0)</x:f>
        <x:v>1</x:v>
      </x:c>
      <x:c r="R1276" s="22" t="str">
        <x:f>O1276&amp;P1276&amp;Q1276</x:f>
        <x:v>111</x:v>
      </x:c>
      <x:c r="S1276" s="19" t="n">
        <x:f>IF(I1276=1,IF(J1276=0,Q1276,IF(J1276=1,P1276,IF(J1276=2,O1276,0))),0)</x:f>
        <x:v>0</x:v>
      </x:c>
      <x:c r="T1276" s="19" t="n">
        <x:f>K1276+IF(AND(S1276=1,J1276=0),1,0)</x:f>
        <x:v>2</x:v>
      </x:c>
      <x:c r="U1276" s="19" t="n">
        <x:f>L1276+IF(AND(S1276=1,J1276=1),1,0)</x:f>
        <x:v>2</x:v>
      </x:c>
      <x:c r="V1276" s="19" t="n">
        <x:f>M1276+IF(AND(S1276=1,J1276=2),1,0)</x:f>
        <x:v>2</x:v>
      </x:c>
      <x:c r="W1276" s="19" t="n">
        <x:f>SUM(T1276:V1276)</x:f>
        <x:v>6</x:v>
      </x:c>
      <x:c r="X1276" s="19" t="n">
        <x:f>W1276-G1276</x:f>
        <x:v>0</x:v>
      </x:c>
      <x:c r="Y1276" s="19" t="n">
        <x:f>MAX(T1276,1)+MAX(U1276,1)+MAX(V1276,1)</x:f>
        <x:v>6</x:v>
      </x:c>
      <x:c r="Z1276" s="21" t="str">
        <x:f>IF(AND(MIN(D1276:F1276)&gt;=0,MAX(D1276:F1276)&lt;=7,MAX(D1276,1)+MAX(E1276,1)+MAX(F1276,1)&lt;=9,OR(H1276="-",AND(H1276=0,D1276&gt;0),AND(H1276=1,E1276&gt;0),AND(H1276=2,F1276&gt;0)),OR(I1276=0,AND(I1276=1,OR(J1276=0,J1276=1,J1276=2),R1276&lt;&gt;"000")),Y1276&lt;=9,MIN(T1276:V1276)&gt;=0),"合法","输入违约")</x:f>
        <x:v>合法</x:v>
      </x:c>
    </x:row>
    <x:row r="1277" ht="23" customHeight="1">
      <x:c r="A1277" s="3" t="str">
        <x:v>CT-1270</x:v>
      </x:c>
      <x:c r="B1277" s="3" t="str">
        <x:v>ST-072</x:v>
      </x:c>
      <x:c r="C1277" s="3" t="str">
        <x:v>仅AR接收</x:v>
      </x:c>
      <x:c r="D1277" s="25" t="n">
        <x:v>2</x:v>
      </x:c>
      <x:c r="E1277" s="25" t="n">
        <x:v>2</x:v>
      </x:c>
      <x:c r="F1277" s="25" t="n">
        <x:v>2</x:v>
      </x:c>
      <x:c r="G1277" s="19" t="n">
        <x:f>SUM(D1277:F1277)</x:f>
        <x:v>6</x:v>
      </x:c>
      <x:c r="H1277" s="25" t="str">
        <x:v>-</x:v>
      </x:c>
      <x:c r="I1277" s="25" t="n">
        <x:v>1</x:v>
      </x:c>
      <x:c r="J1277" s="25" t="n">
        <x:v>0</x:v>
      </x:c>
      <x:c r="K1277" s="19" t="n">
        <x:f>D1277-IF(H1277=0,1,0)</x:f>
        <x:v>2</x:v>
      </x:c>
      <x:c r="L1277" s="19" t="n">
        <x:f>E1277-IF(H1277=1,1,0)</x:f>
        <x:v>2</x:v>
      </x:c>
      <x:c r="M1277" s="19" t="n">
        <x:f>F1277-IF(H1277=2,1,0)</x:f>
        <x:v>2</x:v>
      </x:c>
      <x:c r="N1277" s="19" t="n">
        <x:f>MAX(K1277-1,0)+MAX(L1277-1,0)+MAX(M1277-1,0)</x:f>
        <x:v>3</x:v>
      </x:c>
      <x:c r="O1277" s="19" t="n">
        <x:f>IF(AND(SUM(K1277:M1277)&lt;9,OR(M1277=0,N1277&lt;6)),1,0)</x:f>
        <x:v>1</x:v>
      </x:c>
      <x:c r="P1277" s="19" t="n">
        <x:f>IF(AND(SUM(K1277:M1277)&lt;9,OR(L1277=0,N1277&lt;6)),1,0)</x:f>
        <x:v>1</x:v>
      </x:c>
      <x:c r="Q1277" s="19" t="n">
        <x:f>IF(AND(SUM(K1277:M1277)&lt;9,OR(K1277=0,N1277&lt;6)),1,0)</x:f>
        <x:v>1</x:v>
      </x:c>
      <x:c r="R1277" s="22" t="str">
        <x:f>O1277&amp;P1277&amp;Q1277</x:f>
        <x:v>111</x:v>
      </x:c>
      <x:c r="S1277" s="19" t="n">
        <x:f>IF(I1277=1,IF(J1277=0,Q1277,IF(J1277=1,P1277,IF(J1277=2,O1277,0))),0)</x:f>
        <x:v>1</x:v>
      </x:c>
      <x:c r="T1277" s="19" t="n">
        <x:f>K1277+IF(AND(S1277=1,J1277=0),1,0)</x:f>
        <x:v>3</x:v>
      </x:c>
      <x:c r="U1277" s="19" t="n">
        <x:f>L1277+IF(AND(S1277=1,J1277=1),1,0)</x:f>
        <x:v>2</x:v>
      </x:c>
      <x:c r="V1277" s="19" t="n">
        <x:f>M1277+IF(AND(S1277=1,J1277=2),1,0)</x:f>
        <x:v>2</x:v>
      </x:c>
      <x:c r="W1277" s="19" t="n">
        <x:f>SUM(T1277:V1277)</x:f>
        <x:v>7</x:v>
      </x:c>
      <x:c r="X1277" s="19" t="n">
        <x:f>W1277-G1277</x:f>
        <x:v>1</x:v>
      </x:c>
      <x:c r="Y1277" s="19" t="n">
        <x:f>MAX(T1277,1)+MAX(U1277,1)+MAX(V1277,1)</x:f>
        <x:v>7</x:v>
      </x:c>
      <x:c r="Z1277" s="21" t="str">
        <x:f>IF(AND(MIN(D1277:F1277)&gt;=0,MAX(D1277:F1277)&lt;=7,MAX(D1277,1)+MAX(E1277,1)+MAX(F1277,1)&lt;=9,OR(H1277="-",AND(H1277=0,D1277&gt;0),AND(H1277=1,E1277&gt;0),AND(H1277=2,F1277&gt;0)),OR(I1277=0,AND(I1277=1,OR(J1277=0,J1277=1,J1277=2),R1277&lt;&gt;"000")),Y1277&lt;=9,MIN(T1277:V1277)&gt;=0),"合法","输入违约")</x:f>
        <x:v>合法</x:v>
      </x:c>
    </x:row>
    <x:row r="1278" ht="23" customHeight="1">
      <x:c r="A1278" s="3" t="str">
        <x:v>CT-1271</x:v>
      </x:c>
      <x:c r="B1278" s="3" t="str">
        <x:v>ST-072</x:v>
      </x:c>
      <x:c r="C1278" s="3" t="str">
        <x:v>仅AR接收</x:v>
      </x:c>
      <x:c r="D1278" s="25" t="n">
        <x:v>2</x:v>
      </x:c>
      <x:c r="E1278" s="25" t="n">
        <x:v>2</x:v>
      </x:c>
      <x:c r="F1278" s="25" t="n">
        <x:v>2</x:v>
      </x:c>
      <x:c r="G1278" s="19" t="n">
        <x:f>SUM(D1278:F1278)</x:f>
        <x:v>6</x:v>
      </x:c>
      <x:c r="H1278" s="25" t="str">
        <x:v>-</x:v>
      </x:c>
      <x:c r="I1278" s="25" t="n">
        <x:v>1</x:v>
      </x:c>
      <x:c r="J1278" s="25" t="n">
        <x:v>1</x:v>
      </x:c>
      <x:c r="K1278" s="19" t="n">
        <x:f>D1278-IF(H1278=0,1,0)</x:f>
        <x:v>2</x:v>
      </x:c>
      <x:c r="L1278" s="19" t="n">
        <x:f>E1278-IF(H1278=1,1,0)</x:f>
        <x:v>2</x:v>
      </x:c>
      <x:c r="M1278" s="19" t="n">
        <x:f>F1278-IF(H1278=2,1,0)</x:f>
        <x:v>2</x:v>
      </x:c>
      <x:c r="N1278" s="19" t="n">
        <x:f>MAX(K1278-1,0)+MAX(L1278-1,0)+MAX(M1278-1,0)</x:f>
        <x:v>3</x:v>
      </x:c>
      <x:c r="O1278" s="19" t="n">
        <x:f>IF(AND(SUM(K1278:M1278)&lt;9,OR(M1278=0,N1278&lt;6)),1,0)</x:f>
        <x:v>1</x:v>
      </x:c>
      <x:c r="P1278" s="19" t="n">
        <x:f>IF(AND(SUM(K1278:M1278)&lt;9,OR(L1278=0,N1278&lt;6)),1,0)</x:f>
        <x:v>1</x:v>
      </x:c>
      <x:c r="Q1278" s="19" t="n">
        <x:f>IF(AND(SUM(K1278:M1278)&lt;9,OR(K1278=0,N1278&lt;6)),1,0)</x:f>
        <x:v>1</x:v>
      </x:c>
      <x:c r="R1278" s="22" t="str">
        <x:f>O1278&amp;P1278&amp;Q1278</x:f>
        <x:v>111</x:v>
      </x:c>
      <x:c r="S1278" s="19" t="n">
        <x:f>IF(I1278=1,IF(J1278=0,Q1278,IF(J1278=1,P1278,IF(J1278=2,O1278,0))),0)</x:f>
        <x:v>1</x:v>
      </x:c>
      <x:c r="T1278" s="19" t="n">
        <x:f>K1278+IF(AND(S1278=1,J1278=0),1,0)</x:f>
        <x:v>2</x:v>
      </x:c>
      <x:c r="U1278" s="19" t="n">
        <x:f>L1278+IF(AND(S1278=1,J1278=1),1,0)</x:f>
        <x:v>3</x:v>
      </x:c>
      <x:c r="V1278" s="19" t="n">
        <x:f>M1278+IF(AND(S1278=1,J1278=2),1,0)</x:f>
        <x:v>2</x:v>
      </x:c>
      <x:c r="W1278" s="19" t="n">
        <x:f>SUM(T1278:V1278)</x:f>
        <x:v>7</x:v>
      </x:c>
      <x:c r="X1278" s="19" t="n">
        <x:f>W1278-G1278</x:f>
        <x:v>1</x:v>
      </x:c>
      <x:c r="Y1278" s="19" t="n">
        <x:f>MAX(T1278,1)+MAX(U1278,1)+MAX(V1278,1)</x:f>
        <x:v>7</x:v>
      </x:c>
      <x:c r="Z1278" s="21" t="str">
        <x:f>IF(AND(MIN(D1278:F1278)&gt;=0,MAX(D1278:F1278)&lt;=7,MAX(D1278,1)+MAX(E1278,1)+MAX(F1278,1)&lt;=9,OR(H1278="-",AND(H1278=0,D1278&gt;0),AND(H1278=1,E1278&gt;0),AND(H1278=2,F1278&gt;0)),OR(I1278=0,AND(I1278=1,OR(J1278=0,J1278=1,J1278=2),R1278&lt;&gt;"000")),Y1278&lt;=9,MIN(T1278:V1278)&gt;=0),"合法","输入违约")</x:f>
        <x:v>合法</x:v>
      </x:c>
    </x:row>
    <x:row r="1279" ht="23" customHeight="1">
      <x:c r="A1279" s="3" t="str">
        <x:v>CT-1272</x:v>
      </x:c>
      <x:c r="B1279" s="3" t="str">
        <x:v>ST-072</x:v>
      </x:c>
      <x:c r="C1279" s="3" t="str">
        <x:v>仅AR接收</x:v>
      </x:c>
      <x:c r="D1279" s="25" t="n">
        <x:v>2</x:v>
      </x:c>
      <x:c r="E1279" s="25" t="n">
        <x:v>2</x:v>
      </x:c>
      <x:c r="F1279" s="25" t="n">
        <x:v>2</x:v>
      </x:c>
      <x:c r="G1279" s="19" t="n">
        <x:f>SUM(D1279:F1279)</x:f>
        <x:v>6</x:v>
      </x:c>
      <x:c r="H1279" s="25" t="str">
        <x:v>-</x:v>
      </x:c>
      <x:c r="I1279" s="25" t="n">
        <x:v>1</x:v>
      </x:c>
      <x:c r="J1279" s="25" t="n">
        <x:v>2</x:v>
      </x:c>
      <x:c r="K1279" s="19" t="n">
        <x:f>D1279-IF(H1279=0,1,0)</x:f>
        <x:v>2</x:v>
      </x:c>
      <x:c r="L1279" s="19" t="n">
        <x:f>E1279-IF(H1279=1,1,0)</x:f>
        <x:v>2</x:v>
      </x:c>
      <x:c r="M1279" s="19" t="n">
        <x:f>F1279-IF(H1279=2,1,0)</x:f>
        <x:v>2</x:v>
      </x:c>
      <x:c r="N1279" s="19" t="n">
        <x:f>MAX(K1279-1,0)+MAX(L1279-1,0)+MAX(M1279-1,0)</x:f>
        <x:v>3</x:v>
      </x:c>
      <x:c r="O1279" s="19" t="n">
        <x:f>IF(AND(SUM(K1279:M1279)&lt;9,OR(M1279=0,N1279&lt;6)),1,0)</x:f>
        <x:v>1</x:v>
      </x:c>
      <x:c r="P1279" s="19" t="n">
        <x:f>IF(AND(SUM(K1279:M1279)&lt;9,OR(L1279=0,N1279&lt;6)),1,0)</x:f>
        <x:v>1</x:v>
      </x:c>
      <x:c r="Q1279" s="19" t="n">
        <x:f>IF(AND(SUM(K1279:M1279)&lt;9,OR(K1279=0,N1279&lt;6)),1,0)</x:f>
        <x:v>1</x:v>
      </x:c>
      <x:c r="R1279" s="22" t="str">
        <x:f>O1279&amp;P1279&amp;Q1279</x:f>
        <x:v>111</x:v>
      </x:c>
      <x:c r="S1279" s="19" t="n">
        <x:f>IF(I1279=1,IF(J1279=0,Q1279,IF(J1279=1,P1279,IF(J1279=2,O1279,0))),0)</x:f>
        <x:v>1</x:v>
      </x:c>
      <x:c r="T1279" s="19" t="n">
        <x:f>K1279+IF(AND(S1279=1,J1279=0),1,0)</x:f>
        <x:v>2</x:v>
      </x:c>
      <x:c r="U1279" s="19" t="n">
        <x:f>L1279+IF(AND(S1279=1,J1279=1),1,0)</x:f>
        <x:v>2</x:v>
      </x:c>
      <x:c r="V1279" s="19" t="n">
        <x:f>M1279+IF(AND(S1279=1,J1279=2),1,0)</x:f>
        <x:v>3</x:v>
      </x:c>
      <x:c r="W1279" s="19" t="n">
        <x:f>SUM(T1279:V1279)</x:f>
        <x:v>7</x:v>
      </x:c>
      <x:c r="X1279" s="19" t="n">
        <x:f>W1279-G1279</x:f>
        <x:v>1</x:v>
      </x:c>
      <x:c r="Y1279" s="19" t="n">
        <x:f>MAX(T1279,1)+MAX(U1279,1)+MAX(V1279,1)</x:f>
        <x:v>7</x:v>
      </x:c>
      <x:c r="Z1279" s="21" t="str">
        <x:f>IF(AND(MIN(D1279:F1279)&gt;=0,MAX(D1279:F1279)&lt;=7,MAX(D1279,1)+MAX(E1279,1)+MAX(F1279,1)&lt;=9,OR(H1279="-",AND(H1279=0,D1279&gt;0),AND(H1279=1,E1279&gt;0),AND(H1279=2,F1279&gt;0)),OR(I1279=0,AND(I1279=1,OR(J1279=0,J1279=1,J1279=2),R1279&lt;&gt;"000")),Y1279&lt;=9,MIN(T1279:V1279)&gt;=0),"合法","输入违约")</x:f>
        <x:v>合法</x:v>
      </x:c>
    </x:row>
    <x:row r="1280" ht="23" customHeight="1">
      <x:c r="A1280" s="3" t="str">
        <x:v>CT-1273</x:v>
      </x:c>
      <x:c r="B1280" s="3" t="str">
        <x:v>ST-072</x:v>
      </x:c>
      <x:c r="C1280" s="3" t="str">
        <x:v>仅R回收</x:v>
      </x:c>
      <x:c r="D1280" s="25" t="n">
        <x:v>2</x:v>
      </x:c>
      <x:c r="E1280" s="25" t="n">
        <x:v>2</x:v>
      </x:c>
      <x:c r="F1280" s="25" t="n">
        <x:v>2</x:v>
      </x:c>
      <x:c r="G1280" s="19" t="n">
        <x:f>SUM(D1280:F1280)</x:f>
        <x:v>6</x:v>
      </x:c>
      <x:c r="H1280" s="25" t="n">
        <x:v>0</x:v>
      </x:c>
      <x:c r="I1280" s="25" t="n">
        <x:v>0</x:v>
      </x:c>
      <x:c r="J1280" s="25" t="str">
        <x:v>-</x:v>
      </x:c>
      <x:c r="K1280" s="19" t="n">
        <x:f>D1280-IF(H1280=0,1,0)</x:f>
        <x:v>1</x:v>
      </x:c>
      <x:c r="L1280" s="19" t="n">
        <x:f>E1280-IF(H1280=1,1,0)</x:f>
        <x:v>2</x:v>
      </x:c>
      <x:c r="M1280" s="19" t="n">
        <x:f>F1280-IF(H1280=2,1,0)</x:f>
        <x:v>2</x:v>
      </x:c>
      <x:c r="N1280" s="19" t="n">
        <x:f>MAX(K1280-1,0)+MAX(L1280-1,0)+MAX(M1280-1,0)</x:f>
        <x:v>2</x:v>
      </x:c>
      <x:c r="O1280" s="19" t="n">
        <x:f>IF(AND(SUM(K1280:M1280)&lt;9,OR(M1280=0,N1280&lt;6)),1,0)</x:f>
        <x:v>1</x:v>
      </x:c>
      <x:c r="P1280" s="19" t="n">
        <x:f>IF(AND(SUM(K1280:M1280)&lt;9,OR(L1280=0,N1280&lt;6)),1,0)</x:f>
        <x:v>1</x:v>
      </x:c>
      <x:c r="Q1280" s="19" t="n">
        <x:f>IF(AND(SUM(K1280:M1280)&lt;9,OR(K1280=0,N1280&lt;6)),1,0)</x:f>
        <x:v>1</x:v>
      </x:c>
      <x:c r="R1280" s="22" t="str">
        <x:f>O1280&amp;P1280&amp;Q1280</x:f>
        <x:v>111</x:v>
      </x:c>
      <x:c r="S1280" s="19" t="n">
        <x:f>IF(I1280=1,IF(J1280=0,Q1280,IF(J1280=1,P1280,IF(J1280=2,O1280,0))),0)</x:f>
        <x:v>0</x:v>
      </x:c>
      <x:c r="T1280" s="19" t="n">
        <x:f>K1280+IF(AND(S1280=1,J1280=0),1,0)</x:f>
        <x:v>1</x:v>
      </x:c>
      <x:c r="U1280" s="19" t="n">
        <x:f>L1280+IF(AND(S1280=1,J1280=1),1,0)</x:f>
        <x:v>2</x:v>
      </x:c>
      <x:c r="V1280" s="19" t="n">
        <x:f>M1280+IF(AND(S1280=1,J1280=2),1,0)</x:f>
        <x:v>2</x:v>
      </x:c>
      <x:c r="W1280" s="19" t="n">
        <x:f>SUM(T1280:V1280)</x:f>
        <x:v>5</x:v>
      </x:c>
      <x:c r="X1280" s="19" t="n">
        <x:f>W1280-G1280</x:f>
        <x:v>-1</x:v>
      </x:c>
      <x:c r="Y1280" s="19" t="n">
        <x:f>MAX(T1280,1)+MAX(U1280,1)+MAX(V1280,1)</x:f>
        <x:v>5</x:v>
      </x:c>
      <x:c r="Z1280" s="21" t="str">
        <x:f>IF(AND(MIN(D1280:F1280)&gt;=0,MAX(D1280:F1280)&lt;=7,MAX(D1280,1)+MAX(E1280,1)+MAX(F1280,1)&lt;=9,OR(H1280="-",AND(H1280=0,D1280&gt;0),AND(H1280=1,E1280&gt;0),AND(H1280=2,F1280&gt;0)),OR(I1280=0,AND(I1280=1,OR(J1280=0,J1280=1,J1280=2),R1280&lt;&gt;"000")),Y1280&lt;=9,MIN(T1280:V1280)&gt;=0),"合法","输入违约")</x:f>
        <x:v>合法</x:v>
      </x:c>
    </x:row>
    <x:row r="1281" ht="23" customHeight="1">
      <x:c r="A1281" s="3" t="str">
        <x:v>CT-1274</x:v>
      </x:c>
      <x:c r="B1281" s="3" t="str">
        <x:v>ST-072</x:v>
      </x:c>
      <x:c r="C1281" s="3" t="str">
        <x:v>R+AR同收同发</x:v>
      </x:c>
      <x:c r="D1281" s="25" t="n">
        <x:v>2</x:v>
      </x:c>
      <x:c r="E1281" s="25" t="n">
        <x:v>2</x:v>
      </x:c>
      <x:c r="F1281" s="25" t="n">
        <x:v>2</x:v>
      </x:c>
      <x:c r="G1281" s="19" t="n">
        <x:f>SUM(D1281:F1281)</x:f>
        <x:v>6</x:v>
      </x:c>
      <x:c r="H1281" s="25" t="n">
        <x:v>0</x:v>
      </x:c>
      <x:c r="I1281" s="25" t="n">
        <x:v>1</x:v>
      </x:c>
      <x:c r="J1281" s="25" t="n">
        <x:v>0</x:v>
      </x:c>
      <x:c r="K1281" s="19" t="n">
        <x:f>D1281-IF(H1281=0,1,0)</x:f>
        <x:v>1</x:v>
      </x:c>
      <x:c r="L1281" s="19" t="n">
        <x:f>E1281-IF(H1281=1,1,0)</x:f>
        <x:v>2</x:v>
      </x:c>
      <x:c r="M1281" s="19" t="n">
        <x:f>F1281-IF(H1281=2,1,0)</x:f>
        <x:v>2</x:v>
      </x:c>
      <x:c r="N1281" s="19" t="n">
        <x:f>MAX(K1281-1,0)+MAX(L1281-1,0)+MAX(M1281-1,0)</x:f>
        <x:v>2</x:v>
      </x:c>
      <x:c r="O1281" s="19" t="n">
        <x:f>IF(AND(SUM(K1281:M1281)&lt;9,OR(M1281=0,N1281&lt;6)),1,0)</x:f>
        <x:v>1</x:v>
      </x:c>
      <x:c r="P1281" s="19" t="n">
        <x:f>IF(AND(SUM(K1281:M1281)&lt;9,OR(L1281=0,N1281&lt;6)),1,0)</x:f>
        <x:v>1</x:v>
      </x:c>
      <x:c r="Q1281" s="19" t="n">
        <x:f>IF(AND(SUM(K1281:M1281)&lt;9,OR(K1281=0,N1281&lt;6)),1,0)</x:f>
        <x:v>1</x:v>
      </x:c>
      <x:c r="R1281" s="22" t="str">
        <x:f>O1281&amp;P1281&amp;Q1281</x:f>
        <x:v>111</x:v>
      </x:c>
      <x:c r="S1281" s="19" t="n">
        <x:f>IF(I1281=1,IF(J1281=0,Q1281,IF(J1281=1,P1281,IF(J1281=2,O1281,0))),0)</x:f>
        <x:v>1</x:v>
      </x:c>
      <x:c r="T1281" s="19" t="n">
        <x:f>K1281+IF(AND(S1281=1,J1281=0),1,0)</x:f>
        <x:v>2</x:v>
      </x:c>
      <x:c r="U1281" s="19" t="n">
        <x:f>L1281+IF(AND(S1281=1,J1281=1),1,0)</x:f>
        <x:v>2</x:v>
      </x:c>
      <x:c r="V1281" s="19" t="n">
        <x:f>M1281+IF(AND(S1281=1,J1281=2),1,0)</x:f>
        <x:v>2</x:v>
      </x:c>
      <x:c r="W1281" s="19" t="n">
        <x:f>SUM(T1281:V1281)</x:f>
        <x:v>6</x:v>
      </x:c>
      <x:c r="X1281" s="19" t="n">
        <x:f>W1281-G1281</x:f>
        <x:v>0</x:v>
      </x:c>
      <x:c r="Y1281" s="19" t="n">
        <x:f>MAX(T1281,1)+MAX(U1281,1)+MAX(V1281,1)</x:f>
        <x:v>6</x:v>
      </x:c>
      <x:c r="Z1281" s="21" t="str">
        <x:f>IF(AND(MIN(D1281:F1281)&gt;=0,MAX(D1281:F1281)&lt;=7,MAX(D1281,1)+MAX(E1281,1)+MAX(F1281,1)&lt;=9,OR(H1281="-",AND(H1281=0,D1281&gt;0),AND(H1281=1,E1281&gt;0),AND(H1281=2,F1281&gt;0)),OR(I1281=0,AND(I1281=1,OR(J1281=0,J1281=1,J1281=2),R1281&lt;&gt;"000")),Y1281&lt;=9,MIN(T1281:V1281)&gt;=0),"合法","输入违约")</x:f>
        <x:v>合法</x:v>
      </x:c>
    </x:row>
    <x:row r="1282" ht="23" customHeight="1">
      <x:c r="A1282" s="3" t="str">
        <x:v>CT-1275</x:v>
      </x:c>
      <x:c r="B1282" s="3" t="str">
        <x:v>ST-072</x:v>
      </x:c>
      <x:c r="C1282" s="3" t="str">
        <x:v>R+AR同收同发</x:v>
      </x:c>
      <x:c r="D1282" s="25" t="n">
        <x:v>2</x:v>
      </x:c>
      <x:c r="E1282" s="25" t="n">
        <x:v>2</x:v>
      </x:c>
      <x:c r="F1282" s="25" t="n">
        <x:v>2</x:v>
      </x:c>
      <x:c r="G1282" s="19" t="n">
        <x:f>SUM(D1282:F1282)</x:f>
        <x:v>6</x:v>
      </x:c>
      <x:c r="H1282" s="25" t="n">
        <x:v>0</x:v>
      </x:c>
      <x:c r="I1282" s="25" t="n">
        <x:v>1</x:v>
      </x:c>
      <x:c r="J1282" s="25" t="n">
        <x:v>1</x:v>
      </x:c>
      <x:c r="K1282" s="19" t="n">
        <x:f>D1282-IF(H1282=0,1,0)</x:f>
        <x:v>1</x:v>
      </x:c>
      <x:c r="L1282" s="19" t="n">
        <x:f>E1282-IF(H1282=1,1,0)</x:f>
        <x:v>2</x:v>
      </x:c>
      <x:c r="M1282" s="19" t="n">
        <x:f>F1282-IF(H1282=2,1,0)</x:f>
        <x:v>2</x:v>
      </x:c>
      <x:c r="N1282" s="19" t="n">
        <x:f>MAX(K1282-1,0)+MAX(L1282-1,0)+MAX(M1282-1,0)</x:f>
        <x:v>2</x:v>
      </x:c>
      <x:c r="O1282" s="19" t="n">
        <x:f>IF(AND(SUM(K1282:M1282)&lt;9,OR(M1282=0,N1282&lt;6)),1,0)</x:f>
        <x:v>1</x:v>
      </x:c>
      <x:c r="P1282" s="19" t="n">
        <x:f>IF(AND(SUM(K1282:M1282)&lt;9,OR(L1282=0,N1282&lt;6)),1,0)</x:f>
        <x:v>1</x:v>
      </x:c>
      <x:c r="Q1282" s="19" t="n">
        <x:f>IF(AND(SUM(K1282:M1282)&lt;9,OR(K1282=0,N1282&lt;6)),1,0)</x:f>
        <x:v>1</x:v>
      </x:c>
      <x:c r="R1282" s="22" t="str">
        <x:f>O1282&amp;P1282&amp;Q1282</x:f>
        <x:v>111</x:v>
      </x:c>
      <x:c r="S1282" s="19" t="n">
        <x:f>IF(I1282=1,IF(J1282=0,Q1282,IF(J1282=1,P1282,IF(J1282=2,O1282,0))),0)</x:f>
        <x:v>1</x:v>
      </x:c>
      <x:c r="T1282" s="19" t="n">
        <x:f>K1282+IF(AND(S1282=1,J1282=0),1,0)</x:f>
        <x:v>1</x:v>
      </x:c>
      <x:c r="U1282" s="19" t="n">
        <x:f>L1282+IF(AND(S1282=1,J1282=1),1,0)</x:f>
        <x:v>3</x:v>
      </x:c>
      <x:c r="V1282" s="19" t="n">
        <x:f>M1282+IF(AND(S1282=1,J1282=2),1,0)</x:f>
        <x:v>2</x:v>
      </x:c>
      <x:c r="W1282" s="19" t="n">
        <x:f>SUM(T1282:V1282)</x:f>
        <x:v>6</x:v>
      </x:c>
      <x:c r="X1282" s="19" t="n">
        <x:f>W1282-G1282</x:f>
        <x:v>0</x:v>
      </x:c>
      <x:c r="Y1282" s="19" t="n">
        <x:f>MAX(T1282,1)+MAX(U1282,1)+MAX(V1282,1)</x:f>
        <x:v>6</x:v>
      </x:c>
      <x:c r="Z1282" s="21" t="str">
        <x:f>IF(AND(MIN(D1282:F1282)&gt;=0,MAX(D1282:F1282)&lt;=7,MAX(D1282,1)+MAX(E1282,1)+MAX(F1282,1)&lt;=9,OR(H1282="-",AND(H1282=0,D1282&gt;0),AND(H1282=1,E1282&gt;0),AND(H1282=2,F1282&gt;0)),OR(I1282=0,AND(I1282=1,OR(J1282=0,J1282=1,J1282=2),R1282&lt;&gt;"000")),Y1282&lt;=9,MIN(T1282:V1282)&gt;=0),"合法","输入违约")</x:f>
        <x:v>合法</x:v>
      </x:c>
    </x:row>
    <x:row r="1283" ht="23" customHeight="1">
      <x:c r="A1283" s="3" t="str">
        <x:v>CT-1276</x:v>
      </x:c>
      <x:c r="B1283" s="3" t="str">
        <x:v>ST-072</x:v>
      </x:c>
      <x:c r="C1283" s="3" t="str">
        <x:v>R+AR同收同发</x:v>
      </x:c>
      <x:c r="D1283" s="25" t="n">
        <x:v>2</x:v>
      </x:c>
      <x:c r="E1283" s="25" t="n">
        <x:v>2</x:v>
      </x:c>
      <x:c r="F1283" s="25" t="n">
        <x:v>2</x:v>
      </x:c>
      <x:c r="G1283" s="19" t="n">
        <x:f>SUM(D1283:F1283)</x:f>
        <x:v>6</x:v>
      </x:c>
      <x:c r="H1283" s="25" t="n">
        <x:v>0</x:v>
      </x:c>
      <x:c r="I1283" s="25" t="n">
        <x:v>1</x:v>
      </x:c>
      <x:c r="J1283" s="25" t="n">
        <x:v>2</x:v>
      </x:c>
      <x:c r="K1283" s="19" t="n">
        <x:f>D1283-IF(H1283=0,1,0)</x:f>
        <x:v>1</x:v>
      </x:c>
      <x:c r="L1283" s="19" t="n">
        <x:f>E1283-IF(H1283=1,1,0)</x:f>
        <x:v>2</x:v>
      </x:c>
      <x:c r="M1283" s="19" t="n">
        <x:f>F1283-IF(H1283=2,1,0)</x:f>
        <x:v>2</x:v>
      </x:c>
      <x:c r="N1283" s="19" t="n">
        <x:f>MAX(K1283-1,0)+MAX(L1283-1,0)+MAX(M1283-1,0)</x:f>
        <x:v>2</x:v>
      </x:c>
      <x:c r="O1283" s="19" t="n">
        <x:f>IF(AND(SUM(K1283:M1283)&lt;9,OR(M1283=0,N1283&lt;6)),1,0)</x:f>
        <x:v>1</x:v>
      </x:c>
      <x:c r="P1283" s="19" t="n">
        <x:f>IF(AND(SUM(K1283:M1283)&lt;9,OR(L1283=0,N1283&lt;6)),1,0)</x:f>
        <x:v>1</x:v>
      </x:c>
      <x:c r="Q1283" s="19" t="n">
        <x:f>IF(AND(SUM(K1283:M1283)&lt;9,OR(K1283=0,N1283&lt;6)),1,0)</x:f>
        <x:v>1</x:v>
      </x:c>
      <x:c r="R1283" s="22" t="str">
        <x:f>O1283&amp;P1283&amp;Q1283</x:f>
        <x:v>111</x:v>
      </x:c>
      <x:c r="S1283" s="19" t="n">
        <x:f>IF(I1283=1,IF(J1283=0,Q1283,IF(J1283=1,P1283,IF(J1283=2,O1283,0))),0)</x:f>
        <x:v>1</x:v>
      </x:c>
      <x:c r="T1283" s="19" t="n">
        <x:f>K1283+IF(AND(S1283=1,J1283=0),1,0)</x:f>
        <x:v>1</x:v>
      </x:c>
      <x:c r="U1283" s="19" t="n">
        <x:f>L1283+IF(AND(S1283=1,J1283=1),1,0)</x:f>
        <x:v>2</x:v>
      </x:c>
      <x:c r="V1283" s="19" t="n">
        <x:f>M1283+IF(AND(S1283=1,J1283=2),1,0)</x:f>
        <x:v>3</x:v>
      </x:c>
      <x:c r="W1283" s="19" t="n">
        <x:f>SUM(T1283:V1283)</x:f>
        <x:v>6</x:v>
      </x:c>
      <x:c r="X1283" s="19" t="n">
        <x:f>W1283-G1283</x:f>
        <x:v>0</x:v>
      </x:c>
      <x:c r="Y1283" s="19" t="n">
        <x:f>MAX(T1283,1)+MAX(U1283,1)+MAX(V1283,1)</x:f>
        <x:v>6</x:v>
      </x:c>
      <x:c r="Z1283" s="21" t="str">
        <x:f>IF(AND(MIN(D1283:F1283)&gt;=0,MAX(D1283:F1283)&lt;=7,MAX(D1283,1)+MAX(E1283,1)+MAX(F1283,1)&lt;=9,OR(H1283="-",AND(H1283=0,D1283&gt;0),AND(H1283=1,E1283&gt;0),AND(H1283=2,F1283&gt;0)),OR(I1283=0,AND(I1283=1,OR(J1283=0,J1283=1,J1283=2),R1283&lt;&gt;"000")),Y1283&lt;=9,MIN(T1283:V1283)&gt;=0),"合法","输入违约")</x:f>
        <x:v>合法</x:v>
      </x:c>
    </x:row>
    <x:row r="1284" ht="23" customHeight="1">
      <x:c r="A1284" s="3" t="str">
        <x:v>CT-1277</x:v>
      </x:c>
      <x:c r="B1284" s="3" t="str">
        <x:v>ST-072</x:v>
      </x:c>
      <x:c r="C1284" s="3" t="str">
        <x:v>仅R回收</x:v>
      </x:c>
      <x:c r="D1284" s="25" t="n">
        <x:v>2</x:v>
      </x:c>
      <x:c r="E1284" s="25" t="n">
        <x:v>2</x:v>
      </x:c>
      <x:c r="F1284" s="25" t="n">
        <x:v>2</x:v>
      </x:c>
      <x:c r="G1284" s="19" t="n">
        <x:f>SUM(D1284:F1284)</x:f>
        <x:v>6</x:v>
      </x:c>
      <x:c r="H1284" s="25" t="n">
        <x:v>1</x:v>
      </x:c>
      <x:c r="I1284" s="25" t="n">
        <x:v>0</x:v>
      </x:c>
      <x:c r="J1284" s="25" t="str">
        <x:v>-</x:v>
      </x:c>
      <x:c r="K1284" s="19" t="n">
        <x:f>D1284-IF(H1284=0,1,0)</x:f>
        <x:v>2</x:v>
      </x:c>
      <x:c r="L1284" s="19" t="n">
        <x:f>E1284-IF(H1284=1,1,0)</x:f>
        <x:v>1</x:v>
      </x:c>
      <x:c r="M1284" s="19" t="n">
        <x:f>F1284-IF(H1284=2,1,0)</x:f>
        <x:v>2</x:v>
      </x:c>
      <x:c r="N1284" s="19" t="n">
        <x:f>MAX(K1284-1,0)+MAX(L1284-1,0)+MAX(M1284-1,0)</x:f>
        <x:v>2</x:v>
      </x:c>
      <x:c r="O1284" s="19" t="n">
        <x:f>IF(AND(SUM(K1284:M1284)&lt;9,OR(M1284=0,N1284&lt;6)),1,0)</x:f>
        <x:v>1</x:v>
      </x:c>
      <x:c r="P1284" s="19" t="n">
        <x:f>IF(AND(SUM(K1284:M1284)&lt;9,OR(L1284=0,N1284&lt;6)),1,0)</x:f>
        <x:v>1</x:v>
      </x:c>
      <x:c r="Q1284" s="19" t="n">
        <x:f>IF(AND(SUM(K1284:M1284)&lt;9,OR(K1284=0,N1284&lt;6)),1,0)</x:f>
        <x:v>1</x:v>
      </x:c>
      <x:c r="R1284" s="22" t="str">
        <x:f>O1284&amp;P1284&amp;Q1284</x:f>
        <x:v>111</x:v>
      </x:c>
      <x:c r="S1284" s="19" t="n">
        <x:f>IF(I1284=1,IF(J1284=0,Q1284,IF(J1284=1,P1284,IF(J1284=2,O1284,0))),0)</x:f>
        <x:v>0</x:v>
      </x:c>
      <x:c r="T1284" s="19" t="n">
        <x:f>K1284+IF(AND(S1284=1,J1284=0),1,0)</x:f>
        <x:v>2</x:v>
      </x:c>
      <x:c r="U1284" s="19" t="n">
        <x:f>L1284+IF(AND(S1284=1,J1284=1),1,0)</x:f>
        <x:v>1</x:v>
      </x:c>
      <x:c r="V1284" s="19" t="n">
        <x:f>M1284+IF(AND(S1284=1,J1284=2),1,0)</x:f>
        <x:v>2</x:v>
      </x:c>
      <x:c r="W1284" s="19" t="n">
        <x:f>SUM(T1284:V1284)</x:f>
        <x:v>5</x:v>
      </x:c>
      <x:c r="X1284" s="19" t="n">
        <x:f>W1284-G1284</x:f>
        <x:v>-1</x:v>
      </x:c>
      <x:c r="Y1284" s="19" t="n">
        <x:f>MAX(T1284,1)+MAX(U1284,1)+MAX(V1284,1)</x:f>
        <x:v>5</x:v>
      </x:c>
      <x:c r="Z1284" s="21" t="str">
        <x:f>IF(AND(MIN(D1284:F1284)&gt;=0,MAX(D1284:F1284)&lt;=7,MAX(D1284,1)+MAX(E1284,1)+MAX(F1284,1)&lt;=9,OR(H1284="-",AND(H1284=0,D1284&gt;0),AND(H1284=1,E1284&gt;0),AND(H1284=2,F1284&gt;0)),OR(I1284=0,AND(I1284=1,OR(J1284=0,J1284=1,J1284=2),R1284&lt;&gt;"000")),Y1284&lt;=9,MIN(T1284:V1284)&gt;=0),"合法","输入违约")</x:f>
        <x:v>合法</x:v>
      </x:c>
    </x:row>
    <x:row r="1285" ht="23" customHeight="1">
      <x:c r="A1285" s="3" t="str">
        <x:v>CT-1278</x:v>
      </x:c>
      <x:c r="B1285" s="3" t="str">
        <x:v>ST-072</x:v>
      </x:c>
      <x:c r="C1285" s="3" t="str">
        <x:v>R+AR同收同发</x:v>
      </x:c>
      <x:c r="D1285" s="25" t="n">
        <x:v>2</x:v>
      </x:c>
      <x:c r="E1285" s="25" t="n">
        <x:v>2</x:v>
      </x:c>
      <x:c r="F1285" s="25" t="n">
        <x:v>2</x:v>
      </x:c>
      <x:c r="G1285" s="19" t="n">
        <x:f>SUM(D1285:F1285)</x:f>
        <x:v>6</x:v>
      </x:c>
      <x:c r="H1285" s="25" t="n">
        <x:v>1</x:v>
      </x:c>
      <x:c r="I1285" s="25" t="n">
        <x:v>1</x:v>
      </x:c>
      <x:c r="J1285" s="25" t="n">
        <x:v>0</x:v>
      </x:c>
      <x:c r="K1285" s="19" t="n">
        <x:f>D1285-IF(H1285=0,1,0)</x:f>
        <x:v>2</x:v>
      </x:c>
      <x:c r="L1285" s="19" t="n">
        <x:f>E1285-IF(H1285=1,1,0)</x:f>
        <x:v>1</x:v>
      </x:c>
      <x:c r="M1285" s="19" t="n">
        <x:f>F1285-IF(H1285=2,1,0)</x:f>
        <x:v>2</x:v>
      </x:c>
      <x:c r="N1285" s="19" t="n">
        <x:f>MAX(K1285-1,0)+MAX(L1285-1,0)+MAX(M1285-1,0)</x:f>
        <x:v>2</x:v>
      </x:c>
      <x:c r="O1285" s="19" t="n">
        <x:f>IF(AND(SUM(K1285:M1285)&lt;9,OR(M1285=0,N1285&lt;6)),1,0)</x:f>
        <x:v>1</x:v>
      </x:c>
      <x:c r="P1285" s="19" t="n">
        <x:f>IF(AND(SUM(K1285:M1285)&lt;9,OR(L1285=0,N1285&lt;6)),1,0)</x:f>
        <x:v>1</x:v>
      </x:c>
      <x:c r="Q1285" s="19" t="n">
        <x:f>IF(AND(SUM(K1285:M1285)&lt;9,OR(K1285=0,N1285&lt;6)),1,0)</x:f>
        <x:v>1</x:v>
      </x:c>
      <x:c r="R1285" s="22" t="str">
        <x:f>O1285&amp;P1285&amp;Q1285</x:f>
        <x:v>111</x:v>
      </x:c>
      <x:c r="S1285" s="19" t="n">
        <x:f>IF(I1285=1,IF(J1285=0,Q1285,IF(J1285=1,P1285,IF(J1285=2,O1285,0))),0)</x:f>
        <x:v>1</x:v>
      </x:c>
      <x:c r="T1285" s="19" t="n">
        <x:f>K1285+IF(AND(S1285=1,J1285=0),1,0)</x:f>
        <x:v>3</x:v>
      </x:c>
      <x:c r="U1285" s="19" t="n">
        <x:f>L1285+IF(AND(S1285=1,J1285=1),1,0)</x:f>
        <x:v>1</x:v>
      </x:c>
      <x:c r="V1285" s="19" t="n">
        <x:f>M1285+IF(AND(S1285=1,J1285=2),1,0)</x:f>
        <x:v>2</x:v>
      </x:c>
      <x:c r="W1285" s="19" t="n">
        <x:f>SUM(T1285:V1285)</x:f>
        <x:v>6</x:v>
      </x:c>
      <x:c r="X1285" s="19" t="n">
        <x:f>W1285-G1285</x:f>
        <x:v>0</x:v>
      </x:c>
      <x:c r="Y1285" s="19" t="n">
        <x:f>MAX(T1285,1)+MAX(U1285,1)+MAX(V1285,1)</x:f>
        <x:v>6</x:v>
      </x:c>
      <x:c r="Z1285" s="21" t="str">
        <x:f>IF(AND(MIN(D1285:F1285)&gt;=0,MAX(D1285:F1285)&lt;=7,MAX(D1285,1)+MAX(E1285,1)+MAX(F1285,1)&lt;=9,OR(H1285="-",AND(H1285=0,D1285&gt;0),AND(H1285=1,E1285&gt;0),AND(H1285=2,F1285&gt;0)),OR(I1285=0,AND(I1285=1,OR(J1285=0,J1285=1,J1285=2),R1285&lt;&gt;"000")),Y1285&lt;=9,MIN(T1285:V1285)&gt;=0),"合法","输入违约")</x:f>
        <x:v>合法</x:v>
      </x:c>
    </x:row>
    <x:row r="1286" ht="23" customHeight="1">
      <x:c r="A1286" s="3" t="str">
        <x:v>CT-1279</x:v>
      </x:c>
      <x:c r="B1286" s="3" t="str">
        <x:v>ST-072</x:v>
      </x:c>
      <x:c r="C1286" s="3" t="str">
        <x:v>R+AR同收同发</x:v>
      </x:c>
      <x:c r="D1286" s="25" t="n">
        <x:v>2</x:v>
      </x:c>
      <x:c r="E1286" s="25" t="n">
        <x:v>2</x:v>
      </x:c>
      <x:c r="F1286" s="25" t="n">
        <x:v>2</x:v>
      </x:c>
      <x:c r="G1286" s="19" t="n">
        <x:f>SUM(D1286:F1286)</x:f>
        <x:v>6</x:v>
      </x:c>
      <x:c r="H1286" s="25" t="n">
        <x:v>1</x:v>
      </x:c>
      <x:c r="I1286" s="25" t="n">
        <x:v>1</x:v>
      </x:c>
      <x:c r="J1286" s="25" t="n">
        <x:v>1</x:v>
      </x:c>
      <x:c r="K1286" s="19" t="n">
        <x:f>D1286-IF(H1286=0,1,0)</x:f>
        <x:v>2</x:v>
      </x:c>
      <x:c r="L1286" s="19" t="n">
        <x:f>E1286-IF(H1286=1,1,0)</x:f>
        <x:v>1</x:v>
      </x:c>
      <x:c r="M1286" s="19" t="n">
        <x:f>F1286-IF(H1286=2,1,0)</x:f>
        <x:v>2</x:v>
      </x:c>
      <x:c r="N1286" s="19" t="n">
        <x:f>MAX(K1286-1,0)+MAX(L1286-1,0)+MAX(M1286-1,0)</x:f>
        <x:v>2</x:v>
      </x:c>
      <x:c r="O1286" s="19" t="n">
        <x:f>IF(AND(SUM(K1286:M1286)&lt;9,OR(M1286=0,N1286&lt;6)),1,0)</x:f>
        <x:v>1</x:v>
      </x:c>
      <x:c r="P1286" s="19" t="n">
        <x:f>IF(AND(SUM(K1286:M1286)&lt;9,OR(L1286=0,N1286&lt;6)),1,0)</x:f>
        <x:v>1</x:v>
      </x:c>
      <x:c r="Q1286" s="19" t="n">
        <x:f>IF(AND(SUM(K1286:M1286)&lt;9,OR(K1286=0,N1286&lt;6)),1,0)</x:f>
        <x:v>1</x:v>
      </x:c>
      <x:c r="R1286" s="22" t="str">
        <x:f>O1286&amp;P1286&amp;Q1286</x:f>
        <x:v>111</x:v>
      </x:c>
      <x:c r="S1286" s="19" t="n">
        <x:f>IF(I1286=1,IF(J1286=0,Q1286,IF(J1286=1,P1286,IF(J1286=2,O1286,0))),0)</x:f>
        <x:v>1</x:v>
      </x:c>
      <x:c r="T1286" s="19" t="n">
        <x:f>K1286+IF(AND(S1286=1,J1286=0),1,0)</x:f>
        <x:v>2</x:v>
      </x:c>
      <x:c r="U1286" s="19" t="n">
        <x:f>L1286+IF(AND(S1286=1,J1286=1),1,0)</x:f>
        <x:v>2</x:v>
      </x:c>
      <x:c r="V1286" s="19" t="n">
        <x:f>M1286+IF(AND(S1286=1,J1286=2),1,0)</x:f>
        <x:v>2</x:v>
      </x:c>
      <x:c r="W1286" s="19" t="n">
        <x:f>SUM(T1286:V1286)</x:f>
        <x:v>6</x:v>
      </x:c>
      <x:c r="X1286" s="19" t="n">
        <x:f>W1286-G1286</x:f>
        <x:v>0</x:v>
      </x:c>
      <x:c r="Y1286" s="19" t="n">
        <x:f>MAX(T1286,1)+MAX(U1286,1)+MAX(V1286,1)</x:f>
        <x:v>6</x:v>
      </x:c>
      <x:c r="Z1286" s="21" t="str">
        <x:f>IF(AND(MIN(D1286:F1286)&gt;=0,MAX(D1286:F1286)&lt;=7,MAX(D1286,1)+MAX(E1286,1)+MAX(F1286,1)&lt;=9,OR(H1286="-",AND(H1286=0,D1286&gt;0),AND(H1286=1,E1286&gt;0),AND(H1286=2,F1286&gt;0)),OR(I1286=0,AND(I1286=1,OR(J1286=0,J1286=1,J1286=2),R1286&lt;&gt;"000")),Y1286&lt;=9,MIN(T1286:V1286)&gt;=0),"合法","输入违约")</x:f>
        <x:v>合法</x:v>
      </x:c>
    </x:row>
    <x:row r="1287" ht="23" customHeight="1">
      <x:c r="A1287" s="3" t="str">
        <x:v>CT-1280</x:v>
      </x:c>
      <x:c r="B1287" s="3" t="str">
        <x:v>ST-072</x:v>
      </x:c>
      <x:c r="C1287" s="3" t="str">
        <x:v>R+AR同收同发</x:v>
      </x:c>
      <x:c r="D1287" s="25" t="n">
        <x:v>2</x:v>
      </x:c>
      <x:c r="E1287" s="25" t="n">
        <x:v>2</x:v>
      </x:c>
      <x:c r="F1287" s="25" t="n">
        <x:v>2</x:v>
      </x:c>
      <x:c r="G1287" s="19" t="n">
        <x:f>SUM(D1287:F1287)</x:f>
        <x:v>6</x:v>
      </x:c>
      <x:c r="H1287" s="25" t="n">
        <x:v>1</x:v>
      </x:c>
      <x:c r="I1287" s="25" t="n">
        <x:v>1</x:v>
      </x:c>
      <x:c r="J1287" s="25" t="n">
        <x:v>2</x:v>
      </x:c>
      <x:c r="K1287" s="19" t="n">
        <x:f>D1287-IF(H1287=0,1,0)</x:f>
        <x:v>2</x:v>
      </x:c>
      <x:c r="L1287" s="19" t="n">
        <x:f>E1287-IF(H1287=1,1,0)</x:f>
        <x:v>1</x:v>
      </x:c>
      <x:c r="M1287" s="19" t="n">
        <x:f>F1287-IF(H1287=2,1,0)</x:f>
        <x:v>2</x:v>
      </x:c>
      <x:c r="N1287" s="19" t="n">
        <x:f>MAX(K1287-1,0)+MAX(L1287-1,0)+MAX(M1287-1,0)</x:f>
        <x:v>2</x:v>
      </x:c>
      <x:c r="O1287" s="19" t="n">
        <x:f>IF(AND(SUM(K1287:M1287)&lt;9,OR(M1287=0,N1287&lt;6)),1,0)</x:f>
        <x:v>1</x:v>
      </x:c>
      <x:c r="P1287" s="19" t="n">
        <x:f>IF(AND(SUM(K1287:M1287)&lt;9,OR(L1287=0,N1287&lt;6)),1,0)</x:f>
        <x:v>1</x:v>
      </x:c>
      <x:c r="Q1287" s="19" t="n">
        <x:f>IF(AND(SUM(K1287:M1287)&lt;9,OR(K1287=0,N1287&lt;6)),1,0)</x:f>
        <x:v>1</x:v>
      </x:c>
      <x:c r="R1287" s="22" t="str">
        <x:f>O1287&amp;P1287&amp;Q1287</x:f>
        <x:v>111</x:v>
      </x:c>
      <x:c r="S1287" s="19" t="n">
        <x:f>IF(I1287=1,IF(J1287=0,Q1287,IF(J1287=1,P1287,IF(J1287=2,O1287,0))),0)</x:f>
        <x:v>1</x:v>
      </x:c>
      <x:c r="T1287" s="19" t="n">
        <x:f>K1287+IF(AND(S1287=1,J1287=0),1,0)</x:f>
        <x:v>2</x:v>
      </x:c>
      <x:c r="U1287" s="19" t="n">
        <x:f>L1287+IF(AND(S1287=1,J1287=1),1,0)</x:f>
        <x:v>1</x:v>
      </x:c>
      <x:c r="V1287" s="19" t="n">
        <x:f>M1287+IF(AND(S1287=1,J1287=2),1,0)</x:f>
        <x:v>3</x:v>
      </x:c>
      <x:c r="W1287" s="19" t="n">
        <x:f>SUM(T1287:V1287)</x:f>
        <x:v>6</x:v>
      </x:c>
      <x:c r="X1287" s="19" t="n">
        <x:f>W1287-G1287</x:f>
        <x:v>0</x:v>
      </x:c>
      <x:c r="Y1287" s="19" t="n">
        <x:f>MAX(T1287,1)+MAX(U1287,1)+MAX(V1287,1)</x:f>
        <x:v>6</x:v>
      </x:c>
      <x:c r="Z1287" s="21" t="str">
        <x:f>IF(AND(MIN(D1287:F1287)&gt;=0,MAX(D1287:F1287)&lt;=7,MAX(D1287,1)+MAX(E1287,1)+MAX(F1287,1)&lt;=9,OR(H1287="-",AND(H1287=0,D1287&gt;0),AND(H1287=1,E1287&gt;0),AND(H1287=2,F1287&gt;0)),OR(I1287=0,AND(I1287=1,OR(J1287=0,J1287=1,J1287=2),R1287&lt;&gt;"000")),Y1287&lt;=9,MIN(T1287:V1287)&gt;=0),"合法","输入违约")</x:f>
        <x:v>合法</x:v>
      </x:c>
    </x:row>
    <x:row r="1288" ht="23" customHeight="1">
      <x:c r="A1288" s="3" t="str">
        <x:v>CT-1281</x:v>
      </x:c>
      <x:c r="B1288" s="3" t="str">
        <x:v>ST-072</x:v>
      </x:c>
      <x:c r="C1288" s="3" t="str">
        <x:v>仅R回收</x:v>
      </x:c>
      <x:c r="D1288" s="25" t="n">
        <x:v>2</x:v>
      </x:c>
      <x:c r="E1288" s="25" t="n">
        <x:v>2</x:v>
      </x:c>
      <x:c r="F1288" s="25" t="n">
        <x:v>2</x:v>
      </x:c>
      <x:c r="G1288" s="19" t="n">
        <x:f>SUM(D1288:F1288)</x:f>
        <x:v>6</x:v>
      </x:c>
      <x:c r="H1288" s="25" t="n">
        <x:v>2</x:v>
      </x:c>
      <x:c r="I1288" s="25" t="n">
        <x:v>0</x:v>
      </x:c>
      <x:c r="J1288" s="25" t="str">
        <x:v>-</x:v>
      </x:c>
      <x:c r="K1288" s="19" t="n">
        <x:f>D1288-IF(H1288=0,1,0)</x:f>
        <x:v>2</x:v>
      </x:c>
      <x:c r="L1288" s="19" t="n">
        <x:f>E1288-IF(H1288=1,1,0)</x:f>
        <x:v>2</x:v>
      </x:c>
      <x:c r="M1288" s="19" t="n">
        <x:f>F1288-IF(H1288=2,1,0)</x:f>
        <x:v>1</x:v>
      </x:c>
      <x:c r="N1288" s="19" t="n">
        <x:f>MAX(K1288-1,0)+MAX(L1288-1,0)+MAX(M1288-1,0)</x:f>
        <x:v>2</x:v>
      </x:c>
      <x:c r="O1288" s="19" t="n">
        <x:f>IF(AND(SUM(K1288:M1288)&lt;9,OR(M1288=0,N1288&lt;6)),1,0)</x:f>
        <x:v>1</x:v>
      </x:c>
      <x:c r="P1288" s="19" t="n">
        <x:f>IF(AND(SUM(K1288:M1288)&lt;9,OR(L1288=0,N1288&lt;6)),1,0)</x:f>
        <x:v>1</x:v>
      </x:c>
      <x:c r="Q1288" s="19" t="n">
        <x:f>IF(AND(SUM(K1288:M1288)&lt;9,OR(K1288=0,N1288&lt;6)),1,0)</x:f>
        <x:v>1</x:v>
      </x:c>
      <x:c r="R1288" s="22" t="str">
        <x:f>O1288&amp;P1288&amp;Q1288</x:f>
        <x:v>111</x:v>
      </x:c>
      <x:c r="S1288" s="19" t="n">
        <x:f>IF(I1288=1,IF(J1288=0,Q1288,IF(J1288=1,P1288,IF(J1288=2,O1288,0))),0)</x:f>
        <x:v>0</x:v>
      </x:c>
      <x:c r="T1288" s="19" t="n">
        <x:f>K1288+IF(AND(S1288=1,J1288=0),1,0)</x:f>
        <x:v>2</x:v>
      </x:c>
      <x:c r="U1288" s="19" t="n">
        <x:f>L1288+IF(AND(S1288=1,J1288=1),1,0)</x:f>
        <x:v>2</x:v>
      </x:c>
      <x:c r="V1288" s="19" t="n">
        <x:f>M1288+IF(AND(S1288=1,J1288=2),1,0)</x:f>
        <x:v>1</x:v>
      </x:c>
      <x:c r="W1288" s="19" t="n">
        <x:f>SUM(T1288:V1288)</x:f>
        <x:v>5</x:v>
      </x:c>
      <x:c r="X1288" s="19" t="n">
        <x:f>W1288-G1288</x:f>
        <x:v>-1</x:v>
      </x:c>
      <x:c r="Y1288" s="19" t="n">
        <x:f>MAX(T1288,1)+MAX(U1288,1)+MAX(V1288,1)</x:f>
        <x:v>5</x:v>
      </x:c>
      <x:c r="Z1288" s="21" t="str">
        <x:f>IF(AND(MIN(D1288:F1288)&gt;=0,MAX(D1288:F1288)&lt;=7,MAX(D1288,1)+MAX(E1288,1)+MAX(F1288,1)&lt;=9,OR(H1288="-",AND(H1288=0,D1288&gt;0),AND(H1288=1,E1288&gt;0),AND(H1288=2,F1288&gt;0)),OR(I1288=0,AND(I1288=1,OR(J1288=0,J1288=1,J1288=2),R1288&lt;&gt;"000")),Y1288&lt;=9,MIN(T1288:V1288)&gt;=0),"合法","输入违约")</x:f>
        <x:v>合法</x:v>
      </x:c>
    </x:row>
    <x:row r="1289" ht="23" customHeight="1">
      <x:c r="A1289" s="3" t="str">
        <x:v>CT-1282</x:v>
      </x:c>
      <x:c r="B1289" s="3" t="str">
        <x:v>ST-072</x:v>
      </x:c>
      <x:c r="C1289" s="3" t="str">
        <x:v>R+AR同收同发</x:v>
      </x:c>
      <x:c r="D1289" s="25" t="n">
        <x:v>2</x:v>
      </x:c>
      <x:c r="E1289" s="25" t="n">
        <x:v>2</x:v>
      </x:c>
      <x:c r="F1289" s="25" t="n">
        <x:v>2</x:v>
      </x:c>
      <x:c r="G1289" s="19" t="n">
        <x:f>SUM(D1289:F1289)</x:f>
        <x:v>6</x:v>
      </x:c>
      <x:c r="H1289" s="25" t="n">
        <x:v>2</x:v>
      </x:c>
      <x:c r="I1289" s="25" t="n">
        <x:v>1</x:v>
      </x:c>
      <x:c r="J1289" s="25" t="n">
        <x:v>0</x:v>
      </x:c>
      <x:c r="K1289" s="19" t="n">
        <x:f>D1289-IF(H1289=0,1,0)</x:f>
        <x:v>2</x:v>
      </x:c>
      <x:c r="L1289" s="19" t="n">
        <x:f>E1289-IF(H1289=1,1,0)</x:f>
        <x:v>2</x:v>
      </x:c>
      <x:c r="M1289" s="19" t="n">
        <x:f>F1289-IF(H1289=2,1,0)</x:f>
        <x:v>1</x:v>
      </x:c>
      <x:c r="N1289" s="19" t="n">
        <x:f>MAX(K1289-1,0)+MAX(L1289-1,0)+MAX(M1289-1,0)</x:f>
        <x:v>2</x:v>
      </x:c>
      <x:c r="O1289" s="19" t="n">
        <x:f>IF(AND(SUM(K1289:M1289)&lt;9,OR(M1289=0,N1289&lt;6)),1,0)</x:f>
        <x:v>1</x:v>
      </x:c>
      <x:c r="P1289" s="19" t="n">
        <x:f>IF(AND(SUM(K1289:M1289)&lt;9,OR(L1289=0,N1289&lt;6)),1,0)</x:f>
        <x:v>1</x:v>
      </x:c>
      <x:c r="Q1289" s="19" t="n">
        <x:f>IF(AND(SUM(K1289:M1289)&lt;9,OR(K1289=0,N1289&lt;6)),1,0)</x:f>
        <x:v>1</x:v>
      </x:c>
      <x:c r="R1289" s="22" t="str">
        <x:f>O1289&amp;P1289&amp;Q1289</x:f>
        <x:v>111</x:v>
      </x:c>
      <x:c r="S1289" s="19" t="n">
        <x:f>IF(I1289=1,IF(J1289=0,Q1289,IF(J1289=1,P1289,IF(J1289=2,O1289,0))),0)</x:f>
        <x:v>1</x:v>
      </x:c>
      <x:c r="T1289" s="19" t="n">
        <x:f>K1289+IF(AND(S1289=1,J1289=0),1,0)</x:f>
        <x:v>3</x:v>
      </x:c>
      <x:c r="U1289" s="19" t="n">
        <x:f>L1289+IF(AND(S1289=1,J1289=1),1,0)</x:f>
        <x:v>2</x:v>
      </x:c>
      <x:c r="V1289" s="19" t="n">
        <x:f>M1289+IF(AND(S1289=1,J1289=2),1,0)</x:f>
        <x:v>1</x:v>
      </x:c>
      <x:c r="W1289" s="19" t="n">
        <x:f>SUM(T1289:V1289)</x:f>
        <x:v>6</x:v>
      </x:c>
      <x:c r="X1289" s="19" t="n">
        <x:f>W1289-G1289</x:f>
        <x:v>0</x:v>
      </x:c>
      <x:c r="Y1289" s="19" t="n">
        <x:f>MAX(T1289,1)+MAX(U1289,1)+MAX(V1289,1)</x:f>
        <x:v>6</x:v>
      </x:c>
      <x:c r="Z1289" s="21" t="str">
        <x:f>IF(AND(MIN(D1289:F1289)&gt;=0,MAX(D1289:F1289)&lt;=7,MAX(D1289,1)+MAX(E1289,1)+MAX(F1289,1)&lt;=9,OR(H1289="-",AND(H1289=0,D1289&gt;0),AND(H1289=1,E1289&gt;0),AND(H1289=2,F1289&gt;0)),OR(I1289=0,AND(I1289=1,OR(J1289=0,J1289=1,J1289=2),R1289&lt;&gt;"000")),Y1289&lt;=9,MIN(T1289:V1289)&gt;=0),"合法","输入违约")</x:f>
        <x:v>合法</x:v>
      </x:c>
    </x:row>
    <x:row r="1290" ht="23" customHeight="1">
      <x:c r="A1290" s="3" t="str">
        <x:v>CT-1283</x:v>
      </x:c>
      <x:c r="B1290" s="3" t="str">
        <x:v>ST-072</x:v>
      </x:c>
      <x:c r="C1290" s="3" t="str">
        <x:v>R+AR同收同发</x:v>
      </x:c>
      <x:c r="D1290" s="25" t="n">
        <x:v>2</x:v>
      </x:c>
      <x:c r="E1290" s="25" t="n">
        <x:v>2</x:v>
      </x:c>
      <x:c r="F1290" s="25" t="n">
        <x:v>2</x:v>
      </x:c>
      <x:c r="G1290" s="19" t="n">
        <x:f>SUM(D1290:F1290)</x:f>
        <x:v>6</x:v>
      </x:c>
      <x:c r="H1290" s="25" t="n">
        <x:v>2</x:v>
      </x:c>
      <x:c r="I1290" s="25" t="n">
        <x:v>1</x:v>
      </x:c>
      <x:c r="J1290" s="25" t="n">
        <x:v>1</x:v>
      </x:c>
      <x:c r="K1290" s="19" t="n">
        <x:f>D1290-IF(H1290=0,1,0)</x:f>
        <x:v>2</x:v>
      </x:c>
      <x:c r="L1290" s="19" t="n">
        <x:f>E1290-IF(H1290=1,1,0)</x:f>
        <x:v>2</x:v>
      </x:c>
      <x:c r="M1290" s="19" t="n">
        <x:f>F1290-IF(H1290=2,1,0)</x:f>
        <x:v>1</x:v>
      </x:c>
      <x:c r="N1290" s="19" t="n">
        <x:f>MAX(K1290-1,0)+MAX(L1290-1,0)+MAX(M1290-1,0)</x:f>
        <x:v>2</x:v>
      </x:c>
      <x:c r="O1290" s="19" t="n">
        <x:f>IF(AND(SUM(K1290:M1290)&lt;9,OR(M1290=0,N1290&lt;6)),1,0)</x:f>
        <x:v>1</x:v>
      </x:c>
      <x:c r="P1290" s="19" t="n">
        <x:f>IF(AND(SUM(K1290:M1290)&lt;9,OR(L1290=0,N1290&lt;6)),1,0)</x:f>
        <x:v>1</x:v>
      </x:c>
      <x:c r="Q1290" s="19" t="n">
        <x:f>IF(AND(SUM(K1290:M1290)&lt;9,OR(K1290=0,N1290&lt;6)),1,0)</x:f>
        <x:v>1</x:v>
      </x:c>
      <x:c r="R1290" s="22" t="str">
        <x:f>O1290&amp;P1290&amp;Q1290</x:f>
        <x:v>111</x:v>
      </x:c>
      <x:c r="S1290" s="19" t="n">
        <x:f>IF(I1290=1,IF(J1290=0,Q1290,IF(J1290=1,P1290,IF(J1290=2,O1290,0))),0)</x:f>
        <x:v>1</x:v>
      </x:c>
      <x:c r="T1290" s="19" t="n">
        <x:f>K1290+IF(AND(S1290=1,J1290=0),1,0)</x:f>
        <x:v>2</x:v>
      </x:c>
      <x:c r="U1290" s="19" t="n">
        <x:f>L1290+IF(AND(S1290=1,J1290=1),1,0)</x:f>
        <x:v>3</x:v>
      </x:c>
      <x:c r="V1290" s="19" t="n">
        <x:f>M1290+IF(AND(S1290=1,J1290=2),1,0)</x:f>
        <x:v>1</x:v>
      </x:c>
      <x:c r="W1290" s="19" t="n">
        <x:f>SUM(T1290:V1290)</x:f>
        <x:v>6</x:v>
      </x:c>
      <x:c r="X1290" s="19" t="n">
        <x:f>W1290-G1290</x:f>
        <x:v>0</x:v>
      </x:c>
      <x:c r="Y1290" s="19" t="n">
        <x:f>MAX(T1290,1)+MAX(U1290,1)+MAX(V1290,1)</x:f>
        <x:v>6</x:v>
      </x:c>
      <x:c r="Z1290" s="21" t="str">
        <x:f>IF(AND(MIN(D1290:F1290)&gt;=0,MAX(D1290:F1290)&lt;=7,MAX(D1290,1)+MAX(E1290,1)+MAX(F1290,1)&lt;=9,OR(H1290="-",AND(H1290=0,D1290&gt;0),AND(H1290=1,E1290&gt;0),AND(H1290=2,F1290&gt;0)),OR(I1290=0,AND(I1290=1,OR(J1290=0,J1290=1,J1290=2),R1290&lt;&gt;"000")),Y1290&lt;=9,MIN(T1290:V1290)&gt;=0),"合法","输入违约")</x:f>
        <x:v>合法</x:v>
      </x:c>
    </x:row>
    <x:row r="1291" ht="23" customHeight="1">
      <x:c r="A1291" s="3" t="str">
        <x:v>CT-1284</x:v>
      </x:c>
      <x:c r="B1291" s="3" t="str">
        <x:v>ST-072</x:v>
      </x:c>
      <x:c r="C1291" s="3" t="str">
        <x:v>R+AR同收同发</x:v>
      </x:c>
      <x:c r="D1291" s="25" t="n">
        <x:v>2</x:v>
      </x:c>
      <x:c r="E1291" s="25" t="n">
        <x:v>2</x:v>
      </x:c>
      <x:c r="F1291" s="25" t="n">
        <x:v>2</x:v>
      </x:c>
      <x:c r="G1291" s="19" t="n">
        <x:f>SUM(D1291:F1291)</x:f>
        <x:v>6</x:v>
      </x:c>
      <x:c r="H1291" s="25" t="n">
        <x:v>2</x:v>
      </x:c>
      <x:c r="I1291" s="25" t="n">
        <x:v>1</x:v>
      </x:c>
      <x:c r="J1291" s="25" t="n">
        <x:v>2</x:v>
      </x:c>
      <x:c r="K1291" s="19" t="n">
        <x:f>D1291-IF(H1291=0,1,0)</x:f>
        <x:v>2</x:v>
      </x:c>
      <x:c r="L1291" s="19" t="n">
        <x:f>E1291-IF(H1291=1,1,0)</x:f>
        <x:v>2</x:v>
      </x:c>
      <x:c r="M1291" s="19" t="n">
        <x:f>F1291-IF(H1291=2,1,0)</x:f>
        <x:v>1</x:v>
      </x:c>
      <x:c r="N1291" s="19" t="n">
        <x:f>MAX(K1291-1,0)+MAX(L1291-1,0)+MAX(M1291-1,0)</x:f>
        <x:v>2</x:v>
      </x:c>
      <x:c r="O1291" s="19" t="n">
        <x:f>IF(AND(SUM(K1291:M1291)&lt;9,OR(M1291=0,N1291&lt;6)),1,0)</x:f>
        <x:v>1</x:v>
      </x:c>
      <x:c r="P1291" s="19" t="n">
        <x:f>IF(AND(SUM(K1291:M1291)&lt;9,OR(L1291=0,N1291&lt;6)),1,0)</x:f>
        <x:v>1</x:v>
      </x:c>
      <x:c r="Q1291" s="19" t="n">
        <x:f>IF(AND(SUM(K1291:M1291)&lt;9,OR(K1291=0,N1291&lt;6)),1,0)</x:f>
        <x:v>1</x:v>
      </x:c>
      <x:c r="R1291" s="22" t="str">
        <x:f>O1291&amp;P1291&amp;Q1291</x:f>
        <x:v>111</x:v>
      </x:c>
      <x:c r="S1291" s="19" t="n">
        <x:f>IF(I1291=1,IF(J1291=0,Q1291,IF(J1291=1,P1291,IF(J1291=2,O1291,0))),0)</x:f>
        <x:v>1</x:v>
      </x:c>
      <x:c r="T1291" s="19" t="n">
        <x:f>K1291+IF(AND(S1291=1,J1291=0),1,0)</x:f>
        <x:v>2</x:v>
      </x:c>
      <x:c r="U1291" s="19" t="n">
        <x:f>L1291+IF(AND(S1291=1,J1291=1),1,0)</x:f>
        <x:v>2</x:v>
      </x:c>
      <x:c r="V1291" s="19" t="n">
        <x:f>M1291+IF(AND(S1291=1,J1291=2),1,0)</x:f>
        <x:v>2</x:v>
      </x:c>
      <x:c r="W1291" s="19" t="n">
        <x:f>SUM(T1291:V1291)</x:f>
        <x:v>6</x:v>
      </x:c>
      <x:c r="X1291" s="19" t="n">
        <x:f>W1291-G1291</x:f>
        <x:v>0</x:v>
      </x:c>
      <x:c r="Y1291" s="19" t="n">
        <x:f>MAX(T1291,1)+MAX(U1291,1)+MAX(V1291,1)</x:f>
        <x:v>6</x:v>
      </x:c>
      <x:c r="Z1291" s="21" t="str">
        <x:f>IF(AND(MIN(D1291:F1291)&gt;=0,MAX(D1291:F1291)&lt;=7,MAX(D1291,1)+MAX(E1291,1)+MAX(F1291,1)&lt;=9,OR(H1291="-",AND(H1291=0,D1291&gt;0),AND(H1291=1,E1291&gt;0),AND(H1291=2,F1291&gt;0)),OR(I1291=0,AND(I1291=1,OR(J1291=0,J1291=1,J1291=2),R1291&lt;&gt;"000")),Y1291&lt;=9,MIN(T1291:V1291)&gt;=0),"合法","输入违约")</x:f>
        <x:v>合法</x:v>
      </x:c>
    </x:row>
    <x:row r="1292" ht="23" customHeight="1">
      <x:c r="A1292" s="3" t="str">
        <x:v>CT-1285</x:v>
      </x:c>
      <x:c r="B1292" s="3" t="str">
        <x:v>ST-102</x:v>
      </x:c>
      <x:c r="C1292" s="3" t="str">
        <x:v>无AR/R</x:v>
      </x:c>
      <x:c r="D1292" s="25" t="n">
        <x:v>2</x:v>
      </x:c>
      <x:c r="E1292" s="25" t="n">
        <x:v>2</x:v>
      </x:c>
      <x:c r="F1292" s="25" t="n">
        <x:v>3</x:v>
      </x:c>
      <x:c r="G1292" s="19" t="n">
        <x:f>SUM(D1292:F1292)</x:f>
        <x:v>7</x:v>
      </x:c>
      <x:c r="H1292" s="25" t="str">
        <x:v>-</x:v>
      </x:c>
      <x:c r="I1292" s="25" t="n">
        <x:v>0</x:v>
      </x:c>
      <x:c r="J1292" s="25" t="str">
        <x:v>-</x:v>
      </x:c>
      <x:c r="K1292" s="19" t="n">
        <x:f>D1292-IF(H1292=0,1,0)</x:f>
        <x:v>2</x:v>
      </x:c>
      <x:c r="L1292" s="19" t="n">
        <x:f>E1292-IF(H1292=1,1,0)</x:f>
        <x:v>2</x:v>
      </x:c>
      <x:c r="M1292" s="19" t="n">
        <x:f>F1292-IF(H1292=2,1,0)</x:f>
        <x:v>3</x:v>
      </x:c>
      <x:c r="N1292" s="19" t="n">
        <x:f>MAX(K1292-1,0)+MAX(L1292-1,0)+MAX(M1292-1,0)</x:f>
        <x:v>4</x:v>
      </x:c>
      <x:c r="O1292" s="19" t="n">
        <x:f>IF(AND(SUM(K1292:M1292)&lt;9,OR(M1292=0,N1292&lt;6)),1,0)</x:f>
        <x:v>1</x:v>
      </x:c>
      <x:c r="P1292" s="19" t="n">
        <x:f>IF(AND(SUM(K1292:M1292)&lt;9,OR(L1292=0,N1292&lt;6)),1,0)</x:f>
        <x:v>1</x:v>
      </x:c>
      <x:c r="Q1292" s="19" t="n">
        <x:f>IF(AND(SUM(K1292:M1292)&lt;9,OR(K1292=0,N1292&lt;6)),1,0)</x:f>
        <x:v>1</x:v>
      </x:c>
      <x:c r="R1292" s="22" t="str">
        <x:f>O1292&amp;P1292&amp;Q1292</x:f>
        <x:v>111</x:v>
      </x:c>
      <x:c r="S1292" s="19" t="n">
        <x:f>IF(I1292=1,IF(J1292=0,Q1292,IF(J1292=1,P1292,IF(J1292=2,O1292,0))),0)</x:f>
        <x:v>0</x:v>
      </x:c>
      <x:c r="T1292" s="19" t="n">
        <x:f>K1292+IF(AND(S1292=1,J1292=0),1,0)</x:f>
        <x:v>2</x:v>
      </x:c>
      <x:c r="U1292" s="19" t="n">
        <x:f>L1292+IF(AND(S1292=1,J1292=1),1,0)</x:f>
        <x:v>2</x:v>
      </x:c>
      <x:c r="V1292" s="19" t="n">
        <x:f>M1292+IF(AND(S1292=1,J1292=2),1,0)</x:f>
        <x:v>3</x:v>
      </x:c>
      <x:c r="W1292" s="19" t="n">
        <x:f>SUM(T1292:V1292)</x:f>
        <x:v>7</x:v>
      </x:c>
      <x:c r="X1292" s="19" t="n">
        <x:f>W1292-G1292</x:f>
        <x:v>0</x:v>
      </x:c>
      <x:c r="Y1292" s="19" t="n">
        <x:f>MAX(T1292,1)+MAX(U1292,1)+MAX(V1292,1)</x:f>
        <x:v>7</x:v>
      </x:c>
      <x:c r="Z1292" s="21" t="str">
        <x:f>IF(AND(MIN(D1292:F1292)&gt;=0,MAX(D1292:F1292)&lt;=7,MAX(D1292,1)+MAX(E1292,1)+MAX(F1292,1)&lt;=9,OR(H1292="-",AND(H1292=0,D1292&gt;0),AND(H1292=1,E1292&gt;0),AND(H1292=2,F1292&gt;0)),OR(I1292=0,AND(I1292=1,OR(J1292=0,J1292=1,J1292=2),R1292&lt;&gt;"000")),Y1292&lt;=9,MIN(T1292:V1292)&gt;=0),"合法","输入违约")</x:f>
        <x:v>合法</x:v>
      </x:c>
    </x:row>
    <x:row r="1293" ht="23" customHeight="1">
      <x:c r="A1293" s="3" t="str">
        <x:v>CT-1286</x:v>
      </x:c>
      <x:c r="B1293" s="3" t="str">
        <x:v>ST-102</x:v>
      </x:c>
      <x:c r="C1293" s="3" t="str">
        <x:v>仅AR接收</x:v>
      </x:c>
      <x:c r="D1293" s="25" t="n">
        <x:v>2</x:v>
      </x:c>
      <x:c r="E1293" s="25" t="n">
        <x:v>2</x:v>
      </x:c>
      <x:c r="F1293" s="25" t="n">
        <x:v>3</x:v>
      </x:c>
      <x:c r="G1293" s="19" t="n">
        <x:f>SUM(D1293:F1293)</x:f>
        <x:v>7</x:v>
      </x:c>
      <x:c r="H1293" s="25" t="str">
        <x:v>-</x:v>
      </x:c>
      <x:c r="I1293" s="25" t="n">
        <x:v>1</x:v>
      </x:c>
      <x:c r="J1293" s="25" t="n">
        <x:v>0</x:v>
      </x:c>
      <x:c r="K1293" s="19" t="n">
        <x:f>D1293-IF(H1293=0,1,0)</x:f>
        <x:v>2</x:v>
      </x:c>
      <x:c r="L1293" s="19" t="n">
        <x:f>E1293-IF(H1293=1,1,0)</x:f>
        <x:v>2</x:v>
      </x:c>
      <x:c r="M1293" s="19" t="n">
        <x:f>F1293-IF(H1293=2,1,0)</x:f>
        <x:v>3</x:v>
      </x:c>
      <x:c r="N1293" s="19" t="n">
        <x:f>MAX(K1293-1,0)+MAX(L1293-1,0)+MAX(M1293-1,0)</x:f>
        <x:v>4</x:v>
      </x:c>
      <x:c r="O1293" s="19" t="n">
        <x:f>IF(AND(SUM(K1293:M1293)&lt;9,OR(M1293=0,N1293&lt;6)),1,0)</x:f>
        <x:v>1</x:v>
      </x:c>
      <x:c r="P1293" s="19" t="n">
        <x:f>IF(AND(SUM(K1293:M1293)&lt;9,OR(L1293=0,N1293&lt;6)),1,0)</x:f>
        <x:v>1</x:v>
      </x:c>
      <x:c r="Q1293" s="19" t="n">
        <x:f>IF(AND(SUM(K1293:M1293)&lt;9,OR(K1293=0,N1293&lt;6)),1,0)</x:f>
        <x:v>1</x:v>
      </x:c>
      <x:c r="R1293" s="22" t="str">
        <x:f>O1293&amp;P1293&amp;Q1293</x:f>
        <x:v>111</x:v>
      </x:c>
      <x:c r="S1293" s="19" t="n">
        <x:f>IF(I1293=1,IF(J1293=0,Q1293,IF(J1293=1,P1293,IF(J1293=2,O1293,0))),0)</x:f>
        <x:v>1</x:v>
      </x:c>
      <x:c r="T1293" s="19" t="n">
        <x:f>K1293+IF(AND(S1293=1,J1293=0),1,0)</x:f>
        <x:v>3</x:v>
      </x:c>
      <x:c r="U1293" s="19" t="n">
        <x:f>L1293+IF(AND(S1293=1,J1293=1),1,0)</x:f>
        <x:v>2</x:v>
      </x:c>
      <x:c r="V1293" s="19" t="n">
        <x:f>M1293+IF(AND(S1293=1,J1293=2),1,0)</x:f>
        <x:v>3</x:v>
      </x:c>
      <x:c r="W1293" s="19" t="n">
        <x:f>SUM(T1293:V1293)</x:f>
        <x:v>8</x:v>
      </x:c>
      <x:c r="X1293" s="19" t="n">
        <x:f>W1293-G1293</x:f>
        <x:v>1</x:v>
      </x:c>
      <x:c r="Y1293" s="19" t="n">
        <x:f>MAX(T1293,1)+MAX(U1293,1)+MAX(V1293,1)</x:f>
        <x:v>8</x:v>
      </x:c>
      <x:c r="Z1293" s="21" t="str">
        <x:f>IF(AND(MIN(D1293:F1293)&gt;=0,MAX(D1293:F1293)&lt;=7,MAX(D1293,1)+MAX(E1293,1)+MAX(F1293,1)&lt;=9,OR(H1293="-",AND(H1293=0,D1293&gt;0),AND(H1293=1,E1293&gt;0),AND(H1293=2,F1293&gt;0)),OR(I1293=0,AND(I1293=1,OR(J1293=0,J1293=1,J1293=2),R1293&lt;&gt;"000")),Y1293&lt;=9,MIN(T1293:V1293)&gt;=0),"合法","输入违约")</x:f>
        <x:v>合法</x:v>
      </x:c>
    </x:row>
    <x:row r="1294" ht="23" customHeight="1">
      <x:c r="A1294" s="3" t="str">
        <x:v>CT-1287</x:v>
      </x:c>
      <x:c r="B1294" s="3" t="str">
        <x:v>ST-102</x:v>
      </x:c>
      <x:c r="C1294" s="3" t="str">
        <x:v>仅AR接收</x:v>
      </x:c>
      <x:c r="D1294" s="25" t="n">
        <x:v>2</x:v>
      </x:c>
      <x:c r="E1294" s="25" t="n">
        <x:v>2</x:v>
      </x:c>
      <x:c r="F1294" s="25" t="n">
        <x:v>3</x:v>
      </x:c>
      <x:c r="G1294" s="19" t="n">
        <x:f>SUM(D1294:F1294)</x:f>
        <x:v>7</x:v>
      </x:c>
      <x:c r="H1294" s="25" t="str">
        <x:v>-</x:v>
      </x:c>
      <x:c r="I1294" s="25" t="n">
        <x:v>1</x:v>
      </x:c>
      <x:c r="J1294" s="25" t="n">
        <x:v>1</x:v>
      </x:c>
      <x:c r="K1294" s="19" t="n">
        <x:f>D1294-IF(H1294=0,1,0)</x:f>
        <x:v>2</x:v>
      </x:c>
      <x:c r="L1294" s="19" t="n">
        <x:f>E1294-IF(H1294=1,1,0)</x:f>
        <x:v>2</x:v>
      </x:c>
      <x:c r="M1294" s="19" t="n">
        <x:f>F1294-IF(H1294=2,1,0)</x:f>
        <x:v>3</x:v>
      </x:c>
      <x:c r="N1294" s="19" t="n">
        <x:f>MAX(K1294-1,0)+MAX(L1294-1,0)+MAX(M1294-1,0)</x:f>
        <x:v>4</x:v>
      </x:c>
      <x:c r="O1294" s="19" t="n">
        <x:f>IF(AND(SUM(K1294:M1294)&lt;9,OR(M1294=0,N1294&lt;6)),1,0)</x:f>
        <x:v>1</x:v>
      </x:c>
      <x:c r="P1294" s="19" t="n">
        <x:f>IF(AND(SUM(K1294:M1294)&lt;9,OR(L1294=0,N1294&lt;6)),1,0)</x:f>
        <x:v>1</x:v>
      </x:c>
      <x:c r="Q1294" s="19" t="n">
        <x:f>IF(AND(SUM(K1294:M1294)&lt;9,OR(K1294=0,N1294&lt;6)),1,0)</x:f>
        <x:v>1</x:v>
      </x:c>
      <x:c r="R1294" s="22" t="str">
        <x:f>O1294&amp;P1294&amp;Q1294</x:f>
        <x:v>111</x:v>
      </x:c>
      <x:c r="S1294" s="19" t="n">
        <x:f>IF(I1294=1,IF(J1294=0,Q1294,IF(J1294=1,P1294,IF(J1294=2,O1294,0))),0)</x:f>
        <x:v>1</x:v>
      </x:c>
      <x:c r="T1294" s="19" t="n">
        <x:f>K1294+IF(AND(S1294=1,J1294=0),1,0)</x:f>
        <x:v>2</x:v>
      </x:c>
      <x:c r="U1294" s="19" t="n">
        <x:f>L1294+IF(AND(S1294=1,J1294=1),1,0)</x:f>
        <x:v>3</x:v>
      </x:c>
      <x:c r="V1294" s="19" t="n">
        <x:f>M1294+IF(AND(S1294=1,J1294=2),1,0)</x:f>
        <x:v>3</x:v>
      </x:c>
      <x:c r="W1294" s="19" t="n">
        <x:f>SUM(T1294:V1294)</x:f>
        <x:v>8</x:v>
      </x:c>
      <x:c r="X1294" s="19" t="n">
        <x:f>W1294-G1294</x:f>
        <x:v>1</x:v>
      </x:c>
      <x:c r="Y1294" s="19" t="n">
        <x:f>MAX(T1294,1)+MAX(U1294,1)+MAX(V1294,1)</x:f>
        <x:v>8</x:v>
      </x:c>
      <x:c r="Z1294" s="21" t="str">
        <x:f>IF(AND(MIN(D1294:F1294)&gt;=0,MAX(D1294:F1294)&lt;=7,MAX(D1294,1)+MAX(E1294,1)+MAX(F1294,1)&lt;=9,OR(H1294="-",AND(H1294=0,D1294&gt;0),AND(H1294=1,E1294&gt;0),AND(H1294=2,F1294&gt;0)),OR(I1294=0,AND(I1294=1,OR(J1294=0,J1294=1,J1294=2),R1294&lt;&gt;"000")),Y1294&lt;=9,MIN(T1294:V1294)&gt;=0),"合法","输入违约")</x:f>
        <x:v>合法</x:v>
      </x:c>
    </x:row>
    <x:row r="1295" ht="23" customHeight="1">
      <x:c r="A1295" s="3" t="str">
        <x:v>CT-1288</x:v>
      </x:c>
      <x:c r="B1295" s="3" t="str">
        <x:v>ST-102</x:v>
      </x:c>
      <x:c r="C1295" s="3" t="str">
        <x:v>仅AR接收</x:v>
      </x:c>
      <x:c r="D1295" s="25" t="n">
        <x:v>2</x:v>
      </x:c>
      <x:c r="E1295" s="25" t="n">
        <x:v>2</x:v>
      </x:c>
      <x:c r="F1295" s="25" t="n">
        <x:v>3</x:v>
      </x:c>
      <x:c r="G1295" s="19" t="n">
        <x:f>SUM(D1295:F1295)</x:f>
        <x:v>7</x:v>
      </x:c>
      <x:c r="H1295" s="25" t="str">
        <x:v>-</x:v>
      </x:c>
      <x:c r="I1295" s="25" t="n">
        <x:v>1</x:v>
      </x:c>
      <x:c r="J1295" s="25" t="n">
        <x:v>2</x:v>
      </x:c>
      <x:c r="K1295" s="19" t="n">
        <x:f>D1295-IF(H1295=0,1,0)</x:f>
        <x:v>2</x:v>
      </x:c>
      <x:c r="L1295" s="19" t="n">
        <x:f>E1295-IF(H1295=1,1,0)</x:f>
        <x:v>2</x:v>
      </x:c>
      <x:c r="M1295" s="19" t="n">
        <x:f>F1295-IF(H1295=2,1,0)</x:f>
        <x:v>3</x:v>
      </x:c>
      <x:c r="N1295" s="19" t="n">
        <x:f>MAX(K1295-1,0)+MAX(L1295-1,0)+MAX(M1295-1,0)</x:f>
        <x:v>4</x:v>
      </x:c>
      <x:c r="O1295" s="19" t="n">
        <x:f>IF(AND(SUM(K1295:M1295)&lt;9,OR(M1295=0,N1295&lt;6)),1,0)</x:f>
        <x:v>1</x:v>
      </x:c>
      <x:c r="P1295" s="19" t="n">
        <x:f>IF(AND(SUM(K1295:M1295)&lt;9,OR(L1295=0,N1295&lt;6)),1,0)</x:f>
        <x:v>1</x:v>
      </x:c>
      <x:c r="Q1295" s="19" t="n">
        <x:f>IF(AND(SUM(K1295:M1295)&lt;9,OR(K1295=0,N1295&lt;6)),1,0)</x:f>
        <x:v>1</x:v>
      </x:c>
      <x:c r="R1295" s="22" t="str">
        <x:f>O1295&amp;P1295&amp;Q1295</x:f>
        <x:v>111</x:v>
      </x:c>
      <x:c r="S1295" s="19" t="n">
        <x:f>IF(I1295=1,IF(J1295=0,Q1295,IF(J1295=1,P1295,IF(J1295=2,O1295,0))),0)</x:f>
        <x:v>1</x:v>
      </x:c>
      <x:c r="T1295" s="19" t="n">
        <x:f>K1295+IF(AND(S1295=1,J1295=0),1,0)</x:f>
        <x:v>2</x:v>
      </x:c>
      <x:c r="U1295" s="19" t="n">
        <x:f>L1295+IF(AND(S1295=1,J1295=1),1,0)</x:f>
        <x:v>2</x:v>
      </x:c>
      <x:c r="V1295" s="19" t="n">
        <x:f>M1295+IF(AND(S1295=1,J1295=2),1,0)</x:f>
        <x:v>4</x:v>
      </x:c>
      <x:c r="W1295" s="19" t="n">
        <x:f>SUM(T1295:V1295)</x:f>
        <x:v>8</x:v>
      </x:c>
      <x:c r="X1295" s="19" t="n">
        <x:f>W1295-G1295</x:f>
        <x:v>1</x:v>
      </x:c>
      <x:c r="Y1295" s="19" t="n">
        <x:f>MAX(T1295,1)+MAX(U1295,1)+MAX(V1295,1)</x:f>
        <x:v>8</x:v>
      </x:c>
      <x:c r="Z1295" s="21" t="str">
        <x:f>IF(AND(MIN(D1295:F1295)&gt;=0,MAX(D1295:F1295)&lt;=7,MAX(D1295,1)+MAX(E1295,1)+MAX(F1295,1)&lt;=9,OR(H1295="-",AND(H1295=0,D1295&gt;0),AND(H1295=1,E1295&gt;0),AND(H1295=2,F1295&gt;0)),OR(I1295=0,AND(I1295=1,OR(J1295=0,J1295=1,J1295=2),R1295&lt;&gt;"000")),Y1295&lt;=9,MIN(T1295:V1295)&gt;=0),"合法","输入违约")</x:f>
        <x:v>合法</x:v>
      </x:c>
    </x:row>
    <x:row r="1296" ht="23" customHeight="1">
      <x:c r="A1296" s="3" t="str">
        <x:v>CT-1289</x:v>
      </x:c>
      <x:c r="B1296" s="3" t="str">
        <x:v>ST-102</x:v>
      </x:c>
      <x:c r="C1296" s="3" t="str">
        <x:v>仅R回收</x:v>
      </x:c>
      <x:c r="D1296" s="25" t="n">
        <x:v>2</x:v>
      </x:c>
      <x:c r="E1296" s="25" t="n">
        <x:v>2</x:v>
      </x:c>
      <x:c r="F1296" s="25" t="n">
        <x:v>3</x:v>
      </x:c>
      <x:c r="G1296" s="19" t="n">
        <x:f>SUM(D1296:F1296)</x:f>
        <x:v>7</x:v>
      </x:c>
      <x:c r="H1296" s="25" t="n">
        <x:v>0</x:v>
      </x:c>
      <x:c r="I1296" s="25" t="n">
        <x:v>0</x:v>
      </x:c>
      <x:c r="J1296" s="25" t="str">
        <x:v>-</x:v>
      </x:c>
      <x:c r="K1296" s="19" t="n">
        <x:f>D1296-IF(H1296=0,1,0)</x:f>
        <x:v>1</x:v>
      </x:c>
      <x:c r="L1296" s="19" t="n">
        <x:f>E1296-IF(H1296=1,1,0)</x:f>
        <x:v>2</x:v>
      </x:c>
      <x:c r="M1296" s="19" t="n">
        <x:f>F1296-IF(H1296=2,1,0)</x:f>
        <x:v>3</x:v>
      </x:c>
      <x:c r="N1296" s="19" t="n">
        <x:f>MAX(K1296-1,0)+MAX(L1296-1,0)+MAX(M1296-1,0)</x:f>
        <x:v>3</x:v>
      </x:c>
      <x:c r="O1296" s="19" t="n">
        <x:f>IF(AND(SUM(K1296:M1296)&lt;9,OR(M1296=0,N1296&lt;6)),1,0)</x:f>
        <x:v>1</x:v>
      </x:c>
      <x:c r="P1296" s="19" t="n">
        <x:f>IF(AND(SUM(K1296:M1296)&lt;9,OR(L1296=0,N1296&lt;6)),1,0)</x:f>
        <x:v>1</x:v>
      </x:c>
      <x:c r="Q1296" s="19" t="n">
        <x:f>IF(AND(SUM(K1296:M1296)&lt;9,OR(K1296=0,N1296&lt;6)),1,0)</x:f>
        <x:v>1</x:v>
      </x:c>
      <x:c r="R1296" s="22" t="str">
        <x:f>O1296&amp;P1296&amp;Q1296</x:f>
        <x:v>111</x:v>
      </x:c>
      <x:c r="S1296" s="19" t="n">
        <x:f>IF(I1296=1,IF(J1296=0,Q1296,IF(J1296=1,P1296,IF(J1296=2,O1296,0))),0)</x:f>
        <x:v>0</x:v>
      </x:c>
      <x:c r="T1296" s="19" t="n">
        <x:f>K1296+IF(AND(S1296=1,J1296=0),1,0)</x:f>
        <x:v>1</x:v>
      </x:c>
      <x:c r="U1296" s="19" t="n">
        <x:f>L1296+IF(AND(S1296=1,J1296=1),1,0)</x:f>
        <x:v>2</x:v>
      </x:c>
      <x:c r="V1296" s="19" t="n">
        <x:f>M1296+IF(AND(S1296=1,J1296=2),1,0)</x:f>
        <x:v>3</x:v>
      </x:c>
      <x:c r="W1296" s="19" t="n">
        <x:f>SUM(T1296:V1296)</x:f>
        <x:v>6</x:v>
      </x:c>
      <x:c r="X1296" s="19" t="n">
        <x:f>W1296-G1296</x:f>
        <x:v>-1</x:v>
      </x:c>
      <x:c r="Y1296" s="19" t="n">
        <x:f>MAX(T1296,1)+MAX(U1296,1)+MAX(V1296,1)</x:f>
        <x:v>6</x:v>
      </x:c>
      <x:c r="Z1296" s="21" t="str">
        <x:f>IF(AND(MIN(D1296:F1296)&gt;=0,MAX(D1296:F1296)&lt;=7,MAX(D1296,1)+MAX(E1296,1)+MAX(F1296,1)&lt;=9,OR(H1296="-",AND(H1296=0,D1296&gt;0),AND(H1296=1,E1296&gt;0),AND(H1296=2,F1296&gt;0)),OR(I1296=0,AND(I1296=1,OR(J1296=0,J1296=1,J1296=2),R1296&lt;&gt;"000")),Y1296&lt;=9,MIN(T1296:V1296)&gt;=0),"合法","输入违约")</x:f>
        <x:v>合法</x:v>
      </x:c>
    </x:row>
    <x:row r="1297" ht="23" customHeight="1">
      <x:c r="A1297" s="3" t="str">
        <x:v>CT-1290</x:v>
      </x:c>
      <x:c r="B1297" s="3" t="str">
        <x:v>ST-102</x:v>
      </x:c>
      <x:c r="C1297" s="3" t="str">
        <x:v>R+AR同收同发</x:v>
      </x:c>
      <x:c r="D1297" s="25" t="n">
        <x:v>2</x:v>
      </x:c>
      <x:c r="E1297" s="25" t="n">
        <x:v>2</x:v>
      </x:c>
      <x:c r="F1297" s="25" t="n">
        <x:v>3</x:v>
      </x:c>
      <x:c r="G1297" s="19" t="n">
        <x:f>SUM(D1297:F1297)</x:f>
        <x:v>7</x:v>
      </x:c>
      <x:c r="H1297" s="25" t="n">
        <x:v>0</x:v>
      </x:c>
      <x:c r="I1297" s="25" t="n">
        <x:v>1</x:v>
      </x:c>
      <x:c r="J1297" s="25" t="n">
        <x:v>0</x:v>
      </x:c>
      <x:c r="K1297" s="19" t="n">
        <x:f>D1297-IF(H1297=0,1,0)</x:f>
        <x:v>1</x:v>
      </x:c>
      <x:c r="L1297" s="19" t="n">
        <x:f>E1297-IF(H1297=1,1,0)</x:f>
        <x:v>2</x:v>
      </x:c>
      <x:c r="M1297" s="19" t="n">
        <x:f>F1297-IF(H1297=2,1,0)</x:f>
        <x:v>3</x:v>
      </x:c>
      <x:c r="N1297" s="19" t="n">
        <x:f>MAX(K1297-1,0)+MAX(L1297-1,0)+MAX(M1297-1,0)</x:f>
        <x:v>3</x:v>
      </x:c>
      <x:c r="O1297" s="19" t="n">
        <x:f>IF(AND(SUM(K1297:M1297)&lt;9,OR(M1297=0,N1297&lt;6)),1,0)</x:f>
        <x:v>1</x:v>
      </x:c>
      <x:c r="P1297" s="19" t="n">
        <x:f>IF(AND(SUM(K1297:M1297)&lt;9,OR(L1297=0,N1297&lt;6)),1,0)</x:f>
        <x:v>1</x:v>
      </x:c>
      <x:c r="Q1297" s="19" t="n">
        <x:f>IF(AND(SUM(K1297:M1297)&lt;9,OR(K1297=0,N1297&lt;6)),1,0)</x:f>
        <x:v>1</x:v>
      </x:c>
      <x:c r="R1297" s="22" t="str">
        <x:f>O1297&amp;P1297&amp;Q1297</x:f>
        <x:v>111</x:v>
      </x:c>
      <x:c r="S1297" s="19" t="n">
        <x:f>IF(I1297=1,IF(J1297=0,Q1297,IF(J1297=1,P1297,IF(J1297=2,O1297,0))),0)</x:f>
        <x:v>1</x:v>
      </x:c>
      <x:c r="T1297" s="19" t="n">
        <x:f>K1297+IF(AND(S1297=1,J1297=0),1,0)</x:f>
        <x:v>2</x:v>
      </x:c>
      <x:c r="U1297" s="19" t="n">
        <x:f>L1297+IF(AND(S1297=1,J1297=1),1,0)</x:f>
        <x:v>2</x:v>
      </x:c>
      <x:c r="V1297" s="19" t="n">
        <x:f>M1297+IF(AND(S1297=1,J1297=2),1,0)</x:f>
        <x:v>3</x:v>
      </x:c>
      <x:c r="W1297" s="19" t="n">
        <x:f>SUM(T1297:V1297)</x:f>
        <x:v>7</x:v>
      </x:c>
      <x:c r="X1297" s="19" t="n">
        <x:f>W1297-G1297</x:f>
        <x:v>0</x:v>
      </x:c>
      <x:c r="Y1297" s="19" t="n">
        <x:f>MAX(T1297,1)+MAX(U1297,1)+MAX(V1297,1)</x:f>
        <x:v>7</x:v>
      </x:c>
      <x:c r="Z1297" s="21" t="str">
        <x:f>IF(AND(MIN(D1297:F1297)&gt;=0,MAX(D1297:F1297)&lt;=7,MAX(D1297,1)+MAX(E1297,1)+MAX(F1297,1)&lt;=9,OR(H1297="-",AND(H1297=0,D1297&gt;0),AND(H1297=1,E1297&gt;0),AND(H1297=2,F1297&gt;0)),OR(I1297=0,AND(I1297=1,OR(J1297=0,J1297=1,J1297=2),R1297&lt;&gt;"000")),Y1297&lt;=9,MIN(T1297:V1297)&gt;=0),"合法","输入违约")</x:f>
        <x:v>合法</x:v>
      </x:c>
    </x:row>
    <x:row r="1298" ht="23" customHeight="1">
      <x:c r="A1298" s="3" t="str">
        <x:v>CT-1291</x:v>
      </x:c>
      <x:c r="B1298" s="3" t="str">
        <x:v>ST-102</x:v>
      </x:c>
      <x:c r="C1298" s="3" t="str">
        <x:v>R+AR同收同发</x:v>
      </x:c>
      <x:c r="D1298" s="25" t="n">
        <x:v>2</x:v>
      </x:c>
      <x:c r="E1298" s="25" t="n">
        <x:v>2</x:v>
      </x:c>
      <x:c r="F1298" s="25" t="n">
        <x:v>3</x:v>
      </x:c>
      <x:c r="G1298" s="19" t="n">
        <x:f>SUM(D1298:F1298)</x:f>
        <x:v>7</x:v>
      </x:c>
      <x:c r="H1298" s="25" t="n">
        <x:v>0</x:v>
      </x:c>
      <x:c r="I1298" s="25" t="n">
        <x:v>1</x:v>
      </x:c>
      <x:c r="J1298" s="25" t="n">
        <x:v>1</x:v>
      </x:c>
      <x:c r="K1298" s="19" t="n">
        <x:f>D1298-IF(H1298=0,1,0)</x:f>
        <x:v>1</x:v>
      </x:c>
      <x:c r="L1298" s="19" t="n">
        <x:f>E1298-IF(H1298=1,1,0)</x:f>
        <x:v>2</x:v>
      </x:c>
      <x:c r="M1298" s="19" t="n">
        <x:f>F1298-IF(H1298=2,1,0)</x:f>
        <x:v>3</x:v>
      </x:c>
      <x:c r="N1298" s="19" t="n">
        <x:f>MAX(K1298-1,0)+MAX(L1298-1,0)+MAX(M1298-1,0)</x:f>
        <x:v>3</x:v>
      </x:c>
      <x:c r="O1298" s="19" t="n">
        <x:f>IF(AND(SUM(K1298:M1298)&lt;9,OR(M1298=0,N1298&lt;6)),1,0)</x:f>
        <x:v>1</x:v>
      </x:c>
      <x:c r="P1298" s="19" t="n">
        <x:f>IF(AND(SUM(K1298:M1298)&lt;9,OR(L1298=0,N1298&lt;6)),1,0)</x:f>
        <x:v>1</x:v>
      </x:c>
      <x:c r="Q1298" s="19" t="n">
        <x:f>IF(AND(SUM(K1298:M1298)&lt;9,OR(K1298=0,N1298&lt;6)),1,0)</x:f>
        <x:v>1</x:v>
      </x:c>
      <x:c r="R1298" s="22" t="str">
        <x:f>O1298&amp;P1298&amp;Q1298</x:f>
        <x:v>111</x:v>
      </x:c>
      <x:c r="S1298" s="19" t="n">
        <x:f>IF(I1298=1,IF(J1298=0,Q1298,IF(J1298=1,P1298,IF(J1298=2,O1298,0))),0)</x:f>
        <x:v>1</x:v>
      </x:c>
      <x:c r="T1298" s="19" t="n">
        <x:f>K1298+IF(AND(S1298=1,J1298=0),1,0)</x:f>
        <x:v>1</x:v>
      </x:c>
      <x:c r="U1298" s="19" t="n">
        <x:f>L1298+IF(AND(S1298=1,J1298=1),1,0)</x:f>
        <x:v>3</x:v>
      </x:c>
      <x:c r="V1298" s="19" t="n">
        <x:f>M1298+IF(AND(S1298=1,J1298=2),1,0)</x:f>
        <x:v>3</x:v>
      </x:c>
      <x:c r="W1298" s="19" t="n">
        <x:f>SUM(T1298:V1298)</x:f>
        <x:v>7</x:v>
      </x:c>
      <x:c r="X1298" s="19" t="n">
        <x:f>W1298-G1298</x:f>
        <x:v>0</x:v>
      </x:c>
      <x:c r="Y1298" s="19" t="n">
        <x:f>MAX(T1298,1)+MAX(U1298,1)+MAX(V1298,1)</x:f>
        <x:v>7</x:v>
      </x:c>
      <x:c r="Z1298" s="21" t="str">
        <x:f>IF(AND(MIN(D1298:F1298)&gt;=0,MAX(D1298:F1298)&lt;=7,MAX(D1298,1)+MAX(E1298,1)+MAX(F1298,1)&lt;=9,OR(H1298="-",AND(H1298=0,D1298&gt;0),AND(H1298=1,E1298&gt;0),AND(H1298=2,F1298&gt;0)),OR(I1298=0,AND(I1298=1,OR(J1298=0,J1298=1,J1298=2),R1298&lt;&gt;"000")),Y1298&lt;=9,MIN(T1298:V1298)&gt;=0),"合法","输入违约")</x:f>
        <x:v>合法</x:v>
      </x:c>
    </x:row>
    <x:row r="1299" ht="23" customHeight="1">
      <x:c r="A1299" s="3" t="str">
        <x:v>CT-1292</x:v>
      </x:c>
      <x:c r="B1299" s="3" t="str">
        <x:v>ST-102</x:v>
      </x:c>
      <x:c r="C1299" s="3" t="str">
        <x:v>R+AR同收同发</x:v>
      </x:c>
      <x:c r="D1299" s="25" t="n">
        <x:v>2</x:v>
      </x:c>
      <x:c r="E1299" s="25" t="n">
        <x:v>2</x:v>
      </x:c>
      <x:c r="F1299" s="25" t="n">
        <x:v>3</x:v>
      </x:c>
      <x:c r="G1299" s="19" t="n">
        <x:f>SUM(D1299:F1299)</x:f>
        <x:v>7</x:v>
      </x:c>
      <x:c r="H1299" s="25" t="n">
        <x:v>0</x:v>
      </x:c>
      <x:c r="I1299" s="25" t="n">
        <x:v>1</x:v>
      </x:c>
      <x:c r="J1299" s="25" t="n">
        <x:v>2</x:v>
      </x:c>
      <x:c r="K1299" s="19" t="n">
        <x:f>D1299-IF(H1299=0,1,0)</x:f>
        <x:v>1</x:v>
      </x:c>
      <x:c r="L1299" s="19" t="n">
        <x:f>E1299-IF(H1299=1,1,0)</x:f>
        <x:v>2</x:v>
      </x:c>
      <x:c r="M1299" s="19" t="n">
        <x:f>F1299-IF(H1299=2,1,0)</x:f>
        <x:v>3</x:v>
      </x:c>
      <x:c r="N1299" s="19" t="n">
        <x:f>MAX(K1299-1,0)+MAX(L1299-1,0)+MAX(M1299-1,0)</x:f>
        <x:v>3</x:v>
      </x:c>
      <x:c r="O1299" s="19" t="n">
        <x:f>IF(AND(SUM(K1299:M1299)&lt;9,OR(M1299=0,N1299&lt;6)),1,0)</x:f>
        <x:v>1</x:v>
      </x:c>
      <x:c r="P1299" s="19" t="n">
        <x:f>IF(AND(SUM(K1299:M1299)&lt;9,OR(L1299=0,N1299&lt;6)),1,0)</x:f>
        <x:v>1</x:v>
      </x:c>
      <x:c r="Q1299" s="19" t="n">
        <x:f>IF(AND(SUM(K1299:M1299)&lt;9,OR(K1299=0,N1299&lt;6)),1,0)</x:f>
        <x:v>1</x:v>
      </x:c>
      <x:c r="R1299" s="22" t="str">
        <x:f>O1299&amp;P1299&amp;Q1299</x:f>
        <x:v>111</x:v>
      </x:c>
      <x:c r="S1299" s="19" t="n">
        <x:f>IF(I1299=1,IF(J1299=0,Q1299,IF(J1299=1,P1299,IF(J1299=2,O1299,0))),0)</x:f>
        <x:v>1</x:v>
      </x:c>
      <x:c r="T1299" s="19" t="n">
        <x:f>K1299+IF(AND(S1299=1,J1299=0),1,0)</x:f>
        <x:v>1</x:v>
      </x:c>
      <x:c r="U1299" s="19" t="n">
        <x:f>L1299+IF(AND(S1299=1,J1299=1),1,0)</x:f>
        <x:v>2</x:v>
      </x:c>
      <x:c r="V1299" s="19" t="n">
        <x:f>M1299+IF(AND(S1299=1,J1299=2),1,0)</x:f>
        <x:v>4</x:v>
      </x:c>
      <x:c r="W1299" s="19" t="n">
        <x:f>SUM(T1299:V1299)</x:f>
        <x:v>7</x:v>
      </x:c>
      <x:c r="X1299" s="19" t="n">
        <x:f>W1299-G1299</x:f>
        <x:v>0</x:v>
      </x:c>
      <x:c r="Y1299" s="19" t="n">
        <x:f>MAX(T1299,1)+MAX(U1299,1)+MAX(V1299,1)</x:f>
        <x:v>7</x:v>
      </x:c>
      <x:c r="Z1299" s="21" t="str">
        <x:f>IF(AND(MIN(D1299:F1299)&gt;=0,MAX(D1299:F1299)&lt;=7,MAX(D1299,1)+MAX(E1299,1)+MAX(F1299,1)&lt;=9,OR(H1299="-",AND(H1299=0,D1299&gt;0),AND(H1299=1,E1299&gt;0),AND(H1299=2,F1299&gt;0)),OR(I1299=0,AND(I1299=1,OR(J1299=0,J1299=1,J1299=2),R1299&lt;&gt;"000")),Y1299&lt;=9,MIN(T1299:V1299)&gt;=0),"合法","输入违约")</x:f>
        <x:v>合法</x:v>
      </x:c>
    </x:row>
    <x:row r="1300" ht="23" customHeight="1">
      <x:c r="A1300" s="3" t="str">
        <x:v>CT-1293</x:v>
      </x:c>
      <x:c r="B1300" s="3" t="str">
        <x:v>ST-102</x:v>
      </x:c>
      <x:c r="C1300" s="3" t="str">
        <x:v>仅R回收</x:v>
      </x:c>
      <x:c r="D1300" s="25" t="n">
        <x:v>2</x:v>
      </x:c>
      <x:c r="E1300" s="25" t="n">
        <x:v>2</x:v>
      </x:c>
      <x:c r="F1300" s="25" t="n">
        <x:v>3</x:v>
      </x:c>
      <x:c r="G1300" s="19" t="n">
        <x:f>SUM(D1300:F1300)</x:f>
        <x:v>7</x:v>
      </x:c>
      <x:c r="H1300" s="25" t="n">
        <x:v>1</x:v>
      </x:c>
      <x:c r="I1300" s="25" t="n">
        <x:v>0</x:v>
      </x:c>
      <x:c r="J1300" s="25" t="str">
        <x:v>-</x:v>
      </x:c>
      <x:c r="K1300" s="19" t="n">
        <x:f>D1300-IF(H1300=0,1,0)</x:f>
        <x:v>2</x:v>
      </x:c>
      <x:c r="L1300" s="19" t="n">
        <x:f>E1300-IF(H1300=1,1,0)</x:f>
        <x:v>1</x:v>
      </x:c>
      <x:c r="M1300" s="19" t="n">
        <x:f>F1300-IF(H1300=2,1,0)</x:f>
        <x:v>3</x:v>
      </x:c>
      <x:c r="N1300" s="19" t="n">
        <x:f>MAX(K1300-1,0)+MAX(L1300-1,0)+MAX(M1300-1,0)</x:f>
        <x:v>3</x:v>
      </x:c>
      <x:c r="O1300" s="19" t="n">
        <x:f>IF(AND(SUM(K1300:M1300)&lt;9,OR(M1300=0,N1300&lt;6)),1,0)</x:f>
        <x:v>1</x:v>
      </x:c>
      <x:c r="P1300" s="19" t="n">
        <x:f>IF(AND(SUM(K1300:M1300)&lt;9,OR(L1300=0,N1300&lt;6)),1,0)</x:f>
        <x:v>1</x:v>
      </x:c>
      <x:c r="Q1300" s="19" t="n">
        <x:f>IF(AND(SUM(K1300:M1300)&lt;9,OR(K1300=0,N1300&lt;6)),1,0)</x:f>
        <x:v>1</x:v>
      </x:c>
      <x:c r="R1300" s="22" t="str">
        <x:f>O1300&amp;P1300&amp;Q1300</x:f>
        <x:v>111</x:v>
      </x:c>
      <x:c r="S1300" s="19" t="n">
        <x:f>IF(I1300=1,IF(J1300=0,Q1300,IF(J1300=1,P1300,IF(J1300=2,O1300,0))),0)</x:f>
        <x:v>0</x:v>
      </x:c>
      <x:c r="T1300" s="19" t="n">
        <x:f>K1300+IF(AND(S1300=1,J1300=0),1,0)</x:f>
        <x:v>2</x:v>
      </x:c>
      <x:c r="U1300" s="19" t="n">
        <x:f>L1300+IF(AND(S1300=1,J1300=1),1,0)</x:f>
        <x:v>1</x:v>
      </x:c>
      <x:c r="V1300" s="19" t="n">
        <x:f>M1300+IF(AND(S1300=1,J1300=2),1,0)</x:f>
        <x:v>3</x:v>
      </x:c>
      <x:c r="W1300" s="19" t="n">
        <x:f>SUM(T1300:V1300)</x:f>
        <x:v>6</x:v>
      </x:c>
      <x:c r="X1300" s="19" t="n">
        <x:f>W1300-G1300</x:f>
        <x:v>-1</x:v>
      </x:c>
      <x:c r="Y1300" s="19" t="n">
        <x:f>MAX(T1300,1)+MAX(U1300,1)+MAX(V1300,1)</x:f>
        <x:v>6</x:v>
      </x:c>
      <x:c r="Z1300" s="21" t="str">
        <x:f>IF(AND(MIN(D1300:F1300)&gt;=0,MAX(D1300:F1300)&lt;=7,MAX(D1300,1)+MAX(E1300,1)+MAX(F1300,1)&lt;=9,OR(H1300="-",AND(H1300=0,D1300&gt;0),AND(H1300=1,E1300&gt;0),AND(H1300=2,F1300&gt;0)),OR(I1300=0,AND(I1300=1,OR(J1300=0,J1300=1,J1300=2),R1300&lt;&gt;"000")),Y1300&lt;=9,MIN(T1300:V1300)&gt;=0),"合法","输入违约")</x:f>
        <x:v>合法</x:v>
      </x:c>
    </x:row>
    <x:row r="1301" ht="23" customHeight="1">
      <x:c r="A1301" s="3" t="str">
        <x:v>CT-1294</x:v>
      </x:c>
      <x:c r="B1301" s="3" t="str">
        <x:v>ST-102</x:v>
      </x:c>
      <x:c r="C1301" s="3" t="str">
        <x:v>R+AR同收同发</x:v>
      </x:c>
      <x:c r="D1301" s="25" t="n">
        <x:v>2</x:v>
      </x:c>
      <x:c r="E1301" s="25" t="n">
        <x:v>2</x:v>
      </x:c>
      <x:c r="F1301" s="25" t="n">
        <x:v>3</x:v>
      </x:c>
      <x:c r="G1301" s="19" t="n">
        <x:f>SUM(D1301:F1301)</x:f>
        <x:v>7</x:v>
      </x:c>
      <x:c r="H1301" s="25" t="n">
        <x:v>1</x:v>
      </x:c>
      <x:c r="I1301" s="25" t="n">
        <x:v>1</x:v>
      </x:c>
      <x:c r="J1301" s="25" t="n">
        <x:v>0</x:v>
      </x:c>
      <x:c r="K1301" s="19" t="n">
        <x:f>D1301-IF(H1301=0,1,0)</x:f>
        <x:v>2</x:v>
      </x:c>
      <x:c r="L1301" s="19" t="n">
        <x:f>E1301-IF(H1301=1,1,0)</x:f>
        <x:v>1</x:v>
      </x:c>
      <x:c r="M1301" s="19" t="n">
        <x:f>F1301-IF(H1301=2,1,0)</x:f>
        <x:v>3</x:v>
      </x:c>
      <x:c r="N1301" s="19" t="n">
        <x:f>MAX(K1301-1,0)+MAX(L1301-1,0)+MAX(M1301-1,0)</x:f>
        <x:v>3</x:v>
      </x:c>
      <x:c r="O1301" s="19" t="n">
        <x:f>IF(AND(SUM(K1301:M1301)&lt;9,OR(M1301=0,N1301&lt;6)),1,0)</x:f>
        <x:v>1</x:v>
      </x:c>
      <x:c r="P1301" s="19" t="n">
        <x:f>IF(AND(SUM(K1301:M1301)&lt;9,OR(L1301=0,N1301&lt;6)),1,0)</x:f>
        <x:v>1</x:v>
      </x:c>
      <x:c r="Q1301" s="19" t="n">
        <x:f>IF(AND(SUM(K1301:M1301)&lt;9,OR(K1301=0,N1301&lt;6)),1,0)</x:f>
        <x:v>1</x:v>
      </x:c>
      <x:c r="R1301" s="22" t="str">
        <x:f>O1301&amp;P1301&amp;Q1301</x:f>
        <x:v>111</x:v>
      </x:c>
      <x:c r="S1301" s="19" t="n">
        <x:f>IF(I1301=1,IF(J1301=0,Q1301,IF(J1301=1,P1301,IF(J1301=2,O1301,0))),0)</x:f>
        <x:v>1</x:v>
      </x:c>
      <x:c r="T1301" s="19" t="n">
        <x:f>K1301+IF(AND(S1301=1,J1301=0),1,0)</x:f>
        <x:v>3</x:v>
      </x:c>
      <x:c r="U1301" s="19" t="n">
        <x:f>L1301+IF(AND(S1301=1,J1301=1),1,0)</x:f>
        <x:v>1</x:v>
      </x:c>
      <x:c r="V1301" s="19" t="n">
        <x:f>M1301+IF(AND(S1301=1,J1301=2),1,0)</x:f>
        <x:v>3</x:v>
      </x:c>
      <x:c r="W1301" s="19" t="n">
        <x:f>SUM(T1301:V1301)</x:f>
        <x:v>7</x:v>
      </x:c>
      <x:c r="X1301" s="19" t="n">
        <x:f>W1301-G1301</x:f>
        <x:v>0</x:v>
      </x:c>
      <x:c r="Y1301" s="19" t="n">
        <x:f>MAX(T1301,1)+MAX(U1301,1)+MAX(V1301,1)</x:f>
        <x:v>7</x:v>
      </x:c>
      <x:c r="Z1301" s="21" t="str">
        <x:f>IF(AND(MIN(D1301:F1301)&gt;=0,MAX(D1301:F1301)&lt;=7,MAX(D1301,1)+MAX(E1301,1)+MAX(F1301,1)&lt;=9,OR(H1301="-",AND(H1301=0,D1301&gt;0),AND(H1301=1,E1301&gt;0),AND(H1301=2,F1301&gt;0)),OR(I1301=0,AND(I1301=1,OR(J1301=0,J1301=1,J1301=2),R1301&lt;&gt;"000")),Y1301&lt;=9,MIN(T1301:V1301)&gt;=0),"合法","输入违约")</x:f>
        <x:v>合法</x:v>
      </x:c>
    </x:row>
    <x:row r="1302" ht="23" customHeight="1">
      <x:c r="A1302" s="3" t="str">
        <x:v>CT-1295</x:v>
      </x:c>
      <x:c r="B1302" s="3" t="str">
        <x:v>ST-102</x:v>
      </x:c>
      <x:c r="C1302" s="3" t="str">
        <x:v>R+AR同收同发</x:v>
      </x:c>
      <x:c r="D1302" s="25" t="n">
        <x:v>2</x:v>
      </x:c>
      <x:c r="E1302" s="25" t="n">
        <x:v>2</x:v>
      </x:c>
      <x:c r="F1302" s="25" t="n">
        <x:v>3</x:v>
      </x:c>
      <x:c r="G1302" s="19" t="n">
        <x:f>SUM(D1302:F1302)</x:f>
        <x:v>7</x:v>
      </x:c>
      <x:c r="H1302" s="25" t="n">
        <x:v>1</x:v>
      </x:c>
      <x:c r="I1302" s="25" t="n">
        <x:v>1</x:v>
      </x:c>
      <x:c r="J1302" s="25" t="n">
        <x:v>1</x:v>
      </x:c>
      <x:c r="K1302" s="19" t="n">
        <x:f>D1302-IF(H1302=0,1,0)</x:f>
        <x:v>2</x:v>
      </x:c>
      <x:c r="L1302" s="19" t="n">
        <x:f>E1302-IF(H1302=1,1,0)</x:f>
        <x:v>1</x:v>
      </x:c>
      <x:c r="M1302" s="19" t="n">
        <x:f>F1302-IF(H1302=2,1,0)</x:f>
        <x:v>3</x:v>
      </x:c>
      <x:c r="N1302" s="19" t="n">
        <x:f>MAX(K1302-1,0)+MAX(L1302-1,0)+MAX(M1302-1,0)</x:f>
        <x:v>3</x:v>
      </x:c>
      <x:c r="O1302" s="19" t="n">
        <x:f>IF(AND(SUM(K1302:M1302)&lt;9,OR(M1302=0,N1302&lt;6)),1,0)</x:f>
        <x:v>1</x:v>
      </x:c>
      <x:c r="P1302" s="19" t="n">
        <x:f>IF(AND(SUM(K1302:M1302)&lt;9,OR(L1302=0,N1302&lt;6)),1,0)</x:f>
        <x:v>1</x:v>
      </x:c>
      <x:c r="Q1302" s="19" t="n">
        <x:f>IF(AND(SUM(K1302:M1302)&lt;9,OR(K1302=0,N1302&lt;6)),1,0)</x:f>
        <x:v>1</x:v>
      </x:c>
      <x:c r="R1302" s="22" t="str">
        <x:f>O1302&amp;P1302&amp;Q1302</x:f>
        <x:v>111</x:v>
      </x:c>
      <x:c r="S1302" s="19" t="n">
        <x:f>IF(I1302=1,IF(J1302=0,Q1302,IF(J1302=1,P1302,IF(J1302=2,O1302,0))),0)</x:f>
        <x:v>1</x:v>
      </x:c>
      <x:c r="T1302" s="19" t="n">
        <x:f>K1302+IF(AND(S1302=1,J1302=0),1,0)</x:f>
        <x:v>2</x:v>
      </x:c>
      <x:c r="U1302" s="19" t="n">
        <x:f>L1302+IF(AND(S1302=1,J1302=1),1,0)</x:f>
        <x:v>2</x:v>
      </x:c>
      <x:c r="V1302" s="19" t="n">
        <x:f>M1302+IF(AND(S1302=1,J1302=2),1,0)</x:f>
        <x:v>3</x:v>
      </x:c>
      <x:c r="W1302" s="19" t="n">
        <x:f>SUM(T1302:V1302)</x:f>
        <x:v>7</x:v>
      </x:c>
      <x:c r="X1302" s="19" t="n">
        <x:f>W1302-G1302</x:f>
        <x:v>0</x:v>
      </x:c>
      <x:c r="Y1302" s="19" t="n">
        <x:f>MAX(T1302,1)+MAX(U1302,1)+MAX(V1302,1)</x:f>
        <x:v>7</x:v>
      </x:c>
      <x:c r="Z1302" s="21" t="str">
        <x:f>IF(AND(MIN(D1302:F1302)&gt;=0,MAX(D1302:F1302)&lt;=7,MAX(D1302,1)+MAX(E1302,1)+MAX(F1302,1)&lt;=9,OR(H1302="-",AND(H1302=0,D1302&gt;0),AND(H1302=1,E1302&gt;0),AND(H1302=2,F1302&gt;0)),OR(I1302=0,AND(I1302=1,OR(J1302=0,J1302=1,J1302=2),R1302&lt;&gt;"000")),Y1302&lt;=9,MIN(T1302:V1302)&gt;=0),"合法","输入违约")</x:f>
        <x:v>合法</x:v>
      </x:c>
    </x:row>
    <x:row r="1303" ht="23" customHeight="1">
      <x:c r="A1303" s="3" t="str">
        <x:v>CT-1296</x:v>
      </x:c>
      <x:c r="B1303" s="3" t="str">
        <x:v>ST-102</x:v>
      </x:c>
      <x:c r="C1303" s="3" t="str">
        <x:v>R+AR同收同发</x:v>
      </x:c>
      <x:c r="D1303" s="25" t="n">
        <x:v>2</x:v>
      </x:c>
      <x:c r="E1303" s="25" t="n">
        <x:v>2</x:v>
      </x:c>
      <x:c r="F1303" s="25" t="n">
        <x:v>3</x:v>
      </x:c>
      <x:c r="G1303" s="19" t="n">
        <x:f>SUM(D1303:F1303)</x:f>
        <x:v>7</x:v>
      </x:c>
      <x:c r="H1303" s="25" t="n">
        <x:v>1</x:v>
      </x:c>
      <x:c r="I1303" s="25" t="n">
        <x:v>1</x:v>
      </x:c>
      <x:c r="J1303" s="25" t="n">
        <x:v>2</x:v>
      </x:c>
      <x:c r="K1303" s="19" t="n">
        <x:f>D1303-IF(H1303=0,1,0)</x:f>
        <x:v>2</x:v>
      </x:c>
      <x:c r="L1303" s="19" t="n">
        <x:f>E1303-IF(H1303=1,1,0)</x:f>
        <x:v>1</x:v>
      </x:c>
      <x:c r="M1303" s="19" t="n">
        <x:f>F1303-IF(H1303=2,1,0)</x:f>
        <x:v>3</x:v>
      </x:c>
      <x:c r="N1303" s="19" t="n">
        <x:f>MAX(K1303-1,0)+MAX(L1303-1,0)+MAX(M1303-1,0)</x:f>
        <x:v>3</x:v>
      </x:c>
      <x:c r="O1303" s="19" t="n">
        <x:f>IF(AND(SUM(K1303:M1303)&lt;9,OR(M1303=0,N1303&lt;6)),1,0)</x:f>
        <x:v>1</x:v>
      </x:c>
      <x:c r="P1303" s="19" t="n">
        <x:f>IF(AND(SUM(K1303:M1303)&lt;9,OR(L1303=0,N1303&lt;6)),1,0)</x:f>
        <x:v>1</x:v>
      </x:c>
      <x:c r="Q1303" s="19" t="n">
        <x:f>IF(AND(SUM(K1303:M1303)&lt;9,OR(K1303=0,N1303&lt;6)),1,0)</x:f>
        <x:v>1</x:v>
      </x:c>
      <x:c r="R1303" s="22" t="str">
        <x:f>O1303&amp;P1303&amp;Q1303</x:f>
        <x:v>111</x:v>
      </x:c>
      <x:c r="S1303" s="19" t="n">
        <x:f>IF(I1303=1,IF(J1303=0,Q1303,IF(J1303=1,P1303,IF(J1303=2,O1303,0))),0)</x:f>
        <x:v>1</x:v>
      </x:c>
      <x:c r="T1303" s="19" t="n">
        <x:f>K1303+IF(AND(S1303=1,J1303=0),1,0)</x:f>
        <x:v>2</x:v>
      </x:c>
      <x:c r="U1303" s="19" t="n">
        <x:f>L1303+IF(AND(S1303=1,J1303=1),1,0)</x:f>
        <x:v>1</x:v>
      </x:c>
      <x:c r="V1303" s="19" t="n">
        <x:f>M1303+IF(AND(S1303=1,J1303=2),1,0)</x:f>
        <x:v>4</x:v>
      </x:c>
      <x:c r="W1303" s="19" t="n">
        <x:f>SUM(T1303:V1303)</x:f>
        <x:v>7</x:v>
      </x:c>
      <x:c r="X1303" s="19" t="n">
        <x:f>W1303-G1303</x:f>
        <x:v>0</x:v>
      </x:c>
      <x:c r="Y1303" s="19" t="n">
        <x:f>MAX(T1303,1)+MAX(U1303,1)+MAX(V1303,1)</x:f>
        <x:v>7</x:v>
      </x:c>
      <x:c r="Z1303" s="21" t="str">
        <x:f>IF(AND(MIN(D1303:F1303)&gt;=0,MAX(D1303:F1303)&lt;=7,MAX(D1303,1)+MAX(E1303,1)+MAX(F1303,1)&lt;=9,OR(H1303="-",AND(H1303=0,D1303&gt;0),AND(H1303=1,E1303&gt;0),AND(H1303=2,F1303&gt;0)),OR(I1303=0,AND(I1303=1,OR(J1303=0,J1303=1,J1303=2),R1303&lt;&gt;"000")),Y1303&lt;=9,MIN(T1303:V1303)&gt;=0),"合法","输入违约")</x:f>
        <x:v>合法</x:v>
      </x:c>
    </x:row>
    <x:row r="1304" ht="23" customHeight="1">
      <x:c r="A1304" s="3" t="str">
        <x:v>CT-1297</x:v>
      </x:c>
      <x:c r="B1304" s="3" t="str">
        <x:v>ST-102</x:v>
      </x:c>
      <x:c r="C1304" s="3" t="str">
        <x:v>仅R回收</x:v>
      </x:c>
      <x:c r="D1304" s="25" t="n">
        <x:v>2</x:v>
      </x:c>
      <x:c r="E1304" s="25" t="n">
        <x:v>2</x:v>
      </x:c>
      <x:c r="F1304" s="25" t="n">
        <x:v>3</x:v>
      </x:c>
      <x:c r="G1304" s="19" t="n">
        <x:f>SUM(D1304:F1304)</x:f>
        <x:v>7</x:v>
      </x:c>
      <x:c r="H1304" s="25" t="n">
        <x:v>2</x:v>
      </x:c>
      <x:c r="I1304" s="25" t="n">
        <x:v>0</x:v>
      </x:c>
      <x:c r="J1304" s="25" t="str">
        <x:v>-</x:v>
      </x:c>
      <x:c r="K1304" s="19" t="n">
        <x:f>D1304-IF(H1304=0,1,0)</x:f>
        <x:v>2</x:v>
      </x:c>
      <x:c r="L1304" s="19" t="n">
        <x:f>E1304-IF(H1304=1,1,0)</x:f>
        <x:v>2</x:v>
      </x:c>
      <x:c r="M1304" s="19" t="n">
        <x:f>F1304-IF(H1304=2,1,0)</x:f>
        <x:v>2</x:v>
      </x:c>
      <x:c r="N1304" s="19" t="n">
        <x:f>MAX(K1304-1,0)+MAX(L1304-1,0)+MAX(M1304-1,0)</x:f>
        <x:v>3</x:v>
      </x:c>
      <x:c r="O1304" s="19" t="n">
        <x:f>IF(AND(SUM(K1304:M1304)&lt;9,OR(M1304=0,N1304&lt;6)),1,0)</x:f>
        <x:v>1</x:v>
      </x:c>
      <x:c r="P1304" s="19" t="n">
        <x:f>IF(AND(SUM(K1304:M1304)&lt;9,OR(L1304=0,N1304&lt;6)),1,0)</x:f>
        <x:v>1</x:v>
      </x:c>
      <x:c r="Q1304" s="19" t="n">
        <x:f>IF(AND(SUM(K1304:M1304)&lt;9,OR(K1304=0,N1304&lt;6)),1,0)</x:f>
        <x:v>1</x:v>
      </x:c>
      <x:c r="R1304" s="22" t="str">
        <x:f>O1304&amp;P1304&amp;Q1304</x:f>
        <x:v>111</x:v>
      </x:c>
      <x:c r="S1304" s="19" t="n">
        <x:f>IF(I1304=1,IF(J1304=0,Q1304,IF(J1304=1,P1304,IF(J1304=2,O1304,0))),0)</x:f>
        <x:v>0</x:v>
      </x:c>
      <x:c r="T1304" s="19" t="n">
        <x:f>K1304+IF(AND(S1304=1,J1304=0),1,0)</x:f>
        <x:v>2</x:v>
      </x:c>
      <x:c r="U1304" s="19" t="n">
        <x:f>L1304+IF(AND(S1304=1,J1304=1),1,0)</x:f>
        <x:v>2</x:v>
      </x:c>
      <x:c r="V1304" s="19" t="n">
        <x:f>M1304+IF(AND(S1304=1,J1304=2),1,0)</x:f>
        <x:v>2</x:v>
      </x:c>
      <x:c r="W1304" s="19" t="n">
        <x:f>SUM(T1304:V1304)</x:f>
        <x:v>6</x:v>
      </x:c>
      <x:c r="X1304" s="19" t="n">
        <x:f>W1304-G1304</x:f>
        <x:v>-1</x:v>
      </x:c>
      <x:c r="Y1304" s="19" t="n">
        <x:f>MAX(T1304,1)+MAX(U1304,1)+MAX(V1304,1)</x:f>
        <x:v>6</x:v>
      </x:c>
      <x:c r="Z1304" s="21" t="str">
        <x:f>IF(AND(MIN(D1304:F1304)&gt;=0,MAX(D1304:F1304)&lt;=7,MAX(D1304,1)+MAX(E1304,1)+MAX(F1304,1)&lt;=9,OR(H1304="-",AND(H1304=0,D1304&gt;0),AND(H1304=1,E1304&gt;0),AND(H1304=2,F1304&gt;0)),OR(I1304=0,AND(I1304=1,OR(J1304=0,J1304=1,J1304=2),R1304&lt;&gt;"000")),Y1304&lt;=9,MIN(T1304:V1304)&gt;=0),"合法","输入违约")</x:f>
        <x:v>合法</x:v>
      </x:c>
    </x:row>
    <x:row r="1305" ht="23" customHeight="1">
      <x:c r="A1305" s="3" t="str">
        <x:v>CT-1298</x:v>
      </x:c>
      <x:c r="B1305" s="3" t="str">
        <x:v>ST-102</x:v>
      </x:c>
      <x:c r="C1305" s="3" t="str">
        <x:v>R+AR同收同发</x:v>
      </x:c>
      <x:c r="D1305" s="25" t="n">
        <x:v>2</x:v>
      </x:c>
      <x:c r="E1305" s="25" t="n">
        <x:v>2</x:v>
      </x:c>
      <x:c r="F1305" s="25" t="n">
        <x:v>3</x:v>
      </x:c>
      <x:c r="G1305" s="19" t="n">
        <x:f>SUM(D1305:F1305)</x:f>
        <x:v>7</x:v>
      </x:c>
      <x:c r="H1305" s="25" t="n">
        <x:v>2</x:v>
      </x:c>
      <x:c r="I1305" s="25" t="n">
        <x:v>1</x:v>
      </x:c>
      <x:c r="J1305" s="25" t="n">
        <x:v>0</x:v>
      </x:c>
      <x:c r="K1305" s="19" t="n">
        <x:f>D1305-IF(H1305=0,1,0)</x:f>
        <x:v>2</x:v>
      </x:c>
      <x:c r="L1305" s="19" t="n">
        <x:f>E1305-IF(H1305=1,1,0)</x:f>
        <x:v>2</x:v>
      </x:c>
      <x:c r="M1305" s="19" t="n">
        <x:f>F1305-IF(H1305=2,1,0)</x:f>
        <x:v>2</x:v>
      </x:c>
      <x:c r="N1305" s="19" t="n">
        <x:f>MAX(K1305-1,0)+MAX(L1305-1,0)+MAX(M1305-1,0)</x:f>
        <x:v>3</x:v>
      </x:c>
      <x:c r="O1305" s="19" t="n">
        <x:f>IF(AND(SUM(K1305:M1305)&lt;9,OR(M1305=0,N1305&lt;6)),1,0)</x:f>
        <x:v>1</x:v>
      </x:c>
      <x:c r="P1305" s="19" t="n">
        <x:f>IF(AND(SUM(K1305:M1305)&lt;9,OR(L1305=0,N1305&lt;6)),1,0)</x:f>
        <x:v>1</x:v>
      </x:c>
      <x:c r="Q1305" s="19" t="n">
        <x:f>IF(AND(SUM(K1305:M1305)&lt;9,OR(K1305=0,N1305&lt;6)),1,0)</x:f>
        <x:v>1</x:v>
      </x:c>
      <x:c r="R1305" s="22" t="str">
        <x:f>O1305&amp;P1305&amp;Q1305</x:f>
        <x:v>111</x:v>
      </x:c>
      <x:c r="S1305" s="19" t="n">
        <x:f>IF(I1305=1,IF(J1305=0,Q1305,IF(J1305=1,P1305,IF(J1305=2,O1305,0))),0)</x:f>
        <x:v>1</x:v>
      </x:c>
      <x:c r="T1305" s="19" t="n">
        <x:f>K1305+IF(AND(S1305=1,J1305=0),1,0)</x:f>
        <x:v>3</x:v>
      </x:c>
      <x:c r="U1305" s="19" t="n">
        <x:f>L1305+IF(AND(S1305=1,J1305=1),1,0)</x:f>
        <x:v>2</x:v>
      </x:c>
      <x:c r="V1305" s="19" t="n">
        <x:f>M1305+IF(AND(S1305=1,J1305=2),1,0)</x:f>
        <x:v>2</x:v>
      </x:c>
      <x:c r="W1305" s="19" t="n">
        <x:f>SUM(T1305:V1305)</x:f>
        <x:v>7</x:v>
      </x:c>
      <x:c r="X1305" s="19" t="n">
        <x:f>W1305-G1305</x:f>
        <x:v>0</x:v>
      </x:c>
      <x:c r="Y1305" s="19" t="n">
        <x:f>MAX(T1305,1)+MAX(U1305,1)+MAX(V1305,1)</x:f>
        <x:v>7</x:v>
      </x:c>
      <x:c r="Z1305" s="21" t="str">
        <x:f>IF(AND(MIN(D1305:F1305)&gt;=0,MAX(D1305:F1305)&lt;=7,MAX(D1305,1)+MAX(E1305,1)+MAX(F1305,1)&lt;=9,OR(H1305="-",AND(H1305=0,D1305&gt;0),AND(H1305=1,E1305&gt;0),AND(H1305=2,F1305&gt;0)),OR(I1305=0,AND(I1305=1,OR(J1305=0,J1305=1,J1305=2),R1305&lt;&gt;"000")),Y1305&lt;=9,MIN(T1305:V1305)&gt;=0),"合法","输入违约")</x:f>
        <x:v>合法</x:v>
      </x:c>
    </x:row>
    <x:row r="1306" ht="23" customHeight="1">
      <x:c r="A1306" s="3" t="str">
        <x:v>CT-1299</x:v>
      </x:c>
      <x:c r="B1306" s="3" t="str">
        <x:v>ST-102</x:v>
      </x:c>
      <x:c r="C1306" s="3" t="str">
        <x:v>R+AR同收同发</x:v>
      </x:c>
      <x:c r="D1306" s="25" t="n">
        <x:v>2</x:v>
      </x:c>
      <x:c r="E1306" s="25" t="n">
        <x:v>2</x:v>
      </x:c>
      <x:c r="F1306" s="25" t="n">
        <x:v>3</x:v>
      </x:c>
      <x:c r="G1306" s="19" t="n">
        <x:f>SUM(D1306:F1306)</x:f>
        <x:v>7</x:v>
      </x:c>
      <x:c r="H1306" s="25" t="n">
        <x:v>2</x:v>
      </x:c>
      <x:c r="I1306" s="25" t="n">
        <x:v>1</x:v>
      </x:c>
      <x:c r="J1306" s="25" t="n">
        <x:v>1</x:v>
      </x:c>
      <x:c r="K1306" s="19" t="n">
        <x:f>D1306-IF(H1306=0,1,0)</x:f>
        <x:v>2</x:v>
      </x:c>
      <x:c r="L1306" s="19" t="n">
        <x:f>E1306-IF(H1306=1,1,0)</x:f>
        <x:v>2</x:v>
      </x:c>
      <x:c r="M1306" s="19" t="n">
        <x:f>F1306-IF(H1306=2,1,0)</x:f>
        <x:v>2</x:v>
      </x:c>
      <x:c r="N1306" s="19" t="n">
        <x:f>MAX(K1306-1,0)+MAX(L1306-1,0)+MAX(M1306-1,0)</x:f>
        <x:v>3</x:v>
      </x:c>
      <x:c r="O1306" s="19" t="n">
        <x:f>IF(AND(SUM(K1306:M1306)&lt;9,OR(M1306=0,N1306&lt;6)),1,0)</x:f>
        <x:v>1</x:v>
      </x:c>
      <x:c r="P1306" s="19" t="n">
        <x:f>IF(AND(SUM(K1306:M1306)&lt;9,OR(L1306=0,N1306&lt;6)),1,0)</x:f>
        <x:v>1</x:v>
      </x:c>
      <x:c r="Q1306" s="19" t="n">
        <x:f>IF(AND(SUM(K1306:M1306)&lt;9,OR(K1306=0,N1306&lt;6)),1,0)</x:f>
        <x:v>1</x:v>
      </x:c>
      <x:c r="R1306" s="22" t="str">
        <x:f>O1306&amp;P1306&amp;Q1306</x:f>
        <x:v>111</x:v>
      </x:c>
      <x:c r="S1306" s="19" t="n">
        <x:f>IF(I1306=1,IF(J1306=0,Q1306,IF(J1306=1,P1306,IF(J1306=2,O1306,0))),0)</x:f>
        <x:v>1</x:v>
      </x:c>
      <x:c r="T1306" s="19" t="n">
        <x:f>K1306+IF(AND(S1306=1,J1306=0),1,0)</x:f>
        <x:v>2</x:v>
      </x:c>
      <x:c r="U1306" s="19" t="n">
        <x:f>L1306+IF(AND(S1306=1,J1306=1),1,0)</x:f>
        <x:v>3</x:v>
      </x:c>
      <x:c r="V1306" s="19" t="n">
        <x:f>M1306+IF(AND(S1306=1,J1306=2),1,0)</x:f>
        <x:v>2</x:v>
      </x:c>
      <x:c r="W1306" s="19" t="n">
        <x:f>SUM(T1306:V1306)</x:f>
        <x:v>7</x:v>
      </x:c>
      <x:c r="X1306" s="19" t="n">
        <x:f>W1306-G1306</x:f>
        <x:v>0</x:v>
      </x:c>
      <x:c r="Y1306" s="19" t="n">
        <x:f>MAX(T1306,1)+MAX(U1306,1)+MAX(V1306,1)</x:f>
        <x:v>7</x:v>
      </x:c>
      <x:c r="Z1306" s="21" t="str">
        <x:f>IF(AND(MIN(D1306:F1306)&gt;=0,MAX(D1306:F1306)&lt;=7,MAX(D1306,1)+MAX(E1306,1)+MAX(F1306,1)&lt;=9,OR(H1306="-",AND(H1306=0,D1306&gt;0),AND(H1306=1,E1306&gt;0),AND(H1306=2,F1306&gt;0)),OR(I1306=0,AND(I1306=1,OR(J1306=0,J1306=1,J1306=2),R1306&lt;&gt;"000")),Y1306&lt;=9,MIN(T1306:V1306)&gt;=0),"合法","输入违约")</x:f>
        <x:v>合法</x:v>
      </x:c>
    </x:row>
    <x:row r="1307" ht="23" customHeight="1">
      <x:c r="A1307" s="3" t="str">
        <x:v>CT-1300</x:v>
      </x:c>
      <x:c r="B1307" s="3" t="str">
        <x:v>ST-102</x:v>
      </x:c>
      <x:c r="C1307" s="3" t="str">
        <x:v>R+AR同收同发</x:v>
      </x:c>
      <x:c r="D1307" s="25" t="n">
        <x:v>2</x:v>
      </x:c>
      <x:c r="E1307" s="25" t="n">
        <x:v>2</x:v>
      </x:c>
      <x:c r="F1307" s="25" t="n">
        <x:v>3</x:v>
      </x:c>
      <x:c r="G1307" s="19" t="n">
        <x:f>SUM(D1307:F1307)</x:f>
        <x:v>7</x:v>
      </x:c>
      <x:c r="H1307" s="25" t="n">
        <x:v>2</x:v>
      </x:c>
      <x:c r="I1307" s="25" t="n">
        <x:v>1</x:v>
      </x:c>
      <x:c r="J1307" s="25" t="n">
        <x:v>2</x:v>
      </x:c>
      <x:c r="K1307" s="19" t="n">
        <x:f>D1307-IF(H1307=0,1,0)</x:f>
        <x:v>2</x:v>
      </x:c>
      <x:c r="L1307" s="19" t="n">
        <x:f>E1307-IF(H1307=1,1,0)</x:f>
        <x:v>2</x:v>
      </x:c>
      <x:c r="M1307" s="19" t="n">
        <x:f>F1307-IF(H1307=2,1,0)</x:f>
        <x:v>2</x:v>
      </x:c>
      <x:c r="N1307" s="19" t="n">
        <x:f>MAX(K1307-1,0)+MAX(L1307-1,0)+MAX(M1307-1,0)</x:f>
        <x:v>3</x:v>
      </x:c>
      <x:c r="O1307" s="19" t="n">
        <x:f>IF(AND(SUM(K1307:M1307)&lt;9,OR(M1307=0,N1307&lt;6)),1,0)</x:f>
        <x:v>1</x:v>
      </x:c>
      <x:c r="P1307" s="19" t="n">
        <x:f>IF(AND(SUM(K1307:M1307)&lt;9,OR(L1307=0,N1307&lt;6)),1,0)</x:f>
        <x:v>1</x:v>
      </x:c>
      <x:c r="Q1307" s="19" t="n">
        <x:f>IF(AND(SUM(K1307:M1307)&lt;9,OR(K1307=0,N1307&lt;6)),1,0)</x:f>
        <x:v>1</x:v>
      </x:c>
      <x:c r="R1307" s="22" t="str">
        <x:f>O1307&amp;P1307&amp;Q1307</x:f>
        <x:v>111</x:v>
      </x:c>
      <x:c r="S1307" s="19" t="n">
        <x:f>IF(I1307=1,IF(J1307=0,Q1307,IF(J1307=1,P1307,IF(J1307=2,O1307,0))),0)</x:f>
        <x:v>1</x:v>
      </x:c>
      <x:c r="T1307" s="19" t="n">
        <x:f>K1307+IF(AND(S1307=1,J1307=0),1,0)</x:f>
        <x:v>2</x:v>
      </x:c>
      <x:c r="U1307" s="19" t="n">
        <x:f>L1307+IF(AND(S1307=1,J1307=1),1,0)</x:f>
        <x:v>2</x:v>
      </x:c>
      <x:c r="V1307" s="19" t="n">
        <x:f>M1307+IF(AND(S1307=1,J1307=2),1,0)</x:f>
        <x:v>3</x:v>
      </x:c>
      <x:c r="W1307" s="19" t="n">
        <x:f>SUM(T1307:V1307)</x:f>
        <x:v>7</x:v>
      </x:c>
      <x:c r="X1307" s="19" t="n">
        <x:f>W1307-G1307</x:f>
        <x:v>0</x:v>
      </x:c>
      <x:c r="Y1307" s="19" t="n">
        <x:f>MAX(T1307,1)+MAX(U1307,1)+MAX(V1307,1)</x:f>
        <x:v>7</x:v>
      </x:c>
      <x:c r="Z1307" s="21" t="str">
        <x:f>IF(AND(MIN(D1307:F1307)&gt;=0,MAX(D1307:F1307)&lt;=7,MAX(D1307,1)+MAX(E1307,1)+MAX(F1307,1)&lt;=9,OR(H1307="-",AND(H1307=0,D1307&gt;0),AND(H1307=1,E1307&gt;0),AND(H1307=2,F1307&gt;0)),OR(I1307=0,AND(I1307=1,OR(J1307=0,J1307=1,J1307=2),R1307&lt;&gt;"000")),Y1307&lt;=9,MIN(T1307:V1307)&gt;=0),"合法","输入违约")</x:f>
        <x:v>合法</x:v>
      </x:c>
    </x:row>
    <x:row r="1308" ht="23" customHeight="1">
      <x:c r="A1308" s="3" t="str">
        <x:v>CT-1301</x:v>
      </x:c>
      <x:c r="B1308" s="3" t="str">
        <x:v>ST-138</x:v>
      </x:c>
      <x:c r="C1308" s="3" t="str">
        <x:v>无AR/R</x:v>
      </x:c>
      <x:c r="D1308" s="25" t="n">
        <x:v>2</x:v>
      </x:c>
      <x:c r="E1308" s="25" t="n">
        <x:v>2</x:v>
      </x:c>
      <x:c r="F1308" s="25" t="n">
        <x:v>4</x:v>
      </x:c>
      <x:c r="G1308" s="19" t="n">
        <x:f>SUM(D1308:F1308)</x:f>
        <x:v>8</x:v>
      </x:c>
      <x:c r="H1308" s="25" t="str">
        <x:v>-</x:v>
      </x:c>
      <x:c r="I1308" s="25" t="n">
        <x:v>0</x:v>
      </x:c>
      <x:c r="J1308" s="25" t="str">
        <x:v>-</x:v>
      </x:c>
      <x:c r="K1308" s="19" t="n">
        <x:f>D1308-IF(H1308=0,1,0)</x:f>
        <x:v>2</x:v>
      </x:c>
      <x:c r="L1308" s="19" t="n">
        <x:f>E1308-IF(H1308=1,1,0)</x:f>
        <x:v>2</x:v>
      </x:c>
      <x:c r="M1308" s="19" t="n">
        <x:f>F1308-IF(H1308=2,1,0)</x:f>
        <x:v>4</x:v>
      </x:c>
      <x:c r="N1308" s="19" t="n">
        <x:f>MAX(K1308-1,0)+MAX(L1308-1,0)+MAX(M1308-1,0)</x:f>
        <x:v>5</x:v>
      </x:c>
      <x:c r="O1308" s="19" t="n">
        <x:f>IF(AND(SUM(K1308:M1308)&lt;9,OR(M1308=0,N1308&lt;6)),1,0)</x:f>
        <x:v>1</x:v>
      </x:c>
      <x:c r="P1308" s="19" t="n">
        <x:f>IF(AND(SUM(K1308:M1308)&lt;9,OR(L1308=0,N1308&lt;6)),1,0)</x:f>
        <x:v>1</x:v>
      </x:c>
      <x:c r="Q1308" s="19" t="n">
        <x:f>IF(AND(SUM(K1308:M1308)&lt;9,OR(K1308=0,N1308&lt;6)),1,0)</x:f>
        <x:v>1</x:v>
      </x:c>
      <x:c r="R1308" s="22" t="str">
        <x:f>O1308&amp;P1308&amp;Q1308</x:f>
        <x:v>111</x:v>
      </x:c>
      <x:c r="S1308" s="19" t="n">
        <x:f>IF(I1308=1,IF(J1308=0,Q1308,IF(J1308=1,P1308,IF(J1308=2,O1308,0))),0)</x:f>
        <x:v>0</x:v>
      </x:c>
      <x:c r="T1308" s="19" t="n">
        <x:f>K1308+IF(AND(S1308=1,J1308=0),1,0)</x:f>
        <x:v>2</x:v>
      </x:c>
      <x:c r="U1308" s="19" t="n">
        <x:f>L1308+IF(AND(S1308=1,J1308=1),1,0)</x:f>
        <x:v>2</x:v>
      </x:c>
      <x:c r="V1308" s="19" t="n">
        <x:f>M1308+IF(AND(S1308=1,J1308=2),1,0)</x:f>
        <x:v>4</x:v>
      </x:c>
      <x:c r="W1308" s="19" t="n">
        <x:f>SUM(T1308:V1308)</x:f>
        <x:v>8</x:v>
      </x:c>
      <x:c r="X1308" s="19" t="n">
        <x:f>W1308-G1308</x:f>
        <x:v>0</x:v>
      </x:c>
      <x:c r="Y1308" s="19" t="n">
        <x:f>MAX(T1308,1)+MAX(U1308,1)+MAX(V1308,1)</x:f>
        <x:v>8</x:v>
      </x:c>
      <x:c r="Z1308" s="21" t="str">
        <x:f>IF(AND(MIN(D1308:F1308)&gt;=0,MAX(D1308:F1308)&lt;=7,MAX(D1308,1)+MAX(E1308,1)+MAX(F1308,1)&lt;=9,OR(H1308="-",AND(H1308=0,D1308&gt;0),AND(H1308=1,E1308&gt;0),AND(H1308=2,F1308&gt;0)),OR(I1308=0,AND(I1308=1,OR(J1308=0,J1308=1,J1308=2),R1308&lt;&gt;"000")),Y1308&lt;=9,MIN(T1308:V1308)&gt;=0),"合法","输入违约")</x:f>
        <x:v>合法</x:v>
      </x:c>
    </x:row>
    <x:row r="1309" ht="23" customHeight="1">
      <x:c r="A1309" s="3" t="str">
        <x:v>CT-1302</x:v>
      </x:c>
      <x:c r="B1309" s="3" t="str">
        <x:v>ST-138</x:v>
      </x:c>
      <x:c r="C1309" s="3" t="str">
        <x:v>仅AR接收</x:v>
      </x:c>
      <x:c r="D1309" s="25" t="n">
        <x:v>2</x:v>
      </x:c>
      <x:c r="E1309" s="25" t="n">
        <x:v>2</x:v>
      </x:c>
      <x:c r="F1309" s="25" t="n">
        <x:v>4</x:v>
      </x:c>
      <x:c r="G1309" s="19" t="n">
        <x:f>SUM(D1309:F1309)</x:f>
        <x:v>8</x:v>
      </x:c>
      <x:c r="H1309" s="25" t="str">
        <x:v>-</x:v>
      </x:c>
      <x:c r="I1309" s="25" t="n">
        <x:v>1</x:v>
      </x:c>
      <x:c r="J1309" s="25" t="n">
        <x:v>0</x:v>
      </x:c>
      <x:c r="K1309" s="19" t="n">
        <x:f>D1309-IF(H1309=0,1,0)</x:f>
        <x:v>2</x:v>
      </x:c>
      <x:c r="L1309" s="19" t="n">
        <x:f>E1309-IF(H1309=1,1,0)</x:f>
        <x:v>2</x:v>
      </x:c>
      <x:c r="M1309" s="19" t="n">
        <x:f>F1309-IF(H1309=2,1,0)</x:f>
        <x:v>4</x:v>
      </x:c>
      <x:c r="N1309" s="19" t="n">
        <x:f>MAX(K1309-1,0)+MAX(L1309-1,0)+MAX(M1309-1,0)</x:f>
        <x:v>5</x:v>
      </x:c>
      <x:c r="O1309" s="19" t="n">
        <x:f>IF(AND(SUM(K1309:M1309)&lt;9,OR(M1309=0,N1309&lt;6)),1,0)</x:f>
        <x:v>1</x:v>
      </x:c>
      <x:c r="P1309" s="19" t="n">
        <x:f>IF(AND(SUM(K1309:M1309)&lt;9,OR(L1309=0,N1309&lt;6)),1,0)</x:f>
        <x:v>1</x:v>
      </x:c>
      <x:c r="Q1309" s="19" t="n">
        <x:f>IF(AND(SUM(K1309:M1309)&lt;9,OR(K1309=0,N1309&lt;6)),1,0)</x:f>
        <x:v>1</x:v>
      </x:c>
      <x:c r="R1309" s="22" t="str">
        <x:f>O1309&amp;P1309&amp;Q1309</x:f>
        <x:v>111</x:v>
      </x:c>
      <x:c r="S1309" s="19" t="n">
        <x:f>IF(I1309=1,IF(J1309=0,Q1309,IF(J1309=1,P1309,IF(J1309=2,O1309,0))),0)</x:f>
        <x:v>1</x:v>
      </x:c>
      <x:c r="T1309" s="19" t="n">
        <x:f>K1309+IF(AND(S1309=1,J1309=0),1,0)</x:f>
        <x:v>3</x:v>
      </x:c>
      <x:c r="U1309" s="19" t="n">
        <x:f>L1309+IF(AND(S1309=1,J1309=1),1,0)</x:f>
        <x:v>2</x:v>
      </x:c>
      <x:c r="V1309" s="19" t="n">
        <x:f>M1309+IF(AND(S1309=1,J1309=2),1,0)</x:f>
        <x:v>4</x:v>
      </x:c>
      <x:c r="W1309" s="19" t="n">
        <x:f>SUM(T1309:V1309)</x:f>
        <x:v>9</x:v>
      </x:c>
      <x:c r="X1309" s="19" t="n">
        <x:f>W1309-G1309</x:f>
        <x:v>1</x:v>
      </x:c>
      <x:c r="Y1309" s="19" t="n">
        <x:f>MAX(T1309,1)+MAX(U1309,1)+MAX(V1309,1)</x:f>
        <x:v>9</x:v>
      </x:c>
      <x:c r="Z1309" s="21" t="str">
        <x:f>IF(AND(MIN(D1309:F1309)&gt;=0,MAX(D1309:F1309)&lt;=7,MAX(D1309,1)+MAX(E1309,1)+MAX(F1309,1)&lt;=9,OR(H1309="-",AND(H1309=0,D1309&gt;0),AND(H1309=1,E1309&gt;0),AND(H1309=2,F1309&gt;0)),OR(I1309=0,AND(I1309=1,OR(J1309=0,J1309=1,J1309=2),R1309&lt;&gt;"000")),Y1309&lt;=9,MIN(T1309:V1309)&gt;=0),"合法","输入违约")</x:f>
        <x:v>合法</x:v>
      </x:c>
    </x:row>
    <x:row r="1310" ht="23" customHeight="1">
      <x:c r="A1310" s="3" t="str">
        <x:v>CT-1303</x:v>
      </x:c>
      <x:c r="B1310" s="3" t="str">
        <x:v>ST-138</x:v>
      </x:c>
      <x:c r="C1310" s="3" t="str">
        <x:v>仅AR接收</x:v>
      </x:c>
      <x:c r="D1310" s="25" t="n">
        <x:v>2</x:v>
      </x:c>
      <x:c r="E1310" s="25" t="n">
        <x:v>2</x:v>
      </x:c>
      <x:c r="F1310" s="25" t="n">
        <x:v>4</x:v>
      </x:c>
      <x:c r="G1310" s="19" t="n">
        <x:f>SUM(D1310:F1310)</x:f>
        <x:v>8</x:v>
      </x:c>
      <x:c r="H1310" s="25" t="str">
        <x:v>-</x:v>
      </x:c>
      <x:c r="I1310" s="25" t="n">
        <x:v>1</x:v>
      </x:c>
      <x:c r="J1310" s="25" t="n">
        <x:v>1</x:v>
      </x:c>
      <x:c r="K1310" s="19" t="n">
        <x:f>D1310-IF(H1310=0,1,0)</x:f>
        <x:v>2</x:v>
      </x:c>
      <x:c r="L1310" s="19" t="n">
        <x:f>E1310-IF(H1310=1,1,0)</x:f>
        <x:v>2</x:v>
      </x:c>
      <x:c r="M1310" s="19" t="n">
        <x:f>F1310-IF(H1310=2,1,0)</x:f>
        <x:v>4</x:v>
      </x:c>
      <x:c r="N1310" s="19" t="n">
        <x:f>MAX(K1310-1,0)+MAX(L1310-1,0)+MAX(M1310-1,0)</x:f>
        <x:v>5</x:v>
      </x:c>
      <x:c r="O1310" s="19" t="n">
        <x:f>IF(AND(SUM(K1310:M1310)&lt;9,OR(M1310=0,N1310&lt;6)),1,0)</x:f>
        <x:v>1</x:v>
      </x:c>
      <x:c r="P1310" s="19" t="n">
        <x:f>IF(AND(SUM(K1310:M1310)&lt;9,OR(L1310=0,N1310&lt;6)),1,0)</x:f>
        <x:v>1</x:v>
      </x:c>
      <x:c r="Q1310" s="19" t="n">
        <x:f>IF(AND(SUM(K1310:M1310)&lt;9,OR(K1310=0,N1310&lt;6)),1,0)</x:f>
        <x:v>1</x:v>
      </x:c>
      <x:c r="R1310" s="22" t="str">
        <x:f>O1310&amp;P1310&amp;Q1310</x:f>
        <x:v>111</x:v>
      </x:c>
      <x:c r="S1310" s="19" t="n">
        <x:f>IF(I1310=1,IF(J1310=0,Q1310,IF(J1310=1,P1310,IF(J1310=2,O1310,0))),0)</x:f>
        <x:v>1</x:v>
      </x:c>
      <x:c r="T1310" s="19" t="n">
        <x:f>K1310+IF(AND(S1310=1,J1310=0),1,0)</x:f>
        <x:v>2</x:v>
      </x:c>
      <x:c r="U1310" s="19" t="n">
        <x:f>L1310+IF(AND(S1310=1,J1310=1),1,0)</x:f>
        <x:v>3</x:v>
      </x:c>
      <x:c r="V1310" s="19" t="n">
        <x:f>M1310+IF(AND(S1310=1,J1310=2),1,0)</x:f>
        <x:v>4</x:v>
      </x:c>
      <x:c r="W1310" s="19" t="n">
        <x:f>SUM(T1310:V1310)</x:f>
        <x:v>9</x:v>
      </x:c>
      <x:c r="X1310" s="19" t="n">
        <x:f>W1310-G1310</x:f>
        <x:v>1</x:v>
      </x:c>
      <x:c r="Y1310" s="19" t="n">
        <x:f>MAX(T1310,1)+MAX(U1310,1)+MAX(V1310,1)</x:f>
        <x:v>9</x:v>
      </x:c>
      <x:c r="Z1310" s="21" t="str">
        <x:f>IF(AND(MIN(D1310:F1310)&gt;=0,MAX(D1310:F1310)&lt;=7,MAX(D1310,1)+MAX(E1310,1)+MAX(F1310,1)&lt;=9,OR(H1310="-",AND(H1310=0,D1310&gt;0),AND(H1310=1,E1310&gt;0),AND(H1310=2,F1310&gt;0)),OR(I1310=0,AND(I1310=1,OR(J1310=0,J1310=1,J1310=2),R1310&lt;&gt;"000")),Y1310&lt;=9,MIN(T1310:V1310)&gt;=0),"合法","输入违约")</x:f>
        <x:v>合法</x:v>
      </x:c>
    </x:row>
    <x:row r="1311" ht="23" customHeight="1">
      <x:c r="A1311" s="3" t="str">
        <x:v>CT-1304</x:v>
      </x:c>
      <x:c r="B1311" s="3" t="str">
        <x:v>ST-138</x:v>
      </x:c>
      <x:c r="C1311" s="3" t="str">
        <x:v>仅AR接收</x:v>
      </x:c>
      <x:c r="D1311" s="25" t="n">
        <x:v>2</x:v>
      </x:c>
      <x:c r="E1311" s="25" t="n">
        <x:v>2</x:v>
      </x:c>
      <x:c r="F1311" s="25" t="n">
        <x:v>4</x:v>
      </x:c>
      <x:c r="G1311" s="19" t="n">
        <x:f>SUM(D1311:F1311)</x:f>
        <x:v>8</x:v>
      </x:c>
      <x:c r="H1311" s="25" t="str">
        <x:v>-</x:v>
      </x:c>
      <x:c r="I1311" s="25" t="n">
        <x:v>1</x:v>
      </x:c>
      <x:c r="J1311" s="25" t="n">
        <x:v>2</x:v>
      </x:c>
      <x:c r="K1311" s="19" t="n">
        <x:f>D1311-IF(H1311=0,1,0)</x:f>
        <x:v>2</x:v>
      </x:c>
      <x:c r="L1311" s="19" t="n">
        <x:f>E1311-IF(H1311=1,1,0)</x:f>
        <x:v>2</x:v>
      </x:c>
      <x:c r="M1311" s="19" t="n">
        <x:f>F1311-IF(H1311=2,1,0)</x:f>
        <x:v>4</x:v>
      </x:c>
      <x:c r="N1311" s="19" t="n">
        <x:f>MAX(K1311-1,0)+MAX(L1311-1,0)+MAX(M1311-1,0)</x:f>
        <x:v>5</x:v>
      </x:c>
      <x:c r="O1311" s="19" t="n">
        <x:f>IF(AND(SUM(K1311:M1311)&lt;9,OR(M1311=0,N1311&lt;6)),1,0)</x:f>
        <x:v>1</x:v>
      </x:c>
      <x:c r="P1311" s="19" t="n">
        <x:f>IF(AND(SUM(K1311:M1311)&lt;9,OR(L1311=0,N1311&lt;6)),1,0)</x:f>
        <x:v>1</x:v>
      </x:c>
      <x:c r="Q1311" s="19" t="n">
        <x:f>IF(AND(SUM(K1311:M1311)&lt;9,OR(K1311=0,N1311&lt;6)),1,0)</x:f>
        <x:v>1</x:v>
      </x:c>
      <x:c r="R1311" s="22" t="str">
        <x:f>O1311&amp;P1311&amp;Q1311</x:f>
        <x:v>111</x:v>
      </x:c>
      <x:c r="S1311" s="19" t="n">
        <x:f>IF(I1311=1,IF(J1311=0,Q1311,IF(J1311=1,P1311,IF(J1311=2,O1311,0))),0)</x:f>
        <x:v>1</x:v>
      </x:c>
      <x:c r="T1311" s="19" t="n">
        <x:f>K1311+IF(AND(S1311=1,J1311=0),1,0)</x:f>
        <x:v>2</x:v>
      </x:c>
      <x:c r="U1311" s="19" t="n">
        <x:f>L1311+IF(AND(S1311=1,J1311=1),1,0)</x:f>
        <x:v>2</x:v>
      </x:c>
      <x:c r="V1311" s="19" t="n">
        <x:f>M1311+IF(AND(S1311=1,J1311=2),1,0)</x:f>
        <x:v>5</x:v>
      </x:c>
      <x:c r="W1311" s="19" t="n">
        <x:f>SUM(T1311:V1311)</x:f>
        <x:v>9</x:v>
      </x:c>
      <x:c r="X1311" s="19" t="n">
        <x:f>W1311-G1311</x:f>
        <x:v>1</x:v>
      </x:c>
      <x:c r="Y1311" s="19" t="n">
        <x:f>MAX(T1311,1)+MAX(U1311,1)+MAX(V1311,1)</x:f>
        <x:v>9</x:v>
      </x:c>
      <x:c r="Z1311" s="21" t="str">
        <x:f>IF(AND(MIN(D1311:F1311)&gt;=0,MAX(D1311:F1311)&lt;=7,MAX(D1311,1)+MAX(E1311,1)+MAX(F1311,1)&lt;=9,OR(H1311="-",AND(H1311=0,D1311&gt;0),AND(H1311=1,E1311&gt;0),AND(H1311=2,F1311&gt;0)),OR(I1311=0,AND(I1311=1,OR(J1311=0,J1311=1,J1311=2),R1311&lt;&gt;"000")),Y1311&lt;=9,MIN(T1311:V1311)&gt;=0),"合法","输入违约")</x:f>
        <x:v>合法</x:v>
      </x:c>
    </x:row>
    <x:row r="1312" ht="23" customHeight="1">
      <x:c r="A1312" s="3" t="str">
        <x:v>CT-1305</x:v>
      </x:c>
      <x:c r="B1312" s="3" t="str">
        <x:v>ST-138</x:v>
      </x:c>
      <x:c r="C1312" s="3" t="str">
        <x:v>仅R回收</x:v>
      </x:c>
      <x:c r="D1312" s="25" t="n">
        <x:v>2</x:v>
      </x:c>
      <x:c r="E1312" s="25" t="n">
        <x:v>2</x:v>
      </x:c>
      <x:c r="F1312" s="25" t="n">
        <x:v>4</x:v>
      </x:c>
      <x:c r="G1312" s="19" t="n">
        <x:f>SUM(D1312:F1312)</x:f>
        <x:v>8</x:v>
      </x:c>
      <x:c r="H1312" s="25" t="n">
        <x:v>0</x:v>
      </x:c>
      <x:c r="I1312" s="25" t="n">
        <x:v>0</x:v>
      </x:c>
      <x:c r="J1312" s="25" t="str">
        <x:v>-</x:v>
      </x:c>
      <x:c r="K1312" s="19" t="n">
        <x:f>D1312-IF(H1312=0,1,0)</x:f>
        <x:v>1</x:v>
      </x:c>
      <x:c r="L1312" s="19" t="n">
        <x:f>E1312-IF(H1312=1,1,0)</x:f>
        <x:v>2</x:v>
      </x:c>
      <x:c r="M1312" s="19" t="n">
        <x:f>F1312-IF(H1312=2,1,0)</x:f>
        <x:v>4</x:v>
      </x:c>
      <x:c r="N1312" s="19" t="n">
        <x:f>MAX(K1312-1,0)+MAX(L1312-1,0)+MAX(M1312-1,0)</x:f>
        <x:v>4</x:v>
      </x:c>
      <x:c r="O1312" s="19" t="n">
        <x:f>IF(AND(SUM(K1312:M1312)&lt;9,OR(M1312=0,N1312&lt;6)),1,0)</x:f>
        <x:v>1</x:v>
      </x:c>
      <x:c r="P1312" s="19" t="n">
        <x:f>IF(AND(SUM(K1312:M1312)&lt;9,OR(L1312=0,N1312&lt;6)),1,0)</x:f>
        <x:v>1</x:v>
      </x:c>
      <x:c r="Q1312" s="19" t="n">
        <x:f>IF(AND(SUM(K1312:M1312)&lt;9,OR(K1312=0,N1312&lt;6)),1,0)</x:f>
        <x:v>1</x:v>
      </x:c>
      <x:c r="R1312" s="22" t="str">
        <x:f>O1312&amp;P1312&amp;Q1312</x:f>
        <x:v>111</x:v>
      </x:c>
      <x:c r="S1312" s="19" t="n">
        <x:f>IF(I1312=1,IF(J1312=0,Q1312,IF(J1312=1,P1312,IF(J1312=2,O1312,0))),0)</x:f>
        <x:v>0</x:v>
      </x:c>
      <x:c r="T1312" s="19" t="n">
        <x:f>K1312+IF(AND(S1312=1,J1312=0),1,0)</x:f>
        <x:v>1</x:v>
      </x:c>
      <x:c r="U1312" s="19" t="n">
        <x:f>L1312+IF(AND(S1312=1,J1312=1),1,0)</x:f>
        <x:v>2</x:v>
      </x:c>
      <x:c r="V1312" s="19" t="n">
        <x:f>M1312+IF(AND(S1312=1,J1312=2),1,0)</x:f>
        <x:v>4</x:v>
      </x:c>
      <x:c r="W1312" s="19" t="n">
        <x:f>SUM(T1312:V1312)</x:f>
        <x:v>7</x:v>
      </x:c>
      <x:c r="X1312" s="19" t="n">
        <x:f>W1312-G1312</x:f>
        <x:v>-1</x:v>
      </x:c>
      <x:c r="Y1312" s="19" t="n">
        <x:f>MAX(T1312,1)+MAX(U1312,1)+MAX(V1312,1)</x:f>
        <x:v>7</x:v>
      </x:c>
      <x:c r="Z1312" s="21" t="str">
        <x:f>IF(AND(MIN(D1312:F1312)&gt;=0,MAX(D1312:F1312)&lt;=7,MAX(D1312,1)+MAX(E1312,1)+MAX(F1312,1)&lt;=9,OR(H1312="-",AND(H1312=0,D1312&gt;0),AND(H1312=1,E1312&gt;0),AND(H1312=2,F1312&gt;0)),OR(I1312=0,AND(I1312=1,OR(J1312=0,J1312=1,J1312=2),R1312&lt;&gt;"000")),Y1312&lt;=9,MIN(T1312:V1312)&gt;=0),"合法","输入违约")</x:f>
        <x:v>合法</x:v>
      </x:c>
    </x:row>
    <x:row r="1313" ht="23" customHeight="1">
      <x:c r="A1313" s="3" t="str">
        <x:v>CT-1306</x:v>
      </x:c>
      <x:c r="B1313" s="3" t="str">
        <x:v>ST-138</x:v>
      </x:c>
      <x:c r="C1313" s="3" t="str">
        <x:v>R+AR同收同发</x:v>
      </x:c>
      <x:c r="D1313" s="25" t="n">
        <x:v>2</x:v>
      </x:c>
      <x:c r="E1313" s="25" t="n">
        <x:v>2</x:v>
      </x:c>
      <x:c r="F1313" s="25" t="n">
        <x:v>4</x:v>
      </x:c>
      <x:c r="G1313" s="19" t="n">
        <x:f>SUM(D1313:F1313)</x:f>
        <x:v>8</x:v>
      </x:c>
      <x:c r="H1313" s="25" t="n">
        <x:v>0</x:v>
      </x:c>
      <x:c r="I1313" s="25" t="n">
        <x:v>1</x:v>
      </x:c>
      <x:c r="J1313" s="25" t="n">
        <x:v>0</x:v>
      </x:c>
      <x:c r="K1313" s="19" t="n">
        <x:f>D1313-IF(H1313=0,1,0)</x:f>
        <x:v>1</x:v>
      </x:c>
      <x:c r="L1313" s="19" t="n">
        <x:f>E1313-IF(H1313=1,1,0)</x:f>
        <x:v>2</x:v>
      </x:c>
      <x:c r="M1313" s="19" t="n">
        <x:f>F1313-IF(H1313=2,1,0)</x:f>
        <x:v>4</x:v>
      </x:c>
      <x:c r="N1313" s="19" t="n">
        <x:f>MAX(K1313-1,0)+MAX(L1313-1,0)+MAX(M1313-1,0)</x:f>
        <x:v>4</x:v>
      </x:c>
      <x:c r="O1313" s="19" t="n">
        <x:f>IF(AND(SUM(K1313:M1313)&lt;9,OR(M1313=0,N1313&lt;6)),1,0)</x:f>
        <x:v>1</x:v>
      </x:c>
      <x:c r="P1313" s="19" t="n">
        <x:f>IF(AND(SUM(K1313:M1313)&lt;9,OR(L1313=0,N1313&lt;6)),1,0)</x:f>
        <x:v>1</x:v>
      </x:c>
      <x:c r="Q1313" s="19" t="n">
        <x:f>IF(AND(SUM(K1313:M1313)&lt;9,OR(K1313=0,N1313&lt;6)),1,0)</x:f>
        <x:v>1</x:v>
      </x:c>
      <x:c r="R1313" s="22" t="str">
        <x:f>O1313&amp;P1313&amp;Q1313</x:f>
        <x:v>111</x:v>
      </x:c>
      <x:c r="S1313" s="19" t="n">
        <x:f>IF(I1313=1,IF(J1313=0,Q1313,IF(J1313=1,P1313,IF(J1313=2,O1313,0))),0)</x:f>
        <x:v>1</x:v>
      </x:c>
      <x:c r="T1313" s="19" t="n">
        <x:f>K1313+IF(AND(S1313=1,J1313=0),1,0)</x:f>
        <x:v>2</x:v>
      </x:c>
      <x:c r="U1313" s="19" t="n">
        <x:f>L1313+IF(AND(S1313=1,J1313=1),1,0)</x:f>
        <x:v>2</x:v>
      </x:c>
      <x:c r="V1313" s="19" t="n">
        <x:f>M1313+IF(AND(S1313=1,J1313=2),1,0)</x:f>
        <x:v>4</x:v>
      </x:c>
      <x:c r="W1313" s="19" t="n">
        <x:f>SUM(T1313:V1313)</x:f>
        <x:v>8</x:v>
      </x:c>
      <x:c r="X1313" s="19" t="n">
        <x:f>W1313-G1313</x:f>
        <x:v>0</x:v>
      </x:c>
      <x:c r="Y1313" s="19" t="n">
        <x:f>MAX(T1313,1)+MAX(U1313,1)+MAX(V1313,1)</x:f>
        <x:v>8</x:v>
      </x:c>
      <x:c r="Z1313" s="21" t="str">
        <x:f>IF(AND(MIN(D1313:F1313)&gt;=0,MAX(D1313:F1313)&lt;=7,MAX(D1313,1)+MAX(E1313,1)+MAX(F1313,1)&lt;=9,OR(H1313="-",AND(H1313=0,D1313&gt;0),AND(H1313=1,E1313&gt;0),AND(H1313=2,F1313&gt;0)),OR(I1313=0,AND(I1313=1,OR(J1313=0,J1313=1,J1313=2),R1313&lt;&gt;"000")),Y1313&lt;=9,MIN(T1313:V1313)&gt;=0),"合法","输入违约")</x:f>
        <x:v>合法</x:v>
      </x:c>
    </x:row>
    <x:row r="1314" ht="23" customHeight="1">
      <x:c r="A1314" s="3" t="str">
        <x:v>CT-1307</x:v>
      </x:c>
      <x:c r="B1314" s="3" t="str">
        <x:v>ST-138</x:v>
      </x:c>
      <x:c r="C1314" s="3" t="str">
        <x:v>R+AR同收同发</x:v>
      </x:c>
      <x:c r="D1314" s="25" t="n">
        <x:v>2</x:v>
      </x:c>
      <x:c r="E1314" s="25" t="n">
        <x:v>2</x:v>
      </x:c>
      <x:c r="F1314" s="25" t="n">
        <x:v>4</x:v>
      </x:c>
      <x:c r="G1314" s="19" t="n">
        <x:f>SUM(D1314:F1314)</x:f>
        <x:v>8</x:v>
      </x:c>
      <x:c r="H1314" s="25" t="n">
        <x:v>0</x:v>
      </x:c>
      <x:c r="I1314" s="25" t="n">
        <x:v>1</x:v>
      </x:c>
      <x:c r="J1314" s="25" t="n">
        <x:v>1</x:v>
      </x:c>
      <x:c r="K1314" s="19" t="n">
        <x:f>D1314-IF(H1314=0,1,0)</x:f>
        <x:v>1</x:v>
      </x:c>
      <x:c r="L1314" s="19" t="n">
        <x:f>E1314-IF(H1314=1,1,0)</x:f>
        <x:v>2</x:v>
      </x:c>
      <x:c r="M1314" s="19" t="n">
        <x:f>F1314-IF(H1314=2,1,0)</x:f>
        <x:v>4</x:v>
      </x:c>
      <x:c r="N1314" s="19" t="n">
        <x:f>MAX(K1314-1,0)+MAX(L1314-1,0)+MAX(M1314-1,0)</x:f>
        <x:v>4</x:v>
      </x:c>
      <x:c r="O1314" s="19" t="n">
        <x:f>IF(AND(SUM(K1314:M1314)&lt;9,OR(M1314=0,N1314&lt;6)),1,0)</x:f>
        <x:v>1</x:v>
      </x:c>
      <x:c r="P1314" s="19" t="n">
        <x:f>IF(AND(SUM(K1314:M1314)&lt;9,OR(L1314=0,N1314&lt;6)),1,0)</x:f>
        <x:v>1</x:v>
      </x:c>
      <x:c r="Q1314" s="19" t="n">
        <x:f>IF(AND(SUM(K1314:M1314)&lt;9,OR(K1314=0,N1314&lt;6)),1,0)</x:f>
        <x:v>1</x:v>
      </x:c>
      <x:c r="R1314" s="22" t="str">
        <x:f>O1314&amp;P1314&amp;Q1314</x:f>
        <x:v>111</x:v>
      </x:c>
      <x:c r="S1314" s="19" t="n">
        <x:f>IF(I1314=1,IF(J1314=0,Q1314,IF(J1314=1,P1314,IF(J1314=2,O1314,0))),0)</x:f>
        <x:v>1</x:v>
      </x:c>
      <x:c r="T1314" s="19" t="n">
        <x:f>K1314+IF(AND(S1314=1,J1314=0),1,0)</x:f>
        <x:v>1</x:v>
      </x:c>
      <x:c r="U1314" s="19" t="n">
        <x:f>L1314+IF(AND(S1314=1,J1314=1),1,0)</x:f>
        <x:v>3</x:v>
      </x:c>
      <x:c r="V1314" s="19" t="n">
        <x:f>M1314+IF(AND(S1314=1,J1314=2),1,0)</x:f>
        <x:v>4</x:v>
      </x:c>
      <x:c r="W1314" s="19" t="n">
        <x:f>SUM(T1314:V1314)</x:f>
        <x:v>8</x:v>
      </x:c>
      <x:c r="X1314" s="19" t="n">
        <x:f>W1314-G1314</x:f>
        <x:v>0</x:v>
      </x:c>
      <x:c r="Y1314" s="19" t="n">
        <x:f>MAX(T1314,1)+MAX(U1314,1)+MAX(V1314,1)</x:f>
        <x:v>8</x:v>
      </x:c>
      <x:c r="Z1314" s="21" t="str">
        <x:f>IF(AND(MIN(D1314:F1314)&gt;=0,MAX(D1314:F1314)&lt;=7,MAX(D1314,1)+MAX(E1314,1)+MAX(F1314,1)&lt;=9,OR(H1314="-",AND(H1314=0,D1314&gt;0),AND(H1314=1,E1314&gt;0),AND(H1314=2,F1314&gt;0)),OR(I1314=0,AND(I1314=1,OR(J1314=0,J1314=1,J1314=2),R1314&lt;&gt;"000")),Y1314&lt;=9,MIN(T1314:V1314)&gt;=0),"合法","输入违约")</x:f>
        <x:v>合法</x:v>
      </x:c>
    </x:row>
    <x:row r="1315" ht="23" customHeight="1">
      <x:c r="A1315" s="3" t="str">
        <x:v>CT-1308</x:v>
      </x:c>
      <x:c r="B1315" s="3" t="str">
        <x:v>ST-138</x:v>
      </x:c>
      <x:c r="C1315" s="3" t="str">
        <x:v>R+AR同收同发</x:v>
      </x:c>
      <x:c r="D1315" s="25" t="n">
        <x:v>2</x:v>
      </x:c>
      <x:c r="E1315" s="25" t="n">
        <x:v>2</x:v>
      </x:c>
      <x:c r="F1315" s="25" t="n">
        <x:v>4</x:v>
      </x:c>
      <x:c r="G1315" s="19" t="n">
        <x:f>SUM(D1315:F1315)</x:f>
        <x:v>8</x:v>
      </x:c>
      <x:c r="H1315" s="25" t="n">
        <x:v>0</x:v>
      </x:c>
      <x:c r="I1315" s="25" t="n">
        <x:v>1</x:v>
      </x:c>
      <x:c r="J1315" s="25" t="n">
        <x:v>2</x:v>
      </x:c>
      <x:c r="K1315" s="19" t="n">
        <x:f>D1315-IF(H1315=0,1,0)</x:f>
        <x:v>1</x:v>
      </x:c>
      <x:c r="L1315" s="19" t="n">
        <x:f>E1315-IF(H1315=1,1,0)</x:f>
        <x:v>2</x:v>
      </x:c>
      <x:c r="M1315" s="19" t="n">
        <x:f>F1315-IF(H1315=2,1,0)</x:f>
        <x:v>4</x:v>
      </x:c>
      <x:c r="N1315" s="19" t="n">
        <x:f>MAX(K1315-1,0)+MAX(L1315-1,0)+MAX(M1315-1,0)</x:f>
        <x:v>4</x:v>
      </x:c>
      <x:c r="O1315" s="19" t="n">
        <x:f>IF(AND(SUM(K1315:M1315)&lt;9,OR(M1315=0,N1315&lt;6)),1,0)</x:f>
        <x:v>1</x:v>
      </x:c>
      <x:c r="P1315" s="19" t="n">
        <x:f>IF(AND(SUM(K1315:M1315)&lt;9,OR(L1315=0,N1315&lt;6)),1,0)</x:f>
        <x:v>1</x:v>
      </x:c>
      <x:c r="Q1315" s="19" t="n">
        <x:f>IF(AND(SUM(K1315:M1315)&lt;9,OR(K1315=0,N1315&lt;6)),1,0)</x:f>
        <x:v>1</x:v>
      </x:c>
      <x:c r="R1315" s="22" t="str">
        <x:f>O1315&amp;P1315&amp;Q1315</x:f>
        <x:v>111</x:v>
      </x:c>
      <x:c r="S1315" s="19" t="n">
        <x:f>IF(I1315=1,IF(J1315=0,Q1315,IF(J1315=1,P1315,IF(J1315=2,O1315,0))),0)</x:f>
        <x:v>1</x:v>
      </x:c>
      <x:c r="T1315" s="19" t="n">
        <x:f>K1315+IF(AND(S1315=1,J1315=0),1,0)</x:f>
        <x:v>1</x:v>
      </x:c>
      <x:c r="U1315" s="19" t="n">
        <x:f>L1315+IF(AND(S1315=1,J1315=1),1,0)</x:f>
        <x:v>2</x:v>
      </x:c>
      <x:c r="V1315" s="19" t="n">
        <x:f>M1315+IF(AND(S1315=1,J1315=2),1,0)</x:f>
        <x:v>5</x:v>
      </x:c>
      <x:c r="W1315" s="19" t="n">
        <x:f>SUM(T1315:V1315)</x:f>
        <x:v>8</x:v>
      </x:c>
      <x:c r="X1315" s="19" t="n">
        <x:f>W1315-G1315</x:f>
        <x:v>0</x:v>
      </x:c>
      <x:c r="Y1315" s="19" t="n">
        <x:f>MAX(T1315,1)+MAX(U1315,1)+MAX(V1315,1)</x:f>
        <x:v>8</x:v>
      </x:c>
      <x:c r="Z1315" s="21" t="str">
        <x:f>IF(AND(MIN(D1315:F1315)&gt;=0,MAX(D1315:F1315)&lt;=7,MAX(D1315,1)+MAX(E1315,1)+MAX(F1315,1)&lt;=9,OR(H1315="-",AND(H1315=0,D1315&gt;0),AND(H1315=1,E1315&gt;0),AND(H1315=2,F1315&gt;0)),OR(I1315=0,AND(I1315=1,OR(J1315=0,J1315=1,J1315=2),R1315&lt;&gt;"000")),Y1315&lt;=9,MIN(T1315:V1315)&gt;=0),"合法","输入违约")</x:f>
        <x:v>合法</x:v>
      </x:c>
    </x:row>
    <x:row r="1316" ht="23" customHeight="1">
      <x:c r="A1316" s="3" t="str">
        <x:v>CT-1309</x:v>
      </x:c>
      <x:c r="B1316" s="3" t="str">
        <x:v>ST-138</x:v>
      </x:c>
      <x:c r="C1316" s="3" t="str">
        <x:v>仅R回收</x:v>
      </x:c>
      <x:c r="D1316" s="25" t="n">
        <x:v>2</x:v>
      </x:c>
      <x:c r="E1316" s="25" t="n">
        <x:v>2</x:v>
      </x:c>
      <x:c r="F1316" s="25" t="n">
        <x:v>4</x:v>
      </x:c>
      <x:c r="G1316" s="19" t="n">
        <x:f>SUM(D1316:F1316)</x:f>
        <x:v>8</x:v>
      </x:c>
      <x:c r="H1316" s="25" t="n">
        <x:v>1</x:v>
      </x:c>
      <x:c r="I1316" s="25" t="n">
        <x:v>0</x:v>
      </x:c>
      <x:c r="J1316" s="25" t="str">
        <x:v>-</x:v>
      </x:c>
      <x:c r="K1316" s="19" t="n">
        <x:f>D1316-IF(H1316=0,1,0)</x:f>
        <x:v>2</x:v>
      </x:c>
      <x:c r="L1316" s="19" t="n">
        <x:f>E1316-IF(H1316=1,1,0)</x:f>
        <x:v>1</x:v>
      </x:c>
      <x:c r="M1316" s="19" t="n">
        <x:f>F1316-IF(H1316=2,1,0)</x:f>
        <x:v>4</x:v>
      </x:c>
      <x:c r="N1316" s="19" t="n">
        <x:f>MAX(K1316-1,0)+MAX(L1316-1,0)+MAX(M1316-1,0)</x:f>
        <x:v>4</x:v>
      </x:c>
      <x:c r="O1316" s="19" t="n">
        <x:f>IF(AND(SUM(K1316:M1316)&lt;9,OR(M1316=0,N1316&lt;6)),1,0)</x:f>
        <x:v>1</x:v>
      </x:c>
      <x:c r="P1316" s="19" t="n">
        <x:f>IF(AND(SUM(K1316:M1316)&lt;9,OR(L1316=0,N1316&lt;6)),1,0)</x:f>
        <x:v>1</x:v>
      </x:c>
      <x:c r="Q1316" s="19" t="n">
        <x:f>IF(AND(SUM(K1316:M1316)&lt;9,OR(K1316=0,N1316&lt;6)),1,0)</x:f>
        <x:v>1</x:v>
      </x:c>
      <x:c r="R1316" s="22" t="str">
        <x:f>O1316&amp;P1316&amp;Q1316</x:f>
        <x:v>111</x:v>
      </x:c>
      <x:c r="S1316" s="19" t="n">
        <x:f>IF(I1316=1,IF(J1316=0,Q1316,IF(J1316=1,P1316,IF(J1316=2,O1316,0))),0)</x:f>
        <x:v>0</x:v>
      </x:c>
      <x:c r="T1316" s="19" t="n">
        <x:f>K1316+IF(AND(S1316=1,J1316=0),1,0)</x:f>
        <x:v>2</x:v>
      </x:c>
      <x:c r="U1316" s="19" t="n">
        <x:f>L1316+IF(AND(S1316=1,J1316=1),1,0)</x:f>
        <x:v>1</x:v>
      </x:c>
      <x:c r="V1316" s="19" t="n">
        <x:f>M1316+IF(AND(S1316=1,J1316=2),1,0)</x:f>
        <x:v>4</x:v>
      </x:c>
      <x:c r="W1316" s="19" t="n">
        <x:f>SUM(T1316:V1316)</x:f>
        <x:v>7</x:v>
      </x:c>
      <x:c r="X1316" s="19" t="n">
        <x:f>W1316-G1316</x:f>
        <x:v>-1</x:v>
      </x:c>
      <x:c r="Y1316" s="19" t="n">
        <x:f>MAX(T1316,1)+MAX(U1316,1)+MAX(V1316,1)</x:f>
        <x:v>7</x:v>
      </x:c>
      <x:c r="Z1316" s="21" t="str">
        <x:f>IF(AND(MIN(D1316:F1316)&gt;=0,MAX(D1316:F1316)&lt;=7,MAX(D1316,1)+MAX(E1316,1)+MAX(F1316,1)&lt;=9,OR(H1316="-",AND(H1316=0,D1316&gt;0),AND(H1316=1,E1316&gt;0),AND(H1316=2,F1316&gt;0)),OR(I1316=0,AND(I1316=1,OR(J1316=0,J1316=1,J1316=2),R1316&lt;&gt;"000")),Y1316&lt;=9,MIN(T1316:V1316)&gt;=0),"合法","输入违约")</x:f>
        <x:v>合法</x:v>
      </x:c>
    </x:row>
    <x:row r="1317" ht="23" customHeight="1">
      <x:c r="A1317" s="3" t="str">
        <x:v>CT-1310</x:v>
      </x:c>
      <x:c r="B1317" s="3" t="str">
        <x:v>ST-138</x:v>
      </x:c>
      <x:c r="C1317" s="3" t="str">
        <x:v>R+AR同收同发</x:v>
      </x:c>
      <x:c r="D1317" s="25" t="n">
        <x:v>2</x:v>
      </x:c>
      <x:c r="E1317" s="25" t="n">
        <x:v>2</x:v>
      </x:c>
      <x:c r="F1317" s="25" t="n">
        <x:v>4</x:v>
      </x:c>
      <x:c r="G1317" s="19" t="n">
        <x:f>SUM(D1317:F1317)</x:f>
        <x:v>8</x:v>
      </x:c>
      <x:c r="H1317" s="25" t="n">
        <x:v>1</x:v>
      </x:c>
      <x:c r="I1317" s="25" t="n">
        <x:v>1</x:v>
      </x:c>
      <x:c r="J1317" s="25" t="n">
        <x:v>0</x:v>
      </x:c>
      <x:c r="K1317" s="19" t="n">
        <x:f>D1317-IF(H1317=0,1,0)</x:f>
        <x:v>2</x:v>
      </x:c>
      <x:c r="L1317" s="19" t="n">
        <x:f>E1317-IF(H1317=1,1,0)</x:f>
        <x:v>1</x:v>
      </x:c>
      <x:c r="M1317" s="19" t="n">
        <x:f>F1317-IF(H1317=2,1,0)</x:f>
        <x:v>4</x:v>
      </x:c>
      <x:c r="N1317" s="19" t="n">
        <x:f>MAX(K1317-1,0)+MAX(L1317-1,0)+MAX(M1317-1,0)</x:f>
        <x:v>4</x:v>
      </x:c>
      <x:c r="O1317" s="19" t="n">
        <x:f>IF(AND(SUM(K1317:M1317)&lt;9,OR(M1317=0,N1317&lt;6)),1,0)</x:f>
        <x:v>1</x:v>
      </x:c>
      <x:c r="P1317" s="19" t="n">
        <x:f>IF(AND(SUM(K1317:M1317)&lt;9,OR(L1317=0,N1317&lt;6)),1,0)</x:f>
        <x:v>1</x:v>
      </x:c>
      <x:c r="Q1317" s="19" t="n">
        <x:f>IF(AND(SUM(K1317:M1317)&lt;9,OR(K1317=0,N1317&lt;6)),1,0)</x:f>
        <x:v>1</x:v>
      </x:c>
      <x:c r="R1317" s="22" t="str">
        <x:f>O1317&amp;P1317&amp;Q1317</x:f>
        <x:v>111</x:v>
      </x:c>
      <x:c r="S1317" s="19" t="n">
        <x:f>IF(I1317=1,IF(J1317=0,Q1317,IF(J1317=1,P1317,IF(J1317=2,O1317,0))),0)</x:f>
        <x:v>1</x:v>
      </x:c>
      <x:c r="T1317" s="19" t="n">
        <x:f>K1317+IF(AND(S1317=1,J1317=0),1,0)</x:f>
        <x:v>3</x:v>
      </x:c>
      <x:c r="U1317" s="19" t="n">
        <x:f>L1317+IF(AND(S1317=1,J1317=1),1,0)</x:f>
        <x:v>1</x:v>
      </x:c>
      <x:c r="V1317" s="19" t="n">
        <x:f>M1317+IF(AND(S1317=1,J1317=2),1,0)</x:f>
        <x:v>4</x:v>
      </x:c>
      <x:c r="W1317" s="19" t="n">
        <x:f>SUM(T1317:V1317)</x:f>
        <x:v>8</x:v>
      </x:c>
      <x:c r="X1317" s="19" t="n">
        <x:f>W1317-G1317</x:f>
        <x:v>0</x:v>
      </x:c>
      <x:c r="Y1317" s="19" t="n">
        <x:f>MAX(T1317,1)+MAX(U1317,1)+MAX(V1317,1)</x:f>
        <x:v>8</x:v>
      </x:c>
      <x:c r="Z1317" s="21" t="str">
        <x:f>IF(AND(MIN(D1317:F1317)&gt;=0,MAX(D1317:F1317)&lt;=7,MAX(D1317,1)+MAX(E1317,1)+MAX(F1317,1)&lt;=9,OR(H1317="-",AND(H1317=0,D1317&gt;0),AND(H1317=1,E1317&gt;0),AND(H1317=2,F1317&gt;0)),OR(I1317=0,AND(I1317=1,OR(J1317=0,J1317=1,J1317=2),R1317&lt;&gt;"000")),Y1317&lt;=9,MIN(T1317:V1317)&gt;=0),"合法","输入违约")</x:f>
        <x:v>合法</x:v>
      </x:c>
    </x:row>
    <x:row r="1318" ht="23" customHeight="1">
      <x:c r="A1318" s="3" t="str">
        <x:v>CT-1311</x:v>
      </x:c>
      <x:c r="B1318" s="3" t="str">
        <x:v>ST-138</x:v>
      </x:c>
      <x:c r="C1318" s="3" t="str">
        <x:v>R+AR同收同发</x:v>
      </x:c>
      <x:c r="D1318" s="25" t="n">
        <x:v>2</x:v>
      </x:c>
      <x:c r="E1318" s="25" t="n">
        <x:v>2</x:v>
      </x:c>
      <x:c r="F1318" s="25" t="n">
        <x:v>4</x:v>
      </x:c>
      <x:c r="G1318" s="19" t="n">
        <x:f>SUM(D1318:F1318)</x:f>
        <x:v>8</x:v>
      </x:c>
      <x:c r="H1318" s="25" t="n">
        <x:v>1</x:v>
      </x:c>
      <x:c r="I1318" s="25" t="n">
        <x:v>1</x:v>
      </x:c>
      <x:c r="J1318" s="25" t="n">
        <x:v>1</x:v>
      </x:c>
      <x:c r="K1318" s="19" t="n">
        <x:f>D1318-IF(H1318=0,1,0)</x:f>
        <x:v>2</x:v>
      </x:c>
      <x:c r="L1318" s="19" t="n">
        <x:f>E1318-IF(H1318=1,1,0)</x:f>
        <x:v>1</x:v>
      </x:c>
      <x:c r="M1318" s="19" t="n">
        <x:f>F1318-IF(H1318=2,1,0)</x:f>
        <x:v>4</x:v>
      </x:c>
      <x:c r="N1318" s="19" t="n">
        <x:f>MAX(K1318-1,0)+MAX(L1318-1,0)+MAX(M1318-1,0)</x:f>
        <x:v>4</x:v>
      </x:c>
      <x:c r="O1318" s="19" t="n">
        <x:f>IF(AND(SUM(K1318:M1318)&lt;9,OR(M1318=0,N1318&lt;6)),1,0)</x:f>
        <x:v>1</x:v>
      </x:c>
      <x:c r="P1318" s="19" t="n">
        <x:f>IF(AND(SUM(K1318:M1318)&lt;9,OR(L1318=0,N1318&lt;6)),1,0)</x:f>
        <x:v>1</x:v>
      </x:c>
      <x:c r="Q1318" s="19" t="n">
        <x:f>IF(AND(SUM(K1318:M1318)&lt;9,OR(K1318=0,N1318&lt;6)),1,0)</x:f>
        <x:v>1</x:v>
      </x:c>
      <x:c r="R1318" s="22" t="str">
        <x:f>O1318&amp;P1318&amp;Q1318</x:f>
        <x:v>111</x:v>
      </x:c>
      <x:c r="S1318" s="19" t="n">
        <x:f>IF(I1318=1,IF(J1318=0,Q1318,IF(J1318=1,P1318,IF(J1318=2,O1318,0))),0)</x:f>
        <x:v>1</x:v>
      </x:c>
      <x:c r="T1318" s="19" t="n">
        <x:f>K1318+IF(AND(S1318=1,J1318=0),1,0)</x:f>
        <x:v>2</x:v>
      </x:c>
      <x:c r="U1318" s="19" t="n">
        <x:f>L1318+IF(AND(S1318=1,J1318=1),1,0)</x:f>
        <x:v>2</x:v>
      </x:c>
      <x:c r="V1318" s="19" t="n">
        <x:f>M1318+IF(AND(S1318=1,J1318=2),1,0)</x:f>
        <x:v>4</x:v>
      </x:c>
      <x:c r="W1318" s="19" t="n">
        <x:f>SUM(T1318:V1318)</x:f>
        <x:v>8</x:v>
      </x:c>
      <x:c r="X1318" s="19" t="n">
        <x:f>W1318-G1318</x:f>
        <x:v>0</x:v>
      </x:c>
      <x:c r="Y1318" s="19" t="n">
        <x:f>MAX(T1318,1)+MAX(U1318,1)+MAX(V1318,1)</x:f>
        <x:v>8</x:v>
      </x:c>
      <x:c r="Z1318" s="21" t="str">
        <x:f>IF(AND(MIN(D1318:F1318)&gt;=0,MAX(D1318:F1318)&lt;=7,MAX(D1318,1)+MAX(E1318,1)+MAX(F1318,1)&lt;=9,OR(H1318="-",AND(H1318=0,D1318&gt;0),AND(H1318=1,E1318&gt;0),AND(H1318=2,F1318&gt;0)),OR(I1318=0,AND(I1318=1,OR(J1318=0,J1318=1,J1318=2),R1318&lt;&gt;"000")),Y1318&lt;=9,MIN(T1318:V1318)&gt;=0),"合法","输入违约")</x:f>
        <x:v>合法</x:v>
      </x:c>
    </x:row>
    <x:row r="1319" ht="23" customHeight="1">
      <x:c r="A1319" s="3" t="str">
        <x:v>CT-1312</x:v>
      </x:c>
      <x:c r="B1319" s="3" t="str">
        <x:v>ST-138</x:v>
      </x:c>
      <x:c r="C1319" s="3" t="str">
        <x:v>R+AR同收同发</x:v>
      </x:c>
      <x:c r="D1319" s="25" t="n">
        <x:v>2</x:v>
      </x:c>
      <x:c r="E1319" s="25" t="n">
        <x:v>2</x:v>
      </x:c>
      <x:c r="F1319" s="25" t="n">
        <x:v>4</x:v>
      </x:c>
      <x:c r="G1319" s="19" t="n">
        <x:f>SUM(D1319:F1319)</x:f>
        <x:v>8</x:v>
      </x:c>
      <x:c r="H1319" s="25" t="n">
        <x:v>1</x:v>
      </x:c>
      <x:c r="I1319" s="25" t="n">
        <x:v>1</x:v>
      </x:c>
      <x:c r="J1319" s="25" t="n">
        <x:v>2</x:v>
      </x:c>
      <x:c r="K1319" s="19" t="n">
        <x:f>D1319-IF(H1319=0,1,0)</x:f>
        <x:v>2</x:v>
      </x:c>
      <x:c r="L1319" s="19" t="n">
        <x:f>E1319-IF(H1319=1,1,0)</x:f>
        <x:v>1</x:v>
      </x:c>
      <x:c r="M1319" s="19" t="n">
        <x:f>F1319-IF(H1319=2,1,0)</x:f>
        <x:v>4</x:v>
      </x:c>
      <x:c r="N1319" s="19" t="n">
        <x:f>MAX(K1319-1,0)+MAX(L1319-1,0)+MAX(M1319-1,0)</x:f>
        <x:v>4</x:v>
      </x:c>
      <x:c r="O1319" s="19" t="n">
        <x:f>IF(AND(SUM(K1319:M1319)&lt;9,OR(M1319=0,N1319&lt;6)),1,0)</x:f>
        <x:v>1</x:v>
      </x:c>
      <x:c r="P1319" s="19" t="n">
        <x:f>IF(AND(SUM(K1319:M1319)&lt;9,OR(L1319=0,N1319&lt;6)),1,0)</x:f>
        <x:v>1</x:v>
      </x:c>
      <x:c r="Q1319" s="19" t="n">
        <x:f>IF(AND(SUM(K1319:M1319)&lt;9,OR(K1319=0,N1319&lt;6)),1,0)</x:f>
        <x:v>1</x:v>
      </x:c>
      <x:c r="R1319" s="22" t="str">
        <x:f>O1319&amp;P1319&amp;Q1319</x:f>
        <x:v>111</x:v>
      </x:c>
      <x:c r="S1319" s="19" t="n">
        <x:f>IF(I1319=1,IF(J1319=0,Q1319,IF(J1319=1,P1319,IF(J1319=2,O1319,0))),0)</x:f>
        <x:v>1</x:v>
      </x:c>
      <x:c r="T1319" s="19" t="n">
        <x:f>K1319+IF(AND(S1319=1,J1319=0),1,0)</x:f>
        <x:v>2</x:v>
      </x:c>
      <x:c r="U1319" s="19" t="n">
        <x:f>L1319+IF(AND(S1319=1,J1319=1),1,0)</x:f>
        <x:v>1</x:v>
      </x:c>
      <x:c r="V1319" s="19" t="n">
        <x:f>M1319+IF(AND(S1319=1,J1319=2),1,0)</x:f>
        <x:v>5</x:v>
      </x:c>
      <x:c r="W1319" s="19" t="n">
        <x:f>SUM(T1319:V1319)</x:f>
        <x:v>8</x:v>
      </x:c>
      <x:c r="X1319" s="19" t="n">
        <x:f>W1319-G1319</x:f>
        <x:v>0</x:v>
      </x:c>
      <x:c r="Y1319" s="19" t="n">
        <x:f>MAX(T1319,1)+MAX(U1319,1)+MAX(V1319,1)</x:f>
        <x:v>8</x:v>
      </x:c>
      <x:c r="Z1319" s="21" t="str">
        <x:f>IF(AND(MIN(D1319:F1319)&gt;=0,MAX(D1319:F1319)&lt;=7,MAX(D1319,1)+MAX(E1319,1)+MAX(F1319,1)&lt;=9,OR(H1319="-",AND(H1319=0,D1319&gt;0),AND(H1319=1,E1319&gt;0),AND(H1319=2,F1319&gt;0)),OR(I1319=0,AND(I1319=1,OR(J1319=0,J1319=1,J1319=2),R1319&lt;&gt;"000")),Y1319&lt;=9,MIN(T1319:V1319)&gt;=0),"合法","输入违约")</x:f>
        <x:v>合法</x:v>
      </x:c>
    </x:row>
    <x:row r="1320" ht="23" customHeight="1">
      <x:c r="A1320" s="3" t="str">
        <x:v>CT-1313</x:v>
      </x:c>
      <x:c r="B1320" s="3" t="str">
        <x:v>ST-138</x:v>
      </x:c>
      <x:c r="C1320" s="3" t="str">
        <x:v>仅R回收</x:v>
      </x:c>
      <x:c r="D1320" s="25" t="n">
        <x:v>2</x:v>
      </x:c>
      <x:c r="E1320" s="25" t="n">
        <x:v>2</x:v>
      </x:c>
      <x:c r="F1320" s="25" t="n">
        <x:v>4</x:v>
      </x:c>
      <x:c r="G1320" s="19" t="n">
        <x:f>SUM(D1320:F1320)</x:f>
        <x:v>8</x:v>
      </x:c>
      <x:c r="H1320" s="25" t="n">
        <x:v>2</x:v>
      </x:c>
      <x:c r="I1320" s="25" t="n">
        <x:v>0</x:v>
      </x:c>
      <x:c r="J1320" s="25" t="str">
        <x:v>-</x:v>
      </x:c>
      <x:c r="K1320" s="19" t="n">
        <x:f>D1320-IF(H1320=0,1,0)</x:f>
        <x:v>2</x:v>
      </x:c>
      <x:c r="L1320" s="19" t="n">
        <x:f>E1320-IF(H1320=1,1,0)</x:f>
        <x:v>2</x:v>
      </x:c>
      <x:c r="M1320" s="19" t="n">
        <x:f>F1320-IF(H1320=2,1,0)</x:f>
        <x:v>3</x:v>
      </x:c>
      <x:c r="N1320" s="19" t="n">
        <x:f>MAX(K1320-1,0)+MAX(L1320-1,0)+MAX(M1320-1,0)</x:f>
        <x:v>4</x:v>
      </x:c>
      <x:c r="O1320" s="19" t="n">
        <x:f>IF(AND(SUM(K1320:M1320)&lt;9,OR(M1320=0,N1320&lt;6)),1,0)</x:f>
        <x:v>1</x:v>
      </x:c>
      <x:c r="P1320" s="19" t="n">
        <x:f>IF(AND(SUM(K1320:M1320)&lt;9,OR(L1320=0,N1320&lt;6)),1,0)</x:f>
        <x:v>1</x:v>
      </x:c>
      <x:c r="Q1320" s="19" t="n">
        <x:f>IF(AND(SUM(K1320:M1320)&lt;9,OR(K1320=0,N1320&lt;6)),1,0)</x:f>
        <x:v>1</x:v>
      </x:c>
      <x:c r="R1320" s="22" t="str">
        <x:f>O1320&amp;P1320&amp;Q1320</x:f>
        <x:v>111</x:v>
      </x:c>
      <x:c r="S1320" s="19" t="n">
        <x:f>IF(I1320=1,IF(J1320=0,Q1320,IF(J1320=1,P1320,IF(J1320=2,O1320,0))),0)</x:f>
        <x:v>0</x:v>
      </x:c>
      <x:c r="T1320" s="19" t="n">
        <x:f>K1320+IF(AND(S1320=1,J1320=0),1,0)</x:f>
        <x:v>2</x:v>
      </x:c>
      <x:c r="U1320" s="19" t="n">
        <x:f>L1320+IF(AND(S1320=1,J1320=1),1,0)</x:f>
        <x:v>2</x:v>
      </x:c>
      <x:c r="V1320" s="19" t="n">
        <x:f>M1320+IF(AND(S1320=1,J1320=2),1,0)</x:f>
        <x:v>3</x:v>
      </x:c>
      <x:c r="W1320" s="19" t="n">
        <x:f>SUM(T1320:V1320)</x:f>
        <x:v>7</x:v>
      </x:c>
      <x:c r="X1320" s="19" t="n">
        <x:f>W1320-G1320</x:f>
        <x:v>-1</x:v>
      </x:c>
      <x:c r="Y1320" s="19" t="n">
        <x:f>MAX(T1320,1)+MAX(U1320,1)+MAX(V1320,1)</x:f>
        <x:v>7</x:v>
      </x:c>
      <x:c r="Z1320" s="21" t="str">
        <x:f>IF(AND(MIN(D1320:F1320)&gt;=0,MAX(D1320:F1320)&lt;=7,MAX(D1320,1)+MAX(E1320,1)+MAX(F1320,1)&lt;=9,OR(H1320="-",AND(H1320=0,D1320&gt;0),AND(H1320=1,E1320&gt;0),AND(H1320=2,F1320&gt;0)),OR(I1320=0,AND(I1320=1,OR(J1320=0,J1320=1,J1320=2),R1320&lt;&gt;"000")),Y1320&lt;=9,MIN(T1320:V1320)&gt;=0),"合法","输入违约")</x:f>
        <x:v>合法</x:v>
      </x:c>
    </x:row>
    <x:row r="1321" ht="23" customHeight="1">
      <x:c r="A1321" s="3" t="str">
        <x:v>CT-1314</x:v>
      </x:c>
      <x:c r="B1321" s="3" t="str">
        <x:v>ST-138</x:v>
      </x:c>
      <x:c r="C1321" s="3" t="str">
        <x:v>R+AR同收同发</x:v>
      </x:c>
      <x:c r="D1321" s="25" t="n">
        <x:v>2</x:v>
      </x:c>
      <x:c r="E1321" s="25" t="n">
        <x:v>2</x:v>
      </x:c>
      <x:c r="F1321" s="25" t="n">
        <x:v>4</x:v>
      </x:c>
      <x:c r="G1321" s="19" t="n">
        <x:f>SUM(D1321:F1321)</x:f>
        <x:v>8</x:v>
      </x:c>
      <x:c r="H1321" s="25" t="n">
        <x:v>2</x:v>
      </x:c>
      <x:c r="I1321" s="25" t="n">
        <x:v>1</x:v>
      </x:c>
      <x:c r="J1321" s="25" t="n">
        <x:v>0</x:v>
      </x:c>
      <x:c r="K1321" s="19" t="n">
        <x:f>D1321-IF(H1321=0,1,0)</x:f>
        <x:v>2</x:v>
      </x:c>
      <x:c r="L1321" s="19" t="n">
        <x:f>E1321-IF(H1321=1,1,0)</x:f>
        <x:v>2</x:v>
      </x:c>
      <x:c r="M1321" s="19" t="n">
        <x:f>F1321-IF(H1321=2,1,0)</x:f>
        <x:v>3</x:v>
      </x:c>
      <x:c r="N1321" s="19" t="n">
        <x:f>MAX(K1321-1,0)+MAX(L1321-1,0)+MAX(M1321-1,0)</x:f>
        <x:v>4</x:v>
      </x:c>
      <x:c r="O1321" s="19" t="n">
        <x:f>IF(AND(SUM(K1321:M1321)&lt;9,OR(M1321=0,N1321&lt;6)),1,0)</x:f>
        <x:v>1</x:v>
      </x:c>
      <x:c r="P1321" s="19" t="n">
        <x:f>IF(AND(SUM(K1321:M1321)&lt;9,OR(L1321=0,N1321&lt;6)),1,0)</x:f>
        <x:v>1</x:v>
      </x:c>
      <x:c r="Q1321" s="19" t="n">
        <x:f>IF(AND(SUM(K1321:M1321)&lt;9,OR(K1321=0,N1321&lt;6)),1,0)</x:f>
        <x:v>1</x:v>
      </x:c>
      <x:c r="R1321" s="22" t="str">
        <x:f>O1321&amp;P1321&amp;Q1321</x:f>
        <x:v>111</x:v>
      </x:c>
      <x:c r="S1321" s="19" t="n">
        <x:f>IF(I1321=1,IF(J1321=0,Q1321,IF(J1321=1,P1321,IF(J1321=2,O1321,0))),0)</x:f>
        <x:v>1</x:v>
      </x:c>
      <x:c r="T1321" s="19" t="n">
        <x:f>K1321+IF(AND(S1321=1,J1321=0),1,0)</x:f>
        <x:v>3</x:v>
      </x:c>
      <x:c r="U1321" s="19" t="n">
        <x:f>L1321+IF(AND(S1321=1,J1321=1),1,0)</x:f>
        <x:v>2</x:v>
      </x:c>
      <x:c r="V1321" s="19" t="n">
        <x:f>M1321+IF(AND(S1321=1,J1321=2),1,0)</x:f>
        <x:v>3</x:v>
      </x:c>
      <x:c r="W1321" s="19" t="n">
        <x:f>SUM(T1321:V1321)</x:f>
        <x:v>8</x:v>
      </x:c>
      <x:c r="X1321" s="19" t="n">
        <x:f>W1321-G1321</x:f>
        <x:v>0</x:v>
      </x:c>
      <x:c r="Y1321" s="19" t="n">
        <x:f>MAX(T1321,1)+MAX(U1321,1)+MAX(V1321,1)</x:f>
        <x:v>8</x:v>
      </x:c>
      <x:c r="Z1321" s="21" t="str">
        <x:f>IF(AND(MIN(D1321:F1321)&gt;=0,MAX(D1321:F1321)&lt;=7,MAX(D1321,1)+MAX(E1321,1)+MAX(F1321,1)&lt;=9,OR(H1321="-",AND(H1321=0,D1321&gt;0),AND(H1321=1,E1321&gt;0),AND(H1321=2,F1321&gt;0)),OR(I1321=0,AND(I1321=1,OR(J1321=0,J1321=1,J1321=2),R1321&lt;&gt;"000")),Y1321&lt;=9,MIN(T1321:V1321)&gt;=0),"合法","输入违约")</x:f>
        <x:v>合法</x:v>
      </x:c>
    </x:row>
    <x:row r="1322" ht="23" customHeight="1">
      <x:c r="A1322" s="3" t="str">
        <x:v>CT-1315</x:v>
      </x:c>
      <x:c r="B1322" s="3" t="str">
        <x:v>ST-138</x:v>
      </x:c>
      <x:c r="C1322" s="3" t="str">
        <x:v>R+AR同收同发</x:v>
      </x:c>
      <x:c r="D1322" s="25" t="n">
        <x:v>2</x:v>
      </x:c>
      <x:c r="E1322" s="25" t="n">
        <x:v>2</x:v>
      </x:c>
      <x:c r="F1322" s="25" t="n">
        <x:v>4</x:v>
      </x:c>
      <x:c r="G1322" s="19" t="n">
        <x:f>SUM(D1322:F1322)</x:f>
        <x:v>8</x:v>
      </x:c>
      <x:c r="H1322" s="25" t="n">
        <x:v>2</x:v>
      </x:c>
      <x:c r="I1322" s="25" t="n">
        <x:v>1</x:v>
      </x:c>
      <x:c r="J1322" s="25" t="n">
        <x:v>1</x:v>
      </x:c>
      <x:c r="K1322" s="19" t="n">
        <x:f>D1322-IF(H1322=0,1,0)</x:f>
        <x:v>2</x:v>
      </x:c>
      <x:c r="L1322" s="19" t="n">
        <x:f>E1322-IF(H1322=1,1,0)</x:f>
        <x:v>2</x:v>
      </x:c>
      <x:c r="M1322" s="19" t="n">
        <x:f>F1322-IF(H1322=2,1,0)</x:f>
        <x:v>3</x:v>
      </x:c>
      <x:c r="N1322" s="19" t="n">
        <x:f>MAX(K1322-1,0)+MAX(L1322-1,0)+MAX(M1322-1,0)</x:f>
        <x:v>4</x:v>
      </x:c>
      <x:c r="O1322" s="19" t="n">
        <x:f>IF(AND(SUM(K1322:M1322)&lt;9,OR(M1322=0,N1322&lt;6)),1,0)</x:f>
        <x:v>1</x:v>
      </x:c>
      <x:c r="P1322" s="19" t="n">
        <x:f>IF(AND(SUM(K1322:M1322)&lt;9,OR(L1322=0,N1322&lt;6)),1,0)</x:f>
        <x:v>1</x:v>
      </x:c>
      <x:c r="Q1322" s="19" t="n">
        <x:f>IF(AND(SUM(K1322:M1322)&lt;9,OR(K1322=0,N1322&lt;6)),1,0)</x:f>
        <x:v>1</x:v>
      </x:c>
      <x:c r="R1322" s="22" t="str">
        <x:f>O1322&amp;P1322&amp;Q1322</x:f>
        <x:v>111</x:v>
      </x:c>
      <x:c r="S1322" s="19" t="n">
        <x:f>IF(I1322=1,IF(J1322=0,Q1322,IF(J1322=1,P1322,IF(J1322=2,O1322,0))),0)</x:f>
        <x:v>1</x:v>
      </x:c>
      <x:c r="T1322" s="19" t="n">
        <x:f>K1322+IF(AND(S1322=1,J1322=0),1,0)</x:f>
        <x:v>2</x:v>
      </x:c>
      <x:c r="U1322" s="19" t="n">
        <x:f>L1322+IF(AND(S1322=1,J1322=1),1,0)</x:f>
        <x:v>3</x:v>
      </x:c>
      <x:c r="V1322" s="19" t="n">
        <x:f>M1322+IF(AND(S1322=1,J1322=2),1,0)</x:f>
        <x:v>3</x:v>
      </x:c>
      <x:c r="W1322" s="19" t="n">
        <x:f>SUM(T1322:V1322)</x:f>
        <x:v>8</x:v>
      </x:c>
      <x:c r="X1322" s="19" t="n">
        <x:f>W1322-G1322</x:f>
        <x:v>0</x:v>
      </x:c>
      <x:c r="Y1322" s="19" t="n">
        <x:f>MAX(T1322,1)+MAX(U1322,1)+MAX(V1322,1)</x:f>
        <x:v>8</x:v>
      </x:c>
      <x:c r="Z1322" s="21" t="str">
        <x:f>IF(AND(MIN(D1322:F1322)&gt;=0,MAX(D1322:F1322)&lt;=7,MAX(D1322,1)+MAX(E1322,1)+MAX(F1322,1)&lt;=9,OR(H1322="-",AND(H1322=0,D1322&gt;0),AND(H1322=1,E1322&gt;0),AND(H1322=2,F1322&gt;0)),OR(I1322=0,AND(I1322=1,OR(J1322=0,J1322=1,J1322=2),R1322&lt;&gt;"000")),Y1322&lt;=9,MIN(T1322:V1322)&gt;=0),"合法","输入违约")</x:f>
        <x:v>合法</x:v>
      </x:c>
    </x:row>
    <x:row r="1323" ht="23" customHeight="1">
      <x:c r="A1323" s="3" t="str">
        <x:v>CT-1316</x:v>
      </x:c>
      <x:c r="B1323" s="3" t="str">
        <x:v>ST-138</x:v>
      </x:c>
      <x:c r="C1323" s="3" t="str">
        <x:v>R+AR同收同发</x:v>
      </x:c>
      <x:c r="D1323" s="25" t="n">
        <x:v>2</x:v>
      </x:c>
      <x:c r="E1323" s="25" t="n">
        <x:v>2</x:v>
      </x:c>
      <x:c r="F1323" s="25" t="n">
        <x:v>4</x:v>
      </x:c>
      <x:c r="G1323" s="19" t="n">
        <x:f>SUM(D1323:F1323)</x:f>
        <x:v>8</x:v>
      </x:c>
      <x:c r="H1323" s="25" t="n">
        <x:v>2</x:v>
      </x:c>
      <x:c r="I1323" s="25" t="n">
        <x:v>1</x:v>
      </x:c>
      <x:c r="J1323" s="25" t="n">
        <x:v>2</x:v>
      </x:c>
      <x:c r="K1323" s="19" t="n">
        <x:f>D1323-IF(H1323=0,1,0)</x:f>
        <x:v>2</x:v>
      </x:c>
      <x:c r="L1323" s="19" t="n">
        <x:f>E1323-IF(H1323=1,1,0)</x:f>
        <x:v>2</x:v>
      </x:c>
      <x:c r="M1323" s="19" t="n">
        <x:f>F1323-IF(H1323=2,1,0)</x:f>
        <x:v>3</x:v>
      </x:c>
      <x:c r="N1323" s="19" t="n">
        <x:f>MAX(K1323-1,0)+MAX(L1323-1,0)+MAX(M1323-1,0)</x:f>
        <x:v>4</x:v>
      </x:c>
      <x:c r="O1323" s="19" t="n">
        <x:f>IF(AND(SUM(K1323:M1323)&lt;9,OR(M1323=0,N1323&lt;6)),1,0)</x:f>
        <x:v>1</x:v>
      </x:c>
      <x:c r="P1323" s="19" t="n">
        <x:f>IF(AND(SUM(K1323:M1323)&lt;9,OR(L1323=0,N1323&lt;6)),1,0)</x:f>
        <x:v>1</x:v>
      </x:c>
      <x:c r="Q1323" s="19" t="n">
        <x:f>IF(AND(SUM(K1323:M1323)&lt;9,OR(K1323=0,N1323&lt;6)),1,0)</x:f>
        <x:v>1</x:v>
      </x:c>
      <x:c r="R1323" s="22" t="str">
        <x:f>O1323&amp;P1323&amp;Q1323</x:f>
        <x:v>111</x:v>
      </x:c>
      <x:c r="S1323" s="19" t="n">
        <x:f>IF(I1323=1,IF(J1323=0,Q1323,IF(J1323=1,P1323,IF(J1323=2,O1323,0))),0)</x:f>
        <x:v>1</x:v>
      </x:c>
      <x:c r="T1323" s="19" t="n">
        <x:f>K1323+IF(AND(S1323=1,J1323=0),1,0)</x:f>
        <x:v>2</x:v>
      </x:c>
      <x:c r="U1323" s="19" t="n">
        <x:f>L1323+IF(AND(S1323=1,J1323=1),1,0)</x:f>
        <x:v>2</x:v>
      </x:c>
      <x:c r="V1323" s="19" t="n">
        <x:f>M1323+IF(AND(S1323=1,J1323=2),1,0)</x:f>
        <x:v>4</x:v>
      </x:c>
      <x:c r="W1323" s="19" t="n">
        <x:f>SUM(T1323:V1323)</x:f>
        <x:v>8</x:v>
      </x:c>
      <x:c r="X1323" s="19" t="n">
        <x:f>W1323-G1323</x:f>
        <x:v>0</x:v>
      </x:c>
      <x:c r="Y1323" s="19" t="n">
        <x:f>MAX(T1323,1)+MAX(U1323,1)+MAX(V1323,1)</x:f>
        <x:v>8</x:v>
      </x:c>
      <x:c r="Z1323" s="21" t="str">
        <x:f>IF(AND(MIN(D1323:F1323)&gt;=0,MAX(D1323:F1323)&lt;=7,MAX(D1323,1)+MAX(E1323,1)+MAX(F1323,1)&lt;=9,OR(H1323="-",AND(H1323=0,D1323&gt;0),AND(H1323=1,E1323&gt;0),AND(H1323=2,F1323&gt;0)),OR(I1323=0,AND(I1323=1,OR(J1323=0,J1323=1,J1323=2),R1323&lt;&gt;"000")),Y1323&lt;=9,MIN(T1323:V1323)&gt;=0),"合法","输入违约")</x:f>
        <x:v>合法</x:v>
      </x:c>
    </x:row>
    <x:row r="1324" ht="23" customHeight="1">
      <x:c r="A1324" s="3" t="str">
        <x:v>CT-1317</x:v>
      </x:c>
      <x:c r="B1324" s="3" t="str">
        <x:v>ST-171</x:v>
      </x:c>
      <x:c r="C1324" s="3" t="str">
        <x:v>无AR/R</x:v>
      </x:c>
      <x:c r="D1324" s="25" t="n">
        <x:v>2</x:v>
      </x:c>
      <x:c r="E1324" s="25" t="n">
        <x:v>2</x:v>
      </x:c>
      <x:c r="F1324" s="25" t="n">
        <x:v>5</x:v>
      </x:c>
      <x:c r="G1324" s="19" t="n">
        <x:f>SUM(D1324:F1324)</x:f>
        <x:v>9</x:v>
      </x:c>
      <x:c r="H1324" s="25" t="str">
        <x:v>-</x:v>
      </x:c>
      <x:c r="I1324" s="25" t="n">
        <x:v>0</x:v>
      </x:c>
      <x:c r="J1324" s="25" t="str">
        <x:v>-</x:v>
      </x:c>
      <x:c r="K1324" s="19" t="n">
        <x:f>D1324-IF(H1324=0,1,0)</x:f>
        <x:v>2</x:v>
      </x:c>
      <x:c r="L1324" s="19" t="n">
        <x:f>E1324-IF(H1324=1,1,0)</x:f>
        <x:v>2</x:v>
      </x:c>
      <x:c r="M1324" s="19" t="n">
        <x:f>F1324-IF(H1324=2,1,0)</x:f>
        <x:v>5</x:v>
      </x:c>
      <x:c r="N1324" s="19" t="n">
        <x:f>MAX(K1324-1,0)+MAX(L1324-1,0)+MAX(M1324-1,0)</x:f>
        <x:v>6</x:v>
      </x:c>
      <x:c r="O1324" s="19" t="n">
        <x:f>IF(AND(SUM(K1324:M1324)&lt;9,OR(M1324=0,N1324&lt;6)),1,0)</x:f>
        <x:v>0</x:v>
      </x:c>
      <x:c r="P1324" s="19" t="n">
        <x:f>IF(AND(SUM(K1324:M1324)&lt;9,OR(L1324=0,N1324&lt;6)),1,0)</x:f>
        <x:v>0</x:v>
      </x:c>
      <x:c r="Q1324" s="19" t="n">
        <x:f>IF(AND(SUM(K1324:M1324)&lt;9,OR(K1324=0,N1324&lt;6)),1,0)</x:f>
        <x:v>0</x:v>
      </x:c>
      <x:c r="R1324" s="22" t="str">
        <x:f>O1324&amp;P1324&amp;Q1324</x:f>
        <x:v>000</x:v>
      </x:c>
      <x:c r="S1324" s="19" t="n">
        <x:f>IF(I1324=1,IF(J1324=0,Q1324,IF(J1324=1,P1324,IF(J1324=2,O1324,0))),0)</x:f>
        <x:v>0</x:v>
      </x:c>
      <x:c r="T1324" s="19" t="n">
        <x:f>K1324+IF(AND(S1324=1,J1324=0),1,0)</x:f>
        <x:v>2</x:v>
      </x:c>
      <x:c r="U1324" s="19" t="n">
        <x:f>L1324+IF(AND(S1324=1,J1324=1),1,0)</x:f>
        <x:v>2</x:v>
      </x:c>
      <x:c r="V1324" s="19" t="n">
        <x:f>M1324+IF(AND(S1324=1,J1324=2),1,0)</x:f>
        <x:v>5</x:v>
      </x:c>
      <x:c r="W1324" s="19" t="n">
        <x:f>SUM(T1324:V1324)</x:f>
        <x:v>9</x:v>
      </x:c>
      <x:c r="X1324" s="19" t="n">
        <x:f>W1324-G1324</x:f>
        <x:v>0</x:v>
      </x:c>
      <x:c r="Y1324" s="19" t="n">
        <x:f>MAX(T1324,1)+MAX(U1324,1)+MAX(V1324,1)</x:f>
        <x:v>9</x:v>
      </x:c>
      <x:c r="Z1324" s="21" t="str">
        <x:f>IF(AND(MIN(D1324:F1324)&gt;=0,MAX(D1324:F1324)&lt;=7,MAX(D1324,1)+MAX(E1324,1)+MAX(F1324,1)&lt;=9,OR(H1324="-",AND(H1324=0,D1324&gt;0),AND(H1324=1,E1324&gt;0),AND(H1324=2,F1324&gt;0)),OR(I1324=0,AND(I1324=1,OR(J1324=0,J1324=1,J1324=2),R1324&lt;&gt;"000")),Y1324&lt;=9,MIN(T1324:V1324)&gt;=0),"合法","输入违约")</x:f>
        <x:v>合法</x:v>
      </x:c>
    </x:row>
    <x:row r="1325" ht="23" customHeight="1">
      <x:c r="A1325" s="3" t="str">
        <x:v>CT-1318</x:v>
      </x:c>
      <x:c r="B1325" s="3" t="str">
        <x:v>ST-171</x:v>
      </x:c>
      <x:c r="C1325" s="3" t="str">
        <x:v>仅R回收</x:v>
      </x:c>
      <x:c r="D1325" s="25" t="n">
        <x:v>2</x:v>
      </x:c>
      <x:c r="E1325" s="25" t="n">
        <x:v>2</x:v>
      </x:c>
      <x:c r="F1325" s="25" t="n">
        <x:v>5</x:v>
      </x:c>
      <x:c r="G1325" s="19" t="n">
        <x:f>SUM(D1325:F1325)</x:f>
        <x:v>9</x:v>
      </x:c>
      <x:c r="H1325" s="25" t="n">
        <x:v>0</x:v>
      </x:c>
      <x:c r="I1325" s="25" t="n">
        <x:v>0</x:v>
      </x:c>
      <x:c r="J1325" s="25" t="str">
        <x:v>-</x:v>
      </x:c>
      <x:c r="K1325" s="19" t="n">
        <x:f>D1325-IF(H1325=0,1,0)</x:f>
        <x:v>1</x:v>
      </x:c>
      <x:c r="L1325" s="19" t="n">
        <x:f>E1325-IF(H1325=1,1,0)</x:f>
        <x:v>2</x:v>
      </x:c>
      <x:c r="M1325" s="19" t="n">
        <x:f>F1325-IF(H1325=2,1,0)</x:f>
        <x:v>5</x:v>
      </x:c>
      <x:c r="N1325" s="19" t="n">
        <x:f>MAX(K1325-1,0)+MAX(L1325-1,0)+MAX(M1325-1,0)</x:f>
        <x:v>5</x:v>
      </x:c>
      <x:c r="O1325" s="19" t="n">
        <x:f>IF(AND(SUM(K1325:M1325)&lt;9,OR(M1325=0,N1325&lt;6)),1,0)</x:f>
        <x:v>1</x:v>
      </x:c>
      <x:c r="P1325" s="19" t="n">
        <x:f>IF(AND(SUM(K1325:M1325)&lt;9,OR(L1325=0,N1325&lt;6)),1,0)</x:f>
        <x:v>1</x:v>
      </x:c>
      <x:c r="Q1325" s="19" t="n">
        <x:f>IF(AND(SUM(K1325:M1325)&lt;9,OR(K1325=0,N1325&lt;6)),1,0)</x:f>
        <x:v>1</x:v>
      </x:c>
      <x:c r="R1325" s="22" t="str">
        <x:f>O1325&amp;P1325&amp;Q1325</x:f>
        <x:v>111</x:v>
      </x:c>
      <x:c r="S1325" s="19" t="n">
        <x:f>IF(I1325=1,IF(J1325=0,Q1325,IF(J1325=1,P1325,IF(J1325=2,O1325,0))),0)</x:f>
        <x:v>0</x:v>
      </x:c>
      <x:c r="T1325" s="19" t="n">
        <x:f>K1325+IF(AND(S1325=1,J1325=0),1,0)</x:f>
        <x:v>1</x:v>
      </x:c>
      <x:c r="U1325" s="19" t="n">
        <x:f>L1325+IF(AND(S1325=1,J1325=1),1,0)</x:f>
        <x:v>2</x:v>
      </x:c>
      <x:c r="V1325" s="19" t="n">
        <x:f>M1325+IF(AND(S1325=1,J1325=2),1,0)</x:f>
        <x:v>5</x:v>
      </x:c>
      <x:c r="W1325" s="19" t="n">
        <x:f>SUM(T1325:V1325)</x:f>
        <x:v>8</x:v>
      </x:c>
      <x:c r="X1325" s="19" t="n">
        <x:f>W1325-G1325</x:f>
        <x:v>-1</x:v>
      </x:c>
      <x:c r="Y1325" s="19" t="n">
        <x:f>MAX(T1325,1)+MAX(U1325,1)+MAX(V1325,1)</x:f>
        <x:v>8</x:v>
      </x:c>
      <x:c r="Z1325" s="21" t="str">
        <x:f>IF(AND(MIN(D1325:F1325)&gt;=0,MAX(D1325:F1325)&lt;=7,MAX(D1325,1)+MAX(E1325,1)+MAX(F1325,1)&lt;=9,OR(H1325="-",AND(H1325=0,D1325&gt;0),AND(H1325=1,E1325&gt;0),AND(H1325=2,F1325&gt;0)),OR(I1325=0,AND(I1325=1,OR(J1325=0,J1325=1,J1325=2),R1325&lt;&gt;"000")),Y1325&lt;=9,MIN(T1325:V1325)&gt;=0),"合法","输入违约")</x:f>
        <x:v>合法</x:v>
      </x:c>
    </x:row>
    <x:row r="1326" ht="23" customHeight="1">
      <x:c r="A1326" s="3" t="str">
        <x:v>CT-1319</x:v>
      </x:c>
      <x:c r="B1326" s="3" t="str">
        <x:v>ST-171</x:v>
      </x:c>
      <x:c r="C1326" s="3" t="str">
        <x:v>R+AR同收同发</x:v>
      </x:c>
      <x:c r="D1326" s="25" t="n">
        <x:v>2</x:v>
      </x:c>
      <x:c r="E1326" s="25" t="n">
        <x:v>2</x:v>
      </x:c>
      <x:c r="F1326" s="25" t="n">
        <x:v>5</x:v>
      </x:c>
      <x:c r="G1326" s="19" t="n">
        <x:f>SUM(D1326:F1326)</x:f>
        <x:v>9</x:v>
      </x:c>
      <x:c r="H1326" s="25" t="n">
        <x:v>0</x:v>
      </x:c>
      <x:c r="I1326" s="25" t="n">
        <x:v>1</x:v>
      </x:c>
      <x:c r="J1326" s="25" t="n">
        <x:v>0</x:v>
      </x:c>
      <x:c r="K1326" s="19" t="n">
        <x:f>D1326-IF(H1326=0,1,0)</x:f>
        <x:v>1</x:v>
      </x:c>
      <x:c r="L1326" s="19" t="n">
        <x:f>E1326-IF(H1326=1,1,0)</x:f>
        <x:v>2</x:v>
      </x:c>
      <x:c r="M1326" s="19" t="n">
        <x:f>F1326-IF(H1326=2,1,0)</x:f>
        <x:v>5</x:v>
      </x:c>
      <x:c r="N1326" s="19" t="n">
        <x:f>MAX(K1326-1,0)+MAX(L1326-1,0)+MAX(M1326-1,0)</x:f>
        <x:v>5</x:v>
      </x:c>
      <x:c r="O1326" s="19" t="n">
        <x:f>IF(AND(SUM(K1326:M1326)&lt;9,OR(M1326=0,N1326&lt;6)),1,0)</x:f>
        <x:v>1</x:v>
      </x:c>
      <x:c r="P1326" s="19" t="n">
        <x:f>IF(AND(SUM(K1326:M1326)&lt;9,OR(L1326=0,N1326&lt;6)),1,0)</x:f>
        <x:v>1</x:v>
      </x:c>
      <x:c r="Q1326" s="19" t="n">
        <x:f>IF(AND(SUM(K1326:M1326)&lt;9,OR(K1326=0,N1326&lt;6)),1,0)</x:f>
        <x:v>1</x:v>
      </x:c>
      <x:c r="R1326" s="22" t="str">
        <x:f>O1326&amp;P1326&amp;Q1326</x:f>
        <x:v>111</x:v>
      </x:c>
      <x:c r="S1326" s="19" t="n">
        <x:f>IF(I1326=1,IF(J1326=0,Q1326,IF(J1326=1,P1326,IF(J1326=2,O1326,0))),0)</x:f>
        <x:v>1</x:v>
      </x:c>
      <x:c r="T1326" s="19" t="n">
        <x:f>K1326+IF(AND(S1326=1,J1326=0),1,0)</x:f>
        <x:v>2</x:v>
      </x:c>
      <x:c r="U1326" s="19" t="n">
        <x:f>L1326+IF(AND(S1326=1,J1326=1),1,0)</x:f>
        <x:v>2</x:v>
      </x:c>
      <x:c r="V1326" s="19" t="n">
        <x:f>M1326+IF(AND(S1326=1,J1326=2),1,0)</x:f>
        <x:v>5</x:v>
      </x:c>
      <x:c r="W1326" s="19" t="n">
        <x:f>SUM(T1326:V1326)</x:f>
        <x:v>9</x:v>
      </x:c>
      <x:c r="X1326" s="19" t="n">
        <x:f>W1326-G1326</x:f>
        <x:v>0</x:v>
      </x:c>
      <x:c r="Y1326" s="19" t="n">
        <x:f>MAX(T1326,1)+MAX(U1326,1)+MAX(V1326,1)</x:f>
        <x:v>9</x:v>
      </x:c>
      <x:c r="Z1326" s="21" t="str">
        <x:f>IF(AND(MIN(D1326:F1326)&gt;=0,MAX(D1326:F1326)&lt;=7,MAX(D1326,1)+MAX(E1326,1)+MAX(F1326,1)&lt;=9,OR(H1326="-",AND(H1326=0,D1326&gt;0),AND(H1326=1,E1326&gt;0),AND(H1326=2,F1326&gt;0)),OR(I1326=0,AND(I1326=1,OR(J1326=0,J1326=1,J1326=2),R1326&lt;&gt;"000")),Y1326&lt;=9,MIN(T1326:V1326)&gt;=0),"合法","输入违约")</x:f>
        <x:v>合法</x:v>
      </x:c>
    </x:row>
    <x:row r="1327" ht="23" customHeight="1">
      <x:c r="A1327" s="3" t="str">
        <x:v>CT-1320</x:v>
      </x:c>
      <x:c r="B1327" s="3" t="str">
        <x:v>ST-171</x:v>
      </x:c>
      <x:c r="C1327" s="3" t="str">
        <x:v>R+AR同收同发</x:v>
      </x:c>
      <x:c r="D1327" s="25" t="n">
        <x:v>2</x:v>
      </x:c>
      <x:c r="E1327" s="25" t="n">
        <x:v>2</x:v>
      </x:c>
      <x:c r="F1327" s="25" t="n">
        <x:v>5</x:v>
      </x:c>
      <x:c r="G1327" s="19" t="n">
        <x:f>SUM(D1327:F1327)</x:f>
        <x:v>9</x:v>
      </x:c>
      <x:c r="H1327" s="25" t="n">
        <x:v>0</x:v>
      </x:c>
      <x:c r="I1327" s="25" t="n">
        <x:v>1</x:v>
      </x:c>
      <x:c r="J1327" s="25" t="n">
        <x:v>1</x:v>
      </x:c>
      <x:c r="K1327" s="19" t="n">
        <x:f>D1327-IF(H1327=0,1,0)</x:f>
        <x:v>1</x:v>
      </x:c>
      <x:c r="L1327" s="19" t="n">
        <x:f>E1327-IF(H1327=1,1,0)</x:f>
        <x:v>2</x:v>
      </x:c>
      <x:c r="M1327" s="19" t="n">
        <x:f>F1327-IF(H1327=2,1,0)</x:f>
        <x:v>5</x:v>
      </x:c>
      <x:c r="N1327" s="19" t="n">
        <x:f>MAX(K1327-1,0)+MAX(L1327-1,0)+MAX(M1327-1,0)</x:f>
        <x:v>5</x:v>
      </x:c>
      <x:c r="O1327" s="19" t="n">
        <x:f>IF(AND(SUM(K1327:M1327)&lt;9,OR(M1327=0,N1327&lt;6)),1,0)</x:f>
        <x:v>1</x:v>
      </x:c>
      <x:c r="P1327" s="19" t="n">
        <x:f>IF(AND(SUM(K1327:M1327)&lt;9,OR(L1327=0,N1327&lt;6)),1,0)</x:f>
        <x:v>1</x:v>
      </x:c>
      <x:c r="Q1327" s="19" t="n">
        <x:f>IF(AND(SUM(K1327:M1327)&lt;9,OR(K1327=0,N1327&lt;6)),1,0)</x:f>
        <x:v>1</x:v>
      </x:c>
      <x:c r="R1327" s="22" t="str">
        <x:f>O1327&amp;P1327&amp;Q1327</x:f>
        <x:v>111</x:v>
      </x:c>
      <x:c r="S1327" s="19" t="n">
        <x:f>IF(I1327=1,IF(J1327=0,Q1327,IF(J1327=1,P1327,IF(J1327=2,O1327,0))),0)</x:f>
        <x:v>1</x:v>
      </x:c>
      <x:c r="T1327" s="19" t="n">
        <x:f>K1327+IF(AND(S1327=1,J1327=0),1,0)</x:f>
        <x:v>1</x:v>
      </x:c>
      <x:c r="U1327" s="19" t="n">
        <x:f>L1327+IF(AND(S1327=1,J1327=1),1,0)</x:f>
        <x:v>3</x:v>
      </x:c>
      <x:c r="V1327" s="19" t="n">
        <x:f>M1327+IF(AND(S1327=1,J1327=2),1,0)</x:f>
        <x:v>5</x:v>
      </x:c>
      <x:c r="W1327" s="19" t="n">
        <x:f>SUM(T1327:V1327)</x:f>
        <x:v>9</x:v>
      </x:c>
      <x:c r="X1327" s="19" t="n">
        <x:f>W1327-G1327</x:f>
        <x:v>0</x:v>
      </x:c>
      <x:c r="Y1327" s="19" t="n">
        <x:f>MAX(T1327,1)+MAX(U1327,1)+MAX(V1327,1)</x:f>
        <x:v>9</x:v>
      </x:c>
      <x:c r="Z1327" s="21" t="str">
        <x:f>IF(AND(MIN(D1327:F1327)&gt;=0,MAX(D1327:F1327)&lt;=7,MAX(D1327,1)+MAX(E1327,1)+MAX(F1327,1)&lt;=9,OR(H1327="-",AND(H1327=0,D1327&gt;0),AND(H1327=1,E1327&gt;0),AND(H1327=2,F1327&gt;0)),OR(I1327=0,AND(I1327=1,OR(J1327=0,J1327=1,J1327=2),R1327&lt;&gt;"000")),Y1327&lt;=9,MIN(T1327:V1327)&gt;=0),"合法","输入违约")</x:f>
        <x:v>合法</x:v>
      </x:c>
    </x:row>
    <x:row r="1328" ht="23" customHeight="1">
      <x:c r="A1328" s="3" t="str">
        <x:v>CT-1321</x:v>
      </x:c>
      <x:c r="B1328" s="3" t="str">
        <x:v>ST-171</x:v>
      </x:c>
      <x:c r="C1328" s="3" t="str">
        <x:v>R+AR同收同发</x:v>
      </x:c>
      <x:c r="D1328" s="25" t="n">
        <x:v>2</x:v>
      </x:c>
      <x:c r="E1328" s="25" t="n">
        <x:v>2</x:v>
      </x:c>
      <x:c r="F1328" s="25" t="n">
        <x:v>5</x:v>
      </x:c>
      <x:c r="G1328" s="19" t="n">
        <x:f>SUM(D1328:F1328)</x:f>
        <x:v>9</x:v>
      </x:c>
      <x:c r="H1328" s="25" t="n">
        <x:v>0</x:v>
      </x:c>
      <x:c r="I1328" s="25" t="n">
        <x:v>1</x:v>
      </x:c>
      <x:c r="J1328" s="25" t="n">
        <x:v>2</x:v>
      </x:c>
      <x:c r="K1328" s="19" t="n">
        <x:f>D1328-IF(H1328=0,1,0)</x:f>
        <x:v>1</x:v>
      </x:c>
      <x:c r="L1328" s="19" t="n">
        <x:f>E1328-IF(H1328=1,1,0)</x:f>
        <x:v>2</x:v>
      </x:c>
      <x:c r="M1328" s="19" t="n">
        <x:f>F1328-IF(H1328=2,1,0)</x:f>
        <x:v>5</x:v>
      </x:c>
      <x:c r="N1328" s="19" t="n">
        <x:f>MAX(K1328-1,0)+MAX(L1328-1,0)+MAX(M1328-1,0)</x:f>
        <x:v>5</x:v>
      </x:c>
      <x:c r="O1328" s="19" t="n">
        <x:f>IF(AND(SUM(K1328:M1328)&lt;9,OR(M1328=0,N1328&lt;6)),1,0)</x:f>
        <x:v>1</x:v>
      </x:c>
      <x:c r="P1328" s="19" t="n">
        <x:f>IF(AND(SUM(K1328:M1328)&lt;9,OR(L1328=0,N1328&lt;6)),1,0)</x:f>
        <x:v>1</x:v>
      </x:c>
      <x:c r="Q1328" s="19" t="n">
        <x:f>IF(AND(SUM(K1328:M1328)&lt;9,OR(K1328=0,N1328&lt;6)),1,0)</x:f>
        <x:v>1</x:v>
      </x:c>
      <x:c r="R1328" s="22" t="str">
        <x:f>O1328&amp;P1328&amp;Q1328</x:f>
        <x:v>111</x:v>
      </x:c>
      <x:c r="S1328" s="19" t="n">
        <x:f>IF(I1328=1,IF(J1328=0,Q1328,IF(J1328=1,P1328,IF(J1328=2,O1328,0))),0)</x:f>
        <x:v>1</x:v>
      </x:c>
      <x:c r="T1328" s="19" t="n">
        <x:f>K1328+IF(AND(S1328=1,J1328=0),1,0)</x:f>
        <x:v>1</x:v>
      </x:c>
      <x:c r="U1328" s="19" t="n">
        <x:f>L1328+IF(AND(S1328=1,J1328=1),1,0)</x:f>
        <x:v>2</x:v>
      </x:c>
      <x:c r="V1328" s="19" t="n">
        <x:f>M1328+IF(AND(S1328=1,J1328=2),1,0)</x:f>
        <x:v>6</x:v>
      </x:c>
      <x:c r="W1328" s="19" t="n">
        <x:f>SUM(T1328:V1328)</x:f>
        <x:v>9</x:v>
      </x:c>
      <x:c r="X1328" s="19" t="n">
        <x:f>W1328-G1328</x:f>
        <x:v>0</x:v>
      </x:c>
      <x:c r="Y1328" s="19" t="n">
        <x:f>MAX(T1328,1)+MAX(U1328,1)+MAX(V1328,1)</x:f>
        <x:v>9</x:v>
      </x:c>
      <x:c r="Z1328" s="21" t="str">
        <x:f>IF(AND(MIN(D1328:F1328)&gt;=0,MAX(D1328:F1328)&lt;=7,MAX(D1328,1)+MAX(E1328,1)+MAX(F1328,1)&lt;=9,OR(H1328="-",AND(H1328=0,D1328&gt;0),AND(H1328=1,E1328&gt;0),AND(H1328=2,F1328&gt;0)),OR(I1328=0,AND(I1328=1,OR(J1328=0,J1328=1,J1328=2),R1328&lt;&gt;"000")),Y1328&lt;=9,MIN(T1328:V1328)&gt;=0),"合法","输入违约")</x:f>
        <x:v>合法</x:v>
      </x:c>
    </x:row>
    <x:row r="1329" ht="23" customHeight="1">
      <x:c r="A1329" s="3" t="str">
        <x:v>CT-1322</x:v>
      </x:c>
      <x:c r="B1329" s="3" t="str">
        <x:v>ST-171</x:v>
      </x:c>
      <x:c r="C1329" s="3" t="str">
        <x:v>仅R回收</x:v>
      </x:c>
      <x:c r="D1329" s="25" t="n">
        <x:v>2</x:v>
      </x:c>
      <x:c r="E1329" s="25" t="n">
        <x:v>2</x:v>
      </x:c>
      <x:c r="F1329" s="25" t="n">
        <x:v>5</x:v>
      </x:c>
      <x:c r="G1329" s="19" t="n">
        <x:f>SUM(D1329:F1329)</x:f>
        <x:v>9</x:v>
      </x:c>
      <x:c r="H1329" s="25" t="n">
        <x:v>1</x:v>
      </x:c>
      <x:c r="I1329" s="25" t="n">
        <x:v>0</x:v>
      </x:c>
      <x:c r="J1329" s="25" t="str">
        <x:v>-</x:v>
      </x:c>
      <x:c r="K1329" s="19" t="n">
        <x:f>D1329-IF(H1329=0,1,0)</x:f>
        <x:v>2</x:v>
      </x:c>
      <x:c r="L1329" s="19" t="n">
        <x:f>E1329-IF(H1329=1,1,0)</x:f>
        <x:v>1</x:v>
      </x:c>
      <x:c r="M1329" s="19" t="n">
        <x:f>F1329-IF(H1329=2,1,0)</x:f>
        <x:v>5</x:v>
      </x:c>
      <x:c r="N1329" s="19" t="n">
        <x:f>MAX(K1329-1,0)+MAX(L1329-1,0)+MAX(M1329-1,0)</x:f>
        <x:v>5</x:v>
      </x:c>
      <x:c r="O1329" s="19" t="n">
        <x:f>IF(AND(SUM(K1329:M1329)&lt;9,OR(M1329=0,N1329&lt;6)),1,0)</x:f>
        <x:v>1</x:v>
      </x:c>
      <x:c r="P1329" s="19" t="n">
        <x:f>IF(AND(SUM(K1329:M1329)&lt;9,OR(L1329=0,N1329&lt;6)),1,0)</x:f>
        <x:v>1</x:v>
      </x:c>
      <x:c r="Q1329" s="19" t="n">
        <x:f>IF(AND(SUM(K1329:M1329)&lt;9,OR(K1329=0,N1329&lt;6)),1,0)</x:f>
        <x:v>1</x:v>
      </x:c>
      <x:c r="R1329" s="22" t="str">
        <x:f>O1329&amp;P1329&amp;Q1329</x:f>
        <x:v>111</x:v>
      </x:c>
      <x:c r="S1329" s="19" t="n">
        <x:f>IF(I1329=1,IF(J1329=0,Q1329,IF(J1329=1,P1329,IF(J1329=2,O1329,0))),0)</x:f>
        <x:v>0</x:v>
      </x:c>
      <x:c r="T1329" s="19" t="n">
        <x:f>K1329+IF(AND(S1329=1,J1329=0),1,0)</x:f>
        <x:v>2</x:v>
      </x:c>
      <x:c r="U1329" s="19" t="n">
        <x:f>L1329+IF(AND(S1329=1,J1329=1),1,0)</x:f>
        <x:v>1</x:v>
      </x:c>
      <x:c r="V1329" s="19" t="n">
        <x:f>M1329+IF(AND(S1329=1,J1329=2),1,0)</x:f>
        <x:v>5</x:v>
      </x:c>
      <x:c r="W1329" s="19" t="n">
        <x:f>SUM(T1329:V1329)</x:f>
        <x:v>8</x:v>
      </x:c>
      <x:c r="X1329" s="19" t="n">
        <x:f>W1329-G1329</x:f>
        <x:v>-1</x:v>
      </x:c>
      <x:c r="Y1329" s="19" t="n">
        <x:f>MAX(T1329,1)+MAX(U1329,1)+MAX(V1329,1)</x:f>
        <x:v>8</x:v>
      </x:c>
      <x:c r="Z1329" s="21" t="str">
        <x:f>IF(AND(MIN(D1329:F1329)&gt;=0,MAX(D1329:F1329)&lt;=7,MAX(D1329,1)+MAX(E1329,1)+MAX(F1329,1)&lt;=9,OR(H1329="-",AND(H1329=0,D1329&gt;0),AND(H1329=1,E1329&gt;0),AND(H1329=2,F1329&gt;0)),OR(I1329=0,AND(I1329=1,OR(J1329=0,J1329=1,J1329=2),R1329&lt;&gt;"000")),Y1329&lt;=9,MIN(T1329:V1329)&gt;=0),"合法","输入违约")</x:f>
        <x:v>合法</x:v>
      </x:c>
    </x:row>
    <x:row r="1330" ht="23" customHeight="1">
      <x:c r="A1330" s="3" t="str">
        <x:v>CT-1323</x:v>
      </x:c>
      <x:c r="B1330" s="3" t="str">
        <x:v>ST-171</x:v>
      </x:c>
      <x:c r="C1330" s="3" t="str">
        <x:v>R+AR同收同发</x:v>
      </x:c>
      <x:c r="D1330" s="25" t="n">
        <x:v>2</x:v>
      </x:c>
      <x:c r="E1330" s="25" t="n">
        <x:v>2</x:v>
      </x:c>
      <x:c r="F1330" s="25" t="n">
        <x:v>5</x:v>
      </x:c>
      <x:c r="G1330" s="19" t="n">
        <x:f>SUM(D1330:F1330)</x:f>
        <x:v>9</x:v>
      </x:c>
      <x:c r="H1330" s="25" t="n">
        <x:v>1</x:v>
      </x:c>
      <x:c r="I1330" s="25" t="n">
        <x:v>1</x:v>
      </x:c>
      <x:c r="J1330" s="25" t="n">
        <x:v>0</x:v>
      </x:c>
      <x:c r="K1330" s="19" t="n">
        <x:f>D1330-IF(H1330=0,1,0)</x:f>
        <x:v>2</x:v>
      </x:c>
      <x:c r="L1330" s="19" t="n">
        <x:f>E1330-IF(H1330=1,1,0)</x:f>
        <x:v>1</x:v>
      </x:c>
      <x:c r="M1330" s="19" t="n">
        <x:f>F1330-IF(H1330=2,1,0)</x:f>
        <x:v>5</x:v>
      </x:c>
      <x:c r="N1330" s="19" t="n">
        <x:f>MAX(K1330-1,0)+MAX(L1330-1,0)+MAX(M1330-1,0)</x:f>
        <x:v>5</x:v>
      </x:c>
      <x:c r="O1330" s="19" t="n">
        <x:f>IF(AND(SUM(K1330:M1330)&lt;9,OR(M1330=0,N1330&lt;6)),1,0)</x:f>
        <x:v>1</x:v>
      </x:c>
      <x:c r="P1330" s="19" t="n">
        <x:f>IF(AND(SUM(K1330:M1330)&lt;9,OR(L1330=0,N1330&lt;6)),1,0)</x:f>
        <x:v>1</x:v>
      </x:c>
      <x:c r="Q1330" s="19" t="n">
        <x:f>IF(AND(SUM(K1330:M1330)&lt;9,OR(K1330=0,N1330&lt;6)),1,0)</x:f>
        <x:v>1</x:v>
      </x:c>
      <x:c r="R1330" s="22" t="str">
        <x:f>O1330&amp;P1330&amp;Q1330</x:f>
        <x:v>111</x:v>
      </x:c>
      <x:c r="S1330" s="19" t="n">
        <x:f>IF(I1330=1,IF(J1330=0,Q1330,IF(J1330=1,P1330,IF(J1330=2,O1330,0))),0)</x:f>
        <x:v>1</x:v>
      </x:c>
      <x:c r="T1330" s="19" t="n">
        <x:f>K1330+IF(AND(S1330=1,J1330=0),1,0)</x:f>
        <x:v>3</x:v>
      </x:c>
      <x:c r="U1330" s="19" t="n">
        <x:f>L1330+IF(AND(S1330=1,J1330=1),1,0)</x:f>
        <x:v>1</x:v>
      </x:c>
      <x:c r="V1330" s="19" t="n">
        <x:f>M1330+IF(AND(S1330=1,J1330=2),1,0)</x:f>
        <x:v>5</x:v>
      </x:c>
      <x:c r="W1330" s="19" t="n">
        <x:f>SUM(T1330:V1330)</x:f>
        <x:v>9</x:v>
      </x:c>
      <x:c r="X1330" s="19" t="n">
        <x:f>W1330-G1330</x:f>
        <x:v>0</x:v>
      </x:c>
      <x:c r="Y1330" s="19" t="n">
        <x:f>MAX(T1330,1)+MAX(U1330,1)+MAX(V1330,1)</x:f>
        <x:v>9</x:v>
      </x:c>
      <x:c r="Z1330" s="21" t="str">
        <x:f>IF(AND(MIN(D1330:F1330)&gt;=0,MAX(D1330:F1330)&lt;=7,MAX(D1330,1)+MAX(E1330,1)+MAX(F1330,1)&lt;=9,OR(H1330="-",AND(H1330=0,D1330&gt;0),AND(H1330=1,E1330&gt;0),AND(H1330=2,F1330&gt;0)),OR(I1330=0,AND(I1330=1,OR(J1330=0,J1330=1,J1330=2),R1330&lt;&gt;"000")),Y1330&lt;=9,MIN(T1330:V1330)&gt;=0),"合法","输入违约")</x:f>
        <x:v>合法</x:v>
      </x:c>
    </x:row>
    <x:row r="1331" ht="23" customHeight="1">
      <x:c r="A1331" s="3" t="str">
        <x:v>CT-1324</x:v>
      </x:c>
      <x:c r="B1331" s="3" t="str">
        <x:v>ST-171</x:v>
      </x:c>
      <x:c r="C1331" s="3" t="str">
        <x:v>R+AR同收同发</x:v>
      </x:c>
      <x:c r="D1331" s="25" t="n">
        <x:v>2</x:v>
      </x:c>
      <x:c r="E1331" s="25" t="n">
        <x:v>2</x:v>
      </x:c>
      <x:c r="F1331" s="25" t="n">
        <x:v>5</x:v>
      </x:c>
      <x:c r="G1331" s="19" t="n">
        <x:f>SUM(D1331:F1331)</x:f>
        <x:v>9</x:v>
      </x:c>
      <x:c r="H1331" s="25" t="n">
        <x:v>1</x:v>
      </x:c>
      <x:c r="I1331" s="25" t="n">
        <x:v>1</x:v>
      </x:c>
      <x:c r="J1331" s="25" t="n">
        <x:v>1</x:v>
      </x:c>
      <x:c r="K1331" s="19" t="n">
        <x:f>D1331-IF(H1331=0,1,0)</x:f>
        <x:v>2</x:v>
      </x:c>
      <x:c r="L1331" s="19" t="n">
        <x:f>E1331-IF(H1331=1,1,0)</x:f>
        <x:v>1</x:v>
      </x:c>
      <x:c r="M1331" s="19" t="n">
        <x:f>F1331-IF(H1331=2,1,0)</x:f>
        <x:v>5</x:v>
      </x:c>
      <x:c r="N1331" s="19" t="n">
        <x:f>MAX(K1331-1,0)+MAX(L1331-1,0)+MAX(M1331-1,0)</x:f>
        <x:v>5</x:v>
      </x:c>
      <x:c r="O1331" s="19" t="n">
        <x:f>IF(AND(SUM(K1331:M1331)&lt;9,OR(M1331=0,N1331&lt;6)),1,0)</x:f>
        <x:v>1</x:v>
      </x:c>
      <x:c r="P1331" s="19" t="n">
        <x:f>IF(AND(SUM(K1331:M1331)&lt;9,OR(L1331=0,N1331&lt;6)),1,0)</x:f>
        <x:v>1</x:v>
      </x:c>
      <x:c r="Q1331" s="19" t="n">
        <x:f>IF(AND(SUM(K1331:M1331)&lt;9,OR(K1331=0,N1331&lt;6)),1,0)</x:f>
        <x:v>1</x:v>
      </x:c>
      <x:c r="R1331" s="22" t="str">
        <x:f>O1331&amp;P1331&amp;Q1331</x:f>
        <x:v>111</x:v>
      </x:c>
      <x:c r="S1331" s="19" t="n">
        <x:f>IF(I1331=1,IF(J1331=0,Q1331,IF(J1331=1,P1331,IF(J1331=2,O1331,0))),0)</x:f>
        <x:v>1</x:v>
      </x:c>
      <x:c r="T1331" s="19" t="n">
        <x:f>K1331+IF(AND(S1331=1,J1331=0),1,0)</x:f>
        <x:v>2</x:v>
      </x:c>
      <x:c r="U1331" s="19" t="n">
        <x:f>L1331+IF(AND(S1331=1,J1331=1),1,0)</x:f>
        <x:v>2</x:v>
      </x:c>
      <x:c r="V1331" s="19" t="n">
        <x:f>M1331+IF(AND(S1331=1,J1331=2),1,0)</x:f>
        <x:v>5</x:v>
      </x:c>
      <x:c r="W1331" s="19" t="n">
        <x:f>SUM(T1331:V1331)</x:f>
        <x:v>9</x:v>
      </x:c>
      <x:c r="X1331" s="19" t="n">
        <x:f>W1331-G1331</x:f>
        <x:v>0</x:v>
      </x:c>
      <x:c r="Y1331" s="19" t="n">
        <x:f>MAX(T1331,1)+MAX(U1331,1)+MAX(V1331,1)</x:f>
        <x:v>9</x:v>
      </x:c>
      <x:c r="Z1331" s="21" t="str">
        <x:f>IF(AND(MIN(D1331:F1331)&gt;=0,MAX(D1331:F1331)&lt;=7,MAX(D1331,1)+MAX(E1331,1)+MAX(F1331,1)&lt;=9,OR(H1331="-",AND(H1331=0,D1331&gt;0),AND(H1331=1,E1331&gt;0),AND(H1331=2,F1331&gt;0)),OR(I1331=0,AND(I1331=1,OR(J1331=0,J1331=1,J1331=2),R1331&lt;&gt;"000")),Y1331&lt;=9,MIN(T1331:V1331)&gt;=0),"合法","输入违约")</x:f>
        <x:v>合法</x:v>
      </x:c>
    </x:row>
    <x:row r="1332" ht="23" customHeight="1">
      <x:c r="A1332" s="3" t="str">
        <x:v>CT-1325</x:v>
      </x:c>
      <x:c r="B1332" s="3" t="str">
        <x:v>ST-171</x:v>
      </x:c>
      <x:c r="C1332" s="3" t="str">
        <x:v>R+AR同收同发</x:v>
      </x:c>
      <x:c r="D1332" s="25" t="n">
        <x:v>2</x:v>
      </x:c>
      <x:c r="E1332" s="25" t="n">
        <x:v>2</x:v>
      </x:c>
      <x:c r="F1332" s="25" t="n">
        <x:v>5</x:v>
      </x:c>
      <x:c r="G1332" s="19" t="n">
        <x:f>SUM(D1332:F1332)</x:f>
        <x:v>9</x:v>
      </x:c>
      <x:c r="H1332" s="25" t="n">
        <x:v>1</x:v>
      </x:c>
      <x:c r="I1332" s="25" t="n">
        <x:v>1</x:v>
      </x:c>
      <x:c r="J1332" s="25" t="n">
        <x:v>2</x:v>
      </x:c>
      <x:c r="K1332" s="19" t="n">
        <x:f>D1332-IF(H1332=0,1,0)</x:f>
        <x:v>2</x:v>
      </x:c>
      <x:c r="L1332" s="19" t="n">
        <x:f>E1332-IF(H1332=1,1,0)</x:f>
        <x:v>1</x:v>
      </x:c>
      <x:c r="M1332" s="19" t="n">
        <x:f>F1332-IF(H1332=2,1,0)</x:f>
        <x:v>5</x:v>
      </x:c>
      <x:c r="N1332" s="19" t="n">
        <x:f>MAX(K1332-1,0)+MAX(L1332-1,0)+MAX(M1332-1,0)</x:f>
        <x:v>5</x:v>
      </x:c>
      <x:c r="O1332" s="19" t="n">
        <x:f>IF(AND(SUM(K1332:M1332)&lt;9,OR(M1332=0,N1332&lt;6)),1,0)</x:f>
        <x:v>1</x:v>
      </x:c>
      <x:c r="P1332" s="19" t="n">
        <x:f>IF(AND(SUM(K1332:M1332)&lt;9,OR(L1332=0,N1332&lt;6)),1,0)</x:f>
        <x:v>1</x:v>
      </x:c>
      <x:c r="Q1332" s="19" t="n">
        <x:f>IF(AND(SUM(K1332:M1332)&lt;9,OR(K1332=0,N1332&lt;6)),1,0)</x:f>
        <x:v>1</x:v>
      </x:c>
      <x:c r="R1332" s="22" t="str">
        <x:f>O1332&amp;P1332&amp;Q1332</x:f>
        <x:v>111</x:v>
      </x:c>
      <x:c r="S1332" s="19" t="n">
        <x:f>IF(I1332=1,IF(J1332=0,Q1332,IF(J1332=1,P1332,IF(J1332=2,O1332,0))),0)</x:f>
        <x:v>1</x:v>
      </x:c>
      <x:c r="T1332" s="19" t="n">
        <x:f>K1332+IF(AND(S1332=1,J1332=0),1,0)</x:f>
        <x:v>2</x:v>
      </x:c>
      <x:c r="U1332" s="19" t="n">
        <x:f>L1332+IF(AND(S1332=1,J1332=1),1,0)</x:f>
        <x:v>1</x:v>
      </x:c>
      <x:c r="V1332" s="19" t="n">
        <x:f>M1332+IF(AND(S1332=1,J1332=2),1,0)</x:f>
        <x:v>6</x:v>
      </x:c>
      <x:c r="W1332" s="19" t="n">
        <x:f>SUM(T1332:V1332)</x:f>
        <x:v>9</x:v>
      </x:c>
      <x:c r="X1332" s="19" t="n">
        <x:f>W1332-G1332</x:f>
        <x:v>0</x:v>
      </x:c>
      <x:c r="Y1332" s="19" t="n">
        <x:f>MAX(T1332,1)+MAX(U1332,1)+MAX(V1332,1)</x:f>
        <x:v>9</x:v>
      </x:c>
      <x:c r="Z1332" s="21" t="str">
        <x:f>IF(AND(MIN(D1332:F1332)&gt;=0,MAX(D1332:F1332)&lt;=7,MAX(D1332,1)+MAX(E1332,1)+MAX(F1332,1)&lt;=9,OR(H1332="-",AND(H1332=0,D1332&gt;0),AND(H1332=1,E1332&gt;0),AND(H1332=2,F1332&gt;0)),OR(I1332=0,AND(I1332=1,OR(J1332=0,J1332=1,J1332=2),R1332&lt;&gt;"000")),Y1332&lt;=9,MIN(T1332:V1332)&gt;=0),"合法","输入违约")</x:f>
        <x:v>合法</x:v>
      </x:c>
    </x:row>
    <x:row r="1333" ht="23" customHeight="1">
      <x:c r="A1333" s="3" t="str">
        <x:v>CT-1326</x:v>
      </x:c>
      <x:c r="B1333" s="3" t="str">
        <x:v>ST-171</x:v>
      </x:c>
      <x:c r="C1333" s="3" t="str">
        <x:v>仅R回收</x:v>
      </x:c>
      <x:c r="D1333" s="25" t="n">
        <x:v>2</x:v>
      </x:c>
      <x:c r="E1333" s="25" t="n">
        <x:v>2</x:v>
      </x:c>
      <x:c r="F1333" s="25" t="n">
        <x:v>5</x:v>
      </x:c>
      <x:c r="G1333" s="19" t="n">
        <x:f>SUM(D1333:F1333)</x:f>
        <x:v>9</x:v>
      </x:c>
      <x:c r="H1333" s="25" t="n">
        <x:v>2</x:v>
      </x:c>
      <x:c r="I1333" s="25" t="n">
        <x:v>0</x:v>
      </x:c>
      <x:c r="J1333" s="25" t="str">
        <x:v>-</x:v>
      </x:c>
      <x:c r="K1333" s="19" t="n">
        <x:f>D1333-IF(H1333=0,1,0)</x:f>
        <x:v>2</x:v>
      </x:c>
      <x:c r="L1333" s="19" t="n">
        <x:f>E1333-IF(H1333=1,1,0)</x:f>
        <x:v>2</x:v>
      </x:c>
      <x:c r="M1333" s="19" t="n">
        <x:f>F1333-IF(H1333=2,1,0)</x:f>
        <x:v>4</x:v>
      </x:c>
      <x:c r="N1333" s="19" t="n">
        <x:f>MAX(K1333-1,0)+MAX(L1333-1,0)+MAX(M1333-1,0)</x:f>
        <x:v>5</x:v>
      </x:c>
      <x:c r="O1333" s="19" t="n">
        <x:f>IF(AND(SUM(K1333:M1333)&lt;9,OR(M1333=0,N1333&lt;6)),1,0)</x:f>
        <x:v>1</x:v>
      </x:c>
      <x:c r="P1333" s="19" t="n">
        <x:f>IF(AND(SUM(K1333:M1333)&lt;9,OR(L1333=0,N1333&lt;6)),1,0)</x:f>
        <x:v>1</x:v>
      </x:c>
      <x:c r="Q1333" s="19" t="n">
        <x:f>IF(AND(SUM(K1333:M1333)&lt;9,OR(K1333=0,N1333&lt;6)),1,0)</x:f>
        <x:v>1</x:v>
      </x:c>
      <x:c r="R1333" s="22" t="str">
        <x:f>O1333&amp;P1333&amp;Q1333</x:f>
        <x:v>111</x:v>
      </x:c>
      <x:c r="S1333" s="19" t="n">
        <x:f>IF(I1333=1,IF(J1333=0,Q1333,IF(J1333=1,P1333,IF(J1333=2,O1333,0))),0)</x:f>
        <x:v>0</x:v>
      </x:c>
      <x:c r="T1333" s="19" t="n">
        <x:f>K1333+IF(AND(S1333=1,J1333=0),1,0)</x:f>
        <x:v>2</x:v>
      </x:c>
      <x:c r="U1333" s="19" t="n">
        <x:f>L1333+IF(AND(S1333=1,J1333=1),1,0)</x:f>
        <x:v>2</x:v>
      </x:c>
      <x:c r="V1333" s="19" t="n">
        <x:f>M1333+IF(AND(S1333=1,J1333=2),1,0)</x:f>
        <x:v>4</x:v>
      </x:c>
      <x:c r="W1333" s="19" t="n">
        <x:f>SUM(T1333:V1333)</x:f>
        <x:v>8</x:v>
      </x:c>
      <x:c r="X1333" s="19" t="n">
        <x:f>W1333-G1333</x:f>
        <x:v>-1</x:v>
      </x:c>
      <x:c r="Y1333" s="19" t="n">
        <x:f>MAX(T1333,1)+MAX(U1333,1)+MAX(V1333,1)</x:f>
        <x:v>8</x:v>
      </x:c>
      <x:c r="Z1333" s="21" t="str">
        <x:f>IF(AND(MIN(D1333:F1333)&gt;=0,MAX(D1333:F1333)&lt;=7,MAX(D1333,1)+MAX(E1333,1)+MAX(F1333,1)&lt;=9,OR(H1333="-",AND(H1333=0,D1333&gt;0),AND(H1333=1,E1333&gt;0),AND(H1333=2,F1333&gt;0)),OR(I1333=0,AND(I1333=1,OR(J1333=0,J1333=1,J1333=2),R1333&lt;&gt;"000")),Y1333&lt;=9,MIN(T1333:V1333)&gt;=0),"合法","输入违约")</x:f>
        <x:v>合法</x:v>
      </x:c>
    </x:row>
    <x:row r="1334" ht="23" customHeight="1">
      <x:c r="A1334" s="3" t="str">
        <x:v>CT-1327</x:v>
      </x:c>
      <x:c r="B1334" s="3" t="str">
        <x:v>ST-171</x:v>
      </x:c>
      <x:c r="C1334" s="3" t="str">
        <x:v>R+AR同收同发</x:v>
      </x:c>
      <x:c r="D1334" s="25" t="n">
        <x:v>2</x:v>
      </x:c>
      <x:c r="E1334" s="25" t="n">
        <x:v>2</x:v>
      </x:c>
      <x:c r="F1334" s="25" t="n">
        <x:v>5</x:v>
      </x:c>
      <x:c r="G1334" s="19" t="n">
        <x:f>SUM(D1334:F1334)</x:f>
        <x:v>9</x:v>
      </x:c>
      <x:c r="H1334" s="25" t="n">
        <x:v>2</x:v>
      </x:c>
      <x:c r="I1334" s="25" t="n">
        <x:v>1</x:v>
      </x:c>
      <x:c r="J1334" s="25" t="n">
        <x:v>0</x:v>
      </x:c>
      <x:c r="K1334" s="19" t="n">
        <x:f>D1334-IF(H1334=0,1,0)</x:f>
        <x:v>2</x:v>
      </x:c>
      <x:c r="L1334" s="19" t="n">
        <x:f>E1334-IF(H1334=1,1,0)</x:f>
        <x:v>2</x:v>
      </x:c>
      <x:c r="M1334" s="19" t="n">
        <x:f>F1334-IF(H1334=2,1,0)</x:f>
        <x:v>4</x:v>
      </x:c>
      <x:c r="N1334" s="19" t="n">
        <x:f>MAX(K1334-1,0)+MAX(L1334-1,0)+MAX(M1334-1,0)</x:f>
        <x:v>5</x:v>
      </x:c>
      <x:c r="O1334" s="19" t="n">
        <x:f>IF(AND(SUM(K1334:M1334)&lt;9,OR(M1334=0,N1334&lt;6)),1,0)</x:f>
        <x:v>1</x:v>
      </x:c>
      <x:c r="P1334" s="19" t="n">
        <x:f>IF(AND(SUM(K1334:M1334)&lt;9,OR(L1334=0,N1334&lt;6)),1,0)</x:f>
        <x:v>1</x:v>
      </x:c>
      <x:c r="Q1334" s="19" t="n">
        <x:f>IF(AND(SUM(K1334:M1334)&lt;9,OR(K1334=0,N1334&lt;6)),1,0)</x:f>
        <x:v>1</x:v>
      </x:c>
      <x:c r="R1334" s="22" t="str">
        <x:f>O1334&amp;P1334&amp;Q1334</x:f>
        <x:v>111</x:v>
      </x:c>
      <x:c r="S1334" s="19" t="n">
        <x:f>IF(I1334=1,IF(J1334=0,Q1334,IF(J1334=1,P1334,IF(J1334=2,O1334,0))),0)</x:f>
        <x:v>1</x:v>
      </x:c>
      <x:c r="T1334" s="19" t="n">
        <x:f>K1334+IF(AND(S1334=1,J1334=0),1,0)</x:f>
        <x:v>3</x:v>
      </x:c>
      <x:c r="U1334" s="19" t="n">
        <x:f>L1334+IF(AND(S1334=1,J1334=1),1,0)</x:f>
        <x:v>2</x:v>
      </x:c>
      <x:c r="V1334" s="19" t="n">
        <x:f>M1334+IF(AND(S1334=1,J1334=2),1,0)</x:f>
        <x:v>4</x:v>
      </x:c>
      <x:c r="W1334" s="19" t="n">
        <x:f>SUM(T1334:V1334)</x:f>
        <x:v>9</x:v>
      </x:c>
      <x:c r="X1334" s="19" t="n">
        <x:f>W1334-G1334</x:f>
        <x:v>0</x:v>
      </x:c>
      <x:c r="Y1334" s="19" t="n">
        <x:f>MAX(T1334,1)+MAX(U1334,1)+MAX(V1334,1)</x:f>
        <x:v>9</x:v>
      </x:c>
      <x:c r="Z1334" s="21" t="str">
        <x:f>IF(AND(MIN(D1334:F1334)&gt;=0,MAX(D1334:F1334)&lt;=7,MAX(D1334,1)+MAX(E1334,1)+MAX(F1334,1)&lt;=9,OR(H1334="-",AND(H1334=0,D1334&gt;0),AND(H1334=1,E1334&gt;0),AND(H1334=2,F1334&gt;0)),OR(I1334=0,AND(I1334=1,OR(J1334=0,J1334=1,J1334=2),R1334&lt;&gt;"000")),Y1334&lt;=9,MIN(T1334:V1334)&gt;=0),"合法","输入违约")</x:f>
        <x:v>合法</x:v>
      </x:c>
    </x:row>
    <x:row r="1335" ht="23" customHeight="1">
      <x:c r="A1335" s="3" t="str">
        <x:v>CT-1328</x:v>
      </x:c>
      <x:c r="B1335" s="3" t="str">
        <x:v>ST-171</x:v>
      </x:c>
      <x:c r="C1335" s="3" t="str">
        <x:v>R+AR同收同发</x:v>
      </x:c>
      <x:c r="D1335" s="25" t="n">
        <x:v>2</x:v>
      </x:c>
      <x:c r="E1335" s="25" t="n">
        <x:v>2</x:v>
      </x:c>
      <x:c r="F1335" s="25" t="n">
        <x:v>5</x:v>
      </x:c>
      <x:c r="G1335" s="19" t="n">
        <x:f>SUM(D1335:F1335)</x:f>
        <x:v>9</x:v>
      </x:c>
      <x:c r="H1335" s="25" t="n">
        <x:v>2</x:v>
      </x:c>
      <x:c r="I1335" s="25" t="n">
        <x:v>1</x:v>
      </x:c>
      <x:c r="J1335" s="25" t="n">
        <x:v>1</x:v>
      </x:c>
      <x:c r="K1335" s="19" t="n">
        <x:f>D1335-IF(H1335=0,1,0)</x:f>
        <x:v>2</x:v>
      </x:c>
      <x:c r="L1335" s="19" t="n">
        <x:f>E1335-IF(H1335=1,1,0)</x:f>
        <x:v>2</x:v>
      </x:c>
      <x:c r="M1335" s="19" t="n">
        <x:f>F1335-IF(H1335=2,1,0)</x:f>
        <x:v>4</x:v>
      </x:c>
      <x:c r="N1335" s="19" t="n">
        <x:f>MAX(K1335-1,0)+MAX(L1335-1,0)+MAX(M1335-1,0)</x:f>
        <x:v>5</x:v>
      </x:c>
      <x:c r="O1335" s="19" t="n">
        <x:f>IF(AND(SUM(K1335:M1335)&lt;9,OR(M1335=0,N1335&lt;6)),1,0)</x:f>
        <x:v>1</x:v>
      </x:c>
      <x:c r="P1335" s="19" t="n">
        <x:f>IF(AND(SUM(K1335:M1335)&lt;9,OR(L1335=0,N1335&lt;6)),1,0)</x:f>
        <x:v>1</x:v>
      </x:c>
      <x:c r="Q1335" s="19" t="n">
        <x:f>IF(AND(SUM(K1335:M1335)&lt;9,OR(K1335=0,N1335&lt;6)),1,0)</x:f>
        <x:v>1</x:v>
      </x:c>
      <x:c r="R1335" s="22" t="str">
        <x:f>O1335&amp;P1335&amp;Q1335</x:f>
        <x:v>111</x:v>
      </x:c>
      <x:c r="S1335" s="19" t="n">
        <x:f>IF(I1335=1,IF(J1335=0,Q1335,IF(J1335=1,P1335,IF(J1335=2,O1335,0))),0)</x:f>
        <x:v>1</x:v>
      </x:c>
      <x:c r="T1335" s="19" t="n">
        <x:f>K1335+IF(AND(S1335=1,J1335=0),1,0)</x:f>
        <x:v>2</x:v>
      </x:c>
      <x:c r="U1335" s="19" t="n">
        <x:f>L1335+IF(AND(S1335=1,J1335=1),1,0)</x:f>
        <x:v>3</x:v>
      </x:c>
      <x:c r="V1335" s="19" t="n">
        <x:f>M1335+IF(AND(S1335=1,J1335=2),1,0)</x:f>
        <x:v>4</x:v>
      </x:c>
      <x:c r="W1335" s="19" t="n">
        <x:f>SUM(T1335:V1335)</x:f>
        <x:v>9</x:v>
      </x:c>
      <x:c r="X1335" s="19" t="n">
        <x:f>W1335-G1335</x:f>
        <x:v>0</x:v>
      </x:c>
      <x:c r="Y1335" s="19" t="n">
        <x:f>MAX(T1335,1)+MAX(U1335,1)+MAX(V1335,1)</x:f>
        <x:v>9</x:v>
      </x:c>
      <x:c r="Z1335" s="21" t="str">
        <x:f>IF(AND(MIN(D1335:F1335)&gt;=0,MAX(D1335:F1335)&lt;=7,MAX(D1335,1)+MAX(E1335,1)+MAX(F1335,1)&lt;=9,OR(H1335="-",AND(H1335=0,D1335&gt;0),AND(H1335=1,E1335&gt;0),AND(H1335=2,F1335&gt;0)),OR(I1335=0,AND(I1335=1,OR(J1335=0,J1335=1,J1335=2),R1335&lt;&gt;"000")),Y1335&lt;=9,MIN(T1335:V1335)&gt;=0),"合法","输入违约")</x:f>
        <x:v>合法</x:v>
      </x:c>
    </x:row>
    <x:row r="1336" ht="23" customHeight="1">
      <x:c r="A1336" s="3" t="str">
        <x:v>CT-1329</x:v>
      </x:c>
      <x:c r="B1336" s="3" t="str">
        <x:v>ST-171</x:v>
      </x:c>
      <x:c r="C1336" s="3" t="str">
        <x:v>R+AR同收同发</x:v>
      </x:c>
      <x:c r="D1336" s="25" t="n">
        <x:v>2</x:v>
      </x:c>
      <x:c r="E1336" s="25" t="n">
        <x:v>2</x:v>
      </x:c>
      <x:c r="F1336" s="25" t="n">
        <x:v>5</x:v>
      </x:c>
      <x:c r="G1336" s="19" t="n">
        <x:f>SUM(D1336:F1336)</x:f>
        <x:v>9</x:v>
      </x:c>
      <x:c r="H1336" s="25" t="n">
        <x:v>2</x:v>
      </x:c>
      <x:c r="I1336" s="25" t="n">
        <x:v>1</x:v>
      </x:c>
      <x:c r="J1336" s="25" t="n">
        <x:v>2</x:v>
      </x:c>
      <x:c r="K1336" s="19" t="n">
        <x:f>D1336-IF(H1336=0,1,0)</x:f>
        <x:v>2</x:v>
      </x:c>
      <x:c r="L1336" s="19" t="n">
        <x:f>E1336-IF(H1336=1,1,0)</x:f>
        <x:v>2</x:v>
      </x:c>
      <x:c r="M1336" s="19" t="n">
        <x:f>F1336-IF(H1336=2,1,0)</x:f>
        <x:v>4</x:v>
      </x:c>
      <x:c r="N1336" s="19" t="n">
        <x:f>MAX(K1336-1,0)+MAX(L1336-1,0)+MAX(M1336-1,0)</x:f>
        <x:v>5</x:v>
      </x:c>
      <x:c r="O1336" s="19" t="n">
        <x:f>IF(AND(SUM(K1336:M1336)&lt;9,OR(M1336=0,N1336&lt;6)),1,0)</x:f>
        <x:v>1</x:v>
      </x:c>
      <x:c r="P1336" s="19" t="n">
        <x:f>IF(AND(SUM(K1336:M1336)&lt;9,OR(L1336=0,N1336&lt;6)),1,0)</x:f>
        <x:v>1</x:v>
      </x:c>
      <x:c r="Q1336" s="19" t="n">
        <x:f>IF(AND(SUM(K1336:M1336)&lt;9,OR(K1336=0,N1336&lt;6)),1,0)</x:f>
        <x:v>1</x:v>
      </x:c>
      <x:c r="R1336" s="22" t="str">
        <x:f>O1336&amp;P1336&amp;Q1336</x:f>
        <x:v>111</x:v>
      </x:c>
      <x:c r="S1336" s="19" t="n">
        <x:f>IF(I1336=1,IF(J1336=0,Q1336,IF(J1336=1,P1336,IF(J1336=2,O1336,0))),0)</x:f>
        <x:v>1</x:v>
      </x:c>
      <x:c r="T1336" s="19" t="n">
        <x:f>K1336+IF(AND(S1336=1,J1336=0),1,0)</x:f>
        <x:v>2</x:v>
      </x:c>
      <x:c r="U1336" s="19" t="n">
        <x:f>L1336+IF(AND(S1336=1,J1336=1),1,0)</x:f>
        <x:v>2</x:v>
      </x:c>
      <x:c r="V1336" s="19" t="n">
        <x:f>M1336+IF(AND(S1336=1,J1336=2),1,0)</x:f>
        <x:v>5</x:v>
      </x:c>
      <x:c r="W1336" s="19" t="n">
        <x:f>SUM(T1336:V1336)</x:f>
        <x:v>9</x:v>
      </x:c>
      <x:c r="X1336" s="19" t="n">
        <x:f>W1336-G1336</x:f>
        <x:v>0</x:v>
      </x:c>
      <x:c r="Y1336" s="19" t="n">
        <x:f>MAX(T1336,1)+MAX(U1336,1)+MAX(V1336,1)</x:f>
        <x:v>9</x:v>
      </x:c>
      <x:c r="Z1336" s="21" t="str">
        <x:f>IF(AND(MIN(D1336:F1336)&gt;=0,MAX(D1336:F1336)&lt;=7,MAX(D1336,1)+MAX(E1336,1)+MAX(F1336,1)&lt;=9,OR(H1336="-",AND(H1336=0,D1336&gt;0),AND(H1336=1,E1336&gt;0),AND(H1336=2,F1336&gt;0)),OR(I1336=0,AND(I1336=1,OR(J1336=0,J1336=1,J1336=2),R1336&lt;&gt;"000")),Y1336&lt;=9,MIN(T1336:V1336)&gt;=0),"合法","输入违约")</x:f>
        <x:v>合法</x:v>
      </x:c>
    </x:row>
    <x:row r="1337" ht="23" customHeight="1">
      <x:c r="A1337" s="3" t="str">
        <x:v>CT-1330</x:v>
      </x:c>
      <x:c r="B1337" s="3" t="str">
        <x:v>ST-050</x:v>
      </x:c>
      <x:c r="C1337" s="3" t="str">
        <x:v>无AR/R</x:v>
      </x:c>
      <x:c r="D1337" s="25" t="n">
        <x:v>2</x:v>
      </x:c>
      <x:c r="E1337" s="25" t="n">
        <x:v>3</x:v>
      </x:c>
      <x:c r="F1337" s="25" t="n">
        <x:v>0</x:v>
      </x:c>
      <x:c r="G1337" s="19" t="n">
        <x:f>SUM(D1337:F1337)</x:f>
        <x:v>5</x:v>
      </x:c>
      <x:c r="H1337" s="25" t="str">
        <x:v>-</x:v>
      </x:c>
      <x:c r="I1337" s="25" t="n">
        <x:v>0</x:v>
      </x:c>
      <x:c r="J1337" s="25" t="str">
        <x:v>-</x:v>
      </x:c>
      <x:c r="K1337" s="19" t="n">
        <x:f>D1337-IF(H1337=0,1,0)</x:f>
        <x:v>2</x:v>
      </x:c>
      <x:c r="L1337" s="19" t="n">
        <x:f>E1337-IF(H1337=1,1,0)</x:f>
        <x:v>3</x:v>
      </x:c>
      <x:c r="M1337" s="19" t="n">
        <x:f>F1337-IF(H1337=2,1,0)</x:f>
        <x:v>0</x:v>
      </x:c>
      <x:c r="N1337" s="19" t="n">
        <x:f>MAX(K1337-1,0)+MAX(L1337-1,0)+MAX(M1337-1,0)</x:f>
        <x:v>3</x:v>
      </x:c>
      <x:c r="O1337" s="19" t="n">
        <x:f>IF(AND(SUM(K1337:M1337)&lt;9,OR(M1337=0,N1337&lt;6)),1,0)</x:f>
        <x:v>1</x:v>
      </x:c>
      <x:c r="P1337" s="19" t="n">
        <x:f>IF(AND(SUM(K1337:M1337)&lt;9,OR(L1337=0,N1337&lt;6)),1,0)</x:f>
        <x:v>1</x:v>
      </x:c>
      <x:c r="Q1337" s="19" t="n">
        <x:f>IF(AND(SUM(K1337:M1337)&lt;9,OR(K1337=0,N1337&lt;6)),1,0)</x:f>
        <x:v>1</x:v>
      </x:c>
      <x:c r="R1337" s="22" t="str">
        <x:f>O1337&amp;P1337&amp;Q1337</x:f>
        <x:v>111</x:v>
      </x:c>
      <x:c r="S1337" s="19" t="n">
        <x:f>IF(I1337=1,IF(J1337=0,Q1337,IF(J1337=1,P1337,IF(J1337=2,O1337,0))),0)</x:f>
        <x:v>0</x:v>
      </x:c>
      <x:c r="T1337" s="19" t="n">
        <x:f>K1337+IF(AND(S1337=1,J1337=0),1,0)</x:f>
        <x:v>2</x:v>
      </x:c>
      <x:c r="U1337" s="19" t="n">
        <x:f>L1337+IF(AND(S1337=1,J1337=1),1,0)</x:f>
        <x:v>3</x:v>
      </x:c>
      <x:c r="V1337" s="19" t="n">
        <x:f>M1337+IF(AND(S1337=1,J1337=2),1,0)</x:f>
        <x:v>0</x:v>
      </x:c>
      <x:c r="W1337" s="19" t="n">
        <x:f>SUM(T1337:V1337)</x:f>
        <x:v>5</x:v>
      </x:c>
      <x:c r="X1337" s="19" t="n">
        <x:f>W1337-G1337</x:f>
        <x:v>0</x:v>
      </x:c>
      <x:c r="Y1337" s="19" t="n">
        <x:f>MAX(T1337,1)+MAX(U1337,1)+MAX(V1337,1)</x:f>
        <x:v>6</x:v>
      </x:c>
      <x:c r="Z1337" s="21" t="str">
        <x:f>IF(AND(MIN(D1337:F1337)&gt;=0,MAX(D1337:F1337)&lt;=7,MAX(D1337,1)+MAX(E1337,1)+MAX(F1337,1)&lt;=9,OR(H1337="-",AND(H1337=0,D1337&gt;0),AND(H1337=1,E1337&gt;0),AND(H1337=2,F1337&gt;0)),OR(I1337=0,AND(I1337=1,OR(J1337=0,J1337=1,J1337=2),R1337&lt;&gt;"000")),Y1337&lt;=9,MIN(T1337:V1337)&gt;=0),"合法","输入违约")</x:f>
        <x:v>合法</x:v>
      </x:c>
    </x:row>
    <x:row r="1338" ht="23" customHeight="1">
      <x:c r="A1338" s="3" t="str">
        <x:v>CT-1331</x:v>
      </x:c>
      <x:c r="B1338" s="3" t="str">
        <x:v>ST-050</x:v>
      </x:c>
      <x:c r="C1338" s="3" t="str">
        <x:v>仅AR接收</x:v>
      </x:c>
      <x:c r="D1338" s="25" t="n">
        <x:v>2</x:v>
      </x:c>
      <x:c r="E1338" s="25" t="n">
        <x:v>3</x:v>
      </x:c>
      <x:c r="F1338" s="25" t="n">
        <x:v>0</x:v>
      </x:c>
      <x:c r="G1338" s="19" t="n">
        <x:f>SUM(D1338:F1338)</x:f>
        <x:v>5</x:v>
      </x:c>
      <x:c r="H1338" s="25" t="str">
        <x:v>-</x:v>
      </x:c>
      <x:c r="I1338" s="25" t="n">
        <x:v>1</x:v>
      </x:c>
      <x:c r="J1338" s="25" t="n">
        <x:v>0</x:v>
      </x:c>
      <x:c r="K1338" s="19" t="n">
        <x:f>D1338-IF(H1338=0,1,0)</x:f>
        <x:v>2</x:v>
      </x:c>
      <x:c r="L1338" s="19" t="n">
        <x:f>E1338-IF(H1338=1,1,0)</x:f>
        <x:v>3</x:v>
      </x:c>
      <x:c r="M1338" s="19" t="n">
        <x:f>F1338-IF(H1338=2,1,0)</x:f>
        <x:v>0</x:v>
      </x:c>
      <x:c r="N1338" s="19" t="n">
        <x:f>MAX(K1338-1,0)+MAX(L1338-1,0)+MAX(M1338-1,0)</x:f>
        <x:v>3</x:v>
      </x:c>
      <x:c r="O1338" s="19" t="n">
        <x:f>IF(AND(SUM(K1338:M1338)&lt;9,OR(M1338=0,N1338&lt;6)),1,0)</x:f>
        <x:v>1</x:v>
      </x:c>
      <x:c r="P1338" s="19" t="n">
        <x:f>IF(AND(SUM(K1338:M1338)&lt;9,OR(L1338=0,N1338&lt;6)),1,0)</x:f>
        <x:v>1</x:v>
      </x:c>
      <x:c r="Q1338" s="19" t="n">
        <x:f>IF(AND(SUM(K1338:M1338)&lt;9,OR(K1338=0,N1338&lt;6)),1,0)</x:f>
        <x:v>1</x:v>
      </x:c>
      <x:c r="R1338" s="22" t="str">
        <x:f>O1338&amp;P1338&amp;Q1338</x:f>
        <x:v>111</x:v>
      </x:c>
      <x:c r="S1338" s="19" t="n">
        <x:f>IF(I1338=1,IF(J1338=0,Q1338,IF(J1338=1,P1338,IF(J1338=2,O1338,0))),0)</x:f>
        <x:v>1</x:v>
      </x:c>
      <x:c r="T1338" s="19" t="n">
        <x:f>K1338+IF(AND(S1338=1,J1338=0),1,0)</x:f>
        <x:v>3</x:v>
      </x:c>
      <x:c r="U1338" s="19" t="n">
        <x:f>L1338+IF(AND(S1338=1,J1338=1),1,0)</x:f>
        <x:v>3</x:v>
      </x:c>
      <x:c r="V1338" s="19" t="n">
        <x:f>M1338+IF(AND(S1338=1,J1338=2),1,0)</x:f>
        <x:v>0</x:v>
      </x:c>
      <x:c r="W1338" s="19" t="n">
        <x:f>SUM(T1338:V1338)</x:f>
        <x:v>6</x:v>
      </x:c>
      <x:c r="X1338" s="19" t="n">
        <x:f>W1338-G1338</x:f>
        <x:v>1</x:v>
      </x:c>
      <x:c r="Y1338" s="19" t="n">
        <x:f>MAX(T1338,1)+MAX(U1338,1)+MAX(V1338,1)</x:f>
        <x:v>7</x:v>
      </x:c>
      <x:c r="Z1338" s="21" t="str">
        <x:f>IF(AND(MIN(D1338:F1338)&gt;=0,MAX(D1338:F1338)&lt;=7,MAX(D1338,1)+MAX(E1338,1)+MAX(F1338,1)&lt;=9,OR(H1338="-",AND(H1338=0,D1338&gt;0),AND(H1338=1,E1338&gt;0),AND(H1338=2,F1338&gt;0)),OR(I1338=0,AND(I1338=1,OR(J1338=0,J1338=1,J1338=2),R1338&lt;&gt;"000")),Y1338&lt;=9,MIN(T1338:V1338)&gt;=0),"合法","输入违约")</x:f>
        <x:v>合法</x:v>
      </x:c>
    </x:row>
    <x:row r="1339" ht="23" customHeight="1">
      <x:c r="A1339" s="3" t="str">
        <x:v>CT-1332</x:v>
      </x:c>
      <x:c r="B1339" s="3" t="str">
        <x:v>ST-050</x:v>
      </x:c>
      <x:c r="C1339" s="3" t="str">
        <x:v>仅AR接收</x:v>
      </x:c>
      <x:c r="D1339" s="25" t="n">
        <x:v>2</x:v>
      </x:c>
      <x:c r="E1339" s="25" t="n">
        <x:v>3</x:v>
      </x:c>
      <x:c r="F1339" s="25" t="n">
        <x:v>0</x:v>
      </x:c>
      <x:c r="G1339" s="19" t="n">
        <x:f>SUM(D1339:F1339)</x:f>
        <x:v>5</x:v>
      </x:c>
      <x:c r="H1339" s="25" t="str">
        <x:v>-</x:v>
      </x:c>
      <x:c r="I1339" s="25" t="n">
        <x:v>1</x:v>
      </x:c>
      <x:c r="J1339" s="25" t="n">
        <x:v>1</x:v>
      </x:c>
      <x:c r="K1339" s="19" t="n">
        <x:f>D1339-IF(H1339=0,1,0)</x:f>
        <x:v>2</x:v>
      </x:c>
      <x:c r="L1339" s="19" t="n">
        <x:f>E1339-IF(H1339=1,1,0)</x:f>
        <x:v>3</x:v>
      </x:c>
      <x:c r="M1339" s="19" t="n">
        <x:f>F1339-IF(H1339=2,1,0)</x:f>
        <x:v>0</x:v>
      </x:c>
      <x:c r="N1339" s="19" t="n">
        <x:f>MAX(K1339-1,0)+MAX(L1339-1,0)+MAX(M1339-1,0)</x:f>
        <x:v>3</x:v>
      </x:c>
      <x:c r="O1339" s="19" t="n">
        <x:f>IF(AND(SUM(K1339:M1339)&lt;9,OR(M1339=0,N1339&lt;6)),1,0)</x:f>
        <x:v>1</x:v>
      </x:c>
      <x:c r="P1339" s="19" t="n">
        <x:f>IF(AND(SUM(K1339:M1339)&lt;9,OR(L1339=0,N1339&lt;6)),1,0)</x:f>
        <x:v>1</x:v>
      </x:c>
      <x:c r="Q1339" s="19" t="n">
        <x:f>IF(AND(SUM(K1339:M1339)&lt;9,OR(K1339=0,N1339&lt;6)),1,0)</x:f>
        <x:v>1</x:v>
      </x:c>
      <x:c r="R1339" s="22" t="str">
        <x:f>O1339&amp;P1339&amp;Q1339</x:f>
        <x:v>111</x:v>
      </x:c>
      <x:c r="S1339" s="19" t="n">
        <x:f>IF(I1339=1,IF(J1339=0,Q1339,IF(J1339=1,P1339,IF(J1339=2,O1339,0))),0)</x:f>
        <x:v>1</x:v>
      </x:c>
      <x:c r="T1339" s="19" t="n">
        <x:f>K1339+IF(AND(S1339=1,J1339=0),1,0)</x:f>
        <x:v>2</x:v>
      </x:c>
      <x:c r="U1339" s="19" t="n">
        <x:f>L1339+IF(AND(S1339=1,J1339=1),1,0)</x:f>
        <x:v>4</x:v>
      </x:c>
      <x:c r="V1339" s="19" t="n">
        <x:f>M1339+IF(AND(S1339=1,J1339=2),1,0)</x:f>
        <x:v>0</x:v>
      </x:c>
      <x:c r="W1339" s="19" t="n">
        <x:f>SUM(T1339:V1339)</x:f>
        <x:v>6</x:v>
      </x:c>
      <x:c r="X1339" s="19" t="n">
        <x:f>W1339-G1339</x:f>
        <x:v>1</x:v>
      </x:c>
      <x:c r="Y1339" s="19" t="n">
        <x:f>MAX(T1339,1)+MAX(U1339,1)+MAX(V1339,1)</x:f>
        <x:v>7</x:v>
      </x:c>
      <x:c r="Z1339" s="21" t="str">
        <x:f>IF(AND(MIN(D1339:F1339)&gt;=0,MAX(D1339:F1339)&lt;=7,MAX(D1339,1)+MAX(E1339,1)+MAX(F1339,1)&lt;=9,OR(H1339="-",AND(H1339=0,D1339&gt;0),AND(H1339=1,E1339&gt;0),AND(H1339=2,F1339&gt;0)),OR(I1339=0,AND(I1339=1,OR(J1339=0,J1339=1,J1339=2),R1339&lt;&gt;"000")),Y1339&lt;=9,MIN(T1339:V1339)&gt;=0),"合法","输入违约")</x:f>
        <x:v>合法</x:v>
      </x:c>
    </x:row>
    <x:row r="1340" ht="23" customHeight="1">
      <x:c r="A1340" s="3" t="str">
        <x:v>CT-1333</x:v>
      </x:c>
      <x:c r="B1340" s="3" t="str">
        <x:v>ST-050</x:v>
      </x:c>
      <x:c r="C1340" s="3" t="str">
        <x:v>仅AR接收</x:v>
      </x:c>
      <x:c r="D1340" s="25" t="n">
        <x:v>2</x:v>
      </x:c>
      <x:c r="E1340" s="25" t="n">
        <x:v>3</x:v>
      </x:c>
      <x:c r="F1340" s="25" t="n">
        <x:v>0</x:v>
      </x:c>
      <x:c r="G1340" s="19" t="n">
        <x:f>SUM(D1340:F1340)</x:f>
        <x:v>5</x:v>
      </x:c>
      <x:c r="H1340" s="25" t="str">
        <x:v>-</x:v>
      </x:c>
      <x:c r="I1340" s="25" t="n">
        <x:v>1</x:v>
      </x:c>
      <x:c r="J1340" s="25" t="n">
        <x:v>2</x:v>
      </x:c>
      <x:c r="K1340" s="19" t="n">
        <x:f>D1340-IF(H1340=0,1,0)</x:f>
        <x:v>2</x:v>
      </x:c>
      <x:c r="L1340" s="19" t="n">
        <x:f>E1340-IF(H1340=1,1,0)</x:f>
        <x:v>3</x:v>
      </x:c>
      <x:c r="M1340" s="19" t="n">
        <x:f>F1340-IF(H1340=2,1,0)</x:f>
        <x:v>0</x:v>
      </x:c>
      <x:c r="N1340" s="19" t="n">
        <x:f>MAX(K1340-1,0)+MAX(L1340-1,0)+MAX(M1340-1,0)</x:f>
        <x:v>3</x:v>
      </x:c>
      <x:c r="O1340" s="19" t="n">
        <x:f>IF(AND(SUM(K1340:M1340)&lt;9,OR(M1340=0,N1340&lt;6)),1,0)</x:f>
        <x:v>1</x:v>
      </x:c>
      <x:c r="P1340" s="19" t="n">
        <x:f>IF(AND(SUM(K1340:M1340)&lt;9,OR(L1340=0,N1340&lt;6)),1,0)</x:f>
        <x:v>1</x:v>
      </x:c>
      <x:c r="Q1340" s="19" t="n">
        <x:f>IF(AND(SUM(K1340:M1340)&lt;9,OR(K1340=0,N1340&lt;6)),1,0)</x:f>
        <x:v>1</x:v>
      </x:c>
      <x:c r="R1340" s="22" t="str">
        <x:f>O1340&amp;P1340&amp;Q1340</x:f>
        <x:v>111</x:v>
      </x:c>
      <x:c r="S1340" s="19" t="n">
        <x:f>IF(I1340=1,IF(J1340=0,Q1340,IF(J1340=1,P1340,IF(J1340=2,O1340,0))),0)</x:f>
        <x:v>1</x:v>
      </x:c>
      <x:c r="T1340" s="19" t="n">
        <x:f>K1340+IF(AND(S1340=1,J1340=0),1,0)</x:f>
        <x:v>2</x:v>
      </x:c>
      <x:c r="U1340" s="19" t="n">
        <x:f>L1340+IF(AND(S1340=1,J1340=1),1,0)</x:f>
        <x:v>3</x:v>
      </x:c>
      <x:c r="V1340" s="19" t="n">
        <x:f>M1340+IF(AND(S1340=1,J1340=2),1,0)</x:f>
        <x:v>1</x:v>
      </x:c>
      <x:c r="W1340" s="19" t="n">
        <x:f>SUM(T1340:V1340)</x:f>
        <x:v>6</x:v>
      </x:c>
      <x:c r="X1340" s="19" t="n">
        <x:f>W1340-G1340</x:f>
        <x:v>1</x:v>
      </x:c>
      <x:c r="Y1340" s="19" t="n">
        <x:f>MAX(T1340,1)+MAX(U1340,1)+MAX(V1340,1)</x:f>
        <x:v>6</x:v>
      </x:c>
      <x:c r="Z1340" s="21" t="str">
        <x:f>IF(AND(MIN(D1340:F1340)&gt;=0,MAX(D1340:F1340)&lt;=7,MAX(D1340,1)+MAX(E1340,1)+MAX(F1340,1)&lt;=9,OR(H1340="-",AND(H1340=0,D1340&gt;0),AND(H1340=1,E1340&gt;0),AND(H1340=2,F1340&gt;0)),OR(I1340=0,AND(I1340=1,OR(J1340=0,J1340=1,J1340=2),R1340&lt;&gt;"000")),Y1340&lt;=9,MIN(T1340:V1340)&gt;=0),"合法","输入违约")</x:f>
        <x:v>合法</x:v>
      </x:c>
    </x:row>
    <x:row r="1341" ht="23" customHeight="1">
      <x:c r="A1341" s="3" t="str">
        <x:v>CT-1334</x:v>
      </x:c>
      <x:c r="B1341" s="3" t="str">
        <x:v>ST-050</x:v>
      </x:c>
      <x:c r="C1341" s="3" t="str">
        <x:v>仅R回收</x:v>
      </x:c>
      <x:c r="D1341" s="25" t="n">
        <x:v>2</x:v>
      </x:c>
      <x:c r="E1341" s="25" t="n">
        <x:v>3</x:v>
      </x:c>
      <x:c r="F1341" s="25" t="n">
        <x:v>0</x:v>
      </x:c>
      <x:c r="G1341" s="19" t="n">
        <x:f>SUM(D1341:F1341)</x:f>
        <x:v>5</x:v>
      </x:c>
      <x:c r="H1341" s="25" t="n">
        <x:v>0</x:v>
      </x:c>
      <x:c r="I1341" s="25" t="n">
        <x:v>0</x:v>
      </x:c>
      <x:c r="J1341" s="25" t="str">
        <x:v>-</x:v>
      </x:c>
      <x:c r="K1341" s="19" t="n">
        <x:f>D1341-IF(H1341=0,1,0)</x:f>
        <x:v>1</x:v>
      </x:c>
      <x:c r="L1341" s="19" t="n">
        <x:f>E1341-IF(H1341=1,1,0)</x:f>
        <x:v>3</x:v>
      </x:c>
      <x:c r="M1341" s="19" t="n">
        <x:f>F1341-IF(H1341=2,1,0)</x:f>
        <x:v>0</x:v>
      </x:c>
      <x:c r="N1341" s="19" t="n">
        <x:f>MAX(K1341-1,0)+MAX(L1341-1,0)+MAX(M1341-1,0)</x:f>
        <x:v>2</x:v>
      </x:c>
      <x:c r="O1341" s="19" t="n">
        <x:f>IF(AND(SUM(K1341:M1341)&lt;9,OR(M1341=0,N1341&lt;6)),1,0)</x:f>
        <x:v>1</x:v>
      </x:c>
      <x:c r="P1341" s="19" t="n">
        <x:f>IF(AND(SUM(K1341:M1341)&lt;9,OR(L1341=0,N1341&lt;6)),1,0)</x:f>
        <x:v>1</x:v>
      </x:c>
      <x:c r="Q1341" s="19" t="n">
        <x:f>IF(AND(SUM(K1341:M1341)&lt;9,OR(K1341=0,N1341&lt;6)),1,0)</x:f>
        <x:v>1</x:v>
      </x:c>
      <x:c r="R1341" s="22" t="str">
        <x:f>O1341&amp;P1341&amp;Q1341</x:f>
        <x:v>111</x:v>
      </x:c>
      <x:c r="S1341" s="19" t="n">
        <x:f>IF(I1341=1,IF(J1341=0,Q1341,IF(J1341=1,P1341,IF(J1341=2,O1341,0))),0)</x:f>
        <x:v>0</x:v>
      </x:c>
      <x:c r="T1341" s="19" t="n">
        <x:f>K1341+IF(AND(S1341=1,J1341=0),1,0)</x:f>
        <x:v>1</x:v>
      </x:c>
      <x:c r="U1341" s="19" t="n">
        <x:f>L1341+IF(AND(S1341=1,J1341=1),1,0)</x:f>
        <x:v>3</x:v>
      </x:c>
      <x:c r="V1341" s="19" t="n">
        <x:f>M1341+IF(AND(S1341=1,J1341=2),1,0)</x:f>
        <x:v>0</x:v>
      </x:c>
      <x:c r="W1341" s="19" t="n">
        <x:f>SUM(T1341:V1341)</x:f>
        <x:v>4</x:v>
      </x:c>
      <x:c r="X1341" s="19" t="n">
        <x:f>W1341-G1341</x:f>
        <x:v>-1</x:v>
      </x:c>
      <x:c r="Y1341" s="19" t="n">
        <x:f>MAX(T1341,1)+MAX(U1341,1)+MAX(V1341,1)</x:f>
        <x:v>5</x:v>
      </x:c>
      <x:c r="Z1341" s="21" t="str">
        <x:f>IF(AND(MIN(D1341:F1341)&gt;=0,MAX(D1341:F1341)&lt;=7,MAX(D1341,1)+MAX(E1341,1)+MAX(F1341,1)&lt;=9,OR(H1341="-",AND(H1341=0,D1341&gt;0),AND(H1341=1,E1341&gt;0),AND(H1341=2,F1341&gt;0)),OR(I1341=0,AND(I1341=1,OR(J1341=0,J1341=1,J1341=2),R1341&lt;&gt;"000")),Y1341&lt;=9,MIN(T1341:V1341)&gt;=0),"合法","输入违约")</x:f>
        <x:v>合法</x:v>
      </x:c>
    </x:row>
    <x:row r="1342" ht="23" customHeight="1">
      <x:c r="A1342" s="3" t="str">
        <x:v>CT-1335</x:v>
      </x:c>
      <x:c r="B1342" s="3" t="str">
        <x:v>ST-050</x:v>
      </x:c>
      <x:c r="C1342" s="3" t="str">
        <x:v>R+AR同收同发</x:v>
      </x:c>
      <x:c r="D1342" s="25" t="n">
        <x:v>2</x:v>
      </x:c>
      <x:c r="E1342" s="25" t="n">
        <x:v>3</x:v>
      </x:c>
      <x:c r="F1342" s="25" t="n">
        <x:v>0</x:v>
      </x:c>
      <x:c r="G1342" s="19" t="n">
        <x:f>SUM(D1342:F1342)</x:f>
        <x:v>5</x:v>
      </x:c>
      <x:c r="H1342" s="25" t="n">
        <x:v>0</x:v>
      </x:c>
      <x:c r="I1342" s="25" t="n">
        <x:v>1</x:v>
      </x:c>
      <x:c r="J1342" s="25" t="n">
        <x:v>0</x:v>
      </x:c>
      <x:c r="K1342" s="19" t="n">
        <x:f>D1342-IF(H1342=0,1,0)</x:f>
        <x:v>1</x:v>
      </x:c>
      <x:c r="L1342" s="19" t="n">
        <x:f>E1342-IF(H1342=1,1,0)</x:f>
        <x:v>3</x:v>
      </x:c>
      <x:c r="M1342" s="19" t="n">
        <x:f>F1342-IF(H1342=2,1,0)</x:f>
        <x:v>0</x:v>
      </x:c>
      <x:c r="N1342" s="19" t="n">
        <x:f>MAX(K1342-1,0)+MAX(L1342-1,0)+MAX(M1342-1,0)</x:f>
        <x:v>2</x:v>
      </x:c>
      <x:c r="O1342" s="19" t="n">
        <x:f>IF(AND(SUM(K1342:M1342)&lt;9,OR(M1342=0,N1342&lt;6)),1,0)</x:f>
        <x:v>1</x:v>
      </x:c>
      <x:c r="P1342" s="19" t="n">
        <x:f>IF(AND(SUM(K1342:M1342)&lt;9,OR(L1342=0,N1342&lt;6)),1,0)</x:f>
        <x:v>1</x:v>
      </x:c>
      <x:c r="Q1342" s="19" t="n">
        <x:f>IF(AND(SUM(K1342:M1342)&lt;9,OR(K1342=0,N1342&lt;6)),1,0)</x:f>
        <x:v>1</x:v>
      </x:c>
      <x:c r="R1342" s="22" t="str">
        <x:f>O1342&amp;P1342&amp;Q1342</x:f>
        <x:v>111</x:v>
      </x:c>
      <x:c r="S1342" s="19" t="n">
        <x:f>IF(I1342=1,IF(J1342=0,Q1342,IF(J1342=1,P1342,IF(J1342=2,O1342,0))),0)</x:f>
        <x:v>1</x:v>
      </x:c>
      <x:c r="T1342" s="19" t="n">
        <x:f>K1342+IF(AND(S1342=1,J1342=0),1,0)</x:f>
        <x:v>2</x:v>
      </x:c>
      <x:c r="U1342" s="19" t="n">
        <x:f>L1342+IF(AND(S1342=1,J1342=1),1,0)</x:f>
        <x:v>3</x:v>
      </x:c>
      <x:c r="V1342" s="19" t="n">
        <x:f>M1342+IF(AND(S1342=1,J1342=2),1,0)</x:f>
        <x:v>0</x:v>
      </x:c>
      <x:c r="W1342" s="19" t="n">
        <x:f>SUM(T1342:V1342)</x:f>
        <x:v>5</x:v>
      </x:c>
      <x:c r="X1342" s="19" t="n">
        <x:f>W1342-G1342</x:f>
        <x:v>0</x:v>
      </x:c>
      <x:c r="Y1342" s="19" t="n">
        <x:f>MAX(T1342,1)+MAX(U1342,1)+MAX(V1342,1)</x:f>
        <x:v>6</x:v>
      </x:c>
      <x:c r="Z1342" s="21" t="str">
        <x:f>IF(AND(MIN(D1342:F1342)&gt;=0,MAX(D1342:F1342)&lt;=7,MAX(D1342,1)+MAX(E1342,1)+MAX(F1342,1)&lt;=9,OR(H1342="-",AND(H1342=0,D1342&gt;0),AND(H1342=1,E1342&gt;0),AND(H1342=2,F1342&gt;0)),OR(I1342=0,AND(I1342=1,OR(J1342=0,J1342=1,J1342=2),R1342&lt;&gt;"000")),Y1342&lt;=9,MIN(T1342:V1342)&gt;=0),"合法","输入违约")</x:f>
        <x:v>合法</x:v>
      </x:c>
    </x:row>
    <x:row r="1343" ht="23" customHeight="1">
      <x:c r="A1343" s="3" t="str">
        <x:v>CT-1336</x:v>
      </x:c>
      <x:c r="B1343" s="3" t="str">
        <x:v>ST-050</x:v>
      </x:c>
      <x:c r="C1343" s="3" t="str">
        <x:v>R+AR同收同发</x:v>
      </x:c>
      <x:c r="D1343" s="25" t="n">
        <x:v>2</x:v>
      </x:c>
      <x:c r="E1343" s="25" t="n">
        <x:v>3</x:v>
      </x:c>
      <x:c r="F1343" s="25" t="n">
        <x:v>0</x:v>
      </x:c>
      <x:c r="G1343" s="19" t="n">
        <x:f>SUM(D1343:F1343)</x:f>
        <x:v>5</x:v>
      </x:c>
      <x:c r="H1343" s="25" t="n">
        <x:v>0</x:v>
      </x:c>
      <x:c r="I1343" s="25" t="n">
        <x:v>1</x:v>
      </x:c>
      <x:c r="J1343" s="25" t="n">
        <x:v>1</x:v>
      </x:c>
      <x:c r="K1343" s="19" t="n">
        <x:f>D1343-IF(H1343=0,1,0)</x:f>
        <x:v>1</x:v>
      </x:c>
      <x:c r="L1343" s="19" t="n">
        <x:f>E1343-IF(H1343=1,1,0)</x:f>
        <x:v>3</x:v>
      </x:c>
      <x:c r="M1343" s="19" t="n">
        <x:f>F1343-IF(H1343=2,1,0)</x:f>
        <x:v>0</x:v>
      </x:c>
      <x:c r="N1343" s="19" t="n">
        <x:f>MAX(K1343-1,0)+MAX(L1343-1,0)+MAX(M1343-1,0)</x:f>
        <x:v>2</x:v>
      </x:c>
      <x:c r="O1343" s="19" t="n">
        <x:f>IF(AND(SUM(K1343:M1343)&lt;9,OR(M1343=0,N1343&lt;6)),1,0)</x:f>
        <x:v>1</x:v>
      </x:c>
      <x:c r="P1343" s="19" t="n">
        <x:f>IF(AND(SUM(K1343:M1343)&lt;9,OR(L1343=0,N1343&lt;6)),1,0)</x:f>
        <x:v>1</x:v>
      </x:c>
      <x:c r="Q1343" s="19" t="n">
        <x:f>IF(AND(SUM(K1343:M1343)&lt;9,OR(K1343=0,N1343&lt;6)),1,0)</x:f>
        <x:v>1</x:v>
      </x:c>
      <x:c r="R1343" s="22" t="str">
        <x:f>O1343&amp;P1343&amp;Q1343</x:f>
        <x:v>111</x:v>
      </x:c>
      <x:c r="S1343" s="19" t="n">
        <x:f>IF(I1343=1,IF(J1343=0,Q1343,IF(J1343=1,P1343,IF(J1343=2,O1343,0))),0)</x:f>
        <x:v>1</x:v>
      </x:c>
      <x:c r="T1343" s="19" t="n">
        <x:f>K1343+IF(AND(S1343=1,J1343=0),1,0)</x:f>
        <x:v>1</x:v>
      </x:c>
      <x:c r="U1343" s="19" t="n">
        <x:f>L1343+IF(AND(S1343=1,J1343=1),1,0)</x:f>
        <x:v>4</x:v>
      </x:c>
      <x:c r="V1343" s="19" t="n">
        <x:f>M1343+IF(AND(S1343=1,J1343=2),1,0)</x:f>
        <x:v>0</x:v>
      </x:c>
      <x:c r="W1343" s="19" t="n">
        <x:f>SUM(T1343:V1343)</x:f>
        <x:v>5</x:v>
      </x:c>
      <x:c r="X1343" s="19" t="n">
        <x:f>W1343-G1343</x:f>
        <x:v>0</x:v>
      </x:c>
      <x:c r="Y1343" s="19" t="n">
        <x:f>MAX(T1343,1)+MAX(U1343,1)+MAX(V1343,1)</x:f>
        <x:v>6</x:v>
      </x:c>
      <x:c r="Z1343" s="21" t="str">
        <x:f>IF(AND(MIN(D1343:F1343)&gt;=0,MAX(D1343:F1343)&lt;=7,MAX(D1343,1)+MAX(E1343,1)+MAX(F1343,1)&lt;=9,OR(H1343="-",AND(H1343=0,D1343&gt;0),AND(H1343=1,E1343&gt;0),AND(H1343=2,F1343&gt;0)),OR(I1343=0,AND(I1343=1,OR(J1343=0,J1343=1,J1343=2),R1343&lt;&gt;"000")),Y1343&lt;=9,MIN(T1343:V1343)&gt;=0),"合法","输入违约")</x:f>
        <x:v>合法</x:v>
      </x:c>
    </x:row>
    <x:row r="1344" ht="23" customHeight="1">
      <x:c r="A1344" s="3" t="str">
        <x:v>CT-1337</x:v>
      </x:c>
      <x:c r="B1344" s="3" t="str">
        <x:v>ST-050</x:v>
      </x:c>
      <x:c r="C1344" s="3" t="str">
        <x:v>R+AR同收同发</x:v>
      </x:c>
      <x:c r="D1344" s="25" t="n">
        <x:v>2</x:v>
      </x:c>
      <x:c r="E1344" s="25" t="n">
        <x:v>3</x:v>
      </x:c>
      <x:c r="F1344" s="25" t="n">
        <x:v>0</x:v>
      </x:c>
      <x:c r="G1344" s="19" t="n">
        <x:f>SUM(D1344:F1344)</x:f>
        <x:v>5</x:v>
      </x:c>
      <x:c r="H1344" s="25" t="n">
        <x:v>0</x:v>
      </x:c>
      <x:c r="I1344" s="25" t="n">
        <x:v>1</x:v>
      </x:c>
      <x:c r="J1344" s="25" t="n">
        <x:v>2</x:v>
      </x:c>
      <x:c r="K1344" s="19" t="n">
        <x:f>D1344-IF(H1344=0,1,0)</x:f>
        <x:v>1</x:v>
      </x:c>
      <x:c r="L1344" s="19" t="n">
        <x:f>E1344-IF(H1344=1,1,0)</x:f>
        <x:v>3</x:v>
      </x:c>
      <x:c r="M1344" s="19" t="n">
        <x:f>F1344-IF(H1344=2,1,0)</x:f>
        <x:v>0</x:v>
      </x:c>
      <x:c r="N1344" s="19" t="n">
        <x:f>MAX(K1344-1,0)+MAX(L1344-1,0)+MAX(M1344-1,0)</x:f>
        <x:v>2</x:v>
      </x:c>
      <x:c r="O1344" s="19" t="n">
        <x:f>IF(AND(SUM(K1344:M1344)&lt;9,OR(M1344=0,N1344&lt;6)),1,0)</x:f>
        <x:v>1</x:v>
      </x:c>
      <x:c r="P1344" s="19" t="n">
        <x:f>IF(AND(SUM(K1344:M1344)&lt;9,OR(L1344=0,N1344&lt;6)),1,0)</x:f>
        <x:v>1</x:v>
      </x:c>
      <x:c r="Q1344" s="19" t="n">
        <x:f>IF(AND(SUM(K1344:M1344)&lt;9,OR(K1344=0,N1344&lt;6)),1,0)</x:f>
        <x:v>1</x:v>
      </x:c>
      <x:c r="R1344" s="22" t="str">
        <x:f>O1344&amp;P1344&amp;Q1344</x:f>
        <x:v>111</x:v>
      </x:c>
      <x:c r="S1344" s="19" t="n">
        <x:f>IF(I1344=1,IF(J1344=0,Q1344,IF(J1344=1,P1344,IF(J1344=2,O1344,0))),0)</x:f>
        <x:v>1</x:v>
      </x:c>
      <x:c r="T1344" s="19" t="n">
        <x:f>K1344+IF(AND(S1344=1,J1344=0),1,0)</x:f>
        <x:v>1</x:v>
      </x:c>
      <x:c r="U1344" s="19" t="n">
        <x:f>L1344+IF(AND(S1344=1,J1344=1),1,0)</x:f>
        <x:v>3</x:v>
      </x:c>
      <x:c r="V1344" s="19" t="n">
        <x:f>M1344+IF(AND(S1344=1,J1344=2),1,0)</x:f>
        <x:v>1</x:v>
      </x:c>
      <x:c r="W1344" s="19" t="n">
        <x:f>SUM(T1344:V1344)</x:f>
        <x:v>5</x:v>
      </x:c>
      <x:c r="X1344" s="19" t="n">
        <x:f>W1344-G1344</x:f>
        <x:v>0</x:v>
      </x:c>
      <x:c r="Y1344" s="19" t="n">
        <x:f>MAX(T1344,1)+MAX(U1344,1)+MAX(V1344,1)</x:f>
        <x:v>5</x:v>
      </x:c>
      <x:c r="Z1344" s="21" t="str">
        <x:f>IF(AND(MIN(D1344:F1344)&gt;=0,MAX(D1344:F1344)&lt;=7,MAX(D1344,1)+MAX(E1344,1)+MAX(F1344,1)&lt;=9,OR(H1344="-",AND(H1344=0,D1344&gt;0),AND(H1344=1,E1344&gt;0),AND(H1344=2,F1344&gt;0)),OR(I1344=0,AND(I1344=1,OR(J1344=0,J1344=1,J1344=2),R1344&lt;&gt;"000")),Y1344&lt;=9,MIN(T1344:V1344)&gt;=0),"合法","输入违约")</x:f>
        <x:v>合法</x:v>
      </x:c>
    </x:row>
    <x:row r="1345" ht="23" customHeight="1">
      <x:c r="A1345" s="3" t="str">
        <x:v>CT-1338</x:v>
      </x:c>
      <x:c r="B1345" s="3" t="str">
        <x:v>ST-050</x:v>
      </x:c>
      <x:c r="C1345" s="3" t="str">
        <x:v>仅R回收</x:v>
      </x:c>
      <x:c r="D1345" s="25" t="n">
        <x:v>2</x:v>
      </x:c>
      <x:c r="E1345" s="25" t="n">
        <x:v>3</x:v>
      </x:c>
      <x:c r="F1345" s="25" t="n">
        <x:v>0</x:v>
      </x:c>
      <x:c r="G1345" s="19" t="n">
        <x:f>SUM(D1345:F1345)</x:f>
        <x:v>5</x:v>
      </x:c>
      <x:c r="H1345" s="25" t="n">
        <x:v>1</x:v>
      </x:c>
      <x:c r="I1345" s="25" t="n">
        <x:v>0</x:v>
      </x:c>
      <x:c r="J1345" s="25" t="str">
        <x:v>-</x:v>
      </x:c>
      <x:c r="K1345" s="19" t="n">
        <x:f>D1345-IF(H1345=0,1,0)</x:f>
        <x:v>2</x:v>
      </x:c>
      <x:c r="L1345" s="19" t="n">
        <x:f>E1345-IF(H1345=1,1,0)</x:f>
        <x:v>2</x:v>
      </x:c>
      <x:c r="M1345" s="19" t="n">
        <x:f>F1345-IF(H1345=2,1,0)</x:f>
        <x:v>0</x:v>
      </x:c>
      <x:c r="N1345" s="19" t="n">
        <x:f>MAX(K1345-1,0)+MAX(L1345-1,0)+MAX(M1345-1,0)</x:f>
        <x:v>2</x:v>
      </x:c>
      <x:c r="O1345" s="19" t="n">
        <x:f>IF(AND(SUM(K1345:M1345)&lt;9,OR(M1345=0,N1345&lt;6)),1,0)</x:f>
        <x:v>1</x:v>
      </x:c>
      <x:c r="P1345" s="19" t="n">
        <x:f>IF(AND(SUM(K1345:M1345)&lt;9,OR(L1345=0,N1345&lt;6)),1,0)</x:f>
        <x:v>1</x:v>
      </x:c>
      <x:c r="Q1345" s="19" t="n">
        <x:f>IF(AND(SUM(K1345:M1345)&lt;9,OR(K1345=0,N1345&lt;6)),1,0)</x:f>
        <x:v>1</x:v>
      </x:c>
      <x:c r="R1345" s="22" t="str">
        <x:f>O1345&amp;P1345&amp;Q1345</x:f>
        <x:v>111</x:v>
      </x:c>
      <x:c r="S1345" s="19" t="n">
        <x:f>IF(I1345=1,IF(J1345=0,Q1345,IF(J1345=1,P1345,IF(J1345=2,O1345,0))),0)</x:f>
        <x:v>0</x:v>
      </x:c>
      <x:c r="T1345" s="19" t="n">
        <x:f>K1345+IF(AND(S1345=1,J1345=0),1,0)</x:f>
        <x:v>2</x:v>
      </x:c>
      <x:c r="U1345" s="19" t="n">
        <x:f>L1345+IF(AND(S1345=1,J1345=1),1,0)</x:f>
        <x:v>2</x:v>
      </x:c>
      <x:c r="V1345" s="19" t="n">
        <x:f>M1345+IF(AND(S1345=1,J1345=2),1,0)</x:f>
        <x:v>0</x:v>
      </x:c>
      <x:c r="W1345" s="19" t="n">
        <x:f>SUM(T1345:V1345)</x:f>
        <x:v>4</x:v>
      </x:c>
      <x:c r="X1345" s="19" t="n">
        <x:f>W1345-G1345</x:f>
        <x:v>-1</x:v>
      </x:c>
      <x:c r="Y1345" s="19" t="n">
        <x:f>MAX(T1345,1)+MAX(U1345,1)+MAX(V1345,1)</x:f>
        <x:v>5</x:v>
      </x:c>
      <x:c r="Z1345" s="21" t="str">
        <x:f>IF(AND(MIN(D1345:F1345)&gt;=0,MAX(D1345:F1345)&lt;=7,MAX(D1345,1)+MAX(E1345,1)+MAX(F1345,1)&lt;=9,OR(H1345="-",AND(H1345=0,D1345&gt;0),AND(H1345=1,E1345&gt;0),AND(H1345=2,F1345&gt;0)),OR(I1345=0,AND(I1345=1,OR(J1345=0,J1345=1,J1345=2),R1345&lt;&gt;"000")),Y1345&lt;=9,MIN(T1345:V1345)&gt;=0),"合法","输入违约")</x:f>
        <x:v>合法</x:v>
      </x:c>
    </x:row>
    <x:row r="1346" ht="23" customHeight="1">
      <x:c r="A1346" s="3" t="str">
        <x:v>CT-1339</x:v>
      </x:c>
      <x:c r="B1346" s="3" t="str">
        <x:v>ST-050</x:v>
      </x:c>
      <x:c r="C1346" s="3" t="str">
        <x:v>R+AR同收同发</x:v>
      </x:c>
      <x:c r="D1346" s="25" t="n">
        <x:v>2</x:v>
      </x:c>
      <x:c r="E1346" s="25" t="n">
        <x:v>3</x:v>
      </x:c>
      <x:c r="F1346" s="25" t="n">
        <x:v>0</x:v>
      </x:c>
      <x:c r="G1346" s="19" t="n">
        <x:f>SUM(D1346:F1346)</x:f>
        <x:v>5</x:v>
      </x:c>
      <x:c r="H1346" s="25" t="n">
        <x:v>1</x:v>
      </x:c>
      <x:c r="I1346" s="25" t="n">
        <x:v>1</x:v>
      </x:c>
      <x:c r="J1346" s="25" t="n">
        <x:v>0</x:v>
      </x:c>
      <x:c r="K1346" s="19" t="n">
        <x:f>D1346-IF(H1346=0,1,0)</x:f>
        <x:v>2</x:v>
      </x:c>
      <x:c r="L1346" s="19" t="n">
        <x:f>E1346-IF(H1346=1,1,0)</x:f>
        <x:v>2</x:v>
      </x:c>
      <x:c r="M1346" s="19" t="n">
        <x:f>F1346-IF(H1346=2,1,0)</x:f>
        <x:v>0</x:v>
      </x:c>
      <x:c r="N1346" s="19" t="n">
        <x:f>MAX(K1346-1,0)+MAX(L1346-1,0)+MAX(M1346-1,0)</x:f>
        <x:v>2</x:v>
      </x:c>
      <x:c r="O1346" s="19" t="n">
        <x:f>IF(AND(SUM(K1346:M1346)&lt;9,OR(M1346=0,N1346&lt;6)),1,0)</x:f>
        <x:v>1</x:v>
      </x:c>
      <x:c r="P1346" s="19" t="n">
        <x:f>IF(AND(SUM(K1346:M1346)&lt;9,OR(L1346=0,N1346&lt;6)),1,0)</x:f>
        <x:v>1</x:v>
      </x:c>
      <x:c r="Q1346" s="19" t="n">
        <x:f>IF(AND(SUM(K1346:M1346)&lt;9,OR(K1346=0,N1346&lt;6)),1,0)</x:f>
        <x:v>1</x:v>
      </x:c>
      <x:c r="R1346" s="22" t="str">
        <x:f>O1346&amp;P1346&amp;Q1346</x:f>
        <x:v>111</x:v>
      </x:c>
      <x:c r="S1346" s="19" t="n">
        <x:f>IF(I1346=1,IF(J1346=0,Q1346,IF(J1346=1,P1346,IF(J1346=2,O1346,0))),0)</x:f>
        <x:v>1</x:v>
      </x:c>
      <x:c r="T1346" s="19" t="n">
        <x:f>K1346+IF(AND(S1346=1,J1346=0),1,0)</x:f>
        <x:v>3</x:v>
      </x:c>
      <x:c r="U1346" s="19" t="n">
        <x:f>L1346+IF(AND(S1346=1,J1346=1),1,0)</x:f>
        <x:v>2</x:v>
      </x:c>
      <x:c r="V1346" s="19" t="n">
        <x:f>M1346+IF(AND(S1346=1,J1346=2),1,0)</x:f>
        <x:v>0</x:v>
      </x:c>
      <x:c r="W1346" s="19" t="n">
        <x:f>SUM(T1346:V1346)</x:f>
        <x:v>5</x:v>
      </x:c>
      <x:c r="X1346" s="19" t="n">
        <x:f>W1346-G1346</x:f>
        <x:v>0</x:v>
      </x:c>
      <x:c r="Y1346" s="19" t="n">
        <x:f>MAX(T1346,1)+MAX(U1346,1)+MAX(V1346,1)</x:f>
        <x:v>6</x:v>
      </x:c>
      <x:c r="Z1346" s="21" t="str">
        <x:f>IF(AND(MIN(D1346:F1346)&gt;=0,MAX(D1346:F1346)&lt;=7,MAX(D1346,1)+MAX(E1346,1)+MAX(F1346,1)&lt;=9,OR(H1346="-",AND(H1346=0,D1346&gt;0),AND(H1346=1,E1346&gt;0),AND(H1346=2,F1346&gt;0)),OR(I1346=0,AND(I1346=1,OR(J1346=0,J1346=1,J1346=2),R1346&lt;&gt;"000")),Y1346&lt;=9,MIN(T1346:V1346)&gt;=0),"合法","输入违约")</x:f>
        <x:v>合法</x:v>
      </x:c>
    </x:row>
    <x:row r="1347" ht="23" customHeight="1">
      <x:c r="A1347" s="3" t="str">
        <x:v>CT-1340</x:v>
      </x:c>
      <x:c r="B1347" s="3" t="str">
        <x:v>ST-050</x:v>
      </x:c>
      <x:c r="C1347" s="3" t="str">
        <x:v>R+AR同收同发</x:v>
      </x:c>
      <x:c r="D1347" s="25" t="n">
        <x:v>2</x:v>
      </x:c>
      <x:c r="E1347" s="25" t="n">
        <x:v>3</x:v>
      </x:c>
      <x:c r="F1347" s="25" t="n">
        <x:v>0</x:v>
      </x:c>
      <x:c r="G1347" s="19" t="n">
        <x:f>SUM(D1347:F1347)</x:f>
        <x:v>5</x:v>
      </x:c>
      <x:c r="H1347" s="25" t="n">
        <x:v>1</x:v>
      </x:c>
      <x:c r="I1347" s="25" t="n">
        <x:v>1</x:v>
      </x:c>
      <x:c r="J1347" s="25" t="n">
        <x:v>1</x:v>
      </x:c>
      <x:c r="K1347" s="19" t="n">
        <x:f>D1347-IF(H1347=0,1,0)</x:f>
        <x:v>2</x:v>
      </x:c>
      <x:c r="L1347" s="19" t="n">
        <x:f>E1347-IF(H1347=1,1,0)</x:f>
        <x:v>2</x:v>
      </x:c>
      <x:c r="M1347" s="19" t="n">
        <x:f>F1347-IF(H1347=2,1,0)</x:f>
        <x:v>0</x:v>
      </x:c>
      <x:c r="N1347" s="19" t="n">
        <x:f>MAX(K1347-1,0)+MAX(L1347-1,0)+MAX(M1347-1,0)</x:f>
        <x:v>2</x:v>
      </x:c>
      <x:c r="O1347" s="19" t="n">
        <x:f>IF(AND(SUM(K1347:M1347)&lt;9,OR(M1347=0,N1347&lt;6)),1,0)</x:f>
        <x:v>1</x:v>
      </x:c>
      <x:c r="P1347" s="19" t="n">
        <x:f>IF(AND(SUM(K1347:M1347)&lt;9,OR(L1347=0,N1347&lt;6)),1,0)</x:f>
        <x:v>1</x:v>
      </x:c>
      <x:c r="Q1347" s="19" t="n">
        <x:f>IF(AND(SUM(K1347:M1347)&lt;9,OR(K1347=0,N1347&lt;6)),1,0)</x:f>
        <x:v>1</x:v>
      </x:c>
      <x:c r="R1347" s="22" t="str">
        <x:f>O1347&amp;P1347&amp;Q1347</x:f>
        <x:v>111</x:v>
      </x:c>
      <x:c r="S1347" s="19" t="n">
        <x:f>IF(I1347=1,IF(J1347=0,Q1347,IF(J1347=1,P1347,IF(J1347=2,O1347,0))),0)</x:f>
        <x:v>1</x:v>
      </x:c>
      <x:c r="T1347" s="19" t="n">
        <x:f>K1347+IF(AND(S1347=1,J1347=0),1,0)</x:f>
        <x:v>2</x:v>
      </x:c>
      <x:c r="U1347" s="19" t="n">
        <x:f>L1347+IF(AND(S1347=1,J1347=1),1,0)</x:f>
        <x:v>3</x:v>
      </x:c>
      <x:c r="V1347" s="19" t="n">
        <x:f>M1347+IF(AND(S1347=1,J1347=2),1,0)</x:f>
        <x:v>0</x:v>
      </x:c>
      <x:c r="W1347" s="19" t="n">
        <x:f>SUM(T1347:V1347)</x:f>
        <x:v>5</x:v>
      </x:c>
      <x:c r="X1347" s="19" t="n">
        <x:f>W1347-G1347</x:f>
        <x:v>0</x:v>
      </x:c>
      <x:c r="Y1347" s="19" t="n">
        <x:f>MAX(T1347,1)+MAX(U1347,1)+MAX(V1347,1)</x:f>
        <x:v>6</x:v>
      </x:c>
      <x:c r="Z1347" s="21" t="str">
        <x:f>IF(AND(MIN(D1347:F1347)&gt;=0,MAX(D1347:F1347)&lt;=7,MAX(D1347,1)+MAX(E1347,1)+MAX(F1347,1)&lt;=9,OR(H1347="-",AND(H1347=0,D1347&gt;0),AND(H1347=1,E1347&gt;0),AND(H1347=2,F1347&gt;0)),OR(I1347=0,AND(I1347=1,OR(J1347=0,J1347=1,J1347=2),R1347&lt;&gt;"000")),Y1347&lt;=9,MIN(T1347:V1347)&gt;=0),"合法","输入违约")</x:f>
        <x:v>合法</x:v>
      </x:c>
    </x:row>
    <x:row r="1348" ht="23" customHeight="1">
      <x:c r="A1348" s="3" t="str">
        <x:v>CT-1341</x:v>
      </x:c>
      <x:c r="B1348" s="3" t="str">
        <x:v>ST-050</x:v>
      </x:c>
      <x:c r="C1348" s="3" t="str">
        <x:v>R+AR同收同发</x:v>
      </x:c>
      <x:c r="D1348" s="25" t="n">
        <x:v>2</x:v>
      </x:c>
      <x:c r="E1348" s="25" t="n">
        <x:v>3</x:v>
      </x:c>
      <x:c r="F1348" s="25" t="n">
        <x:v>0</x:v>
      </x:c>
      <x:c r="G1348" s="19" t="n">
        <x:f>SUM(D1348:F1348)</x:f>
        <x:v>5</x:v>
      </x:c>
      <x:c r="H1348" s="25" t="n">
        <x:v>1</x:v>
      </x:c>
      <x:c r="I1348" s="25" t="n">
        <x:v>1</x:v>
      </x:c>
      <x:c r="J1348" s="25" t="n">
        <x:v>2</x:v>
      </x:c>
      <x:c r="K1348" s="19" t="n">
        <x:f>D1348-IF(H1348=0,1,0)</x:f>
        <x:v>2</x:v>
      </x:c>
      <x:c r="L1348" s="19" t="n">
        <x:f>E1348-IF(H1348=1,1,0)</x:f>
        <x:v>2</x:v>
      </x:c>
      <x:c r="M1348" s="19" t="n">
        <x:f>F1348-IF(H1348=2,1,0)</x:f>
        <x:v>0</x:v>
      </x:c>
      <x:c r="N1348" s="19" t="n">
        <x:f>MAX(K1348-1,0)+MAX(L1348-1,0)+MAX(M1348-1,0)</x:f>
        <x:v>2</x:v>
      </x:c>
      <x:c r="O1348" s="19" t="n">
        <x:f>IF(AND(SUM(K1348:M1348)&lt;9,OR(M1348=0,N1348&lt;6)),1,0)</x:f>
        <x:v>1</x:v>
      </x:c>
      <x:c r="P1348" s="19" t="n">
        <x:f>IF(AND(SUM(K1348:M1348)&lt;9,OR(L1348=0,N1348&lt;6)),1,0)</x:f>
        <x:v>1</x:v>
      </x:c>
      <x:c r="Q1348" s="19" t="n">
        <x:f>IF(AND(SUM(K1348:M1348)&lt;9,OR(K1348=0,N1348&lt;6)),1,0)</x:f>
        <x:v>1</x:v>
      </x:c>
      <x:c r="R1348" s="22" t="str">
        <x:f>O1348&amp;P1348&amp;Q1348</x:f>
        <x:v>111</x:v>
      </x:c>
      <x:c r="S1348" s="19" t="n">
        <x:f>IF(I1348=1,IF(J1348=0,Q1348,IF(J1348=1,P1348,IF(J1348=2,O1348,0))),0)</x:f>
        <x:v>1</x:v>
      </x:c>
      <x:c r="T1348" s="19" t="n">
        <x:f>K1348+IF(AND(S1348=1,J1348=0),1,0)</x:f>
        <x:v>2</x:v>
      </x:c>
      <x:c r="U1348" s="19" t="n">
        <x:f>L1348+IF(AND(S1348=1,J1348=1),1,0)</x:f>
        <x:v>2</x:v>
      </x:c>
      <x:c r="V1348" s="19" t="n">
        <x:f>M1348+IF(AND(S1348=1,J1348=2),1,0)</x:f>
        <x:v>1</x:v>
      </x:c>
      <x:c r="W1348" s="19" t="n">
        <x:f>SUM(T1348:V1348)</x:f>
        <x:v>5</x:v>
      </x:c>
      <x:c r="X1348" s="19" t="n">
        <x:f>W1348-G1348</x:f>
        <x:v>0</x:v>
      </x:c>
      <x:c r="Y1348" s="19" t="n">
        <x:f>MAX(T1348,1)+MAX(U1348,1)+MAX(V1348,1)</x:f>
        <x:v>5</x:v>
      </x:c>
      <x:c r="Z1348" s="21" t="str">
        <x:f>IF(AND(MIN(D1348:F1348)&gt;=0,MAX(D1348:F1348)&lt;=7,MAX(D1348,1)+MAX(E1348,1)+MAX(F1348,1)&lt;=9,OR(H1348="-",AND(H1348=0,D1348&gt;0),AND(H1348=1,E1348&gt;0),AND(H1348=2,F1348&gt;0)),OR(I1348=0,AND(I1348=1,OR(J1348=0,J1348=1,J1348=2),R1348&lt;&gt;"000")),Y1348&lt;=9,MIN(T1348:V1348)&gt;=0),"合法","输入违约")</x:f>
        <x:v>合法</x:v>
      </x:c>
    </x:row>
    <x:row r="1349" ht="23" customHeight="1">
      <x:c r="A1349" s="3" t="str">
        <x:v>CT-1342</x:v>
      </x:c>
      <x:c r="B1349" s="3" t="str">
        <x:v>ST-073</x:v>
      </x:c>
      <x:c r="C1349" s="3" t="str">
        <x:v>无AR/R</x:v>
      </x:c>
      <x:c r="D1349" s="25" t="n">
        <x:v>2</x:v>
      </x:c>
      <x:c r="E1349" s="25" t="n">
        <x:v>3</x:v>
      </x:c>
      <x:c r="F1349" s="25" t="n">
        <x:v>1</x:v>
      </x:c>
      <x:c r="G1349" s="19" t="n">
        <x:f>SUM(D1349:F1349)</x:f>
        <x:v>6</x:v>
      </x:c>
      <x:c r="H1349" s="25" t="str">
        <x:v>-</x:v>
      </x:c>
      <x:c r="I1349" s="25" t="n">
        <x:v>0</x:v>
      </x:c>
      <x:c r="J1349" s="25" t="str">
        <x:v>-</x:v>
      </x:c>
      <x:c r="K1349" s="19" t="n">
        <x:f>D1349-IF(H1349=0,1,0)</x:f>
        <x:v>2</x:v>
      </x:c>
      <x:c r="L1349" s="19" t="n">
        <x:f>E1349-IF(H1349=1,1,0)</x:f>
        <x:v>3</x:v>
      </x:c>
      <x:c r="M1349" s="19" t="n">
        <x:f>F1349-IF(H1349=2,1,0)</x:f>
        <x:v>1</x:v>
      </x:c>
      <x:c r="N1349" s="19" t="n">
        <x:f>MAX(K1349-1,0)+MAX(L1349-1,0)+MAX(M1349-1,0)</x:f>
        <x:v>3</x:v>
      </x:c>
      <x:c r="O1349" s="19" t="n">
        <x:f>IF(AND(SUM(K1349:M1349)&lt;9,OR(M1349=0,N1349&lt;6)),1,0)</x:f>
        <x:v>1</x:v>
      </x:c>
      <x:c r="P1349" s="19" t="n">
        <x:f>IF(AND(SUM(K1349:M1349)&lt;9,OR(L1349=0,N1349&lt;6)),1,0)</x:f>
        <x:v>1</x:v>
      </x:c>
      <x:c r="Q1349" s="19" t="n">
        <x:f>IF(AND(SUM(K1349:M1349)&lt;9,OR(K1349=0,N1349&lt;6)),1,0)</x:f>
        <x:v>1</x:v>
      </x:c>
      <x:c r="R1349" s="22" t="str">
        <x:f>O1349&amp;P1349&amp;Q1349</x:f>
        <x:v>111</x:v>
      </x:c>
      <x:c r="S1349" s="19" t="n">
        <x:f>IF(I1349=1,IF(J1349=0,Q1349,IF(J1349=1,P1349,IF(J1349=2,O1349,0))),0)</x:f>
        <x:v>0</x:v>
      </x:c>
      <x:c r="T1349" s="19" t="n">
        <x:f>K1349+IF(AND(S1349=1,J1349=0),1,0)</x:f>
        <x:v>2</x:v>
      </x:c>
      <x:c r="U1349" s="19" t="n">
        <x:f>L1349+IF(AND(S1349=1,J1349=1),1,0)</x:f>
        <x:v>3</x:v>
      </x:c>
      <x:c r="V1349" s="19" t="n">
        <x:f>M1349+IF(AND(S1349=1,J1349=2),1,0)</x:f>
        <x:v>1</x:v>
      </x:c>
      <x:c r="W1349" s="19" t="n">
        <x:f>SUM(T1349:V1349)</x:f>
        <x:v>6</x:v>
      </x:c>
      <x:c r="X1349" s="19" t="n">
        <x:f>W1349-G1349</x:f>
        <x:v>0</x:v>
      </x:c>
      <x:c r="Y1349" s="19" t="n">
        <x:f>MAX(T1349,1)+MAX(U1349,1)+MAX(V1349,1)</x:f>
        <x:v>6</x:v>
      </x:c>
      <x:c r="Z1349" s="21" t="str">
        <x:f>IF(AND(MIN(D1349:F1349)&gt;=0,MAX(D1349:F1349)&lt;=7,MAX(D1349,1)+MAX(E1349,1)+MAX(F1349,1)&lt;=9,OR(H1349="-",AND(H1349=0,D1349&gt;0),AND(H1349=1,E1349&gt;0),AND(H1349=2,F1349&gt;0)),OR(I1349=0,AND(I1349=1,OR(J1349=0,J1349=1,J1349=2),R1349&lt;&gt;"000")),Y1349&lt;=9,MIN(T1349:V1349)&gt;=0),"合法","输入违约")</x:f>
        <x:v>合法</x:v>
      </x:c>
    </x:row>
    <x:row r="1350" ht="23" customHeight="1">
      <x:c r="A1350" s="3" t="str">
        <x:v>CT-1343</x:v>
      </x:c>
      <x:c r="B1350" s="3" t="str">
        <x:v>ST-073</x:v>
      </x:c>
      <x:c r="C1350" s="3" t="str">
        <x:v>仅AR接收</x:v>
      </x:c>
      <x:c r="D1350" s="25" t="n">
        <x:v>2</x:v>
      </x:c>
      <x:c r="E1350" s="25" t="n">
        <x:v>3</x:v>
      </x:c>
      <x:c r="F1350" s="25" t="n">
        <x:v>1</x:v>
      </x:c>
      <x:c r="G1350" s="19" t="n">
        <x:f>SUM(D1350:F1350)</x:f>
        <x:v>6</x:v>
      </x:c>
      <x:c r="H1350" s="25" t="str">
        <x:v>-</x:v>
      </x:c>
      <x:c r="I1350" s="25" t="n">
        <x:v>1</x:v>
      </x:c>
      <x:c r="J1350" s="25" t="n">
        <x:v>0</x:v>
      </x:c>
      <x:c r="K1350" s="19" t="n">
        <x:f>D1350-IF(H1350=0,1,0)</x:f>
        <x:v>2</x:v>
      </x:c>
      <x:c r="L1350" s="19" t="n">
        <x:f>E1350-IF(H1350=1,1,0)</x:f>
        <x:v>3</x:v>
      </x:c>
      <x:c r="M1350" s="19" t="n">
        <x:f>F1350-IF(H1350=2,1,0)</x:f>
        <x:v>1</x:v>
      </x:c>
      <x:c r="N1350" s="19" t="n">
        <x:f>MAX(K1350-1,0)+MAX(L1350-1,0)+MAX(M1350-1,0)</x:f>
        <x:v>3</x:v>
      </x:c>
      <x:c r="O1350" s="19" t="n">
        <x:f>IF(AND(SUM(K1350:M1350)&lt;9,OR(M1350=0,N1350&lt;6)),1,0)</x:f>
        <x:v>1</x:v>
      </x:c>
      <x:c r="P1350" s="19" t="n">
        <x:f>IF(AND(SUM(K1350:M1350)&lt;9,OR(L1350=0,N1350&lt;6)),1,0)</x:f>
        <x:v>1</x:v>
      </x:c>
      <x:c r="Q1350" s="19" t="n">
        <x:f>IF(AND(SUM(K1350:M1350)&lt;9,OR(K1350=0,N1350&lt;6)),1,0)</x:f>
        <x:v>1</x:v>
      </x:c>
      <x:c r="R1350" s="22" t="str">
        <x:f>O1350&amp;P1350&amp;Q1350</x:f>
        <x:v>111</x:v>
      </x:c>
      <x:c r="S1350" s="19" t="n">
        <x:f>IF(I1350=1,IF(J1350=0,Q1350,IF(J1350=1,P1350,IF(J1350=2,O1350,0))),0)</x:f>
        <x:v>1</x:v>
      </x:c>
      <x:c r="T1350" s="19" t="n">
        <x:f>K1350+IF(AND(S1350=1,J1350=0),1,0)</x:f>
        <x:v>3</x:v>
      </x:c>
      <x:c r="U1350" s="19" t="n">
        <x:f>L1350+IF(AND(S1350=1,J1350=1),1,0)</x:f>
        <x:v>3</x:v>
      </x:c>
      <x:c r="V1350" s="19" t="n">
        <x:f>M1350+IF(AND(S1350=1,J1350=2),1,0)</x:f>
        <x:v>1</x:v>
      </x:c>
      <x:c r="W1350" s="19" t="n">
        <x:f>SUM(T1350:V1350)</x:f>
        <x:v>7</x:v>
      </x:c>
      <x:c r="X1350" s="19" t="n">
        <x:f>W1350-G1350</x:f>
        <x:v>1</x:v>
      </x:c>
      <x:c r="Y1350" s="19" t="n">
        <x:f>MAX(T1350,1)+MAX(U1350,1)+MAX(V1350,1)</x:f>
        <x:v>7</x:v>
      </x:c>
      <x:c r="Z1350" s="21" t="str">
        <x:f>IF(AND(MIN(D1350:F1350)&gt;=0,MAX(D1350:F1350)&lt;=7,MAX(D1350,1)+MAX(E1350,1)+MAX(F1350,1)&lt;=9,OR(H1350="-",AND(H1350=0,D1350&gt;0),AND(H1350=1,E1350&gt;0),AND(H1350=2,F1350&gt;0)),OR(I1350=0,AND(I1350=1,OR(J1350=0,J1350=1,J1350=2),R1350&lt;&gt;"000")),Y1350&lt;=9,MIN(T1350:V1350)&gt;=0),"合法","输入违约")</x:f>
        <x:v>合法</x:v>
      </x:c>
    </x:row>
    <x:row r="1351" ht="23" customHeight="1">
      <x:c r="A1351" s="3" t="str">
        <x:v>CT-1344</x:v>
      </x:c>
      <x:c r="B1351" s="3" t="str">
        <x:v>ST-073</x:v>
      </x:c>
      <x:c r="C1351" s="3" t="str">
        <x:v>仅AR接收</x:v>
      </x:c>
      <x:c r="D1351" s="25" t="n">
        <x:v>2</x:v>
      </x:c>
      <x:c r="E1351" s="25" t="n">
        <x:v>3</x:v>
      </x:c>
      <x:c r="F1351" s="25" t="n">
        <x:v>1</x:v>
      </x:c>
      <x:c r="G1351" s="19" t="n">
        <x:f>SUM(D1351:F1351)</x:f>
        <x:v>6</x:v>
      </x:c>
      <x:c r="H1351" s="25" t="str">
        <x:v>-</x:v>
      </x:c>
      <x:c r="I1351" s="25" t="n">
        <x:v>1</x:v>
      </x:c>
      <x:c r="J1351" s="25" t="n">
        <x:v>1</x:v>
      </x:c>
      <x:c r="K1351" s="19" t="n">
        <x:f>D1351-IF(H1351=0,1,0)</x:f>
        <x:v>2</x:v>
      </x:c>
      <x:c r="L1351" s="19" t="n">
        <x:f>E1351-IF(H1351=1,1,0)</x:f>
        <x:v>3</x:v>
      </x:c>
      <x:c r="M1351" s="19" t="n">
        <x:f>F1351-IF(H1351=2,1,0)</x:f>
        <x:v>1</x:v>
      </x:c>
      <x:c r="N1351" s="19" t="n">
        <x:f>MAX(K1351-1,0)+MAX(L1351-1,0)+MAX(M1351-1,0)</x:f>
        <x:v>3</x:v>
      </x:c>
      <x:c r="O1351" s="19" t="n">
        <x:f>IF(AND(SUM(K1351:M1351)&lt;9,OR(M1351=0,N1351&lt;6)),1,0)</x:f>
        <x:v>1</x:v>
      </x:c>
      <x:c r="P1351" s="19" t="n">
        <x:f>IF(AND(SUM(K1351:M1351)&lt;9,OR(L1351=0,N1351&lt;6)),1,0)</x:f>
        <x:v>1</x:v>
      </x:c>
      <x:c r="Q1351" s="19" t="n">
        <x:f>IF(AND(SUM(K1351:M1351)&lt;9,OR(K1351=0,N1351&lt;6)),1,0)</x:f>
        <x:v>1</x:v>
      </x:c>
      <x:c r="R1351" s="22" t="str">
        <x:f>O1351&amp;P1351&amp;Q1351</x:f>
        <x:v>111</x:v>
      </x:c>
      <x:c r="S1351" s="19" t="n">
        <x:f>IF(I1351=1,IF(J1351=0,Q1351,IF(J1351=1,P1351,IF(J1351=2,O1351,0))),0)</x:f>
        <x:v>1</x:v>
      </x:c>
      <x:c r="T1351" s="19" t="n">
        <x:f>K1351+IF(AND(S1351=1,J1351=0),1,0)</x:f>
        <x:v>2</x:v>
      </x:c>
      <x:c r="U1351" s="19" t="n">
        <x:f>L1351+IF(AND(S1351=1,J1351=1),1,0)</x:f>
        <x:v>4</x:v>
      </x:c>
      <x:c r="V1351" s="19" t="n">
        <x:f>M1351+IF(AND(S1351=1,J1351=2),1,0)</x:f>
        <x:v>1</x:v>
      </x:c>
      <x:c r="W1351" s="19" t="n">
        <x:f>SUM(T1351:V1351)</x:f>
        <x:v>7</x:v>
      </x:c>
      <x:c r="X1351" s="19" t="n">
        <x:f>W1351-G1351</x:f>
        <x:v>1</x:v>
      </x:c>
      <x:c r="Y1351" s="19" t="n">
        <x:f>MAX(T1351,1)+MAX(U1351,1)+MAX(V1351,1)</x:f>
        <x:v>7</x:v>
      </x:c>
      <x:c r="Z1351" s="21" t="str">
        <x:f>IF(AND(MIN(D1351:F1351)&gt;=0,MAX(D1351:F1351)&lt;=7,MAX(D1351,1)+MAX(E1351,1)+MAX(F1351,1)&lt;=9,OR(H1351="-",AND(H1351=0,D1351&gt;0),AND(H1351=1,E1351&gt;0),AND(H1351=2,F1351&gt;0)),OR(I1351=0,AND(I1351=1,OR(J1351=0,J1351=1,J1351=2),R1351&lt;&gt;"000")),Y1351&lt;=9,MIN(T1351:V1351)&gt;=0),"合法","输入违约")</x:f>
        <x:v>合法</x:v>
      </x:c>
    </x:row>
    <x:row r="1352" ht="23" customHeight="1">
      <x:c r="A1352" s="3" t="str">
        <x:v>CT-1345</x:v>
      </x:c>
      <x:c r="B1352" s="3" t="str">
        <x:v>ST-073</x:v>
      </x:c>
      <x:c r="C1352" s="3" t="str">
        <x:v>仅AR接收</x:v>
      </x:c>
      <x:c r="D1352" s="25" t="n">
        <x:v>2</x:v>
      </x:c>
      <x:c r="E1352" s="25" t="n">
        <x:v>3</x:v>
      </x:c>
      <x:c r="F1352" s="25" t="n">
        <x:v>1</x:v>
      </x:c>
      <x:c r="G1352" s="19" t="n">
        <x:f>SUM(D1352:F1352)</x:f>
        <x:v>6</x:v>
      </x:c>
      <x:c r="H1352" s="25" t="str">
        <x:v>-</x:v>
      </x:c>
      <x:c r="I1352" s="25" t="n">
        <x:v>1</x:v>
      </x:c>
      <x:c r="J1352" s="25" t="n">
        <x:v>2</x:v>
      </x:c>
      <x:c r="K1352" s="19" t="n">
        <x:f>D1352-IF(H1352=0,1,0)</x:f>
        <x:v>2</x:v>
      </x:c>
      <x:c r="L1352" s="19" t="n">
        <x:f>E1352-IF(H1352=1,1,0)</x:f>
        <x:v>3</x:v>
      </x:c>
      <x:c r="M1352" s="19" t="n">
        <x:f>F1352-IF(H1352=2,1,0)</x:f>
        <x:v>1</x:v>
      </x:c>
      <x:c r="N1352" s="19" t="n">
        <x:f>MAX(K1352-1,0)+MAX(L1352-1,0)+MAX(M1352-1,0)</x:f>
        <x:v>3</x:v>
      </x:c>
      <x:c r="O1352" s="19" t="n">
        <x:f>IF(AND(SUM(K1352:M1352)&lt;9,OR(M1352=0,N1352&lt;6)),1,0)</x:f>
        <x:v>1</x:v>
      </x:c>
      <x:c r="P1352" s="19" t="n">
        <x:f>IF(AND(SUM(K1352:M1352)&lt;9,OR(L1352=0,N1352&lt;6)),1,0)</x:f>
        <x:v>1</x:v>
      </x:c>
      <x:c r="Q1352" s="19" t="n">
        <x:f>IF(AND(SUM(K1352:M1352)&lt;9,OR(K1352=0,N1352&lt;6)),1,0)</x:f>
        <x:v>1</x:v>
      </x:c>
      <x:c r="R1352" s="22" t="str">
        <x:f>O1352&amp;P1352&amp;Q1352</x:f>
        <x:v>111</x:v>
      </x:c>
      <x:c r="S1352" s="19" t="n">
        <x:f>IF(I1352=1,IF(J1352=0,Q1352,IF(J1352=1,P1352,IF(J1352=2,O1352,0))),0)</x:f>
        <x:v>1</x:v>
      </x:c>
      <x:c r="T1352" s="19" t="n">
        <x:f>K1352+IF(AND(S1352=1,J1352=0),1,0)</x:f>
        <x:v>2</x:v>
      </x:c>
      <x:c r="U1352" s="19" t="n">
        <x:f>L1352+IF(AND(S1352=1,J1352=1),1,0)</x:f>
        <x:v>3</x:v>
      </x:c>
      <x:c r="V1352" s="19" t="n">
        <x:f>M1352+IF(AND(S1352=1,J1352=2),1,0)</x:f>
        <x:v>2</x:v>
      </x:c>
      <x:c r="W1352" s="19" t="n">
        <x:f>SUM(T1352:V1352)</x:f>
        <x:v>7</x:v>
      </x:c>
      <x:c r="X1352" s="19" t="n">
        <x:f>W1352-G1352</x:f>
        <x:v>1</x:v>
      </x:c>
      <x:c r="Y1352" s="19" t="n">
        <x:f>MAX(T1352,1)+MAX(U1352,1)+MAX(V1352,1)</x:f>
        <x:v>7</x:v>
      </x:c>
      <x:c r="Z1352" s="21" t="str">
        <x:f>IF(AND(MIN(D1352:F1352)&gt;=0,MAX(D1352:F1352)&lt;=7,MAX(D1352,1)+MAX(E1352,1)+MAX(F1352,1)&lt;=9,OR(H1352="-",AND(H1352=0,D1352&gt;0),AND(H1352=1,E1352&gt;0),AND(H1352=2,F1352&gt;0)),OR(I1352=0,AND(I1352=1,OR(J1352=0,J1352=1,J1352=2),R1352&lt;&gt;"000")),Y1352&lt;=9,MIN(T1352:V1352)&gt;=0),"合法","输入违约")</x:f>
        <x:v>合法</x:v>
      </x:c>
    </x:row>
    <x:row r="1353" ht="23" customHeight="1">
      <x:c r="A1353" s="3" t="str">
        <x:v>CT-1346</x:v>
      </x:c>
      <x:c r="B1353" s="3" t="str">
        <x:v>ST-073</x:v>
      </x:c>
      <x:c r="C1353" s="3" t="str">
        <x:v>仅R回收</x:v>
      </x:c>
      <x:c r="D1353" s="25" t="n">
        <x:v>2</x:v>
      </x:c>
      <x:c r="E1353" s="25" t="n">
        <x:v>3</x:v>
      </x:c>
      <x:c r="F1353" s="25" t="n">
        <x:v>1</x:v>
      </x:c>
      <x:c r="G1353" s="19" t="n">
        <x:f>SUM(D1353:F1353)</x:f>
        <x:v>6</x:v>
      </x:c>
      <x:c r="H1353" s="25" t="n">
        <x:v>0</x:v>
      </x:c>
      <x:c r="I1353" s="25" t="n">
        <x:v>0</x:v>
      </x:c>
      <x:c r="J1353" s="25" t="str">
        <x:v>-</x:v>
      </x:c>
      <x:c r="K1353" s="19" t="n">
        <x:f>D1353-IF(H1353=0,1,0)</x:f>
        <x:v>1</x:v>
      </x:c>
      <x:c r="L1353" s="19" t="n">
        <x:f>E1353-IF(H1353=1,1,0)</x:f>
        <x:v>3</x:v>
      </x:c>
      <x:c r="M1353" s="19" t="n">
        <x:f>F1353-IF(H1353=2,1,0)</x:f>
        <x:v>1</x:v>
      </x:c>
      <x:c r="N1353" s="19" t="n">
        <x:f>MAX(K1353-1,0)+MAX(L1353-1,0)+MAX(M1353-1,0)</x:f>
        <x:v>2</x:v>
      </x:c>
      <x:c r="O1353" s="19" t="n">
        <x:f>IF(AND(SUM(K1353:M1353)&lt;9,OR(M1353=0,N1353&lt;6)),1,0)</x:f>
        <x:v>1</x:v>
      </x:c>
      <x:c r="P1353" s="19" t="n">
        <x:f>IF(AND(SUM(K1353:M1353)&lt;9,OR(L1353=0,N1353&lt;6)),1,0)</x:f>
        <x:v>1</x:v>
      </x:c>
      <x:c r="Q1353" s="19" t="n">
        <x:f>IF(AND(SUM(K1353:M1353)&lt;9,OR(K1353=0,N1353&lt;6)),1,0)</x:f>
        <x:v>1</x:v>
      </x:c>
      <x:c r="R1353" s="22" t="str">
        <x:f>O1353&amp;P1353&amp;Q1353</x:f>
        <x:v>111</x:v>
      </x:c>
      <x:c r="S1353" s="19" t="n">
        <x:f>IF(I1353=1,IF(J1353=0,Q1353,IF(J1353=1,P1353,IF(J1353=2,O1353,0))),0)</x:f>
        <x:v>0</x:v>
      </x:c>
      <x:c r="T1353" s="19" t="n">
        <x:f>K1353+IF(AND(S1353=1,J1353=0),1,0)</x:f>
        <x:v>1</x:v>
      </x:c>
      <x:c r="U1353" s="19" t="n">
        <x:f>L1353+IF(AND(S1353=1,J1353=1),1,0)</x:f>
        <x:v>3</x:v>
      </x:c>
      <x:c r="V1353" s="19" t="n">
        <x:f>M1353+IF(AND(S1353=1,J1353=2),1,0)</x:f>
        <x:v>1</x:v>
      </x:c>
      <x:c r="W1353" s="19" t="n">
        <x:f>SUM(T1353:V1353)</x:f>
        <x:v>5</x:v>
      </x:c>
      <x:c r="X1353" s="19" t="n">
        <x:f>W1353-G1353</x:f>
        <x:v>-1</x:v>
      </x:c>
      <x:c r="Y1353" s="19" t="n">
        <x:f>MAX(T1353,1)+MAX(U1353,1)+MAX(V1353,1)</x:f>
        <x:v>5</x:v>
      </x:c>
      <x:c r="Z1353" s="21" t="str">
        <x:f>IF(AND(MIN(D1353:F1353)&gt;=0,MAX(D1353:F1353)&lt;=7,MAX(D1353,1)+MAX(E1353,1)+MAX(F1353,1)&lt;=9,OR(H1353="-",AND(H1353=0,D1353&gt;0),AND(H1353=1,E1353&gt;0),AND(H1353=2,F1353&gt;0)),OR(I1353=0,AND(I1353=1,OR(J1353=0,J1353=1,J1353=2),R1353&lt;&gt;"000")),Y1353&lt;=9,MIN(T1353:V1353)&gt;=0),"合法","输入违约")</x:f>
        <x:v>合法</x:v>
      </x:c>
    </x:row>
    <x:row r="1354" ht="23" customHeight="1">
      <x:c r="A1354" s="3" t="str">
        <x:v>CT-1347</x:v>
      </x:c>
      <x:c r="B1354" s="3" t="str">
        <x:v>ST-073</x:v>
      </x:c>
      <x:c r="C1354" s="3" t="str">
        <x:v>R+AR同收同发</x:v>
      </x:c>
      <x:c r="D1354" s="25" t="n">
        <x:v>2</x:v>
      </x:c>
      <x:c r="E1354" s="25" t="n">
        <x:v>3</x:v>
      </x:c>
      <x:c r="F1354" s="25" t="n">
        <x:v>1</x:v>
      </x:c>
      <x:c r="G1354" s="19" t="n">
        <x:f>SUM(D1354:F1354)</x:f>
        <x:v>6</x:v>
      </x:c>
      <x:c r="H1354" s="25" t="n">
        <x:v>0</x:v>
      </x:c>
      <x:c r="I1354" s="25" t="n">
        <x:v>1</x:v>
      </x:c>
      <x:c r="J1354" s="25" t="n">
        <x:v>0</x:v>
      </x:c>
      <x:c r="K1354" s="19" t="n">
        <x:f>D1354-IF(H1354=0,1,0)</x:f>
        <x:v>1</x:v>
      </x:c>
      <x:c r="L1354" s="19" t="n">
        <x:f>E1354-IF(H1354=1,1,0)</x:f>
        <x:v>3</x:v>
      </x:c>
      <x:c r="M1354" s="19" t="n">
        <x:f>F1354-IF(H1354=2,1,0)</x:f>
        <x:v>1</x:v>
      </x:c>
      <x:c r="N1354" s="19" t="n">
        <x:f>MAX(K1354-1,0)+MAX(L1354-1,0)+MAX(M1354-1,0)</x:f>
        <x:v>2</x:v>
      </x:c>
      <x:c r="O1354" s="19" t="n">
        <x:f>IF(AND(SUM(K1354:M1354)&lt;9,OR(M1354=0,N1354&lt;6)),1,0)</x:f>
        <x:v>1</x:v>
      </x:c>
      <x:c r="P1354" s="19" t="n">
        <x:f>IF(AND(SUM(K1354:M1354)&lt;9,OR(L1354=0,N1354&lt;6)),1,0)</x:f>
        <x:v>1</x:v>
      </x:c>
      <x:c r="Q1354" s="19" t="n">
        <x:f>IF(AND(SUM(K1354:M1354)&lt;9,OR(K1354=0,N1354&lt;6)),1,0)</x:f>
        <x:v>1</x:v>
      </x:c>
      <x:c r="R1354" s="22" t="str">
        <x:f>O1354&amp;P1354&amp;Q1354</x:f>
        <x:v>111</x:v>
      </x:c>
      <x:c r="S1354" s="19" t="n">
        <x:f>IF(I1354=1,IF(J1354=0,Q1354,IF(J1354=1,P1354,IF(J1354=2,O1354,0))),0)</x:f>
        <x:v>1</x:v>
      </x:c>
      <x:c r="T1354" s="19" t="n">
        <x:f>K1354+IF(AND(S1354=1,J1354=0),1,0)</x:f>
        <x:v>2</x:v>
      </x:c>
      <x:c r="U1354" s="19" t="n">
        <x:f>L1354+IF(AND(S1354=1,J1354=1),1,0)</x:f>
        <x:v>3</x:v>
      </x:c>
      <x:c r="V1354" s="19" t="n">
        <x:f>M1354+IF(AND(S1354=1,J1354=2),1,0)</x:f>
        <x:v>1</x:v>
      </x:c>
      <x:c r="W1354" s="19" t="n">
        <x:f>SUM(T1354:V1354)</x:f>
        <x:v>6</x:v>
      </x:c>
      <x:c r="X1354" s="19" t="n">
        <x:f>W1354-G1354</x:f>
        <x:v>0</x:v>
      </x:c>
      <x:c r="Y1354" s="19" t="n">
        <x:f>MAX(T1354,1)+MAX(U1354,1)+MAX(V1354,1)</x:f>
        <x:v>6</x:v>
      </x:c>
      <x:c r="Z1354" s="21" t="str">
        <x:f>IF(AND(MIN(D1354:F1354)&gt;=0,MAX(D1354:F1354)&lt;=7,MAX(D1354,1)+MAX(E1354,1)+MAX(F1354,1)&lt;=9,OR(H1354="-",AND(H1354=0,D1354&gt;0),AND(H1354=1,E1354&gt;0),AND(H1354=2,F1354&gt;0)),OR(I1354=0,AND(I1354=1,OR(J1354=0,J1354=1,J1354=2),R1354&lt;&gt;"000")),Y1354&lt;=9,MIN(T1354:V1354)&gt;=0),"合法","输入违约")</x:f>
        <x:v>合法</x:v>
      </x:c>
    </x:row>
    <x:row r="1355" ht="23" customHeight="1">
      <x:c r="A1355" s="3" t="str">
        <x:v>CT-1348</x:v>
      </x:c>
      <x:c r="B1355" s="3" t="str">
        <x:v>ST-073</x:v>
      </x:c>
      <x:c r="C1355" s="3" t="str">
        <x:v>R+AR同收同发</x:v>
      </x:c>
      <x:c r="D1355" s="25" t="n">
        <x:v>2</x:v>
      </x:c>
      <x:c r="E1355" s="25" t="n">
        <x:v>3</x:v>
      </x:c>
      <x:c r="F1355" s="25" t="n">
        <x:v>1</x:v>
      </x:c>
      <x:c r="G1355" s="19" t="n">
        <x:f>SUM(D1355:F1355)</x:f>
        <x:v>6</x:v>
      </x:c>
      <x:c r="H1355" s="25" t="n">
        <x:v>0</x:v>
      </x:c>
      <x:c r="I1355" s="25" t="n">
        <x:v>1</x:v>
      </x:c>
      <x:c r="J1355" s="25" t="n">
        <x:v>1</x:v>
      </x:c>
      <x:c r="K1355" s="19" t="n">
        <x:f>D1355-IF(H1355=0,1,0)</x:f>
        <x:v>1</x:v>
      </x:c>
      <x:c r="L1355" s="19" t="n">
        <x:f>E1355-IF(H1355=1,1,0)</x:f>
        <x:v>3</x:v>
      </x:c>
      <x:c r="M1355" s="19" t="n">
        <x:f>F1355-IF(H1355=2,1,0)</x:f>
        <x:v>1</x:v>
      </x:c>
      <x:c r="N1355" s="19" t="n">
        <x:f>MAX(K1355-1,0)+MAX(L1355-1,0)+MAX(M1355-1,0)</x:f>
        <x:v>2</x:v>
      </x:c>
      <x:c r="O1355" s="19" t="n">
        <x:f>IF(AND(SUM(K1355:M1355)&lt;9,OR(M1355=0,N1355&lt;6)),1,0)</x:f>
        <x:v>1</x:v>
      </x:c>
      <x:c r="P1355" s="19" t="n">
        <x:f>IF(AND(SUM(K1355:M1355)&lt;9,OR(L1355=0,N1355&lt;6)),1,0)</x:f>
        <x:v>1</x:v>
      </x:c>
      <x:c r="Q1355" s="19" t="n">
        <x:f>IF(AND(SUM(K1355:M1355)&lt;9,OR(K1355=0,N1355&lt;6)),1,0)</x:f>
        <x:v>1</x:v>
      </x:c>
      <x:c r="R1355" s="22" t="str">
        <x:f>O1355&amp;P1355&amp;Q1355</x:f>
        <x:v>111</x:v>
      </x:c>
      <x:c r="S1355" s="19" t="n">
        <x:f>IF(I1355=1,IF(J1355=0,Q1355,IF(J1355=1,P1355,IF(J1355=2,O1355,0))),0)</x:f>
        <x:v>1</x:v>
      </x:c>
      <x:c r="T1355" s="19" t="n">
        <x:f>K1355+IF(AND(S1355=1,J1355=0),1,0)</x:f>
        <x:v>1</x:v>
      </x:c>
      <x:c r="U1355" s="19" t="n">
        <x:f>L1355+IF(AND(S1355=1,J1355=1),1,0)</x:f>
        <x:v>4</x:v>
      </x:c>
      <x:c r="V1355" s="19" t="n">
        <x:f>M1355+IF(AND(S1355=1,J1355=2),1,0)</x:f>
        <x:v>1</x:v>
      </x:c>
      <x:c r="W1355" s="19" t="n">
        <x:f>SUM(T1355:V1355)</x:f>
        <x:v>6</x:v>
      </x:c>
      <x:c r="X1355" s="19" t="n">
        <x:f>W1355-G1355</x:f>
        <x:v>0</x:v>
      </x:c>
      <x:c r="Y1355" s="19" t="n">
        <x:f>MAX(T1355,1)+MAX(U1355,1)+MAX(V1355,1)</x:f>
        <x:v>6</x:v>
      </x:c>
      <x:c r="Z1355" s="21" t="str">
        <x:f>IF(AND(MIN(D1355:F1355)&gt;=0,MAX(D1355:F1355)&lt;=7,MAX(D1355,1)+MAX(E1355,1)+MAX(F1355,1)&lt;=9,OR(H1355="-",AND(H1355=0,D1355&gt;0),AND(H1355=1,E1355&gt;0),AND(H1355=2,F1355&gt;0)),OR(I1355=0,AND(I1355=1,OR(J1355=0,J1355=1,J1355=2),R1355&lt;&gt;"000")),Y1355&lt;=9,MIN(T1355:V1355)&gt;=0),"合法","输入违约")</x:f>
        <x:v>合法</x:v>
      </x:c>
    </x:row>
    <x:row r="1356" ht="23" customHeight="1">
      <x:c r="A1356" s="3" t="str">
        <x:v>CT-1349</x:v>
      </x:c>
      <x:c r="B1356" s="3" t="str">
        <x:v>ST-073</x:v>
      </x:c>
      <x:c r="C1356" s="3" t="str">
        <x:v>R+AR同收同发</x:v>
      </x:c>
      <x:c r="D1356" s="25" t="n">
        <x:v>2</x:v>
      </x:c>
      <x:c r="E1356" s="25" t="n">
        <x:v>3</x:v>
      </x:c>
      <x:c r="F1356" s="25" t="n">
        <x:v>1</x:v>
      </x:c>
      <x:c r="G1356" s="19" t="n">
        <x:f>SUM(D1356:F1356)</x:f>
        <x:v>6</x:v>
      </x:c>
      <x:c r="H1356" s="25" t="n">
        <x:v>0</x:v>
      </x:c>
      <x:c r="I1356" s="25" t="n">
        <x:v>1</x:v>
      </x:c>
      <x:c r="J1356" s="25" t="n">
        <x:v>2</x:v>
      </x:c>
      <x:c r="K1356" s="19" t="n">
        <x:f>D1356-IF(H1356=0,1,0)</x:f>
        <x:v>1</x:v>
      </x:c>
      <x:c r="L1356" s="19" t="n">
        <x:f>E1356-IF(H1356=1,1,0)</x:f>
        <x:v>3</x:v>
      </x:c>
      <x:c r="M1356" s="19" t="n">
        <x:f>F1356-IF(H1356=2,1,0)</x:f>
        <x:v>1</x:v>
      </x:c>
      <x:c r="N1356" s="19" t="n">
        <x:f>MAX(K1356-1,0)+MAX(L1356-1,0)+MAX(M1356-1,0)</x:f>
        <x:v>2</x:v>
      </x:c>
      <x:c r="O1356" s="19" t="n">
        <x:f>IF(AND(SUM(K1356:M1356)&lt;9,OR(M1356=0,N1356&lt;6)),1,0)</x:f>
        <x:v>1</x:v>
      </x:c>
      <x:c r="P1356" s="19" t="n">
        <x:f>IF(AND(SUM(K1356:M1356)&lt;9,OR(L1356=0,N1356&lt;6)),1,0)</x:f>
        <x:v>1</x:v>
      </x:c>
      <x:c r="Q1356" s="19" t="n">
        <x:f>IF(AND(SUM(K1356:M1356)&lt;9,OR(K1356=0,N1356&lt;6)),1,0)</x:f>
        <x:v>1</x:v>
      </x:c>
      <x:c r="R1356" s="22" t="str">
        <x:f>O1356&amp;P1356&amp;Q1356</x:f>
        <x:v>111</x:v>
      </x:c>
      <x:c r="S1356" s="19" t="n">
        <x:f>IF(I1356=1,IF(J1356=0,Q1356,IF(J1356=1,P1356,IF(J1356=2,O1356,0))),0)</x:f>
        <x:v>1</x:v>
      </x:c>
      <x:c r="T1356" s="19" t="n">
        <x:f>K1356+IF(AND(S1356=1,J1356=0),1,0)</x:f>
        <x:v>1</x:v>
      </x:c>
      <x:c r="U1356" s="19" t="n">
        <x:f>L1356+IF(AND(S1356=1,J1356=1),1,0)</x:f>
        <x:v>3</x:v>
      </x:c>
      <x:c r="V1356" s="19" t="n">
        <x:f>M1356+IF(AND(S1356=1,J1356=2),1,0)</x:f>
        <x:v>2</x:v>
      </x:c>
      <x:c r="W1356" s="19" t="n">
        <x:f>SUM(T1356:V1356)</x:f>
        <x:v>6</x:v>
      </x:c>
      <x:c r="X1356" s="19" t="n">
        <x:f>W1356-G1356</x:f>
        <x:v>0</x:v>
      </x:c>
      <x:c r="Y1356" s="19" t="n">
        <x:f>MAX(T1356,1)+MAX(U1356,1)+MAX(V1356,1)</x:f>
        <x:v>6</x:v>
      </x:c>
      <x:c r="Z1356" s="21" t="str">
        <x:f>IF(AND(MIN(D1356:F1356)&gt;=0,MAX(D1356:F1356)&lt;=7,MAX(D1356,1)+MAX(E1356,1)+MAX(F1356,1)&lt;=9,OR(H1356="-",AND(H1356=0,D1356&gt;0),AND(H1356=1,E1356&gt;0),AND(H1356=2,F1356&gt;0)),OR(I1356=0,AND(I1356=1,OR(J1356=0,J1356=1,J1356=2),R1356&lt;&gt;"000")),Y1356&lt;=9,MIN(T1356:V1356)&gt;=0),"合法","输入违约")</x:f>
        <x:v>合法</x:v>
      </x:c>
    </x:row>
    <x:row r="1357" ht="23" customHeight="1">
      <x:c r="A1357" s="3" t="str">
        <x:v>CT-1350</x:v>
      </x:c>
      <x:c r="B1357" s="3" t="str">
        <x:v>ST-073</x:v>
      </x:c>
      <x:c r="C1357" s="3" t="str">
        <x:v>仅R回收</x:v>
      </x:c>
      <x:c r="D1357" s="25" t="n">
        <x:v>2</x:v>
      </x:c>
      <x:c r="E1357" s="25" t="n">
        <x:v>3</x:v>
      </x:c>
      <x:c r="F1357" s="25" t="n">
        <x:v>1</x:v>
      </x:c>
      <x:c r="G1357" s="19" t="n">
        <x:f>SUM(D1357:F1357)</x:f>
        <x:v>6</x:v>
      </x:c>
      <x:c r="H1357" s="25" t="n">
        <x:v>1</x:v>
      </x:c>
      <x:c r="I1357" s="25" t="n">
        <x:v>0</x:v>
      </x:c>
      <x:c r="J1357" s="25" t="str">
        <x:v>-</x:v>
      </x:c>
      <x:c r="K1357" s="19" t="n">
        <x:f>D1357-IF(H1357=0,1,0)</x:f>
        <x:v>2</x:v>
      </x:c>
      <x:c r="L1357" s="19" t="n">
        <x:f>E1357-IF(H1357=1,1,0)</x:f>
        <x:v>2</x:v>
      </x:c>
      <x:c r="M1357" s="19" t="n">
        <x:f>F1357-IF(H1357=2,1,0)</x:f>
        <x:v>1</x:v>
      </x:c>
      <x:c r="N1357" s="19" t="n">
        <x:f>MAX(K1357-1,0)+MAX(L1357-1,0)+MAX(M1357-1,0)</x:f>
        <x:v>2</x:v>
      </x:c>
      <x:c r="O1357" s="19" t="n">
        <x:f>IF(AND(SUM(K1357:M1357)&lt;9,OR(M1357=0,N1357&lt;6)),1,0)</x:f>
        <x:v>1</x:v>
      </x:c>
      <x:c r="P1357" s="19" t="n">
        <x:f>IF(AND(SUM(K1357:M1357)&lt;9,OR(L1357=0,N1357&lt;6)),1,0)</x:f>
        <x:v>1</x:v>
      </x:c>
      <x:c r="Q1357" s="19" t="n">
        <x:f>IF(AND(SUM(K1357:M1357)&lt;9,OR(K1357=0,N1357&lt;6)),1,0)</x:f>
        <x:v>1</x:v>
      </x:c>
      <x:c r="R1357" s="22" t="str">
        <x:f>O1357&amp;P1357&amp;Q1357</x:f>
        <x:v>111</x:v>
      </x:c>
      <x:c r="S1357" s="19" t="n">
        <x:f>IF(I1357=1,IF(J1357=0,Q1357,IF(J1357=1,P1357,IF(J1357=2,O1357,0))),0)</x:f>
        <x:v>0</x:v>
      </x:c>
      <x:c r="T1357" s="19" t="n">
        <x:f>K1357+IF(AND(S1357=1,J1357=0),1,0)</x:f>
        <x:v>2</x:v>
      </x:c>
      <x:c r="U1357" s="19" t="n">
        <x:f>L1357+IF(AND(S1357=1,J1357=1),1,0)</x:f>
        <x:v>2</x:v>
      </x:c>
      <x:c r="V1357" s="19" t="n">
        <x:f>M1357+IF(AND(S1357=1,J1357=2),1,0)</x:f>
        <x:v>1</x:v>
      </x:c>
      <x:c r="W1357" s="19" t="n">
        <x:f>SUM(T1357:V1357)</x:f>
        <x:v>5</x:v>
      </x:c>
      <x:c r="X1357" s="19" t="n">
        <x:f>W1357-G1357</x:f>
        <x:v>-1</x:v>
      </x:c>
      <x:c r="Y1357" s="19" t="n">
        <x:f>MAX(T1357,1)+MAX(U1357,1)+MAX(V1357,1)</x:f>
        <x:v>5</x:v>
      </x:c>
      <x:c r="Z1357" s="21" t="str">
        <x:f>IF(AND(MIN(D1357:F1357)&gt;=0,MAX(D1357:F1357)&lt;=7,MAX(D1357,1)+MAX(E1357,1)+MAX(F1357,1)&lt;=9,OR(H1357="-",AND(H1357=0,D1357&gt;0),AND(H1357=1,E1357&gt;0),AND(H1357=2,F1357&gt;0)),OR(I1357=0,AND(I1357=1,OR(J1357=0,J1357=1,J1357=2),R1357&lt;&gt;"000")),Y1357&lt;=9,MIN(T1357:V1357)&gt;=0),"合法","输入违约")</x:f>
        <x:v>合法</x:v>
      </x:c>
    </x:row>
    <x:row r="1358" ht="23" customHeight="1">
      <x:c r="A1358" s="3" t="str">
        <x:v>CT-1351</x:v>
      </x:c>
      <x:c r="B1358" s="3" t="str">
        <x:v>ST-073</x:v>
      </x:c>
      <x:c r="C1358" s="3" t="str">
        <x:v>R+AR同收同发</x:v>
      </x:c>
      <x:c r="D1358" s="25" t="n">
        <x:v>2</x:v>
      </x:c>
      <x:c r="E1358" s="25" t="n">
        <x:v>3</x:v>
      </x:c>
      <x:c r="F1358" s="25" t="n">
        <x:v>1</x:v>
      </x:c>
      <x:c r="G1358" s="19" t="n">
        <x:f>SUM(D1358:F1358)</x:f>
        <x:v>6</x:v>
      </x:c>
      <x:c r="H1358" s="25" t="n">
        <x:v>1</x:v>
      </x:c>
      <x:c r="I1358" s="25" t="n">
        <x:v>1</x:v>
      </x:c>
      <x:c r="J1358" s="25" t="n">
        <x:v>0</x:v>
      </x:c>
      <x:c r="K1358" s="19" t="n">
        <x:f>D1358-IF(H1358=0,1,0)</x:f>
        <x:v>2</x:v>
      </x:c>
      <x:c r="L1358" s="19" t="n">
        <x:f>E1358-IF(H1358=1,1,0)</x:f>
        <x:v>2</x:v>
      </x:c>
      <x:c r="M1358" s="19" t="n">
        <x:f>F1358-IF(H1358=2,1,0)</x:f>
        <x:v>1</x:v>
      </x:c>
      <x:c r="N1358" s="19" t="n">
        <x:f>MAX(K1358-1,0)+MAX(L1358-1,0)+MAX(M1358-1,0)</x:f>
        <x:v>2</x:v>
      </x:c>
      <x:c r="O1358" s="19" t="n">
        <x:f>IF(AND(SUM(K1358:M1358)&lt;9,OR(M1358=0,N1358&lt;6)),1,0)</x:f>
        <x:v>1</x:v>
      </x:c>
      <x:c r="P1358" s="19" t="n">
        <x:f>IF(AND(SUM(K1358:M1358)&lt;9,OR(L1358=0,N1358&lt;6)),1,0)</x:f>
        <x:v>1</x:v>
      </x:c>
      <x:c r="Q1358" s="19" t="n">
        <x:f>IF(AND(SUM(K1358:M1358)&lt;9,OR(K1358=0,N1358&lt;6)),1,0)</x:f>
        <x:v>1</x:v>
      </x:c>
      <x:c r="R1358" s="22" t="str">
        <x:f>O1358&amp;P1358&amp;Q1358</x:f>
        <x:v>111</x:v>
      </x:c>
      <x:c r="S1358" s="19" t="n">
        <x:f>IF(I1358=1,IF(J1358=0,Q1358,IF(J1358=1,P1358,IF(J1358=2,O1358,0))),0)</x:f>
        <x:v>1</x:v>
      </x:c>
      <x:c r="T1358" s="19" t="n">
        <x:f>K1358+IF(AND(S1358=1,J1358=0),1,0)</x:f>
        <x:v>3</x:v>
      </x:c>
      <x:c r="U1358" s="19" t="n">
        <x:f>L1358+IF(AND(S1358=1,J1358=1),1,0)</x:f>
        <x:v>2</x:v>
      </x:c>
      <x:c r="V1358" s="19" t="n">
        <x:f>M1358+IF(AND(S1358=1,J1358=2),1,0)</x:f>
        <x:v>1</x:v>
      </x:c>
      <x:c r="W1358" s="19" t="n">
        <x:f>SUM(T1358:V1358)</x:f>
        <x:v>6</x:v>
      </x:c>
      <x:c r="X1358" s="19" t="n">
        <x:f>W1358-G1358</x:f>
        <x:v>0</x:v>
      </x:c>
      <x:c r="Y1358" s="19" t="n">
        <x:f>MAX(T1358,1)+MAX(U1358,1)+MAX(V1358,1)</x:f>
        <x:v>6</x:v>
      </x:c>
      <x:c r="Z1358" s="21" t="str">
        <x:f>IF(AND(MIN(D1358:F1358)&gt;=0,MAX(D1358:F1358)&lt;=7,MAX(D1358,1)+MAX(E1358,1)+MAX(F1358,1)&lt;=9,OR(H1358="-",AND(H1358=0,D1358&gt;0),AND(H1358=1,E1358&gt;0),AND(H1358=2,F1358&gt;0)),OR(I1358=0,AND(I1358=1,OR(J1358=0,J1358=1,J1358=2),R1358&lt;&gt;"000")),Y1358&lt;=9,MIN(T1358:V1358)&gt;=0),"合法","输入违约")</x:f>
        <x:v>合法</x:v>
      </x:c>
    </x:row>
    <x:row r="1359" ht="23" customHeight="1">
      <x:c r="A1359" s="3" t="str">
        <x:v>CT-1352</x:v>
      </x:c>
      <x:c r="B1359" s="3" t="str">
        <x:v>ST-073</x:v>
      </x:c>
      <x:c r="C1359" s="3" t="str">
        <x:v>R+AR同收同发</x:v>
      </x:c>
      <x:c r="D1359" s="25" t="n">
        <x:v>2</x:v>
      </x:c>
      <x:c r="E1359" s="25" t="n">
        <x:v>3</x:v>
      </x:c>
      <x:c r="F1359" s="25" t="n">
        <x:v>1</x:v>
      </x:c>
      <x:c r="G1359" s="19" t="n">
        <x:f>SUM(D1359:F1359)</x:f>
        <x:v>6</x:v>
      </x:c>
      <x:c r="H1359" s="25" t="n">
        <x:v>1</x:v>
      </x:c>
      <x:c r="I1359" s="25" t="n">
        <x:v>1</x:v>
      </x:c>
      <x:c r="J1359" s="25" t="n">
        <x:v>1</x:v>
      </x:c>
      <x:c r="K1359" s="19" t="n">
        <x:f>D1359-IF(H1359=0,1,0)</x:f>
        <x:v>2</x:v>
      </x:c>
      <x:c r="L1359" s="19" t="n">
        <x:f>E1359-IF(H1359=1,1,0)</x:f>
        <x:v>2</x:v>
      </x:c>
      <x:c r="M1359" s="19" t="n">
        <x:f>F1359-IF(H1359=2,1,0)</x:f>
        <x:v>1</x:v>
      </x:c>
      <x:c r="N1359" s="19" t="n">
        <x:f>MAX(K1359-1,0)+MAX(L1359-1,0)+MAX(M1359-1,0)</x:f>
        <x:v>2</x:v>
      </x:c>
      <x:c r="O1359" s="19" t="n">
        <x:f>IF(AND(SUM(K1359:M1359)&lt;9,OR(M1359=0,N1359&lt;6)),1,0)</x:f>
        <x:v>1</x:v>
      </x:c>
      <x:c r="P1359" s="19" t="n">
        <x:f>IF(AND(SUM(K1359:M1359)&lt;9,OR(L1359=0,N1359&lt;6)),1,0)</x:f>
        <x:v>1</x:v>
      </x:c>
      <x:c r="Q1359" s="19" t="n">
        <x:f>IF(AND(SUM(K1359:M1359)&lt;9,OR(K1359=0,N1359&lt;6)),1,0)</x:f>
        <x:v>1</x:v>
      </x:c>
      <x:c r="R1359" s="22" t="str">
        <x:f>O1359&amp;P1359&amp;Q1359</x:f>
        <x:v>111</x:v>
      </x:c>
      <x:c r="S1359" s="19" t="n">
        <x:f>IF(I1359=1,IF(J1359=0,Q1359,IF(J1359=1,P1359,IF(J1359=2,O1359,0))),0)</x:f>
        <x:v>1</x:v>
      </x:c>
      <x:c r="T1359" s="19" t="n">
        <x:f>K1359+IF(AND(S1359=1,J1359=0),1,0)</x:f>
        <x:v>2</x:v>
      </x:c>
      <x:c r="U1359" s="19" t="n">
        <x:f>L1359+IF(AND(S1359=1,J1359=1),1,0)</x:f>
        <x:v>3</x:v>
      </x:c>
      <x:c r="V1359" s="19" t="n">
        <x:f>M1359+IF(AND(S1359=1,J1359=2),1,0)</x:f>
        <x:v>1</x:v>
      </x:c>
      <x:c r="W1359" s="19" t="n">
        <x:f>SUM(T1359:V1359)</x:f>
        <x:v>6</x:v>
      </x:c>
      <x:c r="X1359" s="19" t="n">
        <x:f>W1359-G1359</x:f>
        <x:v>0</x:v>
      </x:c>
      <x:c r="Y1359" s="19" t="n">
        <x:f>MAX(T1359,1)+MAX(U1359,1)+MAX(V1359,1)</x:f>
        <x:v>6</x:v>
      </x:c>
      <x:c r="Z1359" s="21" t="str">
        <x:f>IF(AND(MIN(D1359:F1359)&gt;=0,MAX(D1359:F1359)&lt;=7,MAX(D1359,1)+MAX(E1359,1)+MAX(F1359,1)&lt;=9,OR(H1359="-",AND(H1359=0,D1359&gt;0),AND(H1359=1,E1359&gt;0),AND(H1359=2,F1359&gt;0)),OR(I1359=0,AND(I1359=1,OR(J1359=0,J1359=1,J1359=2),R1359&lt;&gt;"000")),Y1359&lt;=9,MIN(T1359:V1359)&gt;=0),"合法","输入违约")</x:f>
        <x:v>合法</x:v>
      </x:c>
    </x:row>
    <x:row r="1360" ht="23" customHeight="1">
      <x:c r="A1360" s="3" t="str">
        <x:v>CT-1353</x:v>
      </x:c>
      <x:c r="B1360" s="3" t="str">
        <x:v>ST-073</x:v>
      </x:c>
      <x:c r="C1360" s="3" t="str">
        <x:v>R+AR同收同发</x:v>
      </x:c>
      <x:c r="D1360" s="25" t="n">
        <x:v>2</x:v>
      </x:c>
      <x:c r="E1360" s="25" t="n">
        <x:v>3</x:v>
      </x:c>
      <x:c r="F1360" s="25" t="n">
        <x:v>1</x:v>
      </x:c>
      <x:c r="G1360" s="19" t="n">
        <x:f>SUM(D1360:F1360)</x:f>
        <x:v>6</x:v>
      </x:c>
      <x:c r="H1360" s="25" t="n">
        <x:v>1</x:v>
      </x:c>
      <x:c r="I1360" s="25" t="n">
        <x:v>1</x:v>
      </x:c>
      <x:c r="J1360" s="25" t="n">
        <x:v>2</x:v>
      </x:c>
      <x:c r="K1360" s="19" t="n">
        <x:f>D1360-IF(H1360=0,1,0)</x:f>
        <x:v>2</x:v>
      </x:c>
      <x:c r="L1360" s="19" t="n">
        <x:f>E1360-IF(H1360=1,1,0)</x:f>
        <x:v>2</x:v>
      </x:c>
      <x:c r="M1360" s="19" t="n">
        <x:f>F1360-IF(H1360=2,1,0)</x:f>
        <x:v>1</x:v>
      </x:c>
      <x:c r="N1360" s="19" t="n">
        <x:f>MAX(K1360-1,0)+MAX(L1360-1,0)+MAX(M1360-1,0)</x:f>
        <x:v>2</x:v>
      </x:c>
      <x:c r="O1360" s="19" t="n">
        <x:f>IF(AND(SUM(K1360:M1360)&lt;9,OR(M1360=0,N1360&lt;6)),1,0)</x:f>
        <x:v>1</x:v>
      </x:c>
      <x:c r="P1360" s="19" t="n">
        <x:f>IF(AND(SUM(K1360:M1360)&lt;9,OR(L1360=0,N1360&lt;6)),1,0)</x:f>
        <x:v>1</x:v>
      </x:c>
      <x:c r="Q1360" s="19" t="n">
        <x:f>IF(AND(SUM(K1360:M1360)&lt;9,OR(K1360=0,N1360&lt;6)),1,0)</x:f>
        <x:v>1</x:v>
      </x:c>
      <x:c r="R1360" s="22" t="str">
        <x:f>O1360&amp;P1360&amp;Q1360</x:f>
        <x:v>111</x:v>
      </x:c>
      <x:c r="S1360" s="19" t="n">
        <x:f>IF(I1360=1,IF(J1360=0,Q1360,IF(J1360=1,P1360,IF(J1360=2,O1360,0))),0)</x:f>
        <x:v>1</x:v>
      </x:c>
      <x:c r="T1360" s="19" t="n">
        <x:f>K1360+IF(AND(S1360=1,J1360=0),1,0)</x:f>
        <x:v>2</x:v>
      </x:c>
      <x:c r="U1360" s="19" t="n">
        <x:f>L1360+IF(AND(S1360=1,J1360=1),1,0)</x:f>
        <x:v>2</x:v>
      </x:c>
      <x:c r="V1360" s="19" t="n">
        <x:f>M1360+IF(AND(S1360=1,J1360=2),1,0)</x:f>
        <x:v>2</x:v>
      </x:c>
      <x:c r="W1360" s="19" t="n">
        <x:f>SUM(T1360:V1360)</x:f>
        <x:v>6</x:v>
      </x:c>
      <x:c r="X1360" s="19" t="n">
        <x:f>W1360-G1360</x:f>
        <x:v>0</x:v>
      </x:c>
      <x:c r="Y1360" s="19" t="n">
        <x:f>MAX(T1360,1)+MAX(U1360,1)+MAX(V1360,1)</x:f>
        <x:v>6</x:v>
      </x:c>
      <x:c r="Z1360" s="21" t="str">
        <x:f>IF(AND(MIN(D1360:F1360)&gt;=0,MAX(D1360:F1360)&lt;=7,MAX(D1360,1)+MAX(E1360,1)+MAX(F1360,1)&lt;=9,OR(H1360="-",AND(H1360=0,D1360&gt;0),AND(H1360=1,E1360&gt;0),AND(H1360=2,F1360&gt;0)),OR(I1360=0,AND(I1360=1,OR(J1360=0,J1360=1,J1360=2),R1360&lt;&gt;"000")),Y1360&lt;=9,MIN(T1360:V1360)&gt;=0),"合法","输入违约")</x:f>
        <x:v>合法</x:v>
      </x:c>
    </x:row>
    <x:row r="1361" ht="23" customHeight="1">
      <x:c r="A1361" s="3" t="str">
        <x:v>CT-1354</x:v>
      </x:c>
      <x:c r="B1361" s="3" t="str">
        <x:v>ST-073</x:v>
      </x:c>
      <x:c r="C1361" s="3" t="str">
        <x:v>仅R回收</x:v>
      </x:c>
      <x:c r="D1361" s="25" t="n">
        <x:v>2</x:v>
      </x:c>
      <x:c r="E1361" s="25" t="n">
        <x:v>3</x:v>
      </x:c>
      <x:c r="F1361" s="25" t="n">
        <x:v>1</x:v>
      </x:c>
      <x:c r="G1361" s="19" t="n">
        <x:f>SUM(D1361:F1361)</x:f>
        <x:v>6</x:v>
      </x:c>
      <x:c r="H1361" s="25" t="n">
        <x:v>2</x:v>
      </x:c>
      <x:c r="I1361" s="25" t="n">
        <x:v>0</x:v>
      </x:c>
      <x:c r="J1361" s="25" t="str">
        <x:v>-</x:v>
      </x:c>
      <x:c r="K1361" s="19" t="n">
        <x:f>D1361-IF(H1361=0,1,0)</x:f>
        <x:v>2</x:v>
      </x:c>
      <x:c r="L1361" s="19" t="n">
        <x:f>E1361-IF(H1361=1,1,0)</x:f>
        <x:v>3</x:v>
      </x:c>
      <x:c r="M1361" s="19" t="n">
        <x:f>F1361-IF(H1361=2,1,0)</x:f>
        <x:v>0</x:v>
      </x:c>
      <x:c r="N1361" s="19" t="n">
        <x:f>MAX(K1361-1,0)+MAX(L1361-1,0)+MAX(M1361-1,0)</x:f>
        <x:v>3</x:v>
      </x:c>
      <x:c r="O1361" s="19" t="n">
        <x:f>IF(AND(SUM(K1361:M1361)&lt;9,OR(M1361=0,N1361&lt;6)),1,0)</x:f>
        <x:v>1</x:v>
      </x:c>
      <x:c r="P1361" s="19" t="n">
        <x:f>IF(AND(SUM(K1361:M1361)&lt;9,OR(L1361=0,N1361&lt;6)),1,0)</x:f>
        <x:v>1</x:v>
      </x:c>
      <x:c r="Q1361" s="19" t="n">
        <x:f>IF(AND(SUM(K1361:M1361)&lt;9,OR(K1361=0,N1361&lt;6)),1,0)</x:f>
        <x:v>1</x:v>
      </x:c>
      <x:c r="R1361" s="22" t="str">
        <x:f>O1361&amp;P1361&amp;Q1361</x:f>
        <x:v>111</x:v>
      </x:c>
      <x:c r="S1361" s="19" t="n">
        <x:f>IF(I1361=1,IF(J1361=0,Q1361,IF(J1361=1,P1361,IF(J1361=2,O1361,0))),0)</x:f>
        <x:v>0</x:v>
      </x:c>
      <x:c r="T1361" s="19" t="n">
        <x:f>K1361+IF(AND(S1361=1,J1361=0),1,0)</x:f>
        <x:v>2</x:v>
      </x:c>
      <x:c r="U1361" s="19" t="n">
        <x:f>L1361+IF(AND(S1361=1,J1361=1),1,0)</x:f>
        <x:v>3</x:v>
      </x:c>
      <x:c r="V1361" s="19" t="n">
        <x:f>M1361+IF(AND(S1361=1,J1361=2),1,0)</x:f>
        <x:v>0</x:v>
      </x:c>
      <x:c r="W1361" s="19" t="n">
        <x:f>SUM(T1361:V1361)</x:f>
        <x:v>5</x:v>
      </x:c>
      <x:c r="X1361" s="19" t="n">
        <x:f>W1361-G1361</x:f>
        <x:v>-1</x:v>
      </x:c>
      <x:c r="Y1361" s="19" t="n">
        <x:f>MAX(T1361,1)+MAX(U1361,1)+MAX(V1361,1)</x:f>
        <x:v>6</x:v>
      </x:c>
      <x:c r="Z1361" s="21" t="str">
        <x:f>IF(AND(MIN(D1361:F1361)&gt;=0,MAX(D1361:F1361)&lt;=7,MAX(D1361,1)+MAX(E1361,1)+MAX(F1361,1)&lt;=9,OR(H1361="-",AND(H1361=0,D1361&gt;0),AND(H1361=1,E1361&gt;0),AND(H1361=2,F1361&gt;0)),OR(I1361=0,AND(I1361=1,OR(J1361=0,J1361=1,J1361=2),R1361&lt;&gt;"000")),Y1361&lt;=9,MIN(T1361:V1361)&gt;=0),"合法","输入违约")</x:f>
        <x:v>合法</x:v>
      </x:c>
    </x:row>
    <x:row r="1362" ht="23" customHeight="1">
      <x:c r="A1362" s="3" t="str">
        <x:v>CT-1355</x:v>
      </x:c>
      <x:c r="B1362" s="3" t="str">
        <x:v>ST-073</x:v>
      </x:c>
      <x:c r="C1362" s="3" t="str">
        <x:v>R+AR同收同发</x:v>
      </x:c>
      <x:c r="D1362" s="25" t="n">
        <x:v>2</x:v>
      </x:c>
      <x:c r="E1362" s="25" t="n">
        <x:v>3</x:v>
      </x:c>
      <x:c r="F1362" s="25" t="n">
        <x:v>1</x:v>
      </x:c>
      <x:c r="G1362" s="19" t="n">
        <x:f>SUM(D1362:F1362)</x:f>
        <x:v>6</x:v>
      </x:c>
      <x:c r="H1362" s="25" t="n">
        <x:v>2</x:v>
      </x:c>
      <x:c r="I1362" s="25" t="n">
        <x:v>1</x:v>
      </x:c>
      <x:c r="J1362" s="25" t="n">
        <x:v>0</x:v>
      </x:c>
      <x:c r="K1362" s="19" t="n">
        <x:f>D1362-IF(H1362=0,1,0)</x:f>
        <x:v>2</x:v>
      </x:c>
      <x:c r="L1362" s="19" t="n">
        <x:f>E1362-IF(H1362=1,1,0)</x:f>
        <x:v>3</x:v>
      </x:c>
      <x:c r="M1362" s="19" t="n">
        <x:f>F1362-IF(H1362=2,1,0)</x:f>
        <x:v>0</x:v>
      </x:c>
      <x:c r="N1362" s="19" t="n">
        <x:f>MAX(K1362-1,0)+MAX(L1362-1,0)+MAX(M1362-1,0)</x:f>
        <x:v>3</x:v>
      </x:c>
      <x:c r="O1362" s="19" t="n">
        <x:f>IF(AND(SUM(K1362:M1362)&lt;9,OR(M1362=0,N1362&lt;6)),1,0)</x:f>
        <x:v>1</x:v>
      </x:c>
      <x:c r="P1362" s="19" t="n">
        <x:f>IF(AND(SUM(K1362:M1362)&lt;9,OR(L1362=0,N1362&lt;6)),1,0)</x:f>
        <x:v>1</x:v>
      </x:c>
      <x:c r="Q1362" s="19" t="n">
        <x:f>IF(AND(SUM(K1362:M1362)&lt;9,OR(K1362=0,N1362&lt;6)),1,0)</x:f>
        <x:v>1</x:v>
      </x:c>
      <x:c r="R1362" s="22" t="str">
        <x:f>O1362&amp;P1362&amp;Q1362</x:f>
        <x:v>111</x:v>
      </x:c>
      <x:c r="S1362" s="19" t="n">
        <x:f>IF(I1362=1,IF(J1362=0,Q1362,IF(J1362=1,P1362,IF(J1362=2,O1362,0))),0)</x:f>
        <x:v>1</x:v>
      </x:c>
      <x:c r="T1362" s="19" t="n">
        <x:f>K1362+IF(AND(S1362=1,J1362=0),1,0)</x:f>
        <x:v>3</x:v>
      </x:c>
      <x:c r="U1362" s="19" t="n">
        <x:f>L1362+IF(AND(S1362=1,J1362=1),1,0)</x:f>
        <x:v>3</x:v>
      </x:c>
      <x:c r="V1362" s="19" t="n">
        <x:f>M1362+IF(AND(S1362=1,J1362=2),1,0)</x:f>
        <x:v>0</x:v>
      </x:c>
      <x:c r="W1362" s="19" t="n">
        <x:f>SUM(T1362:V1362)</x:f>
        <x:v>6</x:v>
      </x:c>
      <x:c r="X1362" s="19" t="n">
        <x:f>W1362-G1362</x:f>
        <x:v>0</x:v>
      </x:c>
      <x:c r="Y1362" s="19" t="n">
        <x:f>MAX(T1362,1)+MAX(U1362,1)+MAX(V1362,1)</x:f>
        <x:v>7</x:v>
      </x:c>
      <x:c r="Z1362" s="21" t="str">
        <x:f>IF(AND(MIN(D1362:F1362)&gt;=0,MAX(D1362:F1362)&lt;=7,MAX(D1362,1)+MAX(E1362,1)+MAX(F1362,1)&lt;=9,OR(H1362="-",AND(H1362=0,D1362&gt;0),AND(H1362=1,E1362&gt;0),AND(H1362=2,F1362&gt;0)),OR(I1362=0,AND(I1362=1,OR(J1362=0,J1362=1,J1362=2),R1362&lt;&gt;"000")),Y1362&lt;=9,MIN(T1362:V1362)&gt;=0),"合法","输入违约")</x:f>
        <x:v>合法</x:v>
      </x:c>
    </x:row>
    <x:row r="1363" ht="23" customHeight="1">
      <x:c r="A1363" s="3" t="str">
        <x:v>CT-1356</x:v>
      </x:c>
      <x:c r="B1363" s="3" t="str">
        <x:v>ST-073</x:v>
      </x:c>
      <x:c r="C1363" s="3" t="str">
        <x:v>R+AR同收同发</x:v>
      </x:c>
      <x:c r="D1363" s="25" t="n">
        <x:v>2</x:v>
      </x:c>
      <x:c r="E1363" s="25" t="n">
        <x:v>3</x:v>
      </x:c>
      <x:c r="F1363" s="25" t="n">
        <x:v>1</x:v>
      </x:c>
      <x:c r="G1363" s="19" t="n">
        <x:f>SUM(D1363:F1363)</x:f>
        <x:v>6</x:v>
      </x:c>
      <x:c r="H1363" s="25" t="n">
        <x:v>2</x:v>
      </x:c>
      <x:c r="I1363" s="25" t="n">
        <x:v>1</x:v>
      </x:c>
      <x:c r="J1363" s="25" t="n">
        <x:v>1</x:v>
      </x:c>
      <x:c r="K1363" s="19" t="n">
        <x:f>D1363-IF(H1363=0,1,0)</x:f>
        <x:v>2</x:v>
      </x:c>
      <x:c r="L1363" s="19" t="n">
        <x:f>E1363-IF(H1363=1,1,0)</x:f>
        <x:v>3</x:v>
      </x:c>
      <x:c r="M1363" s="19" t="n">
        <x:f>F1363-IF(H1363=2,1,0)</x:f>
        <x:v>0</x:v>
      </x:c>
      <x:c r="N1363" s="19" t="n">
        <x:f>MAX(K1363-1,0)+MAX(L1363-1,0)+MAX(M1363-1,0)</x:f>
        <x:v>3</x:v>
      </x:c>
      <x:c r="O1363" s="19" t="n">
        <x:f>IF(AND(SUM(K1363:M1363)&lt;9,OR(M1363=0,N1363&lt;6)),1,0)</x:f>
        <x:v>1</x:v>
      </x:c>
      <x:c r="P1363" s="19" t="n">
        <x:f>IF(AND(SUM(K1363:M1363)&lt;9,OR(L1363=0,N1363&lt;6)),1,0)</x:f>
        <x:v>1</x:v>
      </x:c>
      <x:c r="Q1363" s="19" t="n">
        <x:f>IF(AND(SUM(K1363:M1363)&lt;9,OR(K1363=0,N1363&lt;6)),1,0)</x:f>
        <x:v>1</x:v>
      </x:c>
      <x:c r="R1363" s="22" t="str">
        <x:f>O1363&amp;P1363&amp;Q1363</x:f>
        <x:v>111</x:v>
      </x:c>
      <x:c r="S1363" s="19" t="n">
        <x:f>IF(I1363=1,IF(J1363=0,Q1363,IF(J1363=1,P1363,IF(J1363=2,O1363,0))),0)</x:f>
        <x:v>1</x:v>
      </x:c>
      <x:c r="T1363" s="19" t="n">
        <x:f>K1363+IF(AND(S1363=1,J1363=0),1,0)</x:f>
        <x:v>2</x:v>
      </x:c>
      <x:c r="U1363" s="19" t="n">
        <x:f>L1363+IF(AND(S1363=1,J1363=1),1,0)</x:f>
        <x:v>4</x:v>
      </x:c>
      <x:c r="V1363" s="19" t="n">
        <x:f>M1363+IF(AND(S1363=1,J1363=2),1,0)</x:f>
        <x:v>0</x:v>
      </x:c>
      <x:c r="W1363" s="19" t="n">
        <x:f>SUM(T1363:V1363)</x:f>
        <x:v>6</x:v>
      </x:c>
      <x:c r="X1363" s="19" t="n">
        <x:f>W1363-G1363</x:f>
        <x:v>0</x:v>
      </x:c>
      <x:c r="Y1363" s="19" t="n">
        <x:f>MAX(T1363,1)+MAX(U1363,1)+MAX(V1363,1)</x:f>
        <x:v>7</x:v>
      </x:c>
      <x:c r="Z1363" s="21" t="str">
        <x:f>IF(AND(MIN(D1363:F1363)&gt;=0,MAX(D1363:F1363)&lt;=7,MAX(D1363,1)+MAX(E1363,1)+MAX(F1363,1)&lt;=9,OR(H1363="-",AND(H1363=0,D1363&gt;0),AND(H1363=1,E1363&gt;0),AND(H1363=2,F1363&gt;0)),OR(I1363=0,AND(I1363=1,OR(J1363=0,J1363=1,J1363=2),R1363&lt;&gt;"000")),Y1363&lt;=9,MIN(T1363:V1363)&gt;=0),"合法","输入违约")</x:f>
        <x:v>合法</x:v>
      </x:c>
    </x:row>
    <x:row r="1364" ht="23" customHeight="1">
      <x:c r="A1364" s="3" t="str">
        <x:v>CT-1357</x:v>
      </x:c>
      <x:c r="B1364" s="3" t="str">
        <x:v>ST-073</x:v>
      </x:c>
      <x:c r="C1364" s="3" t="str">
        <x:v>R+AR同收同发</x:v>
      </x:c>
      <x:c r="D1364" s="25" t="n">
        <x:v>2</x:v>
      </x:c>
      <x:c r="E1364" s="25" t="n">
        <x:v>3</x:v>
      </x:c>
      <x:c r="F1364" s="25" t="n">
        <x:v>1</x:v>
      </x:c>
      <x:c r="G1364" s="19" t="n">
        <x:f>SUM(D1364:F1364)</x:f>
        <x:v>6</x:v>
      </x:c>
      <x:c r="H1364" s="25" t="n">
        <x:v>2</x:v>
      </x:c>
      <x:c r="I1364" s="25" t="n">
        <x:v>1</x:v>
      </x:c>
      <x:c r="J1364" s="25" t="n">
        <x:v>2</x:v>
      </x:c>
      <x:c r="K1364" s="19" t="n">
        <x:f>D1364-IF(H1364=0,1,0)</x:f>
        <x:v>2</x:v>
      </x:c>
      <x:c r="L1364" s="19" t="n">
        <x:f>E1364-IF(H1364=1,1,0)</x:f>
        <x:v>3</x:v>
      </x:c>
      <x:c r="M1364" s="19" t="n">
        <x:f>F1364-IF(H1364=2,1,0)</x:f>
        <x:v>0</x:v>
      </x:c>
      <x:c r="N1364" s="19" t="n">
        <x:f>MAX(K1364-1,0)+MAX(L1364-1,0)+MAX(M1364-1,0)</x:f>
        <x:v>3</x:v>
      </x:c>
      <x:c r="O1364" s="19" t="n">
        <x:f>IF(AND(SUM(K1364:M1364)&lt;9,OR(M1364=0,N1364&lt;6)),1,0)</x:f>
        <x:v>1</x:v>
      </x:c>
      <x:c r="P1364" s="19" t="n">
        <x:f>IF(AND(SUM(K1364:M1364)&lt;9,OR(L1364=0,N1364&lt;6)),1,0)</x:f>
        <x:v>1</x:v>
      </x:c>
      <x:c r="Q1364" s="19" t="n">
        <x:f>IF(AND(SUM(K1364:M1364)&lt;9,OR(K1364=0,N1364&lt;6)),1,0)</x:f>
        <x:v>1</x:v>
      </x:c>
      <x:c r="R1364" s="22" t="str">
        <x:f>O1364&amp;P1364&amp;Q1364</x:f>
        <x:v>111</x:v>
      </x:c>
      <x:c r="S1364" s="19" t="n">
        <x:f>IF(I1364=1,IF(J1364=0,Q1364,IF(J1364=1,P1364,IF(J1364=2,O1364,0))),0)</x:f>
        <x:v>1</x:v>
      </x:c>
      <x:c r="T1364" s="19" t="n">
        <x:f>K1364+IF(AND(S1364=1,J1364=0),1,0)</x:f>
        <x:v>2</x:v>
      </x:c>
      <x:c r="U1364" s="19" t="n">
        <x:f>L1364+IF(AND(S1364=1,J1364=1),1,0)</x:f>
        <x:v>3</x:v>
      </x:c>
      <x:c r="V1364" s="19" t="n">
        <x:f>M1364+IF(AND(S1364=1,J1364=2),1,0)</x:f>
        <x:v>1</x:v>
      </x:c>
      <x:c r="W1364" s="19" t="n">
        <x:f>SUM(T1364:V1364)</x:f>
        <x:v>6</x:v>
      </x:c>
      <x:c r="X1364" s="19" t="n">
        <x:f>W1364-G1364</x:f>
        <x:v>0</x:v>
      </x:c>
      <x:c r="Y1364" s="19" t="n">
        <x:f>MAX(T1364,1)+MAX(U1364,1)+MAX(V1364,1)</x:f>
        <x:v>6</x:v>
      </x:c>
      <x:c r="Z1364" s="21" t="str">
        <x:f>IF(AND(MIN(D1364:F1364)&gt;=0,MAX(D1364:F1364)&lt;=7,MAX(D1364,1)+MAX(E1364,1)+MAX(F1364,1)&lt;=9,OR(H1364="-",AND(H1364=0,D1364&gt;0),AND(H1364=1,E1364&gt;0),AND(H1364=2,F1364&gt;0)),OR(I1364=0,AND(I1364=1,OR(J1364=0,J1364=1,J1364=2),R1364&lt;&gt;"000")),Y1364&lt;=9,MIN(T1364:V1364)&gt;=0),"合法","输入违约")</x:f>
        <x:v>合法</x:v>
      </x:c>
    </x:row>
    <x:row r="1365" ht="23" customHeight="1">
      <x:c r="A1365" s="3" t="str">
        <x:v>CT-1358</x:v>
      </x:c>
      <x:c r="B1365" s="3" t="str">
        <x:v>ST-103</x:v>
      </x:c>
      <x:c r="C1365" s="3" t="str">
        <x:v>无AR/R</x:v>
      </x:c>
      <x:c r="D1365" s="25" t="n">
        <x:v>2</x:v>
      </x:c>
      <x:c r="E1365" s="25" t="n">
        <x:v>3</x:v>
      </x:c>
      <x:c r="F1365" s="25" t="n">
        <x:v>2</x:v>
      </x:c>
      <x:c r="G1365" s="19" t="n">
        <x:f>SUM(D1365:F1365)</x:f>
        <x:v>7</x:v>
      </x:c>
      <x:c r="H1365" s="25" t="str">
        <x:v>-</x:v>
      </x:c>
      <x:c r="I1365" s="25" t="n">
        <x:v>0</x:v>
      </x:c>
      <x:c r="J1365" s="25" t="str">
        <x:v>-</x:v>
      </x:c>
      <x:c r="K1365" s="19" t="n">
        <x:f>D1365-IF(H1365=0,1,0)</x:f>
        <x:v>2</x:v>
      </x:c>
      <x:c r="L1365" s="19" t="n">
        <x:f>E1365-IF(H1365=1,1,0)</x:f>
        <x:v>3</x:v>
      </x:c>
      <x:c r="M1365" s="19" t="n">
        <x:f>F1365-IF(H1365=2,1,0)</x:f>
        <x:v>2</x:v>
      </x:c>
      <x:c r="N1365" s="19" t="n">
        <x:f>MAX(K1365-1,0)+MAX(L1365-1,0)+MAX(M1365-1,0)</x:f>
        <x:v>4</x:v>
      </x:c>
      <x:c r="O1365" s="19" t="n">
        <x:f>IF(AND(SUM(K1365:M1365)&lt;9,OR(M1365=0,N1365&lt;6)),1,0)</x:f>
        <x:v>1</x:v>
      </x:c>
      <x:c r="P1365" s="19" t="n">
        <x:f>IF(AND(SUM(K1365:M1365)&lt;9,OR(L1365=0,N1365&lt;6)),1,0)</x:f>
        <x:v>1</x:v>
      </x:c>
      <x:c r="Q1365" s="19" t="n">
        <x:f>IF(AND(SUM(K1365:M1365)&lt;9,OR(K1365=0,N1365&lt;6)),1,0)</x:f>
        <x:v>1</x:v>
      </x:c>
      <x:c r="R1365" s="22" t="str">
        <x:f>O1365&amp;P1365&amp;Q1365</x:f>
        <x:v>111</x:v>
      </x:c>
      <x:c r="S1365" s="19" t="n">
        <x:f>IF(I1365=1,IF(J1365=0,Q1365,IF(J1365=1,P1365,IF(J1365=2,O1365,0))),0)</x:f>
        <x:v>0</x:v>
      </x:c>
      <x:c r="T1365" s="19" t="n">
        <x:f>K1365+IF(AND(S1365=1,J1365=0),1,0)</x:f>
        <x:v>2</x:v>
      </x:c>
      <x:c r="U1365" s="19" t="n">
        <x:f>L1365+IF(AND(S1365=1,J1365=1),1,0)</x:f>
        <x:v>3</x:v>
      </x:c>
      <x:c r="V1365" s="19" t="n">
        <x:f>M1365+IF(AND(S1365=1,J1365=2),1,0)</x:f>
        <x:v>2</x:v>
      </x:c>
      <x:c r="W1365" s="19" t="n">
        <x:f>SUM(T1365:V1365)</x:f>
        <x:v>7</x:v>
      </x:c>
      <x:c r="X1365" s="19" t="n">
        <x:f>W1365-G1365</x:f>
        <x:v>0</x:v>
      </x:c>
      <x:c r="Y1365" s="19" t="n">
        <x:f>MAX(T1365,1)+MAX(U1365,1)+MAX(V1365,1)</x:f>
        <x:v>7</x:v>
      </x:c>
      <x:c r="Z1365" s="21" t="str">
        <x:f>IF(AND(MIN(D1365:F1365)&gt;=0,MAX(D1365:F1365)&lt;=7,MAX(D1365,1)+MAX(E1365,1)+MAX(F1365,1)&lt;=9,OR(H1365="-",AND(H1365=0,D1365&gt;0),AND(H1365=1,E1365&gt;0),AND(H1365=2,F1365&gt;0)),OR(I1365=0,AND(I1365=1,OR(J1365=0,J1365=1,J1365=2),R1365&lt;&gt;"000")),Y1365&lt;=9,MIN(T1365:V1365)&gt;=0),"合法","输入违约")</x:f>
        <x:v>合法</x:v>
      </x:c>
    </x:row>
    <x:row r="1366" ht="23" customHeight="1">
      <x:c r="A1366" s="3" t="str">
        <x:v>CT-1359</x:v>
      </x:c>
      <x:c r="B1366" s="3" t="str">
        <x:v>ST-103</x:v>
      </x:c>
      <x:c r="C1366" s="3" t="str">
        <x:v>仅AR接收</x:v>
      </x:c>
      <x:c r="D1366" s="25" t="n">
        <x:v>2</x:v>
      </x:c>
      <x:c r="E1366" s="25" t="n">
        <x:v>3</x:v>
      </x:c>
      <x:c r="F1366" s="25" t="n">
        <x:v>2</x:v>
      </x:c>
      <x:c r="G1366" s="19" t="n">
        <x:f>SUM(D1366:F1366)</x:f>
        <x:v>7</x:v>
      </x:c>
      <x:c r="H1366" s="25" t="str">
        <x:v>-</x:v>
      </x:c>
      <x:c r="I1366" s="25" t="n">
        <x:v>1</x:v>
      </x:c>
      <x:c r="J1366" s="25" t="n">
        <x:v>0</x:v>
      </x:c>
      <x:c r="K1366" s="19" t="n">
        <x:f>D1366-IF(H1366=0,1,0)</x:f>
        <x:v>2</x:v>
      </x:c>
      <x:c r="L1366" s="19" t="n">
        <x:f>E1366-IF(H1366=1,1,0)</x:f>
        <x:v>3</x:v>
      </x:c>
      <x:c r="M1366" s="19" t="n">
        <x:f>F1366-IF(H1366=2,1,0)</x:f>
        <x:v>2</x:v>
      </x:c>
      <x:c r="N1366" s="19" t="n">
        <x:f>MAX(K1366-1,0)+MAX(L1366-1,0)+MAX(M1366-1,0)</x:f>
        <x:v>4</x:v>
      </x:c>
      <x:c r="O1366" s="19" t="n">
        <x:f>IF(AND(SUM(K1366:M1366)&lt;9,OR(M1366=0,N1366&lt;6)),1,0)</x:f>
        <x:v>1</x:v>
      </x:c>
      <x:c r="P1366" s="19" t="n">
        <x:f>IF(AND(SUM(K1366:M1366)&lt;9,OR(L1366=0,N1366&lt;6)),1,0)</x:f>
        <x:v>1</x:v>
      </x:c>
      <x:c r="Q1366" s="19" t="n">
        <x:f>IF(AND(SUM(K1366:M1366)&lt;9,OR(K1366=0,N1366&lt;6)),1,0)</x:f>
        <x:v>1</x:v>
      </x:c>
      <x:c r="R1366" s="22" t="str">
        <x:f>O1366&amp;P1366&amp;Q1366</x:f>
        <x:v>111</x:v>
      </x:c>
      <x:c r="S1366" s="19" t="n">
        <x:f>IF(I1366=1,IF(J1366=0,Q1366,IF(J1366=1,P1366,IF(J1366=2,O1366,0))),0)</x:f>
        <x:v>1</x:v>
      </x:c>
      <x:c r="T1366" s="19" t="n">
        <x:f>K1366+IF(AND(S1366=1,J1366=0),1,0)</x:f>
        <x:v>3</x:v>
      </x:c>
      <x:c r="U1366" s="19" t="n">
        <x:f>L1366+IF(AND(S1366=1,J1366=1),1,0)</x:f>
        <x:v>3</x:v>
      </x:c>
      <x:c r="V1366" s="19" t="n">
        <x:f>M1366+IF(AND(S1366=1,J1366=2),1,0)</x:f>
        <x:v>2</x:v>
      </x:c>
      <x:c r="W1366" s="19" t="n">
        <x:f>SUM(T1366:V1366)</x:f>
        <x:v>8</x:v>
      </x:c>
      <x:c r="X1366" s="19" t="n">
        <x:f>W1366-G1366</x:f>
        <x:v>1</x:v>
      </x:c>
      <x:c r="Y1366" s="19" t="n">
        <x:f>MAX(T1366,1)+MAX(U1366,1)+MAX(V1366,1)</x:f>
        <x:v>8</x:v>
      </x:c>
      <x:c r="Z1366" s="21" t="str">
        <x:f>IF(AND(MIN(D1366:F1366)&gt;=0,MAX(D1366:F1366)&lt;=7,MAX(D1366,1)+MAX(E1366,1)+MAX(F1366,1)&lt;=9,OR(H1366="-",AND(H1366=0,D1366&gt;0),AND(H1366=1,E1366&gt;0),AND(H1366=2,F1366&gt;0)),OR(I1366=0,AND(I1366=1,OR(J1366=0,J1366=1,J1366=2),R1366&lt;&gt;"000")),Y1366&lt;=9,MIN(T1366:V1366)&gt;=0),"合法","输入违约")</x:f>
        <x:v>合法</x:v>
      </x:c>
    </x:row>
    <x:row r="1367" ht="23" customHeight="1">
      <x:c r="A1367" s="3" t="str">
        <x:v>CT-1360</x:v>
      </x:c>
      <x:c r="B1367" s="3" t="str">
        <x:v>ST-103</x:v>
      </x:c>
      <x:c r="C1367" s="3" t="str">
        <x:v>仅AR接收</x:v>
      </x:c>
      <x:c r="D1367" s="25" t="n">
        <x:v>2</x:v>
      </x:c>
      <x:c r="E1367" s="25" t="n">
        <x:v>3</x:v>
      </x:c>
      <x:c r="F1367" s="25" t="n">
        <x:v>2</x:v>
      </x:c>
      <x:c r="G1367" s="19" t="n">
        <x:f>SUM(D1367:F1367)</x:f>
        <x:v>7</x:v>
      </x:c>
      <x:c r="H1367" s="25" t="str">
        <x:v>-</x:v>
      </x:c>
      <x:c r="I1367" s="25" t="n">
        <x:v>1</x:v>
      </x:c>
      <x:c r="J1367" s="25" t="n">
        <x:v>1</x:v>
      </x:c>
      <x:c r="K1367" s="19" t="n">
        <x:f>D1367-IF(H1367=0,1,0)</x:f>
        <x:v>2</x:v>
      </x:c>
      <x:c r="L1367" s="19" t="n">
        <x:f>E1367-IF(H1367=1,1,0)</x:f>
        <x:v>3</x:v>
      </x:c>
      <x:c r="M1367" s="19" t="n">
        <x:f>F1367-IF(H1367=2,1,0)</x:f>
        <x:v>2</x:v>
      </x:c>
      <x:c r="N1367" s="19" t="n">
        <x:f>MAX(K1367-1,0)+MAX(L1367-1,0)+MAX(M1367-1,0)</x:f>
        <x:v>4</x:v>
      </x:c>
      <x:c r="O1367" s="19" t="n">
        <x:f>IF(AND(SUM(K1367:M1367)&lt;9,OR(M1367=0,N1367&lt;6)),1,0)</x:f>
        <x:v>1</x:v>
      </x:c>
      <x:c r="P1367" s="19" t="n">
        <x:f>IF(AND(SUM(K1367:M1367)&lt;9,OR(L1367=0,N1367&lt;6)),1,0)</x:f>
        <x:v>1</x:v>
      </x:c>
      <x:c r="Q1367" s="19" t="n">
        <x:f>IF(AND(SUM(K1367:M1367)&lt;9,OR(K1367=0,N1367&lt;6)),1,0)</x:f>
        <x:v>1</x:v>
      </x:c>
      <x:c r="R1367" s="22" t="str">
        <x:f>O1367&amp;P1367&amp;Q1367</x:f>
        <x:v>111</x:v>
      </x:c>
      <x:c r="S1367" s="19" t="n">
        <x:f>IF(I1367=1,IF(J1367=0,Q1367,IF(J1367=1,P1367,IF(J1367=2,O1367,0))),0)</x:f>
        <x:v>1</x:v>
      </x:c>
      <x:c r="T1367" s="19" t="n">
        <x:f>K1367+IF(AND(S1367=1,J1367=0),1,0)</x:f>
        <x:v>2</x:v>
      </x:c>
      <x:c r="U1367" s="19" t="n">
        <x:f>L1367+IF(AND(S1367=1,J1367=1),1,0)</x:f>
        <x:v>4</x:v>
      </x:c>
      <x:c r="V1367" s="19" t="n">
        <x:f>M1367+IF(AND(S1367=1,J1367=2),1,0)</x:f>
        <x:v>2</x:v>
      </x:c>
      <x:c r="W1367" s="19" t="n">
        <x:f>SUM(T1367:V1367)</x:f>
        <x:v>8</x:v>
      </x:c>
      <x:c r="X1367" s="19" t="n">
        <x:f>W1367-G1367</x:f>
        <x:v>1</x:v>
      </x:c>
      <x:c r="Y1367" s="19" t="n">
        <x:f>MAX(T1367,1)+MAX(U1367,1)+MAX(V1367,1)</x:f>
        <x:v>8</x:v>
      </x:c>
      <x:c r="Z1367" s="21" t="str">
        <x:f>IF(AND(MIN(D1367:F1367)&gt;=0,MAX(D1367:F1367)&lt;=7,MAX(D1367,1)+MAX(E1367,1)+MAX(F1367,1)&lt;=9,OR(H1367="-",AND(H1367=0,D1367&gt;0),AND(H1367=1,E1367&gt;0),AND(H1367=2,F1367&gt;0)),OR(I1367=0,AND(I1367=1,OR(J1367=0,J1367=1,J1367=2),R1367&lt;&gt;"000")),Y1367&lt;=9,MIN(T1367:V1367)&gt;=0),"合法","输入违约")</x:f>
        <x:v>合法</x:v>
      </x:c>
    </x:row>
    <x:row r="1368" ht="23" customHeight="1">
      <x:c r="A1368" s="3" t="str">
        <x:v>CT-1361</x:v>
      </x:c>
      <x:c r="B1368" s="3" t="str">
        <x:v>ST-103</x:v>
      </x:c>
      <x:c r="C1368" s="3" t="str">
        <x:v>仅AR接收</x:v>
      </x:c>
      <x:c r="D1368" s="25" t="n">
        <x:v>2</x:v>
      </x:c>
      <x:c r="E1368" s="25" t="n">
        <x:v>3</x:v>
      </x:c>
      <x:c r="F1368" s="25" t="n">
        <x:v>2</x:v>
      </x:c>
      <x:c r="G1368" s="19" t="n">
        <x:f>SUM(D1368:F1368)</x:f>
        <x:v>7</x:v>
      </x:c>
      <x:c r="H1368" s="25" t="str">
        <x:v>-</x:v>
      </x:c>
      <x:c r="I1368" s="25" t="n">
        <x:v>1</x:v>
      </x:c>
      <x:c r="J1368" s="25" t="n">
        <x:v>2</x:v>
      </x:c>
      <x:c r="K1368" s="19" t="n">
        <x:f>D1368-IF(H1368=0,1,0)</x:f>
        <x:v>2</x:v>
      </x:c>
      <x:c r="L1368" s="19" t="n">
        <x:f>E1368-IF(H1368=1,1,0)</x:f>
        <x:v>3</x:v>
      </x:c>
      <x:c r="M1368" s="19" t="n">
        <x:f>F1368-IF(H1368=2,1,0)</x:f>
        <x:v>2</x:v>
      </x:c>
      <x:c r="N1368" s="19" t="n">
        <x:f>MAX(K1368-1,0)+MAX(L1368-1,0)+MAX(M1368-1,0)</x:f>
        <x:v>4</x:v>
      </x:c>
      <x:c r="O1368" s="19" t="n">
        <x:f>IF(AND(SUM(K1368:M1368)&lt;9,OR(M1368=0,N1368&lt;6)),1,0)</x:f>
        <x:v>1</x:v>
      </x:c>
      <x:c r="P1368" s="19" t="n">
        <x:f>IF(AND(SUM(K1368:M1368)&lt;9,OR(L1368=0,N1368&lt;6)),1,0)</x:f>
        <x:v>1</x:v>
      </x:c>
      <x:c r="Q1368" s="19" t="n">
        <x:f>IF(AND(SUM(K1368:M1368)&lt;9,OR(K1368=0,N1368&lt;6)),1,0)</x:f>
        <x:v>1</x:v>
      </x:c>
      <x:c r="R1368" s="22" t="str">
        <x:f>O1368&amp;P1368&amp;Q1368</x:f>
        <x:v>111</x:v>
      </x:c>
      <x:c r="S1368" s="19" t="n">
        <x:f>IF(I1368=1,IF(J1368=0,Q1368,IF(J1368=1,P1368,IF(J1368=2,O1368,0))),0)</x:f>
        <x:v>1</x:v>
      </x:c>
      <x:c r="T1368" s="19" t="n">
        <x:f>K1368+IF(AND(S1368=1,J1368=0),1,0)</x:f>
        <x:v>2</x:v>
      </x:c>
      <x:c r="U1368" s="19" t="n">
        <x:f>L1368+IF(AND(S1368=1,J1368=1),1,0)</x:f>
        <x:v>3</x:v>
      </x:c>
      <x:c r="V1368" s="19" t="n">
        <x:f>M1368+IF(AND(S1368=1,J1368=2),1,0)</x:f>
        <x:v>3</x:v>
      </x:c>
      <x:c r="W1368" s="19" t="n">
        <x:f>SUM(T1368:V1368)</x:f>
        <x:v>8</x:v>
      </x:c>
      <x:c r="X1368" s="19" t="n">
        <x:f>W1368-G1368</x:f>
        <x:v>1</x:v>
      </x:c>
      <x:c r="Y1368" s="19" t="n">
        <x:f>MAX(T1368,1)+MAX(U1368,1)+MAX(V1368,1)</x:f>
        <x:v>8</x:v>
      </x:c>
      <x:c r="Z1368" s="21" t="str">
        <x:f>IF(AND(MIN(D1368:F1368)&gt;=0,MAX(D1368:F1368)&lt;=7,MAX(D1368,1)+MAX(E1368,1)+MAX(F1368,1)&lt;=9,OR(H1368="-",AND(H1368=0,D1368&gt;0),AND(H1368=1,E1368&gt;0),AND(H1368=2,F1368&gt;0)),OR(I1368=0,AND(I1368=1,OR(J1368=0,J1368=1,J1368=2),R1368&lt;&gt;"000")),Y1368&lt;=9,MIN(T1368:V1368)&gt;=0),"合法","输入违约")</x:f>
        <x:v>合法</x:v>
      </x:c>
    </x:row>
    <x:row r="1369" ht="23" customHeight="1">
      <x:c r="A1369" s="3" t="str">
        <x:v>CT-1362</x:v>
      </x:c>
      <x:c r="B1369" s="3" t="str">
        <x:v>ST-103</x:v>
      </x:c>
      <x:c r="C1369" s="3" t="str">
        <x:v>仅R回收</x:v>
      </x:c>
      <x:c r="D1369" s="25" t="n">
        <x:v>2</x:v>
      </x:c>
      <x:c r="E1369" s="25" t="n">
        <x:v>3</x:v>
      </x:c>
      <x:c r="F1369" s="25" t="n">
        <x:v>2</x:v>
      </x:c>
      <x:c r="G1369" s="19" t="n">
        <x:f>SUM(D1369:F1369)</x:f>
        <x:v>7</x:v>
      </x:c>
      <x:c r="H1369" s="25" t="n">
        <x:v>0</x:v>
      </x:c>
      <x:c r="I1369" s="25" t="n">
        <x:v>0</x:v>
      </x:c>
      <x:c r="J1369" s="25" t="str">
        <x:v>-</x:v>
      </x:c>
      <x:c r="K1369" s="19" t="n">
        <x:f>D1369-IF(H1369=0,1,0)</x:f>
        <x:v>1</x:v>
      </x:c>
      <x:c r="L1369" s="19" t="n">
        <x:f>E1369-IF(H1369=1,1,0)</x:f>
        <x:v>3</x:v>
      </x:c>
      <x:c r="M1369" s="19" t="n">
        <x:f>F1369-IF(H1369=2,1,0)</x:f>
        <x:v>2</x:v>
      </x:c>
      <x:c r="N1369" s="19" t="n">
        <x:f>MAX(K1369-1,0)+MAX(L1369-1,0)+MAX(M1369-1,0)</x:f>
        <x:v>3</x:v>
      </x:c>
      <x:c r="O1369" s="19" t="n">
        <x:f>IF(AND(SUM(K1369:M1369)&lt;9,OR(M1369=0,N1369&lt;6)),1,0)</x:f>
        <x:v>1</x:v>
      </x:c>
      <x:c r="P1369" s="19" t="n">
        <x:f>IF(AND(SUM(K1369:M1369)&lt;9,OR(L1369=0,N1369&lt;6)),1,0)</x:f>
        <x:v>1</x:v>
      </x:c>
      <x:c r="Q1369" s="19" t="n">
        <x:f>IF(AND(SUM(K1369:M1369)&lt;9,OR(K1369=0,N1369&lt;6)),1,0)</x:f>
        <x:v>1</x:v>
      </x:c>
      <x:c r="R1369" s="22" t="str">
        <x:f>O1369&amp;P1369&amp;Q1369</x:f>
        <x:v>111</x:v>
      </x:c>
      <x:c r="S1369" s="19" t="n">
        <x:f>IF(I1369=1,IF(J1369=0,Q1369,IF(J1369=1,P1369,IF(J1369=2,O1369,0))),0)</x:f>
        <x:v>0</x:v>
      </x:c>
      <x:c r="T1369" s="19" t="n">
        <x:f>K1369+IF(AND(S1369=1,J1369=0),1,0)</x:f>
        <x:v>1</x:v>
      </x:c>
      <x:c r="U1369" s="19" t="n">
        <x:f>L1369+IF(AND(S1369=1,J1369=1),1,0)</x:f>
        <x:v>3</x:v>
      </x:c>
      <x:c r="V1369" s="19" t="n">
        <x:f>M1369+IF(AND(S1369=1,J1369=2),1,0)</x:f>
        <x:v>2</x:v>
      </x:c>
      <x:c r="W1369" s="19" t="n">
        <x:f>SUM(T1369:V1369)</x:f>
        <x:v>6</x:v>
      </x:c>
      <x:c r="X1369" s="19" t="n">
        <x:f>W1369-G1369</x:f>
        <x:v>-1</x:v>
      </x:c>
      <x:c r="Y1369" s="19" t="n">
        <x:f>MAX(T1369,1)+MAX(U1369,1)+MAX(V1369,1)</x:f>
        <x:v>6</x:v>
      </x:c>
      <x:c r="Z1369" s="21" t="str">
        <x:f>IF(AND(MIN(D1369:F1369)&gt;=0,MAX(D1369:F1369)&lt;=7,MAX(D1369,1)+MAX(E1369,1)+MAX(F1369,1)&lt;=9,OR(H1369="-",AND(H1369=0,D1369&gt;0),AND(H1369=1,E1369&gt;0),AND(H1369=2,F1369&gt;0)),OR(I1369=0,AND(I1369=1,OR(J1369=0,J1369=1,J1369=2),R1369&lt;&gt;"000")),Y1369&lt;=9,MIN(T1369:V1369)&gt;=0),"合法","输入违约")</x:f>
        <x:v>合法</x:v>
      </x:c>
    </x:row>
    <x:row r="1370" ht="23" customHeight="1">
      <x:c r="A1370" s="3" t="str">
        <x:v>CT-1363</x:v>
      </x:c>
      <x:c r="B1370" s="3" t="str">
        <x:v>ST-103</x:v>
      </x:c>
      <x:c r="C1370" s="3" t="str">
        <x:v>R+AR同收同发</x:v>
      </x:c>
      <x:c r="D1370" s="25" t="n">
        <x:v>2</x:v>
      </x:c>
      <x:c r="E1370" s="25" t="n">
        <x:v>3</x:v>
      </x:c>
      <x:c r="F1370" s="25" t="n">
        <x:v>2</x:v>
      </x:c>
      <x:c r="G1370" s="19" t="n">
        <x:f>SUM(D1370:F1370)</x:f>
        <x:v>7</x:v>
      </x:c>
      <x:c r="H1370" s="25" t="n">
        <x:v>0</x:v>
      </x:c>
      <x:c r="I1370" s="25" t="n">
        <x:v>1</x:v>
      </x:c>
      <x:c r="J1370" s="25" t="n">
        <x:v>0</x:v>
      </x:c>
      <x:c r="K1370" s="19" t="n">
        <x:f>D1370-IF(H1370=0,1,0)</x:f>
        <x:v>1</x:v>
      </x:c>
      <x:c r="L1370" s="19" t="n">
        <x:f>E1370-IF(H1370=1,1,0)</x:f>
        <x:v>3</x:v>
      </x:c>
      <x:c r="M1370" s="19" t="n">
        <x:f>F1370-IF(H1370=2,1,0)</x:f>
        <x:v>2</x:v>
      </x:c>
      <x:c r="N1370" s="19" t="n">
        <x:f>MAX(K1370-1,0)+MAX(L1370-1,0)+MAX(M1370-1,0)</x:f>
        <x:v>3</x:v>
      </x:c>
      <x:c r="O1370" s="19" t="n">
        <x:f>IF(AND(SUM(K1370:M1370)&lt;9,OR(M1370=0,N1370&lt;6)),1,0)</x:f>
        <x:v>1</x:v>
      </x:c>
      <x:c r="P1370" s="19" t="n">
        <x:f>IF(AND(SUM(K1370:M1370)&lt;9,OR(L1370=0,N1370&lt;6)),1,0)</x:f>
        <x:v>1</x:v>
      </x:c>
      <x:c r="Q1370" s="19" t="n">
        <x:f>IF(AND(SUM(K1370:M1370)&lt;9,OR(K1370=0,N1370&lt;6)),1,0)</x:f>
        <x:v>1</x:v>
      </x:c>
      <x:c r="R1370" s="22" t="str">
        <x:f>O1370&amp;P1370&amp;Q1370</x:f>
        <x:v>111</x:v>
      </x:c>
      <x:c r="S1370" s="19" t="n">
        <x:f>IF(I1370=1,IF(J1370=0,Q1370,IF(J1370=1,P1370,IF(J1370=2,O1370,0))),0)</x:f>
        <x:v>1</x:v>
      </x:c>
      <x:c r="T1370" s="19" t="n">
        <x:f>K1370+IF(AND(S1370=1,J1370=0),1,0)</x:f>
        <x:v>2</x:v>
      </x:c>
      <x:c r="U1370" s="19" t="n">
        <x:f>L1370+IF(AND(S1370=1,J1370=1),1,0)</x:f>
        <x:v>3</x:v>
      </x:c>
      <x:c r="V1370" s="19" t="n">
        <x:f>M1370+IF(AND(S1370=1,J1370=2),1,0)</x:f>
        <x:v>2</x:v>
      </x:c>
      <x:c r="W1370" s="19" t="n">
        <x:f>SUM(T1370:V1370)</x:f>
        <x:v>7</x:v>
      </x:c>
      <x:c r="X1370" s="19" t="n">
        <x:f>W1370-G1370</x:f>
        <x:v>0</x:v>
      </x:c>
      <x:c r="Y1370" s="19" t="n">
        <x:f>MAX(T1370,1)+MAX(U1370,1)+MAX(V1370,1)</x:f>
        <x:v>7</x:v>
      </x:c>
      <x:c r="Z1370" s="21" t="str">
        <x:f>IF(AND(MIN(D1370:F1370)&gt;=0,MAX(D1370:F1370)&lt;=7,MAX(D1370,1)+MAX(E1370,1)+MAX(F1370,1)&lt;=9,OR(H1370="-",AND(H1370=0,D1370&gt;0),AND(H1370=1,E1370&gt;0),AND(H1370=2,F1370&gt;0)),OR(I1370=0,AND(I1370=1,OR(J1370=0,J1370=1,J1370=2),R1370&lt;&gt;"000")),Y1370&lt;=9,MIN(T1370:V1370)&gt;=0),"合法","输入违约")</x:f>
        <x:v>合法</x:v>
      </x:c>
    </x:row>
    <x:row r="1371" ht="23" customHeight="1">
      <x:c r="A1371" s="3" t="str">
        <x:v>CT-1364</x:v>
      </x:c>
      <x:c r="B1371" s="3" t="str">
        <x:v>ST-103</x:v>
      </x:c>
      <x:c r="C1371" s="3" t="str">
        <x:v>R+AR同收同发</x:v>
      </x:c>
      <x:c r="D1371" s="25" t="n">
        <x:v>2</x:v>
      </x:c>
      <x:c r="E1371" s="25" t="n">
        <x:v>3</x:v>
      </x:c>
      <x:c r="F1371" s="25" t="n">
        <x:v>2</x:v>
      </x:c>
      <x:c r="G1371" s="19" t="n">
        <x:f>SUM(D1371:F1371)</x:f>
        <x:v>7</x:v>
      </x:c>
      <x:c r="H1371" s="25" t="n">
        <x:v>0</x:v>
      </x:c>
      <x:c r="I1371" s="25" t="n">
        <x:v>1</x:v>
      </x:c>
      <x:c r="J1371" s="25" t="n">
        <x:v>1</x:v>
      </x:c>
      <x:c r="K1371" s="19" t="n">
        <x:f>D1371-IF(H1371=0,1,0)</x:f>
        <x:v>1</x:v>
      </x:c>
      <x:c r="L1371" s="19" t="n">
        <x:f>E1371-IF(H1371=1,1,0)</x:f>
        <x:v>3</x:v>
      </x:c>
      <x:c r="M1371" s="19" t="n">
        <x:f>F1371-IF(H1371=2,1,0)</x:f>
        <x:v>2</x:v>
      </x:c>
      <x:c r="N1371" s="19" t="n">
        <x:f>MAX(K1371-1,0)+MAX(L1371-1,0)+MAX(M1371-1,0)</x:f>
        <x:v>3</x:v>
      </x:c>
      <x:c r="O1371" s="19" t="n">
        <x:f>IF(AND(SUM(K1371:M1371)&lt;9,OR(M1371=0,N1371&lt;6)),1,0)</x:f>
        <x:v>1</x:v>
      </x:c>
      <x:c r="P1371" s="19" t="n">
        <x:f>IF(AND(SUM(K1371:M1371)&lt;9,OR(L1371=0,N1371&lt;6)),1,0)</x:f>
        <x:v>1</x:v>
      </x:c>
      <x:c r="Q1371" s="19" t="n">
        <x:f>IF(AND(SUM(K1371:M1371)&lt;9,OR(K1371=0,N1371&lt;6)),1,0)</x:f>
        <x:v>1</x:v>
      </x:c>
      <x:c r="R1371" s="22" t="str">
        <x:f>O1371&amp;P1371&amp;Q1371</x:f>
        <x:v>111</x:v>
      </x:c>
      <x:c r="S1371" s="19" t="n">
        <x:f>IF(I1371=1,IF(J1371=0,Q1371,IF(J1371=1,P1371,IF(J1371=2,O1371,0))),0)</x:f>
        <x:v>1</x:v>
      </x:c>
      <x:c r="T1371" s="19" t="n">
        <x:f>K1371+IF(AND(S1371=1,J1371=0),1,0)</x:f>
        <x:v>1</x:v>
      </x:c>
      <x:c r="U1371" s="19" t="n">
        <x:f>L1371+IF(AND(S1371=1,J1371=1),1,0)</x:f>
        <x:v>4</x:v>
      </x:c>
      <x:c r="V1371" s="19" t="n">
        <x:f>M1371+IF(AND(S1371=1,J1371=2),1,0)</x:f>
        <x:v>2</x:v>
      </x:c>
      <x:c r="W1371" s="19" t="n">
        <x:f>SUM(T1371:V1371)</x:f>
        <x:v>7</x:v>
      </x:c>
      <x:c r="X1371" s="19" t="n">
        <x:f>W1371-G1371</x:f>
        <x:v>0</x:v>
      </x:c>
      <x:c r="Y1371" s="19" t="n">
        <x:f>MAX(T1371,1)+MAX(U1371,1)+MAX(V1371,1)</x:f>
        <x:v>7</x:v>
      </x:c>
      <x:c r="Z1371" s="21" t="str">
        <x:f>IF(AND(MIN(D1371:F1371)&gt;=0,MAX(D1371:F1371)&lt;=7,MAX(D1371,1)+MAX(E1371,1)+MAX(F1371,1)&lt;=9,OR(H1371="-",AND(H1371=0,D1371&gt;0),AND(H1371=1,E1371&gt;0),AND(H1371=2,F1371&gt;0)),OR(I1371=0,AND(I1371=1,OR(J1371=0,J1371=1,J1371=2),R1371&lt;&gt;"000")),Y1371&lt;=9,MIN(T1371:V1371)&gt;=0),"合法","输入违约")</x:f>
        <x:v>合法</x:v>
      </x:c>
    </x:row>
    <x:row r="1372" ht="23" customHeight="1">
      <x:c r="A1372" s="3" t="str">
        <x:v>CT-1365</x:v>
      </x:c>
      <x:c r="B1372" s="3" t="str">
        <x:v>ST-103</x:v>
      </x:c>
      <x:c r="C1372" s="3" t="str">
        <x:v>R+AR同收同发</x:v>
      </x:c>
      <x:c r="D1372" s="25" t="n">
        <x:v>2</x:v>
      </x:c>
      <x:c r="E1372" s="25" t="n">
        <x:v>3</x:v>
      </x:c>
      <x:c r="F1372" s="25" t="n">
        <x:v>2</x:v>
      </x:c>
      <x:c r="G1372" s="19" t="n">
        <x:f>SUM(D1372:F1372)</x:f>
        <x:v>7</x:v>
      </x:c>
      <x:c r="H1372" s="25" t="n">
        <x:v>0</x:v>
      </x:c>
      <x:c r="I1372" s="25" t="n">
        <x:v>1</x:v>
      </x:c>
      <x:c r="J1372" s="25" t="n">
        <x:v>2</x:v>
      </x:c>
      <x:c r="K1372" s="19" t="n">
        <x:f>D1372-IF(H1372=0,1,0)</x:f>
        <x:v>1</x:v>
      </x:c>
      <x:c r="L1372" s="19" t="n">
        <x:f>E1372-IF(H1372=1,1,0)</x:f>
        <x:v>3</x:v>
      </x:c>
      <x:c r="M1372" s="19" t="n">
        <x:f>F1372-IF(H1372=2,1,0)</x:f>
        <x:v>2</x:v>
      </x:c>
      <x:c r="N1372" s="19" t="n">
        <x:f>MAX(K1372-1,0)+MAX(L1372-1,0)+MAX(M1372-1,0)</x:f>
        <x:v>3</x:v>
      </x:c>
      <x:c r="O1372" s="19" t="n">
        <x:f>IF(AND(SUM(K1372:M1372)&lt;9,OR(M1372=0,N1372&lt;6)),1,0)</x:f>
        <x:v>1</x:v>
      </x:c>
      <x:c r="P1372" s="19" t="n">
        <x:f>IF(AND(SUM(K1372:M1372)&lt;9,OR(L1372=0,N1372&lt;6)),1,0)</x:f>
        <x:v>1</x:v>
      </x:c>
      <x:c r="Q1372" s="19" t="n">
        <x:f>IF(AND(SUM(K1372:M1372)&lt;9,OR(K1372=0,N1372&lt;6)),1,0)</x:f>
        <x:v>1</x:v>
      </x:c>
      <x:c r="R1372" s="22" t="str">
        <x:f>O1372&amp;P1372&amp;Q1372</x:f>
        <x:v>111</x:v>
      </x:c>
      <x:c r="S1372" s="19" t="n">
        <x:f>IF(I1372=1,IF(J1372=0,Q1372,IF(J1372=1,P1372,IF(J1372=2,O1372,0))),0)</x:f>
        <x:v>1</x:v>
      </x:c>
      <x:c r="T1372" s="19" t="n">
        <x:f>K1372+IF(AND(S1372=1,J1372=0),1,0)</x:f>
        <x:v>1</x:v>
      </x:c>
      <x:c r="U1372" s="19" t="n">
        <x:f>L1372+IF(AND(S1372=1,J1372=1),1,0)</x:f>
        <x:v>3</x:v>
      </x:c>
      <x:c r="V1372" s="19" t="n">
        <x:f>M1372+IF(AND(S1372=1,J1372=2),1,0)</x:f>
        <x:v>3</x:v>
      </x:c>
      <x:c r="W1372" s="19" t="n">
        <x:f>SUM(T1372:V1372)</x:f>
        <x:v>7</x:v>
      </x:c>
      <x:c r="X1372" s="19" t="n">
        <x:f>W1372-G1372</x:f>
        <x:v>0</x:v>
      </x:c>
      <x:c r="Y1372" s="19" t="n">
        <x:f>MAX(T1372,1)+MAX(U1372,1)+MAX(V1372,1)</x:f>
        <x:v>7</x:v>
      </x:c>
      <x:c r="Z1372" s="21" t="str">
        <x:f>IF(AND(MIN(D1372:F1372)&gt;=0,MAX(D1372:F1372)&lt;=7,MAX(D1372,1)+MAX(E1372,1)+MAX(F1372,1)&lt;=9,OR(H1372="-",AND(H1372=0,D1372&gt;0),AND(H1372=1,E1372&gt;0),AND(H1372=2,F1372&gt;0)),OR(I1372=0,AND(I1372=1,OR(J1372=0,J1372=1,J1372=2),R1372&lt;&gt;"000")),Y1372&lt;=9,MIN(T1372:V1372)&gt;=0),"合法","输入违约")</x:f>
        <x:v>合法</x:v>
      </x:c>
    </x:row>
    <x:row r="1373" ht="23" customHeight="1">
      <x:c r="A1373" s="3" t="str">
        <x:v>CT-1366</x:v>
      </x:c>
      <x:c r="B1373" s="3" t="str">
        <x:v>ST-103</x:v>
      </x:c>
      <x:c r="C1373" s="3" t="str">
        <x:v>仅R回收</x:v>
      </x:c>
      <x:c r="D1373" s="25" t="n">
        <x:v>2</x:v>
      </x:c>
      <x:c r="E1373" s="25" t="n">
        <x:v>3</x:v>
      </x:c>
      <x:c r="F1373" s="25" t="n">
        <x:v>2</x:v>
      </x:c>
      <x:c r="G1373" s="19" t="n">
        <x:f>SUM(D1373:F1373)</x:f>
        <x:v>7</x:v>
      </x:c>
      <x:c r="H1373" s="25" t="n">
        <x:v>1</x:v>
      </x:c>
      <x:c r="I1373" s="25" t="n">
        <x:v>0</x:v>
      </x:c>
      <x:c r="J1373" s="25" t="str">
        <x:v>-</x:v>
      </x:c>
      <x:c r="K1373" s="19" t="n">
        <x:f>D1373-IF(H1373=0,1,0)</x:f>
        <x:v>2</x:v>
      </x:c>
      <x:c r="L1373" s="19" t="n">
        <x:f>E1373-IF(H1373=1,1,0)</x:f>
        <x:v>2</x:v>
      </x:c>
      <x:c r="M1373" s="19" t="n">
        <x:f>F1373-IF(H1373=2,1,0)</x:f>
        <x:v>2</x:v>
      </x:c>
      <x:c r="N1373" s="19" t="n">
        <x:f>MAX(K1373-1,0)+MAX(L1373-1,0)+MAX(M1373-1,0)</x:f>
        <x:v>3</x:v>
      </x:c>
      <x:c r="O1373" s="19" t="n">
        <x:f>IF(AND(SUM(K1373:M1373)&lt;9,OR(M1373=0,N1373&lt;6)),1,0)</x:f>
        <x:v>1</x:v>
      </x:c>
      <x:c r="P1373" s="19" t="n">
        <x:f>IF(AND(SUM(K1373:M1373)&lt;9,OR(L1373=0,N1373&lt;6)),1,0)</x:f>
        <x:v>1</x:v>
      </x:c>
      <x:c r="Q1373" s="19" t="n">
        <x:f>IF(AND(SUM(K1373:M1373)&lt;9,OR(K1373=0,N1373&lt;6)),1,0)</x:f>
        <x:v>1</x:v>
      </x:c>
      <x:c r="R1373" s="22" t="str">
        <x:f>O1373&amp;P1373&amp;Q1373</x:f>
        <x:v>111</x:v>
      </x:c>
      <x:c r="S1373" s="19" t="n">
        <x:f>IF(I1373=1,IF(J1373=0,Q1373,IF(J1373=1,P1373,IF(J1373=2,O1373,0))),0)</x:f>
        <x:v>0</x:v>
      </x:c>
      <x:c r="T1373" s="19" t="n">
        <x:f>K1373+IF(AND(S1373=1,J1373=0),1,0)</x:f>
        <x:v>2</x:v>
      </x:c>
      <x:c r="U1373" s="19" t="n">
        <x:f>L1373+IF(AND(S1373=1,J1373=1),1,0)</x:f>
        <x:v>2</x:v>
      </x:c>
      <x:c r="V1373" s="19" t="n">
        <x:f>M1373+IF(AND(S1373=1,J1373=2),1,0)</x:f>
        <x:v>2</x:v>
      </x:c>
      <x:c r="W1373" s="19" t="n">
        <x:f>SUM(T1373:V1373)</x:f>
        <x:v>6</x:v>
      </x:c>
      <x:c r="X1373" s="19" t="n">
        <x:f>W1373-G1373</x:f>
        <x:v>-1</x:v>
      </x:c>
      <x:c r="Y1373" s="19" t="n">
        <x:f>MAX(T1373,1)+MAX(U1373,1)+MAX(V1373,1)</x:f>
        <x:v>6</x:v>
      </x:c>
      <x:c r="Z1373" s="21" t="str">
        <x:f>IF(AND(MIN(D1373:F1373)&gt;=0,MAX(D1373:F1373)&lt;=7,MAX(D1373,1)+MAX(E1373,1)+MAX(F1373,1)&lt;=9,OR(H1373="-",AND(H1373=0,D1373&gt;0),AND(H1373=1,E1373&gt;0),AND(H1373=2,F1373&gt;0)),OR(I1373=0,AND(I1373=1,OR(J1373=0,J1373=1,J1373=2),R1373&lt;&gt;"000")),Y1373&lt;=9,MIN(T1373:V1373)&gt;=0),"合法","输入违约")</x:f>
        <x:v>合法</x:v>
      </x:c>
    </x:row>
    <x:row r="1374" ht="23" customHeight="1">
      <x:c r="A1374" s="3" t="str">
        <x:v>CT-1367</x:v>
      </x:c>
      <x:c r="B1374" s="3" t="str">
        <x:v>ST-103</x:v>
      </x:c>
      <x:c r="C1374" s="3" t="str">
        <x:v>R+AR同收同发</x:v>
      </x:c>
      <x:c r="D1374" s="25" t="n">
        <x:v>2</x:v>
      </x:c>
      <x:c r="E1374" s="25" t="n">
        <x:v>3</x:v>
      </x:c>
      <x:c r="F1374" s="25" t="n">
        <x:v>2</x:v>
      </x:c>
      <x:c r="G1374" s="19" t="n">
        <x:f>SUM(D1374:F1374)</x:f>
        <x:v>7</x:v>
      </x:c>
      <x:c r="H1374" s="25" t="n">
        <x:v>1</x:v>
      </x:c>
      <x:c r="I1374" s="25" t="n">
        <x:v>1</x:v>
      </x:c>
      <x:c r="J1374" s="25" t="n">
        <x:v>0</x:v>
      </x:c>
      <x:c r="K1374" s="19" t="n">
        <x:f>D1374-IF(H1374=0,1,0)</x:f>
        <x:v>2</x:v>
      </x:c>
      <x:c r="L1374" s="19" t="n">
        <x:f>E1374-IF(H1374=1,1,0)</x:f>
        <x:v>2</x:v>
      </x:c>
      <x:c r="M1374" s="19" t="n">
        <x:f>F1374-IF(H1374=2,1,0)</x:f>
        <x:v>2</x:v>
      </x:c>
      <x:c r="N1374" s="19" t="n">
        <x:f>MAX(K1374-1,0)+MAX(L1374-1,0)+MAX(M1374-1,0)</x:f>
        <x:v>3</x:v>
      </x:c>
      <x:c r="O1374" s="19" t="n">
        <x:f>IF(AND(SUM(K1374:M1374)&lt;9,OR(M1374=0,N1374&lt;6)),1,0)</x:f>
        <x:v>1</x:v>
      </x:c>
      <x:c r="P1374" s="19" t="n">
        <x:f>IF(AND(SUM(K1374:M1374)&lt;9,OR(L1374=0,N1374&lt;6)),1,0)</x:f>
        <x:v>1</x:v>
      </x:c>
      <x:c r="Q1374" s="19" t="n">
        <x:f>IF(AND(SUM(K1374:M1374)&lt;9,OR(K1374=0,N1374&lt;6)),1,0)</x:f>
        <x:v>1</x:v>
      </x:c>
      <x:c r="R1374" s="22" t="str">
        <x:f>O1374&amp;P1374&amp;Q1374</x:f>
        <x:v>111</x:v>
      </x:c>
      <x:c r="S1374" s="19" t="n">
        <x:f>IF(I1374=1,IF(J1374=0,Q1374,IF(J1374=1,P1374,IF(J1374=2,O1374,0))),0)</x:f>
        <x:v>1</x:v>
      </x:c>
      <x:c r="T1374" s="19" t="n">
        <x:f>K1374+IF(AND(S1374=1,J1374=0),1,0)</x:f>
        <x:v>3</x:v>
      </x:c>
      <x:c r="U1374" s="19" t="n">
        <x:f>L1374+IF(AND(S1374=1,J1374=1),1,0)</x:f>
        <x:v>2</x:v>
      </x:c>
      <x:c r="V1374" s="19" t="n">
        <x:f>M1374+IF(AND(S1374=1,J1374=2),1,0)</x:f>
        <x:v>2</x:v>
      </x:c>
      <x:c r="W1374" s="19" t="n">
        <x:f>SUM(T1374:V1374)</x:f>
        <x:v>7</x:v>
      </x:c>
      <x:c r="X1374" s="19" t="n">
        <x:f>W1374-G1374</x:f>
        <x:v>0</x:v>
      </x:c>
      <x:c r="Y1374" s="19" t="n">
        <x:f>MAX(T1374,1)+MAX(U1374,1)+MAX(V1374,1)</x:f>
        <x:v>7</x:v>
      </x:c>
      <x:c r="Z1374" s="21" t="str">
        <x:f>IF(AND(MIN(D1374:F1374)&gt;=0,MAX(D1374:F1374)&lt;=7,MAX(D1374,1)+MAX(E1374,1)+MAX(F1374,1)&lt;=9,OR(H1374="-",AND(H1374=0,D1374&gt;0),AND(H1374=1,E1374&gt;0),AND(H1374=2,F1374&gt;0)),OR(I1374=0,AND(I1374=1,OR(J1374=0,J1374=1,J1374=2),R1374&lt;&gt;"000")),Y1374&lt;=9,MIN(T1374:V1374)&gt;=0),"合法","输入违约")</x:f>
        <x:v>合法</x:v>
      </x:c>
    </x:row>
    <x:row r="1375" ht="23" customHeight="1">
      <x:c r="A1375" s="3" t="str">
        <x:v>CT-1368</x:v>
      </x:c>
      <x:c r="B1375" s="3" t="str">
        <x:v>ST-103</x:v>
      </x:c>
      <x:c r="C1375" s="3" t="str">
        <x:v>R+AR同收同发</x:v>
      </x:c>
      <x:c r="D1375" s="25" t="n">
        <x:v>2</x:v>
      </x:c>
      <x:c r="E1375" s="25" t="n">
        <x:v>3</x:v>
      </x:c>
      <x:c r="F1375" s="25" t="n">
        <x:v>2</x:v>
      </x:c>
      <x:c r="G1375" s="19" t="n">
        <x:f>SUM(D1375:F1375)</x:f>
        <x:v>7</x:v>
      </x:c>
      <x:c r="H1375" s="25" t="n">
        <x:v>1</x:v>
      </x:c>
      <x:c r="I1375" s="25" t="n">
        <x:v>1</x:v>
      </x:c>
      <x:c r="J1375" s="25" t="n">
        <x:v>1</x:v>
      </x:c>
      <x:c r="K1375" s="19" t="n">
        <x:f>D1375-IF(H1375=0,1,0)</x:f>
        <x:v>2</x:v>
      </x:c>
      <x:c r="L1375" s="19" t="n">
        <x:f>E1375-IF(H1375=1,1,0)</x:f>
        <x:v>2</x:v>
      </x:c>
      <x:c r="M1375" s="19" t="n">
        <x:f>F1375-IF(H1375=2,1,0)</x:f>
        <x:v>2</x:v>
      </x:c>
      <x:c r="N1375" s="19" t="n">
        <x:f>MAX(K1375-1,0)+MAX(L1375-1,0)+MAX(M1375-1,0)</x:f>
        <x:v>3</x:v>
      </x:c>
      <x:c r="O1375" s="19" t="n">
        <x:f>IF(AND(SUM(K1375:M1375)&lt;9,OR(M1375=0,N1375&lt;6)),1,0)</x:f>
        <x:v>1</x:v>
      </x:c>
      <x:c r="P1375" s="19" t="n">
        <x:f>IF(AND(SUM(K1375:M1375)&lt;9,OR(L1375=0,N1375&lt;6)),1,0)</x:f>
        <x:v>1</x:v>
      </x:c>
      <x:c r="Q1375" s="19" t="n">
        <x:f>IF(AND(SUM(K1375:M1375)&lt;9,OR(K1375=0,N1375&lt;6)),1,0)</x:f>
        <x:v>1</x:v>
      </x:c>
      <x:c r="R1375" s="22" t="str">
        <x:f>O1375&amp;P1375&amp;Q1375</x:f>
        <x:v>111</x:v>
      </x:c>
      <x:c r="S1375" s="19" t="n">
        <x:f>IF(I1375=1,IF(J1375=0,Q1375,IF(J1375=1,P1375,IF(J1375=2,O1375,0))),0)</x:f>
        <x:v>1</x:v>
      </x:c>
      <x:c r="T1375" s="19" t="n">
        <x:f>K1375+IF(AND(S1375=1,J1375=0),1,0)</x:f>
        <x:v>2</x:v>
      </x:c>
      <x:c r="U1375" s="19" t="n">
        <x:f>L1375+IF(AND(S1375=1,J1375=1),1,0)</x:f>
        <x:v>3</x:v>
      </x:c>
      <x:c r="V1375" s="19" t="n">
        <x:f>M1375+IF(AND(S1375=1,J1375=2),1,0)</x:f>
        <x:v>2</x:v>
      </x:c>
      <x:c r="W1375" s="19" t="n">
        <x:f>SUM(T1375:V1375)</x:f>
        <x:v>7</x:v>
      </x:c>
      <x:c r="X1375" s="19" t="n">
        <x:f>W1375-G1375</x:f>
        <x:v>0</x:v>
      </x:c>
      <x:c r="Y1375" s="19" t="n">
        <x:f>MAX(T1375,1)+MAX(U1375,1)+MAX(V1375,1)</x:f>
        <x:v>7</x:v>
      </x:c>
      <x:c r="Z1375" s="21" t="str">
        <x:f>IF(AND(MIN(D1375:F1375)&gt;=0,MAX(D1375:F1375)&lt;=7,MAX(D1375,1)+MAX(E1375,1)+MAX(F1375,1)&lt;=9,OR(H1375="-",AND(H1375=0,D1375&gt;0),AND(H1375=1,E1375&gt;0),AND(H1375=2,F1375&gt;0)),OR(I1375=0,AND(I1375=1,OR(J1375=0,J1375=1,J1375=2),R1375&lt;&gt;"000")),Y1375&lt;=9,MIN(T1375:V1375)&gt;=0),"合法","输入违约")</x:f>
        <x:v>合法</x:v>
      </x:c>
    </x:row>
    <x:row r="1376" ht="23" customHeight="1">
      <x:c r="A1376" s="3" t="str">
        <x:v>CT-1369</x:v>
      </x:c>
      <x:c r="B1376" s="3" t="str">
        <x:v>ST-103</x:v>
      </x:c>
      <x:c r="C1376" s="3" t="str">
        <x:v>R+AR同收同发</x:v>
      </x:c>
      <x:c r="D1376" s="25" t="n">
        <x:v>2</x:v>
      </x:c>
      <x:c r="E1376" s="25" t="n">
        <x:v>3</x:v>
      </x:c>
      <x:c r="F1376" s="25" t="n">
        <x:v>2</x:v>
      </x:c>
      <x:c r="G1376" s="19" t="n">
        <x:f>SUM(D1376:F1376)</x:f>
        <x:v>7</x:v>
      </x:c>
      <x:c r="H1376" s="25" t="n">
        <x:v>1</x:v>
      </x:c>
      <x:c r="I1376" s="25" t="n">
        <x:v>1</x:v>
      </x:c>
      <x:c r="J1376" s="25" t="n">
        <x:v>2</x:v>
      </x:c>
      <x:c r="K1376" s="19" t="n">
        <x:f>D1376-IF(H1376=0,1,0)</x:f>
        <x:v>2</x:v>
      </x:c>
      <x:c r="L1376" s="19" t="n">
        <x:f>E1376-IF(H1376=1,1,0)</x:f>
        <x:v>2</x:v>
      </x:c>
      <x:c r="M1376" s="19" t="n">
        <x:f>F1376-IF(H1376=2,1,0)</x:f>
        <x:v>2</x:v>
      </x:c>
      <x:c r="N1376" s="19" t="n">
        <x:f>MAX(K1376-1,0)+MAX(L1376-1,0)+MAX(M1376-1,0)</x:f>
        <x:v>3</x:v>
      </x:c>
      <x:c r="O1376" s="19" t="n">
        <x:f>IF(AND(SUM(K1376:M1376)&lt;9,OR(M1376=0,N1376&lt;6)),1,0)</x:f>
        <x:v>1</x:v>
      </x:c>
      <x:c r="P1376" s="19" t="n">
        <x:f>IF(AND(SUM(K1376:M1376)&lt;9,OR(L1376=0,N1376&lt;6)),1,0)</x:f>
        <x:v>1</x:v>
      </x:c>
      <x:c r="Q1376" s="19" t="n">
        <x:f>IF(AND(SUM(K1376:M1376)&lt;9,OR(K1376=0,N1376&lt;6)),1,0)</x:f>
        <x:v>1</x:v>
      </x:c>
      <x:c r="R1376" s="22" t="str">
        <x:f>O1376&amp;P1376&amp;Q1376</x:f>
        <x:v>111</x:v>
      </x:c>
      <x:c r="S1376" s="19" t="n">
        <x:f>IF(I1376=1,IF(J1376=0,Q1376,IF(J1376=1,P1376,IF(J1376=2,O1376,0))),0)</x:f>
        <x:v>1</x:v>
      </x:c>
      <x:c r="T1376" s="19" t="n">
        <x:f>K1376+IF(AND(S1376=1,J1376=0),1,0)</x:f>
        <x:v>2</x:v>
      </x:c>
      <x:c r="U1376" s="19" t="n">
        <x:f>L1376+IF(AND(S1376=1,J1376=1),1,0)</x:f>
        <x:v>2</x:v>
      </x:c>
      <x:c r="V1376" s="19" t="n">
        <x:f>M1376+IF(AND(S1376=1,J1376=2),1,0)</x:f>
        <x:v>3</x:v>
      </x:c>
      <x:c r="W1376" s="19" t="n">
        <x:f>SUM(T1376:V1376)</x:f>
        <x:v>7</x:v>
      </x:c>
      <x:c r="X1376" s="19" t="n">
        <x:f>W1376-G1376</x:f>
        <x:v>0</x:v>
      </x:c>
      <x:c r="Y1376" s="19" t="n">
        <x:f>MAX(T1376,1)+MAX(U1376,1)+MAX(V1376,1)</x:f>
        <x:v>7</x:v>
      </x:c>
      <x:c r="Z1376" s="21" t="str">
        <x:f>IF(AND(MIN(D1376:F1376)&gt;=0,MAX(D1376:F1376)&lt;=7,MAX(D1376,1)+MAX(E1376,1)+MAX(F1376,1)&lt;=9,OR(H1376="-",AND(H1376=0,D1376&gt;0),AND(H1376=1,E1376&gt;0),AND(H1376=2,F1376&gt;0)),OR(I1376=0,AND(I1376=1,OR(J1376=0,J1376=1,J1376=2),R1376&lt;&gt;"000")),Y1376&lt;=9,MIN(T1376:V1376)&gt;=0),"合法","输入违约")</x:f>
        <x:v>合法</x:v>
      </x:c>
    </x:row>
    <x:row r="1377" ht="23" customHeight="1">
      <x:c r="A1377" s="3" t="str">
        <x:v>CT-1370</x:v>
      </x:c>
      <x:c r="B1377" s="3" t="str">
        <x:v>ST-103</x:v>
      </x:c>
      <x:c r="C1377" s="3" t="str">
        <x:v>仅R回收</x:v>
      </x:c>
      <x:c r="D1377" s="25" t="n">
        <x:v>2</x:v>
      </x:c>
      <x:c r="E1377" s="25" t="n">
        <x:v>3</x:v>
      </x:c>
      <x:c r="F1377" s="25" t="n">
        <x:v>2</x:v>
      </x:c>
      <x:c r="G1377" s="19" t="n">
        <x:f>SUM(D1377:F1377)</x:f>
        <x:v>7</x:v>
      </x:c>
      <x:c r="H1377" s="25" t="n">
        <x:v>2</x:v>
      </x:c>
      <x:c r="I1377" s="25" t="n">
        <x:v>0</x:v>
      </x:c>
      <x:c r="J1377" s="25" t="str">
        <x:v>-</x:v>
      </x:c>
      <x:c r="K1377" s="19" t="n">
        <x:f>D1377-IF(H1377=0,1,0)</x:f>
        <x:v>2</x:v>
      </x:c>
      <x:c r="L1377" s="19" t="n">
        <x:f>E1377-IF(H1377=1,1,0)</x:f>
        <x:v>3</x:v>
      </x:c>
      <x:c r="M1377" s="19" t="n">
        <x:f>F1377-IF(H1377=2,1,0)</x:f>
        <x:v>1</x:v>
      </x:c>
      <x:c r="N1377" s="19" t="n">
        <x:f>MAX(K1377-1,0)+MAX(L1377-1,0)+MAX(M1377-1,0)</x:f>
        <x:v>3</x:v>
      </x:c>
      <x:c r="O1377" s="19" t="n">
        <x:f>IF(AND(SUM(K1377:M1377)&lt;9,OR(M1377=0,N1377&lt;6)),1,0)</x:f>
        <x:v>1</x:v>
      </x:c>
      <x:c r="P1377" s="19" t="n">
        <x:f>IF(AND(SUM(K1377:M1377)&lt;9,OR(L1377=0,N1377&lt;6)),1,0)</x:f>
        <x:v>1</x:v>
      </x:c>
      <x:c r="Q1377" s="19" t="n">
        <x:f>IF(AND(SUM(K1377:M1377)&lt;9,OR(K1377=0,N1377&lt;6)),1,0)</x:f>
        <x:v>1</x:v>
      </x:c>
      <x:c r="R1377" s="22" t="str">
        <x:f>O1377&amp;P1377&amp;Q1377</x:f>
        <x:v>111</x:v>
      </x:c>
      <x:c r="S1377" s="19" t="n">
        <x:f>IF(I1377=1,IF(J1377=0,Q1377,IF(J1377=1,P1377,IF(J1377=2,O1377,0))),0)</x:f>
        <x:v>0</x:v>
      </x:c>
      <x:c r="T1377" s="19" t="n">
        <x:f>K1377+IF(AND(S1377=1,J1377=0),1,0)</x:f>
        <x:v>2</x:v>
      </x:c>
      <x:c r="U1377" s="19" t="n">
        <x:f>L1377+IF(AND(S1377=1,J1377=1),1,0)</x:f>
        <x:v>3</x:v>
      </x:c>
      <x:c r="V1377" s="19" t="n">
        <x:f>M1377+IF(AND(S1377=1,J1377=2),1,0)</x:f>
        <x:v>1</x:v>
      </x:c>
      <x:c r="W1377" s="19" t="n">
        <x:f>SUM(T1377:V1377)</x:f>
        <x:v>6</x:v>
      </x:c>
      <x:c r="X1377" s="19" t="n">
        <x:f>W1377-G1377</x:f>
        <x:v>-1</x:v>
      </x:c>
      <x:c r="Y1377" s="19" t="n">
        <x:f>MAX(T1377,1)+MAX(U1377,1)+MAX(V1377,1)</x:f>
        <x:v>6</x:v>
      </x:c>
      <x:c r="Z1377" s="21" t="str">
        <x:f>IF(AND(MIN(D1377:F1377)&gt;=0,MAX(D1377:F1377)&lt;=7,MAX(D1377,1)+MAX(E1377,1)+MAX(F1377,1)&lt;=9,OR(H1377="-",AND(H1377=0,D1377&gt;0),AND(H1377=1,E1377&gt;0),AND(H1377=2,F1377&gt;0)),OR(I1377=0,AND(I1377=1,OR(J1377=0,J1377=1,J1377=2),R1377&lt;&gt;"000")),Y1377&lt;=9,MIN(T1377:V1377)&gt;=0),"合法","输入违约")</x:f>
        <x:v>合法</x:v>
      </x:c>
    </x:row>
    <x:row r="1378" ht="23" customHeight="1">
      <x:c r="A1378" s="3" t="str">
        <x:v>CT-1371</x:v>
      </x:c>
      <x:c r="B1378" s="3" t="str">
        <x:v>ST-103</x:v>
      </x:c>
      <x:c r="C1378" s="3" t="str">
        <x:v>R+AR同收同发</x:v>
      </x:c>
      <x:c r="D1378" s="25" t="n">
        <x:v>2</x:v>
      </x:c>
      <x:c r="E1378" s="25" t="n">
        <x:v>3</x:v>
      </x:c>
      <x:c r="F1378" s="25" t="n">
        <x:v>2</x:v>
      </x:c>
      <x:c r="G1378" s="19" t="n">
        <x:f>SUM(D1378:F1378)</x:f>
        <x:v>7</x:v>
      </x:c>
      <x:c r="H1378" s="25" t="n">
        <x:v>2</x:v>
      </x:c>
      <x:c r="I1378" s="25" t="n">
        <x:v>1</x:v>
      </x:c>
      <x:c r="J1378" s="25" t="n">
        <x:v>0</x:v>
      </x:c>
      <x:c r="K1378" s="19" t="n">
        <x:f>D1378-IF(H1378=0,1,0)</x:f>
        <x:v>2</x:v>
      </x:c>
      <x:c r="L1378" s="19" t="n">
        <x:f>E1378-IF(H1378=1,1,0)</x:f>
        <x:v>3</x:v>
      </x:c>
      <x:c r="M1378" s="19" t="n">
        <x:f>F1378-IF(H1378=2,1,0)</x:f>
        <x:v>1</x:v>
      </x:c>
      <x:c r="N1378" s="19" t="n">
        <x:f>MAX(K1378-1,0)+MAX(L1378-1,0)+MAX(M1378-1,0)</x:f>
        <x:v>3</x:v>
      </x:c>
      <x:c r="O1378" s="19" t="n">
        <x:f>IF(AND(SUM(K1378:M1378)&lt;9,OR(M1378=0,N1378&lt;6)),1,0)</x:f>
        <x:v>1</x:v>
      </x:c>
      <x:c r="P1378" s="19" t="n">
        <x:f>IF(AND(SUM(K1378:M1378)&lt;9,OR(L1378=0,N1378&lt;6)),1,0)</x:f>
        <x:v>1</x:v>
      </x:c>
      <x:c r="Q1378" s="19" t="n">
        <x:f>IF(AND(SUM(K1378:M1378)&lt;9,OR(K1378=0,N1378&lt;6)),1,0)</x:f>
        <x:v>1</x:v>
      </x:c>
      <x:c r="R1378" s="22" t="str">
        <x:f>O1378&amp;P1378&amp;Q1378</x:f>
        <x:v>111</x:v>
      </x:c>
      <x:c r="S1378" s="19" t="n">
        <x:f>IF(I1378=1,IF(J1378=0,Q1378,IF(J1378=1,P1378,IF(J1378=2,O1378,0))),0)</x:f>
        <x:v>1</x:v>
      </x:c>
      <x:c r="T1378" s="19" t="n">
        <x:f>K1378+IF(AND(S1378=1,J1378=0),1,0)</x:f>
        <x:v>3</x:v>
      </x:c>
      <x:c r="U1378" s="19" t="n">
        <x:f>L1378+IF(AND(S1378=1,J1378=1),1,0)</x:f>
        <x:v>3</x:v>
      </x:c>
      <x:c r="V1378" s="19" t="n">
        <x:f>M1378+IF(AND(S1378=1,J1378=2),1,0)</x:f>
        <x:v>1</x:v>
      </x:c>
      <x:c r="W1378" s="19" t="n">
        <x:f>SUM(T1378:V1378)</x:f>
        <x:v>7</x:v>
      </x:c>
      <x:c r="X1378" s="19" t="n">
        <x:f>W1378-G1378</x:f>
        <x:v>0</x:v>
      </x:c>
      <x:c r="Y1378" s="19" t="n">
        <x:f>MAX(T1378,1)+MAX(U1378,1)+MAX(V1378,1)</x:f>
        <x:v>7</x:v>
      </x:c>
      <x:c r="Z1378" s="21" t="str">
        <x:f>IF(AND(MIN(D1378:F1378)&gt;=0,MAX(D1378:F1378)&lt;=7,MAX(D1378,1)+MAX(E1378,1)+MAX(F1378,1)&lt;=9,OR(H1378="-",AND(H1378=0,D1378&gt;0),AND(H1378=1,E1378&gt;0),AND(H1378=2,F1378&gt;0)),OR(I1378=0,AND(I1378=1,OR(J1378=0,J1378=1,J1378=2),R1378&lt;&gt;"000")),Y1378&lt;=9,MIN(T1378:V1378)&gt;=0),"合法","输入违约")</x:f>
        <x:v>合法</x:v>
      </x:c>
    </x:row>
    <x:row r="1379" ht="23" customHeight="1">
      <x:c r="A1379" s="3" t="str">
        <x:v>CT-1372</x:v>
      </x:c>
      <x:c r="B1379" s="3" t="str">
        <x:v>ST-103</x:v>
      </x:c>
      <x:c r="C1379" s="3" t="str">
        <x:v>R+AR同收同发</x:v>
      </x:c>
      <x:c r="D1379" s="25" t="n">
        <x:v>2</x:v>
      </x:c>
      <x:c r="E1379" s="25" t="n">
        <x:v>3</x:v>
      </x:c>
      <x:c r="F1379" s="25" t="n">
        <x:v>2</x:v>
      </x:c>
      <x:c r="G1379" s="19" t="n">
        <x:f>SUM(D1379:F1379)</x:f>
        <x:v>7</x:v>
      </x:c>
      <x:c r="H1379" s="25" t="n">
        <x:v>2</x:v>
      </x:c>
      <x:c r="I1379" s="25" t="n">
        <x:v>1</x:v>
      </x:c>
      <x:c r="J1379" s="25" t="n">
        <x:v>1</x:v>
      </x:c>
      <x:c r="K1379" s="19" t="n">
        <x:f>D1379-IF(H1379=0,1,0)</x:f>
        <x:v>2</x:v>
      </x:c>
      <x:c r="L1379" s="19" t="n">
        <x:f>E1379-IF(H1379=1,1,0)</x:f>
        <x:v>3</x:v>
      </x:c>
      <x:c r="M1379" s="19" t="n">
        <x:f>F1379-IF(H1379=2,1,0)</x:f>
        <x:v>1</x:v>
      </x:c>
      <x:c r="N1379" s="19" t="n">
        <x:f>MAX(K1379-1,0)+MAX(L1379-1,0)+MAX(M1379-1,0)</x:f>
        <x:v>3</x:v>
      </x:c>
      <x:c r="O1379" s="19" t="n">
        <x:f>IF(AND(SUM(K1379:M1379)&lt;9,OR(M1379=0,N1379&lt;6)),1,0)</x:f>
        <x:v>1</x:v>
      </x:c>
      <x:c r="P1379" s="19" t="n">
        <x:f>IF(AND(SUM(K1379:M1379)&lt;9,OR(L1379=0,N1379&lt;6)),1,0)</x:f>
        <x:v>1</x:v>
      </x:c>
      <x:c r="Q1379" s="19" t="n">
        <x:f>IF(AND(SUM(K1379:M1379)&lt;9,OR(K1379=0,N1379&lt;6)),1,0)</x:f>
        <x:v>1</x:v>
      </x:c>
      <x:c r="R1379" s="22" t="str">
        <x:f>O1379&amp;P1379&amp;Q1379</x:f>
        <x:v>111</x:v>
      </x:c>
      <x:c r="S1379" s="19" t="n">
        <x:f>IF(I1379=1,IF(J1379=0,Q1379,IF(J1379=1,P1379,IF(J1379=2,O1379,0))),0)</x:f>
        <x:v>1</x:v>
      </x:c>
      <x:c r="T1379" s="19" t="n">
        <x:f>K1379+IF(AND(S1379=1,J1379=0),1,0)</x:f>
        <x:v>2</x:v>
      </x:c>
      <x:c r="U1379" s="19" t="n">
        <x:f>L1379+IF(AND(S1379=1,J1379=1),1,0)</x:f>
        <x:v>4</x:v>
      </x:c>
      <x:c r="V1379" s="19" t="n">
        <x:f>M1379+IF(AND(S1379=1,J1379=2),1,0)</x:f>
        <x:v>1</x:v>
      </x:c>
      <x:c r="W1379" s="19" t="n">
        <x:f>SUM(T1379:V1379)</x:f>
        <x:v>7</x:v>
      </x:c>
      <x:c r="X1379" s="19" t="n">
        <x:f>W1379-G1379</x:f>
        <x:v>0</x:v>
      </x:c>
      <x:c r="Y1379" s="19" t="n">
        <x:f>MAX(T1379,1)+MAX(U1379,1)+MAX(V1379,1)</x:f>
        <x:v>7</x:v>
      </x:c>
      <x:c r="Z1379" s="21" t="str">
        <x:f>IF(AND(MIN(D1379:F1379)&gt;=0,MAX(D1379:F1379)&lt;=7,MAX(D1379,1)+MAX(E1379,1)+MAX(F1379,1)&lt;=9,OR(H1379="-",AND(H1379=0,D1379&gt;0),AND(H1379=1,E1379&gt;0),AND(H1379=2,F1379&gt;0)),OR(I1379=0,AND(I1379=1,OR(J1379=0,J1379=1,J1379=2),R1379&lt;&gt;"000")),Y1379&lt;=9,MIN(T1379:V1379)&gt;=0),"合法","输入违约")</x:f>
        <x:v>合法</x:v>
      </x:c>
    </x:row>
    <x:row r="1380" ht="23" customHeight="1">
      <x:c r="A1380" s="3" t="str">
        <x:v>CT-1373</x:v>
      </x:c>
      <x:c r="B1380" s="3" t="str">
        <x:v>ST-103</x:v>
      </x:c>
      <x:c r="C1380" s="3" t="str">
        <x:v>R+AR同收同发</x:v>
      </x:c>
      <x:c r="D1380" s="25" t="n">
        <x:v>2</x:v>
      </x:c>
      <x:c r="E1380" s="25" t="n">
        <x:v>3</x:v>
      </x:c>
      <x:c r="F1380" s="25" t="n">
        <x:v>2</x:v>
      </x:c>
      <x:c r="G1380" s="19" t="n">
        <x:f>SUM(D1380:F1380)</x:f>
        <x:v>7</x:v>
      </x:c>
      <x:c r="H1380" s="25" t="n">
        <x:v>2</x:v>
      </x:c>
      <x:c r="I1380" s="25" t="n">
        <x:v>1</x:v>
      </x:c>
      <x:c r="J1380" s="25" t="n">
        <x:v>2</x:v>
      </x:c>
      <x:c r="K1380" s="19" t="n">
        <x:f>D1380-IF(H1380=0,1,0)</x:f>
        <x:v>2</x:v>
      </x:c>
      <x:c r="L1380" s="19" t="n">
        <x:f>E1380-IF(H1380=1,1,0)</x:f>
        <x:v>3</x:v>
      </x:c>
      <x:c r="M1380" s="19" t="n">
        <x:f>F1380-IF(H1380=2,1,0)</x:f>
        <x:v>1</x:v>
      </x:c>
      <x:c r="N1380" s="19" t="n">
        <x:f>MAX(K1380-1,0)+MAX(L1380-1,0)+MAX(M1380-1,0)</x:f>
        <x:v>3</x:v>
      </x:c>
      <x:c r="O1380" s="19" t="n">
        <x:f>IF(AND(SUM(K1380:M1380)&lt;9,OR(M1380=0,N1380&lt;6)),1,0)</x:f>
        <x:v>1</x:v>
      </x:c>
      <x:c r="P1380" s="19" t="n">
        <x:f>IF(AND(SUM(K1380:M1380)&lt;9,OR(L1380=0,N1380&lt;6)),1,0)</x:f>
        <x:v>1</x:v>
      </x:c>
      <x:c r="Q1380" s="19" t="n">
        <x:f>IF(AND(SUM(K1380:M1380)&lt;9,OR(K1380=0,N1380&lt;6)),1,0)</x:f>
        <x:v>1</x:v>
      </x:c>
      <x:c r="R1380" s="22" t="str">
        <x:f>O1380&amp;P1380&amp;Q1380</x:f>
        <x:v>111</x:v>
      </x:c>
      <x:c r="S1380" s="19" t="n">
        <x:f>IF(I1380=1,IF(J1380=0,Q1380,IF(J1380=1,P1380,IF(J1380=2,O1380,0))),0)</x:f>
        <x:v>1</x:v>
      </x:c>
      <x:c r="T1380" s="19" t="n">
        <x:f>K1380+IF(AND(S1380=1,J1380=0),1,0)</x:f>
        <x:v>2</x:v>
      </x:c>
      <x:c r="U1380" s="19" t="n">
        <x:f>L1380+IF(AND(S1380=1,J1380=1),1,0)</x:f>
        <x:v>3</x:v>
      </x:c>
      <x:c r="V1380" s="19" t="n">
        <x:f>M1380+IF(AND(S1380=1,J1380=2),1,0)</x:f>
        <x:v>2</x:v>
      </x:c>
      <x:c r="W1380" s="19" t="n">
        <x:f>SUM(T1380:V1380)</x:f>
        <x:v>7</x:v>
      </x:c>
      <x:c r="X1380" s="19" t="n">
        <x:f>W1380-G1380</x:f>
        <x:v>0</x:v>
      </x:c>
      <x:c r="Y1380" s="19" t="n">
        <x:f>MAX(T1380,1)+MAX(U1380,1)+MAX(V1380,1)</x:f>
        <x:v>7</x:v>
      </x:c>
      <x:c r="Z1380" s="21" t="str">
        <x:f>IF(AND(MIN(D1380:F1380)&gt;=0,MAX(D1380:F1380)&lt;=7,MAX(D1380,1)+MAX(E1380,1)+MAX(F1380,1)&lt;=9,OR(H1380="-",AND(H1380=0,D1380&gt;0),AND(H1380=1,E1380&gt;0),AND(H1380=2,F1380&gt;0)),OR(I1380=0,AND(I1380=1,OR(J1380=0,J1380=1,J1380=2),R1380&lt;&gt;"000")),Y1380&lt;=9,MIN(T1380:V1380)&gt;=0),"合法","输入违约")</x:f>
        <x:v>合法</x:v>
      </x:c>
    </x:row>
    <x:row r="1381" ht="23" customHeight="1">
      <x:c r="A1381" s="3" t="str">
        <x:v>CT-1374</x:v>
      </x:c>
      <x:c r="B1381" s="3" t="str">
        <x:v>ST-139</x:v>
      </x:c>
      <x:c r="C1381" s="3" t="str">
        <x:v>无AR/R</x:v>
      </x:c>
      <x:c r="D1381" s="25" t="n">
        <x:v>2</x:v>
      </x:c>
      <x:c r="E1381" s="25" t="n">
        <x:v>3</x:v>
      </x:c>
      <x:c r="F1381" s="25" t="n">
        <x:v>3</x:v>
      </x:c>
      <x:c r="G1381" s="19" t="n">
        <x:f>SUM(D1381:F1381)</x:f>
        <x:v>8</x:v>
      </x:c>
      <x:c r="H1381" s="25" t="str">
        <x:v>-</x:v>
      </x:c>
      <x:c r="I1381" s="25" t="n">
        <x:v>0</x:v>
      </x:c>
      <x:c r="J1381" s="25" t="str">
        <x:v>-</x:v>
      </x:c>
      <x:c r="K1381" s="19" t="n">
        <x:f>D1381-IF(H1381=0,1,0)</x:f>
        <x:v>2</x:v>
      </x:c>
      <x:c r="L1381" s="19" t="n">
        <x:f>E1381-IF(H1381=1,1,0)</x:f>
        <x:v>3</x:v>
      </x:c>
      <x:c r="M1381" s="19" t="n">
        <x:f>F1381-IF(H1381=2,1,0)</x:f>
        <x:v>3</x:v>
      </x:c>
      <x:c r="N1381" s="19" t="n">
        <x:f>MAX(K1381-1,0)+MAX(L1381-1,0)+MAX(M1381-1,0)</x:f>
        <x:v>5</x:v>
      </x:c>
      <x:c r="O1381" s="19" t="n">
        <x:f>IF(AND(SUM(K1381:M1381)&lt;9,OR(M1381=0,N1381&lt;6)),1,0)</x:f>
        <x:v>1</x:v>
      </x:c>
      <x:c r="P1381" s="19" t="n">
        <x:f>IF(AND(SUM(K1381:M1381)&lt;9,OR(L1381=0,N1381&lt;6)),1,0)</x:f>
        <x:v>1</x:v>
      </x:c>
      <x:c r="Q1381" s="19" t="n">
        <x:f>IF(AND(SUM(K1381:M1381)&lt;9,OR(K1381=0,N1381&lt;6)),1,0)</x:f>
        <x:v>1</x:v>
      </x:c>
      <x:c r="R1381" s="22" t="str">
        <x:f>O1381&amp;P1381&amp;Q1381</x:f>
        <x:v>111</x:v>
      </x:c>
      <x:c r="S1381" s="19" t="n">
        <x:f>IF(I1381=1,IF(J1381=0,Q1381,IF(J1381=1,P1381,IF(J1381=2,O1381,0))),0)</x:f>
        <x:v>0</x:v>
      </x:c>
      <x:c r="T1381" s="19" t="n">
        <x:f>K1381+IF(AND(S1381=1,J1381=0),1,0)</x:f>
        <x:v>2</x:v>
      </x:c>
      <x:c r="U1381" s="19" t="n">
        <x:f>L1381+IF(AND(S1381=1,J1381=1),1,0)</x:f>
        <x:v>3</x:v>
      </x:c>
      <x:c r="V1381" s="19" t="n">
        <x:f>M1381+IF(AND(S1381=1,J1381=2),1,0)</x:f>
        <x:v>3</x:v>
      </x:c>
      <x:c r="W1381" s="19" t="n">
        <x:f>SUM(T1381:V1381)</x:f>
        <x:v>8</x:v>
      </x:c>
      <x:c r="X1381" s="19" t="n">
        <x:f>W1381-G1381</x:f>
        <x:v>0</x:v>
      </x:c>
      <x:c r="Y1381" s="19" t="n">
        <x:f>MAX(T1381,1)+MAX(U1381,1)+MAX(V1381,1)</x:f>
        <x:v>8</x:v>
      </x:c>
      <x:c r="Z1381" s="21" t="str">
        <x:f>IF(AND(MIN(D1381:F1381)&gt;=0,MAX(D1381:F1381)&lt;=7,MAX(D1381,1)+MAX(E1381,1)+MAX(F1381,1)&lt;=9,OR(H1381="-",AND(H1381=0,D1381&gt;0),AND(H1381=1,E1381&gt;0),AND(H1381=2,F1381&gt;0)),OR(I1381=0,AND(I1381=1,OR(J1381=0,J1381=1,J1381=2),R1381&lt;&gt;"000")),Y1381&lt;=9,MIN(T1381:V1381)&gt;=0),"合法","输入违约")</x:f>
        <x:v>合法</x:v>
      </x:c>
    </x:row>
    <x:row r="1382" ht="23" customHeight="1">
      <x:c r="A1382" s="3" t="str">
        <x:v>CT-1375</x:v>
      </x:c>
      <x:c r="B1382" s="3" t="str">
        <x:v>ST-139</x:v>
      </x:c>
      <x:c r="C1382" s="3" t="str">
        <x:v>仅AR接收</x:v>
      </x:c>
      <x:c r="D1382" s="25" t="n">
        <x:v>2</x:v>
      </x:c>
      <x:c r="E1382" s="25" t="n">
        <x:v>3</x:v>
      </x:c>
      <x:c r="F1382" s="25" t="n">
        <x:v>3</x:v>
      </x:c>
      <x:c r="G1382" s="19" t="n">
        <x:f>SUM(D1382:F1382)</x:f>
        <x:v>8</x:v>
      </x:c>
      <x:c r="H1382" s="25" t="str">
        <x:v>-</x:v>
      </x:c>
      <x:c r="I1382" s="25" t="n">
        <x:v>1</x:v>
      </x:c>
      <x:c r="J1382" s="25" t="n">
        <x:v>0</x:v>
      </x:c>
      <x:c r="K1382" s="19" t="n">
        <x:f>D1382-IF(H1382=0,1,0)</x:f>
        <x:v>2</x:v>
      </x:c>
      <x:c r="L1382" s="19" t="n">
        <x:f>E1382-IF(H1382=1,1,0)</x:f>
        <x:v>3</x:v>
      </x:c>
      <x:c r="M1382" s="19" t="n">
        <x:f>F1382-IF(H1382=2,1,0)</x:f>
        <x:v>3</x:v>
      </x:c>
      <x:c r="N1382" s="19" t="n">
        <x:f>MAX(K1382-1,0)+MAX(L1382-1,0)+MAX(M1382-1,0)</x:f>
        <x:v>5</x:v>
      </x:c>
      <x:c r="O1382" s="19" t="n">
        <x:f>IF(AND(SUM(K1382:M1382)&lt;9,OR(M1382=0,N1382&lt;6)),1,0)</x:f>
        <x:v>1</x:v>
      </x:c>
      <x:c r="P1382" s="19" t="n">
        <x:f>IF(AND(SUM(K1382:M1382)&lt;9,OR(L1382=0,N1382&lt;6)),1,0)</x:f>
        <x:v>1</x:v>
      </x:c>
      <x:c r="Q1382" s="19" t="n">
        <x:f>IF(AND(SUM(K1382:M1382)&lt;9,OR(K1382=0,N1382&lt;6)),1,0)</x:f>
        <x:v>1</x:v>
      </x:c>
      <x:c r="R1382" s="22" t="str">
        <x:f>O1382&amp;P1382&amp;Q1382</x:f>
        <x:v>111</x:v>
      </x:c>
      <x:c r="S1382" s="19" t="n">
        <x:f>IF(I1382=1,IF(J1382=0,Q1382,IF(J1382=1,P1382,IF(J1382=2,O1382,0))),0)</x:f>
        <x:v>1</x:v>
      </x:c>
      <x:c r="T1382" s="19" t="n">
        <x:f>K1382+IF(AND(S1382=1,J1382=0),1,0)</x:f>
        <x:v>3</x:v>
      </x:c>
      <x:c r="U1382" s="19" t="n">
        <x:f>L1382+IF(AND(S1382=1,J1382=1),1,0)</x:f>
        <x:v>3</x:v>
      </x:c>
      <x:c r="V1382" s="19" t="n">
        <x:f>M1382+IF(AND(S1382=1,J1382=2),1,0)</x:f>
        <x:v>3</x:v>
      </x:c>
      <x:c r="W1382" s="19" t="n">
        <x:f>SUM(T1382:V1382)</x:f>
        <x:v>9</x:v>
      </x:c>
      <x:c r="X1382" s="19" t="n">
        <x:f>W1382-G1382</x:f>
        <x:v>1</x:v>
      </x:c>
      <x:c r="Y1382" s="19" t="n">
        <x:f>MAX(T1382,1)+MAX(U1382,1)+MAX(V1382,1)</x:f>
        <x:v>9</x:v>
      </x:c>
      <x:c r="Z1382" s="21" t="str">
        <x:f>IF(AND(MIN(D1382:F1382)&gt;=0,MAX(D1382:F1382)&lt;=7,MAX(D1382,1)+MAX(E1382,1)+MAX(F1382,1)&lt;=9,OR(H1382="-",AND(H1382=0,D1382&gt;0),AND(H1382=1,E1382&gt;0),AND(H1382=2,F1382&gt;0)),OR(I1382=0,AND(I1382=1,OR(J1382=0,J1382=1,J1382=2),R1382&lt;&gt;"000")),Y1382&lt;=9,MIN(T1382:V1382)&gt;=0),"合法","输入违约")</x:f>
        <x:v>合法</x:v>
      </x:c>
    </x:row>
    <x:row r="1383" ht="23" customHeight="1">
      <x:c r="A1383" s="3" t="str">
        <x:v>CT-1376</x:v>
      </x:c>
      <x:c r="B1383" s="3" t="str">
        <x:v>ST-139</x:v>
      </x:c>
      <x:c r="C1383" s="3" t="str">
        <x:v>仅AR接收</x:v>
      </x:c>
      <x:c r="D1383" s="25" t="n">
        <x:v>2</x:v>
      </x:c>
      <x:c r="E1383" s="25" t="n">
        <x:v>3</x:v>
      </x:c>
      <x:c r="F1383" s="25" t="n">
        <x:v>3</x:v>
      </x:c>
      <x:c r="G1383" s="19" t="n">
        <x:f>SUM(D1383:F1383)</x:f>
        <x:v>8</x:v>
      </x:c>
      <x:c r="H1383" s="25" t="str">
        <x:v>-</x:v>
      </x:c>
      <x:c r="I1383" s="25" t="n">
        <x:v>1</x:v>
      </x:c>
      <x:c r="J1383" s="25" t="n">
        <x:v>1</x:v>
      </x:c>
      <x:c r="K1383" s="19" t="n">
        <x:f>D1383-IF(H1383=0,1,0)</x:f>
        <x:v>2</x:v>
      </x:c>
      <x:c r="L1383" s="19" t="n">
        <x:f>E1383-IF(H1383=1,1,0)</x:f>
        <x:v>3</x:v>
      </x:c>
      <x:c r="M1383" s="19" t="n">
        <x:f>F1383-IF(H1383=2,1,0)</x:f>
        <x:v>3</x:v>
      </x:c>
      <x:c r="N1383" s="19" t="n">
        <x:f>MAX(K1383-1,0)+MAX(L1383-1,0)+MAX(M1383-1,0)</x:f>
        <x:v>5</x:v>
      </x:c>
      <x:c r="O1383" s="19" t="n">
        <x:f>IF(AND(SUM(K1383:M1383)&lt;9,OR(M1383=0,N1383&lt;6)),1,0)</x:f>
        <x:v>1</x:v>
      </x:c>
      <x:c r="P1383" s="19" t="n">
        <x:f>IF(AND(SUM(K1383:M1383)&lt;9,OR(L1383=0,N1383&lt;6)),1,0)</x:f>
        <x:v>1</x:v>
      </x:c>
      <x:c r="Q1383" s="19" t="n">
        <x:f>IF(AND(SUM(K1383:M1383)&lt;9,OR(K1383=0,N1383&lt;6)),1,0)</x:f>
        <x:v>1</x:v>
      </x:c>
      <x:c r="R1383" s="22" t="str">
        <x:f>O1383&amp;P1383&amp;Q1383</x:f>
        <x:v>111</x:v>
      </x:c>
      <x:c r="S1383" s="19" t="n">
        <x:f>IF(I1383=1,IF(J1383=0,Q1383,IF(J1383=1,P1383,IF(J1383=2,O1383,0))),0)</x:f>
        <x:v>1</x:v>
      </x:c>
      <x:c r="T1383" s="19" t="n">
        <x:f>K1383+IF(AND(S1383=1,J1383=0),1,0)</x:f>
        <x:v>2</x:v>
      </x:c>
      <x:c r="U1383" s="19" t="n">
        <x:f>L1383+IF(AND(S1383=1,J1383=1),1,0)</x:f>
        <x:v>4</x:v>
      </x:c>
      <x:c r="V1383" s="19" t="n">
        <x:f>M1383+IF(AND(S1383=1,J1383=2),1,0)</x:f>
        <x:v>3</x:v>
      </x:c>
      <x:c r="W1383" s="19" t="n">
        <x:f>SUM(T1383:V1383)</x:f>
        <x:v>9</x:v>
      </x:c>
      <x:c r="X1383" s="19" t="n">
        <x:f>W1383-G1383</x:f>
        <x:v>1</x:v>
      </x:c>
      <x:c r="Y1383" s="19" t="n">
        <x:f>MAX(T1383,1)+MAX(U1383,1)+MAX(V1383,1)</x:f>
        <x:v>9</x:v>
      </x:c>
      <x:c r="Z1383" s="21" t="str">
        <x:f>IF(AND(MIN(D1383:F1383)&gt;=0,MAX(D1383:F1383)&lt;=7,MAX(D1383,1)+MAX(E1383,1)+MAX(F1383,1)&lt;=9,OR(H1383="-",AND(H1383=0,D1383&gt;0),AND(H1383=1,E1383&gt;0),AND(H1383=2,F1383&gt;0)),OR(I1383=0,AND(I1383=1,OR(J1383=0,J1383=1,J1383=2),R1383&lt;&gt;"000")),Y1383&lt;=9,MIN(T1383:V1383)&gt;=0),"合法","输入违约")</x:f>
        <x:v>合法</x:v>
      </x:c>
    </x:row>
    <x:row r="1384" ht="23" customHeight="1">
      <x:c r="A1384" s="3" t="str">
        <x:v>CT-1377</x:v>
      </x:c>
      <x:c r="B1384" s="3" t="str">
        <x:v>ST-139</x:v>
      </x:c>
      <x:c r="C1384" s="3" t="str">
        <x:v>仅AR接收</x:v>
      </x:c>
      <x:c r="D1384" s="25" t="n">
        <x:v>2</x:v>
      </x:c>
      <x:c r="E1384" s="25" t="n">
        <x:v>3</x:v>
      </x:c>
      <x:c r="F1384" s="25" t="n">
        <x:v>3</x:v>
      </x:c>
      <x:c r="G1384" s="19" t="n">
        <x:f>SUM(D1384:F1384)</x:f>
        <x:v>8</x:v>
      </x:c>
      <x:c r="H1384" s="25" t="str">
        <x:v>-</x:v>
      </x:c>
      <x:c r="I1384" s="25" t="n">
        <x:v>1</x:v>
      </x:c>
      <x:c r="J1384" s="25" t="n">
        <x:v>2</x:v>
      </x:c>
      <x:c r="K1384" s="19" t="n">
        <x:f>D1384-IF(H1384=0,1,0)</x:f>
        <x:v>2</x:v>
      </x:c>
      <x:c r="L1384" s="19" t="n">
        <x:f>E1384-IF(H1384=1,1,0)</x:f>
        <x:v>3</x:v>
      </x:c>
      <x:c r="M1384" s="19" t="n">
        <x:f>F1384-IF(H1384=2,1,0)</x:f>
        <x:v>3</x:v>
      </x:c>
      <x:c r="N1384" s="19" t="n">
        <x:f>MAX(K1384-1,0)+MAX(L1384-1,0)+MAX(M1384-1,0)</x:f>
        <x:v>5</x:v>
      </x:c>
      <x:c r="O1384" s="19" t="n">
        <x:f>IF(AND(SUM(K1384:M1384)&lt;9,OR(M1384=0,N1384&lt;6)),1,0)</x:f>
        <x:v>1</x:v>
      </x:c>
      <x:c r="P1384" s="19" t="n">
        <x:f>IF(AND(SUM(K1384:M1384)&lt;9,OR(L1384=0,N1384&lt;6)),1,0)</x:f>
        <x:v>1</x:v>
      </x:c>
      <x:c r="Q1384" s="19" t="n">
        <x:f>IF(AND(SUM(K1384:M1384)&lt;9,OR(K1384=0,N1384&lt;6)),1,0)</x:f>
        <x:v>1</x:v>
      </x:c>
      <x:c r="R1384" s="22" t="str">
        <x:f>O1384&amp;P1384&amp;Q1384</x:f>
        <x:v>111</x:v>
      </x:c>
      <x:c r="S1384" s="19" t="n">
        <x:f>IF(I1384=1,IF(J1384=0,Q1384,IF(J1384=1,P1384,IF(J1384=2,O1384,0))),0)</x:f>
        <x:v>1</x:v>
      </x:c>
      <x:c r="T1384" s="19" t="n">
        <x:f>K1384+IF(AND(S1384=1,J1384=0),1,0)</x:f>
        <x:v>2</x:v>
      </x:c>
      <x:c r="U1384" s="19" t="n">
        <x:f>L1384+IF(AND(S1384=1,J1384=1),1,0)</x:f>
        <x:v>3</x:v>
      </x:c>
      <x:c r="V1384" s="19" t="n">
        <x:f>M1384+IF(AND(S1384=1,J1384=2),1,0)</x:f>
        <x:v>4</x:v>
      </x:c>
      <x:c r="W1384" s="19" t="n">
        <x:f>SUM(T1384:V1384)</x:f>
        <x:v>9</x:v>
      </x:c>
      <x:c r="X1384" s="19" t="n">
        <x:f>W1384-G1384</x:f>
        <x:v>1</x:v>
      </x:c>
      <x:c r="Y1384" s="19" t="n">
        <x:f>MAX(T1384,1)+MAX(U1384,1)+MAX(V1384,1)</x:f>
        <x:v>9</x:v>
      </x:c>
      <x:c r="Z1384" s="21" t="str">
        <x:f>IF(AND(MIN(D1384:F1384)&gt;=0,MAX(D1384:F1384)&lt;=7,MAX(D1384,1)+MAX(E1384,1)+MAX(F1384,1)&lt;=9,OR(H1384="-",AND(H1384=0,D1384&gt;0),AND(H1384=1,E1384&gt;0),AND(H1384=2,F1384&gt;0)),OR(I1384=0,AND(I1384=1,OR(J1384=0,J1384=1,J1384=2),R1384&lt;&gt;"000")),Y1384&lt;=9,MIN(T1384:V1384)&gt;=0),"合法","输入违约")</x:f>
        <x:v>合法</x:v>
      </x:c>
    </x:row>
    <x:row r="1385" ht="23" customHeight="1">
      <x:c r="A1385" s="3" t="str">
        <x:v>CT-1378</x:v>
      </x:c>
      <x:c r="B1385" s="3" t="str">
        <x:v>ST-139</x:v>
      </x:c>
      <x:c r="C1385" s="3" t="str">
        <x:v>仅R回收</x:v>
      </x:c>
      <x:c r="D1385" s="25" t="n">
        <x:v>2</x:v>
      </x:c>
      <x:c r="E1385" s="25" t="n">
        <x:v>3</x:v>
      </x:c>
      <x:c r="F1385" s="25" t="n">
        <x:v>3</x:v>
      </x:c>
      <x:c r="G1385" s="19" t="n">
        <x:f>SUM(D1385:F1385)</x:f>
        <x:v>8</x:v>
      </x:c>
      <x:c r="H1385" s="25" t="n">
        <x:v>0</x:v>
      </x:c>
      <x:c r="I1385" s="25" t="n">
        <x:v>0</x:v>
      </x:c>
      <x:c r="J1385" s="25" t="str">
        <x:v>-</x:v>
      </x:c>
      <x:c r="K1385" s="19" t="n">
        <x:f>D1385-IF(H1385=0,1,0)</x:f>
        <x:v>1</x:v>
      </x:c>
      <x:c r="L1385" s="19" t="n">
        <x:f>E1385-IF(H1385=1,1,0)</x:f>
        <x:v>3</x:v>
      </x:c>
      <x:c r="M1385" s="19" t="n">
        <x:f>F1385-IF(H1385=2,1,0)</x:f>
        <x:v>3</x:v>
      </x:c>
      <x:c r="N1385" s="19" t="n">
        <x:f>MAX(K1385-1,0)+MAX(L1385-1,0)+MAX(M1385-1,0)</x:f>
        <x:v>4</x:v>
      </x:c>
      <x:c r="O1385" s="19" t="n">
        <x:f>IF(AND(SUM(K1385:M1385)&lt;9,OR(M1385=0,N1385&lt;6)),1,0)</x:f>
        <x:v>1</x:v>
      </x:c>
      <x:c r="P1385" s="19" t="n">
        <x:f>IF(AND(SUM(K1385:M1385)&lt;9,OR(L1385=0,N1385&lt;6)),1,0)</x:f>
        <x:v>1</x:v>
      </x:c>
      <x:c r="Q1385" s="19" t="n">
        <x:f>IF(AND(SUM(K1385:M1385)&lt;9,OR(K1385=0,N1385&lt;6)),1,0)</x:f>
        <x:v>1</x:v>
      </x:c>
      <x:c r="R1385" s="22" t="str">
        <x:f>O1385&amp;P1385&amp;Q1385</x:f>
        <x:v>111</x:v>
      </x:c>
      <x:c r="S1385" s="19" t="n">
        <x:f>IF(I1385=1,IF(J1385=0,Q1385,IF(J1385=1,P1385,IF(J1385=2,O1385,0))),0)</x:f>
        <x:v>0</x:v>
      </x:c>
      <x:c r="T1385" s="19" t="n">
        <x:f>K1385+IF(AND(S1385=1,J1385=0),1,0)</x:f>
        <x:v>1</x:v>
      </x:c>
      <x:c r="U1385" s="19" t="n">
        <x:f>L1385+IF(AND(S1385=1,J1385=1),1,0)</x:f>
        <x:v>3</x:v>
      </x:c>
      <x:c r="V1385" s="19" t="n">
        <x:f>M1385+IF(AND(S1385=1,J1385=2),1,0)</x:f>
        <x:v>3</x:v>
      </x:c>
      <x:c r="W1385" s="19" t="n">
        <x:f>SUM(T1385:V1385)</x:f>
        <x:v>7</x:v>
      </x:c>
      <x:c r="X1385" s="19" t="n">
        <x:f>W1385-G1385</x:f>
        <x:v>-1</x:v>
      </x:c>
      <x:c r="Y1385" s="19" t="n">
        <x:f>MAX(T1385,1)+MAX(U1385,1)+MAX(V1385,1)</x:f>
        <x:v>7</x:v>
      </x:c>
      <x:c r="Z1385" s="21" t="str">
        <x:f>IF(AND(MIN(D1385:F1385)&gt;=0,MAX(D1385:F1385)&lt;=7,MAX(D1385,1)+MAX(E1385,1)+MAX(F1385,1)&lt;=9,OR(H1385="-",AND(H1385=0,D1385&gt;0),AND(H1385=1,E1385&gt;0),AND(H1385=2,F1385&gt;0)),OR(I1385=0,AND(I1385=1,OR(J1385=0,J1385=1,J1385=2),R1385&lt;&gt;"000")),Y1385&lt;=9,MIN(T1385:V1385)&gt;=0),"合法","输入违约")</x:f>
        <x:v>合法</x:v>
      </x:c>
    </x:row>
    <x:row r="1386" ht="23" customHeight="1">
      <x:c r="A1386" s="3" t="str">
        <x:v>CT-1379</x:v>
      </x:c>
      <x:c r="B1386" s="3" t="str">
        <x:v>ST-139</x:v>
      </x:c>
      <x:c r="C1386" s="3" t="str">
        <x:v>R+AR同收同发</x:v>
      </x:c>
      <x:c r="D1386" s="25" t="n">
        <x:v>2</x:v>
      </x:c>
      <x:c r="E1386" s="25" t="n">
        <x:v>3</x:v>
      </x:c>
      <x:c r="F1386" s="25" t="n">
        <x:v>3</x:v>
      </x:c>
      <x:c r="G1386" s="19" t="n">
        <x:f>SUM(D1386:F1386)</x:f>
        <x:v>8</x:v>
      </x:c>
      <x:c r="H1386" s="25" t="n">
        <x:v>0</x:v>
      </x:c>
      <x:c r="I1386" s="25" t="n">
        <x:v>1</x:v>
      </x:c>
      <x:c r="J1386" s="25" t="n">
        <x:v>0</x:v>
      </x:c>
      <x:c r="K1386" s="19" t="n">
        <x:f>D1386-IF(H1386=0,1,0)</x:f>
        <x:v>1</x:v>
      </x:c>
      <x:c r="L1386" s="19" t="n">
        <x:f>E1386-IF(H1386=1,1,0)</x:f>
        <x:v>3</x:v>
      </x:c>
      <x:c r="M1386" s="19" t="n">
        <x:f>F1386-IF(H1386=2,1,0)</x:f>
        <x:v>3</x:v>
      </x:c>
      <x:c r="N1386" s="19" t="n">
        <x:f>MAX(K1386-1,0)+MAX(L1386-1,0)+MAX(M1386-1,0)</x:f>
        <x:v>4</x:v>
      </x:c>
      <x:c r="O1386" s="19" t="n">
        <x:f>IF(AND(SUM(K1386:M1386)&lt;9,OR(M1386=0,N1386&lt;6)),1,0)</x:f>
        <x:v>1</x:v>
      </x:c>
      <x:c r="P1386" s="19" t="n">
        <x:f>IF(AND(SUM(K1386:M1386)&lt;9,OR(L1386=0,N1386&lt;6)),1,0)</x:f>
        <x:v>1</x:v>
      </x:c>
      <x:c r="Q1386" s="19" t="n">
        <x:f>IF(AND(SUM(K1386:M1386)&lt;9,OR(K1386=0,N1386&lt;6)),1,0)</x:f>
        <x:v>1</x:v>
      </x:c>
      <x:c r="R1386" s="22" t="str">
        <x:f>O1386&amp;P1386&amp;Q1386</x:f>
        <x:v>111</x:v>
      </x:c>
      <x:c r="S1386" s="19" t="n">
        <x:f>IF(I1386=1,IF(J1386=0,Q1386,IF(J1386=1,P1386,IF(J1386=2,O1386,0))),0)</x:f>
        <x:v>1</x:v>
      </x:c>
      <x:c r="T1386" s="19" t="n">
        <x:f>K1386+IF(AND(S1386=1,J1386=0),1,0)</x:f>
        <x:v>2</x:v>
      </x:c>
      <x:c r="U1386" s="19" t="n">
        <x:f>L1386+IF(AND(S1386=1,J1386=1),1,0)</x:f>
        <x:v>3</x:v>
      </x:c>
      <x:c r="V1386" s="19" t="n">
        <x:f>M1386+IF(AND(S1386=1,J1386=2),1,0)</x:f>
        <x:v>3</x:v>
      </x:c>
      <x:c r="W1386" s="19" t="n">
        <x:f>SUM(T1386:V1386)</x:f>
        <x:v>8</x:v>
      </x:c>
      <x:c r="X1386" s="19" t="n">
        <x:f>W1386-G1386</x:f>
        <x:v>0</x:v>
      </x:c>
      <x:c r="Y1386" s="19" t="n">
        <x:f>MAX(T1386,1)+MAX(U1386,1)+MAX(V1386,1)</x:f>
        <x:v>8</x:v>
      </x:c>
      <x:c r="Z1386" s="21" t="str">
        <x:f>IF(AND(MIN(D1386:F1386)&gt;=0,MAX(D1386:F1386)&lt;=7,MAX(D1386,1)+MAX(E1386,1)+MAX(F1386,1)&lt;=9,OR(H1386="-",AND(H1386=0,D1386&gt;0),AND(H1386=1,E1386&gt;0),AND(H1386=2,F1386&gt;0)),OR(I1386=0,AND(I1386=1,OR(J1386=0,J1386=1,J1386=2),R1386&lt;&gt;"000")),Y1386&lt;=9,MIN(T1386:V1386)&gt;=0),"合法","输入违约")</x:f>
        <x:v>合法</x:v>
      </x:c>
    </x:row>
    <x:row r="1387" ht="23" customHeight="1">
      <x:c r="A1387" s="3" t="str">
        <x:v>CT-1380</x:v>
      </x:c>
      <x:c r="B1387" s="3" t="str">
        <x:v>ST-139</x:v>
      </x:c>
      <x:c r="C1387" s="3" t="str">
        <x:v>R+AR同收同发</x:v>
      </x:c>
      <x:c r="D1387" s="25" t="n">
        <x:v>2</x:v>
      </x:c>
      <x:c r="E1387" s="25" t="n">
        <x:v>3</x:v>
      </x:c>
      <x:c r="F1387" s="25" t="n">
        <x:v>3</x:v>
      </x:c>
      <x:c r="G1387" s="19" t="n">
        <x:f>SUM(D1387:F1387)</x:f>
        <x:v>8</x:v>
      </x:c>
      <x:c r="H1387" s="25" t="n">
        <x:v>0</x:v>
      </x:c>
      <x:c r="I1387" s="25" t="n">
        <x:v>1</x:v>
      </x:c>
      <x:c r="J1387" s="25" t="n">
        <x:v>1</x:v>
      </x:c>
      <x:c r="K1387" s="19" t="n">
        <x:f>D1387-IF(H1387=0,1,0)</x:f>
        <x:v>1</x:v>
      </x:c>
      <x:c r="L1387" s="19" t="n">
        <x:f>E1387-IF(H1387=1,1,0)</x:f>
        <x:v>3</x:v>
      </x:c>
      <x:c r="M1387" s="19" t="n">
        <x:f>F1387-IF(H1387=2,1,0)</x:f>
        <x:v>3</x:v>
      </x:c>
      <x:c r="N1387" s="19" t="n">
        <x:f>MAX(K1387-1,0)+MAX(L1387-1,0)+MAX(M1387-1,0)</x:f>
        <x:v>4</x:v>
      </x:c>
      <x:c r="O1387" s="19" t="n">
        <x:f>IF(AND(SUM(K1387:M1387)&lt;9,OR(M1387=0,N1387&lt;6)),1,0)</x:f>
        <x:v>1</x:v>
      </x:c>
      <x:c r="P1387" s="19" t="n">
        <x:f>IF(AND(SUM(K1387:M1387)&lt;9,OR(L1387=0,N1387&lt;6)),1,0)</x:f>
        <x:v>1</x:v>
      </x:c>
      <x:c r="Q1387" s="19" t="n">
        <x:f>IF(AND(SUM(K1387:M1387)&lt;9,OR(K1387=0,N1387&lt;6)),1,0)</x:f>
        <x:v>1</x:v>
      </x:c>
      <x:c r="R1387" s="22" t="str">
        <x:f>O1387&amp;P1387&amp;Q1387</x:f>
        <x:v>111</x:v>
      </x:c>
      <x:c r="S1387" s="19" t="n">
        <x:f>IF(I1387=1,IF(J1387=0,Q1387,IF(J1387=1,P1387,IF(J1387=2,O1387,0))),0)</x:f>
        <x:v>1</x:v>
      </x:c>
      <x:c r="T1387" s="19" t="n">
        <x:f>K1387+IF(AND(S1387=1,J1387=0),1,0)</x:f>
        <x:v>1</x:v>
      </x:c>
      <x:c r="U1387" s="19" t="n">
        <x:f>L1387+IF(AND(S1387=1,J1387=1),1,0)</x:f>
        <x:v>4</x:v>
      </x:c>
      <x:c r="V1387" s="19" t="n">
        <x:f>M1387+IF(AND(S1387=1,J1387=2),1,0)</x:f>
        <x:v>3</x:v>
      </x:c>
      <x:c r="W1387" s="19" t="n">
        <x:f>SUM(T1387:V1387)</x:f>
        <x:v>8</x:v>
      </x:c>
      <x:c r="X1387" s="19" t="n">
        <x:f>W1387-G1387</x:f>
        <x:v>0</x:v>
      </x:c>
      <x:c r="Y1387" s="19" t="n">
        <x:f>MAX(T1387,1)+MAX(U1387,1)+MAX(V1387,1)</x:f>
        <x:v>8</x:v>
      </x:c>
      <x:c r="Z1387" s="21" t="str">
        <x:f>IF(AND(MIN(D1387:F1387)&gt;=0,MAX(D1387:F1387)&lt;=7,MAX(D1387,1)+MAX(E1387,1)+MAX(F1387,1)&lt;=9,OR(H1387="-",AND(H1387=0,D1387&gt;0),AND(H1387=1,E1387&gt;0),AND(H1387=2,F1387&gt;0)),OR(I1387=0,AND(I1387=1,OR(J1387=0,J1387=1,J1387=2),R1387&lt;&gt;"000")),Y1387&lt;=9,MIN(T1387:V1387)&gt;=0),"合法","输入违约")</x:f>
        <x:v>合法</x:v>
      </x:c>
    </x:row>
    <x:row r="1388" ht="23" customHeight="1">
      <x:c r="A1388" s="3" t="str">
        <x:v>CT-1381</x:v>
      </x:c>
      <x:c r="B1388" s="3" t="str">
        <x:v>ST-139</x:v>
      </x:c>
      <x:c r="C1388" s="3" t="str">
        <x:v>R+AR同收同发</x:v>
      </x:c>
      <x:c r="D1388" s="25" t="n">
        <x:v>2</x:v>
      </x:c>
      <x:c r="E1388" s="25" t="n">
        <x:v>3</x:v>
      </x:c>
      <x:c r="F1388" s="25" t="n">
        <x:v>3</x:v>
      </x:c>
      <x:c r="G1388" s="19" t="n">
        <x:f>SUM(D1388:F1388)</x:f>
        <x:v>8</x:v>
      </x:c>
      <x:c r="H1388" s="25" t="n">
        <x:v>0</x:v>
      </x:c>
      <x:c r="I1388" s="25" t="n">
        <x:v>1</x:v>
      </x:c>
      <x:c r="J1388" s="25" t="n">
        <x:v>2</x:v>
      </x:c>
      <x:c r="K1388" s="19" t="n">
        <x:f>D1388-IF(H1388=0,1,0)</x:f>
        <x:v>1</x:v>
      </x:c>
      <x:c r="L1388" s="19" t="n">
        <x:f>E1388-IF(H1388=1,1,0)</x:f>
        <x:v>3</x:v>
      </x:c>
      <x:c r="M1388" s="19" t="n">
        <x:f>F1388-IF(H1388=2,1,0)</x:f>
        <x:v>3</x:v>
      </x:c>
      <x:c r="N1388" s="19" t="n">
        <x:f>MAX(K1388-1,0)+MAX(L1388-1,0)+MAX(M1388-1,0)</x:f>
        <x:v>4</x:v>
      </x:c>
      <x:c r="O1388" s="19" t="n">
        <x:f>IF(AND(SUM(K1388:M1388)&lt;9,OR(M1388=0,N1388&lt;6)),1,0)</x:f>
        <x:v>1</x:v>
      </x:c>
      <x:c r="P1388" s="19" t="n">
        <x:f>IF(AND(SUM(K1388:M1388)&lt;9,OR(L1388=0,N1388&lt;6)),1,0)</x:f>
        <x:v>1</x:v>
      </x:c>
      <x:c r="Q1388" s="19" t="n">
        <x:f>IF(AND(SUM(K1388:M1388)&lt;9,OR(K1388=0,N1388&lt;6)),1,0)</x:f>
        <x:v>1</x:v>
      </x:c>
      <x:c r="R1388" s="22" t="str">
        <x:f>O1388&amp;P1388&amp;Q1388</x:f>
        <x:v>111</x:v>
      </x:c>
      <x:c r="S1388" s="19" t="n">
        <x:f>IF(I1388=1,IF(J1388=0,Q1388,IF(J1388=1,P1388,IF(J1388=2,O1388,0))),0)</x:f>
        <x:v>1</x:v>
      </x:c>
      <x:c r="T1388" s="19" t="n">
        <x:f>K1388+IF(AND(S1388=1,J1388=0),1,0)</x:f>
        <x:v>1</x:v>
      </x:c>
      <x:c r="U1388" s="19" t="n">
        <x:f>L1388+IF(AND(S1388=1,J1388=1),1,0)</x:f>
        <x:v>3</x:v>
      </x:c>
      <x:c r="V1388" s="19" t="n">
        <x:f>M1388+IF(AND(S1388=1,J1388=2),1,0)</x:f>
        <x:v>4</x:v>
      </x:c>
      <x:c r="W1388" s="19" t="n">
        <x:f>SUM(T1388:V1388)</x:f>
        <x:v>8</x:v>
      </x:c>
      <x:c r="X1388" s="19" t="n">
        <x:f>W1388-G1388</x:f>
        <x:v>0</x:v>
      </x:c>
      <x:c r="Y1388" s="19" t="n">
        <x:f>MAX(T1388,1)+MAX(U1388,1)+MAX(V1388,1)</x:f>
        <x:v>8</x:v>
      </x:c>
      <x:c r="Z1388" s="21" t="str">
        <x:f>IF(AND(MIN(D1388:F1388)&gt;=0,MAX(D1388:F1388)&lt;=7,MAX(D1388,1)+MAX(E1388,1)+MAX(F1388,1)&lt;=9,OR(H1388="-",AND(H1388=0,D1388&gt;0),AND(H1388=1,E1388&gt;0),AND(H1388=2,F1388&gt;0)),OR(I1388=0,AND(I1388=1,OR(J1388=0,J1388=1,J1388=2),R1388&lt;&gt;"000")),Y1388&lt;=9,MIN(T1388:V1388)&gt;=0),"合法","输入违约")</x:f>
        <x:v>合法</x:v>
      </x:c>
    </x:row>
    <x:row r="1389" ht="23" customHeight="1">
      <x:c r="A1389" s="3" t="str">
        <x:v>CT-1382</x:v>
      </x:c>
      <x:c r="B1389" s="3" t="str">
        <x:v>ST-139</x:v>
      </x:c>
      <x:c r="C1389" s="3" t="str">
        <x:v>仅R回收</x:v>
      </x:c>
      <x:c r="D1389" s="25" t="n">
        <x:v>2</x:v>
      </x:c>
      <x:c r="E1389" s="25" t="n">
        <x:v>3</x:v>
      </x:c>
      <x:c r="F1389" s="25" t="n">
        <x:v>3</x:v>
      </x:c>
      <x:c r="G1389" s="19" t="n">
        <x:f>SUM(D1389:F1389)</x:f>
        <x:v>8</x:v>
      </x:c>
      <x:c r="H1389" s="25" t="n">
        <x:v>1</x:v>
      </x:c>
      <x:c r="I1389" s="25" t="n">
        <x:v>0</x:v>
      </x:c>
      <x:c r="J1389" s="25" t="str">
        <x:v>-</x:v>
      </x:c>
      <x:c r="K1389" s="19" t="n">
        <x:f>D1389-IF(H1389=0,1,0)</x:f>
        <x:v>2</x:v>
      </x:c>
      <x:c r="L1389" s="19" t="n">
        <x:f>E1389-IF(H1389=1,1,0)</x:f>
        <x:v>2</x:v>
      </x:c>
      <x:c r="M1389" s="19" t="n">
        <x:f>F1389-IF(H1389=2,1,0)</x:f>
        <x:v>3</x:v>
      </x:c>
      <x:c r="N1389" s="19" t="n">
        <x:f>MAX(K1389-1,0)+MAX(L1389-1,0)+MAX(M1389-1,0)</x:f>
        <x:v>4</x:v>
      </x:c>
      <x:c r="O1389" s="19" t="n">
        <x:f>IF(AND(SUM(K1389:M1389)&lt;9,OR(M1389=0,N1389&lt;6)),1,0)</x:f>
        <x:v>1</x:v>
      </x:c>
      <x:c r="P1389" s="19" t="n">
        <x:f>IF(AND(SUM(K1389:M1389)&lt;9,OR(L1389=0,N1389&lt;6)),1,0)</x:f>
        <x:v>1</x:v>
      </x:c>
      <x:c r="Q1389" s="19" t="n">
        <x:f>IF(AND(SUM(K1389:M1389)&lt;9,OR(K1389=0,N1389&lt;6)),1,0)</x:f>
        <x:v>1</x:v>
      </x:c>
      <x:c r="R1389" s="22" t="str">
        <x:f>O1389&amp;P1389&amp;Q1389</x:f>
        <x:v>111</x:v>
      </x:c>
      <x:c r="S1389" s="19" t="n">
        <x:f>IF(I1389=1,IF(J1389=0,Q1389,IF(J1389=1,P1389,IF(J1389=2,O1389,0))),0)</x:f>
        <x:v>0</x:v>
      </x:c>
      <x:c r="T1389" s="19" t="n">
        <x:f>K1389+IF(AND(S1389=1,J1389=0),1,0)</x:f>
        <x:v>2</x:v>
      </x:c>
      <x:c r="U1389" s="19" t="n">
        <x:f>L1389+IF(AND(S1389=1,J1389=1),1,0)</x:f>
        <x:v>2</x:v>
      </x:c>
      <x:c r="V1389" s="19" t="n">
        <x:f>M1389+IF(AND(S1389=1,J1389=2),1,0)</x:f>
        <x:v>3</x:v>
      </x:c>
      <x:c r="W1389" s="19" t="n">
        <x:f>SUM(T1389:V1389)</x:f>
        <x:v>7</x:v>
      </x:c>
      <x:c r="X1389" s="19" t="n">
        <x:f>W1389-G1389</x:f>
        <x:v>-1</x:v>
      </x:c>
      <x:c r="Y1389" s="19" t="n">
        <x:f>MAX(T1389,1)+MAX(U1389,1)+MAX(V1389,1)</x:f>
        <x:v>7</x:v>
      </x:c>
      <x:c r="Z1389" s="21" t="str">
        <x:f>IF(AND(MIN(D1389:F1389)&gt;=0,MAX(D1389:F1389)&lt;=7,MAX(D1389,1)+MAX(E1389,1)+MAX(F1389,1)&lt;=9,OR(H1389="-",AND(H1389=0,D1389&gt;0),AND(H1389=1,E1389&gt;0),AND(H1389=2,F1389&gt;0)),OR(I1389=0,AND(I1389=1,OR(J1389=0,J1389=1,J1389=2),R1389&lt;&gt;"000")),Y1389&lt;=9,MIN(T1389:V1389)&gt;=0),"合法","输入违约")</x:f>
        <x:v>合法</x:v>
      </x:c>
    </x:row>
    <x:row r="1390" ht="23" customHeight="1">
      <x:c r="A1390" s="3" t="str">
        <x:v>CT-1383</x:v>
      </x:c>
      <x:c r="B1390" s="3" t="str">
        <x:v>ST-139</x:v>
      </x:c>
      <x:c r="C1390" s="3" t="str">
        <x:v>R+AR同收同发</x:v>
      </x:c>
      <x:c r="D1390" s="25" t="n">
        <x:v>2</x:v>
      </x:c>
      <x:c r="E1390" s="25" t="n">
        <x:v>3</x:v>
      </x:c>
      <x:c r="F1390" s="25" t="n">
        <x:v>3</x:v>
      </x:c>
      <x:c r="G1390" s="19" t="n">
        <x:f>SUM(D1390:F1390)</x:f>
        <x:v>8</x:v>
      </x:c>
      <x:c r="H1390" s="25" t="n">
        <x:v>1</x:v>
      </x:c>
      <x:c r="I1390" s="25" t="n">
        <x:v>1</x:v>
      </x:c>
      <x:c r="J1390" s="25" t="n">
        <x:v>0</x:v>
      </x:c>
      <x:c r="K1390" s="19" t="n">
        <x:f>D1390-IF(H1390=0,1,0)</x:f>
        <x:v>2</x:v>
      </x:c>
      <x:c r="L1390" s="19" t="n">
        <x:f>E1390-IF(H1390=1,1,0)</x:f>
        <x:v>2</x:v>
      </x:c>
      <x:c r="M1390" s="19" t="n">
        <x:f>F1390-IF(H1390=2,1,0)</x:f>
        <x:v>3</x:v>
      </x:c>
      <x:c r="N1390" s="19" t="n">
        <x:f>MAX(K1390-1,0)+MAX(L1390-1,0)+MAX(M1390-1,0)</x:f>
        <x:v>4</x:v>
      </x:c>
      <x:c r="O1390" s="19" t="n">
        <x:f>IF(AND(SUM(K1390:M1390)&lt;9,OR(M1390=0,N1390&lt;6)),1,0)</x:f>
        <x:v>1</x:v>
      </x:c>
      <x:c r="P1390" s="19" t="n">
        <x:f>IF(AND(SUM(K1390:M1390)&lt;9,OR(L1390=0,N1390&lt;6)),1,0)</x:f>
        <x:v>1</x:v>
      </x:c>
      <x:c r="Q1390" s="19" t="n">
        <x:f>IF(AND(SUM(K1390:M1390)&lt;9,OR(K1390=0,N1390&lt;6)),1,0)</x:f>
        <x:v>1</x:v>
      </x:c>
      <x:c r="R1390" s="22" t="str">
        <x:f>O1390&amp;P1390&amp;Q1390</x:f>
        <x:v>111</x:v>
      </x:c>
      <x:c r="S1390" s="19" t="n">
        <x:f>IF(I1390=1,IF(J1390=0,Q1390,IF(J1390=1,P1390,IF(J1390=2,O1390,0))),0)</x:f>
        <x:v>1</x:v>
      </x:c>
      <x:c r="T1390" s="19" t="n">
        <x:f>K1390+IF(AND(S1390=1,J1390=0),1,0)</x:f>
        <x:v>3</x:v>
      </x:c>
      <x:c r="U1390" s="19" t="n">
        <x:f>L1390+IF(AND(S1390=1,J1390=1),1,0)</x:f>
        <x:v>2</x:v>
      </x:c>
      <x:c r="V1390" s="19" t="n">
        <x:f>M1390+IF(AND(S1390=1,J1390=2),1,0)</x:f>
        <x:v>3</x:v>
      </x:c>
      <x:c r="W1390" s="19" t="n">
        <x:f>SUM(T1390:V1390)</x:f>
        <x:v>8</x:v>
      </x:c>
      <x:c r="X1390" s="19" t="n">
        <x:f>W1390-G1390</x:f>
        <x:v>0</x:v>
      </x:c>
      <x:c r="Y1390" s="19" t="n">
        <x:f>MAX(T1390,1)+MAX(U1390,1)+MAX(V1390,1)</x:f>
        <x:v>8</x:v>
      </x:c>
      <x:c r="Z1390" s="21" t="str">
        <x:f>IF(AND(MIN(D1390:F1390)&gt;=0,MAX(D1390:F1390)&lt;=7,MAX(D1390,1)+MAX(E1390,1)+MAX(F1390,1)&lt;=9,OR(H1390="-",AND(H1390=0,D1390&gt;0),AND(H1390=1,E1390&gt;0),AND(H1390=2,F1390&gt;0)),OR(I1390=0,AND(I1390=1,OR(J1390=0,J1390=1,J1390=2),R1390&lt;&gt;"000")),Y1390&lt;=9,MIN(T1390:V1390)&gt;=0),"合法","输入违约")</x:f>
        <x:v>合法</x:v>
      </x:c>
    </x:row>
    <x:row r="1391" ht="23" customHeight="1">
      <x:c r="A1391" s="3" t="str">
        <x:v>CT-1384</x:v>
      </x:c>
      <x:c r="B1391" s="3" t="str">
        <x:v>ST-139</x:v>
      </x:c>
      <x:c r="C1391" s="3" t="str">
        <x:v>R+AR同收同发</x:v>
      </x:c>
      <x:c r="D1391" s="25" t="n">
        <x:v>2</x:v>
      </x:c>
      <x:c r="E1391" s="25" t="n">
        <x:v>3</x:v>
      </x:c>
      <x:c r="F1391" s="25" t="n">
        <x:v>3</x:v>
      </x:c>
      <x:c r="G1391" s="19" t="n">
        <x:f>SUM(D1391:F1391)</x:f>
        <x:v>8</x:v>
      </x:c>
      <x:c r="H1391" s="25" t="n">
        <x:v>1</x:v>
      </x:c>
      <x:c r="I1391" s="25" t="n">
        <x:v>1</x:v>
      </x:c>
      <x:c r="J1391" s="25" t="n">
        <x:v>1</x:v>
      </x:c>
      <x:c r="K1391" s="19" t="n">
        <x:f>D1391-IF(H1391=0,1,0)</x:f>
        <x:v>2</x:v>
      </x:c>
      <x:c r="L1391" s="19" t="n">
        <x:f>E1391-IF(H1391=1,1,0)</x:f>
        <x:v>2</x:v>
      </x:c>
      <x:c r="M1391" s="19" t="n">
        <x:f>F1391-IF(H1391=2,1,0)</x:f>
        <x:v>3</x:v>
      </x:c>
      <x:c r="N1391" s="19" t="n">
        <x:f>MAX(K1391-1,0)+MAX(L1391-1,0)+MAX(M1391-1,0)</x:f>
        <x:v>4</x:v>
      </x:c>
      <x:c r="O1391" s="19" t="n">
        <x:f>IF(AND(SUM(K1391:M1391)&lt;9,OR(M1391=0,N1391&lt;6)),1,0)</x:f>
        <x:v>1</x:v>
      </x:c>
      <x:c r="P1391" s="19" t="n">
        <x:f>IF(AND(SUM(K1391:M1391)&lt;9,OR(L1391=0,N1391&lt;6)),1,0)</x:f>
        <x:v>1</x:v>
      </x:c>
      <x:c r="Q1391" s="19" t="n">
        <x:f>IF(AND(SUM(K1391:M1391)&lt;9,OR(K1391=0,N1391&lt;6)),1,0)</x:f>
        <x:v>1</x:v>
      </x:c>
      <x:c r="R1391" s="22" t="str">
        <x:f>O1391&amp;P1391&amp;Q1391</x:f>
        <x:v>111</x:v>
      </x:c>
      <x:c r="S1391" s="19" t="n">
        <x:f>IF(I1391=1,IF(J1391=0,Q1391,IF(J1391=1,P1391,IF(J1391=2,O1391,0))),0)</x:f>
        <x:v>1</x:v>
      </x:c>
      <x:c r="T1391" s="19" t="n">
        <x:f>K1391+IF(AND(S1391=1,J1391=0),1,0)</x:f>
        <x:v>2</x:v>
      </x:c>
      <x:c r="U1391" s="19" t="n">
        <x:f>L1391+IF(AND(S1391=1,J1391=1),1,0)</x:f>
        <x:v>3</x:v>
      </x:c>
      <x:c r="V1391" s="19" t="n">
        <x:f>M1391+IF(AND(S1391=1,J1391=2),1,0)</x:f>
        <x:v>3</x:v>
      </x:c>
      <x:c r="W1391" s="19" t="n">
        <x:f>SUM(T1391:V1391)</x:f>
        <x:v>8</x:v>
      </x:c>
      <x:c r="X1391" s="19" t="n">
        <x:f>W1391-G1391</x:f>
        <x:v>0</x:v>
      </x:c>
      <x:c r="Y1391" s="19" t="n">
        <x:f>MAX(T1391,1)+MAX(U1391,1)+MAX(V1391,1)</x:f>
        <x:v>8</x:v>
      </x:c>
      <x:c r="Z1391" s="21" t="str">
        <x:f>IF(AND(MIN(D1391:F1391)&gt;=0,MAX(D1391:F1391)&lt;=7,MAX(D1391,1)+MAX(E1391,1)+MAX(F1391,1)&lt;=9,OR(H1391="-",AND(H1391=0,D1391&gt;0),AND(H1391=1,E1391&gt;0),AND(H1391=2,F1391&gt;0)),OR(I1391=0,AND(I1391=1,OR(J1391=0,J1391=1,J1391=2),R1391&lt;&gt;"000")),Y1391&lt;=9,MIN(T1391:V1391)&gt;=0),"合法","输入违约")</x:f>
        <x:v>合法</x:v>
      </x:c>
    </x:row>
    <x:row r="1392" ht="23" customHeight="1">
      <x:c r="A1392" s="3" t="str">
        <x:v>CT-1385</x:v>
      </x:c>
      <x:c r="B1392" s="3" t="str">
        <x:v>ST-139</x:v>
      </x:c>
      <x:c r="C1392" s="3" t="str">
        <x:v>R+AR同收同发</x:v>
      </x:c>
      <x:c r="D1392" s="25" t="n">
        <x:v>2</x:v>
      </x:c>
      <x:c r="E1392" s="25" t="n">
        <x:v>3</x:v>
      </x:c>
      <x:c r="F1392" s="25" t="n">
        <x:v>3</x:v>
      </x:c>
      <x:c r="G1392" s="19" t="n">
        <x:f>SUM(D1392:F1392)</x:f>
        <x:v>8</x:v>
      </x:c>
      <x:c r="H1392" s="25" t="n">
        <x:v>1</x:v>
      </x:c>
      <x:c r="I1392" s="25" t="n">
        <x:v>1</x:v>
      </x:c>
      <x:c r="J1392" s="25" t="n">
        <x:v>2</x:v>
      </x:c>
      <x:c r="K1392" s="19" t="n">
        <x:f>D1392-IF(H1392=0,1,0)</x:f>
        <x:v>2</x:v>
      </x:c>
      <x:c r="L1392" s="19" t="n">
        <x:f>E1392-IF(H1392=1,1,0)</x:f>
        <x:v>2</x:v>
      </x:c>
      <x:c r="M1392" s="19" t="n">
        <x:f>F1392-IF(H1392=2,1,0)</x:f>
        <x:v>3</x:v>
      </x:c>
      <x:c r="N1392" s="19" t="n">
        <x:f>MAX(K1392-1,0)+MAX(L1392-1,0)+MAX(M1392-1,0)</x:f>
        <x:v>4</x:v>
      </x:c>
      <x:c r="O1392" s="19" t="n">
        <x:f>IF(AND(SUM(K1392:M1392)&lt;9,OR(M1392=0,N1392&lt;6)),1,0)</x:f>
        <x:v>1</x:v>
      </x:c>
      <x:c r="P1392" s="19" t="n">
        <x:f>IF(AND(SUM(K1392:M1392)&lt;9,OR(L1392=0,N1392&lt;6)),1,0)</x:f>
        <x:v>1</x:v>
      </x:c>
      <x:c r="Q1392" s="19" t="n">
        <x:f>IF(AND(SUM(K1392:M1392)&lt;9,OR(K1392=0,N1392&lt;6)),1,0)</x:f>
        <x:v>1</x:v>
      </x:c>
      <x:c r="R1392" s="22" t="str">
        <x:f>O1392&amp;P1392&amp;Q1392</x:f>
        <x:v>111</x:v>
      </x:c>
      <x:c r="S1392" s="19" t="n">
        <x:f>IF(I1392=1,IF(J1392=0,Q1392,IF(J1392=1,P1392,IF(J1392=2,O1392,0))),0)</x:f>
        <x:v>1</x:v>
      </x:c>
      <x:c r="T1392" s="19" t="n">
        <x:f>K1392+IF(AND(S1392=1,J1392=0),1,0)</x:f>
        <x:v>2</x:v>
      </x:c>
      <x:c r="U1392" s="19" t="n">
        <x:f>L1392+IF(AND(S1392=1,J1392=1),1,0)</x:f>
        <x:v>2</x:v>
      </x:c>
      <x:c r="V1392" s="19" t="n">
        <x:f>M1392+IF(AND(S1392=1,J1392=2),1,0)</x:f>
        <x:v>4</x:v>
      </x:c>
      <x:c r="W1392" s="19" t="n">
        <x:f>SUM(T1392:V1392)</x:f>
        <x:v>8</x:v>
      </x:c>
      <x:c r="X1392" s="19" t="n">
        <x:f>W1392-G1392</x:f>
        <x:v>0</x:v>
      </x:c>
      <x:c r="Y1392" s="19" t="n">
        <x:f>MAX(T1392,1)+MAX(U1392,1)+MAX(V1392,1)</x:f>
        <x:v>8</x:v>
      </x:c>
      <x:c r="Z1392" s="21" t="str">
        <x:f>IF(AND(MIN(D1392:F1392)&gt;=0,MAX(D1392:F1392)&lt;=7,MAX(D1392,1)+MAX(E1392,1)+MAX(F1392,1)&lt;=9,OR(H1392="-",AND(H1392=0,D1392&gt;0),AND(H1392=1,E1392&gt;0),AND(H1392=2,F1392&gt;0)),OR(I1392=0,AND(I1392=1,OR(J1392=0,J1392=1,J1392=2),R1392&lt;&gt;"000")),Y1392&lt;=9,MIN(T1392:V1392)&gt;=0),"合法","输入违约")</x:f>
        <x:v>合法</x:v>
      </x:c>
    </x:row>
    <x:row r="1393" ht="23" customHeight="1">
      <x:c r="A1393" s="3" t="str">
        <x:v>CT-1386</x:v>
      </x:c>
      <x:c r="B1393" s="3" t="str">
        <x:v>ST-139</x:v>
      </x:c>
      <x:c r="C1393" s="3" t="str">
        <x:v>仅R回收</x:v>
      </x:c>
      <x:c r="D1393" s="25" t="n">
        <x:v>2</x:v>
      </x:c>
      <x:c r="E1393" s="25" t="n">
        <x:v>3</x:v>
      </x:c>
      <x:c r="F1393" s="25" t="n">
        <x:v>3</x:v>
      </x:c>
      <x:c r="G1393" s="19" t="n">
        <x:f>SUM(D1393:F1393)</x:f>
        <x:v>8</x:v>
      </x:c>
      <x:c r="H1393" s="25" t="n">
        <x:v>2</x:v>
      </x:c>
      <x:c r="I1393" s="25" t="n">
        <x:v>0</x:v>
      </x:c>
      <x:c r="J1393" s="25" t="str">
        <x:v>-</x:v>
      </x:c>
      <x:c r="K1393" s="19" t="n">
        <x:f>D1393-IF(H1393=0,1,0)</x:f>
        <x:v>2</x:v>
      </x:c>
      <x:c r="L1393" s="19" t="n">
        <x:f>E1393-IF(H1393=1,1,0)</x:f>
        <x:v>3</x:v>
      </x:c>
      <x:c r="M1393" s="19" t="n">
        <x:f>F1393-IF(H1393=2,1,0)</x:f>
        <x:v>2</x:v>
      </x:c>
      <x:c r="N1393" s="19" t="n">
        <x:f>MAX(K1393-1,0)+MAX(L1393-1,0)+MAX(M1393-1,0)</x:f>
        <x:v>4</x:v>
      </x:c>
      <x:c r="O1393" s="19" t="n">
        <x:f>IF(AND(SUM(K1393:M1393)&lt;9,OR(M1393=0,N1393&lt;6)),1,0)</x:f>
        <x:v>1</x:v>
      </x:c>
      <x:c r="P1393" s="19" t="n">
        <x:f>IF(AND(SUM(K1393:M1393)&lt;9,OR(L1393=0,N1393&lt;6)),1,0)</x:f>
        <x:v>1</x:v>
      </x:c>
      <x:c r="Q1393" s="19" t="n">
        <x:f>IF(AND(SUM(K1393:M1393)&lt;9,OR(K1393=0,N1393&lt;6)),1,0)</x:f>
        <x:v>1</x:v>
      </x:c>
      <x:c r="R1393" s="22" t="str">
        <x:f>O1393&amp;P1393&amp;Q1393</x:f>
        <x:v>111</x:v>
      </x:c>
      <x:c r="S1393" s="19" t="n">
        <x:f>IF(I1393=1,IF(J1393=0,Q1393,IF(J1393=1,P1393,IF(J1393=2,O1393,0))),0)</x:f>
        <x:v>0</x:v>
      </x:c>
      <x:c r="T1393" s="19" t="n">
        <x:f>K1393+IF(AND(S1393=1,J1393=0),1,0)</x:f>
        <x:v>2</x:v>
      </x:c>
      <x:c r="U1393" s="19" t="n">
        <x:f>L1393+IF(AND(S1393=1,J1393=1),1,0)</x:f>
        <x:v>3</x:v>
      </x:c>
      <x:c r="V1393" s="19" t="n">
        <x:f>M1393+IF(AND(S1393=1,J1393=2),1,0)</x:f>
        <x:v>2</x:v>
      </x:c>
      <x:c r="W1393" s="19" t="n">
        <x:f>SUM(T1393:V1393)</x:f>
        <x:v>7</x:v>
      </x:c>
      <x:c r="X1393" s="19" t="n">
        <x:f>W1393-G1393</x:f>
        <x:v>-1</x:v>
      </x:c>
      <x:c r="Y1393" s="19" t="n">
        <x:f>MAX(T1393,1)+MAX(U1393,1)+MAX(V1393,1)</x:f>
        <x:v>7</x:v>
      </x:c>
      <x:c r="Z1393" s="21" t="str">
        <x:f>IF(AND(MIN(D1393:F1393)&gt;=0,MAX(D1393:F1393)&lt;=7,MAX(D1393,1)+MAX(E1393,1)+MAX(F1393,1)&lt;=9,OR(H1393="-",AND(H1393=0,D1393&gt;0),AND(H1393=1,E1393&gt;0),AND(H1393=2,F1393&gt;0)),OR(I1393=0,AND(I1393=1,OR(J1393=0,J1393=1,J1393=2),R1393&lt;&gt;"000")),Y1393&lt;=9,MIN(T1393:V1393)&gt;=0),"合法","输入违约")</x:f>
        <x:v>合法</x:v>
      </x:c>
    </x:row>
    <x:row r="1394" ht="23" customHeight="1">
      <x:c r="A1394" s="3" t="str">
        <x:v>CT-1387</x:v>
      </x:c>
      <x:c r="B1394" s="3" t="str">
        <x:v>ST-139</x:v>
      </x:c>
      <x:c r="C1394" s="3" t="str">
        <x:v>R+AR同收同发</x:v>
      </x:c>
      <x:c r="D1394" s="25" t="n">
        <x:v>2</x:v>
      </x:c>
      <x:c r="E1394" s="25" t="n">
        <x:v>3</x:v>
      </x:c>
      <x:c r="F1394" s="25" t="n">
        <x:v>3</x:v>
      </x:c>
      <x:c r="G1394" s="19" t="n">
        <x:f>SUM(D1394:F1394)</x:f>
        <x:v>8</x:v>
      </x:c>
      <x:c r="H1394" s="25" t="n">
        <x:v>2</x:v>
      </x:c>
      <x:c r="I1394" s="25" t="n">
        <x:v>1</x:v>
      </x:c>
      <x:c r="J1394" s="25" t="n">
        <x:v>0</x:v>
      </x:c>
      <x:c r="K1394" s="19" t="n">
        <x:f>D1394-IF(H1394=0,1,0)</x:f>
        <x:v>2</x:v>
      </x:c>
      <x:c r="L1394" s="19" t="n">
        <x:f>E1394-IF(H1394=1,1,0)</x:f>
        <x:v>3</x:v>
      </x:c>
      <x:c r="M1394" s="19" t="n">
        <x:f>F1394-IF(H1394=2,1,0)</x:f>
        <x:v>2</x:v>
      </x:c>
      <x:c r="N1394" s="19" t="n">
        <x:f>MAX(K1394-1,0)+MAX(L1394-1,0)+MAX(M1394-1,0)</x:f>
        <x:v>4</x:v>
      </x:c>
      <x:c r="O1394" s="19" t="n">
        <x:f>IF(AND(SUM(K1394:M1394)&lt;9,OR(M1394=0,N1394&lt;6)),1,0)</x:f>
        <x:v>1</x:v>
      </x:c>
      <x:c r="P1394" s="19" t="n">
        <x:f>IF(AND(SUM(K1394:M1394)&lt;9,OR(L1394=0,N1394&lt;6)),1,0)</x:f>
        <x:v>1</x:v>
      </x:c>
      <x:c r="Q1394" s="19" t="n">
        <x:f>IF(AND(SUM(K1394:M1394)&lt;9,OR(K1394=0,N1394&lt;6)),1,0)</x:f>
        <x:v>1</x:v>
      </x:c>
      <x:c r="R1394" s="22" t="str">
        <x:f>O1394&amp;P1394&amp;Q1394</x:f>
        <x:v>111</x:v>
      </x:c>
      <x:c r="S1394" s="19" t="n">
        <x:f>IF(I1394=1,IF(J1394=0,Q1394,IF(J1394=1,P1394,IF(J1394=2,O1394,0))),0)</x:f>
        <x:v>1</x:v>
      </x:c>
      <x:c r="T1394" s="19" t="n">
        <x:f>K1394+IF(AND(S1394=1,J1394=0),1,0)</x:f>
        <x:v>3</x:v>
      </x:c>
      <x:c r="U1394" s="19" t="n">
        <x:f>L1394+IF(AND(S1394=1,J1394=1),1,0)</x:f>
        <x:v>3</x:v>
      </x:c>
      <x:c r="V1394" s="19" t="n">
        <x:f>M1394+IF(AND(S1394=1,J1394=2),1,0)</x:f>
        <x:v>2</x:v>
      </x:c>
      <x:c r="W1394" s="19" t="n">
        <x:f>SUM(T1394:V1394)</x:f>
        <x:v>8</x:v>
      </x:c>
      <x:c r="X1394" s="19" t="n">
        <x:f>W1394-G1394</x:f>
        <x:v>0</x:v>
      </x:c>
      <x:c r="Y1394" s="19" t="n">
        <x:f>MAX(T1394,1)+MAX(U1394,1)+MAX(V1394,1)</x:f>
        <x:v>8</x:v>
      </x:c>
      <x:c r="Z1394" s="21" t="str">
        <x:f>IF(AND(MIN(D1394:F1394)&gt;=0,MAX(D1394:F1394)&lt;=7,MAX(D1394,1)+MAX(E1394,1)+MAX(F1394,1)&lt;=9,OR(H1394="-",AND(H1394=0,D1394&gt;0),AND(H1394=1,E1394&gt;0),AND(H1394=2,F1394&gt;0)),OR(I1394=0,AND(I1394=1,OR(J1394=0,J1394=1,J1394=2),R1394&lt;&gt;"000")),Y1394&lt;=9,MIN(T1394:V1394)&gt;=0),"合法","输入违约")</x:f>
        <x:v>合法</x:v>
      </x:c>
    </x:row>
    <x:row r="1395" ht="23" customHeight="1">
      <x:c r="A1395" s="3" t="str">
        <x:v>CT-1388</x:v>
      </x:c>
      <x:c r="B1395" s="3" t="str">
        <x:v>ST-139</x:v>
      </x:c>
      <x:c r="C1395" s="3" t="str">
        <x:v>R+AR同收同发</x:v>
      </x:c>
      <x:c r="D1395" s="25" t="n">
        <x:v>2</x:v>
      </x:c>
      <x:c r="E1395" s="25" t="n">
        <x:v>3</x:v>
      </x:c>
      <x:c r="F1395" s="25" t="n">
        <x:v>3</x:v>
      </x:c>
      <x:c r="G1395" s="19" t="n">
        <x:f>SUM(D1395:F1395)</x:f>
        <x:v>8</x:v>
      </x:c>
      <x:c r="H1395" s="25" t="n">
        <x:v>2</x:v>
      </x:c>
      <x:c r="I1395" s="25" t="n">
        <x:v>1</x:v>
      </x:c>
      <x:c r="J1395" s="25" t="n">
        <x:v>1</x:v>
      </x:c>
      <x:c r="K1395" s="19" t="n">
        <x:f>D1395-IF(H1395=0,1,0)</x:f>
        <x:v>2</x:v>
      </x:c>
      <x:c r="L1395" s="19" t="n">
        <x:f>E1395-IF(H1395=1,1,0)</x:f>
        <x:v>3</x:v>
      </x:c>
      <x:c r="M1395" s="19" t="n">
        <x:f>F1395-IF(H1395=2,1,0)</x:f>
        <x:v>2</x:v>
      </x:c>
      <x:c r="N1395" s="19" t="n">
        <x:f>MAX(K1395-1,0)+MAX(L1395-1,0)+MAX(M1395-1,0)</x:f>
        <x:v>4</x:v>
      </x:c>
      <x:c r="O1395" s="19" t="n">
        <x:f>IF(AND(SUM(K1395:M1395)&lt;9,OR(M1395=0,N1395&lt;6)),1,0)</x:f>
        <x:v>1</x:v>
      </x:c>
      <x:c r="P1395" s="19" t="n">
        <x:f>IF(AND(SUM(K1395:M1395)&lt;9,OR(L1395=0,N1395&lt;6)),1,0)</x:f>
        <x:v>1</x:v>
      </x:c>
      <x:c r="Q1395" s="19" t="n">
        <x:f>IF(AND(SUM(K1395:M1395)&lt;9,OR(K1395=0,N1395&lt;6)),1,0)</x:f>
        <x:v>1</x:v>
      </x:c>
      <x:c r="R1395" s="22" t="str">
        <x:f>O1395&amp;P1395&amp;Q1395</x:f>
        <x:v>111</x:v>
      </x:c>
      <x:c r="S1395" s="19" t="n">
        <x:f>IF(I1395=1,IF(J1395=0,Q1395,IF(J1395=1,P1395,IF(J1395=2,O1395,0))),0)</x:f>
        <x:v>1</x:v>
      </x:c>
      <x:c r="T1395" s="19" t="n">
        <x:f>K1395+IF(AND(S1395=1,J1395=0),1,0)</x:f>
        <x:v>2</x:v>
      </x:c>
      <x:c r="U1395" s="19" t="n">
        <x:f>L1395+IF(AND(S1395=1,J1395=1),1,0)</x:f>
        <x:v>4</x:v>
      </x:c>
      <x:c r="V1395" s="19" t="n">
        <x:f>M1395+IF(AND(S1395=1,J1395=2),1,0)</x:f>
        <x:v>2</x:v>
      </x:c>
      <x:c r="W1395" s="19" t="n">
        <x:f>SUM(T1395:V1395)</x:f>
        <x:v>8</x:v>
      </x:c>
      <x:c r="X1395" s="19" t="n">
        <x:f>W1395-G1395</x:f>
        <x:v>0</x:v>
      </x:c>
      <x:c r="Y1395" s="19" t="n">
        <x:f>MAX(T1395,1)+MAX(U1395,1)+MAX(V1395,1)</x:f>
        <x:v>8</x:v>
      </x:c>
      <x:c r="Z1395" s="21" t="str">
        <x:f>IF(AND(MIN(D1395:F1395)&gt;=0,MAX(D1395:F1395)&lt;=7,MAX(D1395,1)+MAX(E1395,1)+MAX(F1395,1)&lt;=9,OR(H1395="-",AND(H1395=0,D1395&gt;0),AND(H1395=1,E1395&gt;0),AND(H1395=2,F1395&gt;0)),OR(I1395=0,AND(I1395=1,OR(J1395=0,J1395=1,J1395=2),R1395&lt;&gt;"000")),Y1395&lt;=9,MIN(T1395:V1395)&gt;=0),"合法","输入违约")</x:f>
        <x:v>合法</x:v>
      </x:c>
    </x:row>
    <x:row r="1396" ht="23" customHeight="1">
      <x:c r="A1396" s="3" t="str">
        <x:v>CT-1389</x:v>
      </x:c>
      <x:c r="B1396" s="3" t="str">
        <x:v>ST-139</x:v>
      </x:c>
      <x:c r="C1396" s="3" t="str">
        <x:v>R+AR同收同发</x:v>
      </x:c>
      <x:c r="D1396" s="25" t="n">
        <x:v>2</x:v>
      </x:c>
      <x:c r="E1396" s="25" t="n">
        <x:v>3</x:v>
      </x:c>
      <x:c r="F1396" s="25" t="n">
        <x:v>3</x:v>
      </x:c>
      <x:c r="G1396" s="19" t="n">
        <x:f>SUM(D1396:F1396)</x:f>
        <x:v>8</x:v>
      </x:c>
      <x:c r="H1396" s="25" t="n">
        <x:v>2</x:v>
      </x:c>
      <x:c r="I1396" s="25" t="n">
        <x:v>1</x:v>
      </x:c>
      <x:c r="J1396" s="25" t="n">
        <x:v>2</x:v>
      </x:c>
      <x:c r="K1396" s="19" t="n">
        <x:f>D1396-IF(H1396=0,1,0)</x:f>
        <x:v>2</x:v>
      </x:c>
      <x:c r="L1396" s="19" t="n">
        <x:f>E1396-IF(H1396=1,1,0)</x:f>
        <x:v>3</x:v>
      </x:c>
      <x:c r="M1396" s="19" t="n">
        <x:f>F1396-IF(H1396=2,1,0)</x:f>
        <x:v>2</x:v>
      </x:c>
      <x:c r="N1396" s="19" t="n">
        <x:f>MAX(K1396-1,0)+MAX(L1396-1,0)+MAX(M1396-1,0)</x:f>
        <x:v>4</x:v>
      </x:c>
      <x:c r="O1396" s="19" t="n">
        <x:f>IF(AND(SUM(K1396:M1396)&lt;9,OR(M1396=0,N1396&lt;6)),1,0)</x:f>
        <x:v>1</x:v>
      </x:c>
      <x:c r="P1396" s="19" t="n">
        <x:f>IF(AND(SUM(K1396:M1396)&lt;9,OR(L1396=0,N1396&lt;6)),1,0)</x:f>
        <x:v>1</x:v>
      </x:c>
      <x:c r="Q1396" s="19" t="n">
        <x:f>IF(AND(SUM(K1396:M1396)&lt;9,OR(K1396=0,N1396&lt;6)),1,0)</x:f>
        <x:v>1</x:v>
      </x:c>
      <x:c r="R1396" s="22" t="str">
        <x:f>O1396&amp;P1396&amp;Q1396</x:f>
        <x:v>111</x:v>
      </x:c>
      <x:c r="S1396" s="19" t="n">
        <x:f>IF(I1396=1,IF(J1396=0,Q1396,IF(J1396=1,P1396,IF(J1396=2,O1396,0))),0)</x:f>
        <x:v>1</x:v>
      </x:c>
      <x:c r="T1396" s="19" t="n">
        <x:f>K1396+IF(AND(S1396=1,J1396=0),1,0)</x:f>
        <x:v>2</x:v>
      </x:c>
      <x:c r="U1396" s="19" t="n">
        <x:f>L1396+IF(AND(S1396=1,J1396=1),1,0)</x:f>
        <x:v>3</x:v>
      </x:c>
      <x:c r="V1396" s="19" t="n">
        <x:f>M1396+IF(AND(S1396=1,J1396=2),1,0)</x:f>
        <x:v>3</x:v>
      </x:c>
      <x:c r="W1396" s="19" t="n">
        <x:f>SUM(T1396:V1396)</x:f>
        <x:v>8</x:v>
      </x:c>
      <x:c r="X1396" s="19" t="n">
        <x:f>W1396-G1396</x:f>
        <x:v>0</x:v>
      </x:c>
      <x:c r="Y1396" s="19" t="n">
        <x:f>MAX(T1396,1)+MAX(U1396,1)+MAX(V1396,1)</x:f>
        <x:v>8</x:v>
      </x:c>
      <x:c r="Z1396" s="21" t="str">
        <x:f>IF(AND(MIN(D1396:F1396)&gt;=0,MAX(D1396:F1396)&lt;=7,MAX(D1396,1)+MAX(E1396,1)+MAX(F1396,1)&lt;=9,OR(H1396="-",AND(H1396=0,D1396&gt;0),AND(H1396=1,E1396&gt;0),AND(H1396=2,F1396&gt;0)),OR(I1396=0,AND(I1396=1,OR(J1396=0,J1396=1,J1396=2),R1396&lt;&gt;"000")),Y1396&lt;=9,MIN(T1396:V1396)&gt;=0),"合法","输入违约")</x:f>
        <x:v>合法</x:v>
      </x:c>
    </x:row>
    <x:row r="1397" ht="23" customHeight="1">
      <x:c r="A1397" s="3" t="str">
        <x:v>CT-1390</x:v>
      </x:c>
      <x:c r="B1397" s="3" t="str">
        <x:v>ST-172</x:v>
      </x:c>
      <x:c r="C1397" s="3" t="str">
        <x:v>无AR/R</x:v>
      </x:c>
      <x:c r="D1397" s="25" t="n">
        <x:v>2</x:v>
      </x:c>
      <x:c r="E1397" s="25" t="n">
        <x:v>3</x:v>
      </x:c>
      <x:c r="F1397" s="25" t="n">
        <x:v>4</x:v>
      </x:c>
      <x:c r="G1397" s="19" t="n">
        <x:f>SUM(D1397:F1397)</x:f>
        <x:v>9</x:v>
      </x:c>
      <x:c r="H1397" s="25" t="str">
        <x:v>-</x:v>
      </x:c>
      <x:c r="I1397" s="25" t="n">
        <x:v>0</x:v>
      </x:c>
      <x:c r="J1397" s="25" t="str">
        <x:v>-</x:v>
      </x:c>
      <x:c r="K1397" s="19" t="n">
        <x:f>D1397-IF(H1397=0,1,0)</x:f>
        <x:v>2</x:v>
      </x:c>
      <x:c r="L1397" s="19" t="n">
        <x:f>E1397-IF(H1397=1,1,0)</x:f>
        <x:v>3</x:v>
      </x:c>
      <x:c r="M1397" s="19" t="n">
        <x:f>F1397-IF(H1397=2,1,0)</x:f>
        <x:v>4</x:v>
      </x:c>
      <x:c r="N1397" s="19" t="n">
        <x:f>MAX(K1397-1,0)+MAX(L1397-1,0)+MAX(M1397-1,0)</x:f>
        <x:v>6</x:v>
      </x:c>
      <x:c r="O1397" s="19" t="n">
        <x:f>IF(AND(SUM(K1397:M1397)&lt;9,OR(M1397=0,N1397&lt;6)),1,0)</x:f>
        <x:v>0</x:v>
      </x:c>
      <x:c r="P1397" s="19" t="n">
        <x:f>IF(AND(SUM(K1397:M1397)&lt;9,OR(L1397=0,N1397&lt;6)),1,0)</x:f>
        <x:v>0</x:v>
      </x:c>
      <x:c r="Q1397" s="19" t="n">
        <x:f>IF(AND(SUM(K1397:M1397)&lt;9,OR(K1397=0,N1397&lt;6)),1,0)</x:f>
        <x:v>0</x:v>
      </x:c>
      <x:c r="R1397" s="22" t="str">
        <x:f>O1397&amp;P1397&amp;Q1397</x:f>
        <x:v>000</x:v>
      </x:c>
      <x:c r="S1397" s="19" t="n">
        <x:f>IF(I1397=1,IF(J1397=0,Q1397,IF(J1397=1,P1397,IF(J1397=2,O1397,0))),0)</x:f>
        <x:v>0</x:v>
      </x:c>
      <x:c r="T1397" s="19" t="n">
        <x:f>K1397+IF(AND(S1397=1,J1397=0),1,0)</x:f>
        <x:v>2</x:v>
      </x:c>
      <x:c r="U1397" s="19" t="n">
        <x:f>L1397+IF(AND(S1397=1,J1397=1),1,0)</x:f>
        <x:v>3</x:v>
      </x:c>
      <x:c r="V1397" s="19" t="n">
        <x:f>M1397+IF(AND(S1397=1,J1397=2),1,0)</x:f>
        <x:v>4</x:v>
      </x:c>
      <x:c r="W1397" s="19" t="n">
        <x:f>SUM(T1397:V1397)</x:f>
        <x:v>9</x:v>
      </x:c>
      <x:c r="X1397" s="19" t="n">
        <x:f>W1397-G1397</x:f>
        <x:v>0</x:v>
      </x:c>
      <x:c r="Y1397" s="19" t="n">
        <x:f>MAX(T1397,1)+MAX(U1397,1)+MAX(V1397,1)</x:f>
        <x:v>9</x:v>
      </x:c>
      <x:c r="Z1397" s="21" t="str">
        <x:f>IF(AND(MIN(D1397:F1397)&gt;=0,MAX(D1397:F1397)&lt;=7,MAX(D1397,1)+MAX(E1397,1)+MAX(F1397,1)&lt;=9,OR(H1397="-",AND(H1397=0,D1397&gt;0),AND(H1397=1,E1397&gt;0),AND(H1397=2,F1397&gt;0)),OR(I1397=0,AND(I1397=1,OR(J1397=0,J1397=1,J1397=2),R1397&lt;&gt;"000")),Y1397&lt;=9,MIN(T1397:V1397)&gt;=0),"合法","输入违约")</x:f>
        <x:v>合法</x:v>
      </x:c>
    </x:row>
    <x:row r="1398" ht="23" customHeight="1">
      <x:c r="A1398" s="3" t="str">
        <x:v>CT-1391</x:v>
      </x:c>
      <x:c r="B1398" s="3" t="str">
        <x:v>ST-172</x:v>
      </x:c>
      <x:c r="C1398" s="3" t="str">
        <x:v>仅R回收</x:v>
      </x:c>
      <x:c r="D1398" s="25" t="n">
        <x:v>2</x:v>
      </x:c>
      <x:c r="E1398" s="25" t="n">
        <x:v>3</x:v>
      </x:c>
      <x:c r="F1398" s="25" t="n">
        <x:v>4</x:v>
      </x:c>
      <x:c r="G1398" s="19" t="n">
        <x:f>SUM(D1398:F1398)</x:f>
        <x:v>9</x:v>
      </x:c>
      <x:c r="H1398" s="25" t="n">
        <x:v>0</x:v>
      </x:c>
      <x:c r="I1398" s="25" t="n">
        <x:v>0</x:v>
      </x:c>
      <x:c r="J1398" s="25" t="str">
        <x:v>-</x:v>
      </x:c>
      <x:c r="K1398" s="19" t="n">
        <x:f>D1398-IF(H1398=0,1,0)</x:f>
        <x:v>1</x:v>
      </x:c>
      <x:c r="L1398" s="19" t="n">
        <x:f>E1398-IF(H1398=1,1,0)</x:f>
        <x:v>3</x:v>
      </x:c>
      <x:c r="M1398" s="19" t="n">
        <x:f>F1398-IF(H1398=2,1,0)</x:f>
        <x:v>4</x:v>
      </x:c>
      <x:c r="N1398" s="19" t="n">
        <x:f>MAX(K1398-1,0)+MAX(L1398-1,0)+MAX(M1398-1,0)</x:f>
        <x:v>5</x:v>
      </x:c>
      <x:c r="O1398" s="19" t="n">
        <x:f>IF(AND(SUM(K1398:M1398)&lt;9,OR(M1398=0,N1398&lt;6)),1,0)</x:f>
        <x:v>1</x:v>
      </x:c>
      <x:c r="P1398" s="19" t="n">
        <x:f>IF(AND(SUM(K1398:M1398)&lt;9,OR(L1398=0,N1398&lt;6)),1,0)</x:f>
        <x:v>1</x:v>
      </x:c>
      <x:c r="Q1398" s="19" t="n">
        <x:f>IF(AND(SUM(K1398:M1398)&lt;9,OR(K1398=0,N1398&lt;6)),1,0)</x:f>
        <x:v>1</x:v>
      </x:c>
      <x:c r="R1398" s="22" t="str">
        <x:f>O1398&amp;P1398&amp;Q1398</x:f>
        <x:v>111</x:v>
      </x:c>
      <x:c r="S1398" s="19" t="n">
        <x:f>IF(I1398=1,IF(J1398=0,Q1398,IF(J1398=1,P1398,IF(J1398=2,O1398,0))),0)</x:f>
        <x:v>0</x:v>
      </x:c>
      <x:c r="T1398" s="19" t="n">
        <x:f>K1398+IF(AND(S1398=1,J1398=0),1,0)</x:f>
        <x:v>1</x:v>
      </x:c>
      <x:c r="U1398" s="19" t="n">
        <x:f>L1398+IF(AND(S1398=1,J1398=1),1,0)</x:f>
        <x:v>3</x:v>
      </x:c>
      <x:c r="V1398" s="19" t="n">
        <x:f>M1398+IF(AND(S1398=1,J1398=2),1,0)</x:f>
        <x:v>4</x:v>
      </x:c>
      <x:c r="W1398" s="19" t="n">
        <x:f>SUM(T1398:V1398)</x:f>
        <x:v>8</x:v>
      </x:c>
      <x:c r="X1398" s="19" t="n">
        <x:f>W1398-G1398</x:f>
        <x:v>-1</x:v>
      </x:c>
      <x:c r="Y1398" s="19" t="n">
        <x:f>MAX(T1398,1)+MAX(U1398,1)+MAX(V1398,1)</x:f>
        <x:v>8</x:v>
      </x:c>
      <x:c r="Z1398" s="21" t="str">
        <x:f>IF(AND(MIN(D1398:F1398)&gt;=0,MAX(D1398:F1398)&lt;=7,MAX(D1398,1)+MAX(E1398,1)+MAX(F1398,1)&lt;=9,OR(H1398="-",AND(H1398=0,D1398&gt;0),AND(H1398=1,E1398&gt;0),AND(H1398=2,F1398&gt;0)),OR(I1398=0,AND(I1398=1,OR(J1398=0,J1398=1,J1398=2),R1398&lt;&gt;"000")),Y1398&lt;=9,MIN(T1398:V1398)&gt;=0),"合法","输入违约")</x:f>
        <x:v>合法</x:v>
      </x:c>
    </x:row>
    <x:row r="1399" ht="23" customHeight="1">
      <x:c r="A1399" s="3" t="str">
        <x:v>CT-1392</x:v>
      </x:c>
      <x:c r="B1399" s="3" t="str">
        <x:v>ST-172</x:v>
      </x:c>
      <x:c r="C1399" s="3" t="str">
        <x:v>R+AR同收同发</x:v>
      </x:c>
      <x:c r="D1399" s="25" t="n">
        <x:v>2</x:v>
      </x:c>
      <x:c r="E1399" s="25" t="n">
        <x:v>3</x:v>
      </x:c>
      <x:c r="F1399" s="25" t="n">
        <x:v>4</x:v>
      </x:c>
      <x:c r="G1399" s="19" t="n">
        <x:f>SUM(D1399:F1399)</x:f>
        <x:v>9</x:v>
      </x:c>
      <x:c r="H1399" s="25" t="n">
        <x:v>0</x:v>
      </x:c>
      <x:c r="I1399" s="25" t="n">
        <x:v>1</x:v>
      </x:c>
      <x:c r="J1399" s="25" t="n">
        <x:v>0</x:v>
      </x:c>
      <x:c r="K1399" s="19" t="n">
        <x:f>D1399-IF(H1399=0,1,0)</x:f>
        <x:v>1</x:v>
      </x:c>
      <x:c r="L1399" s="19" t="n">
        <x:f>E1399-IF(H1399=1,1,0)</x:f>
        <x:v>3</x:v>
      </x:c>
      <x:c r="M1399" s="19" t="n">
        <x:f>F1399-IF(H1399=2,1,0)</x:f>
        <x:v>4</x:v>
      </x:c>
      <x:c r="N1399" s="19" t="n">
        <x:f>MAX(K1399-1,0)+MAX(L1399-1,0)+MAX(M1399-1,0)</x:f>
        <x:v>5</x:v>
      </x:c>
      <x:c r="O1399" s="19" t="n">
        <x:f>IF(AND(SUM(K1399:M1399)&lt;9,OR(M1399=0,N1399&lt;6)),1,0)</x:f>
        <x:v>1</x:v>
      </x:c>
      <x:c r="P1399" s="19" t="n">
        <x:f>IF(AND(SUM(K1399:M1399)&lt;9,OR(L1399=0,N1399&lt;6)),1,0)</x:f>
        <x:v>1</x:v>
      </x:c>
      <x:c r="Q1399" s="19" t="n">
        <x:f>IF(AND(SUM(K1399:M1399)&lt;9,OR(K1399=0,N1399&lt;6)),1,0)</x:f>
        <x:v>1</x:v>
      </x:c>
      <x:c r="R1399" s="22" t="str">
        <x:f>O1399&amp;P1399&amp;Q1399</x:f>
        <x:v>111</x:v>
      </x:c>
      <x:c r="S1399" s="19" t="n">
        <x:f>IF(I1399=1,IF(J1399=0,Q1399,IF(J1399=1,P1399,IF(J1399=2,O1399,0))),0)</x:f>
        <x:v>1</x:v>
      </x:c>
      <x:c r="T1399" s="19" t="n">
        <x:f>K1399+IF(AND(S1399=1,J1399=0),1,0)</x:f>
        <x:v>2</x:v>
      </x:c>
      <x:c r="U1399" s="19" t="n">
        <x:f>L1399+IF(AND(S1399=1,J1399=1),1,0)</x:f>
        <x:v>3</x:v>
      </x:c>
      <x:c r="V1399" s="19" t="n">
        <x:f>M1399+IF(AND(S1399=1,J1399=2),1,0)</x:f>
        <x:v>4</x:v>
      </x:c>
      <x:c r="W1399" s="19" t="n">
        <x:f>SUM(T1399:V1399)</x:f>
        <x:v>9</x:v>
      </x:c>
      <x:c r="X1399" s="19" t="n">
        <x:f>W1399-G1399</x:f>
        <x:v>0</x:v>
      </x:c>
      <x:c r="Y1399" s="19" t="n">
        <x:f>MAX(T1399,1)+MAX(U1399,1)+MAX(V1399,1)</x:f>
        <x:v>9</x:v>
      </x:c>
      <x:c r="Z1399" s="21" t="str">
        <x:f>IF(AND(MIN(D1399:F1399)&gt;=0,MAX(D1399:F1399)&lt;=7,MAX(D1399,1)+MAX(E1399,1)+MAX(F1399,1)&lt;=9,OR(H1399="-",AND(H1399=0,D1399&gt;0),AND(H1399=1,E1399&gt;0),AND(H1399=2,F1399&gt;0)),OR(I1399=0,AND(I1399=1,OR(J1399=0,J1399=1,J1399=2),R1399&lt;&gt;"000")),Y1399&lt;=9,MIN(T1399:V1399)&gt;=0),"合法","输入违约")</x:f>
        <x:v>合法</x:v>
      </x:c>
    </x:row>
    <x:row r="1400" ht="23" customHeight="1">
      <x:c r="A1400" s="3" t="str">
        <x:v>CT-1393</x:v>
      </x:c>
      <x:c r="B1400" s="3" t="str">
        <x:v>ST-172</x:v>
      </x:c>
      <x:c r="C1400" s="3" t="str">
        <x:v>R+AR同收同发</x:v>
      </x:c>
      <x:c r="D1400" s="25" t="n">
        <x:v>2</x:v>
      </x:c>
      <x:c r="E1400" s="25" t="n">
        <x:v>3</x:v>
      </x:c>
      <x:c r="F1400" s="25" t="n">
        <x:v>4</x:v>
      </x:c>
      <x:c r="G1400" s="19" t="n">
        <x:f>SUM(D1400:F1400)</x:f>
        <x:v>9</x:v>
      </x:c>
      <x:c r="H1400" s="25" t="n">
        <x:v>0</x:v>
      </x:c>
      <x:c r="I1400" s="25" t="n">
        <x:v>1</x:v>
      </x:c>
      <x:c r="J1400" s="25" t="n">
        <x:v>1</x:v>
      </x:c>
      <x:c r="K1400" s="19" t="n">
        <x:f>D1400-IF(H1400=0,1,0)</x:f>
        <x:v>1</x:v>
      </x:c>
      <x:c r="L1400" s="19" t="n">
        <x:f>E1400-IF(H1400=1,1,0)</x:f>
        <x:v>3</x:v>
      </x:c>
      <x:c r="M1400" s="19" t="n">
        <x:f>F1400-IF(H1400=2,1,0)</x:f>
        <x:v>4</x:v>
      </x:c>
      <x:c r="N1400" s="19" t="n">
        <x:f>MAX(K1400-1,0)+MAX(L1400-1,0)+MAX(M1400-1,0)</x:f>
        <x:v>5</x:v>
      </x:c>
      <x:c r="O1400" s="19" t="n">
        <x:f>IF(AND(SUM(K1400:M1400)&lt;9,OR(M1400=0,N1400&lt;6)),1,0)</x:f>
        <x:v>1</x:v>
      </x:c>
      <x:c r="P1400" s="19" t="n">
        <x:f>IF(AND(SUM(K1400:M1400)&lt;9,OR(L1400=0,N1400&lt;6)),1,0)</x:f>
        <x:v>1</x:v>
      </x:c>
      <x:c r="Q1400" s="19" t="n">
        <x:f>IF(AND(SUM(K1400:M1400)&lt;9,OR(K1400=0,N1400&lt;6)),1,0)</x:f>
        <x:v>1</x:v>
      </x:c>
      <x:c r="R1400" s="22" t="str">
        <x:f>O1400&amp;P1400&amp;Q1400</x:f>
        <x:v>111</x:v>
      </x:c>
      <x:c r="S1400" s="19" t="n">
        <x:f>IF(I1400=1,IF(J1400=0,Q1400,IF(J1400=1,P1400,IF(J1400=2,O1400,0))),0)</x:f>
        <x:v>1</x:v>
      </x:c>
      <x:c r="T1400" s="19" t="n">
        <x:f>K1400+IF(AND(S1400=1,J1400=0),1,0)</x:f>
        <x:v>1</x:v>
      </x:c>
      <x:c r="U1400" s="19" t="n">
        <x:f>L1400+IF(AND(S1400=1,J1400=1),1,0)</x:f>
        <x:v>4</x:v>
      </x:c>
      <x:c r="V1400" s="19" t="n">
        <x:f>M1400+IF(AND(S1400=1,J1400=2),1,0)</x:f>
        <x:v>4</x:v>
      </x:c>
      <x:c r="W1400" s="19" t="n">
        <x:f>SUM(T1400:V1400)</x:f>
        <x:v>9</x:v>
      </x:c>
      <x:c r="X1400" s="19" t="n">
        <x:f>W1400-G1400</x:f>
        <x:v>0</x:v>
      </x:c>
      <x:c r="Y1400" s="19" t="n">
        <x:f>MAX(T1400,1)+MAX(U1400,1)+MAX(V1400,1)</x:f>
        <x:v>9</x:v>
      </x:c>
      <x:c r="Z1400" s="21" t="str">
        <x:f>IF(AND(MIN(D1400:F1400)&gt;=0,MAX(D1400:F1400)&lt;=7,MAX(D1400,1)+MAX(E1400,1)+MAX(F1400,1)&lt;=9,OR(H1400="-",AND(H1400=0,D1400&gt;0),AND(H1400=1,E1400&gt;0),AND(H1400=2,F1400&gt;0)),OR(I1400=0,AND(I1400=1,OR(J1400=0,J1400=1,J1400=2),R1400&lt;&gt;"000")),Y1400&lt;=9,MIN(T1400:V1400)&gt;=0),"合法","输入违约")</x:f>
        <x:v>合法</x:v>
      </x:c>
    </x:row>
    <x:row r="1401" ht="23" customHeight="1">
      <x:c r="A1401" s="3" t="str">
        <x:v>CT-1394</x:v>
      </x:c>
      <x:c r="B1401" s="3" t="str">
        <x:v>ST-172</x:v>
      </x:c>
      <x:c r="C1401" s="3" t="str">
        <x:v>R+AR同收同发</x:v>
      </x:c>
      <x:c r="D1401" s="25" t="n">
        <x:v>2</x:v>
      </x:c>
      <x:c r="E1401" s="25" t="n">
        <x:v>3</x:v>
      </x:c>
      <x:c r="F1401" s="25" t="n">
        <x:v>4</x:v>
      </x:c>
      <x:c r="G1401" s="19" t="n">
        <x:f>SUM(D1401:F1401)</x:f>
        <x:v>9</x:v>
      </x:c>
      <x:c r="H1401" s="25" t="n">
        <x:v>0</x:v>
      </x:c>
      <x:c r="I1401" s="25" t="n">
        <x:v>1</x:v>
      </x:c>
      <x:c r="J1401" s="25" t="n">
        <x:v>2</x:v>
      </x:c>
      <x:c r="K1401" s="19" t="n">
        <x:f>D1401-IF(H1401=0,1,0)</x:f>
        <x:v>1</x:v>
      </x:c>
      <x:c r="L1401" s="19" t="n">
        <x:f>E1401-IF(H1401=1,1,0)</x:f>
        <x:v>3</x:v>
      </x:c>
      <x:c r="M1401" s="19" t="n">
        <x:f>F1401-IF(H1401=2,1,0)</x:f>
        <x:v>4</x:v>
      </x:c>
      <x:c r="N1401" s="19" t="n">
        <x:f>MAX(K1401-1,0)+MAX(L1401-1,0)+MAX(M1401-1,0)</x:f>
        <x:v>5</x:v>
      </x:c>
      <x:c r="O1401" s="19" t="n">
        <x:f>IF(AND(SUM(K1401:M1401)&lt;9,OR(M1401=0,N1401&lt;6)),1,0)</x:f>
        <x:v>1</x:v>
      </x:c>
      <x:c r="P1401" s="19" t="n">
        <x:f>IF(AND(SUM(K1401:M1401)&lt;9,OR(L1401=0,N1401&lt;6)),1,0)</x:f>
        <x:v>1</x:v>
      </x:c>
      <x:c r="Q1401" s="19" t="n">
        <x:f>IF(AND(SUM(K1401:M1401)&lt;9,OR(K1401=0,N1401&lt;6)),1,0)</x:f>
        <x:v>1</x:v>
      </x:c>
      <x:c r="R1401" s="22" t="str">
        <x:f>O1401&amp;P1401&amp;Q1401</x:f>
        <x:v>111</x:v>
      </x:c>
      <x:c r="S1401" s="19" t="n">
        <x:f>IF(I1401=1,IF(J1401=0,Q1401,IF(J1401=1,P1401,IF(J1401=2,O1401,0))),0)</x:f>
        <x:v>1</x:v>
      </x:c>
      <x:c r="T1401" s="19" t="n">
        <x:f>K1401+IF(AND(S1401=1,J1401=0),1,0)</x:f>
        <x:v>1</x:v>
      </x:c>
      <x:c r="U1401" s="19" t="n">
        <x:f>L1401+IF(AND(S1401=1,J1401=1),1,0)</x:f>
        <x:v>3</x:v>
      </x:c>
      <x:c r="V1401" s="19" t="n">
        <x:f>M1401+IF(AND(S1401=1,J1401=2),1,0)</x:f>
        <x:v>5</x:v>
      </x:c>
      <x:c r="W1401" s="19" t="n">
        <x:f>SUM(T1401:V1401)</x:f>
        <x:v>9</x:v>
      </x:c>
      <x:c r="X1401" s="19" t="n">
        <x:f>W1401-G1401</x:f>
        <x:v>0</x:v>
      </x:c>
      <x:c r="Y1401" s="19" t="n">
        <x:f>MAX(T1401,1)+MAX(U1401,1)+MAX(V1401,1)</x:f>
        <x:v>9</x:v>
      </x:c>
      <x:c r="Z1401" s="21" t="str">
        <x:f>IF(AND(MIN(D1401:F1401)&gt;=0,MAX(D1401:F1401)&lt;=7,MAX(D1401,1)+MAX(E1401,1)+MAX(F1401,1)&lt;=9,OR(H1401="-",AND(H1401=0,D1401&gt;0),AND(H1401=1,E1401&gt;0),AND(H1401=2,F1401&gt;0)),OR(I1401=0,AND(I1401=1,OR(J1401=0,J1401=1,J1401=2),R1401&lt;&gt;"000")),Y1401&lt;=9,MIN(T1401:V1401)&gt;=0),"合法","输入违约")</x:f>
        <x:v>合法</x:v>
      </x:c>
    </x:row>
    <x:row r="1402" ht="23" customHeight="1">
      <x:c r="A1402" s="3" t="str">
        <x:v>CT-1395</x:v>
      </x:c>
      <x:c r="B1402" s="3" t="str">
        <x:v>ST-172</x:v>
      </x:c>
      <x:c r="C1402" s="3" t="str">
        <x:v>仅R回收</x:v>
      </x:c>
      <x:c r="D1402" s="25" t="n">
        <x:v>2</x:v>
      </x:c>
      <x:c r="E1402" s="25" t="n">
        <x:v>3</x:v>
      </x:c>
      <x:c r="F1402" s="25" t="n">
        <x:v>4</x:v>
      </x:c>
      <x:c r="G1402" s="19" t="n">
        <x:f>SUM(D1402:F1402)</x:f>
        <x:v>9</x:v>
      </x:c>
      <x:c r="H1402" s="25" t="n">
        <x:v>1</x:v>
      </x:c>
      <x:c r="I1402" s="25" t="n">
        <x:v>0</x:v>
      </x:c>
      <x:c r="J1402" s="25" t="str">
        <x:v>-</x:v>
      </x:c>
      <x:c r="K1402" s="19" t="n">
        <x:f>D1402-IF(H1402=0,1,0)</x:f>
        <x:v>2</x:v>
      </x:c>
      <x:c r="L1402" s="19" t="n">
        <x:f>E1402-IF(H1402=1,1,0)</x:f>
        <x:v>2</x:v>
      </x:c>
      <x:c r="M1402" s="19" t="n">
        <x:f>F1402-IF(H1402=2,1,0)</x:f>
        <x:v>4</x:v>
      </x:c>
      <x:c r="N1402" s="19" t="n">
        <x:f>MAX(K1402-1,0)+MAX(L1402-1,0)+MAX(M1402-1,0)</x:f>
        <x:v>5</x:v>
      </x:c>
      <x:c r="O1402" s="19" t="n">
        <x:f>IF(AND(SUM(K1402:M1402)&lt;9,OR(M1402=0,N1402&lt;6)),1,0)</x:f>
        <x:v>1</x:v>
      </x:c>
      <x:c r="P1402" s="19" t="n">
        <x:f>IF(AND(SUM(K1402:M1402)&lt;9,OR(L1402=0,N1402&lt;6)),1,0)</x:f>
        <x:v>1</x:v>
      </x:c>
      <x:c r="Q1402" s="19" t="n">
        <x:f>IF(AND(SUM(K1402:M1402)&lt;9,OR(K1402=0,N1402&lt;6)),1,0)</x:f>
        <x:v>1</x:v>
      </x:c>
      <x:c r="R1402" s="22" t="str">
        <x:f>O1402&amp;P1402&amp;Q1402</x:f>
        <x:v>111</x:v>
      </x:c>
      <x:c r="S1402" s="19" t="n">
        <x:f>IF(I1402=1,IF(J1402=0,Q1402,IF(J1402=1,P1402,IF(J1402=2,O1402,0))),0)</x:f>
        <x:v>0</x:v>
      </x:c>
      <x:c r="T1402" s="19" t="n">
        <x:f>K1402+IF(AND(S1402=1,J1402=0),1,0)</x:f>
        <x:v>2</x:v>
      </x:c>
      <x:c r="U1402" s="19" t="n">
        <x:f>L1402+IF(AND(S1402=1,J1402=1),1,0)</x:f>
        <x:v>2</x:v>
      </x:c>
      <x:c r="V1402" s="19" t="n">
        <x:f>M1402+IF(AND(S1402=1,J1402=2),1,0)</x:f>
        <x:v>4</x:v>
      </x:c>
      <x:c r="W1402" s="19" t="n">
        <x:f>SUM(T1402:V1402)</x:f>
        <x:v>8</x:v>
      </x:c>
      <x:c r="X1402" s="19" t="n">
        <x:f>W1402-G1402</x:f>
        <x:v>-1</x:v>
      </x:c>
      <x:c r="Y1402" s="19" t="n">
        <x:f>MAX(T1402,1)+MAX(U1402,1)+MAX(V1402,1)</x:f>
        <x:v>8</x:v>
      </x:c>
      <x:c r="Z1402" s="21" t="str">
        <x:f>IF(AND(MIN(D1402:F1402)&gt;=0,MAX(D1402:F1402)&lt;=7,MAX(D1402,1)+MAX(E1402,1)+MAX(F1402,1)&lt;=9,OR(H1402="-",AND(H1402=0,D1402&gt;0),AND(H1402=1,E1402&gt;0),AND(H1402=2,F1402&gt;0)),OR(I1402=0,AND(I1402=1,OR(J1402=0,J1402=1,J1402=2),R1402&lt;&gt;"000")),Y1402&lt;=9,MIN(T1402:V1402)&gt;=0),"合法","输入违约")</x:f>
        <x:v>合法</x:v>
      </x:c>
    </x:row>
    <x:row r="1403" ht="23" customHeight="1">
      <x:c r="A1403" s="3" t="str">
        <x:v>CT-1396</x:v>
      </x:c>
      <x:c r="B1403" s="3" t="str">
        <x:v>ST-172</x:v>
      </x:c>
      <x:c r="C1403" s="3" t="str">
        <x:v>R+AR同收同发</x:v>
      </x:c>
      <x:c r="D1403" s="25" t="n">
        <x:v>2</x:v>
      </x:c>
      <x:c r="E1403" s="25" t="n">
        <x:v>3</x:v>
      </x:c>
      <x:c r="F1403" s="25" t="n">
        <x:v>4</x:v>
      </x:c>
      <x:c r="G1403" s="19" t="n">
        <x:f>SUM(D1403:F1403)</x:f>
        <x:v>9</x:v>
      </x:c>
      <x:c r="H1403" s="25" t="n">
        <x:v>1</x:v>
      </x:c>
      <x:c r="I1403" s="25" t="n">
        <x:v>1</x:v>
      </x:c>
      <x:c r="J1403" s="25" t="n">
        <x:v>0</x:v>
      </x:c>
      <x:c r="K1403" s="19" t="n">
        <x:f>D1403-IF(H1403=0,1,0)</x:f>
        <x:v>2</x:v>
      </x:c>
      <x:c r="L1403" s="19" t="n">
        <x:f>E1403-IF(H1403=1,1,0)</x:f>
        <x:v>2</x:v>
      </x:c>
      <x:c r="M1403" s="19" t="n">
        <x:f>F1403-IF(H1403=2,1,0)</x:f>
        <x:v>4</x:v>
      </x:c>
      <x:c r="N1403" s="19" t="n">
        <x:f>MAX(K1403-1,0)+MAX(L1403-1,0)+MAX(M1403-1,0)</x:f>
        <x:v>5</x:v>
      </x:c>
      <x:c r="O1403" s="19" t="n">
        <x:f>IF(AND(SUM(K1403:M1403)&lt;9,OR(M1403=0,N1403&lt;6)),1,0)</x:f>
        <x:v>1</x:v>
      </x:c>
      <x:c r="P1403" s="19" t="n">
        <x:f>IF(AND(SUM(K1403:M1403)&lt;9,OR(L1403=0,N1403&lt;6)),1,0)</x:f>
        <x:v>1</x:v>
      </x:c>
      <x:c r="Q1403" s="19" t="n">
        <x:f>IF(AND(SUM(K1403:M1403)&lt;9,OR(K1403=0,N1403&lt;6)),1,0)</x:f>
        <x:v>1</x:v>
      </x:c>
      <x:c r="R1403" s="22" t="str">
        <x:f>O1403&amp;P1403&amp;Q1403</x:f>
        <x:v>111</x:v>
      </x:c>
      <x:c r="S1403" s="19" t="n">
        <x:f>IF(I1403=1,IF(J1403=0,Q1403,IF(J1403=1,P1403,IF(J1403=2,O1403,0))),0)</x:f>
        <x:v>1</x:v>
      </x:c>
      <x:c r="T1403" s="19" t="n">
        <x:f>K1403+IF(AND(S1403=1,J1403=0),1,0)</x:f>
        <x:v>3</x:v>
      </x:c>
      <x:c r="U1403" s="19" t="n">
        <x:f>L1403+IF(AND(S1403=1,J1403=1),1,0)</x:f>
        <x:v>2</x:v>
      </x:c>
      <x:c r="V1403" s="19" t="n">
        <x:f>M1403+IF(AND(S1403=1,J1403=2),1,0)</x:f>
        <x:v>4</x:v>
      </x:c>
      <x:c r="W1403" s="19" t="n">
        <x:f>SUM(T1403:V1403)</x:f>
        <x:v>9</x:v>
      </x:c>
      <x:c r="X1403" s="19" t="n">
        <x:f>W1403-G1403</x:f>
        <x:v>0</x:v>
      </x:c>
      <x:c r="Y1403" s="19" t="n">
        <x:f>MAX(T1403,1)+MAX(U1403,1)+MAX(V1403,1)</x:f>
        <x:v>9</x:v>
      </x:c>
      <x:c r="Z1403" s="21" t="str">
        <x:f>IF(AND(MIN(D1403:F1403)&gt;=0,MAX(D1403:F1403)&lt;=7,MAX(D1403,1)+MAX(E1403,1)+MAX(F1403,1)&lt;=9,OR(H1403="-",AND(H1403=0,D1403&gt;0),AND(H1403=1,E1403&gt;0),AND(H1403=2,F1403&gt;0)),OR(I1403=0,AND(I1403=1,OR(J1403=0,J1403=1,J1403=2),R1403&lt;&gt;"000")),Y1403&lt;=9,MIN(T1403:V1403)&gt;=0),"合法","输入违约")</x:f>
        <x:v>合法</x:v>
      </x:c>
    </x:row>
    <x:row r="1404" ht="23" customHeight="1">
      <x:c r="A1404" s="3" t="str">
        <x:v>CT-1397</x:v>
      </x:c>
      <x:c r="B1404" s="3" t="str">
        <x:v>ST-172</x:v>
      </x:c>
      <x:c r="C1404" s="3" t="str">
        <x:v>R+AR同收同发</x:v>
      </x:c>
      <x:c r="D1404" s="25" t="n">
        <x:v>2</x:v>
      </x:c>
      <x:c r="E1404" s="25" t="n">
        <x:v>3</x:v>
      </x:c>
      <x:c r="F1404" s="25" t="n">
        <x:v>4</x:v>
      </x:c>
      <x:c r="G1404" s="19" t="n">
        <x:f>SUM(D1404:F1404)</x:f>
        <x:v>9</x:v>
      </x:c>
      <x:c r="H1404" s="25" t="n">
        <x:v>1</x:v>
      </x:c>
      <x:c r="I1404" s="25" t="n">
        <x:v>1</x:v>
      </x:c>
      <x:c r="J1404" s="25" t="n">
        <x:v>1</x:v>
      </x:c>
      <x:c r="K1404" s="19" t="n">
        <x:f>D1404-IF(H1404=0,1,0)</x:f>
        <x:v>2</x:v>
      </x:c>
      <x:c r="L1404" s="19" t="n">
        <x:f>E1404-IF(H1404=1,1,0)</x:f>
        <x:v>2</x:v>
      </x:c>
      <x:c r="M1404" s="19" t="n">
        <x:f>F1404-IF(H1404=2,1,0)</x:f>
        <x:v>4</x:v>
      </x:c>
      <x:c r="N1404" s="19" t="n">
        <x:f>MAX(K1404-1,0)+MAX(L1404-1,0)+MAX(M1404-1,0)</x:f>
        <x:v>5</x:v>
      </x:c>
      <x:c r="O1404" s="19" t="n">
        <x:f>IF(AND(SUM(K1404:M1404)&lt;9,OR(M1404=0,N1404&lt;6)),1,0)</x:f>
        <x:v>1</x:v>
      </x:c>
      <x:c r="P1404" s="19" t="n">
        <x:f>IF(AND(SUM(K1404:M1404)&lt;9,OR(L1404=0,N1404&lt;6)),1,0)</x:f>
        <x:v>1</x:v>
      </x:c>
      <x:c r="Q1404" s="19" t="n">
        <x:f>IF(AND(SUM(K1404:M1404)&lt;9,OR(K1404=0,N1404&lt;6)),1,0)</x:f>
        <x:v>1</x:v>
      </x:c>
      <x:c r="R1404" s="22" t="str">
        <x:f>O1404&amp;P1404&amp;Q1404</x:f>
        <x:v>111</x:v>
      </x:c>
      <x:c r="S1404" s="19" t="n">
        <x:f>IF(I1404=1,IF(J1404=0,Q1404,IF(J1404=1,P1404,IF(J1404=2,O1404,0))),0)</x:f>
        <x:v>1</x:v>
      </x:c>
      <x:c r="T1404" s="19" t="n">
        <x:f>K1404+IF(AND(S1404=1,J1404=0),1,0)</x:f>
        <x:v>2</x:v>
      </x:c>
      <x:c r="U1404" s="19" t="n">
        <x:f>L1404+IF(AND(S1404=1,J1404=1),1,0)</x:f>
        <x:v>3</x:v>
      </x:c>
      <x:c r="V1404" s="19" t="n">
        <x:f>M1404+IF(AND(S1404=1,J1404=2),1,0)</x:f>
        <x:v>4</x:v>
      </x:c>
      <x:c r="W1404" s="19" t="n">
        <x:f>SUM(T1404:V1404)</x:f>
        <x:v>9</x:v>
      </x:c>
      <x:c r="X1404" s="19" t="n">
        <x:f>W1404-G1404</x:f>
        <x:v>0</x:v>
      </x:c>
      <x:c r="Y1404" s="19" t="n">
        <x:f>MAX(T1404,1)+MAX(U1404,1)+MAX(V1404,1)</x:f>
        <x:v>9</x:v>
      </x:c>
      <x:c r="Z1404" s="21" t="str">
        <x:f>IF(AND(MIN(D1404:F1404)&gt;=0,MAX(D1404:F1404)&lt;=7,MAX(D1404,1)+MAX(E1404,1)+MAX(F1404,1)&lt;=9,OR(H1404="-",AND(H1404=0,D1404&gt;0),AND(H1404=1,E1404&gt;0),AND(H1404=2,F1404&gt;0)),OR(I1404=0,AND(I1404=1,OR(J1404=0,J1404=1,J1404=2),R1404&lt;&gt;"000")),Y1404&lt;=9,MIN(T1404:V1404)&gt;=0),"合法","输入违约")</x:f>
        <x:v>合法</x:v>
      </x:c>
    </x:row>
    <x:row r="1405" ht="23" customHeight="1">
      <x:c r="A1405" s="3" t="str">
        <x:v>CT-1398</x:v>
      </x:c>
      <x:c r="B1405" s="3" t="str">
        <x:v>ST-172</x:v>
      </x:c>
      <x:c r="C1405" s="3" t="str">
        <x:v>R+AR同收同发</x:v>
      </x:c>
      <x:c r="D1405" s="25" t="n">
        <x:v>2</x:v>
      </x:c>
      <x:c r="E1405" s="25" t="n">
        <x:v>3</x:v>
      </x:c>
      <x:c r="F1405" s="25" t="n">
        <x:v>4</x:v>
      </x:c>
      <x:c r="G1405" s="19" t="n">
        <x:f>SUM(D1405:F1405)</x:f>
        <x:v>9</x:v>
      </x:c>
      <x:c r="H1405" s="25" t="n">
        <x:v>1</x:v>
      </x:c>
      <x:c r="I1405" s="25" t="n">
        <x:v>1</x:v>
      </x:c>
      <x:c r="J1405" s="25" t="n">
        <x:v>2</x:v>
      </x:c>
      <x:c r="K1405" s="19" t="n">
        <x:f>D1405-IF(H1405=0,1,0)</x:f>
        <x:v>2</x:v>
      </x:c>
      <x:c r="L1405" s="19" t="n">
        <x:f>E1405-IF(H1405=1,1,0)</x:f>
        <x:v>2</x:v>
      </x:c>
      <x:c r="M1405" s="19" t="n">
        <x:f>F1405-IF(H1405=2,1,0)</x:f>
        <x:v>4</x:v>
      </x:c>
      <x:c r="N1405" s="19" t="n">
        <x:f>MAX(K1405-1,0)+MAX(L1405-1,0)+MAX(M1405-1,0)</x:f>
        <x:v>5</x:v>
      </x:c>
      <x:c r="O1405" s="19" t="n">
        <x:f>IF(AND(SUM(K1405:M1405)&lt;9,OR(M1405=0,N1405&lt;6)),1,0)</x:f>
        <x:v>1</x:v>
      </x:c>
      <x:c r="P1405" s="19" t="n">
        <x:f>IF(AND(SUM(K1405:M1405)&lt;9,OR(L1405=0,N1405&lt;6)),1,0)</x:f>
        <x:v>1</x:v>
      </x:c>
      <x:c r="Q1405" s="19" t="n">
        <x:f>IF(AND(SUM(K1405:M1405)&lt;9,OR(K1405=0,N1405&lt;6)),1,0)</x:f>
        <x:v>1</x:v>
      </x:c>
      <x:c r="R1405" s="22" t="str">
        <x:f>O1405&amp;P1405&amp;Q1405</x:f>
        <x:v>111</x:v>
      </x:c>
      <x:c r="S1405" s="19" t="n">
        <x:f>IF(I1405=1,IF(J1405=0,Q1405,IF(J1405=1,P1405,IF(J1405=2,O1405,0))),0)</x:f>
        <x:v>1</x:v>
      </x:c>
      <x:c r="T1405" s="19" t="n">
        <x:f>K1405+IF(AND(S1405=1,J1405=0),1,0)</x:f>
        <x:v>2</x:v>
      </x:c>
      <x:c r="U1405" s="19" t="n">
        <x:f>L1405+IF(AND(S1405=1,J1405=1),1,0)</x:f>
        <x:v>2</x:v>
      </x:c>
      <x:c r="V1405" s="19" t="n">
        <x:f>M1405+IF(AND(S1405=1,J1405=2),1,0)</x:f>
        <x:v>5</x:v>
      </x:c>
      <x:c r="W1405" s="19" t="n">
        <x:f>SUM(T1405:V1405)</x:f>
        <x:v>9</x:v>
      </x:c>
      <x:c r="X1405" s="19" t="n">
        <x:f>W1405-G1405</x:f>
        <x:v>0</x:v>
      </x:c>
      <x:c r="Y1405" s="19" t="n">
        <x:f>MAX(T1405,1)+MAX(U1405,1)+MAX(V1405,1)</x:f>
        <x:v>9</x:v>
      </x:c>
      <x:c r="Z1405" s="21" t="str">
        <x:f>IF(AND(MIN(D1405:F1405)&gt;=0,MAX(D1405:F1405)&lt;=7,MAX(D1405,1)+MAX(E1405,1)+MAX(F1405,1)&lt;=9,OR(H1405="-",AND(H1405=0,D1405&gt;0),AND(H1405=1,E1405&gt;0),AND(H1405=2,F1405&gt;0)),OR(I1405=0,AND(I1405=1,OR(J1405=0,J1405=1,J1405=2),R1405&lt;&gt;"000")),Y1405&lt;=9,MIN(T1405:V1405)&gt;=0),"合法","输入违约")</x:f>
        <x:v>合法</x:v>
      </x:c>
    </x:row>
    <x:row r="1406" ht="23" customHeight="1">
      <x:c r="A1406" s="3" t="str">
        <x:v>CT-1399</x:v>
      </x:c>
      <x:c r="B1406" s="3" t="str">
        <x:v>ST-172</x:v>
      </x:c>
      <x:c r="C1406" s="3" t="str">
        <x:v>仅R回收</x:v>
      </x:c>
      <x:c r="D1406" s="25" t="n">
        <x:v>2</x:v>
      </x:c>
      <x:c r="E1406" s="25" t="n">
        <x:v>3</x:v>
      </x:c>
      <x:c r="F1406" s="25" t="n">
        <x:v>4</x:v>
      </x:c>
      <x:c r="G1406" s="19" t="n">
        <x:f>SUM(D1406:F1406)</x:f>
        <x:v>9</x:v>
      </x:c>
      <x:c r="H1406" s="25" t="n">
        <x:v>2</x:v>
      </x:c>
      <x:c r="I1406" s="25" t="n">
        <x:v>0</x:v>
      </x:c>
      <x:c r="J1406" s="25" t="str">
        <x:v>-</x:v>
      </x:c>
      <x:c r="K1406" s="19" t="n">
        <x:f>D1406-IF(H1406=0,1,0)</x:f>
        <x:v>2</x:v>
      </x:c>
      <x:c r="L1406" s="19" t="n">
        <x:f>E1406-IF(H1406=1,1,0)</x:f>
        <x:v>3</x:v>
      </x:c>
      <x:c r="M1406" s="19" t="n">
        <x:f>F1406-IF(H1406=2,1,0)</x:f>
        <x:v>3</x:v>
      </x:c>
      <x:c r="N1406" s="19" t="n">
        <x:f>MAX(K1406-1,0)+MAX(L1406-1,0)+MAX(M1406-1,0)</x:f>
        <x:v>5</x:v>
      </x:c>
      <x:c r="O1406" s="19" t="n">
        <x:f>IF(AND(SUM(K1406:M1406)&lt;9,OR(M1406=0,N1406&lt;6)),1,0)</x:f>
        <x:v>1</x:v>
      </x:c>
      <x:c r="P1406" s="19" t="n">
        <x:f>IF(AND(SUM(K1406:M1406)&lt;9,OR(L1406=0,N1406&lt;6)),1,0)</x:f>
        <x:v>1</x:v>
      </x:c>
      <x:c r="Q1406" s="19" t="n">
        <x:f>IF(AND(SUM(K1406:M1406)&lt;9,OR(K1406=0,N1406&lt;6)),1,0)</x:f>
        <x:v>1</x:v>
      </x:c>
      <x:c r="R1406" s="22" t="str">
        <x:f>O1406&amp;P1406&amp;Q1406</x:f>
        <x:v>111</x:v>
      </x:c>
      <x:c r="S1406" s="19" t="n">
        <x:f>IF(I1406=1,IF(J1406=0,Q1406,IF(J1406=1,P1406,IF(J1406=2,O1406,0))),0)</x:f>
        <x:v>0</x:v>
      </x:c>
      <x:c r="T1406" s="19" t="n">
        <x:f>K1406+IF(AND(S1406=1,J1406=0),1,0)</x:f>
        <x:v>2</x:v>
      </x:c>
      <x:c r="U1406" s="19" t="n">
        <x:f>L1406+IF(AND(S1406=1,J1406=1),1,0)</x:f>
        <x:v>3</x:v>
      </x:c>
      <x:c r="V1406" s="19" t="n">
        <x:f>M1406+IF(AND(S1406=1,J1406=2),1,0)</x:f>
        <x:v>3</x:v>
      </x:c>
      <x:c r="W1406" s="19" t="n">
        <x:f>SUM(T1406:V1406)</x:f>
        <x:v>8</x:v>
      </x:c>
      <x:c r="X1406" s="19" t="n">
        <x:f>W1406-G1406</x:f>
        <x:v>-1</x:v>
      </x:c>
      <x:c r="Y1406" s="19" t="n">
        <x:f>MAX(T1406,1)+MAX(U1406,1)+MAX(V1406,1)</x:f>
        <x:v>8</x:v>
      </x:c>
      <x:c r="Z1406" s="21" t="str">
        <x:f>IF(AND(MIN(D1406:F1406)&gt;=0,MAX(D1406:F1406)&lt;=7,MAX(D1406,1)+MAX(E1406,1)+MAX(F1406,1)&lt;=9,OR(H1406="-",AND(H1406=0,D1406&gt;0),AND(H1406=1,E1406&gt;0),AND(H1406=2,F1406&gt;0)),OR(I1406=0,AND(I1406=1,OR(J1406=0,J1406=1,J1406=2),R1406&lt;&gt;"000")),Y1406&lt;=9,MIN(T1406:V1406)&gt;=0),"合法","输入违约")</x:f>
        <x:v>合法</x:v>
      </x:c>
    </x:row>
    <x:row r="1407" ht="23" customHeight="1">
      <x:c r="A1407" s="3" t="str">
        <x:v>CT-1400</x:v>
      </x:c>
      <x:c r="B1407" s="3" t="str">
        <x:v>ST-172</x:v>
      </x:c>
      <x:c r="C1407" s="3" t="str">
        <x:v>R+AR同收同发</x:v>
      </x:c>
      <x:c r="D1407" s="25" t="n">
        <x:v>2</x:v>
      </x:c>
      <x:c r="E1407" s="25" t="n">
        <x:v>3</x:v>
      </x:c>
      <x:c r="F1407" s="25" t="n">
        <x:v>4</x:v>
      </x:c>
      <x:c r="G1407" s="19" t="n">
        <x:f>SUM(D1407:F1407)</x:f>
        <x:v>9</x:v>
      </x:c>
      <x:c r="H1407" s="25" t="n">
        <x:v>2</x:v>
      </x:c>
      <x:c r="I1407" s="25" t="n">
        <x:v>1</x:v>
      </x:c>
      <x:c r="J1407" s="25" t="n">
        <x:v>0</x:v>
      </x:c>
      <x:c r="K1407" s="19" t="n">
        <x:f>D1407-IF(H1407=0,1,0)</x:f>
        <x:v>2</x:v>
      </x:c>
      <x:c r="L1407" s="19" t="n">
        <x:f>E1407-IF(H1407=1,1,0)</x:f>
        <x:v>3</x:v>
      </x:c>
      <x:c r="M1407" s="19" t="n">
        <x:f>F1407-IF(H1407=2,1,0)</x:f>
        <x:v>3</x:v>
      </x:c>
      <x:c r="N1407" s="19" t="n">
        <x:f>MAX(K1407-1,0)+MAX(L1407-1,0)+MAX(M1407-1,0)</x:f>
        <x:v>5</x:v>
      </x:c>
      <x:c r="O1407" s="19" t="n">
        <x:f>IF(AND(SUM(K1407:M1407)&lt;9,OR(M1407=0,N1407&lt;6)),1,0)</x:f>
        <x:v>1</x:v>
      </x:c>
      <x:c r="P1407" s="19" t="n">
        <x:f>IF(AND(SUM(K1407:M1407)&lt;9,OR(L1407=0,N1407&lt;6)),1,0)</x:f>
        <x:v>1</x:v>
      </x:c>
      <x:c r="Q1407" s="19" t="n">
        <x:f>IF(AND(SUM(K1407:M1407)&lt;9,OR(K1407=0,N1407&lt;6)),1,0)</x:f>
        <x:v>1</x:v>
      </x:c>
      <x:c r="R1407" s="22" t="str">
        <x:f>O1407&amp;P1407&amp;Q1407</x:f>
        <x:v>111</x:v>
      </x:c>
      <x:c r="S1407" s="19" t="n">
        <x:f>IF(I1407=1,IF(J1407=0,Q1407,IF(J1407=1,P1407,IF(J1407=2,O1407,0))),0)</x:f>
        <x:v>1</x:v>
      </x:c>
      <x:c r="T1407" s="19" t="n">
        <x:f>K1407+IF(AND(S1407=1,J1407=0),1,0)</x:f>
        <x:v>3</x:v>
      </x:c>
      <x:c r="U1407" s="19" t="n">
        <x:f>L1407+IF(AND(S1407=1,J1407=1),1,0)</x:f>
        <x:v>3</x:v>
      </x:c>
      <x:c r="V1407" s="19" t="n">
        <x:f>M1407+IF(AND(S1407=1,J1407=2),1,0)</x:f>
        <x:v>3</x:v>
      </x:c>
      <x:c r="W1407" s="19" t="n">
        <x:f>SUM(T1407:V1407)</x:f>
        <x:v>9</x:v>
      </x:c>
      <x:c r="X1407" s="19" t="n">
        <x:f>W1407-G1407</x:f>
        <x:v>0</x:v>
      </x:c>
      <x:c r="Y1407" s="19" t="n">
        <x:f>MAX(T1407,1)+MAX(U1407,1)+MAX(V1407,1)</x:f>
        <x:v>9</x:v>
      </x:c>
      <x:c r="Z1407" s="21" t="str">
        <x:f>IF(AND(MIN(D1407:F1407)&gt;=0,MAX(D1407:F1407)&lt;=7,MAX(D1407,1)+MAX(E1407,1)+MAX(F1407,1)&lt;=9,OR(H1407="-",AND(H1407=0,D1407&gt;0),AND(H1407=1,E1407&gt;0),AND(H1407=2,F1407&gt;0)),OR(I1407=0,AND(I1407=1,OR(J1407=0,J1407=1,J1407=2),R1407&lt;&gt;"000")),Y1407&lt;=9,MIN(T1407:V1407)&gt;=0),"合法","输入违约")</x:f>
        <x:v>合法</x:v>
      </x:c>
    </x:row>
    <x:row r="1408" ht="23" customHeight="1">
      <x:c r="A1408" s="3" t="str">
        <x:v>CT-1401</x:v>
      </x:c>
      <x:c r="B1408" s="3" t="str">
        <x:v>ST-172</x:v>
      </x:c>
      <x:c r="C1408" s="3" t="str">
        <x:v>R+AR同收同发</x:v>
      </x:c>
      <x:c r="D1408" s="25" t="n">
        <x:v>2</x:v>
      </x:c>
      <x:c r="E1408" s="25" t="n">
        <x:v>3</x:v>
      </x:c>
      <x:c r="F1408" s="25" t="n">
        <x:v>4</x:v>
      </x:c>
      <x:c r="G1408" s="19" t="n">
        <x:f>SUM(D1408:F1408)</x:f>
        <x:v>9</x:v>
      </x:c>
      <x:c r="H1408" s="25" t="n">
        <x:v>2</x:v>
      </x:c>
      <x:c r="I1408" s="25" t="n">
        <x:v>1</x:v>
      </x:c>
      <x:c r="J1408" s="25" t="n">
        <x:v>1</x:v>
      </x:c>
      <x:c r="K1408" s="19" t="n">
        <x:f>D1408-IF(H1408=0,1,0)</x:f>
        <x:v>2</x:v>
      </x:c>
      <x:c r="L1408" s="19" t="n">
        <x:f>E1408-IF(H1408=1,1,0)</x:f>
        <x:v>3</x:v>
      </x:c>
      <x:c r="M1408" s="19" t="n">
        <x:f>F1408-IF(H1408=2,1,0)</x:f>
        <x:v>3</x:v>
      </x:c>
      <x:c r="N1408" s="19" t="n">
        <x:f>MAX(K1408-1,0)+MAX(L1408-1,0)+MAX(M1408-1,0)</x:f>
        <x:v>5</x:v>
      </x:c>
      <x:c r="O1408" s="19" t="n">
        <x:f>IF(AND(SUM(K1408:M1408)&lt;9,OR(M1408=0,N1408&lt;6)),1,0)</x:f>
        <x:v>1</x:v>
      </x:c>
      <x:c r="P1408" s="19" t="n">
        <x:f>IF(AND(SUM(K1408:M1408)&lt;9,OR(L1408=0,N1408&lt;6)),1,0)</x:f>
        <x:v>1</x:v>
      </x:c>
      <x:c r="Q1408" s="19" t="n">
        <x:f>IF(AND(SUM(K1408:M1408)&lt;9,OR(K1408=0,N1408&lt;6)),1,0)</x:f>
        <x:v>1</x:v>
      </x:c>
      <x:c r="R1408" s="22" t="str">
        <x:f>O1408&amp;P1408&amp;Q1408</x:f>
        <x:v>111</x:v>
      </x:c>
      <x:c r="S1408" s="19" t="n">
        <x:f>IF(I1408=1,IF(J1408=0,Q1408,IF(J1408=1,P1408,IF(J1408=2,O1408,0))),0)</x:f>
        <x:v>1</x:v>
      </x:c>
      <x:c r="T1408" s="19" t="n">
        <x:f>K1408+IF(AND(S1408=1,J1408=0),1,0)</x:f>
        <x:v>2</x:v>
      </x:c>
      <x:c r="U1408" s="19" t="n">
        <x:f>L1408+IF(AND(S1408=1,J1408=1),1,0)</x:f>
        <x:v>4</x:v>
      </x:c>
      <x:c r="V1408" s="19" t="n">
        <x:f>M1408+IF(AND(S1408=1,J1408=2),1,0)</x:f>
        <x:v>3</x:v>
      </x:c>
      <x:c r="W1408" s="19" t="n">
        <x:f>SUM(T1408:V1408)</x:f>
        <x:v>9</x:v>
      </x:c>
      <x:c r="X1408" s="19" t="n">
        <x:f>W1408-G1408</x:f>
        <x:v>0</x:v>
      </x:c>
      <x:c r="Y1408" s="19" t="n">
        <x:f>MAX(T1408,1)+MAX(U1408,1)+MAX(V1408,1)</x:f>
        <x:v>9</x:v>
      </x:c>
      <x:c r="Z1408" s="21" t="str">
        <x:f>IF(AND(MIN(D1408:F1408)&gt;=0,MAX(D1408:F1408)&lt;=7,MAX(D1408,1)+MAX(E1408,1)+MAX(F1408,1)&lt;=9,OR(H1408="-",AND(H1408=0,D1408&gt;0),AND(H1408=1,E1408&gt;0),AND(H1408=2,F1408&gt;0)),OR(I1408=0,AND(I1408=1,OR(J1408=0,J1408=1,J1408=2),R1408&lt;&gt;"000")),Y1408&lt;=9,MIN(T1408:V1408)&gt;=0),"合法","输入违约")</x:f>
        <x:v>合法</x:v>
      </x:c>
    </x:row>
    <x:row r="1409" ht="23" customHeight="1">
      <x:c r="A1409" s="3" t="str">
        <x:v>CT-1402</x:v>
      </x:c>
      <x:c r="B1409" s="3" t="str">
        <x:v>ST-172</x:v>
      </x:c>
      <x:c r="C1409" s="3" t="str">
        <x:v>R+AR同收同发</x:v>
      </x:c>
      <x:c r="D1409" s="25" t="n">
        <x:v>2</x:v>
      </x:c>
      <x:c r="E1409" s="25" t="n">
        <x:v>3</x:v>
      </x:c>
      <x:c r="F1409" s="25" t="n">
        <x:v>4</x:v>
      </x:c>
      <x:c r="G1409" s="19" t="n">
        <x:f>SUM(D1409:F1409)</x:f>
        <x:v>9</x:v>
      </x:c>
      <x:c r="H1409" s="25" t="n">
        <x:v>2</x:v>
      </x:c>
      <x:c r="I1409" s="25" t="n">
        <x:v>1</x:v>
      </x:c>
      <x:c r="J1409" s="25" t="n">
        <x:v>2</x:v>
      </x:c>
      <x:c r="K1409" s="19" t="n">
        <x:f>D1409-IF(H1409=0,1,0)</x:f>
        <x:v>2</x:v>
      </x:c>
      <x:c r="L1409" s="19" t="n">
        <x:f>E1409-IF(H1409=1,1,0)</x:f>
        <x:v>3</x:v>
      </x:c>
      <x:c r="M1409" s="19" t="n">
        <x:f>F1409-IF(H1409=2,1,0)</x:f>
        <x:v>3</x:v>
      </x:c>
      <x:c r="N1409" s="19" t="n">
        <x:f>MAX(K1409-1,0)+MAX(L1409-1,0)+MAX(M1409-1,0)</x:f>
        <x:v>5</x:v>
      </x:c>
      <x:c r="O1409" s="19" t="n">
        <x:f>IF(AND(SUM(K1409:M1409)&lt;9,OR(M1409=0,N1409&lt;6)),1,0)</x:f>
        <x:v>1</x:v>
      </x:c>
      <x:c r="P1409" s="19" t="n">
        <x:f>IF(AND(SUM(K1409:M1409)&lt;9,OR(L1409=0,N1409&lt;6)),1,0)</x:f>
        <x:v>1</x:v>
      </x:c>
      <x:c r="Q1409" s="19" t="n">
        <x:f>IF(AND(SUM(K1409:M1409)&lt;9,OR(K1409=0,N1409&lt;6)),1,0)</x:f>
        <x:v>1</x:v>
      </x:c>
      <x:c r="R1409" s="22" t="str">
        <x:f>O1409&amp;P1409&amp;Q1409</x:f>
        <x:v>111</x:v>
      </x:c>
      <x:c r="S1409" s="19" t="n">
        <x:f>IF(I1409=1,IF(J1409=0,Q1409,IF(J1409=1,P1409,IF(J1409=2,O1409,0))),0)</x:f>
        <x:v>1</x:v>
      </x:c>
      <x:c r="T1409" s="19" t="n">
        <x:f>K1409+IF(AND(S1409=1,J1409=0),1,0)</x:f>
        <x:v>2</x:v>
      </x:c>
      <x:c r="U1409" s="19" t="n">
        <x:f>L1409+IF(AND(S1409=1,J1409=1),1,0)</x:f>
        <x:v>3</x:v>
      </x:c>
      <x:c r="V1409" s="19" t="n">
        <x:f>M1409+IF(AND(S1409=1,J1409=2),1,0)</x:f>
        <x:v>4</x:v>
      </x:c>
      <x:c r="W1409" s="19" t="n">
        <x:f>SUM(T1409:V1409)</x:f>
        <x:v>9</x:v>
      </x:c>
      <x:c r="X1409" s="19" t="n">
        <x:f>W1409-G1409</x:f>
        <x:v>0</x:v>
      </x:c>
      <x:c r="Y1409" s="19" t="n">
        <x:f>MAX(T1409,1)+MAX(U1409,1)+MAX(V1409,1)</x:f>
        <x:v>9</x:v>
      </x:c>
      <x:c r="Z1409" s="21" t="str">
        <x:f>IF(AND(MIN(D1409:F1409)&gt;=0,MAX(D1409:F1409)&lt;=7,MAX(D1409,1)+MAX(E1409,1)+MAX(F1409,1)&lt;=9,OR(H1409="-",AND(H1409=0,D1409&gt;0),AND(H1409=1,E1409&gt;0),AND(H1409=2,F1409&gt;0)),OR(I1409=0,AND(I1409=1,OR(J1409=0,J1409=1,J1409=2),R1409&lt;&gt;"000")),Y1409&lt;=9,MIN(T1409:V1409)&gt;=0),"合法","输入违约")</x:f>
        <x:v>合法</x:v>
      </x:c>
    </x:row>
    <x:row r="1410" ht="23" customHeight="1">
      <x:c r="A1410" s="3" t="str">
        <x:v>CT-1403</x:v>
      </x:c>
      <x:c r="B1410" s="3" t="str">
        <x:v>ST-074</x:v>
      </x:c>
      <x:c r="C1410" s="3" t="str">
        <x:v>无AR/R</x:v>
      </x:c>
      <x:c r="D1410" s="25" t="n">
        <x:v>2</x:v>
      </x:c>
      <x:c r="E1410" s="25" t="n">
        <x:v>4</x:v>
      </x:c>
      <x:c r="F1410" s="25" t="n">
        <x:v>0</x:v>
      </x:c>
      <x:c r="G1410" s="19" t="n">
        <x:f>SUM(D1410:F1410)</x:f>
        <x:v>6</x:v>
      </x:c>
      <x:c r="H1410" s="25" t="str">
        <x:v>-</x:v>
      </x:c>
      <x:c r="I1410" s="25" t="n">
        <x:v>0</x:v>
      </x:c>
      <x:c r="J1410" s="25" t="str">
        <x:v>-</x:v>
      </x:c>
      <x:c r="K1410" s="19" t="n">
        <x:f>D1410-IF(H1410=0,1,0)</x:f>
        <x:v>2</x:v>
      </x:c>
      <x:c r="L1410" s="19" t="n">
        <x:f>E1410-IF(H1410=1,1,0)</x:f>
        <x:v>4</x:v>
      </x:c>
      <x:c r="M1410" s="19" t="n">
        <x:f>F1410-IF(H1410=2,1,0)</x:f>
        <x:v>0</x:v>
      </x:c>
      <x:c r="N1410" s="19" t="n">
        <x:f>MAX(K1410-1,0)+MAX(L1410-1,0)+MAX(M1410-1,0)</x:f>
        <x:v>4</x:v>
      </x:c>
      <x:c r="O1410" s="19" t="n">
        <x:f>IF(AND(SUM(K1410:M1410)&lt;9,OR(M1410=0,N1410&lt;6)),1,0)</x:f>
        <x:v>1</x:v>
      </x:c>
      <x:c r="P1410" s="19" t="n">
        <x:f>IF(AND(SUM(K1410:M1410)&lt;9,OR(L1410=0,N1410&lt;6)),1,0)</x:f>
        <x:v>1</x:v>
      </x:c>
      <x:c r="Q1410" s="19" t="n">
        <x:f>IF(AND(SUM(K1410:M1410)&lt;9,OR(K1410=0,N1410&lt;6)),1,0)</x:f>
        <x:v>1</x:v>
      </x:c>
      <x:c r="R1410" s="22" t="str">
        <x:f>O1410&amp;P1410&amp;Q1410</x:f>
        <x:v>111</x:v>
      </x:c>
      <x:c r="S1410" s="19" t="n">
        <x:f>IF(I1410=1,IF(J1410=0,Q1410,IF(J1410=1,P1410,IF(J1410=2,O1410,0))),0)</x:f>
        <x:v>0</x:v>
      </x:c>
      <x:c r="T1410" s="19" t="n">
        <x:f>K1410+IF(AND(S1410=1,J1410=0),1,0)</x:f>
        <x:v>2</x:v>
      </x:c>
      <x:c r="U1410" s="19" t="n">
        <x:f>L1410+IF(AND(S1410=1,J1410=1),1,0)</x:f>
        <x:v>4</x:v>
      </x:c>
      <x:c r="V1410" s="19" t="n">
        <x:f>M1410+IF(AND(S1410=1,J1410=2),1,0)</x:f>
        <x:v>0</x:v>
      </x:c>
      <x:c r="W1410" s="19" t="n">
        <x:f>SUM(T1410:V1410)</x:f>
        <x:v>6</x:v>
      </x:c>
      <x:c r="X1410" s="19" t="n">
        <x:f>W1410-G1410</x:f>
        <x:v>0</x:v>
      </x:c>
      <x:c r="Y1410" s="19" t="n">
        <x:f>MAX(T1410,1)+MAX(U1410,1)+MAX(V1410,1)</x:f>
        <x:v>7</x:v>
      </x:c>
      <x:c r="Z1410" s="21" t="str">
        <x:f>IF(AND(MIN(D1410:F1410)&gt;=0,MAX(D1410:F1410)&lt;=7,MAX(D1410,1)+MAX(E1410,1)+MAX(F1410,1)&lt;=9,OR(H1410="-",AND(H1410=0,D1410&gt;0),AND(H1410=1,E1410&gt;0),AND(H1410=2,F1410&gt;0)),OR(I1410=0,AND(I1410=1,OR(J1410=0,J1410=1,J1410=2),R1410&lt;&gt;"000")),Y1410&lt;=9,MIN(T1410:V1410)&gt;=0),"合法","输入违约")</x:f>
        <x:v>合法</x:v>
      </x:c>
    </x:row>
    <x:row r="1411" ht="23" customHeight="1">
      <x:c r="A1411" s="3" t="str">
        <x:v>CT-1404</x:v>
      </x:c>
      <x:c r="B1411" s="3" t="str">
        <x:v>ST-074</x:v>
      </x:c>
      <x:c r="C1411" s="3" t="str">
        <x:v>仅AR接收</x:v>
      </x:c>
      <x:c r="D1411" s="25" t="n">
        <x:v>2</x:v>
      </x:c>
      <x:c r="E1411" s="25" t="n">
        <x:v>4</x:v>
      </x:c>
      <x:c r="F1411" s="25" t="n">
        <x:v>0</x:v>
      </x:c>
      <x:c r="G1411" s="19" t="n">
        <x:f>SUM(D1411:F1411)</x:f>
        <x:v>6</x:v>
      </x:c>
      <x:c r="H1411" s="25" t="str">
        <x:v>-</x:v>
      </x:c>
      <x:c r="I1411" s="25" t="n">
        <x:v>1</x:v>
      </x:c>
      <x:c r="J1411" s="25" t="n">
        <x:v>0</x:v>
      </x:c>
      <x:c r="K1411" s="19" t="n">
        <x:f>D1411-IF(H1411=0,1,0)</x:f>
        <x:v>2</x:v>
      </x:c>
      <x:c r="L1411" s="19" t="n">
        <x:f>E1411-IF(H1411=1,1,0)</x:f>
        <x:v>4</x:v>
      </x:c>
      <x:c r="M1411" s="19" t="n">
        <x:f>F1411-IF(H1411=2,1,0)</x:f>
        <x:v>0</x:v>
      </x:c>
      <x:c r="N1411" s="19" t="n">
        <x:f>MAX(K1411-1,0)+MAX(L1411-1,0)+MAX(M1411-1,0)</x:f>
        <x:v>4</x:v>
      </x:c>
      <x:c r="O1411" s="19" t="n">
        <x:f>IF(AND(SUM(K1411:M1411)&lt;9,OR(M1411=0,N1411&lt;6)),1,0)</x:f>
        <x:v>1</x:v>
      </x:c>
      <x:c r="P1411" s="19" t="n">
        <x:f>IF(AND(SUM(K1411:M1411)&lt;9,OR(L1411=0,N1411&lt;6)),1,0)</x:f>
        <x:v>1</x:v>
      </x:c>
      <x:c r="Q1411" s="19" t="n">
        <x:f>IF(AND(SUM(K1411:M1411)&lt;9,OR(K1411=0,N1411&lt;6)),1,0)</x:f>
        <x:v>1</x:v>
      </x:c>
      <x:c r="R1411" s="22" t="str">
        <x:f>O1411&amp;P1411&amp;Q1411</x:f>
        <x:v>111</x:v>
      </x:c>
      <x:c r="S1411" s="19" t="n">
        <x:f>IF(I1411=1,IF(J1411=0,Q1411,IF(J1411=1,P1411,IF(J1411=2,O1411,0))),0)</x:f>
        <x:v>1</x:v>
      </x:c>
      <x:c r="T1411" s="19" t="n">
        <x:f>K1411+IF(AND(S1411=1,J1411=0),1,0)</x:f>
        <x:v>3</x:v>
      </x:c>
      <x:c r="U1411" s="19" t="n">
        <x:f>L1411+IF(AND(S1411=1,J1411=1),1,0)</x:f>
        <x:v>4</x:v>
      </x:c>
      <x:c r="V1411" s="19" t="n">
        <x:f>M1411+IF(AND(S1411=1,J1411=2),1,0)</x:f>
        <x:v>0</x:v>
      </x:c>
      <x:c r="W1411" s="19" t="n">
        <x:f>SUM(T1411:V1411)</x:f>
        <x:v>7</x:v>
      </x:c>
      <x:c r="X1411" s="19" t="n">
        <x:f>W1411-G1411</x:f>
        <x:v>1</x:v>
      </x:c>
      <x:c r="Y1411" s="19" t="n">
        <x:f>MAX(T1411,1)+MAX(U1411,1)+MAX(V1411,1)</x:f>
        <x:v>8</x:v>
      </x:c>
      <x:c r="Z1411" s="21" t="str">
        <x:f>IF(AND(MIN(D1411:F1411)&gt;=0,MAX(D1411:F1411)&lt;=7,MAX(D1411,1)+MAX(E1411,1)+MAX(F1411,1)&lt;=9,OR(H1411="-",AND(H1411=0,D1411&gt;0),AND(H1411=1,E1411&gt;0),AND(H1411=2,F1411&gt;0)),OR(I1411=0,AND(I1411=1,OR(J1411=0,J1411=1,J1411=2),R1411&lt;&gt;"000")),Y1411&lt;=9,MIN(T1411:V1411)&gt;=0),"合法","输入违约")</x:f>
        <x:v>合法</x:v>
      </x:c>
    </x:row>
    <x:row r="1412" ht="23" customHeight="1">
      <x:c r="A1412" s="3" t="str">
        <x:v>CT-1405</x:v>
      </x:c>
      <x:c r="B1412" s="3" t="str">
        <x:v>ST-074</x:v>
      </x:c>
      <x:c r="C1412" s="3" t="str">
        <x:v>仅AR接收</x:v>
      </x:c>
      <x:c r="D1412" s="25" t="n">
        <x:v>2</x:v>
      </x:c>
      <x:c r="E1412" s="25" t="n">
        <x:v>4</x:v>
      </x:c>
      <x:c r="F1412" s="25" t="n">
        <x:v>0</x:v>
      </x:c>
      <x:c r="G1412" s="19" t="n">
        <x:f>SUM(D1412:F1412)</x:f>
        <x:v>6</x:v>
      </x:c>
      <x:c r="H1412" s="25" t="str">
        <x:v>-</x:v>
      </x:c>
      <x:c r="I1412" s="25" t="n">
        <x:v>1</x:v>
      </x:c>
      <x:c r="J1412" s="25" t="n">
        <x:v>1</x:v>
      </x:c>
      <x:c r="K1412" s="19" t="n">
        <x:f>D1412-IF(H1412=0,1,0)</x:f>
        <x:v>2</x:v>
      </x:c>
      <x:c r="L1412" s="19" t="n">
        <x:f>E1412-IF(H1412=1,1,0)</x:f>
        <x:v>4</x:v>
      </x:c>
      <x:c r="M1412" s="19" t="n">
        <x:f>F1412-IF(H1412=2,1,0)</x:f>
        <x:v>0</x:v>
      </x:c>
      <x:c r="N1412" s="19" t="n">
        <x:f>MAX(K1412-1,0)+MAX(L1412-1,0)+MAX(M1412-1,0)</x:f>
        <x:v>4</x:v>
      </x:c>
      <x:c r="O1412" s="19" t="n">
        <x:f>IF(AND(SUM(K1412:M1412)&lt;9,OR(M1412=0,N1412&lt;6)),1,0)</x:f>
        <x:v>1</x:v>
      </x:c>
      <x:c r="P1412" s="19" t="n">
        <x:f>IF(AND(SUM(K1412:M1412)&lt;9,OR(L1412=0,N1412&lt;6)),1,0)</x:f>
        <x:v>1</x:v>
      </x:c>
      <x:c r="Q1412" s="19" t="n">
        <x:f>IF(AND(SUM(K1412:M1412)&lt;9,OR(K1412=0,N1412&lt;6)),1,0)</x:f>
        <x:v>1</x:v>
      </x:c>
      <x:c r="R1412" s="22" t="str">
        <x:f>O1412&amp;P1412&amp;Q1412</x:f>
        <x:v>111</x:v>
      </x:c>
      <x:c r="S1412" s="19" t="n">
        <x:f>IF(I1412=1,IF(J1412=0,Q1412,IF(J1412=1,P1412,IF(J1412=2,O1412,0))),0)</x:f>
        <x:v>1</x:v>
      </x:c>
      <x:c r="T1412" s="19" t="n">
        <x:f>K1412+IF(AND(S1412=1,J1412=0),1,0)</x:f>
        <x:v>2</x:v>
      </x:c>
      <x:c r="U1412" s="19" t="n">
        <x:f>L1412+IF(AND(S1412=1,J1412=1),1,0)</x:f>
        <x:v>5</x:v>
      </x:c>
      <x:c r="V1412" s="19" t="n">
        <x:f>M1412+IF(AND(S1412=1,J1412=2),1,0)</x:f>
        <x:v>0</x:v>
      </x:c>
      <x:c r="W1412" s="19" t="n">
        <x:f>SUM(T1412:V1412)</x:f>
        <x:v>7</x:v>
      </x:c>
      <x:c r="X1412" s="19" t="n">
        <x:f>W1412-G1412</x:f>
        <x:v>1</x:v>
      </x:c>
      <x:c r="Y1412" s="19" t="n">
        <x:f>MAX(T1412,1)+MAX(U1412,1)+MAX(V1412,1)</x:f>
        <x:v>8</x:v>
      </x:c>
      <x:c r="Z1412" s="21" t="str">
        <x:f>IF(AND(MIN(D1412:F1412)&gt;=0,MAX(D1412:F1412)&lt;=7,MAX(D1412,1)+MAX(E1412,1)+MAX(F1412,1)&lt;=9,OR(H1412="-",AND(H1412=0,D1412&gt;0),AND(H1412=1,E1412&gt;0),AND(H1412=2,F1412&gt;0)),OR(I1412=0,AND(I1412=1,OR(J1412=0,J1412=1,J1412=2),R1412&lt;&gt;"000")),Y1412&lt;=9,MIN(T1412:V1412)&gt;=0),"合法","输入违约")</x:f>
        <x:v>合法</x:v>
      </x:c>
    </x:row>
    <x:row r="1413" ht="23" customHeight="1">
      <x:c r="A1413" s="3" t="str">
        <x:v>CT-1406</x:v>
      </x:c>
      <x:c r="B1413" s="3" t="str">
        <x:v>ST-074</x:v>
      </x:c>
      <x:c r="C1413" s="3" t="str">
        <x:v>仅AR接收</x:v>
      </x:c>
      <x:c r="D1413" s="25" t="n">
        <x:v>2</x:v>
      </x:c>
      <x:c r="E1413" s="25" t="n">
        <x:v>4</x:v>
      </x:c>
      <x:c r="F1413" s="25" t="n">
        <x:v>0</x:v>
      </x:c>
      <x:c r="G1413" s="19" t="n">
        <x:f>SUM(D1413:F1413)</x:f>
        <x:v>6</x:v>
      </x:c>
      <x:c r="H1413" s="25" t="str">
        <x:v>-</x:v>
      </x:c>
      <x:c r="I1413" s="25" t="n">
        <x:v>1</x:v>
      </x:c>
      <x:c r="J1413" s="25" t="n">
        <x:v>2</x:v>
      </x:c>
      <x:c r="K1413" s="19" t="n">
        <x:f>D1413-IF(H1413=0,1,0)</x:f>
        <x:v>2</x:v>
      </x:c>
      <x:c r="L1413" s="19" t="n">
        <x:f>E1413-IF(H1413=1,1,0)</x:f>
        <x:v>4</x:v>
      </x:c>
      <x:c r="M1413" s="19" t="n">
        <x:f>F1413-IF(H1413=2,1,0)</x:f>
        <x:v>0</x:v>
      </x:c>
      <x:c r="N1413" s="19" t="n">
        <x:f>MAX(K1413-1,0)+MAX(L1413-1,0)+MAX(M1413-1,0)</x:f>
        <x:v>4</x:v>
      </x:c>
      <x:c r="O1413" s="19" t="n">
        <x:f>IF(AND(SUM(K1413:M1413)&lt;9,OR(M1413=0,N1413&lt;6)),1,0)</x:f>
        <x:v>1</x:v>
      </x:c>
      <x:c r="P1413" s="19" t="n">
        <x:f>IF(AND(SUM(K1413:M1413)&lt;9,OR(L1413=0,N1413&lt;6)),1,0)</x:f>
        <x:v>1</x:v>
      </x:c>
      <x:c r="Q1413" s="19" t="n">
        <x:f>IF(AND(SUM(K1413:M1413)&lt;9,OR(K1413=0,N1413&lt;6)),1,0)</x:f>
        <x:v>1</x:v>
      </x:c>
      <x:c r="R1413" s="22" t="str">
        <x:f>O1413&amp;P1413&amp;Q1413</x:f>
        <x:v>111</x:v>
      </x:c>
      <x:c r="S1413" s="19" t="n">
        <x:f>IF(I1413=1,IF(J1413=0,Q1413,IF(J1413=1,P1413,IF(J1413=2,O1413,0))),0)</x:f>
        <x:v>1</x:v>
      </x:c>
      <x:c r="T1413" s="19" t="n">
        <x:f>K1413+IF(AND(S1413=1,J1413=0),1,0)</x:f>
        <x:v>2</x:v>
      </x:c>
      <x:c r="U1413" s="19" t="n">
        <x:f>L1413+IF(AND(S1413=1,J1413=1),1,0)</x:f>
        <x:v>4</x:v>
      </x:c>
      <x:c r="V1413" s="19" t="n">
        <x:f>M1413+IF(AND(S1413=1,J1413=2),1,0)</x:f>
        <x:v>1</x:v>
      </x:c>
      <x:c r="W1413" s="19" t="n">
        <x:f>SUM(T1413:V1413)</x:f>
        <x:v>7</x:v>
      </x:c>
      <x:c r="X1413" s="19" t="n">
        <x:f>W1413-G1413</x:f>
        <x:v>1</x:v>
      </x:c>
      <x:c r="Y1413" s="19" t="n">
        <x:f>MAX(T1413,1)+MAX(U1413,1)+MAX(V1413,1)</x:f>
        <x:v>7</x:v>
      </x:c>
      <x:c r="Z1413" s="21" t="str">
        <x:f>IF(AND(MIN(D1413:F1413)&gt;=0,MAX(D1413:F1413)&lt;=7,MAX(D1413,1)+MAX(E1413,1)+MAX(F1413,1)&lt;=9,OR(H1413="-",AND(H1413=0,D1413&gt;0),AND(H1413=1,E1413&gt;0),AND(H1413=2,F1413&gt;0)),OR(I1413=0,AND(I1413=1,OR(J1413=0,J1413=1,J1413=2),R1413&lt;&gt;"000")),Y1413&lt;=9,MIN(T1413:V1413)&gt;=0),"合法","输入违约")</x:f>
        <x:v>合法</x:v>
      </x:c>
    </x:row>
    <x:row r="1414" ht="23" customHeight="1">
      <x:c r="A1414" s="3" t="str">
        <x:v>CT-1407</x:v>
      </x:c>
      <x:c r="B1414" s="3" t="str">
        <x:v>ST-074</x:v>
      </x:c>
      <x:c r="C1414" s="3" t="str">
        <x:v>仅R回收</x:v>
      </x:c>
      <x:c r="D1414" s="25" t="n">
        <x:v>2</x:v>
      </x:c>
      <x:c r="E1414" s="25" t="n">
        <x:v>4</x:v>
      </x:c>
      <x:c r="F1414" s="25" t="n">
        <x:v>0</x:v>
      </x:c>
      <x:c r="G1414" s="19" t="n">
        <x:f>SUM(D1414:F1414)</x:f>
        <x:v>6</x:v>
      </x:c>
      <x:c r="H1414" s="25" t="n">
        <x:v>0</x:v>
      </x:c>
      <x:c r="I1414" s="25" t="n">
        <x:v>0</x:v>
      </x:c>
      <x:c r="J1414" s="25" t="str">
        <x:v>-</x:v>
      </x:c>
      <x:c r="K1414" s="19" t="n">
        <x:f>D1414-IF(H1414=0,1,0)</x:f>
        <x:v>1</x:v>
      </x:c>
      <x:c r="L1414" s="19" t="n">
        <x:f>E1414-IF(H1414=1,1,0)</x:f>
        <x:v>4</x:v>
      </x:c>
      <x:c r="M1414" s="19" t="n">
        <x:f>F1414-IF(H1414=2,1,0)</x:f>
        <x:v>0</x:v>
      </x:c>
      <x:c r="N1414" s="19" t="n">
        <x:f>MAX(K1414-1,0)+MAX(L1414-1,0)+MAX(M1414-1,0)</x:f>
        <x:v>3</x:v>
      </x:c>
      <x:c r="O1414" s="19" t="n">
        <x:f>IF(AND(SUM(K1414:M1414)&lt;9,OR(M1414=0,N1414&lt;6)),1,0)</x:f>
        <x:v>1</x:v>
      </x:c>
      <x:c r="P1414" s="19" t="n">
        <x:f>IF(AND(SUM(K1414:M1414)&lt;9,OR(L1414=0,N1414&lt;6)),1,0)</x:f>
        <x:v>1</x:v>
      </x:c>
      <x:c r="Q1414" s="19" t="n">
        <x:f>IF(AND(SUM(K1414:M1414)&lt;9,OR(K1414=0,N1414&lt;6)),1,0)</x:f>
        <x:v>1</x:v>
      </x:c>
      <x:c r="R1414" s="22" t="str">
        <x:f>O1414&amp;P1414&amp;Q1414</x:f>
        <x:v>111</x:v>
      </x:c>
      <x:c r="S1414" s="19" t="n">
        <x:f>IF(I1414=1,IF(J1414=0,Q1414,IF(J1414=1,P1414,IF(J1414=2,O1414,0))),0)</x:f>
        <x:v>0</x:v>
      </x:c>
      <x:c r="T1414" s="19" t="n">
        <x:f>K1414+IF(AND(S1414=1,J1414=0),1,0)</x:f>
        <x:v>1</x:v>
      </x:c>
      <x:c r="U1414" s="19" t="n">
        <x:f>L1414+IF(AND(S1414=1,J1414=1),1,0)</x:f>
        <x:v>4</x:v>
      </x:c>
      <x:c r="V1414" s="19" t="n">
        <x:f>M1414+IF(AND(S1414=1,J1414=2),1,0)</x:f>
        <x:v>0</x:v>
      </x:c>
      <x:c r="W1414" s="19" t="n">
        <x:f>SUM(T1414:V1414)</x:f>
        <x:v>5</x:v>
      </x:c>
      <x:c r="X1414" s="19" t="n">
        <x:f>W1414-G1414</x:f>
        <x:v>-1</x:v>
      </x:c>
      <x:c r="Y1414" s="19" t="n">
        <x:f>MAX(T1414,1)+MAX(U1414,1)+MAX(V1414,1)</x:f>
        <x:v>6</x:v>
      </x:c>
      <x:c r="Z1414" s="21" t="str">
        <x:f>IF(AND(MIN(D1414:F1414)&gt;=0,MAX(D1414:F1414)&lt;=7,MAX(D1414,1)+MAX(E1414,1)+MAX(F1414,1)&lt;=9,OR(H1414="-",AND(H1414=0,D1414&gt;0),AND(H1414=1,E1414&gt;0),AND(H1414=2,F1414&gt;0)),OR(I1414=0,AND(I1414=1,OR(J1414=0,J1414=1,J1414=2),R1414&lt;&gt;"000")),Y1414&lt;=9,MIN(T1414:V1414)&gt;=0),"合法","输入违约")</x:f>
        <x:v>合法</x:v>
      </x:c>
    </x:row>
    <x:row r="1415" ht="23" customHeight="1">
      <x:c r="A1415" s="3" t="str">
        <x:v>CT-1408</x:v>
      </x:c>
      <x:c r="B1415" s="3" t="str">
        <x:v>ST-074</x:v>
      </x:c>
      <x:c r="C1415" s="3" t="str">
        <x:v>R+AR同收同发</x:v>
      </x:c>
      <x:c r="D1415" s="25" t="n">
        <x:v>2</x:v>
      </x:c>
      <x:c r="E1415" s="25" t="n">
        <x:v>4</x:v>
      </x:c>
      <x:c r="F1415" s="25" t="n">
        <x:v>0</x:v>
      </x:c>
      <x:c r="G1415" s="19" t="n">
        <x:f>SUM(D1415:F1415)</x:f>
        <x:v>6</x:v>
      </x:c>
      <x:c r="H1415" s="25" t="n">
        <x:v>0</x:v>
      </x:c>
      <x:c r="I1415" s="25" t="n">
        <x:v>1</x:v>
      </x:c>
      <x:c r="J1415" s="25" t="n">
        <x:v>0</x:v>
      </x:c>
      <x:c r="K1415" s="19" t="n">
        <x:f>D1415-IF(H1415=0,1,0)</x:f>
        <x:v>1</x:v>
      </x:c>
      <x:c r="L1415" s="19" t="n">
        <x:f>E1415-IF(H1415=1,1,0)</x:f>
        <x:v>4</x:v>
      </x:c>
      <x:c r="M1415" s="19" t="n">
        <x:f>F1415-IF(H1415=2,1,0)</x:f>
        <x:v>0</x:v>
      </x:c>
      <x:c r="N1415" s="19" t="n">
        <x:f>MAX(K1415-1,0)+MAX(L1415-1,0)+MAX(M1415-1,0)</x:f>
        <x:v>3</x:v>
      </x:c>
      <x:c r="O1415" s="19" t="n">
        <x:f>IF(AND(SUM(K1415:M1415)&lt;9,OR(M1415=0,N1415&lt;6)),1,0)</x:f>
        <x:v>1</x:v>
      </x:c>
      <x:c r="P1415" s="19" t="n">
        <x:f>IF(AND(SUM(K1415:M1415)&lt;9,OR(L1415=0,N1415&lt;6)),1,0)</x:f>
        <x:v>1</x:v>
      </x:c>
      <x:c r="Q1415" s="19" t="n">
        <x:f>IF(AND(SUM(K1415:M1415)&lt;9,OR(K1415=0,N1415&lt;6)),1,0)</x:f>
        <x:v>1</x:v>
      </x:c>
      <x:c r="R1415" s="22" t="str">
        <x:f>O1415&amp;P1415&amp;Q1415</x:f>
        <x:v>111</x:v>
      </x:c>
      <x:c r="S1415" s="19" t="n">
        <x:f>IF(I1415=1,IF(J1415=0,Q1415,IF(J1415=1,P1415,IF(J1415=2,O1415,0))),0)</x:f>
        <x:v>1</x:v>
      </x:c>
      <x:c r="T1415" s="19" t="n">
        <x:f>K1415+IF(AND(S1415=1,J1415=0),1,0)</x:f>
        <x:v>2</x:v>
      </x:c>
      <x:c r="U1415" s="19" t="n">
        <x:f>L1415+IF(AND(S1415=1,J1415=1),1,0)</x:f>
        <x:v>4</x:v>
      </x:c>
      <x:c r="V1415" s="19" t="n">
        <x:f>M1415+IF(AND(S1415=1,J1415=2),1,0)</x:f>
        <x:v>0</x:v>
      </x:c>
      <x:c r="W1415" s="19" t="n">
        <x:f>SUM(T1415:V1415)</x:f>
        <x:v>6</x:v>
      </x:c>
      <x:c r="X1415" s="19" t="n">
        <x:f>W1415-G1415</x:f>
        <x:v>0</x:v>
      </x:c>
      <x:c r="Y1415" s="19" t="n">
        <x:f>MAX(T1415,1)+MAX(U1415,1)+MAX(V1415,1)</x:f>
        <x:v>7</x:v>
      </x:c>
      <x:c r="Z1415" s="21" t="str">
        <x:f>IF(AND(MIN(D1415:F1415)&gt;=0,MAX(D1415:F1415)&lt;=7,MAX(D1415,1)+MAX(E1415,1)+MAX(F1415,1)&lt;=9,OR(H1415="-",AND(H1415=0,D1415&gt;0),AND(H1415=1,E1415&gt;0),AND(H1415=2,F1415&gt;0)),OR(I1415=0,AND(I1415=1,OR(J1415=0,J1415=1,J1415=2),R1415&lt;&gt;"000")),Y1415&lt;=9,MIN(T1415:V1415)&gt;=0),"合法","输入违约")</x:f>
        <x:v>合法</x:v>
      </x:c>
    </x:row>
    <x:row r="1416" ht="23" customHeight="1">
      <x:c r="A1416" s="3" t="str">
        <x:v>CT-1409</x:v>
      </x:c>
      <x:c r="B1416" s="3" t="str">
        <x:v>ST-074</x:v>
      </x:c>
      <x:c r="C1416" s="3" t="str">
        <x:v>R+AR同收同发</x:v>
      </x:c>
      <x:c r="D1416" s="25" t="n">
        <x:v>2</x:v>
      </x:c>
      <x:c r="E1416" s="25" t="n">
        <x:v>4</x:v>
      </x:c>
      <x:c r="F1416" s="25" t="n">
        <x:v>0</x:v>
      </x:c>
      <x:c r="G1416" s="19" t="n">
        <x:f>SUM(D1416:F1416)</x:f>
        <x:v>6</x:v>
      </x:c>
      <x:c r="H1416" s="25" t="n">
        <x:v>0</x:v>
      </x:c>
      <x:c r="I1416" s="25" t="n">
        <x:v>1</x:v>
      </x:c>
      <x:c r="J1416" s="25" t="n">
        <x:v>1</x:v>
      </x:c>
      <x:c r="K1416" s="19" t="n">
        <x:f>D1416-IF(H1416=0,1,0)</x:f>
        <x:v>1</x:v>
      </x:c>
      <x:c r="L1416" s="19" t="n">
        <x:f>E1416-IF(H1416=1,1,0)</x:f>
        <x:v>4</x:v>
      </x:c>
      <x:c r="M1416" s="19" t="n">
        <x:f>F1416-IF(H1416=2,1,0)</x:f>
        <x:v>0</x:v>
      </x:c>
      <x:c r="N1416" s="19" t="n">
        <x:f>MAX(K1416-1,0)+MAX(L1416-1,0)+MAX(M1416-1,0)</x:f>
        <x:v>3</x:v>
      </x:c>
      <x:c r="O1416" s="19" t="n">
        <x:f>IF(AND(SUM(K1416:M1416)&lt;9,OR(M1416=0,N1416&lt;6)),1,0)</x:f>
        <x:v>1</x:v>
      </x:c>
      <x:c r="P1416" s="19" t="n">
        <x:f>IF(AND(SUM(K1416:M1416)&lt;9,OR(L1416=0,N1416&lt;6)),1,0)</x:f>
        <x:v>1</x:v>
      </x:c>
      <x:c r="Q1416" s="19" t="n">
        <x:f>IF(AND(SUM(K1416:M1416)&lt;9,OR(K1416=0,N1416&lt;6)),1,0)</x:f>
        <x:v>1</x:v>
      </x:c>
      <x:c r="R1416" s="22" t="str">
        <x:f>O1416&amp;P1416&amp;Q1416</x:f>
        <x:v>111</x:v>
      </x:c>
      <x:c r="S1416" s="19" t="n">
        <x:f>IF(I1416=1,IF(J1416=0,Q1416,IF(J1416=1,P1416,IF(J1416=2,O1416,0))),0)</x:f>
        <x:v>1</x:v>
      </x:c>
      <x:c r="T1416" s="19" t="n">
        <x:f>K1416+IF(AND(S1416=1,J1416=0),1,0)</x:f>
        <x:v>1</x:v>
      </x:c>
      <x:c r="U1416" s="19" t="n">
        <x:f>L1416+IF(AND(S1416=1,J1416=1),1,0)</x:f>
        <x:v>5</x:v>
      </x:c>
      <x:c r="V1416" s="19" t="n">
        <x:f>M1416+IF(AND(S1416=1,J1416=2),1,0)</x:f>
        <x:v>0</x:v>
      </x:c>
      <x:c r="W1416" s="19" t="n">
        <x:f>SUM(T1416:V1416)</x:f>
        <x:v>6</x:v>
      </x:c>
      <x:c r="X1416" s="19" t="n">
        <x:f>W1416-G1416</x:f>
        <x:v>0</x:v>
      </x:c>
      <x:c r="Y1416" s="19" t="n">
        <x:f>MAX(T1416,1)+MAX(U1416,1)+MAX(V1416,1)</x:f>
        <x:v>7</x:v>
      </x:c>
      <x:c r="Z1416" s="21" t="str">
        <x:f>IF(AND(MIN(D1416:F1416)&gt;=0,MAX(D1416:F1416)&lt;=7,MAX(D1416,1)+MAX(E1416,1)+MAX(F1416,1)&lt;=9,OR(H1416="-",AND(H1416=0,D1416&gt;0),AND(H1416=1,E1416&gt;0),AND(H1416=2,F1416&gt;0)),OR(I1416=0,AND(I1416=1,OR(J1416=0,J1416=1,J1416=2),R1416&lt;&gt;"000")),Y1416&lt;=9,MIN(T1416:V1416)&gt;=0),"合法","输入违约")</x:f>
        <x:v>合法</x:v>
      </x:c>
    </x:row>
    <x:row r="1417" ht="23" customHeight="1">
      <x:c r="A1417" s="3" t="str">
        <x:v>CT-1410</x:v>
      </x:c>
      <x:c r="B1417" s="3" t="str">
        <x:v>ST-074</x:v>
      </x:c>
      <x:c r="C1417" s="3" t="str">
        <x:v>R+AR同收同发</x:v>
      </x:c>
      <x:c r="D1417" s="25" t="n">
        <x:v>2</x:v>
      </x:c>
      <x:c r="E1417" s="25" t="n">
        <x:v>4</x:v>
      </x:c>
      <x:c r="F1417" s="25" t="n">
        <x:v>0</x:v>
      </x:c>
      <x:c r="G1417" s="19" t="n">
        <x:f>SUM(D1417:F1417)</x:f>
        <x:v>6</x:v>
      </x:c>
      <x:c r="H1417" s="25" t="n">
        <x:v>0</x:v>
      </x:c>
      <x:c r="I1417" s="25" t="n">
        <x:v>1</x:v>
      </x:c>
      <x:c r="J1417" s="25" t="n">
        <x:v>2</x:v>
      </x:c>
      <x:c r="K1417" s="19" t="n">
        <x:f>D1417-IF(H1417=0,1,0)</x:f>
        <x:v>1</x:v>
      </x:c>
      <x:c r="L1417" s="19" t="n">
        <x:f>E1417-IF(H1417=1,1,0)</x:f>
        <x:v>4</x:v>
      </x:c>
      <x:c r="M1417" s="19" t="n">
        <x:f>F1417-IF(H1417=2,1,0)</x:f>
        <x:v>0</x:v>
      </x:c>
      <x:c r="N1417" s="19" t="n">
        <x:f>MAX(K1417-1,0)+MAX(L1417-1,0)+MAX(M1417-1,0)</x:f>
        <x:v>3</x:v>
      </x:c>
      <x:c r="O1417" s="19" t="n">
        <x:f>IF(AND(SUM(K1417:M1417)&lt;9,OR(M1417=0,N1417&lt;6)),1,0)</x:f>
        <x:v>1</x:v>
      </x:c>
      <x:c r="P1417" s="19" t="n">
        <x:f>IF(AND(SUM(K1417:M1417)&lt;9,OR(L1417=0,N1417&lt;6)),1,0)</x:f>
        <x:v>1</x:v>
      </x:c>
      <x:c r="Q1417" s="19" t="n">
        <x:f>IF(AND(SUM(K1417:M1417)&lt;9,OR(K1417=0,N1417&lt;6)),1,0)</x:f>
        <x:v>1</x:v>
      </x:c>
      <x:c r="R1417" s="22" t="str">
        <x:f>O1417&amp;P1417&amp;Q1417</x:f>
        <x:v>111</x:v>
      </x:c>
      <x:c r="S1417" s="19" t="n">
        <x:f>IF(I1417=1,IF(J1417=0,Q1417,IF(J1417=1,P1417,IF(J1417=2,O1417,0))),0)</x:f>
        <x:v>1</x:v>
      </x:c>
      <x:c r="T1417" s="19" t="n">
        <x:f>K1417+IF(AND(S1417=1,J1417=0),1,0)</x:f>
        <x:v>1</x:v>
      </x:c>
      <x:c r="U1417" s="19" t="n">
        <x:f>L1417+IF(AND(S1417=1,J1417=1),1,0)</x:f>
        <x:v>4</x:v>
      </x:c>
      <x:c r="V1417" s="19" t="n">
        <x:f>M1417+IF(AND(S1417=1,J1417=2),1,0)</x:f>
        <x:v>1</x:v>
      </x:c>
      <x:c r="W1417" s="19" t="n">
        <x:f>SUM(T1417:V1417)</x:f>
        <x:v>6</x:v>
      </x:c>
      <x:c r="X1417" s="19" t="n">
        <x:f>W1417-G1417</x:f>
        <x:v>0</x:v>
      </x:c>
      <x:c r="Y1417" s="19" t="n">
        <x:f>MAX(T1417,1)+MAX(U1417,1)+MAX(V1417,1)</x:f>
        <x:v>6</x:v>
      </x:c>
      <x:c r="Z1417" s="21" t="str">
        <x:f>IF(AND(MIN(D1417:F1417)&gt;=0,MAX(D1417:F1417)&lt;=7,MAX(D1417,1)+MAX(E1417,1)+MAX(F1417,1)&lt;=9,OR(H1417="-",AND(H1417=0,D1417&gt;0),AND(H1417=1,E1417&gt;0),AND(H1417=2,F1417&gt;0)),OR(I1417=0,AND(I1417=1,OR(J1417=0,J1417=1,J1417=2),R1417&lt;&gt;"000")),Y1417&lt;=9,MIN(T1417:V1417)&gt;=0),"合法","输入违约")</x:f>
        <x:v>合法</x:v>
      </x:c>
    </x:row>
    <x:row r="1418" ht="23" customHeight="1">
      <x:c r="A1418" s="3" t="str">
        <x:v>CT-1411</x:v>
      </x:c>
      <x:c r="B1418" s="3" t="str">
        <x:v>ST-074</x:v>
      </x:c>
      <x:c r="C1418" s="3" t="str">
        <x:v>仅R回收</x:v>
      </x:c>
      <x:c r="D1418" s="25" t="n">
        <x:v>2</x:v>
      </x:c>
      <x:c r="E1418" s="25" t="n">
        <x:v>4</x:v>
      </x:c>
      <x:c r="F1418" s="25" t="n">
        <x:v>0</x:v>
      </x:c>
      <x:c r="G1418" s="19" t="n">
        <x:f>SUM(D1418:F1418)</x:f>
        <x:v>6</x:v>
      </x:c>
      <x:c r="H1418" s="25" t="n">
        <x:v>1</x:v>
      </x:c>
      <x:c r="I1418" s="25" t="n">
        <x:v>0</x:v>
      </x:c>
      <x:c r="J1418" s="25" t="str">
        <x:v>-</x:v>
      </x:c>
      <x:c r="K1418" s="19" t="n">
        <x:f>D1418-IF(H1418=0,1,0)</x:f>
        <x:v>2</x:v>
      </x:c>
      <x:c r="L1418" s="19" t="n">
        <x:f>E1418-IF(H1418=1,1,0)</x:f>
        <x:v>3</x:v>
      </x:c>
      <x:c r="M1418" s="19" t="n">
        <x:f>F1418-IF(H1418=2,1,0)</x:f>
        <x:v>0</x:v>
      </x:c>
      <x:c r="N1418" s="19" t="n">
        <x:f>MAX(K1418-1,0)+MAX(L1418-1,0)+MAX(M1418-1,0)</x:f>
        <x:v>3</x:v>
      </x:c>
      <x:c r="O1418" s="19" t="n">
        <x:f>IF(AND(SUM(K1418:M1418)&lt;9,OR(M1418=0,N1418&lt;6)),1,0)</x:f>
        <x:v>1</x:v>
      </x:c>
      <x:c r="P1418" s="19" t="n">
        <x:f>IF(AND(SUM(K1418:M1418)&lt;9,OR(L1418=0,N1418&lt;6)),1,0)</x:f>
        <x:v>1</x:v>
      </x:c>
      <x:c r="Q1418" s="19" t="n">
        <x:f>IF(AND(SUM(K1418:M1418)&lt;9,OR(K1418=0,N1418&lt;6)),1,0)</x:f>
        <x:v>1</x:v>
      </x:c>
      <x:c r="R1418" s="22" t="str">
        <x:f>O1418&amp;P1418&amp;Q1418</x:f>
        <x:v>111</x:v>
      </x:c>
      <x:c r="S1418" s="19" t="n">
        <x:f>IF(I1418=1,IF(J1418=0,Q1418,IF(J1418=1,P1418,IF(J1418=2,O1418,0))),0)</x:f>
        <x:v>0</x:v>
      </x:c>
      <x:c r="T1418" s="19" t="n">
        <x:f>K1418+IF(AND(S1418=1,J1418=0),1,0)</x:f>
        <x:v>2</x:v>
      </x:c>
      <x:c r="U1418" s="19" t="n">
        <x:f>L1418+IF(AND(S1418=1,J1418=1),1,0)</x:f>
        <x:v>3</x:v>
      </x:c>
      <x:c r="V1418" s="19" t="n">
        <x:f>M1418+IF(AND(S1418=1,J1418=2),1,0)</x:f>
        <x:v>0</x:v>
      </x:c>
      <x:c r="W1418" s="19" t="n">
        <x:f>SUM(T1418:V1418)</x:f>
        <x:v>5</x:v>
      </x:c>
      <x:c r="X1418" s="19" t="n">
        <x:f>W1418-G1418</x:f>
        <x:v>-1</x:v>
      </x:c>
      <x:c r="Y1418" s="19" t="n">
        <x:f>MAX(T1418,1)+MAX(U1418,1)+MAX(V1418,1)</x:f>
        <x:v>6</x:v>
      </x:c>
      <x:c r="Z1418" s="21" t="str">
        <x:f>IF(AND(MIN(D1418:F1418)&gt;=0,MAX(D1418:F1418)&lt;=7,MAX(D1418,1)+MAX(E1418,1)+MAX(F1418,1)&lt;=9,OR(H1418="-",AND(H1418=0,D1418&gt;0),AND(H1418=1,E1418&gt;0),AND(H1418=2,F1418&gt;0)),OR(I1418=0,AND(I1418=1,OR(J1418=0,J1418=1,J1418=2),R1418&lt;&gt;"000")),Y1418&lt;=9,MIN(T1418:V1418)&gt;=0),"合法","输入违约")</x:f>
        <x:v>合法</x:v>
      </x:c>
    </x:row>
    <x:row r="1419" ht="23" customHeight="1">
      <x:c r="A1419" s="3" t="str">
        <x:v>CT-1412</x:v>
      </x:c>
      <x:c r="B1419" s="3" t="str">
        <x:v>ST-074</x:v>
      </x:c>
      <x:c r="C1419" s="3" t="str">
        <x:v>R+AR同收同发</x:v>
      </x:c>
      <x:c r="D1419" s="25" t="n">
        <x:v>2</x:v>
      </x:c>
      <x:c r="E1419" s="25" t="n">
        <x:v>4</x:v>
      </x:c>
      <x:c r="F1419" s="25" t="n">
        <x:v>0</x:v>
      </x:c>
      <x:c r="G1419" s="19" t="n">
        <x:f>SUM(D1419:F1419)</x:f>
        <x:v>6</x:v>
      </x:c>
      <x:c r="H1419" s="25" t="n">
        <x:v>1</x:v>
      </x:c>
      <x:c r="I1419" s="25" t="n">
        <x:v>1</x:v>
      </x:c>
      <x:c r="J1419" s="25" t="n">
        <x:v>0</x:v>
      </x:c>
      <x:c r="K1419" s="19" t="n">
        <x:f>D1419-IF(H1419=0,1,0)</x:f>
        <x:v>2</x:v>
      </x:c>
      <x:c r="L1419" s="19" t="n">
        <x:f>E1419-IF(H1419=1,1,0)</x:f>
        <x:v>3</x:v>
      </x:c>
      <x:c r="M1419" s="19" t="n">
        <x:f>F1419-IF(H1419=2,1,0)</x:f>
        <x:v>0</x:v>
      </x:c>
      <x:c r="N1419" s="19" t="n">
        <x:f>MAX(K1419-1,0)+MAX(L1419-1,0)+MAX(M1419-1,0)</x:f>
        <x:v>3</x:v>
      </x:c>
      <x:c r="O1419" s="19" t="n">
        <x:f>IF(AND(SUM(K1419:M1419)&lt;9,OR(M1419=0,N1419&lt;6)),1,0)</x:f>
        <x:v>1</x:v>
      </x:c>
      <x:c r="P1419" s="19" t="n">
        <x:f>IF(AND(SUM(K1419:M1419)&lt;9,OR(L1419=0,N1419&lt;6)),1,0)</x:f>
        <x:v>1</x:v>
      </x:c>
      <x:c r="Q1419" s="19" t="n">
        <x:f>IF(AND(SUM(K1419:M1419)&lt;9,OR(K1419=0,N1419&lt;6)),1,0)</x:f>
        <x:v>1</x:v>
      </x:c>
      <x:c r="R1419" s="22" t="str">
        <x:f>O1419&amp;P1419&amp;Q1419</x:f>
        <x:v>111</x:v>
      </x:c>
      <x:c r="S1419" s="19" t="n">
        <x:f>IF(I1419=1,IF(J1419=0,Q1419,IF(J1419=1,P1419,IF(J1419=2,O1419,0))),0)</x:f>
        <x:v>1</x:v>
      </x:c>
      <x:c r="T1419" s="19" t="n">
        <x:f>K1419+IF(AND(S1419=1,J1419=0),1,0)</x:f>
        <x:v>3</x:v>
      </x:c>
      <x:c r="U1419" s="19" t="n">
        <x:f>L1419+IF(AND(S1419=1,J1419=1),1,0)</x:f>
        <x:v>3</x:v>
      </x:c>
      <x:c r="V1419" s="19" t="n">
        <x:f>M1419+IF(AND(S1419=1,J1419=2),1,0)</x:f>
        <x:v>0</x:v>
      </x:c>
      <x:c r="W1419" s="19" t="n">
        <x:f>SUM(T1419:V1419)</x:f>
        <x:v>6</x:v>
      </x:c>
      <x:c r="X1419" s="19" t="n">
        <x:f>W1419-G1419</x:f>
        <x:v>0</x:v>
      </x:c>
      <x:c r="Y1419" s="19" t="n">
        <x:f>MAX(T1419,1)+MAX(U1419,1)+MAX(V1419,1)</x:f>
        <x:v>7</x:v>
      </x:c>
      <x:c r="Z1419" s="21" t="str">
        <x:f>IF(AND(MIN(D1419:F1419)&gt;=0,MAX(D1419:F1419)&lt;=7,MAX(D1419,1)+MAX(E1419,1)+MAX(F1419,1)&lt;=9,OR(H1419="-",AND(H1419=0,D1419&gt;0),AND(H1419=1,E1419&gt;0),AND(H1419=2,F1419&gt;0)),OR(I1419=0,AND(I1419=1,OR(J1419=0,J1419=1,J1419=2),R1419&lt;&gt;"000")),Y1419&lt;=9,MIN(T1419:V1419)&gt;=0),"合法","输入违约")</x:f>
        <x:v>合法</x:v>
      </x:c>
    </x:row>
    <x:row r="1420" ht="23" customHeight="1">
      <x:c r="A1420" s="3" t="str">
        <x:v>CT-1413</x:v>
      </x:c>
      <x:c r="B1420" s="3" t="str">
        <x:v>ST-074</x:v>
      </x:c>
      <x:c r="C1420" s="3" t="str">
        <x:v>R+AR同收同发</x:v>
      </x:c>
      <x:c r="D1420" s="25" t="n">
        <x:v>2</x:v>
      </x:c>
      <x:c r="E1420" s="25" t="n">
        <x:v>4</x:v>
      </x:c>
      <x:c r="F1420" s="25" t="n">
        <x:v>0</x:v>
      </x:c>
      <x:c r="G1420" s="19" t="n">
        <x:f>SUM(D1420:F1420)</x:f>
        <x:v>6</x:v>
      </x:c>
      <x:c r="H1420" s="25" t="n">
        <x:v>1</x:v>
      </x:c>
      <x:c r="I1420" s="25" t="n">
        <x:v>1</x:v>
      </x:c>
      <x:c r="J1420" s="25" t="n">
        <x:v>1</x:v>
      </x:c>
      <x:c r="K1420" s="19" t="n">
        <x:f>D1420-IF(H1420=0,1,0)</x:f>
        <x:v>2</x:v>
      </x:c>
      <x:c r="L1420" s="19" t="n">
        <x:f>E1420-IF(H1420=1,1,0)</x:f>
        <x:v>3</x:v>
      </x:c>
      <x:c r="M1420" s="19" t="n">
        <x:f>F1420-IF(H1420=2,1,0)</x:f>
        <x:v>0</x:v>
      </x:c>
      <x:c r="N1420" s="19" t="n">
        <x:f>MAX(K1420-1,0)+MAX(L1420-1,0)+MAX(M1420-1,0)</x:f>
        <x:v>3</x:v>
      </x:c>
      <x:c r="O1420" s="19" t="n">
        <x:f>IF(AND(SUM(K1420:M1420)&lt;9,OR(M1420=0,N1420&lt;6)),1,0)</x:f>
        <x:v>1</x:v>
      </x:c>
      <x:c r="P1420" s="19" t="n">
        <x:f>IF(AND(SUM(K1420:M1420)&lt;9,OR(L1420=0,N1420&lt;6)),1,0)</x:f>
        <x:v>1</x:v>
      </x:c>
      <x:c r="Q1420" s="19" t="n">
        <x:f>IF(AND(SUM(K1420:M1420)&lt;9,OR(K1420=0,N1420&lt;6)),1,0)</x:f>
        <x:v>1</x:v>
      </x:c>
      <x:c r="R1420" s="22" t="str">
        <x:f>O1420&amp;P1420&amp;Q1420</x:f>
        <x:v>111</x:v>
      </x:c>
      <x:c r="S1420" s="19" t="n">
        <x:f>IF(I1420=1,IF(J1420=0,Q1420,IF(J1420=1,P1420,IF(J1420=2,O1420,0))),0)</x:f>
        <x:v>1</x:v>
      </x:c>
      <x:c r="T1420" s="19" t="n">
        <x:f>K1420+IF(AND(S1420=1,J1420=0),1,0)</x:f>
        <x:v>2</x:v>
      </x:c>
      <x:c r="U1420" s="19" t="n">
        <x:f>L1420+IF(AND(S1420=1,J1420=1),1,0)</x:f>
        <x:v>4</x:v>
      </x:c>
      <x:c r="V1420" s="19" t="n">
        <x:f>M1420+IF(AND(S1420=1,J1420=2),1,0)</x:f>
        <x:v>0</x:v>
      </x:c>
      <x:c r="W1420" s="19" t="n">
        <x:f>SUM(T1420:V1420)</x:f>
        <x:v>6</x:v>
      </x:c>
      <x:c r="X1420" s="19" t="n">
        <x:f>W1420-G1420</x:f>
        <x:v>0</x:v>
      </x:c>
      <x:c r="Y1420" s="19" t="n">
        <x:f>MAX(T1420,1)+MAX(U1420,1)+MAX(V1420,1)</x:f>
        <x:v>7</x:v>
      </x:c>
      <x:c r="Z1420" s="21" t="str">
        <x:f>IF(AND(MIN(D1420:F1420)&gt;=0,MAX(D1420:F1420)&lt;=7,MAX(D1420,1)+MAX(E1420,1)+MAX(F1420,1)&lt;=9,OR(H1420="-",AND(H1420=0,D1420&gt;0),AND(H1420=1,E1420&gt;0),AND(H1420=2,F1420&gt;0)),OR(I1420=0,AND(I1420=1,OR(J1420=0,J1420=1,J1420=2),R1420&lt;&gt;"000")),Y1420&lt;=9,MIN(T1420:V1420)&gt;=0),"合法","输入违约")</x:f>
        <x:v>合法</x:v>
      </x:c>
    </x:row>
    <x:row r="1421" ht="23" customHeight="1">
      <x:c r="A1421" s="3" t="str">
        <x:v>CT-1414</x:v>
      </x:c>
      <x:c r="B1421" s="3" t="str">
        <x:v>ST-074</x:v>
      </x:c>
      <x:c r="C1421" s="3" t="str">
        <x:v>R+AR同收同发</x:v>
      </x:c>
      <x:c r="D1421" s="25" t="n">
        <x:v>2</x:v>
      </x:c>
      <x:c r="E1421" s="25" t="n">
        <x:v>4</x:v>
      </x:c>
      <x:c r="F1421" s="25" t="n">
        <x:v>0</x:v>
      </x:c>
      <x:c r="G1421" s="19" t="n">
        <x:f>SUM(D1421:F1421)</x:f>
        <x:v>6</x:v>
      </x:c>
      <x:c r="H1421" s="25" t="n">
        <x:v>1</x:v>
      </x:c>
      <x:c r="I1421" s="25" t="n">
        <x:v>1</x:v>
      </x:c>
      <x:c r="J1421" s="25" t="n">
        <x:v>2</x:v>
      </x:c>
      <x:c r="K1421" s="19" t="n">
        <x:f>D1421-IF(H1421=0,1,0)</x:f>
        <x:v>2</x:v>
      </x:c>
      <x:c r="L1421" s="19" t="n">
        <x:f>E1421-IF(H1421=1,1,0)</x:f>
        <x:v>3</x:v>
      </x:c>
      <x:c r="M1421" s="19" t="n">
        <x:f>F1421-IF(H1421=2,1,0)</x:f>
        <x:v>0</x:v>
      </x:c>
      <x:c r="N1421" s="19" t="n">
        <x:f>MAX(K1421-1,0)+MAX(L1421-1,0)+MAX(M1421-1,0)</x:f>
        <x:v>3</x:v>
      </x:c>
      <x:c r="O1421" s="19" t="n">
        <x:f>IF(AND(SUM(K1421:M1421)&lt;9,OR(M1421=0,N1421&lt;6)),1,0)</x:f>
        <x:v>1</x:v>
      </x:c>
      <x:c r="P1421" s="19" t="n">
        <x:f>IF(AND(SUM(K1421:M1421)&lt;9,OR(L1421=0,N1421&lt;6)),1,0)</x:f>
        <x:v>1</x:v>
      </x:c>
      <x:c r="Q1421" s="19" t="n">
        <x:f>IF(AND(SUM(K1421:M1421)&lt;9,OR(K1421=0,N1421&lt;6)),1,0)</x:f>
        <x:v>1</x:v>
      </x:c>
      <x:c r="R1421" s="22" t="str">
        <x:f>O1421&amp;P1421&amp;Q1421</x:f>
        <x:v>111</x:v>
      </x:c>
      <x:c r="S1421" s="19" t="n">
        <x:f>IF(I1421=1,IF(J1421=0,Q1421,IF(J1421=1,P1421,IF(J1421=2,O1421,0))),0)</x:f>
        <x:v>1</x:v>
      </x:c>
      <x:c r="T1421" s="19" t="n">
        <x:f>K1421+IF(AND(S1421=1,J1421=0),1,0)</x:f>
        <x:v>2</x:v>
      </x:c>
      <x:c r="U1421" s="19" t="n">
        <x:f>L1421+IF(AND(S1421=1,J1421=1),1,0)</x:f>
        <x:v>3</x:v>
      </x:c>
      <x:c r="V1421" s="19" t="n">
        <x:f>M1421+IF(AND(S1421=1,J1421=2),1,0)</x:f>
        <x:v>1</x:v>
      </x:c>
      <x:c r="W1421" s="19" t="n">
        <x:f>SUM(T1421:V1421)</x:f>
        <x:v>6</x:v>
      </x:c>
      <x:c r="X1421" s="19" t="n">
        <x:f>W1421-G1421</x:f>
        <x:v>0</x:v>
      </x:c>
      <x:c r="Y1421" s="19" t="n">
        <x:f>MAX(T1421,1)+MAX(U1421,1)+MAX(V1421,1)</x:f>
        <x:v>6</x:v>
      </x:c>
      <x:c r="Z1421" s="21" t="str">
        <x:f>IF(AND(MIN(D1421:F1421)&gt;=0,MAX(D1421:F1421)&lt;=7,MAX(D1421,1)+MAX(E1421,1)+MAX(F1421,1)&lt;=9,OR(H1421="-",AND(H1421=0,D1421&gt;0),AND(H1421=1,E1421&gt;0),AND(H1421=2,F1421&gt;0)),OR(I1421=0,AND(I1421=1,OR(J1421=0,J1421=1,J1421=2),R1421&lt;&gt;"000")),Y1421&lt;=9,MIN(T1421:V1421)&gt;=0),"合法","输入违约")</x:f>
        <x:v>合法</x:v>
      </x:c>
    </x:row>
    <x:row r="1422" ht="23" customHeight="1">
      <x:c r="A1422" s="3" t="str">
        <x:v>CT-1415</x:v>
      </x:c>
      <x:c r="B1422" s="3" t="str">
        <x:v>ST-104</x:v>
      </x:c>
      <x:c r="C1422" s="3" t="str">
        <x:v>无AR/R</x:v>
      </x:c>
      <x:c r="D1422" s="25" t="n">
        <x:v>2</x:v>
      </x:c>
      <x:c r="E1422" s="25" t="n">
        <x:v>4</x:v>
      </x:c>
      <x:c r="F1422" s="25" t="n">
        <x:v>1</x:v>
      </x:c>
      <x:c r="G1422" s="19" t="n">
        <x:f>SUM(D1422:F1422)</x:f>
        <x:v>7</x:v>
      </x:c>
      <x:c r="H1422" s="25" t="str">
        <x:v>-</x:v>
      </x:c>
      <x:c r="I1422" s="25" t="n">
        <x:v>0</x:v>
      </x:c>
      <x:c r="J1422" s="25" t="str">
        <x:v>-</x:v>
      </x:c>
      <x:c r="K1422" s="19" t="n">
        <x:f>D1422-IF(H1422=0,1,0)</x:f>
        <x:v>2</x:v>
      </x:c>
      <x:c r="L1422" s="19" t="n">
        <x:f>E1422-IF(H1422=1,1,0)</x:f>
        <x:v>4</x:v>
      </x:c>
      <x:c r="M1422" s="19" t="n">
        <x:f>F1422-IF(H1422=2,1,0)</x:f>
        <x:v>1</x:v>
      </x:c>
      <x:c r="N1422" s="19" t="n">
        <x:f>MAX(K1422-1,0)+MAX(L1422-1,0)+MAX(M1422-1,0)</x:f>
        <x:v>4</x:v>
      </x:c>
      <x:c r="O1422" s="19" t="n">
        <x:f>IF(AND(SUM(K1422:M1422)&lt;9,OR(M1422=0,N1422&lt;6)),1,0)</x:f>
        <x:v>1</x:v>
      </x:c>
      <x:c r="P1422" s="19" t="n">
        <x:f>IF(AND(SUM(K1422:M1422)&lt;9,OR(L1422=0,N1422&lt;6)),1,0)</x:f>
        <x:v>1</x:v>
      </x:c>
      <x:c r="Q1422" s="19" t="n">
        <x:f>IF(AND(SUM(K1422:M1422)&lt;9,OR(K1422=0,N1422&lt;6)),1,0)</x:f>
        <x:v>1</x:v>
      </x:c>
      <x:c r="R1422" s="22" t="str">
        <x:f>O1422&amp;P1422&amp;Q1422</x:f>
        <x:v>111</x:v>
      </x:c>
      <x:c r="S1422" s="19" t="n">
        <x:f>IF(I1422=1,IF(J1422=0,Q1422,IF(J1422=1,P1422,IF(J1422=2,O1422,0))),0)</x:f>
        <x:v>0</x:v>
      </x:c>
      <x:c r="T1422" s="19" t="n">
        <x:f>K1422+IF(AND(S1422=1,J1422=0),1,0)</x:f>
        <x:v>2</x:v>
      </x:c>
      <x:c r="U1422" s="19" t="n">
        <x:f>L1422+IF(AND(S1422=1,J1422=1),1,0)</x:f>
        <x:v>4</x:v>
      </x:c>
      <x:c r="V1422" s="19" t="n">
        <x:f>M1422+IF(AND(S1422=1,J1422=2),1,0)</x:f>
        <x:v>1</x:v>
      </x:c>
      <x:c r="W1422" s="19" t="n">
        <x:f>SUM(T1422:V1422)</x:f>
        <x:v>7</x:v>
      </x:c>
      <x:c r="X1422" s="19" t="n">
        <x:f>W1422-G1422</x:f>
        <x:v>0</x:v>
      </x:c>
      <x:c r="Y1422" s="19" t="n">
        <x:f>MAX(T1422,1)+MAX(U1422,1)+MAX(V1422,1)</x:f>
        <x:v>7</x:v>
      </x:c>
      <x:c r="Z1422" s="21" t="str">
        <x:f>IF(AND(MIN(D1422:F1422)&gt;=0,MAX(D1422:F1422)&lt;=7,MAX(D1422,1)+MAX(E1422,1)+MAX(F1422,1)&lt;=9,OR(H1422="-",AND(H1422=0,D1422&gt;0),AND(H1422=1,E1422&gt;0),AND(H1422=2,F1422&gt;0)),OR(I1422=0,AND(I1422=1,OR(J1422=0,J1422=1,J1422=2),R1422&lt;&gt;"000")),Y1422&lt;=9,MIN(T1422:V1422)&gt;=0),"合法","输入违约")</x:f>
        <x:v>合法</x:v>
      </x:c>
    </x:row>
    <x:row r="1423" ht="23" customHeight="1">
      <x:c r="A1423" s="3" t="str">
        <x:v>CT-1416</x:v>
      </x:c>
      <x:c r="B1423" s="3" t="str">
        <x:v>ST-104</x:v>
      </x:c>
      <x:c r="C1423" s="3" t="str">
        <x:v>仅AR接收</x:v>
      </x:c>
      <x:c r="D1423" s="25" t="n">
        <x:v>2</x:v>
      </x:c>
      <x:c r="E1423" s="25" t="n">
        <x:v>4</x:v>
      </x:c>
      <x:c r="F1423" s="25" t="n">
        <x:v>1</x:v>
      </x:c>
      <x:c r="G1423" s="19" t="n">
        <x:f>SUM(D1423:F1423)</x:f>
        <x:v>7</x:v>
      </x:c>
      <x:c r="H1423" s="25" t="str">
        <x:v>-</x:v>
      </x:c>
      <x:c r="I1423" s="25" t="n">
        <x:v>1</x:v>
      </x:c>
      <x:c r="J1423" s="25" t="n">
        <x:v>0</x:v>
      </x:c>
      <x:c r="K1423" s="19" t="n">
        <x:f>D1423-IF(H1423=0,1,0)</x:f>
        <x:v>2</x:v>
      </x:c>
      <x:c r="L1423" s="19" t="n">
        <x:f>E1423-IF(H1423=1,1,0)</x:f>
        <x:v>4</x:v>
      </x:c>
      <x:c r="M1423" s="19" t="n">
        <x:f>F1423-IF(H1423=2,1,0)</x:f>
        <x:v>1</x:v>
      </x:c>
      <x:c r="N1423" s="19" t="n">
        <x:f>MAX(K1423-1,0)+MAX(L1423-1,0)+MAX(M1423-1,0)</x:f>
        <x:v>4</x:v>
      </x:c>
      <x:c r="O1423" s="19" t="n">
        <x:f>IF(AND(SUM(K1423:M1423)&lt;9,OR(M1423=0,N1423&lt;6)),1,0)</x:f>
        <x:v>1</x:v>
      </x:c>
      <x:c r="P1423" s="19" t="n">
        <x:f>IF(AND(SUM(K1423:M1423)&lt;9,OR(L1423=0,N1423&lt;6)),1,0)</x:f>
        <x:v>1</x:v>
      </x:c>
      <x:c r="Q1423" s="19" t="n">
        <x:f>IF(AND(SUM(K1423:M1423)&lt;9,OR(K1423=0,N1423&lt;6)),1,0)</x:f>
        <x:v>1</x:v>
      </x:c>
      <x:c r="R1423" s="22" t="str">
        <x:f>O1423&amp;P1423&amp;Q1423</x:f>
        <x:v>111</x:v>
      </x:c>
      <x:c r="S1423" s="19" t="n">
        <x:f>IF(I1423=1,IF(J1423=0,Q1423,IF(J1423=1,P1423,IF(J1423=2,O1423,0))),0)</x:f>
        <x:v>1</x:v>
      </x:c>
      <x:c r="T1423" s="19" t="n">
        <x:f>K1423+IF(AND(S1423=1,J1423=0),1,0)</x:f>
        <x:v>3</x:v>
      </x:c>
      <x:c r="U1423" s="19" t="n">
        <x:f>L1423+IF(AND(S1423=1,J1423=1),1,0)</x:f>
        <x:v>4</x:v>
      </x:c>
      <x:c r="V1423" s="19" t="n">
        <x:f>M1423+IF(AND(S1423=1,J1423=2),1,0)</x:f>
        <x:v>1</x:v>
      </x:c>
      <x:c r="W1423" s="19" t="n">
        <x:f>SUM(T1423:V1423)</x:f>
        <x:v>8</x:v>
      </x:c>
      <x:c r="X1423" s="19" t="n">
        <x:f>W1423-G1423</x:f>
        <x:v>1</x:v>
      </x:c>
      <x:c r="Y1423" s="19" t="n">
        <x:f>MAX(T1423,1)+MAX(U1423,1)+MAX(V1423,1)</x:f>
        <x:v>8</x:v>
      </x:c>
      <x:c r="Z1423" s="21" t="str">
        <x:f>IF(AND(MIN(D1423:F1423)&gt;=0,MAX(D1423:F1423)&lt;=7,MAX(D1423,1)+MAX(E1423,1)+MAX(F1423,1)&lt;=9,OR(H1423="-",AND(H1423=0,D1423&gt;0),AND(H1423=1,E1423&gt;0),AND(H1423=2,F1423&gt;0)),OR(I1423=0,AND(I1423=1,OR(J1423=0,J1423=1,J1423=2),R1423&lt;&gt;"000")),Y1423&lt;=9,MIN(T1423:V1423)&gt;=0),"合法","输入违约")</x:f>
        <x:v>合法</x:v>
      </x:c>
    </x:row>
    <x:row r="1424" ht="23" customHeight="1">
      <x:c r="A1424" s="3" t="str">
        <x:v>CT-1417</x:v>
      </x:c>
      <x:c r="B1424" s="3" t="str">
        <x:v>ST-104</x:v>
      </x:c>
      <x:c r="C1424" s="3" t="str">
        <x:v>仅AR接收</x:v>
      </x:c>
      <x:c r="D1424" s="25" t="n">
        <x:v>2</x:v>
      </x:c>
      <x:c r="E1424" s="25" t="n">
        <x:v>4</x:v>
      </x:c>
      <x:c r="F1424" s="25" t="n">
        <x:v>1</x:v>
      </x:c>
      <x:c r="G1424" s="19" t="n">
        <x:f>SUM(D1424:F1424)</x:f>
        <x:v>7</x:v>
      </x:c>
      <x:c r="H1424" s="25" t="str">
        <x:v>-</x:v>
      </x:c>
      <x:c r="I1424" s="25" t="n">
        <x:v>1</x:v>
      </x:c>
      <x:c r="J1424" s="25" t="n">
        <x:v>1</x:v>
      </x:c>
      <x:c r="K1424" s="19" t="n">
        <x:f>D1424-IF(H1424=0,1,0)</x:f>
        <x:v>2</x:v>
      </x:c>
      <x:c r="L1424" s="19" t="n">
        <x:f>E1424-IF(H1424=1,1,0)</x:f>
        <x:v>4</x:v>
      </x:c>
      <x:c r="M1424" s="19" t="n">
        <x:f>F1424-IF(H1424=2,1,0)</x:f>
        <x:v>1</x:v>
      </x:c>
      <x:c r="N1424" s="19" t="n">
        <x:f>MAX(K1424-1,0)+MAX(L1424-1,0)+MAX(M1424-1,0)</x:f>
        <x:v>4</x:v>
      </x:c>
      <x:c r="O1424" s="19" t="n">
        <x:f>IF(AND(SUM(K1424:M1424)&lt;9,OR(M1424=0,N1424&lt;6)),1,0)</x:f>
        <x:v>1</x:v>
      </x:c>
      <x:c r="P1424" s="19" t="n">
        <x:f>IF(AND(SUM(K1424:M1424)&lt;9,OR(L1424=0,N1424&lt;6)),1,0)</x:f>
        <x:v>1</x:v>
      </x:c>
      <x:c r="Q1424" s="19" t="n">
        <x:f>IF(AND(SUM(K1424:M1424)&lt;9,OR(K1424=0,N1424&lt;6)),1,0)</x:f>
        <x:v>1</x:v>
      </x:c>
      <x:c r="R1424" s="22" t="str">
        <x:f>O1424&amp;P1424&amp;Q1424</x:f>
        <x:v>111</x:v>
      </x:c>
      <x:c r="S1424" s="19" t="n">
        <x:f>IF(I1424=1,IF(J1424=0,Q1424,IF(J1424=1,P1424,IF(J1424=2,O1424,0))),0)</x:f>
        <x:v>1</x:v>
      </x:c>
      <x:c r="T1424" s="19" t="n">
        <x:f>K1424+IF(AND(S1424=1,J1424=0),1,0)</x:f>
        <x:v>2</x:v>
      </x:c>
      <x:c r="U1424" s="19" t="n">
        <x:f>L1424+IF(AND(S1424=1,J1424=1),1,0)</x:f>
        <x:v>5</x:v>
      </x:c>
      <x:c r="V1424" s="19" t="n">
        <x:f>M1424+IF(AND(S1424=1,J1424=2),1,0)</x:f>
        <x:v>1</x:v>
      </x:c>
      <x:c r="W1424" s="19" t="n">
        <x:f>SUM(T1424:V1424)</x:f>
        <x:v>8</x:v>
      </x:c>
      <x:c r="X1424" s="19" t="n">
        <x:f>W1424-G1424</x:f>
        <x:v>1</x:v>
      </x:c>
      <x:c r="Y1424" s="19" t="n">
        <x:f>MAX(T1424,1)+MAX(U1424,1)+MAX(V1424,1)</x:f>
        <x:v>8</x:v>
      </x:c>
      <x:c r="Z1424" s="21" t="str">
        <x:f>IF(AND(MIN(D1424:F1424)&gt;=0,MAX(D1424:F1424)&lt;=7,MAX(D1424,1)+MAX(E1424,1)+MAX(F1424,1)&lt;=9,OR(H1424="-",AND(H1424=0,D1424&gt;0),AND(H1424=1,E1424&gt;0),AND(H1424=2,F1424&gt;0)),OR(I1424=0,AND(I1424=1,OR(J1424=0,J1424=1,J1424=2),R1424&lt;&gt;"000")),Y1424&lt;=9,MIN(T1424:V1424)&gt;=0),"合法","输入违约")</x:f>
        <x:v>合法</x:v>
      </x:c>
    </x:row>
    <x:row r="1425" ht="23" customHeight="1">
      <x:c r="A1425" s="3" t="str">
        <x:v>CT-1418</x:v>
      </x:c>
      <x:c r="B1425" s="3" t="str">
        <x:v>ST-104</x:v>
      </x:c>
      <x:c r="C1425" s="3" t="str">
        <x:v>仅AR接收</x:v>
      </x:c>
      <x:c r="D1425" s="25" t="n">
        <x:v>2</x:v>
      </x:c>
      <x:c r="E1425" s="25" t="n">
        <x:v>4</x:v>
      </x:c>
      <x:c r="F1425" s="25" t="n">
        <x:v>1</x:v>
      </x:c>
      <x:c r="G1425" s="19" t="n">
        <x:f>SUM(D1425:F1425)</x:f>
        <x:v>7</x:v>
      </x:c>
      <x:c r="H1425" s="25" t="str">
        <x:v>-</x:v>
      </x:c>
      <x:c r="I1425" s="25" t="n">
        <x:v>1</x:v>
      </x:c>
      <x:c r="J1425" s="25" t="n">
        <x:v>2</x:v>
      </x:c>
      <x:c r="K1425" s="19" t="n">
        <x:f>D1425-IF(H1425=0,1,0)</x:f>
        <x:v>2</x:v>
      </x:c>
      <x:c r="L1425" s="19" t="n">
        <x:f>E1425-IF(H1425=1,1,0)</x:f>
        <x:v>4</x:v>
      </x:c>
      <x:c r="M1425" s="19" t="n">
        <x:f>F1425-IF(H1425=2,1,0)</x:f>
        <x:v>1</x:v>
      </x:c>
      <x:c r="N1425" s="19" t="n">
        <x:f>MAX(K1425-1,0)+MAX(L1425-1,0)+MAX(M1425-1,0)</x:f>
        <x:v>4</x:v>
      </x:c>
      <x:c r="O1425" s="19" t="n">
        <x:f>IF(AND(SUM(K1425:M1425)&lt;9,OR(M1425=0,N1425&lt;6)),1,0)</x:f>
        <x:v>1</x:v>
      </x:c>
      <x:c r="P1425" s="19" t="n">
        <x:f>IF(AND(SUM(K1425:M1425)&lt;9,OR(L1425=0,N1425&lt;6)),1,0)</x:f>
        <x:v>1</x:v>
      </x:c>
      <x:c r="Q1425" s="19" t="n">
        <x:f>IF(AND(SUM(K1425:M1425)&lt;9,OR(K1425=0,N1425&lt;6)),1,0)</x:f>
        <x:v>1</x:v>
      </x:c>
      <x:c r="R1425" s="22" t="str">
        <x:f>O1425&amp;P1425&amp;Q1425</x:f>
        <x:v>111</x:v>
      </x:c>
      <x:c r="S1425" s="19" t="n">
        <x:f>IF(I1425=1,IF(J1425=0,Q1425,IF(J1425=1,P1425,IF(J1425=2,O1425,0))),0)</x:f>
        <x:v>1</x:v>
      </x:c>
      <x:c r="T1425" s="19" t="n">
        <x:f>K1425+IF(AND(S1425=1,J1425=0),1,0)</x:f>
        <x:v>2</x:v>
      </x:c>
      <x:c r="U1425" s="19" t="n">
        <x:f>L1425+IF(AND(S1425=1,J1425=1),1,0)</x:f>
        <x:v>4</x:v>
      </x:c>
      <x:c r="V1425" s="19" t="n">
        <x:f>M1425+IF(AND(S1425=1,J1425=2),1,0)</x:f>
        <x:v>2</x:v>
      </x:c>
      <x:c r="W1425" s="19" t="n">
        <x:f>SUM(T1425:V1425)</x:f>
        <x:v>8</x:v>
      </x:c>
      <x:c r="X1425" s="19" t="n">
        <x:f>W1425-G1425</x:f>
        <x:v>1</x:v>
      </x:c>
      <x:c r="Y1425" s="19" t="n">
        <x:f>MAX(T1425,1)+MAX(U1425,1)+MAX(V1425,1)</x:f>
        <x:v>8</x:v>
      </x:c>
      <x:c r="Z1425" s="21" t="str">
        <x:f>IF(AND(MIN(D1425:F1425)&gt;=0,MAX(D1425:F1425)&lt;=7,MAX(D1425,1)+MAX(E1425,1)+MAX(F1425,1)&lt;=9,OR(H1425="-",AND(H1425=0,D1425&gt;0),AND(H1425=1,E1425&gt;0),AND(H1425=2,F1425&gt;0)),OR(I1425=0,AND(I1425=1,OR(J1425=0,J1425=1,J1425=2),R1425&lt;&gt;"000")),Y1425&lt;=9,MIN(T1425:V1425)&gt;=0),"合法","输入违约")</x:f>
        <x:v>合法</x:v>
      </x:c>
    </x:row>
    <x:row r="1426" ht="23" customHeight="1">
      <x:c r="A1426" s="3" t="str">
        <x:v>CT-1419</x:v>
      </x:c>
      <x:c r="B1426" s="3" t="str">
        <x:v>ST-104</x:v>
      </x:c>
      <x:c r="C1426" s="3" t="str">
        <x:v>仅R回收</x:v>
      </x:c>
      <x:c r="D1426" s="25" t="n">
        <x:v>2</x:v>
      </x:c>
      <x:c r="E1426" s="25" t="n">
        <x:v>4</x:v>
      </x:c>
      <x:c r="F1426" s="25" t="n">
        <x:v>1</x:v>
      </x:c>
      <x:c r="G1426" s="19" t="n">
        <x:f>SUM(D1426:F1426)</x:f>
        <x:v>7</x:v>
      </x:c>
      <x:c r="H1426" s="25" t="n">
        <x:v>0</x:v>
      </x:c>
      <x:c r="I1426" s="25" t="n">
        <x:v>0</x:v>
      </x:c>
      <x:c r="J1426" s="25" t="str">
        <x:v>-</x:v>
      </x:c>
      <x:c r="K1426" s="19" t="n">
        <x:f>D1426-IF(H1426=0,1,0)</x:f>
        <x:v>1</x:v>
      </x:c>
      <x:c r="L1426" s="19" t="n">
        <x:f>E1426-IF(H1426=1,1,0)</x:f>
        <x:v>4</x:v>
      </x:c>
      <x:c r="M1426" s="19" t="n">
        <x:f>F1426-IF(H1426=2,1,0)</x:f>
        <x:v>1</x:v>
      </x:c>
      <x:c r="N1426" s="19" t="n">
        <x:f>MAX(K1426-1,0)+MAX(L1426-1,0)+MAX(M1426-1,0)</x:f>
        <x:v>3</x:v>
      </x:c>
      <x:c r="O1426" s="19" t="n">
        <x:f>IF(AND(SUM(K1426:M1426)&lt;9,OR(M1426=0,N1426&lt;6)),1,0)</x:f>
        <x:v>1</x:v>
      </x:c>
      <x:c r="P1426" s="19" t="n">
        <x:f>IF(AND(SUM(K1426:M1426)&lt;9,OR(L1426=0,N1426&lt;6)),1,0)</x:f>
        <x:v>1</x:v>
      </x:c>
      <x:c r="Q1426" s="19" t="n">
        <x:f>IF(AND(SUM(K1426:M1426)&lt;9,OR(K1426=0,N1426&lt;6)),1,0)</x:f>
        <x:v>1</x:v>
      </x:c>
      <x:c r="R1426" s="22" t="str">
        <x:f>O1426&amp;P1426&amp;Q1426</x:f>
        <x:v>111</x:v>
      </x:c>
      <x:c r="S1426" s="19" t="n">
        <x:f>IF(I1426=1,IF(J1426=0,Q1426,IF(J1426=1,P1426,IF(J1426=2,O1426,0))),0)</x:f>
        <x:v>0</x:v>
      </x:c>
      <x:c r="T1426" s="19" t="n">
        <x:f>K1426+IF(AND(S1426=1,J1426=0),1,0)</x:f>
        <x:v>1</x:v>
      </x:c>
      <x:c r="U1426" s="19" t="n">
        <x:f>L1426+IF(AND(S1426=1,J1426=1),1,0)</x:f>
        <x:v>4</x:v>
      </x:c>
      <x:c r="V1426" s="19" t="n">
        <x:f>M1426+IF(AND(S1426=1,J1426=2),1,0)</x:f>
        <x:v>1</x:v>
      </x:c>
      <x:c r="W1426" s="19" t="n">
        <x:f>SUM(T1426:V1426)</x:f>
        <x:v>6</x:v>
      </x:c>
      <x:c r="X1426" s="19" t="n">
        <x:f>W1426-G1426</x:f>
        <x:v>-1</x:v>
      </x:c>
      <x:c r="Y1426" s="19" t="n">
        <x:f>MAX(T1426,1)+MAX(U1426,1)+MAX(V1426,1)</x:f>
        <x:v>6</x:v>
      </x:c>
      <x:c r="Z1426" s="21" t="str">
        <x:f>IF(AND(MIN(D1426:F1426)&gt;=0,MAX(D1426:F1426)&lt;=7,MAX(D1426,1)+MAX(E1426,1)+MAX(F1426,1)&lt;=9,OR(H1426="-",AND(H1426=0,D1426&gt;0),AND(H1426=1,E1426&gt;0),AND(H1426=2,F1426&gt;0)),OR(I1426=0,AND(I1426=1,OR(J1426=0,J1426=1,J1426=2),R1426&lt;&gt;"000")),Y1426&lt;=9,MIN(T1426:V1426)&gt;=0),"合法","输入违约")</x:f>
        <x:v>合法</x:v>
      </x:c>
    </x:row>
    <x:row r="1427" ht="23" customHeight="1">
      <x:c r="A1427" s="3" t="str">
        <x:v>CT-1420</x:v>
      </x:c>
      <x:c r="B1427" s="3" t="str">
        <x:v>ST-104</x:v>
      </x:c>
      <x:c r="C1427" s="3" t="str">
        <x:v>R+AR同收同发</x:v>
      </x:c>
      <x:c r="D1427" s="25" t="n">
        <x:v>2</x:v>
      </x:c>
      <x:c r="E1427" s="25" t="n">
        <x:v>4</x:v>
      </x:c>
      <x:c r="F1427" s="25" t="n">
        <x:v>1</x:v>
      </x:c>
      <x:c r="G1427" s="19" t="n">
        <x:f>SUM(D1427:F1427)</x:f>
        <x:v>7</x:v>
      </x:c>
      <x:c r="H1427" s="25" t="n">
        <x:v>0</x:v>
      </x:c>
      <x:c r="I1427" s="25" t="n">
        <x:v>1</x:v>
      </x:c>
      <x:c r="J1427" s="25" t="n">
        <x:v>0</x:v>
      </x:c>
      <x:c r="K1427" s="19" t="n">
        <x:f>D1427-IF(H1427=0,1,0)</x:f>
        <x:v>1</x:v>
      </x:c>
      <x:c r="L1427" s="19" t="n">
        <x:f>E1427-IF(H1427=1,1,0)</x:f>
        <x:v>4</x:v>
      </x:c>
      <x:c r="M1427" s="19" t="n">
        <x:f>F1427-IF(H1427=2,1,0)</x:f>
        <x:v>1</x:v>
      </x:c>
      <x:c r="N1427" s="19" t="n">
        <x:f>MAX(K1427-1,0)+MAX(L1427-1,0)+MAX(M1427-1,0)</x:f>
        <x:v>3</x:v>
      </x:c>
      <x:c r="O1427" s="19" t="n">
        <x:f>IF(AND(SUM(K1427:M1427)&lt;9,OR(M1427=0,N1427&lt;6)),1,0)</x:f>
        <x:v>1</x:v>
      </x:c>
      <x:c r="P1427" s="19" t="n">
        <x:f>IF(AND(SUM(K1427:M1427)&lt;9,OR(L1427=0,N1427&lt;6)),1,0)</x:f>
        <x:v>1</x:v>
      </x:c>
      <x:c r="Q1427" s="19" t="n">
        <x:f>IF(AND(SUM(K1427:M1427)&lt;9,OR(K1427=0,N1427&lt;6)),1,0)</x:f>
        <x:v>1</x:v>
      </x:c>
      <x:c r="R1427" s="22" t="str">
        <x:f>O1427&amp;P1427&amp;Q1427</x:f>
        <x:v>111</x:v>
      </x:c>
      <x:c r="S1427" s="19" t="n">
        <x:f>IF(I1427=1,IF(J1427=0,Q1427,IF(J1427=1,P1427,IF(J1427=2,O1427,0))),0)</x:f>
        <x:v>1</x:v>
      </x:c>
      <x:c r="T1427" s="19" t="n">
        <x:f>K1427+IF(AND(S1427=1,J1427=0),1,0)</x:f>
        <x:v>2</x:v>
      </x:c>
      <x:c r="U1427" s="19" t="n">
        <x:f>L1427+IF(AND(S1427=1,J1427=1),1,0)</x:f>
        <x:v>4</x:v>
      </x:c>
      <x:c r="V1427" s="19" t="n">
        <x:f>M1427+IF(AND(S1427=1,J1427=2),1,0)</x:f>
        <x:v>1</x:v>
      </x:c>
      <x:c r="W1427" s="19" t="n">
        <x:f>SUM(T1427:V1427)</x:f>
        <x:v>7</x:v>
      </x:c>
      <x:c r="X1427" s="19" t="n">
        <x:f>W1427-G1427</x:f>
        <x:v>0</x:v>
      </x:c>
      <x:c r="Y1427" s="19" t="n">
        <x:f>MAX(T1427,1)+MAX(U1427,1)+MAX(V1427,1)</x:f>
        <x:v>7</x:v>
      </x:c>
      <x:c r="Z1427" s="21" t="str">
        <x:f>IF(AND(MIN(D1427:F1427)&gt;=0,MAX(D1427:F1427)&lt;=7,MAX(D1427,1)+MAX(E1427,1)+MAX(F1427,1)&lt;=9,OR(H1427="-",AND(H1427=0,D1427&gt;0),AND(H1427=1,E1427&gt;0),AND(H1427=2,F1427&gt;0)),OR(I1427=0,AND(I1427=1,OR(J1427=0,J1427=1,J1427=2),R1427&lt;&gt;"000")),Y1427&lt;=9,MIN(T1427:V1427)&gt;=0),"合法","输入违约")</x:f>
        <x:v>合法</x:v>
      </x:c>
    </x:row>
    <x:row r="1428" ht="23" customHeight="1">
      <x:c r="A1428" s="3" t="str">
        <x:v>CT-1421</x:v>
      </x:c>
      <x:c r="B1428" s="3" t="str">
        <x:v>ST-104</x:v>
      </x:c>
      <x:c r="C1428" s="3" t="str">
        <x:v>R+AR同收同发</x:v>
      </x:c>
      <x:c r="D1428" s="25" t="n">
        <x:v>2</x:v>
      </x:c>
      <x:c r="E1428" s="25" t="n">
        <x:v>4</x:v>
      </x:c>
      <x:c r="F1428" s="25" t="n">
        <x:v>1</x:v>
      </x:c>
      <x:c r="G1428" s="19" t="n">
        <x:f>SUM(D1428:F1428)</x:f>
        <x:v>7</x:v>
      </x:c>
      <x:c r="H1428" s="25" t="n">
        <x:v>0</x:v>
      </x:c>
      <x:c r="I1428" s="25" t="n">
        <x:v>1</x:v>
      </x:c>
      <x:c r="J1428" s="25" t="n">
        <x:v>1</x:v>
      </x:c>
      <x:c r="K1428" s="19" t="n">
        <x:f>D1428-IF(H1428=0,1,0)</x:f>
        <x:v>1</x:v>
      </x:c>
      <x:c r="L1428" s="19" t="n">
        <x:f>E1428-IF(H1428=1,1,0)</x:f>
        <x:v>4</x:v>
      </x:c>
      <x:c r="M1428" s="19" t="n">
        <x:f>F1428-IF(H1428=2,1,0)</x:f>
        <x:v>1</x:v>
      </x:c>
      <x:c r="N1428" s="19" t="n">
        <x:f>MAX(K1428-1,0)+MAX(L1428-1,0)+MAX(M1428-1,0)</x:f>
        <x:v>3</x:v>
      </x:c>
      <x:c r="O1428" s="19" t="n">
        <x:f>IF(AND(SUM(K1428:M1428)&lt;9,OR(M1428=0,N1428&lt;6)),1,0)</x:f>
        <x:v>1</x:v>
      </x:c>
      <x:c r="P1428" s="19" t="n">
        <x:f>IF(AND(SUM(K1428:M1428)&lt;9,OR(L1428=0,N1428&lt;6)),1,0)</x:f>
        <x:v>1</x:v>
      </x:c>
      <x:c r="Q1428" s="19" t="n">
        <x:f>IF(AND(SUM(K1428:M1428)&lt;9,OR(K1428=0,N1428&lt;6)),1,0)</x:f>
        <x:v>1</x:v>
      </x:c>
      <x:c r="R1428" s="22" t="str">
        <x:f>O1428&amp;P1428&amp;Q1428</x:f>
        <x:v>111</x:v>
      </x:c>
      <x:c r="S1428" s="19" t="n">
        <x:f>IF(I1428=1,IF(J1428=0,Q1428,IF(J1428=1,P1428,IF(J1428=2,O1428,0))),0)</x:f>
        <x:v>1</x:v>
      </x:c>
      <x:c r="T1428" s="19" t="n">
        <x:f>K1428+IF(AND(S1428=1,J1428=0),1,0)</x:f>
        <x:v>1</x:v>
      </x:c>
      <x:c r="U1428" s="19" t="n">
        <x:f>L1428+IF(AND(S1428=1,J1428=1),1,0)</x:f>
        <x:v>5</x:v>
      </x:c>
      <x:c r="V1428" s="19" t="n">
        <x:f>M1428+IF(AND(S1428=1,J1428=2),1,0)</x:f>
        <x:v>1</x:v>
      </x:c>
      <x:c r="W1428" s="19" t="n">
        <x:f>SUM(T1428:V1428)</x:f>
        <x:v>7</x:v>
      </x:c>
      <x:c r="X1428" s="19" t="n">
        <x:f>W1428-G1428</x:f>
        <x:v>0</x:v>
      </x:c>
      <x:c r="Y1428" s="19" t="n">
        <x:f>MAX(T1428,1)+MAX(U1428,1)+MAX(V1428,1)</x:f>
        <x:v>7</x:v>
      </x:c>
      <x:c r="Z1428" s="21" t="str">
        <x:f>IF(AND(MIN(D1428:F1428)&gt;=0,MAX(D1428:F1428)&lt;=7,MAX(D1428,1)+MAX(E1428,1)+MAX(F1428,1)&lt;=9,OR(H1428="-",AND(H1428=0,D1428&gt;0),AND(H1428=1,E1428&gt;0),AND(H1428=2,F1428&gt;0)),OR(I1428=0,AND(I1428=1,OR(J1428=0,J1428=1,J1428=2),R1428&lt;&gt;"000")),Y1428&lt;=9,MIN(T1428:V1428)&gt;=0),"合法","输入违约")</x:f>
        <x:v>合法</x:v>
      </x:c>
    </x:row>
    <x:row r="1429" ht="23" customHeight="1">
      <x:c r="A1429" s="3" t="str">
        <x:v>CT-1422</x:v>
      </x:c>
      <x:c r="B1429" s="3" t="str">
        <x:v>ST-104</x:v>
      </x:c>
      <x:c r="C1429" s="3" t="str">
        <x:v>R+AR同收同发</x:v>
      </x:c>
      <x:c r="D1429" s="25" t="n">
        <x:v>2</x:v>
      </x:c>
      <x:c r="E1429" s="25" t="n">
        <x:v>4</x:v>
      </x:c>
      <x:c r="F1429" s="25" t="n">
        <x:v>1</x:v>
      </x:c>
      <x:c r="G1429" s="19" t="n">
        <x:f>SUM(D1429:F1429)</x:f>
        <x:v>7</x:v>
      </x:c>
      <x:c r="H1429" s="25" t="n">
        <x:v>0</x:v>
      </x:c>
      <x:c r="I1429" s="25" t="n">
        <x:v>1</x:v>
      </x:c>
      <x:c r="J1429" s="25" t="n">
        <x:v>2</x:v>
      </x:c>
      <x:c r="K1429" s="19" t="n">
        <x:f>D1429-IF(H1429=0,1,0)</x:f>
        <x:v>1</x:v>
      </x:c>
      <x:c r="L1429" s="19" t="n">
        <x:f>E1429-IF(H1429=1,1,0)</x:f>
        <x:v>4</x:v>
      </x:c>
      <x:c r="M1429" s="19" t="n">
        <x:f>F1429-IF(H1429=2,1,0)</x:f>
        <x:v>1</x:v>
      </x:c>
      <x:c r="N1429" s="19" t="n">
        <x:f>MAX(K1429-1,0)+MAX(L1429-1,0)+MAX(M1429-1,0)</x:f>
        <x:v>3</x:v>
      </x:c>
      <x:c r="O1429" s="19" t="n">
        <x:f>IF(AND(SUM(K1429:M1429)&lt;9,OR(M1429=0,N1429&lt;6)),1,0)</x:f>
        <x:v>1</x:v>
      </x:c>
      <x:c r="P1429" s="19" t="n">
        <x:f>IF(AND(SUM(K1429:M1429)&lt;9,OR(L1429=0,N1429&lt;6)),1,0)</x:f>
        <x:v>1</x:v>
      </x:c>
      <x:c r="Q1429" s="19" t="n">
        <x:f>IF(AND(SUM(K1429:M1429)&lt;9,OR(K1429=0,N1429&lt;6)),1,0)</x:f>
        <x:v>1</x:v>
      </x:c>
      <x:c r="R1429" s="22" t="str">
        <x:f>O1429&amp;P1429&amp;Q1429</x:f>
        <x:v>111</x:v>
      </x:c>
      <x:c r="S1429" s="19" t="n">
        <x:f>IF(I1429=1,IF(J1429=0,Q1429,IF(J1429=1,P1429,IF(J1429=2,O1429,0))),0)</x:f>
        <x:v>1</x:v>
      </x:c>
      <x:c r="T1429" s="19" t="n">
        <x:f>K1429+IF(AND(S1429=1,J1429=0),1,0)</x:f>
        <x:v>1</x:v>
      </x:c>
      <x:c r="U1429" s="19" t="n">
        <x:f>L1429+IF(AND(S1429=1,J1429=1),1,0)</x:f>
        <x:v>4</x:v>
      </x:c>
      <x:c r="V1429" s="19" t="n">
        <x:f>M1429+IF(AND(S1429=1,J1429=2),1,0)</x:f>
        <x:v>2</x:v>
      </x:c>
      <x:c r="W1429" s="19" t="n">
        <x:f>SUM(T1429:V1429)</x:f>
        <x:v>7</x:v>
      </x:c>
      <x:c r="X1429" s="19" t="n">
        <x:f>W1429-G1429</x:f>
        <x:v>0</x:v>
      </x:c>
      <x:c r="Y1429" s="19" t="n">
        <x:f>MAX(T1429,1)+MAX(U1429,1)+MAX(V1429,1)</x:f>
        <x:v>7</x:v>
      </x:c>
      <x:c r="Z1429" s="21" t="str">
        <x:f>IF(AND(MIN(D1429:F1429)&gt;=0,MAX(D1429:F1429)&lt;=7,MAX(D1429,1)+MAX(E1429,1)+MAX(F1429,1)&lt;=9,OR(H1429="-",AND(H1429=0,D1429&gt;0),AND(H1429=1,E1429&gt;0),AND(H1429=2,F1429&gt;0)),OR(I1429=0,AND(I1429=1,OR(J1429=0,J1429=1,J1429=2),R1429&lt;&gt;"000")),Y1429&lt;=9,MIN(T1429:V1429)&gt;=0),"合法","输入违约")</x:f>
        <x:v>合法</x:v>
      </x:c>
    </x:row>
    <x:row r="1430" ht="23" customHeight="1">
      <x:c r="A1430" s="3" t="str">
        <x:v>CT-1423</x:v>
      </x:c>
      <x:c r="B1430" s="3" t="str">
        <x:v>ST-104</x:v>
      </x:c>
      <x:c r="C1430" s="3" t="str">
        <x:v>仅R回收</x:v>
      </x:c>
      <x:c r="D1430" s="25" t="n">
        <x:v>2</x:v>
      </x:c>
      <x:c r="E1430" s="25" t="n">
        <x:v>4</x:v>
      </x:c>
      <x:c r="F1430" s="25" t="n">
        <x:v>1</x:v>
      </x:c>
      <x:c r="G1430" s="19" t="n">
        <x:f>SUM(D1430:F1430)</x:f>
        <x:v>7</x:v>
      </x:c>
      <x:c r="H1430" s="25" t="n">
        <x:v>1</x:v>
      </x:c>
      <x:c r="I1430" s="25" t="n">
        <x:v>0</x:v>
      </x:c>
      <x:c r="J1430" s="25" t="str">
        <x:v>-</x:v>
      </x:c>
      <x:c r="K1430" s="19" t="n">
        <x:f>D1430-IF(H1430=0,1,0)</x:f>
        <x:v>2</x:v>
      </x:c>
      <x:c r="L1430" s="19" t="n">
        <x:f>E1430-IF(H1430=1,1,0)</x:f>
        <x:v>3</x:v>
      </x:c>
      <x:c r="M1430" s="19" t="n">
        <x:f>F1430-IF(H1430=2,1,0)</x:f>
        <x:v>1</x:v>
      </x:c>
      <x:c r="N1430" s="19" t="n">
        <x:f>MAX(K1430-1,0)+MAX(L1430-1,0)+MAX(M1430-1,0)</x:f>
        <x:v>3</x:v>
      </x:c>
      <x:c r="O1430" s="19" t="n">
        <x:f>IF(AND(SUM(K1430:M1430)&lt;9,OR(M1430=0,N1430&lt;6)),1,0)</x:f>
        <x:v>1</x:v>
      </x:c>
      <x:c r="P1430" s="19" t="n">
        <x:f>IF(AND(SUM(K1430:M1430)&lt;9,OR(L1430=0,N1430&lt;6)),1,0)</x:f>
        <x:v>1</x:v>
      </x:c>
      <x:c r="Q1430" s="19" t="n">
        <x:f>IF(AND(SUM(K1430:M1430)&lt;9,OR(K1430=0,N1430&lt;6)),1,0)</x:f>
        <x:v>1</x:v>
      </x:c>
      <x:c r="R1430" s="22" t="str">
        <x:f>O1430&amp;P1430&amp;Q1430</x:f>
        <x:v>111</x:v>
      </x:c>
      <x:c r="S1430" s="19" t="n">
        <x:f>IF(I1430=1,IF(J1430=0,Q1430,IF(J1430=1,P1430,IF(J1430=2,O1430,0))),0)</x:f>
        <x:v>0</x:v>
      </x:c>
      <x:c r="T1430" s="19" t="n">
        <x:f>K1430+IF(AND(S1430=1,J1430=0),1,0)</x:f>
        <x:v>2</x:v>
      </x:c>
      <x:c r="U1430" s="19" t="n">
        <x:f>L1430+IF(AND(S1430=1,J1430=1),1,0)</x:f>
        <x:v>3</x:v>
      </x:c>
      <x:c r="V1430" s="19" t="n">
        <x:f>M1430+IF(AND(S1430=1,J1430=2),1,0)</x:f>
        <x:v>1</x:v>
      </x:c>
      <x:c r="W1430" s="19" t="n">
        <x:f>SUM(T1430:V1430)</x:f>
        <x:v>6</x:v>
      </x:c>
      <x:c r="X1430" s="19" t="n">
        <x:f>W1430-G1430</x:f>
        <x:v>-1</x:v>
      </x:c>
      <x:c r="Y1430" s="19" t="n">
        <x:f>MAX(T1430,1)+MAX(U1430,1)+MAX(V1430,1)</x:f>
        <x:v>6</x:v>
      </x:c>
      <x:c r="Z1430" s="21" t="str">
        <x:f>IF(AND(MIN(D1430:F1430)&gt;=0,MAX(D1430:F1430)&lt;=7,MAX(D1430,1)+MAX(E1430,1)+MAX(F1430,1)&lt;=9,OR(H1430="-",AND(H1430=0,D1430&gt;0),AND(H1430=1,E1430&gt;0),AND(H1430=2,F1430&gt;0)),OR(I1430=0,AND(I1430=1,OR(J1430=0,J1430=1,J1430=2),R1430&lt;&gt;"000")),Y1430&lt;=9,MIN(T1430:V1430)&gt;=0),"合法","输入违约")</x:f>
        <x:v>合法</x:v>
      </x:c>
    </x:row>
    <x:row r="1431" ht="23" customHeight="1">
      <x:c r="A1431" s="3" t="str">
        <x:v>CT-1424</x:v>
      </x:c>
      <x:c r="B1431" s="3" t="str">
        <x:v>ST-104</x:v>
      </x:c>
      <x:c r="C1431" s="3" t="str">
        <x:v>R+AR同收同发</x:v>
      </x:c>
      <x:c r="D1431" s="25" t="n">
        <x:v>2</x:v>
      </x:c>
      <x:c r="E1431" s="25" t="n">
        <x:v>4</x:v>
      </x:c>
      <x:c r="F1431" s="25" t="n">
        <x:v>1</x:v>
      </x:c>
      <x:c r="G1431" s="19" t="n">
        <x:f>SUM(D1431:F1431)</x:f>
        <x:v>7</x:v>
      </x:c>
      <x:c r="H1431" s="25" t="n">
        <x:v>1</x:v>
      </x:c>
      <x:c r="I1431" s="25" t="n">
        <x:v>1</x:v>
      </x:c>
      <x:c r="J1431" s="25" t="n">
        <x:v>0</x:v>
      </x:c>
      <x:c r="K1431" s="19" t="n">
        <x:f>D1431-IF(H1431=0,1,0)</x:f>
        <x:v>2</x:v>
      </x:c>
      <x:c r="L1431" s="19" t="n">
        <x:f>E1431-IF(H1431=1,1,0)</x:f>
        <x:v>3</x:v>
      </x:c>
      <x:c r="M1431" s="19" t="n">
        <x:f>F1431-IF(H1431=2,1,0)</x:f>
        <x:v>1</x:v>
      </x:c>
      <x:c r="N1431" s="19" t="n">
        <x:f>MAX(K1431-1,0)+MAX(L1431-1,0)+MAX(M1431-1,0)</x:f>
        <x:v>3</x:v>
      </x:c>
      <x:c r="O1431" s="19" t="n">
        <x:f>IF(AND(SUM(K1431:M1431)&lt;9,OR(M1431=0,N1431&lt;6)),1,0)</x:f>
        <x:v>1</x:v>
      </x:c>
      <x:c r="P1431" s="19" t="n">
        <x:f>IF(AND(SUM(K1431:M1431)&lt;9,OR(L1431=0,N1431&lt;6)),1,0)</x:f>
        <x:v>1</x:v>
      </x:c>
      <x:c r="Q1431" s="19" t="n">
        <x:f>IF(AND(SUM(K1431:M1431)&lt;9,OR(K1431=0,N1431&lt;6)),1,0)</x:f>
        <x:v>1</x:v>
      </x:c>
      <x:c r="R1431" s="22" t="str">
        <x:f>O1431&amp;P1431&amp;Q1431</x:f>
        <x:v>111</x:v>
      </x:c>
      <x:c r="S1431" s="19" t="n">
        <x:f>IF(I1431=1,IF(J1431=0,Q1431,IF(J1431=1,P1431,IF(J1431=2,O1431,0))),0)</x:f>
        <x:v>1</x:v>
      </x:c>
      <x:c r="T1431" s="19" t="n">
        <x:f>K1431+IF(AND(S1431=1,J1431=0),1,0)</x:f>
        <x:v>3</x:v>
      </x:c>
      <x:c r="U1431" s="19" t="n">
        <x:f>L1431+IF(AND(S1431=1,J1431=1),1,0)</x:f>
        <x:v>3</x:v>
      </x:c>
      <x:c r="V1431" s="19" t="n">
        <x:f>M1431+IF(AND(S1431=1,J1431=2),1,0)</x:f>
        <x:v>1</x:v>
      </x:c>
      <x:c r="W1431" s="19" t="n">
        <x:f>SUM(T1431:V1431)</x:f>
        <x:v>7</x:v>
      </x:c>
      <x:c r="X1431" s="19" t="n">
        <x:f>W1431-G1431</x:f>
        <x:v>0</x:v>
      </x:c>
      <x:c r="Y1431" s="19" t="n">
        <x:f>MAX(T1431,1)+MAX(U1431,1)+MAX(V1431,1)</x:f>
        <x:v>7</x:v>
      </x:c>
      <x:c r="Z1431" s="21" t="str">
        <x:f>IF(AND(MIN(D1431:F1431)&gt;=0,MAX(D1431:F1431)&lt;=7,MAX(D1431,1)+MAX(E1431,1)+MAX(F1431,1)&lt;=9,OR(H1431="-",AND(H1431=0,D1431&gt;0),AND(H1431=1,E1431&gt;0),AND(H1431=2,F1431&gt;0)),OR(I1431=0,AND(I1431=1,OR(J1431=0,J1431=1,J1431=2),R1431&lt;&gt;"000")),Y1431&lt;=9,MIN(T1431:V1431)&gt;=0),"合法","输入违约")</x:f>
        <x:v>合法</x:v>
      </x:c>
    </x:row>
    <x:row r="1432" ht="23" customHeight="1">
      <x:c r="A1432" s="3" t="str">
        <x:v>CT-1425</x:v>
      </x:c>
      <x:c r="B1432" s="3" t="str">
        <x:v>ST-104</x:v>
      </x:c>
      <x:c r="C1432" s="3" t="str">
        <x:v>R+AR同收同发</x:v>
      </x:c>
      <x:c r="D1432" s="25" t="n">
        <x:v>2</x:v>
      </x:c>
      <x:c r="E1432" s="25" t="n">
        <x:v>4</x:v>
      </x:c>
      <x:c r="F1432" s="25" t="n">
        <x:v>1</x:v>
      </x:c>
      <x:c r="G1432" s="19" t="n">
        <x:f>SUM(D1432:F1432)</x:f>
        <x:v>7</x:v>
      </x:c>
      <x:c r="H1432" s="25" t="n">
        <x:v>1</x:v>
      </x:c>
      <x:c r="I1432" s="25" t="n">
        <x:v>1</x:v>
      </x:c>
      <x:c r="J1432" s="25" t="n">
        <x:v>1</x:v>
      </x:c>
      <x:c r="K1432" s="19" t="n">
        <x:f>D1432-IF(H1432=0,1,0)</x:f>
        <x:v>2</x:v>
      </x:c>
      <x:c r="L1432" s="19" t="n">
        <x:f>E1432-IF(H1432=1,1,0)</x:f>
        <x:v>3</x:v>
      </x:c>
      <x:c r="M1432" s="19" t="n">
        <x:f>F1432-IF(H1432=2,1,0)</x:f>
        <x:v>1</x:v>
      </x:c>
      <x:c r="N1432" s="19" t="n">
        <x:f>MAX(K1432-1,0)+MAX(L1432-1,0)+MAX(M1432-1,0)</x:f>
        <x:v>3</x:v>
      </x:c>
      <x:c r="O1432" s="19" t="n">
        <x:f>IF(AND(SUM(K1432:M1432)&lt;9,OR(M1432=0,N1432&lt;6)),1,0)</x:f>
        <x:v>1</x:v>
      </x:c>
      <x:c r="P1432" s="19" t="n">
        <x:f>IF(AND(SUM(K1432:M1432)&lt;9,OR(L1432=0,N1432&lt;6)),1,0)</x:f>
        <x:v>1</x:v>
      </x:c>
      <x:c r="Q1432" s="19" t="n">
        <x:f>IF(AND(SUM(K1432:M1432)&lt;9,OR(K1432=0,N1432&lt;6)),1,0)</x:f>
        <x:v>1</x:v>
      </x:c>
      <x:c r="R1432" s="22" t="str">
        <x:f>O1432&amp;P1432&amp;Q1432</x:f>
        <x:v>111</x:v>
      </x:c>
      <x:c r="S1432" s="19" t="n">
        <x:f>IF(I1432=1,IF(J1432=0,Q1432,IF(J1432=1,P1432,IF(J1432=2,O1432,0))),0)</x:f>
        <x:v>1</x:v>
      </x:c>
      <x:c r="T1432" s="19" t="n">
        <x:f>K1432+IF(AND(S1432=1,J1432=0),1,0)</x:f>
        <x:v>2</x:v>
      </x:c>
      <x:c r="U1432" s="19" t="n">
        <x:f>L1432+IF(AND(S1432=1,J1432=1),1,0)</x:f>
        <x:v>4</x:v>
      </x:c>
      <x:c r="V1432" s="19" t="n">
        <x:f>M1432+IF(AND(S1432=1,J1432=2),1,0)</x:f>
        <x:v>1</x:v>
      </x:c>
      <x:c r="W1432" s="19" t="n">
        <x:f>SUM(T1432:V1432)</x:f>
        <x:v>7</x:v>
      </x:c>
      <x:c r="X1432" s="19" t="n">
        <x:f>W1432-G1432</x:f>
        <x:v>0</x:v>
      </x:c>
      <x:c r="Y1432" s="19" t="n">
        <x:f>MAX(T1432,1)+MAX(U1432,1)+MAX(V1432,1)</x:f>
        <x:v>7</x:v>
      </x:c>
      <x:c r="Z1432" s="21" t="str">
        <x:f>IF(AND(MIN(D1432:F1432)&gt;=0,MAX(D1432:F1432)&lt;=7,MAX(D1432,1)+MAX(E1432,1)+MAX(F1432,1)&lt;=9,OR(H1432="-",AND(H1432=0,D1432&gt;0),AND(H1432=1,E1432&gt;0),AND(H1432=2,F1432&gt;0)),OR(I1432=0,AND(I1432=1,OR(J1432=0,J1432=1,J1432=2),R1432&lt;&gt;"000")),Y1432&lt;=9,MIN(T1432:V1432)&gt;=0),"合法","输入违约")</x:f>
        <x:v>合法</x:v>
      </x:c>
    </x:row>
    <x:row r="1433" ht="23" customHeight="1">
      <x:c r="A1433" s="3" t="str">
        <x:v>CT-1426</x:v>
      </x:c>
      <x:c r="B1433" s="3" t="str">
        <x:v>ST-104</x:v>
      </x:c>
      <x:c r="C1433" s="3" t="str">
        <x:v>R+AR同收同发</x:v>
      </x:c>
      <x:c r="D1433" s="25" t="n">
        <x:v>2</x:v>
      </x:c>
      <x:c r="E1433" s="25" t="n">
        <x:v>4</x:v>
      </x:c>
      <x:c r="F1433" s="25" t="n">
        <x:v>1</x:v>
      </x:c>
      <x:c r="G1433" s="19" t="n">
        <x:f>SUM(D1433:F1433)</x:f>
        <x:v>7</x:v>
      </x:c>
      <x:c r="H1433" s="25" t="n">
        <x:v>1</x:v>
      </x:c>
      <x:c r="I1433" s="25" t="n">
        <x:v>1</x:v>
      </x:c>
      <x:c r="J1433" s="25" t="n">
        <x:v>2</x:v>
      </x:c>
      <x:c r="K1433" s="19" t="n">
        <x:f>D1433-IF(H1433=0,1,0)</x:f>
        <x:v>2</x:v>
      </x:c>
      <x:c r="L1433" s="19" t="n">
        <x:f>E1433-IF(H1433=1,1,0)</x:f>
        <x:v>3</x:v>
      </x:c>
      <x:c r="M1433" s="19" t="n">
        <x:f>F1433-IF(H1433=2,1,0)</x:f>
        <x:v>1</x:v>
      </x:c>
      <x:c r="N1433" s="19" t="n">
        <x:f>MAX(K1433-1,0)+MAX(L1433-1,0)+MAX(M1433-1,0)</x:f>
        <x:v>3</x:v>
      </x:c>
      <x:c r="O1433" s="19" t="n">
        <x:f>IF(AND(SUM(K1433:M1433)&lt;9,OR(M1433=0,N1433&lt;6)),1,0)</x:f>
        <x:v>1</x:v>
      </x:c>
      <x:c r="P1433" s="19" t="n">
        <x:f>IF(AND(SUM(K1433:M1433)&lt;9,OR(L1433=0,N1433&lt;6)),1,0)</x:f>
        <x:v>1</x:v>
      </x:c>
      <x:c r="Q1433" s="19" t="n">
        <x:f>IF(AND(SUM(K1433:M1433)&lt;9,OR(K1433=0,N1433&lt;6)),1,0)</x:f>
        <x:v>1</x:v>
      </x:c>
      <x:c r="R1433" s="22" t="str">
        <x:f>O1433&amp;P1433&amp;Q1433</x:f>
        <x:v>111</x:v>
      </x:c>
      <x:c r="S1433" s="19" t="n">
        <x:f>IF(I1433=1,IF(J1433=0,Q1433,IF(J1433=1,P1433,IF(J1433=2,O1433,0))),0)</x:f>
        <x:v>1</x:v>
      </x:c>
      <x:c r="T1433" s="19" t="n">
        <x:f>K1433+IF(AND(S1433=1,J1433=0),1,0)</x:f>
        <x:v>2</x:v>
      </x:c>
      <x:c r="U1433" s="19" t="n">
        <x:f>L1433+IF(AND(S1433=1,J1433=1),1,0)</x:f>
        <x:v>3</x:v>
      </x:c>
      <x:c r="V1433" s="19" t="n">
        <x:f>M1433+IF(AND(S1433=1,J1433=2),1,0)</x:f>
        <x:v>2</x:v>
      </x:c>
      <x:c r="W1433" s="19" t="n">
        <x:f>SUM(T1433:V1433)</x:f>
        <x:v>7</x:v>
      </x:c>
      <x:c r="X1433" s="19" t="n">
        <x:f>W1433-G1433</x:f>
        <x:v>0</x:v>
      </x:c>
      <x:c r="Y1433" s="19" t="n">
        <x:f>MAX(T1433,1)+MAX(U1433,1)+MAX(V1433,1)</x:f>
        <x:v>7</x:v>
      </x:c>
      <x:c r="Z1433" s="21" t="str">
        <x:f>IF(AND(MIN(D1433:F1433)&gt;=0,MAX(D1433:F1433)&lt;=7,MAX(D1433,1)+MAX(E1433,1)+MAX(F1433,1)&lt;=9,OR(H1433="-",AND(H1433=0,D1433&gt;0),AND(H1433=1,E1433&gt;0),AND(H1433=2,F1433&gt;0)),OR(I1433=0,AND(I1433=1,OR(J1433=0,J1433=1,J1433=2),R1433&lt;&gt;"000")),Y1433&lt;=9,MIN(T1433:V1433)&gt;=0),"合法","输入违约")</x:f>
        <x:v>合法</x:v>
      </x:c>
    </x:row>
    <x:row r="1434" ht="23" customHeight="1">
      <x:c r="A1434" s="3" t="str">
        <x:v>CT-1427</x:v>
      </x:c>
      <x:c r="B1434" s="3" t="str">
        <x:v>ST-104</x:v>
      </x:c>
      <x:c r="C1434" s="3" t="str">
        <x:v>仅R回收</x:v>
      </x:c>
      <x:c r="D1434" s="25" t="n">
        <x:v>2</x:v>
      </x:c>
      <x:c r="E1434" s="25" t="n">
        <x:v>4</x:v>
      </x:c>
      <x:c r="F1434" s="25" t="n">
        <x:v>1</x:v>
      </x:c>
      <x:c r="G1434" s="19" t="n">
        <x:f>SUM(D1434:F1434)</x:f>
        <x:v>7</x:v>
      </x:c>
      <x:c r="H1434" s="25" t="n">
        <x:v>2</x:v>
      </x:c>
      <x:c r="I1434" s="25" t="n">
        <x:v>0</x:v>
      </x:c>
      <x:c r="J1434" s="25" t="str">
        <x:v>-</x:v>
      </x:c>
      <x:c r="K1434" s="19" t="n">
        <x:f>D1434-IF(H1434=0,1,0)</x:f>
        <x:v>2</x:v>
      </x:c>
      <x:c r="L1434" s="19" t="n">
        <x:f>E1434-IF(H1434=1,1,0)</x:f>
        <x:v>4</x:v>
      </x:c>
      <x:c r="M1434" s="19" t="n">
        <x:f>F1434-IF(H1434=2,1,0)</x:f>
        <x:v>0</x:v>
      </x:c>
      <x:c r="N1434" s="19" t="n">
        <x:f>MAX(K1434-1,0)+MAX(L1434-1,0)+MAX(M1434-1,0)</x:f>
        <x:v>4</x:v>
      </x:c>
      <x:c r="O1434" s="19" t="n">
        <x:f>IF(AND(SUM(K1434:M1434)&lt;9,OR(M1434=0,N1434&lt;6)),1,0)</x:f>
        <x:v>1</x:v>
      </x:c>
      <x:c r="P1434" s="19" t="n">
        <x:f>IF(AND(SUM(K1434:M1434)&lt;9,OR(L1434=0,N1434&lt;6)),1,0)</x:f>
        <x:v>1</x:v>
      </x:c>
      <x:c r="Q1434" s="19" t="n">
        <x:f>IF(AND(SUM(K1434:M1434)&lt;9,OR(K1434=0,N1434&lt;6)),1,0)</x:f>
        <x:v>1</x:v>
      </x:c>
      <x:c r="R1434" s="22" t="str">
        <x:f>O1434&amp;P1434&amp;Q1434</x:f>
        <x:v>111</x:v>
      </x:c>
      <x:c r="S1434" s="19" t="n">
        <x:f>IF(I1434=1,IF(J1434=0,Q1434,IF(J1434=1,P1434,IF(J1434=2,O1434,0))),0)</x:f>
        <x:v>0</x:v>
      </x:c>
      <x:c r="T1434" s="19" t="n">
        <x:f>K1434+IF(AND(S1434=1,J1434=0),1,0)</x:f>
        <x:v>2</x:v>
      </x:c>
      <x:c r="U1434" s="19" t="n">
        <x:f>L1434+IF(AND(S1434=1,J1434=1),1,0)</x:f>
        <x:v>4</x:v>
      </x:c>
      <x:c r="V1434" s="19" t="n">
        <x:f>M1434+IF(AND(S1434=1,J1434=2),1,0)</x:f>
        <x:v>0</x:v>
      </x:c>
      <x:c r="W1434" s="19" t="n">
        <x:f>SUM(T1434:V1434)</x:f>
        <x:v>6</x:v>
      </x:c>
      <x:c r="X1434" s="19" t="n">
        <x:f>W1434-G1434</x:f>
        <x:v>-1</x:v>
      </x:c>
      <x:c r="Y1434" s="19" t="n">
        <x:f>MAX(T1434,1)+MAX(U1434,1)+MAX(V1434,1)</x:f>
        <x:v>7</x:v>
      </x:c>
      <x:c r="Z1434" s="21" t="str">
        <x:f>IF(AND(MIN(D1434:F1434)&gt;=0,MAX(D1434:F1434)&lt;=7,MAX(D1434,1)+MAX(E1434,1)+MAX(F1434,1)&lt;=9,OR(H1434="-",AND(H1434=0,D1434&gt;0),AND(H1434=1,E1434&gt;0),AND(H1434=2,F1434&gt;0)),OR(I1434=0,AND(I1434=1,OR(J1434=0,J1434=1,J1434=2),R1434&lt;&gt;"000")),Y1434&lt;=9,MIN(T1434:V1434)&gt;=0),"合法","输入违约")</x:f>
        <x:v>合法</x:v>
      </x:c>
    </x:row>
    <x:row r="1435" ht="23" customHeight="1">
      <x:c r="A1435" s="3" t="str">
        <x:v>CT-1428</x:v>
      </x:c>
      <x:c r="B1435" s="3" t="str">
        <x:v>ST-104</x:v>
      </x:c>
      <x:c r="C1435" s="3" t="str">
        <x:v>R+AR同收同发</x:v>
      </x:c>
      <x:c r="D1435" s="25" t="n">
        <x:v>2</x:v>
      </x:c>
      <x:c r="E1435" s="25" t="n">
        <x:v>4</x:v>
      </x:c>
      <x:c r="F1435" s="25" t="n">
        <x:v>1</x:v>
      </x:c>
      <x:c r="G1435" s="19" t="n">
        <x:f>SUM(D1435:F1435)</x:f>
        <x:v>7</x:v>
      </x:c>
      <x:c r="H1435" s="25" t="n">
        <x:v>2</x:v>
      </x:c>
      <x:c r="I1435" s="25" t="n">
        <x:v>1</x:v>
      </x:c>
      <x:c r="J1435" s="25" t="n">
        <x:v>0</x:v>
      </x:c>
      <x:c r="K1435" s="19" t="n">
        <x:f>D1435-IF(H1435=0,1,0)</x:f>
        <x:v>2</x:v>
      </x:c>
      <x:c r="L1435" s="19" t="n">
        <x:f>E1435-IF(H1435=1,1,0)</x:f>
        <x:v>4</x:v>
      </x:c>
      <x:c r="M1435" s="19" t="n">
        <x:f>F1435-IF(H1435=2,1,0)</x:f>
        <x:v>0</x:v>
      </x:c>
      <x:c r="N1435" s="19" t="n">
        <x:f>MAX(K1435-1,0)+MAX(L1435-1,0)+MAX(M1435-1,0)</x:f>
        <x:v>4</x:v>
      </x:c>
      <x:c r="O1435" s="19" t="n">
        <x:f>IF(AND(SUM(K1435:M1435)&lt;9,OR(M1435=0,N1435&lt;6)),1,0)</x:f>
        <x:v>1</x:v>
      </x:c>
      <x:c r="P1435" s="19" t="n">
        <x:f>IF(AND(SUM(K1435:M1435)&lt;9,OR(L1435=0,N1435&lt;6)),1,0)</x:f>
        <x:v>1</x:v>
      </x:c>
      <x:c r="Q1435" s="19" t="n">
        <x:f>IF(AND(SUM(K1435:M1435)&lt;9,OR(K1435=0,N1435&lt;6)),1,0)</x:f>
        <x:v>1</x:v>
      </x:c>
      <x:c r="R1435" s="22" t="str">
        <x:f>O1435&amp;P1435&amp;Q1435</x:f>
        <x:v>111</x:v>
      </x:c>
      <x:c r="S1435" s="19" t="n">
        <x:f>IF(I1435=1,IF(J1435=0,Q1435,IF(J1435=1,P1435,IF(J1435=2,O1435,0))),0)</x:f>
        <x:v>1</x:v>
      </x:c>
      <x:c r="T1435" s="19" t="n">
        <x:f>K1435+IF(AND(S1435=1,J1435=0),1,0)</x:f>
        <x:v>3</x:v>
      </x:c>
      <x:c r="U1435" s="19" t="n">
        <x:f>L1435+IF(AND(S1435=1,J1435=1),1,0)</x:f>
        <x:v>4</x:v>
      </x:c>
      <x:c r="V1435" s="19" t="n">
        <x:f>M1435+IF(AND(S1435=1,J1435=2),1,0)</x:f>
        <x:v>0</x:v>
      </x:c>
      <x:c r="W1435" s="19" t="n">
        <x:f>SUM(T1435:V1435)</x:f>
        <x:v>7</x:v>
      </x:c>
      <x:c r="X1435" s="19" t="n">
        <x:f>W1435-G1435</x:f>
        <x:v>0</x:v>
      </x:c>
      <x:c r="Y1435" s="19" t="n">
        <x:f>MAX(T1435,1)+MAX(U1435,1)+MAX(V1435,1)</x:f>
        <x:v>8</x:v>
      </x:c>
      <x:c r="Z1435" s="21" t="str">
        <x:f>IF(AND(MIN(D1435:F1435)&gt;=0,MAX(D1435:F1435)&lt;=7,MAX(D1435,1)+MAX(E1435,1)+MAX(F1435,1)&lt;=9,OR(H1435="-",AND(H1435=0,D1435&gt;0),AND(H1435=1,E1435&gt;0),AND(H1435=2,F1435&gt;0)),OR(I1435=0,AND(I1435=1,OR(J1435=0,J1435=1,J1435=2),R1435&lt;&gt;"000")),Y1435&lt;=9,MIN(T1435:V1435)&gt;=0),"合法","输入违约")</x:f>
        <x:v>合法</x:v>
      </x:c>
    </x:row>
    <x:row r="1436" ht="23" customHeight="1">
      <x:c r="A1436" s="3" t="str">
        <x:v>CT-1429</x:v>
      </x:c>
      <x:c r="B1436" s="3" t="str">
        <x:v>ST-104</x:v>
      </x:c>
      <x:c r="C1436" s="3" t="str">
        <x:v>R+AR同收同发</x:v>
      </x:c>
      <x:c r="D1436" s="25" t="n">
        <x:v>2</x:v>
      </x:c>
      <x:c r="E1436" s="25" t="n">
        <x:v>4</x:v>
      </x:c>
      <x:c r="F1436" s="25" t="n">
        <x:v>1</x:v>
      </x:c>
      <x:c r="G1436" s="19" t="n">
        <x:f>SUM(D1436:F1436)</x:f>
        <x:v>7</x:v>
      </x:c>
      <x:c r="H1436" s="25" t="n">
        <x:v>2</x:v>
      </x:c>
      <x:c r="I1436" s="25" t="n">
        <x:v>1</x:v>
      </x:c>
      <x:c r="J1436" s="25" t="n">
        <x:v>1</x:v>
      </x:c>
      <x:c r="K1436" s="19" t="n">
        <x:f>D1436-IF(H1436=0,1,0)</x:f>
        <x:v>2</x:v>
      </x:c>
      <x:c r="L1436" s="19" t="n">
        <x:f>E1436-IF(H1436=1,1,0)</x:f>
        <x:v>4</x:v>
      </x:c>
      <x:c r="M1436" s="19" t="n">
        <x:f>F1436-IF(H1436=2,1,0)</x:f>
        <x:v>0</x:v>
      </x:c>
      <x:c r="N1436" s="19" t="n">
        <x:f>MAX(K1436-1,0)+MAX(L1436-1,0)+MAX(M1436-1,0)</x:f>
        <x:v>4</x:v>
      </x:c>
      <x:c r="O1436" s="19" t="n">
        <x:f>IF(AND(SUM(K1436:M1436)&lt;9,OR(M1436=0,N1436&lt;6)),1,0)</x:f>
        <x:v>1</x:v>
      </x:c>
      <x:c r="P1436" s="19" t="n">
        <x:f>IF(AND(SUM(K1436:M1436)&lt;9,OR(L1436=0,N1436&lt;6)),1,0)</x:f>
        <x:v>1</x:v>
      </x:c>
      <x:c r="Q1436" s="19" t="n">
        <x:f>IF(AND(SUM(K1436:M1436)&lt;9,OR(K1436=0,N1436&lt;6)),1,0)</x:f>
        <x:v>1</x:v>
      </x:c>
      <x:c r="R1436" s="22" t="str">
        <x:f>O1436&amp;P1436&amp;Q1436</x:f>
        <x:v>111</x:v>
      </x:c>
      <x:c r="S1436" s="19" t="n">
        <x:f>IF(I1436=1,IF(J1436=0,Q1436,IF(J1436=1,P1436,IF(J1436=2,O1436,0))),0)</x:f>
        <x:v>1</x:v>
      </x:c>
      <x:c r="T1436" s="19" t="n">
        <x:f>K1436+IF(AND(S1436=1,J1436=0),1,0)</x:f>
        <x:v>2</x:v>
      </x:c>
      <x:c r="U1436" s="19" t="n">
        <x:f>L1436+IF(AND(S1436=1,J1436=1),1,0)</x:f>
        <x:v>5</x:v>
      </x:c>
      <x:c r="V1436" s="19" t="n">
        <x:f>M1436+IF(AND(S1436=1,J1436=2),1,0)</x:f>
        <x:v>0</x:v>
      </x:c>
      <x:c r="W1436" s="19" t="n">
        <x:f>SUM(T1436:V1436)</x:f>
        <x:v>7</x:v>
      </x:c>
      <x:c r="X1436" s="19" t="n">
        <x:f>W1436-G1436</x:f>
        <x:v>0</x:v>
      </x:c>
      <x:c r="Y1436" s="19" t="n">
        <x:f>MAX(T1436,1)+MAX(U1436,1)+MAX(V1436,1)</x:f>
        <x:v>8</x:v>
      </x:c>
      <x:c r="Z1436" s="21" t="str">
        <x:f>IF(AND(MIN(D1436:F1436)&gt;=0,MAX(D1436:F1436)&lt;=7,MAX(D1436,1)+MAX(E1436,1)+MAX(F1436,1)&lt;=9,OR(H1436="-",AND(H1436=0,D1436&gt;0),AND(H1436=1,E1436&gt;0),AND(H1436=2,F1436&gt;0)),OR(I1436=0,AND(I1436=1,OR(J1436=0,J1436=1,J1436=2),R1436&lt;&gt;"000")),Y1436&lt;=9,MIN(T1436:V1436)&gt;=0),"合法","输入违约")</x:f>
        <x:v>合法</x:v>
      </x:c>
    </x:row>
    <x:row r="1437" ht="23" customHeight="1">
      <x:c r="A1437" s="3" t="str">
        <x:v>CT-1430</x:v>
      </x:c>
      <x:c r="B1437" s="3" t="str">
        <x:v>ST-104</x:v>
      </x:c>
      <x:c r="C1437" s="3" t="str">
        <x:v>R+AR同收同发</x:v>
      </x:c>
      <x:c r="D1437" s="25" t="n">
        <x:v>2</x:v>
      </x:c>
      <x:c r="E1437" s="25" t="n">
        <x:v>4</x:v>
      </x:c>
      <x:c r="F1437" s="25" t="n">
        <x:v>1</x:v>
      </x:c>
      <x:c r="G1437" s="19" t="n">
        <x:f>SUM(D1437:F1437)</x:f>
        <x:v>7</x:v>
      </x:c>
      <x:c r="H1437" s="25" t="n">
        <x:v>2</x:v>
      </x:c>
      <x:c r="I1437" s="25" t="n">
        <x:v>1</x:v>
      </x:c>
      <x:c r="J1437" s="25" t="n">
        <x:v>2</x:v>
      </x:c>
      <x:c r="K1437" s="19" t="n">
        <x:f>D1437-IF(H1437=0,1,0)</x:f>
        <x:v>2</x:v>
      </x:c>
      <x:c r="L1437" s="19" t="n">
        <x:f>E1437-IF(H1437=1,1,0)</x:f>
        <x:v>4</x:v>
      </x:c>
      <x:c r="M1437" s="19" t="n">
        <x:f>F1437-IF(H1437=2,1,0)</x:f>
        <x:v>0</x:v>
      </x:c>
      <x:c r="N1437" s="19" t="n">
        <x:f>MAX(K1437-1,0)+MAX(L1437-1,0)+MAX(M1437-1,0)</x:f>
        <x:v>4</x:v>
      </x:c>
      <x:c r="O1437" s="19" t="n">
        <x:f>IF(AND(SUM(K1437:M1437)&lt;9,OR(M1437=0,N1437&lt;6)),1,0)</x:f>
        <x:v>1</x:v>
      </x:c>
      <x:c r="P1437" s="19" t="n">
        <x:f>IF(AND(SUM(K1437:M1437)&lt;9,OR(L1437=0,N1437&lt;6)),1,0)</x:f>
        <x:v>1</x:v>
      </x:c>
      <x:c r="Q1437" s="19" t="n">
        <x:f>IF(AND(SUM(K1437:M1437)&lt;9,OR(K1437=0,N1437&lt;6)),1,0)</x:f>
        <x:v>1</x:v>
      </x:c>
      <x:c r="R1437" s="22" t="str">
        <x:f>O1437&amp;P1437&amp;Q1437</x:f>
        <x:v>111</x:v>
      </x:c>
      <x:c r="S1437" s="19" t="n">
        <x:f>IF(I1437=1,IF(J1437=0,Q1437,IF(J1437=1,P1437,IF(J1437=2,O1437,0))),0)</x:f>
        <x:v>1</x:v>
      </x:c>
      <x:c r="T1437" s="19" t="n">
        <x:f>K1437+IF(AND(S1437=1,J1437=0),1,0)</x:f>
        <x:v>2</x:v>
      </x:c>
      <x:c r="U1437" s="19" t="n">
        <x:f>L1437+IF(AND(S1437=1,J1437=1),1,0)</x:f>
        <x:v>4</x:v>
      </x:c>
      <x:c r="V1437" s="19" t="n">
        <x:f>M1437+IF(AND(S1437=1,J1437=2),1,0)</x:f>
        <x:v>1</x:v>
      </x:c>
      <x:c r="W1437" s="19" t="n">
        <x:f>SUM(T1437:V1437)</x:f>
        <x:v>7</x:v>
      </x:c>
      <x:c r="X1437" s="19" t="n">
        <x:f>W1437-G1437</x:f>
        <x:v>0</x:v>
      </x:c>
      <x:c r="Y1437" s="19" t="n">
        <x:f>MAX(T1437,1)+MAX(U1437,1)+MAX(V1437,1)</x:f>
        <x:v>7</x:v>
      </x:c>
      <x:c r="Z1437" s="21" t="str">
        <x:f>IF(AND(MIN(D1437:F1437)&gt;=0,MAX(D1437:F1437)&lt;=7,MAX(D1437,1)+MAX(E1437,1)+MAX(F1437,1)&lt;=9,OR(H1437="-",AND(H1437=0,D1437&gt;0),AND(H1437=1,E1437&gt;0),AND(H1437=2,F1437&gt;0)),OR(I1437=0,AND(I1437=1,OR(J1437=0,J1437=1,J1437=2),R1437&lt;&gt;"000")),Y1437&lt;=9,MIN(T1437:V1437)&gt;=0),"合法","输入违约")</x:f>
        <x:v>合法</x:v>
      </x:c>
    </x:row>
    <x:row r="1438" ht="23" customHeight="1">
      <x:c r="A1438" s="3" t="str">
        <x:v>CT-1431</x:v>
      </x:c>
      <x:c r="B1438" s="3" t="str">
        <x:v>ST-140</x:v>
      </x:c>
      <x:c r="C1438" s="3" t="str">
        <x:v>无AR/R</x:v>
      </x:c>
      <x:c r="D1438" s="25" t="n">
        <x:v>2</x:v>
      </x:c>
      <x:c r="E1438" s="25" t="n">
        <x:v>4</x:v>
      </x:c>
      <x:c r="F1438" s="25" t="n">
        <x:v>2</x:v>
      </x:c>
      <x:c r="G1438" s="19" t="n">
        <x:f>SUM(D1438:F1438)</x:f>
        <x:v>8</x:v>
      </x:c>
      <x:c r="H1438" s="25" t="str">
        <x:v>-</x:v>
      </x:c>
      <x:c r="I1438" s="25" t="n">
        <x:v>0</x:v>
      </x:c>
      <x:c r="J1438" s="25" t="str">
        <x:v>-</x:v>
      </x:c>
      <x:c r="K1438" s="19" t="n">
        <x:f>D1438-IF(H1438=0,1,0)</x:f>
        <x:v>2</x:v>
      </x:c>
      <x:c r="L1438" s="19" t="n">
        <x:f>E1438-IF(H1438=1,1,0)</x:f>
        <x:v>4</x:v>
      </x:c>
      <x:c r="M1438" s="19" t="n">
        <x:f>F1438-IF(H1438=2,1,0)</x:f>
        <x:v>2</x:v>
      </x:c>
      <x:c r="N1438" s="19" t="n">
        <x:f>MAX(K1438-1,0)+MAX(L1438-1,0)+MAX(M1438-1,0)</x:f>
        <x:v>5</x:v>
      </x:c>
      <x:c r="O1438" s="19" t="n">
        <x:f>IF(AND(SUM(K1438:M1438)&lt;9,OR(M1438=0,N1438&lt;6)),1,0)</x:f>
        <x:v>1</x:v>
      </x:c>
      <x:c r="P1438" s="19" t="n">
        <x:f>IF(AND(SUM(K1438:M1438)&lt;9,OR(L1438=0,N1438&lt;6)),1,0)</x:f>
        <x:v>1</x:v>
      </x:c>
      <x:c r="Q1438" s="19" t="n">
        <x:f>IF(AND(SUM(K1438:M1438)&lt;9,OR(K1438=0,N1438&lt;6)),1,0)</x:f>
        <x:v>1</x:v>
      </x:c>
      <x:c r="R1438" s="22" t="str">
        <x:f>O1438&amp;P1438&amp;Q1438</x:f>
        <x:v>111</x:v>
      </x:c>
      <x:c r="S1438" s="19" t="n">
        <x:f>IF(I1438=1,IF(J1438=0,Q1438,IF(J1438=1,P1438,IF(J1438=2,O1438,0))),0)</x:f>
        <x:v>0</x:v>
      </x:c>
      <x:c r="T1438" s="19" t="n">
        <x:f>K1438+IF(AND(S1438=1,J1438=0),1,0)</x:f>
        <x:v>2</x:v>
      </x:c>
      <x:c r="U1438" s="19" t="n">
        <x:f>L1438+IF(AND(S1438=1,J1438=1),1,0)</x:f>
        <x:v>4</x:v>
      </x:c>
      <x:c r="V1438" s="19" t="n">
        <x:f>M1438+IF(AND(S1438=1,J1438=2),1,0)</x:f>
        <x:v>2</x:v>
      </x:c>
      <x:c r="W1438" s="19" t="n">
        <x:f>SUM(T1438:V1438)</x:f>
        <x:v>8</x:v>
      </x:c>
      <x:c r="X1438" s="19" t="n">
        <x:f>W1438-G1438</x:f>
        <x:v>0</x:v>
      </x:c>
      <x:c r="Y1438" s="19" t="n">
        <x:f>MAX(T1438,1)+MAX(U1438,1)+MAX(V1438,1)</x:f>
        <x:v>8</x:v>
      </x:c>
      <x:c r="Z1438" s="21" t="str">
        <x:f>IF(AND(MIN(D1438:F1438)&gt;=0,MAX(D1438:F1438)&lt;=7,MAX(D1438,1)+MAX(E1438,1)+MAX(F1438,1)&lt;=9,OR(H1438="-",AND(H1438=0,D1438&gt;0),AND(H1438=1,E1438&gt;0),AND(H1438=2,F1438&gt;0)),OR(I1438=0,AND(I1438=1,OR(J1438=0,J1438=1,J1438=2),R1438&lt;&gt;"000")),Y1438&lt;=9,MIN(T1438:V1438)&gt;=0),"合法","输入违约")</x:f>
        <x:v>合法</x:v>
      </x:c>
    </x:row>
    <x:row r="1439" ht="23" customHeight="1">
      <x:c r="A1439" s="3" t="str">
        <x:v>CT-1432</x:v>
      </x:c>
      <x:c r="B1439" s="3" t="str">
        <x:v>ST-140</x:v>
      </x:c>
      <x:c r="C1439" s="3" t="str">
        <x:v>仅AR接收</x:v>
      </x:c>
      <x:c r="D1439" s="25" t="n">
        <x:v>2</x:v>
      </x:c>
      <x:c r="E1439" s="25" t="n">
        <x:v>4</x:v>
      </x:c>
      <x:c r="F1439" s="25" t="n">
        <x:v>2</x:v>
      </x:c>
      <x:c r="G1439" s="19" t="n">
        <x:f>SUM(D1439:F1439)</x:f>
        <x:v>8</x:v>
      </x:c>
      <x:c r="H1439" s="25" t="str">
        <x:v>-</x:v>
      </x:c>
      <x:c r="I1439" s="25" t="n">
        <x:v>1</x:v>
      </x:c>
      <x:c r="J1439" s="25" t="n">
        <x:v>0</x:v>
      </x:c>
      <x:c r="K1439" s="19" t="n">
        <x:f>D1439-IF(H1439=0,1,0)</x:f>
        <x:v>2</x:v>
      </x:c>
      <x:c r="L1439" s="19" t="n">
        <x:f>E1439-IF(H1439=1,1,0)</x:f>
        <x:v>4</x:v>
      </x:c>
      <x:c r="M1439" s="19" t="n">
        <x:f>F1439-IF(H1439=2,1,0)</x:f>
        <x:v>2</x:v>
      </x:c>
      <x:c r="N1439" s="19" t="n">
        <x:f>MAX(K1439-1,0)+MAX(L1439-1,0)+MAX(M1439-1,0)</x:f>
        <x:v>5</x:v>
      </x:c>
      <x:c r="O1439" s="19" t="n">
        <x:f>IF(AND(SUM(K1439:M1439)&lt;9,OR(M1439=0,N1439&lt;6)),1,0)</x:f>
        <x:v>1</x:v>
      </x:c>
      <x:c r="P1439" s="19" t="n">
        <x:f>IF(AND(SUM(K1439:M1439)&lt;9,OR(L1439=0,N1439&lt;6)),1,0)</x:f>
        <x:v>1</x:v>
      </x:c>
      <x:c r="Q1439" s="19" t="n">
        <x:f>IF(AND(SUM(K1439:M1439)&lt;9,OR(K1439=0,N1439&lt;6)),1,0)</x:f>
        <x:v>1</x:v>
      </x:c>
      <x:c r="R1439" s="22" t="str">
        <x:f>O1439&amp;P1439&amp;Q1439</x:f>
        <x:v>111</x:v>
      </x:c>
      <x:c r="S1439" s="19" t="n">
        <x:f>IF(I1439=1,IF(J1439=0,Q1439,IF(J1439=1,P1439,IF(J1439=2,O1439,0))),0)</x:f>
        <x:v>1</x:v>
      </x:c>
      <x:c r="T1439" s="19" t="n">
        <x:f>K1439+IF(AND(S1439=1,J1439=0),1,0)</x:f>
        <x:v>3</x:v>
      </x:c>
      <x:c r="U1439" s="19" t="n">
        <x:f>L1439+IF(AND(S1439=1,J1439=1),1,0)</x:f>
        <x:v>4</x:v>
      </x:c>
      <x:c r="V1439" s="19" t="n">
        <x:f>M1439+IF(AND(S1439=1,J1439=2),1,0)</x:f>
        <x:v>2</x:v>
      </x:c>
      <x:c r="W1439" s="19" t="n">
        <x:f>SUM(T1439:V1439)</x:f>
        <x:v>9</x:v>
      </x:c>
      <x:c r="X1439" s="19" t="n">
        <x:f>W1439-G1439</x:f>
        <x:v>1</x:v>
      </x:c>
      <x:c r="Y1439" s="19" t="n">
        <x:f>MAX(T1439,1)+MAX(U1439,1)+MAX(V1439,1)</x:f>
        <x:v>9</x:v>
      </x:c>
      <x:c r="Z1439" s="21" t="str">
        <x:f>IF(AND(MIN(D1439:F1439)&gt;=0,MAX(D1439:F1439)&lt;=7,MAX(D1439,1)+MAX(E1439,1)+MAX(F1439,1)&lt;=9,OR(H1439="-",AND(H1439=0,D1439&gt;0),AND(H1439=1,E1439&gt;0),AND(H1439=2,F1439&gt;0)),OR(I1439=0,AND(I1439=1,OR(J1439=0,J1439=1,J1439=2),R1439&lt;&gt;"000")),Y1439&lt;=9,MIN(T1439:V1439)&gt;=0),"合法","输入违约")</x:f>
        <x:v>合法</x:v>
      </x:c>
    </x:row>
    <x:row r="1440" ht="23" customHeight="1">
      <x:c r="A1440" s="3" t="str">
        <x:v>CT-1433</x:v>
      </x:c>
      <x:c r="B1440" s="3" t="str">
        <x:v>ST-140</x:v>
      </x:c>
      <x:c r="C1440" s="3" t="str">
        <x:v>仅AR接收</x:v>
      </x:c>
      <x:c r="D1440" s="25" t="n">
        <x:v>2</x:v>
      </x:c>
      <x:c r="E1440" s="25" t="n">
        <x:v>4</x:v>
      </x:c>
      <x:c r="F1440" s="25" t="n">
        <x:v>2</x:v>
      </x:c>
      <x:c r="G1440" s="19" t="n">
        <x:f>SUM(D1440:F1440)</x:f>
        <x:v>8</x:v>
      </x:c>
      <x:c r="H1440" s="25" t="str">
        <x:v>-</x:v>
      </x:c>
      <x:c r="I1440" s="25" t="n">
        <x:v>1</x:v>
      </x:c>
      <x:c r="J1440" s="25" t="n">
        <x:v>1</x:v>
      </x:c>
      <x:c r="K1440" s="19" t="n">
        <x:f>D1440-IF(H1440=0,1,0)</x:f>
        <x:v>2</x:v>
      </x:c>
      <x:c r="L1440" s="19" t="n">
        <x:f>E1440-IF(H1440=1,1,0)</x:f>
        <x:v>4</x:v>
      </x:c>
      <x:c r="M1440" s="19" t="n">
        <x:f>F1440-IF(H1440=2,1,0)</x:f>
        <x:v>2</x:v>
      </x:c>
      <x:c r="N1440" s="19" t="n">
        <x:f>MAX(K1440-1,0)+MAX(L1440-1,0)+MAX(M1440-1,0)</x:f>
        <x:v>5</x:v>
      </x:c>
      <x:c r="O1440" s="19" t="n">
        <x:f>IF(AND(SUM(K1440:M1440)&lt;9,OR(M1440=0,N1440&lt;6)),1,0)</x:f>
        <x:v>1</x:v>
      </x:c>
      <x:c r="P1440" s="19" t="n">
        <x:f>IF(AND(SUM(K1440:M1440)&lt;9,OR(L1440=0,N1440&lt;6)),1,0)</x:f>
        <x:v>1</x:v>
      </x:c>
      <x:c r="Q1440" s="19" t="n">
        <x:f>IF(AND(SUM(K1440:M1440)&lt;9,OR(K1440=0,N1440&lt;6)),1,0)</x:f>
        <x:v>1</x:v>
      </x:c>
      <x:c r="R1440" s="22" t="str">
        <x:f>O1440&amp;P1440&amp;Q1440</x:f>
        <x:v>111</x:v>
      </x:c>
      <x:c r="S1440" s="19" t="n">
        <x:f>IF(I1440=1,IF(J1440=0,Q1440,IF(J1440=1,P1440,IF(J1440=2,O1440,0))),0)</x:f>
        <x:v>1</x:v>
      </x:c>
      <x:c r="T1440" s="19" t="n">
        <x:f>K1440+IF(AND(S1440=1,J1440=0),1,0)</x:f>
        <x:v>2</x:v>
      </x:c>
      <x:c r="U1440" s="19" t="n">
        <x:f>L1440+IF(AND(S1440=1,J1440=1),1,0)</x:f>
        <x:v>5</x:v>
      </x:c>
      <x:c r="V1440" s="19" t="n">
        <x:f>M1440+IF(AND(S1440=1,J1440=2),1,0)</x:f>
        <x:v>2</x:v>
      </x:c>
      <x:c r="W1440" s="19" t="n">
        <x:f>SUM(T1440:V1440)</x:f>
        <x:v>9</x:v>
      </x:c>
      <x:c r="X1440" s="19" t="n">
        <x:f>W1440-G1440</x:f>
        <x:v>1</x:v>
      </x:c>
      <x:c r="Y1440" s="19" t="n">
        <x:f>MAX(T1440,1)+MAX(U1440,1)+MAX(V1440,1)</x:f>
        <x:v>9</x:v>
      </x:c>
      <x:c r="Z1440" s="21" t="str">
        <x:f>IF(AND(MIN(D1440:F1440)&gt;=0,MAX(D1440:F1440)&lt;=7,MAX(D1440,1)+MAX(E1440,1)+MAX(F1440,1)&lt;=9,OR(H1440="-",AND(H1440=0,D1440&gt;0),AND(H1440=1,E1440&gt;0),AND(H1440=2,F1440&gt;0)),OR(I1440=0,AND(I1440=1,OR(J1440=0,J1440=1,J1440=2),R1440&lt;&gt;"000")),Y1440&lt;=9,MIN(T1440:V1440)&gt;=0),"合法","输入违约")</x:f>
        <x:v>合法</x:v>
      </x:c>
    </x:row>
    <x:row r="1441" ht="23" customHeight="1">
      <x:c r="A1441" s="3" t="str">
        <x:v>CT-1434</x:v>
      </x:c>
      <x:c r="B1441" s="3" t="str">
        <x:v>ST-140</x:v>
      </x:c>
      <x:c r="C1441" s="3" t="str">
        <x:v>仅AR接收</x:v>
      </x:c>
      <x:c r="D1441" s="25" t="n">
        <x:v>2</x:v>
      </x:c>
      <x:c r="E1441" s="25" t="n">
        <x:v>4</x:v>
      </x:c>
      <x:c r="F1441" s="25" t="n">
        <x:v>2</x:v>
      </x:c>
      <x:c r="G1441" s="19" t="n">
        <x:f>SUM(D1441:F1441)</x:f>
        <x:v>8</x:v>
      </x:c>
      <x:c r="H1441" s="25" t="str">
        <x:v>-</x:v>
      </x:c>
      <x:c r="I1441" s="25" t="n">
        <x:v>1</x:v>
      </x:c>
      <x:c r="J1441" s="25" t="n">
        <x:v>2</x:v>
      </x:c>
      <x:c r="K1441" s="19" t="n">
        <x:f>D1441-IF(H1441=0,1,0)</x:f>
        <x:v>2</x:v>
      </x:c>
      <x:c r="L1441" s="19" t="n">
        <x:f>E1441-IF(H1441=1,1,0)</x:f>
        <x:v>4</x:v>
      </x:c>
      <x:c r="M1441" s="19" t="n">
        <x:f>F1441-IF(H1441=2,1,0)</x:f>
        <x:v>2</x:v>
      </x:c>
      <x:c r="N1441" s="19" t="n">
        <x:f>MAX(K1441-1,0)+MAX(L1441-1,0)+MAX(M1441-1,0)</x:f>
        <x:v>5</x:v>
      </x:c>
      <x:c r="O1441" s="19" t="n">
        <x:f>IF(AND(SUM(K1441:M1441)&lt;9,OR(M1441=0,N1441&lt;6)),1,0)</x:f>
        <x:v>1</x:v>
      </x:c>
      <x:c r="P1441" s="19" t="n">
        <x:f>IF(AND(SUM(K1441:M1441)&lt;9,OR(L1441=0,N1441&lt;6)),1,0)</x:f>
        <x:v>1</x:v>
      </x:c>
      <x:c r="Q1441" s="19" t="n">
        <x:f>IF(AND(SUM(K1441:M1441)&lt;9,OR(K1441=0,N1441&lt;6)),1,0)</x:f>
        <x:v>1</x:v>
      </x:c>
      <x:c r="R1441" s="22" t="str">
        <x:f>O1441&amp;P1441&amp;Q1441</x:f>
        <x:v>111</x:v>
      </x:c>
      <x:c r="S1441" s="19" t="n">
        <x:f>IF(I1441=1,IF(J1441=0,Q1441,IF(J1441=1,P1441,IF(J1441=2,O1441,0))),0)</x:f>
        <x:v>1</x:v>
      </x:c>
      <x:c r="T1441" s="19" t="n">
        <x:f>K1441+IF(AND(S1441=1,J1441=0),1,0)</x:f>
        <x:v>2</x:v>
      </x:c>
      <x:c r="U1441" s="19" t="n">
        <x:f>L1441+IF(AND(S1441=1,J1441=1),1,0)</x:f>
        <x:v>4</x:v>
      </x:c>
      <x:c r="V1441" s="19" t="n">
        <x:f>M1441+IF(AND(S1441=1,J1441=2),1,0)</x:f>
        <x:v>3</x:v>
      </x:c>
      <x:c r="W1441" s="19" t="n">
        <x:f>SUM(T1441:V1441)</x:f>
        <x:v>9</x:v>
      </x:c>
      <x:c r="X1441" s="19" t="n">
        <x:f>W1441-G1441</x:f>
        <x:v>1</x:v>
      </x:c>
      <x:c r="Y1441" s="19" t="n">
        <x:f>MAX(T1441,1)+MAX(U1441,1)+MAX(V1441,1)</x:f>
        <x:v>9</x:v>
      </x:c>
      <x:c r="Z1441" s="21" t="str">
        <x:f>IF(AND(MIN(D1441:F1441)&gt;=0,MAX(D1441:F1441)&lt;=7,MAX(D1441,1)+MAX(E1441,1)+MAX(F1441,1)&lt;=9,OR(H1441="-",AND(H1441=0,D1441&gt;0),AND(H1441=1,E1441&gt;0),AND(H1441=2,F1441&gt;0)),OR(I1441=0,AND(I1441=1,OR(J1441=0,J1441=1,J1441=2),R1441&lt;&gt;"000")),Y1441&lt;=9,MIN(T1441:V1441)&gt;=0),"合法","输入违约")</x:f>
        <x:v>合法</x:v>
      </x:c>
    </x:row>
    <x:row r="1442" ht="23" customHeight="1">
      <x:c r="A1442" s="3" t="str">
        <x:v>CT-1435</x:v>
      </x:c>
      <x:c r="B1442" s="3" t="str">
        <x:v>ST-140</x:v>
      </x:c>
      <x:c r="C1442" s="3" t="str">
        <x:v>仅R回收</x:v>
      </x:c>
      <x:c r="D1442" s="25" t="n">
        <x:v>2</x:v>
      </x:c>
      <x:c r="E1442" s="25" t="n">
        <x:v>4</x:v>
      </x:c>
      <x:c r="F1442" s="25" t="n">
        <x:v>2</x:v>
      </x:c>
      <x:c r="G1442" s="19" t="n">
        <x:f>SUM(D1442:F1442)</x:f>
        <x:v>8</x:v>
      </x:c>
      <x:c r="H1442" s="25" t="n">
        <x:v>0</x:v>
      </x:c>
      <x:c r="I1442" s="25" t="n">
        <x:v>0</x:v>
      </x:c>
      <x:c r="J1442" s="25" t="str">
        <x:v>-</x:v>
      </x:c>
      <x:c r="K1442" s="19" t="n">
        <x:f>D1442-IF(H1442=0,1,0)</x:f>
        <x:v>1</x:v>
      </x:c>
      <x:c r="L1442" s="19" t="n">
        <x:f>E1442-IF(H1442=1,1,0)</x:f>
        <x:v>4</x:v>
      </x:c>
      <x:c r="M1442" s="19" t="n">
        <x:f>F1442-IF(H1442=2,1,0)</x:f>
        <x:v>2</x:v>
      </x:c>
      <x:c r="N1442" s="19" t="n">
        <x:f>MAX(K1442-1,0)+MAX(L1442-1,0)+MAX(M1442-1,0)</x:f>
        <x:v>4</x:v>
      </x:c>
      <x:c r="O1442" s="19" t="n">
        <x:f>IF(AND(SUM(K1442:M1442)&lt;9,OR(M1442=0,N1442&lt;6)),1,0)</x:f>
        <x:v>1</x:v>
      </x:c>
      <x:c r="P1442" s="19" t="n">
        <x:f>IF(AND(SUM(K1442:M1442)&lt;9,OR(L1442=0,N1442&lt;6)),1,0)</x:f>
        <x:v>1</x:v>
      </x:c>
      <x:c r="Q1442" s="19" t="n">
        <x:f>IF(AND(SUM(K1442:M1442)&lt;9,OR(K1442=0,N1442&lt;6)),1,0)</x:f>
        <x:v>1</x:v>
      </x:c>
      <x:c r="R1442" s="22" t="str">
        <x:f>O1442&amp;P1442&amp;Q1442</x:f>
        <x:v>111</x:v>
      </x:c>
      <x:c r="S1442" s="19" t="n">
        <x:f>IF(I1442=1,IF(J1442=0,Q1442,IF(J1442=1,P1442,IF(J1442=2,O1442,0))),0)</x:f>
        <x:v>0</x:v>
      </x:c>
      <x:c r="T1442" s="19" t="n">
        <x:f>K1442+IF(AND(S1442=1,J1442=0),1,0)</x:f>
        <x:v>1</x:v>
      </x:c>
      <x:c r="U1442" s="19" t="n">
        <x:f>L1442+IF(AND(S1442=1,J1442=1),1,0)</x:f>
        <x:v>4</x:v>
      </x:c>
      <x:c r="V1442" s="19" t="n">
        <x:f>M1442+IF(AND(S1442=1,J1442=2),1,0)</x:f>
        <x:v>2</x:v>
      </x:c>
      <x:c r="W1442" s="19" t="n">
        <x:f>SUM(T1442:V1442)</x:f>
        <x:v>7</x:v>
      </x:c>
      <x:c r="X1442" s="19" t="n">
        <x:f>W1442-G1442</x:f>
        <x:v>-1</x:v>
      </x:c>
      <x:c r="Y1442" s="19" t="n">
        <x:f>MAX(T1442,1)+MAX(U1442,1)+MAX(V1442,1)</x:f>
        <x:v>7</x:v>
      </x:c>
      <x:c r="Z1442" s="21" t="str">
        <x:f>IF(AND(MIN(D1442:F1442)&gt;=0,MAX(D1442:F1442)&lt;=7,MAX(D1442,1)+MAX(E1442,1)+MAX(F1442,1)&lt;=9,OR(H1442="-",AND(H1442=0,D1442&gt;0),AND(H1442=1,E1442&gt;0),AND(H1442=2,F1442&gt;0)),OR(I1442=0,AND(I1442=1,OR(J1442=0,J1442=1,J1442=2),R1442&lt;&gt;"000")),Y1442&lt;=9,MIN(T1442:V1442)&gt;=0),"合法","输入违约")</x:f>
        <x:v>合法</x:v>
      </x:c>
    </x:row>
    <x:row r="1443" ht="23" customHeight="1">
      <x:c r="A1443" s="3" t="str">
        <x:v>CT-1436</x:v>
      </x:c>
      <x:c r="B1443" s="3" t="str">
        <x:v>ST-140</x:v>
      </x:c>
      <x:c r="C1443" s="3" t="str">
        <x:v>R+AR同收同发</x:v>
      </x:c>
      <x:c r="D1443" s="25" t="n">
        <x:v>2</x:v>
      </x:c>
      <x:c r="E1443" s="25" t="n">
        <x:v>4</x:v>
      </x:c>
      <x:c r="F1443" s="25" t="n">
        <x:v>2</x:v>
      </x:c>
      <x:c r="G1443" s="19" t="n">
        <x:f>SUM(D1443:F1443)</x:f>
        <x:v>8</x:v>
      </x:c>
      <x:c r="H1443" s="25" t="n">
        <x:v>0</x:v>
      </x:c>
      <x:c r="I1443" s="25" t="n">
        <x:v>1</x:v>
      </x:c>
      <x:c r="J1443" s="25" t="n">
        <x:v>0</x:v>
      </x:c>
      <x:c r="K1443" s="19" t="n">
        <x:f>D1443-IF(H1443=0,1,0)</x:f>
        <x:v>1</x:v>
      </x:c>
      <x:c r="L1443" s="19" t="n">
        <x:f>E1443-IF(H1443=1,1,0)</x:f>
        <x:v>4</x:v>
      </x:c>
      <x:c r="M1443" s="19" t="n">
        <x:f>F1443-IF(H1443=2,1,0)</x:f>
        <x:v>2</x:v>
      </x:c>
      <x:c r="N1443" s="19" t="n">
        <x:f>MAX(K1443-1,0)+MAX(L1443-1,0)+MAX(M1443-1,0)</x:f>
        <x:v>4</x:v>
      </x:c>
      <x:c r="O1443" s="19" t="n">
        <x:f>IF(AND(SUM(K1443:M1443)&lt;9,OR(M1443=0,N1443&lt;6)),1,0)</x:f>
        <x:v>1</x:v>
      </x:c>
      <x:c r="P1443" s="19" t="n">
        <x:f>IF(AND(SUM(K1443:M1443)&lt;9,OR(L1443=0,N1443&lt;6)),1,0)</x:f>
        <x:v>1</x:v>
      </x:c>
      <x:c r="Q1443" s="19" t="n">
        <x:f>IF(AND(SUM(K1443:M1443)&lt;9,OR(K1443=0,N1443&lt;6)),1,0)</x:f>
        <x:v>1</x:v>
      </x:c>
      <x:c r="R1443" s="22" t="str">
        <x:f>O1443&amp;P1443&amp;Q1443</x:f>
        <x:v>111</x:v>
      </x:c>
      <x:c r="S1443" s="19" t="n">
        <x:f>IF(I1443=1,IF(J1443=0,Q1443,IF(J1443=1,P1443,IF(J1443=2,O1443,0))),0)</x:f>
        <x:v>1</x:v>
      </x:c>
      <x:c r="T1443" s="19" t="n">
        <x:f>K1443+IF(AND(S1443=1,J1443=0),1,0)</x:f>
        <x:v>2</x:v>
      </x:c>
      <x:c r="U1443" s="19" t="n">
        <x:f>L1443+IF(AND(S1443=1,J1443=1),1,0)</x:f>
        <x:v>4</x:v>
      </x:c>
      <x:c r="V1443" s="19" t="n">
        <x:f>M1443+IF(AND(S1443=1,J1443=2),1,0)</x:f>
        <x:v>2</x:v>
      </x:c>
      <x:c r="W1443" s="19" t="n">
        <x:f>SUM(T1443:V1443)</x:f>
        <x:v>8</x:v>
      </x:c>
      <x:c r="X1443" s="19" t="n">
        <x:f>W1443-G1443</x:f>
        <x:v>0</x:v>
      </x:c>
      <x:c r="Y1443" s="19" t="n">
        <x:f>MAX(T1443,1)+MAX(U1443,1)+MAX(V1443,1)</x:f>
        <x:v>8</x:v>
      </x:c>
      <x:c r="Z1443" s="21" t="str">
        <x:f>IF(AND(MIN(D1443:F1443)&gt;=0,MAX(D1443:F1443)&lt;=7,MAX(D1443,1)+MAX(E1443,1)+MAX(F1443,1)&lt;=9,OR(H1443="-",AND(H1443=0,D1443&gt;0),AND(H1443=1,E1443&gt;0),AND(H1443=2,F1443&gt;0)),OR(I1443=0,AND(I1443=1,OR(J1443=0,J1443=1,J1443=2),R1443&lt;&gt;"000")),Y1443&lt;=9,MIN(T1443:V1443)&gt;=0),"合法","输入违约")</x:f>
        <x:v>合法</x:v>
      </x:c>
    </x:row>
    <x:row r="1444" ht="23" customHeight="1">
      <x:c r="A1444" s="3" t="str">
        <x:v>CT-1437</x:v>
      </x:c>
      <x:c r="B1444" s="3" t="str">
        <x:v>ST-140</x:v>
      </x:c>
      <x:c r="C1444" s="3" t="str">
        <x:v>R+AR同收同发</x:v>
      </x:c>
      <x:c r="D1444" s="25" t="n">
        <x:v>2</x:v>
      </x:c>
      <x:c r="E1444" s="25" t="n">
        <x:v>4</x:v>
      </x:c>
      <x:c r="F1444" s="25" t="n">
        <x:v>2</x:v>
      </x:c>
      <x:c r="G1444" s="19" t="n">
        <x:f>SUM(D1444:F1444)</x:f>
        <x:v>8</x:v>
      </x:c>
      <x:c r="H1444" s="25" t="n">
        <x:v>0</x:v>
      </x:c>
      <x:c r="I1444" s="25" t="n">
        <x:v>1</x:v>
      </x:c>
      <x:c r="J1444" s="25" t="n">
        <x:v>1</x:v>
      </x:c>
      <x:c r="K1444" s="19" t="n">
        <x:f>D1444-IF(H1444=0,1,0)</x:f>
        <x:v>1</x:v>
      </x:c>
      <x:c r="L1444" s="19" t="n">
        <x:f>E1444-IF(H1444=1,1,0)</x:f>
        <x:v>4</x:v>
      </x:c>
      <x:c r="M1444" s="19" t="n">
        <x:f>F1444-IF(H1444=2,1,0)</x:f>
        <x:v>2</x:v>
      </x:c>
      <x:c r="N1444" s="19" t="n">
        <x:f>MAX(K1444-1,0)+MAX(L1444-1,0)+MAX(M1444-1,0)</x:f>
        <x:v>4</x:v>
      </x:c>
      <x:c r="O1444" s="19" t="n">
        <x:f>IF(AND(SUM(K1444:M1444)&lt;9,OR(M1444=0,N1444&lt;6)),1,0)</x:f>
        <x:v>1</x:v>
      </x:c>
      <x:c r="P1444" s="19" t="n">
        <x:f>IF(AND(SUM(K1444:M1444)&lt;9,OR(L1444=0,N1444&lt;6)),1,0)</x:f>
        <x:v>1</x:v>
      </x:c>
      <x:c r="Q1444" s="19" t="n">
        <x:f>IF(AND(SUM(K1444:M1444)&lt;9,OR(K1444=0,N1444&lt;6)),1,0)</x:f>
        <x:v>1</x:v>
      </x:c>
      <x:c r="R1444" s="22" t="str">
        <x:f>O1444&amp;P1444&amp;Q1444</x:f>
        <x:v>111</x:v>
      </x:c>
      <x:c r="S1444" s="19" t="n">
        <x:f>IF(I1444=1,IF(J1444=0,Q1444,IF(J1444=1,P1444,IF(J1444=2,O1444,0))),0)</x:f>
        <x:v>1</x:v>
      </x:c>
      <x:c r="T1444" s="19" t="n">
        <x:f>K1444+IF(AND(S1444=1,J1444=0),1,0)</x:f>
        <x:v>1</x:v>
      </x:c>
      <x:c r="U1444" s="19" t="n">
        <x:f>L1444+IF(AND(S1444=1,J1444=1),1,0)</x:f>
        <x:v>5</x:v>
      </x:c>
      <x:c r="V1444" s="19" t="n">
        <x:f>M1444+IF(AND(S1444=1,J1444=2),1,0)</x:f>
        <x:v>2</x:v>
      </x:c>
      <x:c r="W1444" s="19" t="n">
        <x:f>SUM(T1444:V1444)</x:f>
        <x:v>8</x:v>
      </x:c>
      <x:c r="X1444" s="19" t="n">
        <x:f>W1444-G1444</x:f>
        <x:v>0</x:v>
      </x:c>
      <x:c r="Y1444" s="19" t="n">
        <x:f>MAX(T1444,1)+MAX(U1444,1)+MAX(V1444,1)</x:f>
        <x:v>8</x:v>
      </x:c>
      <x:c r="Z1444" s="21" t="str">
        <x:f>IF(AND(MIN(D1444:F1444)&gt;=0,MAX(D1444:F1444)&lt;=7,MAX(D1444,1)+MAX(E1444,1)+MAX(F1444,1)&lt;=9,OR(H1444="-",AND(H1444=0,D1444&gt;0),AND(H1444=1,E1444&gt;0),AND(H1444=2,F1444&gt;0)),OR(I1444=0,AND(I1444=1,OR(J1444=0,J1444=1,J1444=2),R1444&lt;&gt;"000")),Y1444&lt;=9,MIN(T1444:V1444)&gt;=0),"合法","输入违约")</x:f>
        <x:v>合法</x:v>
      </x:c>
    </x:row>
    <x:row r="1445" ht="23" customHeight="1">
      <x:c r="A1445" s="3" t="str">
        <x:v>CT-1438</x:v>
      </x:c>
      <x:c r="B1445" s="3" t="str">
        <x:v>ST-140</x:v>
      </x:c>
      <x:c r="C1445" s="3" t="str">
        <x:v>R+AR同收同发</x:v>
      </x:c>
      <x:c r="D1445" s="25" t="n">
        <x:v>2</x:v>
      </x:c>
      <x:c r="E1445" s="25" t="n">
        <x:v>4</x:v>
      </x:c>
      <x:c r="F1445" s="25" t="n">
        <x:v>2</x:v>
      </x:c>
      <x:c r="G1445" s="19" t="n">
        <x:f>SUM(D1445:F1445)</x:f>
        <x:v>8</x:v>
      </x:c>
      <x:c r="H1445" s="25" t="n">
        <x:v>0</x:v>
      </x:c>
      <x:c r="I1445" s="25" t="n">
        <x:v>1</x:v>
      </x:c>
      <x:c r="J1445" s="25" t="n">
        <x:v>2</x:v>
      </x:c>
      <x:c r="K1445" s="19" t="n">
        <x:f>D1445-IF(H1445=0,1,0)</x:f>
        <x:v>1</x:v>
      </x:c>
      <x:c r="L1445" s="19" t="n">
        <x:f>E1445-IF(H1445=1,1,0)</x:f>
        <x:v>4</x:v>
      </x:c>
      <x:c r="M1445" s="19" t="n">
        <x:f>F1445-IF(H1445=2,1,0)</x:f>
        <x:v>2</x:v>
      </x:c>
      <x:c r="N1445" s="19" t="n">
        <x:f>MAX(K1445-1,0)+MAX(L1445-1,0)+MAX(M1445-1,0)</x:f>
        <x:v>4</x:v>
      </x:c>
      <x:c r="O1445" s="19" t="n">
        <x:f>IF(AND(SUM(K1445:M1445)&lt;9,OR(M1445=0,N1445&lt;6)),1,0)</x:f>
        <x:v>1</x:v>
      </x:c>
      <x:c r="P1445" s="19" t="n">
        <x:f>IF(AND(SUM(K1445:M1445)&lt;9,OR(L1445=0,N1445&lt;6)),1,0)</x:f>
        <x:v>1</x:v>
      </x:c>
      <x:c r="Q1445" s="19" t="n">
        <x:f>IF(AND(SUM(K1445:M1445)&lt;9,OR(K1445=0,N1445&lt;6)),1,0)</x:f>
        <x:v>1</x:v>
      </x:c>
      <x:c r="R1445" s="22" t="str">
        <x:f>O1445&amp;P1445&amp;Q1445</x:f>
        <x:v>111</x:v>
      </x:c>
      <x:c r="S1445" s="19" t="n">
        <x:f>IF(I1445=1,IF(J1445=0,Q1445,IF(J1445=1,P1445,IF(J1445=2,O1445,0))),0)</x:f>
        <x:v>1</x:v>
      </x:c>
      <x:c r="T1445" s="19" t="n">
        <x:f>K1445+IF(AND(S1445=1,J1445=0),1,0)</x:f>
        <x:v>1</x:v>
      </x:c>
      <x:c r="U1445" s="19" t="n">
        <x:f>L1445+IF(AND(S1445=1,J1445=1),1,0)</x:f>
        <x:v>4</x:v>
      </x:c>
      <x:c r="V1445" s="19" t="n">
        <x:f>M1445+IF(AND(S1445=1,J1445=2),1,0)</x:f>
        <x:v>3</x:v>
      </x:c>
      <x:c r="W1445" s="19" t="n">
        <x:f>SUM(T1445:V1445)</x:f>
        <x:v>8</x:v>
      </x:c>
      <x:c r="X1445" s="19" t="n">
        <x:f>W1445-G1445</x:f>
        <x:v>0</x:v>
      </x:c>
      <x:c r="Y1445" s="19" t="n">
        <x:f>MAX(T1445,1)+MAX(U1445,1)+MAX(V1445,1)</x:f>
        <x:v>8</x:v>
      </x:c>
      <x:c r="Z1445" s="21" t="str">
        <x:f>IF(AND(MIN(D1445:F1445)&gt;=0,MAX(D1445:F1445)&lt;=7,MAX(D1445,1)+MAX(E1445,1)+MAX(F1445,1)&lt;=9,OR(H1445="-",AND(H1445=0,D1445&gt;0),AND(H1445=1,E1445&gt;0),AND(H1445=2,F1445&gt;0)),OR(I1445=0,AND(I1445=1,OR(J1445=0,J1445=1,J1445=2),R1445&lt;&gt;"000")),Y1445&lt;=9,MIN(T1445:V1445)&gt;=0),"合法","输入违约")</x:f>
        <x:v>合法</x:v>
      </x:c>
    </x:row>
    <x:row r="1446" ht="23" customHeight="1">
      <x:c r="A1446" s="3" t="str">
        <x:v>CT-1439</x:v>
      </x:c>
      <x:c r="B1446" s="3" t="str">
        <x:v>ST-140</x:v>
      </x:c>
      <x:c r="C1446" s="3" t="str">
        <x:v>仅R回收</x:v>
      </x:c>
      <x:c r="D1446" s="25" t="n">
        <x:v>2</x:v>
      </x:c>
      <x:c r="E1446" s="25" t="n">
        <x:v>4</x:v>
      </x:c>
      <x:c r="F1446" s="25" t="n">
        <x:v>2</x:v>
      </x:c>
      <x:c r="G1446" s="19" t="n">
        <x:f>SUM(D1446:F1446)</x:f>
        <x:v>8</x:v>
      </x:c>
      <x:c r="H1446" s="25" t="n">
        <x:v>1</x:v>
      </x:c>
      <x:c r="I1446" s="25" t="n">
        <x:v>0</x:v>
      </x:c>
      <x:c r="J1446" s="25" t="str">
        <x:v>-</x:v>
      </x:c>
      <x:c r="K1446" s="19" t="n">
        <x:f>D1446-IF(H1446=0,1,0)</x:f>
        <x:v>2</x:v>
      </x:c>
      <x:c r="L1446" s="19" t="n">
        <x:f>E1446-IF(H1446=1,1,0)</x:f>
        <x:v>3</x:v>
      </x:c>
      <x:c r="M1446" s="19" t="n">
        <x:f>F1446-IF(H1446=2,1,0)</x:f>
        <x:v>2</x:v>
      </x:c>
      <x:c r="N1446" s="19" t="n">
        <x:f>MAX(K1446-1,0)+MAX(L1446-1,0)+MAX(M1446-1,0)</x:f>
        <x:v>4</x:v>
      </x:c>
      <x:c r="O1446" s="19" t="n">
        <x:f>IF(AND(SUM(K1446:M1446)&lt;9,OR(M1446=0,N1446&lt;6)),1,0)</x:f>
        <x:v>1</x:v>
      </x:c>
      <x:c r="P1446" s="19" t="n">
        <x:f>IF(AND(SUM(K1446:M1446)&lt;9,OR(L1446=0,N1446&lt;6)),1,0)</x:f>
        <x:v>1</x:v>
      </x:c>
      <x:c r="Q1446" s="19" t="n">
        <x:f>IF(AND(SUM(K1446:M1446)&lt;9,OR(K1446=0,N1446&lt;6)),1,0)</x:f>
        <x:v>1</x:v>
      </x:c>
      <x:c r="R1446" s="22" t="str">
        <x:f>O1446&amp;P1446&amp;Q1446</x:f>
        <x:v>111</x:v>
      </x:c>
      <x:c r="S1446" s="19" t="n">
        <x:f>IF(I1446=1,IF(J1446=0,Q1446,IF(J1446=1,P1446,IF(J1446=2,O1446,0))),0)</x:f>
        <x:v>0</x:v>
      </x:c>
      <x:c r="T1446" s="19" t="n">
        <x:f>K1446+IF(AND(S1446=1,J1446=0),1,0)</x:f>
        <x:v>2</x:v>
      </x:c>
      <x:c r="U1446" s="19" t="n">
        <x:f>L1446+IF(AND(S1446=1,J1446=1),1,0)</x:f>
        <x:v>3</x:v>
      </x:c>
      <x:c r="V1446" s="19" t="n">
        <x:f>M1446+IF(AND(S1446=1,J1446=2),1,0)</x:f>
        <x:v>2</x:v>
      </x:c>
      <x:c r="W1446" s="19" t="n">
        <x:f>SUM(T1446:V1446)</x:f>
        <x:v>7</x:v>
      </x:c>
      <x:c r="X1446" s="19" t="n">
        <x:f>W1446-G1446</x:f>
        <x:v>-1</x:v>
      </x:c>
      <x:c r="Y1446" s="19" t="n">
        <x:f>MAX(T1446,1)+MAX(U1446,1)+MAX(V1446,1)</x:f>
        <x:v>7</x:v>
      </x:c>
      <x:c r="Z1446" s="21" t="str">
        <x:f>IF(AND(MIN(D1446:F1446)&gt;=0,MAX(D1446:F1446)&lt;=7,MAX(D1446,1)+MAX(E1446,1)+MAX(F1446,1)&lt;=9,OR(H1446="-",AND(H1446=0,D1446&gt;0),AND(H1446=1,E1446&gt;0),AND(H1446=2,F1446&gt;0)),OR(I1446=0,AND(I1446=1,OR(J1446=0,J1446=1,J1446=2),R1446&lt;&gt;"000")),Y1446&lt;=9,MIN(T1446:V1446)&gt;=0),"合法","输入违约")</x:f>
        <x:v>合法</x:v>
      </x:c>
    </x:row>
    <x:row r="1447" ht="23" customHeight="1">
      <x:c r="A1447" s="3" t="str">
        <x:v>CT-1440</x:v>
      </x:c>
      <x:c r="B1447" s="3" t="str">
        <x:v>ST-140</x:v>
      </x:c>
      <x:c r="C1447" s="3" t="str">
        <x:v>R+AR同收同发</x:v>
      </x:c>
      <x:c r="D1447" s="25" t="n">
        <x:v>2</x:v>
      </x:c>
      <x:c r="E1447" s="25" t="n">
        <x:v>4</x:v>
      </x:c>
      <x:c r="F1447" s="25" t="n">
        <x:v>2</x:v>
      </x:c>
      <x:c r="G1447" s="19" t="n">
        <x:f>SUM(D1447:F1447)</x:f>
        <x:v>8</x:v>
      </x:c>
      <x:c r="H1447" s="25" t="n">
        <x:v>1</x:v>
      </x:c>
      <x:c r="I1447" s="25" t="n">
        <x:v>1</x:v>
      </x:c>
      <x:c r="J1447" s="25" t="n">
        <x:v>0</x:v>
      </x:c>
      <x:c r="K1447" s="19" t="n">
        <x:f>D1447-IF(H1447=0,1,0)</x:f>
        <x:v>2</x:v>
      </x:c>
      <x:c r="L1447" s="19" t="n">
        <x:f>E1447-IF(H1447=1,1,0)</x:f>
        <x:v>3</x:v>
      </x:c>
      <x:c r="M1447" s="19" t="n">
        <x:f>F1447-IF(H1447=2,1,0)</x:f>
        <x:v>2</x:v>
      </x:c>
      <x:c r="N1447" s="19" t="n">
        <x:f>MAX(K1447-1,0)+MAX(L1447-1,0)+MAX(M1447-1,0)</x:f>
        <x:v>4</x:v>
      </x:c>
      <x:c r="O1447" s="19" t="n">
        <x:f>IF(AND(SUM(K1447:M1447)&lt;9,OR(M1447=0,N1447&lt;6)),1,0)</x:f>
        <x:v>1</x:v>
      </x:c>
      <x:c r="P1447" s="19" t="n">
        <x:f>IF(AND(SUM(K1447:M1447)&lt;9,OR(L1447=0,N1447&lt;6)),1,0)</x:f>
        <x:v>1</x:v>
      </x:c>
      <x:c r="Q1447" s="19" t="n">
        <x:f>IF(AND(SUM(K1447:M1447)&lt;9,OR(K1447=0,N1447&lt;6)),1,0)</x:f>
        <x:v>1</x:v>
      </x:c>
      <x:c r="R1447" s="22" t="str">
        <x:f>O1447&amp;P1447&amp;Q1447</x:f>
        <x:v>111</x:v>
      </x:c>
      <x:c r="S1447" s="19" t="n">
        <x:f>IF(I1447=1,IF(J1447=0,Q1447,IF(J1447=1,P1447,IF(J1447=2,O1447,0))),0)</x:f>
        <x:v>1</x:v>
      </x:c>
      <x:c r="T1447" s="19" t="n">
        <x:f>K1447+IF(AND(S1447=1,J1447=0),1,0)</x:f>
        <x:v>3</x:v>
      </x:c>
      <x:c r="U1447" s="19" t="n">
        <x:f>L1447+IF(AND(S1447=1,J1447=1),1,0)</x:f>
        <x:v>3</x:v>
      </x:c>
      <x:c r="V1447" s="19" t="n">
        <x:f>M1447+IF(AND(S1447=1,J1447=2),1,0)</x:f>
        <x:v>2</x:v>
      </x:c>
      <x:c r="W1447" s="19" t="n">
        <x:f>SUM(T1447:V1447)</x:f>
        <x:v>8</x:v>
      </x:c>
      <x:c r="X1447" s="19" t="n">
        <x:f>W1447-G1447</x:f>
        <x:v>0</x:v>
      </x:c>
      <x:c r="Y1447" s="19" t="n">
        <x:f>MAX(T1447,1)+MAX(U1447,1)+MAX(V1447,1)</x:f>
        <x:v>8</x:v>
      </x:c>
      <x:c r="Z1447" s="21" t="str">
        <x:f>IF(AND(MIN(D1447:F1447)&gt;=0,MAX(D1447:F1447)&lt;=7,MAX(D1447,1)+MAX(E1447,1)+MAX(F1447,1)&lt;=9,OR(H1447="-",AND(H1447=0,D1447&gt;0),AND(H1447=1,E1447&gt;0),AND(H1447=2,F1447&gt;0)),OR(I1447=0,AND(I1447=1,OR(J1447=0,J1447=1,J1447=2),R1447&lt;&gt;"000")),Y1447&lt;=9,MIN(T1447:V1447)&gt;=0),"合法","输入违约")</x:f>
        <x:v>合法</x:v>
      </x:c>
    </x:row>
    <x:row r="1448" ht="23" customHeight="1">
      <x:c r="A1448" s="3" t="str">
        <x:v>CT-1441</x:v>
      </x:c>
      <x:c r="B1448" s="3" t="str">
        <x:v>ST-140</x:v>
      </x:c>
      <x:c r="C1448" s="3" t="str">
        <x:v>R+AR同收同发</x:v>
      </x:c>
      <x:c r="D1448" s="25" t="n">
        <x:v>2</x:v>
      </x:c>
      <x:c r="E1448" s="25" t="n">
        <x:v>4</x:v>
      </x:c>
      <x:c r="F1448" s="25" t="n">
        <x:v>2</x:v>
      </x:c>
      <x:c r="G1448" s="19" t="n">
        <x:f>SUM(D1448:F1448)</x:f>
        <x:v>8</x:v>
      </x:c>
      <x:c r="H1448" s="25" t="n">
        <x:v>1</x:v>
      </x:c>
      <x:c r="I1448" s="25" t="n">
        <x:v>1</x:v>
      </x:c>
      <x:c r="J1448" s="25" t="n">
        <x:v>1</x:v>
      </x:c>
      <x:c r="K1448" s="19" t="n">
        <x:f>D1448-IF(H1448=0,1,0)</x:f>
        <x:v>2</x:v>
      </x:c>
      <x:c r="L1448" s="19" t="n">
        <x:f>E1448-IF(H1448=1,1,0)</x:f>
        <x:v>3</x:v>
      </x:c>
      <x:c r="M1448" s="19" t="n">
        <x:f>F1448-IF(H1448=2,1,0)</x:f>
        <x:v>2</x:v>
      </x:c>
      <x:c r="N1448" s="19" t="n">
        <x:f>MAX(K1448-1,0)+MAX(L1448-1,0)+MAX(M1448-1,0)</x:f>
        <x:v>4</x:v>
      </x:c>
      <x:c r="O1448" s="19" t="n">
        <x:f>IF(AND(SUM(K1448:M1448)&lt;9,OR(M1448=0,N1448&lt;6)),1,0)</x:f>
        <x:v>1</x:v>
      </x:c>
      <x:c r="P1448" s="19" t="n">
        <x:f>IF(AND(SUM(K1448:M1448)&lt;9,OR(L1448=0,N1448&lt;6)),1,0)</x:f>
        <x:v>1</x:v>
      </x:c>
      <x:c r="Q1448" s="19" t="n">
        <x:f>IF(AND(SUM(K1448:M1448)&lt;9,OR(K1448=0,N1448&lt;6)),1,0)</x:f>
        <x:v>1</x:v>
      </x:c>
      <x:c r="R1448" s="22" t="str">
        <x:f>O1448&amp;P1448&amp;Q1448</x:f>
        <x:v>111</x:v>
      </x:c>
      <x:c r="S1448" s="19" t="n">
        <x:f>IF(I1448=1,IF(J1448=0,Q1448,IF(J1448=1,P1448,IF(J1448=2,O1448,0))),0)</x:f>
        <x:v>1</x:v>
      </x:c>
      <x:c r="T1448" s="19" t="n">
        <x:f>K1448+IF(AND(S1448=1,J1448=0),1,0)</x:f>
        <x:v>2</x:v>
      </x:c>
      <x:c r="U1448" s="19" t="n">
        <x:f>L1448+IF(AND(S1448=1,J1448=1),1,0)</x:f>
        <x:v>4</x:v>
      </x:c>
      <x:c r="V1448" s="19" t="n">
        <x:f>M1448+IF(AND(S1448=1,J1448=2),1,0)</x:f>
        <x:v>2</x:v>
      </x:c>
      <x:c r="W1448" s="19" t="n">
        <x:f>SUM(T1448:V1448)</x:f>
        <x:v>8</x:v>
      </x:c>
      <x:c r="X1448" s="19" t="n">
        <x:f>W1448-G1448</x:f>
        <x:v>0</x:v>
      </x:c>
      <x:c r="Y1448" s="19" t="n">
        <x:f>MAX(T1448,1)+MAX(U1448,1)+MAX(V1448,1)</x:f>
        <x:v>8</x:v>
      </x:c>
      <x:c r="Z1448" s="21" t="str">
        <x:f>IF(AND(MIN(D1448:F1448)&gt;=0,MAX(D1448:F1448)&lt;=7,MAX(D1448,1)+MAX(E1448,1)+MAX(F1448,1)&lt;=9,OR(H1448="-",AND(H1448=0,D1448&gt;0),AND(H1448=1,E1448&gt;0),AND(H1448=2,F1448&gt;0)),OR(I1448=0,AND(I1448=1,OR(J1448=0,J1448=1,J1448=2),R1448&lt;&gt;"000")),Y1448&lt;=9,MIN(T1448:V1448)&gt;=0),"合法","输入违约")</x:f>
        <x:v>合法</x:v>
      </x:c>
    </x:row>
    <x:row r="1449" ht="23" customHeight="1">
      <x:c r="A1449" s="3" t="str">
        <x:v>CT-1442</x:v>
      </x:c>
      <x:c r="B1449" s="3" t="str">
        <x:v>ST-140</x:v>
      </x:c>
      <x:c r="C1449" s="3" t="str">
        <x:v>R+AR同收同发</x:v>
      </x:c>
      <x:c r="D1449" s="25" t="n">
        <x:v>2</x:v>
      </x:c>
      <x:c r="E1449" s="25" t="n">
        <x:v>4</x:v>
      </x:c>
      <x:c r="F1449" s="25" t="n">
        <x:v>2</x:v>
      </x:c>
      <x:c r="G1449" s="19" t="n">
        <x:f>SUM(D1449:F1449)</x:f>
        <x:v>8</x:v>
      </x:c>
      <x:c r="H1449" s="25" t="n">
        <x:v>1</x:v>
      </x:c>
      <x:c r="I1449" s="25" t="n">
        <x:v>1</x:v>
      </x:c>
      <x:c r="J1449" s="25" t="n">
        <x:v>2</x:v>
      </x:c>
      <x:c r="K1449" s="19" t="n">
        <x:f>D1449-IF(H1449=0,1,0)</x:f>
        <x:v>2</x:v>
      </x:c>
      <x:c r="L1449" s="19" t="n">
        <x:f>E1449-IF(H1449=1,1,0)</x:f>
        <x:v>3</x:v>
      </x:c>
      <x:c r="M1449" s="19" t="n">
        <x:f>F1449-IF(H1449=2,1,0)</x:f>
        <x:v>2</x:v>
      </x:c>
      <x:c r="N1449" s="19" t="n">
        <x:f>MAX(K1449-1,0)+MAX(L1449-1,0)+MAX(M1449-1,0)</x:f>
        <x:v>4</x:v>
      </x:c>
      <x:c r="O1449" s="19" t="n">
        <x:f>IF(AND(SUM(K1449:M1449)&lt;9,OR(M1449=0,N1449&lt;6)),1,0)</x:f>
        <x:v>1</x:v>
      </x:c>
      <x:c r="P1449" s="19" t="n">
        <x:f>IF(AND(SUM(K1449:M1449)&lt;9,OR(L1449=0,N1449&lt;6)),1,0)</x:f>
        <x:v>1</x:v>
      </x:c>
      <x:c r="Q1449" s="19" t="n">
        <x:f>IF(AND(SUM(K1449:M1449)&lt;9,OR(K1449=0,N1449&lt;6)),1,0)</x:f>
        <x:v>1</x:v>
      </x:c>
      <x:c r="R1449" s="22" t="str">
        <x:f>O1449&amp;P1449&amp;Q1449</x:f>
        <x:v>111</x:v>
      </x:c>
      <x:c r="S1449" s="19" t="n">
        <x:f>IF(I1449=1,IF(J1449=0,Q1449,IF(J1449=1,P1449,IF(J1449=2,O1449,0))),0)</x:f>
        <x:v>1</x:v>
      </x:c>
      <x:c r="T1449" s="19" t="n">
        <x:f>K1449+IF(AND(S1449=1,J1449=0),1,0)</x:f>
        <x:v>2</x:v>
      </x:c>
      <x:c r="U1449" s="19" t="n">
        <x:f>L1449+IF(AND(S1449=1,J1449=1),1,0)</x:f>
        <x:v>3</x:v>
      </x:c>
      <x:c r="V1449" s="19" t="n">
        <x:f>M1449+IF(AND(S1449=1,J1449=2),1,0)</x:f>
        <x:v>3</x:v>
      </x:c>
      <x:c r="W1449" s="19" t="n">
        <x:f>SUM(T1449:V1449)</x:f>
        <x:v>8</x:v>
      </x:c>
      <x:c r="X1449" s="19" t="n">
        <x:f>W1449-G1449</x:f>
        <x:v>0</x:v>
      </x:c>
      <x:c r="Y1449" s="19" t="n">
        <x:f>MAX(T1449,1)+MAX(U1449,1)+MAX(V1449,1)</x:f>
        <x:v>8</x:v>
      </x:c>
      <x:c r="Z1449" s="21" t="str">
        <x:f>IF(AND(MIN(D1449:F1449)&gt;=0,MAX(D1449:F1449)&lt;=7,MAX(D1449,1)+MAX(E1449,1)+MAX(F1449,1)&lt;=9,OR(H1449="-",AND(H1449=0,D1449&gt;0),AND(H1449=1,E1449&gt;0),AND(H1449=2,F1449&gt;0)),OR(I1449=0,AND(I1449=1,OR(J1449=0,J1449=1,J1449=2),R1449&lt;&gt;"000")),Y1449&lt;=9,MIN(T1449:V1449)&gt;=0),"合法","输入违约")</x:f>
        <x:v>合法</x:v>
      </x:c>
    </x:row>
    <x:row r="1450" ht="23" customHeight="1">
      <x:c r="A1450" s="3" t="str">
        <x:v>CT-1443</x:v>
      </x:c>
      <x:c r="B1450" s="3" t="str">
        <x:v>ST-140</x:v>
      </x:c>
      <x:c r="C1450" s="3" t="str">
        <x:v>仅R回收</x:v>
      </x:c>
      <x:c r="D1450" s="25" t="n">
        <x:v>2</x:v>
      </x:c>
      <x:c r="E1450" s="25" t="n">
        <x:v>4</x:v>
      </x:c>
      <x:c r="F1450" s="25" t="n">
        <x:v>2</x:v>
      </x:c>
      <x:c r="G1450" s="19" t="n">
        <x:f>SUM(D1450:F1450)</x:f>
        <x:v>8</x:v>
      </x:c>
      <x:c r="H1450" s="25" t="n">
        <x:v>2</x:v>
      </x:c>
      <x:c r="I1450" s="25" t="n">
        <x:v>0</x:v>
      </x:c>
      <x:c r="J1450" s="25" t="str">
        <x:v>-</x:v>
      </x:c>
      <x:c r="K1450" s="19" t="n">
        <x:f>D1450-IF(H1450=0,1,0)</x:f>
        <x:v>2</x:v>
      </x:c>
      <x:c r="L1450" s="19" t="n">
        <x:f>E1450-IF(H1450=1,1,0)</x:f>
        <x:v>4</x:v>
      </x:c>
      <x:c r="M1450" s="19" t="n">
        <x:f>F1450-IF(H1450=2,1,0)</x:f>
        <x:v>1</x:v>
      </x:c>
      <x:c r="N1450" s="19" t="n">
        <x:f>MAX(K1450-1,0)+MAX(L1450-1,0)+MAX(M1450-1,0)</x:f>
        <x:v>4</x:v>
      </x:c>
      <x:c r="O1450" s="19" t="n">
        <x:f>IF(AND(SUM(K1450:M1450)&lt;9,OR(M1450=0,N1450&lt;6)),1,0)</x:f>
        <x:v>1</x:v>
      </x:c>
      <x:c r="P1450" s="19" t="n">
        <x:f>IF(AND(SUM(K1450:M1450)&lt;9,OR(L1450=0,N1450&lt;6)),1,0)</x:f>
        <x:v>1</x:v>
      </x:c>
      <x:c r="Q1450" s="19" t="n">
        <x:f>IF(AND(SUM(K1450:M1450)&lt;9,OR(K1450=0,N1450&lt;6)),1,0)</x:f>
        <x:v>1</x:v>
      </x:c>
      <x:c r="R1450" s="22" t="str">
        <x:f>O1450&amp;P1450&amp;Q1450</x:f>
        <x:v>111</x:v>
      </x:c>
      <x:c r="S1450" s="19" t="n">
        <x:f>IF(I1450=1,IF(J1450=0,Q1450,IF(J1450=1,P1450,IF(J1450=2,O1450,0))),0)</x:f>
        <x:v>0</x:v>
      </x:c>
      <x:c r="T1450" s="19" t="n">
        <x:f>K1450+IF(AND(S1450=1,J1450=0),1,0)</x:f>
        <x:v>2</x:v>
      </x:c>
      <x:c r="U1450" s="19" t="n">
        <x:f>L1450+IF(AND(S1450=1,J1450=1),1,0)</x:f>
        <x:v>4</x:v>
      </x:c>
      <x:c r="V1450" s="19" t="n">
        <x:f>M1450+IF(AND(S1450=1,J1450=2),1,0)</x:f>
        <x:v>1</x:v>
      </x:c>
      <x:c r="W1450" s="19" t="n">
        <x:f>SUM(T1450:V1450)</x:f>
        <x:v>7</x:v>
      </x:c>
      <x:c r="X1450" s="19" t="n">
        <x:f>W1450-G1450</x:f>
        <x:v>-1</x:v>
      </x:c>
      <x:c r="Y1450" s="19" t="n">
        <x:f>MAX(T1450,1)+MAX(U1450,1)+MAX(V1450,1)</x:f>
        <x:v>7</x:v>
      </x:c>
      <x:c r="Z1450" s="21" t="str">
        <x:f>IF(AND(MIN(D1450:F1450)&gt;=0,MAX(D1450:F1450)&lt;=7,MAX(D1450,1)+MAX(E1450,1)+MAX(F1450,1)&lt;=9,OR(H1450="-",AND(H1450=0,D1450&gt;0),AND(H1450=1,E1450&gt;0),AND(H1450=2,F1450&gt;0)),OR(I1450=0,AND(I1450=1,OR(J1450=0,J1450=1,J1450=2),R1450&lt;&gt;"000")),Y1450&lt;=9,MIN(T1450:V1450)&gt;=0),"合法","输入违约")</x:f>
        <x:v>合法</x:v>
      </x:c>
    </x:row>
    <x:row r="1451" ht="23" customHeight="1">
      <x:c r="A1451" s="3" t="str">
        <x:v>CT-1444</x:v>
      </x:c>
      <x:c r="B1451" s="3" t="str">
        <x:v>ST-140</x:v>
      </x:c>
      <x:c r="C1451" s="3" t="str">
        <x:v>R+AR同收同发</x:v>
      </x:c>
      <x:c r="D1451" s="25" t="n">
        <x:v>2</x:v>
      </x:c>
      <x:c r="E1451" s="25" t="n">
        <x:v>4</x:v>
      </x:c>
      <x:c r="F1451" s="25" t="n">
        <x:v>2</x:v>
      </x:c>
      <x:c r="G1451" s="19" t="n">
        <x:f>SUM(D1451:F1451)</x:f>
        <x:v>8</x:v>
      </x:c>
      <x:c r="H1451" s="25" t="n">
        <x:v>2</x:v>
      </x:c>
      <x:c r="I1451" s="25" t="n">
        <x:v>1</x:v>
      </x:c>
      <x:c r="J1451" s="25" t="n">
        <x:v>0</x:v>
      </x:c>
      <x:c r="K1451" s="19" t="n">
        <x:f>D1451-IF(H1451=0,1,0)</x:f>
        <x:v>2</x:v>
      </x:c>
      <x:c r="L1451" s="19" t="n">
        <x:f>E1451-IF(H1451=1,1,0)</x:f>
        <x:v>4</x:v>
      </x:c>
      <x:c r="M1451" s="19" t="n">
        <x:f>F1451-IF(H1451=2,1,0)</x:f>
        <x:v>1</x:v>
      </x:c>
      <x:c r="N1451" s="19" t="n">
        <x:f>MAX(K1451-1,0)+MAX(L1451-1,0)+MAX(M1451-1,0)</x:f>
        <x:v>4</x:v>
      </x:c>
      <x:c r="O1451" s="19" t="n">
        <x:f>IF(AND(SUM(K1451:M1451)&lt;9,OR(M1451=0,N1451&lt;6)),1,0)</x:f>
        <x:v>1</x:v>
      </x:c>
      <x:c r="P1451" s="19" t="n">
        <x:f>IF(AND(SUM(K1451:M1451)&lt;9,OR(L1451=0,N1451&lt;6)),1,0)</x:f>
        <x:v>1</x:v>
      </x:c>
      <x:c r="Q1451" s="19" t="n">
        <x:f>IF(AND(SUM(K1451:M1451)&lt;9,OR(K1451=0,N1451&lt;6)),1,0)</x:f>
        <x:v>1</x:v>
      </x:c>
      <x:c r="R1451" s="22" t="str">
        <x:f>O1451&amp;P1451&amp;Q1451</x:f>
        <x:v>111</x:v>
      </x:c>
      <x:c r="S1451" s="19" t="n">
        <x:f>IF(I1451=1,IF(J1451=0,Q1451,IF(J1451=1,P1451,IF(J1451=2,O1451,0))),0)</x:f>
        <x:v>1</x:v>
      </x:c>
      <x:c r="T1451" s="19" t="n">
        <x:f>K1451+IF(AND(S1451=1,J1451=0),1,0)</x:f>
        <x:v>3</x:v>
      </x:c>
      <x:c r="U1451" s="19" t="n">
        <x:f>L1451+IF(AND(S1451=1,J1451=1),1,0)</x:f>
        <x:v>4</x:v>
      </x:c>
      <x:c r="V1451" s="19" t="n">
        <x:f>M1451+IF(AND(S1451=1,J1451=2),1,0)</x:f>
        <x:v>1</x:v>
      </x:c>
      <x:c r="W1451" s="19" t="n">
        <x:f>SUM(T1451:V1451)</x:f>
        <x:v>8</x:v>
      </x:c>
      <x:c r="X1451" s="19" t="n">
        <x:f>W1451-G1451</x:f>
        <x:v>0</x:v>
      </x:c>
      <x:c r="Y1451" s="19" t="n">
        <x:f>MAX(T1451,1)+MAX(U1451,1)+MAX(V1451,1)</x:f>
        <x:v>8</x:v>
      </x:c>
      <x:c r="Z1451" s="21" t="str">
        <x:f>IF(AND(MIN(D1451:F1451)&gt;=0,MAX(D1451:F1451)&lt;=7,MAX(D1451,1)+MAX(E1451,1)+MAX(F1451,1)&lt;=9,OR(H1451="-",AND(H1451=0,D1451&gt;0),AND(H1451=1,E1451&gt;0),AND(H1451=2,F1451&gt;0)),OR(I1451=0,AND(I1451=1,OR(J1451=0,J1451=1,J1451=2),R1451&lt;&gt;"000")),Y1451&lt;=9,MIN(T1451:V1451)&gt;=0),"合法","输入违约")</x:f>
        <x:v>合法</x:v>
      </x:c>
    </x:row>
    <x:row r="1452" ht="23" customHeight="1">
      <x:c r="A1452" s="3" t="str">
        <x:v>CT-1445</x:v>
      </x:c>
      <x:c r="B1452" s="3" t="str">
        <x:v>ST-140</x:v>
      </x:c>
      <x:c r="C1452" s="3" t="str">
        <x:v>R+AR同收同发</x:v>
      </x:c>
      <x:c r="D1452" s="25" t="n">
        <x:v>2</x:v>
      </x:c>
      <x:c r="E1452" s="25" t="n">
        <x:v>4</x:v>
      </x:c>
      <x:c r="F1452" s="25" t="n">
        <x:v>2</x:v>
      </x:c>
      <x:c r="G1452" s="19" t="n">
        <x:f>SUM(D1452:F1452)</x:f>
        <x:v>8</x:v>
      </x:c>
      <x:c r="H1452" s="25" t="n">
        <x:v>2</x:v>
      </x:c>
      <x:c r="I1452" s="25" t="n">
        <x:v>1</x:v>
      </x:c>
      <x:c r="J1452" s="25" t="n">
        <x:v>1</x:v>
      </x:c>
      <x:c r="K1452" s="19" t="n">
        <x:f>D1452-IF(H1452=0,1,0)</x:f>
        <x:v>2</x:v>
      </x:c>
      <x:c r="L1452" s="19" t="n">
        <x:f>E1452-IF(H1452=1,1,0)</x:f>
        <x:v>4</x:v>
      </x:c>
      <x:c r="M1452" s="19" t="n">
        <x:f>F1452-IF(H1452=2,1,0)</x:f>
        <x:v>1</x:v>
      </x:c>
      <x:c r="N1452" s="19" t="n">
        <x:f>MAX(K1452-1,0)+MAX(L1452-1,0)+MAX(M1452-1,0)</x:f>
        <x:v>4</x:v>
      </x:c>
      <x:c r="O1452" s="19" t="n">
        <x:f>IF(AND(SUM(K1452:M1452)&lt;9,OR(M1452=0,N1452&lt;6)),1,0)</x:f>
        <x:v>1</x:v>
      </x:c>
      <x:c r="P1452" s="19" t="n">
        <x:f>IF(AND(SUM(K1452:M1452)&lt;9,OR(L1452=0,N1452&lt;6)),1,0)</x:f>
        <x:v>1</x:v>
      </x:c>
      <x:c r="Q1452" s="19" t="n">
        <x:f>IF(AND(SUM(K1452:M1452)&lt;9,OR(K1452=0,N1452&lt;6)),1,0)</x:f>
        <x:v>1</x:v>
      </x:c>
      <x:c r="R1452" s="22" t="str">
        <x:f>O1452&amp;P1452&amp;Q1452</x:f>
        <x:v>111</x:v>
      </x:c>
      <x:c r="S1452" s="19" t="n">
        <x:f>IF(I1452=1,IF(J1452=0,Q1452,IF(J1452=1,P1452,IF(J1452=2,O1452,0))),0)</x:f>
        <x:v>1</x:v>
      </x:c>
      <x:c r="T1452" s="19" t="n">
        <x:f>K1452+IF(AND(S1452=1,J1452=0),1,0)</x:f>
        <x:v>2</x:v>
      </x:c>
      <x:c r="U1452" s="19" t="n">
        <x:f>L1452+IF(AND(S1452=1,J1452=1),1,0)</x:f>
        <x:v>5</x:v>
      </x:c>
      <x:c r="V1452" s="19" t="n">
        <x:f>M1452+IF(AND(S1452=1,J1452=2),1,0)</x:f>
        <x:v>1</x:v>
      </x:c>
      <x:c r="W1452" s="19" t="n">
        <x:f>SUM(T1452:V1452)</x:f>
        <x:v>8</x:v>
      </x:c>
      <x:c r="X1452" s="19" t="n">
        <x:f>W1452-G1452</x:f>
        <x:v>0</x:v>
      </x:c>
      <x:c r="Y1452" s="19" t="n">
        <x:f>MAX(T1452,1)+MAX(U1452,1)+MAX(V1452,1)</x:f>
        <x:v>8</x:v>
      </x:c>
      <x:c r="Z1452" s="21" t="str">
        <x:f>IF(AND(MIN(D1452:F1452)&gt;=0,MAX(D1452:F1452)&lt;=7,MAX(D1452,1)+MAX(E1452,1)+MAX(F1452,1)&lt;=9,OR(H1452="-",AND(H1452=0,D1452&gt;0),AND(H1452=1,E1452&gt;0),AND(H1452=2,F1452&gt;0)),OR(I1452=0,AND(I1452=1,OR(J1452=0,J1452=1,J1452=2),R1452&lt;&gt;"000")),Y1452&lt;=9,MIN(T1452:V1452)&gt;=0),"合法","输入违约")</x:f>
        <x:v>合法</x:v>
      </x:c>
    </x:row>
    <x:row r="1453" ht="23" customHeight="1">
      <x:c r="A1453" s="3" t="str">
        <x:v>CT-1446</x:v>
      </x:c>
      <x:c r="B1453" s="3" t="str">
        <x:v>ST-140</x:v>
      </x:c>
      <x:c r="C1453" s="3" t="str">
        <x:v>R+AR同收同发</x:v>
      </x:c>
      <x:c r="D1453" s="25" t="n">
        <x:v>2</x:v>
      </x:c>
      <x:c r="E1453" s="25" t="n">
        <x:v>4</x:v>
      </x:c>
      <x:c r="F1453" s="25" t="n">
        <x:v>2</x:v>
      </x:c>
      <x:c r="G1453" s="19" t="n">
        <x:f>SUM(D1453:F1453)</x:f>
        <x:v>8</x:v>
      </x:c>
      <x:c r="H1453" s="25" t="n">
        <x:v>2</x:v>
      </x:c>
      <x:c r="I1453" s="25" t="n">
        <x:v>1</x:v>
      </x:c>
      <x:c r="J1453" s="25" t="n">
        <x:v>2</x:v>
      </x:c>
      <x:c r="K1453" s="19" t="n">
        <x:f>D1453-IF(H1453=0,1,0)</x:f>
        <x:v>2</x:v>
      </x:c>
      <x:c r="L1453" s="19" t="n">
        <x:f>E1453-IF(H1453=1,1,0)</x:f>
        <x:v>4</x:v>
      </x:c>
      <x:c r="M1453" s="19" t="n">
        <x:f>F1453-IF(H1453=2,1,0)</x:f>
        <x:v>1</x:v>
      </x:c>
      <x:c r="N1453" s="19" t="n">
        <x:f>MAX(K1453-1,0)+MAX(L1453-1,0)+MAX(M1453-1,0)</x:f>
        <x:v>4</x:v>
      </x:c>
      <x:c r="O1453" s="19" t="n">
        <x:f>IF(AND(SUM(K1453:M1453)&lt;9,OR(M1453=0,N1453&lt;6)),1,0)</x:f>
        <x:v>1</x:v>
      </x:c>
      <x:c r="P1453" s="19" t="n">
        <x:f>IF(AND(SUM(K1453:M1453)&lt;9,OR(L1453=0,N1453&lt;6)),1,0)</x:f>
        <x:v>1</x:v>
      </x:c>
      <x:c r="Q1453" s="19" t="n">
        <x:f>IF(AND(SUM(K1453:M1453)&lt;9,OR(K1453=0,N1453&lt;6)),1,0)</x:f>
        <x:v>1</x:v>
      </x:c>
      <x:c r="R1453" s="22" t="str">
        <x:f>O1453&amp;P1453&amp;Q1453</x:f>
        <x:v>111</x:v>
      </x:c>
      <x:c r="S1453" s="19" t="n">
        <x:f>IF(I1453=1,IF(J1453=0,Q1453,IF(J1453=1,P1453,IF(J1453=2,O1453,0))),0)</x:f>
        <x:v>1</x:v>
      </x:c>
      <x:c r="T1453" s="19" t="n">
        <x:f>K1453+IF(AND(S1453=1,J1453=0),1,0)</x:f>
        <x:v>2</x:v>
      </x:c>
      <x:c r="U1453" s="19" t="n">
        <x:f>L1453+IF(AND(S1453=1,J1453=1),1,0)</x:f>
        <x:v>4</x:v>
      </x:c>
      <x:c r="V1453" s="19" t="n">
        <x:f>M1453+IF(AND(S1453=1,J1453=2),1,0)</x:f>
        <x:v>2</x:v>
      </x:c>
      <x:c r="W1453" s="19" t="n">
        <x:f>SUM(T1453:V1453)</x:f>
        <x:v>8</x:v>
      </x:c>
      <x:c r="X1453" s="19" t="n">
        <x:f>W1453-G1453</x:f>
        <x:v>0</x:v>
      </x:c>
      <x:c r="Y1453" s="19" t="n">
        <x:f>MAX(T1453,1)+MAX(U1453,1)+MAX(V1453,1)</x:f>
        <x:v>8</x:v>
      </x:c>
      <x:c r="Z1453" s="21" t="str">
        <x:f>IF(AND(MIN(D1453:F1453)&gt;=0,MAX(D1453:F1453)&lt;=7,MAX(D1453,1)+MAX(E1453,1)+MAX(F1453,1)&lt;=9,OR(H1453="-",AND(H1453=0,D1453&gt;0),AND(H1453=1,E1453&gt;0),AND(H1453=2,F1453&gt;0)),OR(I1453=0,AND(I1453=1,OR(J1453=0,J1453=1,J1453=2),R1453&lt;&gt;"000")),Y1453&lt;=9,MIN(T1453:V1453)&gt;=0),"合法","输入违约")</x:f>
        <x:v>合法</x:v>
      </x:c>
    </x:row>
    <x:row r="1454" ht="23" customHeight="1">
      <x:c r="A1454" s="3" t="str">
        <x:v>CT-1447</x:v>
      </x:c>
      <x:c r="B1454" s="3" t="str">
        <x:v>ST-173</x:v>
      </x:c>
      <x:c r="C1454" s="3" t="str">
        <x:v>无AR/R</x:v>
      </x:c>
      <x:c r="D1454" s="25" t="n">
        <x:v>2</x:v>
      </x:c>
      <x:c r="E1454" s="25" t="n">
        <x:v>4</x:v>
      </x:c>
      <x:c r="F1454" s="25" t="n">
        <x:v>3</x:v>
      </x:c>
      <x:c r="G1454" s="19" t="n">
        <x:f>SUM(D1454:F1454)</x:f>
        <x:v>9</x:v>
      </x:c>
      <x:c r="H1454" s="25" t="str">
        <x:v>-</x:v>
      </x:c>
      <x:c r="I1454" s="25" t="n">
        <x:v>0</x:v>
      </x:c>
      <x:c r="J1454" s="25" t="str">
        <x:v>-</x:v>
      </x:c>
      <x:c r="K1454" s="19" t="n">
        <x:f>D1454-IF(H1454=0,1,0)</x:f>
        <x:v>2</x:v>
      </x:c>
      <x:c r="L1454" s="19" t="n">
        <x:f>E1454-IF(H1454=1,1,0)</x:f>
        <x:v>4</x:v>
      </x:c>
      <x:c r="M1454" s="19" t="n">
        <x:f>F1454-IF(H1454=2,1,0)</x:f>
        <x:v>3</x:v>
      </x:c>
      <x:c r="N1454" s="19" t="n">
        <x:f>MAX(K1454-1,0)+MAX(L1454-1,0)+MAX(M1454-1,0)</x:f>
        <x:v>6</x:v>
      </x:c>
      <x:c r="O1454" s="19" t="n">
        <x:f>IF(AND(SUM(K1454:M1454)&lt;9,OR(M1454=0,N1454&lt;6)),1,0)</x:f>
        <x:v>0</x:v>
      </x:c>
      <x:c r="P1454" s="19" t="n">
        <x:f>IF(AND(SUM(K1454:M1454)&lt;9,OR(L1454=0,N1454&lt;6)),1,0)</x:f>
        <x:v>0</x:v>
      </x:c>
      <x:c r="Q1454" s="19" t="n">
        <x:f>IF(AND(SUM(K1454:M1454)&lt;9,OR(K1454=0,N1454&lt;6)),1,0)</x:f>
        <x:v>0</x:v>
      </x:c>
      <x:c r="R1454" s="22" t="str">
        <x:f>O1454&amp;P1454&amp;Q1454</x:f>
        <x:v>000</x:v>
      </x:c>
      <x:c r="S1454" s="19" t="n">
        <x:f>IF(I1454=1,IF(J1454=0,Q1454,IF(J1454=1,P1454,IF(J1454=2,O1454,0))),0)</x:f>
        <x:v>0</x:v>
      </x:c>
      <x:c r="T1454" s="19" t="n">
        <x:f>K1454+IF(AND(S1454=1,J1454=0),1,0)</x:f>
        <x:v>2</x:v>
      </x:c>
      <x:c r="U1454" s="19" t="n">
        <x:f>L1454+IF(AND(S1454=1,J1454=1),1,0)</x:f>
        <x:v>4</x:v>
      </x:c>
      <x:c r="V1454" s="19" t="n">
        <x:f>M1454+IF(AND(S1454=1,J1454=2),1,0)</x:f>
        <x:v>3</x:v>
      </x:c>
      <x:c r="W1454" s="19" t="n">
        <x:f>SUM(T1454:V1454)</x:f>
        <x:v>9</x:v>
      </x:c>
      <x:c r="X1454" s="19" t="n">
        <x:f>W1454-G1454</x:f>
        <x:v>0</x:v>
      </x:c>
      <x:c r="Y1454" s="19" t="n">
        <x:f>MAX(T1454,1)+MAX(U1454,1)+MAX(V1454,1)</x:f>
        <x:v>9</x:v>
      </x:c>
      <x:c r="Z1454" s="21" t="str">
        <x:f>IF(AND(MIN(D1454:F1454)&gt;=0,MAX(D1454:F1454)&lt;=7,MAX(D1454,1)+MAX(E1454,1)+MAX(F1454,1)&lt;=9,OR(H1454="-",AND(H1454=0,D1454&gt;0),AND(H1454=1,E1454&gt;0),AND(H1454=2,F1454&gt;0)),OR(I1454=0,AND(I1454=1,OR(J1454=0,J1454=1,J1454=2),R1454&lt;&gt;"000")),Y1454&lt;=9,MIN(T1454:V1454)&gt;=0),"合法","输入违约")</x:f>
        <x:v>合法</x:v>
      </x:c>
    </x:row>
    <x:row r="1455" ht="23" customHeight="1">
      <x:c r="A1455" s="3" t="str">
        <x:v>CT-1448</x:v>
      </x:c>
      <x:c r="B1455" s="3" t="str">
        <x:v>ST-173</x:v>
      </x:c>
      <x:c r="C1455" s="3" t="str">
        <x:v>仅R回收</x:v>
      </x:c>
      <x:c r="D1455" s="25" t="n">
        <x:v>2</x:v>
      </x:c>
      <x:c r="E1455" s="25" t="n">
        <x:v>4</x:v>
      </x:c>
      <x:c r="F1455" s="25" t="n">
        <x:v>3</x:v>
      </x:c>
      <x:c r="G1455" s="19" t="n">
        <x:f>SUM(D1455:F1455)</x:f>
        <x:v>9</x:v>
      </x:c>
      <x:c r="H1455" s="25" t="n">
        <x:v>0</x:v>
      </x:c>
      <x:c r="I1455" s="25" t="n">
        <x:v>0</x:v>
      </x:c>
      <x:c r="J1455" s="25" t="str">
        <x:v>-</x:v>
      </x:c>
      <x:c r="K1455" s="19" t="n">
        <x:f>D1455-IF(H1455=0,1,0)</x:f>
        <x:v>1</x:v>
      </x:c>
      <x:c r="L1455" s="19" t="n">
        <x:f>E1455-IF(H1455=1,1,0)</x:f>
        <x:v>4</x:v>
      </x:c>
      <x:c r="M1455" s="19" t="n">
        <x:f>F1455-IF(H1455=2,1,0)</x:f>
        <x:v>3</x:v>
      </x:c>
      <x:c r="N1455" s="19" t="n">
        <x:f>MAX(K1455-1,0)+MAX(L1455-1,0)+MAX(M1455-1,0)</x:f>
        <x:v>5</x:v>
      </x:c>
      <x:c r="O1455" s="19" t="n">
        <x:f>IF(AND(SUM(K1455:M1455)&lt;9,OR(M1455=0,N1455&lt;6)),1,0)</x:f>
        <x:v>1</x:v>
      </x:c>
      <x:c r="P1455" s="19" t="n">
        <x:f>IF(AND(SUM(K1455:M1455)&lt;9,OR(L1455=0,N1455&lt;6)),1,0)</x:f>
        <x:v>1</x:v>
      </x:c>
      <x:c r="Q1455" s="19" t="n">
        <x:f>IF(AND(SUM(K1455:M1455)&lt;9,OR(K1455=0,N1455&lt;6)),1,0)</x:f>
        <x:v>1</x:v>
      </x:c>
      <x:c r="R1455" s="22" t="str">
        <x:f>O1455&amp;P1455&amp;Q1455</x:f>
        <x:v>111</x:v>
      </x:c>
      <x:c r="S1455" s="19" t="n">
        <x:f>IF(I1455=1,IF(J1455=0,Q1455,IF(J1455=1,P1455,IF(J1455=2,O1455,0))),0)</x:f>
        <x:v>0</x:v>
      </x:c>
      <x:c r="T1455" s="19" t="n">
        <x:f>K1455+IF(AND(S1455=1,J1455=0),1,0)</x:f>
        <x:v>1</x:v>
      </x:c>
      <x:c r="U1455" s="19" t="n">
        <x:f>L1455+IF(AND(S1455=1,J1455=1),1,0)</x:f>
        <x:v>4</x:v>
      </x:c>
      <x:c r="V1455" s="19" t="n">
        <x:f>M1455+IF(AND(S1455=1,J1455=2),1,0)</x:f>
        <x:v>3</x:v>
      </x:c>
      <x:c r="W1455" s="19" t="n">
        <x:f>SUM(T1455:V1455)</x:f>
        <x:v>8</x:v>
      </x:c>
      <x:c r="X1455" s="19" t="n">
        <x:f>W1455-G1455</x:f>
        <x:v>-1</x:v>
      </x:c>
      <x:c r="Y1455" s="19" t="n">
        <x:f>MAX(T1455,1)+MAX(U1455,1)+MAX(V1455,1)</x:f>
        <x:v>8</x:v>
      </x:c>
      <x:c r="Z1455" s="21" t="str">
        <x:f>IF(AND(MIN(D1455:F1455)&gt;=0,MAX(D1455:F1455)&lt;=7,MAX(D1455,1)+MAX(E1455,1)+MAX(F1455,1)&lt;=9,OR(H1455="-",AND(H1455=0,D1455&gt;0),AND(H1455=1,E1455&gt;0),AND(H1455=2,F1455&gt;0)),OR(I1455=0,AND(I1455=1,OR(J1455=0,J1455=1,J1455=2),R1455&lt;&gt;"000")),Y1455&lt;=9,MIN(T1455:V1455)&gt;=0),"合法","输入违约")</x:f>
        <x:v>合法</x:v>
      </x:c>
    </x:row>
    <x:row r="1456" ht="23" customHeight="1">
      <x:c r="A1456" s="3" t="str">
        <x:v>CT-1449</x:v>
      </x:c>
      <x:c r="B1456" s="3" t="str">
        <x:v>ST-173</x:v>
      </x:c>
      <x:c r="C1456" s="3" t="str">
        <x:v>R+AR同收同发</x:v>
      </x:c>
      <x:c r="D1456" s="25" t="n">
        <x:v>2</x:v>
      </x:c>
      <x:c r="E1456" s="25" t="n">
        <x:v>4</x:v>
      </x:c>
      <x:c r="F1456" s="25" t="n">
        <x:v>3</x:v>
      </x:c>
      <x:c r="G1456" s="19" t="n">
        <x:f>SUM(D1456:F1456)</x:f>
        <x:v>9</x:v>
      </x:c>
      <x:c r="H1456" s="25" t="n">
        <x:v>0</x:v>
      </x:c>
      <x:c r="I1456" s="25" t="n">
        <x:v>1</x:v>
      </x:c>
      <x:c r="J1456" s="25" t="n">
        <x:v>0</x:v>
      </x:c>
      <x:c r="K1456" s="19" t="n">
        <x:f>D1456-IF(H1456=0,1,0)</x:f>
        <x:v>1</x:v>
      </x:c>
      <x:c r="L1456" s="19" t="n">
        <x:f>E1456-IF(H1456=1,1,0)</x:f>
        <x:v>4</x:v>
      </x:c>
      <x:c r="M1456" s="19" t="n">
        <x:f>F1456-IF(H1456=2,1,0)</x:f>
        <x:v>3</x:v>
      </x:c>
      <x:c r="N1456" s="19" t="n">
        <x:f>MAX(K1456-1,0)+MAX(L1456-1,0)+MAX(M1456-1,0)</x:f>
        <x:v>5</x:v>
      </x:c>
      <x:c r="O1456" s="19" t="n">
        <x:f>IF(AND(SUM(K1456:M1456)&lt;9,OR(M1456=0,N1456&lt;6)),1,0)</x:f>
        <x:v>1</x:v>
      </x:c>
      <x:c r="P1456" s="19" t="n">
        <x:f>IF(AND(SUM(K1456:M1456)&lt;9,OR(L1456=0,N1456&lt;6)),1,0)</x:f>
        <x:v>1</x:v>
      </x:c>
      <x:c r="Q1456" s="19" t="n">
        <x:f>IF(AND(SUM(K1456:M1456)&lt;9,OR(K1456=0,N1456&lt;6)),1,0)</x:f>
        <x:v>1</x:v>
      </x:c>
      <x:c r="R1456" s="22" t="str">
        <x:f>O1456&amp;P1456&amp;Q1456</x:f>
        <x:v>111</x:v>
      </x:c>
      <x:c r="S1456" s="19" t="n">
        <x:f>IF(I1456=1,IF(J1456=0,Q1456,IF(J1456=1,P1456,IF(J1456=2,O1456,0))),0)</x:f>
        <x:v>1</x:v>
      </x:c>
      <x:c r="T1456" s="19" t="n">
        <x:f>K1456+IF(AND(S1456=1,J1456=0),1,0)</x:f>
        <x:v>2</x:v>
      </x:c>
      <x:c r="U1456" s="19" t="n">
        <x:f>L1456+IF(AND(S1456=1,J1456=1),1,0)</x:f>
        <x:v>4</x:v>
      </x:c>
      <x:c r="V1456" s="19" t="n">
        <x:f>M1456+IF(AND(S1456=1,J1456=2),1,0)</x:f>
        <x:v>3</x:v>
      </x:c>
      <x:c r="W1456" s="19" t="n">
        <x:f>SUM(T1456:V1456)</x:f>
        <x:v>9</x:v>
      </x:c>
      <x:c r="X1456" s="19" t="n">
        <x:f>W1456-G1456</x:f>
        <x:v>0</x:v>
      </x:c>
      <x:c r="Y1456" s="19" t="n">
        <x:f>MAX(T1456,1)+MAX(U1456,1)+MAX(V1456,1)</x:f>
        <x:v>9</x:v>
      </x:c>
      <x:c r="Z1456" s="21" t="str">
        <x:f>IF(AND(MIN(D1456:F1456)&gt;=0,MAX(D1456:F1456)&lt;=7,MAX(D1456,1)+MAX(E1456,1)+MAX(F1456,1)&lt;=9,OR(H1456="-",AND(H1456=0,D1456&gt;0),AND(H1456=1,E1456&gt;0),AND(H1456=2,F1456&gt;0)),OR(I1456=0,AND(I1456=1,OR(J1456=0,J1456=1,J1456=2),R1456&lt;&gt;"000")),Y1456&lt;=9,MIN(T1456:V1456)&gt;=0),"合法","输入违约")</x:f>
        <x:v>合法</x:v>
      </x:c>
    </x:row>
    <x:row r="1457" ht="23" customHeight="1">
      <x:c r="A1457" s="3" t="str">
        <x:v>CT-1450</x:v>
      </x:c>
      <x:c r="B1457" s="3" t="str">
        <x:v>ST-173</x:v>
      </x:c>
      <x:c r="C1457" s="3" t="str">
        <x:v>R+AR同收同发</x:v>
      </x:c>
      <x:c r="D1457" s="25" t="n">
        <x:v>2</x:v>
      </x:c>
      <x:c r="E1457" s="25" t="n">
        <x:v>4</x:v>
      </x:c>
      <x:c r="F1457" s="25" t="n">
        <x:v>3</x:v>
      </x:c>
      <x:c r="G1457" s="19" t="n">
        <x:f>SUM(D1457:F1457)</x:f>
        <x:v>9</x:v>
      </x:c>
      <x:c r="H1457" s="25" t="n">
        <x:v>0</x:v>
      </x:c>
      <x:c r="I1457" s="25" t="n">
        <x:v>1</x:v>
      </x:c>
      <x:c r="J1457" s="25" t="n">
        <x:v>1</x:v>
      </x:c>
      <x:c r="K1457" s="19" t="n">
        <x:f>D1457-IF(H1457=0,1,0)</x:f>
        <x:v>1</x:v>
      </x:c>
      <x:c r="L1457" s="19" t="n">
        <x:f>E1457-IF(H1457=1,1,0)</x:f>
        <x:v>4</x:v>
      </x:c>
      <x:c r="M1457" s="19" t="n">
        <x:f>F1457-IF(H1457=2,1,0)</x:f>
        <x:v>3</x:v>
      </x:c>
      <x:c r="N1457" s="19" t="n">
        <x:f>MAX(K1457-1,0)+MAX(L1457-1,0)+MAX(M1457-1,0)</x:f>
        <x:v>5</x:v>
      </x:c>
      <x:c r="O1457" s="19" t="n">
        <x:f>IF(AND(SUM(K1457:M1457)&lt;9,OR(M1457=0,N1457&lt;6)),1,0)</x:f>
        <x:v>1</x:v>
      </x:c>
      <x:c r="P1457" s="19" t="n">
        <x:f>IF(AND(SUM(K1457:M1457)&lt;9,OR(L1457=0,N1457&lt;6)),1,0)</x:f>
        <x:v>1</x:v>
      </x:c>
      <x:c r="Q1457" s="19" t="n">
        <x:f>IF(AND(SUM(K1457:M1457)&lt;9,OR(K1457=0,N1457&lt;6)),1,0)</x:f>
        <x:v>1</x:v>
      </x:c>
      <x:c r="R1457" s="22" t="str">
        <x:f>O1457&amp;P1457&amp;Q1457</x:f>
        <x:v>111</x:v>
      </x:c>
      <x:c r="S1457" s="19" t="n">
        <x:f>IF(I1457=1,IF(J1457=0,Q1457,IF(J1457=1,P1457,IF(J1457=2,O1457,0))),0)</x:f>
        <x:v>1</x:v>
      </x:c>
      <x:c r="T1457" s="19" t="n">
        <x:f>K1457+IF(AND(S1457=1,J1457=0),1,0)</x:f>
        <x:v>1</x:v>
      </x:c>
      <x:c r="U1457" s="19" t="n">
        <x:f>L1457+IF(AND(S1457=1,J1457=1),1,0)</x:f>
        <x:v>5</x:v>
      </x:c>
      <x:c r="V1457" s="19" t="n">
        <x:f>M1457+IF(AND(S1457=1,J1457=2),1,0)</x:f>
        <x:v>3</x:v>
      </x:c>
      <x:c r="W1457" s="19" t="n">
        <x:f>SUM(T1457:V1457)</x:f>
        <x:v>9</x:v>
      </x:c>
      <x:c r="X1457" s="19" t="n">
        <x:f>W1457-G1457</x:f>
        <x:v>0</x:v>
      </x:c>
      <x:c r="Y1457" s="19" t="n">
        <x:f>MAX(T1457,1)+MAX(U1457,1)+MAX(V1457,1)</x:f>
        <x:v>9</x:v>
      </x:c>
      <x:c r="Z1457" s="21" t="str">
        <x:f>IF(AND(MIN(D1457:F1457)&gt;=0,MAX(D1457:F1457)&lt;=7,MAX(D1457,1)+MAX(E1457,1)+MAX(F1457,1)&lt;=9,OR(H1457="-",AND(H1457=0,D1457&gt;0),AND(H1457=1,E1457&gt;0),AND(H1457=2,F1457&gt;0)),OR(I1457=0,AND(I1457=1,OR(J1457=0,J1457=1,J1457=2),R1457&lt;&gt;"000")),Y1457&lt;=9,MIN(T1457:V1457)&gt;=0),"合法","输入违约")</x:f>
        <x:v>合法</x:v>
      </x:c>
    </x:row>
    <x:row r="1458" ht="23" customHeight="1">
      <x:c r="A1458" s="3" t="str">
        <x:v>CT-1451</x:v>
      </x:c>
      <x:c r="B1458" s="3" t="str">
        <x:v>ST-173</x:v>
      </x:c>
      <x:c r="C1458" s="3" t="str">
        <x:v>R+AR同收同发</x:v>
      </x:c>
      <x:c r="D1458" s="25" t="n">
        <x:v>2</x:v>
      </x:c>
      <x:c r="E1458" s="25" t="n">
        <x:v>4</x:v>
      </x:c>
      <x:c r="F1458" s="25" t="n">
        <x:v>3</x:v>
      </x:c>
      <x:c r="G1458" s="19" t="n">
        <x:f>SUM(D1458:F1458)</x:f>
        <x:v>9</x:v>
      </x:c>
      <x:c r="H1458" s="25" t="n">
        <x:v>0</x:v>
      </x:c>
      <x:c r="I1458" s="25" t="n">
        <x:v>1</x:v>
      </x:c>
      <x:c r="J1458" s="25" t="n">
        <x:v>2</x:v>
      </x:c>
      <x:c r="K1458" s="19" t="n">
        <x:f>D1458-IF(H1458=0,1,0)</x:f>
        <x:v>1</x:v>
      </x:c>
      <x:c r="L1458" s="19" t="n">
        <x:f>E1458-IF(H1458=1,1,0)</x:f>
        <x:v>4</x:v>
      </x:c>
      <x:c r="M1458" s="19" t="n">
        <x:f>F1458-IF(H1458=2,1,0)</x:f>
        <x:v>3</x:v>
      </x:c>
      <x:c r="N1458" s="19" t="n">
        <x:f>MAX(K1458-1,0)+MAX(L1458-1,0)+MAX(M1458-1,0)</x:f>
        <x:v>5</x:v>
      </x:c>
      <x:c r="O1458" s="19" t="n">
        <x:f>IF(AND(SUM(K1458:M1458)&lt;9,OR(M1458=0,N1458&lt;6)),1,0)</x:f>
        <x:v>1</x:v>
      </x:c>
      <x:c r="P1458" s="19" t="n">
        <x:f>IF(AND(SUM(K1458:M1458)&lt;9,OR(L1458=0,N1458&lt;6)),1,0)</x:f>
        <x:v>1</x:v>
      </x:c>
      <x:c r="Q1458" s="19" t="n">
        <x:f>IF(AND(SUM(K1458:M1458)&lt;9,OR(K1458=0,N1458&lt;6)),1,0)</x:f>
        <x:v>1</x:v>
      </x:c>
      <x:c r="R1458" s="22" t="str">
        <x:f>O1458&amp;P1458&amp;Q1458</x:f>
        <x:v>111</x:v>
      </x:c>
      <x:c r="S1458" s="19" t="n">
        <x:f>IF(I1458=1,IF(J1458=0,Q1458,IF(J1458=1,P1458,IF(J1458=2,O1458,0))),0)</x:f>
        <x:v>1</x:v>
      </x:c>
      <x:c r="T1458" s="19" t="n">
        <x:f>K1458+IF(AND(S1458=1,J1458=0),1,0)</x:f>
        <x:v>1</x:v>
      </x:c>
      <x:c r="U1458" s="19" t="n">
        <x:f>L1458+IF(AND(S1458=1,J1458=1),1,0)</x:f>
        <x:v>4</x:v>
      </x:c>
      <x:c r="V1458" s="19" t="n">
        <x:f>M1458+IF(AND(S1458=1,J1458=2),1,0)</x:f>
        <x:v>4</x:v>
      </x:c>
      <x:c r="W1458" s="19" t="n">
        <x:f>SUM(T1458:V1458)</x:f>
        <x:v>9</x:v>
      </x:c>
      <x:c r="X1458" s="19" t="n">
        <x:f>W1458-G1458</x:f>
        <x:v>0</x:v>
      </x:c>
      <x:c r="Y1458" s="19" t="n">
        <x:f>MAX(T1458,1)+MAX(U1458,1)+MAX(V1458,1)</x:f>
        <x:v>9</x:v>
      </x:c>
      <x:c r="Z1458" s="21" t="str">
        <x:f>IF(AND(MIN(D1458:F1458)&gt;=0,MAX(D1458:F1458)&lt;=7,MAX(D1458,1)+MAX(E1458,1)+MAX(F1458,1)&lt;=9,OR(H1458="-",AND(H1458=0,D1458&gt;0),AND(H1458=1,E1458&gt;0),AND(H1458=2,F1458&gt;0)),OR(I1458=0,AND(I1458=1,OR(J1458=0,J1458=1,J1458=2),R1458&lt;&gt;"000")),Y1458&lt;=9,MIN(T1458:V1458)&gt;=0),"合法","输入违约")</x:f>
        <x:v>合法</x:v>
      </x:c>
    </x:row>
    <x:row r="1459" ht="23" customHeight="1">
      <x:c r="A1459" s="3" t="str">
        <x:v>CT-1452</x:v>
      </x:c>
      <x:c r="B1459" s="3" t="str">
        <x:v>ST-173</x:v>
      </x:c>
      <x:c r="C1459" s="3" t="str">
        <x:v>仅R回收</x:v>
      </x:c>
      <x:c r="D1459" s="25" t="n">
        <x:v>2</x:v>
      </x:c>
      <x:c r="E1459" s="25" t="n">
        <x:v>4</x:v>
      </x:c>
      <x:c r="F1459" s="25" t="n">
        <x:v>3</x:v>
      </x:c>
      <x:c r="G1459" s="19" t="n">
        <x:f>SUM(D1459:F1459)</x:f>
        <x:v>9</x:v>
      </x:c>
      <x:c r="H1459" s="25" t="n">
        <x:v>1</x:v>
      </x:c>
      <x:c r="I1459" s="25" t="n">
        <x:v>0</x:v>
      </x:c>
      <x:c r="J1459" s="25" t="str">
        <x:v>-</x:v>
      </x:c>
      <x:c r="K1459" s="19" t="n">
        <x:f>D1459-IF(H1459=0,1,0)</x:f>
        <x:v>2</x:v>
      </x:c>
      <x:c r="L1459" s="19" t="n">
        <x:f>E1459-IF(H1459=1,1,0)</x:f>
        <x:v>3</x:v>
      </x:c>
      <x:c r="M1459" s="19" t="n">
        <x:f>F1459-IF(H1459=2,1,0)</x:f>
        <x:v>3</x:v>
      </x:c>
      <x:c r="N1459" s="19" t="n">
        <x:f>MAX(K1459-1,0)+MAX(L1459-1,0)+MAX(M1459-1,0)</x:f>
        <x:v>5</x:v>
      </x:c>
      <x:c r="O1459" s="19" t="n">
        <x:f>IF(AND(SUM(K1459:M1459)&lt;9,OR(M1459=0,N1459&lt;6)),1,0)</x:f>
        <x:v>1</x:v>
      </x:c>
      <x:c r="P1459" s="19" t="n">
        <x:f>IF(AND(SUM(K1459:M1459)&lt;9,OR(L1459=0,N1459&lt;6)),1,0)</x:f>
        <x:v>1</x:v>
      </x:c>
      <x:c r="Q1459" s="19" t="n">
        <x:f>IF(AND(SUM(K1459:M1459)&lt;9,OR(K1459=0,N1459&lt;6)),1,0)</x:f>
        <x:v>1</x:v>
      </x:c>
      <x:c r="R1459" s="22" t="str">
        <x:f>O1459&amp;P1459&amp;Q1459</x:f>
        <x:v>111</x:v>
      </x:c>
      <x:c r="S1459" s="19" t="n">
        <x:f>IF(I1459=1,IF(J1459=0,Q1459,IF(J1459=1,P1459,IF(J1459=2,O1459,0))),0)</x:f>
        <x:v>0</x:v>
      </x:c>
      <x:c r="T1459" s="19" t="n">
        <x:f>K1459+IF(AND(S1459=1,J1459=0),1,0)</x:f>
        <x:v>2</x:v>
      </x:c>
      <x:c r="U1459" s="19" t="n">
        <x:f>L1459+IF(AND(S1459=1,J1459=1),1,0)</x:f>
        <x:v>3</x:v>
      </x:c>
      <x:c r="V1459" s="19" t="n">
        <x:f>M1459+IF(AND(S1459=1,J1459=2),1,0)</x:f>
        <x:v>3</x:v>
      </x:c>
      <x:c r="W1459" s="19" t="n">
        <x:f>SUM(T1459:V1459)</x:f>
        <x:v>8</x:v>
      </x:c>
      <x:c r="X1459" s="19" t="n">
        <x:f>W1459-G1459</x:f>
        <x:v>-1</x:v>
      </x:c>
      <x:c r="Y1459" s="19" t="n">
        <x:f>MAX(T1459,1)+MAX(U1459,1)+MAX(V1459,1)</x:f>
        <x:v>8</x:v>
      </x:c>
      <x:c r="Z1459" s="21" t="str">
        <x:f>IF(AND(MIN(D1459:F1459)&gt;=0,MAX(D1459:F1459)&lt;=7,MAX(D1459,1)+MAX(E1459,1)+MAX(F1459,1)&lt;=9,OR(H1459="-",AND(H1459=0,D1459&gt;0),AND(H1459=1,E1459&gt;0),AND(H1459=2,F1459&gt;0)),OR(I1459=0,AND(I1459=1,OR(J1459=0,J1459=1,J1459=2),R1459&lt;&gt;"000")),Y1459&lt;=9,MIN(T1459:V1459)&gt;=0),"合法","输入违约")</x:f>
        <x:v>合法</x:v>
      </x:c>
    </x:row>
    <x:row r="1460" ht="23" customHeight="1">
      <x:c r="A1460" s="3" t="str">
        <x:v>CT-1453</x:v>
      </x:c>
      <x:c r="B1460" s="3" t="str">
        <x:v>ST-173</x:v>
      </x:c>
      <x:c r="C1460" s="3" t="str">
        <x:v>R+AR同收同发</x:v>
      </x:c>
      <x:c r="D1460" s="25" t="n">
        <x:v>2</x:v>
      </x:c>
      <x:c r="E1460" s="25" t="n">
        <x:v>4</x:v>
      </x:c>
      <x:c r="F1460" s="25" t="n">
        <x:v>3</x:v>
      </x:c>
      <x:c r="G1460" s="19" t="n">
        <x:f>SUM(D1460:F1460)</x:f>
        <x:v>9</x:v>
      </x:c>
      <x:c r="H1460" s="25" t="n">
        <x:v>1</x:v>
      </x:c>
      <x:c r="I1460" s="25" t="n">
        <x:v>1</x:v>
      </x:c>
      <x:c r="J1460" s="25" t="n">
        <x:v>0</x:v>
      </x:c>
      <x:c r="K1460" s="19" t="n">
        <x:f>D1460-IF(H1460=0,1,0)</x:f>
        <x:v>2</x:v>
      </x:c>
      <x:c r="L1460" s="19" t="n">
        <x:f>E1460-IF(H1460=1,1,0)</x:f>
        <x:v>3</x:v>
      </x:c>
      <x:c r="M1460" s="19" t="n">
        <x:f>F1460-IF(H1460=2,1,0)</x:f>
        <x:v>3</x:v>
      </x:c>
      <x:c r="N1460" s="19" t="n">
        <x:f>MAX(K1460-1,0)+MAX(L1460-1,0)+MAX(M1460-1,0)</x:f>
        <x:v>5</x:v>
      </x:c>
      <x:c r="O1460" s="19" t="n">
        <x:f>IF(AND(SUM(K1460:M1460)&lt;9,OR(M1460=0,N1460&lt;6)),1,0)</x:f>
        <x:v>1</x:v>
      </x:c>
      <x:c r="P1460" s="19" t="n">
        <x:f>IF(AND(SUM(K1460:M1460)&lt;9,OR(L1460=0,N1460&lt;6)),1,0)</x:f>
        <x:v>1</x:v>
      </x:c>
      <x:c r="Q1460" s="19" t="n">
        <x:f>IF(AND(SUM(K1460:M1460)&lt;9,OR(K1460=0,N1460&lt;6)),1,0)</x:f>
        <x:v>1</x:v>
      </x:c>
      <x:c r="R1460" s="22" t="str">
        <x:f>O1460&amp;P1460&amp;Q1460</x:f>
        <x:v>111</x:v>
      </x:c>
      <x:c r="S1460" s="19" t="n">
        <x:f>IF(I1460=1,IF(J1460=0,Q1460,IF(J1460=1,P1460,IF(J1460=2,O1460,0))),0)</x:f>
        <x:v>1</x:v>
      </x:c>
      <x:c r="T1460" s="19" t="n">
        <x:f>K1460+IF(AND(S1460=1,J1460=0),1,0)</x:f>
        <x:v>3</x:v>
      </x:c>
      <x:c r="U1460" s="19" t="n">
        <x:f>L1460+IF(AND(S1460=1,J1460=1),1,0)</x:f>
        <x:v>3</x:v>
      </x:c>
      <x:c r="V1460" s="19" t="n">
        <x:f>M1460+IF(AND(S1460=1,J1460=2),1,0)</x:f>
        <x:v>3</x:v>
      </x:c>
      <x:c r="W1460" s="19" t="n">
        <x:f>SUM(T1460:V1460)</x:f>
        <x:v>9</x:v>
      </x:c>
      <x:c r="X1460" s="19" t="n">
        <x:f>W1460-G1460</x:f>
        <x:v>0</x:v>
      </x:c>
      <x:c r="Y1460" s="19" t="n">
        <x:f>MAX(T1460,1)+MAX(U1460,1)+MAX(V1460,1)</x:f>
        <x:v>9</x:v>
      </x:c>
      <x:c r="Z1460" s="21" t="str">
        <x:f>IF(AND(MIN(D1460:F1460)&gt;=0,MAX(D1460:F1460)&lt;=7,MAX(D1460,1)+MAX(E1460,1)+MAX(F1460,1)&lt;=9,OR(H1460="-",AND(H1460=0,D1460&gt;0),AND(H1460=1,E1460&gt;0),AND(H1460=2,F1460&gt;0)),OR(I1460=0,AND(I1460=1,OR(J1460=0,J1460=1,J1460=2),R1460&lt;&gt;"000")),Y1460&lt;=9,MIN(T1460:V1460)&gt;=0),"合法","输入违约")</x:f>
        <x:v>合法</x:v>
      </x:c>
    </x:row>
    <x:row r="1461" ht="23" customHeight="1">
      <x:c r="A1461" s="3" t="str">
        <x:v>CT-1454</x:v>
      </x:c>
      <x:c r="B1461" s="3" t="str">
        <x:v>ST-173</x:v>
      </x:c>
      <x:c r="C1461" s="3" t="str">
        <x:v>R+AR同收同发</x:v>
      </x:c>
      <x:c r="D1461" s="25" t="n">
        <x:v>2</x:v>
      </x:c>
      <x:c r="E1461" s="25" t="n">
        <x:v>4</x:v>
      </x:c>
      <x:c r="F1461" s="25" t="n">
        <x:v>3</x:v>
      </x:c>
      <x:c r="G1461" s="19" t="n">
        <x:f>SUM(D1461:F1461)</x:f>
        <x:v>9</x:v>
      </x:c>
      <x:c r="H1461" s="25" t="n">
        <x:v>1</x:v>
      </x:c>
      <x:c r="I1461" s="25" t="n">
        <x:v>1</x:v>
      </x:c>
      <x:c r="J1461" s="25" t="n">
        <x:v>1</x:v>
      </x:c>
      <x:c r="K1461" s="19" t="n">
        <x:f>D1461-IF(H1461=0,1,0)</x:f>
        <x:v>2</x:v>
      </x:c>
      <x:c r="L1461" s="19" t="n">
        <x:f>E1461-IF(H1461=1,1,0)</x:f>
        <x:v>3</x:v>
      </x:c>
      <x:c r="M1461" s="19" t="n">
        <x:f>F1461-IF(H1461=2,1,0)</x:f>
        <x:v>3</x:v>
      </x:c>
      <x:c r="N1461" s="19" t="n">
        <x:f>MAX(K1461-1,0)+MAX(L1461-1,0)+MAX(M1461-1,0)</x:f>
        <x:v>5</x:v>
      </x:c>
      <x:c r="O1461" s="19" t="n">
        <x:f>IF(AND(SUM(K1461:M1461)&lt;9,OR(M1461=0,N1461&lt;6)),1,0)</x:f>
        <x:v>1</x:v>
      </x:c>
      <x:c r="P1461" s="19" t="n">
        <x:f>IF(AND(SUM(K1461:M1461)&lt;9,OR(L1461=0,N1461&lt;6)),1,0)</x:f>
        <x:v>1</x:v>
      </x:c>
      <x:c r="Q1461" s="19" t="n">
        <x:f>IF(AND(SUM(K1461:M1461)&lt;9,OR(K1461=0,N1461&lt;6)),1,0)</x:f>
        <x:v>1</x:v>
      </x:c>
      <x:c r="R1461" s="22" t="str">
        <x:f>O1461&amp;P1461&amp;Q1461</x:f>
        <x:v>111</x:v>
      </x:c>
      <x:c r="S1461" s="19" t="n">
        <x:f>IF(I1461=1,IF(J1461=0,Q1461,IF(J1461=1,P1461,IF(J1461=2,O1461,0))),0)</x:f>
        <x:v>1</x:v>
      </x:c>
      <x:c r="T1461" s="19" t="n">
        <x:f>K1461+IF(AND(S1461=1,J1461=0),1,0)</x:f>
        <x:v>2</x:v>
      </x:c>
      <x:c r="U1461" s="19" t="n">
        <x:f>L1461+IF(AND(S1461=1,J1461=1),1,0)</x:f>
        <x:v>4</x:v>
      </x:c>
      <x:c r="V1461" s="19" t="n">
        <x:f>M1461+IF(AND(S1461=1,J1461=2),1,0)</x:f>
        <x:v>3</x:v>
      </x:c>
      <x:c r="W1461" s="19" t="n">
        <x:f>SUM(T1461:V1461)</x:f>
        <x:v>9</x:v>
      </x:c>
      <x:c r="X1461" s="19" t="n">
        <x:f>W1461-G1461</x:f>
        <x:v>0</x:v>
      </x:c>
      <x:c r="Y1461" s="19" t="n">
        <x:f>MAX(T1461,1)+MAX(U1461,1)+MAX(V1461,1)</x:f>
        <x:v>9</x:v>
      </x:c>
      <x:c r="Z1461" s="21" t="str">
        <x:f>IF(AND(MIN(D1461:F1461)&gt;=0,MAX(D1461:F1461)&lt;=7,MAX(D1461,1)+MAX(E1461,1)+MAX(F1461,1)&lt;=9,OR(H1461="-",AND(H1461=0,D1461&gt;0),AND(H1461=1,E1461&gt;0),AND(H1461=2,F1461&gt;0)),OR(I1461=0,AND(I1461=1,OR(J1461=0,J1461=1,J1461=2),R1461&lt;&gt;"000")),Y1461&lt;=9,MIN(T1461:V1461)&gt;=0),"合法","输入违约")</x:f>
        <x:v>合法</x:v>
      </x:c>
    </x:row>
    <x:row r="1462" ht="23" customHeight="1">
      <x:c r="A1462" s="3" t="str">
        <x:v>CT-1455</x:v>
      </x:c>
      <x:c r="B1462" s="3" t="str">
        <x:v>ST-173</x:v>
      </x:c>
      <x:c r="C1462" s="3" t="str">
        <x:v>R+AR同收同发</x:v>
      </x:c>
      <x:c r="D1462" s="25" t="n">
        <x:v>2</x:v>
      </x:c>
      <x:c r="E1462" s="25" t="n">
        <x:v>4</x:v>
      </x:c>
      <x:c r="F1462" s="25" t="n">
        <x:v>3</x:v>
      </x:c>
      <x:c r="G1462" s="19" t="n">
        <x:f>SUM(D1462:F1462)</x:f>
        <x:v>9</x:v>
      </x:c>
      <x:c r="H1462" s="25" t="n">
        <x:v>1</x:v>
      </x:c>
      <x:c r="I1462" s="25" t="n">
        <x:v>1</x:v>
      </x:c>
      <x:c r="J1462" s="25" t="n">
        <x:v>2</x:v>
      </x:c>
      <x:c r="K1462" s="19" t="n">
        <x:f>D1462-IF(H1462=0,1,0)</x:f>
        <x:v>2</x:v>
      </x:c>
      <x:c r="L1462" s="19" t="n">
        <x:f>E1462-IF(H1462=1,1,0)</x:f>
        <x:v>3</x:v>
      </x:c>
      <x:c r="M1462" s="19" t="n">
        <x:f>F1462-IF(H1462=2,1,0)</x:f>
        <x:v>3</x:v>
      </x:c>
      <x:c r="N1462" s="19" t="n">
        <x:f>MAX(K1462-1,0)+MAX(L1462-1,0)+MAX(M1462-1,0)</x:f>
        <x:v>5</x:v>
      </x:c>
      <x:c r="O1462" s="19" t="n">
        <x:f>IF(AND(SUM(K1462:M1462)&lt;9,OR(M1462=0,N1462&lt;6)),1,0)</x:f>
        <x:v>1</x:v>
      </x:c>
      <x:c r="P1462" s="19" t="n">
        <x:f>IF(AND(SUM(K1462:M1462)&lt;9,OR(L1462=0,N1462&lt;6)),1,0)</x:f>
        <x:v>1</x:v>
      </x:c>
      <x:c r="Q1462" s="19" t="n">
        <x:f>IF(AND(SUM(K1462:M1462)&lt;9,OR(K1462=0,N1462&lt;6)),1,0)</x:f>
        <x:v>1</x:v>
      </x:c>
      <x:c r="R1462" s="22" t="str">
        <x:f>O1462&amp;P1462&amp;Q1462</x:f>
        <x:v>111</x:v>
      </x:c>
      <x:c r="S1462" s="19" t="n">
        <x:f>IF(I1462=1,IF(J1462=0,Q1462,IF(J1462=1,P1462,IF(J1462=2,O1462,0))),0)</x:f>
        <x:v>1</x:v>
      </x:c>
      <x:c r="T1462" s="19" t="n">
        <x:f>K1462+IF(AND(S1462=1,J1462=0),1,0)</x:f>
        <x:v>2</x:v>
      </x:c>
      <x:c r="U1462" s="19" t="n">
        <x:f>L1462+IF(AND(S1462=1,J1462=1),1,0)</x:f>
        <x:v>3</x:v>
      </x:c>
      <x:c r="V1462" s="19" t="n">
        <x:f>M1462+IF(AND(S1462=1,J1462=2),1,0)</x:f>
        <x:v>4</x:v>
      </x:c>
      <x:c r="W1462" s="19" t="n">
        <x:f>SUM(T1462:V1462)</x:f>
        <x:v>9</x:v>
      </x:c>
      <x:c r="X1462" s="19" t="n">
        <x:f>W1462-G1462</x:f>
        <x:v>0</x:v>
      </x:c>
      <x:c r="Y1462" s="19" t="n">
        <x:f>MAX(T1462,1)+MAX(U1462,1)+MAX(V1462,1)</x:f>
        <x:v>9</x:v>
      </x:c>
      <x:c r="Z1462" s="21" t="str">
        <x:f>IF(AND(MIN(D1462:F1462)&gt;=0,MAX(D1462:F1462)&lt;=7,MAX(D1462,1)+MAX(E1462,1)+MAX(F1462,1)&lt;=9,OR(H1462="-",AND(H1462=0,D1462&gt;0),AND(H1462=1,E1462&gt;0),AND(H1462=2,F1462&gt;0)),OR(I1462=0,AND(I1462=1,OR(J1462=0,J1462=1,J1462=2),R1462&lt;&gt;"000")),Y1462&lt;=9,MIN(T1462:V1462)&gt;=0),"合法","输入违约")</x:f>
        <x:v>合法</x:v>
      </x:c>
    </x:row>
    <x:row r="1463" ht="23" customHeight="1">
      <x:c r="A1463" s="3" t="str">
        <x:v>CT-1456</x:v>
      </x:c>
      <x:c r="B1463" s="3" t="str">
        <x:v>ST-173</x:v>
      </x:c>
      <x:c r="C1463" s="3" t="str">
        <x:v>仅R回收</x:v>
      </x:c>
      <x:c r="D1463" s="25" t="n">
        <x:v>2</x:v>
      </x:c>
      <x:c r="E1463" s="25" t="n">
        <x:v>4</x:v>
      </x:c>
      <x:c r="F1463" s="25" t="n">
        <x:v>3</x:v>
      </x:c>
      <x:c r="G1463" s="19" t="n">
        <x:f>SUM(D1463:F1463)</x:f>
        <x:v>9</x:v>
      </x:c>
      <x:c r="H1463" s="25" t="n">
        <x:v>2</x:v>
      </x:c>
      <x:c r="I1463" s="25" t="n">
        <x:v>0</x:v>
      </x:c>
      <x:c r="J1463" s="25" t="str">
        <x:v>-</x:v>
      </x:c>
      <x:c r="K1463" s="19" t="n">
        <x:f>D1463-IF(H1463=0,1,0)</x:f>
        <x:v>2</x:v>
      </x:c>
      <x:c r="L1463" s="19" t="n">
        <x:f>E1463-IF(H1463=1,1,0)</x:f>
        <x:v>4</x:v>
      </x:c>
      <x:c r="M1463" s="19" t="n">
        <x:f>F1463-IF(H1463=2,1,0)</x:f>
        <x:v>2</x:v>
      </x:c>
      <x:c r="N1463" s="19" t="n">
        <x:f>MAX(K1463-1,0)+MAX(L1463-1,0)+MAX(M1463-1,0)</x:f>
        <x:v>5</x:v>
      </x:c>
      <x:c r="O1463" s="19" t="n">
        <x:f>IF(AND(SUM(K1463:M1463)&lt;9,OR(M1463=0,N1463&lt;6)),1,0)</x:f>
        <x:v>1</x:v>
      </x:c>
      <x:c r="P1463" s="19" t="n">
        <x:f>IF(AND(SUM(K1463:M1463)&lt;9,OR(L1463=0,N1463&lt;6)),1,0)</x:f>
        <x:v>1</x:v>
      </x:c>
      <x:c r="Q1463" s="19" t="n">
        <x:f>IF(AND(SUM(K1463:M1463)&lt;9,OR(K1463=0,N1463&lt;6)),1,0)</x:f>
        <x:v>1</x:v>
      </x:c>
      <x:c r="R1463" s="22" t="str">
        <x:f>O1463&amp;P1463&amp;Q1463</x:f>
        <x:v>111</x:v>
      </x:c>
      <x:c r="S1463" s="19" t="n">
        <x:f>IF(I1463=1,IF(J1463=0,Q1463,IF(J1463=1,P1463,IF(J1463=2,O1463,0))),0)</x:f>
        <x:v>0</x:v>
      </x:c>
      <x:c r="T1463" s="19" t="n">
        <x:f>K1463+IF(AND(S1463=1,J1463=0),1,0)</x:f>
        <x:v>2</x:v>
      </x:c>
      <x:c r="U1463" s="19" t="n">
        <x:f>L1463+IF(AND(S1463=1,J1463=1),1,0)</x:f>
        <x:v>4</x:v>
      </x:c>
      <x:c r="V1463" s="19" t="n">
        <x:f>M1463+IF(AND(S1463=1,J1463=2),1,0)</x:f>
        <x:v>2</x:v>
      </x:c>
      <x:c r="W1463" s="19" t="n">
        <x:f>SUM(T1463:V1463)</x:f>
        <x:v>8</x:v>
      </x:c>
      <x:c r="X1463" s="19" t="n">
        <x:f>W1463-G1463</x:f>
        <x:v>-1</x:v>
      </x:c>
      <x:c r="Y1463" s="19" t="n">
        <x:f>MAX(T1463,1)+MAX(U1463,1)+MAX(V1463,1)</x:f>
        <x:v>8</x:v>
      </x:c>
      <x:c r="Z1463" s="21" t="str">
        <x:f>IF(AND(MIN(D1463:F1463)&gt;=0,MAX(D1463:F1463)&lt;=7,MAX(D1463,1)+MAX(E1463,1)+MAX(F1463,1)&lt;=9,OR(H1463="-",AND(H1463=0,D1463&gt;0),AND(H1463=1,E1463&gt;0),AND(H1463=2,F1463&gt;0)),OR(I1463=0,AND(I1463=1,OR(J1463=0,J1463=1,J1463=2),R1463&lt;&gt;"000")),Y1463&lt;=9,MIN(T1463:V1463)&gt;=0),"合法","输入违约")</x:f>
        <x:v>合法</x:v>
      </x:c>
    </x:row>
    <x:row r="1464" ht="23" customHeight="1">
      <x:c r="A1464" s="3" t="str">
        <x:v>CT-1457</x:v>
      </x:c>
      <x:c r="B1464" s="3" t="str">
        <x:v>ST-173</x:v>
      </x:c>
      <x:c r="C1464" s="3" t="str">
        <x:v>R+AR同收同发</x:v>
      </x:c>
      <x:c r="D1464" s="25" t="n">
        <x:v>2</x:v>
      </x:c>
      <x:c r="E1464" s="25" t="n">
        <x:v>4</x:v>
      </x:c>
      <x:c r="F1464" s="25" t="n">
        <x:v>3</x:v>
      </x:c>
      <x:c r="G1464" s="19" t="n">
        <x:f>SUM(D1464:F1464)</x:f>
        <x:v>9</x:v>
      </x:c>
      <x:c r="H1464" s="25" t="n">
        <x:v>2</x:v>
      </x:c>
      <x:c r="I1464" s="25" t="n">
        <x:v>1</x:v>
      </x:c>
      <x:c r="J1464" s="25" t="n">
        <x:v>0</x:v>
      </x:c>
      <x:c r="K1464" s="19" t="n">
        <x:f>D1464-IF(H1464=0,1,0)</x:f>
        <x:v>2</x:v>
      </x:c>
      <x:c r="L1464" s="19" t="n">
        <x:f>E1464-IF(H1464=1,1,0)</x:f>
        <x:v>4</x:v>
      </x:c>
      <x:c r="M1464" s="19" t="n">
        <x:f>F1464-IF(H1464=2,1,0)</x:f>
        <x:v>2</x:v>
      </x:c>
      <x:c r="N1464" s="19" t="n">
        <x:f>MAX(K1464-1,0)+MAX(L1464-1,0)+MAX(M1464-1,0)</x:f>
        <x:v>5</x:v>
      </x:c>
      <x:c r="O1464" s="19" t="n">
        <x:f>IF(AND(SUM(K1464:M1464)&lt;9,OR(M1464=0,N1464&lt;6)),1,0)</x:f>
        <x:v>1</x:v>
      </x:c>
      <x:c r="P1464" s="19" t="n">
        <x:f>IF(AND(SUM(K1464:M1464)&lt;9,OR(L1464=0,N1464&lt;6)),1,0)</x:f>
        <x:v>1</x:v>
      </x:c>
      <x:c r="Q1464" s="19" t="n">
        <x:f>IF(AND(SUM(K1464:M1464)&lt;9,OR(K1464=0,N1464&lt;6)),1,0)</x:f>
        <x:v>1</x:v>
      </x:c>
      <x:c r="R1464" s="22" t="str">
        <x:f>O1464&amp;P1464&amp;Q1464</x:f>
        <x:v>111</x:v>
      </x:c>
      <x:c r="S1464" s="19" t="n">
        <x:f>IF(I1464=1,IF(J1464=0,Q1464,IF(J1464=1,P1464,IF(J1464=2,O1464,0))),0)</x:f>
        <x:v>1</x:v>
      </x:c>
      <x:c r="T1464" s="19" t="n">
        <x:f>K1464+IF(AND(S1464=1,J1464=0),1,0)</x:f>
        <x:v>3</x:v>
      </x:c>
      <x:c r="U1464" s="19" t="n">
        <x:f>L1464+IF(AND(S1464=1,J1464=1),1,0)</x:f>
        <x:v>4</x:v>
      </x:c>
      <x:c r="V1464" s="19" t="n">
        <x:f>M1464+IF(AND(S1464=1,J1464=2),1,0)</x:f>
        <x:v>2</x:v>
      </x:c>
      <x:c r="W1464" s="19" t="n">
        <x:f>SUM(T1464:V1464)</x:f>
        <x:v>9</x:v>
      </x:c>
      <x:c r="X1464" s="19" t="n">
        <x:f>W1464-G1464</x:f>
        <x:v>0</x:v>
      </x:c>
      <x:c r="Y1464" s="19" t="n">
        <x:f>MAX(T1464,1)+MAX(U1464,1)+MAX(V1464,1)</x:f>
        <x:v>9</x:v>
      </x:c>
      <x:c r="Z1464" s="21" t="str">
        <x:f>IF(AND(MIN(D1464:F1464)&gt;=0,MAX(D1464:F1464)&lt;=7,MAX(D1464,1)+MAX(E1464,1)+MAX(F1464,1)&lt;=9,OR(H1464="-",AND(H1464=0,D1464&gt;0),AND(H1464=1,E1464&gt;0),AND(H1464=2,F1464&gt;0)),OR(I1464=0,AND(I1464=1,OR(J1464=0,J1464=1,J1464=2),R1464&lt;&gt;"000")),Y1464&lt;=9,MIN(T1464:V1464)&gt;=0),"合法","输入违约")</x:f>
        <x:v>合法</x:v>
      </x:c>
    </x:row>
    <x:row r="1465" ht="23" customHeight="1">
      <x:c r="A1465" s="3" t="str">
        <x:v>CT-1458</x:v>
      </x:c>
      <x:c r="B1465" s="3" t="str">
        <x:v>ST-173</x:v>
      </x:c>
      <x:c r="C1465" s="3" t="str">
        <x:v>R+AR同收同发</x:v>
      </x:c>
      <x:c r="D1465" s="25" t="n">
        <x:v>2</x:v>
      </x:c>
      <x:c r="E1465" s="25" t="n">
        <x:v>4</x:v>
      </x:c>
      <x:c r="F1465" s="25" t="n">
        <x:v>3</x:v>
      </x:c>
      <x:c r="G1465" s="19" t="n">
        <x:f>SUM(D1465:F1465)</x:f>
        <x:v>9</x:v>
      </x:c>
      <x:c r="H1465" s="25" t="n">
        <x:v>2</x:v>
      </x:c>
      <x:c r="I1465" s="25" t="n">
        <x:v>1</x:v>
      </x:c>
      <x:c r="J1465" s="25" t="n">
        <x:v>1</x:v>
      </x:c>
      <x:c r="K1465" s="19" t="n">
        <x:f>D1465-IF(H1465=0,1,0)</x:f>
        <x:v>2</x:v>
      </x:c>
      <x:c r="L1465" s="19" t="n">
        <x:f>E1465-IF(H1465=1,1,0)</x:f>
        <x:v>4</x:v>
      </x:c>
      <x:c r="M1465" s="19" t="n">
        <x:f>F1465-IF(H1465=2,1,0)</x:f>
        <x:v>2</x:v>
      </x:c>
      <x:c r="N1465" s="19" t="n">
        <x:f>MAX(K1465-1,0)+MAX(L1465-1,0)+MAX(M1465-1,0)</x:f>
        <x:v>5</x:v>
      </x:c>
      <x:c r="O1465" s="19" t="n">
        <x:f>IF(AND(SUM(K1465:M1465)&lt;9,OR(M1465=0,N1465&lt;6)),1,0)</x:f>
        <x:v>1</x:v>
      </x:c>
      <x:c r="P1465" s="19" t="n">
        <x:f>IF(AND(SUM(K1465:M1465)&lt;9,OR(L1465=0,N1465&lt;6)),1,0)</x:f>
        <x:v>1</x:v>
      </x:c>
      <x:c r="Q1465" s="19" t="n">
        <x:f>IF(AND(SUM(K1465:M1465)&lt;9,OR(K1465=0,N1465&lt;6)),1,0)</x:f>
        <x:v>1</x:v>
      </x:c>
      <x:c r="R1465" s="22" t="str">
        <x:f>O1465&amp;P1465&amp;Q1465</x:f>
        <x:v>111</x:v>
      </x:c>
      <x:c r="S1465" s="19" t="n">
        <x:f>IF(I1465=1,IF(J1465=0,Q1465,IF(J1465=1,P1465,IF(J1465=2,O1465,0))),0)</x:f>
        <x:v>1</x:v>
      </x:c>
      <x:c r="T1465" s="19" t="n">
        <x:f>K1465+IF(AND(S1465=1,J1465=0),1,0)</x:f>
        <x:v>2</x:v>
      </x:c>
      <x:c r="U1465" s="19" t="n">
        <x:f>L1465+IF(AND(S1465=1,J1465=1),1,0)</x:f>
        <x:v>5</x:v>
      </x:c>
      <x:c r="V1465" s="19" t="n">
        <x:f>M1465+IF(AND(S1465=1,J1465=2),1,0)</x:f>
        <x:v>2</x:v>
      </x:c>
      <x:c r="W1465" s="19" t="n">
        <x:f>SUM(T1465:V1465)</x:f>
        <x:v>9</x:v>
      </x:c>
      <x:c r="X1465" s="19" t="n">
        <x:f>W1465-G1465</x:f>
        <x:v>0</x:v>
      </x:c>
      <x:c r="Y1465" s="19" t="n">
        <x:f>MAX(T1465,1)+MAX(U1465,1)+MAX(V1465,1)</x:f>
        <x:v>9</x:v>
      </x:c>
      <x:c r="Z1465" s="21" t="str">
        <x:f>IF(AND(MIN(D1465:F1465)&gt;=0,MAX(D1465:F1465)&lt;=7,MAX(D1465,1)+MAX(E1465,1)+MAX(F1465,1)&lt;=9,OR(H1465="-",AND(H1465=0,D1465&gt;0),AND(H1465=1,E1465&gt;0),AND(H1465=2,F1465&gt;0)),OR(I1465=0,AND(I1465=1,OR(J1465=0,J1465=1,J1465=2),R1465&lt;&gt;"000")),Y1465&lt;=9,MIN(T1465:V1465)&gt;=0),"合法","输入违约")</x:f>
        <x:v>合法</x:v>
      </x:c>
    </x:row>
    <x:row r="1466" ht="23" customHeight="1">
      <x:c r="A1466" s="3" t="str">
        <x:v>CT-1459</x:v>
      </x:c>
      <x:c r="B1466" s="3" t="str">
        <x:v>ST-173</x:v>
      </x:c>
      <x:c r="C1466" s="3" t="str">
        <x:v>R+AR同收同发</x:v>
      </x:c>
      <x:c r="D1466" s="25" t="n">
        <x:v>2</x:v>
      </x:c>
      <x:c r="E1466" s="25" t="n">
        <x:v>4</x:v>
      </x:c>
      <x:c r="F1466" s="25" t="n">
        <x:v>3</x:v>
      </x:c>
      <x:c r="G1466" s="19" t="n">
        <x:f>SUM(D1466:F1466)</x:f>
        <x:v>9</x:v>
      </x:c>
      <x:c r="H1466" s="25" t="n">
        <x:v>2</x:v>
      </x:c>
      <x:c r="I1466" s="25" t="n">
        <x:v>1</x:v>
      </x:c>
      <x:c r="J1466" s="25" t="n">
        <x:v>2</x:v>
      </x:c>
      <x:c r="K1466" s="19" t="n">
        <x:f>D1466-IF(H1466=0,1,0)</x:f>
        <x:v>2</x:v>
      </x:c>
      <x:c r="L1466" s="19" t="n">
        <x:f>E1466-IF(H1466=1,1,0)</x:f>
        <x:v>4</x:v>
      </x:c>
      <x:c r="M1466" s="19" t="n">
        <x:f>F1466-IF(H1466=2,1,0)</x:f>
        <x:v>2</x:v>
      </x:c>
      <x:c r="N1466" s="19" t="n">
        <x:f>MAX(K1466-1,0)+MAX(L1466-1,0)+MAX(M1466-1,0)</x:f>
        <x:v>5</x:v>
      </x:c>
      <x:c r="O1466" s="19" t="n">
        <x:f>IF(AND(SUM(K1466:M1466)&lt;9,OR(M1466=0,N1466&lt;6)),1,0)</x:f>
        <x:v>1</x:v>
      </x:c>
      <x:c r="P1466" s="19" t="n">
        <x:f>IF(AND(SUM(K1466:M1466)&lt;9,OR(L1466=0,N1466&lt;6)),1,0)</x:f>
        <x:v>1</x:v>
      </x:c>
      <x:c r="Q1466" s="19" t="n">
        <x:f>IF(AND(SUM(K1466:M1466)&lt;9,OR(K1466=0,N1466&lt;6)),1,0)</x:f>
        <x:v>1</x:v>
      </x:c>
      <x:c r="R1466" s="22" t="str">
        <x:f>O1466&amp;P1466&amp;Q1466</x:f>
        <x:v>111</x:v>
      </x:c>
      <x:c r="S1466" s="19" t="n">
        <x:f>IF(I1466=1,IF(J1466=0,Q1466,IF(J1466=1,P1466,IF(J1466=2,O1466,0))),0)</x:f>
        <x:v>1</x:v>
      </x:c>
      <x:c r="T1466" s="19" t="n">
        <x:f>K1466+IF(AND(S1466=1,J1466=0),1,0)</x:f>
        <x:v>2</x:v>
      </x:c>
      <x:c r="U1466" s="19" t="n">
        <x:f>L1466+IF(AND(S1466=1,J1466=1),1,0)</x:f>
        <x:v>4</x:v>
      </x:c>
      <x:c r="V1466" s="19" t="n">
        <x:f>M1466+IF(AND(S1466=1,J1466=2),1,0)</x:f>
        <x:v>3</x:v>
      </x:c>
      <x:c r="W1466" s="19" t="n">
        <x:f>SUM(T1466:V1466)</x:f>
        <x:v>9</x:v>
      </x:c>
      <x:c r="X1466" s="19" t="n">
        <x:f>W1466-G1466</x:f>
        <x:v>0</x:v>
      </x:c>
      <x:c r="Y1466" s="19" t="n">
        <x:f>MAX(T1466,1)+MAX(U1466,1)+MAX(V1466,1)</x:f>
        <x:v>9</x:v>
      </x:c>
      <x:c r="Z1466" s="21" t="str">
        <x:f>IF(AND(MIN(D1466:F1466)&gt;=0,MAX(D1466:F1466)&lt;=7,MAX(D1466,1)+MAX(E1466,1)+MAX(F1466,1)&lt;=9,OR(H1466="-",AND(H1466=0,D1466&gt;0),AND(H1466=1,E1466&gt;0),AND(H1466=2,F1466&gt;0)),OR(I1466=0,AND(I1466=1,OR(J1466=0,J1466=1,J1466=2),R1466&lt;&gt;"000")),Y1466&lt;=9,MIN(T1466:V1466)&gt;=0),"合法","输入违约")</x:f>
        <x:v>合法</x:v>
      </x:c>
    </x:row>
    <x:row r="1467" ht="23" customHeight="1">
      <x:c r="A1467" s="3" t="str">
        <x:v>CT-1460</x:v>
      </x:c>
      <x:c r="B1467" s="3" t="str">
        <x:v>ST-105</x:v>
      </x:c>
      <x:c r="C1467" s="3" t="str">
        <x:v>无AR/R</x:v>
      </x:c>
      <x:c r="D1467" s="25" t="n">
        <x:v>2</x:v>
      </x:c>
      <x:c r="E1467" s="25" t="n">
        <x:v>5</x:v>
      </x:c>
      <x:c r="F1467" s="25" t="n">
        <x:v>0</x:v>
      </x:c>
      <x:c r="G1467" s="19" t="n">
        <x:f>SUM(D1467:F1467)</x:f>
        <x:v>7</x:v>
      </x:c>
      <x:c r="H1467" s="25" t="str">
        <x:v>-</x:v>
      </x:c>
      <x:c r="I1467" s="25" t="n">
        <x:v>0</x:v>
      </x:c>
      <x:c r="J1467" s="25" t="str">
        <x:v>-</x:v>
      </x:c>
      <x:c r="K1467" s="19" t="n">
        <x:f>D1467-IF(H1467=0,1,0)</x:f>
        <x:v>2</x:v>
      </x:c>
      <x:c r="L1467" s="19" t="n">
        <x:f>E1467-IF(H1467=1,1,0)</x:f>
        <x:v>5</x:v>
      </x:c>
      <x:c r="M1467" s="19" t="n">
        <x:f>F1467-IF(H1467=2,1,0)</x:f>
        <x:v>0</x:v>
      </x:c>
      <x:c r="N1467" s="19" t="n">
        <x:f>MAX(K1467-1,0)+MAX(L1467-1,0)+MAX(M1467-1,0)</x:f>
        <x:v>5</x:v>
      </x:c>
      <x:c r="O1467" s="19" t="n">
        <x:f>IF(AND(SUM(K1467:M1467)&lt;9,OR(M1467=0,N1467&lt;6)),1,0)</x:f>
        <x:v>1</x:v>
      </x:c>
      <x:c r="P1467" s="19" t="n">
        <x:f>IF(AND(SUM(K1467:M1467)&lt;9,OR(L1467=0,N1467&lt;6)),1,0)</x:f>
        <x:v>1</x:v>
      </x:c>
      <x:c r="Q1467" s="19" t="n">
        <x:f>IF(AND(SUM(K1467:M1467)&lt;9,OR(K1467=0,N1467&lt;6)),1,0)</x:f>
        <x:v>1</x:v>
      </x:c>
      <x:c r="R1467" s="22" t="str">
        <x:f>O1467&amp;P1467&amp;Q1467</x:f>
        <x:v>111</x:v>
      </x:c>
      <x:c r="S1467" s="19" t="n">
        <x:f>IF(I1467=1,IF(J1467=0,Q1467,IF(J1467=1,P1467,IF(J1467=2,O1467,0))),0)</x:f>
        <x:v>0</x:v>
      </x:c>
      <x:c r="T1467" s="19" t="n">
        <x:f>K1467+IF(AND(S1467=1,J1467=0),1,0)</x:f>
        <x:v>2</x:v>
      </x:c>
      <x:c r="U1467" s="19" t="n">
        <x:f>L1467+IF(AND(S1467=1,J1467=1),1,0)</x:f>
        <x:v>5</x:v>
      </x:c>
      <x:c r="V1467" s="19" t="n">
        <x:f>M1467+IF(AND(S1467=1,J1467=2),1,0)</x:f>
        <x:v>0</x:v>
      </x:c>
      <x:c r="W1467" s="19" t="n">
        <x:f>SUM(T1467:V1467)</x:f>
        <x:v>7</x:v>
      </x:c>
      <x:c r="X1467" s="19" t="n">
        <x:f>W1467-G1467</x:f>
        <x:v>0</x:v>
      </x:c>
      <x:c r="Y1467" s="19" t="n">
        <x:f>MAX(T1467,1)+MAX(U1467,1)+MAX(V1467,1)</x:f>
        <x:v>8</x:v>
      </x:c>
      <x:c r="Z1467" s="21" t="str">
        <x:f>IF(AND(MIN(D1467:F1467)&gt;=0,MAX(D1467:F1467)&lt;=7,MAX(D1467,1)+MAX(E1467,1)+MAX(F1467,1)&lt;=9,OR(H1467="-",AND(H1467=0,D1467&gt;0),AND(H1467=1,E1467&gt;0),AND(H1467=2,F1467&gt;0)),OR(I1467=0,AND(I1467=1,OR(J1467=0,J1467=1,J1467=2),R1467&lt;&gt;"000")),Y1467&lt;=9,MIN(T1467:V1467)&gt;=0),"合法","输入违约")</x:f>
        <x:v>合法</x:v>
      </x:c>
    </x:row>
    <x:row r="1468" ht="23" customHeight="1">
      <x:c r="A1468" s="3" t="str">
        <x:v>CT-1461</x:v>
      </x:c>
      <x:c r="B1468" s="3" t="str">
        <x:v>ST-105</x:v>
      </x:c>
      <x:c r="C1468" s="3" t="str">
        <x:v>仅AR接收</x:v>
      </x:c>
      <x:c r="D1468" s="25" t="n">
        <x:v>2</x:v>
      </x:c>
      <x:c r="E1468" s="25" t="n">
        <x:v>5</x:v>
      </x:c>
      <x:c r="F1468" s="25" t="n">
        <x:v>0</x:v>
      </x:c>
      <x:c r="G1468" s="19" t="n">
        <x:f>SUM(D1468:F1468)</x:f>
        <x:v>7</x:v>
      </x:c>
      <x:c r="H1468" s="25" t="str">
        <x:v>-</x:v>
      </x:c>
      <x:c r="I1468" s="25" t="n">
        <x:v>1</x:v>
      </x:c>
      <x:c r="J1468" s="25" t="n">
        <x:v>0</x:v>
      </x:c>
      <x:c r="K1468" s="19" t="n">
        <x:f>D1468-IF(H1468=0,1,0)</x:f>
        <x:v>2</x:v>
      </x:c>
      <x:c r="L1468" s="19" t="n">
        <x:f>E1468-IF(H1468=1,1,0)</x:f>
        <x:v>5</x:v>
      </x:c>
      <x:c r="M1468" s="19" t="n">
        <x:f>F1468-IF(H1468=2,1,0)</x:f>
        <x:v>0</x:v>
      </x:c>
      <x:c r="N1468" s="19" t="n">
        <x:f>MAX(K1468-1,0)+MAX(L1468-1,0)+MAX(M1468-1,0)</x:f>
        <x:v>5</x:v>
      </x:c>
      <x:c r="O1468" s="19" t="n">
        <x:f>IF(AND(SUM(K1468:M1468)&lt;9,OR(M1468=0,N1468&lt;6)),1,0)</x:f>
        <x:v>1</x:v>
      </x:c>
      <x:c r="P1468" s="19" t="n">
        <x:f>IF(AND(SUM(K1468:M1468)&lt;9,OR(L1468=0,N1468&lt;6)),1,0)</x:f>
        <x:v>1</x:v>
      </x:c>
      <x:c r="Q1468" s="19" t="n">
        <x:f>IF(AND(SUM(K1468:M1468)&lt;9,OR(K1468=0,N1468&lt;6)),1,0)</x:f>
        <x:v>1</x:v>
      </x:c>
      <x:c r="R1468" s="22" t="str">
        <x:f>O1468&amp;P1468&amp;Q1468</x:f>
        <x:v>111</x:v>
      </x:c>
      <x:c r="S1468" s="19" t="n">
        <x:f>IF(I1468=1,IF(J1468=0,Q1468,IF(J1468=1,P1468,IF(J1468=2,O1468,0))),0)</x:f>
        <x:v>1</x:v>
      </x:c>
      <x:c r="T1468" s="19" t="n">
        <x:f>K1468+IF(AND(S1468=1,J1468=0),1,0)</x:f>
        <x:v>3</x:v>
      </x:c>
      <x:c r="U1468" s="19" t="n">
        <x:f>L1468+IF(AND(S1468=1,J1468=1),1,0)</x:f>
        <x:v>5</x:v>
      </x:c>
      <x:c r="V1468" s="19" t="n">
        <x:f>M1468+IF(AND(S1468=1,J1468=2),1,0)</x:f>
        <x:v>0</x:v>
      </x:c>
      <x:c r="W1468" s="19" t="n">
        <x:f>SUM(T1468:V1468)</x:f>
        <x:v>8</x:v>
      </x:c>
      <x:c r="X1468" s="19" t="n">
        <x:f>W1468-G1468</x:f>
        <x:v>1</x:v>
      </x:c>
      <x:c r="Y1468" s="19" t="n">
        <x:f>MAX(T1468,1)+MAX(U1468,1)+MAX(V1468,1)</x:f>
        <x:v>9</x:v>
      </x:c>
      <x:c r="Z1468" s="21" t="str">
        <x:f>IF(AND(MIN(D1468:F1468)&gt;=0,MAX(D1468:F1468)&lt;=7,MAX(D1468,1)+MAX(E1468,1)+MAX(F1468,1)&lt;=9,OR(H1468="-",AND(H1468=0,D1468&gt;0),AND(H1468=1,E1468&gt;0),AND(H1468=2,F1468&gt;0)),OR(I1468=0,AND(I1468=1,OR(J1468=0,J1468=1,J1468=2),R1468&lt;&gt;"000")),Y1468&lt;=9,MIN(T1468:V1468)&gt;=0),"合法","输入违约")</x:f>
        <x:v>合法</x:v>
      </x:c>
    </x:row>
    <x:row r="1469" ht="23" customHeight="1">
      <x:c r="A1469" s="3" t="str">
        <x:v>CT-1462</x:v>
      </x:c>
      <x:c r="B1469" s="3" t="str">
        <x:v>ST-105</x:v>
      </x:c>
      <x:c r="C1469" s="3" t="str">
        <x:v>仅AR接收</x:v>
      </x:c>
      <x:c r="D1469" s="25" t="n">
        <x:v>2</x:v>
      </x:c>
      <x:c r="E1469" s="25" t="n">
        <x:v>5</x:v>
      </x:c>
      <x:c r="F1469" s="25" t="n">
        <x:v>0</x:v>
      </x:c>
      <x:c r="G1469" s="19" t="n">
        <x:f>SUM(D1469:F1469)</x:f>
        <x:v>7</x:v>
      </x:c>
      <x:c r="H1469" s="25" t="str">
        <x:v>-</x:v>
      </x:c>
      <x:c r="I1469" s="25" t="n">
        <x:v>1</x:v>
      </x:c>
      <x:c r="J1469" s="25" t="n">
        <x:v>1</x:v>
      </x:c>
      <x:c r="K1469" s="19" t="n">
        <x:f>D1469-IF(H1469=0,1,0)</x:f>
        <x:v>2</x:v>
      </x:c>
      <x:c r="L1469" s="19" t="n">
        <x:f>E1469-IF(H1469=1,1,0)</x:f>
        <x:v>5</x:v>
      </x:c>
      <x:c r="M1469" s="19" t="n">
        <x:f>F1469-IF(H1469=2,1,0)</x:f>
        <x:v>0</x:v>
      </x:c>
      <x:c r="N1469" s="19" t="n">
        <x:f>MAX(K1469-1,0)+MAX(L1469-1,0)+MAX(M1469-1,0)</x:f>
        <x:v>5</x:v>
      </x:c>
      <x:c r="O1469" s="19" t="n">
        <x:f>IF(AND(SUM(K1469:M1469)&lt;9,OR(M1469=0,N1469&lt;6)),1,0)</x:f>
        <x:v>1</x:v>
      </x:c>
      <x:c r="P1469" s="19" t="n">
        <x:f>IF(AND(SUM(K1469:M1469)&lt;9,OR(L1469=0,N1469&lt;6)),1,0)</x:f>
        <x:v>1</x:v>
      </x:c>
      <x:c r="Q1469" s="19" t="n">
        <x:f>IF(AND(SUM(K1469:M1469)&lt;9,OR(K1469=0,N1469&lt;6)),1,0)</x:f>
        <x:v>1</x:v>
      </x:c>
      <x:c r="R1469" s="22" t="str">
        <x:f>O1469&amp;P1469&amp;Q1469</x:f>
        <x:v>111</x:v>
      </x:c>
      <x:c r="S1469" s="19" t="n">
        <x:f>IF(I1469=1,IF(J1469=0,Q1469,IF(J1469=1,P1469,IF(J1469=2,O1469,0))),0)</x:f>
        <x:v>1</x:v>
      </x:c>
      <x:c r="T1469" s="19" t="n">
        <x:f>K1469+IF(AND(S1469=1,J1469=0),1,0)</x:f>
        <x:v>2</x:v>
      </x:c>
      <x:c r="U1469" s="19" t="n">
        <x:f>L1469+IF(AND(S1469=1,J1469=1),1,0)</x:f>
        <x:v>6</x:v>
      </x:c>
      <x:c r="V1469" s="19" t="n">
        <x:f>M1469+IF(AND(S1469=1,J1469=2),1,0)</x:f>
        <x:v>0</x:v>
      </x:c>
      <x:c r="W1469" s="19" t="n">
        <x:f>SUM(T1469:V1469)</x:f>
        <x:v>8</x:v>
      </x:c>
      <x:c r="X1469" s="19" t="n">
        <x:f>W1469-G1469</x:f>
        <x:v>1</x:v>
      </x:c>
      <x:c r="Y1469" s="19" t="n">
        <x:f>MAX(T1469,1)+MAX(U1469,1)+MAX(V1469,1)</x:f>
        <x:v>9</x:v>
      </x:c>
      <x:c r="Z1469" s="21" t="str">
        <x:f>IF(AND(MIN(D1469:F1469)&gt;=0,MAX(D1469:F1469)&lt;=7,MAX(D1469,1)+MAX(E1469,1)+MAX(F1469,1)&lt;=9,OR(H1469="-",AND(H1469=0,D1469&gt;0),AND(H1469=1,E1469&gt;0),AND(H1469=2,F1469&gt;0)),OR(I1469=0,AND(I1469=1,OR(J1469=0,J1469=1,J1469=2),R1469&lt;&gt;"000")),Y1469&lt;=9,MIN(T1469:V1469)&gt;=0),"合法","输入违约")</x:f>
        <x:v>合法</x:v>
      </x:c>
    </x:row>
    <x:row r="1470" ht="23" customHeight="1">
      <x:c r="A1470" s="3" t="str">
        <x:v>CT-1463</x:v>
      </x:c>
      <x:c r="B1470" s="3" t="str">
        <x:v>ST-105</x:v>
      </x:c>
      <x:c r="C1470" s="3" t="str">
        <x:v>仅AR接收</x:v>
      </x:c>
      <x:c r="D1470" s="25" t="n">
        <x:v>2</x:v>
      </x:c>
      <x:c r="E1470" s="25" t="n">
        <x:v>5</x:v>
      </x:c>
      <x:c r="F1470" s="25" t="n">
        <x:v>0</x:v>
      </x:c>
      <x:c r="G1470" s="19" t="n">
        <x:f>SUM(D1470:F1470)</x:f>
        <x:v>7</x:v>
      </x:c>
      <x:c r="H1470" s="25" t="str">
        <x:v>-</x:v>
      </x:c>
      <x:c r="I1470" s="25" t="n">
        <x:v>1</x:v>
      </x:c>
      <x:c r="J1470" s="25" t="n">
        <x:v>2</x:v>
      </x:c>
      <x:c r="K1470" s="19" t="n">
        <x:f>D1470-IF(H1470=0,1,0)</x:f>
        <x:v>2</x:v>
      </x:c>
      <x:c r="L1470" s="19" t="n">
        <x:f>E1470-IF(H1470=1,1,0)</x:f>
        <x:v>5</x:v>
      </x:c>
      <x:c r="M1470" s="19" t="n">
        <x:f>F1470-IF(H1470=2,1,0)</x:f>
        <x:v>0</x:v>
      </x:c>
      <x:c r="N1470" s="19" t="n">
        <x:f>MAX(K1470-1,0)+MAX(L1470-1,0)+MAX(M1470-1,0)</x:f>
        <x:v>5</x:v>
      </x:c>
      <x:c r="O1470" s="19" t="n">
        <x:f>IF(AND(SUM(K1470:M1470)&lt;9,OR(M1470=0,N1470&lt;6)),1,0)</x:f>
        <x:v>1</x:v>
      </x:c>
      <x:c r="P1470" s="19" t="n">
        <x:f>IF(AND(SUM(K1470:M1470)&lt;9,OR(L1470=0,N1470&lt;6)),1,0)</x:f>
        <x:v>1</x:v>
      </x:c>
      <x:c r="Q1470" s="19" t="n">
        <x:f>IF(AND(SUM(K1470:M1470)&lt;9,OR(K1470=0,N1470&lt;6)),1,0)</x:f>
        <x:v>1</x:v>
      </x:c>
      <x:c r="R1470" s="22" t="str">
        <x:f>O1470&amp;P1470&amp;Q1470</x:f>
        <x:v>111</x:v>
      </x:c>
      <x:c r="S1470" s="19" t="n">
        <x:f>IF(I1470=1,IF(J1470=0,Q1470,IF(J1470=1,P1470,IF(J1470=2,O1470,0))),0)</x:f>
        <x:v>1</x:v>
      </x:c>
      <x:c r="T1470" s="19" t="n">
        <x:f>K1470+IF(AND(S1470=1,J1470=0),1,0)</x:f>
        <x:v>2</x:v>
      </x:c>
      <x:c r="U1470" s="19" t="n">
        <x:f>L1470+IF(AND(S1470=1,J1470=1),1,0)</x:f>
        <x:v>5</x:v>
      </x:c>
      <x:c r="V1470" s="19" t="n">
        <x:f>M1470+IF(AND(S1470=1,J1470=2),1,0)</x:f>
        <x:v>1</x:v>
      </x:c>
      <x:c r="W1470" s="19" t="n">
        <x:f>SUM(T1470:V1470)</x:f>
        <x:v>8</x:v>
      </x:c>
      <x:c r="X1470" s="19" t="n">
        <x:f>W1470-G1470</x:f>
        <x:v>1</x:v>
      </x:c>
      <x:c r="Y1470" s="19" t="n">
        <x:f>MAX(T1470,1)+MAX(U1470,1)+MAX(V1470,1)</x:f>
        <x:v>8</x:v>
      </x:c>
      <x:c r="Z1470" s="21" t="str">
        <x:f>IF(AND(MIN(D1470:F1470)&gt;=0,MAX(D1470:F1470)&lt;=7,MAX(D1470,1)+MAX(E1470,1)+MAX(F1470,1)&lt;=9,OR(H1470="-",AND(H1470=0,D1470&gt;0),AND(H1470=1,E1470&gt;0),AND(H1470=2,F1470&gt;0)),OR(I1470=0,AND(I1470=1,OR(J1470=0,J1470=1,J1470=2),R1470&lt;&gt;"000")),Y1470&lt;=9,MIN(T1470:V1470)&gt;=0),"合法","输入违约")</x:f>
        <x:v>合法</x:v>
      </x:c>
    </x:row>
    <x:row r="1471" ht="23" customHeight="1">
      <x:c r="A1471" s="3" t="str">
        <x:v>CT-1464</x:v>
      </x:c>
      <x:c r="B1471" s="3" t="str">
        <x:v>ST-105</x:v>
      </x:c>
      <x:c r="C1471" s="3" t="str">
        <x:v>仅R回收</x:v>
      </x:c>
      <x:c r="D1471" s="25" t="n">
        <x:v>2</x:v>
      </x:c>
      <x:c r="E1471" s="25" t="n">
        <x:v>5</x:v>
      </x:c>
      <x:c r="F1471" s="25" t="n">
        <x:v>0</x:v>
      </x:c>
      <x:c r="G1471" s="19" t="n">
        <x:f>SUM(D1471:F1471)</x:f>
        <x:v>7</x:v>
      </x:c>
      <x:c r="H1471" s="25" t="n">
        <x:v>0</x:v>
      </x:c>
      <x:c r="I1471" s="25" t="n">
        <x:v>0</x:v>
      </x:c>
      <x:c r="J1471" s="25" t="str">
        <x:v>-</x:v>
      </x:c>
      <x:c r="K1471" s="19" t="n">
        <x:f>D1471-IF(H1471=0,1,0)</x:f>
        <x:v>1</x:v>
      </x:c>
      <x:c r="L1471" s="19" t="n">
        <x:f>E1471-IF(H1471=1,1,0)</x:f>
        <x:v>5</x:v>
      </x:c>
      <x:c r="M1471" s="19" t="n">
        <x:f>F1471-IF(H1471=2,1,0)</x:f>
        <x:v>0</x:v>
      </x:c>
      <x:c r="N1471" s="19" t="n">
        <x:f>MAX(K1471-1,0)+MAX(L1471-1,0)+MAX(M1471-1,0)</x:f>
        <x:v>4</x:v>
      </x:c>
      <x:c r="O1471" s="19" t="n">
        <x:f>IF(AND(SUM(K1471:M1471)&lt;9,OR(M1471=0,N1471&lt;6)),1,0)</x:f>
        <x:v>1</x:v>
      </x:c>
      <x:c r="P1471" s="19" t="n">
        <x:f>IF(AND(SUM(K1471:M1471)&lt;9,OR(L1471=0,N1471&lt;6)),1,0)</x:f>
        <x:v>1</x:v>
      </x:c>
      <x:c r="Q1471" s="19" t="n">
        <x:f>IF(AND(SUM(K1471:M1471)&lt;9,OR(K1471=0,N1471&lt;6)),1,0)</x:f>
        <x:v>1</x:v>
      </x:c>
      <x:c r="R1471" s="22" t="str">
        <x:f>O1471&amp;P1471&amp;Q1471</x:f>
        <x:v>111</x:v>
      </x:c>
      <x:c r="S1471" s="19" t="n">
        <x:f>IF(I1471=1,IF(J1471=0,Q1471,IF(J1471=1,P1471,IF(J1471=2,O1471,0))),0)</x:f>
        <x:v>0</x:v>
      </x:c>
      <x:c r="T1471" s="19" t="n">
        <x:f>K1471+IF(AND(S1471=1,J1471=0),1,0)</x:f>
        <x:v>1</x:v>
      </x:c>
      <x:c r="U1471" s="19" t="n">
        <x:f>L1471+IF(AND(S1471=1,J1471=1),1,0)</x:f>
        <x:v>5</x:v>
      </x:c>
      <x:c r="V1471" s="19" t="n">
        <x:f>M1471+IF(AND(S1471=1,J1471=2),1,0)</x:f>
        <x:v>0</x:v>
      </x:c>
      <x:c r="W1471" s="19" t="n">
        <x:f>SUM(T1471:V1471)</x:f>
        <x:v>6</x:v>
      </x:c>
      <x:c r="X1471" s="19" t="n">
        <x:f>W1471-G1471</x:f>
        <x:v>-1</x:v>
      </x:c>
      <x:c r="Y1471" s="19" t="n">
        <x:f>MAX(T1471,1)+MAX(U1471,1)+MAX(V1471,1)</x:f>
        <x:v>7</x:v>
      </x:c>
      <x:c r="Z1471" s="21" t="str">
        <x:f>IF(AND(MIN(D1471:F1471)&gt;=0,MAX(D1471:F1471)&lt;=7,MAX(D1471,1)+MAX(E1471,1)+MAX(F1471,1)&lt;=9,OR(H1471="-",AND(H1471=0,D1471&gt;0),AND(H1471=1,E1471&gt;0),AND(H1471=2,F1471&gt;0)),OR(I1471=0,AND(I1471=1,OR(J1471=0,J1471=1,J1471=2),R1471&lt;&gt;"000")),Y1471&lt;=9,MIN(T1471:V1471)&gt;=0),"合法","输入违约")</x:f>
        <x:v>合法</x:v>
      </x:c>
    </x:row>
    <x:row r="1472" ht="23" customHeight="1">
      <x:c r="A1472" s="3" t="str">
        <x:v>CT-1465</x:v>
      </x:c>
      <x:c r="B1472" s="3" t="str">
        <x:v>ST-105</x:v>
      </x:c>
      <x:c r="C1472" s="3" t="str">
        <x:v>R+AR同收同发</x:v>
      </x:c>
      <x:c r="D1472" s="25" t="n">
        <x:v>2</x:v>
      </x:c>
      <x:c r="E1472" s="25" t="n">
        <x:v>5</x:v>
      </x:c>
      <x:c r="F1472" s="25" t="n">
        <x:v>0</x:v>
      </x:c>
      <x:c r="G1472" s="19" t="n">
        <x:f>SUM(D1472:F1472)</x:f>
        <x:v>7</x:v>
      </x:c>
      <x:c r="H1472" s="25" t="n">
        <x:v>0</x:v>
      </x:c>
      <x:c r="I1472" s="25" t="n">
        <x:v>1</x:v>
      </x:c>
      <x:c r="J1472" s="25" t="n">
        <x:v>0</x:v>
      </x:c>
      <x:c r="K1472" s="19" t="n">
        <x:f>D1472-IF(H1472=0,1,0)</x:f>
        <x:v>1</x:v>
      </x:c>
      <x:c r="L1472" s="19" t="n">
        <x:f>E1472-IF(H1472=1,1,0)</x:f>
        <x:v>5</x:v>
      </x:c>
      <x:c r="M1472" s="19" t="n">
        <x:f>F1472-IF(H1472=2,1,0)</x:f>
        <x:v>0</x:v>
      </x:c>
      <x:c r="N1472" s="19" t="n">
        <x:f>MAX(K1472-1,0)+MAX(L1472-1,0)+MAX(M1472-1,0)</x:f>
        <x:v>4</x:v>
      </x:c>
      <x:c r="O1472" s="19" t="n">
        <x:f>IF(AND(SUM(K1472:M1472)&lt;9,OR(M1472=0,N1472&lt;6)),1,0)</x:f>
        <x:v>1</x:v>
      </x:c>
      <x:c r="P1472" s="19" t="n">
        <x:f>IF(AND(SUM(K1472:M1472)&lt;9,OR(L1472=0,N1472&lt;6)),1,0)</x:f>
        <x:v>1</x:v>
      </x:c>
      <x:c r="Q1472" s="19" t="n">
        <x:f>IF(AND(SUM(K1472:M1472)&lt;9,OR(K1472=0,N1472&lt;6)),1,0)</x:f>
        <x:v>1</x:v>
      </x:c>
      <x:c r="R1472" s="22" t="str">
        <x:f>O1472&amp;P1472&amp;Q1472</x:f>
        <x:v>111</x:v>
      </x:c>
      <x:c r="S1472" s="19" t="n">
        <x:f>IF(I1472=1,IF(J1472=0,Q1472,IF(J1472=1,P1472,IF(J1472=2,O1472,0))),0)</x:f>
        <x:v>1</x:v>
      </x:c>
      <x:c r="T1472" s="19" t="n">
        <x:f>K1472+IF(AND(S1472=1,J1472=0),1,0)</x:f>
        <x:v>2</x:v>
      </x:c>
      <x:c r="U1472" s="19" t="n">
        <x:f>L1472+IF(AND(S1472=1,J1472=1),1,0)</x:f>
        <x:v>5</x:v>
      </x:c>
      <x:c r="V1472" s="19" t="n">
        <x:f>M1472+IF(AND(S1472=1,J1472=2),1,0)</x:f>
        <x:v>0</x:v>
      </x:c>
      <x:c r="W1472" s="19" t="n">
        <x:f>SUM(T1472:V1472)</x:f>
        <x:v>7</x:v>
      </x:c>
      <x:c r="X1472" s="19" t="n">
        <x:f>W1472-G1472</x:f>
        <x:v>0</x:v>
      </x:c>
      <x:c r="Y1472" s="19" t="n">
        <x:f>MAX(T1472,1)+MAX(U1472,1)+MAX(V1472,1)</x:f>
        <x:v>8</x:v>
      </x:c>
      <x:c r="Z1472" s="21" t="str">
        <x:f>IF(AND(MIN(D1472:F1472)&gt;=0,MAX(D1472:F1472)&lt;=7,MAX(D1472,1)+MAX(E1472,1)+MAX(F1472,1)&lt;=9,OR(H1472="-",AND(H1472=0,D1472&gt;0),AND(H1472=1,E1472&gt;0),AND(H1472=2,F1472&gt;0)),OR(I1472=0,AND(I1472=1,OR(J1472=0,J1472=1,J1472=2),R1472&lt;&gt;"000")),Y1472&lt;=9,MIN(T1472:V1472)&gt;=0),"合法","输入违约")</x:f>
        <x:v>合法</x:v>
      </x:c>
    </x:row>
    <x:row r="1473" ht="23" customHeight="1">
      <x:c r="A1473" s="3" t="str">
        <x:v>CT-1466</x:v>
      </x:c>
      <x:c r="B1473" s="3" t="str">
        <x:v>ST-105</x:v>
      </x:c>
      <x:c r="C1473" s="3" t="str">
        <x:v>R+AR同收同发</x:v>
      </x:c>
      <x:c r="D1473" s="25" t="n">
        <x:v>2</x:v>
      </x:c>
      <x:c r="E1473" s="25" t="n">
        <x:v>5</x:v>
      </x:c>
      <x:c r="F1473" s="25" t="n">
        <x:v>0</x:v>
      </x:c>
      <x:c r="G1473" s="19" t="n">
        <x:f>SUM(D1473:F1473)</x:f>
        <x:v>7</x:v>
      </x:c>
      <x:c r="H1473" s="25" t="n">
        <x:v>0</x:v>
      </x:c>
      <x:c r="I1473" s="25" t="n">
        <x:v>1</x:v>
      </x:c>
      <x:c r="J1473" s="25" t="n">
        <x:v>1</x:v>
      </x:c>
      <x:c r="K1473" s="19" t="n">
        <x:f>D1473-IF(H1473=0,1,0)</x:f>
        <x:v>1</x:v>
      </x:c>
      <x:c r="L1473" s="19" t="n">
        <x:f>E1473-IF(H1473=1,1,0)</x:f>
        <x:v>5</x:v>
      </x:c>
      <x:c r="M1473" s="19" t="n">
        <x:f>F1473-IF(H1473=2,1,0)</x:f>
        <x:v>0</x:v>
      </x:c>
      <x:c r="N1473" s="19" t="n">
        <x:f>MAX(K1473-1,0)+MAX(L1473-1,0)+MAX(M1473-1,0)</x:f>
        <x:v>4</x:v>
      </x:c>
      <x:c r="O1473" s="19" t="n">
        <x:f>IF(AND(SUM(K1473:M1473)&lt;9,OR(M1473=0,N1473&lt;6)),1,0)</x:f>
        <x:v>1</x:v>
      </x:c>
      <x:c r="P1473" s="19" t="n">
        <x:f>IF(AND(SUM(K1473:M1473)&lt;9,OR(L1473=0,N1473&lt;6)),1,0)</x:f>
        <x:v>1</x:v>
      </x:c>
      <x:c r="Q1473" s="19" t="n">
        <x:f>IF(AND(SUM(K1473:M1473)&lt;9,OR(K1473=0,N1473&lt;6)),1,0)</x:f>
        <x:v>1</x:v>
      </x:c>
      <x:c r="R1473" s="22" t="str">
        <x:f>O1473&amp;P1473&amp;Q1473</x:f>
        <x:v>111</x:v>
      </x:c>
      <x:c r="S1473" s="19" t="n">
        <x:f>IF(I1473=1,IF(J1473=0,Q1473,IF(J1473=1,P1473,IF(J1473=2,O1473,0))),0)</x:f>
        <x:v>1</x:v>
      </x:c>
      <x:c r="T1473" s="19" t="n">
        <x:f>K1473+IF(AND(S1473=1,J1473=0),1,0)</x:f>
        <x:v>1</x:v>
      </x:c>
      <x:c r="U1473" s="19" t="n">
        <x:f>L1473+IF(AND(S1473=1,J1473=1),1,0)</x:f>
        <x:v>6</x:v>
      </x:c>
      <x:c r="V1473" s="19" t="n">
        <x:f>M1473+IF(AND(S1473=1,J1473=2),1,0)</x:f>
        <x:v>0</x:v>
      </x:c>
      <x:c r="W1473" s="19" t="n">
        <x:f>SUM(T1473:V1473)</x:f>
        <x:v>7</x:v>
      </x:c>
      <x:c r="X1473" s="19" t="n">
        <x:f>W1473-G1473</x:f>
        <x:v>0</x:v>
      </x:c>
      <x:c r="Y1473" s="19" t="n">
        <x:f>MAX(T1473,1)+MAX(U1473,1)+MAX(V1473,1)</x:f>
        <x:v>8</x:v>
      </x:c>
      <x:c r="Z1473" s="21" t="str">
        <x:f>IF(AND(MIN(D1473:F1473)&gt;=0,MAX(D1473:F1473)&lt;=7,MAX(D1473,1)+MAX(E1473,1)+MAX(F1473,1)&lt;=9,OR(H1473="-",AND(H1473=0,D1473&gt;0),AND(H1473=1,E1473&gt;0),AND(H1473=2,F1473&gt;0)),OR(I1473=0,AND(I1473=1,OR(J1473=0,J1473=1,J1473=2),R1473&lt;&gt;"000")),Y1473&lt;=9,MIN(T1473:V1473)&gt;=0),"合法","输入违约")</x:f>
        <x:v>合法</x:v>
      </x:c>
    </x:row>
    <x:row r="1474" ht="23" customHeight="1">
      <x:c r="A1474" s="3" t="str">
        <x:v>CT-1467</x:v>
      </x:c>
      <x:c r="B1474" s="3" t="str">
        <x:v>ST-105</x:v>
      </x:c>
      <x:c r="C1474" s="3" t="str">
        <x:v>R+AR同收同发</x:v>
      </x:c>
      <x:c r="D1474" s="25" t="n">
        <x:v>2</x:v>
      </x:c>
      <x:c r="E1474" s="25" t="n">
        <x:v>5</x:v>
      </x:c>
      <x:c r="F1474" s="25" t="n">
        <x:v>0</x:v>
      </x:c>
      <x:c r="G1474" s="19" t="n">
        <x:f>SUM(D1474:F1474)</x:f>
        <x:v>7</x:v>
      </x:c>
      <x:c r="H1474" s="25" t="n">
        <x:v>0</x:v>
      </x:c>
      <x:c r="I1474" s="25" t="n">
        <x:v>1</x:v>
      </x:c>
      <x:c r="J1474" s="25" t="n">
        <x:v>2</x:v>
      </x:c>
      <x:c r="K1474" s="19" t="n">
        <x:f>D1474-IF(H1474=0,1,0)</x:f>
        <x:v>1</x:v>
      </x:c>
      <x:c r="L1474" s="19" t="n">
        <x:f>E1474-IF(H1474=1,1,0)</x:f>
        <x:v>5</x:v>
      </x:c>
      <x:c r="M1474" s="19" t="n">
        <x:f>F1474-IF(H1474=2,1,0)</x:f>
        <x:v>0</x:v>
      </x:c>
      <x:c r="N1474" s="19" t="n">
        <x:f>MAX(K1474-1,0)+MAX(L1474-1,0)+MAX(M1474-1,0)</x:f>
        <x:v>4</x:v>
      </x:c>
      <x:c r="O1474" s="19" t="n">
        <x:f>IF(AND(SUM(K1474:M1474)&lt;9,OR(M1474=0,N1474&lt;6)),1,0)</x:f>
        <x:v>1</x:v>
      </x:c>
      <x:c r="P1474" s="19" t="n">
        <x:f>IF(AND(SUM(K1474:M1474)&lt;9,OR(L1474=0,N1474&lt;6)),1,0)</x:f>
        <x:v>1</x:v>
      </x:c>
      <x:c r="Q1474" s="19" t="n">
        <x:f>IF(AND(SUM(K1474:M1474)&lt;9,OR(K1474=0,N1474&lt;6)),1,0)</x:f>
        <x:v>1</x:v>
      </x:c>
      <x:c r="R1474" s="22" t="str">
        <x:f>O1474&amp;P1474&amp;Q1474</x:f>
        <x:v>111</x:v>
      </x:c>
      <x:c r="S1474" s="19" t="n">
        <x:f>IF(I1474=1,IF(J1474=0,Q1474,IF(J1474=1,P1474,IF(J1474=2,O1474,0))),0)</x:f>
        <x:v>1</x:v>
      </x:c>
      <x:c r="T1474" s="19" t="n">
        <x:f>K1474+IF(AND(S1474=1,J1474=0),1,0)</x:f>
        <x:v>1</x:v>
      </x:c>
      <x:c r="U1474" s="19" t="n">
        <x:f>L1474+IF(AND(S1474=1,J1474=1),1,0)</x:f>
        <x:v>5</x:v>
      </x:c>
      <x:c r="V1474" s="19" t="n">
        <x:f>M1474+IF(AND(S1474=1,J1474=2),1,0)</x:f>
        <x:v>1</x:v>
      </x:c>
      <x:c r="W1474" s="19" t="n">
        <x:f>SUM(T1474:V1474)</x:f>
        <x:v>7</x:v>
      </x:c>
      <x:c r="X1474" s="19" t="n">
        <x:f>W1474-G1474</x:f>
        <x:v>0</x:v>
      </x:c>
      <x:c r="Y1474" s="19" t="n">
        <x:f>MAX(T1474,1)+MAX(U1474,1)+MAX(V1474,1)</x:f>
        <x:v>7</x:v>
      </x:c>
      <x:c r="Z1474" s="21" t="str">
        <x:f>IF(AND(MIN(D1474:F1474)&gt;=0,MAX(D1474:F1474)&lt;=7,MAX(D1474,1)+MAX(E1474,1)+MAX(F1474,1)&lt;=9,OR(H1474="-",AND(H1474=0,D1474&gt;0),AND(H1474=1,E1474&gt;0),AND(H1474=2,F1474&gt;0)),OR(I1474=0,AND(I1474=1,OR(J1474=0,J1474=1,J1474=2),R1474&lt;&gt;"000")),Y1474&lt;=9,MIN(T1474:V1474)&gt;=0),"合法","输入违约")</x:f>
        <x:v>合法</x:v>
      </x:c>
    </x:row>
    <x:row r="1475" ht="23" customHeight="1">
      <x:c r="A1475" s="3" t="str">
        <x:v>CT-1468</x:v>
      </x:c>
      <x:c r="B1475" s="3" t="str">
        <x:v>ST-105</x:v>
      </x:c>
      <x:c r="C1475" s="3" t="str">
        <x:v>仅R回收</x:v>
      </x:c>
      <x:c r="D1475" s="25" t="n">
        <x:v>2</x:v>
      </x:c>
      <x:c r="E1475" s="25" t="n">
        <x:v>5</x:v>
      </x:c>
      <x:c r="F1475" s="25" t="n">
        <x:v>0</x:v>
      </x:c>
      <x:c r="G1475" s="19" t="n">
        <x:f>SUM(D1475:F1475)</x:f>
        <x:v>7</x:v>
      </x:c>
      <x:c r="H1475" s="25" t="n">
        <x:v>1</x:v>
      </x:c>
      <x:c r="I1475" s="25" t="n">
        <x:v>0</x:v>
      </x:c>
      <x:c r="J1475" s="25" t="str">
        <x:v>-</x:v>
      </x:c>
      <x:c r="K1475" s="19" t="n">
        <x:f>D1475-IF(H1475=0,1,0)</x:f>
        <x:v>2</x:v>
      </x:c>
      <x:c r="L1475" s="19" t="n">
        <x:f>E1475-IF(H1475=1,1,0)</x:f>
        <x:v>4</x:v>
      </x:c>
      <x:c r="M1475" s="19" t="n">
        <x:f>F1475-IF(H1475=2,1,0)</x:f>
        <x:v>0</x:v>
      </x:c>
      <x:c r="N1475" s="19" t="n">
        <x:f>MAX(K1475-1,0)+MAX(L1475-1,0)+MAX(M1475-1,0)</x:f>
        <x:v>4</x:v>
      </x:c>
      <x:c r="O1475" s="19" t="n">
        <x:f>IF(AND(SUM(K1475:M1475)&lt;9,OR(M1475=0,N1475&lt;6)),1,0)</x:f>
        <x:v>1</x:v>
      </x:c>
      <x:c r="P1475" s="19" t="n">
        <x:f>IF(AND(SUM(K1475:M1475)&lt;9,OR(L1475=0,N1475&lt;6)),1,0)</x:f>
        <x:v>1</x:v>
      </x:c>
      <x:c r="Q1475" s="19" t="n">
        <x:f>IF(AND(SUM(K1475:M1475)&lt;9,OR(K1475=0,N1475&lt;6)),1,0)</x:f>
        <x:v>1</x:v>
      </x:c>
      <x:c r="R1475" s="22" t="str">
        <x:f>O1475&amp;P1475&amp;Q1475</x:f>
        <x:v>111</x:v>
      </x:c>
      <x:c r="S1475" s="19" t="n">
        <x:f>IF(I1475=1,IF(J1475=0,Q1475,IF(J1475=1,P1475,IF(J1475=2,O1475,0))),0)</x:f>
        <x:v>0</x:v>
      </x:c>
      <x:c r="T1475" s="19" t="n">
        <x:f>K1475+IF(AND(S1475=1,J1475=0),1,0)</x:f>
        <x:v>2</x:v>
      </x:c>
      <x:c r="U1475" s="19" t="n">
        <x:f>L1475+IF(AND(S1475=1,J1475=1),1,0)</x:f>
        <x:v>4</x:v>
      </x:c>
      <x:c r="V1475" s="19" t="n">
        <x:f>M1475+IF(AND(S1475=1,J1475=2),1,0)</x:f>
        <x:v>0</x:v>
      </x:c>
      <x:c r="W1475" s="19" t="n">
        <x:f>SUM(T1475:V1475)</x:f>
        <x:v>6</x:v>
      </x:c>
      <x:c r="X1475" s="19" t="n">
        <x:f>W1475-G1475</x:f>
        <x:v>-1</x:v>
      </x:c>
      <x:c r="Y1475" s="19" t="n">
        <x:f>MAX(T1475,1)+MAX(U1475,1)+MAX(V1475,1)</x:f>
        <x:v>7</x:v>
      </x:c>
      <x:c r="Z1475" s="21" t="str">
        <x:f>IF(AND(MIN(D1475:F1475)&gt;=0,MAX(D1475:F1475)&lt;=7,MAX(D1475,1)+MAX(E1475,1)+MAX(F1475,1)&lt;=9,OR(H1475="-",AND(H1475=0,D1475&gt;0),AND(H1475=1,E1475&gt;0),AND(H1475=2,F1475&gt;0)),OR(I1475=0,AND(I1475=1,OR(J1475=0,J1475=1,J1475=2),R1475&lt;&gt;"000")),Y1475&lt;=9,MIN(T1475:V1475)&gt;=0),"合法","输入违约")</x:f>
        <x:v>合法</x:v>
      </x:c>
    </x:row>
    <x:row r="1476" ht="23" customHeight="1">
      <x:c r="A1476" s="3" t="str">
        <x:v>CT-1469</x:v>
      </x:c>
      <x:c r="B1476" s="3" t="str">
        <x:v>ST-105</x:v>
      </x:c>
      <x:c r="C1476" s="3" t="str">
        <x:v>R+AR同收同发</x:v>
      </x:c>
      <x:c r="D1476" s="25" t="n">
        <x:v>2</x:v>
      </x:c>
      <x:c r="E1476" s="25" t="n">
        <x:v>5</x:v>
      </x:c>
      <x:c r="F1476" s="25" t="n">
        <x:v>0</x:v>
      </x:c>
      <x:c r="G1476" s="19" t="n">
        <x:f>SUM(D1476:F1476)</x:f>
        <x:v>7</x:v>
      </x:c>
      <x:c r="H1476" s="25" t="n">
        <x:v>1</x:v>
      </x:c>
      <x:c r="I1476" s="25" t="n">
        <x:v>1</x:v>
      </x:c>
      <x:c r="J1476" s="25" t="n">
        <x:v>0</x:v>
      </x:c>
      <x:c r="K1476" s="19" t="n">
        <x:f>D1476-IF(H1476=0,1,0)</x:f>
        <x:v>2</x:v>
      </x:c>
      <x:c r="L1476" s="19" t="n">
        <x:f>E1476-IF(H1476=1,1,0)</x:f>
        <x:v>4</x:v>
      </x:c>
      <x:c r="M1476" s="19" t="n">
        <x:f>F1476-IF(H1476=2,1,0)</x:f>
        <x:v>0</x:v>
      </x:c>
      <x:c r="N1476" s="19" t="n">
        <x:f>MAX(K1476-1,0)+MAX(L1476-1,0)+MAX(M1476-1,0)</x:f>
        <x:v>4</x:v>
      </x:c>
      <x:c r="O1476" s="19" t="n">
        <x:f>IF(AND(SUM(K1476:M1476)&lt;9,OR(M1476=0,N1476&lt;6)),1,0)</x:f>
        <x:v>1</x:v>
      </x:c>
      <x:c r="P1476" s="19" t="n">
        <x:f>IF(AND(SUM(K1476:M1476)&lt;9,OR(L1476=0,N1476&lt;6)),1,0)</x:f>
        <x:v>1</x:v>
      </x:c>
      <x:c r="Q1476" s="19" t="n">
        <x:f>IF(AND(SUM(K1476:M1476)&lt;9,OR(K1476=0,N1476&lt;6)),1,0)</x:f>
        <x:v>1</x:v>
      </x:c>
      <x:c r="R1476" s="22" t="str">
        <x:f>O1476&amp;P1476&amp;Q1476</x:f>
        <x:v>111</x:v>
      </x:c>
      <x:c r="S1476" s="19" t="n">
        <x:f>IF(I1476=1,IF(J1476=0,Q1476,IF(J1476=1,P1476,IF(J1476=2,O1476,0))),0)</x:f>
        <x:v>1</x:v>
      </x:c>
      <x:c r="T1476" s="19" t="n">
        <x:f>K1476+IF(AND(S1476=1,J1476=0),1,0)</x:f>
        <x:v>3</x:v>
      </x:c>
      <x:c r="U1476" s="19" t="n">
        <x:f>L1476+IF(AND(S1476=1,J1476=1),1,0)</x:f>
        <x:v>4</x:v>
      </x:c>
      <x:c r="V1476" s="19" t="n">
        <x:f>M1476+IF(AND(S1476=1,J1476=2),1,0)</x:f>
        <x:v>0</x:v>
      </x:c>
      <x:c r="W1476" s="19" t="n">
        <x:f>SUM(T1476:V1476)</x:f>
        <x:v>7</x:v>
      </x:c>
      <x:c r="X1476" s="19" t="n">
        <x:f>W1476-G1476</x:f>
        <x:v>0</x:v>
      </x:c>
      <x:c r="Y1476" s="19" t="n">
        <x:f>MAX(T1476,1)+MAX(U1476,1)+MAX(V1476,1)</x:f>
        <x:v>8</x:v>
      </x:c>
      <x:c r="Z1476" s="21" t="str">
        <x:f>IF(AND(MIN(D1476:F1476)&gt;=0,MAX(D1476:F1476)&lt;=7,MAX(D1476,1)+MAX(E1476,1)+MAX(F1476,1)&lt;=9,OR(H1476="-",AND(H1476=0,D1476&gt;0),AND(H1476=1,E1476&gt;0),AND(H1476=2,F1476&gt;0)),OR(I1476=0,AND(I1476=1,OR(J1476=0,J1476=1,J1476=2),R1476&lt;&gt;"000")),Y1476&lt;=9,MIN(T1476:V1476)&gt;=0),"合法","输入违约")</x:f>
        <x:v>合法</x:v>
      </x:c>
    </x:row>
    <x:row r="1477" ht="23" customHeight="1">
      <x:c r="A1477" s="3" t="str">
        <x:v>CT-1470</x:v>
      </x:c>
      <x:c r="B1477" s="3" t="str">
        <x:v>ST-105</x:v>
      </x:c>
      <x:c r="C1477" s="3" t="str">
        <x:v>R+AR同收同发</x:v>
      </x:c>
      <x:c r="D1477" s="25" t="n">
        <x:v>2</x:v>
      </x:c>
      <x:c r="E1477" s="25" t="n">
        <x:v>5</x:v>
      </x:c>
      <x:c r="F1477" s="25" t="n">
        <x:v>0</x:v>
      </x:c>
      <x:c r="G1477" s="19" t="n">
        <x:f>SUM(D1477:F1477)</x:f>
        <x:v>7</x:v>
      </x:c>
      <x:c r="H1477" s="25" t="n">
        <x:v>1</x:v>
      </x:c>
      <x:c r="I1477" s="25" t="n">
        <x:v>1</x:v>
      </x:c>
      <x:c r="J1477" s="25" t="n">
        <x:v>1</x:v>
      </x:c>
      <x:c r="K1477" s="19" t="n">
        <x:f>D1477-IF(H1477=0,1,0)</x:f>
        <x:v>2</x:v>
      </x:c>
      <x:c r="L1477" s="19" t="n">
        <x:f>E1477-IF(H1477=1,1,0)</x:f>
        <x:v>4</x:v>
      </x:c>
      <x:c r="M1477" s="19" t="n">
        <x:f>F1477-IF(H1477=2,1,0)</x:f>
        <x:v>0</x:v>
      </x:c>
      <x:c r="N1477" s="19" t="n">
        <x:f>MAX(K1477-1,0)+MAX(L1477-1,0)+MAX(M1477-1,0)</x:f>
        <x:v>4</x:v>
      </x:c>
      <x:c r="O1477" s="19" t="n">
        <x:f>IF(AND(SUM(K1477:M1477)&lt;9,OR(M1477=0,N1477&lt;6)),1,0)</x:f>
        <x:v>1</x:v>
      </x:c>
      <x:c r="P1477" s="19" t="n">
        <x:f>IF(AND(SUM(K1477:M1477)&lt;9,OR(L1477=0,N1477&lt;6)),1,0)</x:f>
        <x:v>1</x:v>
      </x:c>
      <x:c r="Q1477" s="19" t="n">
        <x:f>IF(AND(SUM(K1477:M1477)&lt;9,OR(K1477=0,N1477&lt;6)),1,0)</x:f>
        <x:v>1</x:v>
      </x:c>
      <x:c r="R1477" s="22" t="str">
        <x:f>O1477&amp;P1477&amp;Q1477</x:f>
        <x:v>111</x:v>
      </x:c>
      <x:c r="S1477" s="19" t="n">
        <x:f>IF(I1477=1,IF(J1477=0,Q1477,IF(J1477=1,P1477,IF(J1477=2,O1477,0))),0)</x:f>
        <x:v>1</x:v>
      </x:c>
      <x:c r="T1477" s="19" t="n">
        <x:f>K1477+IF(AND(S1477=1,J1477=0),1,0)</x:f>
        <x:v>2</x:v>
      </x:c>
      <x:c r="U1477" s="19" t="n">
        <x:f>L1477+IF(AND(S1477=1,J1477=1),1,0)</x:f>
        <x:v>5</x:v>
      </x:c>
      <x:c r="V1477" s="19" t="n">
        <x:f>M1477+IF(AND(S1477=1,J1477=2),1,0)</x:f>
        <x:v>0</x:v>
      </x:c>
      <x:c r="W1477" s="19" t="n">
        <x:f>SUM(T1477:V1477)</x:f>
        <x:v>7</x:v>
      </x:c>
      <x:c r="X1477" s="19" t="n">
        <x:f>W1477-G1477</x:f>
        <x:v>0</x:v>
      </x:c>
      <x:c r="Y1477" s="19" t="n">
        <x:f>MAX(T1477,1)+MAX(U1477,1)+MAX(V1477,1)</x:f>
        <x:v>8</x:v>
      </x:c>
      <x:c r="Z1477" s="21" t="str">
        <x:f>IF(AND(MIN(D1477:F1477)&gt;=0,MAX(D1477:F1477)&lt;=7,MAX(D1477,1)+MAX(E1477,1)+MAX(F1477,1)&lt;=9,OR(H1477="-",AND(H1477=0,D1477&gt;0),AND(H1477=1,E1477&gt;0),AND(H1477=2,F1477&gt;0)),OR(I1477=0,AND(I1477=1,OR(J1477=0,J1477=1,J1477=2),R1477&lt;&gt;"000")),Y1477&lt;=9,MIN(T1477:V1477)&gt;=0),"合法","输入违约")</x:f>
        <x:v>合法</x:v>
      </x:c>
    </x:row>
    <x:row r="1478" ht="23" customHeight="1">
      <x:c r="A1478" s="3" t="str">
        <x:v>CT-1471</x:v>
      </x:c>
      <x:c r="B1478" s="3" t="str">
        <x:v>ST-105</x:v>
      </x:c>
      <x:c r="C1478" s="3" t="str">
        <x:v>R+AR同收同发</x:v>
      </x:c>
      <x:c r="D1478" s="25" t="n">
        <x:v>2</x:v>
      </x:c>
      <x:c r="E1478" s="25" t="n">
        <x:v>5</x:v>
      </x:c>
      <x:c r="F1478" s="25" t="n">
        <x:v>0</x:v>
      </x:c>
      <x:c r="G1478" s="19" t="n">
        <x:f>SUM(D1478:F1478)</x:f>
        <x:v>7</x:v>
      </x:c>
      <x:c r="H1478" s="25" t="n">
        <x:v>1</x:v>
      </x:c>
      <x:c r="I1478" s="25" t="n">
        <x:v>1</x:v>
      </x:c>
      <x:c r="J1478" s="25" t="n">
        <x:v>2</x:v>
      </x:c>
      <x:c r="K1478" s="19" t="n">
        <x:f>D1478-IF(H1478=0,1,0)</x:f>
        <x:v>2</x:v>
      </x:c>
      <x:c r="L1478" s="19" t="n">
        <x:f>E1478-IF(H1478=1,1,0)</x:f>
        <x:v>4</x:v>
      </x:c>
      <x:c r="M1478" s="19" t="n">
        <x:f>F1478-IF(H1478=2,1,0)</x:f>
        <x:v>0</x:v>
      </x:c>
      <x:c r="N1478" s="19" t="n">
        <x:f>MAX(K1478-1,0)+MAX(L1478-1,0)+MAX(M1478-1,0)</x:f>
        <x:v>4</x:v>
      </x:c>
      <x:c r="O1478" s="19" t="n">
        <x:f>IF(AND(SUM(K1478:M1478)&lt;9,OR(M1478=0,N1478&lt;6)),1,0)</x:f>
        <x:v>1</x:v>
      </x:c>
      <x:c r="P1478" s="19" t="n">
        <x:f>IF(AND(SUM(K1478:M1478)&lt;9,OR(L1478=0,N1478&lt;6)),1,0)</x:f>
        <x:v>1</x:v>
      </x:c>
      <x:c r="Q1478" s="19" t="n">
        <x:f>IF(AND(SUM(K1478:M1478)&lt;9,OR(K1478=0,N1478&lt;6)),1,0)</x:f>
        <x:v>1</x:v>
      </x:c>
      <x:c r="R1478" s="22" t="str">
        <x:f>O1478&amp;P1478&amp;Q1478</x:f>
        <x:v>111</x:v>
      </x:c>
      <x:c r="S1478" s="19" t="n">
        <x:f>IF(I1478=1,IF(J1478=0,Q1478,IF(J1478=1,P1478,IF(J1478=2,O1478,0))),0)</x:f>
        <x:v>1</x:v>
      </x:c>
      <x:c r="T1478" s="19" t="n">
        <x:f>K1478+IF(AND(S1478=1,J1478=0),1,0)</x:f>
        <x:v>2</x:v>
      </x:c>
      <x:c r="U1478" s="19" t="n">
        <x:f>L1478+IF(AND(S1478=1,J1478=1),1,0)</x:f>
        <x:v>4</x:v>
      </x:c>
      <x:c r="V1478" s="19" t="n">
        <x:f>M1478+IF(AND(S1478=1,J1478=2),1,0)</x:f>
        <x:v>1</x:v>
      </x:c>
      <x:c r="W1478" s="19" t="n">
        <x:f>SUM(T1478:V1478)</x:f>
        <x:v>7</x:v>
      </x:c>
      <x:c r="X1478" s="19" t="n">
        <x:f>W1478-G1478</x:f>
        <x:v>0</x:v>
      </x:c>
      <x:c r="Y1478" s="19" t="n">
        <x:f>MAX(T1478,1)+MAX(U1478,1)+MAX(V1478,1)</x:f>
        <x:v>7</x:v>
      </x:c>
      <x:c r="Z1478" s="21" t="str">
        <x:f>IF(AND(MIN(D1478:F1478)&gt;=0,MAX(D1478:F1478)&lt;=7,MAX(D1478,1)+MAX(E1478,1)+MAX(F1478,1)&lt;=9,OR(H1478="-",AND(H1478=0,D1478&gt;0),AND(H1478=1,E1478&gt;0),AND(H1478=2,F1478&gt;0)),OR(I1478=0,AND(I1478=1,OR(J1478=0,J1478=1,J1478=2),R1478&lt;&gt;"000")),Y1478&lt;=9,MIN(T1478:V1478)&gt;=0),"合法","输入违约")</x:f>
        <x:v>合法</x:v>
      </x:c>
    </x:row>
    <x:row r="1479" ht="23" customHeight="1">
      <x:c r="A1479" s="3" t="str">
        <x:v>CT-1472</x:v>
      </x:c>
      <x:c r="B1479" s="3" t="str">
        <x:v>ST-141</x:v>
      </x:c>
      <x:c r="C1479" s="3" t="str">
        <x:v>无AR/R</x:v>
      </x:c>
      <x:c r="D1479" s="25" t="n">
        <x:v>2</x:v>
      </x:c>
      <x:c r="E1479" s="25" t="n">
        <x:v>5</x:v>
      </x:c>
      <x:c r="F1479" s="25" t="n">
        <x:v>1</x:v>
      </x:c>
      <x:c r="G1479" s="19" t="n">
        <x:f>SUM(D1479:F1479)</x:f>
        <x:v>8</x:v>
      </x:c>
      <x:c r="H1479" s="25" t="str">
        <x:v>-</x:v>
      </x:c>
      <x:c r="I1479" s="25" t="n">
        <x:v>0</x:v>
      </x:c>
      <x:c r="J1479" s="25" t="str">
        <x:v>-</x:v>
      </x:c>
      <x:c r="K1479" s="19" t="n">
        <x:f>D1479-IF(H1479=0,1,0)</x:f>
        <x:v>2</x:v>
      </x:c>
      <x:c r="L1479" s="19" t="n">
        <x:f>E1479-IF(H1479=1,1,0)</x:f>
        <x:v>5</x:v>
      </x:c>
      <x:c r="M1479" s="19" t="n">
        <x:f>F1479-IF(H1479=2,1,0)</x:f>
        <x:v>1</x:v>
      </x:c>
      <x:c r="N1479" s="19" t="n">
        <x:f>MAX(K1479-1,0)+MAX(L1479-1,0)+MAX(M1479-1,0)</x:f>
        <x:v>5</x:v>
      </x:c>
      <x:c r="O1479" s="19" t="n">
        <x:f>IF(AND(SUM(K1479:M1479)&lt;9,OR(M1479=0,N1479&lt;6)),1,0)</x:f>
        <x:v>1</x:v>
      </x:c>
      <x:c r="P1479" s="19" t="n">
        <x:f>IF(AND(SUM(K1479:M1479)&lt;9,OR(L1479=0,N1479&lt;6)),1,0)</x:f>
        <x:v>1</x:v>
      </x:c>
      <x:c r="Q1479" s="19" t="n">
        <x:f>IF(AND(SUM(K1479:M1479)&lt;9,OR(K1479=0,N1479&lt;6)),1,0)</x:f>
        <x:v>1</x:v>
      </x:c>
      <x:c r="R1479" s="22" t="str">
        <x:f>O1479&amp;P1479&amp;Q1479</x:f>
        <x:v>111</x:v>
      </x:c>
      <x:c r="S1479" s="19" t="n">
        <x:f>IF(I1479=1,IF(J1479=0,Q1479,IF(J1479=1,P1479,IF(J1479=2,O1479,0))),0)</x:f>
        <x:v>0</x:v>
      </x:c>
      <x:c r="T1479" s="19" t="n">
        <x:f>K1479+IF(AND(S1479=1,J1479=0),1,0)</x:f>
        <x:v>2</x:v>
      </x:c>
      <x:c r="U1479" s="19" t="n">
        <x:f>L1479+IF(AND(S1479=1,J1479=1),1,0)</x:f>
        <x:v>5</x:v>
      </x:c>
      <x:c r="V1479" s="19" t="n">
        <x:f>M1479+IF(AND(S1479=1,J1479=2),1,0)</x:f>
        <x:v>1</x:v>
      </x:c>
      <x:c r="W1479" s="19" t="n">
        <x:f>SUM(T1479:V1479)</x:f>
        <x:v>8</x:v>
      </x:c>
      <x:c r="X1479" s="19" t="n">
        <x:f>W1479-G1479</x:f>
        <x:v>0</x:v>
      </x:c>
      <x:c r="Y1479" s="19" t="n">
        <x:f>MAX(T1479,1)+MAX(U1479,1)+MAX(V1479,1)</x:f>
        <x:v>8</x:v>
      </x:c>
      <x:c r="Z1479" s="21" t="str">
        <x:f>IF(AND(MIN(D1479:F1479)&gt;=0,MAX(D1479:F1479)&lt;=7,MAX(D1479,1)+MAX(E1479,1)+MAX(F1479,1)&lt;=9,OR(H1479="-",AND(H1479=0,D1479&gt;0),AND(H1479=1,E1479&gt;0),AND(H1479=2,F1479&gt;0)),OR(I1479=0,AND(I1479=1,OR(J1479=0,J1479=1,J1479=2),R1479&lt;&gt;"000")),Y1479&lt;=9,MIN(T1479:V1479)&gt;=0),"合法","输入违约")</x:f>
        <x:v>合法</x:v>
      </x:c>
    </x:row>
    <x:row r="1480" ht="23" customHeight="1">
      <x:c r="A1480" s="3" t="str">
        <x:v>CT-1473</x:v>
      </x:c>
      <x:c r="B1480" s="3" t="str">
        <x:v>ST-141</x:v>
      </x:c>
      <x:c r="C1480" s="3" t="str">
        <x:v>仅AR接收</x:v>
      </x:c>
      <x:c r="D1480" s="25" t="n">
        <x:v>2</x:v>
      </x:c>
      <x:c r="E1480" s="25" t="n">
        <x:v>5</x:v>
      </x:c>
      <x:c r="F1480" s="25" t="n">
        <x:v>1</x:v>
      </x:c>
      <x:c r="G1480" s="19" t="n">
        <x:f>SUM(D1480:F1480)</x:f>
        <x:v>8</x:v>
      </x:c>
      <x:c r="H1480" s="25" t="str">
        <x:v>-</x:v>
      </x:c>
      <x:c r="I1480" s="25" t="n">
        <x:v>1</x:v>
      </x:c>
      <x:c r="J1480" s="25" t="n">
        <x:v>0</x:v>
      </x:c>
      <x:c r="K1480" s="19" t="n">
        <x:f>D1480-IF(H1480=0,1,0)</x:f>
        <x:v>2</x:v>
      </x:c>
      <x:c r="L1480" s="19" t="n">
        <x:f>E1480-IF(H1480=1,1,0)</x:f>
        <x:v>5</x:v>
      </x:c>
      <x:c r="M1480" s="19" t="n">
        <x:f>F1480-IF(H1480=2,1,0)</x:f>
        <x:v>1</x:v>
      </x:c>
      <x:c r="N1480" s="19" t="n">
        <x:f>MAX(K1480-1,0)+MAX(L1480-1,0)+MAX(M1480-1,0)</x:f>
        <x:v>5</x:v>
      </x:c>
      <x:c r="O1480" s="19" t="n">
        <x:f>IF(AND(SUM(K1480:M1480)&lt;9,OR(M1480=0,N1480&lt;6)),1,0)</x:f>
        <x:v>1</x:v>
      </x:c>
      <x:c r="P1480" s="19" t="n">
        <x:f>IF(AND(SUM(K1480:M1480)&lt;9,OR(L1480=0,N1480&lt;6)),1,0)</x:f>
        <x:v>1</x:v>
      </x:c>
      <x:c r="Q1480" s="19" t="n">
        <x:f>IF(AND(SUM(K1480:M1480)&lt;9,OR(K1480=0,N1480&lt;6)),1,0)</x:f>
        <x:v>1</x:v>
      </x:c>
      <x:c r="R1480" s="22" t="str">
        <x:f>O1480&amp;P1480&amp;Q1480</x:f>
        <x:v>111</x:v>
      </x:c>
      <x:c r="S1480" s="19" t="n">
        <x:f>IF(I1480=1,IF(J1480=0,Q1480,IF(J1480=1,P1480,IF(J1480=2,O1480,0))),0)</x:f>
        <x:v>1</x:v>
      </x:c>
      <x:c r="T1480" s="19" t="n">
        <x:f>K1480+IF(AND(S1480=1,J1480=0),1,0)</x:f>
        <x:v>3</x:v>
      </x:c>
      <x:c r="U1480" s="19" t="n">
        <x:f>L1480+IF(AND(S1480=1,J1480=1),1,0)</x:f>
        <x:v>5</x:v>
      </x:c>
      <x:c r="V1480" s="19" t="n">
        <x:f>M1480+IF(AND(S1480=1,J1480=2),1,0)</x:f>
        <x:v>1</x:v>
      </x:c>
      <x:c r="W1480" s="19" t="n">
        <x:f>SUM(T1480:V1480)</x:f>
        <x:v>9</x:v>
      </x:c>
      <x:c r="X1480" s="19" t="n">
        <x:f>W1480-G1480</x:f>
        <x:v>1</x:v>
      </x:c>
      <x:c r="Y1480" s="19" t="n">
        <x:f>MAX(T1480,1)+MAX(U1480,1)+MAX(V1480,1)</x:f>
        <x:v>9</x:v>
      </x:c>
      <x:c r="Z1480" s="21" t="str">
        <x:f>IF(AND(MIN(D1480:F1480)&gt;=0,MAX(D1480:F1480)&lt;=7,MAX(D1480,1)+MAX(E1480,1)+MAX(F1480,1)&lt;=9,OR(H1480="-",AND(H1480=0,D1480&gt;0),AND(H1480=1,E1480&gt;0),AND(H1480=2,F1480&gt;0)),OR(I1480=0,AND(I1480=1,OR(J1480=0,J1480=1,J1480=2),R1480&lt;&gt;"000")),Y1480&lt;=9,MIN(T1480:V1480)&gt;=0),"合法","输入违约")</x:f>
        <x:v>合法</x:v>
      </x:c>
    </x:row>
    <x:row r="1481" ht="23" customHeight="1">
      <x:c r="A1481" s="3" t="str">
        <x:v>CT-1474</x:v>
      </x:c>
      <x:c r="B1481" s="3" t="str">
        <x:v>ST-141</x:v>
      </x:c>
      <x:c r="C1481" s="3" t="str">
        <x:v>仅AR接收</x:v>
      </x:c>
      <x:c r="D1481" s="25" t="n">
        <x:v>2</x:v>
      </x:c>
      <x:c r="E1481" s="25" t="n">
        <x:v>5</x:v>
      </x:c>
      <x:c r="F1481" s="25" t="n">
        <x:v>1</x:v>
      </x:c>
      <x:c r="G1481" s="19" t="n">
        <x:f>SUM(D1481:F1481)</x:f>
        <x:v>8</x:v>
      </x:c>
      <x:c r="H1481" s="25" t="str">
        <x:v>-</x:v>
      </x:c>
      <x:c r="I1481" s="25" t="n">
        <x:v>1</x:v>
      </x:c>
      <x:c r="J1481" s="25" t="n">
        <x:v>1</x:v>
      </x:c>
      <x:c r="K1481" s="19" t="n">
        <x:f>D1481-IF(H1481=0,1,0)</x:f>
        <x:v>2</x:v>
      </x:c>
      <x:c r="L1481" s="19" t="n">
        <x:f>E1481-IF(H1481=1,1,0)</x:f>
        <x:v>5</x:v>
      </x:c>
      <x:c r="M1481" s="19" t="n">
        <x:f>F1481-IF(H1481=2,1,0)</x:f>
        <x:v>1</x:v>
      </x:c>
      <x:c r="N1481" s="19" t="n">
        <x:f>MAX(K1481-1,0)+MAX(L1481-1,0)+MAX(M1481-1,0)</x:f>
        <x:v>5</x:v>
      </x:c>
      <x:c r="O1481" s="19" t="n">
        <x:f>IF(AND(SUM(K1481:M1481)&lt;9,OR(M1481=0,N1481&lt;6)),1,0)</x:f>
        <x:v>1</x:v>
      </x:c>
      <x:c r="P1481" s="19" t="n">
        <x:f>IF(AND(SUM(K1481:M1481)&lt;9,OR(L1481=0,N1481&lt;6)),1,0)</x:f>
        <x:v>1</x:v>
      </x:c>
      <x:c r="Q1481" s="19" t="n">
        <x:f>IF(AND(SUM(K1481:M1481)&lt;9,OR(K1481=0,N1481&lt;6)),1,0)</x:f>
        <x:v>1</x:v>
      </x:c>
      <x:c r="R1481" s="22" t="str">
        <x:f>O1481&amp;P1481&amp;Q1481</x:f>
        <x:v>111</x:v>
      </x:c>
      <x:c r="S1481" s="19" t="n">
        <x:f>IF(I1481=1,IF(J1481=0,Q1481,IF(J1481=1,P1481,IF(J1481=2,O1481,0))),0)</x:f>
        <x:v>1</x:v>
      </x:c>
      <x:c r="T1481" s="19" t="n">
        <x:f>K1481+IF(AND(S1481=1,J1481=0),1,0)</x:f>
        <x:v>2</x:v>
      </x:c>
      <x:c r="U1481" s="19" t="n">
        <x:f>L1481+IF(AND(S1481=1,J1481=1),1,0)</x:f>
        <x:v>6</x:v>
      </x:c>
      <x:c r="V1481" s="19" t="n">
        <x:f>M1481+IF(AND(S1481=1,J1481=2),1,0)</x:f>
        <x:v>1</x:v>
      </x:c>
      <x:c r="W1481" s="19" t="n">
        <x:f>SUM(T1481:V1481)</x:f>
        <x:v>9</x:v>
      </x:c>
      <x:c r="X1481" s="19" t="n">
        <x:f>W1481-G1481</x:f>
        <x:v>1</x:v>
      </x:c>
      <x:c r="Y1481" s="19" t="n">
        <x:f>MAX(T1481,1)+MAX(U1481,1)+MAX(V1481,1)</x:f>
        <x:v>9</x:v>
      </x:c>
      <x:c r="Z1481" s="21" t="str">
        <x:f>IF(AND(MIN(D1481:F1481)&gt;=0,MAX(D1481:F1481)&lt;=7,MAX(D1481,1)+MAX(E1481,1)+MAX(F1481,1)&lt;=9,OR(H1481="-",AND(H1481=0,D1481&gt;0),AND(H1481=1,E1481&gt;0),AND(H1481=2,F1481&gt;0)),OR(I1481=0,AND(I1481=1,OR(J1481=0,J1481=1,J1481=2),R1481&lt;&gt;"000")),Y1481&lt;=9,MIN(T1481:V1481)&gt;=0),"合法","输入违约")</x:f>
        <x:v>合法</x:v>
      </x:c>
    </x:row>
    <x:row r="1482" ht="23" customHeight="1">
      <x:c r="A1482" s="3" t="str">
        <x:v>CT-1475</x:v>
      </x:c>
      <x:c r="B1482" s="3" t="str">
        <x:v>ST-141</x:v>
      </x:c>
      <x:c r="C1482" s="3" t="str">
        <x:v>仅AR接收</x:v>
      </x:c>
      <x:c r="D1482" s="25" t="n">
        <x:v>2</x:v>
      </x:c>
      <x:c r="E1482" s="25" t="n">
        <x:v>5</x:v>
      </x:c>
      <x:c r="F1482" s="25" t="n">
        <x:v>1</x:v>
      </x:c>
      <x:c r="G1482" s="19" t="n">
        <x:f>SUM(D1482:F1482)</x:f>
        <x:v>8</x:v>
      </x:c>
      <x:c r="H1482" s="25" t="str">
        <x:v>-</x:v>
      </x:c>
      <x:c r="I1482" s="25" t="n">
        <x:v>1</x:v>
      </x:c>
      <x:c r="J1482" s="25" t="n">
        <x:v>2</x:v>
      </x:c>
      <x:c r="K1482" s="19" t="n">
        <x:f>D1482-IF(H1482=0,1,0)</x:f>
        <x:v>2</x:v>
      </x:c>
      <x:c r="L1482" s="19" t="n">
        <x:f>E1482-IF(H1482=1,1,0)</x:f>
        <x:v>5</x:v>
      </x:c>
      <x:c r="M1482" s="19" t="n">
        <x:f>F1482-IF(H1482=2,1,0)</x:f>
        <x:v>1</x:v>
      </x:c>
      <x:c r="N1482" s="19" t="n">
        <x:f>MAX(K1482-1,0)+MAX(L1482-1,0)+MAX(M1482-1,0)</x:f>
        <x:v>5</x:v>
      </x:c>
      <x:c r="O1482" s="19" t="n">
        <x:f>IF(AND(SUM(K1482:M1482)&lt;9,OR(M1482=0,N1482&lt;6)),1,0)</x:f>
        <x:v>1</x:v>
      </x:c>
      <x:c r="P1482" s="19" t="n">
        <x:f>IF(AND(SUM(K1482:M1482)&lt;9,OR(L1482=0,N1482&lt;6)),1,0)</x:f>
        <x:v>1</x:v>
      </x:c>
      <x:c r="Q1482" s="19" t="n">
        <x:f>IF(AND(SUM(K1482:M1482)&lt;9,OR(K1482=0,N1482&lt;6)),1,0)</x:f>
        <x:v>1</x:v>
      </x:c>
      <x:c r="R1482" s="22" t="str">
        <x:f>O1482&amp;P1482&amp;Q1482</x:f>
        <x:v>111</x:v>
      </x:c>
      <x:c r="S1482" s="19" t="n">
        <x:f>IF(I1482=1,IF(J1482=0,Q1482,IF(J1482=1,P1482,IF(J1482=2,O1482,0))),0)</x:f>
        <x:v>1</x:v>
      </x:c>
      <x:c r="T1482" s="19" t="n">
        <x:f>K1482+IF(AND(S1482=1,J1482=0),1,0)</x:f>
        <x:v>2</x:v>
      </x:c>
      <x:c r="U1482" s="19" t="n">
        <x:f>L1482+IF(AND(S1482=1,J1482=1),1,0)</x:f>
        <x:v>5</x:v>
      </x:c>
      <x:c r="V1482" s="19" t="n">
        <x:f>M1482+IF(AND(S1482=1,J1482=2),1,0)</x:f>
        <x:v>2</x:v>
      </x:c>
      <x:c r="W1482" s="19" t="n">
        <x:f>SUM(T1482:V1482)</x:f>
        <x:v>9</x:v>
      </x:c>
      <x:c r="X1482" s="19" t="n">
        <x:f>W1482-G1482</x:f>
        <x:v>1</x:v>
      </x:c>
      <x:c r="Y1482" s="19" t="n">
        <x:f>MAX(T1482,1)+MAX(U1482,1)+MAX(V1482,1)</x:f>
        <x:v>9</x:v>
      </x:c>
      <x:c r="Z1482" s="21" t="str">
        <x:f>IF(AND(MIN(D1482:F1482)&gt;=0,MAX(D1482:F1482)&lt;=7,MAX(D1482,1)+MAX(E1482,1)+MAX(F1482,1)&lt;=9,OR(H1482="-",AND(H1482=0,D1482&gt;0),AND(H1482=1,E1482&gt;0),AND(H1482=2,F1482&gt;0)),OR(I1482=0,AND(I1482=1,OR(J1482=0,J1482=1,J1482=2),R1482&lt;&gt;"000")),Y1482&lt;=9,MIN(T1482:V1482)&gt;=0),"合法","输入违约")</x:f>
        <x:v>合法</x:v>
      </x:c>
    </x:row>
    <x:row r="1483" ht="23" customHeight="1">
      <x:c r="A1483" s="3" t="str">
        <x:v>CT-1476</x:v>
      </x:c>
      <x:c r="B1483" s="3" t="str">
        <x:v>ST-141</x:v>
      </x:c>
      <x:c r="C1483" s="3" t="str">
        <x:v>仅R回收</x:v>
      </x:c>
      <x:c r="D1483" s="25" t="n">
        <x:v>2</x:v>
      </x:c>
      <x:c r="E1483" s="25" t="n">
        <x:v>5</x:v>
      </x:c>
      <x:c r="F1483" s="25" t="n">
        <x:v>1</x:v>
      </x:c>
      <x:c r="G1483" s="19" t="n">
        <x:f>SUM(D1483:F1483)</x:f>
        <x:v>8</x:v>
      </x:c>
      <x:c r="H1483" s="25" t="n">
        <x:v>0</x:v>
      </x:c>
      <x:c r="I1483" s="25" t="n">
        <x:v>0</x:v>
      </x:c>
      <x:c r="J1483" s="25" t="str">
        <x:v>-</x:v>
      </x:c>
      <x:c r="K1483" s="19" t="n">
        <x:f>D1483-IF(H1483=0,1,0)</x:f>
        <x:v>1</x:v>
      </x:c>
      <x:c r="L1483" s="19" t="n">
        <x:f>E1483-IF(H1483=1,1,0)</x:f>
        <x:v>5</x:v>
      </x:c>
      <x:c r="M1483" s="19" t="n">
        <x:f>F1483-IF(H1483=2,1,0)</x:f>
        <x:v>1</x:v>
      </x:c>
      <x:c r="N1483" s="19" t="n">
        <x:f>MAX(K1483-1,0)+MAX(L1483-1,0)+MAX(M1483-1,0)</x:f>
        <x:v>4</x:v>
      </x:c>
      <x:c r="O1483" s="19" t="n">
        <x:f>IF(AND(SUM(K1483:M1483)&lt;9,OR(M1483=0,N1483&lt;6)),1,0)</x:f>
        <x:v>1</x:v>
      </x:c>
      <x:c r="P1483" s="19" t="n">
        <x:f>IF(AND(SUM(K1483:M1483)&lt;9,OR(L1483=0,N1483&lt;6)),1,0)</x:f>
        <x:v>1</x:v>
      </x:c>
      <x:c r="Q1483" s="19" t="n">
        <x:f>IF(AND(SUM(K1483:M1483)&lt;9,OR(K1483=0,N1483&lt;6)),1,0)</x:f>
        <x:v>1</x:v>
      </x:c>
      <x:c r="R1483" s="22" t="str">
        <x:f>O1483&amp;P1483&amp;Q1483</x:f>
        <x:v>111</x:v>
      </x:c>
      <x:c r="S1483" s="19" t="n">
        <x:f>IF(I1483=1,IF(J1483=0,Q1483,IF(J1483=1,P1483,IF(J1483=2,O1483,0))),0)</x:f>
        <x:v>0</x:v>
      </x:c>
      <x:c r="T1483" s="19" t="n">
        <x:f>K1483+IF(AND(S1483=1,J1483=0),1,0)</x:f>
        <x:v>1</x:v>
      </x:c>
      <x:c r="U1483" s="19" t="n">
        <x:f>L1483+IF(AND(S1483=1,J1483=1),1,0)</x:f>
        <x:v>5</x:v>
      </x:c>
      <x:c r="V1483" s="19" t="n">
        <x:f>M1483+IF(AND(S1483=1,J1483=2),1,0)</x:f>
        <x:v>1</x:v>
      </x:c>
      <x:c r="W1483" s="19" t="n">
        <x:f>SUM(T1483:V1483)</x:f>
        <x:v>7</x:v>
      </x:c>
      <x:c r="X1483" s="19" t="n">
        <x:f>W1483-G1483</x:f>
        <x:v>-1</x:v>
      </x:c>
      <x:c r="Y1483" s="19" t="n">
        <x:f>MAX(T1483,1)+MAX(U1483,1)+MAX(V1483,1)</x:f>
        <x:v>7</x:v>
      </x:c>
      <x:c r="Z1483" s="21" t="str">
        <x:f>IF(AND(MIN(D1483:F1483)&gt;=0,MAX(D1483:F1483)&lt;=7,MAX(D1483,1)+MAX(E1483,1)+MAX(F1483,1)&lt;=9,OR(H1483="-",AND(H1483=0,D1483&gt;0),AND(H1483=1,E1483&gt;0),AND(H1483=2,F1483&gt;0)),OR(I1483=0,AND(I1483=1,OR(J1483=0,J1483=1,J1483=2),R1483&lt;&gt;"000")),Y1483&lt;=9,MIN(T1483:V1483)&gt;=0),"合法","输入违约")</x:f>
        <x:v>合法</x:v>
      </x:c>
    </x:row>
    <x:row r="1484" ht="23" customHeight="1">
      <x:c r="A1484" s="3" t="str">
        <x:v>CT-1477</x:v>
      </x:c>
      <x:c r="B1484" s="3" t="str">
        <x:v>ST-141</x:v>
      </x:c>
      <x:c r="C1484" s="3" t="str">
        <x:v>R+AR同收同发</x:v>
      </x:c>
      <x:c r="D1484" s="25" t="n">
        <x:v>2</x:v>
      </x:c>
      <x:c r="E1484" s="25" t="n">
        <x:v>5</x:v>
      </x:c>
      <x:c r="F1484" s="25" t="n">
        <x:v>1</x:v>
      </x:c>
      <x:c r="G1484" s="19" t="n">
        <x:f>SUM(D1484:F1484)</x:f>
        <x:v>8</x:v>
      </x:c>
      <x:c r="H1484" s="25" t="n">
        <x:v>0</x:v>
      </x:c>
      <x:c r="I1484" s="25" t="n">
        <x:v>1</x:v>
      </x:c>
      <x:c r="J1484" s="25" t="n">
        <x:v>0</x:v>
      </x:c>
      <x:c r="K1484" s="19" t="n">
        <x:f>D1484-IF(H1484=0,1,0)</x:f>
        <x:v>1</x:v>
      </x:c>
      <x:c r="L1484" s="19" t="n">
        <x:f>E1484-IF(H1484=1,1,0)</x:f>
        <x:v>5</x:v>
      </x:c>
      <x:c r="M1484" s="19" t="n">
        <x:f>F1484-IF(H1484=2,1,0)</x:f>
        <x:v>1</x:v>
      </x:c>
      <x:c r="N1484" s="19" t="n">
        <x:f>MAX(K1484-1,0)+MAX(L1484-1,0)+MAX(M1484-1,0)</x:f>
        <x:v>4</x:v>
      </x:c>
      <x:c r="O1484" s="19" t="n">
        <x:f>IF(AND(SUM(K1484:M1484)&lt;9,OR(M1484=0,N1484&lt;6)),1,0)</x:f>
        <x:v>1</x:v>
      </x:c>
      <x:c r="P1484" s="19" t="n">
        <x:f>IF(AND(SUM(K1484:M1484)&lt;9,OR(L1484=0,N1484&lt;6)),1,0)</x:f>
        <x:v>1</x:v>
      </x:c>
      <x:c r="Q1484" s="19" t="n">
        <x:f>IF(AND(SUM(K1484:M1484)&lt;9,OR(K1484=0,N1484&lt;6)),1,0)</x:f>
        <x:v>1</x:v>
      </x:c>
      <x:c r="R1484" s="22" t="str">
        <x:f>O1484&amp;P1484&amp;Q1484</x:f>
        <x:v>111</x:v>
      </x:c>
      <x:c r="S1484" s="19" t="n">
        <x:f>IF(I1484=1,IF(J1484=0,Q1484,IF(J1484=1,P1484,IF(J1484=2,O1484,0))),0)</x:f>
        <x:v>1</x:v>
      </x:c>
      <x:c r="T1484" s="19" t="n">
        <x:f>K1484+IF(AND(S1484=1,J1484=0),1,0)</x:f>
        <x:v>2</x:v>
      </x:c>
      <x:c r="U1484" s="19" t="n">
        <x:f>L1484+IF(AND(S1484=1,J1484=1),1,0)</x:f>
        <x:v>5</x:v>
      </x:c>
      <x:c r="V1484" s="19" t="n">
        <x:f>M1484+IF(AND(S1484=1,J1484=2),1,0)</x:f>
        <x:v>1</x:v>
      </x:c>
      <x:c r="W1484" s="19" t="n">
        <x:f>SUM(T1484:V1484)</x:f>
        <x:v>8</x:v>
      </x:c>
      <x:c r="X1484" s="19" t="n">
        <x:f>W1484-G1484</x:f>
        <x:v>0</x:v>
      </x:c>
      <x:c r="Y1484" s="19" t="n">
        <x:f>MAX(T1484,1)+MAX(U1484,1)+MAX(V1484,1)</x:f>
        <x:v>8</x:v>
      </x:c>
      <x:c r="Z1484" s="21" t="str">
        <x:f>IF(AND(MIN(D1484:F1484)&gt;=0,MAX(D1484:F1484)&lt;=7,MAX(D1484,1)+MAX(E1484,1)+MAX(F1484,1)&lt;=9,OR(H1484="-",AND(H1484=0,D1484&gt;0),AND(H1484=1,E1484&gt;0),AND(H1484=2,F1484&gt;0)),OR(I1484=0,AND(I1484=1,OR(J1484=0,J1484=1,J1484=2),R1484&lt;&gt;"000")),Y1484&lt;=9,MIN(T1484:V1484)&gt;=0),"合法","输入违约")</x:f>
        <x:v>合法</x:v>
      </x:c>
    </x:row>
    <x:row r="1485" ht="23" customHeight="1">
      <x:c r="A1485" s="3" t="str">
        <x:v>CT-1478</x:v>
      </x:c>
      <x:c r="B1485" s="3" t="str">
        <x:v>ST-141</x:v>
      </x:c>
      <x:c r="C1485" s="3" t="str">
        <x:v>R+AR同收同发</x:v>
      </x:c>
      <x:c r="D1485" s="25" t="n">
        <x:v>2</x:v>
      </x:c>
      <x:c r="E1485" s="25" t="n">
        <x:v>5</x:v>
      </x:c>
      <x:c r="F1485" s="25" t="n">
        <x:v>1</x:v>
      </x:c>
      <x:c r="G1485" s="19" t="n">
        <x:f>SUM(D1485:F1485)</x:f>
        <x:v>8</x:v>
      </x:c>
      <x:c r="H1485" s="25" t="n">
        <x:v>0</x:v>
      </x:c>
      <x:c r="I1485" s="25" t="n">
        <x:v>1</x:v>
      </x:c>
      <x:c r="J1485" s="25" t="n">
        <x:v>1</x:v>
      </x:c>
      <x:c r="K1485" s="19" t="n">
        <x:f>D1485-IF(H1485=0,1,0)</x:f>
        <x:v>1</x:v>
      </x:c>
      <x:c r="L1485" s="19" t="n">
        <x:f>E1485-IF(H1485=1,1,0)</x:f>
        <x:v>5</x:v>
      </x:c>
      <x:c r="M1485" s="19" t="n">
        <x:f>F1485-IF(H1485=2,1,0)</x:f>
        <x:v>1</x:v>
      </x:c>
      <x:c r="N1485" s="19" t="n">
        <x:f>MAX(K1485-1,0)+MAX(L1485-1,0)+MAX(M1485-1,0)</x:f>
        <x:v>4</x:v>
      </x:c>
      <x:c r="O1485" s="19" t="n">
        <x:f>IF(AND(SUM(K1485:M1485)&lt;9,OR(M1485=0,N1485&lt;6)),1,0)</x:f>
        <x:v>1</x:v>
      </x:c>
      <x:c r="P1485" s="19" t="n">
        <x:f>IF(AND(SUM(K1485:M1485)&lt;9,OR(L1485=0,N1485&lt;6)),1,0)</x:f>
        <x:v>1</x:v>
      </x:c>
      <x:c r="Q1485" s="19" t="n">
        <x:f>IF(AND(SUM(K1485:M1485)&lt;9,OR(K1485=0,N1485&lt;6)),1,0)</x:f>
        <x:v>1</x:v>
      </x:c>
      <x:c r="R1485" s="22" t="str">
        <x:f>O1485&amp;P1485&amp;Q1485</x:f>
        <x:v>111</x:v>
      </x:c>
      <x:c r="S1485" s="19" t="n">
        <x:f>IF(I1485=1,IF(J1485=0,Q1485,IF(J1485=1,P1485,IF(J1485=2,O1485,0))),0)</x:f>
        <x:v>1</x:v>
      </x:c>
      <x:c r="T1485" s="19" t="n">
        <x:f>K1485+IF(AND(S1485=1,J1485=0),1,0)</x:f>
        <x:v>1</x:v>
      </x:c>
      <x:c r="U1485" s="19" t="n">
        <x:f>L1485+IF(AND(S1485=1,J1485=1),1,0)</x:f>
        <x:v>6</x:v>
      </x:c>
      <x:c r="V1485" s="19" t="n">
        <x:f>M1485+IF(AND(S1485=1,J1485=2),1,0)</x:f>
        <x:v>1</x:v>
      </x:c>
      <x:c r="W1485" s="19" t="n">
        <x:f>SUM(T1485:V1485)</x:f>
        <x:v>8</x:v>
      </x:c>
      <x:c r="X1485" s="19" t="n">
        <x:f>W1485-G1485</x:f>
        <x:v>0</x:v>
      </x:c>
      <x:c r="Y1485" s="19" t="n">
        <x:f>MAX(T1485,1)+MAX(U1485,1)+MAX(V1485,1)</x:f>
        <x:v>8</x:v>
      </x:c>
      <x:c r="Z1485" s="21" t="str">
        <x:f>IF(AND(MIN(D1485:F1485)&gt;=0,MAX(D1485:F1485)&lt;=7,MAX(D1485,1)+MAX(E1485,1)+MAX(F1485,1)&lt;=9,OR(H1485="-",AND(H1485=0,D1485&gt;0),AND(H1485=1,E1485&gt;0),AND(H1485=2,F1485&gt;0)),OR(I1485=0,AND(I1485=1,OR(J1485=0,J1485=1,J1485=2),R1485&lt;&gt;"000")),Y1485&lt;=9,MIN(T1485:V1485)&gt;=0),"合法","输入违约")</x:f>
        <x:v>合法</x:v>
      </x:c>
    </x:row>
    <x:row r="1486" ht="23" customHeight="1">
      <x:c r="A1486" s="3" t="str">
        <x:v>CT-1479</x:v>
      </x:c>
      <x:c r="B1486" s="3" t="str">
        <x:v>ST-141</x:v>
      </x:c>
      <x:c r="C1486" s="3" t="str">
        <x:v>R+AR同收同发</x:v>
      </x:c>
      <x:c r="D1486" s="25" t="n">
        <x:v>2</x:v>
      </x:c>
      <x:c r="E1486" s="25" t="n">
        <x:v>5</x:v>
      </x:c>
      <x:c r="F1486" s="25" t="n">
        <x:v>1</x:v>
      </x:c>
      <x:c r="G1486" s="19" t="n">
        <x:f>SUM(D1486:F1486)</x:f>
        <x:v>8</x:v>
      </x:c>
      <x:c r="H1486" s="25" t="n">
        <x:v>0</x:v>
      </x:c>
      <x:c r="I1486" s="25" t="n">
        <x:v>1</x:v>
      </x:c>
      <x:c r="J1486" s="25" t="n">
        <x:v>2</x:v>
      </x:c>
      <x:c r="K1486" s="19" t="n">
        <x:f>D1486-IF(H1486=0,1,0)</x:f>
        <x:v>1</x:v>
      </x:c>
      <x:c r="L1486" s="19" t="n">
        <x:f>E1486-IF(H1486=1,1,0)</x:f>
        <x:v>5</x:v>
      </x:c>
      <x:c r="M1486" s="19" t="n">
        <x:f>F1486-IF(H1486=2,1,0)</x:f>
        <x:v>1</x:v>
      </x:c>
      <x:c r="N1486" s="19" t="n">
        <x:f>MAX(K1486-1,0)+MAX(L1486-1,0)+MAX(M1486-1,0)</x:f>
        <x:v>4</x:v>
      </x:c>
      <x:c r="O1486" s="19" t="n">
        <x:f>IF(AND(SUM(K1486:M1486)&lt;9,OR(M1486=0,N1486&lt;6)),1,0)</x:f>
        <x:v>1</x:v>
      </x:c>
      <x:c r="P1486" s="19" t="n">
        <x:f>IF(AND(SUM(K1486:M1486)&lt;9,OR(L1486=0,N1486&lt;6)),1,0)</x:f>
        <x:v>1</x:v>
      </x:c>
      <x:c r="Q1486" s="19" t="n">
        <x:f>IF(AND(SUM(K1486:M1486)&lt;9,OR(K1486=0,N1486&lt;6)),1,0)</x:f>
        <x:v>1</x:v>
      </x:c>
      <x:c r="R1486" s="22" t="str">
        <x:f>O1486&amp;P1486&amp;Q1486</x:f>
        <x:v>111</x:v>
      </x:c>
      <x:c r="S1486" s="19" t="n">
        <x:f>IF(I1486=1,IF(J1486=0,Q1486,IF(J1486=1,P1486,IF(J1486=2,O1486,0))),0)</x:f>
        <x:v>1</x:v>
      </x:c>
      <x:c r="T1486" s="19" t="n">
        <x:f>K1486+IF(AND(S1486=1,J1486=0),1,0)</x:f>
        <x:v>1</x:v>
      </x:c>
      <x:c r="U1486" s="19" t="n">
        <x:f>L1486+IF(AND(S1486=1,J1486=1),1,0)</x:f>
        <x:v>5</x:v>
      </x:c>
      <x:c r="V1486" s="19" t="n">
        <x:f>M1486+IF(AND(S1486=1,J1486=2),1,0)</x:f>
        <x:v>2</x:v>
      </x:c>
      <x:c r="W1486" s="19" t="n">
        <x:f>SUM(T1486:V1486)</x:f>
        <x:v>8</x:v>
      </x:c>
      <x:c r="X1486" s="19" t="n">
        <x:f>W1486-G1486</x:f>
        <x:v>0</x:v>
      </x:c>
      <x:c r="Y1486" s="19" t="n">
        <x:f>MAX(T1486,1)+MAX(U1486,1)+MAX(V1486,1)</x:f>
        <x:v>8</x:v>
      </x:c>
      <x:c r="Z1486" s="21" t="str">
        <x:f>IF(AND(MIN(D1486:F1486)&gt;=0,MAX(D1486:F1486)&lt;=7,MAX(D1486,1)+MAX(E1486,1)+MAX(F1486,1)&lt;=9,OR(H1486="-",AND(H1486=0,D1486&gt;0),AND(H1486=1,E1486&gt;0),AND(H1486=2,F1486&gt;0)),OR(I1486=0,AND(I1486=1,OR(J1486=0,J1486=1,J1486=2),R1486&lt;&gt;"000")),Y1486&lt;=9,MIN(T1486:V1486)&gt;=0),"合法","输入违约")</x:f>
        <x:v>合法</x:v>
      </x:c>
    </x:row>
    <x:row r="1487" ht="23" customHeight="1">
      <x:c r="A1487" s="3" t="str">
        <x:v>CT-1480</x:v>
      </x:c>
      <x:c r="B1487" s="3" t="str">
        <x:v>ST-141</x:v>
      </x:c>
      <x:c r="C1487" s="3" t="str">
        <x:v>仅R回收</x:v>
      </x:c>
      <x:c r="D1487" s="25" t="n">
        <x:v>2</x:v>
      </x:c>
      <x:c r="E1487" s="25" t="n">
        <x:v>5</x:v>
      </x:c>
      <x:c r="F1487" s="25" t="n">
        <x:v>1</x:v>
      </x:c>
      <x:c r="G1487" s="19" t="n">
        <x:f>SUM(D1487:F1487)</x:f>
        <x:v>8</x:v>
      </x:c>
      <x:c r="H1487" s="25" t="n">
        <x:v>1</x:v>
      </x:c>
      <x:c r="I1487" s="25" t="n">
        <x:v>0</x:v>
      </x:c>
      <x:c r="J1487" s="25" t="str">
        <x:v>-</x:v>
      </x:c>
      <x:c r="K1487" s="19" t="n">
        <x:f>D1487-IF(H1487=0,1,0)</x:f>
        <x:v>2</x:v>
      </x:c>
      <x:c r="L1487" s="19" t="n">
        <x:f>E1487-IF(H1487=1,1,0)</x:f>
        <x:v>4</x:v>
      </x:c>
      <x:c r="M1487" s="19" t="n">
        <x:f>F1487-IF(H1487=2,1,0)</x:f>
        <x:v>1</x:v>
      </x:c>
      <x:c r="N1487" s="19" t="n">
        <x:f>MAX(K1487-1,0)+MAX(L1487-1,0)+MAX(M1487-1,0)</x:f>
        <x:v>4</x:v>
      </x:c>
      <x:c r="O1487" s="19" t="n">
        <x:f>IF(AND(SUM(K1487:M1487)&lt;9,OR(M1487=0,N1487&lt;6)),1,0)</x:f>
        <x:v>1</x:v>
      </x:c>
      <x:c r="P1487" s="19" t="n">
        <x:f>IF(AND(SUM(K1487:M1487)&lt;9,OR(L1487=0,N1487&lt;6)),1,0)</x:f>
        <x:v>1</x:v>
      </x:c>
      <x:c r="Q1487" s="19" t="n">
        <x:f>IF(AND(SUM(K1487:M1487)&lt;9,OR(K1487=0,N1487&lt;6)),1,0)</x:f>
        <x:v>1</x:v>
      </x:c>
      <x:c r="R1487" s="22" t="str">
        <x:f>O1487&amp;P1487&amp;Q1487</x:f>
        <x:v>111</x:v>
      </x:c>
      <x:c r="S1487" s="19" t="n">
        <x:f>IF(I1487=1,IF(J1487=0,Q1487,IF(J1487=1,P1487,IF(J1487=2,O1487,0))),0)</x:f>
        <x:v>0</x:v>
      </x:c>
      <x:c r="T1487" s="19" t="n">
        <x:f>K1487+IF(AND(S1487=1,J1487=0),1,0)</x:f>
        <x:v>2</x:v>
      </x:c>
      <x:c r="U1487" s="19" t="n">
        <x:f>L1487+IF(AND(S1487=1,J1487=1),1,0)</x:f>
        <x:v>4</x:v>
      </x:c>
      <x:c r="V1487" s="19" t="n">
        <x:f>M1487+IF(AND(S1487=1,J1487=2),1,0)</x:f>
        <x:v>1</x:v>
      </x:c>
      <x:c r="W1487" s="19" t="n">
        <x:f>SUM(T1487:V1487)</x:f>
        <x:v>7</x:v>
      </x:c>
      <x:c r="X1487" s="19" t="n">
        <x:f>W1487-G1487</x:f>
        <x:v>-1</x:v>
      </x:c>
      <x:c r="Y1487" s="19" t="n">
        <x:f>MAX(T1487,1)+MAX(U1487,1)+MAX(V1487,1)</x:f>
        <x:v>7</x:v>
      </x:c>
      <x:c r="Z1487" s="21" t="str">
        <x:f>IF(AND(MIN(D1487:F1487)&gt;=0,MAX(D1487:F1487)&lt;=7,MAX(D1487,1)+MAX(E1487,1)+MAX(F1487,1)&lt;=9,OR(H1487="-",AND(H1487=0,D1487&gt;0),AND(H1487=1,E1487&gt;0),AND(H1487=2,F1487&gt;0)),OR(I1487=0,AND(I1487=1,OR(J1487=0,J1487=1,J1487=2),R1487&lt;&gt;"000")),Y1487&lt;=9,MIN(T1487:V1487)&gt;=0),"合法","输入违约")</x:f>
        <x:v>合法</x:v>
      </x:c>
    </x:row>
    <x:row r="1488" ht="23" customHeight="1">
      <x:c r="A1488" s="3" t="str">
        <x:v>CT-1481</x:v>
      </x:c>
      <x:c r="B1488" s="3" t="str">
        <x:v>ST-141</x:v>
      </x:c>
      <x:c r="C1488" s="3" t="str">
        <x:v>R+AR同收同发</x:v>
      </x:c>
      <x:c r="D1488" s="25" t="n">
        <x:v>2</x:v>
      </x:c>
      <x:c r="E1488" s="25" t="n">
        <x:v>5</x:v>
      </x:c>
      <x:c r="F1488" s="25" t="n">
        <x:v>1</x:v>
      </x:c>
      <x:c r="G1488" s="19" t="n">
        <x:f>SUM(D1488:F1488)</x:f>
        <x:v>8</x:v>
      </x:c>
      <x:c r="H1488" s="25" t="n">
        <x:v>1</x:v>
      </x:c>
      <x:c r="I1488" s="25" t="n">
        <x:v>1</x:v>
      </x:c>
      <x:c r="J1488" s="25" t="n">
        <x:v>0</x:v>
      </x:c>
      <x:c r="K1488" s="19" t="n">
        <x:f>D1488-IF(H1488=0,1,0)</x:f>
        <x:v>2</x:v>
      </x:c>
      <x:c r="L1488" s="19" t="n">
        <x:f>E1488-IF(H1488=1,1,0)</x:f>
        <x:v>4</x:v>
      </x:c>
      <x:c r="M1488" s="19" t="n">
        <x:f>F1488-IF(H1488=2,1,0)</x:f>
        <x:v>1</x:v>
      </x:c>
      <x:c r="N1488" s="19" t="n">
        <x:f>MAX(K1488-1,0)+MAX(L1488-1,0)+MAX(M1488-1,0)</x:f>
        <x:v>4</x:v>
      </x:c>
      <x:c r="O1488" s="19" t="n">
        <x:f>IF(AND(SUM(K1488:M1488)&lt;9,OR(M1488=0,N1488&lt;6)),1,0)</x:f>
        <x:v>1</x:v>
      </x:c>
      <x:c r="P1488" s="19" t="n">
        <x:f>IF(AND(SUM(K1488:M1488)&lt;9,OR(L1488=0,N1488&lt;6)),1,0)</x:f>
        <x:v>1</x:v>
      </x:c>
      <x:c r="Q1488" s="19" t="n">
        <x:f>IF(AND(SUM(K1488:M1488)&lt;9,OR(K1488=0,N1488&lt;6)),1,0)</x:f>
        <x:v>1</x:v>
      </x:c>
      <x:c r="R1488" s="22" t="str">
        <x:f>O1488&amp;P1488&amp;Q1488</x:f>
        <x:v>111</x:v>
      </x:c>
      <x:c r="S1488" s="19" t="n">
        <x:f>IF(I1488=1,IF(J1488=0,Q1488,IF(J1488=1,P1488,IF(J1488=2,O1488,0))),0)</x:f>
        <x:v>1</x:v>
      </x:c>
      <x:c r="T1488" s="19" t="n">
        <x:f>K1488+IF(AND(S1488=1,J1488=0),1,0)</x:f>
        <x:v>3</x:v>
      </x:c>
      <x:c r="U1488" s="19" t="n">
        <x:f>L1488+IF(AND(S1488=1,J1488=1),1,0)</x:f>
        <x:v>4</x:v>
      </x:c>
      <x:c r="V1488" s="19" t="n">
        <x:f>M1488+IF(AND(S1488=1,J1488=2),1,0)</x:f>
        <x:v>1</x:v>
      </x:c>
      <x:c r="W1488" s="19" t="n">
        <x:f>SUM(T1488:V1488)</x:f>
        <x:v>8</x:v>
      </x:c>
      <x:c r="X1488" s="19" t="n">
        <x:f>W1488-G1488</x:f>
        <x:v>0</x:v>
      </x:c>
      <x:c r="Y1488" s="19" t="n">
        <x:f>MAX(T1488,1)+MAX(U1488,1)+MAX(V1488,1)</x:f>
        <x:v>8</x:v>
      </x:c>
      <x:c r="Z1488" s="21" t="str">
        <x:f>IF(AND(MIN(D1488:F1488)&gt;=0,MAX(D1488:F1488)&lt;=7,MAX(D1488,1)+MAX(E1488,1)+MAX(F1488,1)&lt;=9,OR(H1488="-",AND(H1488=0,D1488&gt;0),AND(H1488=1,E1488&gt;0),AND(H1488=2,F1488&gt;0)),OR(I1488=0,AND(I1488=1,OR(J1488=0,J1488=1,J1488=2),R1488&lt;&gt;"000")),Y1488&lt;=9,MIN(T1488:V1488)&gt;=0),"合法","输入违约")</x:f>
        <x:v>合法</x:v>
      </x:c>
    </x:row>
    <x:row r="1489" ht="23" customHeight="1">
      <x:c r="A1489" s="3" t="str">
        <x:v>CT-1482</x:v>
      </x:c>
      <x:c r="B1489" s="3" t="str">
        <x:v>ST-141</x:v>
      </x:c>
      <x:c r="C1489" s="3" t="str">
        <x:v>R+AR同收同发</x:v>
      </x:c>
      <x:c r="D1489" s="25" t="n">
        <x:v>2</x:v>
      </x:c>
      <x:c r="E1489" s="25" t="n">
        <x:v>5</x:v>
      </x:c>
      <x:c r="F1489" s="25" t="n">
        <x:v>1</x:v>
      </x:c>
      <x:c r="G1489" s="19" t="n">
        <x:f>SUM(D1489:F1489)</x:f>
        <x:v>8</x:v>
      </x:c>
      <x:c r="H1489" s="25" t="n">
        <x:v>1</x:v>
      </x:c>
      <x:c r="I1489" s="25" t="n">
        <x:v>1</x:v>
      </x:c>
      <x:c r="J1489" s="25" t="n">
        <x:v>1</x:v>
      </x:c>
      <x:c r="K1489" s="19" t="n">
        <x:f>D1489-IF(H1489=0,1,0)</x:f>
        <x:v>2</x:v>
      </x:c>
      <x:c r="L1489" s="19" t="n">
        <x:f>E1489-IF(H1489=1,1,0)</x:f>
        <x:v>4</x:v>
      </x:c>
      <x:c r="M1489" s="19" t="n">
        <x:f>F1489-IF(H1489=2,1,0)</x:f>
        <x:v>1</x:v>
      </x:c>
      <x:c r="N1489" s="19" t="n">
        <x:f>MAX(K1489-1,0)+MAX(L1489-1,0)+MAX(M1489-1,0)</x:f>
        <x:v>4</x:v>
      </x:c>
      <x:c r="O1489" s="19" t="n">
        <x:f>IF(AND(SUM(K1489:M1489)&lt;9,OR(M1489=0,N1489&lt;6)),1,0)</x:f>
        <x:v>1</x:v>
      </x:c>
      <x:c r="P1489" s="19" t="n">
        <x:f>IF(AND(SUM(K1489:M1489)&lt;9,OR(L1489=0,N1489&lt;6)),1,0)</x:f>
        <x:v>1</x:v>
      </x:c>
      <x:c r="Q1489" s="19" t="n">
        <x:f>IF(AND(SUM(K1489:M1489)&lt;9,OR(K1489=0,N1489&lt;6)),1,0)</x:f>
        <x:v>1</x:v>
      </x:c>
      <x:c r="R1489" s="22" t="str">
        <x:f>O1489&amp;P1489&amp;Q1489</x:f>
        <x:v>111</x:v>
      </x:c>
      <x:c r="S1489" s="19" t="n">
        <x:f>IF(I1489=1,IF(J1489=0,Q1489,IF(J1489=1,P1489,IF(J1489=2,O1489,0))),0)</x:f>
        <x:v>1</x:v>
      </x:c>
      <x:c r="T1489" s="19" t="n">
        <x:f>K1489+IF(AND(S1489=1,J1489=0),1,0)</x:f>
        <x:v>2</x:v>
      </x:c>
      <x:c r="U1489" s="19" t="n">
        <x:f>L1489+IF(AND(S1489=1,J1489=1),1,0)</x:f>
        <x:v>5</x:v>
      </x:c>
      <x:c r="V1489" s="19" t="n">
        <x:f>M1489+IF(AND(S1489=1,J1489=2),1,0)</x:f>
        <x:v>1</x:v>
      </x:c>
      <x:c r="W1489" s="19" t="n">
        <x:f>SUM(T1489:V1489)</x:f>
        <x:v>8</x:v>
      </x:c>
      <x:c r="X1489" s="19" t="n">
        <x:f>W1489-G1489</x:f>
        <x:v>0</x:v>
      </x:c>
      <x:c r="Y1489" s="19" t="n">
        <x:f>MAX(T1489,1)+MAX(U1489,1)+MAX(V1489,1)</x:f>
        <x:v>8</x:v>
      </x:c>
      <x:c r="Z1489" s="21" t="str">
        <x:f>IF(AND(MIN(D1489:F1489)&gt;=0,MAX(D1489:F1489)&lt;=7,MAX(D1489,1)+MAX(E1489,1)+MAX(F1489,1)&lt;=9,OR(H1489="-",AND(H1489=0,D1489&gt;0),AND(H1489=1,E1489&gt;0),AND(H1489=2,F1489&gt;0)),OR(I1489=0,AND(I1489=1,OR(J1489=0,J1489=1,J1489=2),R1489&lt;&gt;"000")),Y1489&lt;=9,MIN(T1489:V1489)&gt;=0),"合法","输入违约")</x:f>
        <x:v>合法</x:v>
      </x:c>
    </x:row>
    <x:row r="1490" ht="23" customHeight="1">
      <x:c r="A1490" s="3" t="str">
        <x:v>CT-1483</x:v>
      </x:c>
      <x:c r="B1490" s="3" t="str">
        <x:v>ST-141</x:v>
      </x:c>
      <x:c r="C1490" s="3" t="str">
        <x:v>R+AR同收同发</x:v>
      </x:c>
      <x:c r="D1490" s="25" t="n">
        <x:v>2</x:v>
      </x:c>
      <x:c r="E1490" s="25" t="n">
        <x:v>5</x:v>
      </x:c>
      <x:c r="F1490" s="25" t="n">
        <x:v>1</x:v>
      </x:c>
      <x:c r="G1490" s="19" t="n">
        <x:f>SUM(D1490:F1490)</x:f>
        <x:v>8</x:v>
      </x:c>
      <x:c r="H1490" s="25" t="n">
        <x:v>1</x:v>
      </x:c>
      <x:c r="I1490" s="25" t="n">
        <x:v>1</x:v>
      </x:c>
      <x:c r="J1490" s="25" t="n">
        <x:v>2</x:v>
      </x:c>
      <x:c r="K1490" s="19" t="n">
        <x:f>D1490-IF(H1490=0,1,0)</x:f>
        <x:v>2</x:v>
      </x:c>
      <x:c r="L1490" s="19" t="n">
        <x:f>E1490-IF(H1490=1,1,0)</x:f>
        <x:v>4</x:v>
      </x:c>
      <x:c r="M1490" s="19" t="n">
        <x:f>F1490-IF(H1490=2,1,0)</x:f>
        <x:v>1</x:v>
      </x:c>
      <x:c r="N1490" s="19" t="n">
        <x:f>MAX(K1490-1,0)+MAX(L1490-1,0)+MAX(M1490-1,0)</x:f>
        <x:v>4</x:v>
      </x:c>
      <x:c r="O1490" s="19" t="n">
        <x:f>IF(AND(SUM(K1490:M1490)&lt;9,OR(M1490=0,N1490&lt;6)),1,0)</x:f>
        <x:v>1</x:v>
      </x:c>
      <x:c r="P1490" s="19" t="n">
        <x:f>IF(AND(SUM(K1490:M1490)&lt;9,OR(L1490=0,N1490&lt;6)),1,0)</x:f>
        <x:v>1</x:v>
      </x:c>
      <x:c r="Q1490" s="19" t="n">
        <x:f>IF(AND(SUM(K1490:M1490)&lt;9,OR(K1490=0,N1490&lt;6)),1,0)</x:f>
        <x:v>1</x:v>
      </x:c>
      <x:c r="R1490" s="22" t="str">
        <x:f>O1490&amp;P1490&amp;Q1490</x:f>
        <x:v>111</x:v>
      </x:c>
      <x:c r="S1490" s="19" t="n">
        <x:f>IF(I1490=1,IF(J1490=0,Q1490,IF(J1490=1,P1490,IF(J1490=2,O1490,0))),0)</x:f>
        <x:v>1</x:v>
      </x:c>
      <x:c r="T1490" s="19" t="n">
        <x:f>K1490+IF(AND(S1490=1,J1490=0),1,0)</x:f>
        <x:v>2</x:v>
      </x:c>
      <x:c r="U1490" s="19" t="n">
        <x:f>L1490+IF(AND(S1490=1,J1490=1),1,0)</x:f>
        <x:v>4</x:v>
      </x:c>
      <x:c r="V1490" s="19" t="n">
        <x:f>M1490+IF(AND(S1490=1,J1490=2),1,0)</x:f>
        <x:v>2</x:v>
      </x:c>
      <x:c r="W1490" s="19" t="n">
        <x:f>SUM(T1490:V1490)</x:f>
        <x:v>8</x:v>
      </x:c>
      <x:c r="X1490" s="19" t="n">
        <x:f>W1490-G1490</x:f>
        <x:v>0</x:v>
      </x:c>
      <x:c r="Y1490" s="19" t="n">
        <x:f>MAX(T1490,1)+MAX(U1490,1)+MAX(V1490,1)</x:f>
        <x:v>8</x:v>
      </x:c>
      <x:c r="Z1490" s="21" t="str">
        <x:f>IF(AND(MIN(D1490:F1490)&gt;=0,MAX(D1490:F1490)&lt;=7,MAX(D1490,1)+MAX(E1490,1)+MAX(F1490,1)&lt;=9,OR(H1490="-",AND(H1490=0,D1490&gt;0),AND(H1490=1,E1490&gt;0),AND(H1490=2,F1490&gt;0)),OR(I1490=0,AND(I1490=1,OR(J1490=0,J1490=1,J1490=2),R1490&lt;&gt;"000")),Y1490&lt;=9,MIN(T1490:V1490)&gt;=0),"合法","输入违约")</x:f>
        <x:v>合法</x:v>
      </x:c>
    </x:row>
    <x:row r="1491" ht="23" customHeight="1">
      <x:c r="A1491" s="3" t="str">
        <x:v>CT-1484</x:v>
      </x:c>
      <x:c r="B1491" s="3" t="str">
        <x:v>ST-141</x:v>
      </x:c>
      <x:c r="C1491" s="3" t="str">
        <x:v>仅R回收</x:v>
      </x:c>
      <x:c r="D1491" s="25" t="n">
        <x:v>2</x:v>
      </x:c>
      <x:c r="E1491" s="25" t="n">
        <x:v>5</x:v>
      </x:c>
      <x:c r="F1491" s="25" t="n">
        <x:v>1</x:v>
      </x:c>
      <x:c r="G1491" s="19" t="n">
        <x:f>SUM(D1491:F1491)</x:f>
        <x:v>8</x:v>
      </x:c>
      <x:c r="H1491" s="25" t="n">
        <x:v>2</x:v>
      </x:c>
      <x:c r="I1491" s="25" t="n">
        <x:v>0</x:v>
      </x:c>
      <x:c r="J1491" s="25" t="str">
        <x:v>-</x:v>
      </x:c>
      <x:c r="K1491" s="19" t="n">
        <x:f>D1491-IF(H1491=0,1,0)</x:f>
        <x:v>2</x:v>
      </x:c>
      <x:c r="L1491" s="19" t="n">
        <x:f>E1491-IF(H1491=1,1,0)</x:f>
        <x:v>5</x:v>
      </x:c>
      <x:c r="M1491" s="19" t="n">
        <x:f>F1491-IF(H1491=2,1,0)</x:f>
        <x:v>0</x:v>
      </x:c>
      <x:c r="N1491" s="19" t="n">
        <x:f>MAX(K1491-1,0)+MAX(L1491-1,0)+MAX(M1491-1,0)</x:f>
        <x:v>5</x:v>
      </x:c>
      <x:c r="O1491" s="19" t="n">
        <x:f>IF(AND(SUM(K1491:M1491)&lt;9,OR(M1491=0,N1491&lt;6)),1,0)</x:f>
        <x:v>1</x:v>
      </x:c>
      <x:c r="P1491" s="19" t="n">
        <x:f>IF(AND(SUM(K1491:M1491)&lt;9,OR(L1491=0,N1491&lt;6)),1,0)</x:f>
        <x:v>1</x:v>
      </x:c>
      <x:c r="Q1491" s="19" t="n">
        <x:f>IF(AND(SUM(K1491:M1491)&lt;9,OR(K1491=0,N1491&lt;6)),1,0)</x:f>
        <x:v>1</x:v>
      </x:c>
      <x:c r="R1491" s="22" t="str">
        <x:f>O1491&amp;P1491&amp;Q1491</x:f>
        <x:v>111</x:v>
      </x:c>
      <x:c r="S1491" s="19" t="n">
        <x:f>IF(I1491=1,IF(J1491=0,Q1491,IF(J1491=1,P1491,IF(J1491=2,O1491,0))),0)</x:f>
        <x:v>0</x:v>
      </x:c>
      <x:c r="T1491" s="19" t="n">
        <x:f>K1491+IF(AND(S1491=1,J1491=0),1,0)</x:f>
        <x:v>2</x:v>
      </x:c>
      <x:c r="U1491" s="19" t="n">
        <x:f>L1491+IF(AND(S1491=1,J1491=1),1,0)</x:f>
        <x:v>5</x:v>
      </x:c>
      <x:c r="V1491" s="19" t="n">
        <x:f>M1491+IF(AND(S1491=1,J1491=2),1,0)</x:f>
        <x:v>0</x:v>
      </x:c>
      <x:c r="W1491" s="19" t="n">
        <x:f>SUM(T1491:V1491)</x:f>
        <x:v>7</x:v>
      </x:c>
      <x:c r="X1491" s="19" t="n">
        <x:f>W1491-G1491</x:f>
        <x:v>-1</x:v>
      </x:c>
      <x:c r="Y1491" s="19" t="n">
        <x:f>MAX(T1491,1)+MAX(U1491,1)+MAX(V1491,1)</x:f>
        <x:v>8</x:v>
      </x:c>
      <x:c r="Z1491" s="21" t="str">
        <x:f>IF(AND(MIN(D1491:F1491)&gt;=0,MAX(D1491:F1491)&lt;=7,MAX(D1491,1)+MAX(E1491,1)+MAX(F1491,1)&lt;=9,OR(H1491="-",AND(H1491=0,D1491&gt;0),AND(H1491=1,E1491&gt;0),AND(H1491=2,F1491&gt;0)),OR(I1491=0,AND(I1491=1,OR(J1491=0,J1491=1,J1491=2),R1491&lt;&gt;"000")),Y1491&lt;=9,MIN(T1491:V1491)&gt;=0),"合法","输入违约")</x:f>
        <x:v>合法</x:v>
      </x:c>
    </x:row>
    <x:row r="1492" ht="23" customHeight="1">
      <x:c r="A1492" s="3" t="str">
        <x:v>CT-1485</x:v>
      </x:c>
      <x:c r="B1492" s="3" t="str">
        <x:v>ST-141</x:v>
      </x:c>
      <x:c r="C1492" s="3" t="str">
        <x:v>R+AR同收同发</x:v>
      </x:c>
      <x:c r="D1492" s="25" t="n">
        <x:v>2</x:v>
      </x:c>
      <x:c r="E1492" s="25" t="n">
        <x:v>5</x:v>
      </x:c>
      <x:c r="F1492" s="25" t="n">
        <x:v>1</x:v>
      </x:c>
      <x:c r="G1492" s="19" t="n">
        <x:f>SUM(D1492:F1492)</x:f>
        <x:v>8</x:v>
      </x:c>
      <x:c r="H1492" s="25" t="n">
        <x:v>2</x:v>
      </x:c>
      <x:c r="I1492" s="25" t="n">
        <x:v>1</x:v>
      </x:c>
      <x:c r="J1492" s="25" t="n">
        <x:v>0</x:v>
      </x:c>
      <x:c r="K1492" s="19" t="n">
        <x:f>D1492-IF(H1492=0,1,0)</x:f>
        <x:v>2</x:v>
      </x:c>
      <x:c r="L1492" s="19" t="n">
        <x:f>E1492-IF(H1492=1,1,0)</x:f>
        <x:v>5</x:v>
      </x:c>
      <x:c r="M1492" s="19" t="n">
        <x:f>F1492-IF(H1492=2,1,0)</x:f>
        <x:v>0</x:v>
      </x:c>
      <x:c r="N1492" s="19" t="n">
        <x:f>MAX(K1492-1,0)+MAX(L1492-1,0)+MAX(M1492-1,0)</x:f>
        <x:v>5</x:v>
      </x:c>
      <x:c r="O1492" s="19" t="n">
        <x:f>IF(AND(SUM(K1492:M1492)&lt;9,OR(M1492=0,N1492&lt;6)),1,0)</x:f>
        <x:v>1</x:v>
      </x:c>
      <x:c r="P1492" s="19" t="n">
        <x:f>IF(AND(SUM(K1492:M1492)&lt;9,OR(L1492=0,N1492&lt;6)),1,0)</x:f>
        <x:v>1</x:v>
      </x:c>
      <x:c r="Q1492" s="19" t="n">
        <x:f>IF(AND(SUM(K1492:M1492)&lt;9,OR(K1492=0,N1492&lt;6)),1,0)</x:f>
        <x:v>1</x:v>
      </x:c>
      <x:c r="R1492" s="22" t="str">
        <x:f>O1492&amp;P1492&amp;Q1492</x:f>
        <x:v>111</x:v>
      </x:c>
      <x:c r="S1492" s="19" t="n">
        <x:f>IF(I1492=1,IF(J1492=0,Q1492,IF(J1492=1,P1492,IF(J1492=2,O1492,0))),0)</x:f>
        <x:v>1</x:v>
      </x:c>
      <x:c r="T1492" s="19" t="n">
        <x:f>K1492+IF(AND(S1492=1,J1492=0),1,0)</x:f>
        <x:v>3</x:v>
      </x:c>
      <x:c r="U1492" s="19" t="n">
        <x:f>L1492+IF(AND(S1492=1,J1492=1),1,0)</x:f>
        <x:v>5</x:v>
      </x:c>
      <x:c r="V1492" s="19" t="n">
        <x:f>M1492+IF(AND(S1492=1,J1492=2),1,0)</x:f>
        <x:v>0</x:v>
      </x:c>
      <x:c r="W1492" s="19" t="n">
        <x:f>SUM(T1492:V1492)</x:f>
        <x:v>8</x:v>
      </x:c>
      <x:c r="X1492" s="19" t="n">
        <x:f>W1492-G1492</x:f>
        <x:v>0</x:v>
      </x:c>
      <x:c r="Y1492" s="19" t="n">
        <x:f>MAX(T1492,1)+MAX(U1492,1)+MAX(V1492,1)</x:f>
        <x:v>9</x:v>
      </x:c>
      <x:c r="Z1492" s="21" t="str">
        <x:f>IF(AND(MIN(D1492:F1492)&gt;=0,MAX(D1492:F1492)&lt;=7,MAX(D1492,1)+MAX(E1492,1)+MAX(F1492,1)&lt;=9,OR(H1492="-",AND(H1492=0,D1492&gt;0),AND(H1492=1,E1492&gt;0),AND(H1492=2,F1492&gt;0)),OR(I1492=0,AND(I1492=1,OR(J1492=0,J1492=1,J1492=2),R1492&lt;&gt;"000")),Y1492&lt;=9,MIN(T1492:V1492)&gt;=0),"合法","输入违约")</x:f>
        <x:v>合法</x:v>
      </x:c>
    </x:row>
    <x:row r="1493" ht="23" customHeight="1">
      <x:c r="A1493" s="3" t="str">
        <x:v>CT-1486</x:v>
      </x:c>
      <x:c r="B1493" s="3" t="str">
        <x:v>ST-141</x:v>
      </x:c>
      <x:c r="C1493" s="3" t="str">
        <x:v>R+AR同收同发</x:v>
      </x:c>
      <x:c r="D1493" s="25" t="n">
        <x:v>2</x:v>
      </x:c>
      <x:c r="E1493" s="25" t="n">
        <x:v>5</x:v>
      </x:c>
      <x:c r="F1493" s="25" t="n">
        <x:v>1</x:v>
      </x:c>
      <x:c r="G1493" s="19" t="n">
        <x:f>SUM(D1493:F1493)</x:f>
        <x:v>8</x:v>
      </x:c>
      <x:c r="H1493" s="25" t="n">
        <x:v>2</x:v>
      </x:c>
      <x:c r="I1493" s="25" t="n">
        <x:v>1</x:v>
      </x:c>
      <x:c r="J1493" s="25" t="n">
        <x:v>1</x:v>
      </x:c>
      <x:c r="K1493" s="19" t="n">
        <x:f>D1493-IF(H1493=0,1,0)</x:f>
        <x:v>2</x:v>
      </x:c>
      <x:c r="L1493" s="19" t="n">
        <x:f>E1493-IF(H1493=1,1,0)</x:f>
        <x:v>5</x:v>
      </x:c>
      <x:c r="M1493" s="19" t="n">
        <x:f>F1493-IF(H1493=2,1,0)</x:f>
        <x:v>0</x:v>
      </x:c>
      <x:c r="N1493" s="19" t="n">
        <x:f>MAX(K1493-1,0)+MAX(L1493-1,0)+MAX(M1493-1,0)</x:f>
        <x:v>5</x:v>
      </x:c>
      <x:c r="O1493" s="19" t="n">
        <x:f>IF(AND(SUM(K1493:M1493)&lt;9,OR(M1493=0,N1493&lt;6)),1,0)</x:f>
        <x:v>1</x:v>
      </x:c>
      <x:c r="P1493" s="19" t="n">
        <x:f>IF(AND(SUM(K1493:M1493)&lt;9,OR(L1493=0,N1493&lt;6)),1,0)</x:f>
        <x:v>1</x:v>
      </x:c>
      <x:c r="Q1493" s="19" t="n">
        <x:f>IF(AND(SUM(K1493:M1493)&lt;9,OR(K1493=0,N1493&lt;6)),1,0)</x:f>
        <x:v>1</x:v>
      </x:c>
      <x:c r="R1493" s="22" t="str">
        <x:f>O1493&amp;P1493&amp;Q1493</x:f>
        <x:v>111</x:v>
      </x:c>
      <x:c r="S1493" s="19" t="n">
        <x:f>IF(I1493=1,IF(J1493=0,Q1493,IF(J1493=1,P1493,IF(J1493=2,O1493,0))),0)</x:f>
        <x:v>1</x:v>
      </x:c>
      <x:c r="T1493" s="19" t="n">
        <x:f>K1493+IF(AND(S1493=1,J1493=0),1,0)</x:f>
        <x:v>2</x:v>
      </x:c>
      <x:c r="U1493" s="19" t="n">
        <x:f>L1493+IF(AND(S1493=1,J1493=1),1,0)</x:f>
        <x:v>6</x:v>
      </x:c>
      <x:c r="V1493" s="19" t="n">
        <x:f>M1493+IF(AND(S1493=1,J1493=2),1,0)</x:f>
        <x:v>0</x:v>
      </x:c>
      <x:c r="W1493" s="19" t="n">
        <x:f>SUM(T1493:V1493)</x:f>
        <x:v>8</x:v>
      </x:c>
      <x:c r="X1493" s="19" t="n">
        <x:f>W1493-G1493</x:f>
        <x:v>0</x:v>
      </x:c>
      <x:c r="Y1493" s="19" t="n">
        <x:f>MAX(T1493,1)+MAX(U1493,1)+MAX(V1493,1)</x:f>
        <x:v>9</x:v>
      </x:c>
      <x:c r="Z1493" s="21" t="str">
        <x:f>IF(AND(MIN(D1493:F1493)&gt;=0,MAX(D1493:F1493)&lt;=7,MAX(D1493,1)+MAX(E1493,1)+MAX(F1493,1)&lt;=9,OR(H1493="-",AND(H1493=0,D1493&gt;0),AND(H1493=1,E1493&gt;0),AND(H1493=2,F1493&gt;0)),OR(I1493=0,AND(I1493=1,OR(J1493=0,J1493=1,J1493=2),R1493&lt;&gt;"000")),Y1493&lt;=9,MIN(T1493:V1493)&gt;=0),"合法","输入违约")</x:f>
        <x:v>合法</x:v>
      </x:c>
    </x:row>
    <x:row r="1494" ht="23" customHeight="1">
      <x:c r="A1494" s="3" t="str">
        <x:v>CT-1487</x:v>
      </x:c>
      <x:c r="B1494" s="3" t="str">
        <x:v>ST-141</x:v>
      </x:c>
      <x:c r="C1494" s="3" t="str">
        <x:v>R+AR同收同发</x:v>
      </x:c>
      <x:c r="D1494" s="25" t="n">
        <x:v>2</x:v>
      </x:c>
      <x:c r="E1494" s="25" t="n">
        <x:v>5</x:v>
      </x:c>
      <x:c r="F1494" s="25" t="n">
        <x:v>1</x:v>
      </x:c>
      <x:c r="G1494" s="19" t="n">
        <x:f>SUM(D1494:F1494)</x:f>
        <x:v>8</x:v>
      </x:c>
      <x:c r="H1494" s="25" t="n">
        <x:v>2</x:v>
      </x:c>
      <x:c r="I1494" s="25" t="n">
        <x:v>1</x:v>
      </x:c>
      <x:c r="J1494" s="25" t="n">
        <x:v>2</x:v>
      </x:c>
      <x:c r="K1494" s="19" t="n">
        <x:f>D1494-IF(H1494=0,1,0)</x:f>
        <x:v>2</x:v>
      </x:c>
      <x:c r="L1494" s="19" t="n">
        <x:f>E1494-IF(H1494=1,1,0)</x:f>
        <x:v>5</x:v>
      </x:c>
      <x:c r="M1494" s="19" t="n">
        <x:f>F1494-IF(H1494=2,1,0)</x:f>
        <x:v>0</x:v>
      </x:c>
      <x:c r="N1494" s="19" t="n">
        <x:f>MAX(K1494-1,0)+MAX(L1494-1,0)+MAX(M1494-1,0)</x:f>
        <x:v>5</x:v>
      </x:c>
      <x:c r="O1494" s="19" t="n">
        <x:f>IF(AND(SUM(K1494:M1494)&lt;9,OR(M1494=0,N1494&lt;6)),1,0)</x:f>
        <x:v>1</x:v>
      </x:c>
      <x:c r="P1494" s="19" t="n">
        <x:f>IF(AND(SUM(K1494:M1494)&lt;9,OR(L1494=0,N1494&lt;6)),1,0)</x:f>
        <x:v>1</x:v>
      </x:c>
      <x:c r="Q1494" s="19" t="n">
        <x:f>IF(AND(SUM(K1494:M1494)&lt;9,OR(K1494=0,N1494&lt;6)),1,0)</x:f>
        <x:v>1</x:v>
      </x:c>
      <x:c r="R1494" s="22" t="str">
        <x:f>O1494&amp;P1494&amp;Q1494</x:f>
        <x:v>111</x:v>
      </x:c>
      <x:c r="S1494" s="19" t="n">
        <x:f>IF(I1494=1,IF(J1494=0,Q1494,IF(J1494=1,P1494,IF(J1494=2,O1494,0))),0)</x:f>
        <x:v>1</x:v>
      </x:c>
      <x:c r="T1494" s="19" t="n">
        <x:f>K1494+IF(AND(S1494=1,J1494=0),1,0)</x:f>
        <x:v>2</x:v>
      </x:c>
      <x:c r="U1494" s="19" t="n">
        <x:f>L1494+IF(AND(S1494=1,J1494=1),1,0)</x:f>
        <x:v>5</x:v>
      </x:c>
      <x:c r="V1494" s="19" t="n">
        <x:f>M1494+IF(AND(S1494=1,J1494=2),1,0)</x:f>
        <x:v>1</x:v>
      </x:c>
      <x:c r="W1494" s="19" t="n">
        <x:f>SUM(T1494:V1494)</x:f>
        <x:v>8</x:v>
      </x:c>
      <x:c r="X1494" s="19" t="n">
        <x:f>W1494-G1494</x:f>
        <x:v>0</x:v>
      </x:c>
      <x:c r="Y1494" s="19" t="n">
        <x:f>MAX(T1494,1)+MAX(U1494,1)+MAX(V1494,1)</x:f>
        <x:v>8</x:v>
      </x:c>
      <x:c r="Z1494" s="21" t="str">
        <x:f>IF(AND(MIN(D1494:F1494)&gt;=0,MAX(D1494:F1494)&lt;=7,MAX(D1494,1)+MAX(E1494,1)+MAX(F1494,1)&lt;=9,OR(H1494="-",AND(H1494=0,D1494&gt;0),AND(H1494=1,E1494&gt;0),AND(H1494=2,F1494&gt;0)),OR(I1494=0,AND(I1494=1,OR(J1494=0,J1494=1,J1494=2),R1494&lt;&gt;"000")),Y1494&lt;=9,MIN(T1494:V1494)&gt;=0),"合法","输入违约")</x:f>
        <x:v>合法</x:v>
      </x:c>
    </x:row>
    <x:row r="1495" ht="23" customHeight="1">
      <x:c r="A1495" s="3" t="str">
        <x:v>CT-1488</x:v>
      </x:c>
      <x:c r="B1495" s="3" t="str">
        <x:v>ST-174</x:v>
      </x:c>
      <x:c r="C1495" s="3" t="str">
        <x:v>无AR/R</x:v>
      </x:c>
      <x:c r="D1495" s="25" t="n">
        <x:v>2</x:v>
      </x:c>
      <x:c r="E1495" s="25" t="n">
        <x:v>5</x:v>
      </x:c>
      <x:c r="F1495" s="25" t="n">
        <x:v>2</x:v>
      </x:c>
      <x:c r="G1495" s="19" t="n">
        <x:f>SUM(D1495:F1495)</x:f>
        <x:v>9</x:v>
      </x:c>
      <x:c r="H1495" s="25" t="str">
        <x:v>-</x:v>
      </x:c>
      <x:c r="I1495" s="25" t="n">
        <x:v>0</x:v>
      </x:c>
      <x:c r="J1495" s="25" t="str">
        <x:v>-</x:v>
      </x:c>
      <x:c r="K1495" s="19" t="n">
        <x:f>D1495-IF(H1495=0,1,0)</x:f>
        <x:v>2</x:v>
      </x:c>
      <x:c r="L1495" s="19" t="n">
        <x:f>E1495-IF(H1495=1,1,0)</x:f>
        <x:v>5</x:v>
      </x:c>
      <x:c r="M1495" s="19" t="n">
        <x:f>F1495-IF(H1495=2,1,0)</x:f>
        <x:v>2</x:v>
      </x:c>
      <x:c r="N1495" s="19" t="n">
        <x:f>MAX(K1495-1,0)+MAX(L1495-1,0)+MAX(M1495-1,0)</x:f>
        <x:v>6</x:v>
      </x:c>
      <x:c r="O1495" s="19" t="n">
        <x:f>IF(AND(SUM(K1495:M1495)&lt;9,OR(M1495=0,N1495&lt;6)),1,0)</x:f>
        <x:v>0</x:v>
      </x:c>
      <x:c r="P1495" s="19" t="n">
        <x:f>IF(AND(SUM(K1495:M1495)&lt;9,OR(L1495=0,N1495&lt;6)),1,0)</x:f>
        <x:v>0</x:v>
      </x:c>
      <x:c r="Q1495" s="19" t="n">
        <x:f>IF(AND(SUM(K1495:M1495)&lt;9,OR(K1495=0,N1495&lt;6)),1,0)</x:f>
        <x:v>0</x:v>
      </x:c>
      <x:c r="R1495" s="22" t="str">
        <x:f>O1495&amp;P1495&amp;Q1495</x:f>
        <x:v>000</x:v>
      </x:c>
      <x:c r="S1495" s="19" t="n">
        <x:f>IF(I1495=1,IF(J1495=0,Q1495,IF(J1495=1,P1495,IF(J1495=2,O1495,0))),0)</x:f>
        <x:v>0</x:v>
      </x:c>
      <x:c r="T1495" s="19" t="n">
        <x:f>K1495+IF(AND(S1495=1,J1495=0),1,0)</x:f>
        <x:v>2</x:v>
      </x:c>
      <x:c r="U1495" s="19" t="n">
        <x:f>L1495+IF(AND(S1495=1,J1495=1),1,0)</x:f>
        <x:v>5</x:v>
      </x:c>
      <x:c r="V1495" s="19" t="n">
        <x:f>M1495+IF(AND(S1495=1,J1495=2),1,0)</x:f>
        <x:v>2</x:v>
      </x:c>
      <x:c r="W1495" s="19" t="n">
        <x:f>SUM(T1495:V1495)</x:f>
        <x:v>9</x:v>
      </x:c>
      <x:c r="X1495" s="19" t="n">
        <x:f>W1495-G1495</x:f>
        <x:v>0</x:v>
      </x:c>
      <x:c r="Y1495" s="19" t="n">
        <x:f>MAX(T1495,1)+MAX(U1495,1)+MAX(V1495,1)</x:f>
        <x:v>9</x:v>
      </x:c>
      <x:c r="Z1495" s="21" t="str">
        <x:f>IF(AND(MIN(D1495:F1495)&gt;=0,MAX(D1495:F1495)&lt;=7,MAX(D1495,1)+MAX(E1495,1)+MAX(F1495,1)&lt;=9,OR(H1495="-",AND(H1495=0,D1495&gt;0),AND(H1495=1,E1495&gt;0),AND(H1495=2,F1495&gt;0)),OR(I1495=0,AND(I1495=1,OR(J1495=0,J1495=1,J1495=2),R1495&lt;&gt;"000")),Y1495&lt;=9,MIN(T1495:V1495)&gt;=0),"合法","输入违约")</x:f>
        <x:v>合法</x:v>
      </x:c>
    </x:row>
    <x:row r="1496" ht="23" customHeight="1">
      <x:c r="A1496" s="3" t="str">
        <x:v>CT-1489</x:v>
      </x:c>
      <x:c r="B1496" s="3" t="str">
        <x:v>ST-174</x:v>
      </x:c>
      <x:c r="C1496" s="3" t="str">
        <x:v>仅R回收</x:v>
      </x:c>
      <x:c r="D1496" s="25" t="n">
        <x:v>2</x:v>
      </x:c>
      <x:c r="E1496" s="25" t="n">
        <x:v>5</x:v>
      </x:c>
      <x:c r="F1496" s="25" t="n">
        <x:v>2</x:v>
      </x:c>
      <x:c r="G1496" s="19" t="n">
        <x:f>SUM(D1496:F1496)</x:f>
        <x:v>9</x:v>
      </x:c>
      <x:c r="H1496" s="25" t="n">
        <x:v>0</x:v>
      </x:c>
      <x:c r="I1496" s="25" t="n">
        <x:v>0</x:v>
      </x:c>
      <x:c r="J1496" s="25" t="str">
        <x:v>-</x:v>
      </x:c>
      <x:c r="K1496" s="19" t="n">
        <x:f>D1496-IF(H1496=0,1,0)</x:f>
        <x:v>1</x:v>
      </x:c>
      <x:c r="L1496" s="19" t="n">
        <x:f>E1496-IF(H1496=1,1,0)</x:f>
        <x:v>5</x:v>
      </x:c>
      <x:c r="M1496" s="19" t="n">
        <x:f>F1496-IF(H1496=2,1,0)</x:f>
        <x:v>2</x:v>
      </x:c>
      <x:c r="N1496" s="19" t="n">
        <x:f>MAX(K1496-1,0)+MAX(L1496-1,0)+MAX(M1496-1,0)</x:f>
        <x:v>5</x:v>
      </x:c>
      <x:c r="O1496" s="19" t="n">
        <x:f>IF(AND(SUM(K1496:M1496)&lt;9,OR(M1496=0,N1496&lt;6)),1,0)</x:f>
        <x:v>1</x:v>
      </x:c>
      <x:c r="P1496" s="19" t="n">
        <x:f>IF(AND(SUM(K1496:M1496)&lt;9,OR(L1496=0,N1496&lt;6)),1,0)</x:f>
        <x:v>1</x:v>
      </x:c>
      <x:c r="Q1496" s="19" t="n">
        <x:f>IF(AND(SUM(K1496:M1496)&lt;9,OR(K1496=0,N1496&lt;6)),1,0)</x:f>
        <x:v>1</x:v>
      </x:c>
      <x:c r="R1496" s="22" t="str">
        <x:f>O1496&amp;P1496&amp;Q1496</x:f>
        <x:v>111</x:v>
      </x:c>
      <x:c r="S1496" s="19" t="n">
        <x:f>IF(I1496=1,IF(J1496=0,Q1496,IF(J1496=1,P1496,IF(J1496=2,O1496,0))),0)</x:f>
        <x:v>0</x:v>
      </x:c>
      <x:c r="T1496" s="19" t="n">
        <x:f>K1496+IF(AND(S1496=1,J1496=0),1,0)</x:f>
        <x:v>1</x:v>
      </x:c>
      <x:c r="U1496" s="19" t="n">
        <x:f>L1496+IF(AND(S1496=1,J1496=1),1,0)</x:f>
        <x:v>5</x:v>
      </x:c>
      <x:c r="V1496" s="19" t="n">
        <x:f>M1496+IF(AND(S1496=1,J1496=2),1,0)</x:f>
        <x:v>2</x:v>
      </x:c>
      <x:c r="W1496" s="19" t="n">
        <x:f>SUM(T1496:V1496)</x:f>
        <x:v>8</x:v>
      </x:c>
      <x:c r="X1496" s="19" t="n">
        <x:f>W1496-G1496</x:f>
        <x:v>-1</x:v>
      </x:c>
      <x:c r="Y1496" s="19" t="n">
        <x:f>MAX(T1496,1)+MAX(U1496,1)+MAX(V1496,1)</x:f>
        <x:v>8</x:v>
      </x:c>
      <x:c r="Z1496" s="21" t="str">
        <x:f>IF(AND(MIN(D1496:F1496)&gt;=0,MAX(D1496:F1496)&lt;=7,MAX(D1496,1)+MAX(E1496,1)+MAX(F1496,1)&lt;=9,OR(H1496="-",AND(H1496=0,D1496&gt;0),AND(H1496=1,E1496&gt;0),AND(H1496=2,F1496&gt;0)),OR(I1496=0,AND(I1496=1,OR(J1496=0,J1496=1,J1496=2),R1496&lt;&gt;"000")),Y1496&lt;=9,MIN(T1496:V1496)&gt;=0),"合法","输入违约")</x:f>
        <x:v>合法</x:v>
      </x:c>
    </x:row>
    <x:row r="1497" ht="23" customHeight="1">
      <x:c r="A1497" s="3" t="str">
        <x:v>CT-1490</x:v>
      </x:c>
      <x:c r="B1497" s="3" t="str">
        <x:v>ST-174</x:v>
      </x:c>
      <x:c r="C1497" s="3" t="str">
        <x:v>R+AR同收同发</x:v>
      </x:c>
      <x:c r="D1497" s="25" t="n">
        <x:v>2</x:v>
      </x:c>
      <x:c r="E1497" s="25" t="n">
        <x:v>5</x:v>
      </x:c>
      <x:c r="F1497" s="25" t="n">
        <x:v>2</x:v>
      </x:c>
      <x:c r="G1497" s="19" t="n">
        <x:f>SUM(D1497:F1497)</x:f>
        <x:v>9</x:v>
      </x:c>
      <x:c r="H1497" s="25" t="n">
        <x:v>0</x:v>
      </x:c>
      <x:c r="I1497" s="25" t="n">
        <x:v>1</x:v>
      </x:c>
      <x:c r="J1497" s="25" t="n">
        <x:v>0</x:v>
      </x:c>
      <x:c r="K1497" s="19" t="n">
        <x:f>D1497-IF(H1497=0,1,0)</x:f>
        <x:v>1</x:v>
      </x:c>
      <x:c r="L1497" s="19" t="n">
        <x:f>E1497-IF(H1497=1,1,0)</x:f>
        <x:v>5</x:v>
      </x:c>
      <x:c r="M1497" s="19" t="n">
        <x:f>F1497-IF(H1497=2,1,0)</x:f>
        <x:v>2</x:v>
      </x:c>
      <x:c r="N1497" s="19" t="n">
        <x:f>MAX(K1497-1,0)+MAX(L1497-1,0)+MAX(M1497-1,0)</x:f>
        <x:v>5</x:v>
      </x:c>
      <x:c r="O1497" s="19" t="n">
        <x:f>IF(AND(SUM(K1497:M1497)&lt;9,OR(M1497=0,N1497&lt;6)),1,0)</x:f>
        <x:v>1</x:v>
      </x:c>
      <x:c r="P1497" s="19" t="n">
        <x:f>IF(AND(SUM(K1497:M1497)&lt;9,OR(L1497=0,N1497&lt;6)),1,0)</x:f>
        <x:v>1</x:v>
      </x:c>
      <x:c r="Q1497" s="19" t="n">
        <x:f>IF(AND(SUM(K1497:M1497)&lt;9,OR(K1497=0,N1497&lt;6)),1,0)</x:f>
        <x:v>1</x:v>
      </x:c>
      <x:c r="R1497" s="22" t="str">
        <x:f>O1497&amp;P1497&amp;Q1497</x:f>
        <x:v>111</x:v>
      </x:c>
      <x:c r="S1497" s="19" t="n">
        <x:f>IF(I1497=1,IF(J1497=0,Q1497,IF(J1497=1,P1497,IF(J1497=2,O1497,0))),0)</x:f>
        <x:v>1</x:v>
      </x:c>
      <x:c r="T1497" s="19" t="n">
        <x:f>K1497+IF(AND(S1497=1,J1497=0),1,0)</x:f>
        <x:v>2</x:v>
      </x:c>
      <x:c r="U1497" s="19" t="n">
        <x:f>L1497+IF(AND(S1497=1,J1497=1),1,0)</x:f>
        <x:v>5</x:v>
      </x:c>
      <x:c r="V1497" s="19" t="n">
        <x:f>M1497+IF(AND(S1497=1,J1497=2),1,0)</x:f>
        <x:v>2</x:v>
      </x:c>
      <x:c r="W1497" s="19" t="n">
        <x:f>SUM(T1497:V1497)</x:f>
        <x:v>9</x:v>
      </x:c>
      <x:c r="X1497" s="19" t="n">
        <x:f>W1497-G1497</x:f>
        <x:v>0</x:v>
      </x:c>
      <x:c r="Y1497" s="19" t="n">
        <x:f>MAX(T1497,1)+MAX(U1497,1)+MAX(V1497,1)</x:f>
        <x:v>9</x:v>
      </x:c>
      <x:c r="Z1497" s="21" t="str">
        <x:f>IF(AND(MIN(D1497:F1497)&gt;=0,MAX(D1497:F1497)&lt;=7,MAX(D1497,1)+MAX(E1497,1)+MAX(F1497,1)&lt;=9,OR(H1497="-",AND(H1497=0,D1497&gt;0),AND(H1497=1,E1497&gt;0),AND(H1497=2,F1497&gt;0)),OR(I1497=0,AND(I1497=1,OR(J1497=0,J1497=1,J1497=2),R1497&lt;&gt;"000")),Y1497&lt;=9,MIN(T1497:V1497)&gt;=0),"合法","输入违约")</x:f>
        <x:v>合法</x:v>
      </x:c>
    </x:row>
    <x:row r="1498" ht="23" customHeight="1">
      <x:c r="A1498" s="3" t="str">
        <x:v>CT-1491</x:v>
      </x:c>
      <x:c r="B1498" s="3" t="str">
        <x:v>ST-174</x:v>
      </x:c>
      <x:c r="C1498" s="3" t="str">
        <x:v>R+AR同收同发</x:v>
      </x:c>
      <x:c r="D1498" s="25" t="n">
        <x:v>2</x:v>
      </x:c>
      <x:c r="E1498" s="25" t="n">
        <x:v>5</x:v>
      </x:c>
      <x:c r="F1498" s="25" t="n">
        <x:v>2</x:v>
      </x:c>
      <x:c r="G1498" s="19" t="n">
        <x:f>SUM(D1498:F1498)</x:f>
        <x:v>9</x:v>
      </x:c>
      <x:c r="H1498" s="25" t="n">
        <x:v>0</x:v>
      </x:c>
      <x:c r="I1498" s="25" t="n">
        <x:v>1</x:v>
      </x:c>
      <x:c r="J1498" s="25" t="n">
        <x:v>1</x:v>
      </x:c>
      <x:c r="K1498" s="19" t="n">
        <x:f>D1498-IF(H1498=0,1,0)</x:f>
        <x:v>1</x:v>
      </x:c>
      <x:c r="L1498" s="19" t="n">
        <x:f>E1498-IF(H1498=1,1,0)</x:f>
        <x:v>5</x:v>
      </x:c>
      <x:c r="M1498" s="19" t="n">
        <x:f>F1498-IF(H1498=2,1,0)</x:f>
        <x:v>2</x:v>
      </x:c>
      <x:c r="N1498" s="19" t="n">
        <x:f>MAX(K1498-1,0)+MAX(L1498-1,0)+MAX(M1498-1,0)</x:f>
        <x:v>5</x:v>
      </x:c>
      <x:c r="O1498" s="19" t="n">
        <x:f>IF(AND(SUM(K1498:M1498)&lt;9,OR(M1498=0,N1498&lt;6)),1,0)</x:f>
        <x:v>1</x:v>
      </x:c>
      <x:c r="P1498" s="19" t="n">
        <x:f>IF(AND(SUM(K1498:M1498)&lt;9,OR(L1498=0,N1498&lt;6)),1,0)</x:f>
        <x:v>1</x:v>
      </x:c>
      <x:c r="Q1498" s="19" t="n">
        <x:f>IF(AND(SUM(K1498:M1498)&lt;9,OR(K1498=0,N1498&lt;6)),1,0)</x:f>
        <x:v>1</x:v>
      </x:c>
      <x:c r="R1498" s="22" t="str">
        <x:f>O1498&amp;P1498&amp;Q1498</x:f>
        <x:v>111</x:v>
      </x:c>
      <x:c r="S1498" s="19" t="n">
        <x:f>IF(I1498=1,IF(J1498=0,Q1498,IF(J1498=1,P1498,IF(J1498=2,O1498,0))),0)</x:f>
        <x:v>1</x:v>
      </x:c>
      <x:c r="T1498" s="19" t="n">
        <x:f>K1498+IF(AND(S1498=1,J1498=0),1,0)</x:f>
        <x:v>1</x:v>
      </x:c>
      <x:c r="U1498" s="19" t="n">
        <x:f>L1498+IF(AND(S1498=1,J1498=1),1,0)</x:f>
        <x:v>6</x:v>
      </x:c>
      <x:c r="V1498" s="19" t="n">
        <x:f>M1498+IF(AND(S1498=1,J1498=2),1,0)</x:f>
        <x:v>2</x:v>
      </x:c>
      <x:c r="W1498" s="19" t="n">
        <x:f>SUM(T1498:V1498)</x:f>
        <x:v>9</x:v>
      </x:c>
      <x:c r="X1498" s="19" t="n">
        <x:f>W1498-G1498</x:f>
        <x:v>0</x:v>
      </x:c>
      <x:c r="Y1498" s="19" t="n">
        <x:f>MAX(T1498,1)+MAX(U1498,1)+MAX(V1498,1)</x:f>
        <x:v>9</x:v>
      </x:c>
      <x:c r="Z1498" s="21" t="str">
        <x:f>IF(AND(MIN(D1498:F1498)&gt;=0,MAX(D1498:F1498)&lt;=7,MAX(D1498,1)+MAX(E1498,1)+MAX(F1498,1)&lt;=9,OR(H1498="-",AND(H1498=0,D1498&gt;0),AND(H1498=1,E1498&gt;0),AND(H1498=2,F1498&gt;0)),OR(I1498=0,AND(I1498=1,OR(J1498=0,J1498=1,J1498=2),R1498&lt;&gt;"000")),Y1498&lt;=9,MIN(T1498:V1498)&gt;=0),"合法","输入违约")</x:f>
        <x:v>合法</x:v>
      </x:c>
    </x:row>
    <x:row r="1499" ht="23" customHeight="1">
      <x:c r="A1499" s="3" t="str">
        <x:v>CT-1492</x:v>
      </x:c>
      <x:c r="B1499" s="3" t="str">
        <x:v>ST-174</x:v>
      </x:c>
      <x:c r="C1499" s="3" t="str">
        <x:v>R+AR同收同发</x:v>
      </x:c>
      <x:c r="D1499" s="25" t="n">
        <x:v>2</x:v>
      </x:c>
      <x:c r="E1499" s="25" t="n">
        <x:v>5</x:v>
      </x:c>
      <x:c r="F1499" s="25" t="n">
        <x:v>2</x:v>
      </x:c>
      <x:c r="G1499" s="19" t="n">
        <x:f>SUM(D1499:F1499)</x:f>
        <x:v>9</x:v>
      </x:c>
      <x:c r="H1499" s="25" t="n">
        <x:v>0</x:v>
      </x:c>
      <x:c r="I1499" s="25" t="n">
        <x:v>1</x:v>
      </x:c>
      <x:c r="J1499" s="25" t="n">
        <x:v>2</x:v>
      </x:c>
      <x:c r="K1499" s="19" t="n">
        <x:f>D1499-IF(H1499=0,1,0)</x:f>
        <x:v>1</x:v>
      </x:c>
      <x:c r="L1499" s="19" t="n">
        <x:f>E1499-IF(H1499=1,1,0)</x:f>
        <x:v>5</x:v>
      </x:c>
      <x:c r="M1499" s="19" t="n">
        <x:f>F1499-IF(H1499=2,1,0)</x:f>
        <x:v>2</x:v>
      </x:c>
      <x:c r="N1499" s="19" t="n">
        <x:f>MAX(K1499-1,0)+MAX(L1499-1,0)+MAX(M1499-1,0)</x:f>
        <x:v>5</x:v>
      </x:c>
      <x:c r="O1499" s="19" t="n">
        <x:f>IF(AND(SUM(K1499:M1499)&lt;9,OR(M1499=0,N1499&lt;6)),1,0)</x:f>
        <x:v>1</x:v>
      </x:c>
      <x:c r="P1499" s="19" t="n">
        <x:f>IF(AND(SUM(K1499:M1499)&lt;9,OR(L1499=0,N1499&lt;6)),1,0)</x:f>
        <x:v>1</x:v>
      </x:c>
      <x:c r="Q1499" s="19" t="n">
        <x:f>IF(AND(SUM(K1499:M1499)&lt;9,OR(K1499=0,N1499&lt;6)),1,0)</x:f>
        <x:v>1</x:v>
      </x:c>
      <x:c r="R1499" s="22" t="str">
        <x:f>O1499&amp;P1499&amp;Q1499</x:f>
        <x:v>111</x:v>
      </x:c>
      <x:c r="S1499" s="19" t="n">
        <x:f>IF(I1499=1,IF(J1499=0,Q1499,IF(J1499=1,P1499,IF(J1499=2,O1499,0))),0)</x:f>
        <x:v>1</x:v>
      </x:c>
      <x:c r="T1499" s="19" t="n">
        <x:f>K1499+IF(AND(S1499=1,J1499=0),1,0)</x:f>
        <x:v>1</x:v>
      </x:c>
      <x:c r="U1499" s="19" t="n">
        <x:f>L1499+IF(AND(S1499=1,J1499=1),1,0)</x:f>
        <x:v>5</x:v>
      </x:c>
      <x:c r="V1499" s="19" t="n">
        <x:f>M1499+IF(AND(S1499=1,J1499=2),1,0)</x:f>
        <x:v>3</x:v>
      </x:c>
      <x:c r="W1499" s="19" t="n">
        <x:f>SUM(T1499:V1499)</x:f>
        <x:v>9</x:v>
      </x:c>
      <x:c r="X1499" s="19" t="n">
        <x:f>W1499-G1499</x:f>
        <x:v>0</x:v>
      </x:c>
      <x:c r="Y1499" s="19" t="n">
        <x:f>MAX(T1499,1)+MAX(U1499,1)+MAX(V1499,1)</x:f>
        <x:v>9</x:v>
      </x:c>
      <x:c r="Z1499" s="21" t="str">
        <x:f>IF(AND(MIN(D1499:F1499)&gt;=0,MAX(D1499:F1499)&lt;=7,MAX(D1499,1)+MAX(E1499,1)+MAX(F1499,1)&lt;=9,OR(H1499="-",AND(H1499=0,D1499&gt;0),AND(H1499=1,E1499&gt;0),AND(H1499=2,F1499&gt;0)),OR(I1499=0,AND(I1499=1,OR(J1499=0,J1499=1,J1499=2),R1499&lt;&gt;"000")),Y1499&lt;=9,MIN(T1499:V1499)&gt;=0),"合法","输入违约")</x:f>
        <x:v>合法</x:v>
      </x:c>
    </x:row>
    <x:row r="1500" ht="23" customHeight="1">
      <x:c r="A1500" s="3" t="str">
        <x:v>CT-1493</x:v>
      </x:c>
      <x:c r="B1500" s="3" t="str">
        <x:v>ST-174</x:v>
      </x:c>
      <x:c r="C1500" s="3" t="str">
        <x:v>仅R回收</x:v>
      </x:c>
      <x:c r="D1500" s="25" t="n">
        <x:v>2</x:v>
      </x:c>
      <x:c r="E1500" s="25" t="n">
        <x:v>5</x:v>
      </x:c>
      <x:c r="F1500" s="25" t="n">
        <x:v>2</x:v>
      </x:c>
      <x:c r="G1500" s="19" t="n">
        <x:f>SUM(D1500:F1500)</x:f>
        <x:v>9</x:v>
      </x:c>
      <x:c r="H1500" s="25" t="n">
        <x:v>1</x:v>
      </x:c>
      <x:c r="I1500" s="25" t="n">
        <x:v>0</x:v>
      </x:c>
      <x:c r="J1500" s="25" t="str">
        <x:v>-</x:v>
      </x:c>
      <x:c r="K1500" s="19" t="n">
        <x:f>D1500-IF(H1500=0,1,0)</x:f>
        <x:v>2</x:v>
      </x:c>
      <x:c r="L1500" s="19" t="n">
        <x:f>E1500-IF(H1500=1,1,0)</x:f>
        <x:v>4</x:v>
      </x:c>
      <x:c r="M1500" s="19" t="n">
        <x:f>F1500-IF(H1500=2,1,0)</x:f>
        <x:v>2</x:v>
      </x:c>
      <x:c r="N1500" s="19" t="n">
        <x:f>MAX(K1500-1,0)+MAX(L1500-1,0)+MAX(M1500-1,0)</x:f>
        <x:v>5</x:v>
      </x:c>
      <x:c r="O1500" s="19" t="n">
        <x:f>IF(AND(SUM(K1500:M1500)&lt;9,OR(M1500=0,N1500&lt;6)),1,0)</x:f>
        <x:v>1</x:v>
      </x:c>
      <x:c r="P1500" s="19" t="n">
        <x:f>IF(AND(SUM(K1500:M1500)&lt;9,OR(L1500=0,N1500&lt;6)),1,0)</x:f>
        <x:v>1</x:v>
      </x:c>
      <x:c r="Q1500" s="19" t="n">
        <x:f>IF(AND(SUM(K1500:M1500)&lt;9,OR(K1500=0,N1500&lt;6)),1,0)</x:f>
        <x:v>1</x:v>
      </x:c>
      <x:c r="R1500" s="22" t="str">
        <x:f>O1500&amp;P1500&amp;Q1500</x:f>
        <x:v>111</x:v>
      </x:c>
      <x:c r="S1500" s="19" t="n">
        <x:f>IF(I1500=1,IF(J1500=0,Q1500,IF(J1500=1,P1500,IF(J1500=2,O1500,0))),0)</x:f>
        <x:v>0</x:v>
      </x:c>
      <x:c r="T1500" s="19" t="n">
        <x:f>K1500+IF(AND(S1500=1,J1500=0),1,0)</x:f>
        <x:v>2</x:v>
      </x:c>
      <x:c r="U1500" s="19" t="n">
        <x:f>L1500+IF(AND(S1500=1,J1500=1),1,0)</x:f>
        <x:v>4</x:v>
      </x:c>
      <x:c r="V1500" s="19" t="n">
        <x:f>M1500+IF(AND(S1500=1,J1500=2),1,0)</x:f>
        <x:v>2</x:v>
      </x:c>
      <x:c r="W1500" s="19" t="n">
        <x:f>SUM(T1500:V1500)</x:f>
        <x:v>8</x:v>
      </x:c>
      <x:c r="X1500" s="19" t="n">
        <x:f>W1500-G1500</x:f>
        <x:v>-1</x:v>
      </x:c>
      <x:c r="Y1500" s="19" t="n">
        <x:f>MAX(T1500,1)+MAX(U1500,1)+MAX(V1500,1)</x:f>
        <x:v>8</x:v>
      </x:c>
      <x:c r="Z1500" s="21" t="str">
        <x:f>IF(AND(MIN(D1500:F1500)&gt;=0,MAX(D1500:F1500)&lt;=7,MAX(D1500,1)+MAX(E1500,1)+MAX(F1500,1)&lt;=9,OR(H1500="-",AND(H1500=0,D1500&gt;0),AND(H1500=1,E1500&gt;0),AND(H1500=2,F1500&gt;0)),OR(I1500=0,AND(I1500=1,OR(J1500=0,J1500=1,J1500=2),R1500&lt;&gt;"000")),Y1500&lt;=9,MIN(T1500:V1500)&gt;=0),"合法","输入违约")</x:f>
        <x:v>合法</x:v>
      </x:c>
    </x:row>
    <x:row r="1501" ht="23" customHeight="1">
      <x:c r="A1501" s="3" t="str">
        <x:v>CT-1494</x:v>
      </x:c>
      <x:c r="B1501" s="3" t="str">
        <x:v>ST-174</x:v>
      </x:c>
      <x:c r="C1501" s="3" t="str">
        <x:v>R+AR同收同发</x:v>
      </x:c>
      <x:c r="D1501" s="25" t="n">
        <x:v>2</x:v>
      </x:c>
      <x:c r="E1501" s="25" t="n">
        <x:v>5</x:v>
      </x:c>
      <x:c r="F1501" s="25" t="n">
        <x:v>2</x:v>
      </x:c>
      <x:c r="G1501" s="19" t="n">
        <x:f>SUM(D1501:F1501)</x:f>
        <x:v>9</x:v>
      </x:c>
      <x:c r="H1501" s="25" t="n">
        <x:v>1</x:v>
      </x:c>
      <x:c r="I1501" s="25" t="n">
        <x:v>1</x:v>
      </x:c>
      <x:c r="J1501" s="25" t="n">
        <x:v>0</x:v>
      </x:c>
      <x:c r="K1501" s="19" t="n">
        <x:f>D1501-IF(H1501=0,1,0)</x:f>
        <x:v>2</x:v>
      </x:c>
      <x:c r="L1501" s="19" t="n">
        <x:f>E1501-IF(H1501=1,1,0)</x:f>
        <x:v>4</x:v>
      </x:c>
      <x:c r="M1501" s="19" t="n">
        <x:f>F1501-IF(H1501=2,1,0)</x:f>
        <x:v>2</x:v>
      </x:c>
      <x:c r="N1501" s="19" t="n">
        <x:f>MAX(K1501-1,0)+MAX(L1501-1,0)+MAX(M1501-1,0)</x:f>
        <x:v>5</x:v>
      </x:c>
      <x:c r="O1501" s="19" t="n">
        <x:f>IF(AND(SUM(K1501:M1501)&lt;9,OR(M1501=0,N1501&lt;6)),1,0)</x:f>
        <x:v>1</x:v>
      </x:c>
      <x:c r="P1501" s="19" t="n">
        <x:f>IF(AND(SUM(K1501:M1501)&lt;9,OR(L1501=0,N1501&lt;6)),1,0)</x:f>
        <x:v>1</x:v>
      </x:c>
      <x:c r="Q1501" s="19" t="n">
        <x:f>IF(AND(SUM(K1501:M1501)&lt;9,OR(K1501=0,N1501&lt;6)),1,0)</x:f>
        <x:v>1</x:v>
      </x:c>
      <x:c r="R1501" s="22" t="str">
        <x:f>O1501&amp;P1501&amp;Q1501</x:f>
        <x:v>111</x:v>
      </x:c>
      <x:c r="S1501" s="19" t="n">
        <x:f>IF(I1501=1,IF(J1501=0,Q1501,IF(J1501=1,P1501,IF(J1501=2,O1501,0))),0)</x:f>
        <x:v>1</x:v>
      </x:c>
      <x:c r="T1501" s="19" t="n">
        <x:f>K1501+IF(AND(S1501=1,J1501=0),1,0)</x:f>
        <x:v>3</x:v>
      </x:c>
      <x:c r="U1501" s="19" t="n">
        <x:f>L1501+IF(AND(S1501=1,J1501=1),1,0)</x:f>
        <x:v>4</x:v>
      </x:c>
      <x:c r="V1501" s="19" t="n">
        <x:f>M1501+IF(AND(S1501=1,J1501=2),1,0)</x:f>
        <x:v>2</x:v>
      </x:c>
      <x:c r="W1501" s="19" t="n">
        <x:f>SUM(T1501:V1501)</x:f>
        <x:v>9</x:v>
      </x:c>
      <x:c r="X1501" s="19" t="n">
        <x:f>W1501-G1501</x:f>
        <x:v>0</x:v>
      </x:c>
      <x:c r="Y1501" s="19" t="n">
        <x:f>MAX(T1501,1)+MAX(U1501,1)+MAX(V1501,1)</x:f>
        <x:v>9</x:v>
      </x:c>
      <x:c r="Z1501" s="21" t="str">
        <x:f>IF(AND(MIN(D1501:F1501)&gt;=0,MAX(D1501:F1501)&lt;=7,MAX(D1501,1)+MAX(E1501,1)+MAX(F1501,1)&lt;=9,OR(H1501="-",AND(H1501=0,D1501&gt;0),AND(H1501=1,E1501&gt;0),AND(H1501=2,F1501&gt;0)),OR(I1501=0,AND(I1501=1,OR(J1501=0,J1501=1,J1501=2),R1501&lt;&gt;"000")),Y1501&lt;=9,MIN(T1501:V1501)&gt;=0),"合法","输入违约")</x:f>
        <x:v>合法</x:v>
      </x:c>
    </x:row>
    <x:row r="1502" ht="23" customHeight="1">
      <x:c r="A1502" s="3" t="str">
        <x:v>CT-1495</x:v>
      </x:c>
      <x:c r="B1502" s="3" t="str">
        <x:v>ST-174</x:v>
      </x:c>
      <x:c r="C1502" s="3" t="str">
        <x:v>R+AR同收同发</x:v>
      </x:c>
      <x:c r="D1502" s="25" t="n">
        <x:v>2</x:v>
      </x:c>
      <x:c r="E1502" s="25" t="n">
        <x:v>5</x:v>
      </x:c>
      <x:c r="F1502" s="25" t="n">
        <x:v>2</x:v>
      </x:c>
      <x:c r="G1502" s="19" t="n">
        <x:f>SUM(D1502:F1502)</x:f>
        <x:v>9</x:v>
      </x:c>
      <x:c r="H1502" s="25" t="n">
        <x:v>1</x:v>
      </x:c>
      <x:c r="I1502" s="25" t="n">
        <x:v>1</x:v>
      </x:c>
      <x:c r="J1502" s="25" t="n">
        <x:v>1</x:v>
      </x:c>
      <x:c r="K1502" s="19" t="n">
        <x:f>D1502-IF(H1502=0,1,0)</x:f>
        <x:v>2</x:v>
      </x:c>
      <x:c r="L1502" s="19" t="n">
        <x:f>E1502-IF(H1502=1,1,0)</x:f>
        <x:v>4</x:v>
      </x:c>
      <x:c r="M1502" s="19" t="n">
        <x:f>F1502-IF(H1502=2,1,0)</x:f>
        <x:v>2</x:v>
      </x:c>
      <x:c r="N1502" s="19" t="n">
        <x:f>MAX(K1502-1,0)+MAX(L1502-1,0)+MAX(M1502-1,0)</x:f>
        <x:v>5</x:v>
      </x:c>
      <x:c r="O1502" s="19" t="n">
        <x:f>IF(AND(SUM(K1502:M1502)&lt;9,OR(M1502=0,N1502&lt;6)),1,0)</x:f>
        <x:v>1</x:v>
      </x:c>
      <x:c r="P1502" s="19" t="n">
        <x:f>IF(AND(SUM(K1502:M1502)&lt;9,OR(L1502=0,N1502&lt;6)),1,0)</x:f>
        <x:v>1</x:v>
      </x:c>
      <x:c r="Q1502" s="19" t="n">
        <x:f>IF(AND(SUM(K1502:M1502)&lt;9,OR(K1502=0,N1502&lt;6)),1,0)</x:f>
        <x:v>1</x:v>
      </x:c>
      <x:c r="R1502" s="22" t="str">
        <x:f>O1502&amp;P1502&amp;Q1502</x:f>
        <x:v>111</x:v>
      </x:c>
      <x:c r="S1502" s="19" t="n">
        <x:f>IF(I1502=1,IF(J1502=0,Q1502,IF(J1502=1,P1502,IF(J1502=2,O1502,0))),0)</x:f>
        <x:v>1</x:v>
      </x:c>
      <x:c r="T1502" s="19" t="n">
        <x:f>K1502+IF(AND(S1502=1,J1502=0),1,0)</x:f>
        <x:v>2</x:v>
      </x:c>
      <x:c r="U1502" s="19" t="n">
        <x:f>L1502+IF(AND(S1502=1,J1502=1),1,0)</x:f>
        <x:v>5</x:v>
      </x:c>
      <x:c r="V1502" s="19" t="n">
        <x:f>M1502+IF(AND(S1502=1,J1502=2),1,0)</x:f>
        <x:v>2</x:v>
      </x:c>
      <x:c r="W1502" s="19" t="n">
        <x:f>SUM(T1502:V1502)</x:f>
        <x:v>9</x:v>
      </x:c>
      <x:c r="X1502" s="19" t="n">
        <x:f>W1502-G1502</x:f>
        <x:v>0</x:v>
      </x:c>
      <x:c r="Y1502" s="19" t="n">
        <x:f>MAX(T1502,1)+MAX(U1502,1)+MAX(V1502,1)</x:f>
        <x:v>9</x:v>
      </x:c>
      <x:c r="Z1502" s="21" t="str">
        <x:f>IF(AND(MIN(D1502:F1502)&gt;=0,MAX(D1502:F1502)&lt;=7,MAX(D1502,1)+MAX(E1502,1)+MAX(F1502,1)&lt;=9,OR(H1502="-",AND(H1502=0,D1502&gt;0),AND(H1502=1,E1502&gt;0),AND(H1502=2,F1502&gt;0)),OR(I1502=0,AND(I1502=1,OR(J1502=0,J1502=1,J1502=2),R1502&lt;&gt;"000")),Y1502&lt;=9,MIN(T1502:V1502)&gt;=0),"合法","输入违约")</x:f>
        <x:v>合法</x:v>
      </x:c>
    </x:row>
    <x:row r="1503" ht="23" customHeight="1">
      <x:c r="A1503" s="3" t="str">
        <x:v>CT-1496</x:v>
      </x:c>
      <x:c r="B1503" s="3" t="str">
        <x:v>ST-174</x:v>
      </x:c>
      <x:c r="C1503" s="3" t="str">
        <x:v>R+AR同收同发</x:v>
      </x:c>
      <x:c r="D1503" s="25" t="n">
        <x:v>2</x:v>
      </x:c>
      <x:c r="E1503" s="25" t="n">
        <x:v>5</x:v>
      </x:c>
      <x:c r="F1503" s="25" t="n">
        <x:v>2</x:v>
      </x:c>
      <x:c r="G1503" s="19" t="n">
        <x:f>SUM(D1503:F1503)</x:f>
        <x:v>9</x:v>
      </x:c>
      <x:c r="H1503" s="25" t="n">
        <x:v>1</x:v>
      </x:c>
      <x:c r="I1503" s="25" t="n">
        <x:v>1</x:v>
      </x:c>
      <x:c r="J1503" s="25" t="n">
        <x:v>2</x:v>
      </x:c>
      <x:c r="K1503" s="19" t="n">
        <x:f>D1503-IF(H1503=0,1,0)</x:f>
        <x:v>2</x:v>
      </x:c>
      <x:c r="L1503" s="19" t="n">
        <x:f>E1503-IF(H1503=1,1,0)</x:f>
        <x:v>4</x:v>
      </x:c>
      <x:c r="M1503" s="19" t="n">
        <x:f>F1503-IF(H1503=2,1,0)</x:f>
        <x:v>2</x:v>
      </x:c>
      <x:c r="N1503" s="19" t="n">
        <x:f>MAX(K1503-1,0)+MAX(L1503-1,0)+MAX(M1503-1,0)</x:f>
        <x:v>5</x:v>
      </x:c>
      <x:c r="O1503" s="19" t="n">
        <x:f>IF(AND(SUM(K1503:M1503)&lt;9,OR(M1503=0,N1503&lt;6)),1,0)</x:f>
        <x:v>1</x:v>
      </x:c>
      <x:c r="P1503" s="19" t="n">
        <x:f>IF(AND(SUM(K1503:M1503)&lt;9,OR(L1503=0,N1503&lt;6)),1,0)</x:f>
        <x:v>1</x:v>
      </x:c>
      <x:c r="Q1503" s="19" t="n">
        <x:f>IF(AND(SUM(K1503:M1503)&lt;9,OR(K1503=0,N1503&lt;6)),1,0)</x:f>
        <x:v>1</x:v>
      </x:c>
      <x:c r="R1503" s="22" t="str">
        <x:f>O1503&amp;P1503&amp;Q1503</x:f>
        <x:v>111</x:v>
      </x:c>
      <x:c r="S1503" s="19" t="n">
        <x:f>IF(I1503=1,IF(J1503=0,Q1503,IF(J1503=1,P1503,IF(J1503=2,O1503,0))),0)</x:f>
        <x:v>1</x:v>
      </x:c>
      <x:c r="T1503" s="19" t="n">
        <x:f>K1503+IF(AND(S1503=1,J1503=0),1,0)</x:f>
        <x:v>2</x:v>
      </x:c>
      <x:c r="U1503" s="19" t="n">
        <x:f>L1503+IF(AND(S1503=1,J1503=1),1,0)</x:f>
        <x:v>4</x:v>
      </x:c>
      <x:c r="V1503" s="19" t="n">
        <x:f>M1503+IF(AND(S1503=1,J1503=2),1,0)</x:f>
        <x:v>3</x:v>
      </x:c>
      <x:c r="W1503" s="19" t="n">
        <x:f>SUM(T1503:V1503)</x:f>
        <x:v>9</x:v>
      </x:c>
      <x:c r="X1503" s="19" t="n">
        <x:f>W1503-G1503</x:f>
        <x:v>0</x:v>
      </x:c>
      <x:c r="Y1503" s="19" t="n">
        <x:f>MAX(T1503,1)+MAX(U1503,1)+MAX(V1503,1)</x:f>
        <x:v>9</x:v>
      </x:c>
      <x:c r="Z1503" s="21" t="str">
        <x:f>IF(AND(MIN(D1503:F1503)&gt;=0,MAX(D1503:F1503)&lt;=7,MAX(D1503,1)+MAX(E1503,1)+MAX(F1503,1)&lt;=9,OR(H1503="-",AND(H1503=0,D1503&gt;0),AND(H1503=1,E1503&gt;0),AND(H1503=2,F1503&gt;0)),OR(I1503=0,AND(I1503=1,OR(J1503=0,J1503=1,J1503=2),R1503&lt;&gt;"000")),Y1503&lt;=9,MIN(T1503:V1503)&gt;=0),"合法","输入违约")</x:f>
        <x:v>合法</x:v>
      </x:c>
    </x:row>
    <x:row r="1504" ht="23" customHeight="1">
      <x:c r="A1504" s="3" t="str">
        <x:v>CT-1497</x:v>
      </x:c>
      <x:c r="B1504" s="3" t="str">
        <x:v>ST-174</x:v>
      </x:c>
      <x:c r="C1504" s="3" t="str">
        <x:v>仅R回收</x:v>
      </x:c>
      <x:c r="D1504" s="25" t="n">
        <x:v>2</x:v>
      </x:c>
      <x:c r="E1504" s="25" t="n">
        <x:v>5</x:v>
      </x:c>
      <x:c r="F1504" s="25" t="n">
        <x:v>2</x:v>
      </x:c>
      <x:c r="G1504" s="19" t="n">
        <x:f>SUM(D1504:F1504)</x:f>
        <x:v>9</x:v>
      </x:c>
      <x:c r="H1504" s="25" t="n">
        <x:v>2</x:v>
      </x:c>
      <x:c r="I1504" s="25" t="n">
        <x:v>0</x:v>
      </x:c>
      <x:c r="J1504" s="25" t="str">
        <x:v>-</x:v>
      </x:c>
      <x:c r="K1504" s="19" t="n">
        <x:f>D1504-IF(H1504=0,1,0)</x:f>
        <x:v>2</x:v>
      </x:c>
      <x:c r="L1504" s="19" t="n">
        <x:f>E1504-IF(H1504=1,1,0)</x:f>
        <x:v>5</x:v>
      </x:c>
      <x:c r="M1504" s="19" t="n">
        <x:f>F1504-IF(H1504=2,1,0)</x:f>
        <x:v>1</x:v>
      </x:c>
      <x:c r="N1504" s="19" t="n">
        <x:f>MAX(K1504-1,0)+MAX(L1504-1,0)+MAX(M1504-1,0)</x:f>
        <x:v>5</x:v>
      </x:c>
      <x:c r="O1504" s="19" t="n">
        <x:f>IF(AND(SUM(K1504:M1504)&lt;9,OR(M1504=0,N1504&lt;6)),1,0)</x:f>
        <x:v>1</x:v>
      </x:c>
      <x:c r="P1504" s="19" t="n">
        <x:f>IF(AND(SUM(K1504:M1504)&lt;9,OR(L1504=0,N1504&lt;6)),1,0)</x:f>
        <x:v>1</x:v>
      </x:c>
      <x:c r="Q1504" s="19" t="n">
        <x:f>IF(AND(SUM(K1504:M1504)&lt;9,OR(K1504=0,N1504&lt;6)),1,0)</x:f>
        <x:v>1</x:v>
      </x:c>
      <x:c r="R1504" s="22" t="str">
        <x:f>O1504&amp;P1504&amp;Q1504</x:f>
        <x:v>111</x:v>
      </x:c>
      <x:c r="S1504" s="19" t="n">
        <x:f>IF(I1504=1,IF(J1504=0,Q1504,IF(J1504=1,P1504,IF(J1504=2,O1504,0))),0)</x:f>
        <x:v>0</x:v>
      </x:c>
      <x:c r="T1504" s="19" t="n">
        <x:f>K1504+IF(AND(S1504=1,J1504=0),1,0)</x:f>
        <x:v>2</x:v>
      </x:c>
      <x:c r="U1504" s="19" t="n">
        <x:f>L1504+IF(AND(S1504=1,J1504=1),1,0)</x:f>
        <x:v>5</x:v>
      </x:c>
      <x:c r="V1504" s="19" t="n">
        <x:f>M1504+IF(AND(S1504=1,J1504=2),1,0)</x:f>
        <x:v>1</x:v>
      </x:c>
      <x:c r="W1504" s="19" t="n">
        <x:f>SUM(T1504:V1504)</x:f>
        <x:v>8</x:v>
      </x:c>
      <x:c r="X1504" s="19" t="n">
        <x:f>W1504-G1504</x:f>
        <x:v>-1</x:v>
      </x:c>
      <x:c r="Y1504" s="19" t="n">
        <x:f>MAX(T1504,1)+MAX(U1504,1)+MAX(V1504,1)</x:f>
        <x:v>8</x:v>
      </x:c>
      <x:c r="Z1504" s="21" t="str">
        <x:f>IF(AND(MIN(D1504:F1504)&gt;=0,MAX(D1504:F1504)&lt;=7,MAX(D1504,1)+MAX(E1504,1)+MAX(F1504,1)&lt;=9,OR(H1504="-",AND(H1504=0,D1504&gt;0),AND(H1504=1,E1504&gt;0),AND(H1504=2,F1504&gt;0)),OR(I1504=0,AND(I1504=1,OR(J1504=0,J1504=1,J1504=2),R1504&lt;&gt;"000")),Y1504&lt;=9,MIN(T1504:V1504)&gt;=0),"合法","输入违约")</x:f>
        <x:v>合法</x:v>
      </x:c>
    </x:row>
    <x:row r="1505" ht="23" customHeight="1">
      <x:c r="A1505" s="3" t="str">
        <x:v>CT-1498</x:v>
      </x:c>
      <x:c r="B1505" s="3" t="str">
        <x:v>ST-174</x:v>
      </x:c>
      <x:c r="C1505" s="3" t="str">
        <x:v>R+AR同收同发</x:v>
      </x:c>
      <x:c r="D1505" s="25" t="n">
        <x:v>2</x:v>
      </x:c>
      <x:c r="E1505" s="25" t="n">
        <x:v>5</x:v>
      </x:c>
      <x:c r="F1505" s="25" t="n">
        <x:v>2</x:v>
      </x:c>
      <x:c r="G1505" s="19" t="n">
        <x:f>SUM(D1505:F1505)</x:f>
        <x:v>9</x:v>
      </x:c>
      <x:c r="H1505" s="25" t="n">
        <x:v>2</x:v>
      </x:c>
      <x:c r="I1505" s="25" t="n">
        <x:v>1</x:v>
      </x:c>
      <x:c r="J1505" s="25" t="n">
        <x:v>0</x:v>
      </x:c>
      <x:c r="K1505" s="19" t="n">
        <x:f>D1505-IF(H1505=0,1,0)</x:f>
        <x:v>2</x:v>
      </x:c>
      <x:c r="L1505" s="19" t="n">
        <x:f>E1505-IF(H1505=1,1,0)</x:f>
        <x:v>5</x:v>
      </x:c>
      <x:c r="M1505" s="19" t="n">
        <x:f>F1505-IF(H1505=2,1,0)</x:f>
        <x:v>1</x:v>
      </x:c>
      <x:c r="N1505" s="19" t="n">
        <x:f>MAX(K1505-1,0)+MAX(L1505-1,0)+MAX(M1505-1,0)</x:f>
        <x:v>5</x:v>
      </x:c>
      <x:c r="O1505" s="19" t="n">
        <x:f>IF(AND(SUM(K1505:M1505)&lt;9,OR(M1505=0,N1505&lt;6)),1,0)</x:f>
        <x:v>1</x:v>
      </x:c>
      <x:c r="P1505" s="19" t="n">
        <x:f>IF(AND(SUM(K1505:M1505)&lt;9,OR(L1505=0,N1505&lt;6)),1,0)</x:f>
        <x:v>1</x:v>
      </x:c>
      <x:c r="Q1505" s="19" t="n">
        <x:f>IF(AND(SUM(K1505:M1505)&lt;9,OR(K1505=0,N1505&lt;6)),1,0)</x:f>
        <x:v>1</x:v>
      </x:c>
      <x:c r="R1505" s="22" t="str">
        <x:f>O1505&amp;P1505&amp;Q1505</x:f>
        <x:v>111</x:v>
      </x:c>
      <x:c r="S1505" s="19" t="n">
        <x:f>IF(I1505=1,IF(J1505=0,Q1505,IF(J1505=1,P1505,IF(J1505=2,O1505,0))),0)</x:f>
        <x:v>1</x:v>
      </x:c>
      <x:c r="T1505" s="19" t="n">
        <x:f>K1505+IF(AND(S1505=1,J1505=0),1,0)</x:f>
        <x:v>3</x:v>
      </x:c>
      <x:c r="U1505" s="19" t="n">
        <x:f>L1505+IF(AND(S1505=1,J1505=1),1,0)</x:f>
        <x:v>5</x:v>
      </x:c>
      <x:c r="V1505" s="19" t="n">
        <x:f>M1505+IF(AND(S1505=1,J1505=2),1,0)</x:f>
        <x:v>1</x:v>
      </x:c>
      <x:c r="W1505" s="19" t="n">
        <x:f>SUM(T1505:V1505)</x:f>
        <x:v>9</x:v>
      </x:c>
      <x:c r="X1505" s="19" t="n">
        <x:f>W1505-G1505</x:f>
        <x:v>0</x:v>
      </x:c>
      <x:c r="Y1505" s="19" t="n">
        <x:f>MAX(T1505,1)+MAX(U1505,1)+MAX(V1505,1)</x:f>
        <x:v>9</x:v>
      </x:c>
      <x:c r="Z1505" s="21" t="str">
        <x:f>IF(AND(MIN(D1505:F1505)&gt;=0,MAX(D1505:F1505)&lt;=7,MAX(D1505,1)+MAX(E1505,1)+MAX(F1505,1)&lt;=9,OR(H1505="-",AND(H1505=0,D1505&gt;0),AND(H1505=1,E1505&gt;0),AND(H1505=2,F1505&gt;0)),OR(I1505=0,AND(I1505=1,OR(J1505=0,J1505=1,J1505=2),R1505&lt;&gt;"000")),Y1505&lt;=9,MIN(T1505:V1505)&gt;=0),"合法","输入违约")</x:f>
        <x:v>合法</x:v>
      </x:c>
    </x:row>
    <x:row r="1506" ht="23" customHeight="1">
      <x:c r="A1506" s="3" t="str">
        <x:v>CT-1499</x:v>
      </x:c>
      <x:c r="B1506" s="3" t="str">
        <x:v>ST-174</x:v>
      </x:c>
      <x:c r="C1506" s="3" t="str">
        <x:v>R+AR同收同发</x:v>
      </x:c>
      <x:c r="D1506" s="25" t="n">
        <x:v>2</x:v>
      </x:c>
      <x:c r="E1506" s="25" t="n">
        <x:v>5</x:v>
      </x:c>
      <x:c r="F1506" s="25" t="n">
        <x:v>2</x:v>
      </x:c>
      <x:c r="G1506" s="19" t="n">
        <x:f>SUM(D1506:F1506)</x:f>
        <x:v>9</x:v>
      </x:c>
      <x:c r="H1506" s="25" t="n">
        <x:v>2</x:v>
      </x:c>
      <x:c r="I1506" s="25" t="n">
        <x:v>1</x:v>
      </x:c>
      <x:c r="J1506" s="25" t="n">
        <x:v>1</x:v>
      </x:c>
      <x:c r="K1506" s="19" t="n">
        <x:f>D1506-IF(H1506=0,1,0)</x:f>
        <x:v>2</x:v>
      </x:c>
      <x:c r="L1506" s="19" t="n">
        <x:f>E1506-IF(H1506=1,1,0)</x:f>
        <x:v>5</x:v>
      </x:c>
      <x:c r="M1506" s="19" t="n">
        <x:f>F1506-IF(H1506=2,1,0)</x:f>
        <x:v>1</x:v>
      </x:c>
      <x:c r="N1506" s="19" t="n">
        <x:f>MAX(K1506-1,0)+MAX(L1506-1,0)+MAX(M1506-1,0)</x:f>
        <x:v>5</x:v>
      </x:c>
      <x:c r="O1506" s="19" t="n">
        <x:f>IF(AND(SUM(K1506:M1506)&lt;9,OR(M1506=0,N1506&lt;6)),1,0)</x:f>
        <x:v>1</x:v>
      </x:c>
      <x:c r="P1506" s="19" t="n">
        <x:f>IF(AND(SUM(K1506:M1506)&lt;9,OR(L1506=0,N1506&lt;6)),1,0)</x:f>
        <x:v>1</x:v>
      </x:c>
      <x:c r="Q1506" s="19" t="n">
        <x:f>IF(AND(SUM(K1506:M1506)&lt;9,OR(K1506=0,N1506&lt;6)),1,0)</x:f>
        <x:v>1</x:v>
      </x:c>
      <x:c r="R1506" s="22" t="str">
        <x:f>O1506&amp;P1506&amp;Q1506</x:f>
        <x:v>111</x:v>
      </x:c>
      <x:c r="S1506" s="19" t="n">
        <x:f>IF(I1506=1,IF(J1506=0,Q1506,IF(J1506=1,P1506,IF(J1506=2,O1506,0))),0)</x:f>
        <x:v>1</x:v>
      </x:c>
      <x:c r="T1506" s="19" t="n">
        <x:f>K1506+IF(AND(S1506=1,J1506=0),1,0)</x:f>
        <x:v>2</x:v>
      </x:c>
      <x:c r="U1506" s="19" t="n">
        <x:f>L1506+IF(AND(S1506=1,J1506=1),1,0)</x:f>
        <x:v>6</x:v>
      </x:c>
      <x:c r="V1506" s="19" t="n">
        <x:f>M1506+IF(AND(S1506=1,J1506=2),1,0)</x:f>
        <x:v>1</x:v>
      </x:c>
      <x:c r="W1506" s="19" t="n">
        <x:f>SUM(T1506:V1506)</x:f>
        <x:v>9</x:v>
      </x:c>
      <x:c r="X1506" s="19" t="n">
        <x:f>W1506-G1506</x:f>
        <x:v>0</x:v>
      </x:c>
      <x:c r="Y1506" s="19" t="n">
        <x:f>MAX(T1506,1)+MAX(U1506,1)+MAX(V1506,1)</x:f>
        <x:v>9</x:v>
      </x:c>
      <x:c r="Z1506" s="21" t="str">
        <x:f>IF(AND(MIN(D1506:F1506)&gt;=0,MAX(D1506:F1506)&lt;=7,MAX(D1506,1)+MAX(E1506,1)+MAX(F1506,1)&lt;=9,OR(H1506="-",AND(H1506=0,D1506&gt;0),AND(H1506=1,E1506&gt;0),AND(H1506=2,F1506&gt;0)),OR(I1506=0,AND(I1506=1,OR(J1506=0,J1506=1,J1506=2),R1506&lt;&gt;"000")),Y1506&lt;=9,MIN(T1506:V1506)&gt;=0),"合法","输入违约")</x:f>
        <x:v>合法</x:v>
      </x:c>
    </x:row>
    <x:row r="1507" ht="23" customHeight="1">
      <x:c r="A1507" s="3" t="str">
        <x:v>CT-1500</x:v>
      </x:c>
      <x:c r="B1507" s="3" t="str">
        <x:v>ST-174</x:v>
      </x:c>
      <x:c r="C1507" s="3" t="str">
        <x:v>R+AR同收同发</x:v>
      </x:c>
      <x:c r="D1507" s="25" t="n">
        <x:v>2</x:v>
      </x:c>
      <x:c r="E1507" s="25" t="n">
        <x:v>5</x:v>
      </x:c>
      <x:c r="F1507" s="25" t="n">
        <x:v>2</x:v>
      </x:c>
      <x:c r="G1507" s="19" t="n">
        <x:f>SUM(D1507:F1507)</x:f>
        <x:v>9</x:v>
      </x:c>
      <x:c r="H1507" s="25" t="n">
        <x:v>2</x:v>
      </x:c>
      <x:c r="I1507" s="25" t="n">
        <x:v>1</x:v>
      </x:c>
      <x:c r="J1507" s="25" t="n">
        <x:v>2</x:v>
      </x:c>
      <x:c r="K1507" s="19" t="n">
        <x:f>D1507-IF(H1507=0,1,0)</x:f>
        <x:v>2</x:v>
      </x:c>
      <x:c r="L1507" s="19" t="n">
        <x:f>E1507-IF(H1507=1,1,0)</x:f>
        <x:v>5</x:v>
      </x:c>
      <x:c r="M1507" s="19" t="n">
        <x:f>F1507-IF(H1507=2,1,0)</x:f>
        <x:v>1</x:v>
      </x:c>
      <x:c r="N1507" s="19" t="n">
        <x:f>MAX(K1507-1,0)+MAX(L1507-1,0)+MAX(M1507-1,0)</x:f>
        <x:v>5</x:v>
      </x:c>
      <x:c r="O1507" s="19" t="n">
        <x:f>IF(AND(SUM(K1507:M1507)&lt;9,OR(M1507=0,N1507&lt;6)),1,0)</x:f>
        <x:v>1</x:v>
      </x:c>
      <x:c r="P1507" s="19" t="n">
        <x:f>IF(AND(SUM(K1507:M1507)&lt;9,OR(L1507=0,N1507&lt;6)),1,0)</x:f>
        <x:v>1</x:v>
      </x:c>
      <x:c r="Q1507" s="19" t="n">
        <x:f>IF(AND(SUM(K1507:M1507)&lt;9,OR(K1507=0,N1507&lt;6)),1,0)</x:f>
        <x:v>1</x:v>
      </x:c>
      <x:c r="R1507" s="22" t="str">
        <x:f>O1507&amp;P1507&amp;Q1507</x:f>
        <x:v>111</x:v>
      </x:c>
      <x:c r="S1507" s="19" t="n">
        <x:f>IF(I1507=1,IF(J1507=0,Q1507,IF(J1507=1,P1507,IF(J1507=2,O1507,0))),0)</x:f>
        <x:v>1</x:v>
      </x:c>
      <x:c r="T1507" s="19" t="n">
        <x:f>K1507+IF(AND(S1507=1,J1507=0),1,0)</x:f>
        <x:v>2</x:v>
      </x:c>
      <x:c r="U1507" s="19" t="n">
        <x:f>L1507+IF(AND(S1507=1,J1507=1),1,0)</x:f>
        <x:v>5</x:v>
      </x:c>
      <x:c r="V1507" s="19" t="n">
        <x:f>M1507+IF(AND(S1507=1,J1507=2),1,0)</x:f>
        <x:v>2</x:v>
      </x:c>
      <x:c r="W1507" s="19" t="n">
        <x:f>SUM(T1507:V1507)</x:f>
        <x:v>9</x:v>
      </x:c>
      <x:c r="X1507" s="19" t="n">
        <x:f>W1507-G1507</x:f>
        <x:v>0</x:v>
      </x:c>
      <x:c r="Y1507" s="19" t="n">
        <x:f>MAX(T1507,1)+MAX(U1507,1)+MAX(V1507,1)</x:f>
        <x:v>9</x:v>
      </x:c>
      <x:c r="Z1507" s="21" t="str">
        <x:f>IF(AND(MIN(D1507:F1507)&gt;=0,MAX(D1507:F1507)&lt;=7,MAX(D1507,1)+MAX(E1507,1)+MAX(F1507,1)&lt;=9,OR(H1507="-",AND(H1507=0,D1507&gt;0),AND(H1507=1,E1507&gt;0),AND(H1507=2,F1507&gt;0)),OR(I1507=0,AND(I1507=1,OR(J1507=0,J1507=1,J1507=2),R1507&lt;&gt;"000")),Y1507&lt;=9,MIN(T1507:V1507)&gt;=0),"合法","输入违约")</x:f>
        <x:v>合法</x:v>
      </x:c>
    </x:row>
    <x:row r="1508" ht="23" customHeight="1">
      <x:c r="A1508" s="3" t="str">
        <x:v>CT-1501</x:v>
      </x:c>
      <x:c r="B1508" s="3" t="str">
        <x:v>ST-142</x:v>
      </x:c>
      <x:c r="C1508" s="3" t="str">
        <x:v>无AR/R</x:v>
      </x:c>
      <x:c r="D1508" s="25" t="n">
        <x:v>2</x:v>
      </x:c>
      <x:c r="E1508" s="25" t="n">
        <x:v>6</x:v>
      </x:c>
      <x:c r="F1508" s="25" t="n">
        <x:v>0</x:v>
      </x:c>
      <x:c r="G1508" s="19" t="n">
        <x:f>SUM(D1508:F1508)</x:f>
        <x:v>8</x:v>
      </x:c>
      <x:c r="H1508" s="25" t="str">
        <x:v>-</x:v>
      </x:c>
      <x:c r="I1508" s="25" t="n">
        <x:v>0</x:v>
      </x:c>
      <x:c r="J1508" s="25" t="str">
        <x:v>-</x:v>
      </x:c>
      <x:c r="K1508" s="19" t="n">
        <x:f>D1508-IF(H1508=0,1,0)</x:f>
        <x:v>2</x:v>
      </x:c>
      <x:c r="L1508" s="19" t="n">
        <x:f>E1508-IF(H1508=1,1,0)</x:f>
        <x:v>6</x:v>
      </x:c>
      <x:c r="M1508" s="19" t="n">
        <x:f>F1508-IF(H1508=2,1,0)</x:f>
        <x:v>0</x:v>
      </x:c>
      <x:c r="N1508" s="19" t="n">
        <x:f>MAX(K1508-1,0)+MAX(L1508-1,0)+MAX(M1508-1,0)</x:f>
        <x:v>6</x:v>
      </x:c>
      <x:c r="O1508" s="19" t="n">
        <x:f>IF(AND(SUM(K1508:M1508)&lt;9,OR(M1508=0,N1508&lt;6)),1,0)</x:f>
        <x:v>1</x:v>
      </x:c>
      <x:c r="P1508" s="19" t="n">
        <x:f>IF(AND(SUM(K1508:M1508)&lt;9,OR(L1508=0,N1508&lt;6)),1,0)</x:f>
        <x:v>0</x:v>
      </x:c>
      <x:c r="Q1508" s="19" t="n">
        <x:f>IF(AND(SUM(K1508:M1508)&lt;9,OR(K1508=0,N1508&lt;6)),1,0)</x:f>
        <x:v>0</x:v>
      </x:c>
      <x:c r="R1508" s="22" t="str">
        <x:f>O1508&amp;P1508&amp;Q1508</x:f>
        <x:v>100</x:v>
      </x:c>
      <x:c r="S1508" s="19" t="n">
        <x:f>IF(I1508=1,IF(J1508=0,Q1508,IF(J1508=1,P1508,IF(J1508=2,O1508,0))),0)</x:f>
        <x:v>0</x:v>
      </x:c>
      <x:c r="T1508" s="19" t="n">
        <x:f>K1508+IF(AND(S1508=1,J1508=0),1,0)</x:f>
        <x:v>2</x:v>
      </x:c>
      <x:c r="U1508" s="19" t="n">
        <x:f>L1508+IF(AND(S1508=1,J1508=1),1,0)</x:f>
        <x:v>6</x:v>
      </x:c>
      <x:c r="V1508" s="19" t="n">
        <x:f>M1508+IF(AND(S1508=1,J1508=2),1,0)</x:f>
        <x:v>0</x:v>
      </x:c>
      <x:c r="W1508" s="19" t="n">
        <x:f>SUM(T1508:V1508)</x:f>
        <x:v>8</x:v>
      </x:c>
      <x:c r="X1508" s="19" t="n">
        <x:f>W1508-G1508</x:f>
        <x:v>0</x:v>
      </x:c>
      <x:c r="Y1508" s="19" t="n">
        <x:f>MAX(T1508,1)+MAX(U1508,1)+MAX(V1508,1)</x:f>
        <x:v>9</x:v>
      </x:c>
      <x:c r="Z1508" s="21" t="str">
        <x:f>IF(AND(MIN(D1508:F1508)&gt;=0,MAX(D1508:F1508)&lt;=7,MAX(D1508,1)+MAX(E1508,1)+MAX(F1508,1)&lt;=9,OR(H1508="-",AND(H1508=0,D1508&gt;0),AND(H1508=1,E1508&gt;0),AND(H1508=2,F1508&gt;0)),OR(I1508=0,AND(I1508=1,OR(J1508=0,J1508=1,J1508=2),R1508&lt;&gt;"000")),Y1508&lt;=9,MIN(T1508:V1508)&gt;=0),"合法","输入违约")</x:f>
        <x:v>合法</x:v>
      </x:c>
    </x:row>
    <x:row r="1509" ht="23" customHeight="1">
      <x:c r="A1509" s="3" t="str">
        <x:v>CT-1502</x:v>
      </x:c>
      <x:c r="B1509" s="3" t="str">
        <x:v>ST-142</x:v>
      </x:c>
      <x:c r="C1509" s="3" t="str">
        <x:v>所选源被阻塞</x:v>
      </x:c>
      <x:c r="D1509" s="25" t="n">
        <x:v>2</x:v>
      </x:c>
      <x:c r="E1509" s="25" t="n">
        <x:v>6</x:v>
      </x:c>
      <x:c r="F1509" s="25" t="n">
        <x:v>0</x:v>
      </x:c>
      <x:c r="G1509" s="19" t="n">
        <x:f>SUM(D1509:F1509)</x:f>
        <x:v>8</x:v>
      </x:c>
      <x:c r="H1509" s="25" t="str">
        <x:v>-</x:v>
      </x:c>
      <x:c r="I1509" s="25" t="n">
        <x:v>1</x:v>
      </x:c>
      <x:c r="J1509" s="25" t="n">
        <x:v>0</x:v>
      </x:c>
      <x:c r="K1509" s="19" t="n">
        <x:f>D1509-IF(H1509=0,1,0)</x:f>
        <x:v>2</x:v>
      </x:c>
      <x:c r="L1509" s="19" t="n">
        <x:f>E1509-IF(H1509=1,1,0)</x:f>
        <x:v>6</x:v>
      </x:c>
      <x:c r="M1509" s="19" t="n">
        <x:f>F1509-IF(H1509=2,1,0)</x:f>
        <x:v>0</x:v>
      </x:c>
      <x:c r="N1509" s="19" t="n">
        <x:f>MAX(K1509-1,0)+MAX(L1509-1,0)+MAX(M1509-1,0)</x:f>
        <x:v>6</x:v>
      </x:c>
      <x:c r="O1509" s="19" t="n">
        <x:f>IF(AND(SUM(K1509:M1509)&lt;9,OR(M1509=0,N1509&lt;6)),1,0)</x:f>
        <x:v>1</x:v>
      </x:c>
      <x:c r="P1509" s="19" t="n">
        <x:f>IF(AND(SUM(K1509:M1509)&lt;9,OR(L1509=0,N1509&lt;6)),1,0)</x:f>
        <x:v>0</x:v>
      </x:c>
      <x:c r="Q1509" s="19" t="n">
        <x:f>IF(AND(SUM(K1509:M1509)&lt;9,OR(K1509=0,N1509&lt;6)),1,0)</x:f>
        <x:v>0</x:v>
      </x:c>
      <x:c r="R1509" s="22" t="str">
        <x:f>O1509&amp;P1509&amp;Q1509</x:f>
        <x:v>100</x:v>
      </x:c>
      <x:c r="S1509" s="19" t="n">
        <x:f>IF(I1509=1,IF(J1509=0,Q1509,IF(J1509=1,P1509,IF(J1509=2,O1509,0))),0)</x:f>
        <x:v>0</x:v>
      </x:c>
      <x:c r="T1509" s="19" t="n">
        <x:f>K1509+IF(AND(S1509=1,J1509=0),1,0)</x:f>
        <x:v>2</x:v>
      </x:c>
      <x:c r="U1509" s="19" t="n">
        <x:f>L1509+IF(AND(S1509=1,J1509=1),1,0)</x:f>
        <x:v>6</x:v>
      </x:c>
      <x:c r="V1509" s="19" t="n">
        <x:f>M1509+IF(AND(S1509=1,J1509=2),1,0)</x:f>
        <x:v>0</x:v>
      </x:c>
      <x:c r="W1509" s="19" t="n">
        <x:f>SUM(T1509:V1509)</x:f>
        <x:v>8</x:v>
      </x:c>
      <x:c r="X1509" s="19" t="n">
        <x:f>W1509-G1509</x:f>
        <x:v>0</x:v>
      </x:c>
      <x:c r="Y1509" s="19" t="n">
        <x:f>MAX(T1509,1)+MAX(U1509,1)+MAX(V1509,1)</x:f>
        <x:v>9</x:v>
      </x:c>
      <x:c r="Z1509" s="21" t="str">
        <x:f>IF(AND(MIN(D1509:F1509)&gt;=0,MAX(D1509:F1509)&lt;=7,MAX(D1509,1)+MAX(E1509,1)+MAX(F1509,1)&lt;=9,OR(H1509="-",AND(H1509=0,D1509&gt;0),AND(H1509=1,E1509&gt;0),AND(H1509=2,F1509&gt;0)),OR(I1509=0,AND(I1509=1,OR(J1509=0,J1509=1,J1509=2),R1509&lt;&gt;"000")),Y1509&lt;=9,MIN(T1509:V1509)&gt;=0),"合法","输入违约")</x:f>
        <x:v>合法</x:v>
      </x:c>
    </x:row>
    <x:row r="1510" ht="23" customHeight="1">
      <x:c r="A1510" s="3" t="str">
        <x:v>CT-1503</x:v>
      </x:c>
      <x:c r="B1510" s="3" t="str">
        <x:v>ST-142</x:v>
      </x:c>
      <x:c r="C1510" s="3" t="str">
        <x:v>所选源被阻塞</x:v>
      </x:c>
      <x:c r="D1510" s="25" t="n">
        <x:v>2</x:v>
      </x:c>
      <x:c r="E1510" s="25" t="n">
        <x:v>6</x:v>
      </x:c>
      <x:c r="F1510" s="25" t="n">
        <x:v>0</x:v>
      </x:c>
      <x:c r="G1510" s="19" t="n">
        <x:f>SUM(D1510:F1510)</x:f>
        <x:v>8</x:v>
      </x:c>
      <x:c r="H1510" s="25" t="str">
        <x:v>-</x:v>
      </x:c>
      <x:c r="I1510" s="25" t="n">
        <x:v>1</x:v>
      </x:c>
      <x:c r="J1510" s="25" t="n">
        <x:v>1</x:v>
      </x:c>
      <x:c r="K1510" s="19" t="n">
        <x:f>D1510-IF(H1510=0,1,0)</x:f>
        <x:v>2</x:v>
      </x:c>
      <x:c r="L1510" s="19" t="n">
        <x:f>E1510-IF(H1510=1,1,0)</x:f>
        <x:v>6</x:v>
      </x:c>
      <x:c r="M1510" s="19" t="n">
        <x:f>F1510-IF(H1510=2,1,0)</x:f>
        <x:v>0</x:v>
      </x:c>
      <x:c r="N1510" s="19" t="n">
        <x:f>MAX(K1510-1,0)+MAX(L1510-1,0)+MAX(M1510-1,0)</x:f>
        <x:v>6</x:v>
      </x:c>
      <x:c r="O1510" s="19" t="n">
        <x:f>IF(AND(SUM(K1510:M1510)&lt;9,OR(M1510=0,N1510&lt;6)),1,0)</x:f>
        <x:v>1</x:v>
      </x:c>
      <x:c r="P1510" s="19" t="n">
        <x:f>IF(AND(SUM(K1510:M1510)&lt;9,OR(L1510=0,N1510&lt;6)),1,0)</x:f>
        <x:v>0</x:v>
      </x:c>
      <x:c r="Q1510" s="19" t="n">
        <x:f>IF(AND(SUM(K1510:M1510)&lt;9,OR(K1510=0,N1510&lt;6)),1,0)</x:f>
        <x:v>0</x:v>
      </x:c>
      <x:c r="R1510" s="22" t="str">
        <x:f>O1510&amp;P1510&amp;Q1510</x:f>
        <x:v>100</x:v>
      </x:c>
      <x:c r="S1510" s="19" t="n">
        <x:f>IF(I1510=1,IF(J1510=0,Q1510,IF(J1510=1,P1510,IF(J1510=2,O1510,0))),0)</x:f>
        <x:v>0</x:v>
      </x:c>
      <x:c r="T1510" s="19" t="n">
        <x:f>K1510+IF(AND(S1510=1,J1510=0),1,0)</x:f>
        <x:v>2</x:v>
      </x:c>
      <x:c r="U1510" s="19" t="n">
        <x:f>L1510+IF(AND(S1510=1,J1510=1),1,0)</x:f>
        <x:v>6</x:v>
      </x:c>
      <x:c r="V1510" s="19" t="n">
        <x:f>M1510+IF(AND(S1510=1,J1510=2),1,0)</x:f>
        <x:v>0</x:v>
      </x:c>
      <x:c r="W1510" s="19" t="n">
        <x:f>SUM(T1510:V1510)</x:f>
        <x:v>8</x:v>
      </x:c>
      <x:c r="X1510" s="19" t="n">
        <x:f>W1510-G1510</x:f>
        <x:v>0</x:v>
      </x:c>
      <x:c r="Y1510" s="19" t="n">
        <x:f>MAX(T1510,1)+MAX(U1510,1)+MAX(V1510,1)</x:f>
        <x:v>9</x:v>
      </x:c>
      <x:c r="Z1510" s="21" t="str">
        <x:f>IF(AND(MIN(D1510:F1510)&gt;=0,MAX(D1510:F1510)&lt;=7,MAX(D1510,1)+MAX(E1510,1)+MAX(F1510,1)&lt;=9,OR(H1510="-",AND(H1510=0,D1510&gt;0),AND(H1510=1,E1510&gt;0),AND(H1510=2,F1510&gt;0)),OR(I1510=0,AND(I1510=1,OR(J1510=0,J1510=1,J1510=2),R1510&lt;&gt;"000")),Y1510&lt;=9,MIN(T1510:V1510)&gt;=0),"合法","输入违约")</x:f>
        <x:v>合法</x:v>
      </x:c>
    </x:row>
    <x:row r="1511" ht="23" customHeight="1">
      <x:c r="A1511" s="3" t="str">
        <x:v>CT-1504</x:v>
      </x:c>
      <x:c r="B1511" s="3" t="str">
        <x:v>ST-142</x:v>
      </x:c>
      <x:c r="C1511" s="3" t="str">
        <x:v>仅AR接收</x:v>
      </x:c>
      <x:c r="D1511" s="25" t="n">
        <x:v>2</x:v>
      </x:c>
      <x:c r="E1511" s="25" t="n">
        <x:v>6</x:v>
      </x:c>
      <x:c r="F1511" s="25" t="n">
        <x:v>0</x:v>
      </x:c>
      <x:c r="G1511" s="19" t="n">
        <x:f>SUM(D1511:F1511)</x:f>
        <x:v>8</x:v>
      </x:c>
      <x:c r="H1511" s="25" t="str">
        <x:v>-</x:v>
      </x:c>
      <x:c r="I1511" s="25" t="n">
        <x:v>1</x:v>
      </x:c>
      <x:c r="J1511" s="25" t="n">
        <x:v>2</x:v>
      </x:c>
      <x:c r="K1511" s="19" t="n">
        <x:f>D1511-IF(H1511=0,1,0)</x:f>
        <x:v>2</x:v>
      </x:c>
      <x:c r="L1511" s="19" t="n">
        <x:f>E1511-IF(H1511=1,1,0)</x:f>
        <x:v>6</x:v>
      </x:c>
      <x:c r="M1511" s="19" t="n">
        <x:f>F1511-IF(H1511=2,1,0)</x:f>
        <x:v>0</x:v>
      </x:c>
      <x:c r="N1511" s="19" t="n">
        <x:f>MAX(K1511-1,0)+MAX(L1511-1,0)+MAX(M1511-1,0)</x:f>
        <x:v>6</x:v>
      </x:c>
      <x:c r="O1511" s="19" t="n">
        <x:f>IF(AND(SUM(K1511:M1511)&lt;9,OR(M1511=0,N1511&lt;6)),1,0)</x:f>
        <x:v>1</x:v>
      </x:c>
      <x:c r="P1511" s="19" t="n">
        <x:f>IF(AND(SUM(K1511:M1511)&lt;9,OR(L1511=0,N1511&lt;6)),1,0)</x:f>
        <x:v>0</x:v>
      </x:c>
      <x:c r="Q1511" s="19" t="n">
        <x:f>IF(AND(SUM(K1511:M1511)&lt;9,OR(K1511=0,N1511&lt;6)),1,0)</x:f>
        <x:v>0</x:v>
      </x:c>
      <x:c r="R1511" s="22" t="str">
        <x:f>O1511&amp;P1511&amp;Q1511</x:f>
        <x:v>100</x:v>
      </x:c>
      <x:c r="S1511" s="19" t="n">
        <x:f>IF(I1511=1,IF(J1511=0,Q1511,IF(J1511=1,P1511,IF(J1511=2,O1511,0))),0)</x:f>
        <x:v>1</x:v>
      </x:c>
      <x:c r="T1511" s="19" t="n">
        <x:f>K1511+IF(AND(S1511=1,J1511=0),1,0)</x:f>
        <x:v>2</x:v>
      </x:c>
      <x:c r="U1511" s="19" t="n">
        <x:f>L1511+IF(AND(S1511=1,J1511=1),1,0)</x:f>
        <x:v>6</x:v>
      </x:c>
      <x:c r="V1511" s="19" t="n">
        <x:f>M1511+IF(AND(S1511=1,J1511=2),1,0)</x:f>
        <x:v>1</x:v>
      </x:c>
      <x:c r="W1511" s="19" t="n">
        <x:f>SUM(T1511:V1511)</x:f>
        <x:v>9</x:v>
      </x:c>
      <x:c r="X1511" s="19" t="n">
        <x:f>W1511-G1511</x:f>
        <x:v>1</x:v>
      </x:c>
      <x:c r="Y1511" s="19" t="n">
        <x:f>MAX(T1511,1)+MAX(U1511,1)+MAX(V1511,1)</x:f>
        <x:v>9</x:v>
      </x:c>
      <x:c r="Z1511" s="21" t="str">
        <x:f>IF(AND(MIN(D1511:F1511)&gt;=0,MAX(D1511:F1511)&lt;=7,MAX(D1511,1)+MAX(E1511,1)+MAX(F1511,1)&lt;=9,OR(H1511="-",AND(H1511=0,D1511&gt;0),AND(H1511=1,E1511&gt;0),AND(H1511=2,F1511&gt;0)),OR(I1511=0,AND(I1511=1,OR(J1511=0,J1511=1,J1511=2),R1511&lt;&gt;"000")),Y1511&lt;=9,MIN(T1511:V1511)&gt;=0),"合法","输入违约")</x:f>
        <x:v>合法</x:v>
      </x:c>
    </x:row>
    <x:row r="1512" ht="23" customHeight="1">
      <x:c r="A1512" s="3" t="str">
        <x:v>CT-1505</x:v>
      </x:c>
      <x:c r="B1512" s="3" t="str">
        <x:v>ST-142</x:v>
      </x:c>
      <x:c r="C1512" s="3" t="str">
        <x:v>仅R回收</x:v>
      </x:c>
      <x:c r="D1512" s="25" t="n">
        <x:v>2</x:v>
      </x:c>
      <x:c r="E1512" s="25" t="n">
        <x:v>6</x:v>
      </x:c>
      <x:c r="F1512" s="25" t="n">
        <x:v>0</x:v>
      </x:c>
      <x:c r="G1512" s="19" t="n">
        <x:f>SUM(D1512:F1512)</x:f>
        <x:v>8</x:v>
      </x:c>
      <x:c r="H1512" s="25" t="n">
        <x:v>0</x:v>
      </x:c>
      <x:c r="I1512" s="25" t="n">
        <x:v>0</x:v>
      </x:c>
      <x:c r="J1512" s="25" t="str">
        <x:v>-</x:v>
      </x:c>
      <x:c r="K1512" s="19" t="n">
        <x:f>D1512-IF(H1512=0,1,0)</x:f>
        <x:v>1</x:v>
      </x:c>
      <x:c r="L1512" s="19" t="n">
        <x:f>E1512-IF(H1512=1,1,0)</x:f>
        <x:v>6</x:v>
      </x:c>
      <x:c r="M1512" s="19" t="n">
        <x:f>F1512-IF(H1512=2,1,0)</x:f>
        <x:v>0</x:v>
      </x:c>
      <x:c r="N1512" s="19" t="n">
        <x:f>MAX(K1512-1,0)+MAX(L1512-1,0)+MAX(M1512-1,0)</x:f>
        <x:v>5</x:v>
      </x:c>
      <x:c r="O1512" s="19" t="n">
        <x:f>IF(AND(SUM(K1512:M1512)&lt;9,OR(M1512=0,N1512&lt;6)),1,0)</x:f>
        <x:v>1</x:v>
      </x:c>
      <x:c r="P1512" s="19" t="n">
        <x:f>IF(AND(SUM(K1512:M1512)&lt;9,OR(L1512=0,N1512&lt;6)),1,0)</x:f>
        <x:v>1</x:v>
      </x:c>
      <x:c r="Q1512" s="19" t="n">
        <x:f>IF(AND(SUM(K1512:M1512)&lt;9,OR(K1512=0,N1512&lt;6)),1,0)</x:f>
        <x:v>1</x:v>
      </x:c>
      <x:c r="R1512" s="22" t="str">
        <x:f>O1512&amp;P1512&amp;Q1512</x:f>
        <x:v>111</x:v>
      </x:c>
      <x:c r="S1512" s="19" t="n">
        <x:f>IF(I1512=1,IF(J1512=0,Q1512,IF(J1512=1,P1512,IF(J1512=2,O1512,0))),0)</x:f>
        <x:v>0</x:v>
      </x:c>
      <x:c r="T1512" s="19" t="n">
        <x:f>K1512+IF(AND(S1512=1,J1512=0),1,0)</x:f>
        <x:v>1</x:v>
      </x:c>
      <x:c r="U1512" s="19" t="n">
        <x:f>L1512+IF(AND(S1512=1,J1512=1),1,0)</x:f>
        <x:v>6</x:v>
      </x:c>
      <x:c r="V1512" s="19" t="n">
        <x:f>M1512+IF(AND(S1512=1,J1512=2),1,0)</x:f>
        <x:v>0</x:v>
      </x:c>
      <x:c r="W1512" s="19" t="n">
        <x:f>SUM(T1512:V1512)</x:f>
        <x:v>7</x:v>
      </x:c>
      <x:c r="X1512" s="19" t="n">
        <x:f>W1512-G1512</x:f>
        <x:v>-1</x:v>
      </x:c>
      <x:c r="Y1512" s="19" t="n">
        <x:f>MAX(T1512,1)+MAX(U1512,1)+MAX(V1512,1)</x:f>
        <x:v>8</x:v>
      </x:c>
      <x:c r="Z1512" s="21" t="str">
        <x:f>IF(AND(MIN(D1512:F1512)&gt;=0,MAX(D1512:F1512)&lt;=7,MAX(D1512,1)+MAX(E1512,1)+MAX(F1512,1)&lt;=9,OR(H1512="-",AND(H1512=0,D1512&gt;0),AND(H1512=1,E1512&gt;0),AND(H1512=2,F1512&gt;0)),OR(I1512=0,AND(I1512=1,OR(J1512=0,J1512=1,J1512=2),R1512&lt;&gt;"000")),Y1512&lt;=9,MIN(T1512:V1512)&gt;=0),"合法","输入违约")</x:f>
        <x:v>合法</x:v>
      </x:c>
    </x:row>
    <x:row r="1513" ht="23" customHeight="1">
      <x:c r="A1513" s="3" t="str">
        <x:v>CT-1506</x:v>
      </x:c>
      <x:c r="B1513" s="3" t="str">
        <x:v>ST-142</x:v>
      </x:c>
      <x:c r="C1513" s="3" t="str">
        <x:v>R+AR同收同发</x:v>
      </x:c>
      <x:c r="D1513" s="25" t="n">
        <x:v>2</x:v>
      </x:c>
      <x:c r="E1513" s="25" t="n">
        <x:v>6</x:v>
      </x:c>
      <x:c r="F1513" s="25" t="n">
        <x:v>0</x:v>
      </x:c>
      <x:c r="G1513" s="19" t="n">
        <x:f>SUM(D1513:F1513)</x:f>
        <x:v>8</x:v>
      </x:c>
      <x:c r="H1513" s="25" t="n">
        <x:v>0</x:v>
      </x:c>
      <x:c r="I1513" s="25" t="n">
        <x:v>1</x:v>
      </x:c>
      <x:c r="J1513" s="25" t="n">
        <x:v>0</x:v>
      </x:c>
      <x:c r="K1513" s="19" t="n">
        <x:f>D1513-IF(H1513=0,1,0)</x:f>
        <x:v>1</x:v>
      </x:c>
      <x:c r="L1513" s="19" t="n">
        <x:f>E1513-IF(H1513=1,1,0)</x:f>
        <x:v>6</x:v>
      </x:c>
      <x:c r="M1513" s="19" t="n">
        <x:f>F1513-IF(H1513=2,1,0)</x:f>
        <x:v>0</x:v>
      </x:c>
      <x:c r="N1513" s="19" t="n">
        <x:f>MAX(K1513-1,0)+MAX(L1513-1,0)+MAX(M1513-1,0)</x:f>
        <x:v>5</x:v>
      </x:c>
      <x:c r="O1513" s="19" t="n">
        <x:f>IF(AND(SUM(K1513:M1513)&lt;9,OR(M1513=0,N1513&lt;6)),1,0)</x:f>
        <x:v>1</x:v>
      </x:c>
      <x:c r="P1513" s="19" t="n">
        <x:f>IF(AND(SUM(K1513:M1513)&lt;9,OR(L1513=0,N1513&lt;6)),1,0)</x:f>
        <x:v>1</x:v>
      </x:c>
      <x:c r="Q1513" s="19" t="n">
        <x:f>IF(AND(SUM(K1513:M1513)&lt;9,OR(K1513=0,N1513&lt;6)),1,0)</x:f>
        <x:v>1</x:v>
      </x:c>
      <x:c r="R1513" s="22" t="str">
        <x:f>O1513&amp;P1513&amp;Q1513</x:f>
        <x:v>111</x:v>
      </x:c>
      <x:c r="S1513" s="19" t="n">
        <x:f>IF(I1513=1,IF(J1513=0,Q1513,IF(J1513=1,P1513,IF(J1513=2,O1513,0))),0)</x:f>
        <x:v>1</x:v>
      </x:c>
      <x:c r="T1513" s="19" t="n">
        <x:f>K1513+IF(AND(S1513=1,J1513=0),1,0)</x:f>
        <x:v>2</x:v>
      </x:c>
      <x:c r="U1513" s="19" t="n">
        <x:f>L1513+IF(AND(S1513=1,J1513=1),1,0)</x:f>
        <x:v>6</x:v>
      </x:c>
      <x:c r="V1513" s="19" t="n">
        <x:f>M1513+IF(AND(S1513=1,J1513=2),1,0)</x:f>
        <x:v>0</x:v>
      </x:c>
      <x:c r="W1513" s="19" t="n">
        <x:f>SUM(T1513:V1513)</x:f>
        <x:v>8</x:v>
      </x:c>
      <x:c r="X1513" s="19" t="n">
        <x:f>W1513-G1513</x:f>
        <x:v>0</x:v>
      </x:c>
      <x:c r="Y1513" s="19" t="n">
        <x:f>MAX(T1513,1)+MAX(U1513,1)+MAX(V1513,1)</x:f>
        <x:v>9</x:v>
      </x:c>
      <x:c r="Z1513" s="21" t="str">
        <x:f>IF(AND(MIN(D1513:F1513)&gt;=0,MAX(D1513:F1513)&lt;=7,MAX(D1513,1)+MAX(E1513,1)+MAX(F1513,1)&lt;=9,OR(H1513="-",AND(H1513=0,D1513&gt;0),AND(H1513=1,E1513&gt;0),AND(H1513=2,F1513&gt;0)),OR(I1513=0,AND(I1513=1,OR(J1513=0,J1513=1,J1513=2),R1513&lt;&gt;"000")),Y1513&lt;=9,MIN(T1513:V1513)&gt;=0),"合法","输入违约")</x:f>
        <x:v>合法</x:v>
      </x:c>
    </x:row>
    <x:row r="1514" ht="23" customHeight="1">
      <x:c r="A1514" s="3" t="str">
        <x:v>CT-1507</x:v>
      </x:c>
      <x:c r="B1514" s="3" t="str">
        <x:v>ST-142</x:v>
      </x:c>
      <x:c r="C1514" s="3" t="str">
        <x:v>R+AR同收同发</x:v>
      </x:c>
      <x:c r="D1514" s="25" t="n">
        <x:v>2</x:v>
      </x:c>
      <x:c r="E1514" s="25" t="n">
        <x:v>6</x:v>
      </x:c>
      <x:c r="F1514" s="25" t="n">
        <x:v>0</x:v>
      </x:c>
      <x:c r="G1514" s="19" t="n">
        <x:f>SUM(D1514:F1514)</x:f>
        <x:v>8</x:v>
      </x:c>
      <x:c r="H1514" s="25" t="n">
        <x:v>0</x:v>
      </x:c>
      <x:c r="I1514" s="25" t="n">
        <x:v>1</x:v>
      </x:c>
      <x:c r="J1514" s="25" t="n">
        <x:v>1</x:v>
      </x:c>
      <x:c r="K1514" s="19" t="n">
        <x:f>D1514-IF(H1514=0,1,0)</x:f>
        <x:v>1</x:v>
      </x:c>
      <x:c r="L1514" s="19" t="n">
        <x:f>E1514-IF(H1514=1,1,0)</x:f>
        <x:v>6</x:v>
      </x:c>
      <x:c r="M1514" s="19" t="n">
        <x:f>F1514-IF(H1514=2,1,0)</x:f>
        <x:v>0</x:v>
      </x:c>
      <x:c r="N1514" s="19" t="n">
        <x:f>MAX(K1514-1,0)+MAX(L1514-1,0)+MAX(M1514-1,0)</x:f>
        <x:v>5</x:v>
      </x:c>
      <x:c r="O1514" s="19" t="n">
        <x:f>IF(AND(SUM(K1514:M1514)&lt;9,OR(M1514=0,N1514&lt;6)),1,0)</x:f>
        <x:v>1</x:v>
      </x:c>
      <x:c r="P1514" s="19" t="n">
        <x:f>IF(AND(SUM(K1514:M1514)&lt;9,OR(L1514=0,N1514&lt;6)),1,0)</x:f>
        <x:v>1</x:v>
      </x:c>
      <x:c r="Q1514" s="19" t="n">
        <x:f>IF(AND(SUM(K1514:M1514)&lt;9,OR(K1514=0,N1514&lt;6)),1,0)</x:f>
        <x:v>1</x:v>
      </x:c>
      <x:c r="R1514" s="22" t="str">
        <x:f>O1514&amp;P1514&amp;Q1514</x:f>
        <x:v>111</x:v>
      </x:c>
      <x:c r="S1514" s="19" t="n">
        <x:f>IF(I1514=1,IF(J1514=0,Q1514,IF(J1514=1,P1514,IF(J1514=2,O1514,0))),0)</x:f>
        <x:v>1</x:v>
      </x:c>
      <x:c r="T1514" s="19" t="n">
        <x:f>K1514+IF(AND(S1514=1,J1514=0),1,0)</x:f>
        <x:v>1</x:v>
      </x:c>
      <x:c r="U1514" s="19" t="n">
        <x:f>L1514+IF(AND(S1514=1,J1514=1),1,0)</x:f>
        <x:v>7</x:v>
      </x:c>
      <x:c r="V1514" s="19" t="n">
        <x:f>M1514+IF(AND(S1514=1,J1514=2),1,0)</x:f>
        <x:v>0</x:v>
      </x:c>
      <x:c r="W1514" s="19" t="n">
        <x:f>SUM(T1514:V1514)</x:f>
        <x:v>8</x:v>
      </x:c>
      <x:c r="X1514" s="19" t="n">
        <x:f>W1514-G1514</x:f>
        <x:v>0</x:v>
      </x:c>
      <x:c r="Y1514" s="19" t="n">
        <x:f>MAX(T1514,1)+MAX(U1514,1)+MAX(V1514,1)</x:f>
        <x:v>9</x:v>
      </x:c>
      <x:c r="Z1514" s="21" t="str">
        <x:f>IF(AND(MIN(D1514:F1514)&gt;=0,MAX(D1514:F1514)&lt;=7,MAX(D1514,1)+MAX(E1514,1)+MAX(F1514,1)&lt;=9,OR(H1514="-",AND(H1514=0,D1514&gt;0),AND(H1514=1,E1514&gt;0),AND(H1514=2,F1514&gt;0)),OR(I1514=0,AND(I1514=1,OR(J1514=0,J1514=1,J1514=2),R1514&lt;&gt;"000")),Y1514&lt;=9,MIN(T1514:V1514)&gt;=0),"合法","输入违约")</x:f>
        <x:v>合法</x:v>
      </x:c>
    </x:row>
    <x:row r="1515" ht="23" customHeight="1">
      <x:c r="A1515" s="3" t="str">
        <x:v>CT-1508</x:v>
      </x:c>
      <x:c r="B1515" s="3" t="str">
        <x:v>ST-142</x:v>
      </x:c>
      <x:c r="C1515" s="3" t="str">
        <x:v>R+AR同收同发</x:v>
      </x:c>
      <x:c r="D1515" s="25" t="n">
        <x:v>2</x:v>
      </x:c>
      <x:c r="E1515" s="25" t="n">
        <x:v>6</x:v>
      </x:c>
      <x:c r="F1515" s="25" t="n">
        <x:v>0</x:v>
      </x:c>
      <x:c r="G1515" s="19" t="n">
        <x:f>SUM(D1515:F1515)</x:f>
        <x:v>8</x:v>
      </x:c>
      <x:c r="H1515" s="25" t="n">
        <x:v>0</x:v>
      </x:c>
      <x:c r="I1515" s="25" t="n">
        <x:v>1</x:v>
      </x:c>
      <x:c r="J1515" s="25" t="n">
        <x:v>2</x:v>
      </x:c>
      <x:c r="K1515" s="19" t="n">
        <x:f>D1515-IF(H1515=0,1,0)</x:f>
        <x:v>1</x:v>
      </x:c>
      <x:c r="L1515" s="19" t="n">
        <x:f>E1515-IF(H1515=1,1,0)</x:f>
        <x:v>6</x:v>
      </x:c>
      <x:c r="M1515" s="19" t="n">
        <x:f>F1515-IF(H1515=2,1,0)</x:f>
        <x:v>0</x:v>
      </x:c>
      <x:c r="N1515" s="19" t="n">
        <x:f>MAX(K1515-1,0)+MAX(L1515-1,0)+MAX(M1515-1,0)</x:f>
        <x:v>5</x:v>
      </x:c>
      <x:c r="O1515" s="19" t="n">
        <x:f>IF(AND(SUM(K1515:M1515)&lt;9,OR(M1515=0,N1515&lt;6)),1,0)</x:f>
        <x:v>1</x:v>
      </x:c>
      <x:c r="P1515" s="19" t="n">
        <x:f>IF(AND(SUM(K1515:M1515)&lt;9,OR(L1515=0,N1515&lt;6)),1,0)</x:f>
        <x:v>1</x:v>
      </x:c>
      <x:c r="Q1515" s="19" t="n">
        <x:f>IF(AND(SUM(K1515:M1515)&lt;9,OR(K1515=0,N1515&lt;6)),1,0)</x:f>
        <x:v>1</x:v>
      </x:c>
      <x:c r="R1515" s="22" t="str">
        <x:f>O1515&amp;P1515&amp;Q1515</x:f>
        <x:v>111</x:v>
      </x:c>
      <x:c r="S1515" s="19" t="n">
        <x:f>IF(I1515=1,IF(J1515=0,Q1515,IF(J1515=1,P1515,IF(J1515=2,O1515,0))),0)</x:f>
        <x:v>1</x:v>
      </x:c>
      <x:c r="T1515" s="19" t="n">
        <x:f>K1515+IF(AND(S1515=1,J1515=0),1,0)</x:f>
        <x:v>1</x:v>
      </x:c>
      <x:c r="U1515" s="19" t="n">
        <x:f>L1515+IF(AND(S1515=1,J1515=1),1,0)</x:f>
        <x:v>6</x:v>
      </x:c>
      <x:c r="V1515" s="19" t="n">
        <x:f>M1515+IF(AND(S1515=1,J1515=2),1,0)</x:f>
        <x:v>1</x:v>
      </x:c>
      <x:c r="W1515" s="19" t="n">
        <x:f>SUM(T1515:V1515)</x:f>
        <x:v>8</x:v>
      </x:c>
      <x:c r="X1515" s="19" t="n">
        <x:f>W1515-G1515</x:f>
        <x:v>0</x:v>
      </x:c>
      <x:c r="Y1515" s="19" t="n">
        <x:f>MAX(T1515,1)+MAX(U1515,1)+MAX(V1515,1)</x:f>
        <x:v>8</x:v>
      </x:c>
      <x:c r="Z1515" s="21" t="str">
        <x:f>IF(AND(MIN(D1515:F1515)&gt;=0,MAX(D1515:F1515)&lt;=7,MAX(D1515,1)+MAX(E1515,1)+MAX(F1515,1)&lt;=9,OR(H1515="-",AND(H1515=0,D1515&gt;0),AND(H1515=1,E1515&gt;0),AND(H1515=2,F1515&gt;0)),OR(I1515=0,AND(I1515=1,OR(J1515=0,J1515=1,J1515=2),R1515&lt;&gt;"000")),Y1515&lt;=9,MIN(T1515:V1515)&gt;=0),"合法","输入违约")</x:f>
        <x:v>合法</x:v>
      </x:c>
    </x:row>
    <x:row r="1516" ht="23" customHeight="1">
      <x:c r="A1516" s="3" t="str">
        <x:v>CT-1509</x:v>
      </x:c>
      <x:c r="B1516" s="3" t="str">
        <x:v>ST-142</x:v>
      </x:c>
      <x:c r="C1516" s="3" t="str">
        <x:v>仅R回收</x:v>
      </x:c>
      <x:c r="D1516" s="25" t="n">
        <x:v>2</x:v>
      </x:c>
      <x:c r="E1516" s="25" t="n">
        <x:v>6</x:v>
      </x:c>
      <x:c r="F1516" s="25" t="n">
        <x:v>0</x:v>
      </x:c>
      <x:c r="G1516" s="19" t="n">
        <x:f>SUM(D1516:F1516)</x:f>
        <x:v>8</x:v>
      </x:c>
      <x:c r="H1516" s="25" t="n">
        <x:v>1</x:v>
      </x:c>
      <x:c r="I1516" s="25" t="n">
        <x:v>0</x:v>
      </x:c>
      <x:c r="J1516" s="25" t="str">
        <x:v>-</x:v>
      </x:c>
      <x:c r="K1516" s="19" t="n">
        <x:f>D1516-IF(H1516=0,1,0)</x:f>
        <x:v>2</x:v>
      </x:c>
      <x:c r="L1516" s="19" t="n">
        <x:f>E1516-IF(H1516=1,1,0)</x:f>
        <x:v>5</x:v>
      </x:c>
      <x:c r="M1516" s="19" t="n">
        <x:f>F1516-IF(H1516=2,1,0)</x:f>
        <x:v>0</x:v>
      </x:c>
      <x:c r="N1516" s="19" t="n">
        <x:f>MAX(K1516-1,0)+MAX(L1516-1,0)+MAX(M1516-1,0)</x:f>
        <x:v>5</x:v>
      </x:c>
      <x:c r="O1516" s="19" t="n">
        <x:f>IF(AND(SUM(K1516:M1516)&lt;9,OR(M1516=0,N1516&lt;6)),1,0)</x:f>
        <x:v>1</x:v>
      </x:c>
      <x:c r="P1516" s="19" t="n">
        <x:f>IF(AND(SUM(K1516:M1516)&lt;9,OR(L1516=0,N1516&lt;6)),1,0)</x:f>
        <x:v>1</x:v>
      </x:c>
      <x:c r="Q1516" s="19" t="n">
        <x:f>IF(AND(SUM(K1516:M1516)&lt;9,OR(K1516=0,N1516&lt;6)),1,0)</x:f>
        <x:v>1</x:v>
      </x:c>
      <x:c r="R1516" s="22" t="str">
        <x:f>O1516&amp;P1516&amp;Q1516</x:f>
        <x:v>111</x:v>
      </x:c>
      <x:c r="S1516" s="19" t="n">
        <x:f>IF(I1516=1,IF(J1516=0,Q1516,IF(J1516=1,P1516,IF(J1516=2,O1516,0))),0)</x:f>
        <x:v>0</x:v>
      </x:c>
      <x:c r="T1516" s="19" t="n">
        <x:f>K1516+IF(AND(S1516=1,J1516=0),1,0)</x:f>
        <x:v>2</x:v>
      </x:c>
      <x:c r="U1516" s="19" t="n">
        <x:f>L1516+IF(AND(S1516=1,J1516=1),1,0)</x:f>
        <x:v>5</x:v>
      </x:c>
      <x:c r="V1516" s="19" t="n">
        <x:f>M1516+IF(AND(S1516=1,J1516=2),1,0)</x:f>
        <x:v>0</x:v>
      </x:c>
      <x:c r="W1516" s="19" t="n">
        <x:f>SUM(T1516:V1516)</x:f>
        <x:v>7</x:v>
      </x:c>
      <x:c r="X1516" s="19" t="n">
        <x:f>W1516-G1516</x:f>
        <x:v>-1</x:v>
      </x:c>
      <x:c r="Y1516" s="19" t="n">
        <x:f>MAX(T1516,1)+MAX(U1516,1)+MAX(V1516,1)</x:f>
        <x:v>8</x:v>
      </x:c>
      <x:c r="Z1516" s="21" t="str">
        <x:f>IF(AND(MIN(D1516:F1516)&gt;=0,MAX(D1516:F1516)&lt;=7,MAX(D1516,1)+MAX(E1516,1)+MAX(F1516,1)&lt;=9,OR(H1516="-",AND(H1516=0,D1516&gt;0),AND(H1516=1,E1516&gt;0),AND(H1516=2,F1516&gt;0)),OR(I1516=0,AND(I1516=1,OR(J1516=0,J1516=1,J1516=2),R1516&lt;&gt;"000")),Y1516&lt;=9,MIN(T1516:V1516)&gt;=0),"合法","输入违约")</x:f>
        <x:v>合法</x:v>
      </x:c>
    </x:row>
    <x:row r="1517" ht="23" customHeight="1">
      <x:c r="A1517" s="3" t="str">
        <x:v>CT-1510</x:v>
      </x:c>
      <x:c r="B1517" s="3" t="str">
        <x:v>ST-142</x:v>
      </x:c>
      <x:c r="C1517" s="3" t="str">
        <x:v>R+AR同收同发</x:v>
      </x:c>
      <x:c r="D1517" s="25" t="n">
        <x:v>2</x:v>
      </x:c>
      <x:c r="E1517" s="25" t="n">
        <x:v>6</x:v>
      </x:c>
      <x:c r="F1517" s="25" t="n">
        <x:v>0</x:v>
      </x:c>
      <x:c r="G1517" s="19" t="n">
        <x:f>SUM(D1517:F1517)</x:f>
        <x:v>8</x:v>
      </x:c>
      <x:c r="H1517" s="25" t="n">
        <x:v>1</x:v>
      </x:c>
      <x:c r="I1517" s="25" t="n">
        <x:v>1</x:v>
      </x:c>
      <x:c r="J1517" s="25" t="n">
        <x:v>0</x:v>
      </x:c>
      <x:c r="K1517" s="19" t="n">
        <x:f>D1517-IF(H1517=0,1,0)</x:f>
        <x:v>2</x:v>
      </x:c>
      <x:c r="L1517" s="19" t="n">
        <x:f>E1517-IF(H1517=1,1,0)</x:f>
        <x:v>5</x:v>
      </x:c>
      <x:c r="M1517" s="19" t="n">
        <x:f>F1517-IF(H1517=2,1,0)</x:f>
        <x:v>0</x:v>
      </x:c>
      <x:c r="N1517" s="19" t="n">
        <x:f>MAX(K1517-1,0)+MAX(L1517-1,0)+MAX(M1517-1,0)</x:f>
        <x:v>5</x:v>
      </x:c>
      <x:c r="O1517" s="19" t="n">
        <x:f>IF(AND(SUM(K1517:M1517)&lt;9,OR(M1517=0,N1517&lt;6)),1,0)</x:f>
        <x:v>1</x:v>
      </x:c>
      <x:c r="P1517" s="19" t="n">
        <x:f>IF(AND(SUM(K1517:M1517)&lt;9,OR(L1517=0,N1517&lt;6)),1,0)</x:f>
        <x:v>1</x:v>
      </x:c>
      <x:c r="Q1517" s="19" t="n">
        <x:f>IF(AND(SUM(K1517:M1517)&lt;9,OR(K1517=0,N1517&lt;6)),1,0)</x:f>
        <x:v>1</x:v>
      </x:c>
      <x:c r="R1517" s="22" t="str">
        <x:f>O1517&amp;P1517&amp;Q1517</x:f>
        <x:v>111</x:v>
      </x:c>
      <x:c r="S1517" s="19" t="n">
        <x:f>IF(I1517=1,IF(J1517=0,Q1517,IF(J1517=1,P1517,IF(J1517=2,O1517,0))),0)</x:f>
        <x:v>1</x:v>
      </x:c>
      <x:c r="T1517" s="19" t="n">
        <x:f>K1517+IF(AND(S1517=1,J1517=0),1,0)</x:f>
        <x:v>3</x:v>
      </x:c>
      <x:c r="U1517" s="19" t="n">
        <x:f>L1517+IF(AND(S1517=1,J1517=1),1,0)</x:f>
        <x:v>5</x:v>
      </x:c>
      <x:c r="V1517" s="19" t="n">
        <x:f>M1517+IF(AND(S1517=1,J1517=2),1,0)</x:f>
        <x:v>0</x:v>
      </x:c>
      <x:c r="W1517" s="19" t="n">
        <x:f>SUM(T1517:V1517)</x:f>
        <x:v>8</x:v>
      </x:c>
      <x:c r="X1517" s="19" t="n">
        <x:f>W1517-G1517</x:f>
        <x:v>0</x:v>
      </x:c>
      <x:c r="Y1517" s="19" t="n">
        <x:f>MAX(T1517,1)+MAX(U1517,1)+MAX(V1517,1)</x:f>
        <x:v>9</x:v>
      </x:c>
      <x:c r="Z1517" s="21" t="str">
        <x:f>IF(AND(MIN(D1517:F1517)&gt;=0,MAX(D1517:F1517)&lt;=7,MAX(D1517,1)+MAX(E1517,1)+MAX(F1517,1)&lt;=9,OR(H1517="-",AND(H1517=0,D1517&gt;0),AND(H1517=1,E1517&gt;0),AND(H1517=2,F1517&gt;0)),OR(I1517=0,AND(I1517=1,OR(J1517=0,J1517=1,J1517=2),R1517&lt;&gt;"000")),Y1517&lt;=9,MIN(T1517:V1517)&gt;=0),"合法","输入违约")</x:f>
        <x:v>合法</x:v>
      </x:c>
    </x:row>
    <x:row r="1518" ht="23" customHeight="1">
      <x:c r="A1518" s="3" t="str">
        <x:v>CT-1511</x:v>
      </x:c>
      <x:c r="B1518" s="3" t="str">
        <x:v>ST-142</x:v>
      </x:c>
      <x:c r="C1518" s="3" t="str">
        <x:v>R+AR同收同发</x:v>
      </x:c>
      <x:c r="D1518" s="25" t="n">
        <x:v>2</x:v>
      </x:c>
      <x:c r="E1518" s="25" t="n">
        <x:v>6</x:v>
      </x:c>
      <x:c r="F1518" s="25" t="n">
        <x:v>0</x:v>
      </x:c>
      <x:c r="G1518" s="19" t="n">
        <x:f>SUM(D1518:F1518)</x:f>
        <x:v>8</x:v>
      </x:c>
      <x:c r="H1518" s="25" t="n">
        <x:v>1</x:v>
      </x:c>
      <x:c r="I1518" s="25" t="n">
        <x:v>1</x:v>
      </x:c>
      <x:c r="J1518" s="25" t="n">
        <x:v>1</x:v>
      </x:c>
      <x:c r="K1518" s="19" t="n">
        <x:f>D1518-IF(H1518=0,1,0)</x:f>
        <x:v>2</x:v>
      </x:c>
      <x:c r="L1518" s="19" t="n">
        <x:f>E1518-IF(H1518=1,1,0)</x:f>
        <x:v>5</x:v>
      </x:c>
      <x:c r="M1518" s="19" t="n">
        <x:f>F1518-IF(H1518=2,1,0)</x:f>
        <x:v>0</x:v>
      </x:c>
      <x:c r="N1518" s="19" t="n">
        <x:f>MAX(K1518-1,0)+MAX(L1518-1,0)+MAX(M1518-1,0)</x:f>
        <x:v>5</x:v>
      </x:c>
      <x:c r="O1518" s="19" t="n">
        <x:f>IF(AND(SUM(K1518:M1518)&lt;9,OR(M1518=0,N1518&lt;6)),1,0)</x:f>
        <x:v>1</x:v>
      </x:c>
      <x:c r="P1518" s="19" t="n">
        <x:f>IF(AND(SUM(K1518:M1518)&lt;9,OR(L1518=0,N1518&lt;6)),1,0)</x:f>
        <x:v>1</x:v>
      </x:c>
      <x:c r="Q1518" s="19" t="n">
        <x:f>IF(AND(SUM(K1518:M1518)&lt;9,OR(K1518=0,N1518&lt;6)),1,0)</x:f>
        <x:v>1</x:v>
      </x:c>
      <x:c r="R1518" s="22" t="str">
        <x:f>O1518&amp;P1518&amp;Q1518</x:f>
        <x:v>111</x:v>
      </x:c>
      <x:c r="S1518" s="19" t="n">
        <x:f>IF(I1518=1,IF(J1518=0,Q1518,IF(J1518=1,P1518,IF(J1518=2,O1518,0))),0)</x:f>
        <x:v>1</x:v>
      </x:c>
      <x:c r="T1518" s="19" t="n">
        <x:f>K1518+IF(AND(S1518=1,J1518=0),1,0)</x:f>
        <x:v>2</x:v>
      </x:c>
      <x:c r="U1518" s="19" t="n">
        <x:f>L1518+IF(AND(S1518=1,J1518=1),1,0)</x:f>
        <x:v>6</x:v>
      </x:c>
      <x:c r="V1518" s="19" t="n">
        <x:f>M1518+IF(AND(S1518=1,J1518=2),1,0)</x:f>
        <x:v>0</x:v>
      </x:c>
      <x:c r="W1518" s="19" t="n">
        <x:f>SUM(T1518:V1518)</x:f>
        <x:v>8</x:v>
      </x:c>
      <x:c r="X1518" s="19" t="n">
        <x:f>W1518-G1518</x:f>
        <x:v>0</x:v>
      </x:c>
      <x:c r="Y1518" s="19" t="n">
        <x:f>MAX(T1518,1)+MAX(U1518,1)+MAX(V1518,1)</x:f>
        <x:v>9</x:v>
      </x:c>
      <x:c r="Z1518" s="21" t="str">
        <x:f>IF(AND(MIN(D1518:F1518)&gt;=0,MAX(D1518:F1518)&lt;=7,MAX(D1518,1)+MAX(E1518,1)+MAX(F1518,1)&lt;=9,OR(H1518="-",AND(H1518=0,D1518&gt;0),AND(H1518=1,E1518&gt;0),AND(H1518=2,F1518&gt;0)),OR(I1518=0,AND(I1518=1,OR(J1518=0,J1518=1,J1518=2),R1518&lt;&gt;"000")),Y1518&lt;=9,MIN(T1518:V1518)&gt;=0),"合法","输入违约")</x:f>
        <x:v>合法</x:v>
      </x:c>
    </x:row>
    <x:row r="1519" ht="23" customHeight="1">
      <x:c r="A1519" s="3" t="str">
        <x:v>CT-1512</x:v>
      </x:c>
      <x:c r="B1519" s="3" t="str">
        <x:v>ST-142</x:v>
      </x:c>
      <x:c r="C1519" s="3" t="str">
        <x:v>R+AR同收同发</x:v>
      </x:c>
      <x:c r="D1519" s="25" t="n">
        <x:v>2</x:v>
      </x:c>
      <x:c r="E1519" s="25" t="n">
        <x:v>6</x:v>
      </x:c>
      <x:c r="F1519" s="25" t="n">
        <x:v>0</x:v>
      </x:c>
      <x:c r="G1519" s="19" t="n">
        <x:f>SUM(D1519:F1519)</x:f>
        <x:v>8</x:v>
      </x:c>
      <x:c r="H1519" s="25" t="n">
        <x:v>1</x:v>
      </x:c>
      <x:c r="I1519" s="25" t="n">
        <x:v>1</x:v>
      </x:c>
      <x:c r="J1519" s="25" t="n">
        <x:v>2</x:v>
      </x:c>
      <x:c r="K1519" s="19" t="n">
        <x:f>D1519-IF(H1519=0,1,0)</x:f>
        <x:v>2</x:v>
      </x:c>
      <x:c r="L1519" s="19" t="n">
        <x:f>E1519-IF(H1519=1,1,0)</x:f>
        <x:v>5</x:v>
      </x:c>
      <x:c r="M1519" s="19" t="n">
        <x:f>F1519-IF(H1519=2,1,0)</x:f>
        <x:v>0</x:v>
      </x:c>
      <x:c r="N1519" s="19" t="n">
        <x:f>MAX(K1519-1,0)+MAX(L1519-1,0)+MAX(M1519-1,0)</x:f>
        <x:v>5</x:v>
      </x:c>
      <x:c r="O1519" s="19" t="n">
        <x:f>IF(AND(SUM(K1519:M1519)&lt;9,OR(M1519=0,N1519&lt;6)),1,0)</x:f>
        <x:v>1</x:v>
      </x:c>
      <x:c r="P1519" s="19" t="n">
        <x:f>IF(AND(SUM(K1519:M1519)&lt;9,OR(L1519=0,N1519&lt;6)),1,0)</x:f>
        <x:v>1</x:v>
      </x:c>
      <x:c r="Q1519" s="19" t="n">
        <x:f>IF(AND(SUM(K1519:M1519)&lt;9,OR(K1519=0,N1519&lt;6)),1,0)</x:f>
        <x:v>1</x:v>
      </x:c>
      <x:c r="R1519" s="22" t="str">
        <x:f>O1519&amp;P1519&amp;Q1519</x:f>
        <x:v>111</x:v>
      </x:c>
      <x:c r="S1519" s="19" t="n">
        <x:f>IF(I1519=1,IF(J1519=0,Q1519,IF(J1519=1,P1519,IF(J1519=2,O1519,0))),0)</x:f>
        <x:v>1</x:v>
      </x:c>
      <x:c r="T1519" s="19" t="n">
        <x:f>K1519+IF(AND(S1519=1,J1519=0),1,0)</x:f>
        <x:v>2</x:v>
      </x:c>
      <x:c r="U1519" s="19" t="n">
        <x:f>L1519+IF(AND(S1519=1,J1519=1),1,0)</x:f>
        <x:v>5</x:v>
      </x:c>
      <x:c r="V1519" s="19" t="n">
        <x:f>M1519+IF(AND(S1519=1,J1519=2),1,0)</x:f>
        <x:v>1</x:v>
      </x:c>
      <x:c r="W1519" s="19" t="n">
        <x:f>SUM(T1519:V1519)</x:f>
        <x:v>8</x:v>
      </x:c>
      <x:c r="X1519" s="19" t="n">
        <x:f>W1519-G1519</x:f>
        <x:v>0</x:v>
      </x:c>
      <x:c r="Y1519" s="19" t="n">
        <x:f>MAX(T1519,1)+MAX(U1519,1)+MAX(V1519,1)</x:f>
        <x:v>8</x:v>
      </x:c>
      <x:c r="Z1519" s="21" t="str">
        <x:f>IF(AND(MIN(D1519:F1519)&gt;=0,MAX(D1519:F1519)&lt;=7,MAX(D1519,1)+MAX(E1519,1)+MAX(F1519,1)&lt;=9,OR(H1519="-",AND(H1519=0,D1519&gt;0),AND(H1519=1,E1519&gt;0),AND(H1519=2,F1519&gt;0)),OR(I1519=0,AND(I1519=1,OR(J1519=0,J1519=1,J1519=2),R1519&lt;&gt;"000")),Y1519&lt;=9,MIN(T1519:V1519)&gt;=0),"合法","输入违约")</x:f>
        <x:v>合法</x:v>
      </x:c>
    </x:row>
    <x:row r="1520" ht="23" customHeight="1">
      <x:c r="A1520" s="3" t="str">
        <x:v>CT-1513</x:v>
      </x:c>
      <x:c r="B1520" s="3" t="str">
        <x:v>ST-175</x:v>
      </x:c>
      <x:c r="C1520" s="3" t="str">
        <x:v>无AR/R</x:v>
      </x:c>
      <x:c r="D1520" s="25" t="n">
        <x:v>2</x:v>
      </x:c>
      <x:c r="E1520" s="25" t="n">
        <x:v>6</x:v>
      </x:c>
      <x:c r="F1520" s="25" t="n">
        <x:v>1</x:v>
      </x:c>
      <x:c r="G1520" s="19" t="n">
        <x:f>SUM(D1520:F1520)</x:f>
        <x:v>9</x:v>
      </x:c>
      <x:c r="H1520" s="25" t="str">
        <x:v>-</x:v>
      </x:c>
      <x:c r="I1520" s="25" t="n">
        <x:v>0</x:v>
      </x:c>
      <x:c r="J1520" s="25" t="str">
        <x:v>-</x:v>
      </x:c>
      <x:c r="K1520" s="19" t="n">
        <x:f>D1520-IF(H1520=0,1,0)</x:f>
        <x:v>2</x:v>
      </x:c>
      <x:c r="L1520" s="19" t="n">
        <x:f>E1520-IF(H1520=1,1,0)</x:f>
        <x:v>6</x:v>
      </x:c>
      <x:c r="M1520" s="19" t="n">
        <x:f>F1520-IF(H1520=2,1,0)</x:f>
        <x:v>1</x:v>
      </x:c>
      <x:c r="N1520" s="19" t="n">
        <x:f>MAX(K1520-1,0)+MAX(L1520-1,0)+MAX(M1520-1,0)</x:f>
        <x:v>6</x:v>
      </x:c>
      <x:c r="O1520" s="19" t="n">
        <x:f>IF(AND(SUM(K1520:M1520)&lt;9,OR(M1520=0,N1520&lt;6)),1,0)</x:f>
        <x:v>0</x:v>
      </x:c>
      <x:c r="P1520" s="19" t="n">
        <x:f>IF(AND(SUM(K1520:M1520)&lt;9,OR(L1520=0,N1520&lt;6)),1,0)</x:f>
        <x:v>0</x:v>
      </x:c>
      <x:c r="Q1520" s="19" t="n">
        <x:f>IF(AND(SUM(K1520:M1520)&lt;9,OR(K1520=0,N1520&lt;6)),1,0)</x:f>
        <x:v>0</x:v>
      </x:c>
      <x:c r="R1520" s="22" t="str">
        <x:f>O1520&amp;P1520&amp;Q1520</x:f>
        <x:v>000</x:v>
      </x:c>
      <x:c r="S1520" s="19" t="n">
        <x:f>IF(I1520=1,IF(J1520=0,Q1520,IF(J1520=1,P1520,IF(J1520=2,O1520,0))),0)</x:f>
        <x:v>0</x:v>
      </x:c>
      <x:c r="T1520" s="19" t="n">
        <x:f>K1520+IF(AND(S1520=1,J1520=0),1,0)</x:f>
        <x:v>2</x:v>
      </x:c>
      <x:c r="U1520" s="19" t="n">
        <x:f>L1520+IF(AND(S1520=1,J1520=1),1,0)</x:f>
        <x:v>6</x:v>
      </x:c>
      <x:c r="V1520" s="19" t="n">
        <x:f>M1520+IF(AND(S1520=1,J1520=2),1,0)</x:f>
        <x:v>1</x:v>
      </x:c>
      <x:c r="W1520" s="19" t="n">
        <x:f>SUM(T1520:V1520)</x:f>
        <x:v>9</x:v>
      </x:c>
      <x:c r="X1520" s="19" t="n">
        <x:f>W1520-G1520</x:f>
        <x:v>0</x:v>
      </x:c>
      <x:c r="Y1520" s="19" t="n">
        <x:f>MAX(T1520,1)+MAX(U1520,1)+MAX(V1520,1)</x:f>
        <x:v>9</x:v>
      </x:c>
      <x:c r="Z1520" s="21" t="str">
        <x:f>IF(AND(MIN(D1520:F1520)&gt;=0,MAX(D1520:F1520)&lt;=7,MAX(D1520,1)+MAX(E1520,1)+MAX(F1520,1)&lt;=9,OR(H1520="-",AND(H1520=0,D1520&gt;0),AND(H1520=1,E1520&gt;0),AND(H1520=2,F1520&gt;0)),OR(I1520=0,AND(I1520=1,OR(J1520=0,J1520=1,J1520=2),R1520&lt;&gt;"000")),Y1520&lt;=9,MIN(T1520:V1520)&gt;=0),"合法","输入违约")</x:f>
        <x:v>合法</x:v>
      </x:c>
    </x:row>
    <x:row r="1521" ht="23" customHeight="1">
      <x:c r="A1521" s="3" t="str">
        <x:v>CT-1514</x:v>
      </x:c>
      <x:c r="B1521" s="3" t="str">
        <x:v>ST-175</x:v>
      </x:c>
      <x:c r="C1521" s="3" t="str">
        <x:v>仅R回收</x:v>
      </x:c>
      <x:c r="D1521" s="25" t="n">
        <x:v>2</x:v>
      </x:c>
      <x:c r="E1521" s="25" t="n">
        <x:v>6</x:v>
      </x:c>
      <x:c r="F1521" s="25" t="n">
        <x:v>1</x:v>
      </x:c>
      <x:c r="G1521" s="19" t="n">
        <x:f>SUM(D1521:F1521)</x:f>
        <x:v>9</x:v>
      </x:c>
      <x:c r="H1521" s="25" t="n">
        <x:v>0</x:v>
      </x:c>
      <x:c r="I1521" s="25" t="n">
        <x:v>0</x:v>
      </x:c>
      <x:c r="J1521" s="25" t="str">
        <x:v>-</x:v>
      </x:c>
      <x:c r="K1521" s="19" t="n">
        <x:f>D1521-IF(H1521=0,1,0)</x:f>
        <x:v>1</x:v>
      </x:c>
      <x:c r="L1521" s="19" t="n">
        <x:f>E1521-IF(H1521=1,1,0)</x:f>
        <x:v>6</x:v>
      </x:c>
      <x:c r="M1521" s="19" t="n">
        <x:f>F1521-IF(H1521=2,1,0)</x:f>
        <x:v>1</x:v>
      </x:c>
      <x:c r="N1521" s="19" t="n">
        <x:f>MAX(K1521-1,0)+MAX(L1521-1,0)+MAX(M1521-1,0)</x:f>
        <x:v>5</x:v>
      </x:c>
      <x:c r="O1521" s="19" t="n">
        <x:f>IF(AND(SUM(K1521:M1521)&lt;9,OR(M1521=0,N1521&lt;6)),1,0)</x:f>
        <x:v>1</x:v>
      </x:c>
      <x:c r="P1521" s="19" t="n">
        <x:f>IF(AND(SUM(K1521:M1521)&lt;9,OR(L1521=0,N1521&lt;6)),1,0)</x:f>
        <x:v>1</x:v>
      </x:c>
      <x:c r="Q1521" s="19" t="n">
        <x:f>IF(AND(SUM(K1521:M1521)&lt;9,OR(K1521=0,N1521&lt;6)),1,0)</x:f>
        <x:v>1</x:v>
      </x:c>
      <x:c r="R1521" s="22" t="str">
        <x:f>O1521&amp;P1521&amp;Q1521</x:f>
        <x:v>111</x:v>
      </x:c>
      <x:c r="S1521" s="19" t="n">
        <x:f>IF(I1521=1,IF(J1521=0,Q1521,IF(J1521=1,P1521,IF(J1521=2,O1521,0))),0)</x:f>
        <x:v>0</x:v>
      </x:c>
      <x:c r="T1521" s="19" t="n">
        <x:f>K1521+IF(AND(S1521=1,J1521=0),1,0)</x:f>
        <x:v>1</x:v>
      </x:c>
      <x:c r="U1521" s="19" t="n">
        <x:f>L1521+IF(AND(S1521=1,J1521=1),1,0)</x:f>
        <x:v>6</x:v>
      </x:c>
      <x:c r="V1521" s="19" t="n">
        <x:f>M1521+IF(AND(S1521=1,J1521=2),1,0)</x:f>
        <x:v>1</x:v>
      </x:c>
      <x:c r="W1521" s="19" t="n">
        <x:f>SUM(T1521:V1521)</x:f>
        <x:v>8</x:v>
      </x:c>
      <x:c r="X1521" s="19" t="n">
        <x:f>W1521-G1521</x:f>
        <x:v>-1</x:v>
      </x:c>
      <x:c r="Y1521" s="19" t="n">
        <x:f>MAX(T1521,1)+MAX(U1521,1)+MAX(V1521,1)</x:f>
        <x:v>8</x:v>
      </x:c>
      <x:c r="Z1521" s="21" t="str">
        <x:f>IF(AND(MIN(D1521:F1521)&gt;=0,MAX(D1521:F1521)&lt;=7,MAX(D1521,1)+MAX(E1521,1)+MAX(F1521,1)&lt;=9,OR(H1521="-",AND(H1521=0,D1521&gt;0),AND(H1521=1,E1521&gt;0),AND(H1521=2,F1521&gt;0)),OR(I1521=0,AND(I1521=1,OR(J1521=0,J1521=1,J1521=2),R1521&lt;&gt;"000")),Y1521&lt;=9,MIN(T1521:V1521)&gt;=0),"合法","输入违约")</x:f>
        <x:v>合法</x:v>
      </x:c>
    </x:row>
    <x:row r="1522" ht="23" customHeight="1">
      <x:c r="A1522" s="3" t="str">
        <x:v>CT-1515</x:v>
      </x:c>
      <x:c r="B1522" s="3" t="str">
        <x:v>ST-175</x:v>
      </x:c>
      <x:c r="C1522" s="3" t="str">
        <x:v>R+AR同收同发</x:v>
      </x:c>
      <x:c r="D1522" s="25" t="n">
        <x:v>2</x:v>
      </x:c>
      <x:c r="E1522" s="25" t="n">
        <x:v>6</x:v>
      </x:c>
      <x:c r="F1522" s="25" t="n">
        <x:v>1</x:v>
      </x:c>
      <x:c r="G1522" s="19" t="n">
        <x:f>SUM(D1522:F1522)</x:f>
        <x:v>9</x:v>
      </x:c>
      <x:c r="H1522" s="25" t="n">
        <x:v>0</x:v>
      </x:c>
      <x:c r="I1522" s="25" t="n">
        <x:v>1</x:v>
      </x:c>
      <x:c r="J1522" s="25" t="n">
        <x:v>0</x:v>
      </x:c>
      <x:c r="K1522" s="19" t="n">
        <x:f>D1522-IF(H1522=0,1,0)</x:f>
        <x:v>1</x:v>
      </x:c>
      <x:c r="L1522" s="19" t="n">
        <x:f>E1522-IF(H1522=1,1,0)</x:f>
        <x:v>6</x:v>
      </x:c>
      <x:c r="M1522" s="19" t="n">
        <x:f>F1522-IF(H1522=2,1,0)</x:f>
        <x:v>1</x:v>
      </x:c>
      <x:c r="N1522" s="19" t="n">
        <x:f>MAX(K1522-1,0)+MAX(L1522-1,0)+MAX(M1522-1,0)</x:f>
        <x:v>5</x:v>
      </x:c>
      <x:c r="O1522" s="19" t="n">
        <x:f>IF(AND(SUM(K1522:M1522)&lt;9,OR(M1522=0,N1522&lt;6)),1,0)</x:f>
        <x:v>1</x:v>
      </x:c>
      <x:c r="P1522" s="19" t="n">
        <x:f>IF(AND(SUM(K1522:M1522)&lt;9,OR(L1522=0,N1522&lt;6)),1,0)</x:f>
        <x:v>1</x:v>
      </x:c>
      <x:c r="Q1522" s="19" t="n">
        <x:f>IF(AND(SUM(K1522:M1522)&lt;9,OR(K1522=0,N1522&lt;6)),1,0)</x:f>
        <x:v>1</x:v>
      </x:c>
      <x:c r="R1522" s="22" t="str">
        <x:f>O1522&amp;P1522&amp;Q1522</x:f>
        <x:v>111</x:v>
      </x:c>
      <x:c r="S1522" s="19" t="n">
        <x:f>IF(I1522=1,IF(J1522=0,Q1522,IF(J1522=1,P1522,IF(J1522=2,O1522,0))),0)</x:f>
        <x:v>1</x:v>
      </x:c>
      <x:c r="T1522" s="19" t="n">
        <x:f>K1522+IF(AND(S1522=1,J1522=0),1,0)</x:f>
        <x:v>2</x:v>
      </x:c>
      <x:c r="U1522" s="19" t="n">
        <x:f>L1522+IF(AND(S1522=1,J1522=1),1,0)</x:f>
        <x:v>6</x:v>
      </x:c>
      <x:c r="V1522" s="19" t="n">
        <x:f>M1522+IF(AND(S1522=1,J1522=2),1,0)</x:f>
        <x:v>1</x:v>
      </x:c>
      <x:c r="W1522" s="19" t="n">
        <x:f>SUM(T1522:V1522)</x:f>
        <x:v>9</x:v>
      </x:c>
      <x:c r="X1522" s="19" t="n">
        <x:f>W1522-G1522</x:f>
        <x:v>0</x:v>
      </x:c>
      <x:c r="Y1522" s="19" t="n">
        <x:f>MAX(T1522,1)+MAX(U1522,1)+MAX(V1522,1)</x:f>
        <x:v>9</x:v>
      </x:c>
      <x:c r="Z1522" s="21" t="str">
        <x:f>IF(AND(MIN(D1522:F1522)&gt;=0,MAX(D1522:F1522)&lt;=7,MAX(D1522,1)+MAX(E1522,1)+MAX(F1522,1)&lt;=9,OR(H1522="-",AND(H1522=0,D1522&gt;0),AND(H1522=1,E1522&gt;0),AND(H1522=2,F1522&gt;0)),OR(I1522=0,AND(I1522=1,OR(J1522=0,J1522=1,J1522=2),R1522&lt;&gt;"000")),Y1522&lt;=9,MIN(T1522:V1522)&gt;=0),"合法","输入违约")</x:f>
        <x:v>合法</x:v>
      </x:c>
    </x:row>
    <x:row r="1523" ht="23" customHeight="1">
      <x:c r="A1523" s="3" t="str">
        <x:v>CT-1516</x:v>
      </x:c>
      <x:c r="B1523" s="3" t="str">
        <x:v>ST-175</x:v>
      </x:c>
      <x:c r="C1523" s="3" t="str">
        <x:v>R+AR同收同发</x:v>
      </x:c>
      <x:c r="D1523" s="25" t="n">
        <x:v>2</x:v>
      </x:c>
      <x:c r="E1523" s="25" t="n">
        <x:v>6</x:v>
      </x:c>
      <x:c r="F1523" s="25" t="n">
        <x:v>1</x:v>
      </x:c>
      <x:c r="G1523" s="19" t="n">
        <x:f>SUM(D1523:F1523)</x:f>
        <x:v>9</x:v>
      </x:c>
      <x:c r="H1523" s="25" t="n">
        <x:v>0</x:v>
      </x:c>
      <x:c r="I1523" s="25" t="n">
        <x:v>1</x:v>
      </x:c>
      <x:c r="J1523" s="25" t="n">
        <x:v>1</x:v>
      </x:c>
      <x:c r="K1523" s="19" t="n">
        <x:f>D1523-IF(H1523=0,1,0)</x:f>
        <x:v>1</x:v>
      </x:c>
      <x:c r="L1523" s="19" t="n">
        <x:f>E1523-IF(H1523=1,1,0)</x:f>
        <x:v>6</x:v>
      </x:c>
      <x:c r="M1523" s="19" t="n">
        <x:f>F1523-IF(H1523=2,1,0)</x:f>
        <x:v>1</x:v>
      </x:c>
      <x:c r="N1523" s="19" t="n">
        <x:f>MAX(K1523-1,0)+MAX(L1523-1,0)+MAX(M1523-1,0)</x:f>
        <x:v>5</x:v>
      </x:c>
      <x:c r="O1523" s="19" t="n">
        <x:f>IF(AND(SUM(K1523:M1523)&lt;9,OR(M1523=0,N1523&lt;6)),1,0)</x:f>
        <x:v>1</x:v>
      </x:c>
      <x:c r="P1523" s="19" t="n">
        <x:f>IF(AND(SUM(K1523:M1523)&lt;9,OR(L1523=0,N1523&lt;6)),1,0)</x:f>
        <x:v>1</x:v>
      </x:c>
      <x:c r="Q1523" s="19" t="n">
        <x:f>IF(AND(SUM(K1523:M1523)&lt;9,OR(K1523=0,N1523&lt;6)),1,0)</x:f>
        <x:v>1</x:v>
      </x:c>
      <x:c r="R1523" s="22" t="str">
        <x:f>O1523&amp;P1523&amp;Q1523</x:f>
        <x:v>111</x:v>
      </x:c>
      <x:c r="S1523" s="19" t="n">
        <x:f>IF(I1523=1,IF(J1523=0,Q1523,IF(J1523=1,P1523,IF(J1523=2,O1523,0))),0)</x:f>
        <x:v>1</x:v>
      </x:c>
      <x:c r="T1523" s="19" t="n">
        <x:f>K1523+IF(AND(S1523=1,J1523=0),1,0)</x:f>
        <x:v>1</x:v>
      </x:c>
      <x:c r="U1523" s="19" t="n">
        <x:f>L1523+IF(AND(S1523=1,J1523=1),1,0)</x:f>
        <x:v>7</x:v>
      </x:c>
      <x:c r="V1523" s="19" t="n">
        <x:f>M1523+IF(AND(S1523=1,J1523=2),1,0)</x:f>
        <x:v>1</x:v>
      </x:c>
      <x:c r="W1523" s="19" t="n">
        <x:f>SUM(T1523:V1523)</x:f>
        <x:v>9</x:v>
      </x:c>
      <x:c r="X1523" s="19" t="n">
        <x:f>W1523-G1523</x:f>
        <x:v>0</x:v>
      </x:c>
      <x:c r="Y1523" s="19" t="n">
        <x:f>MAX(T1523,1)+MAX(U1523,1)+MAX(V1523,1)</x:f>
        <x:v>9</x:v>
      </x:c>
      <x:c r="Z1523" s="21" t="str">
        <x:f>IF(AND(MIN(D1523:F1523)&gt;=0,MAX(D1523:F1523)&lt;=7,MAX(D1523,1)+MAX(E1523,1)+MAX(F1523,1)&lt;=9,OR(H1523="-",AND(H1523=0,D1523&gt;0),AND(H1523=1,E1523&gt;0),AND(H1523=2,F1523&gt;0)),OR(I1523=0,AND(I1523=1,OR(J1523=0,J1523=1,J1523=2),R1523&lt;&gt;"000")),Y1523&lt;=9,MIN(T1523:V1523)&gt;=0),"合法","输入违约")</x:f>
        <x:v>合法</x:v>
      </x:c>
    </x:row>
    <x:row r="1524" ht="23" customHeight="1">
      <x:c r="A1524" s="3" t="str">
        <x:v>CT-1517</x:v>
      </x:c>
      <x:c r="B1524" s="3" t="str">
        <x:v>ST-175</x:v>
      </x:c>
      <x:c r="C1524" s="3" t="str">
        <x:v>R+AR同收同发</x:v>
      </x:c>
      <x:c r="D1524" s="25" t="n">
        <x:v>2</x:v>
      </x:c>
      <x:c r="E1524" s="25" t="n">
        <x:v>6</x:v>
      </x:c>
      <x:c r="F1524" s="25" t="n">
        <x:v>1</x:v>
      </x:c>
      <x:c r="G1524" s="19" t="n">
        <x:f>SUM(D1524:F1524)</x:f>
        <x:v>9</x:v>
      </x:c>
      <x:c r="H1524" s="25" t="n">
        <x:v>0</x:v>
      </x:c>
      <x:c r="I1524" s="25" t="n">
        <x:v>1</x:v>
      </x:c>
      <x:c r="J1524" s="25" t="n">
        <x:v>2</x:v>
      </x:c>
      <x:c r="K1524" s="19" t="n">
        <x:f>D1524-IF(H1524=0,1,0)</x:f>
        <x:v>1</x:v>
      </x:c>
      <x:c r="L1524" s="19" t="n">
        <x:f>E1524-IF(H1524=1,1,0)</x:f>
        <x:v>6</x:v>
      </x:c>
      <x:c r="M1524" s="19" t="n">
        <x:f>F1524-IF(H1524=2,1,0)</x:f>
        <x:v>1</x:v>
      </x:c>
      <x:c r="N1524" s="19" t="n">
        <x:f>MAX(K1524-1,0)+MAX(L1524-1,0)+MAX(M1524-1,0)</x:f>
        <x:v>5</x:v>
      </x:c>
      <x:c r="O1524" s="19" t="n">
        <x:f>IF(AND(SUM(K1524:M1524)&lt;9,OR(M1524=0,N1524&lt;6)),1,0)</x:f>
        <x:v>1</x:v>
      </x:c>
      <x:c r="P1524" s="19" t="n">
        <x:f>IF(AND(SUM(K1524:M1524)&lt;9,OR(L1524=0,N1524&lt;6)),1,0)</x:f>
        <x:v>1</x:v>
      </x:c>
      <x:c r="Q1524" s="19" t="n">
        <x:f>IF(AND(SUM(K1524:M1524)&lt;9,OR(K1524=0,N1524&lt;6)),1,0)</x:f>
        <x:v>1</x:v>
      </x:c>
      <x:c r="R1524" s="22" t="str">
        <x:f>O1524&amp;P1524&amp;Q1524</x:f>
        <x:v>111</x:v>
      </x:c>
      <x:c r="S1524" s="19" t="n">
        <x:f>IF(I1524=1,IF(J1524=0,Q1524,IF(J1524=1,P1524,IF(J1524=2,O1524,0))),0)</x:f>
        <x:v>1</x:v>
      </x:c>
      <x:c r="T1524" s="19" t="n">
        <x:f>K1524+IF(AND(S1524=1,J1524=0),1,0)</x:f>
        <x:v>1</x:v>
      </x:c>
      <x:c r="U1524" s="19" t="n">
        <x:f>L1524+IF(AND(S1524=1,J1524=1),1,0)</x:f>
        <x:v>6</x:v>
      </x:c>
      <x:c r="V1524" s="19" t="n">
        <x:f>M1524+IF(AND(S1524=1,J1524=2),1,0)</x:f>
        <x:v>2</x:v>
      </x:c>
      <x:c r="W1524" s="19" t="n">
        <x:f>SUM(T1524:V1524)</x:f>
        <x:v>9</x:v>
      </x:c>
      <x:c r="X1524" s="19" t="n">
        <x:f>W1524-G1524</x:f>
        <x:v>0</x:v>
      </x:c>
      <x:c r="Y1524" s="19" t="n">
        <x:f>MAX(T1524,1)+MAX(U1524,1)+MAX(V1524,1)</x:f>
        <x:v>9</x:v>
      </x:c>
      <x:c r="Z1524" s="21" t="str">
        <x:f>IF(AND(MIN(D1524:F1524)&gt;=0,MAX(D1524:F1524)&lt;=7,MAX(D1524,1)+MAX(E1524,1)+MAX(F1524,1)&lt;=9,OR(H1524="-",AND(H1524=0,D1524&gt;0),AND(H1524=1,E1524&gt;0),AND(H1524=2,F1524&gt;0)),OR(I1524=0,AND(I1524=1,OR(J1524=0,J1524=1,J1524=2),R1524&lt;&gt;"000")),Y1524&lt;=9,MIN(T1524:V1524)&gt;=0),"合法","输入违约")</x:f>
        <x:v>合法</x:v>
      </x:c>
    </x:row>
    <x:row r="1525" ht="23" customHeight="1">
      <x:c r="A1525" s="3" t="str">
        <x:v>CT-1518</x:v>
      </x:c>
      <x:c r="B1525" s="3" t="str">
        <x:v>ST-175</x:v>
      </x:c>
      <x:c r="C1525" s="3" t="str">
        <x:v>仅R回收</x:v>
      </x:c>
      <x:c r="D1525" s="25" t="n">
        <x:v>2</x:v>
      </x:c>
      <x:c r="E1525" s="25" t="n">
        <x:v>6</x:v>
      </x:c>
      <x:c r="F1525" s="25" t="n">
        <x:v>1</x:v>
      </x:c>
      <x:c r="G1525" s="19" t="n">
        <x:f>SUM(D1525:F1525)</x:f>
        <x:v>9</x:v>
      </x:c>
      <x:c r="H1525" s="25" t="n">
        <x:v>1</x:v>
      </x:c>
      <x:c r="I1525" s="25" t="n">
        <x:v>0</x:v>
      </x:c>
      <x:c r="J1525" s="25" t="str">
        <x:v>-</x:v>
      </x:c>
      <x:c r="K1525" s="19" t="n">
        <x:f>D1525-IF(H1525=0,1,0)</x:f>
        <x:v>2</x:v>
      </x:c>
      <x:c r="L1525" s="19" t="n">
        <x:f>E1525-IF(H1525=1,1,0)</x:f>
        <x:v>5</x:v>
      </x:c>
      <x:c r="M1525" s="19" t="n">
        <x:f>F1525-IF(H1525=2,1,0)</x:f>
        <x:v>1</x:v>
      </x:c>
      <x:c r="N1525" s="19" t="n">
        <x:f>MAX(K1525-1,0)+MAX(L1525-1,0)+MAX(M1525-1,0)</x:f>
        <x:v>5</x:v>
      </x:c>
      <x:c r="O1525" s="19" t="n">
        <x:f>IF(AND(SUM(K1525:M1525)&lt;9,OR(M1525=0,N1525&lt;6)),1,0)</x:f>
        <x:v>1</x:v>
      </x:c>
      <x:c r="P1525" s="19" t="n">
        <x:f>IF(AND(SUM(K1525:M1525)&lt;9,OR(L1525=0,N1525&lt;6)),1,0)</x:f>
        <x:v>1</x:v>
      </x:c>
      <x:c r="Q1525" s="19" t="n">
        <x:f>IF(AND(SUM(K1525:M1525)&lt;9,OR(K1525=0,N1525&lt;6)),1,0)</x:f>
        <x:v>1</x:v>
      </x:c>
      <x:c r="R1525" s="22" t="str">
        <x:f>O1525&amp;P1525&amp;Q1525</x:f>
        <x:v>111</x:v>
      </x:c>
      <x:c r="S1525" s="19" t="n">
        <x:f>IF(I1525=1,IF(J1525=0,Q1525,IF(J1525=1,P1525,IF(J1525=2,O1525,0))),0)</x:f>
        <x:v>0</x:v>
      </x:c>
      <x:c r="T1525" s="19" t="n">
        <x:f>K1525+IF(AND(S1525=1,J1525=0),1,0)</x:f>
        <x:v>2</x:v>
      </x:c>
      <x:c r="U1525" s="19" t="n">
        <x:f>L1525+IF(AND(S1525=1,J1525=1),1,0)</x:f>
        <x:v>5</x:v>
      </x:c>
      <x:c r="V1525" s="19" t="n">
        <x:f>M1525+IF(AND(S1525=1,J1525=2),1,0)</x:f>
        <x:v>1</x:v>
      </x:c>
      <x:c r="W1525" s="19" t="n">
        <x:f>SUM(T1525:V1525)</x:f>
        <x:v>8</x:v>
      </x:c>
      <x:c r="X1525" s="19" t="n">
        <x:f>W1525-G1525</x:f>
        <x:v>-1</x:v>
      </x:c>
      <x:c r="Y1525" s="19" t="n">
        <x:f>MAX(T1525,1)+MAX(U1525,1)+MAX(V1525,1)</x:f>
        <x:v>8</x:v>
      </x:c>
      <x:c r="Z1525" s="21" t="str">
        <x:f>IF(AND(MIN(D1525:F1525)&gt;=0,MAX(D1525:F1525)&lt;=7,MAX(D1525,1)+MAX(E1525,1)+MAX(F1525,1)&lt;=9,OR(H1525="-",AND(H1525=0,D1525&gt;0),AND(H1525=1,E1525&gt;0),AND(H1525=2,F1525&gt;0)),OR(I1525=0,AND(I1525=1,OR(J1525=0,J1525=1,J1525=2),R1525&lt;&gt;"000")),Y1525&lt;=9,MIN(T1525:V1525)&gt;=0),"合法","输入违约")</x:f>
        <x:v>合法</x:v>
      </x:c>
    </x:row>
    <x:row r="1526" ht="23" customHeight="1">
      <x:c r="A1526" s="3" t="str">
        <x:v>CT-1519</x:v>
      </x:c>
      <x:c r="B1526" s="3" t="str">
        <x:v>ST-175</x:v>
      </x:c>
      <x:c r="C1526" s="3" t="str">
        <x:v>R+AR同收同发</x:v>
      </x:c>
      <x:c r="D1526" s="25" t="n">
        <x:v>2</x:v>
      </x:c>
      <x:c r="E1526" s="25" t="n">
        <x:v>6</x:v>
      </x:c>
      <x:c r="F1526" s="25" t="n">
        <x:v>1</x:v>
      </x:c>
      <x:c r="G1526" s="19" t="n">
        <x:f>SUM(D1526:F1526)</x:f>
        <x:v>9</x:v>
      </x:c>
      <x:c r="H1526" s="25" t="n">
        <x:v>1</x:v>
      </x:c>
      <x:c r="I1526" s="25" t="n">
        <x:v>1</x:v>
      </x:c>
      <x:c r="J1526" s="25" t="n">
        <x:v>0</x:v>
      </x:c>
      <x:c r="K1526" s="19" t="n">
        <x:f>D1526-IF(H1526=0,1,0)</x:f>
        <x:v>2</x:v>
      </x:c>
      <x:c r="L1526" s="19" t="n">
        <x:f>E1526-IF(H1526=1,1,0)</x:f>
        <x:v>5</x:v>
      </x:c>
      <x:c r="M1526" s="19" t="n">
        <x:f>F1526-IF(H1526=2,1,0)</x:f>
        <x:v>1</x:v>
      </x:c>
      <x:c r="N1526" s="19" t="n">
        <x:f>MAX(K1526-1,0)+MAX(L1526-1,0)+MAX(M1526-1,0)</x:f>
        <x:v>5</x:v>
      </x:c>
      <x:c r="O1526" s="19" t="n">
        <x:f>IF(AND(SUM(K1526:M1526)&lt;9,OR(M1526=0,N1526&lt;6)),1,0)</x:f>
        <x:v>1</x:v>
      </x:c>
      <x:c r="P1526" s="19" t="n">
        <x:f>IF(AND(SUM(K1526:M1526)&lt;9,OR(L1526=0,N1526&lt;6)),1,0)</x:f>
        <x:v>1</x:v>
      </x:c>
      <x:c r="Q1526" s="19" t="n">
        <x:f>IF(AND(SUM(K1526:M1526)&lt;9,OR(K1526=0,N1526&lt;6)),1,0)</x:f>
        <x:v>1</x:v>
      </x:c>
      <x:c r="R1526" s="22" t="str">
        <x:f>O1526&amp;P1526&amp;Q1526</x:f>
        <x:v>111</x:v>
      </x:c>
      <x:c r="S1526" s="19" t="n">
        <x:f>IF(I1526=1,IF(J1526=0,Q1526,IF(J1526=1,P1526,IF(J1526=2,O1526,0))),0)</x:f>
        <x:v>1</x:v>
      </x:c>
      <x:c r="T1526" s="19" t="n">
        <x:f>K1526+IF(AND(S1526=1,J1526=0),1,0)</x:f>
        <x:v>3</x:v>
      </x:c>
      <x:c r="U1526" s="19" t="n">
        <x:f>L1526+IF(AND(S1526=1,J1526=1),1,0)</x:f>
        <x:v>5</x:v>
      </x:c>
      <x:c r="V1526" s="19" t="n">
        <x:f>M1526+IF(AND(S1526=1,J1526=2),1,0)</x:f>
        <x:v>1</x:v>
      </x:c>
      <x:c r="W1526" s="19" t="n">
        <x:f>SUM(T1526:V1526)</x:f>
        <x:v>9</x:v>
      </x:c>
      <x:c r="X1526" s="19" t="n">
        <x:f>W1526-G1526</x:f>
        <x:v>0</x:v>
      </x:c>
      <x:c r="Y1526" s="19" t="n">
        <x:f>MAX(T1526,1)+MAX(U1526,1)+MAX(V1526,1)</x:f>
        <x:v>9</x:v>
      </x:c>
      <x:c r="Z1526" s="21" t="str">
        <x:f>IF(AND(MIN(D1526:F1526)&gt;=0,MAX(D1526:F1526)&lt;=7,MAX(D1526,1)+MAX(E1526,1)+MAX(F1526,1)&lt;=9,OR(H1526="-",AND(H1526=0,D1526&gt;0),AND(H1526=1,E1526&gt;0),AND(H1526=2,F1526&gt;0)),OR(I1526=0,AND(I1526=1,OR(J1526=0,J1526=1,J1526=2),R1526&lt;&gt;"000")),Y1526&lt;=9,MIN(T1526:V1526)&gt;=0),"合法","输入违约")</x:f>
        <x:v>合法</x:v>
      </x:c>
    </x:row>
    <x:row r="1527" ht="23" customHeight="1">
      <x:c r="A1527" s="3" t="str">
        <x:v>CT-1520</x:v>
      </x:c>
      <x:c r="B1527" s="3" t="str">
        <x:v>ST-175</x:v>
      </x:c>
      <x:c r="C1527" s="3" t="str">
        <x:v>R+AR同收同发</x:v>
      </x:c>
      <x:c r="D1527" s="25" t="n">
        <x:v>2</x:v>
      </x:c>
      <x:c r="E1527" s="25" t="n">
        <x:v>6</x:v>
      </x:c>
      <x:c r="F1527" s="25" t="n">
        <x:v>1</x:v>
      </x:c>
      <x:c r="G1527" s="19" t="n">
        <x:f>SUM(D1527:F1527)</x:f>
        <x:v>9</x:v>
      </x:c>
      <x:c r="H1527" s="25" t="n">
        <x:v>1</x:v>
      </x:c>
      <x:c r="I1527" s="25" t="n">
        <x:v>1</x:v>
      </x:c>
      <x:c r="J1527" s="25" t="n">
        <x:v>1</x:v>
      </x:c>
      <x:c r="K1527" s="19" t="n">
        <x:f>D1527-IF(H1527=0,1,0)</x:f>
        <x:v>2</x:v>
      </x:c>
      <x:c r="L1527" s="19" t="n">
        <x:f>E1527-IF(H1527=1,1,0)</x:f>
        <x:v>5</x:v>
      </x:c>
      <x:c r="M1527" s="19" t="n">
        <x:f>F1527-IF(H1527=2,1,0)</x:f>
        <x:v>1</x:v>
      </x:c>
      <x:c r="N1527" s="19" t="n">
        <x:f>MAX(K1527-1,0)+MAX(L1527-1,0)+MAX(M1527-1,0)</x:f>
        <x:v>5</x:v>
      </x:c>
      <x:c r="O1527" s="19" t="n">
        <x:f>IF(AND(SUM(K1527:M1527)&lt;9,OR(M1527=0,N1527&lt;6)),1,0)</x:f>
        <x:v>1</x:v>
      </x:c>
      <x:c r="P1527" s="19" t="n">
        <x:f>IF(AND(SUM(K1527:M1527)&lt;9,OR(L1527=0,N1527&lt;6)),1,0)</x:f>
        <x:v>1</x:v>
      </x:c>
      <x:c r="Q1527" s="19" t="n">
        <x:f>IF(AND(SUM(K1527:M1527)&lt;9,OR(K1527=0,N1527&lt;6)),1,0)</x:f>
        <x:v>1</x:v>
      </x:c>
      <x:c r="R1527" s="22" t="str">
        <x:f>O1527&amp;P1527&amp;Q1527</x:f>
        <x:v>111</x:v>
      </x:c>
      <x:c r="S1527" s="19" t="n">
        <x:f>IF(I1527=1,IF(J1527=0,Q1527,IF(J1527=1,P1527,IF(J1527=2,O1527,0))),0)</x:f>
        <x:v>1</x:v>
      </x:c>
      <x:c r="T1527" s="19" t="n">
        <x:f>K1527+IF(AND(S1527=1,J1527=0),1,0)</x:f>
        <x:v>2</x:v>
      </x:c>
      <x:c r="U1527" s="19" t="n">
        <x:f>L1527+IF(AND(S1527=1,J1527=1),1,0)</x:f>
        <x:v>6</x:v>
      </x:c>
      <x:c r="V1527" s="19" t="n">
        <x:f>M1527+IF(AND(S1527=1,J1527=2),1,0)</x:f>
        <x:v>1</x:v>
      </x:c>
      <x:c r="W1527" s="19" t="n">
        <x:f>SUM(T1527:V1527)</x:f>
        <x:v>9</x:v>
      </x:c>
      <x:c r="X1527" s="19" t="n">
        <x:f>W1527-G1527</x:f>
        <x:v>0</x:v>
      </x:c>
      <x:c r="Y1527" s="19" t="n">
        <x:f>MAX(T1527,1)+MAX(U1527,1)+MAX(V1527,1)</x:f>
        <x:v>9</x:v>
      </x:c>
      <x:c r="Z1527" s="21" t="str">
        <x:f>IF(AND(MIN(D1527:F1527)&gt;=0,MAX(D1527:F1527)&lt;=7,MAX(D1527,1)+MAX(E1527,1)+MAX(F1527,1)&lt;=9,OR(H1527="-",AND(H1527=0,D1527&gt;0),AND(H1527=1,E1527&gt;0),AND(H1527=2,F1527&gt;0)),OR(I1527=0,AND(I1527=1,OR(J1527=0,J1527=1,J1527=2),R1527&lt;&gt;"000")),Y1527&lt;=9,MIN(T1527:V1527)&gt;=0),"合法","输入违约")</x:f>
        <x:v>合法</x:v>
      </x:c>
    </x:row>
    <x:row r="1528" ht="23" customHeight="1">
      <x:c r="A1528" s="3" t="str">
        <x:v>CT-1521</x:v>
      </x:c>
      <x:c r="B1528" s="3" t="str">
        <x:v>ST-175</x:v>
      </x:c>
      <x:c r="C1528" s="3" t="str">
        <x:v>R+AR同收同发</x:v>
      </x:c>
      <x:c r="D1528" s="25" t="n">
        <x:v>2</x:v>
      </x:c>
      <x:c r="E1528" s="25" t="n">
        <x:v>6</x:v>
      </x:c>
      <x:c r="F1528" s="25" t="n">
        <x:v>1</x:v>
      </x:c>
      <x:c r="G1528" s="19" t="n">
        <x:f>SUM(D1528:F1528)</x:f>
        <x:v>9</x:v>
      </x:c>
      <x:c r="H1528" s="25" t="n">
        <x:v>1</x:v>
      </x:c>
      <x:c r="I1528" s="25" t="n">
        <x:v>1</x:v>
      </x:c>
      <x:c r="J1528" s="25" t="n">
        <x:v>2</x:v>
      </x:c>
      <x:c r="K1528" s="19" t="n">
        <x:f>D1528-IF(H1528=0,1,0)</x:f>
        <x:v>2</x:v>
      </x:c>
      <x:c r="L1528" s="19" t="n">
        <x:f>E1528-IF(H1528=1,1,0)</x:f>
        <x:v>5</x:v>
      </x:c>
      <x:c r="M1528" s="19" t="n">
        <x:f>F1528-IF(H1528=2,1,0)</x:f>
        <x:v>1</x:v>
      </x:c>
      <x:c r="N1528" s="19" t="n">
        <x:f>MAX(K1528-1,0)+MAX(L1528-1,0)+MAX(M1528-1,0)</x:f>
        <x:v>5</x:v>
      </x:c>
      <x:c r="O1528" s="19" t="n">
        <x:f>IF(AND(SUM(K1528:M1528)&lt;9,OR(M1528=0,N1528&lt;6)),1,0)</x:f>
        <x:v>1</x:v>
      </x:c>
      <x:c r="P1528" s="19" t="n">
        <x:f>IF(AND(SUM(K1528:M1528)&lt;9,OR(L1528=0,N1528&lt;6)),1,0)</x:f>
        <x:v>1</x:v>
      </x:c>
      <x:c r="Q1528" s="19" t="n">
        <x:f>IF(AND(SUM(K1528:M1528)&lt;9,OR(K1528=0,N1528&lt;6)),1,0)</x:f>
        <x:v>1</x:v>
      </x:c>
      <x:c r="R1528" s="22" t="str">
        <x:f>O1528&amp;P1528&amp;Q1528</x:f>
        <x:v>111</x:v>
      </x:c>
      <x:c r="S1528" s="19" t="n">
        <x:f>IF(I1528=1,IF(J1528=0,Q1528,IF(J1528=1,P1528,IF(J1528=2,O1528,0))),0)</x:f>
        <x:v>1</x:v>
      </x:c>
      <x:c r="T1528" s="19" t="n">
        <x:f>K1528+IF(AND(S1528=1,J1528=0),1,0)</x:f>
        <x:v>2</x:v>
      </x:c>
      <x:c r="U1528" s="19" t="n">
        <x:f>L1528+IF(AND(S1528=1,J1528=1),1,0)</x:f>
        <x:v>5</x:v>
      </x:c>
      <x:c r="V1528" s="19" t="n">
        <x:f>M1528+IF(AND(S1528=1,J1528=2),1,0)</x:f>
        <x:v>2</x:v>
      </x:c>
      <x:c r="W1528" s="19" t="n">
        <x:f>SUM(T1528:V1528)</x:f>
        <x:v>9</x:v>
      </x:c>
      <x:c r="X1528" s="19" t="n">
        <x:f>W1528-G1528</x:f>
        <x:v>0</x:v>
      </x:c>
      <x:c r="Y1528" s="19" t="n">
        <x:f>MAX(T1528,1)+MAX(U1528,1)+MAX(V1528,1)</x:f>
        <x:v>9</x:v>
      </x:c>
      <x:c r="Z1528" s="21" t="str">
        <x:f>IF(AND(MIN(D1528:F1528)&gt;=0,MAX(D1528:F1528)&lt;=7,MAX(D1528,1)+MAX(E1528,1)+MAX(F1528,1)&lt;=9,OR(H1528="-",AND(H1528=0,D1528&gt;0),AND(H1528=1,E1528&gt;0),AND(H1528=2,F1528&gt;0)),OR(I1528=0,AND(I1528=1,OR(J1528=0,J1528=1,J1528=2),R1528&lt;&gt;"000")),Y1528&lt;=9,MIN(T1528:V1528)&gt;=0),"合法","输入违约")</x:f>
        <x:v>合法</x:v>
      </x:c>
    </x:row>
    <x:row r="1529" ht="23" customHeight="1">
      <x:c r="A1529" s="3" t="str">
        <x:v>CT-1522</x:v>
      </x:c>
      <x:c r="B1529" s="3" t="str">
        <x:v>ST-175</x:v>
      </x:c>
      <x:c r="C1529" s="3" t="str">
        <x:v>仅R回收</x:v>
      </x:c>
      <x:c r="D1529" s="25" t="n">
        <x:v>2</x:v>
      </x:c>
      <x:c r="E1529" s="25" t="n">
        <x:v>6</x:v>
      </x:c>
      <x:c r="F1529" s="25" t="n">
        <x:v>1</x:v>
      </x:c>
      <x:c r="G1529" s="19" t="n">
        <x:f>SUM(D1529:F1529)</x:f>
        <x:v>9</x:v>
      </x:c>
      <x:c r="H1529" s="25" t="n">
        <x:v>2</x:v>
      </x:c>
      <x:c r="I1529" s="25" t="n">
        <x:v>0</x:v>
      </x:c>
      <x:c r="J1529" s="25" t="str">
        <x:v>-</x:v>
      </x:c>
      <x:c r="K1529" s="19" t="n">
        <x:f>D1529-IF(H1529=0,1,0)</x:f>
        <x:v>2</x:v>
      </x:c>
      <x:c r="L1529" s="19" t="n">
        <x:f>E1529-IF(H1529=1,1,0)</x:f>
        <x:v>6</x:v>
      </x:c>
      <x:c r="M1529" s="19" t="n">
        <x:f>F1529-IF(H1529=2,1,0)</x:f>
        <x:v>0</x:v>
      </x:c>
      <x:c r="N1529" s="19" t="n">
        <x:f>MAX(K1529-1,0)+MAX(L1529-1,0)+MAX(M1529-1,0)</x:f>
        <x:v>6</x:v>
      </x:c>
      <x:c r="O1529" s="19" t="n">
        <x:f>IF(AND(SUM(K1529:M1529)&lt;9,OR(M1529=0,N1529&lt;6)),1,0)</x:f>
        <x:v>1</x:v>
      </x:c>
      <x:c r="P1529" s="19" t="n">
        <x:f>IF(AND(SUM(K1529:M1529)&lt;9,OR(L1529=0,N1529&lt;6)),1,0)</x:f>
        <x:v>0</x:v>
      </x:c>
      <x:c r="Q1529" s="19" t="n">
        <x:f>IF(AND(SUM(K1529:M1529)&lt;9,OR(K1529=0,N1529&lt;6)),1,0)</x:f>
        <x:v>0</x:v>
      </x:c>
      <x:c r="R1529" s="22" t="str">
        <x:f>O1529&amp;P1529&amp;Q1529</x:f>
        <x:v>100</x:v>
      </x:c>
      <x:c r="S1529" s="19" t="n">
        <x:f>IF(I1529=1,IF(J1529=0,Q1529,IF(J1529=1,P1529,IF(J1529=2,O1529,0))),0)</x:f>
        <x:v>0</x:v>
      </x:c>
      <x:c r="T1529" s="19" t="n">
        <x:f>K1529+IF(AND(S1529=1,J1529=0),1,0)</x:f>
        <x:v>2</x:v>
      </x:c>
      <x:c r="U1529" s="19" t="n">
        <x:f>L1529+IF(AND(S1529=1,J1529=1),1,0)</x:f>
        <x:v>6</x:v>
      </x:c>
      <x:c r="V1529" s="19" t="n">
        <x:f>M1529+IF(AND(S1529=1,J1529=2),1,0)</x:f>
        <x:v>0</x:v>
      </x:c>
      <x:c r="W1529" s="19" t="n">
        <x:f>SUM(T1529:V1529)</x:f>
        <x:v>8</x:v>
      </x:c>
      <x:c r="X1529" s="19" t="n">
        <x:f>W1529-G1529</x:f>
        <x:v>-1</x:v>
      </x:c>
      <x:c r="Y1529" s="19" t="n">
        <x:f>MAX(T1529,1)+MAX(U1529,1)+MAX(V1529,1)</x:f>
        <x:v>9</x:v>
      </x:c>
      <x:c r="Z1529" s="21" t="str">
        <x:f>IF(AND(MIN(D1529:F1529)&gt;=0,MAX(D1529:F1529)&lt;=7,MAX(D1529,1)+MAX(E1529,1)+MAX(F1529,1)&lt;=9,OR(H1529="-",AND(H1529=0,D1529&gt;0),AND(H1529=1,E1529&gt;0),AND(H1529=2,F1529&gt;0)),OR(I1529=0,AND(I1529=1,OR(J1529=0,J1529=1,J1529=2),R1529&lt;&gt;"000")),Y1529&lt;=9,MIN(T1529:V1529)&gt;=0),"合法","输入违约")</x:f>
        <x:v>合法</x:v>
      </x:c>
    </x:row>
    <x:row r="1530" ht="23" customHeight="1">
      <x:c r="A1530" s="3" t="str">
        <x:v>CT-1523</x:v>
      </x:c>
      <x:c r="B1530" s="3" t="str">
        <x:v>ST-175</x:v>
      </x:c>
      <x:c r="C1530" s="3" t="str">
        <x:v>仅R回收</x:v>
      </x:c>
      <x:c r="D1530" s="25" t="n">
        <x:v>2</x:v>
      </x:c>
      <x:c r="E1530" s="25" t="n">
        <x:v>6</x:v>
      </x:c>
      <x:c r="F1530" s="25" t="n">
        <x:v>1</x:v>
      </x:c>
      <x:c r="G1530" s="19" t="n">
        <x:f>SUM(D1530:F1530)</x:f>
        <x:v>9</x:v>
      </x:c>
      <x:c r="H1530" s="25" t="n">
        <x:v>2</x:v>
      </x:c>
      <x:c r="I1530" s="25" t="n">
        <x:v>1</x:v>
      </x:c>
      <x:c r="J1530" s="25" t="n">
        <x:v>0</x:v>
      </x:c>
      <x:c r="K1530" s="19" t="n">
        <x:f>D1530-IF(H1530=0,1,0)</x:f>
        <x:v>2</x:v>
      </x:c>
      <x:c r="L1530" s="19" t="n">
        <x:f>E1530-IF(H1530=1,1,0)</x:f>
        <x:v>6</x:v>
      </x:c>
      <x:c r="M1530" s="19" t="n">
        <x:f>F1530-IF(H1530=2,1,0)</x:f>
        <x:v>0</x:v>
      </x:c>
      <x:c r="N1530" s="19" t="n">
        <x:f>MAX(K1530-1,0)+MAX(L1530-1,0)+MAX(M1530-1,0)</x:f>
        <x:v>6</x:v>
      </x:c>
      <x:c r="O1530" s="19" t="n">
        <x:f>IF(AND(SUM(K1530:M1530)&lt;9,OR(M1530=0,N1530&lt;6)),1,0)</x:f>
        <x:v>1</x:v>
      </x:c>
      <x:c r="P1530" s="19" t="n">
        <x:f>IF(AND(SUM(K1530:M1530)&lt;9,OR(L1530=0,N1530&lt;6)),1,0)</x:f>
        <x:v>0</x:v>
      </x:c>
      <x:c r="Q1530" s="19" t="n">
        <x:f>IF(AND(SUM(K1530:M1530)&lt;9,OR(K1530=0,N1530&lt;6)),1,0)</x:f>
        <x:v>0</x:v>
      </x:c>
      <x:c r="R1530" s="22" t="str">
        <x:f>O1530&amp;P1530&amp;Q1530</x:f>
        <x:v>100</x:v>
      </x:c>
      <x:c r="S1530" s="19" t="n">
        <x:f>IF(I1530=1,IF(J1530=0,Q1530,IF(J1530=1,P1530,IF(J1530=2,O1530,0))),0)</x:f>
        <x:v>0</x:v>
      </x:c>
      <x:c r="T1530" s="19" t="n">
        <x:f>K1530+IF(AND(S1530=1,J1530=0),1,0)</x:f>
        <x:v>2</x:v>
      </x:c>
      <x:c r="U1530" s="19" t="n">
        <x:f>L1530+IF(AND(S1530=1,J1530=1),1,0)</x:f>
        <x:v>6</x:v>
      </x:c>
      <x:c r="V1530" s="19" t="n">
        <x:f>M1530+IF(AND(S1530=1,J1530=2),1,0)</x:f>
        <x:v>0</x:v>
      </x:c>
      <x:c r="W1530" s="19" t="n">
        <x:f>SUM(T1530:V1530)</x:f>
        <x:v>8</x:v>
      </x:c>
      <x:c r="X1530" s="19" t="n">
        <x:f>W1530-G1530</x:f>
        <x:v>-1</x:v>
      </x:c>
      <x:c r="Y1530" s="19" t="n">
        <x:f>MAX(T1530,1)+MAX(U1530,1)+MAX(V1530,1)</x:f>
        <x:v>9</x:v>
      </x:c>
      <x:c r="Z1530" s="21" t="str">
        <x:f>IF(AND(MIN(D1530:F1530)&gt;=0,MAX(D1530:F1530)&lt;=7,MAX(D1530,1)+MAX(E1530,1)+MAX(F1530,1)&lt;=9,OR(H1530="-",AND(H1530=0,D1530&gt;0),AND(H1530=1,E1530&gt;0),AND(H1530=2,F1530&gt;0)),OR(I1530=0,AND(I1530=1,OR(J1530=0,J1530=1,J1530=2),R1530&lt;&gt;"000")),Y1530&lt;=9,MIN(T1530:V1530)&gt;=0),"合法","输入违约")</x:f>
        <x:v>合法</x:v>
      </x:c>
    </x:row>
    <x:row r="1531" ht="23" customHeight="1">
      <x:c r="A1531" s="3" t="str">
        <x:v>CT-1524</x:v>
      </x:c>
      <x:c r="B1531" s="3" t="str">
        <x:v>ST-175</x:v>
      </x:c>
      <x:c r="C1531" s="3" t="str">
        <x:v>仅R回收</x:v>
      </x:c>
      <x:c r="D1531" s="25" t="n">
        <x:v>2</x:v>
      </x:c>
      <x:c r="E1531" s="25" t="n">
        <x:v>6</x:v>
      </x:c>
      <x:c r="F1531" s="25" t="n">
        <x:v>1</x:v>
      </x:c>
      <x:c r="G1531" s="19" t="n">
        <x:f>SUM(D1531:F1531)</x:f>
        <x:v>9</x:v>
      </x:c>
      <x:c r="H1531" s="25" t="n">
        <x:v>2</x:v>
      </x:c>
      <x:c r="I1531" s="25" t="n">
        <x:v>1</x:v>
      </x:c>
      <x:c r="J1531" s="25" t="n">
        <x:v>1</x:v>
      </x:c>
      <x:c r="K1531" s="19" t="n">
        <x:f>D1531-IF(H1531=0,1,0)</x:f>
        <x:v>2</x:v>
      </x:c>
      <x:c r="L1531" s="19" t="n">
        <x:f>E1531-IF(H1531=1,1,0)</x:f>
        <x:v>6</x:v>
      </x:c>
      <x:c r="M1531" s="19" t="n">
        <x:f>F1531-IF(H1531=2,1,0)</x:f>
        <x:v>0</x:v>
      </x:c>
      <x:c r="N1531" s="19" t="n">
        <x:f>MAX(K1531-1,0)+MAX(L1531-1,0)+MAX(M1531-1,0)</x:f>
        <x:v>6</x:v>
      </x:c>
      <x:c r="O1531" s="19" t="n">
        <x:f>IF(AND(SUM(K1531:M1531)&lt;9,OR(M1531=0,N1531&lt;6)),1,0)</x:f>
        <x:v>1</x:v>
      </x:c>
      <x:c r="P1531" s="19" t="n">
        <x:f>IF(AND(SUM(K1531:M1531)&lt;9,OR(L1531=0,N1531&lt;6)),1,0)</x:f>
        <x:v>0</x:v>
      </x:c>
      <x:c r="Q1531" s="19" t="n">
        <x:f>IF(AND(SUM(K1531:M1531)&lt;9,OR(K1531=0,N1531&lt;6)),1,0)</x:f>
        <x:v>0</x:v>
      </x:c>
      <x:c r="R1531" s="22" t="str">
        <x:f>O1531&amp;P1531&amp;Q1531</x:f>
        <x:v>100</x:v>
      </x:c>
      <x:c r="S1531" s="19" t="n">
        <x:f>IF(I1531=1,IF(J1531=0,Q1531,IF(J1531=1,P1531,IF(J1531=2,O1531,0))),0)</x:f>
        <x:v>0</x:v>
      </x:c>
      <x:c r="T1531" s="19" t="n">
        <x:f>K1531+IF(AND(S1531=1,J1531=0),1,0)</x:f>
        <x:v>2</x:v>
      </x:c>
      <x:c r="U1531" s="19" t="n">
        <x:f>L1531+IF(AND(S1531=1,J1531=1),1,0)</x:f>
        <x:v>6</x:v>
      </x:c>
      <x:c r="V1531" s="19" t="n">
        <x:f>M1531+IF(AND(S1531=1,J1531=2),1,0)</x:f>
        <x:v>0</x:v>
      </x:c>
      <x:c r="W1531" s="19" t="n">
        <x:f>SUM(T1531:V1531)</x:f>
        <x:v>8</x:v>
      </x:c>
      <x:c r="X1531" s="19" t="n">
        <x:f>W1531-G1531</x:f>
        <x:v>-1</x:v>
      </x:c>
      <x:c r="Y1531" s="19" t="n">
        <x:f>MAX(T1531,1)+MAX(U1531,1)+MAX(V1531,1)</x:f>
        <x:v>9</x:v>
      </x:c>
      <x:c r="Z1531" s="21" t="str">
        <x:f>IF(AND(MIN(D1531:F1531)&gt;=0,MAX(D1531:F1531)&lt;=7,MAX(D1531,1)+MAX(E1531,1)+MAX(F1531,1)&lt;=9,OR(H1531="-",AND(H1531=0,D1531&gt;0),AND(H1531=1,E1531&gt;0),AND(H1531=2,F1531&gt;0)),OR(I1531=0,AND(I1531=1,OR(J1531=0,J1531=1,J1531=2),R1531&lt;&gt;"000")),Y1531&lt;=9,MIN(T1531:V1531)&gt;=0),"合法","输入违约")</x:f>
        <x:v>合法</x:v>
      </x:c>
    </x:row>
    <x:row r="1532" ht="23" customHeight="1">
      <x:c r="A1532" s="3" t="str">
        <x:v>CT-1525</x:v>
      </x:c>
      <x:c r="B1532" s="3" t="str">
        <x:v>ST-175</x:v>
      </x:c>
      <x:c r="C1532" s="3" t="str">
        <x:v>R+AR同收同发</x:v>
      </x:c>
      <x:c r="D1532" s="25" t="n">
        <x:v>2</x:v>
      </x:c>
      <x:c r="E1532" s="25" t="n">
        <x:v>6</x:v>
      </x:c>
      <x:c r="F1532" s="25" t="n">
        <x:v>1</x:v>
      </x:c>
      <x:c r="G1532" s="19" t="n">
        <x:f>SUM(D1532:F1532)</x:f>
        <x:v>9</x:v>
      </x:c>
      <x:c r="H1532" s="25" t="n">
        <x:v>2</x:v>
      </x:c>
      <x:c r="I1532" s="25" t="n">
        <x:v>1</x:v>
      </x:c>
      <x:c r="J1532" s="25" t="n">
        <x:v>2</x:v>
      </x:c>
      <x:c r="K1532" s="19" t="n">
        <x:f>D1532-IF(H1532=0,1,0)</x:f>
        <x:v>2</x:v>
      </x:c>
      <x:c r="L1532" s="19" t="n">
        <x:f>E1532-IF(H1532=1,1,0)</x:f>
        <x:v>6</x:v>
      </x:c>
      <x:c r="M1532" s="19" t="n">
        <x:f>F1532-IF(H1532=2,1,0)</x:f>
        <x:v>0</x:v>
      </x:c>
      <x:c r="N1532" s="19" t="n">
        <x:f>MAX(K1532-1,0)+MAX(L1532-1,0)+MAX(M1532-1,0)</x:f>
        <x:v>6</x:v>
      </x:c>
      <x:c r="O1532" s="19" t="n">
        <x:f>IF(AND(SUM(K1532:M1532)&lt;9,OR(M1532=0,N1532&lt;6)),1,0)</x:f>
        <x:v>1</x:v>
      </x:c>
      <x:c r="P1532" s="19" t="n">
        <x:f>IF(AND(SUM(K1532:M1532)&lt;9,OR(L1532=0,N1532&lt;6)),1,0)</x:f>
        <x:v>0</x:v>
      </x:c>
      <x:c r="Q1532" s="19" t="n">
        <x:f>IF(AND(SUM(K1532:M1532)&lt;9,OR(K1532=0,N1532&lt;6)),1,0)</x:f>
        <x:v>0</x:v>
      </x:c>
      <x:c r="R1532" s="22" t="str">
        <x:f>O1532&amp;P1532&amp;Q1532</x:f>
        <x:v>100</x:v>
      </x:c>
      <x:c r="S1532" s="19" t="n">
        <x:f>IF(I1532=1,IF(J1532=0,Q1532,IF(J1532=1,P1532,IF(J1532=2,O1532,0))),0)</x:f>
        <x:v>1</x:v>
      </x:c>
      <x:c r="T1532" s="19" t="n">
        <x:f>K1532+IF(AND(S1532=1,J1532=0),1,0)</x:f>
        <x:v>2</x:v>
      </x:c>
      <x:c r="U1532" s="19" t="n">
        <x:f>L1532+IF(AND(S1532=1,J1532=1),1,0)</x:f>
        <x:v>6</x:v>
      </x:c>
      <x:c r="V1532" s="19" t="n">
        <x:f>M1532+IF(AND(S1532=1,J1532=2),1,0)</x:f>
        <x:v>1</x:v>
      </x:c>
      <x:c r="W1532" s="19" t="n">
        <x:f>SUM(T1532:V1532)</x:f>
        <x:v>9</x:v>
      </x:c>
      <x:c r="X1532" s="19" t="n">
        <x:f>W1532-G1532</x:f>
        <x:v>0</x:v>
      </x:c>
      <x:c r="Y1532" s="19" t="n">
        <x:f>MAX(T1532,1)+MAX(U1532,1)+MAX(V1532,1)</x:f>
        <x:v>9</x:v>
      </x:c>
      <x:c r="Z1532" s="21" t="str">
        <x:f>IF(AND(MIN(D1532:F1532)&gt;=0,MAX(D1532:F1532)&lt;=7,MAX(D1532,1)+MAX(E1532,1)+MAX(F1532,1)&lt;=9,OR(H1532="-",AND(H1532=0,D1532&gt;0),AND(H1532=1,E1532&gt;0),AND(H1532=2,F1532&gt;0)),OR(I1532=0,AND(I1532=1,OR(J1532=0,J1532=1,J1532=2),R1532&lt;&gt;"000")),Y1532&lt;=9,MIN(T1532:V1532)&gt;=0),"合法","输入违约")</x:f>
        <x:v>合法</x:v>
      </x:c>
    </x:row>
    <x:row r="1533" ht="23" customHeight="1">
      <x:c r="A1533" s="3" t="str">
        <x:v>CT-1526</x:v>
      </x:c>
      <x:c r="B1533" s="3" t="str">
        <x:v>ST-020</x:v>
      </x:c>
      <x:c r="C1533" s="3" t="str">
        <x:v>无AR/R</x:v>
      </x:c>
      <x:c r="D1533" s="25" t="n">
        <x:v>3</x:v>
      </x:c>
      <x:c r="E1533" s="25" t="n">
        <x:v>0</x:v>
      </x:c>
      <x:c r="F1533" s="25" t="n">
        <x:v>0</x:v>
      </x:c>
      <x:c r="G1533" s="19" t="n">
        <x:f>SUM(D1533:F1533)</x:f>
        <x:v>3</x:v>
      </x:c>
      <x:c r="H1533" s="25" t="str">
        <x:v>-</x:v>
      </x:c>
      <x:c r="I1533" s="25" t="n">
        <x:v>0</x:v>
      </x:c>
      <x:c r="J1533" s="25" t="str">
        <x:v>-</x:v>
      </x:c>
      <x:c r="K1533" s="19" t="n">
        <x:f>D1533-IF(H1533=0,1,0)</x:f>
        <x:v>3</x:v>
      </x:c>
      <x:c r="L1533" s="19" t="n">
        <x:f>E1533-IF(H1533=1,1,0)</x:f>
        <x:v>0</x:v>
      </x:c>
      <x:c r="M1533" s="19" t="n">
        <x:f>F1533-IF(H1533=2,1,0)</x:f>
        <x:v>0</x:v>
      </x:c>
      <x:c r="N1533" s="19" t="n">
        <x:f>MAX(K1533-1,0)+MAX(L1533-1,0)+MAX(M1533-1,0)</x:f>
        <x:v>2</x:v>
      </x:c>
      <x:c r="O1533" s="19" t="n">
        <x:f>IF(AND(SUM(K1533:M1533)&lt;9,OR(M1533=0,N1533&lt;6)),1,0)</x:f>
        <x:v>1</x:v>
      </x:c>
      <x:c r="P1533" s="19" t="n">
        <x:f>IF(AND(SUM(K1533:M1533)&lt;9,OR(L1533=0,N1533&lt;6)),1,0)</x:f>
        <x:v>1</x:v>
      </x:c>
      <x:c r="Q1533" s="19" t="n">
        <x:f>IF(AND(SUM(K1533:M1533)&lt;9,OR(K1533=0,N1533&lt;6)),1,0)</x:f>
        <x:v>1</x:v>
      </x:c>
      <x:c r="R1533" s="22" t="str">
        <x:f>O1533&amp;P1533&amp;Q1533</x:f>
        <x:v>111</x:v>
      </x:c>
      <x:c r="S1533" s="19" t="n">
        <x:f>IF(I1533=1,IF(J1533=0,Q1533,IF(J1533=1,P1533,IF(J1533=2,O1533,0))),0)</x:f>
        <x:v>0</x:v>
      </x:c>
      <x:c r="T1533" s="19" t="n">
        <x:f>K1533+IF(AND(S1533=1,J1533=0),1,0)</x:f>
        <x:v>3</x:v>
      </x:c>
      <x:c r="U1533" s="19" t="n">
        <x:f>L1533+IF(AND(S1533=1,J1533=1),1,0)</x:f>
        <x:v>0</x:v>
      </x:c>
      <x:c r="V1533" s="19" t="n">
        <x:f>M1533+IF(AND(S1533=1,J1533=2),1,0)</x:f>
        <x:v>0</x:v>
      </x:c>
      <x:c r="W1533" s="19" t="n">
        <x:f>SUM(T1533:V1533)</x:f>
        <x:v>3</x:v>
      </x:c>
      <x:c r="X1533" s="19" t="n">
        <x:f>W1533-G1533</x:f>
        <x:v>0</x:v>
      </x:c>
      <x:c r="Y1533" s="19" t="n">
        <x:f>MAX(T1533,1)+MAX(U1533,1)+MAX(V1533,1)</x:f>
        <x:v>5</x:v>
      </x:c>
      <x:c r="Z1533" s="21" t="str">
        <x:f>IF(AND(MIN(D1533:F1533)&gt;=0,MAX(D1533:F1533)&lt;=7,MAX(D1533,1)+MAX(E1533,1)+MAX(F1533,1)&lt;=9,OR(H1533="-",AND(H1533=0,D1533&gt;0),AND(H1533=1,E1533&gt;0),AND(H1533=2,F1533&gt;0)),OR(I1533=0,AND(I1533=1,OR(J1533=0,J1533=1,J1533=2),R1533&lt;&gt;"000")),Y1533&lt;=9,MIN(T1533:V1533)&gt;=0),"合法","输入违约")</x:f>
        <x:v>合法</x:v>
      </x:c>
    </x:row>
    <x:row r="1534" ht="23" customHeight="1">
      <x:c r="A1534" s="3" t="str">
        <x:v>CT-1527</x:v>
      </x:c>
      <x:c r="B1534" s="3" t="str">
        <x:v>ST-020</x:v>
      </x:c>
      <x:c r="C1534" s="3" t="str">
        <x:v>仅AR接收</x:v>
      </x:c>
      <x:c r="D1534" s="25" t="n">
        <x:v>3</x:v>
      </x:c>
      <x:c r="E1534" s="25" t="n">
        <x:v>0</x:v>
      </x:c>
      <x:c r="F1534" s="25" t="n">
        <x:v>0</x:v>
      </x:c>
      <x:c r="G1534" s="19" t="n">
        <x:f>SUM(D1534:F1534)</x:f>
        <x:v>3</x:v>
      </x:c>
      <x:c r="H1534" s="25" t="str">
        <x:v>-</x:v>
      </x:c>
      <x:c r="I1534" s="25" t="n">
        <x:v>1</x:v>
      </x:c>
      <x:c r="J1534" s="25" t="n">
        <x:v>0</x:v>
      </x:c>
      <x:c r="K1534" s="19" t="n">
        <x:f>D1534-IF(H1534=0,1,0)</x:f>
        <x:v>3</x:v>
      </x:c>
      <x:c r="L1534" s="19" t="n">
        <x:f>E1534-IF(H1534=1,1,0)</x:f>
        <x:v>0</x:v>
      </x:c>
      <x:c r="M1534" s="19" t="n">
        <x:f>F1534-IF(H1534=2,1,0)</x:f>
        <x:v>0</x:v>
      </x:c>
      <x:c r="N1534" s="19" t="n">
        <x:f>MAX(K1534-1,0)+MAX(L1534-1,0)+MAX(M1534-1,0)</x:f>
        <x:v>2</x:v>
      </x:c>
      <x:c r="O1534" s="19" t="n">
        <x:f>IF(AND(SUM(K1534:M1534)&lt;9,OR(M1534=0,N1534&lt;6)),1,0)</x:f>
        <x:v>1</x:v>
      </x:c>
      <x:c r="P1534" s="19" t="n">
        <x:f>IF(AND(SUM(K1534:M1534)&lt;9,OR(L1534=0,N1534&lt;6)),1,0)</x:f>
        <x:v>1</x:v>
      </x:c>
      <x:c r="Q1534" s="19" t="n">
        <x:f>IF(AND(SUM(K1534:M1534)&lt;9,OR(K1534=0,N1534&lt;6)),1,0)</x:f>
        <x:v>1</x:v>
      </x:c>
      <x:c r="R1534" s="22" t="str">
        <x:f>O1534&amp;P1534&amp;Q1534</x:f>
        <x:v>111</x:v>
      </x:c>
      <x:c r="S1534" s="19" t="n">
        <x:f>IF(I1534=1,IF(J1534=0,Q1534,IF(J1534=1,P1534,IF(J1534=2,O1534,0))),0)</x:f>
        <x:v>1</x:v>
      </x:c>
      <x:c r="T1534" s="19" t="n">
        <x:f>K1534+IF(AND(S1534=1,J1534=0),1,0)</x:f>
        <x:v>4</x:v>
      </x:c>
      <x:c r="U1534" s="19" t="n">
        <x:f>L1534+IF(AND(S1534=1,J1534=1),1,0)</x:f>
        <x:v>0</x:v>
      </x:c>
      <x:c r="V1534" s="19" t="n">
        <x:f>M1534+IF(AND(S1534=1,J1534=2),1,0)</x:f>
        <x:v>0</x:v>
      </x:c>
      <x:c r="W1534" s="19" t="n">
        <x:f>SUM(T1534:V1534)</x:f>
        <x:v>4</x:v>
      </x:c>
      <x:c r="X1534" s="19" t="n">
        <x:f>W1534-G1534</x:f>
        <x:v>1</x:v>
      </x:c>
      <x:c r="Y1534" s="19" t="n">
        <x:f>MAX(T1534,1)+MAX(U1534,1)+MAX(V1534,1)</x:f>
        <x:v>6</x:v>
      </x:c>
      <x:c r="Z1534" s="21" t="str">
        <x:f>IF(AND(MIN(D1534:F1534)&gt;=0,MAX(D1534:F1534)&lt;=7,MAX(D1534,1)+MAX(E1534,1)+MAX(F1534,1)&lt;=9,OR(H1534="-",AND(H1534=0,D1534&gt;0),AND(H1534=1,E1534&gt;0),AND(H1534=2,F1534&gt;0)),OR(I1534=0,AND(I1534=1,OR(J1534=0,J1534=1,J1534=2),R1534&lt;&gt;"000")),Y1534&lt;=9,MIN(T1534:V1534)&gt;=0),"合法","输入违约")</x:f>
        <x:v>合法</x:v>
      </x:c>
    </x:row>
    <x:row r="1535" ht="23" customHeight="1">
      <x:c r="A1535" s="3" t="str">
        <x:v>CT-1528</x:v>
      </x:c>
      <x:c r="B1535" s="3" t="str">
        <x:v>ST-020</x:v>
      </x:c>
      <x:c r="C1535" s="3" t="str">
        <x:v>仅AR接收</x:v>
      </x:c>
      <x:c r="D1535" s="25" t="n">
        <x:v>3</x:v>
      </x:c>
      <x:c r="E1535" s="25" t="n">
        <x:v>0</x:v>
      </x:c>
      <x:c r="F1535" s="25" t="n">
        <x:v>0</x:v>
      </x:c>
      <x:c r="G1535" s="19" t="n">
        <x:f>SUM(D1535:F1535)</x:f>
        <x:v>3</x:v>
      </x:c>
      <x:c r="H1535" s="25" t="str">
        <x:v>-</x:v>
      </x:c>
      <x:c r="I1535" s="25" t="n">
        <x:v>1</x:v>
      </x:c>
      <x:c r="J1535" s="25" t="n">
        <x:v>1</x:v>
      </x:c>
      <x:c r="K1535" s="19" t="n">
        <x:f>D1535-IF(H1535=0,1,0)</x:f>
        <x:v>3</x:v>
      </x:c>
      <x:c r="L1535" s="19" t="n">
        <x:f>E1535-IF(H1535=1,1,0)</x:f>
        <x:v>0</x:v>
      </x:c>
      <x:c r="M1535" s="19" t="n">
        <x:f>F1535-IF(H1535=2,1,0)</x:f>
        <x:v>0</x:v>
      </x:c>
      <x:c r="N1535" s="19" t="n">
        <x:f>MAX(K1535-1,0)+MAX(L1535-1,0)+MAX(M1535-1,0)</x:f>
        <x:v>2</x:v>
      </x:c>
      <x:c r="O1535" s="19" t="n">
        <x:f>IF(AND(SUM(K1535:M1535)&lt;9,OR(M1535=0,N1535&lt;6)),1,0)</x:f>
        <x:v>1</x:v>
      </x:c>
      <x:c r="P1535" s="19" t="n">
        <x:f>IF(AND(SUM(K1535:M1535)&lt;9,OR(L1535=0,N1535&lt;6)),1,0)</x:f>
        <x:v>1</x:v>
      </x:c>
      <x:c r="Q1535" s="19" t="n">
        <x:f>IF(AND(SUM(K1535:M1535)&lt;9,OR(K1535=0,N1535&lt;6)),1,0)</x:f>
        <x:v>1</x:v>
      </x:c>
      <x:c r="R1535" s="22" t="str">
        <x:f>O1535&amp;P1535&amp;Q1535</x:f>
        <x:v>111</x:v>
      </x:c>
      <x:c r="S1535" s="19" t="n">
        <x:f>IF(I1535=1,IF(J1535=0,Q1535,IF(J1535=1,P1535,IF(J1535=2,O1535,0))),0)</x:f>
        <x:v>1</x:v>
      </x:c>
      <x:c r="T1535" s="19" t="n">
        <x:f>K1535+IF(AND(S1535=1,J1535=0),1,0)</x:f>
        <x:v>3</x:v>
      </x:c>
      <x:c r="U1535" s="19" t="n">
        <x:f>L1535+IF(AND(S1535=1,J1535=1),1,0)</x:f>
        <x:v>1</x:v>
      </x:c>
      <x:c r="V1535" s="19" t="n">
        <x:f>M1535+IF(AND(S1535=1,J1535=2),1,0)</x:f>
        <x:v>0</x:v>
      </x:c>
      <x:c r="W1535" s="19" t="n">
        <x:f>SUM(T1535:V1535)</x:f>
        <x:v>4</x:v>
      </x:c>
      <x:c r="X1535" s="19" t="n">
        <x:f>W1535-G1535</x:f>
        <x:v>1</x:v>
      </x:c>
      <x:c r="Y1535" s="19" t="n">
        <x:f>MAX(T1535,1)+MAX(U1535,1)+MAX(V1535,1)</x:f>
        <x:v>5</x:v>
      </x:c>
      <x:c r="Z1535" s="21" t="str">
        <x:f>IF(AND(MIN(D1535:F1535)&gt;=0,MAX(D1535:F1535)&lt;=7,MAX(D1535,1)+MAX(E1535,1)+MAX(F1535,1)&lt;=9,OR(H1535="-",AND(H1535=0,D1535&gt;0),AND(H1535=1,E1535&gt;0),AND(H1535=2,F1535&gt;0)),OR(I1535=0,AND(I1535=1,OR(J1535=0,J1535=1,J1535=2),R1535&lt;&gt;"000")),Y1535&lt;=9,MIN(T1535:V1535)&gt;=0),"合法","输入违约")</x:f>
        <x:v>合法</x:v>
      </x:c>
    </x:row>
    <x:row r="1536" ht="23" customHeight="1">
      <x:c r="A1536" s="3" t="str">
        <x:v>CT-1529</x:v>
      </x:c>
      <x:c r="B1536" s="3" t="str">
        <x:v>ST-020</x:v>
      </x:c>
      <x:c r="C1536" s="3" t="str">
        <x:v>仅AR接收</x:v>
      </x:c>
      <x:c r="D1536" s="25" t="n">
        <x:v>3</x:v>
      </x:c>
      <x:c r="E1536" s="25" t="n">
        <x:v>0</x:v>
      </x:c>
      <x:c r="F1536" s="25" t="n">
        <x:v>0</x:v>
      </x:c>
      <x:c r="G1536" s="19" t="n">
        <x:f>SUM(D1536:F1536)</x:f>
        <x:v>3</x:v>
      </x:c>
      <x:c r="H1536" s="25" t="str">
        <x:v>-</x:v>
      </x:c>
      <x:c r="I1536" s="25" t="n">
        <x:v>1</x:v>
      </x:c>
      <x:c r="J1536" s="25" t="n">
        <x:v>2</x:v>
      </x:c>
      <x:c r="K1536" s="19" t="n">
        <x:f>D1536-IF(H1536=0,1,0)</x:f>
        <x:v>3</x:v>
      </x:c>
      <x:c r="L1536" s="19" t="n">
        <x:f>E1536-IF(H1536=1,1,0)</x:f>
        <x:v>0</x:v>
      </x:c>
      <x:c r="M1536" s="19" t="n">
        <x:f>F1536-IF(H1536=2,1,0)</x:f>
        <x:v>0</x:v>
      </x:c>
      <x:c r="N1536" s="19" t="n">
        <x:f>MAX(K1536-1,0)+MAX(L1536-1,0)+MAX(M1536-1,0)</x:f>
        <x:v>2</x:v>
      </x:c>
      <x:c r="O1536" s="19" t="n">
        <x:f>IF(AND(SUM(K1536:M1536)&lt;9,OR(M1536=0,N1536&lt;6)),1,0)</x:f>
        <x:v>1</x:v>
      </x:c>
      <x:c r="P1536" s="19" t="n">
        <x:f>IF(AND(SUM(K1536:M1536)&lt;9,OR(L1536=0,N1536&lt;6)),1,0)</x:f>
        <x:v>1</x:v>
      </x:c>
      <x:c r="Q1536" s="19" t="n">
        <x:f>IF(AND(SUM(K1536:M1536)&lt;9,OR(K1536=0,N1536&lt;6)),1,0)</x:f>
        <x:v>1</x:v>
      </x:c>
      <x:c r="R1536" s="22" t="str">
        <x:f>O1536&amp;P1536&amp;Q1536</x:f>
        <x:v>111</x:v>
      </x:c>
      <x:c r="S1536" s="19" t="n">
        <x:f>IF(I1536=1,IF(J1536=0,Q1536,IF(J1536=1,P1536,IF(J1536=2,O1536,0))),0)</x:f>
        <x:v>1</x:v>
      </x:c>
      <x:c r="T1536" s="19" t="n">
        <x:f>K1536+IF(AND(S1536=1,J1536=0),1,0)</x:f>
        <x:v>3</x:v>
      </x:c>
      <x:c r="U1536" s="19" t="n">
        <x:f>L1536+IF(AND(S1536=1,J1536=1),1,0)</x:f>
        <x:v>0</x:v>
      </x:c>
      <x:c r="V1536" s="19" t="n">
        <x:f>M1536+IF(AND(S1536=1,J1536=2),1,0)</x:f>
        <x:v>1</x:v>
      </x:c>
      <x:c r="W1536" s="19" t="n">
        <x:f>SUM(T1536:V1536)</x:f>
        <x:v>4</x:v>
      </x:c>
      <x:c r="X1536" s="19" t="n">
        <x:f>W1536-G1536</x:f>
        <x:v>1</x:v>
      </x:c>
      <x:c r="Y1536" s="19" t="n">
        <x:f>MAX(T1536,1)+MAX(U1536,1)+MAX(V1536,1)</x:f>
        <x:v>5</x:v>
      </x:c>
      <x:c r="Z1536" s="21" t="str">
        <x:f>IF(AND(MIN(D1536:F1536)&gt;=0,MAX(D1536:F1536)&lt;=7,MAX(D1536,1)+MAX(E1536,1)+MAX(F1536,1)&lt;=9,OR(H1536="-",AND(H1536=0,D1536&gt;0),AND(H1536=1,E1536&gt;0),AND(H1536=2,F1536&gt;0)),OR(I1536=0,AND(I1536=1,OR(J1536=0,J1536=1,J1536=2),R1536&lt;&gt;"000")),Y1536&lt;=9,MIN(T1536:V1536)&gt;=0),"合法","输入违约")</x:f>
        <x:v>合法</x:v>
      </x:c>
    </x:row>
    <x:row r="1537" ht="23" customHeight="1">
      <x:c r="A1537" s="3" t="str">
        <x:v>CT-1530</x:v>
      </x:c>
      <x:c r="B1537" s="3" t="str">
        <x:v>ST-020</x:v>
      </x:c>
      <x:c r="C1537" s="3" t="str">
        <x:v>仅R回收</x:v>
      </x:c>
      <x:c r="D1537" s="25" t="n">
        <x:v>3</x:v>
      </x:c>
      <x:c r="E1537" s="25" t="n">
        <x:v>0</x:v>
      </x:c>
      <x:c r="F1537" s="25" t="n">
        <x:v>0</x:v>
      </x:c>
      <x:c r="G1537" s="19" t="n">
        <x:f>SUM(D1537:F1537)</x:f>
        <x:v>3</x:v>
      </x:c>
      <x:c r="H1537" s="25" t="n">
        <x:v>0</x:v>
      </x:c>
      <x:c r="I1537" s="25" t="n">
        <x:v>0</x:v>
      </x:c>
      <x:c r="J1537" s="25" t="str">
        <x:v>-</x:v>
      </x:c>
      <x:c r="K1537" s="19" t="n">
        <x:f>D1537-IF(H1537=0,1,0)</x:f>
        <x:v>2</x:v>
      </x:c>
      <x:c r="L1537" s="19" t="n">
        <x:f>E1537-IF(H1537=1,1,0)</x:f>
        <x:v>0</x:v>
      </x:c>
      <x:c r="M1537" s="19" t="n">
        <x:f>F1537-IF(H1537=2,1,0)</x:f>
        <x:v>0</x:v>
      </x:c>
      <x:c r="N1537" s="19" t="n">
        <x:f>MAX(K1537-1,0)+MAX(L1537-1,0)+MAX(M1537-1,0)</x:f>
        <x:v>1</x:v>
      </x:c>
      <x:c r="O1537" s="19" t="n">
        <x:f>IF(AND(SUM(K1537:M1537)&lt;9,OR(M1537=0,N1537&lt;6)),1,0)</x:f>
        <x:v>1</x:v>
      </x:c>
      <x:c r="P1537" s="19" t="n">
        <x:f>IF(AND(SUM(K1537:M1537)&lt;9,OR(L1537=0,N1537&lt;6)),1,0)</x:f>
        <x:v>1</x:v>
      </x:c>
      <x:c r="Q1537" s="19" t="n">
        <x:f>IF(AND(SUM(K1537:M1537)&lt;9,OR(K1537=0,N1537&lt;6)),1,0)</x:f>
        <x:v>1</x:v>
      </x:c>
      <x:c r="R1537" s="22" t="str">
        <x:f>O1537&amp;P1537&amp;Q1537</x:f>
        <x:v>111</x:v>
      </x:c>
      <x:c r="S1537" s="19" t="n">
        <x:f>IF(I1537=1,IF(J1537=0,Q1537,IF(J1537=1,P1537,IF(J1537=2,O1537,0))),0)</x:f>
        <x:v>0</x:v>
      </x:c>
      <x:c r="T1537" s="19" t="n">
        <x:f>K1537+IF(AND(S1537=1,J1537=0),1,0)</x:f>
        <x:v>2</x:v>
      </x:c>
      <x:c r="U1537" s="19" t="n">
        <x:f>L1537+IF(AND(S1537=1,J1537=1),1,0)</x:f>
        <x:v>0</x:v>
      </x:c>
      <x:c r="V1537" s="19" t="n">
        <x:f>M1537+IF(AND(S1537=1,J1537=2),1,0)</x:f>
        <x:v>0</x:v>
      </x:c>
      <x:c r="W1537" s="19" t="n">
        <x:f>SUM(T1537:V1537)</x:f>
        <x:v>2</x:v>
      </x:c>
      <x:c r="X1537" s="19" t="n">
        <x:f>W1537-G1537</x:f>
        <x:v>-1</x:v>
      </x:c>
      <x:c r="Y1537" s="19" t="n">
        <x:f>MAX(T1537,1)+MAX(U1537,1)+MAX(V1537,1)</x:f>
        <x:v>4</x:v>
      </x:c>
      <x:c r="Z1537" s="21" t="str">
        <x:f>IF(AND(MIN(D1537:F1537)&gt;=0,MAX(D1537:F1537)&lt;=7,MAX(D1537,1)+MAX(E1537,1)+MAX(F1537,1)&lt;=9,OR(H1537="-",AND(H1537=0,D1537&gt;0),AND(H1537=1,E1537&gt;0),AND(H1537=2,F1537&gt;0)),OR(I1537=0,AND(I1537=1,OR(J1537=0,J1537=1,J1537=2),R1537&lt;&gt;"000")),Y1537&lt;=9,MIN(T1537:V1537)&gt;=0),"合法","输入违约")</x:f>
        <x:v>合法</x:v>
      </x:c>
    </x:row>
    <x:row r="1538" ht="23" customHeight="1">
      <x:c r="A1538" s="3" t="str">
        <x:v>CT-1531</x:v>
      </x:c>
      <x:c r="B1538" s="3" t="str">
        <x:v>ST-020</x:v>
      </x:c>
      <x:c r="C1538" s="3" t="str">
        <x:v>R+AR同收同发</x:v>
      </x:c>
      <x:c r="D1538" s="25" t="n">
        <x:v>3</x:v>
      </x:c>
      <x:c r="E1538" s="25" t="n">
        <x:v>0</x:v>
      </x:c>
      <x:c r="F1538" s="25" t="n">
        <x:v>0</x:v>
      </x:c>
      <x:c r="G1538" s="19" t="n">
        <x:f>SUM(D1538:F1538)</x:f>
        <x:v>3</x:v>
      </x:c>
      <x:c r="H1538" s="25" t="n">
        <x:v>0</x:v>
      </x:c>
      <x:c r="I1538" s="25" t="n">
        <x:v>1</x:v>
      </x:c>
      <x:c r="J1538" s="25" t="n">
        <x:v>0</x:v>
      </x:c>
      <x:c r="K1538" s="19" t="n">
        <x:f>D1538-IF(H1538=0,1,0)</x:f>
        <x:v>2</x:v>
      </x:c>
      <x:c r="L1538" s="19" t="n">
        <x:f>E1538-IF(H1538=1,1,0)</x:f>
        <x:v>0</x:v>
      </x:c>
      <x:c r="M1538" s="19" t="n">
        <x:f>F1538-IF(H1538=2,1,0)</x:f>
        <x:v>0</x:v>
      </x:c>
      <x:c r="N1538" s="19" t="n">
        <x:f>MAX(K1538-1,0)+MAX(L1538-1,0)+MAX(M1538-1,0)</x:f>
        <x:v>1</x:v>
      </x:c>
      <x:c r="O1538" s="19" t="n">
        <x:f>IF(AND(SUM(K1538:M1538)&lt;9,OR(M1538=0,N1538&lt;6)),1,0)</x:f>
        <x:v>1</x:v>
      </x:c>
      <x:c r="P1538" s="19" t="n">
        <x:f>IF(AND(SUM(K1538:M1538)&lt;9,OR(L1538=0,N1538&lt;6)),1,0)</x:f>
        <x:v>1</x:v>
      </x:c>
      <x:c r="Q1538" s="19" t="n">
        <x:f>IF(AND(SUM(K1538:M1538)&lt;9,OR(K1538=0,N1538&lt;6)),1,0)</x:f>
        <x:v>1</x:v>
      </x:c>
      <x:c r="R1538" s="22" t="str">
        <x:f>O1538&amp;P1538&amp;Q1538</x:f>
        <x:v>111</x:v>
      </x:c>
      <x:c r="S1538" s="19" t="n">
        <x:f>IF(I1538=1,IF(J1538=0,Q1538,IF(J1538=1,P1538,IF(J1538=2,O1538,0))),0)</x:f>
        <x:v>1</x:v>
      </x:c>
      <x:c r="T1538" s="19" t="n">
        <x:f>K1538+IF(AND(S1538=1,J1538=0),1,0)</x:f>
        <x:v>3</x:v>
      </x:c>
      <x:c r="U1538" s="19" t="n">
        <x:f>L1538+IF(AND(S1538=1,J1538=1),1,0)</x:f>
        <x:v>0</x:v>
      </x:c>
      <x:c r="V1538" s="19" t="n">
        <x:f>M1538+IF(AND(S1538=1,J1538=2),1,0)</x:f>
        <x:v>0</x:v>
      </x:c>
      <x:c r="W1538" s="19" t="n">
        <x:f>SUM(T1538:V1538)</x:f>
        <x:v>3</x:v>
      </x:c>
      <x:c r="X1538" s="19" t="n">
        <x:f>W1538-G1538</x:f>
        <x:v>0</x:v>
      </x:c>
      <x:c r="Y1538" s="19" t="n">
        <x:f>MAX(T1538,1)+MAX(U1538,1)+MAX(V1538,1)</x:f>
        <x:v>5</x:v>
      </x:c>
      <x:c r="Z1538" s="21" t="str">
        <x:f>IF(AND(MIN(D1538:F1538)&gt;=0,MAX(D1538:F1538)&lt;=7,MAX(D1538,1)+MAX(E1538,1)+MAX(F1538,1)&lt;=9,OR(H1538="-",AND(H1538=0,D1538&gt;0),AND(H1538=1,E1538&gt;0),AND(H1538=2,F1538&gt;0)),OR(I1538=0,AND(I1538=1,OR(J1538=0,J1538=1,J1538=2),R1538&lt;&gt;"000")),Y1538&lt;=9,MIN(T1538:V1538)&gt;=0),"合法","输入违约")</x:f>
        <x:v>合法</x:v>
      </x:c>
    </x:row>
    <x:row r="1539" ht="23" customHeight="1">
      <x:c r="A1539" s="3" t="str">
        <x:v>CT-1532</x:v>
      </x:c>
      <x:c r="B1539" s="3" t="str">
        <x:v>ST-020</x:v>
      </x:c>
      <x:c r="C1539" s="3" t="str">
        <x:v>R+AR同收同发</x:v>
      </x:c>
      <x:c r="D1539" s="25" t="n">
        <x:v>3</x:v>
      </x:c>
      <x:c r="E1539" s="25" t="n">
        <x:v>0</x:v>
      </x:c>
      <x:c r="F1539" s="25" t="n">
        <x:v>0</x:v>
      </x:c>
      <x:c r="G1539" s="19" t="n">
        <x:f>SUM(D1539:F1539)</x:f>
        <x:v>3</x:v>
      </x:c>
      <x:c r="H1539" s="25" t="n">
        <x:v>0</x:v>
      </x:c>
      <x:c r="I1539" s="25" t="n">
        <x:v>1</x:v>
      </x:c>
      <x:c r="J1539" s="25" t="n">
        <x:v>1</x:v>
      </x:c>
      <x:c r="K1539" s="19" t="n">
        <x:f>D1539-IF(H1539=0,1,0)</x:f>
        <x:v>2</x:v>
      </x:c>
      <x:c r="L1539" s="19" t="n">
        <x:f>E1539-IF(H1539=1,1,0)</x:f>
        <x:v>0</x:v>
      </x:c>
      <x:c r="M1539" s="19" t="n">
        <x:f>F1539-IF(H1539=2,1,0)</x:f>
        <x:v>0</x:v>
      </x:c>
      <x:c r="N1539" s="19" t="n">
        <x:f>MAX(K1539-1,0)+MAX(L1539-1,0)+MAX(M1539-1,0)</x:f>
        <x:v>1</x:v>
      </x:c>
      <x:c r="O1539" s="19" t="n">
        <x:f>IF(AND(SUM(K1539:M1539)&lt;9,OR(M1539=0,N1539&lt;6)),1,0)</x:f>
        <x:v>1</x:v>
      </x:c>
      <x:c r="P1539" s="19" t="n">
        <x:f>IF(AND(SUM(K1539:M1539)&lt;9,OR(L1539=0,N1539&lt;6)),1,0)</x:f>
        <x:v>1</x:v>
      </x:c>
      <x:c r="Q1539" s="19" t="n">
        <x:f>IF(AND(SUM(K1539:M1539)&lt;9,OR(K1539=0,N1539&lt;6)),1,0)</x:f>
        <x:v>1</x:v>
      </x:c>
      <x:c r="R1539" s="22" t="str">
        <x:f>O1539&amp;P1539&amp;Q1539</x:f>
        <x:v>111</x:v>
      </x:c>
      <x:c r="S1539" s="19" t="n">
        <x:f>IF(I1539=1,IF(J1539=0,Q1539,IF(J1539=1,P1539,IF(J1539=2,O1539,0))),0)</x:f>
        <x:v>1</x:v>
      </x:c>
      <x:c r="T1539" s="19" t="n">
        <x:f>K1539+IF(AND(S1539=1,J1539=0),1,0)</x:f>
        <x:v>2</x:v>
      </x:c>
      <x:c r="U1539" s="19" t="n">
        <x:f>L1539+IF(AND(S1539=1,J1539=1),1,0)</x:f>
        <x:v>1</x:v>
      </x:c>
      <x:c r="V1539" s="19" t="n">
        <x:f>M1539+IF(AND(S1539=1,J1539=2),1,0)</x:f>
        <x:v>0</x:v>
      </x:c>
      <x:c r="W1539" s="19" t="n">
        <x:f>SUM(T1539:V1539)</x:f>
        <x:v>3</x:v>
      </x:c>
      <x:c r="X1539" s="19" t="n">
        <x:f>W1539-G1539</x:f>
        <x:v>0</x:v>
      </x:c>
      <x:c r="Y1539" s="19" t="n">
        <x:f>MAX(T1539,1)+MAX(U1539,1)+MAX(V1539,1)</x:f>
        <x:v>4</x:v>
      </x:c>
      <x:c r="Z1539" s="21" t="str">
        <x:f>IF(AND(MIN(D1539:F1539)&gt;=0,MAX(D1539:F1539)&lt;=7,MAX(D1539,1)+MAX(E1539,1)+MAX(F1539,1)&lt;=9,OR(H1539="-",AND(H1539=0,D1539&gt;0),AND(H1539=1,E1539&gt;0),AND(H1539=2,F1539&gt;0)),OR(I1539=0,AND(I1539=1,OR(J1539=0,J1539=1,J1539=2),R1539&lt;&gt;"000")),Y1539&lt;=9,MIN(T1539:V1539)&gt;=0),"合法","输入违约")</x:f>
        <x:v>合法</x:v>
      </x:c>
    </x:row>
    <x:row r="1540" ht="23" customHeight="1">
      <x:c r="A1540" s="3" t="str">
        <x:v>CT-1533</x:v>
      </x:c>
      <x:c r="B1540" s="3" t="str">
        <x:v>ST-020</x:v>
      </x:c>
      <x:c r="C1540" s="3" t="str">
        <x:v>R+AR同收同发</x:v>
      </x:c>
      <x:c r="D1540" s="25" t="n">
        <x:v>3</x:v>
      </x:c>
      <x:c r="E1540" s="25" t="n">
        <x:v>0</x:v>
      </x:c>
      <x:c r="F1540" s="25" t="n">
        <x:v>0</x:v>
      </x:c>
      <x:c r="G1540" s="19" t="n">
        <x:f>SUM(D1540:F1540)</x:f>
        <x:v>3</x:v>
      </x:c>
      <x:c r="H1540" s="25" t="n">
        <x:v>0</x:v>
      </x:c>
      <x:c r="I1540" s="25" t="n">
        <x:v>1</x:v>
      </x:c>
      <x:c r="J1540" s="25" t="n">
        <x:v>2</x:v>
      </x:c>
      <x:c r="K1540" s="19" t="n">
        <x:f>D1540-IF(H1540=0,1,0)</x:f>
        <x:v>2</x:v>
      </x:c>
      <x:c r="L1540" s="19" t="n">
        <x:f>E1540-IF(H1540=1,1,0)</x:f>
        <x:v>0</x:v>
      </x:c>
      <x:c r="M1540" s="19" t="n">
        <x:f>F1540-IF(H1540=2,1,0)</x:f>
        <x:v>0</x:v>
      </x:c>
      <x:c r="N1540" s="19" t="n">
        <x:f>MAX(K1540-1,0)+MAX(L1540-1,0)+MAX(M1540-1,0)</x:f>
        <x:v>1</x:v>
      </x:c>
      <x:c r="O1540" s="19" t="n">
        <x:f>IF(AND(SUM(K1540:M1540)&lt;9,OR(M1540=0,N1540&lt;6)),1,0)</x:f>
        <x:v>1</x:v>
      </x:c>
      <x:c r="P1540" s="19" t="n">
        <x:f>IF(AND(SUM(K1540:M1540)&lt;9,OR(L1540=0,N1540&lt;6)),1,0)</x:f>
        <x:v>1</x:v>
      </x:c>
      <x:c r="Q1540" s="19" t="n">
        <x:f>IF(AND(SUM(K1540:M1540)&lt;9,OR(K1540=0,N1540&lt;6)),1,0)</x:f>
        <x:v>1</x:v>
      </x:c>
      <x:c r="R1540" s="22" t="str">
        <x:f>O1540&amp;P1540&amp;Q1540</x:f>
        <x:v>111</x:v>
      </x:c>
      <x:c r="S1540" s="19" t="n">
        <x:f>IF(I1540=1,IF(J1540=0,Q1540,IF(J1540=1,P1540,IF(J1540=2,O1540,0))),0)</x:f>
        <x:v>1</x:v>
      </x:c>
      <x:c r="T1540" s="19" t="n">
        <x:f>K1540+IF(AND(S1540=1,J1540=0),1,0)</x:f>
        <x:v>2</x:v>
      </x:c>
      <x:c r="U1540" s="19" t="n">
        <x:f>L1540+IF(AND(S1540=1,J1540=1),1,0)</x:f>
        <x:v>0</x:v>
      </x:c>
      <x:c r="V1540" s="19" t="n">
        <x:f>M1540+IF(AND(S1540=1,J1540=2),1,0)</x:f>
        <x:v>1</x:v>
      </x:c>
      <x:c r="W1540" s="19" t="n">
        <x:f>SUM(T1540:V1540)</x:f>
        <x:v>3</x:v>
      </x:c>
      <x:c r="X1540" s="19" t="n">
        <x:f>W1540-G1540</x:f>
        <x:v>0</x:v>
      </x:c>
      <x:c r="Y1540" s="19" t="n">
        <x:f>MAX(T1540,1)+MAX(U1540,1)+MAX(V1540,1)</x:f>
        <x:v>4</x:v>
      </x:c>
      <x:c r="Z1540" s="21" t="str">
        <x:f>IF(AND(MIN(D1540:F1540)&gt;=0,MAX(D1540:F1540)&lt;=7,MAX(D1540,1)+MAX(E1540,1)+MAX(F1540,1)&lt;=9,OR(H1540="-",AND(H1540=0,D1540&gt;0),AND(H1540=1,E1540&gt;0),AND(H1540=2,F1540&gt;0)),OR(I1540=0,AND(I1540=1,OR(J1540=0,J1540=1,J1540=2),R1540&lt;&gt;"000")),Y1540&lt;=9,MIN(T1540:V1540)&gt;=0),"合法","输入违约")</x:f>
        <x:v>合法</x:v>
      </x:c>
    </x:row>
    <x:row r="1541" ht="23" customHeight="1">
      <x:c r="A1541" s="3" t="str">
        <x:v>CT-1534</x:v>
      </x:c>
      <x:c r="B1541" s="3" t="str">
        <x:v>ST-033</x:v>
      </x:c>
      <x:c r="C1541" s="3" t="str">
        <x:v>无AR/R</x:v>
      </x:c>
      <x:c r="D1541" s="25" t="n">
        <x:v>3</x:v>
      </x:c>
      <x:c r="E1541" s="25" t="n">
        <x:v>0</x:v>
      </x:c>
      <x:c r="F1541" s="25" t="n">
        <x:v>1</x:v>
      </x:c>
      <x:c r="G1541" s="19" t="n">
        <x:f>SUM(D1541:F1541)</x:f>
        <x:v>4</x:v>
      </x:c>
      <x:c r="H1541" s="25" t="str">
        <x:v>-</x:v>
      </x:c>
      <x:c r="I1541" s="25" t="n">
        <x:v>0</x:v>
      </x:c>
      <x:c r="J1541" s="25" t="str">
        <x:v>-</x:v>
      </x:c>
      <x:c r="K1541" s="19" t="n">
        <x:f>D1541-IF(H1541=0,1,0)</x:f>
        <x:v>3</x:v>
      </x:c>
      <x:c r="L1541" s="19" t="n">
        <x:f>E1541-IF(H1541=1,1,0)</x:f>
        <x:v>0</x:v>
      </x:c>
      <x:c r="M1541" s="19" t="n">
        <x:f>F1541-IF(H1541=2,1,0)</x:f>
        <x:v>1</x:v>
      </x:c>
      <x:c r="N1541" s="19" t="n">
        <x:f>MAX(K1541-1,0)+MAX(L1541-1,0)+MAX(M1541-1,0)</x:f>
        <x:v>2</x:v>
      </x:c>
      <x:c r="O1541" s="19" t="n">
        <x:f>IF(AND(SUM(K1541:M1541)&lt;9,OR(M1541=0,N1541&lt;6)),1,0)</x:f>
        <x:v>1</x:v>
      </x:c>
      <x:c r="P1541" s="19" t="n">
        <x:f>IF(AND(SUM(K1541:M1541)&lt;9,OR(L1541=0,N1541&lt;6)),1,0)</x:f>
        <x:v>1</x:v>
      </x:c>
      <x:c r="Q1541" s="19" t="n">
        <x:f>IF(AND(SUM(K1541:M1541)&lt;9,OR(K1541=0,N1541&lt;6)),1,0)</x:f>
        <x:v>1</x:v>
      </x:c>
      <x:c r="R1541" s="22" t="str">
        <x:f>O1541&amp;P1541&amp;Q1541</x:f>
        <x:v>111</x:v>
      </x:c>
      <x:c r="S1541" s="19" t="n">
        <x:f>IF(I1541=1,IF(J1541=0,Q1541,IF(J1541=1,P1541,IF(J1541=2,O1541,0))),0)</x:f>
        <x:v>0</x:v>
      </x:c>
      <x:c r="T1541" s="19" t="n">
        <x:f>K1541+IF(AND(S1541=1,J1541=0),1,0)</x:f>
        <x:v>3</x:v>
      </x:c>
      <x:c r="U1541" s="19" t="n">
        <x:f>L1541+IF(AND(S1541=1,J1541=1),1,0)</x:f>
        <x:v>0</x:v>
      </x:c>
      <x:c r="V1541" s="19" t="n">
        <x:f>M1541+IF(AND(S1541=1,J1541=2),1,0)</x:f>
        <x:v>1</x:v>
      </x:c>
      <x:c r="W1541" s="19" t="n">
        <x:f>SUM(T1541:V1541)</x:f>
        <x:v>4</x:v>
      </x:c>
      <x:c r="X1541" s="19" t="n">
        <x:f>W1541-G1541</x:f>
        <x:v>0</x:v>
      </x:c>
      <x:c r="Y1541" s="19" t="n">
        <x:f>MAX(T1541,1)+MAX(U1541,1)+MAX(V1541,1)</x:f>
        <x:v>5</x:v>
      </x:c>
      <x:c r="Z1541" s="21" t="str">
        <x:f>IF(AND(MIN(D1541:F1541)&gt;=0,MAX(D1541:F1541)&lt;=7,MAX(D1541,1)+MAX(E1541,1)+MAX(F1541,1)&lt;=9,OR(H1541="-",AND(H1541=0,D1541&gt;0),AND(H1541=1,E1541&gt;0),AND(H1541=2,F1541&gt;0)),OR(I1541=0,AND(I1541=1,OR(J1541=0,J1541=1,J1541=2),R1541&lt;&gt;"000")),Y1541&lt;=9,MIN(T1541:V1541)&gt;=0),"合法","输入违约")</x:f>
        <x:v>合法</x:v>
      </x:c>
    </x:row>
    <x:row r="1542" ht="23" customHeight="1">
      <x:c r="A1542" s="3" t="str">
        <x:v>CT-1535</x:v>
      </x:c>
      <x:c r="B1542" s="3" t="str">
        <x:v>ST-033</x:v>
      </x:c>
      <x:c r="C1542" s="3" t="str">
        <x:v>仅AR接收</x:v>
      </x:c>
      <x:c r="D1542" s="25" t="n">
        <x:v>3</x:v>
      </x:c>
      <x:c r="E1542" s="25" t="n">
        <x:v>0</x:v>
      </x:c>
      <x:c r="F1542" s="25" t="n">
        <x:v>1</x:v>
      </x:c>
      <x:c r="G1542" s="19" t="n">
        <x:f>SUM(D1542:F1542)</x:f>
        <x:v>4</x:v>
      </x:c>
      <x:c r="H1542" s="25" t="str">
        <x:v>-</x:v>
      </x:c>
      <x:c r="I1542" s="25" t="n">
        <x:v>1</x:v>
      </x:c>
      <x:c r="J1542" s="25" t="n">
        <x:v>0</x:v>
      </x:c>
      <x:c r="K1542" s="19" t="n">
        <x:f>D1542-IF(H1542=0,1,0)</x:f>
        <x:v>3</x:v>
      </x:c>
      <x:c r="L1542" s="19" t="n">
        <x:f>E1542-IF(H1542=1,1,0)</x:f>
        <x:v>0</x:v>
      </x:c>
      <x:c r="M1542" s="19" t="n">
        <x:f>F1542-IF(H1542=2,1,0)</x:f>
        <x:v>1</x:v>
      </x:c>
      <x:c r="N1542" s="19" t="n">
        <x:f>MAX(K1542-1,0)+MAX(L1542-1,0)+MAX(M1542-1,0)</x:f>
        <x:v>2</x:v>
      </x:c>
      <x:c r="O1542" s="19" t="n">
        <x:f>IF(AND(SUM(K1542:M1542)&lt;9,OR(M1542=0,N1542&lt;6)),1,0)</x:f>
        <x:v>1</x:v>
      </x:c>
      <x:c r="P1542" s="19" t="n">
        <x:f>IF(AND(SUM(K1542:M1542)&lt;9,OR(L1542=0,N1542&lt;6)),1,0)</x:f>
        <x:v>1</x:v>
      </x:c>
      <x:c r="Q1542" s="19" t="n">
        <x:f>IF(AND(SUM(K1542:M1542)&lt;9,OR(K1542=0,N1542&lt;6)),1,0)</x:f>
        <x:v>1</x:v>
      </x:c>
      <x:c r="R1542" s="22" t="str">
        <x:f>O1542&amp;P1542&amp;Q1542</x:f>
        <x:v>111</x:v>
      </x:c>
      <x:c r="S1542" s="19" t="n">
        <x:f>IF(I1542=1,IF(J1542=0,Q1542,IF(J1542=1,P1542,IF(J1542=2,O1542,0))),0)</x:f>
        <x:v>1</x:v>
      </x:c>
      <x:c r="T1542" s="19" t="n">
        <x:f>K1542+IF(AND(S1542=1,J1542=0),1,0)</x:f>
        <x:v>4</x:v>
      </x:c>
      <x:c r="U1542" s="19" t="n">
        <x:f>L1542+IF(AND(S1542=1,J1542=1),1,0)</x:f>
        <x:v>0</x:v>
      </x:c>
      <x:c r="V1542" s="19" t="n">
        <x:f>M1542+IF(AND(S1542=1,J1542=2),1,0)</x:f>
        <x:v>1</x:v>
      </x:c>
      <x:c r="W1542" s="19" t="n">
        <x:f>SUM(T1542:V1542)</x:f>
        <x:v>5</x:v>
      </x:c>
      <x:c r="X1542" s="19" t="n">
        <x:f>W1542-G1542</x:f>
        <x:v>1</x:v>
      </x:c>
      <x:c r="Y1542" s="19" t="n">
        <x:f>MAX(T1542,1)+MAX(U1542,1)+MAX(V1542,1)</x:f>
        <x:v>6</x:v>
      </x:c>
      <x:c r="Z1542" s="21" t="str">
        <x:f>IF(AND(MIN(D1542:F1542)&gt;=0,MAX(D1542:F1542)&lt;=7,MAX(D1542,1)+MAX(E1542,1)+MAX(F1542,1)&lt;=9,OR(H1542="-",AND(H1542=0,D1542&gt;0),AND(H1542=1,E1542&gt;0),AND(H1542=2,F1542&gt;0)),OR(I1542=0,AND(I1542=1,OR(J1542=0,J1542=1,J1542=2),R1542&lt;&gt;"000")),Y1542&lt;=9,MIN(T1542:V1542)&gt;=0),"合法","输入违约")</x:f>
        <x:v>合法</x:v>
      </x:c>
    </x:row>
    <x:row r="1543" ht="23" customHeight="1">
      <x:c r="A1543" s="3" t="str">
        <x:v>CT-1536</x:v>
      </x:c>
      <x:c r="B1543" s="3" t="str">
        <x:v>ST-033</x:v>
      </x:c>
      <x:c r="C1543" s="3" t="str">
        <x:v>仅AR接收</x:v>
      </x:c>
      <x:c r="D1543" s="25" t="n">
        <x:v>3</x:v>
      </x:c>
      <x:c r="E1543" s="25" t="n">
        <x:v>0</x:v>
      </x:c>
      <x:c r="F1543" s="25" t="n">
        <x:v>1</x:v>
      </x:c>
      <x:c r="G1543" s="19" t="n">
        <x:f>SUM(D1543:F1543)</x:f>
        <x:v>4</x:v>
      </x:c>
      <x:c r="H1543" s="25" t="str">
        <x:v>-</x:v>
      </x:c>
      <x:c r="I1543" s="25" t="n">
        <x:v>1</x:v>
      </x:c>
      <x:c r="J1543" s="25" t="n">
        <x:v>1</x:v>
      </x:c>
      <x:c r="K1543" s="19" t="n">
        <x:f>D1543-IF(H1543=0,1,0)</x:f>
        <x:v>3</x:v>
      </x:c>
      <x:c r="L1543" s="19" t="n">
        <x:f>E1543-IF(H1543=1,1,0)</x:f>
        <x:v>0</x:v>
      </x:c>
      <x:c r="M1543" s="19" t="n">
        <x:f>F1543-IF(H1543=2,1,0)</x:f>
        <x:v>1</x:v>
      </x:c>
      <x:c r="N1543" s="19" t="n">
        <x:f>MAX(K1543-1,0)+MAX(L1543-1,0)+MAX(M1543-1,0)</x:f>
        <x:v>2</x:v>
      </x:c>
      <x:c r="O1543" s="19" t="n">
        <x:f>IF(AND(SUM(K1543:M1543)&lt;9,OR(M1543=0,N1543&lt;6)),1,0)</x:f>
        <x:v>1</x:v>
      </x:c>
      <x:c r="P1543" s="19" t="n">
        <x:f>IF(AND(SUM(K1543:M1543)&lt;9,OR(L1543=0,N1543&lt;6)),1,0)</x:f>
        <x:v>1</x:v>
      </x:c>
      <x:c r="Q1543" s="19" t="n">
        <x:f>IF(AND(SUM(K1543:M1543)&lt;9,OR(K1543=0,N1543&lt;6)),1,0)</x:f>
        <x:v>1</x:v>
      </x:c>
      <x:c r="R1543" s="22" t="str">
        <x:f>O1543&amp;P1543&amp;Q1543</x:f>
        <x:v>111</x:v>
      </x:c>
      <x:c r="S1543" s="19" t="n">
        <x:f>IF(I1543=1,IF(J1543=0,Q1543,IF(J1543=1,P1543,IF(J1543=2,O1543,0))),0)</x:f>
        <x:v>1</x:v>
      </x:c>
      <x:c r="T1543" s="19" t="n">
        <x:f>K1543+IF(AND(S1543=1,J1543=0),1,0)</x:f>
        <x:v>3</x:v>
      </x:c>
      <x:c r="U1543" s="19" t="n">
        <x:f>L1543+IF(AND(S1543=1,J1543=1),1,0)</x:f>
        <x:v>1</x:v>
      </x:c>
      <x:c r="V1543" s="19" t="n">
        <x:f>M1543+IF(AND(S1543=1,J1543=2),1,0)</x:f>
        <x:v>1</x:v>
      </x:c>
      <x:c r="W1543" s="19" t="n">
        <x:f>SUM(T1543:V1543)</x:f>
        <x:v>5</x:v>
      </x:c>
      <x:c r="X1543" s="19" t="n">
        <x:f>W1543-G1543</x:f>
        <x:v>1</x:v>
      </x:c>
      <x:c r="Y1543" s="19" t="n">
        <x:f>MAX(T1543,1)+MAX(U1543,1)+MAX(V1543,1)</x:f>
        <x:v>5</x:v>
      </x:c>
      <x:c r="Z1543" s="21" t="str">
        <x:f>IF(AND(MIN(D1543:F1543)&gt;=0,MAX(D1543:F1543)&lt;=7,MAX(D1543,1)+MAX(E1543,1)+MAX(F1543,1)&lt;=9,OR(H1543="-",AND(H1543=0,D1543&gt;0),AND(H1543=1,E1543&gt;0),AND(H1543=2,F1543&gt;0)),OR(I1543=0,AND(I1543=1,OR(J1543=0,J1543=1,J1543=2),R1543&lt;&gt;"000")),Y1543&lt;=9,MIN(T1543:V1543)&gt;=0),"合法","输入违约")</x:f>
        <x:v>合法</x:v>
      </x:c>
    </x:row>
    <x:row r="1544" ht="23" customHeight="1">
      <x:c r="A1544" s="3" t="str">
        <x:v>CT-1537</x:v>
      </x:c>
      <x:c r="B1544" s="3" t="str">
        <x:v>ST-033</x:v>
      </x:c>
      <x:c r="C1544" s="3" t="str">
        <x:v>仅AR接收</x:v>
      </x:c>
      <x:c r="D1544" s="25" t="n">
        <x:v>3</x:v>
      </x:c>
      <x:c r="E1544" s="25" t="n">
        <x:v>0</x:v>
      </x:c>
      <x:c r="F1544" s="25" t="n">
        <x:v>1</x:v>
      </x:c>
      <x:c r="G1544" s="19" t="n">
        <x:f>SUM(D1544:F1544)</x:f>
        <x:v>4</x:v>
      </x:c>
      <x:c r="H1544" s="25" t="str">
        <x:v>-</x:v>
      </x:c>
      <x:c r="I1544" s="25" t="n">
        <x:v>1</x:v>
      </x:c>
      <x:c r="J1544" s="25" t="n">
        <x:v>2</x:v>
      </x:c>
      <x:c r="K1544" s="19" t="n">
        <x:f>D1544-IF(H1544=0,1,0)</x:f>
        <x:v>3</x:v>
      </x:c>
      <x:c r="L1544" s="19" t="n">
        <x:f>E1544-IF(H1544=1,1,0)</x:f>
        <x:v>0</x:v>
      </x:c>
      <x:c r="M1544" s="19" t="n">
        <x:f>F1544-IF(H1544=2,1,0)</x:f>
        <x:v>1</x:v>
      </x:c>
      <x:c r="N1544" s="19" t="n">
        <x:f>MAX(K1544-1,0)+MAX(L1544-1,0)+MAX(M1544-1,0)</x:f>
        <x:v>2</x:v>
      </x:c>
      <x:c r="O1544" s="19" t="n">
        <x:f>IF(AND(SUM(K1544:M1544)&lt;9,OR(M1544=0,N1544&lt;6)),1,0)</x:f>
        <x:v>1</x:v>
      </x:c>
      <x:c r="P1544" s="19" t="n">
        <x:f>IF(AND(SUM(K1544:M1544)&lt;9,OR(L1544=0,N1544&lt;6)),1,0)</x:f>
        <x:v>1</x:v>
      </x:c>
      <x:c r="Q1544" s="19" t="n">
        <x:f>IF(AND(SUM(K1544:M1544)&lt;9,OR(K1544=0,N1544&lt;6)),1,0)</x:f>
        <x:v>1</x:v>
      </x:c>
      <x:c r="R1544" s="22" t="str">
        <x:f>O1544&amp;P1544&amp;Q1544</x:f>
        <x:v>111</x:v>
      </x:c>
      <x:c r="S1544" s="19" t="n">
        <x:f>IF(I1544=1,IF(J1544=0,Q1544,IF(J1544=1,P1544,IF(J1544=2,O1544,0))),0)</x:f>
        <x:v>1</x:v>
      </x:c>
      <x:c r="T1544" s="19" t="n">
        <x:f>K1544+IF(AND(S1544=1,J1544=0),1,0)</x:f>
        <x:v>3</x:v>
      </x:c>
      <x:c r="U1544" s="19" t="n">
        <x:f>L1544+IF(AND(S1544=1,J1544=1),1,0)</x:f>
        <x:v>0</x:v>
      </x:c>
      <x:c r="V1544" s="19" t="n">
        <x:f>M1544+IF(AND(S1544=1,J1544=2),1,0)</x:f>
        <x:v>2</x:v>
      </x:c>
      <x:c r="W1544" s="19" t="n">
        <x:f>SUM(T1544:V1544)</x:f>
        <x:v>5</x:v>
      </x:c>
      <x:c r="X1544" s="19" t="n">
        <x:f>W1544-G1544</x:f>
        <x:v>1</x:v>
      </x:c>
      <x:c r="Y1544" s="19" t="n">
        <x:f>MAX(T1544,1)+MAX(U1544,1)+MAX(V1544,1)</x:f>
        <x:v>6</x:v>
      </x:c>
      <x:c r="Z1544" s="21" t="str">
        <x:f>IF(AND(MIN(D1544:F1544)&gt;=0,MAX(D1544:F1544)&lt;=7,MAX(D1544,1)+MAX(E1544,1)+MAX(F1544,1)&lt;=9,OR(H1544="-",AND(H1544=0,D1544&gt;0),AND(H1544=1,E1544&gt;0),AND(H1544=2,F1544&gt;0)),OR(I1544=0,AND(I1544=1,OR(J1544=0,J1544=1,J1544=2),R1544&lt;&gt;"000")),Y1544&lt;=9,MIN(T1544:V1544)&gt;=0),"合法","输入违约")</x:f>
        <x:v>合法</x:v>
      </x:c>
    </x:row>
    <x:row r="1545" ht="23" customHeight="1">
      <x:c r="A1545" s="3" t="str">
        <x:v>CT-1538</x:v>
      </x:c>
      <x:c r="B1545" s="3" t="str">
        <x:v>ST-033</x:v>
      </x:c>
      <x:c r="C1545" s="3" t="str">
        <x:v>仅R回收</x:v>
      </x:c>
      <x:c r="D1545" s="25" t="n">
        <x:v>3</x:v>
      </x:c>
      <x:c r="E1545" s="25" t="n">
        <x:v>0</x:v>
      </x:c>
      <x:c r="F1545" s="25" t="n">
        <x:v>1</x:v>
      </x:c>
      <x:c r="G1545" s="19" t="n">
        <x:f>SUM(D1545:F1545)</x:f>
        <x:v>4</x:v>
      </x:c>
      <x:c r="H1545" s="25" t="n">
        <x:v>0</x:v>
      </x:c>
      <x:c r="I1545" s="25" t="n">
        <x:v>0</x:v>
      </x:c>
      <x:c r="J1545" s="25" t="str">
        <x:v>-</x:v>
      </x:c>
      <x:c r="K1545" s="19" t="n">
        <x:f>D1545-IF(H1545=0,1,0)</x:f>
        <x:v>2</x:v>
      </x:c>
      <x:c r="L1545" s="19" t="n">
        <x:f>E1545-IF(H1545=1,1,0)</x:f>
        <x:v>0</x:v>
      </x:c>
      <x:c r="M1545" s="19" t="n">
        <x:f>F1545-IF(H1545=2,1,0)</x:f>
        <x:v>1</x:v>
      </x:c>
      <x:c r="N1545" s="19" t="n">
        <x:f>MAX(K1545-1,0)+MAX(L1545-1,0)+MAX(M1545-1,0)</x:f>
        <x:v>1</x:v>
      </x:c>
      <x:c r="O1545" s="19" t="n">
        <x:f>IF(AND(SUM(K1545:M1545)&lt;9,OR(M1545=0,N1545&lt;6)),1,0)</x:f>
        <x:v>1</x:v>
      </x:c>
      <x:c r="P1545" s="19" t="n">
        <x:f>IF(AND(SUM(K1545:M1545)&lt;9,OR(L1545=0,N1545&lt;6)),1,0)</x:f>
        <x:v>1</x:v>
      </x:c>
      <x:c r="Q1545" s="19" t="n">
        <x:f>IF(AND(SUM(K1545:M1545)&lt;9,OR(K1545=0,N1545&lt;6)),1,0)</x:f>
        <x:v>1</x:v>
      </x:c>
      <x:c r="R1545" s="22" t="str">
        <x:f>O1545&amp;P1545&amp;Q1545</x:f>
        <x:v>111</x:v>
      </x:c>
      <x:c r="S1545" s="19" t="n">
        <x:f>IF(I1545=1,IF(J1545=0,Q1545,IF(J1545=1,P1545,IF(J1545=2,O1545,0))),0)</x:f>
        <x:v>0</x:v>
      </x:c>
      <x:c r="T1545" s="19" t="n">
        <x:f>K1545+IF(AND(S1545=1,J1545=0),1,0)</x:f>
        <x:v>2</x:v>
      </x:c>
      <x:c r="U1545" s="19" t="n">
        <x:f>L1545+IF(AND(S1545=1,J1545=1),1,0)</x:f>
        <x:v>0</x:v>
      </x:c>
      <x:c r="V1545" s="19" t="n">
        <x:f>M1545+IF(AND(S1545=1,J1545=2),1,0)</x:f>
        <x:v>1</x:v>
      </x:c>
      <x:c r="W1545" s="19" t="n">
        <x:f>SUM(T1545:V1545)</x:f>
        <x:v>3</x:v>
      </x:c>
      <x:c r="X1545" s="19" t="n">
        <x:f>W1545-G1545</x:f>
        <x:v>-1</x:v>
      </x:c>
      <x:c r="Y1545" s="19" t="n">
        <x:f>MAX(T1545,1)+MAX(U1545,1)+MAX(V1545,1)</x:f>
        <x:v>4</x:v>
      </x:c>
      <x:c r="Z1545" s="21" t="str">
        <x:f>IF(AND(MIN(D1545:F1545)&gt;=0,MAX(D1545:F1545)&lt;=7,MAX(D1545,1)+MAX(E1545,1)+MAX(F1545,1)&lt;=9,OR(H1545="-",AND(H1545=0,D1545&gt;0),AND(H1545=1,E1545&gt;0),AND(H1545=2,F1545&gt;0)),OR(I1545=0,AND(I1545=1,OR(J1545=0,J1545=1,J1545=2),R1545&lt;&gt;"000")),Y1545&lt;=9,MIN(T1545:V1545)&gt;=0),"合法","输入违约")</x:f>
        <x:v>合法</x:v>
      </x:c>
    </x:row>
    <x:row r="1546" ht="23" customHeight="1">
      <x:c r="A1546" s="3" t="str">
        <x:v>CT-1539</x:v>
      </x:c>
      <x:c r="B1546" s="3" t="str">
        <x:v>ST-033</x:v>
      </x:c>
      <x:c r="C1546" s="3" t="str">
        <x:v>R+AR同收同发</x:v>
      </x:c>
      <x:c r="D1546" s="25" t="n">
        <x:v>3</x:v>
      </x:c>
      <x:c r="E1546" s="25" t="n">
        <x:v>0</x:v>
      </x:c>
      <x:c r="F1546" s="25" t="n">
        <x:v>1</x:v>
      </x:c>
      <x:c r="G1546" s="19" t="n">
        <x:f>SUM(D1546:F1546)</x:f>
        <x:v>4</x:v>
      </x:c>
      <x:c r="H1546" s="25" t="n">
        <x:v>0</x:v>
      </x:c>
      <x:c r="I1546" s="25" t="n">
        <x:v>1</x:v>
      </x:c>
      <x:c r="J1546" s="25" t="n">
        <x:v>0</x:v>
      </x:c>
      <x:c r="K1546" s="19" t="n">
        <x:f>D1546-IF(H1546=0,1,0)</x:f>
        <x:v>2</x:v>
      </x:c>
      <x:c r="L1546" s="19" t="n">
        <x:f>E1546-IF(H1546=1,1,0)</x:f>
        <x:v>0</x:v>
      </x:c>
      <x:c r="M1546" s="19" t="n">
        <x:f>F1546-IF(H1546=2,1,0)</x:f>
        <x:v>1</x:v>
      </x:c>
      <x:c r="N1546" s="19" t="n">
        <x:f>MAX(K1546-1,0)+MAX(L1546-1,0)+MAX(M1546-1,0)</x:f>
        <x:v>1</x:v>
      </x:c>
      <x:c r="O1546" s="19" t="n">
        <x:f>IF(AND(SUM(K1546:M1546)&lt;9,OR(M1546=0,N1546&lt;6)),1,0)</x:f>
        <x:v>1</x:v>
      </x:c>
      <x:c r="P1546" s="19" t="n">
        <x:f>IF(AND(SUM(K1546:M1546)&lt;9,OR(L1546=0,N1546&lt;6)),1,0)</x:f>
        <x:v>1</x:v>
      </x:c>
      <x:c r="Q1546" s="19" t="n">
        <x:f>IF(AND(SUM(K1546:M1546)&lt;9,OR(K1546=0,N1546&lt;6)),1,0)</x:f>
        <x:v>1</x:v>
      </x:c>
      <x:c r="R1546" s="22" t="str">
        <x:f>O1546&amp;P1546&amp;Q1546</x:f>
        <x:v>111</x:v>
      </x:c>
      <x:c r="S1546" s="19" t="n">
        <x:f>IF(I1546=1,IF(J1546=0,Q1546,IF(J1546=1,P1546,IF(J1546=2,O1546,0))),0)</x:f>
        <x:v>1</x:v>
      </x:c>
      <x:c r="T1546" s="19" t="n">
        <x:f>K1546+IF(AND(S1546=1,J1546=0),1,0)</x:f>
        <x:v>3</x:v>
      </x:c>
      <x:c r="U1546" s="19" t="n">
        <x:f>L1546+IF(AND(S1546=1,J1546=1),1,0)</x:f>
        <x:v>0</x:v>
      </x:c>
      <x:c r="V1546" s="19" t="n">
        <x:f>M1546+IF(AND(S1546=1,J1546=2),1,0)</x:f>
        <x:v>1</x:v>
      </x:c>
      <x:c r="W1546" s="19" t="n">
        <x:f>SUM(T1546:V1546)</x:f>
        <x:v>4</x:v>
      </x:c>
      <x:c r="X1546" s="19" t="n">
        <x:f>W1546-G1546</x:f>
        <x:v>0</x:v>
      </x:c>
      <x:c r="Y1546" s="19" t="n">
        <x:f>MAX(T1546,1)+MAX(U1546,1)+MAX(V1546,1)</x:f>
        <x:v>5</x:v>
      </x:c>
      <x:c r="Z1546" s="21" t="str">
        <x:f>IF(AND(MIN(D1546:F1546)&gt;=0,MAX(D1546:F1546)&lt;=7,MAX(D1546,1)+MAX(E1546,1)+MAX(F1546,1)&lt;=9,OR(H1546="-",AND(H1546=0,D1546&gt;0),AND(H1546=1,E1546&gt;0),AND(H1546=2,F1546&gt;0)),OR(I1546=0,AND(I1546=1,OR(J1546=0,J1546=1,J1546=2),R1546&lt;&gt;"000")),Y1546&lt;=9,MIN(T1546:V1546)&gt;=0),"合法","输入违约")</x:f>
        <x:v>合法</x:v>
      </x:c>
    </x:row>
    <x:row r="1547" ht="23" customHeight="1">
      <x:c r="A1547" s="3" t="str">
        <x:v>CT-1540</x:v>
      </x:c>
      <x:c r="B1547" s="3" t="str">
        <x:v>ST-033</x:v>
      </x:c>
      <x:c r="C1547" s="3" t="str">
        <x:v>R+AR同收同发</x:v>
      </x:c>
      <x:c r="D1547" s="25" t="n">
        <x:v>3</x:v>
      </x:c>
      <x:c r="E1547" s="25" t="n">
        <x:v>0</x:v>
      </x:c>
      <x:c r="F1547" s="25" t="n">
        <x:v>1</x:v>
      </x:c>
      <x:c r="G1547" s="19" t="n">
        <x:f>SUM(D1547:F1547)</x:f>
        <x:v>4</x:v>
      </x:c>
      <x:c r="H1547" s="25" t="n">
        <x:v>0</x:v>
      </x:c>
      <x:c r="I1547" s="25" t="n">
        <x:v>1</x:v>
      </x:c>
      <x:c r="J1547" s="25" t="n">
        <x:v>1</x:v>
      </x:c>
      <x:c r="K1547" s="19" t="n">
        <x:f>D1547-IF(H1547=0,1,0)</x:f>
        <x:v>2</x:v>
      </x:c>
      <x:c r="L1547" s="19" t="n">
        <x:f>E1547-IF(H1547=1,1,0)</x:f>
        <x:v>0</x:v>
      </x:c>
      <x:c r="M1547" s="19" t="n">
        <x:f>F1547-IF(H1547=2,1,0)</x:f>
        <x:v>1</x:v>
      </x:c>
      <x:c r="N1547" s="19" t="n">
        <x:f>MAX(K1547-1,0)+MAX(L1547-1,0)+MAX(M1547-1,0)</x:f>
        <x:v>1</x:v>
      </x:c>
      <x:c r="O1547" s="19" t="n">
        <x:f>IF(AND(SUM(K1547:M1547)&lt;9,OR(M1547=0,N1547&lt;6)),1,0)</x:f>
        <x:v>1</x:v>
      </x:c>
      <x:c r="P1547" s="19" t="n">
        <x:f>IF(AND(SUM(K1547:M1547)&lt;9,OR(L1547=0,N1547&lt;6)),1,0)</x:f>
        <x:v>1</x:v>
      </x:c>
      <x:c r="Q1547" s="19" t="n">
        <x:f>IF(AND(SUM(K1547:M1547)&lt;9,OR(K1547=0,N1547&lt;6)),1,0)</x:f>
        <x:v>1</x:v>
      </x:c>
      <x:c r="R1547" s="22" t="str">
        <x:f>O1547&amp;P1547&amp;Q1547</x:f>
        <x:v>111</x:v>
      </x:c>
      <x:c r="S1547" s="19" t="n">
        <x:f>IF(I1547=1,IF(J1547=0,Q1547,IF(J1547=1,P1547,IF(J1547=2,O1547,0))),0)</x:f>
        <x:v>1</x:v>
      </x:c>
      <x:c r="T1547" s="19" t="n">
        <x:f>K1547+IF(AND(S1547=1,J1547=0),1,0)</x:f>
        <x:v>2</x:v>
      </x:c>
      <x:c r="U1547" s="19" t="n">
        <x:f>L1547+IF(AND(S1547=1,J1547=1),1,0)</x:f>
        <x:v>1</x:v>
      </x:c>
      <x:c r="V1547" s="19" t="n">
        <x:f>M1547+IF(AND(S1547=1,J1547=2),1,0)</x:f>
        <x:v>1</x:v>
      </x:c>
      <x:c r="W1547" s="19" t="n">
        <x:f>SUM(T1547:V1547)</x:f>
        <x:v>4</x:v>
      </x:c>
      <x:c r="X1547" s="19" t="n">
        <x:f>W1547-G1547</x:f>
        <x:v>0</x:v>
      </x:c>
      <x:c r="Y1547" s="19" t="n">
        <x:f>MAX(T1547,1)+MAX(U1547,1)+MAX(V1547,1)</x:f>
        <x:v>4</x:v>
      </x:c>
      <x:c r="Z1547" s="21" t="str">
        <x:f>IF(AND(MIN(D1547:F1547)&gt;=0,MAX(D1547:F1547)&lt;=7,MAX(D1547,1)+MAX(E1547,1)+MAX(F1547,1)&lt;=9,OR(H1547="-",AND(H1547=0,D1547&gt;0),AND(H1547=1,E1547&gt;0),AND(H1547=2,F1547&gt;0)),OR(I1547=0,AND(I1547=1,OR(J1547=0,J1547=1,J1547=2),R1547&lt;&gt;"000")),Y1547&lt;=9,MIN(T1547:V1547)&gt;=0),"合法","输入违约")</x:f>
        <x:v>合法</x:v>
      </x:c>
    </x:row>
    <x:row r="1548" ht="23" customHeight="1">
      <x:c r="A1548" s="3" t="str">
        <x:v>CT-1541</x:v>
      </x:c>
      <x:c r="B1548" s="3" t="str">
        <x:v>ST-033</x:v>
      </x:c>
      <x:c r="C1548" s="3" t="str">
        <x:v>R+AR同收同发</x:v>
      </x:c>
      <x:c r="D1548" s="25" t="n">
        <x:v>3</x:v>
      </x:c>
      <x:c r="E1548" s="25" t="n">
        <x:v>0</x:v>
      </x:c>
      <x:c r="F1548" s="25" t="n">
        <x:v>1</x:v>
      </x:c>
      <x:c r="G1548" s="19" t="n">
        <x:f>SUM(D1548:F1548)</x:f>
        <x:v>4</x:v>
      </x:c>
      <x:c r="H1548" s="25" t="n">
        <x:v>0</x:v>
      </x:c>
      <x:c r="I1548" s="25" t="n">
        <x:v>1</x:v>
      </x:c>
      <x:c r="J1548" s="25" t="n">
        <x:v>2</x:v>
      </x:c>
      <x:c r="K1548" s="19" t="n">
        <x:f>D1548-IF(H1548=0,1,0)</x:f>
        <x:v>2</x:v>
      </x:c>
      <x:c r="L1548" s="19" t="n">
        <x:f>E1548-IF(H1548=1,1,0)</x:f>
        <x:v>0</x:v>
      </x:c>
      <x:c r="M1548" s="19" t="n">
        <x:f>F1548-IF(H1548=2,1,0)</x:f>
        <x:v>1</x:v>
      </x:c>
      <x:c r="N1548" s="19" t="n">
        <x:f>MAX(K1548-1,0)+MAX(L1548-1,0)+MAX(M1548-1,0)</x:f>
        <x:v>1</x:v>
      </x:c>
      <x:c r="O1548" s="19" t="n">
        <x:f>IF(AND(SUM(K1548:M1548)&lt;9,OR(M1548=0,N1548&lt;6)),1,0)</x:f>
        <x:v>1</x:v>
      </x:c>
      <x:c r="P1548" s="19" t="n">
        <x:f>IF(AND(SUM(K1548:M1548)&lt;9,OR(L1548=0,N1548&lt;6)),1,0)</x:f>
        <x:v>1</x:v>
      </x:c>
      <x:c r="Q1548" s="19" t="n">
        <x:f>IF(AND(SUM(K1548:M1548)&lt;9,OR(K1548=0,N1548&lt;6)),1,0)</x:f>
        <x:v>1</x:v>
      </x:c>
      <x:c r="R1548" s="22" t="str">
        <x:f>O1548&amp;P1548&amp;Q1548</x:f>
        <x:v>111</x:v>
      </x:c>
      <x:c r="S1548" s="19" t="n">
        <x:f>IF(I1548=1,IF(J1548=0,Q1548,IF(J1548=1,P1548,IF(J1548=2,O1548,0))),0)</x:f>
        <x:v>1</x:v>
      </x:c>
      <x:c r="T1548" s="19" t="n">
        <x:f>K1548+IF(AND(S1548=1,J1548=0),1,0)</x:f>
        <x:v>2</x:v>
      </x:c>
      <x:c r="U1548" s="19" t="n">
        <x:f>L1548+IF(AND(S1548=1,J1548=1),1,0)</x:f>
        <x:v>0</x:v>
      </x:c>
      <x:c r="V1548" s="19" t="n">
        <x:f>M1548+IF(AND(S1548=1,J1548=2),1,0)</x:f>
        <x:v>2</x:v>
      </x:c>
      <x:c r="W1548" s="19" t="n">
        <x:f>SUM(T1548:V1548)</x:f>
        <x:v>4</x:v>
      </x:c>
      <x:c r="X1548" s="19" t="n">
        <x:f>W1548-G1548</x:f>
        <x:v>0</x:v>
      </x:c>
      <x:c r="Y1548" s="19" t="n">
        <x:f>MAX(T1548,1)+MAX(U1548,1)+MAX(V1548,1)</x:f>
        <x:v>5</x:v>
      </x:c>
      <x:c r="Z1548" s="21" t="str">
        <x:f>IF(AND(MIN(D1548:F1548)&gt;=0,MAX(D1548:F1548)&lt;=7,MAX(D1548,1)+MAX(E1548,1)+MAX(F1548,1)&lt;=9,OR(H1548="-",AND(H1548=0,D1548&gt;0),AND(H1548=1,E1548&gt;0),AND(H1548=2,F1548&gt;0)),OR(I1548=0,AND(I1548=1,OR(J1548=0,J1548=1,J1548=2),R1548&lt;&gt;"000")),Y1548&lt;=9,MIN(T1548:V1548)&gt;=0),"合法","输入违约")</x:f>
        <x:v>合法</x:v>
      </x:c>
    </x:row>
    <x:row r="1549" ht="23" customHeight="1">
      <x:c r="A1549" s="3" t="str">
        <x:v>CT-1542</x:v>
      </x:c>
      <x:c r="B1549" s="3" t="str">
        <x:v>ST-033</x:v>
      </x:c>
      <x:c r="C1549" s="3" t="str">
        <x:v>仅R回收</x:v>
      </x:c>
      <x:c r="D1549" s="25" t="n">
        <x:v>3</x:v>
      </x:c>
      <x:c r="E1549" s="25" t="n">
        <x:v>0</x:v>
      </x:c>
      <x:c r="F1549" s="25" t="n">
        <x:v>1</x:v>
      </x:c>
      <x:c r="G1549" s="19" t="n">
        <x:f>SUM(D1549:F1549)</x:f>
        <x:v>4</x:v>
      </x:c>
      <x:c r="H1549" s="25" t="n">
        <x:v>2</x:v>
      </x:c>
      <x:c r="I1549" s="25" t="n">
        <x:v>0</x:v>
      </x:c>
      <x:c r="J1549" s="25" t="str">
        <x:v>-</x:v>
      </x:c>
      <x:c r="K1549" s="19" t="n">
        <x:f>D1549-IF(H1549=0,1,0)</x:f>
        <x:v>3</x:v>
      </x:c>
      <x:c r="L1549" s="19" t="n">
        <x:f>E1549-IF(H1549=1,1,0)</x:f>
        <x:v>0</x:v>
      </x:c>
      <x:c r="M1549" s="19" t="n">
        <x:f>F1549-IF(H1549=2,1,0)</x:f>
        <x:v>0</x:v>
      </x:c>
      <x:c r="N1549" s="19" t="n">
        <x:f>MAX(K1549-1,0)+MAX(L1549-1,0)+MAX(M1549-1,0)</x:f>
        <x:v>2</x:v>
      </x:c>
      <x:c r="O1549" s="19" t="n">
        <x:f>IF(AND(SUM(K1549:M1549)&lt;9,OR(M1549=0,N1549&lt;6)),1,0)</x:f>
        <x:v>1</x:v>
      </x:c>
      <x:c r="P1549" s="19" t="n">
        <x:f>IF(AND(SUM(K1549:M1549)&lt;9,OR(L1549=0,N1549&lt;6)),1,0)</x:f>
        <x:v>1</x:v>
      </x:c>
      <x:c r="Q1549" s="19" t="n">
        <x:f>IF(AND(SUM(K1549:M1549)&lt;9,OR(K1549=0,N1549&lt;6)),1,0)</x:f>
        <x:v>1</x:v>
      </x:c>
      <x:c r="R1549" s="22" t="str">
        <x:f>O1549&amp;P1549&amp;Q1549</x:f>
        <x:v>111</x:v>
      </x:c>
      <x:c r="S1549" s="19" t="n">
        <x:f>IF(I1549=1,IF(J1549=0,Q1549,IF(J1549=1,P1549,IF(J1549=2,O1549,0))),0)</x:f>
        <x:v>0</x:v>
      </x:c>
      <x:c r="T1549" s="19" t="n">
        <x:f>K1549+IF(AND(S1549=1,J1549=0),1,0)</x:f>
        <x:v>3</x:v>
      </x:c>
      <x:c r="U1549" s="19" t="n">
        <x:f>L1549+IF(AND(S1549=1,J1549=1),1,0)</x:f>
        <x:v>0</x:v>
      </x:c>
      <x:c r="V1549" s="19" t="n">
        <x:f>M1549+IF(AND(S1549=1,J1549=2),1,0)</x:f>
        <x:v>0</x:v>
      </x:c>
      <x:c r="W1549" s="19" t="n">
        <x:f>SUM(T1549:V1549)</x:f>
        <x:v>3</x:v>
      </x:c>
      <x:c r="X1549" s="19" t="n">
        <x:f>W1549-G1549</x:f>
        <x:v>-1</x:v>
      </x:c>
      <x:c r="Y1549" s="19" t="n">
        <x:f>MAX(T1549,1)+MAX(U1549,1)+MAX(V1549,1)</x:f>
        <x:v>5</x:v>
      </x:c>
      <x:c r="Z1549" s="21" t="str">
        <x:f>IF(AND(MIN(D1549:F1549)&gt;=0,MAX(D1549:F1549)&lt;=7,MAX(D1549,1)+MAX(E1549,1)+MAX(F1549,1)&lt;=9,OR(H1549="-",AND(H1549=0,D1549&gt;0),AND(H1549=1,E1549&gt;0),AND(H1549=2,F1549&gt;0)),OR(I1549=0,AND(I1549=1,OR(J1549=0,J1549=1,J1549=2),R1549&lt;&gt;"000")),Y1549&lt;=9,MIN(T1549:V1549)&gt;=0),"合法","输入违约")</x:f>
        <x:v>合法</x:v>
      </x:c>
    </x:row>
    <x:row r="1550" ht="23" customHeight="1">
      <x:c r="A1550" s="3" t="str">
        <x:v>CT-1543</x:v>
      </x:c>
      <x:c r="B1550" s="3" t="str">
        <x:v>ST-033</x:v>
      </x:c>
      <x:c r="C1550" s="3" t="str">
        <x:v>R+AR同收同发</x:v>
      </x:c>
      <x:c r="D1550" s="25" t="n">
        <x:v>3</x:v>
      </x:c>
      <x:c r="E1550" s="25" t="n">
        <x:v>0</x:v>
      </x:c>
      <x:c r="F1550" s="25" t="n">
        <x:v>1</x:v>
      </x:c>
      <x:c r="G1550" s="19" t="n">
        <x:f>SUM(D1550:F1550)</x:f>
        <x:v>4</x:v>
      </x:c>
      <x:c r="H1550" s="25" t="n">
        <x:v>2</x:v>
      </x:c>
      <x:c r="I1550" s="25" t="n">
        <x:v>1</x:v>
      </x:c>
      <x:c r="J1550" s="25" t="n">
        <x:v>0</x:v>
      </x:c>
      <x:c r="K1550" s="19" t="n">
        <x:f>D1550-IF(H1550=0,1,0)</x:f>
        <x:v>3</x:v>
      </x:c>
      <x:c r="L1550" s="19" t="n">
        <x:f>E1550-IF(H1550=1,1,0)</x:f>
        <x:v>0</x:v>
      </x:c>
      <x:c r="M1550" s="19" t="n">
        <x:f>F1550-IF(H1550=2,1,0)</x:f>
        <x:v>0</x:v>
      </x:c>
      <x:c r="N1550" s="19" t="n">
        <x:f>MAX(K1550-1,0)+MAX(L1550-1,0)+MAX(M1550-1,0)</x:f>
        <x:v>2</x:v>
      </x:c>
      <x:c r="O1550" s="19" t="n">
        <x:f>IF(AND(SUM(K1550:M1550)&lt;9,OR(M1550=0,N1550&lt;6)),1,0)</x:f>
        <x:v>1</x:v>
      </x:c>
      <x:c r="P1550" s="19" t="n">
        <x:f>IF(AND(SUM(K1550:M1550)&lt;9,OR(L1550=0,N1550&lt;6)),1,0)</x:f>
        <x:v>1</x:v>
      </x:c>
      <x:c r="Q1550" s="19" t="n">
        <x:f>IF(AND(SUM(K1550:M1550)&lt;9,OR(K1550=0,N1550&lt;6)),1,0)</x:f>
        <x:v>1</x:v>
      </x:c>
      <x:c r="R1550" s="22" t="str">
        <x:f>O1550&amp;P1550&amp;Q1550</x:f>
        <x:v>111</x:v>
      </x:c>
      <x:c r="S1550" s="19" t="n">
        <x:f>IF(I1550=1,IF(J1550=0,Q1550,IF(J1550=1,P1550,IF(J1550=2,O1550,0))),0)</x:f>
        <x:v>1</x:v>
      </x:c>
      <x:c r="T1550" s="19" t="n">
        <x:f>K1550+IF(AND(S1550=1,J1550=0),1,0)</x:f>
        <x:v>4</x:v>
      </x:c>
      <x:c r="U1550" s="19" t="n">
        <x:f>L1550+IF(AND(S1550=1,J1550=1),1,0)</x:f>
        <x:v>0</x:v>
      </x:c>
      <x:c r="V1550" s="19" t="n">
        <x:f>M1550+IF(AND(S1550=1,J1550=2),1,0)</x:f>
        <x:v>0</x:v>
      </x:c>
      <x:c r="W1550" s="19" t="n">
        <x:f>SUM(T1550:V1550)</x:f>
        <x:v>4</x:v>
      </x:c>
      <x:c r="X1550" s="19" t="n">
        <x:f>W1550-G1550</x:f>
        <x:v>0</x:v>
      </x:c>
      <x:c r="Y1550" s="19" t="n">
        <x:f>MAX(T1550,1)+MAX(U1550,1)+MAX(V1550,1)</x:f>
        <x:v>6</x:v>
      </x:c>
      <x:c r="Z1550" s="21" t="str">
        <x:f>IF(AND(MIN(D1550:F1550)&gt;=0,MAX(D1550:F1550)&lt;=7,MAX(D1550,1)+MAX(E1550,1)+MAX(F1550,1)&lt;=9,OR(H1550="-",AND(H1550=0,D1550&gt;0),AND(H1550=1,E1550&gt;0),AND(H1550=2,F1550&gt;0)),OR(I1550=0,AND(I1550=1,OR(J1550=0,J1550=1,J1550=2),R1550&lt;&gt;"000")),Y1550&lt;=9,MIN(T1550:V1550)&gt;=0),"合法","输入违约")</x:f>
        <x:v>合法</x:v>
      </x:c>
    </x:row>
    <x:row r="1551" ht="23" customHeight="1">
      <x:c r="A1551" s="3" t="str">
        <x:v>CT-1544</x:v>
      </x:c>
      <x:c r="B1551" s="3" t="str">
        <x:v>ST-033</x:v>
      </x:c>
      <x:c r="C1551" s="3" t="str">
        <x:v>R+AR同收同发</x:v>
      </x:c>
      <x:c r="D1551" s="25" t="n">
        <x:v>3</x:v>
      </x:c>
      <x:c r="E1551" s="25" t="n">
        <x:v>0</x:v>
      </x:c>
      <x:c r="F1551" s="25" t="n">
        <x:v>1</x:v>
      </x:c>
      <x:c r="G1551" s="19" t="n">
        <x:f>SUM(D1551:F1551)</x:f>
        <x:v>4</x:v>
      </x:c>
      <x:c r="H1551" s="25" t="n">
        <x:v>2</x:v>
      </x:c>
      <x:c r="I1551" s="25" t="n">
        <x:v>1</x:v>
      </x:c>
      <x:c r="J1551" s="25" t="n">
        <x:v>1</x:v>
      </x:c>
      <x:c r="K1551" s="19" t="n">
        <x:f>D1551-IF(H1551=0,1,0)</x:f>
        <x:v>3</x:v>
      </x:c>
      <x:c r="L1551" s="19" t="n">
        <x:f>E1551-IF(H1551=1,1,0)</x:f>
        <x:v>0</x:v>
      </x:c>
      <x:c r="M1551" s="19" t="n">
        <x:f>F1551-IF(H1551=2,1,0)</x:f>
        <x:v>0</x:v>
      </x:c>
      <x:c r="N1551" s="19" t="n">
        <x:f>MAX(K1551-1,0)+MAX(L1551-1,0)+MAX(M1551-1,0)</x:f>
        <x:v>2</x:v>
      </x:c>
      <x:c r="O1551" s="19" t="n">
        <x:f>IF(AND(SUM(K1551:M1551)&lt;9,OR(M1551=0,N1551&lt;6)),1,0)</x:f>
        <x:v>1</x:v>
      </x:c>
      <x:c r="P1551" s="19" t="n">
        <x:f>IF(AND(SUM(K1551:M1551)&lt;9,OR(L1551=0,N1551&lt;6)),1,0)</x:f>
        <x:v>1</x:v>
      </x:c>
      <x:c r="Q1551" s="19" t="n">
        <x:f>IF(AND(SUM(K1551:M1551)&lt;9,OR(K1551=0,N1551&lt;6)),1,0)</x:f>
        <x:v>1</x:v>
      </x:c>
      <x:c r="R1551" s="22" t="str">
        <x:f>O1551&amp;P1551&amp;Q1551</x:f>
        <x:v>111</x:v>
      </x:c>
      <x:c r="S1551" s="19" t="n">
        <x:f>IF(I1551=1,IF(J1551=0,Q1551,IF(J1551=1,P1551,IF(J1551=2,O1551,0))),0)</x:f>
        <x:v>1</x:v>
      </x:c>
      <x:c r="T1551" s="19" t="n">
        <x:f>K1551+IF(AND(S1551=1,J1551=0),1,0)</x:f>
        <x:v>3</x:v>
      </x:c>
      <x:c r="U1551" s="19" t="n">
        <x:f>L1551+IF(AND(S1551=1,J1551=1),1,0)</x:f>
        <x:v>1</x:v>
      </x:c>
      <x:c r="V1551" s="19" t="n">
        <x:f>M1551+IF(AND(S1551=1,J1551=2),1,0)</x:f>
        <x:v>0</x:v>
      </x:c>
      <x:c r="W1551" s="19" t="n">
        <x:f>SUM(T1551:V1551)</x:f>
        <x:v>4</x:v>
      </x:c>
      <x:c r="X1551" s="19" t="n">
        <x:f>W1551-G1551</x:f>
        <x:v>0</x:v>
      </x:c>
      <x:c r="Y1551" s="19" t="n">
        <x:f>MAX(T1551,1)+MAX(U1551,1)+MAX(V1551,1)</x:f>
        <x:v>5</x:v>
      </x:c>
      <x:c r="Z1551" s="21" t="str">
        <x:f>IF(AND(MIN(D1551:F1551)&gt;=0,MAX(D1551:F1551)&lt;=7,MAX(D1551,1)+MAX(E1551,1)+MAX(F1551,1)&lt;=9,OR(H1551="-",AND(H1551=0,D1551&gt;0),AND(H1551=1,E1551&gt;0),AND(H1551=2,F1551&gt;0)),OR(I1551=0,AND(I1551=1,OR(J1551=0,J1551=1,J1551=2),R1551&lt;&gt;"000")),Y1551&lt;=9,MIN(T1551:V1551)&gt;=0),"合法","输入违约")</x:f>
        <x:v>合法</x:v>
      </x:c>
    </x:row>
    <x:row r="1552" ht="23" customHeight="1">
      <x:c r="A1552" s="3" t="str">
        <x:v>CT-1545</x:v>
      </x:c>
      <x:c r="B1552" s="3" t="str">
        <x:v>ST-033</x:v>
      </x:c>
      <x:c r="C1552" s="3" t="str">
        <x:v>R+AR同收同发</x:v>
      </x:c>
      <x:c r="D1552" s="25" t="n">
        <x:v>3</x:v>
      </x:c>
      <x:c r="E1552" s="25" t="n">
        <x:v>0</x:v>
      </x:c>
      <x:c r="F1552" s="25" t="n">
        <x:v>1</x:v>
      </x:c>
      <x:c r="G1552" s="19" t="n">
        <x:f>SUM(D1552:F1552)</x:f>
        <x:v>4</x:v>
      </x:c>
      <x:c r="H1552" s="25" t="n">
        <x:v>2</x:v>
      </x:c>
      <x:c r="I1552" s="25" t="n">
        <x:v>1</x:v>
      </x:c>
      <x:c r="J1552" s="25" t="n">
        <x:v>2</x:v>
      </x:c>
      <x:c r="K1552" s="19" t="n">
        <x:f>D1552-IF(H1552=0,1,0)</x:f>
        <x:v>3</x:v>
      </x:c>
      <x:c r="L1552" s="19" t="n">
        <x:f>E1552-IF(H1552=1,1,0)</x:f>
        <x:v>0</x:v>
      </x:c>
      <x:c r="M1552" s="19" t="n">
        <x:f>F1552-IF(H1552=2,1,0)</x:f>
        <x:v>0</x:v>
      </x:c>
      <x:c r="N1552" s="19" t="n">
        <x:f>MAX(K1552-1,0)+MAX(L1552-1,0)+MAX(M1552-1,0)</x:f>
        <x:v>2</x:v>
      </x:c>
      <x:c r="O1552" s="19" t="n">
        <x:f>IF(AND(SUM(K1552:M1552)&lt;9,OR(M1552=0,N1552&lt;6)),1,0)</x:f>
        <x:v>1</x:v>
      </x:c>
      <x:c r="P1552" s="19" t="n">
        <x:f>IF(AND(SUM(K1552:M1552)&lt;9,OR(L1552=0,N1552&lt;6)),1,0)</x:f>
        <x:v>1</x:v>
      </x:c>
      <x:c r="Q1552" s="19" t="n">
        <x:f>IF(AND(SUM(K1552:M1552)&lt;9,OR(K1552=0,N1552&lt;6)),1,0)</x:f>
        <x:v>1</x:v>
      </x:c>
      <x:c r="R1552" s="22" t="str">
        <x:f>O1552&amp;P1552&amp;Q1552</x:f>
        <x:v>111</x:v>
      </x:c>
      <x:c r="S1552" s="19" t="n">
        <x:f>IF(I1552=1,IF(J1552=0,Q1552,IF(J1552=1,P1552,IF(J1552=2,O1552,0))),0)</x:f>
        <x:v>1</x:v>
      </x:c>
      <x:c r="T1552" s="19" t="n">
        <x:f>K1552+IF(AND(S1552=1,J1552=0),1,0)</x:f>
        <x:v>3</x:v>
      </x:c>
      <x:c r="U1552" s="19" t="n">
        <x:f>L1552+IF(AND(S1552=1,J1552=1),1,0)</x:f>
        <x:v>0</x:v>
      </x:c>
      <x:c r="V1552" s="19" t="n">
        <x:f>M1552+IF(AND(S1552=1,J1552=2),1,0)</x:f>
        <x:v>1</x:v>
      </x:c>
      <x:c r="W1552" s="19" t="n">
        <x:f>SUM(T1552:V1552)</x:f>
        <x:v>4</x:v>
      </x:c>
      <x:c r="X1552" s="19" t="n">
        <x:f>W1552-G1552</x:f>
        <x:v>0</x:v>
      </x:c>
      <x:c r="Y1552" s="19" t="n">
        <x:f>MAX(T1552,1)+MAX(U1552,1)+MAX(V1552,1)</x:f>
        <x:v>5</x:v>
      </x:c>
      <x:c r="Z1552" s="21" t="str">
        <x:f>IF(AND(MIN(D1552:F1552)&gt;=0,MAX(D1552:F1552)&lt;=7,MAX(D1552,1)+MAX(E1552,1)+MAX(F1552,1)&lt;=9,OR(H1552="-",AND(H1552=0,D1552&gt;0),AND(H1552=1,E1552&gt;0),AND(H1552=2,F1552&gt;0)),OR(I1552=0,AND(I1552=1,OR(J1552=0,J1552=1,J1552=2),R1552&lt;&gt;"000")),Y1552&lt;=9,MIN(T1552:V1552)&gt;=0),"合法","输入违约")</x:f>
        <x:v>合法</x:v>
      </x:c>
    </x:row>
    <x:row r="1553" ht="23" customHeight="1">
      <x:c r="A1553" s="3" t="str">
        <x:v>CT-1546</x:v>
      </x:c>
      <x:c r="B1553" s="3" t="str">
        <x:v>ST-051</x:v>
      </x:c>
      <x:c r="C1553" s="3" t="str">
        <x:v>无AR/R</x:v>
      </x:c>
      <x:c r="D1553" s="25" t="n">
        <x:v>3</x:v>
      </x:c>
      <x:c r="E1553" s="25" t="n">
        <x:v>0</x:v>
      </x:c>
      <x:c r="F1553" s="25" t="n">
        <x:v>2</x:v>
      </x:c>
      <x:c r="G1553" s="19" t="n">
        <x:f>SUM(D1553:F1553)</x:f>
        <x:v>5</x:v>
      </x:c>
      <x:c r="H1553" s="25" t="str">
        <x:v>-</x:v>
      </x:c>
      <x:c r="I1553" s="25" t="n">
        <x:v>0</x:v>
      </x:c>
      <x:c r="J1553" s="25" t="str">
        <x:v>-</x:v>
      </x:c>
      <x:c r="K1553" s="19" t="n">
        <x:f>D1553-IF(H1553=0,1,0)</x:f>
        <x:v>3</x:v>
      </x:c>
      <x:c r="L1553" s="19" t="n">
        <x:f>E1553-IF(H1553=1,1,0)</x:f>
        <x:v>0</x:v>
      </x:c>
      <x:c r="M1553" s="19" t="n">
        <x:f>F1553-IF(H1553=2,1,0)</x:f>
        <x:v>2</x:v>
      </x:c>
      <x:c r="N1553" s="19" t="n">
        <x:f>MAX(K1553-1,0)+MAX(L1553-1,0)+MAX(M1553-1,0)</x:f>
        <x:v>3</x:v>
      </x:c>
      <x:c r="O1553" s="19" t="n">
        <x:f>IF(AND(SUM(K1553:M1553)&lt;9,OR(M1553=0,N1553&lt;6)),1,0)</x:f>
        <x:v>1</x:v>
      </x:c>
      <x:c r="P1553" s="19" t="n">
        <x:f>IF(AND(SUM(K1553:M1553)&lt;9,OR(L1553=0,N1553&lt;6)),1,0)</x:f>
        <x:v>1</x:v>
      </x:c>
      <x:c r="Q1553" s="19" t="n">
        <x:f>IF(AND(SUM(K1553:M1553)&lt;9,OR(K1553=0,N1553&lt;6)),1,0)</x:f>
        <x:v>1</x:v>
      </x:c>
      <x:c r="R1553" s="22" t="str">
        <x:f>O1553&amp;P1553&amp;Q1553</x:f>
        <x:v>111</x:v>
      </x:c>
      <x:c r="S1553" s="19" t="n">
        <x:f>IF(I1553=1,IF(J1553=0,Q1553,IF(J1553=1,P1553,IF(J1553=2,O1553,0))),0)</x:f>
        <x:v>0</x:v>
      </x:c>
      <x:c r="T1553" s="19" t="n">
        <x:f>K1553+IF(AND(S1553=1,J1553=0),1,0)</x:f>
        <x:v>3</x:v>
      </x:c>
      <x:c r="U1553" s="19" t="n">
        <x:f>L1553+IF(AND(S1553=1,J1553=1),1,0)</x:f>
        <x:v>0</x:v>
      </x:c>
      <x:c r="V1553" s="19" t="n">
        <x:f>M1553+IF(AND(S1553=1,J1553=2),1,0)</x:f>
        <x:v>2</x:v>
      </x:c>
      <x:c r="W1553" s="19" t="n">
        <x:f>SUM(T1553:V1553)</x:f>
        <x:v>5</x:v>
      </x:c>
      <x:c r="X1553" s="19" t="n">
        <x:f>W1553-G1553</x:f>
        <x:v>0</x:v>
      </x:c>
      <x:c r="Y1553" s="19" t="n">
        <x:f>MAX(T1553,1)+MAX(U1553,1)+MAX(V1553,1)</x:f>
        <x:v>6</x:v>
      </x:c>
      <x:c r="Z1553" s="21" t="str">
        <x:f>IF(AND(MIN(D1553:F1553)&gt;=0,MAX(D1553:F1553)&lt;=7,MAX(D1553,1)+MAX(E1553,1)+MAX(F1553,1)&lt;=9,OR(H1553="-",AND(H1553=0,D1553&gt;0),AND(H1553=1,E1553&gt;0),AND(H1553=2,F1553&gt;0)),OR(I1553=0,AND(I1553=1,OR(J1553=0,J1553=1,J1553=2),R1553&lt;&gt;"000")),Y1553&lt;=9,MIN(T1553:V1553)&gt;=0),"合法","输入违约")</x:f>
        <x:v>合法</x:v>
      </x:c>
    </x:row>
    <x:row r="1554" ht="23" customHeight="1">
      <x:c r="A1554" s="3" t="str">
        <x:v>CT-1547</x:v>
      </x:c>
      <x:c r="B1554" s="3" t="str">
        <x:v>ST-051</x:v>
      </x:c>
      <x:c r="C1554" s="3" t="str">
        <x:v>仅AR接收</x:v>
      </x:c>
      <x:c r="D1554" s="25" t="n">
        <x:v>3</x:v>
      </x:c>
      <x:c r="E1554" s="25" t="n">
        <x:v>0</x:v>
      </x:c>
      <x:c r="F1554" s="25" t="n">
        <x:v>2</x:v>
      </x:c>
      <x:c r="G1554" s="19" t="n">
        <x:f>SUM(D1554:F1554)</x:f>
        <x:v>5</x:v>
      </x:c>
      <x:c r="H1554" s="25" t="str">
        <x:v>-</x:v>
      </x:c>
      <x:c r="I1554" s="25" t="n">
        <x:v>1</x:v>
      </x:c>
      <x:c r="J1554" s="25" t="n">
        <x:v>0</x:v>
      </x:c>
      <x:c r="K1554" s="19" t="n">
        <x:f>D1554-IF(H1554=0,1,0)</x:f>
        <x:v>3</x:v>
      </x:c>
      <x:c r="L1554" s="19" t="n">
        <x:f>E1554-IF(H1554=1,1,0)</x:f>
        <x:v>0</x:v>
      </x:c>
      <x:c r="M1554" s="19" t="n">
        <x:f>F1554-IF(H1554=2,1,0)</x:f>
        <x:v>2</x:v>
      </x:c>
      <x:c r="N1554" s="19" t="n">
        <x:f>MAX(K1554-1,0)+MAX(L1554-1,0)+MAX(M1554-1,0)</x:f>
        <x:v>3</x:v>
      </x:c>
      <x:c r="O1554" s="19" t="n">
        <x:f>IF(AND(SUM(K1554:M1554)&lt;9,OR(M1554=0,N1554&lt;6)),1,0)</x:f>
        <x:v>1</x:v>
      </x:c>
      <x:c r="P1554" s="19" t="n">
        <x:f>IF(AND(SUM(K1554:M1554)&lt;9,OR(L1554=0,N1554&lt;6)),1,0)</x:f>
        <x:v>1</x:v>
      </x:c>
      <x:c r="Q1554" s="19" t="n">
        <x:f>IF(AND(SUM(K1554:M1554)&lt;9,OR(K1554=0,N1554&lt;6)),1,0)</x:f>
        <x:v>1</x:v>
      </x:c>
      <x:c r="R1554" s="22" t="str">
        <x:f>O1554&amp;P1554&amp;Q1554</x:f>
        <x:v>111</x:v>
      </x:c>
      <x:c r="S1554" s="19" t="n">
        <x:f>IF(I1554=1,IF(J1554=0,Q1554,IF(J1554=1,P1554,IF(J1554=2,O1554,0))),0)</x:f>
        <x:v>1</x:v>
      </x:c>
      <x:c r="T1554" s="19" t="n">
        <x:f>K1554+IF(AND(S1554=1,J1554=0),1,0)</x:f>
        <x:v>4</x:v>
      </x:c>
      <x:c r="U1554" s="19" t="n">
        <x:f>L1554+IF(AND(S1554=1,J1554=1),1,0)</x:f>
        <x:v>0</x:v>
      </x:c>
      <x:c r="V1554" s="19" t="n">
        <x:f>M1554+IF(AND(S1554=1,J1554=2),1,0)</x:f>
        <x:v>2</x:v>
      </x:c>
      <x:c r="W1554" s="19" t="n">
        <x:f>SUM(T1554:V1554)</x:f>
        <x:v>6</x:v>
      </x:c>
      <x:c r="X1554" s="19" t="n">
        <x:f>W1554-G1554</x:f>
        <x:v>1</x:v>
      </x:c>
      <x:c r="Y1554" s="19" t="n">
        <x:f>MAX(T1554,1)+MAX(U1554,1)+MAX(V1554,1)</x:f>
        <x:v>7</x:v>
      </x:c>
      <x:c r="Z1554" s="21" t="str">
        <x:f>IF(AND(MIN(D1554:F1554)&gt;=0,MAX(D1554:F1554)&lt;=7,MAX(D1554,1)+MAX(E1554,1)+MAX(F1554,1)&lt;=9,OR(H1554="-",AND(H1554=0,D1554&gt;0),AND(H1554=1,E1554&gt;0),AND(H1554=2,F1554&gt;0)),OR(I1554=0,AND(I1554=1,OR(J1554=0,J1554=1,J1554=2),R1554&lt;&gt;"000")),Y1554&lt;=9,MIN(T1554:V1554)&gt;=0),"合法","输入违约")</x:f>
        <x:v>合法</x:v>
      </x:c>
    </x:row>
    <x:row r="1555" ht="23" customHeight="1">
      <x:c r="A1555" s="3" t="str">
        <x:v>CT-1548</x:v>
      </x:c>
      <x:c r="B1555" s="3" t="str">
        <x:v>ST-051</x:v>
      </x:c>
      <x:c r="C1555" s="3" t="str">
        <x:v>仅AR接收</x:v>
      </x:c>
      <x:c r="D1555" s="25" t="n">
        <x:v>3</x:v>
      </x:c>
      <x:c r="E1555" s="25" t="n">
        <x:v>0</x:v>
      </x:c>
      <x:c r="F1555" s="25" t="n">
        <x:v>2</x:v>
      </x:c>
      <x:c r="G1555" s="19" t="n">
        <x:f>SUM(D1555:F1555)</x:f>
        <x:v>5</x:v>
      </x:c>
      <x:c r="H1555" s="25" t="str">
        <x:v>-</x:v>
      </x:c>
      <x:c r="I1555" s="25" t="n">
        <x:v>1</x:v>
      </x:c>
      <x:c r="J1555" s="25" t="n">
        <x:v>1</x:v>
      </x:c>
      <x:c r="K1555" s="19" t="n">
        <x:f>D1555-IF(H1555=0,1,0)</x:f>
        <x:v>3</x:v>
      </x:c>
      <x:c r="L1555" s="19" t="n">
        <x:f>E1555-IF(H1555=1,1,0)</x:f>
        <x:v>0</x:v>
      </x:c>
      <x:c r="M1555" s="19" t="n">
        <x:f>F1555-IF(H1555=2,1,0)</x:f>
        <x:v>2</x:v>
      </x:c>
      <x:c r="N1555" s="19" t="n">
        <x:f>MAX(K1555-1,0)+MAX(L1555-1,0)+MAX(M1555-1,0)</x:f>
        <x:v>3</x:v>
      </x:c>
      <x:c r="O1555" s="19" t="n">
        <x:f>IF(AND(SUM(K1555:M1555)&lt;9,OR(M1555=0,N1555&lt;6)),1,0)</x:f>
        <x:v>1</x:v>
      </x:c>
      <x:c r="P1555" s="19" t="n">
        <x:f>IF(AND(SUM(K1555:M1555)&lt;9,OR(L1555=0,N1555&lt;6)),1,0)</x:f>
        <x:v>1</x:v>
      </x:c>
      <x:c r="Q1555" s="19" t="n">
        <x:f>IF(AND(SUM(K1555:M1555)&lt;9,OR(K1555=0,N1555&lt;6)),1,0)</x:f>
        <x:v>1</x:v>
      </x:c>
      <x:c r="R1555" s="22" t="str">
        <x:f>O1555&amp;P1555&amp;Q1555</x:f>
        <x:v>111</x:v>
      </x:c>
      <x:c r="S1555" s="19" t="n">
        <x:f>IF(I1555=1,IF(J1555=0,Q1555,IF(J1555=1,P1555,IF(J1555=2,O1555,0))),0)</x:f>
        <x:v>1</x:v>
      </x:c>
      <x:c r="T1555" s="19" t="n">
        <x:f>K1555+IF(AND(S1555=1,J1555=0),1,0)</x:f>
        <x:v>3</x:v>
      </x:c>
      <x:c r="U1555" s="19" t="n">
        <x:f>L1555+IF(AND(S1555=1,J1555=1),1,0)</x:f>
        <x:v>1</x:v>
      </x:c>
      <x:c r="V1555" s="19" t="n">
        <x:f>M1555+IF(AND(S1555=1,J1555=2),1,0)</x:f>
        <x:v>2</x:v>
      </x:c>
      <x:c r="W1555" s="19" t="n">
        <x:f>SUM(T1555:V1555)</x:f>
        <x:v>6</x:v>
      </x:c>
      <x:c r="X1555" s="19" t="n">
        <x:f>W1555-G1555</x:f>
        <x:v>1</x:v>
      </x:c>
      <x:c r="Y1555" s="19" t="n">
        <x:f>MAX(T1555,1)+MAX(U1555,1)+MAX(V1555,1)</x:f>
        <x:v>6</x:v>
      </x:c>
      <x:c r="Z1555" s="21" t="str">
        <x:f>IF(AND(MIN(D1555:F1555)&gt;=0,MAX(D1555:F1555)&lt;=7,MAX(D1555,1)+MAX(E1555,1)+MAX(F1555,1)&lt;=9,OR(H1555="-",AND(H1555=0,D1555&gt;0),AND(H1555=1,E1555&gt;0),AND(H1555=2,F1555&gt;0)),OR(I1555=0,AND(I1555=1,OR(J1555=0,J1555=1,J1555=2),R1555&lt;&gt;"000")),Y1555&lt;=9,MIN(T1555:V1555)&gt;=0),"合法","输入违约")</x:f>
        <x:v>合法</x:v>
      </x:c>
    </x:row>
    <x:row r="1556" ht="23" customHeight="1">
      <x:c r="A1556" s="3" t="str">
        <x:v>CT-1549</x:v>
      </x:c>
      <x:c r="B1556" s="3" t="str">
        <x:v>ST-051</x:v>
      </x:c>
      <x:c r="C1556" s="3" t="str">
        <x:v>仅AR接收</x:v>
      </x:c>
      <x:c r="D1556" s="25" t="n">
        <x:v>3</x:v>
      </x:c>
      <x:c r="E1556" s="25" t="n">
        <x:v>0</x:v>
      </x:c>
      <x:c r="F1556" s="25" t="n">
        <x:v>2</x:v>
      </x:c>
      <x:c r="G1556" s="19" t="n">
        <x:f>SUM(D1556:F1556)</x:f>
        <x:v>5</x:v>
      </x:c>
      <x:c r="H1556" s="25" t="str">
        <x:v>-</x:v>
      </x:c>
      <x:c r="I1556" s="25" t="n">
        <x:v>1</x:v>
      </x:c>
      <x:c r="J1556" s="25" t="n">
        <x:v>2</x:v>
      </x:c>
      <x:c r="K1556" s="19" t="n">
        <x:f>D1556-IF(H1556=0,1,0)</x:f>
        <x:v>3</x:v>
      </x:c>
      <x:c r="L1556" s="19" t="n">
        <x:f>E1556-IF(H1556=1,1,0)</x:f>
        <x:v>0</x:v>
      </x:c>
      <x:c r="M1556" s="19" t="n">
        <x:f>F1556-IF(H1556=2,1,0)</x:f>
        <x:v>2</x:v>
      </x:c>
      <x:c r="N1556" s="19" t="n">
        <x:f>MAX(K1556-1,0)+MAX(L1556-1,0)+MAX(M1556-1,0)</x:f>
        <x:v>3</x:v>
      </x:c>
      <x:c r="O1556" s="19" t="n">
        <x:f>IF(AND(SUM(K1556:M1556)&lt;9,OR(M1556=0,N1556&lt;6)),1,0)</x:f>
        <x:v>1</x:v>
      </x:c>
      <x:c r="P1556" s="19" t="n">
        <x:f>IF(AND(SUM(K1556:M1556)&lt;9,OR(L1556=0,N1556&lt;6)),1,0)</x:f>
        <x:v>1</x:v>
      </x:c>
      <x:c r="Q1556" s="19" t="n">
        <x:f>IF(AND(SUM(K1556:M1556)&lt;9,OR(K1556=0,N1556&lt;6)),1,0)</x:f>
        <x:v>1</x:v>
      </x:c>
      <x:c r="R1556" s="22" t="str">
        <x:f>O1556&amp;P1556&amp;Q1556</x:f>
        <x:v>111</x:v>
      </x:c>
      <x:c r="S1556" s="19" t="n">
        <x:f>IF(I1556=1,IF(J1556=0,Q1556,IF(J1556=1,P1556,IF(J1556=2,O1556,0))),0)</x:f>
        <x:v>1</x:v>
      </x:c>
      <x:c r="T1556" s="19" t="n">
        <x:f>K1556+IF(AND(S1556=1,J1556=0),1,0)</x:f>
        <x:v>3</x:v>
      </x:c>
      <x:c r="U1556" s="19" t="n">
        <x:f>L1556+IF(AND(S1556=1,J1556=1),1,0)</x:f>
        <x:v>0</x:v>
      </x:c>
      <x:c r="V1556" s="19" t="n">
        <x:f>M1556+IF(AND(S1556=1,J1556=2),1,0)</x:f>
        <x:v>3</x:v>
      </x:c>
      <x:c r="W1556" s="19" t="n">
        <x:f>SUM(T1556:V1556)</x:f>
        <x:v>6</x:v>
      </x:c>
      <x:c r="X1556" s="19" t="n">
        <x:f>W1556-G1556</x:f>
        <x:v>1</x:v>
      </x:c>
      <x:c r="Y1556" s="19" t="n">
        <x:f>MAX(T1556,1)+MAX(U1556,1)+MAX(V1556,1)</x:f>
        <x:v>7</x:v>
      </x:c>
      <x:c r="Z1556" s="21" t="str">
        <x:f>IF(AND(MIN(D1556:F1556)&gt;=0,MAX(D1556:F1556)&lt;=7,MAX(D1556,1)+MAX(E1556,1)+MAX(F1556,1)&lt;=9,OR(H1556="-",AND(H1556=0,D1556&gt;0),AND(H1556=1,E1556&gt;0),AND(H1556=2,F1556&gt;0)),OR(I1556=0,AND(I1556=1,OR(J1556=0,J1556=1,J1556=2),R1556&lt;&gt;"000")),Y1556&lt;=9,MIN(T1556:V1556)&gt;=0),"合法","输入违约")</x:f>
        <x:v>合法</x:v>
      </x:c>
    </x:row>
    <x:row r="1557" ht="23" customHeight="1">
      <x:c r="A1557" s="3" t="str">
        <x:v>CT-1550</x:v>
      </x:c>
      <x:c r="B1557" s="3" t="str">
        <x:v>ST-051</x:v>
      </x:c>
      <x:c r="C1557" s="3" t="str">
        <x:v>仅R回收</x:v>
      </x:c>
      <x:c r="D1557" s="25" t="n">
        <x:v>3</x:v>
      </x:c>
      <x:c r="E1557" s="25" t="n">
        <x:v>0</x:v>
      </x:c>
      <x:c r="F1557" s="25" t="n">
        <x:v>2</x:v>
      </x:c>
      <x:c r="G1557" s="19" t="n">
        <x:f>SUM(D1557:F1557)</x:f>
        <x:v>5</x:v>
      </x:c>
      <x:c r="H1557" s="25" t="n">
        <x:v>0</x:v>
      </x:c>
      <x:c r="I1557" s="25" t="n">
        <x:v>0</x:v>
      </x:c>
      <x:c r="J1557" s="25" t="str">
        <x:v>-</x:v>
      </x:c>
      <x:c r="K1557" s="19" t="n">
        <x:f>D1557-IF(H1557=0,1,0)</x:f>
        <x:v>2</x:v>
      </x:c>
      <x:c r="L1557" s="19" t="n">
        <x:f>E1557-IF(H1557=1,1,0)</x:f>
        <x:v>0</x:v>
      </x:c>
      <x:c r="M1557" s="19" t="n">
        <x:f>F1557-IF(H1557=2,1,0)</x:f>
        <x:v>2</x:v>
      </x:c>
      <x:c r="N1557" s="19" t="n">
        <x:f>MAX(K1557-1,0)+MAX(L1557-1,0)+MAX(M1557-1,0)</x:f>
        <x:v>2</x:v>
      </x:c>
      <x:c r="O1557" s="19" t="n">
        <x:f>IF(AND(SUM(K1557:M1557)&lt;9,OR(M1557=0,N1557&lt;6)),1,0)</x:f>
        <x:v>1</x:v>
      </x:c>
      <x:c r="P1557" s="19" t="n">
        <x:f>IF(AND(SUM(K1557:M1557)&lt;9,OR(L1557=0,N1557&lt;6)),1,0)</x:f>
        <x:v>1</x:v>
      </x:c>
      <x:c r="Q1557" s="19" t="n">
        <x:f>IF(AND(SUM(K1557:M1557)&lt;9,OR(K1557=0,N1557&lt;6)),1,0)</x:f>
        <x:v>1</x:v>
      </x:c>
      <x:c r="R1557" s="22" t="str">
        <x:f>O1557&amp;P1557&amp;Q1557</x:f>
        <x:v>111</x:v>
      </x:c>
      <x:c r="S1557" s="19" t="n">
        <x:f>IF(I1557=1,IF(J1557=0,Q1557,IF(J1557=1,P1557,IF(J1557=2,O1557,0))),0)</x:f>
        <x:v>0</x:v>
      </x:c>
      <x:c r="T1557" s="19" t="n">
        <x:f>K1557+IF(AND(S1557=1,J1557=0),1,0)</x:f>
        <x:v>2</x:v>
      </x:c>
      <x:c r="U1557" s="19" t="n">
        <x:f>L1557+IF(AND(S1557=1,J1557=1),1,0)</x:f>
        <x:v>0</x:v>
      </x:c>
      <x:c r="V1557" s="19" t="n">
        <x:f>M1557+IF(AND(S1557=1,J1557=2),1,0)</x:f>
        <x:v>2</x:v>
      </x:c>
      <x:c r="W1557" s="19" t="n">
        <x:f>SUM(T1557:V1557)</x:f>
        <x:v>4</x:v>
      </x:c>
      <x:c r="X1557" s="19" t="n">
        <x:f>W1557-G1557</x:f>
        <x:v>-1</x:v>
      </x:c>
      <x:c r="Y1557" s="19" t="n">
        <x:f>MAX(T1557,1)+MAX(U1557,1)+MAX(V1557,1)</x:f>
        <x:v>5</x:v>
      </x:c>
      <x:c r="Z1557" s="21" t="str">
        <x:f>IF(AND(MIN(D1557:F1557)&gt;=0,MAX(D1557:F1557)&lt;=7,MAX(D1557,1)+MAX(E1557,1)+MAX(F1557,1)&lt;=9,OR(H1557="-",AND(H1557=0,D1557&gt;0),AND(H1557=1,E1557&gt;0),AND(H1557=2,F1557&gt;0)),OR(I1557=0,AND(I1557=1,OR(J1557=0,J1557=1,J1557=2),R1557&lt;&gt;"000")),Y1557&lt;=9,MIN(T1557:V1557)&gt;=0),"合法","输入违约")</x:f>
        <x:v>合法</x:v>
      </x:c>
    </x:row>
    <x:row r="1558" ht="23" customHeight="1">
      <x:c r="A1558" s="3" t="str">
        <x:v>CT-1551</x:v>
      </x:c>
      <x:c r="B1558" s="3" t="str">
        <x:v>ST-051</x:v>
      </x:c>
      <x:c r="C1558" s="3" t="str">
        <x:v>R+AR同收同发</x:v>
      </x:c>
      <x:c r="D1558" s="25" t="n">
        <x:v>3</x:v>
      </x:c>
      <x:c r="E1558" s="25" t="n">
        <x:v>0</x:v>
      </x:c>
      <x:c r="F1558" s="25" t="n">
        <x:v>2</x:v>
      </x:c>
      <x:c r="G1558" s="19" t="n">
        <x:f>SUM(D1558:F1558)</x:f>
        <x:v>5</x:v>
      </x:c>
      <x:c r="H1558" s="25" t="n">
        <x:v>0</x:v>
      </x:c>
      <x:c r="I1558" s="25" t="n">
        <x:v>1</x:v>
      </x:c>
      <x:c r="J1558" s="25" t="n">
        <x:v>0</x:v>
      </x:c>
      <x:c r="K1558" s="19" t="n">
        <x:f>D1558-IF(H1558=0,1,0)</x:f>
        <x:v>2</x:v>
      </x:c>
      <x:c r="L1558" s="19" t="n">
        <x:f>E1558-IF(H1558=1,1,0)</x:f>
        <x:v>0</x:v>
      </x:c>
      <x:c r="M1558" s="19" t="n">
        <x:f>F1558-IF(H1558=2,1,0)</x:f>
        <x:v>2</x:v>
      </x:c>
      <x:c r="N1558" s="19" t="n">
        <x:f>MAX(K1558-1,0)+MAX(L1558-1,0)+MAX(M1558-1,0)</x:f>
        <x:v>2</x:v>
      </x:c>
      <x:c r="O1558" s="19" t="n">
        <x:f>IF(AND(SUM(K1558:M1558)&lt;9,OR(M1558=0,N1558&lt;6)),1,0)</x:f>
        <x:v>1</x:v>
      </x:c>
      <x:c r="P1558" s="19" t="n">
        <x:f>IF(AND(SUM(K1558:M1558)&lt;9,OR(L1558=0,N1558&lt;6)),1,0)</x:f>
        <x:v>1</x:v>
      </x:c>
      <x:c r="Q1558" s="19" t="n">
        <x:f>IF(AND(SUM(K1558:M1558)&lt;9,OR(K1558=0,N1558&lt;6)),1,0)</x:f>
        <x:v>1</x:v>
      </x:c>
      <x:c r="R1558" s="22" t="str">
        <x:f>O1558&amp;P1558&amp;Q1558</x:f>
        <x:v>111</x:v>
      </x:c>
      <x:c r="S1558" s="19" t="n">
        <x:f>IF(I1558=1,IF(J1558=0,Q1558,IF(J1558=1,P1558,IF(J1558=2,O1558,0))),0)</x:f>
        <x:v>1</x:v>
      </x:c>
      <x:c r="T1558" s="19" t="n">
        <x:f>K1558+IF(AND(S1558=1,J1558=0),1,0)</x:f>
        <x:v>3</x:v>
      </x:c>
      <x:c r="U1558" s="19" t="n">
        <x:f>L1558+IF(AND(S1558=1,J1558=1),1,0)</x:f>
        <x:v>0</x:v>
      </x:c>
      <x:c r="V1558" s="19" t="n">
        <x:f>M1558+IF(AND(S1558=1,J1558=2),1,0)</x:f>
        <x:v>2</x:v>
      </x:c>
      <x:c r="W1558" s="19" t="n">
        <x:f>SUM(T1558:V1558)</x:f>
        <x:v>5</x:v>
      </x:c>
      <x:c r="X1558" s="19" t="n">
        <x:f>W1558-G1558</x:f>
        <x:v>0</x:v>
      </x:c>
      <x:c r="Y1558" s="19" t="n">
        <x:f>MAX(T1558,1)+MAX(U1558,1)+MAX(V1558,1)</x:f>
        <x:v>6</x:v>
      </x:c>
      <x:c r="Z1558" s="21" t="str">
        <x:f>IF(AND(MIN(D1558:F1558)&gt;=0,MAX(D1558:F1558)&lt;=7,MAX(D1558,1)+MAX(E1558,1)+MAX(F1558,1)&lt;=9,OR(H1558="-",AND(H1558=0,D1558&gt;0),AND(H1558=1,E1558&gt;0),AND(H1558=2,F1558&gt;0)),OR(I1558=0,AND(I1558=1,OR(J1558=0,J1558=1,J1558=2),R1558&lt;&gt;"000")),Y1558&lt;=9,MIN(T1558:V1558)&gt;=0),"合法","输入违约")</x:f>
        <x:v>合法</x:v>
      </x:c>
    </x:row>
    <x:row r="1559" ht="23" customHeight="1">
      <x:c r="A1559" s="3" t="str">
        <x:v>CT-1552</x:v>
      </x:c>
      <x:c r="B1559" s="3" t="str">
        <x:v>ST-051</x:v>
      </x:c>
      <x:c r="C1559" s="3" t="str">
        <x:v>R+AR同收同发</x:v>
      </x:c>
      <x:c r="D1559" s="25" t="n">
        <x:v>3</x:v>
      </x:c>
      <x:c r="E1559" s="25" t="n">
        <x:v>0</x:v>
      </x:c>
      <x:c r="F1559" s="25" t="n">
        <x:v>2</x:v>
      </x:c>
      <x:c r="G1559" s="19" t="n">
        <x:f>SUM(D1559:F1559)</x:f>
        <x:v>5</x:v>
      </x:c>
      <x:c r="H1559" s="25" t="n">
        <x:v>0</x:v>
      </x:c>
      <x:c r="I1559" s="25" t="n">
        <x:v>1</x:v>
      </x:c>
      <x:c r="J1559" s="25" t="n">
        <x:v>1</x:v>
      </x:c>
      <x:c r="K1559" s="19" t="n">
        <x:f>D1559-IF(H1559=0,1,0)</x:f>
        <x:v>2</x:v>
      </x:c>
      <x:c r="L1559" s="19" t="n">
        <x:f>E1559-IF(H1559=1,1,0)</x:f>
        <x:v>0</x:v>
      </x:c>
      <x:c r="M1559" s="19" t="n">
        <x:f>F1559-IF(H1559=2,1,0)</x:f>
        <x:v>2</x:v>
      </x:c>
      <x:c r="N1559" s="19" t="n">
        <x:f>MAX(K1559-1,0)+MAX(L1559-1,0)+MAX(M1559-1,0)</x:f>
        <x:v>2</x:v>
      </x:c>
      <x:c r="O1559" s="19" t="n">
        <x:f>IF(AND(SUM(K1559:M1559)&lt;9,OR(M1559=0,N1559&lt;6)),1,0)</x:f>
        <x:v>1</x:v>
      </x:c>
      <x:c r="P1559" s="19" t="n">
        <x:f>IF(AND(SUM(K1559:M1559)&lt;9,OR(L1559=0,N1559&lt;6)),1,0)</x:f>
        <x:v>1</x:v>
      </x:c>
      <x:c r="Q1559" s="19" t="n">
        <x:f>IF(AND(SUM(K1559:M1559)&lt;9,OR(K1559=0,N1559&lt;6)),1,0)</x:f>
        <x:v>1</x:v>
      </x:c>
      <x:c r="R1559" s="22" t="str">
        <x:f>O1559&amp;P1559&amp;Q1559</x:f>
        <x:v>111</x:v>
      </x:c>
      <x:c r="S1559" s="19" t="n">
        <x:f>IF(I1559=1,IF(J1559=0,Q1559,IF(J1559=1,P1559,IF(J1559=2,O1559,0))),0)</x:f>
        <x:v>1</x:v>
      </x:c>
      <x:c r="T1559" s="19" t="n">
        <x:f>K1559+IF(AND(S1559=1,J1559=0),1,0)</x:f>
        <x:v>2</x:v>
      </x:c>
      <x:c r="U1559" s="19" t="n">
        <x:f>L1559+IF(AND(S1559=1,J1559=1),1,0)</x:f>
        <x:v>1</x:v>
      </x:c>
      <x:c r="V1559" s="19" t="n">
        <x:f>M1559+IF(AND(S1559=1,J1559=2),1,0)</x:f>
        <x:v>2</x:v>
      </x:c>
      <x:c r="W1559" s="19" t="n">
        <x:f>SUM(T1559:V1559)</x:f>
        <x:v>5</x:v>
      </x:c>
      <x:c r="X1559" s="19" t="n">
        <x:f>W1559-G1559</x:f>
        <x:v>0</x:v>
      </x:c>
      <x:c r="Y1559" s="19" t="n">
        <x:f>MAX(T1559,1)+MAX(U1559,1)+MAX(V1559,1)</x:f>
        <x:v>5</x:v>
      </x:c>
      <x:c r="Z1559" s="21" t="str">
        <x:f>IF(AND(MIN(D1559:F1559)&gt;=0,MAX(D1559:F1559)&lt;=7,MAX(D1559,1)+MAX(E1559,1)+MAX(F1559,1)&lt;=9,OR(H1559="-",AND(H1559=0,D1559&gt;0),AND(H1559=1,E1559&gt;0),AND(H1559=2,F1559&gt;0)),OR(I1559=0,AND(I1559=1,OR(J1559=0,J1559=1,J1559=2),R1559&lt;&gt;"000")),Y1559&lt;=9,MIN(T1559:V1559)&gt;=0),"合法","输入违约")</x:f>
        <x:v>合法</x:v>
      </x:c>
    </x:row>
    <x:row r="1560" ht="23" customHeight="1">
      <x:c r="A1560" s="3" t="str">
        <x:v>CT-1553</x:v>
      </x:c>
      <x:c r="B1560" s="3" t="str">
        <x:v>ST-051</x:v>
      </x:c>
      <x:c r="C1560" s="3" t="str">
        <x:v>R+AR同收同发</x:v>
      </x:c>
      <x:c r="D1560" s="25" t="n">
        <x:v>3</x:v>
      </x:c>
      <x:c r="E1560" s="25" t="n">
        <x:v>0</x:v>
      </x:c>
      <x:c r="F1560" s="25" t="n">
        <x:v>2</x:v>
      </x:c>
      <x:c r="G1560" s="19" t="n">
        <x:f>SUM(D1560:F1560)</x:f>
        <x:v>5</x:v>
      </x:c>
      <x:c r="H1560" s="25" t="n">
        <x:v>0</x:v>
      </x:c>
      <x:c r="I1560" s="25" t="n">
        <x:v>1</x:v>
      </x:c>
      <x:c r="J1560" s="25" t="n">
        <x:v>2</x:v>
      </x:c>
      <x:c r="K1560" s="19" t="n">
        <x:f>D1560-IF(H1560=0,1,0)</x:f>
        <x:v>2</x:v>
      </x:c>
      <x:c r="L1560" s="19" t="n">
        <x:f>E1560-IF(H1560=1,1,0)</x:f>
        <x:v>0</x:v>
      </x:c>
      <x:c r="M1560" s="19" t="n">
        <x:f>F1560-IF(H1560=2,1,0)</x:f>
        <x:v>2</x:v>
      </x:c>
      <x:c r="N1560" s="19" t="n">
        <x:f>MAX(K1560-1,0)+MAX(L1560-1,0)+MAX(M1560-1,0)</x:f>
        <x:v>2</x:v>
      </x:c>
      <x:c r="O1560" s="19" t="n">
        <x:f>IF(AND(SUM(K1560:M1560)&lt;9,OR(M1560=0,N1560&lt;6)),1,0)</x:f>
        <x:v>1</x:v>
      </x:c>
      <x:c r="P1560" s="19" t="n">
        <x:f>IF(AND(SUM(K1560:M1560)&lt;9,OR(L1560=0,N1560&lt;6)),1,0)</x:f>
        <x:v>1</x:v>
      </x:c>
      <x:c r="Q1560" s="19" t="n">
        <x:f>IF(AND(SUM(K1560:M1560)&lt;9,OR(K1560=0,N1560&lt;6)),1,0)</x:f>
        <x:v>1</x:v>
      </x:c>
      <x:c r="R1560" s="22" t="str">
        <x:f>O1560&amp;P1560&amp;Q1560</x:f>
        <x:v>111</x:v>
      </x:c>
      <x:c r="S1560" s="19" t="n">
        <x:f>IF(I1560=1,IF(J1560=0,Q1560,IF(J1560=1,P1560,IF(J1560=2,O1560,0))),0)</x:f>
        <x:v>1</x:v>
      </x:c>
      <x:c r="T1560" s="19" t="n">
        <x:f>K1560+IF(AND(S1560=1,J1560=0),1,0)</x:f>
        <x:v>2</x:v>
      </x:c>
      <x:c r="U1560" s="19" t="n">
        <x:f>L1560+IF(AND(S1560=1,J1560=1),1,0)</x:f>
        <x:v>0</x:v>
      </x:c>
      <x:c r="V1560" s="19" t="n">
        <x:f>M1560+IF(AND(S1560=1,J1560=2),1,0)</x:f>
        <x:v>3</x:v>
      </x:c>
      <x:c r="W1560" s="19" t="n">
        <x:f>SUM(T1560:V1560)</x:f>
        <x:v>5</x:v>
      </x:c>
      <x:c r="X1560" s="19" t="n">
        <x:f>W1560-G1560</x:f>
        <x:v>0</x:v>
      </x:c>
      <x:c r="Y1560" s="19" t="n">
        <x:f>MAX(T1560,1)+MAX(U1560,1)+MAX(V1560,1)</x:f>
        <x:v>6</x:v>
      </x:c>
      <x:c r="Z1560" s="21" t="str">
        <x:f>IF(AND(MIN(D1560:F1560)&gt;=0,MAX(D1560:F1560)&lt;=7,MAX(D1560,1)+MAX(E1560,1)+MAX(F1560,1)&lt;=9,OR(H1560="-",AND(H1560=0,D1560&gt;0),AND(H1560=1,E1560&gt;0),AND(H1560=2,F1560&gt;0)),OR(I1560=0,AND(I1560=1,OR(J1560=0,J1560=1,J1560=2),R1560&lt;&gt;"000")),Y1560&lt;=9,MIN(T1560:V1560)&gt;=0),"合法","输入违约")</x:f>
        <x:v>合法</x:v>
      </x:c>
    </x:row>
    <x:row r="1561" ht="23" customHeight="1">
      <x:c r="A1561" s="3" t="str">
        <x:v>CT-1554</x:v>
      </x:c>
      <x:c r="B1561" s="3" t="str">
        <x:v>ST-051</x:v>
      </x:c>
      <x:c r="C1561" s="3" t="str">
        <x:v>仅R回收</x:v>
      </x:c>
      <x:c r="D1561" s="25" t="n">
        <x:v>3</x:v>
      </x:c>
      <x:c r="E1561" s="25" t="n">
        <x:v>0</x:v>
      </x:c>
      <x:c r="F1561" s="25" t="n">
        <x:v>2</x:v>
      </x:c>
      <x:c r="G1561" s="19" t="n">
        <x:f>SUM(D1561:F1561)</x:f>
        <x:v>5</x:v>
      </x:c>
      <x:c r="H1561" s="25" t="n">
        <x:v>2</x:v>
      </x:c>
      <x:c r="I1561" s="25" t="n">
        <x:v>0</x:v>
      </x:c>
      <x:c r="J1561" s="25" t="str">
        <x:v>-</x:v>
      </x:c>
      <x:c r="K1561" s="19" t="n">
        <x:f>D1561-IF(H1561=0,1,0)</x:f>
        <x:v>3</x:v>
      </x:c>
      <x:c r="L1561" s="19" t="n">
        <x:f>E1561-IF(H1561=1,1,0)</x:f>
        <x:v>0</x:v>
      </x:c>
      <x:c r="M1561" s="19" t="n">
        <x:f>F1561-IF(H1561=2,1,0)</x:f>
        <x:v>1</x:v>
      </x:c>
      <x:c r="N1561" s="19" t="n">
        <x:f>MAX(K1561-1,0)+MAX(L1561-1,0)+MAX(M1561-1,0)</x:f>
        <x:v>2</x:v>
      </x:c>
      <x:c r="O1561" s="19" t="n">
        <x:f>IF(AND(SUM(K1561:M1561)&lt;9,OR(M1561=0,N1561&lt;6)),1,0)</x:f>
        <x:v>1</x:v>
      </x:c>
      <x:c r="P1561" s="19" t="n">
        <x:f>IF(AND(SUM(K1561:M1561)&lt;9,OR(L1561=0,N1561&lt;6)),1,0)</x:f>
        <x:v>1</x:v>
      </x:c>
      <x:c r="Q1561" s="19" t="n">
        <x:f>IF(AND(SUM(K1561:M1561)&lt;9,OR(K1561=0,N1561&lt;6)),1,0)</x:f>
        <x:v>1</x:v>
      </x:c>
      <x:c r="R1561" s="22" t="str">
        <x:f>O1561&amp;P1561&amp;Q1561</x:f>
        <x:v>111</x:v>
      </x:c>
      <x:c r="S1561" s="19" t="n">
        <x:f>IF(I1561=1,IF(J1561=0,Q1561,IF(J1561=1,P1561,IF(J1561=2,O1561,0))),0)</x:f>
        <x:v>0</x:v>
      </x:c>
      <x:c r="T1561" s="19" t="n">
        <x:f>K1561+IF(AND(S1561=1,J1561=0),1,0)</x:f>
        <x:v>3</x:v>
      </x:c>
      <x:c r="U1561" s="19" t="n">
        <x:f>L1561+IF(AND(S1561=1,J1561=1),1,0)</x:f>
        <x:v>0</x:v>
      </x:c>
      <x:c r="V1561" s="19" t="n">
        <x:f>M1561+IF(AND(S1561=1,J1561=2),1,0)</x:f>
        <x:v>1</x:v>
      </x:c>
      <x:c r="W1561" s="19" t="n">
        <x:f>SUM(T1561:V1561)</x:f>
        <x:v>4</x:v>
      </x:c>
      <x:c r="X1561" s="19" t="n">
        <x:f>W1561-G1561</x:f>
        <x:v>-1</x:v>
      </x:c>
      <x:c r="Y1561" s="19" t="n">
        <x:f>MAX(T1561,1)+MAX(U1561,1)+MAX(V1561,1)</x:f>
        <x:v>5</x:v>
      </x:c>
      <x:c r="Z1561" s="21" t="str">
        <x:f>IF(AND(MIN(D1561:F1561)&gt;=0,MAX(D1561:F1561)&lt;=7,MAX(D1561,1)+MAX(E1561,1)+MAX(F1561,1)&lt;=9,OR(H1561="-",AND(H1561=0,D1561&gt;0),AND(H1561=1,E1561&gt;0),AND(H1561=2,F1561&gt;0)),OR(I1561=0,AND(I1561=1,OR(J1561=0,J1561=1,J1561=2),R1561&lt;&gt;"000")),Y1561&lt;=9,MIN(T1561:V1561)&gt;=0),"合法","输入违约")</x:f>
        <x:v>合法</x:v>
      </x:c>
    </x:row>
    <x:row r="1562" ht="23" customHeight="1">
      <x:c r="A1562" s="3" t="str">
        <x:v>CT-1555</x:v>
      </x:c>
      <x:c r="B1562" s="3" t="str">
        <x:v>ST-051</x:v>
      </x:c>
      <x:c r="C1562" s="3" t="str">
        <x:v>R+AR同收同发</x:v>
      </x:c>
      <x:c r="D1562" s="25" t="n">
        <x:v>3</x:v>
      </x:c>
      <x:c r="E1562" s="25" t="n">
        <x:v>0</x:v>
      </x:c>
      <x:c r="F1562" s="25" t="n">
        <x:v>2</x:v>
      </x:c>
      <x:c r="G1562" s="19" t="n">
        <x:f>SUM(D1562:F1562)</x:f>
        <x:v>5</x:v>
      </x:c>
      <x:c r="H1562" s="25" t="n">
        <x:v>2</x:v>
      </x:c>
      <x:c r="I1562" s="25" t="n">
        <x:v>1</x:v>
      </x:c>
      <x:c r="J1562" s="25" t="n">
        <x:v>0</x:v>
      </x:c>
      <x:c r="K1562" s="19" t="n">
        <x:f>D1562-IF(H1562=0,1,0)</x:f>
        <x:v>3</x:v>
      </x:c>
      <x:c r="L1562" s="19" t="n">
        <x:f>E1562-IF(H1562=1,1,0)</x:f>
        <x:v>0</x:v>
      </x:c>
      <x:c r="M1562" s="19" t="n">
        <x:f>F1562-IF(H1562=2,1,0)</x:f>
        <x:v>1</x:v>
      </x:c>
      <x:c r="N1562" s="19" t="n">
        <x:f>MAX(K1562-1,0)+MAX(L1562-1,0)+MAX(M1562-1,0)</x:f>
        <x:v>2</x:v>
      </x:c>
      <x:c r="O1562" s="19" t="n">
        <x:f>IF(AND(SUM(K1562:M1562)&lt;9,OR(M1562=0,N1562&lt;6)),1,0)</x:f>
        <x:v>1</x:v>
      </x:c>
      <x:c r="P1562" s="19" t="n">
        <x:f>IF(AND(SUM(K1562:M1562)&lt;9,OR(L1562=0,N1562&lt;6)),1,0)</x:f>
        <x:v>1</x:v>
      </x:c>
      <x:c r="Q1562" s="19" t="n">
        <x:f>IF(AND(SUM(K1562:M1562)&lt;9,OR(K1562=0,N1562&lt;6)),1,0)</x:f>
        <x:v>1</x:v>
      </x:c>
      <x:c r="R1562" s="22" t="str">
        <x:f>O1562&amp;P1562&amp;Q1562</x:f>
        <x:v>111</x:v>
      </x:c>
      <x:c r="S1562" s="19" t="n">
        <x:f>IF(I1562=1,IF(J1562=0,Q1562,IF(J1562=1,P1562,IF(J1562=2,O1562,0))),0)</x:f>
        <x:v>1</x:v>
      </x:c>
      <x:c r="T1562" s="19" t="n">
        <x:f>K1562+IF(AND(S1562=1,J1562=0),1,0)</x:f>
        <x:v>4</x:v>
      </x:c>
      <x:c r="U1562" s="19" t="n">
        <x:f>L1562+IF(AND(S1562=1,J1562=1),1,0)</x:f>
        <x:v>0</x:v>
      </x:c>
      <x:c r="V1562" s="19" t="n">
        <x:f>M1562+IF(AND(S1562=1,J1562=2),1,0)</x:f>
        <x:v>1</x:v>
      </x:c>
      <x:c r="W1562" s="19" t="n">
        <x:f>SUM(T1562:V1562)</x:f>
        <x:v>5</x:v>
      </x:c>
      <x:c r="X1562" s="19" t="n">
        <x:f>W1562-G1562</x:f>
        <x:v>0</x:v>
      </x:c>
      <x:c r="Y1562" s="19" t="n">
        <x:f>MAX(T1562,1)+MAX(U1562,1)+MAX(V1562,1)</x:f>
        <x:v>6</x:v>
      </x:c>
      <x:c r="Z1562" s="21" t="str">
        <x:f>IF(AND(MIN(D1562:F1562)&gt;=0,MAX(D1562:F1562)&lt;=7,MAX(D1562,1)+MAX(E1562,1)+MAX(F1562,1)&lt;=9,OR(H1562="-",AND(H1562=0,D1562&gt;0),AND(H1562=1,E1562&gt;0),AND(H1562=2,F1562&gt;0)),OR(I1562=0,AND(I1562=1,OR(J1562=0,J1562=1,J1562=2),R1562&lt;&gt;"000")),Y1562&lt;=9,MIN(T1562:V1562)&gt;=0),"合法","输入违约")</x:f>
        <x:v>合法</x:v>
      </x:c>
    </x:row>
    <x:row r="1563" ht="23" customHeight="1">
      <x:c r="A1563" s="3" t="str">
        <x:v>CT-1556</x:v>
      </x:c>
      <x:c r="B1563" s="3" t="str">
        <x:v>ST-051</x:v>
      </x:c>
      <x:c r="C1563" s="3" t="str">
        <x:v>R+AR同收同发</x:v>
      </x:c>
      <x:c r="D1563" s="25" t="n">
        <x:v>3</x:v>
      </x:c>
      <x:c r="E1563" s="25" t="n">
        <x:v>0</x:v>
      </x:c>
      <x:c r="F1563" s="25" t="n">
        <x:v>2</x:v>
      </x:c>
      <x:c r="G1563" s="19" t="n">
        <x:f>SUM(D1563:F1563)</x:f>
        <x:v>5</x:v>
      </x:c>
      <x:c r="H1563" s="25" t="n">
        <x:v>2</x:v>
      </x:c>
      <x:c r="I1563" s="25" t="n">
        <x:v>1</x:v>
      </x:c>
      <x:c r="J1563" s="25" t="n">
        <x:v>1</x:v>
      </x:c>
      <x:c r="K1563" s="19" t="n">
        <x:f>D1563-IF(H1563=0,1,0)</x:f>
        <x:v>3</x:v>
      </x:c>
      <x:c r="L1563" s="19" t="n">
        <x:f>E1563-IF(H1563=1,1,0)</x:f>
        <x:v>0</x:v>
      </x:c>
      <x:c r="M1563" s="19" t="n">
        <x:f>F1563-IF(H1563=2,1,0)</x:f>
        <x:v>1</x:v>
      </x:c>
      <x:c r="N1563" s="19" t="n">
        <x:f>MAX(K1563-1,0)+MAX(L1563-1,0)+MAX(M1563-1,0)</x:f>
        <x:v>2</x:v>
      </x:c>
      <x:c r="O1563" s="19" t="n">
        <x:f>IF(AND(SUM(K1563:M1563)&lt;9,OR(M1563=0,N1563&lt;6)),1,0)</x:f>
        <x:v>1</x:v>
      </x:c>
      <x:c r="P1563" s="19" t="n">
        <x:f>IF(AND(SUM(K1563:M1563)&lt;9,OR(L1563=0,N1563&lt;6)),1,0)</x:f>
        <x:v>1</x:v>
      </x:c>
      <x:c r="Q1563" s="19" t="n">
        <x:f>IF(AND(SUM(K1563:M1563)&lt;9,OR(K1563=0,N1563&lt;6)),1,0)</x:f>
        <x:v>1</x:v>
      </x:c>
      <x:c r="R1563" s="22" t="str">
        <x:f>O1563&amp;P1563&amp;Q1563</x:f>
        <x:v>111</x:v>
      </x:c>
      <x:c r="S1563" s="19" t="n">
        <x:f>IF(I1563=1,IF(J1563=0,Q1563,IF(J1563=1,P1563,IF(J1563=2,O1563,0))),0)</x:f>
        <x:v>1</x:v>
      </x:c>
      <x:c r="T1563" s="19" t="n">
        <x:f>K1563+IF(AND(S1563=1,J1563=0),1,0)</x:f>
        <x:v>3</x:v>
      </x:c>
      <x:c r="U1563" s="19" t="n">
        <x:f>L1563+IF(AND(S1563=1,J1563=1),1,0)</x:f>
        <x:v>1</x:v>
      </x:c>
      <x:c r="V1563" s="19" t="n">
        <x:f>M1563+IF(AND(S1563=1,J1563=2),1,0)</x:f>
        <x:v>1</x:v>
      </x:c>
      <x:c r="W1563" s="19" t="n">
        <x:f>SUM(T1563:V1563)</x:f>
        <x:v>5</x:v>
      </x:c>
      <x:c r="X1563" s="19" t="n">
        <x:f>W1563-G1563</x:f>
        <x:v>0</x:v>
      </x:c>
      <x:c r="Y1563" s="19" t="n">
        <x:f>MAX(T1563,1)+MAX(U1563,1)+MAX(V1563,1)</x:f>
        <x:v>5</x:v>
      </x:c>
      <x:c r="Z1563" s="21" t="str">
        <x:f>IF(AND(MIN(D1563:F1563)&gt;=0,MAX(D1563:F1563)&lt;=7,MAX(D1563,1)+MAX(E1563,1)+MAX(F1563,1)&lt;=9,OR(H1563="-",AND(H1563=0,D1563&gt;0),AND(H1563=1,E1563&gt;0),AND(H1563=2,F1563&gt;0)),OR(I1563=0,AND(I1563=1,OR(J1563=0,J1563=1,J1563=2),R1563&lt;&gt;"000")),Y1563&lt;=9,MIN(T1563:V1563)&gt;=0),"合法","输入违约")</x:f>
        <x:v>合法</x:v>
      </x:c>
    </x:row>
    <x:row r="1564" ht="23" customHeight="1">
      <x:c r="A1564" s="3" t="str">
        <x:v>CT-1557</x:v>
      </x:c>
      <x:c r="B1564" s="3" t="str">
        <x:v>ST-051</x:v>
      </x:c>
      <x:c r="C1564" s="3" t="str">
        <x:v>R+AR同收同发</x:v>
      </x:c>
      <x:c r="D1564" s="25" t="n">
        <x:v>3</x:v>
      </x:c>
      <x:c r="E1564" s="25" t="n">
        <x:v>0</x:v>
      </x:c>
      <x:c r="F1564" s="25" t="n">
        <x:v>2</x:v>
      </x:c>
      <x:c r="G1564" s="19" t="n">
        <x:f>SUM(D1564:F1564)</x:f>
        <x:v>5</x:v>
      </x:c>
      <x:c r="H1564" s="25" t="n">
        <x:v>2</x:v>
      </x:c>
      <x:c r="I1564" s="25" t="n">
        <x:v>1</x:v>
      </x:c>
      <x:c r="J1564" s="25" t="n">
        <x:v>2</x:v>
      </x:c>
      <x:c r="K1564" s="19" t="n">
        <x:f>D1564-IF(H1564=0,1,0)</x:f>
        <x:v>3</x:v>
      </x:c>
      <x:c r="L1564" s="19" t="n">
        <x:f>E1564-IF(H1564=1,1,0)</x:f>
        <x:v>0</x:v>
      </x:c>
      <x:c r="M1564" s="19" t="n">
        <x:f>F1564-IF(H1564=2,1,0)</x:f>
        <x:v>1</x:v>
      </x:c>
      <x:c r="N1564" s="19" t="n">
        <x:f>MAX(K1564-1,0)+MAX(L1564-1,0)+MAX(M1564-1,0)</x:f>
        <x:v>2</x:v>
      </x:c>
      <x:c r="O1564" s="19" t="n">
        <x:f>IF(AND(SUM(K1564:M1564)&lt;9,OR(M1564=0,N1564&lt;6)),1,0)</x:f>
        <x:v>1</x:v>
      </x:c>
      <x:c r="P1564" s="19" t="n">
        <x:f>IF(AND(SUM(K1564:M1564)&lt;9,OR(L1564=0,N1564&lt;6)),1,0)</x:f>
        <x:v>1</x:v>
      </x:c>
      <x:c r="Q1564" s="19" t="n">
        <x:f>IF(AND(SUM(K1564:M1564)&lt;9,OR(K1564=0,N1564&lt;6)),1,0)</x:f>
        <x:v>1</x:v>
      </x:c>
      <x:c r="R1564" s="22" t="str">
        <x:f>O1564&amp;P1564&amp;Q1564</x:f>
        <x:v>111</x:v>
      </x:c>
      <x:c r="S1564" s="19" t="n">
        <x:f>IF(I1564=1,IF(J1564=0,Q1564,IF(J1564=1,P1564,IF(J1564=2,O1564,0))),0)</x:f>
        <x:v>1</x:v>
      </x:c>
      <x:c r="T1564" s="19" t="n">
        <x:f>K1564+IF(AND(S1564=1,J1564=0),1,0)</x:f>
        <x:v>3</x:v>
      </x:c>
      <x:c r="U1564" s="19" t="n">
        <x:f>L1564+IF(AND(S1564=1,J1564=1),1,0)</x:f>
        <x:v>0</x:v>
      </x:c>
      <x:c r="V1564" s="19" t="n">
        <x:f>M1564+IF(AND(S1564=1,J1564=2),1,0)</x:f>
        <x:v>2</x:v>
      </x:c>
      <x:c r="W1564" s="19" t="n">
        <x:f>SUM(T1564:V1564)</x:f>
        <x:v>5</x:v>
      </x:c>
      <x:c r="X1564" s="19" t="n">
        <x:f>W1564-G1564</x:f>
        <x:v>0</x:v>
      </x:c>
      <x:c r="Y1564" s="19" t="n">
        <x:f>MAX(T1564,1)+MAX(U1564,1)+MAX(V1564,1)</x:f>
        <x:v>6</x:v>
      </x:c>
      <x:c r="Z1564" s="21" t="str">
        <x:f>IF(AND(MIN(D1564:F1564)&gt;=0,MAX(D1564:F1564)&lt;=7,MAX(D1564,1)+MAX(E1564,1)+MAX(F1564,1)&lt;=9,OR(H1564="-",AND(H1564=0,D1564&gt;0),AND(H1564=1,E1564&gt;0),AND(H1564=2,F1564&gt;0)),OR(I1564=0,AND(I1564=1,OR(J1564=0,J1564=1,J1564=2),R1564&lt;&gt;"000")),Y1564&lt;=9,MIN(T1564:V1564)&gt;=0),"合法","输入违约")</x:f>
        <x:v>合法</x:v>
      </x:c>
    </x:row>
    <x:row r="1565" ht="23" customHeight="1">
      <x:c r="A1565" s="3" t="str">
        <x:v>CT-1558</x:v>
      </x:c>
      <x:c r="B1565" s="3" t="str">
        <x:v>ST-075</x:v>
      </x:c>
      <x:c r="C1565" s="3" t="str">
        <x:v>无AR/R</x:v>
      </x:c>
      <x:c r="D1565" s="25" t="n">
        <x:v>3</x:v>
      </x:c>
      <x:c r="E1565" s="25" t="n">
        <x:v>0</x:v>
      </x:c>
      <x:c r="F1565" s="25" t="n">
        <x:v>3</x:v>
      </x:c>
      <x:c r="G1565" s="19" t="n">
        <x:f>SUM(D1565:F1565)</x:f>
        <x:v>6</x:v>
      </x:c>
      <x:c r="H1565" s="25" t="str">
        <x:v>-</x:v>
      </x:c>
      <x:c r="I1565" s="25" t="n">
        <x:v>0</x:v>
      </x:c>
      <x:c r="J1565" s="25" t="str">
        <x:v>-</x:v>
      </x:c>
      <x:c r="K1565" s="19" t="n">
        <x:f>D1565-IF(H1565=0,1,0)</x:f>
        <x:v>3</x:v>
      </x:c>
      <x:c r="L1565" s="19" t="n">
        <x:f>E1565-IF(H1565=1,1,0)</x:f>
        <x:v>0</x:v>
      </x:c>
      <x:c r="M1565" s="19" t="n">
        <x:f>F1565-IF(H1565=2,1,0)</x:f>
        <x:v>3</x:v>
      </x:c>
      <x:c r="N1565" s="19" t="n">
        <x:f>MAX(K1565-1,0)+MAX(L1565-1,0)+MAX(M1565-1,0)</x:f>
        <x:v>4</x:v>
      </x:c>
      <x:c r="O1565" s="19" t="n">
        <x:f>IF(AND(SUM(K1565:M1565)&lt;9,OR(M1565=0,N1565&lt;6)),1,0)</x:f>
        <x:v>1</x:v>
      </x:c>
      <x:c r="P1565" s="19" t="n">
        <x:f>IF(AND(SUM(K1565:M1565)&lt;9,OR(L1565=0,N1565&lt;6)),1,0)</x:f>
        <x:v>1</x:v>
      </x:c>
      <x:c r="Q1565" s="19" t="n">
        <x:f>IF(AND(SUM(K1565:M1565)&lt;9,OR(K1565=0,N1565&lt;6)),1,0)</x:f>
        <x:v>1</x:v>
      </x:c>
      <x:c r="R1565" s="22" t="str">
        <x:f>O1565&amp;P1565&amp;Q1565</x:f>
        <x:v>111</x:v>
      </x:c>
      <x:c r="S1565" s="19" t="n">
        <x:f>IF(I1565=1,IF(J1565=0,Q1565,IF(J1565=1,P1565,IF(J1565=2,O1565,0))),0)</x:f>
        <x:v>0</x:v>
      </x:c>
      <x:c r="T1565" s="19" t="n">
        <x:f>K1565+IF(AND(S1565=1,J1565=0),1,0)</x:f>
        <x:v>3</x:v>
      </x:c>
      <x:c r="U1565" s="19" t="n">
        <x:f>L1565+IF(AND(S1565=1,J1565=1),1,0)</x:f>
        <x:v>0</x:v>
      </x:c>
      <x:c r="V1565" s="19" t="n">
        <x:f>M1565+IF(AND(S1565=1,J1565=2),1,0)</x:f>
        <x:v>3</x:v>
      </x:c>
      <x:c r="W1565" s="19" t="n">
        <x:f>SUM(T1565:V1565)</x:f>
        <x:v>6</x:v>
      </x:c>
      <x:c r="X1565" s="19" t="n">
        <x:f>W1565-G1565</x:f>
        <x:v>0</x:v>
      </x:c>
      <x:c r="Y1565" s="19" t="n">
        <x:f>MAX(T1565,1)+MAX(U1565,1)+MAX(V1565,1)</x:f>
        <x:v>7</x:v>
      </x:c>
      <x:c r="Z1565" s="21" t="str">
        <x:f>IF(AND(MIN(D1565:F1565)&gt;=0,MAX(D1565:F1565)&lt;=7,MAX(D1565,1)+MAX(E1565,1)+MAX(F1565,1)&lt;=9,OR(H1565="-",AND(H1565=0,D1565&gt;0),AND(H1565=1,E1565&gt;0),AND(H1565=2,F1565&gt;0)),OR(I1565=0,AND(I1565=1,OR(J1565=0,J1565=1,J1565=2),R1565&lt;&gt;"000")),Y1565&lt;=9,MIN(T1565:V1565)&gt;=0),"合法","输入违约")</x:f>
        <x:v>合法</x:v>
      </x:c>
    </x:row>
    <x:row r="1566" ht="23" customHeight="1">
      <x:c r="A1566" s="3" t="str">
        <x:v>CT-1559</x:v>
      </x:c>
      <x:c r="B1566" s="3" t="str">
        <x:v>ST-075</x:v>
      </x:c>
      <x:c r="C1566" s="3" t="str">
        <x:v>仅AR接收</x:v>
      </x:c>
      <x:c r="D1566" s="25" t="n">
        <x:v>3</x:v>
      </x:c>
      <x:c r="E1566" s="25" t="n">
        <x:v>0</x:v>
      </x:c>
      <x:c r="F1566" s="25" t="n">
        <x:v>3</x:v>
      </x:c>
      <x:c r="G1566" s="19" t="n">
        <x:f>SUM(D1566:F1566)</x:f>
        <x:v>6</x:v>
      </x:c>
      <x:c r="H1566" s="25" t="str">
        <x:v>-</x:v>
      </x:c>
      <x:c r="I1566" s="25" t="n">
        <x:v>1</x:v>
      </x:c>
      <x:c r="J1566" s="25" t="n">
        <x:v>0</x:v>
      </x:c>
      <x:c r="K1566" s="19" t="n">
        <x:f>D1566-IF(H1566=0,1,0)</x:f>
        <x:v>3</x:v>
      </x:c>
      <x:c r="L1566" s="19" t="n">
        <x:f>E1566-IF(H1566=1,1,0)</x:f>
        <x:v>0</x:v>
      </x:c>
      <x:c r="M1566" s="19" t="n">
        <x:f>F1566-IF(H1566=2,1,0)</x:f>
        <x:v>3</x:v>
      </x:c>
      <x:c r="N1566" s="19" t="n">
        <x:f>MAX(K1566-1,0)+MAX(L1566-1,0)+MAX(M1566-1,0)</x:f>
        <x:v>4</x:v>
      </x:c>
      <x:c r="O1566" s="19" t="n">
        <x:f>IF(AND(SUM(K1566:M1566)&lt;9,OR(M1566=0,N1566&lt;6)),1,0)</x:f>
        <x:v>1</x:v>
      </x:c>
      <x:c r="P1566" s="19" t="n">
        <x:f>IF(AND(SUM(K1566:M1566)&lt;9,OR(L1566=0,N1566&lt;6)),1,0)</x:f>
        <x:v>1</x:v>
      </x:c>
      <x:c r="Q1566" s="19" t="n">
        <x:f>IF(AND(SUM(K1566:M1566)&lt;9,OR(K1566=0,N1566&lt;6)),1,0)</x:f>
        <x:v>1</x:v>
      </x:c>
      <x:c r="R1566" s="22" t="str">
        <x:f>O1566&amp;P1566&amp;Q1566</x:f>
        <x:v>111</x:v>
      </x:c>
      <x:c r="S1566" s="19" t="n">
        <x:f>IF(I1566=1,IF(J1566=0,Q1566,IF(J1566=1,P1566,IF(J1566=2,O1566,0))),0)</x:f>
        <x:v>1</x:v>
      </x:c>
      <x:c r="T1566" s="19" t="n">
        <x:f>K1566+IF(AND(S1566=1,J1566=0),1,0)</x:f>
        <x:v>4</x:v>
      </x:c>
      <x:c r="U1566" s="19" t="n">
        <x:f>L1566+IF(AND(S1566=1,J1566=1),1,0)</x:f>
        <x:v>0</x:v>
      </x:c>
      <x:c r="V1566" s="19" t="n">
        <x:f>M1566+IF(AND(S1566=1,J1566=2),1,0)</x:f>
        <x:v>3</x:v>
      </x:c>
      <x:c r="W1566" s="19" t="n">
        <x:f>SUM(T1566:V1566)</x:f>
        <x:v>7</x:v>
      </x:c>
      <x:c r="X1566" s="19" t="n">
        <x:f>W1566-G1566</x:f>
        <x:v>1</x:v>
      </x:c>
      <x:c r="Y1566" s="19" t="n">
        <x:f>MAX(T1566,1)+MAX(U1566,1)+MAX(V1566,1)</x:f>
        <x:v>8</x:v>
      </x:c>
      <x:c r="Z1566" s="21" t="str">
        <x:f>IF(AND(MIN(D1566:F1566)&gt;=0,MAX(D1566:F1566)&lt;=7,MAX(D1566,1)+MAX(E1566,1)+MAX(F1566,1)&lt;=9,OR(H1566="-",AND(H1566=0,D1566&gt;0),AND(H1566=1,E1566&gt;0),AND(H1566=2,F1566&gt;0)),OR(I1566=0,AND(I1566=1,OR(J1566=0,J1566=1,J1566=2),R1566&lt;&gt;"000")),Y1566&lt;=9,MIN(T1566:V1566)&gt;=0),"合法","输入违约")</x:f>
        <x:v>合法</x:v>
      </x:c>
    </x:row>
    <x:row r="1567" ht="23" customHeight="1">
      <x:c r="A1567" s="3" t="str">
        <x:v>CT-1560</x:v>
      </x:c>
      <x:c r="B1567" s="3" t="str">
        <x:v>ST-075</x:v>
      </x:c>
      <x:c r="C1567" s="3" t="str">
        <x:v>仅AR接收</x:v>
      </x:c>
      <x:c r="D1567" s="25" t="n">
        <x:v>3</x:v>
      </x:c>
      <x:c r="E1567" s="25" t="n">
        <x:v>0</x:v>
      </x:c>
      <x:c r="F1567" s="25" t="n">
        <x:v>3</x:v>
      </x:c>
      <x:c r="G1567" s="19" t="n">
        <x:f>SUM(D1567:F1567)</x:f>
        <x:v>6</x:v>
      </x:c>
      <x:c r="H1567" s="25" t="str">
        <x:v>-</x:v>
      </x:c>
      <x:c r="I1567" s="25" t="n">
        <x:v>1</x:v>
      </x:c>
      <x:c r="J1567" s="25" t="n">
        <x:v>1</x:v>
      </x:c>
      <x:c r="K1567" s="19" t="n">
        <x:f>D1567-IF(H1567=0,1,0)</x:f>
        <x:v>3</x:v>
      </x:c>
      <x:c r="L1567" s="19" t="n">
        <x:f>E1567-IF(H1567=1,1,0)</x:f>
        <x:v>0</x:v>
      </x:c>
      <x:c r="M1567" s="19" t="n">
        <x:f>F1567-IF(H1567=2,1,0)</x:f>
        <x:v>3</x:v>
      </x:c>
      <x:c r="N1567" s="19" t="n">
        <x:f>MAX(K1567-1,0)+MAX(L1567-1,0)+MAX(M1567-1,0)</x:f>
        <x:v>4</x:v>
      </x:c>
      <x:c r="O1567" s="19" t="n">
        <x:f>IF(AND(SUM(K1567:M1567)&lt;9,OR(M1567=0,N1567&lt;6)),1,0)</x:f>
        <x:v>1</x:v>
      </x:c>
      <x:c r="P1567" s="19" t="n">
        <x:f>IF(AND(SUM(K1567:M1567)&lt;9,OR(L1567=0,N1567&lt;6)),1,0)</x:f>
        <x:v>1</x:v>
      </x:c>
      <x:c r="Q1567" s="19" t="n">
        <x:f>IF(AND(SUM(K1567:M1567)&lt;9,OR(K1567=0,N1567&lt;6)),1,0)</x:f>
        <x:v>1</x:v>
      </x:c>
      <x:c r="R1567" s="22" t="str">
        <x:f>O1567&amp;P1567&amp;Q1567</x:f>
        <x:v>111</x:v>
      </x:c>
      <x:c r="S1567" s="19" t="n">
        <x:f>IF(I1567=1,IF(J1567=0,Q1567,IF(J1567=1,P1567,IF(J1567=2,O1567,0))),0)</x:f>
        <x:v>1</x:v>
      </x:c>
      <x:c r="T1567" s="19" t="n">
        <x:f>K1567+IF(AND(S1567=1,J1567=0),1,0)</x:f>
        <x:v>3</x:v>
      </x:c>
      <x:c r="U1567" s="19" t="n">
        <x:f>L1567+IF(AND(S1567=1,J1567=1),1,0)</x:f>
        <x:v>1</x:v>
      </x:c>
      <x:c r="V1567" s="19" t="n">
        <x:f>M1567+IF(AND(S1567=1,J1567=2),1,0)</x:f>
        <x:v>3</x:v>
      </x:c>
      <x:c r="W1567" s="19" t="n">
        <x:f>SUM(T1567:V1567)</x:f>
        <x:v>7</x:v>
      </x:c>
      <x:c r="X1567" s="19" t="n">
        <x:f>W1567-G1567</x:f>
        <x:v>1</x:v>
      </x:c>
      <x:c r="Y1567" s="19" t="n">
        <x:f>MAX(T1567,1)+MAX(U1567,1)+MAX(V1567,1)</x:f>
        <x:v>7</x:v>
      </x:c>
      <x:c r="Z1567" s="21" t="str">
        <x:f>IF(AND(MIN(D1567:F1567)&gt;=0,MAX(D1567:F1567)&lt;=7,MAX(D1567,1)+MAX(E1567,1)+MAX(F1567,1)&lt;=9,OR(H1567="-",AND(H1567=0,D1567&gt;0),AND(H1567=1,E1567&gt;0),AND(H1567=2,F1567&gt;0)),OR(I1567=0,AND(I1567=1,OR(J1567=0,J1567=1,J1567=2),R1567&lt;&gt;"000")),Y1567&lt;=9,MIN(T1567:V1567)&gt;=0),"合法","输入违约")</x:f>
        <x:v>合法</x:v>
      </x:c>
    </x:row>
    <x:row r="1568" ht="23" customHeight="1">
      <x:c r="A1568" s="3" t="str">
        <x:v>CT-1561</x:v>
      </x:c>
      <x:c r="B1568" s="3" t="str">
        <x:v>ST-075</x:v>
      </x:c>
      <x:c r="C1568" s="3" t="str">
        <x:v>仅AR接收</x:v>
      </x:c>
      <x:c r="D1568" s="25" t="n">
        <x:v>3</x:v>
      </x:c>
      <x:c r="E1568" s="25" t="n">
        <x:v>0</x:v>
      </x:c>
      <x:c r="F1568" s="25" t="n">
        <x:v>3</x:v>
      </x:c>
      <x:c r="G1568" s="19" t="n">
        <x:f>SUM(D1568:F1568)</x:f>
        <x:v>6</x:v>
      </x:c>
      <x:c r="H1568" s="25" t="str">
        <x:v>-</x:v>
      </x:c>
      <x:c r="I1568" s="25" t="n">
        <x:v>1</x:v>
      </x:c>
      <x:c r="J1568" s="25" t="n">
        <x:v>2</x:v>
      </x:c>
      <x:c r="K1568" s="19" t="n">
        <x:f>D1568-IF(H1568=0,1,0)</x:f>
        <x:v>3</x:v>
      </x:c>
      <x:c r="L1568" s="19" t="n">
        <x:f>E1568-IF(H1568=1,1,0)</x:f>
        <x:v>0</x:v>
      </x:c>
      <x:c r="M1568" s="19" t="n">
        <x:f>F1568-IF(H1568=2,1,0)</x:f>
        <x:v>3</x:v>
      </x:c>
      <x:c r="N1568" s="19" t="n">
        <x:f>MAX(K1568-1,0)+MAX(L1568-1,0)+MAX(M1568-1,0)</x:f>
        <x:v>4</x:v>
      </x:c>
      <x:c r="O1568" s="19" t="n">
        <x:f>IF(AND(SUM(K1568:M1568)&lt;9,OR(M1568=0,N1568&lt;6)),1,0)</x:f>
        <x:v>1</x:v>
      </x:c>
      <x:c r="P1568" s="19" t="n">
        <x:f>IF(AND(SUM(K1568:M1568)&lt;9,OR(L1568=0,N1568&lt;6)),1,0)</x:f>
        <x:v>1</x:v>
      </x:c>
      <x:c r="Q1568" s="19" t="n">
        <x:f>IF(AND(SUM(K1568:M1568)&lt;9,OR(K1568=0,N1568&lt;6)),1,0)</x:f>
        <x:v>1</x:v>
      </x:c>
      <x:c r="R1568" s="22" t="str">
        <x:f>O1568&amp;P1568&amp;Q1568</x:f>
        <x:v>111</x:v>
      </x:c>
      <x:c r="S1568" s="19" t="n">
        <x:f>IF(I1568=1,IF(J1568=0,Q1568,IF(J1568=1,P1568,IF(J1568=2,O1568,0))),0)</x:f>
        <x:v>1</x:v>
      </x:c>
      <x:c r="T1568" s="19" t="n">
        <x:f>K1568+IF(AND(S1568=1,J1568=0),1,0)</x:f>
        <x:v>3</x:v>
      </x:c>
      <x:c r="U1568" s="19" t="n">
        <x:f>L1568+IF(AND(S1568=1,J1568=1),1,0)</x:f>
        <x:v>0</x:v>
      </x:c>
      <x:c r="V1568" s="19" t="n">
        <x:f>M1568+IF(AND(S1568=1,J1568=2),1,0)</x:f>
        <x:v>4</x:v>
      </x:c>
      <x:c r="W1568" s="19" t="n">
        <x:f>SUM(T1568:V1568)</x:f>
        <x:v>7</x:v>
      </x:c>
      <x:c r="X1568" s="19" t="n">
        <x:f>W1568-G1568</x:f>
        <x:v>1</x:v>
      </x:c>
      <x:c r="Y1568" s="19" t="n">
        <x:f>MAX(T1568,1)+MAX(U1568,1)+MAX(V1568,1)</x:f>
        <x:v>8</x:v>
      </x:c>
      <x:c r="Z1568" s="21" t="str">
        <x:f>IF(AND(MIN(D1568:F1568)&gt;=0,MAX(D1568:F1568)&lt;=7,MAX(D1568,1)+MAX(E1568,1)+MAX(F1568,1)&lt;=9,OR(H1568="-",AND(H1568=0,D1568&gt;0),AND(H1568=1,E1568&gt;0),AND(H1568=2,F1568&gt;0)),OR(I1568=0,AND(I1568=1,OR(J1568=0,J1568=1,J1568=2),R1568&lt;&gt;"000")),Y1568&lt;=9,MIN(T1568:V1568)&gt;=0),"合法","输入违约")</x:f>
        <x:v>合法</x:v>
      </x:c>
    </x:row>
    <x:row r="1569" ht="23" customHeight="1">
      <x:c r="A1569" s="3" t="str">
        <x:v>CT-1562</x:v>
      </x:c>
      <x:c r="B1569" s="3" t="str">
        <x:v>ST-075</x:v>
      </x:c>
      <x:c r="C1569" s="3" t="str">
        <x:v>仅R回收</x:v>
      </x:c>
      <x:c r="D1569" s="25" t="n">
        <x:v>3</x:v>
      </x:c>
      <x:c r="E1569" s="25" t="n">
        <x:v>0</x:v>
      </x:c>
      <x:c r="F1569" s="25" t="n">
        <x:v>3</x:v>
      </x:c>
      <x:c r="G1569" s="19" t="n">
        <x:f>SUM(D1569:F1569)</x:f>
        <x:v>6</x:v>
      </x:c>
      <x:c r="H1569" s="25" t="n">
        <x:v>0</x:v>
      </x:c>
      <x:c r="I1569" s="25" t="n">
        <x:v>0</x:v>
      </x:c>
      <x:c r="J1569" s="25" t="str">
        <x:v>-</x:v>
      </x:c>
      <x:c r="K1569" s="19" t="n">
        <x:f>D1569-IF(H1569=0,1,0)</x:f>
        <x:v>2</x:v>
      </x:c>
      <x:c r="L1569" s="19" t="n">
        <x:f>E1569-IF(H1569=1,1,0)</x:f>
        <x:v>0</x:v>
      </x:c>
      <x:c r="M1569" s="19" t="n">
        <x:f>F1569-IF(H1569=2,1,0)</x:f>
        <x:v>3</x:v>
      </x:c>
      <x:c r="N1569" s="19" t="n">
        <x:f>MAX(K1569-1,0)+MAX(L1569-1,0)+MAX(M1569-1,0)</x:f>
        <x:v>3</x:v>
      </x:c>
      <x:c r="O1569" s="19" t="n">
        <x:f>IF(AND(SUM(K1569:M1569)&lt;9,OR(M1569=0,N1569&lt;6)),1,0)</x:f>
        <x:v>1</x:v>
      </x:c>
      <x:c r="P1569" s="19" t="n">
        <x:f>IF(AND(SUM(K1569:M1569)&lt;9,OR(L1569=0,N1569&lt;6)),1,0)</x:f>
        <x:v>1</x:v>
      </x:c>
      <x:c r="Q1569" s="19" t="n">
        <x:f>IF(AND(SUM(K1569:M1569)&lt;9,OR(K1569=0,N1569&lt;6)),1,0)</x:f>
        <x:v>1</x:v>
      </x:c>
      <x:c r="R1569" s="22" t="str">
        <x:f>O1569&amp;P1569&amp;Q1569</x:f>
        <x:v>111</x:v>
      </x:c>
      <x:c r="S1569" s="19" t="n">
        <x:f>IF(I1569=1,IF(J1569=0,Q1569,IF(J1569=1,P1569,IF(J1569=2,O1569,0))),0)</x:f>
        <x:v>0</x:v>
      </x:c>
      <x:c r="T1569" s="19" t="n">
        <x:f>K1569+IF(AND(S1569=1,J1569=0),1,0)</x:f>
        <x:v>2</x:v>
      </x:c>
      <x:c r="U1569" s="19" t="n">
        <x:f>L1569+IF(AND(S1569=1,J1569=1),1,0)</x:f>
        <x:v>0</x:v>
      </x:c>
      <x:c r="V1569" s="19" t="n">
        <x:f>M1569+IF(AND(S1569=1,J1569=2),1,0)</x:f>
        <x:v>3</x:v>
      </x:c>
      <x:c r="W1569" s="19" t="n">
        <x:f>SUM(T1569:V1569)</x:f>
        <x:v>5</x:v>
      </x:c>
      <x:c r="X1569" s="19" t="n">
        <x:f>W1569-G1569</x:f>
        <x:v>-1</x:v>
      </x:c>
      <x:c r="Y1569" s="19" t="n">
        <x:f>MAX(T1569,1)+MAX(U1569,1)+MAX(V1569,1)</x:f>
        <x:v>6</x:v>
      </x:c>
      <x:c r="Z1569" s="21" t="str">
        <x:f>IF(AND(MIN(D1569:F1569)&gt;=0,MAX(D1569:F1569)&lt;=7,MAX(D1569,1)+MAX(E1569,1)+MAX(F1569,1)&lt;=9,OR(H1569="-",AND(H1569=0,D1569&gt;0),AND(H1569=1,E1569&gt;0),AND(H1569=2,F1569&gt;0)),OR(I1569=0,AND(I1569=1,OR(J1569=0,J1569=1,J1569=2),R1569&lt;&gt;"000")),Y1569&lt;=9,MIN(T1569:V1569)&gt;=0),"合法","输入违约")</x:f>
        <x:v>合法</x:v>
      </x:c>
    </x:row>
    <x:row r="1570" ht="23" customHeight="1">
      <x:c r="A1570" s="3" t="str">
        <x:v>CT-1563</x:v>
      </x:c>
      <x:c r="B1570" s="3" t="str">
        <x:v>ST-075</x:v>
      </x:c>
      <x:c r="C1570" s="3" t="str">
        <x:v>R+AR同收同发</x:v>
      </x:c>
      <x:c r="D1570" s="25" t="n">
        <x:v>3</x:v>
      </x:c>
      <x:c r="E1570" s="25" t="n">
        <x:v>0</x:v>
      </x:c>
      <x:c r="F1570" s="25" t="n">
        <x:v>3</x:v>
      </x:c>
      <x:c r="G1570" s="19" t="n">
        <x:f>SUM(D1570:F1570)</x:f>
        <x:v>6</x:v>
      </x:c>
      <x:c r="H1570" s="25" t="n">
        <x:v>0</x:v>
      </x:c>
      <x:c r="I1570" s="25" t="n">
        <x:v>1</x:v>
      </x:c>
      <x:c r="J1570" s="25" t="n">
        <x:v>0</x:v>
      </x:c>
      <x:c r="K1570" s="19" t="n">
        <x:f>D1570-IF(H1570=0,1,0)</x:f>
        <x:v>2</x:v>
      </x:c>
      <x:c r="L1570" s="19" t="n">
        <x:f>E1570-IF(H1570=1,1,0)</x:f>
        <x:v>0</x:v>
      </x:c>
      <x:c r="M1570" s="19" t="n">
        <x:f>F1570-IF(H1570=2,1,0)</x:f>
        <x:v>3</x:v>
      </x:c>
      <x:c r="N1570" s="19" t="n">
        <x:f>MAX(K1570-1,0)+MAX(L1570-1,0)+MAX(M1570-1,0)</x:f>
        <x:v>3</x:v>
      </x:c>
      <x:c r="O1570" s="19" t="n">
        <x:f>IF(AND(SUM(K1570:M1570)&lt;9,OR(M1570=0,N1570&lt;6)),1,0)</x:f>
        <x:v>1</x:v>
      </x:c>
      <x:c r="P1570" s="19" t="n">
        <x:f>IF(AND(SUM(K1570:M1570)&lt;9,OR(L1570=0,N1570&lt;6)),1,0)</x:f>
        <x:v>1</x:v>
      </x:c>
      <x:c r="Q1570" s="19" t="n">
        <x:f>IF(AND(SUM(K1570:M1570)&lt;9,OR(K1570=0,N1570&lt;6)),1,0)</x:f>
        <x:v>1</x:v>
      </x:c>
      <x:c r="R1570" s="22" t="str">
        <x:f>O1570&amp;P1570&amp;Q1570</x:f>
        <x:v>111</x:v>
      </x:c>
      <x:c r="S1570" s="19" t="n">
        <x:f>IF(I1570=1,IF(J1570=0,Q1570,IF(J1570=1,P1570,IF(J1570=2,O1570,0))),0)</x:f>
        <x:v>1</x:v>
      </x:c>
      <x:c r="T1570" s="19" t="n">
        <x:f>K1570+IF(AND(S1570=1,J1570=0),1,0)</x:f>
        <x:v>3</x:v>
      </x:c>
      <x:c r="U1570" s="19" t="n">
        <x:f>L1570+IF(AND(S1570=1,J1570=1),1,0)</x:f>
        <x:v>0</x:v>
      </x:c>
      <x:c r="V1570" s="19" t="n">
        <x:f>M1570+IF(AND(S1570=1,J1570=2),1,0)</x:f>
        <x:v>3</x:v>
      </x:c>
      <x:c r="W1570" s="19" t="n">
        <x:f>SUM(T1570:V1570)</x:f>
        <x:v>6</x:v>
      </x:c>
      <x:c r="X1570" s="19" t="n">
        <x:f>W1570-G1570</x:f>
        <x:v>0</x:v>
      </x:c>
      <x:c r="Y1570" s="19" t="n">
        <x:f>MAX(T1570,1)+MAX(U1570,1)+MAX(V1570,1)</x:f>
        <x:v>7</x:v>
      </x:c>
      <x:c r="Z1570" s="21" t="str">
        <x:f>IF(AND(MIN(D1570:F1570)&gt;=0,MAX(D1570:F1570)&lt;=7,MAX(D1570,1)+MAX(E1570,1)+MAX(F1570,1)&lt;=9,OR(H1570="-",AND(H1570=0,D1570&gt;0),AND(H1570=1,E1570&gt;0),AND(H1570=2,F1570&gt;0)),OR(I1570=0,AND(I1570=1,OR(J1570=0,J1570=1,J1570=2),R1570&lt;&gt;"000")),Y1570&lt;=9,MIN(T1570:V1570)&gt;=0),"合法","输入违约")</x:f>
        <x:v>合法</x:v>
      </x:c>
    </x:row>
    <x:row r="1571" ht="23" customHeight="1">
      <x:c r="A1571" s="3" t="str">
        <x:v>CT-1564</x:v>
      </x:c>
      <x:c r="B1571" s="3" t="str">
        <x:v>ST-075</x:v>
      </x:c>
      <x:c r="C1571" s="3" t="str">
        <x:v>R+AR同收同发</x:v>
      </x:c>
      <x:c r="D1571" s="25" t="n">
        <x:v>3</x:v>
      </x:c>
      <x:c r="E1571" s="25" t="n">
        <x:v>0</x:v>
      </x:c>
      <x:c r="F1571" s="25" t="n">
        <x:v>3</x:v>
      </x:c>
      <x:c r="G1571" s="19" t="n">
        <x:f>SUM(D1571:F1571)</x:f>
        <x:v>6</x:v>
      </x:c>
      <x:c r="H1571" s="25" t="n">
        <x:v>0</x:v>
      </x:c>
      <x:c r="I1571" s="25" t="n">
        <x:v>1</x:v>
      </x:c>
      <x:c r="J1571" s="25" t="n">
        <x:v>1</x:v>
      </x:c>
      <x:c r="K1571" s="19" t="n">
        <x:f>D1571-IF(H1571=0,1,0)</x:f>
        <x:v>2</x:v>
      </x:c>
      <x:c r="L1571" s="19" t="n">
        <x:f>E1571-IF(H1571=1,1,0)</x:f>
        <x:v>0</x:v>
      </x:c>
      <x:c r="M1571" s="19" t="n">
        <x:f>F1571-IF(H1571=2,1,0)</x:f>
        <x:v>3</x:v>
      </x:c>
      <x:c r="N1571" s="19" t="n">
        <x:f>MAX(K1571-1,0)+MAX(L1571-1,0)+MAX(M1571-1,0)</x:f>
        <x:v>3</x:v>
      </x:c>
      <x:c r="O1571" s="19" t="n">
        <x:f>IF(AND(SUM(K1571:M1571)&lt;9,OR(M1571=0,N1571&lt;6)),1,0)</x:f>
        <x:v>1</x:v>
      </x:c>
      <x:c r="P1571" s="19" t="n">
        <x:f>IF(AND(SUM(K1571:M1571)&lt;9,OR(L1571=0,N1571&lt;6)),1,0)</x:f>
        <x:v>1</x:v>
      </x:c>
      <x:c r="Q1571" s="19" t="n">
        <x:f>IF(AND(SUM(K1571:M1571)&lt;9,OR(K1571=0,N1571&lt;6)),1,0)</x:f>
        <x:v>1</x:v>
      </x:c>
      <x:c r="R1571" s="22" t="str">
        <x:f>O1571&amp;P1571&amp;Q1571</x:f>
        <x:v>111</x:v>
      </x:c>
      <x:c r="S1571" s="19" t="n">
        <x:f>IF(I1571=1,IF(J1571=0,Q1571,IF(J1571=1,P1571,IF(J1571=2,O1571,0))),0)</x:f>
        <x:v>1</x:v>
      </x:c>
      <x:c r="T1571" s="19" t="n">
        <x:f>K1571+IF(AND(S1571=1,J1571=0),1,0)</x:f>
        <x:v>2</x:v>
      </x:c>
      <x:c r="U1571" s="19" t="n">
        <x:f>L1571+IF(AND(S1571=1,J1571=1),1,0)</x:f>
        <x:v>1</x:v>
      </x:c>
      <x:c r="V1571" s="19" t="n">
        <x:f>M1571+IF(AND(S1571=1,J1571=2),1,0)</x:f>
        <x:v>3</x:v>
      </x:c>
      <x:c r="W1571" s="19" t="n">
        <x:f>SUM(T1571:V1571)</x:f>
        <x:v>6</x:v>
      </x:c>
      <x:c r="X1571" s="19" t="n">
        <x:f>W1571-G1571</x:f>
        <x:v>0</x:v>
      </x:c>
      <x:c r="Y1571" s="19" t="n">
        <x:f>MAX(T1571,1)+MAX(U1571,1)+MAX(V1571,1)</x:f>
        <x:v>6</x:v>
      </x:c>
      <x:c r="Z1571" s="21" t="str">
        <x:f>IF(AND(MIN(D1571:F1571)&gt;=0,MAX(D1571:F1571)&lt;=7,MAX(D1571,1)+MAX(E1571,1)+MAX(F1571,1)&lt;=9,OR(H1571="-",AND(H1571=0,D1571&gt;0),AND(H1571=1,E1571&gt;0),AND(H1571=2,F1571&gt;0)),OR(I1571=0,AND(I1571=1,OR(J1571=0,J1571=1,J1571=2),R1571&lt;&gt;"000")),Y1571&lt;=9,MIN(T1571:V1571)&gt;=0),"合法","输入违约")</x:f>
        <x:v>合法</x:v>
      </x:c>
    </x:row>
    <x:row r="1572" ht="23" customHeight="1">
      <x:c r="A1572" s="3" t="str">
        <x:v>CT-1565</x:v>
      </x:c>
      <x:c r="B1572" s="3" t="str">
        <x:v>ST-075</x:v>
      </x:c>
      <x:c r="C1572" s="3" t="str">
        <x:v>R+AR同收同发</x:v>
      </x:c>
      <x:c r="D1572" s="25" t="n">
        <x:v>3</x:v>
      </x:c>
      <x:c r="E1572" s="25" t="n">
        <x:v>0</x:v>
      </x:c>
      <x:c r="F1572" s="25" t="n">
        <x:v>3</x:v>
      </x:c>
      <x:c r="G1572" s="19" t="n">
        <x:f>SUM(D1572:F1572)</x:f>
        <x:v>6</x:v>
      </x:c>
      <x:c r="H1572" s="25" t="n">
        <x:v>0</x:v>
      </x:c>
      <x:c r="I1572" s="25" t="n">
        <x:v>1</x:v>
      </x:c>
      <x:c r="J1572" s="25" t="n">
        <x:v>2</x:v>
      </x:c>
      <x:c r="K1572" s="19" t="n">
        <x:f>D1572-IF(H1572=0,1,0)</x:f>
        <x:v>2</x:v>
      </x:c>
      <x:c r="L1572" s="19" t="n">
        <x:f>E1572-IF(H1572=1,1,0)</x:f>
        <x:v>0</x:v>
      </x:c>
      <x:c r="M1572" s="19" t="n">
        <x:f>F1572-IF(H1572=2,1,0)</x:f>
        <x:v>3</x:v>
      </x:c>
      <x:c r="N1572" s="19" t="n">
        <x:f>MAX(K1572-1,0)+MAX(L1572-1,0)+MAX(M1572-1,0)</x:f>
        <x:v>3</x:v>
      </x:c>
      <x:c r="O1572" s="19" t="n">
        <x:f>IF(AND(SUM(K1572:M1572)&lt;9,OR(M1572=0,N1572&lt;6)),1,0)</x:f>
        <x:v>1</x:v>
      </x:c>
      <x:c r="P1572" s="19" t="n">
        <x:f>IF(AND(SUM(K1572:M1572)&lt;9,OR(L1572=0,N1572&lt;6)),1,0)</x:f>
        <x:v>1</x:v>
      </x:c>
      <x:c r="Q1572" s="19" t="n">
        <x:f>IF(AND(SUM(K1572:M1572)&lt;9,OR(K1572=0,N1572&lt;6)),1,0)</x:f>
        <x:v>1</x:v>
      </x:c>
      <x:c r="R1572" s="22" t="str">
        <x:f>O1572&amp;P1572&amp;Q1572</x:f>
        <x:v>111</x:v>
      </x:c>
      <x:c r="S1572" s="19" t="n">
        <x:f>IF(I1572=1,IF(J1572=0,Q1572,IF(J1572=1,P1572,IF(J1572=2,O1572,0))),0)</x:f>
        <x:v>1</x:v>
      </x:c>
      <x:c r="T1572" s="19" t="n">
        <x:f>K1572+IF(AND(S1572=1,J1572=0),1,0)</x:f>
        <x:v>2</x:v>
      </x:c>
      <x:c r="U1572" s="19" t="n">
        <x:f>L1572+IF(AND(S1572=1,J1572=1),1,0)</x:f>
        <x:v>0</x:v>
      </x:c>
      <x:c r="V1572" s="19" t="n">
        <x:f>M1572+IF(AND(S1572=1,J1572=2),1,0)</x:f>
        <x:v>4</x:v>
      </x:c>
      <x:c r="W1572" s="19" t="n">
        <x:f>SUM(T1572:V1572)</x:f>
        <x:v>6</x:v>
      </x:c>
      <x:c r="X1572" s="19" t="n">
        <x:f>W1572-G1572</x:f>
        <x:v>0</x:v>
      </x:c>
      <x:c r="Y1572" s="19" t="n">
        <x:f>MAX(T1572,1)+MAX(U1572,1)+MAX(V1572,1)</x:f>
        <x:v>7</x:v>
      </x:c>
      <x:c r="Z1572" s="21" t="str">
        <x:f>IF(AND(MIN(D1572:F1572)&gt;=0,MAX(D1572:F1572)&lt;=7,MAX(D1572,1)+MAX(E1572,1)+MAX(F1572,1)&lt;=9,OR(H1572="-",AND(H1572=0,D1572&gt;0),AND(H1572=1,E1572&gt;0),AND(H1572=2,F1572&gt;0)),OR(I1572=0,AND(I1572=1,OR(J1572=0,J1572=1,J1572=2),R1572&lt;&gt;"000")),Y1572&lt;=9,MIN(T1572:V1572)&gt;=0),"合法","输入违约")</x:f>
        <x:v>合法</x:v>
      </x:c>
    </x:row>
    <x:row r="1573" ht="23" customHeight="1">
      <x:c r="A1573" s="3" t="str">
        <x:v>CT-1566</x:v>
      </x:c>
      <x:c r="B1573" s="3" t="str">
        <x:v>ST-075</x:v>
      </x:c>
      <x:c r="C1573" s="3" t="str">
        <x:v>仅R回收</x:v>
      </x:c>
      <x:c r="D1573" s="25" t="n">
        <x:v>3</x:v>
      </x:c>
      <x:c r="E1573" s="25" t="n">
        <x:v>0</x:v>
      </x:c>
      <x:c r="F1573" s="25" t="n">
        <x:v>3</x:v>
      </x:c>
      <x:c r="G1573" s="19" t="n">
        <x:f>SUM(D1573:F1573)</x:f>
        <x:v>6</x:v>
      </x:c>
      <x:c r="H1573" s="25" t="n">
        <x:v>2</x:v>
      </x:c>
      <x:c r="I1573" s="25" t="n">
        <x:v>0</x:v>
      </x:c>
      <x:c r="J1573" s="25" t="str">
        <x:v>-</x:v>
      </x:c>
      <x:c r="K1573" s="19" t="n">
        <x:f>D1573-IF(H1573=0,1,0)</x:f>
        <x:v>3</x:v>
      </x:c>
      <x:c r="L1573" s="19" t="n">
        <x:f>E1573-IF(H1573=1,1,0)</x:f>
        <x:v>0</x:v>
      </x:c>
      <x:c r="M1573" s="19" t="n">
        <x:f>F1573-IF(H1573=2,1,0)</x:f>
        <x:v>2</x:v>
      </x:c>
      <x:c r="N1573" s="19" t="n">
        <x:f>MAX(K1573-1,0)+MAX(L1573-1,0)+MAX(M1573-1,0)</x:f>
        <x:v>3</x:v>
      </x:c>
      <x:c r="O1573" s="19" t="n">
        <x:f>IF(AND(SUM(K1573:M1573)&lt;9,OR(M1573=0,N1573&lt;6)),1,0)</x:f>
        <x:v>1</x:v>
      </x:c>
      <x:c r="P1573" s="19" t="n">
        <x:f>IF(AND(SUM(K1573:M1573)&lt;9,OR(L1573=0,N1573&lt;6)),1,0)</x:f>
        <x:v>1</x:v>
      </x:c>
      <x:c r="Q1573" s="19" t="n">
        <x:f>IF(AND(SUM(K1573:M1573)&lt;9,OR(K1573=0,N1573&lt;6)),1,0)</x:f>
        <x:v>1</x:v>
      </x:c>
      <x:c r="R1573" s="22" t="str">
        <x:f>O1573&amp;P1573&amp;Q1573</x:f>
        <x:v>111</x:v>
      </x:c>
      <x:c r="S1573" s="19" t="n">
        <x:f>IF(I1573=1,IF(J1573=0,Q1573,IF(J1573=1,P1573,IF(J1573=2,O1573,0))),0)</x:f>
        <x:v>0</x:v>
      </x:c>
      <x:c r="T1573" s="19" t="n">
        <x:f>K1573+IF(AND(S1573=1,J1573=0),1,0)</x:f>
        <x:v>3</x:v>
      </x:c>
      <x:c r="U1573" s="19" t="n">
        <x:f>L1573+IF(AND(S1573=1,J1573=1),1,0)</x:f>
        <x:v>0</x:v>
      </x:c>
      <x:c r="V1573" s="19" t="n">
        <x:f>M1573+IF(AND(S1573=1,J1573=2),1,0)</x:f>
        <x:v>2</x:v>
      </x:c>
      <x:c r="W1573" s="19" t="n">
        <x:f>SUM(T1573:V1573)</x:f>
        <x:v>5</x:v>
      </x:c>
      <x:c r="X1573" s="19" t="n">
        <x:f>W1573-G1573</x:f>
        <x:v>-1</x:v>
      </x:c>
      <x:c r="Y1573" s="19" t="n">
        <x:f>MAX(T1573,1)+MAX(U1573,1)+MAX(V1573,1)</x:f>
        <x:v>6</x:v>
      </x:c>
      <x:c r="Z1573" s="21" t="str">
        <x:f>IF(AND(MIN(D1573:F1573)&gt;=0,MAX(D1573:F1573)&lt;=7,MAX(D1573,1)+MAX(E1573,1)+MAX(F1573,1)&lt;=9,OR(H1573="-",AND(H1573=0,D1573&gt;0),AND(H1573=1,E1573&gt;0),AND(H1573=2,F1573&gt;0)),OR(I1573=0,AND(I1573=1,OR(J1573=0,J1573=1,J1573=2),R1573&lt;&gt;"000")),Y1573&lt;=9,MIN(T1573:V1573)&gt;=0),"合法","输入违约")</x:f>
        <x:v>合法</x:v>
      </x:c>
    </x:row>
    <x:row r="1574" ht="23" customHeight="1">
      <x:c r="A1574" s="3" t="str">
        <x:v>CT-1567</x:v>
      </x:c>
      <x:c r="B1574" s="3" t="str">
        <x:v>ST-075</x:v>
      </x:c>
      <x:c r="C1574" s="3" t="str">
        <x:v>R+AR同收同发</x:v>
      </x:c>
      <x:c r="D1574" s="25" t="n">
        <x:v>3</x:v>
      </x:c>
      <x:c r="E1574" s="25" t="n">
        <x:v>0</x:v>
      </x:c>
      <x:c r="F1574" s="25" t="n">
        <x:v>3</x:v>
      </x:c>
      <x:c r="G1574" s="19" t="n">
        <x:f>SUM(D1574:F1574)</x:f>
        <x:v>6</x:v>
      </x:c>
      <x:c r="H1574" s="25" t="n">
        <x:v>2</x:v>
      </x:c>
      <x:c r="I1574" s="25" t="n">
        <x:v>1</x:v>
      </x:c>
      <x:c r="J1574" s="25" t="n">
        <x:v>0</x:v>
      </x:c>
      <x:c r="K1574" s="19" t="n">
        <x:f>D1574-IF(H1574=0,1,0)</x:f>
        <x:v>3</x:v>
      </x:c>
      <x:c r="L1574" s="19" t="n">
        <x:f>E1574-IF(H1574=1,1,0)</x:f>
        <x:v>0</x:v>
      </x:c>
      <x:c r="M1574" s="19" t="n">
        <x:f>F1574-IF(H1574=2,1,0)</x:f>
        <x:v>2</x:v>
      </x:c>
      <x:c r="N1574" s="19" t="n">
        <x:f>MAX(K1574-1,0)+MAX(L1574-1,0)+MAX(M1574-1,0)</x:f>
        <x:v>3</x:v>
      </x:c>
      <x:c r="O1574" s="19" t="n">
        <x:f>IF(AND(SUM(K1574:M1574)&lt;9,OR(M1574=0,N1574&lt;6)),1,0)</x:f>
        <x:v>1</x:v>
      </x:c>
      <x:c r="P1574" s="19" t="n">
        <x:f>IF(AND(SUM(K1574:M1574)&lt;9,OR(L1574=0,N1574&lt;6)),1,0)</x:f>
        <x:v>1</x:v>
      </x:c>
      <x:c r="Q1574" s="19" t="n">
        <x:f>IF(AND(SUM(K1574:M1574)&lt;9,OR(K1574=0,N1574&lt;6)),1,0)</x:f>
        <x:v>1</x:v>
      </x:c>
      <x:c r="R1574" s="22" t="str">
        <x:f>O1574&amp;P1574&amp;Q1574</x:f>
        <x:v>111</x:v>
      </x:c>
      <x:c r="S1574" s="19" t="n">
        <x:f>IF(I1574=1,IF(J1574=0,Q1574,IF(J1574=1,P1574,IF(J1574=2,O1574,0))),0)</x:f>
        <x:v>1</x:v>
      </x:c>
      <x:c r="T1574" s="19" t="n">
        <x:f>K1574+IF(AND(S1574=1,J1574=0),1,0)</x:f>
        <x:v>4</x:v>
      </x:c>
      <x:c r="U1574" s="19" t="n">
        <x:f>L1574+IF(AND(S1574=1,J1574=1),1,0)</x:f>
        <x:v>0</x:v>
      </x:c>
      <x:c r="V1574" s="19" t="n">
        <x:f>M1574+IF(AND(S1574=1,J1574=2),1,0)</x:f>
        <x:v>2</x:v>
      </x:c>
      <x:c r="W1574" s="19" t="n">
        <x:f>SUM(T1574:V1574)</x:f>
        <x:v>6</x:v>
      </x:c>
      <x:c r="X1574" s="19" t="n">
        <x:f>W1574-G1574</x:f>
        <x:v>0</x:v>
      </x:c>
      <x:c r="Y1574" s="19" t="n">
        <x:f>MAX(T1574,1)+MAX(U1574,1)+MAX(V1574,1)</x:f>
        <x:v>7</x:v>
      </x:c>
      <x:c r="Z1574" s="21" t="str">
        <x:f>IF(AND(MIN(D1574:F1574)&gt;=0,MAX(D1574:F1574)&lt;=7,MAX(D1574,1)+MAX(E1574,1)+MAX(F1574,1)&lt;=9,OR(H1574="-",AND(H1574=0,D1574&gt;0),AND(H1574=1,E1574&gt;0),AND(H1574=2,F1574&gt;0)),OR(I1574=0,AND(I1574=1,OR(J1574=0,J1574=1,J1574=2),R1574&lt;&gt;"000")),Y1574&lt;=9,MIN(T1574:V1574)&gt;=0),"合法","输入违约")</x:f>
        <x:v>合法</x:v>
      </x:c>
    </x:row>
    <x:row r="1575" ht="23" customHeight="1">
      <x:c r="A1575" s="3" t="str">
        <x:v>CT-1568</x:v>
      </x:c>
      <x:c r="B1575" s="3" t="str">
        <x:v>ST-075</x:v>
      </x:c>
      <x:c r="C1575" s="3" t="str">
        <x:v>R+AR同收同发</x:v>
      </x:c>
      <x:c r="D1575" s="25" t="n">
        <x:v>3</x:v>
      </x:c>
      <x:c r="E1575" s="25" t="n">
        <x:v>0</x:v>
      </x:c>
      <x:c r="F1575" s="25" t="n">
        <x:v>3</x:v>
      </x:c>
      <x:c r="G1575" s="19" t="n">
        <x:f>SUM(D1575:F1575)</x:f>
        <x:v>6</x:v>
      </x:c>
      <x:c r="H1575" s="25" t="n">
        <x:v>2</x:v>
      </x:c>
      <x:c r="I1575" s="25" t="n">
        <x:v>1</x:v>
      </x:c>
      <x:c r="J1575" s="25" t="n">
        <x:v>1</x:v>
      </x:c>
      <x:c r="K1575" s="19" t="n">
        <x:f>D1575-IF(H1575=0,1,0)</x:f>
        <x:v>3</x:v>
      </x:c>
      <x:c r="L1575" s="19" t="n">
        <x:f>E1575-IF(H1575=1,1,0)</x:f>
        <x:v>0</x:v>
      </x:c>
      <x:c r="M1575" s="19" t="n">
        <x:f>F1575-IF(H1575=2,1,0)</x:f>
        <x:v>2</x:v>
      </x:c>
      <x:c r="N1575" s="19" t="n">
        <x:f>MAX(K1575-1,0)+MAX(L1575-1,0)+MAX(M1575-1,0)</x:f>
        <x:v>3</x:v>
      </x:c>
      <x:c r="O1575" s="19" t="n">
        <x:f>IF(AND(SUM(K1575:M1575)&lt;9,OR(M1575=0,N1575&lt;6)),1,0)</x:f>
        <x:v>1</x:v>
      </x:c>
      <x:c r="P1575" s="19" t="n">
        <x:f>IF(AND(SUM(K1575:M1575)&lt;9,OR(L1575=0,N1575&lt;6)),1,0)</x:f>
        <x:v>1</x:v>
      </x:c>
      <x:c r="Q1575" s="19" t="n">
        <x:f>IF(AND(SUM(K1575:M1575)&lt;9,OR(K1575=0,N1575&lt;6)),1,0)</x:f>
        <x:v>1</x:v>
      </x:c>
      <x:c r="R1575" s="22" t="str">
        <x:f>O1575&amp;P1575&amp;Q1575</x:f>
        <x:v>111</x:v>
      </x:c>
      <x:c r="S1575" s="19" t="n">
        <x:f>IF(I1575=1,IF(J1575=0,Q1575,IF(J1575=1,P1575,IF(J1575=2,O1575,0))),0)</x:f>
        <x:v>1</x:v>
      </x:c>
      <x:c r="T1575" s="19" t="n">
        <x:f>K1575+IF(AND(S1575=1,J1575=0),1,0)</x:f>
        <x:v>3</x:v>
      </x:c>
      <x:c r="U1575" s="19" t="n">
        <x:f>L1575+IF(AND(S1575=1,J1575=1),1,0)</x:f>
        <x:v>1</x:v>
      </x:c>
      <x:c r="V1575" s="19" t="n">
        <x:f>M1575+IF(AND(S1575=1,J1575=2),1,0)</x:f>
        <x:v>2</x:v>
      </x:c>
      <x:c r="W1575" s="19" t="n">
        <x:f>SUM(T1575:V1575)</x:f>
        <x:v>6</x:v>
      </x:c>
      <x:c r="X1575" s="19" t="n">
        <x:f>W1575-G1575</x:f>
        <x:v>0</x:v>
      </x:c>
      <x:c r="Y1575" s="19" t="n">
        <x:f>MAX(T1575,1)+MAX(U1575,1)+MAX(V1575,1)</x:f>
        <x:v>6</x:v>
      </x:c>
      <x:c r="Z1575" s="21" t="str">
        <x:f>IF(AND(MIN(D1575:F1575)&gt;=0,MAX(D1575:F1575)&lt;=7,MAX(D1575,1)+MAX(E1575,1)+MAX(F1575,1)&lt;=9,OR(H1575="-",AND(H1575=0,D1575&gt;0),AND(H1575=1,E1575&gt;0),AND(H1575=2,F1575&gt;0)),OR(I1575=0,AND(I1575=1,OR(J1575=0,J1575=1,J1575=2),R1575&lt;&gt;"000")),Y1575&lt;=9,MIN(T1575:V1575)&gt;=0),"合法","输入违约")</x:f>
        <x:v>合法</x:v>
      </x:c>
    </x:row>
    <x:row r="1576" ht="23" customHeight="1">
      <x:c r="A1576" s="3" t="str">
        <x:v>CT-1569</x:v>
      </x:c>
      <x:c r="B1576" s="3" t="str">
        <x:v>ST-075</x:v>
      </x:c>
      <x:c r="C1576" s="3" t="str">
        <x:v>R+AR同收同发</x:v>
      </x:c>
      <x:c r="D1576" s="25" t="n">
        <x:v>3</x:v>
      </x:c>
      <x:c r="E1576" s="25" t="n">
        <x:v>0</x:v>
      </x:c>
      <x:c r="F1576" s="25" t="n">
        <x:v>3</x:v>
      </x:c>
      <x:c r="G1576" s="19" t="n">
        <x:f>SUM(D1576:F1576)</x:f>
        <x:v>6</x:v>
      </x:c>
      <x:c r="H1576" s="25" t="n">
        <x:v>2</x:v>
      </x:c>
      <x:c r="I1576" s="25" t="n">
        <x:v>1</x:v>
      </x:c>
      <x:c r="J1576" s="25" t="n">
        <x:v>2</x:v>
      </x:c>
      <x:c r="K1576" s="19" t="n">
        <x:f>D1576-IF(H1576=0,1,0)</x:f>
        <x:v>3</x:v>
      </x:c>
      <x:c r="L1576" s="19" t="n">
        <x:f>E1576-IF(H1576=1,1,0)</x:f>
        <x:v>0</x:v>
      </x:c>
      <x:c r="M1576" s="19" t="n">
        <x:f>F1576-IF(H1576=2,1,0)</x:f>
        <x:v>2</x:v>
      </x:c>
      <x:c r="N1576" s="19" t="n">
        <x:f>MAX(K1576-1,0)+MAX(L1576-1,0)+MAX(M1576-1,0)</x:f>
        <x:v>3</x:v>
      </x:c>
      <x:c r="O1576" s="19" t="n">
        <x:f>IF(AND(SUM(K1576:M1576)&lt;9,OR(M1576=0,N1576&lt;6)),1,0)</x:f>
        <x:v>1</x:v>
      </x:c>
      <x:c r="P1576" s="19" t="n">
        <x:f>IF(AND(SUM(K1576:M1576)&lt;9,OR(L1576=0,N1576&lt;6)),1,0)</x:f>
        <x:v>1</x:v>
      </x:c>
      <x:c r="Q1576" s="19" t="n">
        <x:f>IF(AND(SUM(K1576:M1576)&lt;9,OR(K1576=0,N1576&lt;6)),1,0)</x:f>
        <x:v>1</x:v>
      </x:c>
      <x:c r="R1576" s="22" t="str">
        <x:f>O1576&amp;P1576&amp;Q1576</x:f>
        <x:v>111</x:v>
      </x:c>
      <x:c r="S1576" s="19" t="n">
        <x:f>IF(I1576=1,IF(J1576=0,Q1576,IF(J1576=1,P1576,IF(J1576=2,O1576,0))),0)</x:f>
        <x:v>1</x:v>
      </x:c>
      <x:c r="T1576" s="19" t="n">
        <x:f>K1576+IF(AND(S1576=1,J1576=0),1,0)</x:f>
        <x:v>3</x:v>
      </x:c>
      <x:c r="U1576" s="19" t="n">
        <x:f>L1576+IF(AND(S1576=1,J1576=1),1,0)</x:f>
        <x:v>0</x:v>
      </x:c>
      <x:c r="V1576" s="19" t="n">
        <x:f>M1576+IF(AND(S1576=1,J1576=2),1,0)</x:f>
        <x:v>3</x:v>
      </x:c>
      <x:c r="W1576" s="19" t="n">
        <x:f>SUM(T1576:V1576)</x:f>
        <x:v>6</x:v>
      </x:c>
      <x:c r="X1576" s="19" t="n">
        <x:f>W1576-G1576</x:f>
        <x:v>0</x:v>
      </x:c>
      <x:c r="Y1576" s="19" t="n">
        <x:f>MAX(T1576,1)+MAX(U1576,1)+MAX(V1576,1)</x:f>
        <x:v>7</x:v>
      </x:c>
      <x:c r="Z1576" s="21" t="str">
        <x:f>IF(AND(MIN(D1576:F1576)&gt;=0,MAX(D1576:F1576)&lt;=7,MAX(D1576,1)+MAX(E1576,1)+MAX(F1576,1)&lt;=9,OR(H1576="-",AND(H1576=0,D1576&gt;0),AND(H1576=1,E1576&gt;0),AND(H1576=2,F1576&gt;0)),OR(I1576=0,AND(I1576=1,OR(J1576=0,J1576=1,J1576=2),R1576&lt;&gt;"000")),Y1576&lt;=9,MIN(T1576:V1576)&gt;=0),"合法","输入违约")</x:f>
        <x:v>合法</x:v>
      </x:c>
    </x:row>
    <x:row r="1577" ht="23" customHeight="1">
      <x:c r="A1577" s="3" t="str">
        <x:v>CT-1570</x:v>
      </x:c>
      <x:c r="B1577" s="3" t="str">
        <x:v>ST-106</x:v>
      </x:c>
      <x:c r="C1577" s="3" t="str">
        <x:v>无AR/R</x:v>
      </x:c>
      <x:c r="D1577" s="25" t="n">
        <x:v>3</x:v>
      </x:c>
      <x:c r="E1577" s="25" t="n">
        <x:v>0</x:v>
      </x:c>
      <x:c r="F1577" s="25" t="n">
        <x:v>4</x:v>
      </x:c>
      <x:c r="G1577" s="19" t="n">
        <x:f>SUM(D1577:F1577)</x:f>
        <x:v>7</x:v>
      </x:c>
      <x:c r="H1577" s="25" t="str">
        <x:v>-</x:v>
      </x:c>
      <x:c r="I1577" s="25" t="n">
        <x:v>0</x:v>
      </x:c>
      <x:c r="J1577" s="25" t="str">
        <x:v>-</x:v>
      </x:c>
      <x:c r="K1577" s="19" t="n">
        <x:f>D1577-IF(H1577=0,1,0)</x:f>
        <x:v>3</x:v>
      </x:c>
      <x:c r="L1577" s="19" t="n">
        <x:f>E1577-IF(H1577=1,1,0)</x:f>
        <x:v>0</x:v>
      </x:c>
      <x:c r="M1577" s="19" t="n">
        <x:f>F1577-IF(H1577=2,1,0)</x:f>
        <x:v>4</x:v>
      </x:c>
      <x:c r="N1577" s="19" t="n">
        <x:f>MAX(K1577-1,0)+MAX(L1577-1,0)+MAX(M1577-1,0)</x:f>
        <x:v>5</x:v>
      </x:c>
      <x:c r="O1577" s="19" t="n">
        <x:f>IF(AND(SUM(K1577:M1577)&lt;9,OR(M1577=0,N1577&lt;6)),1,0)</x:f>
        <x:v>1</x:v>
      </x:c>
      <x:c r="P1577" s="19" t="n">
        <x:f>IF(AND(SUM(K1577:M1577)&lt;9,OR(L1577=0,N1577&lt;6)),1,0)</x:f>
        <x:v>1</x:v>
      </x:c>
      <x:c r="Q1577" s="19" t="n">
        <x:f>IF(AND(SUM(K1577:M1577)&lt;9,OR(K1577=0,N1577&lt;6)),1,0)</x:f>
        <x:v>1</x:v>
      </x:c>
      <x:c r="R1577" s="22" t="str">
        <x:f>O1577&amp;P1577&amp;Q1577</x:f>
        <x:v>111</x:v>
      </x:c>
      <x:c r="S1577" s="19" t="n">
        <x:f>IF(I1577=1,IF(J1577=0,Q1577,IF(J1577=1,P1577,IF(J1577=2,O1577,0))),0)</x:f>
        <x:v>0</x:v>
      </x:c>
      <x:c r="T1577" s="19" t="n">
        <x:f>K1577+IF(AND(S1577=1,J1577=0),1,0)</x:f>
        <x:v>3</x:v>
      </x:c>
      <x:c r="U1577" s="19" t="n">
        <x:f>L1577+IF(AND(S1577=1,J1577=1),1,0)</x:f>
        <x:v>0</x:v>
      </x:c>
      <x:c r="V1577" s="19" t="n">
        <x:f>M1577+IF(AND(S1577=1,J1577=2),1,0)</x:f>
        <x:v>4</x:v>
      </x:c>
      <x:c r="W1577" s="19" t="n">
        <x:f>SUM(T1577:V1577)</x:f>
        <x:v>7</x:v>
      </x:c>
      <x:c r="X1577" s="19" t="n">
        <x:f>W1577-G1577</x:f>
        <x:v>0</x:v>
      </x:c>
      <x:c r="Y1577" s="19" t="n">
        <x:f>MAX(T1577,1)+MAX(U1577,1)+MAX(V1577,1)</x:f>
        <x:v>8</x:v>
      </x:c>
      <x:c r="Z1577" s="21" t="str">
        <x:f>IF(AND(MIN(D1577:F1577)&gt;=0,MAX(D1577:F1577)&lt;=7,MAX(D1577,1)+MAX(E1577,1)+MAX(F1577,1)&lt;=9,OR(H1577="-",AND(H1577=0,D1577&gt;0),AND(H1577=1,E1577&gt;0),AND(H1577=2,F1577&gt;0)),OR(I1577=0,AND(I1577=1,OR(J1577=0,J1577=1,J1577=2),R1577&lt;&gt;"000")),Y1577&lt;=9,MIN(T1577:V1577)&gt;=0),"合法","输入违约")</x:f>
        <x:v>合法</x:v>
      </x:c>
    </x:row>
    <x:row r="1578" ht="23" customHeight="1">
      <x:c r="A1578" s="3" t="str">
        <x:v>CT-1571</x:v>
      </x:c>
      <x:c r="B1578" s="3" t="str">
        <x:v>ST-106</x:v>
      </x:c>
      <x:c r="C1578" s="3" t="str">
        <x:v>仅AR接收</x:v>
      </x:c>
      <x:c r="D1578" s="25" t="n">
        <x:v>3</x:v>
      </x:c>
      <x:c r="E1578" s="25" t="n">
        <x:v>0</x:v>
      </x:c>
      <x:c r="F1578" s="25" t="n">
        <x:v>4</x:v>
      </x:c>
      <x:c r="G1578" s="19" t="n">
        <x:f>SUM(D1578:F1578)</x:f>
        <x:v>7</x:v>
      </x:c>
      <x:c r="H1578" s="25" t="str">
        <x:v>-</x:v>
      </x:c>
      <x:c r="I1578" s="25" t="n">
        <x:v>1</x:v>
      </x:c>
      <x:c r="J1578" s="25" t="n">
        <x:v>0</x:v>
      </x:c>
      <x:c r="K1578" s="19" t="n">
        <x:f>D1578-IF(H1578=0,1,0)</x:f>
        <x:v>3</x:v>
      </x:c>
      <x:c r="L1578" s="19" t="n">
        <x:f>E1578-IF(H1578=1,1,0)</x:f>
        <x:v>0</x:v>
      </x:c>
      <x:c r="M1578" s="19" t="n">
        <x:f>F1578-IF(H1578=2,1,0)</x:f>
        <x:v>4</x:v>
      </x:c>
      <x:c r="N1578" s="19" t="n">
        <x:f>MAX(K1578-1,0)+MAX(L1578-1,0)+MAX(M1578-1,0)</x:f>
        <x:v>5</x:v>
      </x:c>
      <x:c r="O1578" s="19" t="n">
        <x:f>IF(AND(SUM(K1578:M1578)&lt;9,OR(M1578=0,N1578&lt;6)),1,0)</x:f>
        <x:v>1</x:v>
      </x:c>
      <x:c r="P1578" s="19" t="n">
        <x:f>IF(AND(SUM(K1578:M1578)&lt;9,OR(L1578=0,N1578&lt;6)),1,0)</x:f>
        <x:v>1</x:v>
      </x:c>
      <x:c r="Q1578" s="19" t="n">
        <x:f>IF(AND(SUM(K1578:M1578)&lt;9,OR(K1578=0,N1578&lt;6)),1,0)</x:f>
        <x:v>1</x:v>
      </x:c>
      <x:c r="R1578" s="22" t="str">
        <x:f>O1578&amp;P1578&amp;Q1578</x:f>
        <x:v>111</x:v>
      </x:c>
      <x:c r="S1578" s="19" t="n">
        <x:f>IF(I1578=1,IF(J1578=0,Q1578,IF(J1578=1,P1578,IF(J1578=2,O1578,0))),0)</x:f>
        <x:v>1</x:v>
      </x:c>
      <x:c r="T1578" s="19" t="n">
        <x:f>K1578+IF(AND(S1578=1,J1578=0),1,0)</x:f>
        <x:v>4</x:v>
      </x:c>
      <x:c r="U1578" s="19" t="n">
        <x:f>L1578+IF(AND(S1578=1,J1578=1),1,0)</x:f>
        <x:v>0</x:v>
      </x:c>
      <x:c r="V1578" s="19" t="n">
        <x:f>M1578+IF(AND(S1578=1,J1578=2),1,0)</x:f>
        <x:v>4</x:v>
      </x:c>
      <x:c r="W1578" s="19" t="n">
        <x:f>SUM(T1578:V1578)</x:f>
        <x:v>8</x:v>
      </x:c>
      <x:c r="X1578" s="19" t="n">
        <x:f>W1578-G1578</x:f>
        <x:v>1</x:v>
      </x:c>
      <x:c r="Y1578" s="19" t="n">
        <x:f>MAX(T1578,1)+MAX(U1578,1)+MAX(V1578,1)</x:f>
        <x:v>9</x:v>
      </x:c>
      <x:c r="Z1578" s="21" t="str">
        <x:f>IF(AND(MIN(D1578:F1578)&gt;=0,MAX(D1578:F1578)&lt;=7,MAX(D1578,1)+MAX(E1578,1)+MAX(F1578,1)&lt;=9,OR(H1578="-",AND(H1578=0,D1578&gt;0),AND(H1578=1,E1578&gt;0),AND(H1578=2,F1578&gt;0)),OR(I1578=0,AND(I1578=1,OR(J1578=0,J1578=1,J1578=2),R1578&lt;&gt;"000")),Y1578&lt;=9,MIN(T1578:V1578)&gt;=0),"合法","输入违约")</x:f>
        <x:v>合法</x:v>
      </x:c>
    </x:row>
    <x:row r="1579" ht="23" customHeight="1">
      <x:c r="A1579" s="3" t="str">
        <x:v>CT-1572</x:v>
      </x:c>
      <x:c r="B1579" s="3" t="str">
        <x:v>ST-106</x:v>
      </x:c>
      <x:c r="C1579" s="3" t="str">
        <x:v>仅AR接收</x:v>
      </x:c>
      <x:c r="D1579" s="25" t="n">
        <x:v>3</x:v>
      </x:c>
      <x:c r="E1579" s="25" t="n">
        <x:v>0</x:v>
      </x:c>
      <x:c r="F1579" s="25" t="n">
        <x:v>4</x:v>
      </x:c>
      <x:c r="G1579" s="19" t="n">
        <x:f>SUM(D1579:F1579)</x:f>
        <x:v>7</x:v>
      </x:c>
      <x:c r="H1579" s="25" t="str">
        <x:v>-</x:v>
      </x:c>
      <x:c r="I1579" s="25" t="n">
        <x:v>1</x:v>
      </x:c>
      <x:c r="J1579" s="25" t="n">
        <x:v>1</x:v>
      </x:c>
      <x:c r="K1579" s="19" t="n">
        <x:f>D1579-IF(H1579=0,1,0)</x:f>
        <x:v>3</x:v>
      </x:c>
      <x:c r="L1579" s="19" t="n">
        <x:f>E1579-IF(H1579=1,1,0)</x:f>
        <x:v>0</x:v>
      </x:c>
      <x:c r="M1579" s="19" t="n">
        <x:f>F1579-IF(H1579=2,1,0)</x:f>
        <x:v>4</x:v>
      </x:c>
      <x:c r="N1579" s="19" t="n">
        <x:f>MAX(K1579-1,0)+MAX(L1579-1,0)+MAX(M1579-1,0)</x:f>
        <x:v>5</x:v>
      </x:c>
      <x:c r="O1579" s="19" t="n">
        <x:f>IF(AND(SUM(K1579:M1579)&lt;9,OR(M1579=0,N1579&lt;6)),1,0)</x:f>
        <x:v>1</x:v>
      </x:c>
      <x:c r="P1579" s="19" t="n">
        <x:f>IF(AND(SUM(K1579:M1579)&lt;9,OR(L1579=0,N1579&lt;6)),1,0)</x:f>
        <x:v>1</x:v>
      </x:c>
      <x:c r="Q1579" s="19" t="n">
        <x:f>IF(AND(SUM(K1579:M1579)&lt;9,OR(K1579=0,N1579&lt;6)),1,0)</x:f>
        <x:v>1</x:v>
      </x:c>
      <x:c r="R1579" s="22" t="str">
        <x:f>O1579&amp;P1579&amp;Q1579</x:f>
        <x:v>111</x:v>
      </x:c>
      <x:c r="S1579" s="19" t="n">
        <x:f>IF(I1579=1,IF(J1579=0,Q1579,IF(J1579=1,P1579,IF(J1579=2,O1579,0))),0)</x:f>
        <x:v>1</x:v>
      </x:c>
      <x:c r="T1579" s="19" t="n">
        <x:f>K1579+IF(AND(S1579=1,J1579=0),1,0)</x:f>
        <x:v>3</x:v>
      </x:c>
      <x:c r="U1579" s="19" t="n">
        <x:f>L1579+IF(AND(S1579=1,J1579=1),1,0)</x:f>
        <x:v>1</x:v>
      </x:c>
      <x:c r="V1579" s="19" t="n">
        <x:f>M1579+IF(AND(S1579=1,J1579=2),1,0)</x:f>
        <x:v>4</x:v>
      </x:c>
      <x:c r="W1579" s="19" t="n">
        <x:f>SUM(T1579:V1579)</x:f>
        <x:v>8</x:v>
      </x:c>
      <x:c r="X1579" s="19" t="n">
        <x:f>W1579-G1579</x:f>
        <x:v>1</x:v>
      </x:c>
      <x:c r="Y1579" s="19" t="n">
        <x:f>MAX(T1579,1)+MAX(U1579,1)+MAX(V1579,1)</x:f>
        <x:v>8</x:v>
      </x:c>
      <x:c r="Z1579" s="21" t="str">
        <x:f>IF(AND(MIN(D1579:F1579)&gt;=0,MAX(D1579:F1579)&lt;=7,MAX(D1579,1)+MAX(E1579,1)+MAX(F1579,1)&lt;=9,OR(H1579="-",AND(H1579=0,D1579&gt;0),AND(H1579=1,E1579&gt;0),AND(H1579=2,F1579&gt;0)),OR(I1579=0,AND(I1579=1,OR(J1579=0,J1579=1,J1579=2),R1579&lt;&gt;"000")),Y1579&lt;=9,MIN(T1579:V1579)&gt;=0),"合法","输入违约")</x:f>
        <x:v>合法</x:v>
      </x:c>
    </x:row>
    <x:row r="1580" ht="23" customHeight="1">
      <x:c r="A1580" s="3" t="str">
        <x:v>CT-1573</x:v>
      </x:c>
      <x:c r="B1580" s="3" t="str">
        <x:v>ST-106</x:v>
      </x:c>
      <x:c r="C1580" s="3" t="str">
        <x:v>仅AR接收</x:v>
      </x:c>
      <x:c r="D1580" s="25" t="n">
        <x:v>3</x:v>
      </x:c>
      <x:c r="E1580" s="25" t="n">
        <x:v>0</x:v>
      </x:c>
      <x:c r="F1580" s="25" t="n">
        <x:v>4</x:v>
      </x:c>
      <x:c r="G1580" s="19" t="n">
        <x:f>SUM(D1580:F1580)</x:f>
        <x:v>7</x:v>
      </x:c>
      <x:c r="H1580" s="25" t="str">
        <x:v>-</x:v>
      </x:c>
      <x:c r="I1580" s="25" t="n">
        <x:v>1</x:v>
      </x:c>
      <x:c r="J1580" s="25" t="n">
        <x:v>2</x:v>
      </x:c>
      <x:c r="K1580" s="19" t="n">
        <x:f>D1580-IF(H1580=0,1,0)</x:f>
        <x:v>3</x:v>
      </x:c>
      <x:c r="L1580" s="19" t="n">
        <x:f>E1580-IF(H1580=1,1,0)</x:f>
        <x:v>0</x:v>
      </x:c>
      <x:c r="M1580" s="19" t="n">
        <x:f>F1580-IF(H1580=2,1,0)</x:f>
        <x:v>4</x:v>
      </x:c>
      <x:c r="N1580" s="19" t="n">
        <x:f>MAX(K1580-1,0)+MAX(L1580-1,0)+MAX(M1580-1,0)</x:f>
        <x:v>5</x:v>
      </x:c>
      <x:c r="O1580" s="19" t="n">
        <x:f>IF(AND(SUM(K1580:M1580)&lt;9,OR(M1580=0,N1580&lt;6)),1,0)</x:f>
        <x:v>1</x:v>
      </x:c>
      <x:c r="P1580" s="19" t="n">
        <x:f>IF(AND(SUM(K1580:M1580)&lt;9,OR(L1580=0,N1580&lt;6)),1,0)</x:f>
        <x:v>1</x:v>
      </x:c>
      <x:c r="Q1580" s="19" t="n">
        <x:f>IF(AND(SUM(K1580:M1580)&lt;9,OR(K1580=0,N1580&lt;6)),1,0)</x:f>
        <x:v>1</x:v>
      </x:c>
      <x:c r="R1580" s="22" t="str">
        <x:f>O1580&amp;P1580&amp;Q1580</x:f>
        <x:v>111</x:v>
      </x:c>
      <x:c r="S1580" s="19" t="n">
        <x:f>IF(I1580=1,IF(J1580=0,Q1580,IF(J1580=1,P1580,IF(J1580=2,O1580,0))),0)</x:f>
        <x:v>1</x:v>
      </x:c>
      <x:c r="T1580" s="19" t="n">
        <x:f>K1580+IF(AND(S1580=1,J1580=0),1,0)</x:f>
        <x:v>3</x:v>
      </x:c>
      <x:c r="U1580" s="19" t="n">
        <x:f>L1580+IF(AND(S1580=1,J1580=1),1,0)</x:f>
        <x:v>0</x:v>
      </x:c>
      <x:c r="V1580" s="19" t="n">
        <x:f>M1580+IF(AND(S1580=1,J1580=2),1,0)</x:f>
        <x:v>5</x:v>
      </x:c>
      <x:c r="W1580" s="19" t="n">
        <x:f>SUM(T1580:V1580)</x:f>
        <x:v>8</x:v>
      </x:c>
      <x:c r="X1580" s="19" t="n">
        <x:f>W1580-G1580</x:f>
        <x:v>1</x:v>
      </x:c>
      <x:c r="Y1580" s="19" t="n">
        <x:f>MAX(T1580,1)+MAX(U1580,1)+MAX(V1580,1)</x:f>
        <x:v>9</x:v>
      </x:c>
      <x:c r="Z1580" s="21" t="str">
        <x:f>IF(AND(MIN(D1580:F1580)&gt;=0,MAX(D1580:F1580)&lt;=7,MAX(D1580,1)+MAX(E1580,1)+MAX(F1580,1)&lt;=9,OR(H1580="-",AND(H1580=0,D1580&gt;0),AND(H1580=1,E1580&gt;0),AND(H1580=2,F1580&gt;0)),OR(I1580=0,AND(I1580=1,OR(J1580=0,J1580=1,J1580=2),R1580&lt;&gt;"000")),Y1580&lt;=9,MIN(T1580:V1580)&gt;=0),"合法","输入违约")</x:f>
        <x:v>合法</x:v>
      </x:c>
    </x:row>
    <x:row r="1581" ht="23" customHeight="1">
      <x:c r="A1581" s="3" t="str">
        <x:v>CT-1574</x:v>
      </x:c>
      <x:c r="B1581" s="3" t="str">
        <x:v>ST-106</x:v>
      </x:c>
      <x:c r="C1581" s="3" t="str">
        <x:v>仅R回收</x:v>
      </x:c>
      <x:c r="D1581" s="25" t="n">
        <x:v>3</x:v>
      </x:c>
      <x:c r="E1581" s="25" t="n">
        <x:v>0</x:v>
      </x:c>
      <x:c r="F1581" s="25" t="n">
        <x:v>4</x:v>
      </x:c>
      <x:c r="G1581" s="19" t="n">
        <x:f>SUM(D1581:F1581)</x:f>
        <x:v>7</x:v>
      </x:c>
      <x:c r="H1581" s="25" t="n">
        <x:v>0</x:v>
      </x:c>
      <x:c r="I1581" s="25" t="n">
        <x:v>0</x:v>
      </x:c>
      <x:c r="J1581" s="25" t="str">
        <x:v>-</x:v>
      </x:c>
      <x:c r="K1581" s="19" t="n">
        <x:f>D1581-IF(H1581=0,1,0)</x:f>
        <x:v>2</x:v>
      </x:c>
      <x:c r="L1581" s="19" t="n">
        <x:f>E1581-IF(H1581=1,1,0)</x:f>
        <x:v>0</x:v>
      </x:c>
      <x:c r="M1581" s="19" t="n">
        <x:f>F1581-IF(H1581=2,1,0)</x:f>
        <x:v>4</x:v>
      </x:c>
      <x:c r="N1581" s="19" t="n">
        <x:f>MAX(K1581-1,0)+MAX(L1581-1,0)+MAX(M1581-1,0)</x:f>
        <x:v>4</x:v>
      </x:c>
      <x:c r="O1581" s="19" t="n">
        <x:f>IF(AND(SUM(K1581:M1581)&lt;9,OR(M1581=0,N1581&lt;6)),1,0)</x:f>
        <x:v>1</x:v>
      </x:c>
      <x:c r="P1581" s="19" t="n">
        <x:f>IF(AND(SUM(K1581:M1581)&lt;9,OR(L1581=0,N1581&lt;6)),1,0)</x:f>
        <x:v>1</x:v>
      </x:c>
      <x:c r="Q1581" s="19" t="n">
        <x:f>IF(AND(SUM(K1581:M1581)&lt;9,OR(K1581=0,N1581&lt;6)),1,0)</x:f>
        <x:v>1</x:v>
      </x:c>
      <x:c r="R1581" s="22" t="str">
        <x:f>O1581&amp;P1581&amp;Q1581</x:f>
        <x:v>111</x:v>
      </x:c>
      <x:c r="S1581" s="19" t="n">
        <x:f>IF(I1581=1,IF(J1581=0,Q1581,IF(J1581=1,P1581,IF(J1581=2,O1581,0))),0)</x:f>
        <x:v>0</x:v>
      </x:c>
      <x:c r="T1581" s="19" t="n">
        <x:f>K1581+IF(AND(S1581=1,J1581=0),1,0)</x:f>
        <x:v>2</x:v>
      </x:c>
      <x:c r="U1581" s="19" t="n">
        <x:f>L1581+IF(AND(S1581=1,J1581=1),1,0)</x:f>
        <x:v>0</x:v>
      </x:c>
      <x:c r="V1581" s="19" t="n">
        <x:f>M1581+IF(AND(S1581=1,J1581=2),1,0)</x:f>
        <x:v>4</x:v>
      </x:c>
      <x:c r="W1581" s="19" t="n">
        <x:f>SUM(T1581:V1581)</x:f>
        <x:v>6</x:v>
      </x:c>
      <x:c r="X1581" s="19" t="n">
        <x:f>W1581-G1581</x:f>
        <x:v>-1</x:v>
      </x:c>
      <x:c r="Y1581" s="19" t="n">
        <x:f>MAX(T1581,1)+MAX(U1581,1)+MAX(V1581,1)</x:f>
        <x:v>7</x:v>
      </x:c>
      <x:c r="Z1581" s="21" t="str">
        <x:f>IF(AND(MIN(D1581:F1581)&gt;=0,MAX(D1581:F1581)&lt;=7,MAX(D1581,1)+MAX(E1581,1)+MAX(F1581,1)&lt;=9,OR(H1581="-",AND(H1581=0,D1581&gt;0),AND(H1581=1,E1581&gt;0),AND(H1581=2,F1581&gt;0)),OR(I1581=0,AND(I1581=1,OR(J1581=0,J1581=1,J1581=2),R1581&lt;&gt;"000")),Y1581&lt;=9,MIN(T1581:V1581)&gt;=0),"合法","输入违约")</x:f>
        <x:v>合法</x:v>
      </x:c>
    </x:row>
    <x:row r="1582" ht="23" customHeight="1">
      <x:c r="A1582" s="3" t="str">
        <x:v>CT-1575</x:v>
      </x:c>
      <x:c r="B1582" s="3" t="str">
        <x:v>ST-106</x:v>
      </x:c>
      <x:c r="C1582" s="3" t="str">
        <x:v>R+AR同收同发</x:v>
      </x:c>
      <x:c r="D1582" s="25" t="n">
        <x:v>3</x:v>
      </x:c>
      <x:c r="E1582" s="25" t="n">
        <x:v>0</x:v>
      </x:c>
      <x:c r="F1582" s="25" t="n">
        <x:v>4</x:v>
      </x:c>
      <x:c r="G1582" s="19" t="n">
        <x:f>SUM(D1582:F1582)</x:f>
        <x:v>7</x:v>
      </x:c>
      <x:c r="H1582" s="25" t="n">
        <x:v>0</x:v>
      </x:c>
      <x:c r="I1582" s="25" t="n">
        <x:v>1</x:v>
      </x:c>
      <x:c r="J1582" s="25" t="n">
        <x:v>0</x:v>
      </x:c>
      <x:c r="K1582" s="19" t="n">
        <x:f>D1582-IF(H1582=0,1,0)</x:f>
        <x:v>2</x:v>
      </x:c>
      <x:c r="L1582" s="19" t="n">
        <x:f>E1582-IF(H1582=1,1,0)</x:f>
        <x:v>0</x:v>
      </x:c>
      <x:c r="M1582" s="19" t="n">
        <x:f>F1582-IF(H1582=2,1,0)</x:f>
        <x:v>4</x:v>
      </x:c>
      <x:c r="N1582" s="19" t="n">
        <x:f>MAX(K1582-1,0)+MAX(L1582-1,0)+MAX(M1582-1,0)</x:f>
        <x:v>4</x:v>
      </x:c>
      <x:c r="O1582" s="19" t="n">
        <x:f>IF(AND(SUM(K1582:M1582)&lt;9,OR(M1582=0,N1582&lt;6)),1,0)</x:f>
        <x:v>1</x:v>
      </x:c>
      <x:c r="P1582" s="19" t="n">
        <x:f>IF(AND(SUM(K1582:M1582)&lt;9,OR(L1582=0,N1582&lt;6)),1,0)</x:f>
        <x:v>1</x:v>
      </x:c>
      <x:c r="Q1582" s="19" t="n">
        <x:f>IF(AND(SUM(K1582:M1582)&lt;9,OR(K1582=0,N1582&lt;6)),1,0)</x:f>
        <x:v>1</x:v>
      </x:c>
      <x:c r="R1582" s="22" t="str">
        <x:f>O1582&amp;P1582&amp;Q1582</x:f>
        <x:v>111</x:v>
      </x:c>
      <x:c r="S1582" s="19" t="n">
        <x:f>IF(I1582=1,IF(J1582=0,Q1582,IF(J1582=1,P1582,IF(J1582=2,O1582,0))),0)</x:f>
        <x:v>1</x:v>
      </x:c>
      <x:c r="T1582" s="19" t="n">
        <x:f>K1582+IF(AND(S1582=1,J1582=0),1,0)</x:f>
        <x:v>3</x:v>
      </x:c>
      <x:c r="U1582" s="19" t="n">
        <x:f>L1582+IF(AND(S1582=1,J1582=1),1,0)</x:f>
        <x:v>0</x:v>
      </x:c>
      <x:c r="V1582" s="19" t="n">
        <x:f>M1582+IF(AND(S1582=1,J1582=2),1,0)</x:f>
        <x:v>4</x:v>
      </x:c>
      <x:c r="W1582" s="19" t="n">
        <x:f>SUM(T1582:V1582)</x:f>
        <x:v>7</x:v>
      </x:c>
      <x:c r="X1582" s="19" t="n">
        <x:f>W1582-G1582</x:f>
        <x:v>0</x:v>
      </x:c>
      <x:c r="Y1582" s="19" t="n">
        <x:f>MAX(T1582,1)+MAX(U1582,1)+MAX(V1582,1)</x:f>
        <x:v>8</x:v>
      </x:c>
      <x:c r="Z1582" s="21" t="str">
        <x:f>IF(AND(MIN(D1582:F1582)&gt;=0,MAX(D1582:F1582)&lt;=7,MAX(D1582,1)+MAX(E1582,1)+MAX(F1582,1)&lt;=9,OR(H1582="-",AND(H1582=0,D1582&gt;0),AND(H1582=1,E1582&gt;0),AND(H1582=2,F1582&gt;0)),OR(I1582=0,AND(I1582=1,OR(J1582=0,J1582=1,J1582=2),R1582&lt;&gt;"000")),Y1582&lt;=9,MIN(T1582:V1582)&gt;=0),"合法","输入违约")</x:f>
        <x:v>合法</x:v>
      </x:c>
    </x:row>
    <x:row r="1583" ht="23" customHeight="1">
      <x:c r="A1583" s="3" t="str">
        <x:v>CT-1576</x:v>
      </x:c>
      <x:c r="B1583" s="3" t="str">
        <x:v>ST-106</x:v>
      </x:c>
      <x:c r="C1583" s="3" t="str">
        <x:v>R+AR同收同发</x:v>
      </x:c>
      <x:c r="D1583" s="25" t="n">
        <x:v>3</x:v>
      </x:c>
      <x:c r="E1583" s="25" t="n">
        <x:v>0</x:v>
      </x:c>
      <x:c r="F1583" s="25" t="n">
        <x:v>4</x:v>
      </x:c>
      <x:c r="G1583" s="19" t="n">
        <x:f>SUM(D1583:F1583)</x:f>
        <x:v>7</x:v>
      </x:c>
      <x:c r="H1583" s="25" t="n">
        <x:v>0</x:v>
      </x:c>
      <x:c r="I1583" s="25" t="n">
        <x:v>1</x:v>
      </x:c>
      <x:c r="J1583" s="25" t="n">
        <x:v>1</x:v>
      </x:c>
      <x:c r="K1583" s="19" t="n">
        <x:f>D1583-IF(H1583=0,1,0)</x:f>
        <x:v>2</x:v>
      </x:c>
      <x:c r="L1583" s="19" t="n">
        <x:f>E1583-IF(H1583=1,1,0)</x:f>
        <x:v>0</x:v>
      </x:c>
      <x:c r="M1583" s="19" t="n">
        <x:f>F1583-IF(H1583=2,1,0)</x:f>
        <x:v>4</x:v>
      </x:c>
      <x:c r="N1583" s="19" t="n">
        <x:f>MAX(K1583-1,0)+MAX(L1583-1,0)+MAX(M1583-1,0)</x:f>
        <x:v>4</x:v>
      </x:c>
      <x:c r="O1583" s="19" t="n">
        <x:f>IF(AND(SUM(K1583:M1583)&lt;9,OR(M1583=0,N1583&lt;6)),1,0)</x:f>
        <x:v>1</x:v>
      </x:c>
      <x:c r="P1583" s="19" t="n">
        <x:f>IF(AND(SUM(K1583:M1583)&lt;9,OR(L1583=0,N1583&lt;6)),1,0)</x:f>
        <x:v>1</x:v>
      </x:c>
      <x:c r="Q1583" s="19" t="n">
        <x:f>IF(AND(SUM(K1583:M1583)&lt;9,OR(K1583=0,N1583&lt;6)),1,0)</x:f>
        <x:v>1</x:v>
      </x:c>
      <x:c r="R1583" s="22" t="str">
        <x:f>O1583&amp;P1583&amp;Q1583</x:f>
        <x:v>111</x:v>
      </x:c>
      <x:c r="S1583" s="19" t="n">
        <x:f>IF(I1583=1,IF(J1583=0,Q1583,IF(J1583=1,P1583,IF(J1583=2,O1583,0))),0)</x:f>
        <x:v>1</x:v>
      </x:c>
      <x:c r="T1583" s="19" t="n">
        <x:f>K1583+IF(AND(S1583=1,J1583=0),1,0)</x:f>
        <x:v>2</x:v>
      </x:c>
      <x:c r="U1583" s="19" t="n">
        <x:f>L1583+IF(AND(S1583=1,J1583=1),1,0)</x:f>
        <x:v>1</x:v>
      </x:c>
      <x:c r="V1583" s="19" t="n">
        <x:f>M1583+IF(AND(S1583=1,J1583=2),1,0)</x:f>
        <x:v>4</x:v>
      </x:c>
      <x:c r="W1583" s="19" t="n">
        <x:f>SUM(T1583:V1583)</x:f>
        <x:v>7</x:v>
      </x:c>
      <x:c r="X1583" s="19" t="n">
        <x:f>W1583-G1583</x:f>
        <x:v>0</x:v>
      </x:c>
      <x:c r="Y1583" s="19" t="n">
        <x:f>MAX(T1583,1)+MAX(U1583,1)+MAX(V1583,1)</x:f>
        <x:v>7</x:v>
      </x:c>
      <x:c r="Z1583" s="21" t="str">
        <x:f>IF(AND(MIN(D1583:F1583)&gt;=0,MAX(D1583:F1583)&lt;=7,MAX(D1583,1)+MAX(E1583,1)+MAX(F1583,1)&lt;=9,OR(H1583="-",AND(H1583=0,D1583&gt;0),AND(H1583=1,E1583&gt;0),AND(H1583=2,F1583&gt;0)),OR(I1583=0,AND(I1583=1,OR(J1583=0,J1583=1,J1583=2),R1583&lt;&gt;"000")),Y1583&lt;=9,MIN(T1583:V1583)&gt;=0),"合法","输入违约")</x:f>
        <x:v>合法</x:v>
      </x:c>
    </x:row>
    <x:row r="1584" ht="23" customHeight="1">
      <x:c r="A1584" s="3" t="str">
        <x:v>CT-1577</x:v>
      </x:c>
      <x:c r="B1584" s="3" t="str">
        <x:v>ST-106</x:v>
      </x:c>
      <x:c r="C1584" s="3" t="str">
        <x:v>R+AR同收同发</x:v>
      </x:c>
      <x:c r="D1584" s="25" t="n">
        <x:v>3</x:v>
      </x:c>
      <x:c r="E1584" s="25" t="n">
        <x:v>0</x:v>
      </x:c>
      <x:c r="F1584" s="25" t="n">
        <x:v>4</x:v>
      </x:c>
      <x:c r="G1584" s="19" t="n">
        <x:f>SUM(D1584:F1584)</x:f>
        <x:v>7</x:v>
      </x:c>
      <x:c r="H1584" s="25" t="n">
        <x:v>0</x:v>
      </x:c>
      <x:c r="I1584" s="25" t="n">
        <x:v>1</x:v>
      </x:c>
      <x:c r="J1584" s="25" t="n">
        <x:v>2</x:v>
      </x:c>
      <x:c r="K1584" s="19" t="n">
        <x:f>D1584-IF(H1584=0,1,0)</x:f>
        <x:v>2</x:v>
      </x:c>
      <x:c r="L1584" s="19" t="n">
        <x:f>E1584-IF(H1584=1,1,0)</x:f>
        <x:v>0</x:v>
      </x:c>
      <x:c r="M1584" s="19" t="n">
        <x:f>F1584-IF(H1584=2,1,0)</x:f>
        <x:v>4</x:v>
      </x:c>
      <x:c r="N1584" s="19" t="n">
        <x:f>MAX(K1584-1,0)+MAX(L1584-1,0)+MAX(M1584-1,0)</x:f>
        <x:v>4</x:v>
      </x:c>
      <x:c r="O1584" s="19" t="n">
        <x:f>IF(AND(SUM(K1584:M1584)&lt;9,OR(M1584=0,N1584&lt;6)),1,0)</x:f>
        <x:v>1</x:v>
      </x:c>
      <x:c r="P1584" s="19" t="n">
        <x:f>IF(AND(SUM(K1584:M1584)&lt;9,OR(L1584=0,N1584&lt;6)),1,0)</x:f>
        <x:v>1</x:v>
      </x:c>
      <x:c r="Q1584" s="19" t="n">
        <x:f>IF(AND(SUM(K1584:M1584)&lt;9,OR(K1584=0,N1584&lt;6)),1,0)</x:f>
        <x:v>1</x:v>
      </x:c>
      <x:c r="R1584" s="22" t="str">
        <x:f>O1584&amp;P1584&amp;Q1584</x:f>
        <x:v>111</x:v>
      </x:c>
      <x:c r="S1584" s="19" t="n">
        <x:f>IF(I1584=1,IF(J1584=0,Q1584,IF(J1584=1,P1584,IF(J1584=2,O1584,0))),0)</x:f>
        <x:v>1</x:v>
      </x:c>
      <x:c r="T1584" s="19" t="n">
        <x:f>K1584+IF(AND(S1584=1,J1584=0),1,0)</x:f>
        <x:v>2</x:v>
      </x:c>
      <x:c r="U1584" s="19" t="n">
        <x:f>L1584+IF(AND(S1584=1,J1584=1),1,0)</x:f>
        <x:v>0</x:v>
      </x:c>
      <x:c r="V1584" s="19" t="n">
        <x:f>M1584+IF(AND(S1584=1,J1584=2),1,0)</x:f>
        <x:v>5</x:v>
      </x:c>
      <x:c r="W1584" s="19" t="n">
        <x:f>SUM(T1584:V1584)</x:f>
        <x:v>7</x:v>
      </x:c>
      <x:c r="X1584" s="19" t="n">
        <x:f>W1584-G1584</x:f>
        <x:v>0</x:v>
      </x:c>
      <x:c r="Y1584" s="19" t="n">
        <x:f>MAX(T1584,1)+MAX(U1584,1)+MAX(V1584,1)</x:f>
        <x:v>8</x:v>
      </x:c>
      <x:c r="Z1584" s="21" t="str">
        <x:f>IF(AND(MIN(D1584:F1584)&gt;=0,MAX(D1584:F1584)&lt;=7,MAX(D1584,1)+MAX(E1584,1)+MAX(F1584,1)&lt;=9,OR(H1584="-",AND(H1584=0,D1584&gt;0),AND(H1584=1,E1584&gt;0),AND(H1584=2,F1584&gt;0)),OR(I1584=0,AND(I1584=1,OR(J1584=0,J1584=1,J1584=2),R1584&lt;&gt;"000")),Y1584&lt;=9,MIN(T1584:V1584)&gt;=0),"合法","输入违约")</x:f>
        <x:v>合法</x:v>
      </x:c>
    </x:row>
    <x:row r="1585" ht="23" customHeight="1">
      <x:c r="A1585" s="3" t="str">
        <x:v>CT-1578</x:v>
      </x:c>
      <x:c r="B1585" s="3" t="str">
        <x:v>ST-106</x:v>
      </x:c>
      <x:c r="C1585" s="3" t="str">
        <x:v>仅R回收</x:v>
      </x:c>
      <x:c r="D1585" s="25" t="n">
        <x:v>3</x:v>
      </x:c>
      <x:c r="E1585" s="25" t="n">
        <x:v>0</x:v>
      </x:c>
      <x:c r="F1585" s="25" t="n">
        <x:v>4</x:v>
      </x:c>
      <x:c r="G1585" s="19" t="n">
        <x:f>SUM(D1585:F1585)</x:f>
        <x:v>7</x:v>
      </x:c>
      <x:c r="H1585" s="25" t="n">
        <x:v>2</x:v>
      </x:c>
      <x:c r="I1585" s="25" t="n">
        <x:v>0</x:v>
      </x:c>
      <x:c r="J1585" s="25" t="str">
        <x:v>-</x:v>
      </x:c>
      <x:c r="K1585" s="19" t="n">
        <x:f>D1585-IF(H1585=0,1,0)</x:f>
        <x:v>3</x:v>
      </x:c>
      <x:c r="L1585" s="19" t="n">
        <x:f>E1585-IF(H1585=1,1,0)</x:f>
        <x:v>0</x:v>
      </x:c>
      <x:c r="M1585" s="19" t="n">
        <x:f>F1585-IF(H1585=2,1,0)</x:f>
        <x:v>3</x:v>
      </x:c>
      <x:c r="N1585" s="19" t="n">
        <x:f>MAX(K1585-1,0)+MAX(L1585-1,0)+MAX(M1585-1,0)</x:f>
        <x:v>4</x:v>
      </x:c>
      <x:c r="O1585" s="19" t="n">
        <x:f>IF(AND(SUM(K1585:M1585)&lt;9,OR(M1585=0,N1585&lt;6)),1,0)</x:f>
        <x:v>1</x:v>
      </x:c>
      <x:c r="P1585" s="19" t="n">
        <x:f>IF(AND(SUM(K1585:M1585)&lt;9,OR(L1585=0,N1585&lt;6)),1,0)</x:f>
        <x:v>1</x:v>
      </x:c>
      <x:c r="Q1585" s="19" t="n">
        <x:f>IF(AND(SUM(K1585:M1585)&lt;9,OR(K1585=0,N1585&lt;6)),1,0)</x:f>
        <x:v>1</x:v>
      </x:c>
      <x:c r="R1585" s="22" t="str">
        <x:f>O1585&amp;P1585&amp;Q1585</x:f>
        <x:v>111</x:v>
      </x:c>
      <x:c r="S1585" s="19" t="n">
        <x:f>IF(I1585=1,IF(J1585=0,Q1585,IF(J1585=1,P1585,IF(J1585=2,O1585,0))),0)</x:f>
        <x:v>0</x:v>
      </x:c>
      <x:c r="T1585" s="19" t="n">
        <x:f>K1585+IF(AND(S1585=1,J1585=0),1,0)</x:f>
        <x:v>3</x:v>
      </x:c>
      <x:c r="U1585" s="19" t="n">
        <x:f>L1585+IF(AND(S1585=1,J1585=1),1,0)</x:f>
        <x:v>0</x:v>
      </x:c>
      <x:c r="V1585" s="19" t="n">
        <x:f>M1585+IF(AND(S1585=1,J1585=2),1,0)</x:f>
        <x:v>3</x:v>
      </x:c>
      <x:c r="W1585" s="19" t="n">
        <x:f>SUM(T1585:V1585)</x:f>
        <x:v>6</x:v>
      </x:c>
      <x:c r="X1585" s="19" t="n">
        <x:f>W1585-G1585</x:f>
        <x:v>-1</x:v>
      </x:c>
      <x:c r="Y1585" s="19" t="n">
        <x:f>MAX(T1585,1)+MAX(U1585,1)+MAX(V1585,1)</x:f>
        <x:v>7</x:v>
      </x:c>
      <x:c r="Z1585" s="21" t="str">
        <x:f>IF(AND(MIN(D1585:F1585)&gt;=0,MAX(D1585:F1585)&lt;=7,MAX(D1585,1)+MAX(E1585,1)+MAX(F1585,1)&lt;=9,OR(H1585="-",AND(H1585=0,D1585&gt;0),AND(H1585=1,E1585&gt;0),AND(H1585=2,F1585&gt;0)),OR(I1585=0,AND(I1585=1,OR(J1585=0,J1585=1,J1585=2),R1585&lt;&gt;"000")),Y1585&lt;=9,MIN(T1585:V1585)&gt;=0),"合法","输入违约")</x:f>
        <x:v>合法</x:v>
      </x:c>
    </x:row>
    <x:row r="1586" ht="23" customHeight="1">
      <x:c r="A1586" s="3" t="str">
        <x:v>CT-1579</x:v>
      </x:c>
      <x:c r="B1586" s="3" t="str">
        <x:v>ST-106</x:v>
      </x:c>
      <x:c r="C1586" s="3" t="str">
        <x:v>R+AR同收同发</x:v>
      </x:c>
      <x:c r="D1586" s="25" t="n">
        <x:v>3</x:v>
      </x:c>
      <x:c r="E1586" s="25" t="n">
        <x:v>0</x:v>
      </x:c>
      <x:c r="F1586" s="25" t="n">
        <x:v>4</x:v>
      </x:c>
      <x:c r="G1586" s="19" t="n">
        <x:f>SUM(D1586:F1586)</x:f>
        <x:v>7</x:v>
      </x:c>
      <x:c r="H1586" s="25" t="n">
        <x:v>2</x:v>
      </x:c>
      <x:c r="I1586" s="25" t="n">
        <x:v>1</x:v>
      </x:c>
      <x:c r="J1586" s="25" t="n">
        <x:v>0</x:v>
      </x:c>
      <x:c r="K1586" s="19" t="n">
        <x:f>D1586-IF(H1586=0,1,0)</x:f>
        <x:v>3</x:v>
      </x:c>
      <x:c r="L1586" s="19" t="n">
        <x:f>E1586-IF(H1586=1,1,0)</x:f>
        <x:v>0</x:v>
      </x:c>
      <x:c r="M1586" s="19" t="n">
        <x:f>F1586-IF(H1586=2,1,0)</x:f>
        <x:v>3</x:v>
      </x:c>
      <x:c r="N1586" s="19" t="n">
        <x:f>MAX(K1586-1,0)+MAX(L1586-1,0)+MAX(M1586-1,0)</x:f>
        <x:v>4</x:v>
      </x:c>
      <x:c r="O1586" s="19" t="n">
        <x:f>IF(AND(SUM(K1586:M1586)&lt;9,OR(M1586=0,N1586&lt;6)),1,0)</x:f>
        <x:v>1</x:v>
      </x:c>
      <x:c r="P1586" s="19" t="n">
        <x:f>IF(AND(SUM(K1586:M1586)&lt;9,OR(L1586=0,N1586&lt;6)),1,0)</x:f>
        <x:v>1</x:v>
      </x:c>
      <x:c r="Q1586" s="19" t="n">
        <x:f>IF(AND(SUM(K1586:M1586)&lt;9,OR(K1586=0,N1586&lt;6)),1,0)</x:f>
        <x:v>1</x:v>
      </x:c>
      <x:c r="R1586" s="22" t="str">
        <x:f>O1586&amp;P1586&amp;Q1586</x:f>
        <x:v>111</x:v>
      </x:c>
      <x:c r="S1586" s="19" t="n">
        <x:f>IF(I1586=1,IF(J1586=0,Q1586,IF(J1586=1,P1586,IF(J1586=2,O1586,0))),0)</x:f>
        <x:v>1</x:v>
      </x:c>
      <x:c r="T1586" s="19" t="n">
        <x:f>K1586+IF(AND(S1586=1,J1586=0),1,0)</x:f>
        <x:v>4</x:v>
      </x:c>
      <x:c r="U1586" s="19" t="n">
        <x:f>L1586+IF(AND(S1586=1,J1586=1),1,0)</x:f>
        <x:v>0</x:v>
      </x:c>
      <x:c r="V1586" s="19" t="n">
        <x:f>M1586+IF(AND(S1586=1,J1586=2),1,0)</x:f>
        <x:v>3</x:v>
      </x:c>
      <x:c r="W1586" s="19" t="n">
        <x:f>SUM(T1586:V1586)</x:f>
        <x:v>7</x:v>
      </x:c>
      <x:c r="X1586" s="19" t="n">
        <x:f>W1586-G1586</x:f>
        <x:v>0</x:v>
      </x:c>
      <x:c r="Y1586" s="19" t="n">
        <x:f>MAX(T1586,1)+MAX(U1586,1)+MAX(V1586,1)</x:f>
        <x:v>8</x:v>
      </x:c>
      <x:c r="Z1586" s="21" t="str">
        <x:f>IF(AND(MIN(D1586:F1586)&gt;=0,MAX(D1586:F1586)&lt;=7,MAX(D1586,1)+MAX(E1586,1)+MAX(F1586,1)&lt;=9,OR(H1586="-",AND(H1586=0,D1586&gt;0),AND(H1586=1,E1586&gt;0),AND(H1586=2,F1586&gt;0)),OR(I1586=0,AND(I1586=1,OR(J1586=0,J1586=1,J1586=2),R1586&lt;&gt;"000")),Y1586&lt;=9,MIN(T1586:V1586)&gt;=0),"合法","输入违约")</x:f>
        <x:v>合法</x:v>
      </x:c>
    </x:row>
    <x:row r="1587" ht="23" customHeight="1">
      <x:c r="A1587" s="3" t="str">
        <x:v>CT-1580</x:v>
      </x:c>
      <x:c r="B1587" s="3" t="str">
        <x:v>ST-106</x:v>
      </x:c>
      <x:c r="C1587" s="3" t="str">
        <x:v>R+AR同收同发</x:v>
      </x:c>
      <x:c r="D1587" s="25" t="n">
        <x:v>3</x:v>
      </x:c>
      <x:c r="E1587" s="25" t="n">
        <x:v>0</x:v>
      </x:c>
      <x:c r="F1587" s="25" t="n">
        <x:v>4</x:v>
      </x:c>
      <x:c r="G1587" s="19" t="n">
        <x:f>SUM(D1587:F1587)</x:f>
        <x:v>7</x:v>
      </x:c>
      <x:c r="H1587" s="25" t="n">
        <x:v>2</x:v>
      </x:c>
      <x:c r="I1587" s="25" t="n">
        <x:v>1</x:v>
      </x:c>
      <x:c r="J1587" s="25" t="n">
        <x:v>1</x:v>
      </x:c>
      <x:c r="K1587" s="19" t="n">
        <x:f>D1587-IF(H1587=0,1,0)</x:f>
        <x:v>3</x:v>
      </x:c>
      <x:c r="L1587" s="19" t="n">
        <x:f>E1587-IF(H1587=1,1,0)</x:f>
        <x:v>0</x:v>
      </x:c>
      <x:c r="M1587" s="19" t="n">
        <x:f>F1587-IF(H1587=2,1,0)</x:f>
        <x:v>3</x:v>
      </x:c>
      <x:c r="N1587" s="19" t="n">
        <x:f>MAX(K1587-1,0)+MAX(L1587-1,0)+MAX(M1587-1,0)</x:f>
        <x:v>4</x:v>
      </x:c>
      <x:c r="O1587" s="19" t="n">
        <x:f>IF(AND(SUM(K1587:M1587)&lt;9,OR(M1587=0,N1587&lt;6)),1,0)</x:f>
        <x:v>1</x:v>
      </x:c>
      <x:c r="P1587" s="19" t="n">
        <x:f>IF(AND(SUM(K1587:M1587)&lt;9,OR(L1587=0,N1587&lt;6)),1,0)</x:f>
        <x:v>1</x:v>
      </x:c>
      <x:c r="Q1587" s="19" t="n">
        <x:f>IF(AND(SUM(K1587:M1587)&lt;9,OR(K1587=0,N1587&lt;6)),1,0)</x:f>
        <x:v>1</x:v>
      </x:c>
      <x:c r="R1587" s="22" t="str">
        <x:f>O1587&amp;P1587&amp;Q1587</x:f>
        <x:v>111</x:v>
      </x:c>
      <x:c r="S1587" s="19" t="n">
        <x:f>IF(I1587=1,IF(J1587=0,Q1587,IF(J1587=1,P1587,IF(J1587=2,O1587,0))),0)</x:f>
        <x:v>1</x:v>
      </x:c>
      <x:c r="T1587" s="19" t="n">
        <x:f>K1587+IF(AND(S1587=1,J1587=0),1,0)</x:f>
        <x:v>3</x:v>
      </x:c>
      <x:c r="U1587" s="19" t="n">
        <x:f>L1587+IF(AND(S1587=1,J1587=1),1,0)</x:f>
        <x:v>1</x:v>
      </x:c>
      <x:c r="V1587" s="19" t="n">
        <x:f>M1587+IF(AND(S1587=1,J1587=2),1,0)</x:f>
        <x:v>3</x:v>
      </x:c>
      <x:c r="W1587" s="19" t="n">
        <x:f>SUM(T1587:V1587)</x:f>
        <x:v>7</x:v>
      </x:c>
      <x:c r="X1587" s="19" t="n">
        <x:f>W1587-G1587</x:f>
        <x:v>0</x:v>
      </x:c>
      <x:c r="Y1587" s="19" t="n">
        <x:f>MAX(T1587,1)+MAX(U1587,1)+MAX(V1587,1)</x:f>
        <x:v>7</x:v>
      </x:c>
      <x:c r="Z1587" s="21" t="str">
        <x:f>IF(AND(MIN(D1587:F1587)&gt;=0,MAX(D1587:F1587)&lt;=7,MAX(D1587,1)+MAX(E1587,1)+MAX(F1587,1)&lt;=9,OR(H1587="-",AND(H1587=0,D1587&gt;0),AND(H1587=1,E1587&gt;0),AND(H1587=2,F1587&gt;0)),OR(I1587=0,AND(I1587=1,OR(J1587=0,J1587=1,J1587=2),R1587&lt;&gt;"000")),Y1587&lt;=9,MIN(T1587:V1587)&gt;=0),"合法","输入违约")</x:f>
        <x:v>合法</x:v>
      </x:c>
    </x:row>
    <x:row r="1588" ht="23" customHeight="1">
      <x:c r="A1588" s="3" t="str">
        <x:v>CT-1581</x:v>
      </x:c>
      <x:c r="B1588" s="3" t="str">
        <x:v>ST-106</x:v>
      </x:c>
      <x:c r="C1588" s="3" t="str">
        <x:v>R+AR同收同发</x:v>
      </x:c>
      <x:c r="D1588" s="25" t="n">
        <x:v>3</x:v>
      </x:c>
      <x:c r="E1588" s="25" t="n">
        <x:v>0</x:v>
      </x:c>
      <x:c r="F1588" s="25" t="n">
        <x:v>4</x:v>
      </x:c>
      <x:c r="G1588" s="19" t="n">
        <x:f>SUM(D1588:F1588)</x:f>
        <x:v>7</x:v>
      </x:c>
      <x:c r="H1588" s="25" t="n">
        <x:v>2</x:v>
      </x:c>
      <x:c r="I1588" s="25" t="n">
        <x:v>1</x:v>
      </x:c>
      <x:c r="J1588" s="25" t="n">
        <x:v>2</x:v>
      </x:c>
      <x:c r="K1588" s="19" t="n">
        <x:f>D1588-IF(H1588=0,1,0)</x:f>
        <x:v>3</x:v>
      </x:c>
      <x:c r="L1588" s="19" t="n">
        <x:f>E1588-IF(H1588=1,1,0)</x:f>
        <x:v>0</x:v>
      </x:c>
      <x:c r="M1588" s="19" t="n">
        <x:f>F1588-IF(H1588=2,1,0)</x:f>
        <x:v>3</x:v>
      </x:c>
      <x:c r="N1588" s="19" t="n">
        <x:f>MAX(K1588-1,0)+MAX(L1588-1,0)+MAX(M1588-1,0)</x:f>
        <x:v>4</x:v>
      </x:c>
      <x:c r="O1588" s="19" t="n">
        <x:f>IF(AND(SUM(K1588:M1588)&lt;9,OR(M1588=0,N1588&lt;6)),1,0)</x:f>
        <x:v>1</x:v>
      </x:c>
      <x:c r="P1588" s="19" t="n">
        <x:f>IF(AND(SUM(K1588:M1588)&lt;9,OR(L1588=0,N1588&lt;6)),1,0)</x:f>
        <x:v>1</x:v>
      </x:c>
      <x:c r="Q1588" s="19" t="n">
        <x:f>IF(AND(SUM(K1588:M1588)&lt;9,OR(K1588=0,N1588&lt;6)),1,0)</x:f>
        <x:v>1</x:v>
      </x:c>
      <x:c r="R1588" s="22" t="str">
        <x:f>O1588&amp;P1588&amp;Q1588</x:f>
        <x:v>111</x:v>
      </x:c>
      <x:c r="S1588" s="19" t="n">
        <x:f>IF(I1588=1,IF(J1588=0,Q1588,IF(J1588=1,P1588,IF(J1588=2,O1588,0))),0)</x:f>
        <x:v>1</x:v>
      </x:c>
      <x:c r="T1588" s="19" t="n">
        <x:f>K1588+IF(AND(S1588=1,J1588=0),1,0)</x:f>
        <x:v>3</x:v>
      </x:c>
      <x:c r="U1588" s="19" t="n">
        <x:f>L1588+IF(AND(S1588=1,J1588=1),1,0)</x:f>
        <x:v>0</x:v>
      </x:c>
      <x:c r="V1588" s="19" t="n">
        <x:f>M1588+IF(AND(S1588=1,J1588=2),1,0)</x:f>
        <x:v>4</x:v>
      </x:c>
      <x:c r="W1588" s="19" t="n">
        <x:f>SUM(T1588:V1588)</x:f>
        <x:v>7</x:v>
      </x:c>
      <x:c r="X1588" s="19" t="n">
        <x:f>W1588-G1588</x:f>
        <x:v>0</x:v>
      </x:c>
      <x:c r="Y1588" s="19" t="n">
        <x:f>MAX(T1588,1)+MAX(U1588,1)+MAX(V1588,1)</x:f>
        <x:v>8</x:v>
      </x:c>
      <x:c r="Z1588" s="21" t="str">
        <x:f>IF(AND(MIN(D1588:F1588)&gt;=0,MAX(D1588:F1588)&lt;=7,MAX(D1588,1)+MAX(E1588,1)+MAX(F1588,1)&lt;=9,OR(H1588="-",AND(H1588=0,D1588&gt;0),AND(H1588=1,E1588&gt;0),AND(H1588=2,F1588&gt;0)),OR(I1588=0,AND(I1588=1,OR(J1588=0,J1588=1,J1588=2),R1588&lt;&gt;"000")),Y1588&lt;=9,MIN(T1588:V1588)&gt;=0),"合法","输入违约")</x:f>
        <x:v>合法</x:v>
      </x:c>
    </x:row>
    <x:row r="1589" ht="23" customHeight="1">
      <x:c r="A1589" s="3" t="str">
        <x:v>CT-1582</x:v>
      </x:c>
      <x:c r="B1589" s="3" t="str">
        <x:v>ST-143</x:v>
      </x:c>
      <x:c r="C1589" s="3" t="str">
        <x:v>无AR/R</x:v>
      </x:c>
      <x:c r="D1589" s="25" t="n">
        <x:v>3</x:v>
      </x:c>
      <x:c r="E1589" s="25" t="n">
        <x:v>0</x:v>
      </x:c>
      <x:c r="F1589" s="25" t="n">
        <x:v>5</x:v>
      </x:c>
      <x:c r="G1589" s="19" t="n">
        <x:f>SUM(D1589:F1589)</x:f>
        <x:v>8</x:v>
      </x:c>
      <x:c r="H1589" s="25" t="str">
        <x:v>-</x:v>
      </x:c>
      <x:c r="I1589" s="25" t="n">
        <x:v>0</x:v>
      </x:c>
      <x:c r="J1589" s="25" t="str">
        <x:v>-</x:v>
      </x:c>
      <x:c r="K1589" s="19" t="n">
        <x:f>D1589-IF(H1589=0,1,0)</x:f>
        <x:v>3</x:v>
      </x:c>
      <x:c r="L1589" s="19" t="n">
        <x:f>E1589-IF(H1589=1,1,0)</x:f>
        <x:v>0</x:v>
      </x:c>
      <x:c r="M1589" s="19" t="n">
        <x:f>F1589-IF(H1589=2,1,0)</x:f>
        <x:v>5</x:v>
      </x:c>
      <x:c r="N1589" s="19" t="n">
        <x:f>MAX(K1589-1,0)+MAX(L1589-1,0)+MAX(M1589-1,0)</x:f>
        <x:v>6</x:v>
      </x:c>
      <x:c r="O1589" s="19" t="n">
        <x:f>IF(AND(SUM(K1589:M1589)&lt;9,OR(M1589=0,N1589&lt;6)),1,0)</x:f>
        <x:v>0</x:v>
      </x:c>
      <x:c r="P1589" s="19" t="n">
        <x:f>IF(AND(SUM(K1589:M1589)&lt;9,OR(L1589=0,N1589&lt;6)),1,0)</x:f>
        <x:v>1</x:v>
      </x:c>
      <x:c r="Q1589" s="19" t="n">
        <x:f>IF(AND(SUM(K1589:M1589)&lt;9,OR(K1589=0,N1589&lt;6)),1,0)</x:f>
        <x:v>0</x:v>
      </x:c>
      <x:c r="R1589" s="22" t="str">
        <x:f>O1589&amp;P1589&amp;Q1589</x:f>
        <x:v>010</x:v>
      </x:c>
      <x:c r="S1589" s="19" t="n">
        <x:f>IF(I1589=1,IF(J1589=0,Q1589,IF(J1589=1,P1589,IF(J1589=2,O1589,0))),0)</x:f>
        <x:v>0</x:v>
      </x:c>
      <x:c r="T1589" s="19" t="n">
        <x:f>K1589+IF(AND(S1589=1,J1589=0),1,0)</x:f>
        <x:v>3</x:v>
      </x:c>
      <x:c r="U1589" s="19" t="n">
        <x:f>L1589+IF(AND(S1589=1,J1589=1),1,0)</x:f>
        <x:v>0</x:v>
      </x:c>
      <x:c r="V1589" s="19" t="n">
        <x:f>M1589+IF(AND(S1589=1,J1589=2),1,0)</x:f>
        <x:v>5</x:v>
      </x:c>
      <x:c r="W1589" s="19" t="n">
        <x:f>SUM(T1589:V1589)</x:f>
        <x:v>8</x:v>
      </x:c>
      <x:c r="X1589" s="19" t="n">
        <x:f>W1589-G1589</x:f>
        <x:v>0</x:v>
      </x:c>
      <x:c r="Y1589" s="19" t="n">
        <x:f>MAX(T1589,1)+MAX(U1589,1)+MAX(V1589,1)</x:f>
        <x:v>9</x:v>
      </x:c>
      <x:c r="Z1589" s="21" t="str">
        <x:f>IF(AND(MIN(D1589:F1589)&gt;=0,MAX(D1589:F1589)&lt;=7,MAX(D1589,1)+MAX(E1589,1)+MAX(F1589,1)&lt;=9,OR(H1589="-",AND(H1589=0,D1589&gt;0),AND(H1589=1,E1589&gt;0),AND(H1589=2,F1589&gt;0)),OR(I1589=0,AND(I1589=1,OR(J1589=0,J1589=1,J1589=2),R1589&lt;&gt;"000")),Y1589&lt;=9,MIN(T1589:V1589)&gt;=0),"合法","输入违约")</x:f>
        <x:v>合法</x:v>
      </x:c>
    </x:row>
    <x:row r="1590" ht="23" customHeight="1">
      <x:c r="A1590" s="3" t="str">
        <x:v>CT-1583</x:v>
      </x:c>
      <x:c r="B1590" s="3" t="str">
        <x:v>ST-143</x:v>
      </x:c>
      <x:c r="C1590" s="3" t="str">
        <x:v>所选源被阻塞</x:v>
      </x:c>
      <x:c r="D1590" s="25" t="n">
        <x:v>3</x:v>
      </x:c>
      <x:c r="E1590" s="25" t="n">
        <x:v>0</x:v>
      </x:c>
      <x:c r="F1590" s="25" t="n">
        <x:v>5</x:v>
      </x:c>
      <x:c r="G1590" s="19" t="n">
        <x:f>SUM(D1590:F1590)</x:f>
        <x:v>8</x:v>
      </x:c>
      <x:c r="H1590" s="25" t="str">
        <x:v>-</x:v>
      </x:c>
      <x:c r="I1590" s="25" t="n">
        <x:v>1</x:v>
      </x:c>
      <x:c r="J1590" s="25" t="n">
        <x:v>0</x:v>
      </x:c>
      <x:c r="K1590" s="19" t="n">
        <x:f>D1590-IF(H1590=0,1,0)</x:f>
        <x:v>3</x:v>
      </x:c>
      <x:c r="L1590" s="19" t="n">
        <x:f>E1590-IF(H1590=1,1,0)</x:f>
        <x:v>0</x:v>
      </x:c>
      <x:c r="M1590" s="19" t="n">
        <x:f>F1590-IF(H1590=2,1,0)</x:f>
        <x:v>5</x:v>
      </x:c>
      <x:c r="N1590" s="19" t="n">
        <x:f>MAX(K1590-1,0)+MAX(L1590-1,0)+MAX(M1590-1,0)</x:f>
        <x:v>6</x:v>
      </x:c>
      <x:c r="O1590" s="19" t="n">
        <x:f>IF(AND(SUM(K1590:M1590)&lt;9,OR(M1590=0,N1590&lt;6)),1,0)</x:f>
        <x:v>0</x:v>
      </x:c>
      <x:c r="P1590" s="19" t="n">
        <x:f>IF(AND(SUM(K1590:M1590)&lt;9,OR(L1590=0,N1590&lt;6)),1,0)</x:f>
        <x:v>1</x:v>
      </x:c>
      <x:c r="Q1590" s="19" t="n">
        <x:f>IF(AND(SUM(K1590:M1590)&lt;9,OR(K1590=0,N1590&lt;6)),1,0)</x:f>
        <x:v>0</x:v>
      </x:c>
      <x:c r="R1590" s="22" t="str">
        <x:f>O1590&amp;P1590&amp;Q1590</x:f>
        <x:v>010</x:v>
      </x:c>
      <x:c r="S1590" s="19" t="n">
        <x:f>IF(I1590=1,IF(J1590=0,Q1590,IF(J1590=1,P1590,IF(J1590=2,O1590,0))),0)</x:f>
        <x:v>0</x:v>
      </x:c>
      <x:c r="T1590" s="19" t="n">
        <x:f>K1590+IF(AND(S1590=1,J1590=0),1,0)</x:f>
        <x:v>3</x:v>
      </x:c>
      <x:c r="U1590" s="19" t="n">
        <x:f>L1590+IF(AND(S1590=1,J1590=1),1,0)</x:f>
        <x:v>0</x:v>
      </x:c>
      <x:c r="V1590" s="19" t="n">
        <x:f>M1590+IF(AND(S1590=1,J1590=2),1,0)</x:f>
        <x:v>5</x:v>
      </x:c>
      <x:c r="W1590" s="19" t="n">
        <x:f>SUM(T1590:V1590)</x:f>
        <x:v>8</x:v>
      </x:c>
      <x:c r="X1590" s="19" t="n">
        <x:f>W1590-G1590</x:f>
        <x:v>0</x:v>
      </x:c>
      <x:c r="Y1590" s="19" t="n">
        <x:f>MAX(T1590,1)+MAX(U1590,1)+MAX(V1590,1)</x:f>
        <x:v>9</x:v>
      </x:c>
      <x:c r="Z1590" s="21" t="str">
        <x:f>IF(AND(MIN(D1590:F1590)&gt;=0,MAX(D1590:F1590)&lt;=7,MAX(D1590,1)+MAX(E1590,1)+MAX(F1590,1)&lt;=9,OR(H1590="-",AND(H1590=0,D1590&gt;0),AND(H1590=1,E1590&gt;0),AND(H1590=2,F1590&gt;0)),OR(I1590=0,AND(I1590=1,OR(J1590=0,J1590=1,J1590=2),R1590&lt;&gt;"000")),Y1590&lt;=9,MIN(T1590:V1590)&gt;=0),"合法","输入违约")</x:f>
        <x:v>合法</x:v>
      </x:c>
    </x:row>
    <x:row r="1591" ht="23" customHeight="1">
      <x:c r="A1591" s="3" t="str">
        <x:v>CT-1584</x:v>
      </x:c>
      <x:c r="B1591" s="3" t="str">
        <x:v>ST-143</x:v>
      </x:c>
      <x:c r="C1591" s="3" t="str">
        <x:v>仅AR接收</x:v>
      </x:c>
      <x:c r="D1591" s="25" t="n">
        <x:v>3</x:v>
      </x:c>
      <x:c r="E1591" s="25" t="n">
        <x:v>0</x:v>
      </x:c>
      <x:c r="F1591" s="25" t="n">
        <x:v>5</x:v>
      </x:c>
      <x:c r="G1591" s="19" t="n">
        <x:f>SUM(D1591:F1591)</x:f>
        <x:v>8</x:v>
      </x:c>
      <x:c r="H1591" s="25" t="str">
        <x:v>-</x:v>
      </x:c>
      <x:c r="I1591" s="25" t="n">
        <x:v>1</x:v>
      </x:c>
      <x:c r="J1591" s="25" t="n">
        <x:v>1</x:v>
      </x:c>
      <x:c r="K1591" s="19" t="n">
        <x:f>D1591-IF(H1591=0,1,0)</x:f>
        <x:v>3</x:v>
      </x:c>
      <x:c r="L1591" s="19" t="n">
        <x:f>E1591-IF(H1591=1,1,0)</x:f>
        <x:v>0</x:v>
      </x:c>
      <x:c r="M1591" s="19" t="n">
        <x:f>F1591-IF(H1591=2,1,0)</x:f>
        <x:v>5</x:v>
      </x:c>
      <x:c r="N1591" s="19" t="n">
        <x:f>MAX(K1591-1,0)+MAX(L1591-1,0)+MAX(M1591-1,0)</x:f>
        <x:v>6</x:v>
      </x:c>
      <x:c r="O1591" s="19" t="n">
        <x:f>IF(AND(SUM(K1591:M1591)&lt;9,OR(M1591=0,N1591&lt;6)),1,0)</x:f>
        <x:v>0</x:v>
      </x:c>
      <x:c r="P1591" s="19" t="n">
        <x:f>IF(AND(SUM(K1591:M1591)&lt;9,OR(L1591=0,N1591&lt;6)),1,0)</x:f>
        <x:v>1</x:v>
      </x:c>
      <x:c r="Q1591" s="19" t="n">
        <x:f>IF(AND(SUM(K1591:M1591)&lt;9,OR(K1591=0,N1591&lt;6)),1,0)</x:f>
        <x:v>0</x:v>
      </x:c>
      <x:c r="R1591" s="22" t="str">
        <x:f>O1591&amp;P1591&amp;Q1591</x:f>
        <x:v>010</x:v>
      </x:c>
      <x:c r="S1591" s="19" t="n">
        <x:f>IF(I1591=1,IF(J1591=0,Q1591,IF(J1591=1,P1591,IF(J1591=2,O1591,0))),0)</x:f>
        <x:v>1</x:v>
      </x:c>
      <x:c r="T1591" s="19" t="n">
        <x:f>K1591+IF(AND(S1591=1,J1591=0),1,0)</x:f>
        <x:v>3</x:v>
      </x:c>
      <x:c r="U1591" s="19" t="n">
        <x:f>L1591+IF(AND(S1591=1,J1591=1),1,0)</x:f>
        <x:v>1</x:v>
      </x:c>
      <x:c r="V1591" s="19" t="n">
        <x:f>M1591+IF(AND(S1591=1,J1591=2),1,0)</x:f>
        <x:v>5</x:v>
      </x:c>
      <x:c r="W1591" s="19" t="n">
        <x:f>SUM(T1591:V1591)</x:f>
        <x:v>9</x:v>
      </x:c>
      <x:c r="X1591" s="19" t="n">
        <x:f>W1591-G1591</x:f>
        <x:v>1</x:v>
      </x:c>
      <x:c r="Y1591" s="19" t="n">
        <x:f>MAX(T1591,1)+MAX(U1591,1)+MAX(V1591,1)</x:f>
        <x:v>9</x:v>
      </x:c>
      <x:c r="Z1591" s="21" t="str">
        <x:f>IF(AND(MIN(D1591:F1591)&gt;=0,MAX(D1591:F1591)&lt;=7,MAX(D1591,1)+MAX(E1591,1)+MAX(F1591,1)&lt;=9,OR(H1591="-",AND(H1591=0,D1591&gt;0),AND(H1591=1,E1591&gt;0),AND(H1591=2,F1591&gt;0)),OR(I1591=0,AND(I1591=1,OR(J1591=0,J1591=1,J1591=2),R1591&lt;&gt;"000")),Y1591&lt;=9,MIN(T1591:V1591)&gt;=0),"合法","输入违约")</x:f>
        <x:v>合法</x:v>
      </x:c>
    </x:row>
    <x:row r="1592" ht="23" customHeight="1">
      <x:c r="A1592" s="3" t="str">
        <x:v>CT-1585</x:v>
      </x:c>
      <x:c r="B1592" s="3" t="str">
        <x:v>ST-143</x:v>
      </x:c>
      <x:c r="C1592" s="3" t="str">
        <x:v>所选源被阻塞</x:v>
      </x:c>
      <x:c r="D1592" s="25" t="n">
        <x:v>3</x:v>
      </x:c>
      <x:c r="E1592" s="25" t="n">
        <x:v>0</x:v>
      </x:c>
      <x:c r="F1592" s="25" t="n">
        <x:v>5</x:v>
      </x:c>
      <x:c r="G1592" s="19" t="n">
        <x:f>SUM(D1592:F1592)</x:f>
        <x:v>8</x:v>
      </x:c>
      <x:c r="H1592" s="25" t="str">
        <x:v>-</x:v>
      </x:c>
      <x:c r="I1592" s="25" t="n">
        <x:v>1</x:v>
      </x:c>
      <x:c r="J1592" s="25" t="n">
        <x:v>2</x:v>
      </x:c>
      <x:c r="K1592" s="19" t="n">
        <x:f>D1592-IF(H1592=0,1,0)</x:f>
        <x:v>3</x:v>
      </x:c>
      <x:c r="L1592" s="19" t="n">
        <x:f>E1592-IF(H1592=1,1,0)</x:f>
        <x:v>0</x:v>
      </x:c>
      <x:c r="M1592" s="19" t="n">
        <x:f>F1592-IF(H1592=2,1,0)</x:f>
        <x:v>5</x:v>
      </x:c>
      <x:c r="N1592" s="19" t="n">
        <x:f>MAX(K1592-1,0)+MAX(L1592-1,0)+MAX(M1592-1,0)</x:f>
        <x:v>6</x:v>
      </x:c>
      <x:c r="O1592" s="19" t="n">
        <x:f>IF(AND(SUM(K1592:M1592)&lt;9,OR(M1592=0,N1592&lt;6)),1,0)</x:f>
        <x:v>0</x:v>
      </x:c>
      <x:c r="P1592" s="19" t="n">
        <x:f>IF(AND(SUM(K1592:M1592)&lt;9,OR(L1592=0,N1592&lt;6)),1,0)</x:f>
        <x:v>1</x:v>
      </x:c>
      <x:c r="Q1592" s="19" t="n">
        <x:f>IF(AND(SUM(K1592:M1592)&lt;9,OR(K1592=0,N1592&lt;6)),1,0)</x:f>
        <x:v>0</x:v>
      </x:c>
      <x:c r="R1592" s="22" t="str">
        <x:f>O1592&amp;P1592&amp;Q1592</x:f>
        <x:v>010</x:v>
      </x:c>
      <x:c r="S1592" s="19" t="n">
        <x:f>IF(I1592=1,IF(J1592=0,Q1592,IF(J1592=1,P1592,IF(J1592=2,O1592,0))),0)</x:f>
        <x:v>0</x:v>
      </x:c>
      <x:c r="T1592" s="19" t="n">
        <x:f>K1592+IF(AND(S1592=1,J1592=0),1,0)</x:f>
        <x:v>3</x:v>
      </x:c>
      <x:c r="U1592" s="19" t="n">
        <x:f>L1592+IF(AND(S1592=1,J1592=1),1,0)</x:f>
        <x:v>0</x:v>
      </x:c>
      <x:c r="V1592" s="19" t="n">
        <x:f>M1592+IF(AND(S1592=1,J1592=2),1,0)</x:f>
        <x:v>5</x:v>
      </x:c>
      <x:c r="W1592" s="19" t="n">
        <x:f>SUM(T1592:V1592)</x:f>
        <x:v>8</x:v>
      </x:c>
      <x:c r="X1592" s="19" t="n">
        <x:f>W1592-G1592</x:f>
        <x:v>0</x:v>
      </x:c>
      <x:c r="Y1592" s="19" t="n">
        <x:f>MAX(T1592,1)+MAX(U1592,1)+MAX(V1592,1)</x:f>
        <x:v>9</x:v>
      </x:c>
      <x:c r="Z1592" s="21" t="str">
        <x:f>IF(AND(MIN(D1592:F1592)&gt;=0,MAX(D1592:F1592)&lt;=7,MAX(D1592,1)+MAX(E1592,1)+MAX(F1592,1)&lt;=9,OR(H1592="-",AND(H1592=0,D1592&gt;0),AND(H1592=1,E1592&gt;0),AND(H1592=2,F1592&gt;0)),OR(I1592=0,AND(I1592=1,OR(J1592=0,J1592=1,J1592=2),R1592&lt;&gt;"000")),Y1592&lt;=9,MIN(T1592:V1592)&gt;=0),"合法","输入违约")</x:f>
        <x:v>合法</x:v>
      </x:c>
    </x:row>
    <x:row r="1593" ht="23" customHeight="1">
      <x:c r="A1593" s="3" t="str">
        <x:v>CT-1586</x:v>
      </x:c>
      <x:c r="B1593" s="3" t="str">
        <x:v>ST-143</x:v>
      </x:c>
      <x:c r="C1593" s="3" t="str">
        <x:v>仅R回收</x:v>
      </x:c>
      <x:c r="D1593" s="25" t="n">
        <x:v>3</x:v>
      </x:c>
      <x:c r="E1593" s="25" t="n">
        <x:v>0</x:v>
      </x:c>
      <x:c r="F1593" s="25" t="n">
        <x:v>5</x:v>
      </x:c>
      <x:c r="G1593" s="19" t="n">
        <x:f>SUM(D1593:F1593)</x:f>
        <x:v>8</x:v>
      </x:c>
      <x:c r="H1593" s="25" t="n">
        <x:v>0</x:v>
      </x:c>
      <x:c r="I1593" s="25" t="n">
        <x:v>0</x:v>
      </x:c>
      <x:c r="J1593" s="25" t="str">
        <x:v>-</x:v>
      </x:c>
      <x:c r="K1593" s="19" t="n">
        <x:f>D1593-IF(H1593=0,1,0)</x:f>
        <x:v>2</x:v>
      </x:c>
      <x:c r="L1593" s="19" t="n">
        <x:f>E1593-IF(H1593=1,1,0)</x:f>
        <x:v>0</x:v>
      </x:c>
      <x:c r="M1593" s="19" t="n">
        <x:f>F1593-IF(H1593=2,1,0)</x:f>
        <x:v>5</x:v>
      </x:c>
      <x:c r="N1593" s="19" t="n">
        <x:f>MAX(K1593-1,0)+MAX(L1593-1,0)+MAX(M1593-1,0)</x:f>
        <x:v>5</x:v>
      </x:c>
      <x:c r="O1593" s="19" t="n">
        <x:f>IF(AND(SUM(K1593:M1593)&lt;9,OR(M1593=0,N1593&lt;6)),1,0)</x:f>
        <x:v>1</x:v>
      </x:c>
      <x:c r="P1593" s="19" t="n">
        <x:f>IF(AND(SUM(K1593:M1593)&lt;9,OR(L1593=0,N1593&lt;6)),1,0)</x:f>
        <x:v>1</x:v>
      </x:c>
      <x:c r="Q1593" s="19" t="n">
        <x:f>IF(AND(SUM(K1593:M1593)&lt;9,OR(K1593=0,N1593&lt;6)),1,0)</x:f>
        <x:v>1</x:v>
      </x:c>
      <x:c r="R1593" s="22" t="str">
        <x:f>O1593&amp;P1593&amp;Q1593</x:f>
        <x:v>111</x:v>
      </x:c>
      <x:c r="S1593" s="19" t="n">
        <x:f>IF(I1593=1,IF(J1593=0,Q1593,IF(J1593=1,P1593,IF(J1593=2,O1593,0))),0)</x:f>
        <x:v>0</x:v>
      </x:c>
      <x:c r="T1593" s="19" t="n">
        <x:f>K1593+IF(AND(S1593=1,J1593=0),1,0)</x:f>
        <x:v>2</x:v>
      </x:c>
      <x:c r="U1593" s="19" t="n">
        <x:f>L1593+IF(AND(S1593=1,J1593=1),1,0)</x:f>
        <x:v>0</x:v>
      </x:c>
      <x:c r="V1593" s="19" t="n">
        <x:f>M1593+IF(AND(S1593=1,J1593=2),1,0)</x:f>
        <x:v>5</x:v>
      </x:c>
      <x:c r="W1593" s="19" t="n">
        <x:f>SUM(T1593:V1593)</x:f>
        <x:v>7</x:v>
      </x:c>
      <x:c r="X1593" s="19" t="n">
        <x:f>W1593-G1593</x:f>
        <x:v>-1</x:v>
      </x:c>
      <x:c r="Y1593" s="19" t="n">
        <x:f>MAX(T1593,1)+MAX(U1593,1)+MAX(V1593,1)</x:f>
        <x:v>8</x:v>
      </x:c>
      <x:c r="Z1593" s="21" t="str">
        <x:f>IF(AND(MIN(D1593:F1593)&gt;=0,MAX(D1593:F1593)&lt;=7,MAX(D1593,1)+MAX(E1593,1)+MAX(F1593,1)&lt;=9,OR(H1593="-",AND(H1593=0,D1593&gt;0),AND(H1593=1,E1593&gt;0),AND(H1593=2,F1593&gt;0)),OR(I1593=0,AND(I1593=1,OR(J1593=0,J1593=1,J1593=2),R1593&lt;&gt;"000")),Y1593&lt;=9,MIN(T1593:V1593)&gt;=0),"合法","输入违约")</x:f>
        <x:v>合法</x:v>
      </x:c>
    </x:row>
    <x:row r="1594" ht="23" customHeight="1">
      <x:c r="A1594" s="3" t="str">
        <x:v>CT-1587</x:v>
      </x:c>
      <x:c r="B1594" s="3" t="str">
        <x:v>ST-143</x:v>
      </x:c>
      <x:c r="C1594" s="3" t="str">
        <x:v>R+AR同收同发</x:v>
      </x:c>
      <x:c r="D1594" s="25" t="n">
        <x:v>3</x:v>
      </x:c>
      <x:c r="E1594" s="25" t="n">
        <x:v>0</x:v>
      </x:c>
      <x:c r="F1594" s="25" t="n">
        <x:v>5</x:v>
      </x:c>
      <x:c r="G1594" s="19" t="n">
        <x:f>SUM(D1594:F1594)</x:f>
        <x:v>8</x:v>
      </x:c>
      <x:c r="H1594" s="25" t="n">
        <x:v>0</x:v>
      </x:c>
      <x:c r="I1594" s="25" t="n">
        <x:v>1</x:v>
      </x:c>
      <x:c r="J1594" s="25" t="n">
        <x:v>0</x:v>
      </x:c>
      <x:c r="K1594" s="19" t="n">
        <x:f>D1594-IF(H1594=0,1,0)</x:f>
        <x:v>2</x:v>
      </x:c>
      <x:c r="L1594" s="19" t="n">
        <x:f>E1594-IF(H1594=1,1,0)</x:f>
        <x:v>0</x:v>
      </x:c>
      <x:c r="M1594" s="19" t="n">
        <x:f>F1594-IF(H1594=2,1,0)</x:f>
        <x:v>5</x:v>
      </x:c>
      <x:c r="N1594" s="19" t="n">
        <x:f>MAX(K1594-1,0)+MAX(L1594-1,0)+MAX(M1594-1,0)</x:f>
        <x:v>5</x:v>
      </x:c>
      <x:c r="O1594" s="19" t="n">
        <x:f>IF(AND(SUM(K1594:M1594)&lt;9,OR(M1594=0,N1594&lt;6)),1,0)</x:f>
        <x:v>1</x:v>
      </x:c>
      <x:c r="P1594" s="19" t="n">
        <x:f>IF(AND(SUM(K1594:M1594)&lt;9,OR(L1594=0,N1594&lt;6)),1,0)</x:f>
        <x:v>1</x:v>
      </x:c>
      <x:c r="Q1594" s="19" t="n">
        <x:f>IF(AND(SUM(K1594:M1594)&lt;9,OR(K1594=0,N1594&lt;6)),1,0)</x:f>
        <x:v>1</x:v>
      </x:c>
      <x:c r="R1594" s="22" t="str">
        <x:f>O1594&amp;P1594&amp;Q1594</x:f>
        <x:v>111</x:v>
      </x:c>
      <x:c r="S1594" s="19" t="n">
        <x:f>IF(I1594=1,IF(J1594=0,Q1594,IF(J1594=1,P1594,IF(J1594=2,O1594,0))),0)</x:f>
        <x:v>1</x:v>
      </x:c>
      <x:c r="T1594" s="19" t="n">
        <x:f>K1594+IF(AND(S1594=1,J1594=0),1,0)</x:f>
        <x:v>3</x:v>
      </x:c>
      <x:c r="U1594" s="19" t="n">
        <x:f>L1594+IF(AND(S1594=1,J1594=1),1,0)</x:f>
        <x:v>0</x:v>
      </x:c>
      <x:c r="V1594" s="19" t="n">
        <x:f>M1594+IF(AND(S1594=1,J1594=2),1,0)</x:f>
        <x:v>5</x:v>
      </x:c>
      <x:c r="W1594" s="19" t="n">
        <x:f>SUM(T1594:V1594)</x:f>
        <x:v>8</x:v>
      </x:c>
      <x:c r="X1594" s="19" t="n">
        <x:f>W1594-G1594</x:f>
        <x:v>0</x:v>
      </x:c>
      <x:c r="Y1594" s="19" t="n">
        <x:f>MAX(T1594,1)+MAX(U1594,1)+MAX(V1594,1)</x:f>
        <x:v>9</x:v>
      </x:c>
      <x:c r="Z1594" s="21" t="str">
        <x:f>IF(AND(MIN(D1594:F1594)&gt;=0,MAX(D1594:F1594)&lt;=7,MAX(D1594,1)+MAX(E1594,1)+MAX(F1594,1)&lt;=9,OR(H1594="-",AND(H1594=0,D1594&gt;0),AND(H1594=1,E1594&gt;0),AND(H1594=2,F1594&gt;0)),OR(I1594=0,AND(I1594=1,OR(J1594=0,J1594=1,J1594=2),R1594&lt;&gt;"000")),Y1594&lt;=9,MIN(T1594:V1594)&gt;=0),"合法","输入违约")</x:f>
        <x:v>合法</x:v>
      </x:c>
    </x:row>
    <x:row r="1595" ht="23" customHeight="1">
      <x:c r="A1595" s="3" t="str">
        <x:v>CT-1588</x:v>
      </x:c>
      <x:c r="B1595" s="3" t="str">
        <x:v>ST-143</x:v>
      </x:c>
      <x:c r="C1595" s="3" t="str">
        <x:v>R+AR同收同发</x:v>
      </x:c>
      <x:c r="D1595" s="25" t="n">
        <x:v>3</x:v>
      </x:c>
      <x:c r="E1595" s="25" t="n">
        <x:v>0</x:v>
      </x:c>
      <x:c r="F1595" s="25" t="n">
        <x:v>5</x:v>
      </x:c>
      <x:c r="G1595" s="19" t="n">
        <x:f>SUM(D1595:F1595)</x:f>
        <x:v>8</x:v>
      </x:c>
      <x:c r="H1595" s="25" t="n">
        <x:v>0</x:v>
      </x:c>
      <x:c r="I1595" s="25" t="n">
        <x:v>1</x:v>
      </x:c>
      <x:c r="J1595" s="25" t="n">
        <x:v>1</x:v>
      </x:c>
      <x:c r="K1595" s="19" t="n">
        <x:f>D1595-IF(H1595=0,1,0)</x:f>
        <x:v>2</x:v>
      </x:c>
      <x:c r="L1595" s="19" t="n">
        <x:f>E1595-IF(H1595=1,1,0)</x:f>
        <x:v>0</x:v>
      </x:c>
      <x:c r="M1595" s="19" t="n">
        <x:f>F1595-IF(H1595=2,1,0)</x:f>
        <x:v>5</x:v>
      </x:c>
      <x:c r="N1595" s="19" t="n">
        <x:f>MAX(K1595-1,0)+MAX(L1595-1,0)+MAX(M1595-1,0)</x:f>
        <x:v>5</x:v>
      </x:c>
      <x:c r="O1595" s="19" t="n">
        <x:f>IF(AND(SUM(K1595:M1595)&lt;9,OR(M1595=0,N1595&lt;6)),1,0)</x:f>
        <x:v>1</x:v>
      </x:c>
      <x:c r="P1595" s="19" t="n">
        <x:f>IF(AND(SUM(K1595:M1595)&lt;9,OR(L1595=0,N1595&lt;6)),1,0)</x:f>
        <x:v>1</x:v>
      </x:c>
      <x:c r="Q1595" s="19" t="n">
        <x:f>IF(AND(SUM(K1595:M1595)&lt;9,OR(K1595=0,N1595&lt;6)),1,0)</x:f>
        <x:v>1</x:v>
      </x:c>
      <x:c r="R1595" s="22" t="str">
        <x:f>O1595&amp;P1595&amp;Q1595</x:f>
        <x:v>111</x:v>
      </x:c>
      <x:c r="S1595" s="19" t="n">
        <x:f>IF(I1595=1,IF(J1595=0,Q1595,IF(J1595=1,P1595,IF(J1595=2,O1595,0))),0)</x:f>
        <x:v>1</x:v>
      </x:c>
      <x:c r="T1595" s="19" t="n">
        <x:f>K1595+IF(AND(S1595=1,J1595=0),1,0)</x:f>
        <x:v>2</x:v>
      </x:c>
      <x:c r="U1595" s="19" t="n">
        <x:f>L1595+IF(AND(S1595=1,J1595=1),1,0)</x:f>
        <x:v>1</x:v>
      </x:c>
      <x:c r="V1595" s="19" t="n">
        <x:f>M1595+IF(AND(S1595=1,J1595=2),1,0)</x:f>
        <x:v>5</x:v>
      </x:c>
      <x:c r="W1595" s="19" t="n">
        <x:f>SUM(T1595:V1595)</x:f>
        <x:v>8</x:v>
      </x:c>
      <x:c r="X1595" s="19" t="n">
        <x:f>W1595-G1595</x:f>
        <x:v>0</x:v>
      </x:c>
      <x:c r="Y1595" s="19" t="n">
        <x:f>MAX(T1595,1)+MAX(U1595,1)+MAX(V1595,1)</x:f>
        <x:v>8</x:v>
      </x:c>
      <x:c r="Z1595" s="21" t="str">
        <x:f>IF(AND(MIN(D1595:F1595)&gt;=0,MAX(D1595:F1595)&lt;=7,MAX(D1595,1)+MAX(E1595,1)+MAX(F1595,1)&lt;=9,OR(H1595="-",AND(H1595=0,D1595&gt;0),AND(H1595=1,E1595&gt;0),AND(H1595=2,F1595&gt;0)),OR(I1595=0,AND(I1595=1,OR(J1595=0,J1595=1,J1595=2),R1595&lt;&gt;"000")),Y1595&lt;=9,MIN(T1595:V1595)&gt;=0),"合法","输入违约")</x:f>
        <x:v>合法</x:v>
      </x:c>
    </x:row>
    <x:row r="1596" ht="23" customHeight="1">
      <x:c r="A1596" s="3" t="str">
        <x:v>CT-1589</x:v>
      </x:c>
      <x:c r="B1596" s="3" t="str">
        <x:v>ST-143</x:v>
      </x:c>
      <x:c r="C1596" s="3" t="str">
        <x:v>R+AR同收同发</x:v>
      </x:c>
      <x:c r="D1596" s="25" t="n">
        <x:v>3</x:v>
      </x:c>
      <x:c r="E1596" s="25" t="n">
        <x:v>0</x:v>
      </x:c>
      <x:c r="F1596" s="25" t="n">
        <x:v>5</x:v>
      </x:c>
      <x:c r="G1596" s="19" t="n">
        <x:f>SUM(D1596:F1596)</x:f>
        <x:v>8</x:v>
      </x:c>
      <x:c r="H1596" s="25" t="n">
        <x:v>0</x:v>
      </x:c>
      <x:c r="I1596" s="25" t="n">
        <x:v>1</x:v>
      </x:c>
      <x:c r="J1596" s="25" t="n">
        <x:v>2</x:v>
      </x:c>
      <x:c r="K1596" s="19" t="n">
        <x:f>D1596-IF(H1596=0,1,0)</x:f>
        <x:v>2</x:v>
      </x:c>
      <x:c r="L1596" s="19" t="n">
        <x:f>E1596-IF(H1596=1,1,0)</x:f>
        <x:v>0</x:v>
      </x:c>
      <x:c r="M1596" s="19" t="n">
        <x:f>F1596-IF(H1596=2,1,0)</x:f>
        <x:v>5</x:v>
      </x:c>
      <x:c r="N1596" s="19" t="n">
        <x:f>MAX(K1596-1,0)+MAX(L1596-1,0)+MAX(M1596-1,0)</x:f>
        <x:v>5</x:v>
      </x:c>
      <x:c r="O1596" s="19" t="n">
        <x:f>IF(AND(SUM(K1596:M1596)&lt;9,OR(M1596=0,N1596&lt;6)),1,0)</x:f>
        <x:v>1</x:v>
      </x:c>
      <x:c r="P1596" s="19" t="n">
        <x:f>IF(AND(SUM(K1596:M1596)&lt;9,OR(L1596=0,N1596&lt;6)),1,0)</x:f>
        <x:v>1</x:v>
      </x:c>
      <x:c r="Q1596" s="19" t="n">
        <x:f>IF(AND(SUM(K1596:M1596)&lt;9,OR(K1596=0,N1596&lt;6)),1,0)</x:f>
        <x:v>1</x:v>
      </x:c>
      <x:c r="R1596" s="22" t="str">
        <x:f>O1596&amp;P1596&amp;Q1596</x:f>
        <x:v>111</x:v>
      </x:c>
      <x:c r="S1596" s="19" t="n">
        <x:f>IF(I1596=1,IF(J1596=0,Q1596,IF(J1596=1,P1596,IF(J1596=2,O1596,0))),0)</x:f>
        <x:v>1</x:v>
      </x:c>
      <x:c r="T1596" s="19" t="n">
        <x:f>K1596+IF(AND(S1596=1,J1596=0),1,0)</x:f>
        <x:v>2</x:v>
      </x:c>
      <x:c r="U1596" s="19" t="n">
        <x:f>L1596+IF(AND(S1596=1,J1596=1),1,0)</x:f>
        <x:v>0</x:v>
      </x:c>
      <x:c r="V1596" s="19" t="n">
        <x:f>M1596+IF(AND(S1596=1,J1596=2),1,0)</x:f>
        <x:v>6</x:v>
      </x:c>
      <x:c r="W1596" s="19" t="n">
        <x:f>SUM(T1596:V1596)</x:f>
        <x:v>8</x:v>
      </x:c>
      <x:c r="X1596" s="19" t="n">
        <x:f>W1596-G1596</x:f>
        <x:v>0</x:v>
      </x:c>
      <x:c r="Y1596" s="19" t="n">
        <x:f>MAX(T1596,1)+MAX(U1596,1)+MAX(V1596,1)</x:f>
        <x:v>9</x:v>
      </x:c>
      <x:c r="Z1596" s="21" t="str">
        <x:f>IF(AND(MIN(D1596:F1596)&gt;=0,MAX(D1596:F1596)&lt;=7,MAX(D1596,1)+MAX(E1596,1)+MAX(F1596,1)&lt;=9,OR(H1596="-",AND(H1596=0,D1596&gt;0),AND(H1596=1,E1596&gt;0),AND(H1596=2,F1596&gt;0)),OR(I1596=0,AND(I1596=1,OR(J1596=0,J1596=1,J1596=2),R1596&lt;&gt;"000")),Y1596&lt;=9,MIN(T1596:V1596)&gt;=0),"合法","输入违约")</x:f>
        <x:v>合法</x:v>
      </x:c>
    </x:row>
    <x:row r="1597" ht="23" customHeight="1">
      <x:c r="A1597" s="3" t="str">
        <x:v>CT-1590</x:v>
      </x:c>
      <x:c r="B1597" s="3" t="str">
        <x:v>ST-143</x:v>
      </x:c>
      <x:c r="C1597" s="3" t="str">
        <x:v>仅R回收</x:v>
      </x:c>
      <x:c r="D1597" s="25" t="n">
        <x:v>3</x:v>
      </x:c>
      <x:c r="E1597" s="25" t="n">
        <x:v>0</x:v>
      </x:c>
      <x:c r="F1597" s="25" t="n">
        <x:v>5</x:v>
      </x:c>
      <x:c r="G1597" s="19" t="n">
        <x:f>SUM(D1597:F1597)</x:f>
        <x:v>8</x:v>
      </x:c>
      <x:c r="H1597" s="25" t="n">
        <x:v>2</x:v>
      </x:c>
      <x:c r="I1597" s="25" t="n">
        <x:v>0</x:v>
      </x:c>
      <x:c r="J1597" s="25" t="str">
        <x:v>-</x:v>
      </x:c>
      <x:c r="K1597" s="19" t="n">
        <x:f>D1597-IF(H1597=0,1,0)</x:f>
        <x:v>3</x:v>
      </x:c>
      <x:c r="L1597" s="19" t="n">
        <x:f>E1597-IF(H1597=1,1,0)</x:f>
        <x:v>0</x:v>
      </x:c>
      <x:c r="M1597" s="19" t="n">
        <x:f>F1597-IF(H1597=2,1,0)</x:f>
        <x:v>4</x:v>
      </x:c>
      <x:c r="N1597" s="19" t="n">
        <x:f>MAX(K1597-1,0)+MAX(L1597-1,0)+MAX(M1597-1,0)</x:f>
        <x:v>5</x:v>
      </x:c>
      <x:c r="O1597" s="19" t="n">
        <x:f>IF(AND(SUM(K1597:M1597)&lt;9,OR(M1597=0,N1597&lt;6)),1,0)</x:f>
        <x:v>1</x:v>
      </x:c>
      <x:c r="P1597" s="19" t="n">
        <x:f>IF(AND(SUM(K1597:M1597)&lt;9,OR(L1597=0,N1597&lt;6)),1,0)</x:f>
        <x:v>1</x:v>
      </x:c>
      <x:c r="Q1597" s="19" t="n">
        <x:f>IF(AND(SUM(K1597:M1597)&lt;9,OR(K1597=0,N1597&lt;6)),1,0)</x:f>
        <x:v>1</x:v>
      </x:c>
      <x:c r="R1597" s="22" t="str">
        <x:f>O1597&amp;P1597&amp;Q1597</x:f>
        <x:v>111</x:v>
      </x:c>
      <x:c r="S1597" s="19" t="n">
        <x:f>IF(I1597=1,IF(J1597=0,Q1597,IF(J1597=1,P1597,IF(J1597=2,O1597,0))),0)</x:f>
        <x:v>0</x:v>
      </x:c>
      <x:c r="T1597" s="19" t="n">
        <x:f>K1597+IF(AND(S1597=1,J1597=0),1,0)</x:f>
        <x:v>3</x:v>
      </x:c>
      <x:c r="U1597" s="19" t="n">
        <x:f>L1597+IF(AND(S1597=1,J1597=1),1,0)</x:f>
        <x:v>0</x:v>
      </x:c>
      <x:c r="V1597" s="19" t="n">
        <x:f>M1597+IF(AND(S1597=1,J1597=2),1,0)</x:f>
        <x:v>4</x:v>
      </x:c>
      <x:c r="W1597" s="19" t="n">
        <x:f>SUM(T1597:V1597)</x:f>
        <x:v>7</x:v>
      </x:c>
      <x:c r="X1597" s="19" t="n">
        <x:f>W1597-G1597</x:f>
        <x:v>-1</x:v>
      </x:c>
      <x:c r="Y1597" s="19" t="n">
        <x:f>MAX(T1597,1)+MAX(U1597,1)+MAX(V1597,1)</x:f>
        <x:v>8</x:v>
      </x:c>
      <x:c r="Z1597" s="21" t="str">
        <x:f>IF(AND(MIN(D1597:F1597)&gt;=0,MAX(D1597:F1597)&lt;=7,MAX(D1597,1)+MAX(E1597,1)+MAX(F1597,1)&lt;=9,OR(H1597="-",AND(H1597=0,D1597&gt;0),AND(H1597=1,E1597&gt;0),AND(H1597=2,F1597&gt;0)),OR(I1597=0,AND(I1597=1,OR(J1597=0,J1597=1,J1597=2),R1597&lt;&gt;"000")),Y1597&lt;=9,MIN(T1597:V1597)&gt;=0),"合法","输入违约")</x:f>
        <x:v>合法</x:v>
      </x:c>
    </x:row>
    <x:row r="1598" ht="23" customHeight="1">
      <x:c r="A1598" s="3" t="str">
        <x:v>CT-1591</x:v>
      </x:c>
      <x:c r="B1598" s="3" t="str">
        <x:v>ST-143</x:v>
      </x:c>
      <x:c r="C1598" s="3" t="str">
        <x:v>R+AR同收同发</x:v>
      </x:c>
      <x:c r="D1598" s="25" t="n">
        <x:v>3</x:v>
      </x:c>
      <x:c r="E1598" s="25" t="n">
        <x:v>0</x:v>
      </x:c>
      <x:c r="F1598" s="25" t="n">
        <x:v>5</x:v>
      </x:c>
      <x:c r="G1598" s="19" t="n">
        <x:f>SUM(D1598:F1598)</x:f>
        <x:v>8</x:v>
      </x:c>
      <x:c r="H1598" s="25" t="n">
        <x:v>2</x:v>
      </x:c>
      <x:c r="I1598" s="25" t="n">
        <x:v>1</x:v>
      </x:c>
      <x:c r="J1598" s="25" t="n">
        <x:v>0</x:v>
      </x:c>
      <x:c r="K1598" s="19" t="n">
        <x:f>D1598-IF(H1598=0,1,0)</x:f>
        <x:v>3</x:v>
      </x:c>
      <x:c r="L1598" s="19" t="n">
        <x:f>E1598-IF(H1598=1,1,0)</x:f>
        <x:v>0</x:v>
      </x:c>
      <x:c r="M1598" s="19" t="n">
        <x:f>F1598-IF(H1598=2,1,0)</x:f>
        <x:v>4</x:v>
      </x:c>
      <x:c r="N1598" s="19" t="n">
        <x:f>MAX(K1598-1,0)+MAX(L1598-1,0)+MAX(M1598-1,0)</x:f>
        <x:v>5</x:v>
      </x:c>
      <x:c r="O1598" s="19" t="n">
        <x:f>IF(AND(SUM(K1598:M1598)&lt;9,OR(M1598=0,N1598&lt;6)),1,0)</x:f>
        <x:v>1</x:v>
      </x:c>
      <x:c r="P1598" s="19" t="n">
        <x:f>IF(AND(SUM(K1598:M1598)&lt;9,OR(L1598=0,N1598&lt;6)),1,0)</x:f>
        <x:v>1</x:v>
      </x:c>
      <x:c r="Q1598" s="19" t="n">
        <x:f>IF(AND(SUM(K1598:M1598)&lt;9,OR(K1598=0,N1598&lt;6)),1,0)</x:f>
        <x:v>1</x:v>
      </x:c>
      <x:c r="R1598" s="22" t="str">
        <x:f>O1598&amp;P1598&amp;Q1598</x:f>
        <x:v>111</x:v>
      </x:c>
      <x:c r="S1598" s="19" t="n">
        <x:f>IF(I1598=1,IF(J1598=0,Q1598,IF(J1598=1,P1598,IF(J1598=2,O1598,0))),0)</x:f>
        <x:v>1</x:v>
      </x:c>
      <x:c r="T1598" s="19" t="n">
        <x:f>K1598+IF(AND(S1598=1,J1598=0),1,0)</x:f>
        <x:v>4</x:v>
      </x:c>
      <x:c r="U1598" s="19" t="n">
        <x:f>L1598+IF(AND(S1598=1,J1598=1),1,0)</x:f>
        <x:v>0</x:v>
      </x:c>
      <x:c r="V1598" s="19" t="n">
        <x:f>M1598+IF(AND(S1598=1,J1598=2),1,0)</x:f>
        <x:v>4</x:v>
      </x:c>
      <x:c r="W1598" s="19" t="n">
        <x:f>SUM(T1598:V1598)</x:f>
        <x:v>8</x:v>
      </x:c>
      <x:c r="X1598" s="19" t="n">
        <x:f>W1598-G1598</x:f>
        <x:v>0</x:v>
      </x:c>
      <x:c r="Y1598" s="19" t="n">
        <x:f>MAX(T1598,1)+MAX(U1598,1)+MAX(V1598,1)</x:f>
        <x:v>9</x:v>
      </x:c>
      <x:c r="Z1598" s="21" t="str">
        <x:f>IF(AND(MIN(D1598:F1598)&gt;=0,MAX(D1598:F1598)&lt;=7,MAX(D1598,1)+MAX(E1598,1)+MAX(F1598,1)&lt;=9,OR(H1598="-",AND(H1598=0,D1598&gt;0),AND(H1598=1,E1598&gt;0),AND(H1598=2,F1598&gt;0)),OR(I1598=0,AND(I1598=1,OR(J1598=0,J1598=1,J1598=2),R1598&lt;&gt;"000")),Y1598&lt;=9,MIN(T1598:V1598)&gt;=0),"合法","输入违约")</x:f>
        <x:v>合法</x:v>
      </x:c>
    </x:row>
    <x:row r="1599" ht="23" customHeight="1">
      <x:c r="A1599" s="3" t="str">
        <x:v>CT-1592</x:v>
      </x:c>
      <x:c r="B1599" s="3" t="str">
        <x:v>ST-143</x:v>
      </x:c>
      <x:c r="C1599" s="3" t="str">
        <x:v>R+AR同收同发</x:v>
      </x:c>
      <x:c r="D1599" s="25" t="n">
        <x:v>3</x:v>
      </x:c>
      <x:c r="E1599" s="25" t="n">
        <x:v>0</x:v>
      </x:c>
      <x:c r="F1599" s="25" t="n">
        <x:v>5</x:v>
      </x:c>
      <x:c r="G1599" s="19" t="n">
        <x:f>SUM(D1599:F1599)</x:f>
        <x:v>8</x:v>
      </x:c>
      <x:c r="H1599" s="25" t="n">
        <x:v>2</x:v>
      </x:c>
      <x:c r="I1599" s="25" t="n">
        <x:v>1</x:v>
      </x:c>
      <x:c r="J1599" s="25" t="n">
        <x:v>1</x:v>
      </x:c>
      <x:c r="K1599" s="19" t="n">
        <x:f>D1599-IF(H1599=0,1,0)</x:f>
        <x:v>3</x:v>
      </x:c>
      <x:c r="L1599" s="19" t="n">
        <x:f>E1599-IF(H1599=1,1,0)</x:f>
        <x:v>0</x:v>
      </x:c>
      <x:c r="M1599" s="19" t="n">
        <x:f>F1599-IF(H1599=2,1,0)</x:f>
        <x:v>4</x:v>
      </x:c>
      <x:c r="N1599" s="19" t="n">
        <x:f>MAX(K1599-1,0)+MAX(L1599-1,0)+MAX(M1599-1,0)</x:f>
        <x:v>5</x:v>
      </x:c>
      <x:c r="O1599" s="19" t="n">
        <x:f>IF(AND(SUM(K1599:M1599)&lt;9,OR(M1599=0,N1599&lt;6)),1,0)</x:f>
        <x:v>1</x:v>
      </x:c>
      <x:c r="P1599" s="19" t="n">
        <x:f>IF(AND(SUM(K1599:M1599)&lt;9,OR(L1599=0,N1599&lt;6)),1,0)</x:f>
        <x:v>1</x:v>
      </x:c>
      <x:c r="Q1599" s="19" t="n">
        <x:f>IF(AND(SUM(K1599:M1599)&lt;9,OR(K1599=0,N1599&lt;6)),1,0)</x:f>
        <x:v>1</x:v>
      </x:c>
      <x:c r="R1599" s="22" t="str">
        <x:f>O1599&amp;P1599&amp;Q1599</x:f>
        <x:v>111</x:v>
      </x:c>
      <x:c r="S1599" s="19" t="n">
        <x:f>IF(I1599=1,IF(J1599=0,Q1599,IF(J1599=1,P1599,IF(J1599=2,O1599,0))),0)</x:f>
        <x:v>1</x:v>
      </x:c>
      <x:c r="T1599" s="19" t="n">
        <x:f>K1599+IF(AND(S1599=1,J1599=0),1,0)</x:f>
        <x:v>3</x:v>
      </x:c>
      <x:c r="U1599" s="19" t="n">
        <x:f>L1599+IF(AND(S1599=1,J1599=1),1,0)</x:f>
        <x:v>1</x:v>
      </x:c>
      <x:c r="V1599" s="19" t="n">
        <x:f>M1599+IF(AND(S1599=1,J1599=2),1,0)</x:f>
        <x:v>4</x:v>
      </x:c>
      <x:c r="W1599" s="19" t="n">
        <x:f>SUM(T1599:V1599)</x:f>
        <x:v>8</x:v>
      </x:c>
      <x:c r="X1599" s="19" t="n">
        <x:f>W1599-G1599</x:f>
        <x:v>0</x:v>
      </x:c>
      <x:c r="Y1599" s="19" t="n">
        <x:f>MAX(T1599,1)+MAX(U1599,1)+MAX(V1599,1)</x:f>
        <x:v>8</x:v>
      </x:c>
      <x:c r="Z1599" s="21" t="str">
        <x:f>IF(AND(MIN(D1599:F1599)&gt;=0,MAX(D1599:F1599)&lt;=7,MAX(D1599,1)+MAX(E1599,1)+MAX(F1599,1)&lt;=9,OR(H1599="-",AND(H1599=0,D1599&gt;0),AND(H1599=1,E1599&gt;0),AND(H1599=2,F1599&gt;0)),OR(I1599=0,AND(I1599=1,OR(J1599=0,J1599=1,J1599=2),R1599&lt;&gt;"000")),Y1599&lt;=9,MIN(T1599:V1599)&gt;=0),"合法","输入违约")</x:f>
        <x:v>合法</x:v>
      </x:c>
    </x:row>
    <x:row r="1600" ht="23" customHeight="1">
      <x:c r="A1600" s="3" t="str">
        <x:v>CT-1593</x:v>
      </x:c>
      <x:c r="B1600" s="3" t="str">
        <x:v>ST-143</x:v>
      </x:c>
      <x:c r="C1600" s="3" t="str">
        <x:v>R+AR同收同发</x:v>
      </x:c>
      <x:c r="D1600" s="25" t="n">
        <x:v>3</x:v>
      </x:c>
      <x:c r="E1600" s="25" t="n">
        <x:v>0</x:v>
      </x:c>
      <x:c r="F1600" s="25" t="n">
        <x:v>5</x:v>
      </x:c>
      <x:c r="G1600" s="19" t="n">
        <x:f>SUM(D1600:F1600)</x:f>
        <x:v>8</x:v>
      </x:c>
      <x:c r="H1600" s="25" t="n">
        <x:v>2</x:v>
      </x:c>
      <x:c r="I1600" s="25" t="n">
        <x:v>1</x:v>
      </x:c>
      <x:c r="J1600" s="25" t="n">
        <x:v>2</x:v>
      </x:c>
      <x:c r="K1600" s="19" t="n">
        <x:f>D1600-IF(H1600=0,1,0)</x:f>
        <x:v>3</x:v>
      </x:c>
      <x:c r="L1600" s="19" t="n">
        <x:f>E1600-IF(H1600=1,1,0)</x:f>
        <x:v>0</x:v>
      </x:c>
      <x:c r="M1600" s="19" t="n">
        <x:f>F1600-IF(H1600=2,1,0)</x:f>
        <x:v>4</x:v>
      </x:c>
      <x:c r="N1600" s="19" t="n">
        <x:f>MAX(K1600-1,0)+MAX(L1600-1,0)+MAX(M1600-1,0)</x:f>
        <x:v>5</x:v>
      </x:c>
      <x:c r="O1600" s="19" t="n">
        <x:f>IF(AND(SUM(K1600:M1600)&lt;9,OR(M1600=0,N1600&lt;6)),1,0)</x:f>
        <x:v>1</x:v>
      </x:c>
      <x:c r="P1600" s="19" t="n">
        <x:f>IF(AND(SUM(K1600:M1600)&lt;9,OR(L1600=0,N1600&lt;6)),1,0)</x:f>
        <x:v>1</x:v>
      </x:c>
      <x:c r="Q1600" s="19" t="n">
        <x:f>IF(AND(SUM(K1600:M1600)&lt;9,OR(K1600=0,N1600&lt;6)),1,0)</x:f>
        <x:v>1</x:v>
      </x:c>
      <x:c r="R1600" s="22" t="str">
        <x:f>O1600&amp;P1600&amp;Q1600</x:f>
        <x:v>111</x:v>
      </x:c>
      <x:c r="S1600" s="19" t="n">
        <x:f>IF(I1600=1,IF(J1600=0,Q1600,IF(J1600=1,P1600,IF(J1600=2,O1600,0))),0)</x:f>
        <x:v>1</x:v>
      </x:c>
      <x:c r="T1600" s="19" t="n">
        <x:f>K1600+IF(AND(S1600=1,J1600=0),1,0)</x:f>
        <x:v>3</x:v>
      </x:c>
      <x:c r="U1600" s="19" t="n">
        <x:f>L1600+IF(AND(S1600=1,J1600=1),1,0)</x:f>
        <x:v>0</x:v>
      </x:c>
      <x:c r="V1600" s="19" t="n">
        <x:f>M1600+IF(AND(S1600=1,J1600=2),1,0)</x:f>
        <x:v>5</x:v>
      </x:c>
      <x:c r="W1600" s="19" t="n">
        <x:f>SUM(T1600:V1600)</x:f>
        <x:v>8</x:v>
      </x:c>
      <x:c r="X1600" s="19" t="n">
        <x:f>W1600-G1600</x:f>
        <x:v>0</x:v>
      </x:c>
      <x:c r="Y1600" s="19" t="n">
        <x:f>MAX(T1600,1)+MAX(U1600,1)+MAX(V1600,1)</x:f>
        <x:v>9</x:v>
      </x:c>
      <x:c r="Z1600" s="21" t="str">
        <x:f>IF(AND(MIN(D1600:F1600)&gt;=0,MAX(D1600:F1600)&lt;=7,MAX(D1600,1)+MAX(E1600,1)+MAX(F1600,1)&lt;=9,OR(H1600="-",AND(H1600=0,D1600&gt;0),AND(H1600=1,E1600&gt;0),AND(H1600=2,F1600&gt;0)),OR(I1600=0,AND(I1600=1,OR(J1600=0,J1600=1,J1600=2),R1600&lt;&gt;"000")),Y1600&lt;=9,MIN(T1600:V1600)&gt;=0),"合法","输入违约")</x:f>
        <x:v>合法</x:v>
      </x:c>
    </x:row>
    <x:row r="1601" ht="23" customHeight="1">
      <x:c r="A1601" s="3" t="str">
        <x:v>CT-1594</x:v>
      </x:c>
      <x:c r="B1601" s="3" t="str">
        <x:v>ST-034</x:v>
      </x:c>
      <x:c r="C1601" s="3" t="str">
        <x:v>无AR/R</x:v>
      </x:c>
      <x:c r="D1601" s="25" t="n">
        <x:v>3</x:v>
      </x:c>
      <x:c r="E1601" s="25" t="n">
        <x:v>1</x:v>
      </x:c>
      <x:c r="F1601" s="25" t="n">
        <x:v>0</x:v>
      </x:c>
      <x:c r="G1601" s="19" t="n">
        <x:f>SUM(D1601:F1601)</x:f>
        <x:v>4</x:v>
      </x:c>
      <x:c r="H1601" s="25" t="str">
        <x:v>-</x:v>
      </x:c>
      <x:c r="I1601" s="25" t="n">
        <x:v>0</x:v>
      </x:c>
      <x:c r="J1601" s="25" t="str">
        <x:v>-</x:v>
      </x:c>
      <x:c r="K1601" s="19" t="n">
        <x:f>D1601-IF(H1601=0,1,0)</x:f>
        <x:v>3</x:v>
      </x:c>
      <x:c r="L1601" s="19" t="n">
        <x:f>E1601-IF(H1601=1,1,0)</x:f>
        <x:v>1</x:v>
      </x:c>
      <x:c r="M1601" s="19" t="n">
        <x:f>F1601-IF(H1601=2,1,0)</x:f>
        <x:v>0</x:v>
      </x:c>
      <x:c r="N1601" s="19" t="n">
        <x:f>MAX(K1601-1,0)+MAX(L1601-1,0)+MAX(M1601-1,0)</x:f>
        <x:v>2</x:v>
      </x:c>
      <x:c r="O1601" s="19" t="n">
        <x:f>IF(AND(SUM(K1601:M1601)&lt;9,OR(M1601=0,N1601&lt;6)),1,0)</x:f>
        <x:v>1</x:v>
      </x:c>
      <x:c r="P1601" s="19" t="n">
        <x:f>IF(AND(SUM(K1601:M1601)&lt;9,OR(L1601=0,N1601&lt;6)),1,0)</x:f>
        <x:v>1</x:v>
      </x:c>
      <x:c r="Q1601" s="19" t="n">
        <x:f>IF(AND(SUM(K1601:M1601)&lt;9,OR(K1601=0,N1601&lt;6)),1,0)</x:f>
        <x:v>1</x:v>
      </x:c>
      <x:c r="R1601" s="22" t="str">
        <x:f>O1601&amp;P1601&amp;Q1601</x:f>
        <x:v>111</x:v>
      </x:c>
      <x:c r="S1601" s="19" t="n">
        <x:f>IF(I1601=1,IF(J1601=0,Q1601,IF(J1601=1,P1601,IF(J1601=2,O1601,0))),0)</x:f>
        <x:v>0</x:v>
      </x:c>
      <x:c r="T1601" s="19" t="n">
        <x:f>K1601+IF(AND(S1601=1,J1601=0),1,0)</x:f>
        <x:v>3</x:v>
      </x:c>
      <x:c r="U1601" s="19" t="n">
        <x:f>L1601+IF(AND(S1601=1,J1601=1),1,0)</x:f>
        <x:v>1</x:v>
      </x:c>
      <x:c r="V1601" s="19" t="n">
        <x:f>M1601+IF(AND(S1601=1,J1601=2),1,0)</x:f>
        <x:v>0</x:v>
      </x:c>
      <x:c r="W1601" s="19" t="n">
        <x:f>SUM(T1601:V1601)</x:f>
        <x:v>4</x:v>
      </x:c>
      <x:c r="X1601" s="19" t="n">
        <x:f>W1601-G1601</x:f>
        <x:v>0</x:v>
      </x:c>
      <x:c r="Y1601" s="19" t="n">
        <x:f>MAX(T1601,1)+MAX(U1601,1)+MAX(V1601,1)</x:f>
        <x:v>5</x:v>
      </x:c>
      <x:c r="Z1601" s="21" t="str">
        <x:f>IF(AND(MIN(D1601:F1601)&gt;=0,MAX(D1601:F1601)&lt;=7,MAX(D1601,1)+MAX(E1601,1)+MAX(F1601,1)&lt;=9,OR(H1601="-",AND(H1601=0,D1601&gt;0),AND(H1601=1,E1601&gt;0),AND(H1601=2,F1601&gt;0)),OR(I1601=0,AND(I1601=1,OR(J1601=0,J1601=1,J1601=2),R1601&lt;&gt;"000")),Y1601&lt;=9,MIN(T1601:V1601)&gt;=0),"合法","输入违约")</x:f>
        <x:v>合法</x:v>
      </x:c>
    </x:row>
    <x:row r="1602" ht="23" customHeight="1">
      <x:c r="A1602" s="3" t="str">
        <x:v>CT-1595</x:v>
      </x:c>
      <x:c r="B1602" s="3" t="str">
        <x:v>ST-034</x:v>
      </x:c>
      <x:c r="C1602" s="3" t="str">
        <x:v>仅AR接收</x:v>
      </x:c>
      <x:c r="D1602" s="25" t="n">
        <x:v>3</x:v>
      </x:c>
      <x:c r="E1602" s="25" t="n">
        <x:v>1</x:v>
      </x:c>
      <x:c r="F1602" s="25" t="n">
        <x:v>0</x:v>
      </x:c>
      <x:c r="G1602" s="19" t="n">
        <x:f>SUM(D1602:F1602)</x:f>
        <x:v>4</x:v>
      </x:c>
      <x:c r="H1602" s="25" t="str">
        <x:v>-</x:v>
      </x:c>
      <x:c r="I1602" s="25" t="n">
        <x:v>1</x:v>
      </x:c>
      <x:c r="J1602" s="25" t="n">
        <x:v>0</x:v>
      </x:c>
      <x:c r="K1602" s="19" t="n">
        <x:f>D1602-IF(H1602=0,1,0)</x:f>
        <x:v>3</x:v>
      </x:c>
      <x:c r="L1602" s="19" t="n">
        <x:f>E1602-IF(H1602=1,1,0)</x:f>
        <x:v>1</x:v>
      </x:c>
      <x:c r="M1602" s="19" t="n">
        <x:f>F1602-IF(H1602=2,1,0)</x:f>
        <x:v>0</x:v>
      </x:c>
      <x:c r="N1602" s="19" t="n">
        <x:f>MAX(K1602-1,0)+MAX(L1602-1,0)+MAX(M1602-1,0)</x:f>
        <x:v>2</x:v>
      </x:c>
      <x:c r="O1602" s="19" t="n">
        <x:f>IF(AND(SUM(K1602:M1602)&lt;9,OR(M1602=0,N1602&lt;6)),1,0)</x:f>
        <x:v>1</x:v>
      </x:c>
      <x:c r="P1602" s="19" t="n">
        <x:f>IF(AND(SUM(K1602:M1602)&lt;9,OR(L1602=0,N1602&lt;6)),1,0)</x:f>
        <x:v>1</x:v>
      </x:c>
      <x:c r="Q1602" s="19" t="n">
        <x:f>IF(AND(SUM(K1602:M1602)&lt;9,OR(K1602=0,N1602&lt;6)),1,0)</x:f>
        <x:v>1</x:v>
      </x:c>
      <x:c r="R1602" s="22" t="str">
        <x:f>O1602&amp;P1602&amp;Q1602</x:f>
        <x:v>111</x:v>
      </x:c>
      <x:c r="S1602" s="19" t="n">
        <x:f>IF(I1602=1,IF(J1602=0,Q1602,IF(J1602=1,P1602,IF(J1602=2,O1602,0))),0)</x:f>
        <x:v>1</x:v>
      </x:c>
      <x:c r="T1602" s="19" t="n">
        <x:f>K1602+IF(AND(S1602=1,J1602=0),1,0)</x:f>
        <x:v>4</x:v>
      </x:c>
      <x:c r="U1602" s="19" t="n">
        <x:f>L1602+IF(AND(S1602=1,J1602=1),1,0)</x:f>
        <x:v>1</x:v>
      </x:c>
      <x:c r="V1602" s="19" t="n">
        <x:f>M1602+IF(AND(S1602=1,J1602=2),1,0)</x:f>
        <x:v>0</x:v>
      </x:c>
      <x:c r="W1602" s="19" t="n">
        <x:f>SUM(T1602:V1602)</x:f>
        <x:v>5</x:v>
      </x:c>
      <x:c r="X1602" s="19" t="n">
        <x:f>W1602-G1602</x:f>
        <x:v>1</x:v>
      </x:c>
      <x:c r="Y1602" s="19" t="n">
        <x:f>MAX(T1602,1)+MAX(U1602,1)+MAX(V1602,1)</x:f>
        <x:v>6</x:v>
      </x:c>
      <x:c r="Z1602" s="21" t="str">
        <x:f>IF(AND(MIN(D1602:F1602)&gt;=0,MAX(D1602:F1602)&lt;=7,MAX(D1602,1)+MAX(E1602,1)+MAX(F1602,1)&lt;=9,OR(H1602="-",AND(H1602=0,D1602&gt;0),AND(H1602=1,E1602&gt;0),AND(H1602=2,F1602&gt;0)),OR(I1602=0,AND(I1602=1,OR(J1602=0,J1602=1,J1602=2),R1602&lt;&gt;"000")),Y1602&lt;=9,MIN(T1602:V1602)&gt;=0),"合法","输入违约")</x:f>
        <x:v>合法</x:v>
      </x:c>
    </x:row>
    <x:row r="1603" ht="23" customHeight="1">
      <x:c r="A1603" s="3" t="str">
        <x:v>CT-1596</x:v>
      </x:c>
      <x:c r="B1603" s="3" t="str">
        <x:v>ST-034</x:v>
      </x:c>
      <x:c r="C1603" s="3" t="str">
        <x:v>仅AR接收</x:v>
      </x:c>
      <x:c r="D1603" s="25" t="n">
        <x:v>3</x:v>
      </x:c>
      <x:c r="E1603" s="25" t="n">
        <x:v>1</x:v>
      </x:c>
      <x:c r="F1603" s="25" t="n">
        <x:v>0</x:v>
      </x:c>
      <x:c r="G1603" s="19" t="n">
        <x:f>SUM(D1603:F1603)</x:f>
        <x:v>4</x:v>
      </x:c>
      <x:c r="H1603" s="25" t="str">
        <x:v>-</x:v>
      </x:c>
      <x:c r="I1603" s="25" t="n">
        <x:v>1</x:v>
      </x:c>
      <x:c r="J1603" s="25" t="n">
        <x:v>1</x:v>
      </x:c>
      <x:c r="K1603" s="19" t="n">
        <x:f>D1603-IF(H1603=0,1,0)</x:f>
        <x:v>3</x:v>
      </x:c>
      <x:c r="L1603" s="19" t="n">
        <x:f>E1603-IF(H1603=1,1,0)</x:f>
        <x:v>1</x:v>
      </x:c>
      <x:c r="M1603" s="19" t="n">
        <x:f>F1603-IF(H1603=2,1,0)</x:f>
        <x:v>0</x:v>
      </x:c>
      <x:c r="N1603" s="19" t="n">
        <x:f>MAX(K1603-1,0)+MAX(L1603-1,0)+MAX(M1603-1,0)</x:f>
        <x:v>2</x:v>
      </x:c>
      <x:c r="O1603" s="19" t="n">
        <x:f>IF(AND(SUM(K1603:M1603)&lt;9,OR(M1603=0,N1603&lt;6)),1,0)</x:f>
        <x:v>1</x:v>
      </x:c>
      <x:c r="P1603" s="19" t="n">
        <x:f>IF(AND(SUM(K1603:M1603)&lt;9,OR(L1603=0,N1603&lt;6)),1,0)</x:f>
        <x:v>1</x:v>
      </x:c>
      <x:c r="Q1603" s="19" t="n">
        <x:f>IF(AND(SUM(K1603:M1603)&lt;9,OR(K1603=0,N1603&lt;6)),1,0)</x:f>
        <x:v>1</x:v>
      </x:c>
      <x:c r="R1603" s="22" t="str">
        <x:f>O1603&amp;P1603&amp;Q1603</x:f>
        <x:v>111</x:v>
      </x:c>
      <x:c r="S1603" s="19" t="n">
        <x:f>IF(I1603=1,IF(J1603=0,Q1603,IF(J1603=1,P1603,IF(J1603=2,O1603,0))),0)</x:f>
        <x:v>1</x:v>
      </x:c>
      <x:c r="T1603" s="19" t="n">
        <x:f>K1603+IF(AND(S1603=1,J1603=0),1,0)</x:f>
        <x:v>3</x:v>
      </x:c>
      <x:c r="U1603" s="19" t="n">
        <x:f>L1603+IF(AND(S1603=1,J1603=1),1,0)</x:f>
        <x:v>2</x:v>
      </x:c>
      <x:c r="V1603" s="19" t="n">
        <x:f>M1603+IF(AND(S1603=1,J1603=2),1,0)</x:f>
        <x:v>0</x:v>
      </x:c>
      <x:c r="W1603" s="19" t="n">
        <x:f>SUM(T1603:V1603)</x:f>
        <x:v>5</x:v>
      </x:c>
      <x:c r="X1603" s="19" t="n">
        <x:f>W1603-G1603</x:f>
        <x:v>1</x:v>
      </x:c>
      <x:c r="Y1603" s="19" t="n">
        <x:f>MAX(T1603,1)+MAX(U1603,1)+MAX(V1603,1)</x:f>
        <x:v>6</x:v>
      </x:c>
      <x:c r="Z1603" s="21" t="str">
        <x:f>IF(AND(MIN(D1603:F1603)&gt;=0,MAX(D1603:F1603)&lt;=7,MAX(D1603,1)+MAX(E1603,1)+MAX(F1603,1)&lt;=9,OR(H1603="-",AND(H1603=0,D1603&gt;0),AND(H1603=1,E1603&gt;0),AND(H1603=2,F1603&gt;0)),OR(I1603=0,AND(I1603=1,OR(J1603=0,J1603=1,J1603=2),R1603&lt;&gt;"000")),Y1603&lt;=9,MIN(T1603:V1603)&gt;=0),"合法","输入违约")</x:f>
        <x:v>合法</x:v>
      </x:c>
    </x:row>
    <x:row r="1604" ht="23" customHeight="1">
      <x:c r="A1604" s="3" t="str">
        <x:v>CT-1597</x:v>
      </x:c>
      <x:c r="B1604" s="3" t="str">
        <x:v>ST-034</x:v>
      </x:c>
      <x:c r="C1604" s="3" t="str">
        <x:v>仅AR接收</x:v>
      </x:c>
      <x:c r="D1604" s="25" t="n">
        <x:v>3</x:v>
      </x:c>
      <x:c r="E1604" s="25" t="n">
        <x:v>1</x:v>
      </x:c>
      <x:c r="F1604" s="25" t="n">
        <x:v>0</x:v>
      </x:c>
      <x:c r="G1604" s="19" t="n">
        <x:f>SUM(D1604:F1604)</x:f>
        <x:v>4</x:v>
      </x:c>
      <x:c r="H1604" s="25" t="str">
        <x:v>-</x:v>
      </x:c>
      <x:c r="I1604" s="25" t="n">
        <x:v>1</x:v>
      </x:c>
      <x:c r="J1604" s="25" t="n">
        <x:v>2</x:v>
      </x:c>
      <x:c r="K1604" s="19" t="n">
        <x:f>D1604-IF(H1604=0,1,0)</x:f>
        <x:v>3</x:v>
      </x:c>
      <x:c r="L1604" s="19" t="n">
        <x:f>E1604-IF(H1604=1,1,0)</x:f>
        <x:v>1</x:v>
      </x:c>
      <x:c r="M1604" s="19" t="n">
        <x:f>F1604-IF(H1604=2,1,0)</x:f>
        <x:v>0</x:v>
      </x:c>
      <x:c r="N1604" s="19" t="n">
        <x:f>MAX(K1604-1,0)+MAX(L1604-1,0)+MAX(M1604-1,0)</x:f>
        <x:v>2</x:v>
      </x:c>
      <x:c r="O1604" s="19" t="n">
        <x:f>IF(AND(SUM(K1604:M1604)&lt;9,OR(M1604=0,N1604&lt;6)),1,0)</x:f>
        <x:v>1</x:v>
      </x:c>
      <x:c r="P1604" s="19" t="n">
        <x:f>IF(AND(SUM(K1604:M1604)&lt;9,OR(L1604=0,N1604&lt;6)),1,0)</x:f>
        <x:v>1</x:v>
      </x:c>
      <x:c r="Q1604" s="19" t="n">
        <x:f>IF(AND(SUM(K1604:M1604)&lt;9,OR(K1604=0,N1604&lt;6)),1,0)</x:f>
        <x:v>1</x:v>
      </x:c>
      <x:c r="R1604" s="22" t="str">
        <x:f>O1604&amp;P1604&amp;Q1604</x:f>
        <x:v>111</x:v>
      </x:c>
      <x:c r="S1604" s="19" t="n">
        <x:f>IF(I1604=1,IF(J1604=0,Q1604,IF(J1604=1,P1604,IF(J1604=2,O1604,0))),0)</x:f>
        <x:v>1</x:v>
      </x:c>
      <x:c r="T1604" s="19" t="n">
        <x:f>K1604+IF(AND(S1604=1,J1604=0),1,0)</x:f>
        <x:v>3</x:v>
      </x:c>
      <x:c r="U1604" s="19" t="n">
        <x:f>L1604+IF(AND(S1604=1,J1604=1),1,0)</x:f>
        <x:v>1</x:v>
      </x:c>
      <x:c r="V1604" s="19" t="n">
        <x:f>M1604+IF(AND(S1604=1,J1604=2),1,0)</x:f>
        <x:v>1</x:v>
      </x:c>
      <x:c r="W1604" s="19" t="n">
        <x:f>SUM(T1604:V1604)</x:f>
        <x:v>5</x:v>
      </x:c>
      <x:c r="X1604" s="19" t="n">
        <x:f>W1604-G1604</x:f>
        <x:v>1</x:v>
      </x:c>
      <x:c r="Y1604" s="19" t="n">
        <x:f>MAX(T1604,1)+MAX(U1604,1)+MAX(V1604,1)</x:f>
        <x:v>5</x:v>
      </x:c>
      <x:c r="Z1604" s="21" t="str">
        <x:f>IF(AND(MIN(D1604:F1604)&gt;=0,MAX(D1604:F1604)&lt;=7,MAX(D1604,1)+MAX(E1604,1)+MAX(F1604,1)&lt;=9,OR(H1604="-",AND(H1604=0,D1604&gt;0),AND(H1604=1,E1604&gt;0),AND(H1604=2,F1604&gt;0)),OR(I1604=0,AND(I1604=1,OR(J1604=0,J1604=1,J1604=2),R1604&lt;&gt;"000")),Y1604&lt;=9,MIN(T1604:V1604)&gt;=0),"合法","输入违约")</x:f>
        <x:v>合法</x:v>
      </x:c>
    </x:row>
    <x:row r="1605" ht="23" customHeight="1">
      <x:c r="A1605" s="3" t="str">
        <x:v>CT-1598</x:v>
      </x:c>
      <x:c r="B1605" s="3" t="str">
        <x:v>ST-034</x:v>
      </x:c>
      <x:c r="C1605" s="3" t="str">
        <x:v>仅R回收</x:v>
      </x:c>
      <x:c r="D1605" s="25" t="n">
        <x:v>3</x:v>
      </x:c>
      <x:c r="E1605" s="25" t="n">
        <x:v>1</x:v>
      </x:c>
      <x:c r="F1605" s="25" t="n">
        <x:v>0</x:v>
      </x:c>
      <x:c r="G1605" s="19" t="n">
        <x:f>SUM(D1605:F1605)</x:f>
        <x:v>4</x:v>
      </x:c>
      <x:c r="H1605" s="25" t="n">
        <x:v>0</x:v>
      </x:c>
      <x:c r="I1605" s="25" t="n">
        <x:v>0</x:v>
      </x:c>
      <x:c r="J1605" s="25" t="str">
        <x:v>-</x:v>
      </x:c>
      <x:c r="K1605" s="19" t="n">
        <x:f>D1605-IF(H1605=0,1,0)</x:f>
        <x:v>2</x:v>
      </x:c>
      <x:c r="L1605" s="19" t="n">
        <x:f>E1605-IF(H1605=1,1,0)</x:f>
        <x:v>1</x:v>
      </x:c>
      <x:c r="M1605" s="19" t="n">
        <x:f>F1605-IF(H1605=2,1,0)</x:f>
        <x:v>0</x:v>
      </x:c>
      <x:c r="N1605" s="19" t="n">
        <x:f>MAX(K1605-1,0)+MAX(L1605-1,0)+MAX(M1605-1,0)</x:f>
        <x:v>1</x:v>
      </x:c>
      <x:c r="O1605" s="19" t="n">
        <x:f>IF(AND(SUM(K1605:M1605)&lt;9,OR(M1605=0,N1605&lt;6)),1,0)</x:f>
        <x:v>1</x:v>
      </x:c>
      <x:c r="P1605" s="19" t="n">
        <x:f>IF(AND(SUM(K1605:M1605)&lt;9,OR(L1605=0,N1605&lt;6)),1,0)</x:f>
        <x:v>1</x:v>
      </x:c>
      <x:c r="Q1605" s="19" t="n">
        <x:f>IF(AND(SUM(K1605:M1605)&lt;9,OR(K1605=0,N1605&lt;6)),1,0)</x:f>
        <x:v>1</x:v>
      </x:c>
      <x:c r="R1605" s="22" t="str">
        <x:f>O1605&amp;P1605&amp;Q1605</x:f>
        <x:v>111</x:v>
      </x:c>
      <x:c r="S1605" s="19" t="n">
        <x:f>IF(I1605=1,IF(J1605=0,Q1605,IF(J1605=1,P1605,IF(J1605=2,O1605,0))),0)</x:f>
        <x:v>0</x:v>
      </x:c>
      <x:c r="T1605" s="19" t="n">
        <x:f>K1605+IF(AND(S1605=1,J1605=0),1,0)</x:f>
        <x:v>2</x:v>
      </x:c>
      <x:c r="U1605" s="19" t="n">
        <x:f>L1605+IF(AND(S1605=1,J1605=1),1,0)</x:f>
        <x:v>1</x:v>
      </x:c>
      <x:c r="V1605" s="19" t="n">
        <x:f>M1605+IF(AND(S1605=1,J1605=2),1,0)</x:f>
        <x:v>0</x:v>
      </x:c>
      <x:c r="W1605" s="19" t="n">
        <x:f>SUM(T1605:V1605)</x:f>
        <x:v>3</x:v>
      </x:c>
      <x:c r="X1605" s="19" t="n">
        <x:f>W1605-G1605</x:f>
        <x:v>-1</x:v>
      </x:c>
      <x:c r="Y1605" s="19" t="n">
        <x:f>MAX(T1605,1)+MAX(U1605,1)+MAX(V1605,1)</x:f>
        <x:v>4</x:v>
      </x:c>
      <x:c r="Z1605" s="21" t="str">
        <x:f>IF(AND(MIN(D1605:F1605)&gt;=0,MAX(D1605:F1605)&lt;=7,MAX(D1605,1)+MAX(E1605,1)+MAX(F1605,1)&lt;=9,OR(H1605="-",AND(H1605=0,D1605&gt;0),AND(H1605=1,E1605&gt;0),AND(H1605=2,F1605&gt;0)),OR(I1605=0,AND(I1605=1,OR(J1605=0,J1605=1,J1605=2),R1605&lt;&gt;"000")),Y1605&lt;=9,MIN(T1605:V1605)&gt;=0),"合法","输入违约")</x:f>
        <x:v>合法</x:v>
      </x:c>
    </x:row>
    <x:row r="1606" ht="23" customHeight="1">
      <x:c r="A1606" s="3" t="str">
        <x:v>CT-1599</x:v>
      </x:c>
      <x:c r="B1606" s="3" t="str">
        <x:v>ST-034</x:v>
      </x:c>
      <x:c r="C1606" s="3" t="str">
        <x:v>R+AR同收同发</x:v>
      </x:c>
      <x:c r="D1606" s="25" t="n">
        <x:v>3</x:v>
      </x:c>
      <x:c r="E1606" s="25" t="n">
        <x:v>1</x:v>
      </x:c>
      <x:c r="F1606" s="25" t="n">
        <x:v>0</x:v>
      </x:c>
      <x:c r="G1606" s="19" t="n">
        <x:f>SUM(D1606:F1606)</x:f>
        <x:v>4</x:v>
      </x:c>
      <x:c r="H1606" s="25" t="n">
        <x:v>0</x:v>
      </x:c>
      <x:c r="I1606" s="25" t="n">
        <x:v>1</x:v>
      </x:c>
      <x:c r="J1606" s="25" t="n">
        <x:v>0</x:v>
      </x:c>
      <x:c r="K1606" s="19" t="n">
        <x:f>D1606-IF(H1606=0,1,0)</x:f>
        <x:v>2</x:v>
      </x:c>
      <x:c r="L1606" s="19" t="n">
        <x:f>E1606-IF(H1606=1,1,0)</x:f>
        <x:v>1</x:v>
      </x:c>
      <x:c r="M1606" s="19" t="n">
        <x:f>F1606-IF(H1606=2,1,0)</x:f>
        <x:v>0</x:v>
      </x:c>
      <x:c r="N1606" s="19" t="n">
        <x:f>MAX(K1606-1,0)+MAX(L1606-1,0)+MAX(M1606-1,0)</x:f>
        <x:v>1</x:v>
      </x:c>
      <x:c r="O1606" s="19" t="n">
        <x:f>IF(AND(SUM(K1606:M1606)&lt;9,OR(M1606=0,N1606&lt;6)),1,0)</x:f>
        <x:v>1</x:v>
      </x:c>
      <x:c r="P1606" s="19" t="n">
        <x:f>IF(AND(SUM(K1606:M1606)&lt;9,OR(L1606=0,N1606&lt;6)),1,0)</x:f>
        <x:v>1</x:v>
      </x:c>
      <x:c r="Q1606" s="19" t="n">
        <x:f>IF(AND(SUM(K1606:M1606)&lt;9,OR(K1606=0,N1606&lt;6)),1,0)</x:f>
        <x:v>1</x:v>
      </x:c>
      <x:c r="R1606" s="22" t="str">
        <x:f>O1606&amp;P1606&amp;Q1606</x:f>
        <x:v>111</x:v>
      </x:c>
      <x:c r="S1606" s="19" t="n">
        <x:f>IF(I1606=1,IF(J1606=0,Q1606,IF(J1606=1,P1606,IF(J1606=2,O1606,0))),0)</x:f>
        <x:v>1</x:v>
      </x:c>
      <x:c r="T1606" s="19" t="n">
        <x:f>K1606+IF(AND(S1606=1,J1606=0),1,0)</x:f>
        <x:v>3</x:v>
      </x:c>
      <x:c r="U1606" s="19" t="n">
        <x:f>L1606+IF(AND(S1606=1,J1606=1),1,0)</x:f>
        <x:v>1</x:v>
      </x:c>
      <x:c r="V1606" s="19" t="n">
        <x:f>M1606+IF(AND(S1606=1,J1606=2),1,0)</x:f>
        <x:v>0</x:v>
      </x:c>
      <x:c r="W1606" s="19" t="n">
        <x:f>SUM(T1606:V1606)</x:f>
        <x:v>4</x:v>
      </x:c>
      <x:c r="X1606" s="19" t="n">
        <x:f>W1606-G1606</x:f>
        <x:v>0</x:v>
      </x:c>
      <x:c r="Y1606" s="19" t="n">
        <x:f>MAX(T1606,1)+MAX(U1606,1)+MAX(V1606,1)</x:f>
        <x:v>5</x:v>
      </x:c>
      <x:c r="Z1606" s="21" t="str">
        <x:f>IF(AND(MIN(D1606:F1606)&gt;=0,MAX(D1606:F1606)&lt;=7,MAX(D1606,1)+MAX(E1606,1)+MAX(F1606,1)&lt;=9,OR(H1606="-",AND(H1606=0,D1606&gt;0),AND(H1606=1,E1606&gt;0),AND(H1606=2,F1606&gt;0)),OR(I1606=0,AND(I1606=1,OR(J1606=0,J1606=1,J1606=2),R1606&lt;&gt;"000")),Y1606&lt;=9,MIN(T1606:V1606)&gt;=0),"合法","输入违约")</x:f>
        <x:v>合法</x:v>
      </x:c>
    </x:row>
    <x:row r="1607" ht="23" customHeight="1">
      <x:c r="A1607" s="3" t="str">
        <x:v>CT-1600</x:v>
      </x:c>
      <x:c r="B1607" s="3" t="str">
        <x:v>ST-034</x:v>
      </x:c>
      <x:c r="C1607" s="3" t="str">
        <x:v>R+AR同收同发</x:v>
      </x:c>
      <x:c r="D1607" s="25" t="n">
        <x:v>3</x:v>
      </x:c>
      <x:c r="E1607" s="25" t="n">
        <x:v>1</x:v>
      </x:c>
      <x:c r="F1607" s="25" t="n">
        <x:v>0</x:v>
      </x:c>
      <x:c r="G1607" s="19" t="n">
        <x:f>SUM(D1607:F1607)</x:f>
        <x:v>4</x:v>
      </x:c>
      <x:c r="H1607" s="25" t="n">
        <x:v>0</x:v>
      </x:c>
      <x:c r="I1607" s="25" t="n">
        <x:v>1</x:v>
      </x:c>
      <x:c r="J1607" s="25" t="n">
        <x:v>1</x:v>
      </x:c>
      <x:c r="K1607" s="19" t="n">
        <x:f>D1607-IF(H1607=0,1,0)</x:f>
        <x:v>2</x:v>
      </x:c>
      <x:c r="L1607" s="19" t="n">
        <x:f>E1607-IF(H1607=1,1,0)</x:f>
        <x:v>1</x:v>
      </x:c>
      <x:c r="M1607" s="19" t="n">
        <x:f>F1607-IF(H1607=2,1,0)</x:f>
        <x:v>0</x:v>
      </x:c>
      <x:c r="N1607" s="19" t="n">
        <x:f>MAX(K1607-1,0)+MAX(L1607-1,0)+MAX(M1607-1,0)</x:f>
        <x:v>1</x:v>
      </x:c>
      <x:c r="O1607" s="19" t="n">
        <x:f>IF(AND(SUM(K1607:M1607)&lt;9,OR(M1607=0,N1607&lt;6)),1,0)</x:f>
        <x:v>1</x:v>
      </x:c>
      <x:c r="P1607" s="19" t="n">
        <x:f>IF(AND(SUM(K1607:M1607)&lt;9,OR(L1607=0,N1607&lt;6)),1,0)</x:f>
        <x:v>1</x:v>
      </x:c>
      <x:c r="Q1607" s="19" t="n">
        <x:f>IF(AND(SUM(K1607:M1607)&lt;9,OR(K1607=0,N1607&lt;6)),1,0)</x:f>
        <x:v>1</x:v>
      </x:c>
      <x:c r="R1607" s="22" t="str">
        <x:f>O1607&amp;P1607&amp;Q1607</x:f>
        <x:v>111</x:v>
      </x:c>
      <x:c r="S1607" s="19" t="n">
        <x:f>IF(I1607=1,IF(J1607=0,Q1607,IF(J1607=1,P1607,IF(J1607=2,O1607,0))),0)</x:f>
        <x:v>1</x:v>
      </x:c>
      <x:c r="T1607" s="19" t="n">
        <x:f>K1607+IF(AND(S1607=1,J1607=0),1,0)</x:f>
        <x:v>2</x:v>
      </x:c>
      <x:c r="U1607" s="19" t="n">
        <x:f>L1607+IF(AND(S1607=1,J1607=1),1,0)</x:f>
        <x:v>2</x:v>
      </x:c>
      <x:c r="V1607" s="19" t="n">
        <x:f>M1607+IF(AND(S1607=1,J1607=2),1,0)</x:f>
        <x:v>0</x:v>
      </x:c>
      <x:c r="W1607" s="19" t="n">
        <x:f>SUM(T1607:V1607)</x:f>
        <x:v>4</x:v>
      </x:c>
      <x:c r="X1607" s="19" t="n">
        <x:f>W1607-G1607</x:f>
        <x:v>0</x:v>
      </x:c>
      <x:c r="Y1607" s="19" t="n">
        <x:f>MAX(T1607,1)+MAX(U1607,1)+MAX(V1607,1)</x:f>
        <x:v>5</x:v>
      </x:c>
      <x:c r="Z1607" s="21" t="str">
        <x:f>IF(AND(MIN(D1607:F1607)&gt;=0,MAX(D1607:F1607)&lt;=7,MAX(D1607,1)+MAX(E1607,1)+MAX(F1607,1)&lt;=9,OR(H1607="-",AND(H1607=0,D1607&gt;0),AND(H1607=1,E1607&gt;0),AND(H1607=2,F1607&gt;0)),OR(I1607=0,AND(I1607=1,OR(J1607=0,J1607=1,J1607=2),R1607&lt;&gt;"000")),Y1607&lt;=9,MIN(T1607:V1607)&gt;=0),"合法","输入违约")</x:f>
        <x:v>合法</x:v>
      </x:c>
    </x:row>
    <x:row r="1608" ht="23" customHeight="1">
      <x:c r="A1608" s="3" t="str">
        <x:v>CT-1601</x:v>
      </x:c>
      <x:c r="B1608" s="3" t="str">
        <x:v>ST-034</x:v>
      </x:c>
      <x:c r="C1608" s="3" t="str">
        <x:v>R+AR同收同发</x:v>
      </x:c>
      <x:c r="D1608" s="25" t="n">
        <x:v>3</x:v>
      </x:c>
      <x:c r="E1608" s="25" t="n">
        <x:v>1</x:v>
      </x:c>
      <x:c r="F1608" s="25" t="n">
        <x:v>0</x:v>
      </x:c>
      <x:c r="G1608" s="19" t="n">
        <x:f>SUM(D1608:F1608)</x:f>
        <x:v>4</x:v>
      </x:c>
      <x:c r="H1608" s="25" t="n">
        <x:v>0</x:v>
      </x:c>
      <x:c r="I1608" s="25" t="n">
        <x:v>1</x:v>
      </x:c>
      <x:c r="J1608" s="25" t="n">
        <x:v>2</x:v>
      </x:c>
      <x:c r="K1608" s="19" t="n">
        <x:f>D1608-IF(H1608=0,1,0)</x:f>
        <x:v>2</x:v>
      </x:c>
      <x:c r="L1608" s="19" t="n">
        <x:f>E1608-IF(H1608=1,1,0)</x:f>
        <x:v>1</x:v>
      </x:c>
      <x:c r="M1608" s="19" t="n">
        <x:f>F1608-IF(H1608=2,1,0)</x:f>
        <x:v>0</x:v>
      </x:c>
      <x:c r="N1608" s="19" t="n">
        <x:f>MAX(K1608-1,0)+MAX(L1608-1,0)+MAX(M1608-1,0)</x:f>
        <x:v>1</x:v>
      </x:c>
      <x:c r="O1608" s="19" t="n">
        <x:f>IF(AND(SUM(K1608:M1608)&lt;9,OR(M1608=0,N1608&lt;6)),1,0)</x:f>
        <x:v>1</x:v>
      </x:c>
      <x:c r="P1608" s="19" t="n">
        <x:f>IF(AND(SUM(K1608:M1608)&lt;9,OR(L1608=0,N1608&lt;6)),1,0)</x:f>
        <x:v>1</x:v>
      </x:c>
      <x:c r="Q1608" s="19" t="n">
        <x:f>IF(AND(SUM(K1608:M1608)&lt;9,OR(K1608=0,N1608&lt;6)),1,0)</x:f>
        <x:v>1</x:v>
      </x:c>
      <x:c r="R1608" s="22" t="str">
        <x:f>O1608&amp;P1608&amp;Q1608</x:f>
        <x:v>111</x:v>
      </x:c>
      <x:c r="S1608" s="19" t="n">
        <x:f>IF(I1608=1,IF(J1608=0,Q1608,IF(J1608=1,P1608,IF(J1608=2,O1608,0))),0)</x:f>
        <x:v>1</x:v>
      </x:c>
      <x:c r="T1608" s="19" t="n">
        <x:f>K1608+IF(AND(S1608=1,J1608=0),1,0)</x:f>
        <x:v>2</x:v>
      </x:c>
      <x:c r="U1608" s="19" t="n">
        <x:f>L1608+IF(AND(S1608=1,J1608=1),1,0)</x:f>
        <x:v>1</x:v>
      </x:c>
      <x:c r="V1608" s="19" t="n">
        <x:f>M1608+IF(AND(S1608=1,J1608=2),1,0)</x:f>
        <x:v>1</x:v>
      </x:c>
      <x:c r="W1608" s="19" t="n">
        <x:f>SUM(T1608:V1608)</x:f>
        <x:v>4</x:v>
      </x:c>
      <x:c r="X1608" s="19" t="n">
        <x:f>W1608-G1608</x:f>
        <x:v>0</x:v>
      </x:c>
      <x:c r="Y1608" s="19" t="n">
        <x:f>MAX(T1608,1)+MAX(U1608,1)+MAX(V1608,1)</x:f>
        <x:v>4</x:v>
      </x:c>
      <x:c r="Z1608" s="21" t="str">
        <x:f>IF(AND(MIN(D1608:F1608)&gt;=0,MAX(D1608:F1608)&lt;=7,MAX(D1608,1)+MAX(E1608,1)+MAX(F1608,1)&lt;=9,OR(H1608="-",AND(H1608=0,D1608&gt;0),AND(H1608=1,E1608&gt;0),AND(H1608=2,F1608&gt;0)),OR(I1608=0,AND(I1608=1,OR(J1608=0,J1608=1,J1608=2),R1608&lt;&gt;"000")),Y1608&lt;=9,MIN(T1608:V1608)&gt;=0),"合法","输入违约")</x:f>
        <x:v>合法</x:v>
      </x:c>
    </x:row>
    <x:row r="1609" ht="23" customHeight="1">
      <x:c r="A1609" s="3" t="str">
        <x:v>CT-1602</x:v>
      </x:c>
      <x:c r="B1609" s="3" t="str">
        <x:v>ST-034</x:v>
      </x:c>
      <x:c r="C1609" s="3" t="str">
        <x:v>仅R回收</x:v>
      </x:c>
      <x:c r="D1609" s="25" t="n">
        <x:v>3</x:v>
      </x:c>
      <x:c r="E1609" s="25" t="n">
        <x:v>1</x:v>
      </x:c>
      <x:c r="F1609" s="25" t="n">
        <x:v>0</x:v>
      </x:c>
      <x:c r="G1609" s="19" t="n">
        <x:f>SUM(D1609:F1609)</x:f>
        <x:v>4</x:v>
      </x:c>
      <x:c r="H1609" s="25" t="n">
        <x:v>1</x:v>
      </x:c>
      <x:c r="I1609" s="25" t="n">
        <x:v>0</x:v>
      </x:c>
      <x:c r="J1609" s="25" t="str">
        <x:v>-</x:v>
      </x:c>
      <x:c r="K1609" s="19" t="n">
        <x:f>D1609-IF(H1609=0,1,0)</x:f>
        <x:v>3</x:v>
      </x:c>
      <x:c r="L1609" s="19" t="n">
        <x:f>E1609-IF(H1609=1,1,0)</x:f>
        <x:v>0</x:v>
      </x:c>
      <x:c r="M1609" s="19" t="n">
        <x:f>F1609-IF(H1609=2,1,0)</x:f>
        <x:v>0</x:v>
      </x:c>
      <x:c r="N1609" s="19" t="n">
        <x:f>MAX(K1609-1,0)+MAX(L1609-1,0)+MAX(M1609-1,0)</x:f>
        <x:v>2</x:v>
      </x:c>
      <x:c r="O1609" s="19" t="n">
        <x:f>IF(AND(SUM(K1609:M1609)&lt;9,OR(M1609=0,N1609&lt;6)),1,0)</x:f>
        <x:v>1</x:v>
      </x:c>
      <x:c r="P1609" s="19" t="n">
        <x:f>IF(AND(SUM(K1609:M1609)&lt;9,OR(L1609=0,N1609&lt;6)),1,0)</x:f>
        <x:v>1</x:v>
      </x:c>
      <x:c r="Q1609" s="19" t="n">
        <x:f>IF(AND(SUM(K1609:M1609)&lt;9,OR(K1609=0,N1609&lt;6)),1,0)</x:f>
        <x:v>1</x:v>
      </x:c>
      <x:c r="R1609" s="22" t="str">
        <x:f>O1609&amp;P1609&amp;Q1609</x:f>
        <x:v>111</x:v>
      </x:c>
      <x:c r="S1609" s="19" t="n">
        <x:f>IF(I1609=1,IF(J1609=0,Q1609,IF(J1609=1,P1609,IF(J1609=2,O1609,0))),0)</x:f>
        <x:v>0</x:v>
      </x:c>
      <x:c r="T1609" s="19" t="n">
        <x:f>K1609+IF(AND(S1609=1,J1609=0),1,0)</x:f>
        <x:v>3</x:v>
      </x:c>
      <x:c r="U1609" s="19" t="n">
        <x:f>L1609+IF(AND(S1609=1,J1609=1),1,0)</x:f>
        <x:v>0</x:v>
      </x:c>
      <x:c r="V1609" s="19" t="n">
        <x:f>M1609+IF(AND(S1609=1,J1609=2),1,0)</x:f>
        <x:v>0</x:v>
      </x:c>
      <x:c r="W1609" s="19" t="n">
        <x:f>SUM(T1609:V1609)</x:f>
        <x:v>3</x:v>
      </x:c>
      <x:c r="X1609" s="19" t="n">
        <x:f>W1609-G1609</x:f>
        <x:v>-1</x:v>
      </x:c>
      <x:c r="Y1609" s="19" t="n">
        <x:f>MAX(T1609,1)+MAX(U1609,1)+MAX(V1609,1)</x:f>
        <x:v>5</x:v>
      </x:c>
      <x:c r="Z1609" s="21" t="str">
        <x:f>IF(AND(MIN(D1609:F1609)&gt;=0,MAX(D1609:F1609)&lt;=7,MAX(D1609,1)+MAX(E1609,1)+MAX(F1609,1)&lt;=9,OR(H1609="-",AND(H1609=0,D1609&gt;0),AND(H1609=1,E1609&gt;0),AND(H1609=2,F1609&gt;0)),OR(I1609=0,AND(I1609=1,OR(J1609=0,J1609=1,J1609=2),R1609&lt;&gt;"000")),Y1609&lt;=9,MIN(T1609:V1609)&gt;=0),"合法","输入违约")</x:f>
        <x:v>合法</x:v>
      </x:c>
    </x:row>
    <x:row r="1610" ht="23" customHeight="1">
      <x:c r="A1610" s="3" t="str">
        <x:v>CT-1603</x:v>
      </x:c>
      <x:c r="B1610" s="3" t="str">
        <x:v>ST-034</x:v>
      </x:c>
      <x:c r="C1610" s="3" t="str">
        <x:v>R+AR同收同发</x:v>
      </x:c>
      <x:c r="D1610" s="25" t="n">
        <x:v>3</x:v>
      </x:c>
      <x:c r="E1610" s="25" t="n">
        <x:v>1</x:v>
      </x:c>
      <x:c r="F1610" s="25" t="n">
        <x:v>0</x:v>
      </x:c>
      <x:c r="G1610" s="19" t="n">
        <x:f>SUM(D1610:F1610)</x:f>
        <x:v>4</x:v>
      </x:c>
      <x:c r="H1610" s="25" t="n">
        <x:v>1</x:v>
      </x:c>
      <x:c r="I1610" s="25" t="n">
        <x:v>1</x:v>
      </x:c>
      <x:c r="J1610" s="25" t="n">
        <x:v>0</x:v>
      </x:c>
      <x:c r="K1610" s="19" t="n">
        <x:f>D1610-IF(H1610=0,1,0)</x:f>
        <x:v>3</x:v>
      </x:c>
      <x:c r="L1610" s="19" t="n">
        <x:f>E1610-IF(H1610=1,1,0)</x:f>
        <x:v>0</x:v>
      </x:c>
      <x:c r="M1610" s="19" t="n">
        <x:f>F1610-IF(H1610=2,1,0)</x:f>
        <x:v>0</x:v>
      </x:c>
      <x:c r="N1610" s="19" t="n">
        <x:f>MAX(K1610-1,0)+MAX(L1610-1,0)+MAX(M1610-1,0)</x:f>
        <x:v>2</x:v>
      </x:c>
      <x:c r="O1610" s="19" t="n">
        <x:f>IF(AND(SUM(K1610:M1610)&lt;9,OR(M1610=0,N1610&lt;6)),1,0)</x:f>
        <x:v>1</x:v>
      </x:c>
      <x:c r="P1610" s="19" t="n">
        <x:f>IF(AND(SUM(K1610:M1610)&lt;9,OR(L1610=0,N1610&lt;6)),1,0)</x:f>
        <x:v>1</x:v>
      </x:c>
      <x:c r="Q1610" s="19" t="n">
        <x:f>IF(AND(SUM(K1610:M1610)&lt;9,OR(K1610=0,N1610&lt;6)),1,0)</x:f>
        <x:v>1</x:v>
      </x:c>
      <x:c r="R1610" s="22" t="str">
        <x:f>O1610&amp;P1610&amp;Q1610</x:f>
        <x:v>111</x:v>
      </x:c>
      <x:c r="S1610" s="19" t="n">
        <x:f>IF(I1610=1,IF(J1610=0,Q1610,IF(J1610=1,P1610,IF(J1610=2,O1610,0))),0)</x:f>
        <x:v>1</x:v>
      </x:c>
      <x:c r="T1610" s="19" t="n">
        <x:f>K1610+IF(AND(S1610=1,J1610=0),1,0)</x:f>
        <x:v>4</x:v>
      </x:c>
      <x:c r="U1610" s="19" t="n">
        <x:f>L1610+IF(AND(S1610=1,J1610=1),1,0)</x:f>
        <x:v>0</x:v>
      </x:c>
      <x:c r="V1610" s="19" t="n">
        <x:f>M1610+IF(AND(S1610=1,J1610=2),1,0)</x:f>
        <x:v>0</x:v>
      </x:c>
      <x:c r="W1610" s="19" t="n">
        <x:f>SUM(T1610:V1610)</x:f>
        <x:v>4</x:v>
      </x:c>
      <x:c r="X1610" s="19" t="n">
        <x:f>W1610-G1610</x:f>
        <x:v>0</x:v>
      </x:c>
      <x:c r="Y1610" s="19" t="n">
        <x:f>MAX(T1610,1)+MAX(U1610,1)+MAX(V1610,1)</x:f>
        <x:v>6</x:v>
      </x:c>
      <x:c r="Z1610" s="21" t="str">
        <x:f>IF(AND(MIN(D1610:F1610)&gt;=0,MAX(D1610:F1610)&lt;=7,MAX(D1610,1)+MAX(E1610,1)+MAX(F1610,1)&lt;=9,OR(H1610="-",AND(H1610=0,D1610&gt;0),AND(H1610=1,E1610&gt;0),AND(H1610=2,F1610&gt;0)),OR(I1610=0,AND(I1610=1,OR(J1610=0,J1610=1,J1610=2),R1610&lt;&gt;"000")),Y1610&lt;=9,MIN(T1610:V1610)&gt;=0),"合法","输入违约")</x:f>
        <x:v>合法</x:v>
      </x:c>
    </x:row>
    <x:row r="1611" ht="23" customHeight="1">
      <x:c r="A1611" s="3" t="str">
        <x:v>CT-1604</x:v>
      </x:c>
      <x:c r="B1611" s="3" t="str">
        <x:v>ST-034</x:v>
      </x:c>
      <x:c r="C1611" s="3" t="str">
        <x:v>R+AR同收同发</x:v>
      </x:c>
      <x:c r="D1611" s="25" t="n">
        <x:v>3</x:v>
      </x:c>
      <x:c r="E1611" s="25" t="n">
        <x:v>1</x:v>
      </x:c>
      <x:c r="F1611" s="25" t="n">
        <x:v>0</x:v>
      </x:c>
      <x:c r="G1611" s="19" t="n">
        <x:f>SUM(D1611:F1611)</x:f>
        <x:v>4</x:v>
      </x:c>
      <x:c r="H1611" s="25" t="n">
        <x:v>1</x:v>
      </x:c>
      <x:c r="I1611" s="25" t="n">
        <x:v>1</x:v>
      </x:c>
      <x:c r="J1611" s="25" t="n">
        <x:v>1</x:v>
      </x:c>
      <x:c r="K1611" s="19" t="n">
        <x:f>D1611-IF(H1611=0,1,0)</x:f>
        <x:v>3</x:v>
      </x:c>
      <x:c r="L1611" s="19" t="n">
        <x:f>E1611-IF(H1611=1,1,0)</x:f>
        <x:v>0</x:v>
      </x:c>
      <x:c r="M1611" s="19" t="n">
        <x:f>F1611-IF(H1611=2,1,0)</x:f>
        <x:v>0</x:v>
      </x:c>
      <x:c r="N1611" s="19" t="n">
        <x:f>MAX(K1611-1,0)+MAX(L1611-1,0)+MAX(M1611-1,0)</x:f>
        <x:v>2</x:v>
      </x:c>
      <x:c r="O1611" s="19" t="n">
        <x:f>IF(AND(SUM(K1611:M1611)&lt;9,OR(M1611=0,N1611&lt;6)),1,0)</x:f>
        <x:v>1</x:v>
      </x:c>
      <x:c r="P1611" s="19" t="n">
        <x:f>IF(AND(SUM(K1611:M1611)&lt;9,OR(L1611=0,N1611&lt;6)),1,0)</x:f>
        <x:v>1</x:v>
      </x:c>
      <x:c r="Q1611" s="19" t="n">
        <x:f>IF(AND(SUM(K1611:M1611)&lt;9,OR(K1611=0,N1611&lt;6)),1,0)</x:f>
        <x:v>1</x:v>
      </x:c>
      <x:c r="R1611" s="22" t="str">
        <x:f>O1611&amp;P1611&amp;Q1611</x:f>
        <x:v>111</x:v>
      </x:c>
      <x:c r="S1611" s="19" t="n">
        <x:f>IF(I1611=1,IF(J1611=0,Q1611,IF(J1611=1,P1611,IF(J1611=2,O1611,0))),0)</x:f>
        <x:v>1</x:v>
      </x:c>
      <x:c r="T1611" s="19" t="n">
        <x:f>K1611+IF(AND(S1611=1,J1611=0),1,0)</x:f>
        <x:v>3</x:v>
      </x:c>
      <x:c r="U1611" s="19" t="n">
        <x:f>L1611+IF(AND(S1611=1,J1611=1),1,0)</x:f>
        <x:v>1</x:v>
      </x:c>
      <x:c r="V1611" s="19" t="n">
        <x:f>M1611+IF(AND(S1611=1,J1611=2),1,0)</x:f>
        <x:v>0</x:v>
      </x:c>
      <x:c r="W1611" s="19" t="n">
        <x:f>SUM(T1611:V1611)</x:f>
        <x:v>4</x:v>
      </x:c>
      <x:c r="X1611" s="19" t="n">
        <x:f>W1611-G1611</x:f>
        <x:v>0</x:v>
      </x:c>
      <x:c r="Y1611" s="19" t="n">
        <x:f>MAX(T1611,1)+MAX(U1611,1)+MAX(V1611,1)</x:f>
        <x:v>5</x:v>
      </x:c>
      <x:c r="Z1611" s="21" t="str">
        <x:f>IF(AND(MIN(D1611:F1611)&gt;=0,MAX(D1611:F1611)&lt;=7,MAX(D1611,1)+MAX(E1611,1)+MAX(F1611,1)&lt;=9,OR(H1611="-",AND(H1611=0,D1611&gt;0),AND(H1611=1,E1611&gt;0),AND(H1611=2,F1611&gt;0)),OR(I1611=0,AND(I1611=1,OR(J1611=0,J1611=1,J1611=2),R1611&lt;&gt;"000")),Y1611&lt;=9,MIN(T1611:V1611)&gt;=0),"合法","输入违约")</x:f>
        <x:v>合法</x:v>
      </x:c>
    </x:row>
    <x:row r="1612" ht="23" customHeight="1">
      <x:c r="A1612" s="3" t="str">
        <x:v>CT-1605</x:v>
      </x:c>
      <x:c r="B1612" s="3" t="str">
        <x:v>ST-034</x:v>
      </x:c>
      <x:c r="C1612" s="3" t="str">
        <x:v>R+AR同收同发</x:v>
      </x:c>
      <x:c r="D1612" s="25" t="n">
        <x:v>3</x:v>
      </x:c>
      <x:c r="E1612" s="25" t="n">
        <x:v>1</x:v>
      </x:c>
      <x:c r="F1612" s="25" t="n">
        <x:v>0</x:v>
      </x:c>
      <x:c r="G1612" s="19" t="n">
        <x:f>SUM(D1612:F1612)</x:f>
        <x:v>4</x:v>
      </x:c>
      <x:c r="H1612" s="25" t="n">
        <x:v>1</x:v>
      </x:c>
      <x:c r="I1612" s="25" t="n">
        <x:v>1</x:v>
      </x:c>
      <x:c r="J1612" s="25" t="n">
        <x:v>2</x:v>
      </x:c>
      <x:c r="K1612" s="19" t="n">
        <x:f>D1612-IF(H1612=0,1,0)</x:f>
        <x:v>3</x:v>
      </x:c>
      <x:c r="L1612" s="19" t="n">
        <x:f>E1612-IF(H1612=1,1,0)</x:f>
        <x:v>0</x:v>
      </x:c>
      <x:c r="M1612" s="19" t="n">
        <x:f>F1612-IF(H1612=2,1,0)</x:f>
        <x:v>0</x:v>
      </x:c>
      <x:c r="N1612" s="19" t="n">
        <x:f>MAX(K1612-1,0)+MAX(L1612-1,0)+MAX(M1612-1,0)</x:f>
        <x:v>2</x:v>
      </x:c>
      <x:c r="O1612" s="19" t="n">
        <x:f>IF(AND(SUM(K1612:M1612)&lt;9,OR(M1612=0,N1612&lt;6)),1,0)</x:f>
        <x:v>1</x:v>
      </x:c>
      <x:c r="P1612" s="19" t="n">
        <x:f>IF(AND(SUM(K1612:M1612)&lt;9,OR(L1612=0,N1612&lt;6)),1,0)</x:f>
        <x:v>1</x:v>
      </x:c>
      <x:c r="Q1612" s="19" t="n">
        <x:f>IF(AND(SUM(K1612:M1612)&lt;9,OR(K1612=0,N1612&lt;6)),1,0)</x:f>
        <x:v>1</x:v>
      </x:c>
      <x:c r="R1612" s="22" t="str">
        <x:f>O1612&amp;P1612&amp;Q1612</x:f>
        <x:v>111</x:v>
      </x:c>
      <x:c r="S1612" s="19" t="n">
        <x:f>IF(I1612=1,IF(J1612=0,Q1612,IF(J1612=1,P1612,IF(J1612=2,O1612,0))),0)</x:f>
        <x:v>1</x:v>
      </x:c>
      <x:c r="T1612" s="19" t="n">
        <x:f>K1612+IF(AND(S1612=1,J1612=0),1,0)</x:f>
        <x:v>3</x:v>
      </x:c>
      <x:c r="U1612" s="19" t="n">
        <x:f>L1612+IF(AND(S1612=1,J1612=1),1,0)</x:f>
        <x:v>0</x:v>
      </x:c>
      <x:c r="V1612" s="19" t="n">
        <x:f>M1612+IF(AND(S1612=1,J1612=2),1,0)</x:f>
        <x:v>1</x:v>
      </x:c>
      <x:c r="W1612" s="19" t="n">
        <x:f>SUM(T1612:V1612)</x:f>
        <x:v>4</x:v>
      </x:c>
      <x:c r="X1612" s="19" t="n">
        <x:f>W1612-G1612</x:f>
        <x:v>0</x:v>
      </x:c>
      <x:c r="Y1612" s="19" t="n">
        <x:f>MAX(T1612,1)+MAX(U1612,1)+MAX(V1612,1)</x:f>
        <x:v>5</x:v>
      </x:c>
      <x:c r="Z1612" s="21" t="str">
        <x:f>IF(AND(MIN(D1612:F1612)&gt;=0,MAX(D1612:F1612)&lt;=7,MAX(D1612,1)+MAX(E1612,1)+MAX(F1612,1)&lt;=9,OR(H1612="-",AND(H1612=0,D1612&gt;0),AND(H1612=1,E1612&gt;0),AND(H1612=2,F1612&gt;0)),OR(I1612=0,AND(I1612=1,OR(J1612=0,J1612=1,J1612=2),R1612&lt;&gt;"000")),Y1612&lt;=9,MIN(T1612:V1612)&gt;=0),"合法","输入违约")</x:f>
        <x:v>合法</x:v>
      </x:c>
    </x:row>
    <x:row r="1613" ht="23" customHeight="1">
      <x:c r="A1613" s="3" t="str">
        <x:v>CT-1606</x:v>
      </x:c>
      <x:c r="B1613" s="3" t="str">
        <x:v>ST-052</x:v>
      </x:c>
      <x:c r="C1613" s="3" t="str">
        <x:v>无AR/R</x:v>
      </x:c>
      <x:c r="D1613" s="25" t="n">
        <x:v>3</x:v>
      </x:c>
      <x:c r="E1613" s="25" t="n">
        <x:v>1</x:v>
      </x:c>
      <x:c r="F1613" s="25" t="n">
        <x:v>1</x:v>
      </x:c>
      <x:c r="G1613" s="19" t="n">
        <x:f>SUM(D1613:F1613)</x:f>
        <x:v>5</x:v>
      </x:c>
      <x:c r="H1613" s="25" t="str">
        <x:v>-</x:v>
      </x:c>
      <x:c r="I1613" s="25" t="n">
        <x:v>0</x:v>
      </x:c>
      <x:c r="J1613" s="25" t="str">
        <x:v>-</x:v>
      </x:c>
      <x:c r="K1613" s="19" t="n">
        <x:f>D1613-IF(H1613=0,1,0)</x:f>
        <x:v>3</x:v>
      </x:c>
      <x:c r="L1613" s="19" t="n">
        <x:f>E1613-IF(H1613=1,1,0)</x:f>
        <x:v>1</x:v>
      </x:c>
      <x:c r="M1613" s="19" t="n">
        <x:f>F1613-IF(H1613=2,1,0)</x:f>
        <x:v>1</x:v>
      </x:c>
      <x:c r="N1613" s="19" t="n">
        <x:f>MAX(K1613-1,0)+MAX(L1613-1,0)+MAX(M1613-1,0)</x:f>
        <x:v>2</x:v>
      </x:c>
      <x:c r="O1613" s="19" t="n">
        <x:f>IF(AND(SUM(K1613:M1613)&lt;9,OR(M1613=0,N1613&lt;6)),1,0)</x:f>
        <x:v>1</x:v>
      </x:c>
      <x:c r="P1613" s="19" t="n">
        <x:f>IF(AND(SUM(K1613:M1613)&lt;9,OR(L1613=0,N1613&lt;6)),1,0)</x:f>
        <x:v>1</x:v>
      </x:c>
      <x:c r="Q1613" s="19" t="n">
        <x:f>IF(AND(SUM(K1613:M1613)&lt;9,OR(K1613=0,N1613&lt;6)),1,0)</x:f>
        <x:v>1</x:v>
      </x:c>
      <x:c r="R1613" s="22" t="str">
        <x:f>O1613&amp;P1613&amp;Q1613</x:f>
        <x:v>111</x:v>
      </x:c>
      <x:c r="S1613" s="19" t="n">
        <x:f>IF(I1613=1,IF(J1613=0,Q1613,IF(J1613=1,P1613,IF(J1613=2,O1613,0))),0)</x:f>
        <x:v>0</x:v>
      </x:c>
      <x:c r="T1613" s="19" t="n">
        <x:f>K1613+IF(AND(S1613=1,J1613=0),1,0)</x:f>
        <x:v>3</x:v>
      </x:c>
      <x:c r="U1613" s="19" t="n">
        <x:f>L1613+IF(AND(S1613=1,J1613=1),1,0)</x:f>
        <x:v>1</x:v>
      </x:c>
      <x:c r="V1613" s="19" t="n">
        <x:f>M1613+IF(AND(S1613=1,J1613=2),1,0)</x:f>
        <x:v>1</x:v>
      </x:c>
      <x:c r="W1613" s="19" t="n">
        <x:f>SUM(T1613:V1613)</x:f>
        <x:v>5</x:v>
      </x:c>
      <x:c r="X1613" s="19" t="n">
        <x:f>W1613-G1613</x:f>
        <x:v>0</x:v>
      </x:c>
      <x:c r="Y1613" s="19" t="n">
        <x:f>MAX(T1613,1)+MAX(U1613,1)+MAX(V1613,1)</x:f>
        <x:v>5</x:v>
      </x:c>
      <x:c r="Z1613" s="21" t="str">
        <x:f>IF(AND(MIN(D1613:F1613)&gt;=0,MAX(D1613:F1613)&lt;=7,MAX(D1613,1)+MAX(E1613,1)+MAX(F1613,1)&lt;=9,OR(H1613="-",AND(H1613=0,D1613&gt;0),AND(H1613=1,E1613&gt;0),AND(H1613=2,F1613&gt;0)),OR(I1613=0,AND(I1613=1,OR(J1613=0,J1613=1,J1613=2),R1613&lt;&gt;"000")),Y1613&lt;=9,MIN(T1613:V1613)&gt;=0),"合法","输入违约")</x:f>
        <x:v>合法</x:v>
      </x:c>
    </x:row>
    <x:row r="1614" ht="23" customHeight="1">
      <x:c r="A1614" s="3" t="str">
        <x:v>CT-1607</x:v>
      </x:c>
      <x:c r="B1614" s="3" t="str">
        <x:v>ST-052</x:v>
      </x:c>
      <x:c r="C1614" s="3" t="str">
        <x:v>仅AR接收</x:v>
      </x:c>
      <x:c r="D1614" s="25" t="n">
        <x:v>3</x:v>
      </x:c>
      <x:c r="E1614" s="25" t="n">
        <x:v>1</x:v>
      </x:c>
      <x:c r="F1614" s="25" t="n">
        <x:v>1</x:v>
      </x:c>
      <x:c r="G1614" s="19" t="n">
        <x:f>SUM(D1614:F1614)</x:f>
        <x:v>5</x:v>
      </x:c>
      <x:c r="H1614" s="25" t="str">
        <x:v>-</x:v>
      </x:c>
      <x:c r="I1614" s="25" t="n">
        <x:v>1</x:v>
      </x:c>
      <x:c r="J1614" s="25" t="n">
        <x:v>0</x:v>
      </x:c>
      <x:c r="K1614" s="19" t="n">
        <x:f>D1614-IF(H1614=0,1,0)</x:f>
        <x:v>3</x:v>
      </x:c>
      <x:c r="L1614" s="19" t="n">
        <x:f>E1614-IF(H1614=1,1,0)</x:f>
        <x:v>1</x:v>
      </x:c>
      <x:c r="M1614" s="19" t="n">
        <x:f>F1614-IF(H1614=2,1,0)</x:f>
        <x:v>1</x:v>
      </x:c>
      <x:c r="N1614" s="19" t="n">
        <x:f>MAX(K1614-1,0)+MAX(L1614-1,0)+MAX(M1614-1,0)</x:f>
        <x:v>2</x:v>
      </x:c>
      <x:c r="O1614" s="19" t="n">
        <x:f>IF(AND(SUM(K1614:M1614)&lt;9,OR(M1614=0,N1614&lt;6)),1,0)</x:f>
        <x:v>1</x:v>
      </x:c>
      <x:c r="P1614" s="19" t="n">
        <x:f>IF(AND(SUM(K1614:M1614)&lt;9,OR(L1614=0,N1614&lt;6)),1,0)</x:f>
        <x:v>1</x:v>
      </x:c>
      <x:c r="Q1614" s="19" t="n">
        <x:f>IF(AND(SUM(K1614:M1614)&lt;9,OR(K1614=0,N1614&lt;6)),1,0)</x:f>
        <x:v>1</x:v>
      </x:c>
      <x:c r="R1614" s="22" t="str">
        <x:f>O1614&amp;P1614&amp;Q1614</x:f>
        <x:v>111</x:v>
      </x:c>
      <x:c r="S1614" s="19" t="n">
        <x:f>IF(I1614=1,IF(J1614=0,Q1614,IF(J1614=1,P1614,IF(J1614=2,O1614,0))),0)</x:f>
        <x:v>1</x:v>
      </x:c>
      <x:c r="T1614" s="19" t="n">
        <x:f>K1614+IF(AND(S1614=1,J1614=0),1,0)</x:f>
        <x:v>4</x:v>
      </x:c>
      <x:c r="U1614" s="19" t="n">
        <x:f>L1614+IF(AND(S1614=1,J1614=1),1,0)</x:f>
        <x:v>1</x:v>
      </x:c>
      <x:c r="V1614" s="19" t="n">
        <x:f>M1614+IF(AND(S1614=1,J1614=2),1,0)</x:f>
        <x:v>1</x:v>
      </x:c>
      <x:c r="W1614" s="19" t="n">
        <x:f>SUM(T1614:V1614)</x:f>
        <x:v>6</x:v>
      </x:c>
      <x:c r="X1614" s="19" t="n">
        <x:f>W1614-G1614</x:f>
        <x:v>1</x:v>
      </x:c>
      <x:c r="Y1614" s="19" t="n">
        <x:f>MAX(T1614,1)+MAX(U1614,1)+MAX(V1614,1)</x:f>
        <x:v>6</x:v>
      </x:c>
      <x:c r="Z1614" s="21" t="str">
        <x:f>IF(AND(MIN(D1614:F1614)&gt;=0,MAX(D1614:F1614)&lt;=7,MAX(D1614,1)+MAX(E1614,1)+MAX(F1614,1)&lt;=9,OR(H1614="-",AND(H1614=0,D1614&gt;0),AND(H1614=1,E1614&gt;0),AND(H1614=2,F1614&gt;0)),OR(I1614=0,AND(I1614=1,OR(J1614=0,J1614=1,J1614=2),R1614&lt;&gt;"000")),Y1614&lt;=9,MIN(T1614:V1614)&gt;=0),"合法","输入违约")</x:f>
        <x:v>合法</x:v>
      </x:c>
    </x:row>
    <x:row r="1615" ht="23" customHeight="1">
      <x:c r="A1615" s="3" t="str">
        <x:v>CT-1608</x:v>
      </x:c>
      <x:c r="B1615" s="3" t="str">
        <x:v>ST-052</x:v>
      </x:c>
      <x:c r="C1615" s="3" t="str">
        <x:v>仅AR接收</x:v>
      </x:c>
      <x:c r="D1615" s="25" t="n">
        <x:v>3</x:v>
      </x:c>
      <x:c r="E1615" s="25" t="n">
        <x:v>1</x:v>
      </x:c>
      <x:c r="F1615" s="25" t="n">
        <x:v>1</x:v>
      </x:c>
      <x:c r="G1615" s="19" t="n">
        <x:f>SUM(D1615:F1615)</x:f>
        <x:v>5</x:v>
      </x:c>
      <x:c r="H1615" s="25" t="str">
        <x:v>-</x:v>
      </x:c>
      <x:c r="I1615" s="25" t="n">
        <x:v>1</x:v>
      </x:c>
      <x:c r="J1615" s="25" t="n">
        <x:v>1</x:v>
      </x:c>
      <x:c r="K1615" s="19" t="n">
        <x:f>D1615-IF(H1615=0,1,0)</x:f>
        <x:v>3</x:v>
      </x:c>
      <x:c r="L1615" s="19" t="n">
        <x:f>E1615-IF(H1615=1,1,0)</x:f>
        <x:v>1</x:v>
      </x:c>
      <x:c r="M1615" s="19" t="n">
        <x:f>F1615-IF(H1615=2,1,0)</x:f>
        <x:v>1</x:v>
      </x:c>
      <x:c r="N1615" s="19" t="n">
        <x:f>MAX(K1615-1,0)+MAX(L1615-1,0)+MAX(M1615-1,0)</x:f>
        <x:v>2</x:v>
      </x:c>
      <x:c r="O1615" s="19" t="n">
        <x:f>IF(AND(SUM(K1615:M1615)&lt;9,OR(M1615=0,N1615&lt;6)),1,0)</x:f>
        <x:v>1</x:v>
      </x:c>
      <x:c r="P1615" s="19" t="n">
        <x:f>IF(AND(SUM(K1615:M1615)&lt;9,OR(L1615=0,N1615&lt;6)),1,0)</x:f>
        <x:v>1</x:v>
      </x:c>
      <x:c r="Q1615" s="19" t="n">
        <x:f>IF(AND(SUM(K1615:M1615)&lt;9,OR(K1615=0,N1615&lt;6)),1,0)</x:f>
        <x:v>1</x:v>
      </x:c>
      <x:c r="R1615" s="22" t="str">
        <x:f>O1615&amp;P1615&amp;Q1615</x:f>
        <x:v>111</x:v>
      </x:c>
      <x:c r="S1615" s="19" t="n">
        <x:f>IF(I1615=1,IF(J1615=0,Q1615,IF(J1615=1,P1615,IF(J1615=2,O1615,0))),0)</x:f>
        <x:v>1</x:v>
      </x:c>
      <x:c r="T1615" s="19" t="n">
        <x:f>K1615+IF(AND(S1615=1,J1615=0),1,0)</x:f>
        <x:v>3</x:v>
      </x:c>
      <x:c r="U1615" s="19" t="n">
        <x:f>L1615+IF(AND(S1615=1,J1615=1),1,0)</x:f>
        <x:v>2</x:v>
      </x:c>
      <x:c r="V1615" s="19" t="n">
        <x:f>M1615+IF(AND(S1615=1,J1615=2),1,0)</x:f>
        <x:v>1</x:v>
      </x:c>
      <x:c r="W1615" s="19" t="n">
        <x:f>SUM(T1615:V1615)</x:f>
        <x:v>6</x:v>
      </x:c>
      <x:c r="X1615" s="19" t="n">
        <x:f>W1615-G1615</x:f>
        <x:v>1</x:v>
      </x:c>
      <x:c r="Y1615" s="19" t="n">
        <x:f>MAX(T1615,1)+MAX(U1615,1)+MAX(V1615,1)</x:f>
        <x:v>6</x:v>
      </x:c>
      <x:c r="Z1615" s="21" t="str">
        <x:f>IF(AND(MIN(D1615:F1615)&gt;=0,MAX(D1615:F1615)&lt;=7,MAX(D1615,1)+MAX(E1615,1)+MAX(F1615,1)&lt;=9,OR(H1615="-",AND(H1615=0,D1615&gt;0),AND(H1615=1,E1615&gt;0),AND(H1615=2,F1615&gt;0)),OR(I1615=0,AND(I1615=1,OR(J1615=0,J1615=1,J1615=2),R1615&lt;&gt;"000")),Y1615&lt;=9,MIN(T1615:V1615)&gt;=0),"合法","输入违约")</x:f>
        <x:v>合法</x:v>
      </x:c>
    </x:row>
    <x:row r="1616" ht="23" customHeight="1">
      <x:c r="A1616" s="3" t="str">
        <x:v>CT-1609</x:v>
      </x:c>
      <x:c r="B1616" s="3" t="str">
        <x:v>ST-052</x:v>
      </x:c>
      <x:c r="C1616" s="3" t="str">
        <x:v>仅AR接收</x:v>
      </x:c>
      <x:c r="D1616" s="25" t="n">
        <x:v>3</x:v>
      </x:c>
      <x:c r="E1616" s="25" t="n">
        <x:v>1</x:v>
      </x:c>
      <x:c r="F1616" s="25" t="n">
        <x:v>1</x:v>
      </x:c>
      <x:c r="G1616" s="19" t="n">
        <x:f>SUM(D1616:F1616)</x:f>
        <x:v>5</x:v>
      </x:c>
      <x:c r="H1616" s="25" t="str">
        <x:v>-</x:v>
      </x:c>
      <x:c r="I1616" s="25" t="n">
        <x:v>1</x:v>
      </x:c>
      <x:c r="J1616" s="25" t="n">
        <x:v>2</x:v>
      </x:c>
      <x:c r="K1616" s="19" t="n">
        <x:f>D1616-IF(H1616=0,1,0)</x:f>
        <x:v>3</x:v>
      </x:c>
      <x:c r="L1616" s="19" t="n">
        <x:f>E1616-IF(H1616=1,1,0)</x:f>
        <x:v>1</x:v>
      </x:c>
      <x:c r="M1616" s="19" t="n">
        <x:f>F1616-IF(H1616=2,1,0)</x:f>
        <x:v>1</x:v>
      </x:c>
      <x:c r="N1616" s="19" t="n">
        <x:f>MAX(K1616-1,0)+MAX(L1616-1,0)+MAX(M1616-1,0)</x:f>
        <x:v>2</x:v>
      </x:c>
      <x:c r="O1616" s="19" t="n">
        <x:f>IF(AND(SUM(K1616:M1616)&lt;9,OR(M1616=0,N1616&lt;6)),1,0)</x:f>
        <x:v>1</x:v>
      </x:c>
      <x:c r="P1616" s="19" t="n">
        <x:f>IF(AND(SUM(K1616:M1616)&lt;9,OR(L1616=0,N1616&lt;6)),1,0)</x:f>
        <x:v>1</x:v>
      </x:c>
      <x:c r="Q1616" s="19" t="n">
        <x:f>IF(AND(SUM(K1616:M1616)&lt;9,OR(K1616=0,N1616&lt;6)),1,0)</x:f>
        <x:v>1</x:v>
      </x:c>
      <x:c r="R1616" s="22" t="str">
        <x:f>O1616&amp;P1616&amp;Q1616</x:f>
        <x:v>111</x:v>
      </x:c>
      <x:c r="S1616" s="19" t="n">
        <x:f>IF(I1616=1,IF(J1616=0,Q1616,IF(J1616=1,P1616,IF(J1616=2,O1616,0))),0)</x:f>
        <x:v>1</x:v>
      </x:c>
      <x:c r="T1616" s="19" t="n">
        <x:f>K1616+IF(AND(S1616=1,J1616=0),1,0)</x:f>
        <x:v>3</x:v>
      </x:c>
      <x:c r="U1616" s="19" t="n">
        <x:f>L1616+IF(AND(S1616=1,J1616=1),1,0)</x:f>
        <x:v>1</x:v>
      </x:c>
      <x:c r="V1616" s="19" t="n">
        <x:f>M1616+IF(AND(S1616=1,J1616=2),1,0)</x:f>
        <x:v>2</x:v>
      </x:c>
      <x:c r="W1616" s="19" t="n">
        <x:f>SUM(T1616:V1616)</x:f>
        <x:v>6</x:v>
      </x:c>
      <x:c r="X1616" s="19" t="n">
        <x:f>W1616-G1616</x:f>
        <x:v>1</x:v>
      </x:c>
      <x:c r="Y1616" s="19" t="n">
        <x:f>MAX(T1616,1)+MAX(U1616,1)+MAX(V1616,1)</x:f>
        <x:v>6</x:v>
      </x:c>
      <x:c r="Z1616" s="21" t="str">
        <x:f>IF(AND(MIN(D1616:F1616)&gt;=0,MAX(D1616:F1616)&lt;=7,MAX(D1616,1)+MAX(E1616,1)+MAX(F1616,1)&lt;=9,OR(H1616="-",AND(H1616=0,D1616&gt;0),AND(H1616=1,E1616&gt;0),AND(H1616=2,F1616&gt;0)),OR(I1616=0,AND(I1616=1,OR(J1616=0,J1616=1,J1616=2),R1616&lt;&gt;"000")),Y1616&lt;=9,MIN(T1616:V1616)&gt;=0),"合法","输入违约")</x:f>
        <x:v>合法</x:v>
      </x:c>
    </x:row>
    <x:row r="1617" ht="23" customHeight="1">
      <x:c r="A1617" s="3" t="str">
        <x:v>CT-1610</x:v>
      </x:c>
      <x:c r="B1617" s="3" t="str">
        <x:v>ST-052</x:v>
      </x:c>
      <x:c r="C1617" s="3" t="str">
        <x:v>仅R回收</x:v>
      </x:c>
      <x:c r="D1617" s="25" t="n">
        <x:v>3</x:v>
      </x:c>
      <x:c r="E1617" s="25" t="n">
        <x:v>1</x:v>
      </x:c>
      <x:c r="F1617" s="25" t="n">
        <x:v>1</x:v>
      </x:c>
      <x:c r="G1617" s="19" t="n">
        <x:f>SUM(D1617:F1617)</x:f>
        <x:v>5</x:v>
      </x:c>
      <x:c r="H1617" s="25" t="n">
        <x:v>0</x:v>
      </x:c>
      <x:c r="I1617" s="25" t="n">
        <x:v>0</x:v>
      </x:c>
      <x:c r="J1617" s="25" t="str">
        <x:v>-</x:v>
      </x:c>
      <x:c r="K1617" s="19" t="n">
        <x:f>D1617-IF(H1617=0,1,0)</x:f>
        <x:v>2</x:v>
      </x:c>
      <x:c r="L1617" s="19" t="n">
        <x:f>E1617-IF(H1617=1,1,0)</x:f>
        <x:v>1</x:v>
      </x:c>
      <x:c r="M1617" s="19" t="n">
        <x:f>F1617-IF(H1617=2,1,0)</x:f>
        <x:v>1</x:v>
      </x:c>
      <x:c r="N1617" s="19" t="n">
        <x:f>MAX(K1617-1,0)+MAX(L1617-1,0)+MAX(M1617-1,0)</x:f>
        <x:v>1</x:v>
      </x:c>
      <x:c r="O1617" s="19" t="n">
        <x:f>IF(AND(SUM(K1617:M1617)&lt;9,OR(M1617=0,N1617&lt;6)),1,0)</x:f>
        <x:v>1</x:v>
      </x:c>
      <x:c r="P1617" s="19" t="n">
        <x:f>IF(AND(SUM(K1617:M1617)&lt;9,OR(L1617=0,N1617&lt;6)),1,0)</x:f>
        <x:v>1</x:v>
      </x:c>
      <x:c r="Q1617" s="19" t="n">
        <x:f>IF(AND(SUM(K1617:M1617)&lt;9,OR(K1617=0,N1617&lt;6)),1,0)</x:f>
        <x:v>1</x:v>
      </x:c>
      <x:c r="R1617" s="22" t="str">
        <x:f>O1617&amp;P1617&amp;Q1617</x:f>
        <x:v>111</x:v>
      </x:c>
      <x:c r="S1617" s="19" t="n">
        <x:f>IF(I1617=1,IF(J1617=0,Q1617,IF(J1617=1,P1617,IF(J1617=2,O1617,0))),0)</x:f>
        <x:v>0</x:v>
      </x:c>
      <x:c r="T1617" s="19" t="n">
        <x:f>K1617+IF(AND(S1617=1,J1617=0),1,0)</x:f>
        <x:v>2</x:v>
      </x:c>
      <x:c r="U1617" s="19" t="n">
        <x:f>L1617+IF(AND(S1617=1,J1617=1),1,0)</x:f>
        <x:v>1</x:v>
      </x:c>
      <x:c r="V1617" s="19" t="n">
        <x:f>M1617+IF(AND(S1617=1,J1617=2),1,0)</x:f>
        <x:v>1</x:v>
      </x:c>
      <x:c r="W1617" s="19" t="n">
        <x:f>SUM(T1617:V1617)</x:f>
        <x:v>4</x:v>
      </x:c>
      <x:c r="X1617" s="19" t="n">
        <x:f>W1617-G1617</x:f>
        <x:v>-1</x:v>
      </x:c>
      <x:c r="Y1617" s="19" t="n">
        <x:f>MAX(T1617,1)+MAX(U1617,1)+MAX(V1617,1)</x:f>
        <x:v>4</x:v>
      </x:c>
      <x:c r="Z1617" s="21" t="str">
        <x:f>IF(AND(MIN(D1617:F1617)&gt;=0,MAX(D1617:F1617)&lt;=7,MAX(D1617,1)+MAX(E1617,1)+MAX(F1617,1)&lt;=9,OR(H1617="-",AND(H1617=0,D1617&gt;0),AND(H1617=1,E1617&gt;0),AND(H1617=2,F1617&gt;0)),OR(I1617=0,AND(I1617=1,OR(J1617=0,J1617=1,J1617=2),R1617&lt;&gt;"000")),Y1617&lt;=9,MIN(T1617:V1617)&gt;=0),"合法","输入违约")</x:f>
        <x:v>合法</x:v>
      </x:c>
    </x:row>
    <x:row r="1618" ht="23" customHeight="1">
      <x:c r="A1618" s="3" t="str">
        <x:v>CT-1611</x:v>
      </x:c>
      <x:c r="B1618" s="3" t="str">
        <x:v>ST-052</x:v>
      </x:c>
      <x:c r="C1618" s="3" t="str">
        <x:v>R+AR同收同发</x:v>
      </x:c>
      <x:c r="D1618" s="25" t="n">
        <x:v>3</x:v>
      </x:c>
      <x:c r="E1618" s="25" t="n">
        <x:v>1</x:v>
      </x:c>
      <x:c r="F1618" s="25" t="n">
        <x:v>1</x:v>
      </x:c>
      <x:c r="G1618" s="19" t="n">
        <x:f>SUM(D1618:F1618)</x:f>
        <x:v>5</x:v>
      </x:c>
      <x:c r="H1618" s="25" t="n">
        <x:v>0</x:v>
      </x:c>
      <x:c r="I1618" s="25" t="n">
        <x:v>1</x:v>
      </x:c>
      <x:c r="J1618" s="25" t="n">
        <x:v>0</x:v>
      </x:c>
      <x:c r="K1618" s="19" t="n">
        <x:f>D1618-IF(H1618=0,1,0)</x:f>
        <x:v>2</x:v>
      </x:c>
      <x:c r="L1618" s="19" t="n">
        <x:f>E1618-IF(H1618=1,1,0)</x:f>
        <x:v>1</x:v>
      </x:c>
      <x:c r="M1618" s="19" t="n">
        <x:f>F1618-IF(H1618=2,1,0)</x:f>
        <x:v>1</x:v>
      </x:c>
      <x:c r="N1618" s="19" t="n">
        <x:f>MAX(K1618-1,0)+MAX(L1618-1,0)+MAX(M1618-1,0)</x:f>
        <x:v>1</x:v>
      </x:c>
      <x:c r="O1618" s="19" t="n">
        <x:f>IF(AND(SUM(K1618:M1618)&lt;9,OR(M1618=0,N1618&lt;6)),1,0)</x:f>
        <x:v>1</x:v>
      </x:c>
      <x:c r="P1618" s="19" t="n">
        <x:f>IF(AND(SUM(K1618:M1618)&lt;9,OR(L1618=0,N1618&lt;6)),1,0)</x:f>
        <x:v>1</x:v>
      </x:c>
      <x:c r="Q1618" s="19" t="n">
        <x:f>IF(AND(SUM(K1618:M1618)&lt;9,OR(K1618=0,N1618&lt;6)),1,0)</x:f>
        <x:v>1</x:v>
      </x:c>
      <x:c r="R1618" s="22" t="str">
        <x:f>O1618&amp;P1618&amp;Q1618</x:f>
        <x:v>111</x:v>
      </x:c>
      <x:c r="S1618" s="19" t="n">
        <x:f>IF(I1618=1,IF(J1618=0,Q1618,IF(J1618=1,P1618,IF(J1618=2,O1618,0))),0)</x:f>
        <x:v>1</x:v>
      </x:c>
      <x:c r="T1618" s="19" t="n">
        <x:f>K1618+IF(AND(S1618=1,J1618=0),1,0)</x:f>
        <x:v>3</x:v>
      </x:c>
      <x:c r="U1618" s="19" t="n">
        <x:f>L1618+IF(AND(S1618=1,J1618=1),1,0)</x:f>
        <x:v>1</x:v>
      </x:c>
      <x:c r="V1618" s="19" t="n">
        <x:f>M1618+IF(AND(S1618=1,J1618=2),1,0)</x:f>
        <x:v>1</x:v>
      </x:c>
      <x:c r="W1618" s="19" t="n">
        <x:f>SUM(T1618:V1618)</x:f>
        <x:v>5</x:v>
      </x:c>
      <x:c r="X1618" s="19" t="n">
        <x:f>W1618-G1618</x:f>
        <x:v>0</x:v>
      </x:c>
      <x:c r="Y1618" s="19" t="n">
        <x:f>MAX(T1618,1)+MAX(U1618,1)+MAX(V1618,1)</x:f>
        <x:v>5</x:v>
      </x:c>
      <x:c r="Z1618" s="21" t="str">
        <x:f>IF(AND(MIN(D1618:F1618)&gt;=0,MAX(D1618:F1618)&lt;=7,MAX(D1618,1)+MAX(E1618,1)+MAX(F1618,1)&lt;=9,OR(H1618="-",AND(H1618=0,D1618&gt;0),AND(H1618=1,E1618&gt;0),AND(H1618=2,F1618&gt;0)),OR(I1618=0,AND(I1618=1,OR(J1618=0,J1618=1,J1618=2),R1618&lt;&gt;"000")),Y1618&lt;=9,MIN(T1618:V1618)&gt;=0),"合法","输入违约")</x:f>
        <x:v>合法</x:v>
      </x:c>
    </x:row>
    <x:row r="1619" ht="23" customHeight="1">
      <x:c r="A1619" s="3" t="str">
        <x:v>CT-1612</x:v>
      </x:c>
      <x:c r="B1619" s="3" t="str">
        <x:v>ST-052</x:v>
      </x:c>
      <x:c r="C1619" s="3" t="str">
        <x:v>R+AR同收同发</x:v>
      </x:c>
      <x:c r="D1619" s="25" t="n">
        <x:v>3</x:v>
      </x:c>
      <x:c r="E1619" s="25" t="n">
        <x:v>1</x:v>
      </x:c>
      <x:c r="F1619" s="25" t="n">
        <x:v>1</x:v>
      </x:c>
      <x:c r="G1619" s="19" t="n">
        <x:f>SUM(D1619:F1619)</x:f>
        <x:v>5</x:v>
      </x:c>
      <x:c r="H1619" s="25" t="n">
        <x:v>0</x:v>
      </x:c>
      <x:c r="I1619" s="25" t="n">
        <x:v>1</x:v>
      </x:c>
      <x:c r="J1619" s="25" t="n">
        <x:v>1</x:v>
      </x:c>
      <x:c r="K1619" s="19" t="n">
        <x:f>D1619-IF(H1619=0,1,0)</x:f>
        <x:v>2</x:v>
      </x:c>
      <x:c r="L1619" s="19" t="n">
        <x:f>E1619-IF(H1619=1,1,0)</x:f>
        <x:v>1</x:v>
      </x:c>
      <x:c r="M1619" s="19" t="n">
        <x:f>F1619-IF(H1619=2,1,0)</x:f>
        <x:v>1</x:v>
      </x:c>
      <x:c r="N1619" s="19" t="n">
        <x:f>MAX(K1619-1,0)+MAX(L1619-1,0)+MAX(M1619-1,0)</x:f>
        <x:v>1</x:v>
      </x:c>
      <x:c r="O1619" s="19" t="n">
        <x:f>IF(AND(SUM(K1619:M1619)&lt;9,OR(M1619=0,N1619&lt;6)),1,0)</x:f>
        <x:v>1</x:v>
      </x:c>
      <x:c r="P1619" s="19" t="n">
        <x:f>IF(AND(SUM(K1619:M1619)&lt;9,OR(L1619=0,N1619&lt;6)),1,0)</x:f>
        <x:v>1</x:v>
      </x:c>
      <x:c r="Q1619" s="19" t="n">
        <x:f>IF(AND(SUM(K1619:M1619)&lt;9,OR(K1619=0,N1619&lt;6)),1,0)</x:f>
        <x:v>1</x:v>
      </x:c>
      <x:c r="R1619" s="22" t="str">
        <x:f>O1619&amp;P1619&amp;Q1619</x:f>
        <x:v>111</x:v>
      </x:c>
      <x:c r="S1619" s="19" t="n">
        <x:f>IF(I1619=1,IF(J1619=0,Q1619,IF(J1619=1,P1619,IF(J1619=2,O1619,0))),0)</x:f>
        <x:v>1</x:v>
      </x:c>
      <x:c r="T1619" s="19" t="n">
        <x:f>K1619+IF(AND(S1619=1,J1619=0),1,0)</x:f>
        <x:v>2</x:v>
      </x:c>
      <x:c r="U1619" s="19" t="n">
        <x:f>L1619+IF(AND(S1619=1,J1619=1),1,0)</x:f>
        <x:v>2</x:v>
      </x:c>
      <x:c r="V1619" s="19" t="n">
        <x:f>M1619+IF(AND(S1619=1,J1619=2),1,0)</x:f>
        <x:v>1</x:v>
      </x:c>
      <x:c r="W1619" s="19" t="n">
        <x:f>SUM(T1619:V1619)</x:f>
        <x:v>5</x:v>
      </x:c>
      <x:c r="X1619" s="19" t="n">
        <x:f>W1619-G1619</x:f>
        <x:v>0</x:v>
      </x:c>
      <x:c r="Y1619" s="19" t="n">
        <x:f>MAX(T1619,1)+MAX(U1619,1)+MAX(V1619,1)</x:f>
        <x:v>5</x:v>
      </x:c>
      <x:c r="Z1619" s="21" t="str">
        <x:f>IF(AND(MIN(D1619:F1619)&gt;=0,MAX(D1619:F1619)&lt;=7,MAX(D1619,1)+MAX(E1619,1)+MAX(F1619,1)&lt;=9,OR(H1619="-",AND(H1619=0,D1619&gt;0),AND(H1619=1,E1619&gt;0),AND(H1619=2,F1619&gt;0)),OR(I1619=0,AND(I1619=1,OR(J1619=0,J1619=1,J1619=2),R1619&lt;&gt;"000")),Y1619&lt;=9,MIN(T1619:V1619)&gt;=0),"合法","输入违约")</x:f>
        <x:v>合法</x:v>
      </x:c>
    </x:row>
    <x:row r="1620" ht="23" customHeight="1">
      <x:c r="A1620" s="3" t="str">
        <x:v>CT-1613</x:v>
      </x:c>
      <x:c r="B1620" s="3" t="str">
        <x:v>ST-052</x:v>
      </x:c>
      <x:c r="C1620" s="3" t="str">
        <x:v>R+AR同收同发</x:v>
      </x:c>
      <x:c r="D1620" s="25" t="n">
        <x:v>3</x:v>
      </x:c>
      <x:c r="E1620" s="25" t="n">
        <x:v>1</x:v>
      </x:c>
      <x:c r="F1620" s="25" t="n">
        <x:v>1</x:v>
      </x:c>
      <x:c r="G1620" s="19" t="n">
        <x:f>SUM(D1620:F1620)</x:f>
        <x:v>5</x:v>
      </x:c>
      <x:c r="H1620" s="25" t="n">
        <x:v>0</x:v>
      </x:c>
      <x:c r="I1620" s="25" t="n">
        <x:v>1</x:v>
      </x:c>
      <x:c r="J1620" s="25" t="n">
        <x:v>2</x:v>
      </x:c>
      <x:c r="K1620" s="19" t="n">
        <x:f>D1620-IF(H1620=0,1,0)</x:f>
        <x:v>2</x:v>
      </x:c>
      <x:c r="L1620" s="19" t="n">
        <x:f>E1620-IF(H1620=1,1,0)</x:f>
        <x:v>1</x:v>
      </x:c>
      <x:c r="M1620" s="19" t="n">
        <x:f>F1620-IF(H1620=2,1,0)</x:f>
        <x:v>1</x:v>
      </x:c>
      <x:c r="N1620" s="19" t="n">
        <x:f>MAX(K1620-1,0)+MAX(L1620-1,0)+MAX(M1620-1,0)</x:f>
        <x:v>1</x:v>
      </x:c>
      <x:c r="O1620" s="19" t="n">
        <x:f>IF(AND(SUM(K1620:M1620)&lt;9,OR(M1620=0,N1620&lt;6)),1,0)</x:f>
        <x:v>1</x:v>
      </x:c>
      <x:c r="P1620" s="19" t="n">
        <x:f>IF(AND(SUM(K1620:M1620)&lt;9,OR(L1620=0,N1620&lt;6)),1,0)</x:f>
        <x:v>1</x:v>
      </x:c>
      <x:c r="Q1620" s="19" t="n">
        <x:f>IF(AND(SUM(K1620:M1620)&lt;9,OR(K1620=0,N1620&lt;6)),1,0)</x:f>
        <x:v>1</x:v>
      </x:c>
      <x:c r="R1620" s="22" t="str">
        <x:f>O1620&amp;P1620&amp;Q1620</x:f>
        <x:v>111</x:v>
      </x:c>
      <x:c r="S1620" s="19" t="n">
        <x:f>IF(I1620=1,IF(J1620=0,Q1620,IF(J1620=1,P1620,IF(J1620=2,O1620,0))),0)</x:f>
        <x:v>1</x:v>
      </x:c>
      <x:c r="T1620" s="19" t="n">
        <x:f>K1620+IF(AND(S1620=1,J1620=0),1,0)</x:f>
        <x:v>2</x:v>
      </x:c>
      <x:c r="U1620" s="19" t="n">
        <x:f>L1620+IF(AND(S1620=1,J1620=1),1,0)</x:f>
        <x:v>1</x:v>
      </x:c>
      <x:c r="V1620" s="19" t="n">
        <x:f>M1620+IF(AND(S1620=1,J1620=2),1,0)</x:f>
        <x:v>2</x:v>
      </x:c>
      <x:c r="W1620" s="19" t="n">
        <x:f>SUM(T1620:V1620)</x:f>
        <x:v>5</x:v>
      </x:c>
      <x:c r="X1620" s="19" t="n">
        <x:f>W1620-G1620</x:f>
        <x:v>0</x:v>
      </x:c>
      <x:c r="Y1620" s="19" t="n">
        <x:f>MAX(T1620,1)+MAX(U1620,1)+MAX(V1620,1)</x:f>
        <x:v>5</x:v>
      </x:c>
      <x:c r="Z1620" s="21" t="str">
        <x:f>IF(AND(MIN(D1620:F1620)&gt;=0,MAX(D1620:F1620)&lt;=7,MAX(D1620,1)+MAX(E1620,1)+MAX(F1620,1)&lt;=9,OR(H1620="-",AND(H1620=0,D1620&gt;0),AND(H1620=1,E1620&gt;0),AND(H1620=2,F1620&gt;0)),OR(I1620=0,AND(I1620=1,OR(J1620=0,J1620=1,J1620=2),R1620&lt;&gt;"000")),Y1620&lt;=9,MIN(T1620:V1620)&gt;=0),"合法","输入违约")</x:f>
        <x:v>合法</x:v>
      </x:c>
    </x:row>
    <x:row r="1621" ht="23" customHeight="1">
      <x:c r="A1621" s="3" t="str">
        <x:v>CT-1614</x:v>
      </x:c>
      <x:c r="B1621" s="3" t="str">
        <x:v>ST-052</x:v>
      </x:c>
      <x:c r="C1621" s="3" t="str">
        <x:v>仅R回收</x:v>
      </x:c>
      <x:c r="D1621" s="25" t="n">
        <x:v>3</x:v>
      </x:c>
      <x:c r="E1621" s="25" t="n">
        <x:v>1</x:v>
      </x:c>
      <x:c r="F1621" s="25" t="n">
        <x:v>1</x:v>
      </x:c>
      <x:c r="G1621" s="19" t="n">
        <x:f>SUM(D1621:F1621)</x:f>
        <x:v>5</x:v>
      </x:c>
      <x:c r="H1621" s="25" t="n">
        <x:v>1</x:v>
      </x:c>
      <x:c r="I1621" s="25" t="n">
        <x:v>0</x:v>
      </x:c>
      <x:c r="J1621" s="25" t="str">
        <x:v>-</x:v>
      </x:c>
      <x:c r="K1621" s="19" t="n">
        <x:f>D1621-IF(H1621=0,1,0)</x:f>
        <x:v>3</x:v>
      </x:c>
      <x:c r="L1621" s="19" t="n">
        <x:f>E1621-IF(H1621=1,1,0)</x:f>
        <x:v>0</x:v>
      </x:c>
      <x:c r="M1621" s="19" t="n">
        <x:f>F1621-IF(H1621=2,1,0)</x:f>
        <x:v>1</x:v>
      </x:c>
      <x:c r="N1621" s="19" t="n">
        <x:f>MAX(K1621-1,0)+MAX(L1621-1,0)+MAX(M1621-1,0)</x:f>
        <x:v>2</x:v>
      </x:c>
      <x:c r="O1621" s="19" t="n">
        <x:f>IF(AND(SUM(K1621:M1621)&lt;9,OR(M1621=0,N1621&lt;6)),1,0)</x:f>
        <x:v>1</x:v>
      </x:c>
      <x:c r="P1621" s="19" t="n">
        <x:f>IF(AND(SUM(K1621:M1621)&lt;9,OR(L1621=0,N1621&lt;6)),1,0)</x:f>
        <x:v>1</x:v>
      </x:c>
      <x:c r="Q1621" s="19" t="n">
        <x:f>IF(AND(SUM(K1621:M1621)&lt;9,OR(K1621=0,N1621&lt;6)),1,0)</x:f>
        <x:v>1</x:v>
      </x:c>
      <x:c r="R1621" s="22" t="str">
        <x:f>O1621&amp;P1621&amp;Q1621</x:f>
        <x:v>111</x:v>
      </x:c>
      <x:c r="S1621" s="19" t="n">
        <x:f>IF(I1621=1,IF(J1621=0,Q1621,IF(J1621=1,P1621,IF(J1621=2,O1621,0))),0)</x:f>
        <x:v>0</x:v>
      </x:c>
      <x:c r="T1621" s="19" t="n">
        <x:f>K1621+IF(AND(S1621=1,J1621=0),1,0)</x:f>
        <x:v>3</x:v>
      </x:c>
      <x:c r="U1621" s="19" t="n">
        <x:f>L1621+IF(AND(S1621=1,J1621=1),1,0)</x:f>
        <x:v>0</x:v>
      </x:c>
      <x:c r="V1621" s="19" t="n">
        <x:f>M1621+IF(AND(S1621=1,J1621=2),1,0)</x:f>
        <x:v>1</x:v>
      </x:c>
      <x:c r="W1621" s="19" t="n">
        <x:f>SUM(T1621:V1621)</x:f>
        <x:v>4</x:v>
      </x:c>
      <x:c r="X1621" s="19" t="n">
        <x:f>W1621-G1621</x:f>
        <x:v>-1</x:v>
      </x:c>
      <x:c r="Y1621" s="19" t="n">
        <x:f>MAX(T1621,1)+MAX(U1621,1)+MAX(V1621,1)</x:f>
        <x:v>5</x:v>
      </x:c>
      <x:c r="Z1621" s="21" t="str">
        <x:f>IF(AND(MIN(D1621:F1621)&gt;=0,MAX(D1621:F1621)&lt;=7,MAX(D1621,1)+MAX(E1621,1)+MAX(F1621,1)&lt;=9,OR(H1621="-",AND(H1621=0,D1621&gt;0),AND(H1621=1,E1621&gt;0),AND(H1621=2,F1621&gt;0)),OR(I1621=0,AND(I1621=1,OR(J1621=0,J1621=1,J1621=2),R1621&lt;&gt;"000")),Y1621&lt;=9,MIN(T1621:V1621)&gt;=0),"合法","输入违约")</x:f>
        <x:v>合法</x:v>
      </x:c>
    </x:row>
    <x:row r="1622" ht="23" customHeight="1">
      <x:c r="A1622" s="3" t="str">
        <x:v>CT-1615</x:v>
      </x:c>
      <x:c r="B1622" s="3" t="str">
        <x:v>ST-052</x:v>
      </x:c>
      <x:c r="C1622" s="3" t="str">
        <x:v>R+AR同收同发</x:v>
      </x:c>
      <x:c r="D1622" s="25" t="n">
        <x:v>3</x:v>
      </x:c>
      <x:c r="E1622" s="25" t="n">
        <x:v>1</x:v>
      </x:c>
      <x:c r="F1622" s="25" t="n">
        <x:v>1</x:v>
      </x:c>
      <x:c r="G1622" s="19" t="n">
        <x:f>SUM(D1622:F1622)</x:f>
        <x:v>5</x:v>
      </x:c>
      <x:c r="H1622" s="25" t="n">
        <x:v>1</x:v>
      </x:c>
      <x:c r="I1622" s="25" t="n">
        <x:v>1</x:v>
      </x:c>
      <x:c r="J1622" s="25" t="n">
        <x:v>0</x:v>
      </x:c>
      <x:c r="K1622" s="19" t="n">
        <x:f>D1622-IF(H1622=0,1,0)</x:f>
        <x:v>3</x:v>
      </x:c>
      <x:c r="L1622" s="19" t="n">
        <x:f>E1622-IF(H1622=1,1,0)</x:f>
        <x:v>0</x:v>
      </x:c>
      <x:c r="M1622" s="19" t="n">
        <x:f>F1622-IF(H1622=2,1,0)</x:f>
        <x:v>1</x:v>
      </x:c>
      <x:c r="N1622" s="19" t="n">
        <x:f>MAX(K1622-1,0)+MAX(L1622-1,0)+MAX(M1622-1,0)</x:f>
        <x:v>2</x:v>
      </x:c>
      <x:c r="O1622" s="19" t="n">
        <x:f>IF(AND(SUM(K1622:M1622)&lt;9,OR(M1622=0,N1622&lt;6)),1,0)</x:f>
        <x:v>1</x:v>
      </x:c>
      <x:c r="P1622" s="19" t="n">
        <x:f>IF(AND(SUM(K1622:M1622)&lt;9,OR(L1622=0,N1622&lt;6)),1,0)</x:f>
        <x:v>1</x:v>
      </x:c>
      <x:c r="Q1622" s="19" t="n">
        <x:f>IF(AND(SUM(K1622:M1622)&lt;9,OR(K1622=0,N1622&lt;6)),1,0)</x:f>
        <x:v>1</x:v>
      </x:c>
      <x:c r="R1622" s="22" t="str">
        <x:f>O1622&amp;P1622&amp;Q1622</x:f>
        <x:v>111</x:v>
      </x:c>
      <x:c r="S1622" s="19" t="n">
        <x:f>IF(I1622=1,IF(J1622=0,Q1622,IF(J1622=1,P1622,IF(J1622=2,O1622,0))),0)</x:f>
        <x:v>1</x:v>
      </x:c>
      <x:c r="T1622" s="19" t="n">
        <x:f>K1622+IF(AND(S1622=1,J1622=0),1,0)</x:f>
        <x:v>4</x:v>
      </x:c>
      <x:c r="U1622" s="19" t="n">
        <x:f>L1622+IF(AND(S1622=1,J1622=1),1,0)</x:f>
        <x:v>0</x:v>
      </x:c>
      <x:c r="V1622" s="19" t="n">
        <x:f>M1622+IF(AND(S1622=1,J1622=2),1,0)</x:f>
        <x:v>1</x:v>
      </x:c>
      <x:c r="W1622" s="19" t="n">
        <x:f>SUM(T1622:V1622)</x:f>
        <x:v>5</x:v>
      </x:c>
      <x:c r="X1622" s="19" t="n">
        <x:f>W1622-G1622</x:f>
        <x:v>0</x:v>
      </x:c>
      <x:c r="Y1622" s="19" t="n">
        <x:f>MAX(T1622,1)+MAX(U1622,1)+MAX(V1622,1)</x:f>
        <x:v>6</x:v>
      </x:c>
      <x:c r="Z1622" s="21" t="str">
        <x:f>IF(AND(MIN(D1622:F1622)&gt;=0,MAX(D1622:F1622)&lt;=7,MAX(D1622,1)+MAX(E1622,1)+MAX(F1622,1)&lt;=9,OR(H1622="-",AND(H1622=0,D1622&gt;0),AND(H1622=1,E1622&gt;0),AND(H1622=2,F1622&gt;0)),OR(I1622=0,AND(I1622=1,OR(J1622=0,J1622=1,J1622=2),R1622&lt;&gt;"000")),Y1622&lt;=9,MIN(T1622:V1622)&gt;=0),"合法","输入违约")</x:f>
        <x:v>合法</x:v>
      </x:c>
    </x:row>
    <x:row r="1623" ht="23" customHeight="1">
      <x:c r="A1623" s="3" t="str">
        <x:v>CT-1616</x:v>
      </x:c>
      <x:c r="B1623" s="3" t="str">
        <x:v>ST-052</x:v>
      </x:c>
      <x:c r="C1623" s="3" t="str">
        <x:v>R+AR同收同发</x:v>
      </x:c>
      <x:c r="D1623" s="25" t="n">
        <x:v>3</x:v>
      </x:c>
      <x:c r="E1623" s="25" t="n">
        <x:v>1</x:v>
      </x:c>
      <x:c r="F1623" s="25" t="n">
        <x:v>1</x:v>
      </x:c>
      <x:c r="G1623" s="19" t="n">
        <x:f>SUM(D1623:F1623)</x:f>
        <x:v>5</x:v>
      </x:c>
      <x:c r="H1623" s="25" t="n">
        <x:v>1</x:v>
      </x:c>
      <x:c r="I1623" s="25" t="n">
        <x:v>1</x:v>
      </x:c>
      <x:c r="J1623" s="25" t="n">
        <x:v>1</x:v>
      </x:c>
      <x:c r="K1623" s="19" t="n">
        <x:f>D1623-IF(H1623=0,1,0)</x:f>
        <x:v>3</x:v>
      </x:c>
      <x:c r="L1623" s="19" t="n">
        <x:f>E1623-IF(H1623=1,1,0)</x:f>
        <x:v>0</x:v>
      </x:c>
      <x:c r="M1623" s="19" t="n">
        <x:f>F1623-IF(H1623=2,1,0)</x:f>
        <x:v>1</x:v>
      </x:c>
      <x:c r="N1623" s="19" t="n">
        <x:f>MAX(K1623-1,0)+MAX(L1623-1,0)+MAX(M1623-1,0)</x:f>
        <x:v>2</x:v>
      </x:c>
      <x:c r="O1623" s="19" t="n">
        <x:f>IF(AND(SUM(K1623:M1623)&lt;9,OR(M1623=0,N1623&lt;6)),1,0)</x:f>
        <x:v>1</x:v>
      </x:c>
      <x:c r="P1623" s="19" t="n">
        <x:f>IF(AND(SUM(K1623:M1623)&lt;9,OR(L1623=0,N1623&lt;6)),1,0)</x:f>
        <x:v>1</x:v>
      </x:c>
      <x:c r="Q1623" s="19" t="n">
        <x:f>IF(AND(SUM(K1623:M1623)&lt;9,OR(K1623=0,N1623&lt;6)),1,0)</x:f>
        <x:v>1</x:v>
      </x:c>
      <x:c r="R1623" s="22" t="str">
        <x:f>O1623&amp;P1623&amp;Q1623</x:f>
        <x:v>111</x:v>
      </x:c>
      <x:c r="S1623" s="19" t="n">
        <x:f>IF(I1623=1,IF(J1623=0,Q1623,IF(J1623=1,P1623,IF(J1623=2,O1623,0))),0)</x:f>
        <x:v>1</x:v>
      </x:c>
      <x:c r="T1623" s="19" t="n">
        <x:f>K1623+IF(AND(S1623=1,J1623=0),1,0)</x:f>
        <x:v>3</x:v>
      </x:c>
      <x:c r="U1623" s="19" t="n">
        <x:f>L1623+IF(AND(S1623=1,J1623=1),1,0)</x:f>
        <x:v>1</x:v>
      </x:c>
      <x:c r="V1623" s="19" t="n">
        <x:f>M1623+IF(AND(S1623=1,J1623=2),1,0)</x:f>
        <x:v>1</x:v>
      </x:c>
      <x:c r="W1623" s="19" t="n">
        <x:f>SUM(T1623:V1623)</x:f>
        <x:v>5</x:v>
      </x:c>
      <x:c r="X1623" s="19" t="n">
        <x:f>W1623-G1623</x:f>
        <x:v>0</x:v>
      </x:c>
      <x:c r="Y1623" s="19" t="n">
        <x:f>MAX(T1623,1)+MAX(U1623,1)+MAX(V1623,1)</x:f>
        <x:v>5</x:v>
      </x:c>
      <x:c r="Z1623" s="21" t="str">
        <x:f>IF(AND(MIN(D1623:F1623)&gt;=0,MAX(D1623:F1623)&lt;=7,MAX(D1623,1)+MAX(E1623,1)+MAX(F1623,1)&lt;=9,OR(H1623="-",AND(H1623=0,D1623&gt;0),AND(H1623=1,E1623&gt;0),AND(H1623=2,F1623&gt;0)),OR(I1623=0,AND(I1623=1,OR(J1623=0,J1623=1,J1623=2),R1623&lt;&gt;"000")),Y1623&lt;=9,MIN(T1623:V1623)&gt;=0),"合法","输入违约")</x:f>
        <x:v>合法</x:v>
      </x:c>
    </x:row>
    <x:row r="1624" ht="23" customHeight="1">
      <x:c r="A1624" s="3" t="str">
        <x:v>CT-1617</x:v>
      </x:c>
      <x:c r="B1624" s="3" t="str">
        <x:v>ST-052</x:v>
      </x:c>
      <x:c r="C1624" s="3" t="str">
        <x:v>R+AR同收同发</x:v>
      </x:c>
      <x:c r="D1624" s="25" t="n">
        <x:v>3</x:v>
      </x:c>
      <x:c r="E1624" s="25" t="n">
        <x:v>1</x:v>
      </x:c>
      <x:c r="F1624" s="25" t="n">
        <x:v>1</x:v>
      </x:c>
      <x:c r="G1624" s="19" t="n">
        <x:f>SUM(D1624:F1624)</x:f>
        <x:v>5</x:v>
      </x:c>
      <x:c r="H1624" s="25" t="n">
        <x:v>1</x:v>
      </x:c>
      <x:c r="I1624" s="25" t="n">
        <x:v>1</x:v>
      </x:c>
      <x:c r="J1624" s="25" t="n">
        <x:v>2</x:v>
      </x:c>
      <x:c r="K1624" s="19" t="n">
        <x:f>D1624-IF(H1624=0,1,0)</x:f>
        <x:v>3</x:v>
      </x:c>
      <x:c r="L1624" s="19" t="n">
        <x:f>E1624-IF(H1624=1,1,0)</x:f>
        <x:v>0</x:v>
      </x:c>
      <x:c r="M1624" s="19" t="n">
        <x:f>F1624-IF(H1624=2,1,0)</x:f>
        <x:v>1</x:v>
      </x:c>
      <x:c r="N1624" s="19" t="n">
        <x:f>MAX(K1624-1,0)+MAX(L1624-1,0)+MAX(M1624-1,0)</x:f>
        <x:v>2</x:v>
      </x:c>
      <x:c r="O1624" s="19" t="n">
        <x:f>IF(AND(SUM(K1624:M1624)&lt;9,OR(M1624=0,N1624&lt;6)),1,0)</x:f>
        <x:v>1</x:v>
      </x:c>
      <x:c r="P1624" s="19" t="n">
        <x:f>IF(AND(SUM(K1624:M1624)&lt;9,OR(L1624=0,N1624&lt;6)),1,0)</x:f>
        <x:v>1</x:v>
      </x:c>
      <x:c r="Q1624" s="19" t="n">
        <x:f>IF(AND(SUM(K1624:M1624)&lt;9,OR(K1624=0,N1624&lt;6)),1,0)</x:f>
        <x:v>1</x:v>
      </x:c>
      <x:c r="R1624" s="22" t="str">
        <x:f>O1624&amp;P1624&amp;Q1624</x:f>
        <x:v>111</x:v>
      </x:c>
      <x:c r="S1624" s="19" t="n">
        <x:f>IF(I1624=1,IF(J1624=0,Q1624,IF(J1624=1,P1624,IF(J1624=2,O1624,0))),0)</x:f>
        <x:v>1</x:v>
      </x:c>
      <x:c r="T1624" s="19" t="n">
        <x:f>K1624+IF(AND(S1624=1,J1624=0),1,0)</x:f>
        <x:v>3</x:v>
      </x:c>
      <x:c r="U1624" s="19" t="n">
        <x:f>L1624+IF(AND(S1624=1,J1624=1),1,0)</x:f>
        <x:v>0</x:v>
      </x:c>
      <x:c r="V1624" s="19" t="n">
        <x:f>M1624+IF(AND(S1624=1,J1624=2),1,0)</x:f>
        <x:v>2</x:v>
      </x:c>
      <x:c r="W1624" s="19" t="n">
        <x:f>SUM(T1624:V1624)</x:f>
        <x:v>5</x:v>
      </x:c>
      <x:c r="X1624" s="19" t="n">
        <x:f>W1624-G1624</x:f>
        <x:v>0</x:v>
      </x:c>
      <x:c r="Y1624" s="19" t="n">
        <x:f>MAX(T1624,1)+MAX(U1624,1)+MAX(V1624,1)</x:f>
        <x:v>6</x:v>
      </x:c>
      <x:c r="Z1624" s="21" t="str">
        <x:f>IF(AND(MIN(D1624:F1624)&gt;=0,MAX(D1624:F1624)&lt;=7,MAX(D1624,1)+MAX(E1624,1)+MAX(F1624,1)&lt;=9,OR(H1624="-",AND(H1624=0,D1624&gt;0),AND(H1624=1,E1624&gt;0),AND(H1624=2,F1624&gt;0)),OR(I1624=0,AND(I1624=1,OR(J1624=0,J1624=1,J1624=2),R1624&lt;&gt;"000")),Y1624&lt;=9,MIN(T1624:V1624)&gt;=0),"合法","输入违约")</x:f>
        <x:v>合法</x:v>
      </x:c>
    </x:row>
    <x:row r="1625" ht="23" customHeight="1">
      <x:c r="A1625" s="3" t="str">
        <x:v>CT-1618</x:v>
      </x:c>
      <x:c r="B1625" s="3" t="str">
        <x:v>ST-052</x:v>
      </x:c>
      <x:c r="C1625" s="3" t="str">
        <x:v>仅R回收</x:v>
      </x:c>
      <x:c r="D1625" s="25" t="n">
        <x:v>3</x:v>
      </x:c>
      <x:c r="E1625" s="25" t="n">
        <x:v>1</x:v>
      </x:c>
      <x:c r="F1625" s="25" t="n">
        <x:v>1</x:v>
      </x:c>
      <x:c r="G1625" s="19" t="n">
        <x:f>SUM(D1625:F1625)</x:f>
        <x:v>5</x:v>
      </x:c>
      <x:c r="H1625" s="25" t="n">
        <x:v>2</x:v>
      </x:c>
      <x:c r="I1625" s="25" t="n">
        <x:v>0</x:v>
      </x:c>
      <x:c r="J1625" s="25" t="str">
        <x:v>-</x:v>
      </x:c>
      <x:c r="K1625" s="19" t="n">
        <x:f>D1625-IF(H1625=0,1,0)</x:f>
        <x:v>3</x:v>
      </x:c>
      <x:c r="L1625" s="19" t="n">
        <x:f>E1625-IF(H1625=1,1,0)</x:f>
        <x:v>1</x:v>
      </x:c>
      <x:c r="M1625" s="19" t="n">
        <x:f>F1625-IF(H1625=2,1,0)</x:f>
        <x:v>0</x:v>
      </x:c>
      <x:c r="N1625" s="19" t="n">
        <x:f>MAX(K1625-1,0)+MAX(L1625-1,0)+MAX(M1625-1,0)</x:f>
        <x:v>2</x:v>
      </x:c>
      <x:c r="O1625" s="19" t="n">
        <x:f>IF(AND(SUM(K1625:M1625)&lt;9,OR(M1625=0,N1625&lt;6)),1,0)</x:f>
        <x:v>1</x:v>
      </x:c>
      <x:c r="P1625" s="19" t="n">
        <x:f>IF(AND(SUM(K1625:M1625)&lt;9,OR(L1625=0,N1625&lt;6)),1,0)</x:f>
        <x:v>1</x:v>
      </x:c>
      <x:c r="Q1625" s="19" t="n">
        <x:f>IF(AND(SUM(K1625:M1625)&lt;9,OR(K1625=0,N1625&lt;6)),1,0)</x:f>
        <x:v>1</x:v>
      </x:c>
      <x:c r="R1625" s="22" t="str">
        <x:f>O1625&amp;P1625&amp;Q1625</x:f>
        <x:v>111</x:v>
      </x:c>
      <x:c r="S1625" s="19" t="n">
        <x:f>IF(I1625=1,IF(J1625=0,Q1625,IF(J1625=1,P1625,IF(J1625=2,O1625,0))),0)</x:f>
        <x:v>0</x:v>
      </x:c>
      <x:c r="T1625" s="19" t="n">
        <x:f>K1625+IF(AND(S1625=1,J1625=0),1,0)</x:f>
        <x:v>3</x:v>
      </x:c>
      <x:c r="U1625" s="19" t="n">
        <x:f>L1625+IF(AND(S1625=1,J1625=1),1,0)</x:f>
        <x:v>1</x:v>
      </x:c>
      <x:c r="V1625" s="19" t="n">
        <x:f>M1625+IF(AND(S1625=1,J1625=2),1,0)</x:f>
        <x:v>0</x:v>
      </x:c>
      <x:c r="W1625" s="19" t="n">
        <x:f>SUM(T1625:V1625)</x:f>
        <x:v>4</x:v>
      </x:c>
      <x:c r="X1625" s="19" t="n">
        <x:f>W1625-G1625</x:f>
        <x:v>-1</x:v>
      </x:c>
      <x:c r="Y1625" s="19" t="n">
        <x:f>MAX(T1625,1)+MAX(U1625,1)+MAX(V1625,1)</x:f>
        <x:v>5</x:v>
      </x:c>
      <x:c r="Z1625" s="21" t="str">
        <x:f>IF(AND(MIN(D1625:F1625)&gt;=0,MAX(D1625:F1625)&lt;=7,MAX(D1625,1)+MAX(E1625,1)+MAX(F1625,1)&lt;=9,OR(H1625="-",AND(H1625=0,D1625&gt;0),AND(H1625=1,E1625&gt;0),AND(H1625=2,F1625&gt;0)),OR(I1625=0,AND(I1625=1,OR(J1625=0,J1625=1,J1625=2),R1625&lt;&gt;"000")),Y1625&lt;=9,MIN(T1625:V1625)&gt;=0),"合法","输入违约")</x:f>
        <x:v>合法</x:v>
      </x:c>
    </x:row>
    <x:row r="1626" ht="23" customHeight="1">
      <x:c r="A1626" s="3" t="str">
        <x:v>CT-1619</x:v>
      </x:c>
      <x:c r="B1626" s="3" t="str">
        <x:v>ST-052</x:v>
      </x:c>
      <x:c r="C1626" s="3" t="str">
        <x:v>R+AR同收同发</x:v>
      </x:c>
      <x:c r="D1626" s="25" t="n">
        <x:v>3</x:v>
      </x:c>
      <x:c r="E1626" s="25" t="n">
        <x:v>1</x:v>
      </x:c>
      <x:c r="F1626" s="25" t="n">
        <x:v>1</x:v>
      </x:c>
      <x:c r="G1626" s="19" t="n">
        <x:f>SUM(D1626:F1626)</x:f>
        <x:v>5</x:v>
      </x:c>
      <x:c r="H1626" s="25" t="n">
        <x:v>2</x:v>
      </x:c>
      <x:c r="I1626" s="25" t="n">
        <x:v>1</x:v>
      </x:c>
      <x:c r="J1626" s="25" t="n">
        <x:v>0</x:v>
      </x:c>
      <x:c r="K1626" s="19" t="n">
        <x:f>D1626-IF(H1626=0,1,0)</x:f>
        <x:v>3</x:v>
      </x:c>
      <x:c r="L1626" s="19" t="n">
        <x:f>E1626-IF(H1626=1,1,0)</x:f>
        <x:v>1</x:v>
      </x:c>
      <x:c r="M1626" s="19" t="n">
        <x:f>F1626-IF(H1626=2,1,0)</x:f>
        <x:v>0</x:v>
      </x:c>
      <x:c r="N1626" s="19" t="n">
        <x:f>MAX(K1626-1,0)+MAX(L1626-1,0)+MAX(M1626-1,0)</x:f>
        <x:v>2</x:v>
      </x:c>
      <x:c r="O1626" s="19" t="n">
        <x:f>IF(AND(SUM(K1626:M1626)&lt;9,OR(M1626=0,N1626&lt;6)),1,0)</x:f>
        <x:v>1</x:v>
      </x:c>
      <x:c r="P1626" s="19" t="n">
        <x:f>IF(AND(SUM(K1626:M1626)&lt;9,OR(L1626=0,N1626&lt;6)),1,0)</x:f>
        <x:v>1</x:v>
      </x:c>
      <x:c r="Q1626" s="19" t="n">
        <x:f>IF(AND(SUM(K1626:M1626)&lt;9,OR(K1626=0,N1626&lt;6)),1,0)</x:f>
        <x:v>1</x:v>
      </x:c>
      <x:c r="R1626" s="22" t="str">
        <x:f>O1626&amp;P1626&amp;Q1626</x:f>
        <x:v>111</x:v>
      </x:c>
      <x:c r="S1626" s="19" t="n">
        <x:f>IF(I1626=1,IF(J1626=0,Q1626,IF(J1626=1,P1626,IF(J1626=2,O1626,0))),0)</x:f>
        <x:v>1</x:v>
      </x:c>
      <x:c r="T1626" s="19" t="n">
        <x:f>K1626+IF(AND(S1626=1,J1626=0),1,0)</x:f>
        <x:v>4</x:v>
      </x:c>
      <x:c r="U1626" s="19" t="n">
        <x:f>L1626+IF(AND(S1626=1,J1626=1),1,0)</x:f>
        <x:v>1</x:v>
      </x:c>
      <x:c r="V1626" s="19" t="n">
        <x:f>M1626+IF(AND(S1626=1,J1626=2),1,0)</x:f>
        <x:v>0</x:v>
      </x:c>
      <x:c r="W1626" s="19" t="n">
        <x:f>SUM(T1626:V1626)</x:f>
        <x:v>5</x:v>
      </x:c>
      <x:c r="X1626" s="19" t="n">
        <x:f>W1626-G1626</x:f>
        <x:v>0</x:v>
      </x:c>
      <x:c r="Y1626" s="19" t="n">
        <x:f>MAX(T1626,1)+MAX(U1626,1)+MAX(V1626,1)</x:f>
        <x:v>6</x:v>
      </x:c>
      <x:c r="Z1626" s="21" t="str">
        <x:f>IF(AND(MIN(D1626:F1626)&gt;=0,MAX(D1626:F1626)&lt;=7,MAX(D1626,1)+MAX(E1626,1)+MAX(F1626,1)&lt;=9,OR(H1626="-",AND(H1626=0,D1626&gt;0),AND(H1626=1,E1626&gt;0),AND(H1626=2,F1626&gt;0)),OR(I1626=0,AND(I1626=1,OR(J1626=0,J1626=1,J1626=2),R1626&lt;&gt;"000")),Y1626&lt;=9,MIN(T1626:V1626)&gt;=0),"合法","输入违约")</x:f>
        <x:v>合法</x:v>
      </x:c>
    </x:row>
    <x:row r="1627" ht="23" customHeight="1">
      <x:c r="A1627" s="3" t="str">
        <x:v>CT-1620</x:v>
      </x:c>
      <x:c r="B1627" s="3" t="str">
        <x:v>ST-052</x:v>
      </x:c>
      <x:c r="C1627" s="3" t="str">
        <x:v>R+AR同收同发</x:v>
      </x:c>
      <x:c r="D1627" s="25" t="n">
        <x:v>3</x:v>
      </x:c>
      <x:c r="E1627" s="25" t="n">
        <x:v>1</x:v>
      </x:c>
      <x:c r="F1627" s="25" t="n">
        <x:v>1</x:v>
      </x:c>
      <x:c r="G1627" s="19" t="n">
        <x:f>SUM(D1627:F1627)</x:f>
        <x:v>5</x:v>
      </x:c>
      <x:c r="H1627" s="25" t="n">
        <x:v>2</x:v>
      </x:c>
      <x:c r="I1627" s="25" t="n">
        <x:v>1</x:v>
      </x:c>
      <x:c r="J1627" s="25" t="n">
        <x:v>1</x:v>
      </x:c>
      <x:c r="K1627" s="19" t="n">
        <x:f>D1627-IF(H1627=0,1,0)</x:f>
        <x:v>3</x:v>
      </x:c>
      <x:c r="L1627" s="19" t="n">
        <x:f>E1627-IF(H1627=1,1,0)</x:f>
        <x:v>1</x:v>
      </x:c>
      <x:c r="M1627" s="19" t="n">
        <x:f>F1627-IF(H1627=2,1,0)</x:f>
        <x:v>0</x:v>
      </x:c>
      <x:c r="N1627" s="19" t="n">
        <x:f>MAX(K1627-1,0)+MAX(L1627-1,0)+MAX(M1627-1,0)</x:f>
        <x:v>2</x:v>
      </x:c>
      <x:c r="O1627" s="19" t="n">
        <x:f>IF(AND(SUM(K1627:M1627)&lt;9,OR(M1627=0,N1627&lt;6)),1,0)</x:f>
        <x:v>1</x:v>
      </x:c>
      <x:c r="P1627" s="19" t="n">
        <x:f>IF(AND(SUM(K1627:M1627)&lt;9,OR(L1627=0,N1627&lt;6)),1,0)</x:f>
        <x:v>1</x:v>
      </x:c>
      <x:c r="Q1627" s="19" t="n">
        <x:f>IF(AND(SUM(K1627:M1627)&lt;9,OR(K1627=0,N1627&lt;6)),1,0)</x:f>
        <x:v>1</x:v>
      </x:c>
      <x:c r="R1627" s="22" t="str">
        <x:f>O1627&amp;P1627&amp;Q1627</x:f>
        <x:v>111</x:v>
      </x:c>
      <x:c r="S1627" s="19" t="n">
        <x:f>IF(I1627=1,IF(J1627=0,Q1627,IF(J1627=1,P1627,IF(J1627=2,O1627,0))),0)</x:f>
        <x:v>1</x:v>
      </x:c>
      <x:c r="T1627" s="19" t="n">
        <x:f>K1627+IF(AND(S1627=1,J1627=0),1,0)</x:f>
        <x:v>3</x:v>
      </x:c>
      <x:c r="U1627" s="19" t="n">
        <x:f>L1627+IF(AND(S1627=1,J1627=1),1,0)</x:f>
        <x:v>2</x:v>
      </x:c>
      <x:c r="V1627" s="19" t="n">
        <x:f>M1627+IF(AND(S1627=1,J1627=2),1,0)</x:f>
        <x:v>0</x:v>
      </x:c>
      <x:c r="W1627" s="19" t="n">
        <x:f>SUM(T1627:V1627)</x:f>
        <x:v>5</x:v>
      </x:c>
      <x:c r="X1627" s="19" t="n">
        <x:f>W1627-G1627</x:f>
        <x:v>0</x:v>
      </x:c>
      <x:c r="Y1627" s="19" t="n">
        <x:f>MAX(T1627,1)+MAX(U1627,1)+MAX(V1627,1)</x:f>
        <x:v>6</x:v>
      </x:c>
      <x:c r="Z1627" s="21" t="str">
        <x:f>IF(AND(MIN(D1627:F1627)&gt;=0,MAX(D1627:F1627)&lt;=7,MAX(D1627,1)+MAX(E1627,1)+MAX(F1627,1)&lt;=9,OR(H1627="-",AND(H1627=0,D1627&gt;0),AND(H1627=1,E1627&gt;0),AND(H1627=2,F1627&gt;0)),OR(I1627=0,AND(I1627=1,OR(J1627=0,J1627=1,J1627=2),R1627&lt;&gt;"000")),Y1627&lt;=9,MIN(T1627:V1627)&gt;=0),"合法","输入违约")</x:f>
        <x:v>合法</x:v>
      </x:c>
    </x:row>
    <x:row r="1628" ht="23" customHeight="1">
      <x:c r="A1628" s="3" t="str">
        <x:v>CT-1621</x:v>
      </x:c>
      <x:c r="B1628" s="3" t="str">
        <x:v>ST-052</x:v>
      </x:c>
      <x:c r="C1628" s="3" t="str">
        <x:v>R+AR同收同发</x:v>
      </x:c>
      <x:c r="D1628" s="25" t="n">
        <x:v>3</x:v>
      </x:c>
      <x:c r="E1628" s="25" t="n">
        <x:v>1</x:v>
      </x:c>
      <x:c r="F1628" s="25" t="n">
        <x:v>1</x:v>
      </x:c>
      <x:c r="G1628" s="19" t="n">
        <x:f>SUM(D1628:F1628)</x:f>
        <x:v>5</x:v>
      </x:c>
      <x:c r="H1628" s="25" t="n">
        <x:v>2</x:v>
      </x:c>
      <x:c r="I1628" s="25" t="n">
        <x:v>1</x:v>
      </x:c>
      <x:c r="J1628" s="25" t="n">
        <x:v>2</x:v>
      </x:c>
      <x:c r="K1628" s="19" t="n">
        <x:f>D1628-IF(H1628=0,1,0)</x:f>
        <x:v>3</x:v>
      </x:c>
      <x:c r="L1628" s="19" t="n">
        <x:f>E1628-IF(H1628=1,1,0)</x:f>
        <x:v>1</x:v>
      </x:c>
      <x:c r="M1628" s="19" t="n">
        <x:f>F1628-IF(H1628=2,1,0)</x:f>
        <x:v>0</x:v>
      </x:c>
      <x:c r="N1628" s="19" t="n">
        <x:f>MAX(K1628-1,0)+MAX(L1628-1,0)+MAX(M1628-1,0)</x:f>
        <x:v>2</x:v>
      </x:c>
      <x:c r="O1628" s="19" t="n">
        <x:f>IF(AND(SUM(K1628:M1628)&lt;9,OR(M1628=0,N1628&lt;6)),1,0)</x:f>
        <x:v>1</x:v>
      </x:c>
      <x:c r="P1628" s="19" t="n">
        <x:f>IF(AND(SUM(K1628:M1628)&lt;9,OR(L1628=0,N1628&lt;6)),1,0)</x:f>
        <x:v>1</x:v>
      </x:c>
      <x:c r="Q1628" s="19" t="n">
        <x:f>IF(AND(SUM(K1628:M1628)&lt;9,OR(K1628=0,N1628&lt;6)),1,0)</x:f>
        <x:v>1</x:v>
      </x:c>
      <x:c r="R1628" s="22" t="str">
        <x:f>O1628&amp;P1628&amp;Q1628</x:f>
        <x:v>111</x:v>
      </x:c>
      <x:c r="S1628" s="19" t="n">
        <x:f>IF(I1628=1,IF(J1628=0,Q1628,IF(J1628=1,P1628,IF(J1628=2,O1628,0))),0)</x:f>
        <x:v>1</x:v>
      </x:c>
      <x:c r="T1628" s="19" t="n">
        <x:f>K1628+IF(AND(S1628=1,J1628=0),1,0)</x:f>
        <x:v>3</x:v>
      </x:c>
      <x:c r="U1628" s="19" t="n">
        <x:f>L1628+IF(AND(S1628=1,J1628=1),1,0)</x:f>
        <x:v>1</x:v>
      </x:c>
      <x:c r="V1628" s="19" t="n">
        <x:f>M1628+IF(AND(S1628=1,J1628=2),1,0)</x:f>
        <x:v>1</x:v>
      </x:c>
      <x:c r="W1628" s="19" t="n">
        <x:f>SUM(T1628:V1628)</x:f>
        <x:v>5</x:v>
      </x:c>
      <x:c r="X1628" s="19" t="n">
        <x:f>W1628-G1628</x:f>
        <x:v>0</x:v>
      </x:c>
      <x:c r="Y1628" s="19" t="n">
        <x:f>MAX(T1628,1)+MAX(U1628,1)+MAX(V1628,1)</x:f>
        <x:v>5</x:v>
      </x:c>
      <x:c r="Z1628" s="21" t="str">
        <x:f>IF(AND(MIN(D1628:F1628)&gt;=0,MAX(D1628:F1628)&lt;=7,MAX(D1628,1)+MAX(E1628,1)+MAX(F1628,1)&lt;=9,OR(H1628="-",AND(H1628=0,D1628&gt;0),AND(H1628=1,E1628&gt;0),AND(H1628=2,F1628&gt;0)),OR(I1628=0,AND(I1628=1,OR(J1628=0,J1628=1,J1628=2),R1628&lt;&gt;"000")),Y1628&lt;=9,MIN(T1628:V1628)&gt;=0),"合法","输入违约")</x:f>
        <x:v>合法</x:v>
      </x:c>
    </x:row>
    <x:row r="1629" ht="23" customHeight="1">
      <x:c r="A1629" s="3" t="str">
        <x:v>CT-1622</x:v>
      </x:c>
      <x:c r="B1629" s="3" t="str">
        <x:v>ST-076</x:v>
      </x:c>
      <x:c r="C1629" s="3" t="str">
        <x:v>无AR/R</x:v>
      </x:c>
      <x:c r="D1629" s="25" t="n">
        <x:v>3</x:v>
      </x:c>
      <x:c r="E1629" s="25" t="n">
        <x:v>1</x:v>
      </x:c>
      <x:c r="F1629" s="25" t="n">
        <x:v>2</x:v>
      </x:c>
      <x:c r="G1629" s="19" t="n">
        <x:f>SUM(D1629:F1629)</x:f>
        <x:v>6</x:v>
      </x:c>
      <x:c r="H1629" s="25" t="str">
        <x:v>-</x:v>
      </x:c>
      <x:c r="I1629" s="25" t="n">
        <x:v>0</x:v>
      </x:c>
      <x:c r="J1629" s="25" t="str">
        <x:v>-</x:v>
      </x:c>
      <x:c r="K1629" s="19" t="n">
        <x:f>D1629-IF(H1629=0,1,0)</x:f>
        <x:v>3</x:v>
      </x:c>
      <x:c r="L1629" s="19" t="n">
        <x:f>E1629-IF(H1629=1,1,0)</x:f>
        <x:v>1</x:v>
      </x:c>
      <x:c r="M1629" s="19" t="n">
        <x:f>F1629-IF(H1629=2,1,0)</x:f>
        <x:v>2</x:v>
      </x:c>
      <x:c r="N1629" s="19" t="n">
        <x:f>MAX(K1629-1,0)+MAX(L1629-1,0)+MAX(M1629-1,0)</x:f>
        <x:v>3</x:v>
      </x:c>
      <x:c r="O1629" s="19" t="n">
        <x:f>IF(AND(SUM(K1629:M1629)&lt;9,OR(M1629=0,N1629&lt;6)),1,0)</x:f>
        <x:v>1</x:v>
      </x:c>
      <x:c r="P1629" s="19" t="n">
        <x:f>IF(AND(SUM(K1629:M1629)&lt;9,OR(L1629=0,N1629&lt;6)),1,0)</x:f>
        <x:v>1</x:v>
      </x:c>
      <x:c r="Q1629" s="19" t="n">
        <x:f>IF(AND(SUM(K1629:M1629)&lt;9,OR(K1629=0,N1629&lt;6)),1,0)</x:f>
        <x:v>1</x:v>
      </x:c>
      <x:c r="R1629" s="22" t="str">
        <x:f>O1629&amp;P1629&amp;Q1629</x:f>
        <x:v>111</x:v>
      </x:c>
      <x:c r="S1629" s="19" t="n">
        <x:f>IF(I1629=1,IF(J1629=0,Q1629,IF(J1629=1,P1629,IF(J1629=2,O1629,0))),0)</x:f>
        <x:v>0</x:v>
      </x:c>
      <x:c r="T1629" s="19" t="n">
        <x:f>K1629+IF(AND(S1629=1,J1629=0),1,0)</x:f>
        <x:v>3</x:v>
      </x:c>
      <x:c r="U1629" s="19" t="n">
        <x:f>L1629+IF(AND(S1629=1,J1629=1),1,0)</x:f>
        <x:v>1</x:v>
      </x:c>
      <x:c r="V1629" s="19" t="n">
        <x:f>M1629+IF(AND(S1629=1,J1629=2),1,0)</x:f>
        <x:v>2</x:v>
      </x:c>
      <x:c r="W1629" s="19" t="n">
        <x:f>SUM(T1629:V1629)</x:f>
        <x:v>6</x:v>
      </x:c>
      <x:c r="X1629" s="19" t="n">
        <x:f>W1629-G1629</x:f>
        <x:v>0</x:v>
      </x:c>
      <x:c r="Y1629" s="19" t="n">
        <x:f>MAX(T1629,1)+MAX(U1629,1)+MAX(V1629,1)</x:f>
        <x:v>6</x:v>
      </x:c>
      <x:c r="Z1629" s="21" t="str">
        <x:f>IF(AND(MIN(D1629:F1629)&gt;=0,MAX(D1629:F1629)&lt;=7,MAX(D1629,1)+MAX(E1629,1)+MAX(F1629,1)&lt;=9,OR(H1629="-",AND(H1629=0,D1629&gt;0),AND(H1629=1,E1629&gt;0),AND(H1629=2,F1629&gt;0)),OR(I1629=0,AND(I1629=1,OR(J1629=0,J1629=1,J1629=2),R1629&lt;&gt;"000")),Y1629&lt;=9,MIN(T1629:V1629)&gt;=0),"合法","输入违约")</x:f>
        <x:v>合法</x:v>
      </x:c>
    </x:row>
    <x:row r="1630" ht="23" customHeight="1">
      <x:c r="A1630" s="3" t="str">
        <x:v>CT-1623</x:v>
      </x:c>
      <x:c r="B1630" s="3" t="str">
        <x:v>ST-076</x:v>
      </x:c>
      <x:c r="C1630" s="3" t="str">
        <x:v>仅AR接收</x:v>
      </x:c>
      <x:c r="D1630" s="25" t="n">
        <x:v>3</x:v>
      </x:c>
      <x:c r="E1630" s="25" t="n">
        <x:v>1</x:v>
      </x:c>
      <x:c r="F1630" s="25" t="n">
        <x:v>2</x:v>
      </x:c>
      <x:c r="G1630" s="19" t="n">
        <x:f>SUM(D1630:F1630)</x:f>
        <x:v>6</x:v>
      </x:c>
      <x:c r="H1630" s="25" t="str">
        <x:v>-</x:v>
      </x:c>
      <x:c r="I1630" s="25" t="n">
        <x:v>1</x:v>
      </x:c>
      <x:c r="J1630" s="25" t="n">
        <x:v>0</x:v>
      </x:c>
      <x:c r="K1630" s="19" t="n">
        <x:f>D1630-IF(H1630=0,1,0)</x:f>
        <x:v>3</x:v>
      </x:c>
      <x:c r="L1630" s="19" t="n">
        <x:f>E1630-IF(H1630=1,1,0)</x:f>
        <x:v>1</x:v>
      </x:c>
      <x:c r="M1630" s="19" t="n">
        <x:f>F1630-IF(H1630=2,1,0)</x:f>
        <x:v>2</x:v>
      </x:c>
      <x:c r="N1630" s="19" t="n">
        <x:f>MAX(K1630-1,0)+MAX(L1630-1,0)+MAX(M1630-1,0)</x:f>
        <x:v>3</x:v>
      </x:c>
      <x:c r="O1630" s="19" t="n">
        <x:f>IF(AND(SUM(K1630:M1630)&lt;9,OR(M1630=0,N1630&lt;6)),1,0)</x:f>
        <x:v>1</x:v>
      </x:c>
      <x:c r="P1630" s="19" t="n">
        <x:f>IF(AND(SUM(K1630:M1630)&lt;9,OR(L1630=0,N1630&lt;6)),1,0)</x:f>
        <x:v>1</x:v>
      </x:c>
      <x:c r="Q1630" s="19" t="n">
        <x:f>IF(AND(SUM(K1630:M1630)&lt;9,OR(K1630=0,N1630&lt;6)),1,0)</x:f>
        <x:v>1</x:v>
      </x:c>
      <x:c r="R1630" s="22" t="str">
        <x:f>O1630&amp;P1630&amp;Q1630</x:f>
        <x:v>111</x:v>
      </x:c>
      <x:c r="S1630" s="19" t="n">
        <x:f>IF(I1630=1,IF(J1630=0,Q1630,IF(J1630=1,P1630,IF(J1630=2,O1630,0))),0)</x:f>
        <x:v>1</x:v>
      </x:c>
      <x:c r="T1630" s="19" t="n">
        <x:f>K1630+IF(AND(S1630=1,J1630=0),1,0)</x:f>
        <x:v>4</x:v>
      </x:c>
      <x:c r="U1630" s="19" t="n">
        <x:f>L1630+IF(AND(S1630=1,J1630=1),1,0)</x:f>
        <x:v>1</x:v>
      </x:c>
      <x:c r="V1630" s="19" t="n">
        <x:f>M1630+IF(AND(S1630=1,J1630=2),1,0)</x:f>
        <x:v>2</x:v>
      </x:c>
      <x:c r="W1630" s="19" t="n">
        <x:f>SUM(T1630:V1630)</x:f>
        <x:v>7</x:v>
      </x:c>
      <x:c r="X1630" s="19" t="n">
        <x:f>W1630-G1630</x:f>
        <x:v>1</x:v>
      </x:c>
      <x:c r="Y1630" s="19" t="n">
        <x:f>MAX(T1630,1)+MAX(U1630,1)+MAX(V1630,1)</x:f>
        <x:v>7</x:v>
      </x:c>
      <x:c r="Z1630" s="21" t="str">
        <x:f>IF(AND(MIN(D1630:F1630)&gt;=0,MAX(D1630:F1630)&lt;=7,MAX(D1630,1)+MAX(E1630,1)+MAX(F1630,1)&lt;=9,OR(H1630="-",AND(H1630=0,D1630&gt;0),AND(H1630=1,E1630&gt;0),AND(H1630=2,F1630&gt;0)),OR(I1630=0,AND(I1630=1,OR(J1630=0,J1630=1,J1630=2),R1630&lt;&gt;"000")),Y1630&lt;=9,MIN(T1630:V1630)&gt;=0),"合法","输入违约")</x:f>
        <x:v>合法</x:v>
      </x:c>
    </x:row>
    <x:row r="1631" ht="23" customHeight="1">
      <x:c r="A1631" s="3" t="str">
        <x:v>CT-1624</x:v>
      </x:c>
      <x:c r="B1631" s="3" t="str">
        <x:v>ST-076</x:v>
      </x:c>
      <x:c r="C1631" s="3" t="str">
        <x:v>仅AR接收</x:v>
      </x:c>
      <x:c r="D1631" s="25" t="n">
        <x:v>3</x:v>
      </x:c>
      <x:c r="E1631" s="25" t="n">
        <x:v>1</x:v>
      </x:c>
      <x:c r="F1631" s="25" t="n">
        <x:v>2</x:v>
      </x:c>
      <x:c r="G1631" s="19" t="n">
        <x:f>SUM(D1631:F1631)</x:f>
        <x:v>6</x:v>
      </x:c>
      <x:c r="H1631" s="25" t="str">
        <x:v>-</x:v>
      </x:c>
      <x:c r="I1631" s="25" t="n">
        <x:v>1</x:v>
      </x:c>
      <x:c r="J1631" s="25" t="n">
        <x:v>1</x:v>
      </x:c>
      <x:c r="K1631" s="19" t="n">
        <x:f>D1631-IF(H1631=0,1,0)</x:f>
        <x:v>3</x:v>
      </x:c>
      <x:c r="L1631" s="19" t="n">
        <x:f>E1631-IF(H1631=1,1,0)</x:f>
        <x:v>1</x:v>
      </x:c>
      <x:c r="M1631" s="19" t="n">
        <x:f>F1631-IF(H1631=2,1,0)</x:f>
        <x:v>2</x:v>
      </x:c>
      <x:c r="N1631" s="19" t="n">
        <x:f>MAX(K1631-1,0)+MAX(L1631-1,0)+MAX(M1631-1,0)</x:f>
        <x:v>3</x:v>
      </x:c>
      <x:c r="O1631" s="19" t="n">
        <x:f>IF(AND(SUM(K1631:M1631)&lt;9,OR(M1631=0,N1631&lt;6)),1,0)</x:f>
        <x:v>1</x:v>
      </x:c>
      <x:c r="P1631" s="19" t="n">
        <x:f>IF(AND(SUM(K1631:M1631)&lt;9,OR(L1631=0,N1631&lt;6)),1,0)</x:f>
        <x:v>1</x:v>
      </x:c>
      <x:c r="Q1631" s="19" t="n">
        <x:f>IF(AND(SUM(K1631:M1631)&lt;9,OR(K1631=0,N1631&lt;6)),1,0)</x:f>
        <x:v>1</x:v>
      </x:c>
      <x:c r="R1631" s="22" t="str">
        <x:f>O1631&amp;P1631&amp;Q1631</x:f>
        <x:v>111</x:v>
      </x:c>
      <x:c r="S1631" s="19" t="n">
        <x:f>IF(I1631=1,IF(J1631=0,Q1631,IF(J1631=1,P1631,IF(J1631=2,O1631,0))),0)</x:f>
        <x:v>1</x:v>
      </x:c>
      <x:c r="T1631" s="19" t="n">
        <x:f>K1631+IF(AND(S1631=1,J1631=0),1,0)</x:f>
        <x:v>3</x:v>
      </x:c>
      <x:c r="U1631" s="19" t="n">
        <x:f>L1631+IF(AND(S1631=1,J1631=1),1,0)</x:f>
        <x:v>2</x:v>
      </x:c>
      <x:c r="V1631" s="19" t="n">
        <x:f>M1631+IF(AND(S1631=1,J1631=2),1,0)</x:f>
        <x:v>2</x:v>
      </x:c>
      <x:c r="W1631" s="19" t="n">
        <x:f>SUM(T1631:V1631)</x:f>
        <x:v>7</x:v>
      </x:c>
      <x:c r="X1631" s="19" t="n">
        <x:f>W1631-G1631</x:f>
        <x:v>1</x:v>
      </x:c>
      <x:c r="Y1631" s="19" t="n">
        <x:f>MAX(T1631,1)+MAX(U1631,1)+MAX(V1631,1)</x:f>
        <x:v>7</x:v>
      </x:c>
      <x:c r="Z1631" s="21" t="str">
        <x:f>IF(AND(MIN(D1631:F1631)&gt;=0,MAX(D1631:F1631)&lt;=7,MAX(D1631,1)+MAX(E1631,1)+MAX(F1631,1)&lt;=9,OR(H1631="-",AND(H1631=0,D1631&gt;0),AND(H1631=1,E1631&gt;0),AND(H1631=2,F1631&gt;0)),OR(I1631=0,AND(I1631=1,OR(J1631=0,J1631=1,J1631=2),R1631&lt;&gt;"000")),Y1631&lt;=9,MIN(T1631:V1631)&gt;=0),"合法","输入违约")</x:f>
        <x:v>合法</x:v>
      </x:c>
    </x:row>
    <x:row r="1632" ht="23" customHeight="1">
      <x:c r="A1632" s="3" t="str">
        <x:v>CT-1625</x:v>
      </x:c>
      <x:c r="B1632" s="3" t="str">
        <x:v>ST-076</x:v>
      </x:c>
      <x:c r="C1632" s="3" t="str">
        <x:v>仅AR接收</x:v>
      </x:c>
      <x:c r="D1632" s="25" t="n">
        <x:v>3</x:v>
      </x:c>
      <x:c r="E1632" s="25" t="n">
        <x:v>1</x:v>
      </x:c>
      <x:c r="F1632" s="25" t="n">
        <x:v>2</x:v>
      </x:c>
      <x:c r="G1632" s="19" t="n">
        <x:f>SUM(D1632:F1632)</x:f>
        <x:v>6</x:v>
      </x:c>
      <x:c r="H1632" s="25" t="str">
        <x:v>-</x:v>
      </x:c>
      <x:c r="I1632" s="25" t="n">
        <x:v>1</x:v>
      </x:c>
      <x:c r="J1632" s="25" t="n">
        <x:v>2</x:v>
      </x:c>
      <x:c r="K1632" s="19" t="n">
        <x:f>D1632-IF(H1632=0,1,0)</x:f>
        <x:v>3</x:v>
      </x:c>
      <x:c r="L1632" s="19" t="n">
        <x:f>E1632-IF(H1632=1,1,0)</x:f>
        <x:v>1</x:v>
      </x:c>
      <x:c r="M1632" s="19" t="n">
        <x:f>F1632-IF(H1632=2,1,0)</x:f>
        <x:v>2</x:v>
      </x:c>
      <x:c r="N1632" s="19" t="n">
        <x:f>MAX(K1632-1,0)+MAX(L1632-1,0)+MAX(M1632-1,0)</x:f>
        <x:v>3</x:v>
      </x:c>
      <x:c r="O1632" s="19" t="n">
        <x:f>IF(AND(SUM(K1632:M1632)&lt;9,OR(M1632=0,N1632&lt;6)),1,0)</x:f>
        <x:v>1</x:v>
      </x:c>
      <x:c r="P1632" s="19" t="n">
        <x:f>IF(AND(SUM(K1632:M1632)&lt;9,OR(L1632=0,N1632&lt;6)),1,0)</x:f>
        <x:v>1</x:v>
      </x:c>
      <x:c r="Q1632" s="19" t="n">
        <x:f>IF(AND(SUM(K1632:M1632)&lt;9,OR(K1632=0,N1632&lt;6)),1,0)</x:f>
        <x:v>1</x:v>
      </x:c>
      <x:c r="R1632" s="22" t="str">
        <x:f>O1632&amp;P1632&amp;Q1632</x:f>
        <x:v>111</x:v>
      </x:c>
      <x:c r="S1632" s="19" t="n">
        <x:f>IF(I1632=1,IF(J1632=0,Q1632,IF(J1632=1,P1632,IF(J1632=2,O1632,0))),0)</x:f>
        <x:v>1</x:v>
      </x:c>
      <x:c r="T1632" s="19" t="n">
        <x:f>K1632+IF(AND(S1632=1,J1632=0),1,0)</x:f>
        <x:v>3</x:v>
      </x:c>
      <x:c r="U1632" s="19" t="n">
        <x:f>L1632+IF(AND(S1632=1,J1632=1),1,0)</x:f>
        <x:v>1</x:v>
      </x:c>
      <x:c r="V1632" s="19" t="n">
        <x:f>M1632+IF(AND(S1632=1,J1632=2),1,0)</x:f>
        <x:v>3</x:v>
      </x:c>
      <x:c r="W1632" s="19" t="n">
        <x:f>SUM(T1632:V1632)</x:f>
        <x:v>7</x:v>
      </x:c>
      <x:c r="X1632" s="19" t="n">
        <x:f>W1632-G1632</x:f>
        <x:v>1</x:v>
      </x:c>
      <x:c r="Y1632" s="19" t="n">
        <x:f>MAX(T1632,1)+MAX(U1632,1)+MAX(V1632,1)</x:f>
        <x:v>7</x:v>
      </x:c>
      <x:c r="Z1632" s="21" t="str">
        <x:f>IF(AND(MIN(D1632:F1632)&gt;=0,MAX(D1632:F1632)&lt;=7,MAX(D1632,1)+MAX(E1632,1)+MAX(F1632,1)&lt;=9,OR(H1632="-",AND(H1632=0,D1632&gt;0),AND(H1632=1,E1632&gt;0),AND(H1632=2,F1632&gt;0)),OR(I1632=0,AND(I1632=1,OR(J1632=0,J1632=1,J1632=2),R1632&lt;&gt;"000")),Y1632&lt;=9,MIN(T1632:V1632)&gt;=0),"合法","输入违约")</x:f>
        <x:v>合法</x:v>
      </x:c>
    </x:row>
    <x:row r="1633" ht="23" customHeight="1">
      <x:c r="A1633" s="3" t="str">
        <x:v>CT-1626</x:v>
      </x:c>
      <x:c r="B1633" s="3" t="str">
        <x:v>ST-076</x:v>
      </x:c>
      <x:c r="C1633" s="3" t="str">
        <x:v>仅R回收</x:v>
      </x:c>
      <x:c r="D1633" s="25" t="n">
        <x:v>3</x:v>
      </x:c>
      <x:c r="E1633" s="25" t="n">
        <x:v>1</x:v>
      </x:c>
      <x:c r="F1633" s="25" t="n">
        <x:v>2</x:v>
      </x:c>
      <x:c r="G1633" s="19" t="n">
        <x:f>SUM(D1633:F1633)</x:f>
        <x:v>6</x:v>
      </x:c>
      <x:c r="H1633" s="25" t="n">
        <x:v>0</x:v>
      </x:c>
      <x:c r="I1633" s="25" t="n">
        <x:v>0</x:v>
      </x:c>
      <x:c r="J1633" s="25" t="str">
        <x:v>-</x:v>
      </x:c>
      <x:c r="K1633" s="19" t="n">
        <x:f>D1633-IF(H1633=0,1,0)</x:f>
        <x:v>2</x:v>
      </x:c>
      <x:c r="L1633" s="19" t="n">
        <x:f>E1633-IF(H1633=1,1,0)</x:f>
        <x:v>1</x:v>
      </x:c>
      <x:c r="M1633" s="19" t="n">
        <x:f>F1633-IF(H1633=2,1,0)</x:f>
        <x:v>2</x:v>
      </x:c>
      <x:c r="N1633" s="19" t="n">
        <x:f>MAX(K1633-1,0)+MAX(L1633-1,0)+MAX(M1633-1,0)</x:f>
        <x:v>2</x:v>
      </x:c>
      <x:c r="O1633" s="19" t="n">
        <x:f>IF(AND(SUM(K1633:M1633)&lt;9,OR(M1633=0,N1633&lt;6)),1,0)</x:f>
        <x:v>1</x:v>
      </x:c>
      <x:c r="P1633" s="19" t="n">
        <x:f>IF(AND(SUM(K1633:M1633)&lt;9,OR(L1633=0,N1633&lt;6)),1,0)</x:f>
        <x:v>1</x:v>
      </x:c>
      <x:c r="Q1633" s="19" t="n">
        <x:f>IF(AND(SUM(K1633:M1633)&lt;9,OR(K1633=0,N1633&lt;6)),1,0)</x:f>
        <x:v>1</x:v>
      </x:c>
      <x:c r="R1633" s="22" t="str">
        <x:f>O1633&amp;P1633&amp;Q1633</x:f>
        <x:v>111</x:v>
      </x:c>
      <x:c r="S1633" s="19" t="n">
        <x:f>IF(I1633=1,IF(J1633=0,Q1633,IF(J1633=1,P1633,IF(J1633=2,O1633,0))),0)</x:f>
        <x:v>0</x:v>
      </x:c>
      <x:c r="T1633" s="19" t="n">
        <x:f>K1633+IF(AND(S1633=1,J1633=0),1,0)</x:f>
        <x:v>2</x:v>
      </x:c>
      <x:c r="U1633" s="19" t="n">
        <x:f>L1633+IF(AND(S1633=1,J1633=1),1,0)</x:f>
        <x:v>1</x:v>
      </x:c>
      <x:c r="V1633" s="19" t="n">
        <x:f>M1633+IF(AND(S1633=1,J1633=2),1,0)</x:f>
        <x:v>2</x:v>
      </x:c>
      <x:c r="W1633" s="19" t="n">
        <x:f>SUM(T1633:V1633)</x:f>
        <x:v>5</x:v>
      </x:c>
      <x:c r="X1633" s="19" t="n">
        <x:f>W1633-G1633</x:f>
        <x:v>-1</x:v>
      </x:c>
      <x:c r="Y1633" s="19" t="n">
        <x:f>MAX(T1633,1)+MAX(U1633,1)+MAX(V1633,1)</x:f>
        <x:v>5</x:v>
      </x:c>
      <x:c r="Z1633" s="21" t="str">
        <x:f>IF(AND(MIN(D1633:F1633)&gt;=0,MAX(D1633:F1633)&lt;=7,MAX(D1633,1)+MAX(E1633,1)+MAX(F1633,1)&lt;=9,OR(H1633="-",AND(H1633=0,D1633&gt;0),AND(H1633=1,E1633&gt;0),AND(H1633=2,F1633&gt;0)),OR(I1633=0,AND(I1633=1,OR(J1633=0,J1633=1,J1633=2),R1633&lt;&gt;"000")),Y1633&lt;=9,MIN(T1633:V1633)&gt;=0),"合法","输入违约")</x:f>
        <x:v>合法</x:v>
      </x:c>
    </x:row>
    <x:row r="1634" ht="23" customHeight="1">
      <x:c r="A1634" s="3" t="str">
        <x:v>CT-1627</x:v>
      </x:c>
      <x:c r="B1634" s="3" t="str">
        <x:v>ST-076</x:v>
      </x:c>
      <x:c r="C1634" s="3" t="str">
        <x:v>R+AR同收同发</x:v>
      </x:c>
      <x:c r="D1634" s="25" t="n">
        <x:v>3</x:v>
      </x:c>
      <x:c r="E1634" s="25" t="n">
        <x:v>1</x:v>
      </x:c>
      <x:c r="F1634" s="25" t="n">
        <x:v>2</x:v>
      </x:c>
      <x:c r="G1634" s="19" t="n">
        <x:f>SUM(D1634:F1634)</x:f>
        <x:v>6</x:v>
      </x:c>
      <x:c r="H1634" s="25" t="n">
        <x:v>0</x:v>
      </x:c>
      <x:c r="I1634" s="25" t="n">
        <x:v>1</x:v>
      </x:c>
      <x:c r="J1634" s="25" t="n">
        <x:v>0</x:v>
      </x:c>
      <x:c r="K1634" s="19" t="n">
        <x:f>D1634-IF(H1634=0,1,0)</x:f>
        <x:v>2</x:v>
      </x:c>
      <x:c r="L1634" s="19" t="n">
        <x:f>E1634-IF(H1634=1,1,0)</x:f>
        <x:v>1</x:v>
      </x:c>
      <x:c r="M1634" s="19" t="n">
        <x:f>F1634-IF(H1634=2,1,0)</x:f>
        <x:v>2</x:v>
      </x:c>
      <x:c r="N1634" s="19" t="n">
        <x:f>MAX(K1634-1,0)+MAX(L1634-1,0)+MAX(M1634-1,0)</x:f>
        <x:v>2</x:v>
      </x:c>
      <x:c r="O1634" s="19" t="n">
        <x:f>IF(AND(SUM(K1634:M1634)&lt;9,OR(M1634=0,N1634&lt;6)),1,0)</x:f>
        <x:v>1</x:v>
      </x:c>
      <x:c r="P1634" s="19" t="n">
        <x:f>IF(AND(SUM(K1634:M1634)&lt;9,OR(L1634=0,N1634&lt;6)),1,0)</x:f>
        <x:v>1</x:v>
      </x:c>
      <x:c r="Q1634" s="19" t="n">
        <x:f>IF(AND(SUM(K1634:M1634)&lt;9,OR(K1634=0,N1634&lt;6)),1,0)</x:f>
        <x:v>1</x:v>
      </x:c>
      <x:c r="R1634" s="22" t="str">
        <x:f>O1634&amp;P1634&amp;Q1634</x:f>
        <x:v>111</x:v>
      </x:c>
      <x:c r="S1634" s="19" t="n">
        <x:f>IF(I1634=1,IF(J1634=0,Q1634,IF(J1634=1,P1634,IF(J1634=2,O1634,0))),0)</x:f>
        <x:v>1</x:v>
      </x:c>
      <x:c r="T1634" s="19" t="n">
        <x:f>K1634+IF(AND(S1634=1,J1634=0),1,0)</x:f>
        <x:v>3</x:v>
      </x:c>
      <x:c r="U1634" s="19" t="n">
        <x:f>L1634+IF(AND(S1634=1,J1634=1),1,0)</x:f>
        <x:v>1</x:v>
      </x:c>
      <x:c r="V1634" s="19" t="n">
        <x:f>M1634+IF(AND(S1634=1,J1634=2),1,0)</x:f>
        <x:v>2</x:v>
      </x:c>
      <x:c r="W1634" s="19" t="n">
        <x:f>SUM(T1634:V1634)</x:f>
        <x:v>6</x:v>
      </x:c>
      <x:c r="X1634" s="19" t="n">
        <x:f>W1634-G1634</x:f>
        <x:v>0</x:v>
      </x:c>
      <x:c r="Y1634" s="19" t="n">
        <x:f>MAX(T1634,1)+MAX(U1634,1)+MAX(V1634,1)</x:f>
        <x:v>6</x:v>
      </x:c>
      <x:c r="Z1634" s="21" t="str">
        <x:f>IF(AND(MIN(D1634:F1634)&gt;=0,MAX(D1634:F1634)&lt;=7,MAX(D1634,1)+MAX(E1634,1)+MAX(F1634,1)&lt;=9,OR(H1634="-",AND(H1634=0,D1634&gt;0),AND(H1634=1,E1634&gt;0),AND(H1634=2,F1634&gt;0)),OR(I1634=0,AND(I1634=1,OR(J1634=0,J1634=1,J1634=2),R1634&lt;&gt;"000")),Y1634&lt;=9,MIN(T1634:V1634)&gt;=0),"合法","输入违约")</x:f>
        <x:v>合法</x:v>
      </x:c>
    </x:row>
    <x:row r="1635" ht="23" customHeight="1">
      <x:c r="A1635" s="3" t="str">
        <x:v>CT-1628</x:v>
      </x:c>
      <x:c r="B1635" s="3" t="str">
        <x:v>ST-076</x:v>
      </x:c>
      <x:c r="C1635" s="3" t="str">
        <x:v>R+AR同收同发</x:v>
      </x:c>
      <x:c r="D1635" s="25" t="n">
        <x:v>3</x:v>
      </x:c>
      <x:c r="E1635" s="25" t="n">
        <x:v>1</x:v>
      </x:c>
      <x:c r="F1635" s="25" t="n">
        <x:v>2</x:v>
      </x:c>
      <x:c r="G1635" s="19" t="n">
        <x:f>SUM(D1635:F1635)</x:f>
        <x:v>6</x:v>
      </x:c>
      <x:c r="H1635" s="25" t="n">
        <x:v>0</x:v>
      </x:c>
      <x:c r="I1635" s="25" t="n">
        <x:v>1</x:v>
      </x:c>
      <x:c r="J1635" s="25" t="n">
        <x:v>1</x:v>
      </x:c>
      <x:c r="K1635" s="19" t="n">
        <x:f>D1635-IF(H1635=0,1,0)</x:f>
        <x:v>2</x:v>
      </x:c>
      <x:c r="L1635" s="19" t="n">
        <x:f>E1635-IF(H1635=1,1,0)</x:f>
        <x:v>1</x:v>
      </x:c>
      <x:c r="M1635" s="19" t="n">
        <x:f>F1635-IF(H1635=2,1,0)</x:f>
        <x:v>2</x:v>
      </x:c>
      <x:c r="N1635" s="19" t="n">
        <x:f>MAX(K1635-1,0)+MAX(L1635-1,0)+MAX(M1635-1,0)</x:f>
        <x:v>2</x:v>
      </x:c>
      <x:c r="O1635" s="19" t="n">
        <x:f>IF(AND(SUM(K1635:M1635)&lt;9,OR(M1635=0,N1635&lt;6)),1,0)</x:f>
        <x:v>1</x:v>
      </x:c>
      <x:c r="P1635" s="19" t="n">
        <x:f>IF(AND(SUM(K1635:M1635)&lt;9,OR(L1635=0,N1635&lt;6)),1,0)</x:f>
        <x:v>1</x:v>
      </x:c>
      <x:c r="Q1635" s="19" t="n">
        <x:f>IF(AND(SUM(K1635:M1635)&lt;9,OR(K1635=0,N1635&lt;6)),1,0)</x:f>
        <x:v>1</x:v>
      </x:c>
      <x:c r="R1635" s="22" t="str">
        <x:f>O1635&amp;P1635&amp;Q1635</x:f>
        <x:v>111</x:v>
      </x:c>
      <x:c r="S1635" s="19" t="n">
        <x:f>IF(I1635=1,IF(J1635=0,Q1635,IF(J1635=1,P1635,IF(J1635=2,O1635,0))),0)</x:f>
        <x:v>1</x:v>
      </x:c>
      <x:c r="T1635" s="19" t="n">
        <x:f>K1635+IF(AND(S1635=1,J1635=0),1,0)</x:f>
        <x:v>2</x:v>
      </x:c>
      <x:c r="U1635" s="19" t="n">
        <x:f>L1635+IF(AND(S1635=1,J1635=1),1,0)</x:f>
        <x:v>2</x:v>
      </x:c>
      <x:c r="V1635" s="19" t="n">
        <x:f>M1635+IF(AND(S1635=1,J1635=2),1,0)</x:f>
        <x:v>2</x:v>
      </x:c>
      <x:c r="W1635" s="19" t="n">
        <x:f>SUM(T1635:V1635)</x:f>
        <x:v>6</x:v>
      </x:c>
      <x:c r="X1635" s="19" t="n">
        <x:f>W1635-G1635</x:f>
        <x:v>0</x:v>
      </x:c>
      <x:c r="Y1635" s="19" t="n">
        <x:f>MAX(T1635,1)+MAX(U1635,1)+MAX(V1635,1)</x:f>
        <x:v>6</x:v>
      </x:c>
      <x:c r="Z1635" s="21" t="str">
        <x:f>IF(AND(MIN(D1635:F1635)&gt;=0,MAX(D1635:F1635)&lt;=7,MAX(D1635,1)+MAX(E1635,1)+MAX(F1635,1)&lt;=9,OR(H1635="-",AND(H1635=0,D1635&gt;0),AND(H1635=1,E1635&gt;0),AND(H1635=2,F1635&gt;0)),OR(I1635=0,AND(I1635=1,OR(J1635=0,J1635=1,J1635=2),R1635&lt;&gt;"000")),Y1635&lt;=9,MIN(T1635:V1635)&gt;=0),"合法","输入违约")</x:f>
        <x:v>合法</x:v>
      </x:c>
    </x:row>
    <x:row r="1636" ht="23" customHeight="1">
      <x:c r="A1636" s="3" t="str">
        <x:v>CT-1629</x:v>
      </x:c>
      <x:c r="B1636" s="3" t="str">
        <x:v>ST-076</x:v>
      </x:c>
      <x:c r="C1636" s="3" t="str">
        <x:v>R+AR同收同发</x:v>
      </x:c>
      <x:c r="D1636" s="25" t="n">
        <x:v>3</x:v>
      </x:c>
      <x:c r="E1636" s="25" t="n">
        <x:v>1</x:v>
      </x:c>
      <x:c r="F1636" s="25" t="n">
        <x:v>2</x:v>
      </x:c>
      <x:c r="G1636" s="19" t="n">
        <x:f>SUM(D1636:F1636)</x:f>
        <x:v>6</x:v>
      </x:c>
      <x:c r="H1636" s="25" t="n">
        <x:v>0</x:v>
      </x:c>
      <x:c r="I1636" s="25" t="n">
        <x:v>1</x:v>
      </x:c>
      <x:c r="J1636" s="25" t="n">
        <x:v>2</x:v>
      </x:c>
      <x:c r="K1636" s="19" t="n">
        <x:f>D1636-IF(H1636=0,1,0)</x:f>
        <x:v>2</x:v>
      </x:c>
      <x:c r="L1636" s="19" t="n">
        <x:f>E1636-IF(H1636=1,1,0)</x:f>
        <x:v>1</x:v>
      </x:c>
      <x:c r="M1636" s="19" t="n">
        <x:f>F1636-IF(H1636=2,1,0)</x:f>
        <x:v>2</x:v>
      </x:c>
      <x:c r="N1636" s="19" t="n">
        <x:f>MAX(K1636-1,0)+MAX(L1636-1,0)+MAX(M1636-1,0)</x:f>
        <x:v>2</x:v>
      </x:c>
      <x:c r="O1636" s="19" t="n">
        <x:f>IF(AND(SUM(K1636:M1636)&lt;9,OR(M1636=0,N1636&lt;6)),1,0)</x:f>
        <x:v>1</x:v>
      </x:c>
      <x:c r="P1636" s="19" t="n">
        <x:f>IF(AND(SUM(K1636:M1636)&lt;9,OR(L1636=0,N1636&lt;6)),1,0)</x:f>
        <x:v>1</x:v>
      </x:c>
      <x:c r="Q1636" s="19" t="n">
        <x:f>IF(AND(SUM(K1636:M1636)&lt;9,OR(K1636=0,N1636&lt;6)),1,0)</x:f>
        <x:v>1</x:v>
      </x:c>
      <x:c r="R1636" s="22" t="str">
        <x:f>O1636&amp;P1636&amp;Q1636</x:f>
        <x:v>111</x:v>
      </x:c>
      <x:c r="S1636" s="19" t="n">
        <x:f>IF(I1636=1,IF(J1636=0,Q1636,IF(J1636=1,P1636,IF(J1636=2,O1636,0))),0)</x:f>
        <x:v>1</x:v>
      </x:c>
      <x:c r="T1636" s="19" t="n">
        <x:f>K1636+IF(AND(S1636=1,J1636=0),1,0)</x:f>
        <x:v>2</x:v>
      </x:c>
      <x:c r="U1636" s="19" t="n">
        <x:f>L1636+IF(AND(S1636=1,J1636=1),1,0)</x:f>
        <x:v>1</x:v>
      </x:c>
      <x:c r="V1636" s="19" t="n">
        <x:f>M1636+IF(AND(S1636=1,J1636=2),1,0)</x:f>
        <x:v>3</x:v>
      </x:c>
      <x:c r="W1636" s="19" t="n">
        <x:f>SUM(T1636:V1636)</x:f>
        <x:v>6</x:v>
      </x:c>
      <x:c r="X1636" s="19" t="n">
        <x:f>W1636-G1636</x:f>
        <x:v>0</x:v>
      </x:c>
      <x:c r="Y1636" s="19" t="n">
        <x:f>MAX(T1636,1)+MAX(U1636,1)+MAX(V1636,1)</x:f>
        <x:v>6</x:v>
      </x:c>
      <x:c r="Z1636" s="21" t="str">
        <x:f>IF(AND(MIN(D1636:F1636)&gt;=0,MAX(D1636:F1636)&lt;=7,MAX(D1636,1)+MAX(E1636,1)+MAX(F1636,1)&lt;=9,OR(H1636="-",AND(H1636=0,D1636&gt;0),AND(H1636=1,E1636&gt;0),AND(H1636=2,F1636&gt;0)),OR(I1636=0,AND(I1636=1,OR(J1636=0,J1636=1,J1636=2),R1636&lt;&gt;"000")),Y1636&lt;=9,MIN(T1636:V1636)&gt;=0),"合法","输入违约")</x:f>
        <x:v>合法</x:v>
      </x:c>
    </x:row>
    <x:row r="1637" ht="23" customHeight="1">
      <x:c r="A1637" s="3" t="str">
        <x:v>CT-1630</x:v>
      </x:c>
      <x:c r="B1637" s="3" t="str">
        <x:v>ST-076</x:v>
      </x:c>
      <x:c r="C1637" s="3" t="str">
        <x:v>仅R回收</x:v>
      </x:c>
      <x:c r="D1637" s="25" t="n">
        <x:v>3</x:v>
      </x:c>
      <x:c r="E1637" s="25" t="n">
        <x:v>1</x:v>
      </x:c>
      <x:c r="F1637" s="25" t="n">
        <x:v>2</x:v>
      </x:c>
      <x:c r="G1637" s="19" t="n">
        <x:f>SUM(D1637:F1637)</x:f>
        <x:v>6</x:v>
      </x:c>
      <x:c r="H1637" s="25" t="n">
        <x:v>1</x:v>
      </x:c>
      <x:c r="I1637" s="25" t="n">
        <x:v>0</x:v>
      </x:c>
      <x:c r="J1637" s="25" t="str">
        <x:v>-</x:v>
      </x:c>
      <x:c r="K1637" s="19" t="n">
        <x:f>D1637-IF(H1637=0,1,0)</x:f>
        <x:v>3</x:v>
      </x:c>
      <x:c r="L1637" s="19" t="n">
        <x:f>E1637-IF(H1637=1,1,0)</x:f>
        <x:v>0</x:v>
      </x:c>
      <x:c r="M1637" s="19" t="n">
        <x:f>F1637-IF(H1637=2,1,0)</x:f>
        <x:v>2</x:v>
      </x:c>
      <x:c r="N1637" s="19" t="n">
        <x:f>MAX(K1637-1,0)+MAX(L1637-1,0)+MAX(M1637-1,0)</x:f>
        <x:v>3</x:v>
      </x:c>
      <x:c r="O1637" s="19" t="n">
        <x:f>IF(AND(SUM(K1637:M1637)&lt;9,OR(M1637=0,N1637&lt;6)),1,0)</x:f>
        <x:v>1</x:v>
      </x:c>
      <x:c r="P1637" s="19" t="n">
        <x:f>IF(AND(SUM(K1637:M1637)&lt;9,OR(L1637=0,N1637&lt;6)),1,0)</x:f>
        <x:v>1</x:v>
      </x:c>
      <x:c r="Q1637" s="19" t="n">
        <x:f>IF(AND(SUM(K1637:M1637)&lt;9,OR(K1637=0,N1637&lt;6)),1,0)</x:f>
        <x:v>1</x:v>
      </x:c>
      <x:c r="R1637" s="22" t="str">
        <x:f>O1637&amp;P1637&amp;Q1637</x:f>
        <x:v>111</x:v>
      </x:c>
      <x:c r="S1637" s="19" t="n">
        <x:f>IF(I1637=1,IF(J1637=0,Q1637,IF(J1637=1,P1637,IF(J1637=2,O1637,0))),0)</x:f>
        <x:v>0</x:v>
      </x:c>
      <x:c r="T1637" s="19" t="n">
        <x:f>K1637+IF(AND(S1637=1,J1637=0),1,0)</x:f>
        <x:v>3</x:v>
      </x:c>
      <x:c r="U1637" s="19" t="n">
        <x:f>L1637+IF(AND(S1637=1,J1637=1),1,0)</x:f>
        <x:v>0</x:v>
      </x:c>
      <x:c r="V1637" s="19" t="n">
        <x:f>M1637+IF(AND(S1637=1,J1637=2),1,0)</x:f>
        <x:v>2</x:v>
      </x:c>
      <x:c r="W1637" s="19" t="n">
        <x:f>SUM(T1637:V1637)</x:f>
        <x:v>5</x:v>
      </x:c>
      <x:c r="X1637" s="19" t="n">
        <x:f>W1637-G1637</x:f>
        <x:v>-1</x:v>
      </x:c>
      <x:c r="Y1637" s="19" t="n">
        <x:f>MAX(T1637,1)+MAX(U1637,1)+MAX(V1637,1)</x:f>
        <x:v>6</x:v>
      </x:c>
      <x:c r="Z1637" s="21" t="str">
        <x:f>IF(AND(MIN(D1637:F1637)&gt;=0,MAX(D1637:F1637)&lt;=7,MAX(D1637,1)+MAX(E1637,1)+MAX(F1637,1)&lt;=9,OR(H1637="-",AND(H1637=0,D1637&gt;0),AND(H1637=1,E1637&gt;0),AND(H1637=2,F1637&gt;0)),OR(I1637=0,AND(I1637=1,OR(J1637=0,J1637=1,J1637=2),R1637&lt;&gt;"000")),Y1637&lt;=9,MIN(T1637:V1637)&gt;=0),"合法","输入违约")</x:f>
        <x:v>合法</x:v>
      </x:c>
    </x:row>
    <x:row r="1638" ht="23" customHeight="1">
      <x:c r="A1638" s="3" t="str">
        <x:v>CT-1631</x:v>
      </x:c>
      <x:c r="B1638" s="3" t="str">
        <x:v>ST-076</x:v>
      </x:c>
      <x:c r="C1638" s="3" t="str">
        <x:v>R+AR同收同发</x:v>
      </x:c>
      <x:c r="D1638" s="25" t="n">
        <x:v>3</x:v>
      </x:c>
      <x:c r="E1638" s="25" t="n">
        <x:v>1</x:v>
      </x:c>
      <x:c r="F1638" s="25" t="n">
        <x:v>2</x:v>
      </x:c>
      <x:c r="G1638" s="19" t="n">
        <x:f>SUM(D1638:F1638)</x:f>
        <x:v>6</x:v>
      </x:c>
      <x:c r="H1638" s="25" t="n">
        <x:v>1</x:v>
      </x:c>
      <x:c r="I1638" s="25" t="n">
        <x:v>1</x:v>
      </x:c>
      <x:c r="J1638" s="25" t="n">
        <x:v>0</x:v>
      </x:c>
      <x:c r="K1638" s="19" t="n">
        <x:f>D1638-IF(H1638=0,1,0)</x:f>
        <x:v>3</x:v>
      </x:c>
      <x:c r="L1638" s="19" t="n">
        <x:f>E1638-IF(H1638=1,1,0)</x:f>
        <x:v>0</x:v>
      </x:c>
      <x:c r="M1638" s="19" t="n">
        <x:f>F1638-IF(H1638=2,1,0)</x:f>
        <x:v>2</x:v>
      </x:c>
      <x:c r="N1638" s="19" t="n">
        <x:f>MAX(K1638-1,0)+MAX(L1638-1,0)+MAX(M1638-1,0)</x:f>
        <x:v>3</x:v>
      </x:c>
      <x:c r="O1638" s="19" t="n">
        <x:f>IF(AND(SUM(K1638:M1638)&lt;9,OR(M1638=0,N1638&lt;6)),1,0)</x:f>
        <x:v>1</x:v>
      </x:c>
      <x:c r="P1638" s="19" t="n">
        <x:f>IF(AND(SUM(K1638:M1638)&lt;9,OR(L1638=0,N1638&lt;6)),1,0)</x:f>
        <x:v>1</x:v>
      </x:c>
      <x:c r="Q1638" s="19" t="n">
        <x:f>IF(AND(SUM(K1638:M1638)&lt;9,OR(K1638=0,N1638&lt;6)),1,0)</x:f>
        <x:v>1</x:v>
      </x:c>
      <x:c r="R1638" s="22" t="str">
        <x:f>O1638&amp;P1638&amp;Q1638</x:f>
        <x:v>111</x:v>
      </x:c>
      <x:c r="S1638" s="19" t="n">
        <x:f>IF(I1638=1,IF(J1638=0,Q1638,IF(J1638=1,P1638,IF(J1638=2,O1638,0))),0)</x:f>
        <x:v>1</x:v>
      </x:c>
      <x:c r="T1638" s="19" t="n">
        <x:f>K1638+IF(AND(S1638=1,J1638=0),1,0)</x:f>
        <x:v>4</x:v>
      </x:c>
      <x:c r="U1638" s="19" t="n">
        <x:f>L1638+IF(AND(S1638=1,J1638=1),1,0)</x:f>
        <x:v>0</x:v>
      </x:c>
      <x:c r="V1638" s="19" t="n">
        <x:f>M1638+IF(AND(S1638=1,J1638=2),1,0)</x:f>
        <x:v>2</x:v>
      </x:c>
      <x:c r="W1638" s="19" t="n">
        <x:f>SUM(T1638:V1638)</x:f>
        <x:v>6</x:v>
      </x:c>
      <x:c r="X1638" s="19" t="n">
        <x:f>W1638-G1638</x:f>
        <x:v>0</x:v>
      </x:c>
      <x:c r="Y1638" s="19" t="n">
        <x:f>MAX(T1638,1)+MAX(U1638,1)+MAX(V1638,1)</x:f>
        <x:v>7</x:v>
      </x:c>
      <x:c r="Z1638" s="21" t="str">
        <x:f>IF(AND(MIN(D1638:F1638)&gt;=0,MAX(D1638:F1638)&lt;=7,MAX(D1638,1)+MAX(E1638,1)+MAX(F1638,1)&lt;=9,OR(H1638="-",AND(H1638=0,D1638&gt;0),AND(H1638=1,E1638&gt;0),AND(H1638=2,F1638&gt;0)),OR(I1638=0,AND(I1638=1,OR(J1638=0,J1638=1,J1638=2),R1638&lt;&gt;"000")),Y1638&lt;=9,MIN(T1638:V1638)&gt;=0),"合法","输入违约")</x:f>
        <x:v>合法</x:v>
      </x:c>
    </x:row>
    <x:row r="1639" ht="23" customHeight="1">
      <x:c r="A1639" s="3" t="str">
        <x:v>CT-1632</x:v>
      </x:c>
      <x:c r="B1639" s="3" t="str">
        <x:v>ST-076</x:v>
      </x:c>
      <x:c r="C1639" s="3" t="str">
        <x:v>R+AR同收同发</x:v>
      </x:c>
      <x:c r="D1639" s="25" t="n">
        <x:v>3</x:v>
      </x:c>
      <x:c r="E1639" s="25" t="n">
        <x:v>1</x:v>
      </x:c>
      <x:c r="F1639" s="25" t="n">
        <x:v>2</x:v>
      </x:c>
      <x:c r="G1639" s="19" t="n">
        <x:f>SUM(D1639:F1639)</x:f>
        <x:v>6</x:v>
      </x:c>
      <x:c r="H1639" s="25" t="n">
        <x:v>1</x:v>
      </x:c>
      <x:c r="I1639" s="25" t="n">
        <x:v>1</x:v>
      </x:c>
      <x:c r="J1639" s="25" t="n">
        <x:v>1</x:v>
      </x:c>
      <x:c r="K1639" s="19" t="n">
        <x:f>D1639-IF(H1639=0,1,0)</x:f>
        <x:v>3</x:v>
      </x:c>
      <x:c r="L1639" s="19" t="n">
        <x:f>E1639-IF(H1639=1,1,0)</x:f>
        <x:v>0</x:v>
      </x:c>
      <x:c r="M1639" s="19" t="n">
        <x:f>F1639-IF(H1639=2,1,0)</x:f>
        <x:v>2</x:v>
      </x:c>
      <x:c r="N1639" s="19" t="n">
        <x:f>MAX(K1639-1,0)+MAX(L1639-1,0)+MAX(M1639-1,0)</x:f>
        <x:v>3</x:v>
      </x:c>
      <x:c r="O1639" s="19" t="n">
        <x:f>IF(AND(SUM(K1639:M1639)&lt;9,OR(M1639=0,N1639&lt;6)),1,0)</x:f>
        <x:v>1</x:v>
      </x:c>
      <x:c r="P1639" s="19" t="n">
        <x:f>IF(AND(SUM(K1639:M1639)&lt;9,OR(L1639=0,N1639&lt;6)),1,0)</x:f>
        <x:v>1</x:v>
      </x:c>
      <x:c r="Q1639" s="19" t="n">
        <x:f>IF(AND(SUM(K1639:M1639)&lt;9,OR(K1639=0,N1639&lt;6)),1,0)</x:f>
        <x:v>1</x:v>
      </x:c>
      <x:c r="R1639" s="22" t="str">
        <x:f>O1639&amp;P1639&amp;Q1639</x:f>
        <x:v>111</x:v>
      </x:c>
      <x:c r="S1639" s="19" t="n">
        <x:f>IF(I1639=1,IF(J1639=0,Q1639,IF(J1639=1,P1639,IF(J1639=2,O1639,0))),0)</x:f>
        <x:v>1</x:v>
      </x:c>
      <x:c r="T1639" s="19" t="n">
        <x:f>K1639+IF(AND(S1639=1,J1639=0),1,0)</x:f>
        <x:v>3</x:v>
      </x:c>
      <x:c r="U1639" s="19" t="n">
        <x:f>L1639+IF(AND(S1639=1,J1639=1),1,0)</x:f>
        <x:v>1</x:v>
      </x:c>
      <x:c r="V1639" s="19" t="n">
        <x:f>M1639+IF(AND(S1639=1,J1639=2),1,0)</x:f>
        <x:v>2</x:v>
      </x:c>
      <x:c r="W1639" s="19" t="n">
        <x:f>SUM(T1639:V1639)</x:f>
        <x:v>6</x:v>
      </x:c>
      <x:c r="X1639" s="19" t="n">
        <x:f>W1639-G1639</x:f>
        <x:v>0</x:v>
      </x:c>
      <x:c r="Y1639" s="19" t="n">
        <x:f>MAX(T1639,1)+MAX(U1639,1)+MAX(V1639,1)</x:f>
        <x:v>6</x:v>
      </x:c>
      <x:c r="Z1639" s="21" t="str">
        <x:f>IF(AND(MIN(D1639:F1639)&gt;=0,MAX(D1639:F1639)&lt;=7,MAX(D1639,1)+MAX(E1639,1)+MAX(F1639,1)&lt;=9,OR(H1639="-",AND(H1639=0,D1639&gt;0),AND(H1639=1,E1639&gt;0),AND(H1639=2,F1639&gt;0)),OR(I1639=0,AND(I1639=1,OR(J1639=0,J1639=1,J1639=2),R1639&lt;&gt;"000")),Y1639&lt;=9,MIN(T1639:V1639)&gt;=0),"合法","输入违约")</x:f>
        <x:v>合法</x:v>
      </x:c>
    </x:row>
    <x:row r="1640" ht="23" customHeight="1">
      <x:c r="A1640" s="3" t="str">
        <x:v>CT-1633</x:v>
      </x:c>
      <x:c r="B1640" s="3" t="str">
        <x:v>ST-076</x:v>
      </x:c>
      <x:c r="C1640" s="3" t="str">
        <x:v>R+AR同收同发</x:v>
      </x:c>
      <x:c r="D1640" s="25" t="n">
        <x:v>3</x:v>
      </x:c>
      <x:c r="E1640" s="25" t="n">
        <x:v>1</x:v>
      </x:c>
      <x:c r="F1640" s="25" t="n">
        <x:v>2</x:v>
      </x:c>
      <x:c r="G1640" s="19" t="n">
        <x:f>SUM(D1640:F1640)</x:f>
        <x:v>6</x:v>
      </x:c>
      <x:c r="H1640" s="25" t="n">
        <x:v>1</x:v>
      </x:c>
      <x:c r="I1640" s="25" t="n">
        <x:v>1</x:v>
      </x:c>
      <x:c r="J1640" s="25" t="n">
        <x:v>2</x:v>
      </x:c>
      <x:c r="K1640" s="19" t="n">
        <x:f>D1640-IF(H1640=0,1,0)</x:f>
        <x:v>3</x:v>
      </x:c>
      <x:c r="L1640" s="19" t="n">
        <x:f>E1640-IF(H1640=1,1,0)</x:f>
        <x:v>0</x:v>
      </x:c>
      <x:c r="M1640" s="19" t="n">
        <x:f>F1640-IF(H1640=2,1,0)</x:f>
        <x:v>2</x:v>
      </x:c>
      <x:c r="N1640" s="19" t="n">
        <x:f>MAX(K1640-1,0)+MAX(L1640-1,0)+MAX(M1640-1,0)</x:f>
        <x:v>3</x:v>
      </x:c>
      <x:c r="O1640" s="19" t="n">
        <x:f>IF(AND(SUM(K1640:M1640)&lt;9,OR(M1640=0,N1640&lt;6)),1,0)</x:f>
        <x:v>1</x:v>
      </x:c>
      <x:c r="P1640" s="19" t="n">
        <x:f>IF(AND(SUM(K1640:M1640)&lt;9,OR(L1640=0,N1640&lt;6)),1,0)</x:f>
        <x:v>1</x:v>
      </x:c>
      <x:c r="Q1640" s="19" t="n">
        <x:f>IF(AND(SUM(K1640:M1640)&lt;9,OR(K1640=0,N1640&lt;6)),1,0)</x:f>
        <x:v>1</x:v>
      </x:c>
      <x:c r="R1640" s="22" t="str">
        <x:f>O1640&amp;P1640&amp;Q1640</x:f>
        <x:v>111</x:v>
      </x:c>
      <x:c r="S1640" s="19" t="n">
        <x:f>IF(I1640=1,IF(J1640=0,Q1640,IF(J1640=1,P1640,IF(J1640=2,O1640,0))),0)</x:f>
        <x:v>1</x:v>
      </x:c>
      <x:c r="T1640" s="19" t="n">
        <x:f>K1640+IF(AND(S1640=1,J1640=0),1,0)</x:f>
        <x:v>3</x:v>
      </x:c>
      <x:c r="U1640" s="19" t="n">
        <x:f>L1640+IF(AND(S1640=1,J1640=1),1,0)</x:f>
        <x:v>0</x:v>
      </x:c>
      <x:c r="V1640" s="19" t="n">
        <x:f>M1640+IF(AND(S1640=1,J1640=2),1,0)</x:f>
        <x:v>3</x:v>
      </x:c>
      <x:c r="W1640" s="19" t="n">
        <x:f>SUM(T1640:V1640)</x:f>
        <x:v>6</x:v>
      </x:c>
      <x:c r="X1640" s="19" t="n">
        <x:f>W1640-G1640</x:f>
        <x:v>0</x:v>
      </x:c>
      <x:c r="Y1640" s="19" t="n">
        <x:f>MAX(T1640,1)+MAX(U1640,1)+MAX(V1640,1)</x:f>
        <x:v>7</x:v>
      </x:c>
      <x:c r="Z1640" s="21" t="str">
        <x:f>IF(AND(MIN(D1640:F1640)&gt;=0,MAX(D1640:F1640)&lt;=7,MAX(D1640,1)+MAX(E1640,1)+MAX(F1640,1)&lt;=9,OR(H1640="-",AND(H1640=0,D1640&gt;0),AND(H1640=1,E1640&gt;0),AND(H1640=2,F1640&gt;0)),OR(I1640=0,AND(I1640=1,OR(J1640=0,J1640=1,J1640=2),R1640&lt;&gt;"000")),Y1640&lt;=9,MIN(T1640:V1640)&gt;=0),"合法","输入违约")</x:f>
        <x:v>合法</x:v>
      </x:c>
    </x:row>
    <x:row r="1641" ht="23" customHeight="1">
      <x:c r="A1641" s="3" t="str">
        <x:v>CT-1634</x:v>
      </x:c>
      <x:c r="B1641" s="3" t="str">
        <x:v>ST-076</x:v>
      </x:c>
      <x:c r="C1641" s="3" t="str">
        <x:v>仅R回收</x:v>
      </x:c>
      <x:c r="D1641" s="25" t="n">
        <x:v>3</x:v>
      </x:c>
      <x:c r="E1641" s="25" t="n">
        <x:v>1</x:v>
      </x:c>
      <x:c r="F1641" s="25" t="n">
        <x:v>2</x:v>
      </x:c>
      <x:c r="G1641" s="19" t="n">
        <x:f>SUM(D1641:F1641)</x:f>
        <x:v>6</x:v>
      </x:c>
      <x:c r="H1641" s="25" t="n">
        <x:v>2</x:v>
      </x:c>
      <x:c r="I1641" s="25" t="n">
        <x:v>0</x:v>
      </x:c>
      <x:c r="J1641" s="25" t="str">
        <x:v>-</x:v>
      </x:c>
      <x:c r="K1641" s="19" t="n">
        <x:f>D1641-IF(H1641=0,1,0)</x:f>
        <x:v>3</x:v>
      </x:c>
      <x:c r="L1641" s="19" t="n">
        <x:f>E1641-IF(H1641=1,1,0)</x:f>
        <x:v>1</x:v>
      </x:c>
      <x:c r="M1641" s="19" t="n">
        <x:f>F1641-IF(H1641=2,1,0)</x:f>
        <x:v>1</x:v>
      </x:c>
      <x:c r="N1641" s="19" t="n">
        <x:f>MAX(K1641-1,0)+MAX(L1641-1,0)+MAX(M1641-1,0)</x:f>
        <x:v>2</x:v>
      </x:c>
      <x:c r="O1641" s="19" t="n">
        <x:f>IF(AND(SUM(K1641:M1641)&lt;9,OR(M1641=0,N1641&lt;6)),1,0)</x:f>
        <x:v>1</x:v>
      </x:c>
      <x:c r="P1641" s="19" t="n">
        <x:f>IF(AND(SUM(K1641:M1641)&lt;9,OR(L1641=0,N1641&lt;6)),1,0)</x:f>
        <x:v>1</x:v>
      </x:c>
      <x:c r="Q1641" s="19" t="n">
        <x:f>IF(AND(SUM(K1641:M1641)&lt;9,OR(K1641=0,N1641&lt;6)),1,0)</x:f>
        <x:v>1</x:v>
      </x:c>
      <x:c r="R1641" s="22" t="str">
        <x:f>O1641&amp;P1641&amp;Q1641</x:f>
        <x:v>111</x:v>
      </x:c>
      <x:c r="S1641" s="19" t="n">
        <x:f>IF(I1641=1,IF(J1641=0,Q1641,IF(J1641=1,P1641,IF(J1641=2,O1641,0))),0)</x:f>
        <x:v>0</x:v>
      </x:c>
      <x:c r="T1641" s="19" t="n">
        <x:f>K1641+IF(AND(S1641=1,J1641=0),1,0)</x:f>
        <x:v>3</x:v>
      </x:c>
      <x:c r="U1641" s="19" t="n">
        <x:f>L1641+IF(AND(S1641=1,J1641=1),1,0)</x:f>
        <x:v>1</x:v>
      </x:c>
      <x:c r="V1641" s="19" t="n">
        <x:f>M1641+IF(AND(S1641=1,J1641=2),1,0)</x:f>
        <x:v>1</x:v>
      </x:c>
      <x:c r="W1641" s="19" t="n">
        <x:f>SUM(T1641:V1641)</x:f>
        <x:v>5</x:v>
      </x:c>
      <x:c r="X1641" s="19" t="n">
        <x:f>W1641-G1641</x:f>
        <x:v>-1</x:v>
      </x:c>
      <x:c r="Y1641" s="19" t="n">
        <x:f>MAX(T1641,1)+MAX(U1641,1)+MAX(V1641,1)</x:f>
        <x:v>5</x:v>
      </x:c>
      <x:c r="Z1641" s="21" t="str">
        <x:f>IF(AND(MIN(D1641:F1641)&gt;=0,MAX(D1641:F1641)&lt;=7,MAX(D1641,1)+MAX(E1641,1)+MAX(F1641,1)&lt;=9,OR(H1641="-",AND(H1641=0,D1641&gt;0),AND(H1641=1,E1641&gt;0),AND(H1641=2,F1641&gt;0)),OR(I1641=0,AND(I1641=1,OR(J1641=0,J1641=1,J1641=2),R1641&lt;&gt;"000")),Y1641&lt;=9,MIN(T1641:V1641)&gt;=0),"合法","输入违约")</x:f>
        <x:v>合法</x:v>
      </x:c>
    </x:row>
    <x:row r="1642" ht="23" customHeight="1">
      <x:c r="A1642" s="3" t="str">
        <x:v>CT-1635</x:v>
      </x:c>
      <x:c r="B1642" s="3" t="str">
        <x:v>ST-076</x:v>
      </x:c>
      <x:c r="C1642" s="3" t="str">
        <x:v>R+AR同收同发</x:v>
      </x:c>
      <x:c r="D1642" s="25" t="n">
        <x:v>3</x:v>
      </x:c>
      <x:c r="E1642" s="25" t="n">
        <x:v>1</x:v>
      </x:c>
      <x:c r="F1642" s="25" t="n">
        <x:v>2</x:v>
      </x:c>
      <x:c r="G1642" s="19" t="n">
        <x:f>SUM(D1642:F1642)</x:f>
        <x:v>6</x:v>
      </x:c>
      <x:c r="H1642" s="25" t="n">
        <x:v>2</x:v>
      </x:c>
      <x:c r="I1642" s="25" t="n">
        <x:v>1</x:v>
      </x:c>
      <x:c r="J1642" s="25" t="n">
        <x:v>0</x:v>
      </x:c>
      <x:c r="K1642" s="19" t="n">
        <x:f>D1642-IF(H1642=0,1,0)</x:f>
        <x:v>3</x:v>
      </x:c>
      <x:c r="L1642" s="19" t="n">
        <x:f>E1642-IF(H1642=1,1,0)</x:f>
        <x:v>1</x:v>
      </x:c>
      <x:c r="M1642" s="19" t="n">
        <x:f>F1642-IF(H1642=2,1,0)</x:f>
        <x:v>1</x:v>
      </x:c>
      <x:c r="N1642" s="19" t="n">
        <x:f>MAX(K1642-1,0)+MAX(L1642-1,0)+MAX(M1642-1,0)</x:f>
        <x:v>2</x:v>
      </x:c>
      <x:c r="O1642" s="19" t="n">
        <x:f>IF(AND(SUM(K1642:M1642)&lt;9,OR(M1642=0,N1642&lt;6)),1,0)</x:f>
        <x:v>1</x:v>
      </x:c>
      <x:c r="P1642" s="19" t="n">
        <x:f>IF(AND(SUM(K1642:M1642)&lt;9,OR(L1642=0,N1642&lt;6)),1,0)</x:f>
        <x:v>1</x:v>
      </x:c>
      <x:c r="Q1642" s="19" t="n">
        <x:f>IF(AND(SUM(K1642:M1642)&lt;9,OR(K1642=0,N1642&lt;6)),1,0)</x:f>
        <x:v>1</x:v>
      </x:c>
      <x:c r="R1642" s="22" t="str">
        <x:f>O1642&amp;P1642&amp;Q1642</x:f>
        <x:v>111</x:v>
      </x:c>
      <x:c r="S1642" s="19" t="n">
        <x:f>IF(I1642=1,IF(J1642=0,Q1642,IF(J1642=1,P1642,IF(J1642=2,O1642,0))),0)</x:f>
        <x:v>1</x:v>
      </x:c>
      <x:c r="T1642" s="19" t="n">
        <x:f>K1642+IF(AND(S1642=1,J1642=0),1,0)</x:f>
        <x:v>4</x:v>
      </x:c>
      <x:c r="U1642" s="19" t="n">
        <x:f>L1642+IF(AND(S1642=1,J1642=1),1,0)</x:f>
        <x:v>1</x:v>
      </x:c>
      <x:c r="V1642" s="19" t="n">
        <x:f>M1642+IF(AND(S1642=1,J1642=2),1,0)</x:f>
        <x:v>1</x:v>
      </x:c>
      <x:c r="W1642" s="19" t="n">
        <x:f>SUM(T1642:V1642)</x:f>
        <x:v>6</x:v>
      </x:c>
      <x:c r="X1642" s="19" t="n">
        <x:f>W1642-G1642</x:f>
        <x:v>0</x:v>
      </x:c>
      <x:c r="Y1642" s="19" t="n">
        <x:f>MAX(T1642,1)+MAX(U1642,1)+MAX(V1642,1)</x:f>
        <x:v>6</x:v>
      </x:c>
      <x:c r="Z1642" s="21" t="str">
        <x:f>IF(AND(MIN(D1642:F1642)&gt;=0,MAX(D1642:F1642)&lt;=7,MAX(D1642,1)+MAX(E1642,1)+MAX(F1642,1)&lt;=9,OR(H1642="-",AND(H1642=0,D1642&gt;0),AND(H1642=1,E1642&gt;0),AND(H1642=2,F1642&gt;0)),OR(I1642=0,AND(I1642=1,OR(J1642=0,J1642=1,J1642=2),R1642&lt;&gt;"000")),Y1642&lt;=9,MIN(T1642:V1642)&gt;=0),"合法","输入违约")</x:f>
        <x:v>合法</x:v>
      </x:c>
    </x:row>
    <x:row r="1643" ht="23" customHeight="1">
      <x:c r="A1643" s="3" t="str">
        <x:v>CT-1636</x:v>
      </x:c>
      <x:c r="B1643" s="3" t="str">
        <x:v>ST-076</x:v>
      </x:c>
      <x:c r="C1643" s="3" t="str">
        <x:v>R+AR同收同发</x:v>
      </x:c>
      <x:c r="D1643" s="25" t="n">
        <x:v>3</x:v>
      </x:c>
      <x:c r="E1643" s="25" t="n">
        <x:v>1</x:v>
      </x:c>
      <x:c r="F1643" s="25" t="n">
        <x:v>2</x:v>
      </x:c>
      <x:c r="G1643" s="19" t="n">
        <x:f>SUM(D1643:F1643)</x:f>
        <x:v>6</x:v>
      </x:c>
      <x:c r="H1643" s="25" t="n">
        <x:v>2</x:v>
      </x:c>
      <x:c r="I1643" s="25" t="n">
        <x:v>1</x:v>
      </x:c>
      <x:c r="J1643" s="25" t="n">
        <x:v>1</x:v>
      </x:c>
      <x:c r="K1643" s="19" t="n">
        <x:f>D1643-IF(H1643=0,1,0)</x:f>
        <x:v>3</x:v>
      </x:c>
      <x:c r="L1643" s="19" t="n">
        <x:f>E1643-IF(H1643=1,1,0)</x:f>
        <x:v>1</x:v>
      </x:c>
      <x:c r="M1643" s="19" t="n">
        <x:f>F1643-IF(H1643=2,1,0)</x:f>
        <x:v>1</x:v>
      </x:c>
      <x:c r="N1643" s="19" t="n">
        <x:f>MAX(K1643-1,0)+MAX(L1643-1,0)+MAX(M1643-1,0)</x:f>
        <x:v>2</x:v>
      </x:c>
      <x:c r="O1643" s="19" t="n">
        <x:f>IF(AND(SUM(K1643:M1643)&lt;9,OR(M1643=0,N1643&lt;6)),1,0)</x:f>
        <x:v>1</x:v>
      </x:c>
      <x:c r="P1643" s="19" t="n">
        <x:f>IF(AND(SUM(K1643:M1643)&lt;9,OR(L1643=0,N1643&lt;6)),1,0)</x:f>
        <x:v>1</x:v>
      </x:c>
      <x:c r="Q1643" s="19" t="n">
        <x:f>IF(AND(SUM(K1643:M1643)&lt;9,OR(K1643=0,N1643&lt;6)),1,0)</x:f>
        <x:v>1</x:v>
      </x:c>
      <x:c r="R1643" s="22" t="str">
        <x:f>O1643&amp;P1643&amp;Q1643</x:f>
        <x:v>111</x:v>
      </x:c>
      <x:c r="S1643" s="19" t="n">
        <x:f>IF(I1643=1,IF(J1643=0,Q1643,IF(J1643=1,P1643,IF(J1643=2,O1643,0))),0)</x:f>
        <x:v>1</x:v>
      </x:c>
      <x:c r="T1643" s="19" t="n">
        <x:f>K1643+IF(AND(S1643=1,J1643=0),1,0)</x:f>
        <x:v>3</x:v>
      </x:c>
      <x:c r="U1643" s="19" t="n">
        <x:f>L1643+IF(AND(S1643=1,J1643=1),1,0)</x:f>
        <x:v>2</x:v>
      </x:c>
      <x:c r="V1643" s="19" t="n">
        <x:f>M1643+IF(AND(S1643=1,J1643=2),1,0)</x:f>
        <x:v>1</x:v>
      </x:c>
      <x:c r="W1643" s="19" t="n">
        <x:f>SUM(T1643:V1643)</x:f>
        <x:v>6</x:v>
      </x:c>
      <x:c r="X1643" s="19" t="n">
        <x:f>W1643-G1643</x:f>
        <x:v>0</x:v>
      </x:c>
      <x:c r="Y1643" s="19" t="n">
        <x:f>MAX(T1643,1)+MAX(U1643,1)+MAX(V1643,1)</x:f>
        <x:v>6</x:v>
      </x:c>
      <x:c r="Z1643" s="21" t="str">
        <x:f>IF(AND(MIN(D1643:F1643)&gt;=0,MAX(D1643:F1643)&lt;=7,MAX(D1643,1)+MAX(E1643,1)+MAX(F1643,1)&lt;=9,OR(H1643="-",AND(H1643=0,D1643&gt;0),AND(H1643=1,E1643&gt;0),AND(H1643=2,F1643&gt;0)),OR(I1643=0,AND(I1643=1,OR(J1643=0,J1643=1,J1643=2),R1643&lt;&gt;"000")),Y1643&lt;=9,MIN(T1643:V1643)&gt;=0),"合法","输入违约")</x:f>
        <x:v>合法</x:v>
      </x:c>
    </x:row>
    <x:row r="1644" ht="23" customHeight="1">
      <x:c r="A1644" s="3" t="str">
        <x:v>CT-1637</x:v>
      </x:c>
      <x:c r="B1644" s="3" t="str">
        <x:v>ST-076</x:v>
      </x:c>
      <x:c r="C1644" s="3" t="str">
        <x:v>R+AR同收同发</x:v>
      </x:c>
      <x:c r="D1644" s="25" t="n">
        <x:v>3</x:v>
      </x:c>
      <x:c r="E1644" s="25" t="n">
        <x:v>1</x:v>
      </x:c>
      <x:c r="F1644" s="25" t="n">
        <x:v>2</x:v>
      </x:c>
      <x:c r="G1644" s="19" t="n">
        <x:f>SUM(D1644:F1644)</x:f>
        <x:v>6</x:v>
      </x:c>
      <x:c r="H1644" s="25" t="n">
        <x:v>2</x:v>
      </x:c>
      <x:c r="I1644" s="25" t="n">
        <x:v>1</x:v>
      </x:c>
      <x:c r="J1644" s="25" t="n">
        <x:v>2</x:v>
      </x:c>
      <x:c r="K1644" s="19" t="n">
        <x:f>D1644-IF(H1644=0,1,0)</x:f>
        <x:v>3</x:v>
      </x:c>
      <x:c r="L1644" s="19" t="n">
        <x:f>E1644-IF(H1644=1,1,0)</x:f>
        <x:v>1</x:v>
      </x:c>
      <x:c r="M1644" s="19" t="n">
        <x:f>F1644-IF(H1644=2,1,0)</x:f>
        <x:v>1</x:v>
      </x:c>
      <x:c r="N1644" s="19" t="n">
        <x:f>MAX(K1644-1,0)+MAX(L1644-1,0)+MAX(M1644-1,0)</x:f>
        <x:v>2</x:v>
      </x:c>
      <x:c r="O1644" s="19" t="n">
        <x:f>IF(AND(SUM(K1644:M1644)&lt;9,OR(M1644=0,N1644&lt;6)),1,0)</x:f>
        <x:v>1</x:v>
      </x:c>
      <x:c r="P1644" s="19" t="n">
        <x:f>IF(AND(SUM(K1644:M1644)&lt;9,OR(L1644=0,N1644&lt;6)),1,0)</x:f>
        <x:v>1</x:v>
      </x:c>
      <x:c r="Q1644" s="19" t="n">
        <x:f>IF(AND(SUM(K1644:M1644)&lt;9,OR(K1644=0,N1644&lt;6)),1,0)</x:f>
        <x:v>1</x:v>
      </x:c>
      <x:c r="R1644" s="22" t="str">
        <x:f>O1644&amp;P1644&amp;Q1644</x:f>
        <x:v>111</x:v>
      </x:c>
      <x:c r="S1644" s="19" t="n">
        <x:f>IF(I1644=1,IF(J1644=0,Q1644,IF(J1644=1,P1644,IF(J1644=2,O1644,0))),0)</x:f>
        <x:v>1</x:v>
      </x:c>
      <x:c r="T1644" s="19" t="n">
        <x:f>K1644+IF(AND(S1644=1,J1644=0),1,0)</x:f>
        <x:v>3</x:v>
      </x:c>
      <x:c r="U1644" s="19" t="n">
        <x:f>L1644+IF(AND(S1644=1,J1644=1),1,0)</x:f>
        <x:v>1</x:v>
      </x:c>
      <x:c r="V1644" s="19" t="n">
        <x:f>M1644+IF(AND(S1644=1,J1644=2),1,0)</x:f>
        <x:v>2</x:v>
      </x:c>
      <x:c r="W1644" s="19" t="n">
        <x:f>SUM(T1644:V1644)</x:f>
        <x:v>6</x:v>
      </x:c>
      <x:c r="X1644" s="19" t="n">
        <x:f>W1644-G1644</x:f>
        <x:v>0</x:v>
      </x:c>
      <x:c r="Y1644" s="19" t="n">
        <x:f>MAX(T1644,1)+MAX(U1644,1)+MAX(V1644,1)</x:f>
        <x:v>6</x:v>
      </x:c>
      <x:c r="Z1644" s="21" t="str">
        <x:f>IF(AND(MIN(D1644:F1644)&gt;=0,MAX(D1644:F1644)&lt;=7,MAX(D1644,1)+MAX(E1644,1)+MAX(F1644,1)&lt;=9,OR(H1644="-",AND(H1644=0,D1644&gt;0),AND(H1644=1,E1644&gt;0),AND(H1644=2,F1644&gt;0)),OR(I1644=0,AND(I1644=1,OR(J1644=0,J1644=1,J1644=2),R1644&lt;&gt;"000")),Y1644&lt;=9,MIN(T1644:V1644)&gt;=0),"合法","输入违约")</x:f>
        <x:v>合法</x:v>
      </x:c>
    </x:row>
    <x:row r="1645" ht="23" customHeight="1">
      <x:c r="A1645" s="3" t="str">
        <x:v>CT-1638</x:v>
      </x:c>
      <x:c r="B1645" s="3" t="str">
        <x:v>ST-107</x:v>
      </x:c>
      <x:c r="C1645" s="3" t="str">
        <x:v>无AR/R</x:v>
      </x:c>
      <x:c r="D1645" s="25" t="n">
        <x:v>3</x:v>
      </x:c>
      <x:c r="E1645" s="25" t="n">
        <x:v>1</x:v>
      </x:c>
      <x:c r="F1645" s="25" t="n">
        <x:v>3</x:v>
      </x:c>
      <x:c r="G1645" s="19" t="n">
        <x:f>SUM(D1645:F1645)</x:f>
        <x:v>7</x:v>
      </x:c>
      <x:c r="H1645" s="25" t="str">
        <x:v>-</x:v>
      </x:c>
      <x:c r="I1645" s="25" t="n">
        <x:v>0</x:v>
      </x:c>
      <x:c r="J1645" s="25" t="str">
        <x:v>-</x:v>
      </x:c>
      <x:c r="K1645" s="19" t="n">
        <x:f>D1645-IF(H1645=0,1,0)</x:f>
        <x:v>3</x:v>
      </x:c>
      <x:c r="L1645" s="19" t="n">
        <x:f>E1645-IF(H1645=1,1,0)</x:f>
        <x:v>1</x:v>
      </x:c>
      <x:c r="M1645" s="19" t="n">
        <x:f>F1645-IF(H1645=2,1,0)</x:f>
        <x:v>3</x:v>
      </x:c>
      <x:c r="N1645" s="19" t="n">
        <x:f>MAX(K1645-1,0)+MAX(L1645-1,0)+MAX(M1645-1,0)</x:f>
        <x:v>4</x:v>
      </x:c>
      <x:c r="O1645" s="19" t="n">
        <x:f>IF(AND(SUM(K1645:M1645)&lt;9,OR(M1645=0,N1645&lt;6)),1,0)</x:f>
        <x:v>1</x:v>
      </x:c>
      <x:c r="P1645" s="19" t="n">
        <x:f>IF(AND(SUM(K1645:M1645)&lt;9,OR(L1645=0,N1645&lt;6)),1,0)</x:f>
        <x:v>1</x:v>
      </x:c>
      <x:c r="Q1645" s="19" t="n">
        <x:f>IF(AND(SUM(K1645:M1645)&lt;9,OR(K1645=0,N1645&lt;6)),1,0)</x:f>
        <x:v>1</x:v>
      </x:c>
      <x:c r="R1645" s="22" t="str">
        <x:f>O1645&amp;P1645&amp;Q1645</x:f>
        <x:v>111</x:v>
      </x:c>
      <x:c r="S1645" s="19" t="n">
        <x:f>IF(I1645=1,IF(J1645=0,Q1645,IF(J1645=1,P1645,IF(J1645=2,O1645,0))),0)</x:f>
        <x:v>0</x:v>
      </x:c>
      <x:c r="T1645" s="19" t="n">
        <x:f>K1645+IF(AND(S1645=1,J1645=0),1,0)</x:f>
        <x:v>3</x:v>
      </x:c>
      <x:c r="U1645" s="19" t="n">
        <x:f>L1645+IF(AND(S1645=1,J1645=1),1,0)</x:f>
        <x:v>1</x:v>
      </x:c>
      <x:c r="V1645" s="19" t="n">
        <x:f>M1645+IF(AND(S1645=1,J1645=2),1,0)</x:f>
        <x:v>3</x:v>
      </x:c>
      <x:c r="W1645" s="19" t="n">
        <x:f>SUM(T1645:V1645)</x:f>
        <x:v>7</x:v>
      </x:c>
      <x:c r="X1645" s="19" t="n">
        <x:f>W1645-G1645</x:f>
        <x:v>0</x:v>
      </x:c>
      <x:c r="Y1645" s="19" t="n">
        <x:f>MAX(T1645,1)+MAX(U1645,1)+MAX(V1645,1)</x:f>
        <x:v>7</x:v>
      </x:c>
      <x:c r="Z1645" s="21" t="str">
        <x:f>IF(AND(MIN(D1645:F1645)&gt;=0,MAX(D1645:F1645)&lt;=7,MAX(D1645,1)+MAX(E1645,1)+MAX(F1645,1)&lt;=9,OR(H1645="-",AND(H1645=0,D1645&gt;0),AND(H1645=1,E1645&gt;0),AND(H1645=2,F1645&gt;0)),OR(I1645=0,AND(I1645=1,OR(J1645=0,J1645=1,J1645=2),R1645&lt;&gt;"000")),Y1645&lt;=9,MIN(T1645:V1645)&gt;=0),"合法","输入违约")</x:f>
        <x:v>合法</x:v>
      </x:c>
    </x:row>
    <x:row r="1646" ht="23" customHeight="1">
      <x:c r="A1646" s="3" t="str">
        <x:v>CT-1639</x:v>
      </x:c>
      <x:c r="B1646" s="3" t="str">
        <x:v>ST-107</x:v>
      </x:c>
      <x:c r="C1646" s="3" t="str">
        <x:v>仅AR接收</x:v>
      </x:c>
      <x:c r="D1646" s="25" t="n">
        <x:v>3</x:v>
      </x:c>
      <x:c r="E1646" s="25" t="n">
        <x:v>1</x:v>
      </x:c>
      <x:c r="F1646" s="25" t="n">
        <x:v>3</x:v>
      </x:c>
      <x:c r="G1646" s="19" t="n">
        <x:f>SUM(D1646:F1646)</x:f>
        <x:v>7</x:v>
      </x:c>
      <x:c r="H1646" s="25" t="str">
        <x:v>-</x:v>
      </x:c>
      <x:c r="I1646" s="25" t="n">
        <x:v>1</x:v>
      </x:c>
      <x:c r="J1646" s="25" t="n">
        <x:v>0</x:v>
      </x:c>
      <x:c r="K1646" s="19" t="n">
        <x:f>D1646-IF(H1646=0,1,0)</x:f>
        <x:v>3</x:v>
      </x:c>
      <x:c r="L1646" s="19" t="n">
        <x:f>E1646-IF(H1646=1,1,0)</x:f>
        <x:v>1</x:v>
      </x:c>
      <x:c r="M1646" s="19" t="n">
        <x:f>F1646-IF(H1646=2,1,0)</x:f>
        <x:v>3</x:v>
      </x:c>
      <x:c r="N1646" s="19" t="n">
        <x:f>MAX(K1646-1,0)+MAX(L1646-1,0)+MAX(M1646-1,0)</x:f>
        <x:v>4</x:v>
      </x:c>
      <x:c r="O1646" s="19" t="n">
        <x:f>IF(AND(SUM(K1646:M1646)&lt;9,OR(M1646=0,N1646&lt;6)),1,0)</x:f>
        <x:v>1</x:v>
      </x:c>
      <x:c r="P1646" s="19" t="n">
        <x:f>IF(AND(SUM(K1646:M1646)&lt;9,OR(L1646=0,N1646&lt;6)),1,0)</x:f>
        <x:v>1</x:v>
      </x:c>
      <x:c r="Q1646" s="19" t="n">
        <x:f>IF(AND(SUM(K1646:M1646)&lt;9,OR(K1646=0,N1646&lt;6)),1,0)</x:f>
        <x:v>1</x:v>
      </x:c>
      <x:c r="R1646" s="22" t="str">
        <x:f>O1646&amp;P1646&amp;Q1646</x:f>
        <x:v>111</x:v>
      </x:c>
      <x:c r="S1646" s="19" t="n">
        <x:f>IF(I1646=1,IF(J1646=0,Q1646,IF(J1646=1,P1646,IF(J1646=2,O1646,0))),0)</x:f>
        <x:v>1</x:v>
      </x:c>
      <x:c r="T1646" s="19" t="n">
        <x:f>K1646+IF(AND(S1646=1,J1646=0),1,0)</x:f>
        <x:v>4</x:v>
      </x:c>
      <x:c r="U1646" s="19" t="n">
        <x:f>L1646+IF(AND(S1646=1,J1646=1),1,0)</x:f>
        <x:v>1</x:v>
      </x:c>
      <x:c r="V1646" s="19" t="n">
        <x:f>M1646+IF(AND(S1646=1,J1646=2),1,0)</x:f>
        <x:v>3</x:v>
      </x:c>
      <x:c r="W1646" s="19" t="n">
        <x:f>SUM(T1646:V1646)</x:f>
        <x:v>8</x:v>
      </x:c>
      <x:c r="X1646" s="19" t="n">
        <x:f>W1646-G1646</x:f>
        <x:v>1</x:v>
      </x:c>
      <x:c r="Y1646" s="19" t="n">
        <x:f>MAX(T1646,1)+MAX(U1646,1)+MAX(V1646,1)</x:f>
        <x:v>8</x:v>
      </x:c>
      <x:c r="Z1646" s="21" t="str">
        <x:f>IF(AND(MIN(D1646:F1646)&gt;=0,MAX(D1646:F1646)&lt;=7,MAX(D1646,1)+MAX(E1646,1)+MAX(F1646,1)&lt;=9,OR(H1646="-",AND(H1646=0,D1646&gt;0),AND(H1646=1,E1646&gt;0),AND(H1646=2,F1646&gt;0)),OR(I1646=0,AND(I1646=1,OR(J1646=0,J1646=1,J1646=2),R1646&lt;&gt;"000")),Y1646&lt;=9,MIN(T1646:V1646)&gt;=0),"合法","输入违约")</x:f>
        <x:v>合法</x:v>
      </x:c>
    </x:row>
    <x:row r="1647" ht="23" customHeight="1">
      <x:c r="A1647" s="3" t="str">
        <x:v>CT-1640</x:v>
      </x:c>
      <x:c r="B1647" s="3" t="str">
        <x:v>ST-107</x:v>
      </x:c>
      <x:c r="C1647" s="3" t="str">
        <x:v>仅AR接收</x:v>
      </x:c>
      <x:c r="D1647" s="25" t="n">
        <x:v>3</x:v>
      </x:c>
      <x:c r="E1647" s="25" t="n">
        <x:v>1</x:v>
      </x:c>
      <x:c r="F1647" s="25" t="n">
        <x:v>3</x:v>
      </x:c>
      <x:c r="G1647" s="19" t="n">
        <x:f>SUM(D1647:F1647)</x:f>
        <x:v>7</x:v>
      </x:c>
      <x:c r="H1647" s="25" t="str">
        <x:v>-</x:v>
      </x:c>
      <x:c r="I1647" s="25" t="n">
        <x:v>1</x:v>
      </x:c>
      <x:c r="J1647" s="25" t="n">
        <x:v>1</x:v>
      </x:c>
      <x:c r="K1647" s="19" t="n">
        <x:f>D1647-IF(H1647=0,1,0)</x:f>
        <x:v>3</x:v>
      </x:c>
      <x:c r="L1647" s="19" t="n">
        <x:f>E1647-IF(H1647=1,1,0)</x:f>
        <x:v>1</x:v>
      </x:c>
      <x:c r="M1647" s="19" t="n">
        <x:f>F1647-IF(H1647=2,1,0)</x:f>
        <x:v>3</x:v>
      </x:c>
      <x:c r="N1647" s="19" t="n">
        <x:f>MAX(K1647-1,0)+MAX(L1647-1,0)+MAX(M1647-1,0)</x:f>
        <x:v>4</x:v>
      </x:c>
      <x:c r="O1647" s="19" t="n">
        <x:f>IF(AND(SUM(K1647:M1647)&lt;9,OR(M1647=0,N1647&lt;6)),1,0)</x:f>
        <x:v>1</x:v>
      </x:c>
      <x:c r="P1647" s="19" t="n">
        <x:f>IF(AND(SUM(K1647:M1647)&lt;9,OR(L1647=0,N1647&lt;6)),1,0)</x:f>
        <x:v>1</x:v>
      </x:c>
      <x:c r="Q1647" s="19" t="n">
        <x:f>IF(AND(SUM(K1647:M1647)&lt;9,OR(K1647=0,N1647&lt;6)),1,0)</x:f>
        <x:v>1</x:v>
      </x:c>
      <x:c r="R1647" s="22" t="str">
        <x:f>O1647&amp;P1647&amp;Q1647</x:f>
        <x:v>111</x:v>
      </x:c>
      <x:c r="S1647" s="19" t="n">
        <x:f>IF(I1647=1,IF(J1647=0,Q1647,IF(J1647=1,P1647,IF(J1647=2,O1647,0))),0)</x:f>
        <x:v>1</x:v>
      </x:c>
      <x:c r="T1647" s="19" t="n">
        <x:f>K1647+IF(AND(S1647=1,J1647=0),1,0)</x:f>
        <x:v>3</x:v>
      </x:c>
      <x:c r="U1647" s="19" t="n">
        <x:f>L1647+IF(AND(S1647=1,J1647=1),1,0)</x:f>
        <x:v>2</x:v>
      </x:c>
      <x:c r="V1647" s="19" t="n">
        <x:f>M1647+IF(AND(S1647=1,J1647=2),1,0)</x:f>
        <x:v>3</x:v>
      </x:c>
      <x:c r="W1647" s="19" t="n">
        <x:f>SUM(T1647:V1647)</x:f>
        <x:v>8</x:v>
      </x:c>
      <x:c r="X1647" s="19" t="n">
        <x:f>W1647-G1647</x:f>
        <x:v>1</x:v>
      </x:c>
      <x:c r="Y1647" s="19" t="n">
        <x:f>MAX(T1647,1)+MAX(U1647,1)+MAX(V1647,1)</x:f>
        <x:v>8</x:v>
      </x:c>
      <x:c r="Z1647" s="21" t="str">
        <x:f>IF(AND(MIN(D1647:F1647)&gt;=0,MAX(D1647:F1647)&lt;=7,MAX(D1647,1)+MAX(E1647,1)+MAX(F1647,1)&lt;=9,OR(H1647="-",AND(H1647=0,D1647&gt;0),AND(H1647=1,E1647&gt;0),AND(H1647=2,F1647&gt;0)),OR(I1647=0,AND(I1647=1,OR(J1647=0,J1647=1,J1647=2),R1647&lt;&gt;"000")),Y1647&lt;=9,MIN(T1647:V1647)&gt;=0),"合法","输入违约")</x:f>
        <x:v>合法</x:v>
      </x:c>
    </x:row>
    <x:row r="1648" ht="23" customHeight="1">
      <x:c r="A1648" s="3" t="str">
        <x:v>CT-1641</x:v>
      </x:c>
      <x:c r="B1648" s="3" t="str">
        <x:v>ST-107</x:v>
      </x:c>
      <x:c r="C1648" s="3" t="str">
        <x:v>仅AR接收</x:v>
      </x:c>
      <x:c r="D1648" s="25" t="n">
        <x:v>3</x:v>
      </x:c>
      <x:c r="E1648" s="25" t="n">
        <x:v>1</x:v>
      </x:c>
      <x:c r="F1648" s="25" t="n">
        <x:v>3</x:v>
      </x:c>
      <x:c r="G1648" s="19" t="n">
        <x:f>SUM(D1648:F1648)</x:f>
        <x:v>7</x:v>
      </x:c>
      <x:c r="H1648" s="25" t="str">
        <x:v>-</x:v>
      </x:c>
      <x:c r="I1648" s="25" t="n">
        <x:v>1</x:v>
      </x:c>
      <x:c r="J1648" s="25" t="n">
        <x:v>2</x:v>
      </x:c>
      <x:c r="K1648" s="19" t="n">
        <x:f>D1648-IF(H1648=0,1,0)</x:f>
        <x:v>3</x:v>
      </x:c>
      <x:c r="L1648" s="19" t="n">
        <x:f>E1648-IF(H1648=1,1,0)</x:f>
        <x:v>1</x:v>
      </x:c>
      <x:c r="M1648" s="19" t="n">
        <x:f>F1648-IF(H1648=2,1,0)</x:f>
        <x:v>3</x:v>
      </x:c>
      <x:c r="N1648" s="19" t="n">
        <x:f>MAX(K1648-1,0)+MAX(L1648-1,0)+MAX(M1648-1,0)</x:f>
        <x:v>4</x:v>
      </x:c>
      <x:c r="O1648" s="19" t="n">
        <x:f>IF(AND(SUM(K1648:M1648)&lt;9,OR(M1648=0,N1648&lt;6)),1,0)</x:f>
        <x:v>1</x:v>
      </x:c>
      <x:c r="P1648" s="19" t="n">
        <x:f>IF(AND(SUM(K1648:M1648)&lt;9,OR(L1648=0,N1648&lt;6)),1,0)</x:f>
        <x:v>1</x:v>
      </x:c>
      <x:c r="Q1648" s="19" t="n">
        <x:f>IF(AND(SUM(K1648:M1648)&lt;9,OR(K1648=0,N1648&lt;6)),1,0)</x:f>
        <x:v>1</x:v>
      </x:c>
      <x:c r="R1648" s="22" t="str">
        <x:f>O1648&amp;P1648&amp;Q1648</x:f>
        <x:v>111</x:v>
      </x:c>
      <x:c r="S1648" s="19" t="n">
        <x:f>IF(I1648=1,IF(J1648=0,Q1648,IF(J1648=1,P1648,IF(J1648=2,O1648,0))),0)</x:f>
        <x:v>1</x:v>
      </x:c>
      <x:c r="T1648" s="19" t="n">
        <x:f>K1648+IF(AND(S1648=1,J1648=0),1,0)</x:f>
        <x:v>3</x:v>
      </x:c>
      <x:c r="U1648" s="19" t="n">
        <x:f>L1648+IF(AND(S1648=1,J1648=1),1,0)</x:f>
        <x:v>1</x:v>
      </x:c>
      <x:c r="V1648" s="19" t="n">
        <x:f>M1648+IF(AND(S1648=1,J1648=2),1,0)</x:f>
        <x:v>4</x:v>
      </x:c>
      <x:c r="W1648" s="19" t="n">
        <x:f>SUM(T1648:V1648)</x:f>
        <x:v>8</x:v>
      </x:c>
      <x:c r="X1648" s="19" t="n">
        <x:f>W1648-G1648</x:f>
        <x:v>1</x:v>
      </x:c>
      <x:c r="Y1648" s="19" t="n">
        <x:f>MAX(T1648,1)+MAX(U1648,1)+MAX(V1648,1)</x:f>
        <x:v>8</x:v>
      </x:c>
      <x:c r="Z1648" s="21" t="str">
        <x:f>IF(AND(MIN(D1648:F1648)&gt;=0,MAX(D1648:F1648)&lt;=7,MAX(D1648,1)+MAX(E1648,1)+MAX(F1648,1)&lt;=9,OR(H1648="-",AND(H1648=0,D1648&gt;0),AND(H1648=1,E1648&gt;0),AND(H1648=2,F1648&gt;0)),OR(I1648=0,AND(I1648=1,OR(J1648=0,J1648=1,J1648=2),R1648&lt;&gt;"000")),Y1648&lt;=9,MIN(T1648:V1648)&gt;=0),"合法","输入违约")</x:f>
        <x:v>合法</x:v>
      </x:c>
    </x:row>
    <x:row r="1649" ht="23" customHeight="1">
      <x:c r="A1649" s="3" t="str">
        <x:v>CT-1642</x:v>
      </x:c>
      <x:c r="B1649" s="3" t="str">
        <x:v>ST-107</x:v>
      </x:c>
      <x:c r="C1649" s="3" t="str">
        <x:v>仅R回收</x:v>
      </x:c>
      <x:c r="D1649" s="25" t="n">
        <x:v>3</x:v>
      </x:c>
      <x:c r="E1649" s="25" t="n">
        <x:v>1</x:v>
      </x:c>
      <x:c r="F1649" s="25" t="n">
        <x:v>3</x:v>
      </x:c>
      <x:c r="G1649" s="19" t="n">
        <x:f>SUM(D1649:F1649)</x:f>
        <x:v>7</x:v>
      </x:c>
      <x:c r="H1649" s="25" t="n">
        <x:v>0</x:v>
      </x:c>
      <x:c r="I1649" s="25" t="n">
        <x:v>0</x:v>
      </x:c>
      <x:c r="J1649" s="25" t="str">
        <x:v>-</x:v>
      </x:c>
      <x:c r="K1649" s="19" t="n">
        <x:f>D1649-IF(H1649=0,1,0)</x:f>
        <x:v>2</x:v>
      </x:c>
      <x:c r="L1649" s="19" t="n">
        <x:f>E1649-IF(H1649=1,1,0)</x:f>
        <x:v>1</x:v>
      </x:c>
      <x:c r="M1649" s="19" t="n">
        <x:f>F1649-IF(H1649=2,1,0)</x:f>
        <x:v>3</x:v>
      </x:c>
      <x:c r="N1649" s="19" t="n">
        <x:f>MAX(K1649-1,0)+MAX(L1649-1,0)+MAX(M1649-1,0)</x:f>
        <x:v>3</x:v>
      </x:c>
      <x:c r="O1649" s="19" t="n">
        <x:f>IF(AND(SUM(K1649:M1649)&lt;9,OR(M1649=0,N1649&lt;6)),1,0)</x:f>
        <x:v>1</x:v>
      </x:c>
      <x:c r="P1649" s="19" t="n">
        <x:f>IF(AND(SUM(K1649:M1649)&lt;9,OR(L1649=0,N1649&lt;6)),1,0)</x:f>
        <x:v>1</x:v>
      </x:c>
      <x:c r="Q1649" s="19" t="n">
        <x:f>IF(AND(SUM(K1649:M1649)&lt;9,OR(K1649=0,N1649&lt;6)),1,0)</x:f>
        <x:v>1</x:v>
      </x:c>
      <x:c r="R1649" s="22" t="str">
        <x:f>O1649&amp;P1649&amp;Q1649</x:f>
        <x:v>111</x:v>
      </x:c>
      <x:c r="S1649" s="19" t="n">
        <x:f>IF(I1649=1,IF(J1649=0,Q1649,IF(J1649=1,P1649,IF(J1649=2,O1649,0))),0)</x:f>
        <x:v>0</x:v>
      </x:c>
      <x:c r="T1649" s="19" t="n">
        <x:f>K1649+IF(AND(S1649=1,J1649=0),1,0)</x:f>
        <x:v>2</x:v>
      </x:c>
      <x:c r="U1649" s="19" t="n">
        <x:f>L1649+IF(AND(S1649=1,J1649=1),1,0)</x:f>
        <x:v>1</x:v>
      </x:c>
      <x:c r="V1649" s="19" t="n">
        <x:f>M1649+IF(AND(S1649=1,J1649=2),1,0)</x:f>
        <x:v>3</x:v>
      </x:c>
      <x:c r="W1649" s="19" t="n">
        <x:f>SUM(T1649:V1649)</x:f>
        <x:v>6</x:v>
      </x:c>
      <x:c r="X1649" s="19" t="n">
        <x:f>W1649-G1649</x:f>
        <x:v>-1</x:v>
      </x:c>
      <x:c r="Y1649" s="19" t="n">
        <x:f>MAX(T1649,1)+MAX(U1649,1)+MAX(V1649,1)</x:f>
        <x:v>6</x:v>
      </x:c>
      <x:c r="Z1649" s="21" t="str">
        <x:f>IF(AND(MIN(D1649:F1649)&gt;=0,MAX(D1649:F1649)&lt;=7,MAX(D1649,1)+MAX(E1649,1)+MAX(F1649,1)&lt;=9,OR(H1649="-",AND(H1649=0,D1649&gt;0),AND(H1649=1,E1649&gt;0),AND(H1649=2,F1649&gt;0)),OR(I1649=0,AND(I1649=1,OR(J1649=0,J1649=1,J1649=2),R1649&lt;&gt;"000")),Y1649&lt;=9,MIN(T1649:V1649)&gt;=0),"合法","输入违约")</x:f>
        <x:v>合法</x:v>
      </x:c>
    </x:row>
    <x:row r="1650" ht="23" customHeight="1">
      <x:c r="A1650" s="3" t="str">
        <x:v>CT-1643</x:v>
      </x:c>
      <x:c r="B1650" s="3" t="str">
        <x:v>ST-107</x:v>
      </x:c>
      <x:c r="C1650" s="3" t="str">
        <x:v>R+AR同收同发</x:v>
      </x:c>
      <x:c r="D1650" s="25" t="n">
        <x:v>3</x:v>
      </x:c>
      <x:c r="E1650" s="25" t="n">
        <x:v>1</x:v>
      </x:c>
      <x:c r="F1650" s="25" t="n">
        <x:v>3</x:v>
      </x:c>
      <x:c r="G1650" s="19" t="n">
        <x:f>SUM(D1650:F1650)</x:f>
        <x:v>7</x:v>
      </x:c>
      <x:c r="H1650" s="25" t="n">
        <x:v>0</x:v>
      </x:c>
      <x:c r="I1650" s="25" t="n">
        <x:v>1</x:v>
      </x:c>
      <x:c r="J1650" s="25" t="n">
        <x:v>0</x:v>
      </x:c>
      <x:c r="K1650" s="19" t="n">
        <x:f>D1650-IF(H1650=0,1,0)</x:f>
        <x:v>2</x:v>
      </x:c>
      <x:c r="L1650" s="19" t="n">
        <x:f>E1650-IF(H1650=1,1,0)</x:f>
        <x:v>1</x:v>
      </x:c>
      <x:c r="M1650" s="19" t="n">
        <x:f>F1650-IF(H1650=2,1,0)</x:f>
        <x:v>3</x:v>
      </x:c>
      <x:c r="N1650" s="19" t="n">
        <x:f>MAX(K1650-1,0)+MAX(L1650-1,0)+MAX(M1650-1,0)</x:f>
        <x:v>3</x:v>
      </x:c>
      <x:c r="O1650" s="19" t="n">
        <x:f>IF(AND(SUM(K1650:M1650)&lt;9,OR(M1650=0,N1650&lt;6)),1,0)</x:f>
        <x:v>1</x:v>
      </x:c>
      <x:c r="P1650" s="19" t="n">
        <x:f>IF(AND(SUM(K1650:M1650)&lt;9,OR(L1650=0,N1650&lt;6)),1,0)</x:f>
        <x:v>1</x:v>
      </x:c>
      <x:c r="Q1650" s="19" t="n">
        <x:f>IF(AND(SUM(K1650:M1650)&lt;9,OR(K1650=0,N1650&lt;6)),1,0)</x:f>
        <x:v>1</x:v>
      </x:c>
      <x:c r="R1650" s="22" t="str">
        <x:f>O1650&amp;P1650&amp;Q1650</x:f>
        <x:v>111</x:v>
      </x:c>
      <x:c r="S1650" s="19" t="n">
        <x:f>IF(I1650=1,IF(J1650=0,Q1650,IF(J1650=1,P1650,IF(J1650=2,O1650,0))),0)</x:f>
        <x:v>1</x:v>
      </x:c>
      <x:c r="T1650" s="19" t="n">
        <x:f>K1650+IF(AND(S1650=1,J1650=0),1,0)</x:f>
        <x:v>3</x:v>
      </x:c>
      <x:c r="U1650" s="19" t="n">
        <x:f>L1650+IF(AND(S1650=1,J1650=1),1,0)</x:f>
        <x:v>1</x:v>
      </x:c>
      <x:c r="V1650" s="19" t="n">
        <x:f>M1650+IF(AND(S1650=1,J1650=2),1,0)</x:f>
        <x:v>3</x:v>
      </x:c>
      <x:c r="W1650" s="19" t="n">
        <x:f>SUM(T1650:V1650)</x:f>
        <x:v>7</x:v>
      </x:c>
      <x:c r="X1650" s="19" t="n">
        <x:f>W1650-G1650</x:f>
        <x:v>0</x:v>
      </x:c>
      <x:c r="Y1650" s="19" t="n">
        <x:f>MAX(T1650,1)+MAX(U1650,1)+MAX(V1650,1)</x:f>
        <x:v>7</x:v>
      </x:c>
      <x:c r="Z1650" s="21" t="str">
        <x:f>IF(AND(MIN(D1650:F1650)&gt;=0,MAX(D1650:F1650)&lt;=7,MAX(D1650,1)+MAX(E1650,1)+MAX(F1650,1)&lt;=9,OR(H1650="-",AND(H1650=0,D1650&gt;0),AND(H1650=1,E1650&gt;0),AND(H1650=2,F1650&gt;0)),OR(I1650=0,AND(I1650=1,OR(J1650=0,J1650=1,J1650=2),R1650&lt;&gt;"000")),Y1650&lt;=9,MIN(T1650:V1650)&gt;=0),"合法","输入违约")</x:f>
        <x:v>合法</x:v>
      </x:c>
    </x:row>
    <x:row r="1651" ht="23" customHeight="1">
      <x:c r="A1651" s="3" t="str">
        <x:v>CT-1644</x:v>
      </x:c>
      <x:c r="B1651" s="3" t="str">
        <x:v>ST-107</x:v>
      </x:c>
      <x:c r="C1651" s="3" t="str">
        <x:v>R+AR同收同发</x:v>
      </x:c>
      <x:c r="D1651" s="25" t="n">
        <x:v>3</x:v>
      </x:c>
      <x:c r="E1651" s="25" t="n">
        <x:v>1</x:v>
      </x:c>
      <x:c r="F1651" s="25" t="n">
        <x:v>3</x:v>
      </x:c>
      <x:c r="G1651" s="19" t="n">
        <x:f>SUM(D1651:F1651)</x:f>
        <x:v>7</x:v>
      </x:c>
      <x:c r="H1651" s="25" t="n">
        <x:v>0</x:v>
      </x:c>
      <x:c r="I1651" s="25" t="n">
        <x:v>1</x:v>
      </x:c>
      <x:c r="J1651" s="25" t="n">
        <x:v>1</x:v>
      </x:c>
      <x:c r="K1651" s="19" t="n">
        <x:f>D1651-IF(H1651=0,1,0)</x:f>
        <x:v>2</x:v>
      </x:c>
      <x:c r="L1651" s="19" t="n">
        <x:f>E1651-IF(H1651=1,1,0)</x:f>
        <x:v>1</x:v>
      </x:c>
      <x:c r="M1651" s="19" t="n">
        <x:f>F1651-IF(H1651=2,1,0)</x:f>
        <x:v>3</x:v>
      </x:c>
      <x:c r="N1651" s="19" t="n">
        <x:f>MAX(K1651-1,0)+MAX(L1651-1,0)+MAX(M1651-1,0)</x:f>
        <x:v>3</x:v>
      </x:c>
      <x:c r="O1651" s="19" t="n">
        <x:f>IF(AND(SUM(K1651:M1651)&lt;9,OR(M1651=0,N1651&lt;6)),1,0)</x:f>
        <x:v>1</x:v>
      </x:c>
      <x:c r="P1651" s="19" t="n">
        <x:f>IF(AND(SUM(K1651:M1651)&lt;9,OR(L1651=0,N1651&lt;6)),1,0)</x:f>
        <x:v>1</x:v>
      </x:c>
      <x:c r="Q1651" s="19" t="n">
        <x:f>IF(AND(SUM(K1651:M1651)&lt;9,OR(K1651=0,N1651&lt;6)),1,0)</x:f>
        <x:v>1</x:v>
      </x:c>
      <x:c r="R1651" s="22" t="str">
        <x:f>O1651&amp;P1651&amp;Q1651</x:f>
        <x:v>111</x:v>
      </x:c>
      <x:c r="S1651" s="19" t="n">
        <x:f>IF(I1651=1,IF(J1651=0,Q1651,IF(J1651=1,P1651,IF(J1651=2,O1651,0))),0)</x:f>
        <x:v>1</x:v>
      </x:c>
      <x:c r="T1651" s="19" t="n">
        <x:f>K1651+IF(AND(S1651=1,J1651=0),1,0)</x:f>
        <x:v>2</x:v>
      </x:c>
      <x:c r="U1651" s="19" t="n">
        <x:f>L1651+IF(AND(S1651=1,J1651=1),1,0)</x:f>
        <x:v>2</x:v>
      </x:c>
      <x:c r="V1651" s="19" t="n">
        <x:f>M1651+IF(AND(S1651=1,J1651=2),1,0)</x:f>
        <x:v>3</x:v>
      </x:c>
      <x:c r="W1651" s="19" t="n">
        <x:f>SUM(T1651:V1651)</x:f>
        <x:v>7</x:v>
      </x:c>
      <x:c r="X1651" s="19" t="n">
        <x:f>W1651-G1651</x:f>
        <x:v>0</x:v>
      </x:c>
      <x:c r="Y1651" s="19" t="n">
        <x:f>MAX(T1651,1)+MAX(U1651,1)+MAX(V1651,1)</x:f>
        <x:v>7</x:v>
      </x:c>
      <x:c r="Z1651" s="21" t="str">
        <x:f>IF(AND(MIN(D1651:F1651)&gt;=0,MAX(D1651:F1651)&lt;=7,MAX(D1651,1)+MAX(E1651,1)+MAX(F1651,1)&lt;=9,OR(H1651="-",AND(H1651=0,D1651&gt;0),AND(H1651=1,E1651&gt;0),AND(H1651=2,F1651&gt;0)),OR(I1651=0,AND(I1651=1,OR(J1651=0,J1651=1,J1651=2),R1651&lt;&gt;"000")),Y1651&lt;=9,MIN(T1651:V1651)&gt;=0),"合法","输入违约")</x:f>
        <x:v>合法</x:v>
      </x:c>
    </x:row>
    <x:row r="1652" ht="23" customHeight="1">
      <x:c r="A1652" s="3" t="str">
        <x:v>CT-1645</x:v>
      </x:c>
      <x:c r="B1652" s="3" t="str">
        <x:v>ST-107</x:v>
      </x:c>
      <x:c r="C1652" s="3" t="str">
        <x:v>R+AR同收同发</x:v>
      </x:c>
      <x:c r="D1652" s="25" t="n">
        <x:v>3</x:v>
      </x:c>
      <x:c r="E1652" s="25" t="n">
        <x:v>1</x:v>
      </x:c>
      <x:c r="F1652" s="25" t="n">
        <x:v>3</x:v>
      </x:c>
      <x:c r="G1652" s="19" t="n">
        <x:f>SUM(D1652:F1652)</x:f>
        <x:v>7</x:v>
      </x:c>
      <x:c r="H1652" s="25" t="n">
        <x:v>0</x:v>
      </x:c>
      <x:c r="I1652" s="25" t="n">
        <x:v>1</x:v>
      </x:c>
      <x:c r="J1652" s="25" t="n">
        <x:v>2</x:v>
      </x:c>
      <x:c r="K1652" s="19" t="n">
        <x:f>D1652-IF(H1652=0,1,0)</x:f>
        <x:v>2</x:v>
      </x:c>
      <x:c r="L1652" s="19" t="n">
        <x:f>E1652-IF(H1652=1,1,0)</x:f>
        <x:v>1</x:v>
      </x:c>
      <x:c r="M1652" s="19" t="n">
        <x:f>F1652-IF(H1652=2,1,0)</x:f>
        <x:v>3</x:v>
      </x:c>
      <x:c r="N1652" s="19" t="n">
        <x:f>MAX(K1652-1,0)+MAX(L1652-1,0)+MAX(M1652-1,0)</x:f>
        <x:v>3</x:v>
      </x:c>
      <x:c r="O1652" s="19" t="n">
        <x:f>IF(AND(SUM(K1652:M1652)&lt;9,OR(M1652=0,N1652&lt;6)),1,0)</x:f>
        <x:v>1</x:v>
      </x:c>
      <x:c r="P1652" s="19" t="n">
        <x:f>IF(AND(SUM(K1652:M1652)&lt;9,OR(L1652=0,N1652&lt;6)),1,0)</x:f>
        <x:v>1</x:v>
      </x:c>
      <x:c r="Q1652" s="19" t="n">
        <x:f>IF(AND(SUM(K1652:M1652)&lt;9,OR(K1652=0,N1652&lt;6)),1,0)</x:f>
        <x:v>1</x:v>
      </x:c>
      <x:c r="R1652" s="22" t="str">
        <x:f>O1652&amp;P1652&amp;Q1652</x:f>
        <x:v>111</x:v>
      </x:c>
      <x:c r="S1652" s="19" t="n">
        <x:f>IF(I1652=1,IF(J1652=0,Q1652,IF(J1652=1,P1652,IF(J1652=2,O1652,0))),0)</x:f>
        <x:v>1</x:v>
      </x:c>
      <x:c r="T1652" s="19" t="n">
        <x:f>K1652+IF(AND(S1652=1,J1652=0),1,0)</x:f>
        <x:v>2</x:v>
      </x:c>
      <x:c r="U1652" s="19" t="n">
        <x:f>L1652+IF(AND(S1652=1,J1652=1),1,0)</x:f>
        <x:v>1</x:v>
      </x:c>
      <x:c r="V1652" s="19" t="n">
        <x:f>M1652+IF(AND(S1652=1,J1652=2),1,0)</x:f>
        <x:v>4</x:v>
      </x:c>
      <x:c r="W1652" s="19" t="n">
        <x:f>SUM(T1652:V1652)</x:f>
        <x:v>7</x:v>
      </x:c>
      <x:c r="X1652" s="19" t="n">
        <x:f>W1652-G1652</x:f>
        <x:v>0</x:v>
      </x:c>
      <x:c r="Y1652" s="19" t="n">
        <x:f>MAX(T1652,1)+MAX(U1652,1)+MAX(V1652,1)</x:f>
        <x:v>7</x:v>
      </x:c>
      <x:c r="Z1652" s="21" t="str">
        <x:f>IF(AND(MIN(D1652:F1652)&gt;=0,MAX(D1652:F1652)&lt;=7,MAX(D1652,1)+MAX(E1652,1)+MAX(F1652,1)&lt;=9,OR(H1652="-",AND(H1652=0,D1652&gt;0),AND(H1652=1,E1652&gt;0),AND(H1652=2,F1652&gt;0)),OR(I1652=0,AND(I1652=1,OR(J1652=0,J1652=1,J1652=2),R1652&lt;&gt;"000")),Y1652&lt;=9,MIN(T1652:V1652)&gt;=0),"合法","输入违约")</x:f>
        <x:v>合法</x:v>
      </x:c>
    </x:row>
    <x:row r="1653" ht="23" customHeight="1">
      <x:c r="A1653" s="3" t="str">
        <x:v>CT-1646</x:v>
      </x:c>
      <x:c r="B1653" s="3" t="str">
        <x:v>ST-107</x:v>
      </x:c>
      <x:c r="C1653" s="3" t="str">
        <x:v>仅R回收</x:v>
      </x:c>
      <x:c r="D1653" s="25" t="n">
        <x:v>3</x:v>
      </x:c>
      <x:c r="E1653" s="25" t="n">
        <x:v>1</x:v>
      </x:c>
      <x:c r="F1653" s="25" t="n">
        <x:v>3</x:v>
      </x:c>
      <x:c r="G1653" s="19" t="n">
        <x:f>SUM(D1653:F1653)</x:f>
        <x:v>7</x:v>
      </x:c>
      <x:c r="H1653" s="25" t="n">
        <x:v>1</x:v>
      </x:c>
      <x:c r="I1653" s="25" t="n">
        <x:v>0</x:v>
      </x:c>
      <x:c r="J1653" s="25" t="str">
        <x:v>-</x:v>
      </x:c>
      <x:c r="K1653" s="19" t="n">
        <x:f>D1653-IF(H1653=0,1,0)</x:f>
        <x:v>3</x:v>
      </x:c>
      <x:c r="L1653" s="19" t="n">
        <x:f>E1653-IF(H1653=1,1,0)</x:f>
        <x:v>0</x:v>
      </x:c>
      <x:c r="M1653" s="19" t="n">
        <x:f>F1653-IF(H1653=2,1,0)</x:f>
        <x:v>3</x:v>
      </x:c>
      <x:c r="N1653" s="19" t="n">
        <x:f>MAX(K1653-1,0)+MAX(L1653-1,0)+MAX(M1653-1,0)</x:f>
        <x:v>4</x:v>
      </x:c>
      <x:c r="O1653" s="19" t="n">
        <x:f>IF(AND(SUM(K1653:M1653)&lt;9,OR(M1653=0,N1653&lt;6)),1,0)</x:f>
        <x:v>1</x:v>
      </x:c>
      <x:c r="P1653" s="19" t="n">
        <x:f>IF(AND(SUM(K1653:M1653)&lt;9,OR(L1653=0,N1653&lt;6)),1,0)</x:f>
        <x:v>1</x:v>
      </x:c>
      <x:c r="Q1653" s="19" t="n">
        <x:f>IF(AND(SUM(K1653:M1653)&lt;9,OR(K1653=0,N1653&lt;6)),1,0)</x:f>
        <x:v>1</x:v>
      </x:c>
      <x:c r="R1653" s="22" t="str">
        <x:f>O1653&amp;P1653&amp;Q1653</x:f>
        <x:v>111</x:v>
      </x:c>
      <x:c r="S1653" s="19" t="n">
        <x:f>IF(I1653=1,IF(J1653=0,Q1653,IF(J1653=1,P1653,IF(J1653=2,O1653,0))),0)</x:f>
        <x:v>0</x:v>
      </x:c>
      <x:c r="T1653" s="19" t="n">
        <x:f>K1653+IF(AND(S1653=1,J1653=0),1,0)</x:f>
        <x:v>3</x:v>
      </x:c>
      <x:c r="U1653" s="19" t="n">
        <x:f>L1653+IF(AND(S1653=1,J1653=1),1,0)</x:f>
        <x:v>0</x:v>
      </x:c>
      <x:c r="V1653" s="19" t="n">
        <x:f>M1653+IF(AND(S1653=1,J1653=2),1,0)</x:f>
        <x:v>3</x:v>
      </x:c>
      <x:c r="W1653" s="19" t="n">
        <x:f>SUM(T1653:V1653)</x:f>
        <x:v>6</x:v>
      </x:c>
      <x:c r="X1653" s="19" t="n">
        <x:f>W1653-G1653</x:f>
        <x:v>-1</x:v>
      </x:c>
      <x:c r="Y1653" s="19" t="n">
        <x:f>MAX(T1653,1)+MAX(U1653,1)+MAX(V1653,1)</x:f>
        <x:v>7</x:v>
      </x:c>
      <x:c r="Z1653" s="21" t="str">
        <x:f>IF(AND(MIN(D1653:F1653)&gt;=0,MAX(D1653:F1653)&lt;=7,MAX(D1653,1)+MAX(E1653,1)+MAX(F1653,1)&lt;=9,OR(H1653="-",AND(H1653=0,D1653&gt;0),AND(H1653=1,E1653&gt;0),AND(H1653=2,F1653&gt;0)),OR(I1653=0,AND(I1653=1,OR(J1653=0,J1653=1,J1653=2),R1653&lt;&gt;"000")),Y1653&lt;=9,MIN(T1653:V1653)&gt;=0),"合法","输入违约")</x:f>
        <x:v>合法</x:v>
      </x:c>
    </x:row>
    <x:row r="1654" ht="23" customHeight="1">
      <x:c r="A1654" s="3" t="str">
        <x:v>CT-1647</x:v>
      </x:c>
      <x:c r="B1654" s="3" t="str">
        <x:v>ST-107</x:v>
      </x:c>
      <x:c r="C1654" s="3" t="str">
        <x:v>R+AR同收同发</x:v>
      </x:c>
      <x:c r="D1654" s="25" t="n">
        <x:v>3</x:v>
      </x:c>
      <x:c r="E1654" s="25" t="n">
        <x:v>1</x:v>
      </x:c>
      <x:c r="F1654" s="25" t="n">
        <x:v>3</x:v>
      </x:c>
      <x:c r="G1654" s="19" t="n">
        <x:f>SUM(D1654:F1654)</x:f>
        <x:v>7</x:v>
      </x:c>
      <x:c r="H1654" s="25" t="n">
        <x:v>1</x:v>
      </x:c>
      <x:c r="I1654" s="25" t="n">
        <x:v>1</x:v>
      </x:c>
      <x:c r="J1654" s="25" t="n">
        <x:v>0</x:v>
      </x:c>
      <x:c r="K1654" s="19" t="n">
        <x:f>D1654-IF(H1654=0,1,0)</x:f>
        <x:v>3</x:v>
      </x:c>
      <x:c r="L1654" s="19" t="n">
        <x:f>E1654-IF(H1654=1,1,0)</x:f>
        <x:v>0</x:v>
      </x:c>
      <x:c r="M1654" s="19" t="n">
        <x:f>F1654-IF(H1654=2,1,0)</x:f>
        <x:v>3</x:v>
      </x:c>
      <x:c r="N1654" s="19" t="n">
        <x:f>MAX(K1654-1,0)+MAX(L1654-1,0)+MAX(M1654-1,0)</x:f>
        <x:v>4</x:v>
      </x:c>
      <x:c r="O1654" s="19" t="n">
        <x:f>IF(AND(SUM(K1654:M1654)&lt;9,OR(M1654=0,N1654&lt;6)),1,0)</x:f>
        <x:v>1</x:v>
      </x:c>
      <x:c r="P1654" s="19" t="n">
        <x:f>IF(AND(SUM(K1654:M1654)&lt;9,OR(L1654=0,N1654&lt;6)),1,0)</x:f>
        <x:v>1</x:v>
      </x:c>
      <x:c r="Q1654" s="19" t="n">
        <x:f>IF(AND(SUM(K1654:M1654)&lt;9,OR(K1654=0,N1654&lt;6)),1,0)</x:f>
        <x:v>1</x:v>
      </x:c>
      <x:c r="R1654" s="22" t="str">
        <x:f>O1654&amp;P1654&amp;Q1654</x:f>
        <x:v>111</x:v>
      </x:c>
      <x:c r="S1654" s="19" t="n">
        <x:f>IF(I1654=1,IF(J1654=0,Q1654,IF(J1654=1,P1654,IF(J1654=2,O1654,0))),0)</x:f>
        <x:v>1</x:v>
      </x:c>
      <x:c r="T1654" s="19" t="n">
        <x:f>K1654+IF(AND(S1654=1,J1654=0),1,0)</x:f>
        <x:v>4</x:v>
      </x:c>
      <x:c r="U1654" s="19" t="n">
        <x:f>L1654+IF(AND(S1654=1,J1654=1),1,0)</x:f>
        <x:v>0</x:v>
      </x:c>
      <x:c r="V1654" s="19" t="n">
        <x:f>M1654+IF(AND(S1654=1,J1654=2),1,0)</x:f>
        <x:v>3</x:v>
      </x:c>
      <x:c r="W1654" s="19" t="n">
        <x:f>SUM(T1654:V1654)</x:f>
        <x:v>7</x:v>
      </x:c>
      <x:c r="X1654" s="19" t="n">
        <x:f>W1654-G1654</x:f>
        <x:v>0</x:v>
      </x:c>
      <x:c r="Y1654" s="19" t="n">
        <x:f>MAX(T1654,1)+MAX(U1654,1)+MAX(V1654,1)</x:f>
        <x:v>8</x:v>
      </x:c>
      <x:c r="Z1654" s="21" t="str">
        <x:f>IF(AND(MIN(D1654:F1654)&gt;=0,MAX(D1654:F1654)&lt;=7,MAX(D1654,1)+MAX(E1654,1)+MAX(F1654,1)&lt;=9,OR(H1654="-",AND(H1654=0,D1654&gt;0),AND(H1654=1,E1654&gt;0),AND(H1654=2,F1654&gt;0)),OR(I1654=0,AND(I1654=1,OR(J1654=0,J1654=1,J1654=2),R1654&lt;&gt;"000")),Y1654&lt;=9,MIN(T1654:V1654)&gt;=0),"合法","输入违约")</x:f>
        <x:v>合法</x:v>
      </x:c>
    </x:row>
    <x:row r="1655" ht="23" customHeight="1">
      <x:c r="A1655" s="3" t="str">
        <x:v>CT-1648</x:v>
      </x:c>
      <x:c r="B1655" s="3" t="str">
        <x:v>ST-107</x:v>
      </x:c>
      <x:c r="C1655" s="3" t="str">
        <x:v>R+AR同收同发</x:v>
      </x:c>
      <x:c r="D1655" s="25" t="n">
        <x:v>3</x:v>
      </x:c>
      <x:c r="E1655" s="25" t="n">
        <x:v>1</x:v>
      </x:c>
      <x:c r="F1655" s="25" t="n">
        <x:v>3</x:v>
      </x:c>
      <x:c r="G1655" s="19" t="n">
        <x:f>SUM(D1655:F1655)</x:f>
        <x:v>7</x:v>
      </x:c>
      <x:c r="H1655" s="25" t="n">
        <x:v>1</x:v>
      </x:c>
      <x:c r="I1655" s="25" t="n">
        <x:v>1</x:v>
      </x:c>
      <x:c r="J1655" s="25" t="n">
        <x:v>1</x:v>
      </x:c>
      <x:c r="K1655" s="19" t="n">
        <x:f>D1655-IF(H1655=0,1,0)</x:f>
        <x:v>3</x:v>
      </x:c>
      <x:c r="L1655" s="19" t="n">
        <x:f>E1655-IF(H1655=1,1,0)</x:f>
        <x:v>0</x:v>
      </x:c>
      <x:c r="M1655" s="19" t="n">
        <x:f>F1655-IF(H1655=2,1,0)</x:f>
        <x:v>3</x:v>
      </x:c>
      <x:c r="N1655" s="19" t="n">
        <x:f>MAX(K1655-1,0)+MAX(L1655-1,0)+MAX(M1655-1,0)</x:f>
        <x:v>4</x:v>
      </x:c>
      <x:c r="O1655" s="19" t="n">
        <x:f>IF(AND(SUM(K1655:M1655)&lt;9,OR(M1655=0,N1655&lt;6)),1,0)</x:f>
        <x:v>1</x:v>
      </x:c>
      <x:c r="P1655" s="19" t="n">
        <x:f>IF(AND(SUM(K1655:M1655)&lt;9,OR(L1655=0,N1655&lt;6)),1,0)</x:f>
        <x:v>1</x:v>
      </x:c>
      <x:c r="Q1655" s="19" t="n">
        <x:f>IF(AND(SUM(K1655:M1655)&lt;9,OR(K1655=0,N1655&lt;6)),1,0)</x:f>
        <x:v>1</x:v>
      </x:c>
      <x:c r="R1655" s="22" t="str">
        <x:f>O1655&amp;P1655&amp;Q1655</x:f>
        <x:v>111</x:v>
      </x:c>
      <x:c r="S1655" s="19" t="n">
        <x:f>IF(I1655=1,IF(J1655=0,Q1655,IF(J1655=1,P1655,IF(J1655=2,O1655,0))),0)</x:f>
        <x:v>1</x:v>
      </x:c>
      <x:c r="T1655" s="19" t="n">
        <x:f>K1655+IF(AND(S1655=1,J1655=0),1,0)</x:f>
        <x:v>3</x:v>
      </x:c>
      <x:c r="U1655" s="19" t="n">
        <x:f>L1655+IF(AND(S1655=1,J1655=1),1,0)</x:f>
        <x:v>1</x:v>
      </x:c>
      <x:c r="V1655" s="19" t="n">
        <x:f>M1655+IF(AND(S1655=1,J1655=2),1,0)</x:f>
        <x:v>3</x:v>
      </x:c>
      <x:c r="W1655" s="19" t="n">
        <x:f>SUM(T1655:V1655)</x:f>
        <x:v>7</x:v>
      </x:c>
      <x:c r="X1655" s="19" t="n">
        <x:f>W1655-G1655</x:f>
        <x:v>0</x:v>
      </x:c>
      <x:c r="Y1655" s="19" t="n">
        <x:f>MAX(T1655,1)+MAX(U1655,1)+MAX(V1655,1)</x:f>
        <x:v>7</x:v>
      </x:c>
      <x:c r="Z1655" s="21" t="str">
        <x:f>IF(AND(MIN(D1655:F1655)&gt;=0,MAX(D1655:F1655)&lt;=7,MAX(D1655,1)+MAX(E1655,1)+MAX(F1655,1)&lt;=9,OR(H1655="-",AND(H1655=0,D1655&gt;0),AND(H1655=1,E1655&gt;0),AND(H1655=2,F1655&gt;0)),OR(I1655=0,AND(I1655=1,OR(J1655=0,J1655=1,J1655=2),R1655&lt;&gt;"000")),Y1655&lt;=9,MIN(T1655:V1655)&gt;=0),"合法","输入违约")</x:f>
        <x:v>合法</x:v>
      </x:c>
    </x:row>
    <x:row r="1656" ht="23" customHeight="1">
      <x:c r="A1656" s="3" t="str">
        <x:v>CT-1649</x:v>
      </x:c>
      <x:c r="B1656" s="3" t="str">
        <x:v>ST-107</x:v>
      </x:c>
      <x:c r="C1656" s="3" t="str">
        <x:v>R+AR同收同发</x:v>
      </x:c>
      <x:c r="D1656" s="25" t="n">
        <x:v>3</x:v>
      </x:c>
      <x:c r="E1656" s="25" t="n">
        <x:v>1</x:v>
      </x:c>
      <x:c r="F1656" s="25" t="n">
        <x:v>3</x:v>
      </x:c>
      <x:c r="G1656" s="19" t="n">
        <x:f>SUM(D1656:F1656)</x:f>
        <x:v>7</x:v>
      </x:c>
      <x:c r="H1656" s="25" t="n">
        <x:v>1</x:v>
      </x:c>
      <x:c r="I1656" s="25" t="n">
        <x:v>1</x:v>
      </x:c>
      <x:c r="J1656" s="25" t="n">
        <x:v>2</x:v>
      </x:c>
      <x:c r="K1656" s="19" t="n">
        <x:f>D1656-IF(H1656=0,1,0)</x:f>
        <x:v>3</x:v>
      </x:c>
      <x:c r="L1656" s="19" t="n">
        <x:f>E1656-IF(H1656=1,1,0)</x:f>
        <x:v>0</x:v>
      </x:c>
      <x:c r="M1656" s="19" t="n">
        <x:f>F1656-IF(H1656=2,1,0)</x:f>
        <x:v>3</x:v>
      </x:c>
      <x:c r="N1656" s="19" t="n">
        <x:f>MAX(K1656-1,0)+MAX(L1656-1,0)+MAX(M1656-1,0)</x:f>
        <x:v>4</x:v>
      </x:c>
      <x:c r="O1656" s="19" t="n">
        <x:f>IF(AND(SUM(K1656:M1656)&lt;9,OR(M1656=0,N1656&lt;6)),1,0)</x:f>
        <x:v>1</x:v>
      </x:c>
      <x:c r="P1656" s="19" t="n">
        <x:f>IF(AND(SUM(K1656:M1656)&lt;9,OR(L1656=0,N1656&lt;6)),1,0)</x:f>
        <x:v>1</x:v>
      </x:c>
      <x:c r="Q1656" s="19" t="n">
        <x:f>IF(AND(SUM(K1656:M1656)&lt;9,OR(K1656=0,N1656&lt;6)),1,0)</x:f>
        <x:v>1</x:v>
      </x:c>
      <x:c r="R1656" s="22" t="str">
        <x:f>O1656&amp;P1656&amp;Q1656</x:f>
        <x:v>111</x:v>
      </x:c>
      <x:c r="S1656" s="19" t="n">
        <x:f>IF(I1656=1,IF(J1656=0,Q1656,IF(J1656=1,P1656,IF(J1656=2,O1656,0))),0)</x:f>
        <x:v>1</x:v>
      </x:c>
      <x:c r="T1656" s="19" t="n">
        <x:f>K1656+IF(AND(S1656=1,J1656=0),1,0)</x:f>
        <x:v>3</x:v>
      </x:c>
      <x:c r="U1656" s="19" t="n">
        <x:f>L1656+IF(AND(S1656=1,J1656=1),1,0)</x:f>
        <x:v>0</x:v>
      </x:c>
      <x:c r="V1656" s="19" t="n">
        <x:f>M1656+IF(AND(S1656=1,J1656=2),1,0)</x:f>
        <x:v>4</x:v>
      </x:c>
      <x:c r="W1656" s="19" t="n">
        <x:f>SUM(T1656:V1656)</x:f>
        <x:v>7</x:v>
      </x:c>
      <x:c r="X1656" s="19" t="n">
        <x:f>W1656-G1656</x:f>
        <x:v>0</x:v>
      </x:c>
      <x:c r="Y1656" s="19" t="n">
        <x:f>MAX(T1656,1)+MAX(U1656,1)+MAX(V1656,1)</x:f>
        <x:v>8</x:v>
      </x:c>
      <x:c r="Z1656" s="21" t="str">
        <x:f>IF(AND(MIN(D1656:F1656)&gt;=0,MAX(D1656:F1656)&lt;=7,MAX(D1656,1)+MAX(E1656,1)+MAX(F1656,1)&lt;=9,OR(H1656="-",AND(H1656=0,D1656&gt;0),AND(H1656=1,E1656&gt;0),AND(H1656=2,F1656&gt;0)),OR(I1656=0,AND(I1656=1,OR(J1656=0,J1656=1,J1656=2),R1656&lt;&gt;"000")),Y1656&lt;=9,MIN(T1656:V1656)&gt;=0),"合法","输入违约")</x:f>
        <x:v>合法</x:v>
      </x:c>
    </x:row>
    <x:row r="1657" ht="23" customHeight="1">
      <x:c r="A1657" s="3" t="str">
        <x:v>CT-1650</x:v>
      </x:c>
      <x:c r="B1657" s="3" t="str">
        <x:v>ST-107</x:v>
      </x:c>
      <x:c r="C1657" s="3" t="str">
        <x:v>仅R回收</x:v>
      </x:c>
      <x:c r="D1657" s="25" t="n">
        <x:v>3</x:v>
      </x:c>
      <x:c r="E1657" s="25" t="n">
        <x:v>1</x:v>
      </x:c>
      <x:c r="F1657" s="25" t="n">
        <x:v>3</x:v>
      </x:c>
      <x:c r="G1657" s="19" t="n">
        <x:f>SUM(D1657:F1657)</x:f>
        <x:v>7</x:v>
      </x:c>
      <x:c r="H1657" s="25" t="n">
        <x:v>2</x:v>
      </x:c>
      <x:c r="I1657" s="25" t="n">
        <x:v>0</x:v>
      </x:c>
      <x:c r="J1657" s="25" t="str">
        <x:v>-</x:v>
      </x:c>
      <x:c r="K1657" s="19" t="n">
        <x:f>D1657-IF(H1657=0,1,0)</x:f>
        <x:v>3</x:v>
      </x:c>
      <x:c r="L1657" s="19" t="n">
        <x:f>E1657-IF(H1657=1,1,0)</x:f>
        <x:v>1</x:v>
      </x:c>
      <x:c r="M1657" s="19" t="n">
        <x:f>F1657-IF(H1657=2,1,0)</x:f>
        <x:v>2</x:v>
      </x:c>
      <x:c r="N1657" s="19" t="n">
        <x:f>MAX(K1657-1,0)+MAX(L1657-1,0)+MAX(M1657-1,0)</x:f>
        <x:v>3</x:v>
      </x:c>
      <x:c r="O1657" s="19" t="n">
        <x:f>IF(AND(SUM(K1657:M1657)&lt;9,OR(M1657=0,N1657&lt;6)),1,0)</x:f>
        <x:v>1</x:v>
      </x:c>
      <x:c r="P1657" s="19" t="n">
        <x:f>IF(AND(SUM(K1657:M1657)&lt;9,OR(L1657=0,N1657&lt;6)),1,0)</x:f>
        <x:v>1</x:v>
      </x:c>
      <x:c r="Q1657" s="19" t="n">
        <x:f>IF(AND(SUM(K1657:M1657)&lt;9,OR(K1657=0,N1657&lt;6)),1,0)</x:f>
        <x:v>1</x:v>
      </x:c>
      <x:c r="R1657" s="22" t="str">
        <x:f>O1657&amp;P1657&amp;Q1657</x:f>
        <x:v>111</x:v>
      </x:c>
      <x:c r="S1657" s="19" t="n">
        <x:f>IF(I1657=1,IF(J1657=0,Q1657,IF(J1657=1,P1657,IF(J1657=2,O1657,0))),0)</x:f>
        <x:v>0</x:v>
      </x:c>
      <x:c r="T1657" s="19" t="n">
        <x:f>K1657+IF(AND(S1657=1,J1657=0),1,0)</x:f>
        <x:v>3</x:v>
      </x:c>
      <x:c r="U1657" s="19" t="n">
        <x:f>L1657+IF(AND(S1657=1,J1657=1),1,0)</x:f>
        <x:v>1</x:v>
      </x:c>
      <x:c r="V1657" s="19" t="n">
        <x:f>M1657+IF(AND(S1657=1,J1657=2),1,0)</x:f>
        <x:v>2</x:v>
      </x:c>
      <x:c r="W1657" s="19" t="n">
        <x:f>SUM(T1657:V1657)</x:f>
        <x:v>6</x:v>
      </x:c>
      <x:c r="X1657" s="19" t="n">
        <x:f>W1657-G1657</x:f>
        <x:v>-1</x:v>
      </x:c>
      <x:c r="Y1657" s="19" t="n">
        <x:f>MAX(T1657,1)+MAX(U1657,1)+MAX(V1657,1)</x:f>
        <x:v>6</x:v>
      </x:c>
      <x:c r="Z1657" s="21" t="str">
        <x:f>IF(AND(MIN(D1657:F1657)&gt;=0,MAX(D1657:F1657)&lt;=7,MAX(D1657,1)+MAX(E1657,1)+MAX(F1657,1)&lt;=9,OR(H1657="-",AND(H1657=0,D1657&gt;0),AND(H1657=1,E1657&gt;0),AND(H1657=2,F1657&gt;0)),OR(I1657=0,AND(I1657=1,OR(J1657=0,J1657=1,J1657=2),R1657&lt;&gt;"000")),Y1657&lt;=9,MIN(T1657:V1657)&gt;=0),"合法","输入违约")</x:f>
        <x:v>合法</x:v>
      </x:c>
    </x:row>
    <x:row r="1658" ht="23" customHeight="1">
      <x:c r="A1658" s="3" t="str">
        <x:v>CT-1651</x:v>
      </x:c>
      <x:c r="B1658" s="3" t="str">
        <x:v>ST-107</x:v>
      </x:c>
      <x:c r="C1658" s="3" t="str">
        <x:v>R+AR同收同发</x:v>
      </x:c>
      <x:c r="D1658" s="25" t="n">
        <x:v>3</x:v>
      </x:c>
      <x:c r="E1658" s="25" t="n">
        <x:v>1</x:v>
      </x:c>
      <x:c r="F1658" s="25" t="n">
        <x:v>3</x:v>
      </x:c>
      <x:c r="G1658" s="19" t="n">
        <x:f>SUM(D1658:F1658)</x:f>
        <x:v>7</x:v>
      </x:c>
      <x:c r="H1658" s="25" t="n">
        <x:v>2</x:v>
      </x:c>
      <x:c r="I1658" s="25" t="n">
        <x:v>1</x:v>
      </x:c>
      <x:c r="J1658" s="25" t="n">
        <x:v>0</x:v>
      </x:c>
      <x:c r="K1658" s="19" t="n">
        <x:f>D1658-IF(H1658=0,1,0)</x:f>
        <x:v>3</x:v>
      </x:c>
      <x:c r="L1658" s="19" t="n">
        <x:f>E1658-IF(H1658=1,1,0)</x:f>
        <x:v>1</x:v>
      </x:c>
      <x:c r="M1658" s="19" t="n">
        <x:f>F1658-IF(H1658=2,1,0)</x:f>
        <x:v>2</x:v>
      </x:c>
      <x:c r="N1658" s="19" t="n">
        <x:f>MAX(K1658-1,0)+MAX(L1658-1,0)+MAX(M1658-1,0)</x:f>
        <x:v>3</x:v>
      </x:c>
      <x:c r="O1658" s="19" t="n">
        <x:f>IF(AND(SUM(K1658:M1658)&lt;9,OR(M1658=0,N1658&lt;6)),1,0)</x:f>
        <x:v>1</x:v>
      </x:c>
      <x:c r="P1658" s="19" t="n">
        <x:f>IF(AND(SUM(K1658:M1658)&lt;9,OR(L1658=0,N1658&lt;6)),1,0)</x:f>
        <x:v>1</x:v>
      </x:c>
      <x:c r="Q1658" s="19" t="n">
        <x:f>IF(AND(SUM(K1658:M1658)&lt;9,OR(K1658=0,N1658&lt;6)),1,0)</x:f>
        <x:v>1</x:v>
      </x:c>
      <x:c r="R1658" s="22" t="str">
        <x:f>O1658&amp;P1658&amp;Q1658</x:f>
        <x:v>111</x:v>
      </x:c>
      <x:c r="S1658" s="19" t="n">
        <x:f>IF(I1658=1,IF(J1658=0,Q1658,IF(J1658=1,P1658,IF(J1658=2,O1658,0))),0)</x:f>
        <x:v>1</x:v>
      </x:c>
      <x:c r="T1658" s="19" t="n">
        <x:f>K1658+IF(AND(S1658=1,J1658=0),1,0)</x:f>
        <x:v>4</x:v>
      </x:c>
      <x:c r="U1658" s="19" t="n">
        <x:f>L1658+IF(AND(S1658=1,J1658=1),1,0)</x:f>
        <x:v>1</x:v>
      </x:c>
      <x:c r="V1658" s="19" t="n">
        <x:f>M1658+IF(AND(S1658=1,J1658=2),1,0)</x:f>
        <x:v>2</x:v>
      </x:c>
      <x:c r="W1658" s="19" t="n">
        <x:f>SUM(T1658:V1658)</x:f>
        <x:v>7</x:v>
      </x:c>
      <x:c r="X1658" s="19" t="n">
        <x:f>W1658-G1658</x:f>
        <x:v>0</x:v>
      </x:c>
      <x:c r="Y1658" s="19" t="n">
        <x:f>MAX(T1658,1)+MAX(U1658,1)+MAX(V1658,1)</x:f>
        <x:v>7</x:v>
      </x:c>
      <x:c r="Z1658" s="21" t="str">
        <x:f>IF(AND(MIN(D1658:F1658)&gt;=0,MAX(D1658:F1658)&lt;=7,MAX(D1658,1)+MAX(E1658,1)+MAX(F1658,1)&lt;=9,OR(H1658="-",AND(H1658=0,D1658&gt;0),AND(H1658=1,E1658&gt;0),AND(H1658=2,F1658&gt;0)),OR(I1658=0,AND(I1658=1,OR(J1658=0,J1658=1,J1658=2),R1658&lt;&gt;"000")),Y1658&lt;=9,MIN(T1658:V1658)&gt;=0),"合法","输入违约")</x:f>
        <x:v>合法</x:v>
      </x:c>
    </x:row>
    <x:row r="1659" ht="23" customHeight="1">
      <x:c r="A1659" s="3" t="str">
        <x:v>CT-1652</x:v>
      </x:c>
      <x:c r="B1659" s="3" t="str">
        <x:v>ST-107</x:v>
      </x:c>
      <x:c r="C1659" s="3" t="str">
        <x:v>R+AR同收同发</x:v>
      </x:c>
      <x:c r="D1659" s="25" t="n">
        <x:v>3</x:v>
      </x:c>
      <x:c r="E1659" s="25" t="n">
        <x:v>1</x:v>
      </x:c>
      <x:c r="F1659" s="25" t="n">
        <x:v>3</x:v>
      </x:c>
      <x:c r="G1659" s="19" t="n">
        <x:f>SUM(D1659:F1659)</x:f>
        <x:v>7</x:v>
      </x:c>
      <x:c r="H1659" s="25" t="n">
        <x:v>2</x:v>
      </x:c>
      <x:c r="I1659" s="25" t="n">
        <x:v>1</x:v>
      </x:c>
      <x:c r="J1659" s="25" t="n">
        <x:v>1</x:v>
      </x:c>
      <x:c r="K1659" s="19" t="n">
        <x:f>D1659-IF(H1659=0,1,0)</x:f>
        <x:v>3</x:v>
      </x:c>
      <x:c r="L1659" s="19" t="n">
        <x:f>E1659-IF(H1659=1,1,0)</x:f>
        <x:v>1</x:v>
      </x:c>
      <x:c r="M1659" s="19" t="n">
        <x:f>F1659-IF(H1659=2,1,0)</x:f>
        <x:v>2</x:v>
      </x:c>
      <x:c r="N1659" s="19" t="n">
        <x:f>MAX(K1659-1,0)+MAX(L1659-1,0)+MAX(M1659-1,0)</x:f>
        <x:v>3</x:v>
      </x:c>
      <x:c r="O1659" s="19" t="n">
        <x:f>IF(AND(SUM(K1659:M1659)&lt;9,OR(M1659=0,N1659&lt;6)),1,0)</x:f>
        <x:v>1</x:v>
      </x:c>
      <x:c r="P1659" s="19" t="n">
        <x:f>IF(AND(SUM(K1659:M1659)&lt;9,OR(L1659=0,N1659&lt;6)),1,0)</x:f>
        <x:v>1</x:v>
      </x:c>
      <x:c r="Q1659" s="19" t="n">
        <x:f>IF(AND(SUM(K1659:M1659)&lt;9,OR(K1659=0,N1659&lt;6)),1,0)</x:f>
        <x:v>1</x:v>
      </x:c>
      <x:c r="R1659" s="22" t="str">
        <x:f>O1659&amp;P1659&amp;Q1659</x:f>
        <x:v>111</x:v>
      </x:c>
      <x:c r="S1659" s="19" t="n">
        <x:f>IF(I1659=1,IF(J1659=0,Q1659,IF(J1659=1,P1659,IF(J1659=2,O1659,0))),0)</x:f>
        <x:v>1</x:v>
      </x:c>
      <x:c r="T1659" s="19" t="n">
        <x:f>K1659+IF(AND(S1659=1,J1659=0),1,0)</x:f>
        <x:v>3</x:v>
      </x:c>
      <x:c r="U1659" s="19" t="n">
        <x:f>L1659+IF(AND(S1659=1,J1659=1),1,0)</x:f>
        <x:v>2</x:v>
      </x:c>
      <x:c r="V1659" s="19" t="n">
        <x:f>M1659+IF(AND(S1659=1,J1659=2),1,0)</x:f>
        <x:v>2</x:v>
      </x:c>
      <x:c r="W1659" s="19" t="n">
        <x:f>SUM(T1659:V1659)</x:f>
        <x:v>7</x:v>
      </x:c>
      <x:c r="X1659" s="19" t="n">
        <x:f>W1659-G1659</x:f>
        <x:v>0</x:v>
      </x:c>
      <x:c r="Y1659" s="19" t="n">
        <x:f>MAX(T1659,1)+MAX(U1659,1)+MAX(V1659,1)</x:f>
        <x:v>7</x:v>
      </x:c>
      <x:c r="Z1659" s="21" t="str">
        <x:f>IF(AND(MIN(D1659:F1659)&gt;=0,MAX(D1659:F1659)&lt;=7,MAX(D1659,1)+MAX(E1659,1)+MAX(F1659,1)&lt;=9,OR(H1659="-",AND(H1659=0,D1659&gt;0),AND(H1659=1,E1659&gt;0),AND(H1659=2,F1659&gt;0)),OR(I1659=0,AND(I1659=1,OR(J1659=0,J1659=1,J1659=2),R1659&lt;&gt;"000")),Y1659&lt;=9,MIN(T1659:V1659)&gt;=0),"合法","输入违约")</x:f>
        <x:v>合法</x:v>
      </x:c>
    </x:row>
    <x:row r="1660" ht="23" customHeight="1">
      <x:c r="A1660" s="3" t="str">
        <x:v>CT-1653</x:v>
      </x:c>
      <x:c r="B1660" s="3" t="str">
        <x:v>ST-107</x:v>
      </x:c>
      <x:c r="C1660" s="3" t="str">
        <x:v>R+AR同收同发</x:v>
      </x:c>
      <x:c r="D1660" s="25" t="n">
        <x:v>3</x:v>
      </x:c>
      <x:c r="E1660" s="25" t="n">
        <x:v>1</x:v>
      </x:c>
      <x:c r="F1660" s="25" t="n">
        <x:v>3</x:v>
      </x:c>
      <x:c r="G1660" s="19" t="n">
        <x:f>SUM(D1660:F1660)</x:f>
        <x:v>7</x:v>
      </x:c>
      <x:c r="H1660" s="25" t="n">
        <x:v>2</x:v>
      </x:c>
      <x:c r="I1660" s="25" t="n">
        <x:v>1</x:v>
      </x:c>
      <x:c r="J1660" s="25" t="n">
        <x:v>2</x:v>
      </x:c>
      <x:c r="K1660" s="19" t="n">
        <x:f>D1660-IF(H1660=0,1,0)</x:f>
        <x:v>3</x:v>
      </x:c>
      <x:c r="L1660" s="19" t="n">
        <x:f>E1660-IF(H1660=1,1,0)</x:f>
        <x:v>1</x:v>
      </x:c>
      <x:c r="M1660" s="19" t="n">
        <x:f>F1660-IF(H1660=2,1,0)</x:f>
        <x:v>2</x:v>
      </x:c>
      <x:c r="N1660" s="19" t="n">
        <x:f>MAX(K1660-1,0)+MAX(L1660-1,0)+MAX(M1660-1,0)</x:f>
        <x:v>3</x:v>
      </x:c>
      <x:c r="O1660" s="19" t="n">
        <x:f>IF(AND(SUM(K1660:M1660)&lt;9,OR(M1660=0,N1660&lt;6)),1,0)</x:f>
        <x:v>1</x:v>
      </x:c>
      <x:c r="P1660" s="19" t="n">
        <x:f>IF(AND(SUM(K1660:M1660)&lt;9,OR(L1660=0,N1660&lt;6)),1,0)</x:f>
        <x:v>1</x:v>
      </x:c>
      <x:c r="Q1660" s="19" t="n">
        <x:f>IF(AND(SUM(K1660:M1660)&lt;9,OR(K1660=0,N1660&lt;6)),1,0)</x:f>
        <x:v>1</x:v>
      </x:c>
      <x:c r="R1660" s="22" t="str">
        <x:f>O1660&amp;P1660&amp;Q1660</x:f>
        <x:v>111</x:v>
      </x:c>
      <x:c r="S1660" s="19" t="n">
        <x:f>IF(I1660=1,IF(J1660=0,Q1660,IF(J1660=1,P1660,IF(J1660=2,O1660,0))),0)</x:f>
        <x:v>1</x:v>
      </x:c>
      <x:c r="T1660" s="19" t="n">
        <x:f>K1660+IF(AND(S1660=1,J1660=0),1,0)</x:f>
        <x:v>3</x:v>
      </x:c>
      <x:c r="U1660" s="19" t="n">
        <x:f>L1660+IF(AND(S1660=1,J1660=1),1,0)</x:f>
        <x:v>1</x:v>
      </x:c>
      <x:c r="V1660" s="19" t="n">
        <x:f>M1660+IF(AND(S1660=1,J1660=2),1,0)</x:f>
        <x:v>3</x:v>
      </x:c>
      <x:c r="W1660" s="19" t="n">
        <x:f>SUM(T1660:V1660)</x:f>
        <x:v>7</x:v>
      </x:c>
      <x:c r="X1660" s="19" t="n">
        <x:f>W1660-G1660</x:f>
        <x:v>0</x:v>
      </x:c>
      <x:c r="Y1660" s="19" t="n">
        <x:f>MAX(T1660,1)+MAX(U1660,1)+MAX(V1660,1)</x:f>
        <x:v>7</x:v>
      </x:c>
      <x:c r="Z1660" s="21" t="str">
        <x:f>IF(AND(MIN(D1660:F1660)&gt;=0,MAX(D1660:F1660)&lt;=7,MAX(D1660,1)+MAX(E1660,1)+MAX(F1660,1)&lt;=9,OR(H1660="-",AND(H1660=0,D1660&gt;0),AND(H1660=1,E1660&gt;0),AND(H1660=2,F1660&gt;0)),OR(I1660=0,AND(I1660=1,OR(J1660=0,J1660=1,J1660=2),R1660&lt;&gt;"000")),Y1660&lt;=9,MIN(T1660:V1660)&gt;=0),"合法","输入违约")</x:f>
        <x:v>合法</x:v>
      </x:c>
    </x:row>
    <x:row r="1661" ht="23" customHeight="1">
      <x:c r="A1661" s="3" t="str">
        <x:v>CT-1654</x:v>
      </x:c>
      <x:c r="B1661" s="3" t="str">
        <x:v>ST-144</x:v>
      </x:c>
      <x:c r="C1661" s="3" t="str">
        <x:v>无AR/R</x:v>
      </x:c>
      <x:c r="D1661" s="25" t="n">
        <x:v>3</x:v>
      </x:c>
      <x:c r="E1661" s="25" t="n">
        <x:v>1</x:v>
      </x:c>
      <x:c r="F1661" s="25" t="n">
        <x:v>4</x:v>
      </x:c>
      <x:c r="G1661" s="19" t="n">
        <x:f>SUM(D1661:F1661)</x:f>
        <x:v>8</x:v>
      </x:c>
      <x:c r="H1661" s="25" t="str">
        <x:v>-</x:v>
      </x:c>
      <x:c r="I1661" s="25" t="n">
        <x:v>0</x:v>
      </x:c>
      <x:c r="J1661" s="25" t="str">
        <x:v>-</x:v>
      </x:c>
      <x:c r="K1661" s="19" t="n">
        <x:f>D1661-IF(H1661=0,1,0)</x:f>
        <x:v>3</x:v>
      </x:c>
      <x:c r="L1661" s="19" t="n">
        <x:f>E1661-IF(H1661=1,1,0)</x:f>
        <x:v>1</x:v>
      </x:c>
      <x:c r="M1661" s="19" t="n">
        <x:f>F1661-IF(H1661=2,1,0)</x:f>
        <x:v>4</x:v>
      </x:c>
      <x:c r="N1661" s="19" t="n">
        <x:f>MAX(K1661-1,0)+MAX(L1661-1,0)+MAX(M1661-1,0)</x:f>
        <x:v>5</x:v>
      </x:c>
      <x:c r="O1661" s="19" t="n">
        <x:f>IF(AND(SUM(K1661:M1661)&lt;9,OR(M1661=0,N1661&lt;6)),1,0)</x:f>
        <x:v>1</x:v>
      </x:c>
      <x:c r="P1661" s="19" t="n">
        <x:f>IF(AND(SUM(K1661:M1661)&lt;9,OR(L1661=0,N1661&lt;6)),1,0)</x:f>
        <x:v>1</x:v>
      </x:c>
      <x:c r="Q1661" s="19" t="n">
        <x:f>IF(AND(SUM(K1661:M1661)&lt;9,OR(K1661=0,N1661&lt;6)),1,0)</x:f>
        <x:v>1</x:v>
      </x:c>
      <x:c r="R1661" s="22" t="str">
        <x:f>O1661&amp;P1661&amp;Q1661</x:f>
        <x:v>111</x:v>
      </x:c>
      <x:c r="S1661" s="19" t="n">
        <x:f>IF(I1661=1,IF(J1661=0,Q1661,IF(J1661=1,P1661,IF(J1661=2,O1661,0))),0)</x:f>
        <x:v>0</x:v>
      </x:c>
      <x:c r="T1661" s="19" t="n">
        <x:f>K1661+IF(AND(S1661=1,J1661=0),1,0)</x:f>
        <x:v>3</x:v>
      </x:c>
      <x:c r="U1661" s="19" t="n">
        <x:f>L1661+IF(AND(S1661=1,J1661=1),1,0)</x:f>
        <x:v>1</x:v>
      </x:c>
      <x:c r="V1661" s="19" t="n">
        <x:f>M1661+IF(AND(S1661=1,J1661=2),1,0)</x:f>
        <x:v>4</x:v>
      </x:c>
      <x:c r="W1661" s="19" t="n">
        <x:f>SUM(T1661:V1661)</x:f>
        <x:v>8</x:v>
      </x:c>
      <x:c r="X1661" s="19" t="n">
        <x:f>W1661-G1661</x:f>
        <x:v>0</x:v>
      </x:c>
      <x:c r="Y1661" s="19" t="n">
        <x:f>MAX(T1661,1)+MAX(U1661,1)+MAX(V1661,1)</x:f>
        <x:v>8</x:v>
      </x:c>
      <x:c r="Z1661" s="21" t="str">
        <x:f>IF(AND(MIN(D1661:F1661)&gt;=0,MAX(D1661:F1661)&lt;=7,MAX(D1661,1)+MAX(E1661,1)+MAX(F1661,1)&lt;=9,OR(H1661="-",AND(H1661=0,D1661&gt;0),AND(H1661=1,E1661&gt;0),AND(H1661=2,F1661&gt;0)),OR(I1661=0,AND(I1661=1,OR(J1661=0,J1661=1,J1661=2),R1661&lt;&gt;"000")),Y1661&lt;=9,MIN(T1661:V1661)&gt;=0),"合法","输入违约")</x:f>
        <x:v>合法</x:v>
      </x:c>
    </x:row>
    <x:row r="1662" ht="23" customHeight="1">
      <x:c r="A1662" s="3" t="str">
        <x:v>CT-1655</x:v>
      </x:c>
      <x:c r="B1662" s="3" t="str">
        <x:v>ST-144</x:v>
      </x:c>
      <x:c r="C1662" s="3" t="str">
        <x:v>仅AR接收</x:v>
      </x:c>
      <x:c r="D1662" s="25" t="n">
        <x:v>3</x:v>
      </x:c>
      <x:c r="E1662" s="25" t="n">
        <x:v>1</x:v>
      </x:c>
      <x:c r="F1662" s="25" t="n">
        <x:v>4</x:v>
      </x:c>
      <x:c r="G1662" s="19" t="n">
        <x:f>SUM(D1662:F1662)</x:f>
        <x:v>8</x:v>
      </x:c>
      <x:c r="H1662" s="25" t="str">
        <x:v>-</x:v>
      </x:c>
      <x:c r="I1662" s="25" t="n">
        <x:v>1</x:v>
      </x:c>
      <x:c r="J1662" s="25" t="n">
        <x:v>0</x:v>
      </x:c>
      <x:c r="K1662" s="19" t="n">
        <x:f>D1662-IF(H1662=0,1,0)</x:f>
        <x:v>3</x:v>
      </x:c>
      <x:c r="L1662" s="19" t="n">
        <x:f>E1662-IF(H1662=1,1,0)</x:f>
        <x:v>1</x:v>
      </x:c>
      <x:c r="M1662" s="19" t="n">
        <x:f>F1662-IF(H1662=2,1,0)</x:f>
        <x:v>4</x:v>
      </x:c>
      <x:c r="N1662" s="19" t="n">
        <x:f>MAX(K1662-1,0)+MAX(L1662-1,0)+MAX(M1662-1,0)</x:f>
        <x:v>5</x:v>
      </x:c>
      <x:c r="O1662" s="19" t="n">
        <x:f>IF(AND(SUM(K1662:M1662)&lt;9,OR(M1662=0,N1662&lt;6)),1,0)</x:f>
        <x:v>1</x:v>
      </x:c>
      <x:c r="P1662" s="19" t="n">
        <x:f>IF(AND(SUM(K1662:M1662)&lt;9,OR(L1662=0,N1662&lt;6)),1,0)</x:f>
        <x:v>1</x:v>
      </x:c>
      <x:c r="Q1662" s="19" t="n">
        <x:f>IF(AND(SUM(K1662:M1662)&lt;9,OR(K1662=0,N1662&lt;6)),1,0)</x:f>
        <x:v>1</x:v>
      </x:c>
      <x:c r="R1662" s="22" t="str">
        <x:f>O1662&amp;P1662&amp;Q1662</x:f>
        <x:v>111</x:v>
      </x:c>
      <x:c r="S1662" s="19" t="n">
        <x:f>IF(I1662=1,IF(J1662=0,Q1662,IF(J1662=1,P1662,IF(J1662=2,O1662,0))),0)</x:f>
        <x:v>1</x:v>
      </x:c>
      <x:c r="T1662" s="19" t="n">
        <x:f>K1662+IF(AND(S1662=1,J1662=0),1,0)</x:f>
        <x:v>4</x:v>
      </x:c>
      <x:c r="U1662" s="19" t="n">
        <x:f>L1662+IF(AND(S1662=1,J1662=1),1,0)</x:f>
        <x:v>1</x:v>
      </x:c>
      <x:c r="V1662" s="19" t="n">
        <x:f>M1662+IF(AND(S1662=1,J1662=2),1,0)</x:f>
        <x:v>4</x:v>
      </x:c>
      <x:c r="W1662" s="19" t="n">
        <x:f>SUM(T1662:V1662)</x:f>
        <x:v>9</x:v>
      </x:c>
      <x:c r="X1662" s="19" t="n">
        <x:f>W1662-G1662</x:f>
        <x:v>1</x:v>
      </x:c>
      <x:c r="Y1662" s="19" t="n">
        <x:f>MAX(T1662,1)+MAX(U1662,1)+MAX(V1662,1)</x:f>
        <x:v>9</x:v>
      </x:c>
      <x:c r="Z1662" s="21" t="str">
        <x:f>IF(AND(MIN(D1662:F1662)&gt;=0,MAX(D1662:F1662)&lt;=7,MAX(D1662,1)+MAX(E1662,1)+MAX(F1662,1)&lt;=9,OR(H1662="-",AND(H1662=0,D1662&gt;0),AND(H1662=1,E1662&gt;0),AND(H1662=2,F1662&gt;0)),OR(I1662=0,AND(I1662=1,OR(J1662=0,J1662=1,J1662=2),R1662&lt;&gt;"000")),Y1662&lt;=9,MIN(T1662:V1662)&gt;=0),"合法","输入违约")</x:f>
        <x:v>合法</x:v>
      </x:c>
    </x:row>
    <x:row r="1663" ht="23" customHeight="1">
      <x:c r="A1663" s="3" t="str">
        <x:v>CT-1656</x:v>
      </x:c>
      <x:c r="B1663" s="3" t="str">
        <x:v>ST-144</x:v>
      </x:c>
      <x:c r="C1663" s="3" t="str">
        <x:v>仅AR接收</x:v>
      </x:c>
      <x:c r="D1663" s="25" t="n">
        <x:v>3</x:v>
      </x:c>
      <x:c r="E1663" s="25" t="n">
        <x:v>1</x:v>
      </x:c>
      <x:c r="F1663" s="25" t="n">
        <x:v>4</x:v>
      </x:c>
      <x:c r="G1663" s="19" t="n">
        <x:f>SUM(D1663:F1663)</x:f>
        <x:v>8</x:v>
      </x:c>
      <x:c r="H1663" s="25" t="str">
        <x:v>-</x:v>
      </x:c>
      <x:c r="I1663" s="25" t="n">
        <x:v>1</x:v>
      </x:c>
      <x:c r="J1663" s="25" t="n">
        <x:v>1</x:v>
      </x:c>
      <x:c r="K1663" s="19" t="n">
        <x:f>D1663-IF(H1663=0,1,0)</x:f>
        <x:v>3</x:v>
      </x:c>
      <x:c r="L1663" s="19" t="n">
        <x:f>E1663-IF(H1663=1,1,0)</x:f>
        <x:v>1</x:v>
      </x:c>
      <x:c r="M1663" s="19" t="n">
        <x:f>F1663-IF(H1663=2,1,0)</x:f>
        <x:v>4</x:v>
      </x:c>
      <x:c r="N1663" s="19" t="n">
        <x:f>MAX(K1663-1,0)+MAX(L1663-1,0)+MAX(M1663-1,0)</x:f>
        <x:v>5</x:v>
      </x:c>
      <x:c r="O1663" s="19" t="n">
        <x:f>IF(AND(SUM(K1663:M1663)&lt;9,OR(M1663=0,N1663&lt;6)),1,0)</x:f>
        <x:v>1</x:v>
      </x:c>
      <x:c r="P1663" s="19" t="n">
        <x:f>IF(AND(SUM(K1663:M1663)&lt;9,OR(L1663=0,N1663&lt;6)),1,0)</x:f>
        <x:v>1</x:v>
      </x:c>
      <x:c r="Q1663" s="19" t="n">
        <x:f>IF(AND(SUM(K1663:M1663)&lt;9,OR(K1663=0,N1663&lt;6)),1,0)</x:f>
        <x:v>1</x:v>
      </x:c>
      <x:c r="R1663" s="22" t="str">
        <x:f>O1663&amp;P1663&amp;Q1663</x:f>
        <x:v>111</x:v>
      </x:c>
      <x:c r="S1663" s="19" t="n">
        <x:f>IF(I1663=1,IF(J1663=0,Q1663,IF(J1663=1,P1663,IF(J1663=2,O1663,0))),0)</x:f>
        <x:v>1</x:v>
      </x:c>
      <x:c r="T1663" s="19" t="n">
        <x:f>K1663+IF(AND(S1663=1,J1663=0),1,0)</x:f>
        <x:v>3</x:v>
      </x:c>
      <x:c r="U1663" s="19" t="n">
        <x:f>L1663+IF(AND(S1663=1,J1663=1),1,0)</x:f>
        <x:v>2</x:v>
      </x:c>
      <x:c r="V1663" s="19" t="n">
        <x:f>M1663+IF(AND(S1663=1,J1663=2),1,0)</x:f>
        <x:v>4</x:v>
      </x:c>
      <x:c r="W1663" s="19" t="n">
        <x:f>SUM(T1663:V1663)</x:f>
        <x:v>9</x:v>
      </x:c>
      <x:c r="X1663" s="19" t="n">
        <x:f>W1663-G1663</x:f>
        <x:v>1</x:v>
      </x:c>
      <x:c r="Y1663" s="19" t="n">
        <x:f>MAX(T1663,1)+MAX(U1663,1)+MAX(V1663,1)</x:f>
        <x:v>9</x:v>
      </x:c>
      <x:c r="Z1663" s="21" t="str">
        <x:f>IF(AND(MIN(D1663:F1663)&gt;=0,MAX(D1663:F1663)&lt;=7,MAX(D1663,1)+MAX(E1663,1)+MAX(F1663,1)&lt;=9,OR(H1663="-",AND(H1663=0,D1663&gt;0),AND(H1663=1,E1663&gt;0),AND(H1663=2,F1663&gt;0)),OR(I1663=0,AND(I1663=1,OR(J1663=0,J1663=1,J1663=2),R1663&lt;&gt;"000")),Y1663&lt;=9,MIN(T1663:V1663)&gt;=0),"合法","输入违约")</x:f>
        <x:v>合法</x:v>
      </x:c>
    </x:row>
    <x:row r="1664" ht="23" customHeight="1">
      <x:c r="A1664" s="3" t="str">
        <x:v>CT-1657</x:v>
      </x:c>
      <x:c r="B1664" s="3" t="str">
        <x:v>ST-144</x:v>
      </x:c>
      <x:c r="C1664" s="3" t="str">
        <x:v>仅AR接收</x:v>
      </x:c>
      <x:c r="D1664" s="25" t="n">
        <x:v>3</x:v>
      </x:c>
      <x:c r="E1664" s="25" t="n">
        <x:v>1</x:v>
      </x:c>
      <x:c r="F1664" s="25" t="n">
        <x:v>4</x:v>
      </x:c>
      <x:c r="G1664" s="19" t="n">
        <x:f>SUM(D1664:F1664)</x:f>
        <x:v>8</x:v>
      </x:c>
      <x:c r="H1664" s="25" t="str">
        <x:v>-</x:v>
      </x:c>
      <x:c r="I1664" s="25" t="n">
        <x:v>1</x:v>
      </x:c>
      <x:c r="J1664" s="25" t="n">
        <x:v>2</x:v>
      </x:c>
      <x:c r="K1664" s="19" t="n">
        <x:f>D1664-IF(H1664=0,1,0)</x:f>
        <x:v>3</x:v>
      </x:c>
      <x:c r="L1664" s="19" t="n">
        <x:f>E1664-IF(H1664=1,1,0)</x:f>
        <x:v>1</x:v>
      </x:c>
      <x:c r="M1664" s="19" t="n">
        <x:f>F1664-IF(H1664=2,1,0)</x:f>
        <x:v>4</x:v>
      </x:c>
      <x:c r="N1664" s="19" t="n">
        <x:f>MAX(K1664-1,0)+MAX(L1664-1,0)+MAX(M1664-1,0)</x:f>
        <x:v>5</x:v>
      </x:c>
      <x:c r="O1664" s="19" t="n">
        <x:f>IF(AND(SUM(K1664:M1664)&lt;9,OR(M1664=0,N1664&lt;6)),1,0)</x:f>
        <x:v>1</x:v>
      </x:c>
      <x:c r="P1664" s="19" t="n">
        <x:f>IF(AND(SUM(K1664:M1664)&lt;9,OR(L1664=0,N1664&lt;6)),1,0)</x:f>
        <x:v>1</x:v>
      </x:c>
      <x:c r="Q1664" s="19" t="n">
        <x:f>IF(AND(SUM(K1664:M1664)&lt;9,OR(K1664=0,N1664&lt;6)),1,0)</x:f>
        <x:v>1</x:v>
      </x:c>
      <x:c r="R1664" s="22" t="str">
        <x:f>O1664&amp;P1664&amp;Q1664</x:f>
        <x:v>111</x:v>
      </x:c>
      <x:c r="S1664" s="19" t="n">
        <x:f>IF(I1664=1,IF(J1664=0,Q1664,IF(J1664=1,P1664,IF(J1664=2,O1664,0))),0)</x:f>
        <x:v>1</x:v>
      </x:c>
      <x:c r="T1664" s="19" t="n">
        <x:f>K1664+IF(AND(S1664=1,J1664=0),1,0)</x:f>
        <x:v>3</x:v>
      </x:c>
      <x:c r="U1664" s="19" t="n">
        <x:f>L1664+IF(AND(S1664=1,J1664=1),1,0)</x:f>
        <x:v>1</x:v>
      </x:c>
      <x:c r="V1664" s="19" t="n">
        <x:f>M1664+IF(AND(S1664=1,J1664=2),1,0)</x:f>
        <x:v>5</x:v>
      </x:c>
      <x:c r="W1664" s="19" t="n">
        <x:f>SUM(T1664:V1664)</x:f>
        <x:v>9</x:v>
      </x:c>
      <x:c r="X1664" s="19" t="n">
        <x:f>W1664-G1664</x:f>
        <x:v>1</x:v>
      </x:c>
      <x:c r="Y1664" s="19" t="n">
        <x:f>MAX(T1664,1)+MAX(U1664,1)+MAX(V1664,1)</x:f>
        <x:v>9</x:v>
      </x:c>
      <x:c r="Z1664" s="21" t="str">
        <x:f>IF(AND(MIN(D1664:F1664)&gt;=0,MAX(D1664:F1664)&lt;=7,MAX(D1664,1)+MAX(E1664,1)+MAX(F1664,1)&lt;=9,OR(H1664="-",AND(H1664=0,D1664&gt;0),AND(H1664=1,E1664&gt;0),AND(H1664=2,F1664&gt;0)),OR(I1664=0,AND(I1664=1,OR(J1664=0,J1664=1,J1664=2),R1664&lt;&gt;"000")),Y1664&lt;=9,MIN(T1664:V1664)&gt;=0),"合法","输入违约")</x:f>
        <x:v>合法</x:v>
      </x:c>
    </x:row>
    <x:row r="1665" ht="23" customHeight="1">
      <x:c r="A1665" s="3" t="str">
        <x:v>CT-1658</x:v>
      </x:c>
      <x:c r="B1665" s="3" t="str">
        <x:v>ST-144</x:v>
      </x:c>
      <x:c r="C1665" s="3" t="str">
        <x:v>仅R回收</x:v>
      </x:c>
      <x:c r="D1665" s="25" t="n">
        <x:v>3</x:v>
      </x:c>
      <x:c r="E1665" s="25" t="n">
        <x:v>1</x:v>
      </x:c>
      <x:c r="F1665" s="25" t="n">
        <x:v>4</x:v>
      </x:c>
      <x:c r="G1665" s="19" t="n">
        <x:f>SUM(D1665:F1665)</x:f>
        <x:v>8</x:v>
      </x:c>
      <x:c r="H1665" s="25" t="n">
        <x:v>0</x:v>
      </x:c>
      <x:c r="I1665" s="25" t="n">
        <x:v>0</x:v>
      </x:c>
      <x:c r="J1665" s="25" t="str">
        <x:v>-</x:v>
      </x:c>
      <x:c r="K1665" s="19" t="n">
        <x:f>D1665-IF(H1665=0,1,0)</x:f>
        <x:v>2</x:v>
      </x:c>
      <x:c r="L1665" s="19" t="n">
        <x:f>E1665-IF(H1665=1,1,0)</x:f>
        <x:v>1</x:v>
      </x:c>
      <x:c r="M1665" s="19" t="n">
        <x:f>F1665-IF(H1665=2,1,0)</x:f>
        <x:v>4</x:v>
      </x:c>
      <x:c r="N1665" s="19" t="n">
        <x:f>MAX(K1665-1,0)+MAX(L1665-1,0)+MAX(M1665-1,0)</x:f>
        <x:v>4</x:v>
      </x:c>
      <x:c r="O1665" s="19" t="n">
        <x:f>IF(AND(SUM(K1665:M1665)&lt;9,OR(M1665=0,N1665&lt;6)),1,0)</x:f>
        <x:v>1</x:v>
      </x:c>
      <x:c r="P1665" s="19" t="n">
        <x:f>IF(AND(SUM(K1665:M1665)&lt;9,OR(L1665=0,N1665&lt;6)),1,0)</x:f>
        <x:v>1</x:v>
      </x:c>
      <x:c r="Q1665" s="19" t="n">
        <x:f>IF(AND(SUM(K1665:M1665)&lt;9,OR(K1665=0,N1665&lt;6)),1,0)</x:f>
        <x:v>1</x:v>
      </x:c>
      <x:c r="R1665" s="22" t="str">
        <x:f>O1665&amp;P1665&amp;Q1665</x:f>
        <x:v>111</x:v>
      </x:c>
      <x:c r="S1665" s="19" t="n">
        <x:f>IF(I1665=1,IF(J1665=0,Q1665,IF(J1665=1,P1665,IF(J1665=2,O1665,0))),0)</x:f>
        <x:v>0</x:v>
      </x:c>
      <x:c r="T1665" s="19" t="n">
        <x:f>K1665+IF(AND(S1665=1,J1665=0),1,0)</x:f>
        <x:v>2</x:v>
      </x:c>
      <x:c r="U1665" s="19" t="n">
        <x:f>L1665+IF(AND(S1665=1,J1665=1),1,0)</x:f>
        <x:v>1</x:v>
      </x:c>
      <x:c r="V1665" s="19" t="n">
        <x:f>M1665+IF(AND(S1665=1,J1665=2),1,0)</x:f>
        <x:v>4</x:v>
      </x:c>
      <x:c r="W1665" s="19" t="n">
        <x:f>SUM(T1665:V1665)</x:f>
        <x:v>7</x:v>
      </x:c>
      <x:c r="X1665" s="19" t="n">
        <x:f>W1665-G1665</x:f>
        <x:v>-1</x:v>
      </x:c>
      <x:c r="Y1665" s="19" t="n">
        <x:f>MAX(T1665,1)+MAX(U1665,1)+MAX(V1665,1)</x:f>
        <x:v>7</x:v>
      </x:c>
      <x:c r="Z1665" s="21" t="str">
        <x:f>IF(AND(MIN(D1665:F1665)&gt;=0,MAX(D1665:F1665)&lt;=7,MAX(D1665,1)+MAX(E1665,1)+MAX(F1665,1)&lt;=9,OR(H1665="-",AND(H1665=0,D1665&gt;0),AND(H1665=1,E1665&gt;0),AND(H1665=2,F1665&gt;0)),OR(I1665=0,AND(I1665=1,OR(J1665=0,J1665=1,J1665=2),R1665&lt;&gt;"000")),Y1665&lt;=9,MIN(T1665:V1665)&gt;=0),"合法","输入违约")</x:f>
        <x:v>合法</x:v>
      </x:c>
    </x:row>
    <x:row r="1666" ht="23" customHeight="1">
      <x:c r="A1666" s="3" t="str">
        <x:v>CT-1659</x:v>
      </x:c>
      <x:c r="B1666" s="3" t="str">
        <x:v>ST-144</x:v>
      </x:c>
      <x:c r="C1666" s="3" t="str">
        <x:v>R+AR同收同发</x:v>
      </x:c>
      <x:c r="D1666" s="25" t="n">
        <x:v>3</x:v>
      </x:c>
      <x:c r="E1666" s="25" t="n">
        <x:v>1</x:v>
      </x:c>
      <x:c r="F1666" s="25" t="n">
        <x:v>4</x:v>
      </x:c>
      <x:c r="G1666" s="19" t="n">
        <x:f>SUM(D1666:F1666)</x:f>
        <x:v>8</x:v>
      </x:c>
      <x:c r="H1666" s="25" t="n">
        <x:v>0</x:v>
      </x:c>
      <x:c r="I1666" s="25" t="n">
        <x:v>1</x:v>
      </x:c>
      <x:c r="J1666" s="25" t="n">
        <x:v>0</x:v>
      </x:c>
      <x:c r="K1666" s="19" t="n">
        <x:f>D1666-IF(H1666=0,1,0)</x:f>
        <x:v>2</x:v>
      </x:c>
      <x:c r="L1666" s="19" t="n">
        <x:f>E1666-IF(H1666=1,1,0)</x:f>
        <x:v>1</x:v>
      </x:c>
      <x:c r="M1666" s="19" t="n">
        <x:f>F1666-IF(H1666=2,1,0)</x:f>
        <x:v>4</x:v>
      </x:c>
      <x:c r="N1666" s="19" t="n">
        <x:f>MAX(K1666-1,0)+MAX(L1666-1,0)+MAX(M1666-1,0)</x:f>
        <x:v>4</x:v>
      </x:c>
      <x:c r="O1666" s="19" t="n">
        <x:f>IF(AND(SUM(K1666:M1666)&lt;9,OR(M1666=0,N1666&lt;6)),1,0)</x:f>
        <x:v>1</x:v>
      </x:c>
      <x:c r="P1666" s="19" t="n">
        <x:f>IF(AND(SUM(K1666:M1666)&lt;9,OR(L1666=0,N1666&lt;6)),1,0)</x:f>
        <x:v>1</x:v>
      </x:c>
      <x:c r="Q1666" s="19" t="n">
        <x:f>IF(AND(SUM(K1666:M1666)&lt;9,OR(K1666=0,N1666&lt;6)),1,0)</x:f>
        <x:v>1</x:v>
      </x:c>
      <x:c r="R1666" s="22" t="str">
        <x:f>O1666&amp;P1666&amp;Q1666</x:f>
        <x:v>111</x:v>
      </x:c>
      <x:c r="S1666" s="19" t="n">
        <x:f>IF(I1666=1,IF(J1666=0,Q1666,IF(J1666=1,P1666,IF(J1666=2,O1666,0))),0)</x:f>
        <x:v>1</x:v>
      </x:c>
      <x:c r="T1666" s="19" t="n">
        <x:f>K1666+IF(AND(S1666=1,J1666=0),1,0)</x:f>
        <x:v>3</x:v>
      </x:c>
      <x:c r="U1666" s="19" t="n">
        <x:f>L1666+IF(AND(S1666=1,J1666=1),1,0)</x:f>
        <x:v>1</x:v>
      </x:c>
      <x:c r="V1666" s="19" t="n">
        <x:f>M1666+IF(AND(S1666=1,J1666=2),1,0)</x:f>
        <x:v>4</x:v>
      </x:c>
      <x:c r="W1666" s="19" t="n">
        <x:f>SUM(T1666:V1666)</x:f>
        <x:v>8</x:v>
      </x:c>
      <x:c r="X1666" s="19" t="n">
        <x:f>W1666-G1666</x:f>
        <x:v>0</x:v>
      </x:c>
      <x:c r="Y1666" s="19" t="n">
        <x:f>MAX(T1666,1)+MAX(U1666,1)+MAX(V1666,1)</x:f>
        <x:v>8</x:v>
      </x:c>
      <x:c r="Z1666" s="21" t="str">
        <x:f>IF(AND(MIN(D1666:F1666)&gt;=0,MAX(D1666:F1666)&lt;=7,MAX(D1666,1)+MAX(E1666,1)+MAX(F1666,1)&lt;=9,OR(H1666="-",AND(H1666=0,D1666&gt;0),AND(H1666=1,E1666&gt;0),AND(H1666=2,F1666&gt;0)),OR(I1666=0,AND(I1666=1,OR(J1666=0,J1666=1,J1666=2),R1666&lt;&gt;"000")),Y1666&lt;=9,MIN(T1666:V1666)&gt;=0),"合法","输入违约")</x:f>
        <x:v>合法</x:v>
      </x:c>
    </x:row>
    <x:row r="1667" ht="23" customHeight="1">
      <x:c r="A1667" s="3" t="str">
        <x:v>CT-1660</x:v>
      </x:c>
      <x:c r="B1667" s="3" t="str">
        <x:v>ST-144</x:v>
      </x:c>
      <x:c r="C1667" s="3" t="str">
        <x:v>R+AR同收同发</x:v>
      </x:c>
      <x:c r="D1667" s="25" t="n">
        <x:v>3</x:v>
      </x:c>
      <x:c r="E1667" s="25" t="n">
        <x:v>1</x:v>
      </x:c>
      <x:c r="F1667" s="25" t="n">
        <x:v>4</x:v>
      </x:c>
      <x:c r="G1667" s="19" t="n">
        <x:f>SUM(D1667:F1667)</x:f>
        <x:v>8</x:v>
      </x:c>
      <x:c r="H1667" s="25" t="n">
        <x:v>0</x:v>
      </x:c>
      <x:c r="I1667" s="25" t="n">
        <x:v>1</x:v>
      </x:c>
      <x:c r="J1667" s="25" t="n">
        <x:v>1</x:v>
      </x:c>
      <x:c r="K1667" s="19" t="n">
        <x:f>D1667-IF(H1667=0,1,0)</x:f>
        <x:v>2</x:v>
      </x:c>
      <x:c r="L1667" s="19" t="n">
        <x:f>E1667-IF(H1667=1,1,0)</x:f>
        <x:v>1</x:v>
      </x:c>
      <x:c r="M1667" s="19" t="n">
        <x:f>F1667-IF(H1667=2,1,0)</x:f>
        <x:v>4</x:v>
      </x:c>
      <x:c r="N1667" s="19" t="n">
        <x:f>MAX(K1667-1,0)+MAX(L1667-1,0)+MAX(M1667-1,0)</x:f>
        <x:v>4</x:v>
      </x:c>
      <x:c r="O1667" s="19" t="n">
        <x:f>IF(AND(SUM(K1667:M1667)&lt;9,OR(M1667=0,N1667&lt;6)),1,0)</x:f>
        <x:v>1</x:v>
      </x:c>
      <x:c r="P1667" s="19" t="n">
        <x:f>IF(AND(SUM(K1667:M1667)&lt;9,OR(L1667=0,N1667&lt;6)),1,0)</x:f>
        <x:v>1</x:v>
      </x:c>
      <x:c r="Q1667" s="19" t="n">
        <x:f>IF(AND(SUM(K1667:M1667)&lt;9,OR(K1667=0,N1667&lt;6)),1,0)</x:f>
        <x:v>1</x:v>
      </x:c>
      <x:c r="R1667" s="22" t="str">
        <x:f>O1667&amp;P1667&amp;Q1667</x:f>
        <x:v>111</x:v>
      </x:c>
      <x:c r="S1667" s="19" t="n">
        <x:f>IF(I1667=1,IF(J1667=0,Q1667,IF(J1667=1,P1667,IF(J1667=2,O1667,0))),0)</x:f>
        <x:v>1</x:v>
      </x:c>
      <x:c r="T1667" s="19" t="n">
        <x:f>K1667+IF(AND(S1667=1,J1667=0),1,0)</x:f>
        <x:v>2</x:v>
      </x:c>
      <x:c r="U1667" s="19" t="n">
        <x:f>L1667+IF(AND(S1667=1,J1667=1),1,0)</x:f>
        <x:v>2</x:v>
      </x:c>
      <x:c r="V1667" s="19" t="n">
        <x:f>M1667+IF(AND(S1667=1,J1667=2),1,0)</x:f>
        <x:v>4</x:v>
      </x:c>
      <x:c r="W1667" s="19" t="n">
        <x:f>SUM(T1667:V1667)</x:f>
        <x:v>8</x:v>
      </x:c>
      <x:c r="X1667" s="19" t="n">
        <x:f>W1667-G1667</x:f>
        <x:v>0</x:v>
      </x:c>
      <x:c r="Y1667" s="19" t="n">
        <x:f>MAX(T1667,1)+MAX(U1667,1)+MAX(V1667,1)</x:f>
        <x:v>8</x:v>
      </x:c>
      <x:c r="Z1667" s="21" t="str">
        <x:f>IF(AND(MIN(D1667:F1667)&gt;=0,MAX(D1667:F1667)&lt;=7,MAX(D1667,1)+MAX(E1667,1)+MAX(F1667,1)&lt;=9,OR(H1667="-",AND(H1667=0,D1667&gt;0),AND(H1667=1,E1667&gt;0),AND(H1667=2,F1667&gt;0)),OR(I1667=0,AND(I1667=1,OR(J1667=0,J1667=1,J1667=2),R1667&lt;&gt;"000")),Y1667&lt;=9,MIN(T1667:V1667)&gt;=0),"合法","输入违约")</x:f>
        <x:v>合法</x:v>
      </x:c>
    </x:row>
    <x:row r="1668" ht="23" customHeight="1">
      <x:c r="A1668" s="3" t="str">
        <x:v>CT-1661</x:v>
      </x:c>
      <x:c r="B1668" s="3" t="str">
        <x:v>ST-144</x:v>
      </x:c>
      <x:c r="C1668" s="3" t="str">
        <x:v>R+AR同收同发</x:v>
      </x:c>
      <x:c r="D1668" s="25" t="n">
        <x:v>3</x:v>
      </x:c>
      <x:c r="E1668" s="25" t="n">
        <x:v>1</x:v>
      </x:c>
      <x:c r="F1668" s="25" t="n">
        <x:v>4</x:v>
      </x:c>
      <x:c r="G1668" s="19" t="n">
        <x:f>SUM(D1668:F1668)</x:f>
        <x:v>8</x:v>
      </x:c>
      <x:c r="H1668" s="25" t="n">
        <x:v>0</x:v>
      </x:c>
      <x:c r="I1668" s="25" t="n">
        <x:v>1</x:v>
      </x:c>
      <x:c r="J1668" s="25" t="n">
        <x:v>2</x:v>
      </x:c>
      <x:c r="K1668" s="19" t="n">
        <x:f>D1668-IF(H1668=0,1,0)</x:f>
        <x:v>2</x:v>
      </x:c>
      <x:c r="L1668" s="19" t="n">
        <x:f>E1668-IF(H1668=1,1,0)</x:f>
        <x:v>1</x:v>
      </x:c>
      <x:c r="M1668" s="19" t="n">
        <x:f>F1668-IF(H1668=2,1,0)</x:f>
        <x:v>4</x:v>
      </x:c>
      <x:c r="N1668" s="19" t="n">
        <x:f>MAX(K1668-1,0)+MAX(L1668-1,0)+MAX(M1668-1,0)</x:f>
        <x:v>4</x:v>
      </x:c>
      <x:c r="O1668" s="19" t="n">
        <x:f>IF(AND(SUM(K1668:M1668)&lt;9,OR(M1668=0,N1668&lt;6)),1,0)</x:f>
        <x:v>1</x:v>
      </x:c>
      <x:c r="P1668" s="19" t="n">
        <x:f>IF(AND(SUM(K1668:M1668)&lt;9,OR(L1668=0,N1668&lt;6)),1,0)</x:f>
        <x:v>1</x:v>
      </x:c>
      <x:c r="Q1668" s="19" t="n">
        <x:f>IF(AND(SUM(K1668:M1668)&lt;9,OR(K1668=0,N1668&lt;6)),1,0)</x:f>
        <x:v>1</x:v>
      </x:c>
      <x:c r="R1668" s="22" t="str">
        <x:f>O1668&amp;P1668&amp;Q1668</x:f>
        <x:v>111</x:v>
      </x:c>
      <x:c r="S1668" s="19" t="n">
        <x:f>IF(I1668=1,IF(J1668=0,Q1668,IF(J1668=1,P1668,IF(J1668=2,O1668,0))),0)</x:f>
        <x:v>1</x:v>
      </x:c>
      <x:c r="T1668" s="19" t="n">
        <x:f>K1668+IF(AND(S1668=1,J1668=0),1,0)</x:f>
        <x:v>2</x:v>
      </x:c>
      <x:c r="U1668" s="19" t="n">
        <x:f>L1668+IF(AND(S1668=1,J1668=1),1,0)</x:f>
        <x:v>1</x:v>
      </x:c>
      <x:c r="V1668" s="19" t="n">
        <x:f>M1668+IF(AND(S1668=1,J1668=2),1,0)</x:f>
        <x:v>5</x:v>
      </x:c>
      <x:c r="W1668" s="19" t="n">
        <x:f>SUM(T1668:V1668)</x:f>
        <x:v>8</x:v>
      </x:c>
      <x:c r="X1668" s="19" t="n">
        <x:f>W1668-G1668</x:f>
        <x:v>0</x:v>
      </x:c>
      <x:c r="Y1668" s="19" t="n">
        <x:f>MAX(T1668,1)+MAX(U1668,1)+MAX(V1668,1)</x:f>
        <x:v>8</x:v>
      </x:c>
      <x:c r="Z1668" s="21" t="str">
        <x:f>IF(AND(MIN(D1668:F1668)&gt;=0,MAX(D1668:F1668)&lt;=7,MAX(D1668,1)+MAX(E1668,1)+MAX(F1668,1)&lt;=9,OR(H1668="-",AND(H1668=0,D1668&gt;0),AND(H1668=1,E1668&gt;0),AND(H1668=2,F1668&gt;0)),OR(I1668=0,AND(I1668=1,OR(J1668=0,J1668=1,J1668=2),R1668&lt;&gt;"000")),Y1668&lt;=9,MIN(T1668:V1668)&gt;=0),"合法","输入违约")</x:f>
        <x:v>合法</x:v>
      </x:c>
    </x:row>
    <x:row r="1669" ht="23" customHeight="1">
      <x:c r="A1669" s="3" t="str">
        <x:v>CT-1662</x:v>
      </x:c>
      <x:c r="B1669" s="3" t="str">
        <x:v>ST-144</x:v>
      </x:c>
      <x:c r="C1669" s="3" t="str">
        <x:v>仅R回收</x:v>
      </x:c>
      <x:c r="D1669" s="25" t="n">
        <x:v>3</x:v>
      </x:c>
      <x:c r="E1669" s="25" t="n">
        <x:v>1</x:v>
      </x:c>
      <x:c r="F1669" s="25" t="n">
        <x:v>4</x:v>
      </x:c>
      <x:c r="G1669" s="19" t="n">
        <x:f>SUM(D1669:F1669)</x:f>
        <x:v>8</x:v>
      </x:c>
      <x:c r="H1669" s="25" t="n">
        <x:v>1</x:v>
      </x:c>
      <x:c r="I1669" s="25" t="n">
        <x:v>0</x:v>
      </x:c>
      <x:c r="J1669" s="25" t="str">
        <x:v>-</x:v>
      </x:c>
      <x:c r="K1669" s="19" t="n">
        <x:f>D1669-IF(H1669=0,1,0)</x:f>
        <x:v>3</x:v>
      </x:c>
      <x:c r="L1669" s="19" t="n">
        <x:f>E1669-IF(H1669=1,1,0)</x:f>
        <x:v>0</x:v>
      </x:c>
      <x:c r="M1669" s="19" t="n">
        <x:f>F1669-IF(H1669=2,1,0)</x:f>
        <x:v>4</x:v>
      </x:c>
      <x:c r="N1669" s="19" t="n">
        <x:f>MAX(K1669-1,0)+MAX(L1669-1,0)+MAX(M1669-1,0)</x:f>
        <x:v>5</x:v>
      </x:c>
      <x:c r="O1669" s="19" t="n">
        <x:f>IF(AND(SUM(K1669:M1669)&lt;9,OR(M1669=0,N1669&lt;6)),1,0)</x:f>
        <x:v>1</x:v>
      </x:c>
      <x:c r="P1669" s="19" t="n">
        <x:f>IF(AND(SUM(K1669:M1669)&lt;9,OR(L1669=0,N1669&lt;6)),1,0)</x:f>
        <x:v>1</x:v>
      </x:c>
      <x:c r="Q1669" s="19" t="n">
        <x:f>IF(AND(SUM(K1669:M1669)&lt;9,OR(K1669=0,N1669&lt;6)),1,0)</x:f>
        <x:v>1</x:v>
      </x:c>
      <x:c r="R1669" s="22" t="str">
        <x:f>O1669&amp;P1669&amp;Q1669</x:f>
        <x:v>111</x:v>
      </x:c>
      <x:c r="S1669" s="19" t="n">
        <x:f>IF(I1669=1,IF(J1669=0,Q1669,IF(J1669=1,P1669,IF(J1669=2,O1669,0))),0)</x:f>
        <x:v>0</x:v>
      </x:c>
      <x:c r="T1669" s="19" t="n">
        <x:f>K1669+IF(AND(S1669=1,J1669=0),1,0)</x:f>
        <x:v>3</x:v>
      </x:c>
      <x:c r="U1669" s="19" t="n">
        <x:f>L1669+IF(AND(S1669=1,J1669=1),1,0)</x:f>
        <x:v>0</x:v>
      </x:c>
      <x:c r="V1669" s="19" t="n">
        <x:f>M1669+IF(AND(S1669=1,J1669=2),1,0)</x:f>
        <x:v>4</x:v>
      </x:c>
      <x:c r="W1669" s="19" t="n">
        <x:f>SUM(T1669:V1669)</x:f>
        <x:v>7</x:v>
      </x:c>
      <x:c r="X1669" s="19" t="n">
        <x:f>W1669-G1669</x:f>
        <x:v>-1</x:v>
      </x:c>
      <x:c r="Y1669" s="19" t="n">
        <x:f>MAX(T1669,1)+MAX(U1669,1)+MAX(V1669,1)</x:f>
        <x:v>8</x:v>
      </x:c>
      <x:c r="Z1669" s="21" t="str">
        <x:f>IF(AND(MIN(D1669:F1669)&gt;=0,MAX(D1669:F1669)&lt;=7,MAX(D1669,1)+MAX(E1669,1)+MAX(F1669,1)&lt;=9,OR(H1669="-",AND(H1669=0,D1669&gt;0),AND(H1669=1,E1669&gt;0),AND(H1669=2,F1669&gt;0)),OR(I1669=0,AND(I1669=1,OR(J1669=0,J1669=1,J1669=2),R1669&lt;&gt;"000")),Y1669&lt;=9,MIN(T1669:V1669)&gt;=0),"合法","输入违约")</x:f>
        <x:v>合法</x:v>
      </x:c>
    </x:row>
    <x:row r="1670" ht="23" customHeight="1">
      <x:c r="A1670" s="3" t="str">
        <x:v>CT-1663</x:v>
      </x:c>
      <x:c r="B1670" s="3" t="str">
        <x:v>ST-144</x:v>
      </x:c>
      <x:c r="C1670" s="3" t="str">
        <x:v>R+AR同收同发</x:v>
      </x:c>
      <x:c r="D1670" s="25" t="n">
        <x:v>3</x:v>
      </x:c>
      <x:c r="E1670" s="25" t="n">
        <x:v>1</x:v>
      </x:c>
      <x:c r="F1670" s="25" t="n">
        <x:v>4</x:v>
      </x:c>
      <x:c r="G1670" s="19" t="n">
        <x:f>SUM(D1670:F1670)</x:f>
        <x:v>8</x:v>
      </x:c>
      <x:c r="H1670" s="25" t="n">
        <x:v>1</x:v>
      </x:c>
      <x:c r="I1670" s="25" t="n">
        <x:v>1</x:v>
      </x:c>
      <x:c r="J1670" s="25" t="n">
        <x:v>0</x:v>
      </x:c>
      <x:c r="K1670" s="19" t="n">
        <x:f>D1670-IF(H1670=0,1,0)</x:f>
        <x:v>3</x:v>
      </x:c>
      <x:c r="L1670" s="19" t="n">
        <x:f>E1670-IF(H1670=1,1,0)</x:f>
        <x:v>0</x:v>
      </x:c>
      <x:c r="M1670" s="19" t="n">
        <x:f>F1670-IF(H1670=2,1,0)</x:f>
        <x:v>4</x:v>
      </x:c>
      <x:c r="N1670" s="19" t="n">
        <x:f>MAX(K1670-1,0)+MAX(L1670-1,0)+MAX(M1670-1,0)</x:f>
        <x:v>5</x:v>
      </x:c>
      <x:c r="O1670" s="19" t="n">
        <x:f>IF(AND(SUM(K1670:M1670)&lt;9,OR(M1670=0,N1670&lt;6)),1,0)</x:f>
        <x:v>1</x:v>
      </x:c>
      <x:c r="P1670" s="19" t="n">
        <x:f>IF(AND(SUM(K1670:M1670)&lt;9,OR(L1670=0,N1670&lt;6)),1,0)</x:f>
        <x:v>1</x:v>
      </x:c>
      <x:c r="Q1670" s="19" t="n">
        <x:f>IF(AND(SUM(K1670:M1670)&lt;9,OR(K1670=0,N1670&lt;6)),1,0)</x:f>
        <x:v>1</x:v>
      </x:c>
      <x:c r="R1670" s="22" t="str">
        <x:f>O1670&amp;P1670&amp;Q1670</x:f>
        <x:v>111</x:v>
      </x:c>
      <x:c r="S1670" s="19" t="n">
        <x:f>IF(I1670=1,IF(J1670=0,Q1670,IF(J1670=1,P1670,IF(J1670=2,O1670,0))),0)</x:f>
        <x:v>1</x:v>
      </x:c>
      <x:c r="T1670" s="19" t="n">
        <x:f>K1670+IF(AND(S1670=1,J1670=0),1,0)</x:f>
        <x:v>4</x:v>
      </x:c>
      <x:c r="U1670" s="19" t="n">
        <x:f>L1670+IF(AND(S1670=1,J1670=1),1,0)</x:f>
        <x:v>0</x:v>
      </x:c>
      <x:c r="V1670" s="19" t="n">
        <x:f>M1670+IF(AND(S1670=1,J1670=2),1,0)</x:f>
        <x:v>4</x:v>
      </x:c>
      <x:c r="W1670" s="19" t="n">
        <x:f>SUM(T1670:V1670)</x:f>
        <x:v>8</x:v>
      </x:c>
      <x:c r="X1670" s="19" t="n">
        <x:f>W1670-G1670</x:f>
        <x:v>0</x:v>
      </x:c>
      <x:c r="Y1670" s="19" t="n">
        <x:f>MAX(T1670,1)+MAX(U1670,1)+MAX(V1670,1)</x:f>
        <x:v>9</x:v>
      </x:c>
      <x:c r="Z1670" s="21" t="str">
        <x:f>IF(AND(MIN(D1670:F1670)&gt;=0,MAX(D1670:F1670)&lt;=7,MAX(D1670,1)+MAX(E1670,1)+MAX(F1670,1)&lt;=9,OR(H1670="-",AND(H1670=0,D1670&gt;0),AND(H1670=1,E1670&gt;0),AND(H1670=2,F1670&gt;0)),OR(I1670=0,AND(I1670=1,OR(J1670=0,J1670=1,J1670=2),R1670&lt;&gt;"000")),Y1670&lt;=9,MIN(T1670:V1670)&gt;=0),"合法","输入违约")</x:f>
        <x:v>合法</x:v>
      </x:c>
    </x:row>
    <x:row r="1671" ht="23" customHeight="1">
      <x:c r="A1671" s="3" t="str">
        <x:v>CT-1664</x:v>
      </x:c>
      <x:c r="B1671" s="3" t="str">
        <x:v>ST-144</x:v>
      </x:c>
      <x:c r="C1671" s="3" t="str">
        <x:v>R+AR同收同发</x:v>
      </x:c>
      <x:c r="D1671" s="25" t="n">
        <x:v>3</x:v>
      </x:c>
      <x:c r="E1671" s="25" t="n">
        <x:v>1</x:v>
      </x:c>
      <x:c r="F1671" s="25" t="n">
        <x:v>4</x:v>
      </x:c>
      <x:c r="G1671" s="19" t="n">
        <x:f>SUM(D1671:F1671)</x:f>
        <x:v>8</x:v>
      </x:c>
      <x:c r="H1671" s="25" t="n">
        <x:v>1</x:v>
      </x:c>
      <x:c r="I1671" s="25" t="n">
        <x:v>1</x:v>
      </x:c>
      <x:c r="J1671" s="25" t="n">
        <x:v>1</x:v>
      </x:c>
      <x:c r="K1671" s="19" t="n">
        <x:f>D1671-IF(H1671=0,1,0)</x:f>
        <x:v>3</x:v>
      </x:c>
      <x:c r="L1671" s="19" t="n">
        <x:f>E1671-IF(H1671=1,1,0)</x:f>
        <x:v>0</x:v>
      </x:c>
      <x:c r="M1671" s="19" t="n">
        <x:f>F1671-IF(H1671=2,1,0)</x:f>
        <x:v>4</x:v>
      </x:c>
      <x:c r="N1671" s="19" t="n">
        <x:f>MAX(K1671-1,0)+MAX(L1671-1,0)+MAX(M1671-1,0)</x:f>
        <x:v>5</x:v>
      </x:c>
      <x:c r="O1671" s="19" t="n">
        <x:f>IF(AND(SUM(K1671:M1671)&lt;9,OR(M1671=0,N1671&lt;6)),1,0)</x:f>
        <x:v>1</x:v>
      </x:c>
      <x:c r="P1671" s="19" t="n">
        <x:f>IF(AND(SUM(K1671:M1671)&lt;9,OR(L1671=0,N1671&lt;6)),1,0)</x:f>
        <x:v>1</x:v>
      </x:c>
      <x:c r="Q1671" s="19" t="n">
        <x:f>IF(AND(SUM(K1671:M1671)&lt;9,OR(K1671=0,N1671&lt;6)),1,0)</x:f>
        <x:v>1</x:v>
      </x:c>
      <x:c r="R1671" s="22" t="str">
        <x:f>O1671&amp;P1671&amp;Q1671</x:f>
        <x:v>111</x:v>
      </x:c>
      <x:c r="S1671" s="19" t="n">
        <x:f>IF(I1671=1,IF(J1671=0,Q1671,IF(J1671=1,P1671,IF(J1671=2,O1671,0))),0)</x:f>
        <x:v>1</x:v>
      </x:c>
      <x:c r="T1671" s="19" t="n">
        <x:f>K1671+IF(AND(S1671=1,J1671=0),1,0)</x:f>
        <x:v>3</x:v>
      </x:c>
      <x:c r="U1671" s="19" t="n">
        <x:f>L1671+IF(AND(S1671=1,J1671=1),1,0)</x:f>
        <x:v>1</x:v>
      </x:c>
      <x:c r="V1671" s="19" t="n">
        <x:f>M1671+IF(AND(S1671=1,J1671=2),1,0)</x:f>
        <x:v>4</x:v>
      </x:c>
      <x:c r="W1671" s="19" t="n">
        <x:f>SUM(T1671:V1671)</x:f>
        <x:v>8</x:v>
      </x:c>
      <x:c r="X1671" s="19" t="n">
        <x:f>W1671-G1671</x:f>
        <x:v>0</x:v>
      </x:c>
      <x:c r="Y1671" s="19" t="n">
        <x:f>MAX(T1671,1)+MAX(U1671,1)+MAX(V1671,1)</x:f>
        <x:v>8</x:v>
      </x:c>
      <x:c r="Z1671" s="21" t="str">
        <x:f>IF(AND(MIN(D1671:F1671)&gt;=0,MAX(D1671:F1671)&lt;=7,MAX(D1671,1)+MAX(E1671,1)+MAX(F1671,1)&lt;=9,OR(H1671="-",AND(H1671=0,D1671&gt;0),AND(H1671=1,E1671&gt;0),AND(H1671=2,F1671&gt;0)),OR(I1671=0,AND(I1671=1,OR(J1671=0,J1671=1,J1671=2),R1671&lt;&gt;"000")),Y1671&lt;=9,MIN(T1671:V1671)&gt;=0),"合法","输入违约")</x:f>
        <x:v>合法</x:v>
      </x:c>
    </x:row>
    <x:row r="1672" ht="23" customHeight="1">
      <x:c r="A1672" s="3" t="str">
        <x:v>CT-1665</x:v>
      </x:c>
      <x:c r="B1672" s="3" t="str">
        <x:v>ST-144</x:v>
      </x:c>
      <x:c r="C1672" s="3" t="str">
        <x:v>R+AR同收同发</x:v>
      </x:c>
      <x:c r="D1672" s="25" t="n">
        <x:v>3</x:v>
      </x:c>
      <x:c r="E1672" s="25" t="n">
        <x:v>1</x:v>
      </x:c>
      <x:c r="F1672" s="25" t="n">
        <x:v>4</x:v>
      </x:c>
      <x:c r="G1672" s="19" t="n">
        <x:f>SUM(D1672:F1672)</x:f>
        <x:v>8</x:v>
      </x:c>
      <x:c r="H1672" s="25" t="n">
        <x:v>1</x:v>
      </x:c>
      <x:c r="I1672" s="25" t="n">
        <x:v>1</x:v>
      </x:c>
      <x:c r="J1672" s="25" t="n">
        <x:v>2</x:v>
      </x:c>
      <x:c r="K1672" s="19" t="n">
        <x:f>D1672-IF(H1672=0,1,0)</x:f>
        <x:v>3</x:v>
      </x:c>
      <x:c r="L1672" s="19" t="n">
        <x:f>E1672-IF(H1672=1,1,0)</x:f>
        <x:v>0</x:v>
      </x:c>
      <x:c r="M1672" s="19" t="n">
        <x:f>F1672-IF(H1672=2,1,0)</x:f>
        <x:v>4</x:v>
      </x:c>
      <x:c r="N1672" s="19" t="n">
        <x:f>MAX(K1672-1,0)+MAX(L1672-1,0)+MAX(M1672-1,0)</x:f>
        <x:v>5</x:v>
      </x:c>
      <x:c r="O1672" s="19" t="n">
        <x:f>IF(AND(SUM(K1672:M1672)&lt;9,OR(M1672=0,N1672&lt;6)),1,0)</x:f>
        <x:v>1</x:v>
      </x:c>
      <x:c r="P1672" s="19" t="n">
        <x:f>IF(AND(SUM(K1672:M1672)&lt;9,OR(L1672=0,N1672&lt;6)),1,0)</x:f>
        <x:v>1</x:v>
      </x:c>
      <x:c r="Q1672" s="19" t="n">
        <x:f>IF(AND(SUM(K1672:M1672)&lt;9,OR(K1672=0,N1672&lt;6)),1,0)</x:f>
        <x:v>1</x:v>
      </x:c>
      <x:c r="R1672" s="22" t="str">
        <x:f>O1672&amp;P1672&amp;Q1672</x:f>
        <x:v>111</x:v>
      </x:c>
      <x:c r="S1672" s="19" t="n">
        <x:f>IF(I1672=1,IF(J1672=0,Q1672,IF(J1672=1,P1672,IF(J1672=2,O1672,0))),0)</x:f>
        <x:v>1</x:v>
      </x:c>
      <x:c r="T1672" s="19" t="n">
        <x:f>K1672+IF(AND(S1672=1,J1672=0),1,0)</x:f>
        <x:v>3</x:v>
      </x:c>
      <x:c r="U1672" s="19" t="n">
        <x:f>L1672+IF(AND(S1672=1,J1672=1),1,0)</x:f>
        <x:v>0</x:v>
      </x:c>
      <x:c r="V1672" s="19" t="n">
        <x:f>M1672+IF(AND(S1672=1,J1672=2),1,0)</x:f>
        <x:v>5</x:v>
      </x:c>
      <x:c r="W1672" s="19" t="n">
        <x:f>SUM(T1672:V1672)</x:f>
        <x:v>8</x:v>
      </x:c>
      <x:c r="X1672" s="19" t="n">
        <x:f>W1672-G1672</x:f>
        <x:v>0</x:v>
      </x:c>
      <x:c r="Y1672" s="19" t="n">
        <x:f>MAX(T1672,1)+MAX(U1672,1)+MAX(V1672,1)</x:f>
        <x:v>9</x:v>
      </x:c>
      <x:c r="Z1672" s="21" t="str">
        <x:f>IF(AND(MIN(D1672:F1672)&gt;=0,MAX(D1672:F1672)&lt;=7,MAX(D1672,1)+MAX(E1672,1)+MAX(F1672,1)&lt;=9,OR(H1672="-",AND(H1672=0,D1672&gt;0),AND(H1672=1,E1672&gt;0),AND(H1672=2,F1672&gt;0)),OR(I1672=0,AND(I1672=1,OR(J1672=0,J1672=1,J1672=2),R1672&lt;&gt;"000")),Y1672&lt;=9,MIN(T1672:V1672)&gt;=0),"合法","输入违约")</x:f>
        <x:v>合法</x:v>
      </x:c>
    </x:row>
    <x:row r="1673" ht="23" customHeight="1">
      <x:c r="A1673" s="3" t="str">
        <x:v>CT-1666</x:v>
      </x:c>
      <x:c r="B1673" s="3" t="str">
        <x:v>ST-144</x:v>
      </x:c>
      <x:c r="C1673" s="3" t="str">
        <x:v>仅R回收</x:v>
      </x:c>
      <x:c r="D1673" s="25" t="n">
        <x:v>3</x:v>
      </x:c>
      <x:c r="E1673" s="25" t="n">
        <x:v>1</x:v>
      </x:c>
      <x:c r="F1673" s="25" t="n">
        <x:v>4</x:v>
      </x:c>
      <x:c r="G1673" s="19" t="n">
        <x:f>SUM(D1673:F1673)</x:f>
        <x:v>8</x:v>
      </x:c>
      <x:c r="H1673" s="25" t="n">
        <x:v>2</x:v>
      </x:c>
      <x:c r="I1673" s="25" t="n">
        <x:v>0</x:v>
      </x:c>
      <x:c r="J1673" s="25" t="str">
        <x:v>-</x:v>
      </x:c>
      <x:c r="K1673" s="19" t="n">
        <x:f>D1673-IF(H1673=0,1,0)</x:f>
        <x:v>3</x:v>
      </x:c>
      <x:c r="L1673" s="19" t="n">
        <x:f>E1673-IF(H1673=1,1,0)</x:f>
        <x:v>1</x:v>
      </x:c>
      <x:c r="M1673" s="19" t="n">
        <x:f>F1673-IF(H1673=2,1,0)</x:f>
        <x:v>3</x:v>
      </x:c>
      <x:c r="N1673" s="19" t="n">
        <x:f>MAX(K1673-1,0)+MAX(L1673-1,0)+MAX(M1673-1,0)</x:f>
        <x:v>4</x:v>
      </x:c>
      <x:c r="O1673" s="19" t="n">
        <x:f>IF(AND(SUM(K1673:M1673)&lt;9,OR(M1673=0,N1673&lt;6)),1,0)</x:f>
        <x:v>1</x:v>
      </x:c>
      <x:c r="P1673" s="19" t="n">
        <x:f>IF(AND(SUM(K1673:M1673)&lt;9,OR(L1673=0,N1673&lt;6)),1,0)</x:f>
        <x:v>1</x:v>
      </x:c>
      <x:c r="Q1673" s="19" t="n">
        <x:f>IF(AND(SUM(K1673:M1673)&lt;9,OR(K1673=0,N1673&lt;6)),1,0)</x:f>
        <x:v>1</x:v>
      </x:c>
      <x:c r="R1673" s="22" t="str">
        <x:f>O1673&amp;P1673&amp;Q1673</x:f>
        <x:v>111</x:v>
      </x:c>
      <x:c r="S1673" s="19" t="n">
        <x:f>IF(I1673=1,IF(J1673=0,Q1673,IF(J1673=1,P1673,IF(J1673=2,O1673,0))),0)</x:f>
        <x:v>0</x:v>
      </x:c>
      <x:c r="T1673" s="19" t="n">
        <x:f>K1673+IF(AND(S1673=1,J1673=0),1,0)</x:f>
        <x:v>3</x:v>
      </x:c>
      <x:c r="U1673" s="19" t="n">
        <x:f>L1673+IF(AND(S1673=1,J1673=1),1,0)</x:f>
        <x:v>1</x:v>
      </x:c>
      <x:c r="V1673" s="19" t="n">
        <x:f>M1673+IF(AND(S1673=1,J1673=2),1,0)</x:f>
        <x:v>3</x:v>
      </x:c>
      <x:c r="W1673" s="19" t="n">
        <x:f>SUM(T1673:V1673)</x:f>
        <x:v>7</x:v>
      </x:c>
      <x:c r="X1673" s="19" t="n">
        <x:f>W1673-G1673</x:f>
        <x:v>-1</x:v>
      </x:c>
      <x:c r="Y1673" s="19" t="n">
        <x:f>MAX(T1673,1)+MAX(U1673,1)+MAX(V1673,1)</x:f>
        <x:v>7</x:v>
      </x:c>
      <x:c r="Z1673" s="21" t="str">
        <x:f>IF(AND(MIN(D1673:F1673)&gt;=0,MAX(D1673:F1673)&lt;=7,MAX(D1673,1)+MAX(E1673,1)+MAX(F1673,1)&lt;=9,OR(H1673="-",AND(H1673=0,D1673&gt;0),AND(H1673=1,E1673&gt;0),AND(H1673=2,F1673&gt;0)),OR(I1673=0,AND(I1673=1,OR(J1673=0,J1673=1,J1673=2),R1673&lt;&gt;"000")),Y1673&lt;=9,MIN(T1673:V1673)&gt;=0),"合法","输入违约")</x:f>
        <x:v>合法</x:v>
      </x:c>
    </x:row>
    <x:row r="1674" ht="23" customHeight="1">
      <x:c r="A1674" s="3" t="str">
        <x:v>CT-1667</x:v>
      </x:c>
      <x:c r="B1674" s="3" t="str">
        <x:v>ST-144</x:v>
      </x:c>
      <x:c r="C1674" s="3" t="str">
        <x:v>R+AR同收同发</x:v>
      </x:c>
      <x:c r="D1674" s="25" t="n">
        <x:v>3</x:v>
      </x:c>
      <x:c r="E1674" s="25" t="n">
        <x:v>1</x:v>
      </x:c>
      <x:c r="F1674" s="25" t="n">
        <x:v>4</x:v>
      </x:c>
      <x:c r="G1674" s="19" t="n">
        <x:f>SUM(D1674:F1674)</x:f>
        <x:v>8</x:v>
      </x:c>
      <x:c r="H1674" s="25" t="n">
        <x:v>2</x:v>
      </x:c>
      <x:c r="I1674" s="25" t="n">
        <x:v>1</x:v>
      </x:c>
      <x:c r="J1674" s="25" t="n">
        <x:v>0</x:v>
      </x:c>
      <x:c r="K1674" s="19" t="n">
        <x:f>D1674-IF(H1674=0,1,0)</x:f>
        <x:v>3</x:v>
      </x:c>
      <x:c r="L1674" s="19" t="n">
        <x:f>E1674-IF(H1674=1,1,0)</x:f>
        <x:v>1</x:v>
      </x:c>
      <x:c r="M1674" s="19" t="n">
        <x:f>F1674-IF(H1674=2,1,0)</x:f>
        <x:v>3</x:v>
      </x:c>
      <x:c r="N1674" s="19" t="n">
        <x:f>MAX(K1674-1,0)+MAX(L1674-1,0)+MAX(M1674-1,0)</x:f>
        <x:v>4</x:v>
      </x:c>
      <x:c r="O1674" s="19" t="n">
        <x:f>IF(AND(SUM(K1674:M1674)&lt;9,OR(M1674=0,N1674&lt;6)),1,0)</x:f>
        <x:v>1</x:v>
      </x:c>
      <x:c r="P1674" s="19" t="n">
        <x:f>IF(AND(SUM(K1674:M1674)&lt;9,OR(L1674=0,N1674&lt;6)),1,0)</x:f>
        <x:v>1</x:v>
      </x:c>
      <x:c r="Q1674" s="19" t="n">
        <x:f>IF(AND(SUM(K1674:M1674)&lt;9,OR(K1674=0,N1674&lt;6)),1,0)</x:f>
        <x:v>1</x:v>
      </x:c>
      <x:c r="R1674" s="22" t="str">
        <x:f>O1674&amp;P1674&amp;Q1674</x:f>
        <x:v>111</x:v>
      </x:c>
      <x:c r="S1674" s="19" t="n">
        <x:f>IF(I1674=1,IF(J1674=0,Q1674,IF(J1674=1,P1674,IF(J1674=2,O1674,0))),0)</x:f>
        <x:v>1</x:v>
      </x:c>
      <x:c r="T1674" s="19" t="n">
        <x:f>K1674+IF(AND(S1674=1,J1674=0),1,0)</x:f>
        <x:v>4</x:v>
      </x:c>
      <x:c r="U1674" s="19" t="n">
        <x:f>L1674+IF(AND(S1674=1,J1674=1),1,0)</x:f>
        <x:v>1</x:v>
      </x:c>
      <x:c r="V1674" s="19" t="n">
        <x:f>M1674+IF(AND(S1674=1,J1674=2),1,0)</x:f>
        <x:v>3</x:v>
      </x:c>
      <x:c r="W1674" s="19" t="n">
        <x:f>SUM(T1674:V1674)</x:f>
        <x:v>8</x:v>
      </x:c>
      <x:c r="X1674" s="19" t="n">
        <x:f>W1674-G1674</x:f>
        <x:v>0</x:v>
      </x:c>
      <x:c r="Y1674" s="19" t="n">
        <x:f>MAX(T1674,1)+MAX(U1674,1)+MAX(V1674,1)</x:f>
        <x:v>8</x:v>
      </x:c>
      <x:c r="Z1674" s="21" t="str">
        <x:f>IF(AND(MIN(D1674:F1674)&gt;=0,MAX(D1674:F1674)&lt;=7,MAX(D1674,1)+MAX(E1674,1)+MAX(F1674,1)&lt;=9,OR(H1674="-",AND(H1674=0,D1674&gt;0),AND(H1674=1,E1674&gt;0),AND(H1674=2,F1674&gt;0)),OR(I1674=0,AND(I1674=1,OR(J1674=0,J1674=1,J1674=2),R1674&lt;&gt;"000")),Y1674&lt;=9,MIN(T1674:V1674)&gt;=0),"合法","输入违约")</x:f>
        <x:v>合法</x:v>
      </x:c>
    </x:row>
    <x:row r="1675" ht="23" customHeight="1">
      <x:c r="A1675" s="3" t="str">
        <x:v>CT-1668</x:v>
      </x:c>
      <x:c r="B1675" s="3" t="str">
        <x:v>ST-144</x:v>
      </x:c>
      <x:c r="C1675" s="3" t="str">
        <x:v>R+AR同收同发</x:v>
      </x:c>
      <x:c r="D1675" s="25" t="n">
        <x:v>3</x:v>
      </x:c>
      <x:c r="E1675" s="25" t="n">
        <x:v>1</x:v>
      </x:c>
      <x:c r="F1675" s="25" t="n">
        <x:v>4</x:v>
      </x:c>
      <x:c r="G1675" s="19" t="n">
        <x:f>SUM(D1675:F1675)</x:f>
        <x:v>8</x:v>
      </x:c>
      <x:c r="H1675" s="25" t="n">
        <x:v>2</x:v>
      </x:c>
      <x:c r="I1675" s="25" t="n">
        <x:v>1</x:v>
      </x:c>
      <x:c r="J1675" s="25" t="n">
        <x:v>1</x:v>
      </x:c>
      <x:c r="K1675" s="19" t="n">
        <x:f>D1675-IF(H1675=0,1,0)</x:f>
        <x:v>3</x:v>
      </x:c>
      <x:c r="L1675" s="19" t="n">
        <x:f>E1675-IF(H1675=1,1,0)</x:f>
        <x:v>1</x:v>
      </x:c>
      <x:c r="M1675" s="19" t="n">
        <x:f>F1675-IF(H1675=2,1,0)</x:f>
        <x:v>3</x:v>
      </x:c>
      <x:c r="N1675" s="19" t="n">
        <x:f>MAX(K1675-1,0)+MAX(L1675-1,0)+MAX(M1675-1,0)</x:f>
        <x:v>4</x:v>
      </x:c>
      <x:c r="O1675" s="19" t="n">
        <x:f>IF(AND(SUM(K1675:M1675)&lt;9,OR(M1675=0,N1675&lt;6)),1,0)</x:f>
        <x:v>1</x:v>
      </x:c>
      <x:c r="P1675" s="19" t="n">
        <x:f>IF(AND(SUM(K1675:M1675)&lt;9,OR(L1675=0,N1675&lt;6)),1,0)</x:f>
        <x:v>1</x:v>
      </x:c>
      <x:c r="Q1675" s="19" t="n">
        <x:f>IF(AND(SUM(K1675:M1675)&lt;9,OR(K1675=0,N1675&lt;6)),1,0)</x:f>
        <x:v>1</x:v>
      </x:c>
      <x:c r="R1675" s="22" t="str">
        <x:f>O1675&amp;P1675&amp;Q1675</x:f>
        <x:v>111</x:v>
      </x:c>
      <x:c r="S1675" s="19" t="n">
        <x:f>IF(I1675=1,IF(J1675=0,Q1675,IF(J1675=1,P1675,IF(J1675=2,O1675,0))),0)</x:f>
        <x:v>1</x:v>
      </x:c>
      <x:c r="T1675" s="19" t="n">
        <x:f>K1675+IF(AND(S1675=1,J1675=0),1,0)</x:f>
        <x:v>3</x:v>
      </x:c>
      <x:c r="U1675" s="19" t="n">
        <x:f>L1675+IF(AND(S1675=1,J1675=1),1,0)</x:f>
        <x:v>2</x:v>
      </x:c>
      <x:c r="V1675" s="19" t="n">
        <x:f>M1675+IF(AND(S1675=1,J1675=2),1,0)</x:f>
        <x:v>3</x:v>
      </x:c>
      <x:c r="W1675" s="19" t="n">
        <x:f>SUM(T1675:V1675)</x:f>
        <x:v>8</x:v>
      </x:c>
      <x:c r="X1675" s="19" t="n">
        <x:f>W1675-G1675</x:f>
        <x:v>0</x:v>
      </x:c>
      <x:c r="Y1675" s="19" t="n">
        <x:f>MAX(T1675,1)+MAX(U1675,1)+MAX(V1675,1)</x:f>
        <x:v>8</x:v>
      </x:c>
      <x:c r="Z1675" s="21" t="str">
        <x:f>IF(AND(MIN(D1675:F1675)&gt;=0,MAX(D1675:F1675)&lt;=7,MAX(D1675,1)+MAX(E1675,1)+MAX(F1675,1)&lt;=9,OR(H1675="-",AND(H1675=0,D1675&gt;0),AND(H1675=1,E1675&gt;0),AND(H1675=2,F1675&gt;0)),OR(I1675=0,AND(I1675=1,OR(J1675=0,J1675=1,J1675=2),R1675&lt;&gt;"000")),Y1675&lt;=9,MIN(T1675:V1675)&gt;=0),"合法","输入违约")</x:f>
        <x:v>合法</x:v>
      </x:c>
    </x:row>
    <x:row r="1676" ht="23" customHeight="1">
      <x:c r="A1676" s="3" t="str">
        <x:v>CT-1669</x:v>
      </x:c>
      <x:c r="B1676" s="3" t="str">
        <x:v>ST-144</x:v>
      </x:c>
      <x:c r="C1676" s="3" t="str">
        <x:v>R+AR同收同发</x:v>
      </x:c>
      <x:c r="D1676" s="25" t="n">
        <x:v>3</x:v>
      </x:c>
      <x:c r="E1676" s="25" t="n">
        <x:v>1</x:v>
      </x:c>
      <x:c r="F1676" s="25" t="n">
        <x:v>4</x:v>
      </x:c>
      <x:c r="G1676" s="19" t="n">
        <x:f>SUM(D1676:F1676)</x:f>
        <x:v>8</x:v>
      </x:c>
      <x:c r="H1676" s="25" t="n">
        <x:v>2</x:v>
      </x:c>
      <x:c r="I1676" s="25" t="n">
        <x:v>1</x:v>
      </x:c>
      <x:c r="J1676" s="25" t="n">
        <x:v>2</x:v>
      </x:c>
      <x:c r="K1676" s="19" t="n">
        <x:f>D1676-IF(H1676=0,1,0)</x:f>
        <x:v>3</x:v>
      </x:c>
      <x:c r="L1676" s="19" t="n">
        <x:f>E1676-IF(H1676=1,1,0)</x:f>
        <x:v>1</x:v>
      </x:c>
      <x:c r="M1676" s="19" t="n">
        <x:f>F1676-IF(H1676=2,1,0)</x:f>
        <x:v>3</x:v>
      </x:c>
      <x:c r="N1676" s="19" t="n">
        <x:f>MAX(K1676-1,0)+MAX(L1676-1,0)+MAX(M1676-1,0)</x:f>
        <x:v>4</x:v>
      </x:c>
      <x:c r="O1676" s="19" t="n">
        <x:f>IF(AND(SUM(K1676:M1676)&lt;9,OR(M1676=0,N1676&lt;6)),1,0)</x:f>
        <x:v>1</x:v>
      </x:c>
      <x:c r="P1676" s="19" t="n">
        <x:f>IF(AND(SUM(K1676:M1676)&lt;9,OR(L1676=0,N1676&lt;6)),1,0)</x:f>
        <x:v>1</x:v>
      </x:c>
      <x:c r="Q1676" s="19" t="n">
        <x:f>IF(AND(SUM(K1676:M1676)&lt;9,OR(K1676=0,N1676&lt;6)),1,0)</x:f>
        <x:v>1</x:v>
      </x:c>
      <x:c r="R1676" s="22" t="str">
        <x:f>O1676&amp;P1676&amp;Q1676</x:f>
        <x:v>111</x:v>
      </x:c>
      <x:c r="S1676" s="19" t="n">
        <x:f>IF(I1676=1,IF(J1676=0,Q1676,IF(J1676=1,P1676,IF(J1676=2,O1676,0))),0)</x:f>
        <x:v>1</x:v>
      </x:c>
      <x:c r="T1676" s="19" t="n">
        <x:f>K1676+IF(AND(S1676=1,J1676=0),1,0)</x:f>
        <x:v>3</x:v>
      </x:c>
      <x:c r="U1676" s="19" t="n">
        <x:f>L1676+IF(AND(S1676=1,J1676=1),1,0)</x:f>
        <x:v>1</x:v>
      </x:c>
      <x:c r="V1676" s="19" t="n">
        <x:f>M1676+IF(AND(S1676=1,J1676=2),1,0)</x:f>
        <x:v>4</x:v>
      </x:c>
      <x:c r="W1676" s="19" t="n">
        <x:f>SUM(T1676:V1676)</x:f>
        <x:v>8</x:v>
      </x:c>
      <x:c r="X1676" s="19" t="n">
        <x:f>W1676-G1676</x:f>
        <x:v>0</x:v>
      </x:c>
      <x:c r="Y1676" s="19" t="n">
        <x:f>MAX(T1676,1)+MAX(U1676,1)+MAX(V1676,1)</x:f>
        <x:v>8</x:v>
      </x:c>
      <x:c r="Z1676" s="21" t="str">
        <x:f>IF(AND(MIN(D1676:F1676)&gt;=0,MAX(D1676:F1676)&lt;=7,MAX(D1676,1)+MAX(E1676,1)+MAX(F1676,1)&lt;=9,OR(H1676="-",AND(H1676=0,D1676&gt;0),AND(H1676=1,E1676&gt;0),AND(H1676=2,F1676&gt;0)),OR(I1676=0,AND(I1676=1,OR(J1676=0,J1676=1,J1676=2),R1676&lt;&gt;"000")),Y1676&lt;=9,MIN(T1676:V1676)&gt;=0),"合法","输入违约")</x:f>
        <x:v>合法</x:v>
      </x:c>
    </x:row>
    <x:row r="1677" ht="23" customHeight="1">
      <x:c r="A1677" s="3" t="str">
        <x:v>CT-1670</x:v>
      </x:c>
      <x:c r="B1677" s="3" t="str">
        <x:v>ST-176</x:v>
      </x:c>
      <x:c r="C1677" s="3" t="str">
        <x:v>无AR/R</x:v>
      </x:c>
      <x:c r="D1677" s="25" t="n">
        <x:v>3</x:v>
      </x:c>
      <x:c r="E1677" s="25" t="n">
        <x:v>1</x:v>
      </x:c>
      <x:c r="F1677" s="25" t="n">
        <x:v>5</x:v>
      </x:c>
      <x:c r="G1677" s="19" t="n">
        <x:f>SUM(D1677:F1677)</x:f>
        <x:v>9</x:v>
      </x:c>
      <x:c r="H1677" s="25" t="str">
        <x:v>-</x:v>
      </x:c>
      <x:c r="I1677" s="25" t="n">
        <x:v>0</x:v>
      </x:c>
      <x:c r="J1677" s="25" t="str">
        <x:v>-</x:v>
      </x:c>
      <x:c r="K1677" s="19" t="n">
        <x:f>D1677-IF(H1677=0,1,0)</x:f>
        <x:v>3</x:v>
      </x:c>
      <x:c r="L1677" s="19" t="n">
        <x:f>E1677-IF(H1677=1,1,0)</x:f>
        <x:v>1</x:v>
      </x:c>
      <x:c r="M1677" s="19" t="n">
        <x:f>F1677-IF(H1677=2,1,0)</x:f>
        <x:v>5</x:v>
      </x:c>
      <x:c r="N1677" s="19" t="n">
        <x:f>MAX(K1677-1,0)+MAX(L1677-1,0)+MAX(M1677-1,0)</x:f>
        <x:v>6</x:v>
      </x:c>
      <x:c r="O1677" s="19" t="n">
        <x:f>IF(AND(SUM(K1677:M1677)&lt;9,OR(M1677=0,N1677&lt;6)),1,0)</x:f>
        <x:v>0</x:v>
      </x:c>
      <x:c r="P1677" s="19" t="n">
        <x:f>IF(AND(SUM(K1677:M1677)&lt;9,OR(L1677=0,N1677&lt;6)),1,0)</x:f>
        <x:v>0</x:v>
      </x:c>
      <x:c r="Q1677" s="19" t="n">
        <x:f>IF(AND(SUM(K1677:M1677)&lt;9,OR(K1677=0,N1677&lt;6)),1,0)</x:f>
        <x:v>0</x:v>
      </x:c>
      <x:c r="R1677" s="22" t="str">
        <x:f>O1677&amp;P1677&amp;Q1677</x:f>
        <x:v>000</x:v>
      </x:c>
      <x:c r="S1677" s="19" t="n">
        <x:f>IF(I1677=1,IF(J1677=0,Q1677,IF(J1677=1,P1677,IF(J1677=2,O1677,0))),0)</x:f>
        <x:v>0</x:v>
      </x:c>
      <x:c r="T1677" s="19" t="n">
        <x:f>K1677+IF(AND(S1677=1,J1677=0),1,0)</x:f>
        <x:v>3</x:v>
      </x:c>
      <x:c r="U1677" s="19" t="n">
        <x:f>L1677+IF(AND(S1677=1,J1677=1),1,0)</x:f>
        <x:v>1</x:v>
      </x:c>
      <x:c r="V1677" s="19" t="n">
        <x:f>M1677+IF(AND(S1677=1,J1677=2),1,0)</x:f>
        <x:v>5</x:v>
      </x:c>
      <x:c r="W1677" s="19" t="n">
        <x:f>SUM(T1677:V1677)</x:f>
        <x:v>9</x:v>
      </x:c>
      <x:c r="X1677" s="19" t="n">
        <x:f>W1677-G1677</x:f>
        <x:v>0</x:v>
      </x:c>
      <x:c r="Y1677" s="19" t="n">
        <x:f>MAX(T1677,1)+MAX(U1677,1)+MAX(V1677,1)</x:f>
        <x:v>9</x:v>
      </x:c>
      <x:c r="Z1677" s="21" t="str">
        <x:f>IF(AND(MIN(D1677:F1677)&gt;=0,MAX(D1677:F1677)&lt;=7,MAX(D1677,1)+MAX(E1677,1)+MAX(F1677,1)&lt;=9,OR(H1677="-",AND(H1677=0,D1677&gt;0),AND(H1677=1,E1677&gt;0),AND(H1677=2,F1677&gt;0)),OR(I1677=0,AND(I1677=1,OR(J1677=0,J1677=1,J1677=2),R1677&lt;&gt;"000")),Y1677&lt;=9,MIN(T1677:V1677)&gt;=0),"合法","输入违约")</x:f>
        <x:v>合法</x:v>
      </x:c>
    </x:row>
    <x:row r="1678" ht="23" customHeight="1">
      <x:c r="A1678" s="3" t="str">
        <x:v>CT-1671</x:v>
      </x:c>
      <x:c r="B1678" s="3" t="str">
        <x:v>ST-176</x:v>
      </x:c>
      <x:c r="C1678" s="3" t="str">
        <x:v>仅R回收</x:v>
      </x:c>
      <x:c r="D1678" s="25" t="n">
        <x:v>3</x:v>
      </x:c>
      <x:c r="E1678" s="25" t="n">
        <x:v>1</x:v>
      </x:c>
      <x:c r="F1678" s="25" t="n">
        <x:v>5</x:v>
      </x:c>
      <x:c r="G1678" s="19" t="n">
        <x:f>SUM(D1678:F1678)</x:f>
        <x:v>9</x:v>
      </x:c>
      <x:c r="H1678" s="25" t="n">
        <x:v>0</x:v>
      </x:c>
      <x:c r="I1678" s="25" t="n">
        <x:v>0</x:v>
      </x:c>
      <x:c r="J1678" s="25" t="str">
        <x:v>-</x:v>
      </x:c>
      <x:c r="K1678" s="19" t="n">
        <x:f>D1678-IF(H1678=0,1,0)</x:f>
        <x:v>2</x:v>
      </x:c>
      <x:c r="L1678" s="19" t="n">
        <x:f>E1678-IF(H1678=1,1,0)</x:f>
        <x:v>1</x:v>
      </x:c>
      <x:c r="M1678" s="19" t="n">
        <x:f>F1678-IF(H1678=2,1,0)</x:f>
        <x:v>5</x:v>
      </x:c>
      <x:c r="N1678" s="19" t="n">
        <x:f>MAX(K1678-1,0)+MAX(L1678-1,0)+MAX(M1678-1,0)</x:f>
        <x:v>5</x:v>
      </x:c>
      <x:c r="O1678" s="19" t="n">
        <x:f>IF(AND(SUM(K1678:M1678)&lt;9,OR(M1678=0,N1678&lt;6)),1,0)</x:f>
        <x:v>1</x:v>
      </x:c>
      <x:c r="P1678" s="19" t="n">
        <x:f>IF(AND(SUM(K1678:M1678)&lt;9,OR(L1678=0,N1678&lt;6)),1,0)</x:f>
        <x:v>1</x:v>
      </x:c>
      <x:c r="Q1678" s="19" t="n">
        <x:f>IF(AND(SUM(K1678:M1678)&lt;9,OR(K1678=0,N1678&lt;6)),1,0)</x:f>
        <x:v>1</x:v>
      </x:c>
      <x:c r="R1678" s="22" t="str">
        <x:f>O1678&amp;P1678&amp;Q1678</x:f>
        <x:v>111</x:v>
      </x:c>
      <x:c r="S1678" s="19" t="n">
        <x:f>IF(I1678=1,IF(J1678=0,Q1678,IF(J1678=1,P1678,IF(J1678=2,O1678,0))),0)</x:f>
        <x:v>0</x:v>
      </x:c>
      <x:c r="T1678" s="19" t="n">
        <x:f>K1678+IF(AND(S1678=1,J1678=0),1,0)</x:f>
        <x:v>2</x:v>
      </x:c>
      <x:c r="U1678" s="19" t="n">
        <x:f>L1678+IF(AND(S1678=1,J1678=1),1,0)</x:f>
        <x:v>1</x:v>
      </x:c>
      <x:c r="V1678" s="19" t="n">
        <x:f>M1678+IF(AND(S1678=1,J1678=2),1,0)</x:f>
        <x:v>5</x:v>
      </x:c>
      <x:c r="W1678" s="19" t="n">
        <x:f>SUM(T1678:V1678)</x:f>
        <x:v>8</x:v>
      </x:c>
      <x:c r="X1678" s="19" t="n">
        <x:f>W1678-G1678</x:f>
        <x:v>-1</x:v>
      </x:c>
      <x:c r="Y1678" s="19" t="n">
        <x:f>MAX(T1678,1)+MAX(U1678,1)+MAX(V1678,1)</x:f>
        <x:v>8</x:v>
      </x:c>
      <x:c r="Z1678" s="21" t="str">
        <x:f>IF(AND(MIN(D1678:F1678)&gt;=0,MAX(D1678:F1678)&lt;=7,MAX(D1678,1)+MAX(E1678,1)+MAX(F1678,1)&lt;=9,OR(H1678="-",AND(H1678=0,D1678&gt;0),AND(H1678=1,E1678&gt;0),AND(H1678=2,F1678&gt;0)),OR(I1678=0,AND(I1678=1,OR(J1678=0,J1678=1,J1678=2),R1678&lt;&gt;"000")),Y1678&lt;=9,MIN(T1678:V1678)&gt;=0),"合法","输入违约")</x:f>
        <x:v>合法</x:v>
      </x:c>
    </x:row>
    <x:row r="1679" ht="23" customHeight="1">
      <x:c r="A1679" s="3" t="str">
        <x:v>CT-1672</x:v>
      </x:c>
      <x:c r="B1679" s="3" t="str">
        <x:v>ST-176</x:v>
      </x:c>
      <x:c r="C1679" s="3" t="str">
        <x:v>R+AR同收同发</x:v>
      </x:c>
      <x:c r="D1679" s="25" t="n">
        <x:v>3</x:v>
      </x:c>
      <x:c r="E1679" s="25" t="n">
        <x:v>1</x:v>
      </x:c>
      <x:c r="F1679" s="25" t="n">
        <x:v>5</x:v>
      </x:c>
      <x:c r="G1679" s="19" t="n">
        <x:f>SUM(D1679:F1679)</x:f>
        <x:v>9</x:v>
      </x:c>
      <x:c r="H1679" s="25" t="n">
        <x:v>0</x:v>
      </x:c>
      <x:c r="I1679" s="25" t="n">
        <x:v>1</x:v>
      </x:c>
      <x:c r="J1679" s="25" t="n">
        <x:v>0</x:v>
      </x:c>
      <x:c r="K1679" s="19" t="n">
        <x:f>D1679-IF(H1679=0,1,0)</x:f>
        <x:v>2</x:v>
      </x:c>
      <x:c r="L1679" s="19" t="n">
        <x:f>E1679-IF(H1679=1,1,0)</x:f>
        <x:v>1</x:v>
      </x:c>
      <x:c r="M1679" s="19" t="n">
        <x:f>F1679-IF(H1679=2,1,0)</x:f>
        <x:v>5</x:v>
      </x:c>
      <x:c r="N1679" s="19" t="n">
        <x:f>MAX(K1679-1,0)+MAX(L1679-1,0)+MAX(M1679-1,0)</x:f>
        <x:v>5</x:v>
      </x:c>
      <x:c r="O1679" s="19" t="n">
        <x:f>IF(AND(SUM(K1679:M1679)&lt;9,OR(M1679=0,N1679&lt;6)),1,0)</x:f>
        <x:v>1</x:v>
      </x:c>
      <x:c r="P1679" s="19" t="n">
        <x:f>IF(AND(SUM(K1679:M1679)&lt;9,OR(L1679=0,N1679&lt;6)),1,0)</x:f>
        <x:v>1</x:v>
      </x:c>
      <x:c r="Q1679" s="19" t="n">
        <x:f>IF(AND(SUM(K1679:M1679)&lt;9,OR(K1679=0,N1679&lt;6)),1,0)</x:f>
        <x:v>1</x:v>
      </x:c>
      <x:c r="R1679" s="22" t="str">
        <x:f>O1679&amp;P1679&amp;Q1679</x:f>
        <x:v>111</x:v>
      </x:c>
      <x:c r="S1679" s="19" t="n">
        <x:f>IF(I1679=1,IF(J1679=0,Q1679,IF(J1679=1,P1679,IF(J1679=2,O1679,0))),0)</x:f>
        <x:v>1</x:v>
      </x:c>
      <x:c r="T1679" s="19" t="n">
        <x:f>K1679+IF(AND(S1679=1,J1679=0),1,0)</x:f>
        <x:v>3</x:v>
      </x:c>
      <x:c r="U1679" s="19" t="n">
        <x:f>L1679+IF(AND(S1679=1,J1679=1),1,0)</x:f>
        <x:v>1</x:v>
      </x:c>
      <x:c r="V1679" s="19" t="n">
        <x:f>M1679+IF(AND(S1679=1,J1679=2),1,0)</x:f>
        <x:v>5</x:v>
      </x:c>
      <x:c r="W1679" s="19" t="n">
        <x:f>SUM(T1679:V1679)</x:f>
        <x:v>9</x:v>
      </x:c>
      <x:c r="X1679" s="19" t="n">
        <x:f>W1679-G1679</x:f>
        <x:v>0</x:v>
      </x:c>
      <x:c r="Y1679" s="19" t="n">
        <x:f>MAX(T1679,1)+MAX(U1679,1)+MAX(V1679,1)</x:f>
        <x:v>9</x:v>
      </x:c>
      <x:c r="Z1679" s="21" t="str">
        <x:f>IF(AND(MIN(D1679:F1679)&gt;=0,MAX(D1679:F1679)&lt;=7,MAX(D1679,1)+MAX(E1679,1)+MAX(F1679,1)&lt;=9,OR(H1679="-",AND(H1679=0,D1679&gt;0),AND(H1679=1,E1679&gt;0),AND(H1679=2,F1679&gt;0)),OR(I1679=0,AND(I1679=1,OR(J1679=0,J1679=1,J1679=2),R1679&lt;&gt;"000")),Y1679&lt;=9,MIN(T1679:V1679)&gt;=0),"合法","输入违约")</x:f>
        <x:v>合法</x:v>
      </x:c>
    </x:row>
    <x:row r="1680" ht="23" customHeight="1">
      <x:c r="A1680" s="3" t="str">
        <x:v>CT-1673</x:v>
      </x:c>
      <x:c r="B1680" s="3" t="str">
        <x:v>ST-176</x:v>
      </x:c>
      <x:c r="C1680" s="3" t="str">
        <x:v>R+AR同收同发</x:v>
      </x:c>
      <x:c r="D1680" s="25" t="n">
        <x:v>3</x:v>
      </x:c>
      <x:c r="E1680" s="25" t="n">
        <x:v>1</x:v>
      </x:c>
      <x:c r="F1680" s="25" t="n">
        <x:v>5</x:v>
      </x:c>
      <x:c r="G1680" s="19" t="n">
        <x:f>SUM(D1680:F1680)</x:f>
        <x:v>9</x:v>
      </x:c>
      <x:c r="H1680" s="25" t="n">
        <x:v>0</x:v>
      </x:c>
      <x:c r="I1680" s="25" t="n">
        <x:v>1</x:v>
      </x:c>
      <x:c r="J1680" s="25" t="n">
        <x:v>1</x:v>
      </x:c>
      <x:c r="K1680" s="19" t="n">
        <x:f>D1680-IF(H1680=0,1,0)</x:f>
        <x:v>2</x:v>
      </x:c>
      <x:c r="L1680" s="19" t="n">
        <x:f>E1680-IF(H1680=1,1,0)</x:f>
        <x:v>1</x:v>
      </x:c>
      <x:c r="M1680" s="19" t="n">
        <x:f>F1680-IF(H1680=2,1,0)</x:f>
        <x:v>5</x:v>
      </x:c>
      <x:c r="N1680" s="19" t="n">
        <x:f>MAX(K1680-1,0)+MAX(L1680-1,0)+MAX(M1680-1,0)</x:f>
        <x:v>5</x:v>
      </x:c>
      <x:c r="O1680" s="19" t="n">
        <x:f>IF(AND(SUM(K1680:M1680)&lt;9,OR(M1680=0,N1680&lt;6)),1,0)</x:f>
        <x:v>1</x:v>
      </x:c>
      <x:c r="P1680" s="19" t="n">
        <x:f>IF(AND(SUM(K1680:M1680)&lt;9,OR(L1680=0,N1680&lt;6)),1,0)</x:f>
        <x:v>1</x:v>
      </x:c>
      <x:c r="Q1680" s="19" t="n">
        <x:f>IF(AND(SUM(K1680:M1680)&lt;9,OR(K1680=0,N1680&lt;6)),1,0)</x:f>
        <x:v>1</x:v>
      </x:c>
      <x:c r="R1680" s="22" t="str">
        <x:f>O1680&amp;P1680&amp;Q1680</x:f>
        <x:v>111</x:v>
      </x:c>
      <x:c r="S1680" s="19" t="n">
        <x:f>IF(I1680=1,IF(J1680=0,Q1680,IF(J1680=1,P1680,IF(J1680=2,O1680,0))),0)</x:f>
        <x:v>1</x:v>
      </x:c>
      <x:c r="T1680" s="19" t="n">
        <x:f>K1680+IF(AND(S1680=1,J1680=0),1,0)</x:f>
        <x:v>2</x:v>
      </x:c>
      <x:c r="U1680" s="19" t="n">
        <x:f>L1680+IF(AND(S1680=1,J1680=1),1,0)</x:f>
        <x:v>2</x:v>
      </x:c>
      <x:c r="V1680" s="19" t="n">
        <x:f>M1680+IF(AND(S1680=1,J1680=2),1,0)</x:f>
        <x:v>5</x:v>
      </x:c>
      <x:c r="W1680" s="19" t="n">
        <x:f>SUM(T1680:V1680)</x:f>
        <x:v>9</x:v>
      </x:c>
      <x:c r="X1680" s="19" t="n">
        <x:f>W1680-G1680</x:f>
        <x:v>0</x:v>
      </x:c>
      <x:c r="Y1680" s="19" t="n">
        <x:f>MAX(T1680,1)+MAX(U1680,1)+MAX(V1680,1)</x:f>
        <x:v>9</x:v>
      </x:c>
      <x:c r="Z1680" s="21" t="str">
        <x:f>IF(AND(MIN(D1680:F1680)&gt;=0,MAX(D1680:F1680)&lt;=7,MAX(D1680,1)+MAX(E1680,1)+MAX(F1680,1)&lt;=9,OR(H1680="-",AND(H1680=0,D1680&gt;0),AND(H1680=1,E1680&gt;0),AND(H1680=2,F1680&gt;0)),OR(I1680=0,AND(I1680=1,OR(J1680=0,J1680=1,J1680=2),R1680&lt;&gt;"000")),Y1680&lt;=9,MIN(T1680:V1680)&gt;=0),"合法","输入违约")</x:f>
        <x:v>合法</x:v>
      </x:c>
    </x:row>
    <x:row r="1681" ht="23" customHeight="1">
      <x:c r="A1681" s="3" t="str">
        <x:v>CT-1674</x:v>
      </x:c>
      <x:c r="B1681" s="3" t="str">
        <x:v>ST-176</x:v>
      </x:c>
      <x:c r="C1681" s="3" t="str">
        <x:v>R+AR同收同发</x:v>
      </x:c>
      <x:c r="D1681" s="25" t="n">
        <x:v>3</x:v>
      </x:c>
      <x:c r="E1681" s="25" t="n">
        <x:v>1</x:v>
      </x:c>
      <x:c r="F1681" s="25" t="n">
        <x:v>5</x:v>
      </x:c>
      <x:c r="G1681" s="19" t="n">
        <x:f>SUM(D1681:F1681)</x:f>
        <x:v>9</x:v>
      </x:c>
      <x:c r="H1681" s="25" t="n">
        <x:v>0</x:v>
      </x:c>
      <x:c r="I1681" s="25" t="n">
        <x:v>1</x:v>
      </x:c>
      <x:c r="J1681" s="25" t="n">
        <x:v>2</x:v>
      </x:c>
      <x:c r="K1681" s="19" t="n">
        <x:f>D1681-IF(H1681=0,1,0)</x:f>
        <x:v>2</x:v>
      </x:c>
      <x:c r="L1681" s="19" t="n">
        <x:f>E1681-IF(H1681=1,1,0)</x:f>
        <x:v>1</x:v>
      </x:c>
      <x:c r="M1681" s="19" t="n">
        <x:f>F1681-IF(H1681=2,1,0)</x:f>
        <x:v>5</x:v>
      </x:c>
      <x:c r="N1681" s="19" t="n">
        <x:f>MAX(K1681-1,0)+MAX(L1681-1,0)+MAX(M1681-1,0)</x:f>
        <x:v>5</x:v>
      </x:c>
      <x:c r="O1681" s="19" t="n">
        <x:f>IF(AND(SUM(K1681:M1681)&lt;9,OR(M1681=0,N1681&lt;6)),1,0)</x:f>
        <x:v>1</x:v>
      </x:c>
      <x:c r="P1681" s="19" t="n">
        <x:f>IF(AND(SUM(K1681:M1681)&lt;9,OR(L1681=0,N1681&lt;6)),1,0)</x:f>
        <x:v>1</x:v>
      </x:c>
      <x:c r="Q1681" s="19" t="n">
        <x:f>IF(AND(SUM(K1681:M1681)&lt;9,OR(K1681=0,N1681&lt;6)),1,0)</x:f>
        <x:v>1</x:v>
      </x:c>
      <x:c r="R1681" s="22" t="str">
        <x:f>O1681&amp;P1681&amp;Q1681</x:f>
        <x:v>111</x:v>
      </x:c>
      <x:c r="S1681" s="19" t="n">
        <x:f>IF(I1681=1,IF(J1681=0,Q1681,IF(J1681=1,P1681,IF(J1681=2,O1681,0))),0)</x:f>
        <x:v>1</x:v>
      </x:c>
      <x:c r="T1681" s="19" t="n">
        <x:f>K1681+IF(AND(S1681=1,J1681=0),1,0)</x:f>
        <x:v>2</x:v>
      </x:c>
      <x:c r="U1681" s="19" t="n">
        <x:f>L1681+IF(AND(S1681=1,J1681=1),1,0)</x:f>
        <x:v>1</x:v>
      </x:c>
      <x:c r="V1681" s="19" t="n">
        <x:f>M1681+IF(AND(S1681=1,J1681=2),1,0)</x:f>
        <x:v>6</x:v>
      </x:c>
      <x:c r="W1681" s="19" t="n">
        <x:f>SUM(T1681:V1681)</x:f>
        <x:v>9</x:v>
      </x:c>
      <x:c r="X1681" s="19" t="n">
        <x:f>W1681-G1681</x:f>
        <x:v>0</x:v>
      </x:c>
      <x:c r="Y1681" s="19" t="n">
        <x:f>MAX(T1681,1)+MAX(U1681,1)+MAX(V1681,1)</x:f>
        <x:v>9</x:v>
      </x:c>
      <x:c r="Z1681" s="21" t="str">
        <x:f>IF(AND(MIN(D1681:F1681)&gt;=0,MAX(D1681:F1681)&lt;=7,MAX(D1681,1)+MAX(E1681,1)+MAX(F1681,1)&lt;=9,OR(H1681="-",AND(H1681=0,D1681&gt;0),AND(H1681=1,E1681&gt;0),AND(H1681=2,F1681&gt;0)),OR(I1681=0,AND(I1681=1,OR(J1681=0,J1681=1,J1681=2),R1681&lt;&gt;"000")),Y1681&lt;=9,MIN(T1681:V1681)&gt;=0),"合法","输入违约")</x:f>
        <x:v>合法</x:v>
      </x:c>
    </x:row>
    <x:row r="1682" ht="23" customHeight="1">
      <x:c r="A1682" s="3" t="str">
        <x:v>CT-1675</x:v>
      </x:c>
      <x:c r="B1682" s="3" t="str">
        <x:v>ST-176</x:v>
      </x:c>
      <x:c r="C1682" s="3" t="str">
        <x:v>仅R回收</x:v>
      </x:c>
      <x:c r="D1682" s="25" t="n">
        <x:v>3</x:v>
      </x:c>
      <x:c r="E1682" s="25" t="n">
        <x:v>1</x:v>
      </x:c>
      <x:c r="F1682" s="25" t="n">
        <x:v>5</x:v>
      </x:c>
      <x:c r="G1682" s="19" t="n">
        <x:f>SUM(D1682:F1682)</x:f>
        <x:v>9</x:v>
      </x:c>
      <x:c r="H1682" s="25" t="n">
        <x:v>1</x:v>
      </x:c>
      <x:c r="I1682" s="25" t="n">
        <x:v>0</x:v>
      </x:c>
      <x:c r="J1682" s="25" t="str">
        <x:v>-</x:v>
      </x:c>
      <x:c r="K1682" s="19" t="n">
        <x:f>D1682-IF(H1682=0,1,0)</x:f>
        <x:v>3</x:v>
      </x:c>
      <x:c r="L1682" s="19" t="n">
        <x:f>E1682-IF(H1682=1,1,0)</x:f>
        <x:v>0</x:v>
      </x:c>
      <x:c r="M1682" s="19" t="n">
        <x:f>F1682-IF(H1682=2,1,0)</x:f>
        <x:v>5</x:v>
      </x:c>
      <x:c r="N1682" s="19" t="n">
        <x:f>MAX(K1682-1,0)+MAX(L1682-1,0)+MAX(M1682-1,0)</x:f>
        <x:v>6</x:v>
      </x:c>
      <x:c r="O1682" s="19" t="n">
        <x:f>IF(AND(SUM(K1682:M1682)&lt;9,OR(M1682=0,N1682&lt;6)),1,0)</x:f>
        <x:v>0</x:v>
      </x:c>
      <x:c r="P1682" s="19" t="n">
        <x:f>IF(AND(SUM(K1682:M1682)&lt;9,OR(L1682=0,N1682&lt;6)),1,0)</x:f>
        <x:v>1</x:v>
      </x:c>
      <x:c r="Q1682" s="19" t="n">
        <x:f>IF(AND(SUM(K1682:M1682)&lt;9,OR(K1682=0,N1682&lt;6)),1,0)</x:f>
        <x:v>0</x:v>
      </x:c>
      <x:c r="R1682" s="22" t="str">
        <x:f>O1682&amp;P1682&amp;Q1682</x:f>
        <x:v>010</x:v>
      </x:c>
      <x:c r="S1682" s="19" t="n">
        <x:f>IF(I1682=1,IF(J1682=0,Q1682,IF(J1682=1,P1682,IF(J1682=2,O1682,0))),0)</x:f>
        <x:v>0</x:v>
      </x:c>
      <x:c r="T1682" s="19" t="n">
        <x:f>K1682+IF(AND(S1682=1,J1682=0),1,0)</x:f>
        <x:v>3</x:v>
      </x:c>
      <x:c r="U1682" s="19" t="n">
        <x:f>L1682+IF(AND(S1682=1,J1682=1),1,0)</x:f>
        <x:v>0</x:v>
      </x:c>
      <x:c r="V1682" s="19" t="n">
        <x:f>M1682+IF(AND(S1682=1,J1682=2),1,0)</x:f>
        <x:v>5</x:v>
      </x:c>
      <x:c r="W1682" s="19" t="n">
        <x:f>SUM(T1682:V1682)</x:f>
        <x:v>8</x:v>
      </x:c>
      <x:c r="X1682" s="19" t="n">
        <x:f>W1682-G1682</x:f>
        <x:v>-1</x:v>
      </x:c>
      <x:c r="Y1682" s="19" t="n">
        <x:f>MAX(T1682,1)+MAX(U1682,1)+MAX(V1682,1)</x:f>
        <x:v>9</x:v>
      </x:c>
      <x:c r="Z1682" s="21" t="str">
        <x:f>IF(AND(MIN(D1682:F1682)&gt;=0,MAX(D1682:F1682)&lt;=7,MAX(D1682,1)+MAX(E1682,1)+MAX(F1682,1)&lt;=9,OR(H1682="-",AND(H1682=0,D1682&gt;0),AND(H1682=1,E1682&gt;0),AND(H1682=2,F1682&gt;0)),OR(I1682=0,AND(I1682=1,OR(J1682=0,J1682=1,J1682=2),R1682&lt;&gt;"000")),Y1682&lt;=9,MIN(T1682:V1682)&gt;=0),"合法","输入违约")</x:f>
        <x:v>合法</x:v>
      </x:c>
    </x:row>
    <x:row r="1683" ht="23" customHeight="1">
      <x:c r="A1683" s="3" t="str">
        <x:v>CT-1676</x:v>
      </x:c>
      <x:c r="B1683" s="3" t="str">
        <x:v>ST-176</x:v>
      </x:c>
      <x:c r="C1683" s="3" t="str">
        <x:v>仅R回收</x:v>
      </x:c>
      <x:c r="D1683" s="25" t="n">
        <x:v>3</x:v>
      </x:c>
      <x:c r="E1683" s="25" t="n">
        <x:v>1</x:v>
      </x:c>
      <x:c r="F1683" s="25" t="n">
        <x:v>5</x:v>
      </x:c>
      <x:c r="G1683" s="19" t="n">
        <x:f>SUM(D1683:F1683)</x:f>
        <x:v>9</x:v>
      </x:c>
      <x:c r="H1683" s="25" t="n">
        <x:v>1</x:v>
      </x:c>
      <x:c r="I1683" s="25" t="n">
        <x:v>1</x:v>
      </x:c>
      <x:c r="J1683" s="25" t="n">
        <x:v>0</x:v>
      </x:c>
      <x:c r="K1683" s="19" t="n">
        <x:f>D1683-IF(H1683=0,1,0)</x:f>
        <x:v>3</x:v>
      </x:c>
      <x:c r="L1683" s="19" t="n">
        <x:f>E1683-IF(H1683=1,1,0)</x:f>
        <x:v>0</x:v>
      </x:c>
      <x:c r="M1683" s="19" t="n">
        <x:f>F1683-IF(H1683=2,1,0)</x:f>
        <x:v>5</x:v>
      </x:c>
      <x:c r="N1683" s="19" t="n">
        <x:f>MAX(K1683-1,0)+MAX(L1683-1,0)+MAX(M1683-1,0)</x:f>
        <x:v>6</x:v>
      </x:c>
      <x:c r="O1683" s="19" t="n">
        <x:f>IF(AND(SUM(K1683:M1683)&lt;9,OR(M1683=0,N1683&lt;6)),1,0)</x:f>
        <x:v>0</x:v>
      </x:c>
      <x:c r="P1683" s="19" t="n">
        <x:f>IF(AND(SUM(K1683:M1683)&lt;9,OR(L1683=0,N1683&lt;6)),1,0)</x:f>
        <x:v>1</x:v>
      </x:c>
      <x:c r="Q1683" s="19" t="n">
        <x:f>IF(AND(SUM(K1683:M1683)&lt;9,OR(K1683=0,N1683&lt;6)),1,0)</x:f>
        <x:v>0</x:v>
      </x:c>
      <x:c r="R1683" s="22" t="str">
        <x:f>O1683&amp;P1683&amp;Q1683</x:f>
        <x:v>010</x:v>
      </x:c>
      <x:c r="S1683" s="19" t="n">
        <x:f>IF(I1683=1,IF(J1683=0,Q1683,IF(J1683=1,P1683,IF(J1683=2,O1683,0))),0)</x:f>
        <x:v>0</x:v>
      </x:c>
      <x:c r="T1683" s="19" t="n">
        <x:f>K1683+IF(AND(S1683=1,J1683=0),1,0)</x:f>
        <x:v>3</x:v>
      </x:c>
      <x:c r="U1683" s="19" t="n">
        <x:f>L1683+IF(AND(S1683=1,J1683=1),1,0)</x:f>
        <x:v>0</x:v>
      </x:c>
      <x:c r="V1683" s="19" t="n">
        <x:f>M1683+IF(AND(S1683=1,J1683=2),1,0)</x:f>
        <x:v>5</x:v>
      </x:c>
      <x:c r="W1683" s="19" t="n">
        <x:f>SUM(T1683:V1683)</x:f>
        <x:v>8</x:v>
      </x:c>
      <x:c r="X1683" s="19" t="n">
        <x:f>W1683-G1683</x:f>
        <x:v>-1</x:v>
      </x:c>
      <x:c r="Y1683" s="19" t="n">
        <x:f>MAX(T1683,1)+MAX(U1683,1)+MAX(V1683,1)</x:f>
        <x:v>9</x:v>
      </x:c>
      <x:c r="Z1683" s="21" t="str">
        <x:f>IF(AND(MIN(D1683:F1683)&gt;=0,MAX(D1683:F1683)&lt;=7,MAX(D1683,1)+MAX(E1683,1)+MAX(F1683,1)&lt;=9,OR(H1683="-",AND(H1683=0,D1683&gt;0),AND(H1683=1,E1683&gt;0),AND(H1683=2,F1683&gt;0)),OR(I1683=0,AND(I1683=1,OR(J1683=0,J1683=1,J1683=2),R1683&lt;&gt;"000")),Y1683&lt;=9,MIN(T1683:V1683)&gt;=0),"合法","输入违约")</x:f>
        <x:v>合法</x:v>
      </x:c>
    </x:row>
    <x:row r="1684" ht="23" customHeight="1">
      <x:c r="A1684" s="3" t="str">
        <x:v>CT-1677</x:v>
      </x:c>
      <x:c r="B1684" s="3" t="str">
        <x:v>ST-176</x:v>
      </x:c>
      <x:c r="C1684" s="3" t="str">
        <x:v>R+AR同收同发</x:v>
      </x:c>
      <x:c r="D1684" s="25" t="n">
        <x:v>3</x:v>
      </x:c>
      <x:c r="E1684" s="25" t="n">
        <x:v>1</x:v>
      </x:c>
      <x:c r="F1684" s="25" t="n">
        <x:v>5</x:v>
      </x:c>
      <x:c r="G1684" s="19" t="n">
        <x:f>SUM(D1684:F1684)</x:f>
        <x:v>9</x:v>
      </x:c>
      <x:c r="H1684" s="25" t="n">
        <x:v>1</x:v>
      </x:c>
      <x:c r="I1684" s="25" t="n">
        <x:v>1</x:v>
      </x:c>
      <x:c r="J1684" s="25" t="n">
        <x:v>1</x:v>
      </x:c>
      <x:c r="K1684" s="19" t="n">
        <x:f>D1684-IF(H1684=0,1,0)</x:f>
        <x:v>3</x:v>
      </x:c>
      <x:c r="L1684" s="19" t="n">
        <x:f>E1684-IF(H1684=1,1,0)</x:f>
        <x:v>0</x:v>
      </x:c>
      <x:c r="M1684" s="19" t="n">
        <x:f>F1684-IF(H1684=2,1,0)</x:f>
        <x:v>5</x:v>
      </x:c>
      <x:c r="N1684" s="19" t="n">
        <x:f>MAX(K1684-1,0)+MAX(L1684-1,0)+MAX(M1684-1,0)</x:f>
        <x:v>6</x:v>
      </x:c>
      <x:c r="O1684" s="19" t="n">
        <x:f>IF(AND(SUM(K1684:M1684)&lt;9,OR(M1684=0,N1684&lt;6)),1,0)</x:f>
        <x:v>0</x:v>
      </x:c>
      <x:c r="P1684" s="19" t="n">
        <x:f>IF(AND(SUM(K1684:M1684)&lt;9,OR(L1684=0,N1684&lt;6)),1,0)</x:f>
        <x:v>1</x:v>
      </x:c>
      <x:c r="Q1684" s="19" t="n">
        <x:f>IF(AND(SUM(K1684:M1684)&lt;9,OR(K1684=0,N1684&lt;6)),1,0)</x:f>
        <x:v>0</x:v>
      </x:c>
      <x:c r="R1684" s="22" t="str">
        <x:f>O1684&amp;P1684&amp;Q1684</x:f>
        <x:v>010</x:v>
      </x:c>
      <x:c r="S1684" s="19" t="n">
        <x:f>IF(I1684=1,IF(J1684=0,Q1684,IF(J1684=1,P1684,IF(J1684=2,O1684,0))),0)</x:f>
        <x:v>1</x:v>
      </x:c>
      <x:c r="T1684" s="19" t="n">
        <x:f>K1684+IF(AND(S1684=1,J1684=0),1,0)</x:f>
        <x:v>3</x:v>
      </x:c>
      <x:c r="U1684" s="19" t="n">
        <x:f>L1684+IF(AND(S1684=1,J1684=1),1,0)</x:f>
        <x:v>1</x:v>
      </x:c>
      <x:c r="V1684" s="19" t="n">
        <x:f>M1684+IF(AND(S1684=1,J1684=2),1,0)</x:f>
        <x:v>5</x:v>
      </x:c>
      <x:c r="W1684" s="19" t="n">
        <x:f>SUM(T1684:V1684)</x:f>
        <x:v>9</x:v>
      </x:c>
      <x:c r="X1684" s="19" t="n">
        <x:f>W1684-G1684</x:f>
        <x:v>0</x:v>
      </x:c>
      <x:c r="Y1684" s="19" t="n">
        <x:f>MAX(T1684,1)+MAX(U1684,1)+MAX(V1684,1)</x:f>
        <x:v>9</x:v>
      </x:c>
      <x:c r="Z1684" s="21" t="str">
        <x:f>IF(AND(MIN(D1684:F1684)&gt;=0,MAX(D1684:F1684)&lt;=7,MAX(D1684,1)+MAX(E1684,1)+MAX(F1684,1)&lt;=9,OR(H1684="-",AND(H1684=0,D1684&gt;0),AND(H1684=1,E1684&gt;0),AND(H1684=2,F1684&gt;0)),OR(I1684=0,AND(I1684=1,OR(J1684=0,J1684=1,J1684=2),R1684&lt;&gt;"000")),Y1684&lt;=9,MIN(T1684:V1684)&gt;=0),"合法","输入违约")</x:f>
        <x:v>合法</x:v>
      </x:c>
    </x:row>
    <x:row r="1685" ht="23" customHeight="1">
      <x:c r="A1685" s="3" t="str">
        <x:v>CT-1678</x:v>
      </x:c>
      <x:c r="B1685" s="3" t="str">
        <x:v>ST-176</x:v>
      </x:c>
      <x:c r="C1685" s="3" t="str">
        <x:v>仅R回收</x:v>
      </x:c>
      <x:c r="D1685" s="25" t="n">
        <x:v>3</x:v>
      </x:c>
      <x:c r="E1685" s="25" t="n">
        <x:v>1</x:v>
      </x:c>
      <x:c r="F1685" s="25" t="n">
        <x:v>5</x:v>
      </x:c>
      <x:c r="G1685" s="19" t="n">
        <x:f>SUM(D1685:F1685)</x:f>
        <x:v>9</x:v>
      </x:c>
      <x:c r="H1685" s="25" t="n">
        <x:v>1</x:v>
      </x:c>
      <x:c r="I1685" s="25" t="n">
        <x:v>1</x:v>
      </x:c>
      <x:c r="J1685" s="25" t="n">
        <x:v>2</x:v>
      </x:c>
      <x:c r="K1685" s="19" t="n">
        <x:f>D1685-IF(H1685=0,1,0)</x:f>
        <x:v>3</x:v>
      </x:c>
      <x:c r="L1685" s="19" t="n">
        <x:f>E1685-IF(H1685=1,1,0)</x:f>
        <x:v>0</x:v>
      </x:c>
      <x:c r="M1685" s="19" t="n">
        <x:f>F1685-IF(H1685=2,1,0)</x:f>
        <x:v>5</x:v>
      </x:c>
      <x:c r="N1685" s="19" t="n">
        <x:f>MAX(K1685-1,0)+MAX(L1685-1,0)+MAX(M1685-1,0)</x:f>
        <x:v>6</x:v>
      </x:c>
      <x:c r="O1685" s="19" t="n">
        <x:f>IF(AND(SUM(K1685:M1685)&lt;9,OR(M1685=0,N1685&lt;6)),1,0)</x:f>
        <x:v>0</x:v>
      </x:c>
      <x:c r="P1685" s="19" t="n">
        <x:f>IF(AND(SUM(K1685:M1685)&lt;9,OR(L1685=0,N1685&lt;6)),1,0)</x:f>
        <x:v>1</x:v>
      </x:c>
      <x:c r="Q1685" s="19" t="n">
        <x:f>IF(AND(SUM(K1685:M1685)&lt;9,OR(K1685=0,N1685&lt;6)),1,0)</x:f>
        <x:v>0</x:v>
      </x:c>
      <x:c r="R1685" s="22" t="str">
        <x:f>O1685&amp;P1685&amp;Q1685</x:f>
        <x:v>010</x:v>
      </x:c>
      <x:c r="S1685" s="19" t="n">
        <x:f>IF(I1685=1,IF(J1685=0,Q1685,IF(J1685=1,P1685,IF(J1685=2,O1685,0))),0)</x:f>
        <x:v>0</x:v>
      </x:c>
      <x:c r="T1685" s="19" t="n">
        <x:f>K1685+IF(AND(S1685=1,J1685=0),1,0)</x:f>
        <x:v>3</x:v>
      </x:c>
      <x:c r="U1685" s="19" t="n">
        <x:f>L1685+IF(AND(S1685=1,J1685=1),1,0)</x:f>
        <x:v>0</x:v>
      </x:c>
      <x:c r="V1685" s="19" t="n">
        <x:f>M1685+IF(AND(S1685=1,J1685=2),1,0)</x:f>
        <x:v>5</x:v>
      </x:c>
      <x:c r="W1685" s="19" t="n">
        <x:f>SUM(T1685:V1685)</x:f>
        <x:v>8</x:v>
      </x:c>
      <x:c r="X1685" s="19" t="n">
        <x:f>W1685-G1685</x:f>
        <x:v>-1</x:v>
      </x:c>
      <x:c r="Y1685" s="19" t="n">
        <x:f>MAX(T1685,1)+MAX(U1685,1)+MAX(V1685,1)</x:f>
        <x:v>9</x:v>
      </x:c>
      <x:c r="Z1685" s="21" t="str">
        <x:f>IF(AND(MIN(D1685:F1685)&gt;=0,MAX(D1685:F1685)&lt;=7,MAX(D1685,1)+MAX(E1685,1)+MAX(F1685,1)&lt;=9,OR(H1685="-",AND(H1685=0,D1685&gt;0),AND(H1685=1,E1685&gt;0),AND(H1685=2,F1685&gt;0)),OR(I1685=0,AND(I1685=1,OR(J1685=0,J1685=1,J1685=2),R1685&lt;&gt;"000")),Y1685&lt;=9,MIN(T1685:V1685)&gt;=0),"合法","输入违约")</x:f>
        <x:v>合法</x:v>
      </x:c>
    </x:row>
    <x:row r="1686" ht="23" customHeight="1">
      <x:c r="A1686" s="3" t="str">
        <x:v>CT-1679</x:v>
      </x:c>
      <x:c r="B1686" s="3" t="str">
        <x:v>ST-176</x:v>
      </x:c>
      <x:c r="C1686" s="3" t="str">
        <x:v>仅R回收</x:v>
      </x:c>
      <x:c r="D1686" s="25" t="n">
        <x:v>3</x:v>
      </x:c>
      <x:c r="E1686" s="25" t="n">
        <x:v>1</x:v>
      </x:c>
      <x:c r="F1686" s="25" t="n">
        <x:v>5</x:v>
      </x:c>
      <x:c r="G1686" s="19" t="n">
        <x:f>SUM(D1686:F1686)</x:f>
        <x:v>9</x:v>
      </x:c>
      <x:c r="H1686" s="25" t="n">
        <x:v>2</x:v>
      </x:c>
      <x:c r="I1686" s="25" t="n">
        <x:v>0</x:v>
      </x:c>
      <x:c r="J1686" s="25" t="str">
        <x:v>-</x:v>
      </x:c>
      <x:c r="K1686" s="19" t="n">
        <x:f>D1686-IF(H1686=0,1,0)</x:f>
        <x:v>3</x:v>
      </x:c>
      <x:c r="L1686" s="19" t="n">
        <x:f>E1686-IF(H1686=1,1,0)</x:f>
        <x:v>1</x:v>
      </x:c>
      <x:c r="M1686" s="19" t="n">
        <x:f>F1686-IF(H1686=2,1,0)</x:f>
        <x:v>4</x:v>
      </x:c>
      <x:c r="N1686" s="19" t="n">
        <x:f>MAX(K1686-1,0)+MAX(L1686-1,0)+MAX(M1686-1,0)</x:f>
        <x:v>5</x:v>
      </x:c>
      <x:c r="O1686" s="19" t="n">
        <x:f>IF(AND(SUM(K1686:M1686)&lt;9,OR(M1686=0,N1686&lt;6)),1,0)</x:f>
        <x:v>1</x:v>
      </x:c>
      <x:c r="P1686" s="19" t="n">
        <x:f>IF(AND(SUM(K1686:M1686)&lt;9,OR(L1686=0,N1686&lt;6)),1,0)</x:f>
        <x:v>1</x:v>
      </x:c>
      <x:c r="Q1686" s="19" t="n">
        <x:f>IF(AND(SUM(K1686:M1686)&lt;9,OR(K1686=0,N1686&lt;6)),1,0)</x:f>
        <x:v>1</x:v>
      </x:c>
      <x:c r="R1686" s="22" t="str">
        <x:f>O1686&amp;P1686&amp;Q1686</x:f>
        <x:v>111</x:v>
      </x:c>
      <x:c r="S1686" s="19" t="n">
        <x:f>IF(I1686=1,IF(J1686=0,Q1686,IF(J1686=1,P1686,IF(J1686=2,O1686,0))),0)</x:f>
        <x:v>0</x:v>
      </x:c>
      <x:c r="T1686" s="19" t="n">
        <x:f>K1686+IF(AND(S1686=1,J1686=0),1,0)</x:f>
        <x:v>3</x:v>
      </x:c>
      <x:c r="U1686" s="19" t="n">
        <x:f>L1686+IF(AND(S1686=1,J1686=1),1,0)</x:f>
        <x:v>1</x:v>
      </x:c>
      <x:c r="V1686" s="19" t="n">
        <x:f>M1686+IF(AND(S1686=1,J1686=2),1,0)</x:f>
        <x:v>4</x:v>
      </x:c>
      <x:c r="W1686" s="19" t="n">
        <x:f>SUM(T1686:V1686)</x:f>
        <x:v>8</x:v>
      </x:c>
      <x:c r="X1686" s="19" t="n">
        <x:f>W1686-G1686</x:f>
        <x:v>-1</x:v>
      </x:c>
      <x:c r="Y1686" s="19" t="n">
        <x:f>MAX(T1686,1)+MAX(U1686,1)+MAX(V1686,1)</x:f>
        <x:v>8</x:v>
      </x:c>
      <x:c r="Z1686" s="21" t="str">
        <x:f>IF(AND(MIN(D1686:F1686)&gt;=0,MAX(D1686:F1686)&lt;=7,MAX(D1686,1)+MAX(E1686,1)+MAX(F1686,1)&lt;=9,OR(H1686="-",AND(H1686=0,D1686&gt;0),AND(H1686=1,E1686&gt;0),AND(H1686=2,F1686&gt;0)),OR(I1686=0,AND(I1686=1,OR(J1686=0,J1686=1,J1686=2),R1686&lt;&gt;"000")),Y1686&lt;=9,MIN(T1686:V1686)&gt;=0),"合法","输入违约")</x:f>
        <x:v>合法</x:v>
      </x:c>
    </x:row>
    <x:row r="1687" ht="23" customHeight="1">
      <x:c r="A1687" s="3" t="str">
        <x:v>CT-1680</x:v>
      </x:c>
      <x:c r="B1687" s="3" t="str">
        <x:v>ST-176</x:v>
      </x:c>
      <x:c r="C1687" s="3" t="str">
        <x:v>R+AR同收同发</x:v>
      </x:c>
      <x:c r="D1687" s="25" t="n">
        <x:v>3</x:v>
      </x:c>
      <x:c r="E1687" s="25" t="n">
        <x:v>1</x:v>
      </x:c>
      <x:c r="F1687" s="25" t="n">
        <x:v>5</x:v>
      </x:c>
      <x:c r="G1687" s="19" t="n">
        <x:f>SUM(D1687:F1687)</x:f>
        <x:v>9</x:v>
      </x:c>
      <x:c r="H1687" s="25" t="n">
        <x:v>2</x:v>
      </x:c>
      <x:c r="I1687" s="25" t="n">
        <x:v>1</x:v>
      </x:c>
      <x:c r="J1687" s="25" t="n">
        <x:v>0</x:v>
      </x:c>
      <x:c r="K1687" s="19" t="n">
        <x:f>D1687-IF(H1687=0,1,0)</x:f>
        <x:v>3</x:v>
      </x:c>
      <x:c r="L1687" s="19" t="n">
        <x:f>E1687-IF(H1687=1,1,0)</x:f>
        <x:v>1</x:v>
      </x:c>
      <x:c r="M1687" s="19" t="n">
        <x:f>F1687-IF(H1687=2,1,0)</x:f>
        <x:v>4</x:v>
      </x:c>
      <x:c r="N1687" s="19" t="n">
        <x:f>MAX(K1687-1,0)+MAX(L1687-1,0)+MAX(M1687-1,0)</x:f>
        <x:v>5</x:v>
      </x:c>
      <x:c r="O1687" s="19" t="n">
        <x:f>IF(AND(SUM(K1687:M1687)&lt;9,OR(M1687=0,N1687&lt;6)),1,0)</x:f>
        <x:v>1</x:v>
      </x:c>
      <x:c r="P1687" s="19" t="n">
        <x:f>IF(AND(SUM(K1687:M1687)&lt;9,OR(L1687=0,N1687&lt;6)),1,0)</x:f>
        <x:v>1</x:v>
      </x:c>
      <x:c r="Q1687" s="19" t="n">
        <x:f>IF(AND(SUM(K1687:M1687)&lt;9,OR(K1687=0,N1687&lt;6)),1,0)</x:f>
        <x:v>1</x:v>
      </x:c>
      <x:c r="R1687" s="22" t="str">
        <x:f>O1687&amp;P1687&amp;Q1687</x:f>
        <x:v>111</x:v>
      </x:c>
      <x:c r="S1687" s="19" t="n">
        <x:f>IF(I1687=1,IF(J1687=0,Q1687,IF(J1687=1,P1687,IF(J1687=2,O1687,0))),0)</x:f>
        <x:v>1</x:v>
      </x:c>
      <x:c r="T1687" s="19" t="n">
        <x:f>K1687+IF(AND(S1687=1,J1687=0),1,0)</x:f>
        <x:v>4</x:v>
      </x:c>
      <x:c r="U1687" s="19" t="n">
        <x:f>L1687+IF(AND(S1687=1,J1687=1),1,0)</x:f>
        <x:v>1</x:v>
      </x:c>
      <x:c r="V1687" s="19" t="n">
        <x:f>M1687+IF(AND(S1687=1,J1687=2),1,0)</x:f>
        <x:v>4</x:v>
      </x:c>
      <x:c r="W1687" s="19" t="n">
        <x:f>SUM(T1687:V1687)</x:f>
        <x:v>9</x:v>
      </x:c>
      <x:c r="X1687" s="19" t="n">
        <x:f>W1687-G1687</x:f>
        <x:v>0</x:v>
      </x:c>
      <x:c r="Y1687" s="19" t="n">
        <x:f>MAX(T1687,1)+MAX(U1687,1)+MAX(V1687,1)</x:f>
        <x:v>9</x:v>
      </x:c>
      <x:c r="Z1687" s="21" t="str">
        <x:f>IF(AND(MIN(D1687:F1687)&gt;=0,MAX(D1687:F1687)&lt;=7,MAX(D1687,1)+MAX(E1687,1)+MAX(F1687,1)&lt;=9,OR(H1687="-",AND(H1687=0,D1687&gt;0),AND(H1687=1,E1687&gt;0),AND(H1687=2,F1687&gt;0)),OR(I1687=0,AND(I1687=1,OR(J1687=0,J1687=1,J1687=2),R1687&lt;&gt;"000")),Y1687&lt;=9,MIN(T1687:V1687)&gt;=0),"合法","输入违约")</x:f>
        <x:v>合法</x:v>
      </x:c>
    </x:row>
    <x:row r="1688" ht="23" customHeight="1">
      <x:c r="A1688" s="3" t="str">
        <x:v>CT-1681</x:v>
      </x:c>
      <x:c r="B1688" s="3" t="str">
        <x:v>ST-176</x:v>
      </x:c>
      <x:c r="C1688" s="3" t="str">
        <x:v>R+AR同收同发</x:v>
      </x:c>
      <x:c r="D1688" s="25" t="n">
        <x:v>3</x:v>
      </x:c>
      <x:c r="E1688" s="25" t="n">
        <x:v>1</x:v>
      </x:c>
      <x:c r="F1688" s="25" t="n">
        <x:v>5</x:v>
      </x:c>
      <x:c r="G1688" s="19" t="n">
        <x:f>SUM(D1688:F1688)</x:f>
        <x:v>9</x:v>
      </x:c>
      <x:c r="H1688" s="25" t="n">
        <x:v>2</x:v>
      </x:c>
      <x:c r="I1688" s="25" t="n">
        <x:v>1</x:v>
      </x:c>
      <x:c r="J1688" s="25" t="n">
        <x:v>1</x:v>
      </x:c>
      <x:c r="K1688" s="19" t="n">
        <x:f>D1688-IF(H1688=0,1,0)</x:f>
        <x:v>3</x:v>
      </x:c>
      <x:c r="L1688" s="19" t="n">
        <x:f>E1688-IF(H1688=1,1,0)</x:f>
        <x:v>1</x:v>
      </x:c>
      <x:c r="M1688" s="19" t="n">
        <x:f>F1688-IF(H1688=2,1,0)</x:f>
        <x:v>4</x:v>
      </x:c>
      <x:c r="N1688" s="19" t="n">
        <x:f>MAX(K1688-1,0)+MAX(L1688-1,0)+MAX(M1688-1,0)</x:f>
        <x:v>5</x:v>
      </x:c>
      <x:c r="O1688" s="19" t="n">
        <x:f>IF(AND(SUM(K1688:M1688)&lt;9,OR(M1688=0,N1688&lt;6)),1,0)</x:f>
        <x:v>1</x:v>
      </x:c>
      <x:c r="P1688" s="19" t="n">
        <x:f>IF(AND(SUM(K1688:M1688)&lt;9,OR(L1688=0,N1688&lt;6)),1,0)</x:f>
        <x:v>1</x:v>
      </x:c>
      <x:c r="Q1688" s="19" t="n">
        <x:f>IF(AND(SUM(K1688:M1688)&lt;9,OR(K1688=0,N1688&lt;6)),1,0)</x:f>
        <x:v>1</x:v>
      </x:c>
      <x:c r="R1688" s="22" t="str">
        <x:f>O1688&amp;P1688&amp;Q1688</x:f>
        <x:v>111</x:v>
      </x:c>
      <x:c r="S1688" s="19" t="n">
        <x:f>IF(I1688=1,IF(J1688=0,Q1688,IF(J1688=1,P1688,IF(J1688=2,O1688,0))),0)</x:f>
        <x:v>1</x:v>
      </x:c>
      <x:c r="T1688" s="19" t="n">
        <x:f>K1688+IF(AND(S1688=1,J1688=0),1,0)</x:f>
        <x:v>3</x:v>
      </x:c>
      <x:c r="U1688" s="19" t="n">
        <x:f>L1688+IF(AND(S1688=1,J1688=1),1,0)</x:f>
        <x:v>2</x:v>
      </x:c>
      <x:c r="V1688" s="19" t="n">
        <x:f>M1688+IF(AND(S1688=1,J1688=2),1,0)</x:f>
        <x:v>4</x:v>
      </x:c>
      <x:c r="W1688" s="19" t="n">
        <x:f>SUM(T1688:V1688)</x:f>
        <x:v>9</x:v>
      </x:c>
      <x:c r="X1688" s="19" t="n">
        <x:f>W1688-G1688</x:f>
        <x:v>0</x:v>
      </x:c>
      <x:c r="Y1688" s="19" t="n">
        <x:f>MAX(T1688,1)+MAX(U1688,1)+MAX(V1688,1)</x:f>
        <x:v>9</x:v>
      </x:c>
      <x:c r="Z1688" s="21" t="str">
        <x:f>IF(AND(MIN(D1688:F1688)&gt;=0,MAX(D1688:F1688)&lt;=7,MAX(D1688,1)+MAX(E1688,1)+MAX(F1688,1)&lt;=9,OR(H1688="-",AND(H1688=0,D1688&gt;0),AND(H1688=1,E1688&gt;0),AND(H1688=2,F1688&gt;0)),OR(I1688=0,AND(I1688=1,OR(J1688=0,J1688=1,J1688=2),R1688&lt;&gt;"000")),Y1688&lt;=9,MIN(T1688:V1688)&gt;=0),"合法","输入违约")</x:f>
        <x:v>合法</x:v>
      </x:c>
    </x:row>
    <x:row r="1689" ht="23" customHeight="1">
      <x:c r="A1689" s="3" t="str">
        <x:v>CT-1682</x:v>
      </x:c>
      <x:c r="B1689" s="3" t="str">
        <x:v>ST-176</x:v>
      </x:c>
      <x:c r="C1689" s="3" t="str">
        <x:v>R+AR同收同发</x:v>
      </x:c>
      <x:c r="D1689" s="25" t="n">
        <x:v>3</x:v>
      </x:c>
      <x:c r="E1689" s="25" t="n">
        <x:v>1</x:v>
      </x:c>
      <x:c r="F1689" s="25" t="n">
        <x:v>5</x:v>
      </x:c>
      <x:c r="G1689" s="19" t="n">
        <x:f>SUM(D1689:F1689)</x:f>
        <x:v>9</x:v>
      </x:c>
      <x:c r="H1689" s="25" t="n">
        <x:v>2</x:v>
      </x:c>
      <x:c r="I1689" s="25" t="n">
        <x:v>1</x:v>
      </x:c>
      <x:c r="J1689" s="25" t="n">
        <x:v>2</x:v>
      </x:c>
      <x:c r="K1689" s="19" t="n">
        <x:f>D1689-IF(H1689=0,1,0)</x:f>
        <x:v>3</x:v>
      </x:c>
      <x:c r="L1689" s="19" t="n">
        <x:f>E1689-IF(H1689=1,1,0)</x:f>
        <x:v>1</x:v>
      </x:c>
      <x:c r="M1689" s="19" t="n">
        <x:f>F1689-IF(H1689=2,1,0)</x:f>
        <x:v>4</x:v>
      </x:c>
      <x:c r="N1689" s="19" t="n">
        <x:f>MAX(K1689-1,0)+MAX(L1689-1,0)+MAX(M1689-1,0)</x:f>
        <x:v>5</x:v>
      </x:c>
      <x:c r="O1689" s="19" t="n">
        <x:f>IF(AND(SUM(K1689:M1689)&lt;9,OR(M1689=0,N1689&lt;6)),1,0)</x:f>
        <x:v>1</x:v>
      </x:c>
      <x:c r="P1689" s="19" t="n">
        <x:f>IF(AND(SUM(K1689:M1689)&lt;9,OR(L1689=0,N1689&lt;6)),1,0)</x:f>
        <x:v>1</x:v>
      </x:c>
      <x:c r="Q1689" s="19" t="n">
        <x:f>IF(AND(SUM(K1689:M1689)&lt;9,OR(K1689=0,N1689&lt;6)),1,0)</x:f>
        <x:v>1</x:v>
      </x:c>
      <x:c r="R1689" s="22" t="str">
        <x:f>O1689&amp;P1689&amp;Q1689</x:f>
        <x:v>111</x:v>
      </x:c>
      <x:c r="S1689" s="19" t="n">
        <x:f>IF(I1689=1,IF(J1689=0,Q1689,IF(J1689=1,P1689,IF(J1689=2,O1689,0))),0)</x:f>
        <x:v>1</x:v>
      </x:c>
      <x:c r="T1689" s="19" t="n">
        <x:f>K1689+IF(AND(S1689=1,J1689=0),1,0)</x:f>
        <x:v>3</x:v>
      </x:c>
      <x:c r="U1689" s="19" t="n">
        <x:f>L1689+IF(AND(S1689=1,J1689=1),1,0)</x:f>
        <x:v>1</x:v>
      </x:c>
      <x:c r="V1689" s="19" t="n">
        <x:f>M1689+IF(AND(S1689=1,J1689=2),1,0)</x:f>
        <x:v>5</x:v>
      </x:c>
      <x:c r="W1689" s="19" t="n">
        <x:f>SUM(T1689:V1689)</x:f>
        <x:v>9</x:v>
      </x:c>
      <x:c r="X1689" s="19" t="n">
        <x:f>W1689-G1689</x:f>
        <x:v>0</x:v>
      </x:c>
      <x:c r="Y1689" s="19" t="n">
        <x:f>MAX(T1689,1)+MAX(U1689,1)+MAX(V1689,1)</x:f>
        <x:v>9</x:v>
      </x:c>
      <x:c r="Z1689" s="21" t="str">
        <x:f>IF(AND(MIN(D1689:F1689)&gt;=0,MAX(D1689:F1689)&lt;=7,MAX(D1689,1)+MAX(E1689,1)+MAX(F1689,1)&lt;=9,OR(H1689="-",AND(H1689=0,D1689&gt;0),AND(H1689=1,E1689&gt;0),AND(H1689=2,F1689&gt;0)),OR(I1689=0,AND(I1689=1,OR(J1689=0,J1689=1,J1689=2),R1689&lt;&gt;"000")),Y1689&lt;=9,MIN(T1689:V1689)&gt;=0),"合法","输入违约")</x:f>
        <x:v>合法</x:v>
      </x:c>
    </x:row>
    <x:row r="1690" ht="23" customHeight="1">
      <x:c r="A1690" s="3" t="str">
        <x:v>CT-1683</x:v>
      </x:c>
      <x:c r="B1690" s="3" t="str">
        <x:v>ST-053</x:v>
      </x:c>
      <x:c r="C1690" s="3" t="str">
        <x:v>无AR/R</x:v>
      </x:c>
      <x:c r="D1690" s="25" t="n">
        <x:v>3</x:v>
      </x:c>
      <x:c r="E1690" s="25" t="n">
        <x:v>2</x:v>
      </x:c>
      <x:c r="F1690" s="25" t="n">
        <x:v>0</x:v>
      </x:c>
      <x:c r="G1690" s="19" t="n">
        <x:f>SUM(D1690:F1690)</x:f>
        <x:v>5</x:v>
      </x:c>
      <x:c r="H1690" s="25" t="str">
        <x:v>-</x:v>
      </x:c>
      <x:c r="I1690" s="25" t="n">
        <x:v>0</x:v>
      </x:c>
      <x:c r="J1690" s="25" t="str">
        <x:v>-</x:v>
      </x:c>
      <x:c r="K1690" s="19" t="n">
        <x:f>D1690-IF(H1690=0,1,0)</x:f>
        <x:v>3</x:v>
      </x:c>
      <x:c r="L1690" s="19" t="n">
        <x:f>E1690-IF(H1690=1,1,0)</x:f>
        <x:v>2</x:v>
      </x:c>
      <x:c r="M1690" s="19" t="n">
        <x:f>F1690-IF(H1690=2,1,0)</x:f>
        <x:v>0</x:v>
      </x:c>
      <x:c r="N1690" s="19" t="n">
        <x:f>MAX(K1690-1,0)+MAX(L1690-1,0)+MAX(M1690-1,0)</x:f>
        <x:v>3</x:v>
      </x:c>
      <x:c r="O1690" s="19" t="n">
        <x:f>IF(AND(SUM(K1690:M1690)&lt;9,OR(M1690=0,N1690&lt;6)),1,0)</x:f>
        <x:v>1</x:v>
      </x:c>
      <x:c r="P1690" s="19" t="n">
        <x:f>IF(AND(SUM(K1690:M1690)&lt;9,OR(L1690=0,N1690&lt;6)),1,0)</x:f>
        <x:v>1</x:v>
      </x:c>
      <x:c r="Q1690" s="19" t="n">
        <x:f>IF(AND(SUM(K1690:M1690)&lt;9,OR(K1690=0,N1690&lt;6)),1,0)</x:f>
        <x:v>1</x:v>
      </x:c>
      <x:c r="R1690" s="22" t="str">
        <x:f>O1690&amp;P1690&amp;Q1690</x:f>
        <x:v>111</x:v>
      </x:c>
      <x:c r="S1690" s="19" t="n">
        <x:f>IF(I1690=1,IF(J1690=0,Q1690,IF(J1690=1,P1690,IF(J1690=2,O1690,0))),0)</x:f>
        <x:v>0</x:v>
      </x:c>
      <x:c r="T1690" s="19" t="n">
        <x:f>K1690+IF(AND(S1690=1,J1690=0),1,0)</x:f>
        <x:v>3</x:v>
      </x:c>
      <x:c r="U1690" s="19" t="n">
        <x:f>L1690+IF(AND(S1690=1,J1690=1),1,0)</x:f>
        <x:v>2</x:v>
      </x:c>
      <x:c r="V1690" s="19" t="n">
        <x:f>M1690+IF(AND(S1690=1,J1690=2),1,0)</x:f>
        <x:v>0</x:v>
      </x:c>
      <x:c r="W1690" s="19" t="n">
        <x:f>SUM(T1690:V1690)</x:f>
        <x:v>5</x:v>
      </x:c>
      <x:c r="X1690" s="19" t="n">
        <x:f>W1690-G1690</x:f>
        <x:v>0</x:v>
      </x:c>
      <x:c r="Y1690" s="19" t="n">
        <x:f>MAX(T1690,1)+MAX(U1690,1)+MAX(V1690,1)</x:f>
        <x:v>6</x:v>
      </x:c>
      <x:c r="Z1690" s="21" t="str">
        <x:f>IF(AND(MIN(D1690:F1690)&gt;=0,MAX(D1690:F1690)&lt;=7,MAX(D1690,1)+MAX(E1690,1)+MAX(F1690,1)&lt;=9,OR(H1690="-",AND(H1690=0,D1690&gt;0),AND(H1690=1,E1690&gt;0),AND(H1690=2,F1690&gt;0)),OR(I1690=0,AND(I1690=1,OR(J1690=0,J1690=1,J1690=2),R1690&lt;&gt;"000")),Y1690&lt;=9,MIN(T1690:V1690)&gt;=0),"合法","输入违约")</x:f>
        <x:v>合法</x:v>
      </x:c>
    </x:row>
    <x:row r="1691" ht="23" customHeight="1">
      <x:c r="A1691" s="3" t="str">
        <x:v>CT-1684</x:v>
      </x:c>
      <x:c r="B1691" s="3" t="str">
        <x:v>ST-053</x:v>
      </x:c>
      <x:c r="C1691" s="3" t="str">
        <x:v>仅AR接收</x:v>
      </x:c>
      <x:c r="D1691" s="25" t="n">
        <x:v>3</x:v>
      </x:c>
      <x:c r="E1691" s="25" t="n">
        <x:v>2</x:v>
      </x:c>
      <x:c r="F1691" s="25" t="n">
        <x:v>0</x:v>
      </x:c>
      <x:c r="G1691" s="19" t="n">
        <x:f>SUM(D1691:F1691)</x:f>
        <x:v>5</x:v>
      </x:c>
      <x:c r="H1691" s="25" t="str">
        <x:v>-</x:v>
      </x:c>
      <x:c r="I1691" s="25" t="n">
        <x:v>1</x:v>
      </x:c>
      <x:c r="J1691" s="25" t="n">
        <x:v>0</x:v>
      </x:c>
      <x:c r="K1691" s="19" t="n">
        <x:f>D1691-IF(H1691=0,1,0)</x:f>
        <x:v>3</x:v>
      </x:c>
      <x:c r="L1691" s="19" t="n">
        <x:f>E1691-IF(H1691=1,1,0)</x:f>
        <x:v>2</x:v>
      </x:c>
      <x:c r="M1691" s="19" t="n">
        <x:f>F1691-IF(H1691=2,1,0)</x:f>
        <x:v>0</x:v>
      </x:c>
      <x:c r="N1691" s="19" t="n">
        <x:f>MAX(K1691-1,0)+MAX(L1691-1,0)+MAX(M1691-1,0)</x:f>
        <x:v>3</x:v>
      </x:c>
      <x:c r="O1691" s="19" t="n">
        <x:f>IF(AND(SUM(K1691:M1691)&lt;9,OR(M1691=0,N1691&lt;6)),1,0)</x:f>
        <x:v>1</x:v>
      </x:c>
      <x:c r="P1691" s="19" t="n">
        <x:f>IF(AND(SUM(K1691:M1691)&lt;9,OR(L1691=0,N1691&lt;6)),1,0)</x:f>
        <x:v>1</x:v>
      </x:c>
      <x:c r="Q1691" s="19" t="n">
        <x:f>IF(AND(SUM(K1691:M1691)&lt;9,OR(K1691=0,N1691&lt;6)),1,0)</x:f>
        <x:v>1</x:v>
      </x:c>
      <x:c r="R1691" s="22" t="str">
        <x:f>O1691&amp;P1691&amp;Q1691</x:f>
        <x:v>111</x:v>
      </x:c>
      <x:c r="S1691" s="19" t="n">
        <x:f>IF(I1691=1,IF(J1691=0,Q1691,IF(J1691=1,P1691,IF(J1691=2,O1691,0))),0)</x:f>
        <x:v>1</x:v>
      </x:c>
      <x:c r="T1691" s="19" t="n">
        <x:f>K1691+IF(AND(S1691=1,J1691=0),1,0)</x:f>
        <x:v>4</x:v>
      </x:c>
      <x:c r="U1691" s="19" t="n">
        <x:f>L1691+IF(AND(S1691=1,J1691=1),1,0)</x:f>
        <x:v>2</x:v>
      </x:c>
      <x:c r="V1691" s="19" t="n">
        <x:f>M1691+IF(AND(S1691=1,J1691=2),1,0)</x:f>
        <x:v>0</x:v>
      </x:c>
      <x:c r="W1691" s="19" t="n">
        <x:f>SUM(T1691:V1691)</x:f>
        <x:v>6</x:v>
      </x:c>
      <x:c r="X1691" s="19" t="n">
        <x:f>W1691-G1691</x:f>
        <x:v>1</x:v>
      </x:c>
      <x:c r="Y1691" s="19" t="n">
        <x:f>MAX(T1691,1)+MAX(U1691,1)+MAX(V1691,1)</x:f>
        <x:v>7</x:v>
      </x:c>
      <x:c r="Z1691" s="21" t="str">
        <x:f>IF(AND(MIN(D1691:F1691)&gt;=0,MAX(D1691:F1691)&lt;=7,MAX(D1691,1)+MAX(E1691,1)+MAX(F1691,1)&lt;=9,OR(H1691="-",AND(H1691=0,D1691&gt;0),AND(H1691=1,E1691&gt;0),AND(H1691=2,F1691&gt;0)),OR(I1691=0,AND(I1691=1,OR(J1691=0,J1691=1,J1691=2),R1691&lt;&gt;"000")),Y1691&lt;=9,MIN(T1691:V1691)&gt;=0),"合法","输入违约")</x:f>
        <x:v>合法</x:v>
      </x:c>
    </x:row>
    <x:row r="1692" ht="23" customHeight="1">
      <x:c r="A1692" s="3" t="str">
        <x:v>CT-1685</x:v>
      </x:c>
      <x:c r="B1692" s="3" t="str">
        <x:v>ST-053</x:v>
      </x:c>
      <x:c r="C1692" s="3" t="str">
        <x:v>仅AR接收</x:v>
      </x:c>
      <x:c r="D1692" s="25" t="n">
        <x:v>3</x:v>
      </x:c>
      <x:c r="E1692" s="25" t="n">
        <x:v>2</x:v>
      </x:c>
      <x:c r="F1692" s="25" t="n">
        <x:v>0</x:v>
      </x:c>
      <x:c r="G1692" s="19" t="n">
        <x:f>SUM(D1692:F1692)</x:f>
        <x:v>5</x:v>
      </x:c>
      <x:c r="H1692" s="25" t="str">
        <x:v>-</x:v>
      </x:c>
      <x:c r="I1692" s="25" t="n">
        <x:v>1</x:v>
      </x:c>
      <x:c r="J1692" s="25" t="n">
        <x:v>1</x:v>
      </x:c>
      <x:c r="K1692" s="19" t="n">
        <x:f>D1692-IF(H1692=0,1,0)</x:f>
        <x:v>3</x:v>
      </x:c>
      <x:c r="L1692" s="19" t="n">
        <x:f>E1692-IF(H1692=1,1,0)</x:f>
        <x:v>2</x:v>
      </x:c>
      <x:c r="M1692" s="19" t="n">
        <x:f>F1692-IF(H1692=2,1,0)</x:f>
        <x:v>0</x:v>
      </x:c>
      <x:c r="N1692" s="19" t="n">
        <x:f>MAX(K1692-1,0)+MAX(L1692-1,0)+MAX(M1692-1,0)</x:f>
        <x:v>3</x:v>
      </x:c>
      <x:c r="O1692" s="19" t="n">
        <x:f>IF(AND(SUM(K1692:M1692)&lt;9,OR(M1692=0,N1692&lt;6)),1,0)</x:f>
        <x:v>1</x:v>
      </x:c>
      <x:c r="P1692" s="19" t="n">
        <x:f>IF(AND(SUM(K1692:M1692)&lt;9,OR(L1692=0,N1692&lt;6)),1,0)</x:f>
        <x:v>1</x:v>
      </x:c>
      <x:c r="Q1692" s="19" t="n">
        <x:f>IF(AND(SUM(K1692:M1692)&lt;9,OR(K1692=0,N1692&lt;6)),1,0)</x:f>
        <x:v>1</x:v>
      </x:c>
      <x:c r="R1692" s="22" t="str">
        <x:f>O1692&amp;P1692&amp;Q1692</x:f>
        <x:v>111</x:v>
      </x:c>
      <x:c r="S1692" s="19" t="n">
        <x:f>IF(I1692=1,IF(J1692=0,Q1692,IF(J1692=1,P1692,IF(J1692=2,O1692,0))),0)</x:f>
        <x:v>1</x:v>
      </x:c>
      <x:c r="T1692" s="19" t="n">
        <x:f>K1692+IF(AND(S1692=1,J1692=0),1,0)</x:f>
        <x:v>3</x:v>
      </x:c>
      <x:c r="U1692" s="19" t="n">
        <x:f>L1692+IF(AND(S1692=1,J1692=1),1,0)</x:f>
        <x:v>3</x:v>
      </x:c>
      <x:c r="V1692" s="19" t="n">
        <x:f>M1692+IF(AND(S1692=1,J1692=2),1,0)</x:f>
        <x:v>0</x:v>
      </x:c>
      <x:c r="W1692" s="19" t="n">
        <x:f>SUM(T1692:V1692)</x:f>
        <x:v>6</x:v>
      </x:c>
      <x:c r="X1692" s="19" t="n">
        <x:f>W1692-G1692</x:f>
        <x:v>1</x:v>
      </x:c>
      <x:c r="Y1692" s="19" t="n">
        <x:f>MAX(T1692,1)+MAX(U1692,1)+MAX(V1692,1)</x:f>
        <x:v>7</x:v>
      </x:c>
      <x:c r="Z1692" s="21" t="str">
        <x:f>IF(AND(MIN(D1692:F1692)&gt;=0,MAX(D1692:F1692)&lt;=7,MAX(D1692,1)+MAX(E1692,1)+MAX(F1692,1)&lt;=9,OR(H1692="-",AND(H1692=0,D1692&gt;0),AND(H1692=1,E1692&gt;0),AND(H1692=2,F1692&gt;0)),OR(I1692=0,AND(I1692=1,OR(J1692=0,J1692=1,J1692=2),R1692&lt;&gt;"000")),Y1692&lt;=9,MIN(T1692:V1692)&gt;=0),"合法","输入违约")</x:f>
        <x:v>合法</x:v>
      </x:c>
    </x:row>
    <x:row r="1693" ht="23" customHeight="1">
      <x:c r="A1693" s="3" t="str">
        <x:v>CT-1686</x:v>
      </x:c>
      <x:c r="B1693" s="3" t="str">
        <x:v>ST-053</x:v>
      </x:c>
      <x:c r="C1693" s="3" t="str">
        <x:v>仅AR接收</x:v>
      </x:c>
      <x:c r="D1693" s="25" t="n">
        <x:v>3</x:v>
      </x:c>
      <x:c r="E1693" s="25" t="n">
        <x:v>2</x:v>
      </x:c>
      <x:c r="F1693" s="25" t="n">
        <x:v>0</x:v>
      </x:c>
      <x:c r="G1693" s="19" t="n">
        <x:f>SUM(D1693:F1693)</x:f>
        <x:v>5</x:v>
      </x:c>
      <x:c r="H1693" s="25" t="str">
        <x:v>-</x:v>
      </x:c>
      <x:c r="I1693" s="25" t="n">
        <x:v>1</x:v>
      </x:c>
      <x:c r="J1693" s="25" t="n">
        <x:v>2</x:v>
      </x:c>
      <x:c r="K1693" s="19" t="n">
        <x:f>D1693-IF(H1693=0,1,0)</x:f>
        <x:v>3</x:v>
      </x:c>
      <x:c r="L1693" s="19" t="n">
        <x:f>E1693-IF(H1693=1,1,0)</x:f>
        <x:v>2</x:v>
      </x:c>
      <x:c r="M1693" s="19" t="n">
        <x:f>F1693-IF(H1693=2,1,0)</x:f>
        <x:v>0</x:v>
      </x:c>
      <x:c r="N1693" s="19" t="n">
        <x:f>MAX(K1693-1,0)+MAX(L1693-1,0)+MAX(M1693-1,0)</x:f>
        <x:v>3</x:v>
      </x:c>
      <x:c r="O1693" s="19" t="n">
        <x:f>IF(AND(SUM(K1693:M1693)&lt;9,OR(M1693=0,N1693&lt;6)),1,0)</x:f>
        <x:v>1</x:v>
      </x:c>
      <x:c r="P1693" s="19" t="n">
        <x:f>IF(AND(SUM(K1693:M1693)&lt;9,OR(L1693=0,N1693&lt;6)),1,0)</x:f>
        <x:v>1</x:v>
      </x:c>
      <x:c r="Q1693" s="19" t="n">
        <x:f>IF(AND(SUM(K1693:M1693)&lt;9,OR(K1693=0,N1693&lt;6)),1,0)</x:f>
        <x:v>1</x:v>
      </x:c>
      <x:c r="R1693" s="22" t="str">
        <x:f>O1693&amp;P1693&amp;Q1693</x:f>
        <x:v>111</x:v>
      </x:c>
      <x:c r="S1693" s="19" t="n">
        <x:f>IF(I1693=1,IF(J1693=0,Q1693,IF(J1693=1,P1693,IF(J1693=2,O1693,0))),0)</x:f>
        <x:v>1</x:v>
      </x:c>
      <x:c r="T1693" s="19" t="n">
        <x:f>K1693+IF(AND(S1693=1,J1693=0),1,0)</x:f>
        <x:v>3</x:v>
      </x:c>
      <x:c r="U1693" s="19" t="n">
        <x:f>L1693+IF(AND(S1693=1,J1693=1),1,0)</x:f>
        <x:v>2</x:v>
      </x:c>
      <x:c r="V1693" s="19" t="n">
        <x:f>M1693+IF(AND(S1693=1,J1693=2),1,0)</x:f>
        <x:v>1</x:v>
      </x:c>
      <x:c r="W1693" s="19" t="n">
        <x:f>SUM(T1693:V1693)</x:f>
        <x:v>6</x:v>
      </x:c>
      <x:c r="X1693" s="19" t="n">
        <x:f>W1693-G1693</x:f>
        <x:v>1</x:v>
      </x:c>
      <x:c r="Y1693" s="19" t="n">
        <x:f>MAX(T1693,1)+MAX(U1693,1)+MAX(V1693,1)</x:f>
        <x:v>6</x:v>
      </x:c>
      <x:c r="Z1693" s="21" t="str">
        <x:f>IF(AND(MIN(D1693:F1693)&gt;=0,MAX(D1693:F1693)&lt;=7,MAX(D1693,1)+MAX(E1693,1)+MAX(F1693,1)&lt;=9,OR(H1693="-",AND(H1693=0,D1693&gt;0),AND(H1693=1,E1693&gt;0),AND(H1693=2,F1693&gt;0)),OR(I1693=0,AND(I1693=1,OR(J1693=0,J1693=1,J1693=2),R1693&lt;&gt;"000")),Y1693&lt;=9,MIN(T1693:V1693)&gt;=0),"合法","输入违约")</x:f>
        <x:v>合法</x:v>
      </x:c>
    </x:row>
    <x:row r="1694" ht="23" customHeight="1">
      <x:c r="A1694" s="3" t="str">
        <x:v>CT-1687</x:v>
      </x:c>
      <x:c r="B1694" s="3" t="str">
        <x:v>ST-053</x:v>
      </x:c>
      <x:c r="C1694" s="3" t="str">
        <x:v>仅R回收</x:v>
      </x:c>
      <x:c r="D1694" s="25" t="n">
        <x:v>3</x:v>
      </x:c>
      <x:c r="E1694" s="25" t="n">
        <x:v>2</x:v>
      </x:c>
      <x:c r="F1694" s="25" t="n">
        <x:v>0</x:v>
      </x:c>
      <x:c r="G1694" s="19" t="n">
        <x:f>SUM(D1694:F1694)</x:f>
        <x:v>5</x:v>
      </x:c>
      <x:c r="H1694" s="25" t="n">
        <x:v>0</x:v>
      </x:c>
      <x:c r="I1694" s="25" t="n">
        <x:v>0</x:v>
      </x:c>
      <x:c r="J1694" s="25" t="str">
        <x:v>-</x:v>
      </x:c>
      <x:c r="K1694" s="19" t="n">
        <x:f>D1694-IF(H1694=0,1,0)</x:f>
        <x:v>2</x:v>
      </x:c>
      <x:c r="L1694" s="19" t="n">
        <x:f>E1694-IF(H1694=1,1,0)</x:f>
        <x:v>2</x:v>
      </x:c>
      <x:c r="M1694" s="19" t="n">
        <x:f>F1694-IF(H1694=2,1,0)</x:f>
        <x:v>0</x:v>
      </x:c>
      <x:c r="N1694" s="19" t="n">
        <x:f>MAX(K1694-1,0)+MAX(L1694-1,0)+MAX(M1694-1,0)</x:f>
        <x:v>2</x:v>
      </x:c>
      <x:c r="O1694" s="19" t="n">
        <x:f>IF(AND(SUM(K1694:M1694)&lt;9,OR(M1694=0,N1694&lt;6)),1,0)</x:f>
        <x:v>1</x:v>
      </x:c>
      <x:c r="P1694" s="19" t="n">
        <x:f>IF(AND(SUM(K1694:M1694)&lt;9,OR(L1694=0,N1694&lt;6)),1,0)</x:f>
        <x:v>1</x:v>
      </x:c>
      <x:c r="Q1694" s="19" t="n">
        <x:f>IF(AND(SUM(K1694:M1694)&lt;9,OR(K1694=0,N1694&lt;6)),1,0)</x:f>
        <x:v>1</x:v>
      </x:c>
      <x:c r="R1694" s="22" t="str">
        <x:f>O1694&amp;P1694&amp;Q1694</x:f>
        <x:v>111</x:v>
      </x:c>
      <x:c r="S1694" s="19" t="n">
        <x:f>IF(I1694=1,IF(J1694=0,Q1694,IF(J1694=1,P1694,IF(J1694=2,O1694,0))),0)</x:f>
        <x:v>0</x:v>
      </x:c>
      <x:c r="T1694" s="19" t="n">
        <x:f>K1694+IF(AND(S1694=1,J1694=0),1,0)</x:f>
        <x:v>2</x:v>
      </x:c>
      <x:c r="U1694" s="19" t="n">
        <x:f>L1694+IF(AND(S1694=1,J1694=1),1,0)</x:f>
        <x:v>2</x:v>
      </x:c>
      <x:c r="V1694" s="19" t="n">
        <x:f>M1694+IF(AND(S1694=1,J1694=2),1,0)</x:f>
        <x:v>0</x:v>
      </x:c>
      <x:c r="W1694" s="19" t="n">
        <x:f>SUM(T1694:V1694)</x:f>
        <x:v>4</x:v>
      </x:c>
      <x:c r="X1694" s="19" t="n">
        <x:f>W1694-G1694</x:f>
        <x:v>-1</x:v>
      </x:c>
      <x:c r="Y1694" s="19" t="n">
        <x:f>MAX(T1694,1)+MAX(U1694,1)+MAX(V1694,1)</x:f>
        <x:v>5</x:v>
      </x:c>
      <x:c r="Z1694" s="21" t="str">
        <x:f>IF(AND(MIN(D1694:F1694)&gt;=0,MAX(D1694:F1694)&lt;=7,MAX(D1694,1)+MAX(E1694,1)+MAX(F1694,1)&lt;=9,OR(H1694="-",AND(H1694=0,D1694&gt;0),AND(H1694=1,E1694&gt;0),AND(H1694=2,F1694&gt;0)),OR(I1694=0,AND(I1694=1,OR(J1694=0,J1694=1,J1694=2),R1694&lt;&gt;"000")),Y1694&lt;=9,MIN(T1694:V1694)&gt;=0),"合法","输入违约")</x:f>
        <x:v>合法</x:v>
      </x:c>
    </x:row>
    <x:row r="1695" ht="23" customHeight="1">
      <x:c r="A1695" s="3" t="str">
        <x:v>CT-1688</x:v>
      </x:c>
      <x:c r="B1695" s="3" t="str">
        <x:v>ST-053</x:v>
      </x:c>
      <x:c r="C1695" s="3" t="str">
        <x:v>R+AR同收同发</x:v>
      </x:c>
      <x:c r="D1695" s="25" t="n">
        <x:v>3</x:v>
      </x:c>
      <x:c r="E1695" s="25" t="n">
        <x:v>2</x:v>
      </x:c>
      <x:c r="F1695" s="25" t="n">
        <x:v>0</x:v>
      </x:c>
      <x:c r="G1695" s="19" t="n">
        <x:f>SUM(D1695:F1695)</x:f>
        <x:v>5</x:v>
      </x:c>
      <x:c r="H1695" s="25" t="n">
        <x:v>0</x:v>
      </x:c>
      <x:c r="I1695" s="25" t="n">
        <x:v>1</x:v>
      </x:c>
      <x:c r="J1695" s="25" t="n">
        <x:v>0</x:v>
      </x:c>
      <x:c r="K1695" s="19" t="n">
        <x:f>D1695-IF(H1695=0,1,0)</x:f>
        <x:v>2</x:v>
      </x:c>
      <x:c r="L1695" s="19" t="n">
        <x:f>E1695-IF(H1695=1,1,0)</x:f>
        <x:v>2</x:v>
      </x:c>
      <x:c r="M1695" s="19" t="n">
        <x:f>F1695-IF(H1695=2,1,0)</x:f>
        <x:v>0</x:v>
      </x:c>
      <x:c r="N1695" s="19" t="n">
        <x:f>MAX(K1695-1,0)+MAX(L1695-1,0)+MAX(M1695-1,0)</x:f>
        <x:v>2</x:v>
      </x:c>
      <x:c r="O1695" s="19" t="n">
        <x:f>IF(AND(SUM(K1695:M1695)&lt;9,OR(M1695=0,N1695&lt;6)),1,0)</x:f>
        <x:v>1</x:v>
      </x:c>
      <x:c r="P1695" s="19" t="n">
        <x:f>IF(AND(SUM(K1695:M1695)&lt;9,OR(L1695=0,N1695&lt;6)),1,0)</x:f>
        <x:v>1</x:v>
      </x:c>
      <x:c r="Q1695" s="19" t="n">
        <x:f>IF(AND(SUM(K1695:M1695)&lt;9,OR(K1695=0,N1695&lt;6)),1,0)</x:f>
        <x:v>1</x:v>
      </x:c>
      <x:c r="R1695" s="22" t="str">
        <x:f>O1695&amp;P1695&amp;Q1695</x:f>
        <x:v>111</x:v>
      </x:c>
      <x:c r="S1695" s="19" t="n">
        <x:f>IF(I1695=1,IF(J1695=0,Q1695,IF(J1695=1,P1695,IF(J1695=2,O1695,0))),0)</x:f>
        <x:v>1</x:v>
      </x:c>
      <x:c r="T1695" s="19" t="n">
        <x:f>K1695+IF(AND(S1695=1,J1695=0),1,0)</x:f>
        <x:v>3</x:v>
      </x:c>
      <x:c r="U1695" s="19" t="n">
        <x:f>L1695+IF(AND(S1695=1,J1695=1),1,0)</x:f>
        <x:v>2</x:v>
      </x:c>
      <x:c r="V1695" s="19" t="n">
        <x:f>M1695+IF(AND(S1695=1,J1695=2),1,0)</x:f>
        <x:v>0</x:v>
      </x:c>
      <x:c r="W1695" s="19" t="n">
        <x:f>SUM(T1695:V1695)</x:f>
        <x:v>5</x:v>
      </x:c>
      <x:c r="X1695" s="19" t="n">
        <x:f>W1695-G1695</x:f>
        <x:v>0</x:v>
      </x:c>
      <x:c r="Y1695" s="19" t="n">
        <x:f>MAX(T1695,1)+MAX(U1695,1)+MAX(V1695,1)</x:f>
        <x:v>6</x:v>
      </x:c>
      <x:c r="Z1695" s="21" t="str">
        <x:f>IF(AND(MIN(D1695:F1695)&gt;=0,MAX(D1695:F1695)&lt;=7,MAX(D1695,1)+MAX(E1695,1)+MAX(F1695,1)&lt;=9,OR(H1695="-",AND(H1695=0,D1695&gt;0),AND(H1695=1,E1695&gt;0),AND(H1695=2,F1695&gt;0)),OR(I1695=0,AND(I1695=1,OR(J1695=0,J1695=1,J1695=2),R1695&lt;&gt;"000")),Y1695&lt;=9,MIN(T1695:V1695)&gt;=0),"合法","输入违约")</x:f>
        <x:v>合法</x:v>
      </x:c>
    </x:row>
    <x:row r="1696" ht="23" customHeight="1">
      <x:c r="A1696" s="3" t="str">
        <x:v>CT-1689</x:v>
      </x:c>
      <x:c r="B1696" s="3" t="str">
        <x:v>ST-053</x:v>
      </x:c>
      <x:c r="C1696" s="3" t="str">
        <x:v>R+AR同收同发</x:v>
      </x:c>
      <x:c r="D1696" s="25" t="n">
        <x:v>3</x:v>
      </x:c>
      <x:c r="E1696" s="25" t="n">
        <x:v>2</x:v>
      </x:c>
      <x:c r="F1696" s="25" t="n">
        <x:v>0</x:v>
      </x:c>
      <x:c r="G1696" s="19" t="n">
        <x:f>SUM(D1696:F1696)</x:f>
        <x:v>5</x:v>
      </x:c>
      <x:c r="H1696" s="25" t="n">
        <x:v>0</x:v>
      </x:c>
      <x:c r="I1696" s="25" t="n">
        <x:v>1</x:v>
      </x:c>
      <x:c r="J1696" s="25" t="n">
        <x:v>1</x:v>
      </x:c>
      <x:c r="K1696" s="19" t="n">
        <x:f>D1696-IF(H1696=0,1,0)</x:f>
        <x:v>2</x:v>
      </x:c>
      <x:c r="L1696" s="19" t="n">
        <x:f>E1696-IF(H1696=1,1,0)</x:f>
        <x:v>2</x:v>
      </x:c>
      <x:c r="M1696" s="19" t="n">
        <x:f>F1696-IF(H1696=2,1,0)</x:f>
        <x:v>0</x:v>
      </x:c>
      <x:c r="N1696" s="19" t="n">
        <x:f>MAX(K1696-1,0)+MAX(L1696-1,0)+MAX(M1696-1,0)</x:f>
        <x:v>2</x:v>
      </x:c>
      <x:c r="O1696" s="19" t="n">
        <x:f>IF(AND(SUM(K1696:M1696)&lt;9,OR(M1696=0,N1696&lt;6)),1,0)</x:f>
        <x:v>1</x:v>
      </x:c>
      <x:c r="P1696" s="19" t="n">
        <x:f>IF(AND(SUM(K1696:M1696)&lt;9,OR(L1696=0,N1696&lt;6)),1,0)</x:f>
        <x:v>1</x:v>
      </x:c>
      <x:c r="Q1696" s="19" t="n">
        <x:f>IF(AND(SUM(K1696:M1696)&lt;9,OR(K1696=0,N1696&lt;6)),1,0)</x:f>
        <x:v>1</x:v>
      </x:c>
      <x:c r="R1696" s="22" t="str">
        <x:f>O1696&amp;P1696&amp;Q1696</x:f>
        <x:v>111</x:v>
      </x:c>
      <x:c r="S1696" s="19" t="n">
        <x:f>IF(I1696=1,IF(J1696=0,Q1696,IF(J1696=1,P1696,IF(J1696=2,O1696,0))),0)</x:f>
        <x:v>1</x:v>
      </x:c>
      <x:c r="T1696" s="19" t="n">
        <x:f>K1696+IF(AND(S1696=1,J1696=0),1,0)</x:f>
        <x:v>2</x:v>
      </x:c>
      <x:c r="U1696" s="19" t="n">
        <x:f>L1696+IF(AND(S1696=1,J1696=1),1,0)</x:f>
        <x:v>3</x:v>
      </x:c>
      <x:c r="V1696" s="19" t="n">
        <x:f>M1696+IF(AND(S1696=1,J1696=2),1,0)</x:f>
        <x:v>0</x:v>
      </x:c>
      <x:c r="W1696" s="19" t="n">
        <x:f>SUM(T1696:V1696)</x:f>
        <x:v>5</x:v>
      </x:c>
      <x:c r="X1696" s="19" t="n">
        <x:f>W1696-G1696</x:f>
        <x:v>0</x:v>
      </x:c>
      <x:c r="Y1696" s="19" t="n">
        <x:f>MAX(T1696,1)+MAX(U1696,1)+MAX(V1696,1)</x:f>
        <x:v>6</x:v>
      </x:c>
      <x:c r="Z1696" s="21" t="str">
        <x:f>IF(AND(MIN(D1696:F1696)&gt;=0,MAX(D1696:F1696)&lt;=7,MAX(D1696,1)+MAX(E1696,1)+MAX(F1696,1)&lt;=9,OR(H1696="-",AND(H1696=0,D1696&gt;0),AND(H1696=1,E1696&gt;0),AND(H1696=2,F1696&gt;0)),OR(I1696=0,AND(I1696=1,OR(J1696=0,J1696=1,J1696=2),R1696&lt;&gt;"000")),Y1696&lt;=9,MIN(T1696:V1696)&gt;=0),"合法","输入违约")</x:f>
        <x:v>合法</x:v>
      </x:c>
    </x:row>
    <x:row r="1697" ht="23" customHeight="1">
      <x:c r="A1697" s="3" t="str">
        <x:v>CT-1690</x:v>
      </x:c>
      <x:c r="B1697" s="3" t="str">
        <x:v>ST-053</x:v>
      </x:c>
      <x:c r="C1697" s="3" t="str">
        <x:v>R+AR同收同发</x:v>
      </x:c>
      <x:c r="D1697" s="25" t="n">
        <x:v>3</x:v>
      </x:c>
      <x:c r="E1697" s="25" t="n">
        <x:v>2</x:v>
      </x:c>
      <x:c r="F1697" s="25" t="n">
        <x:v>0</x:v>
      </x:c>
      <x:c r="G1697" s="19" t="n">
        <x:f>SUM(D1697:F1697)</x:f>
        <x:v>5</x:v>
      </x:c>
      <x:c r="H1697" s="25" t="n">
        <x:v>0</x:v>
      </x:c>
      <x:c r="I1697" s="25" t="n">
        <x:v>1</x:v>
      </x:c>
      <x:c r="J1697" s="25" t="n">
        <x:v>2</x:v>
      </x:c>
      <x:c r="K1697" s="19" t="n">
        <x:f>D1697-IF(H1697=0,1,0)</x:f>
        <x:v>2</x:v>
      </x:c>
      <x:c r="L1697" s="19" t="n">
        <x:f>E1697-IF(H1697=1,1,0)</x:f>
        <x:v>2</x:v>
      </x:c>
      <x:c r="M1697" s="19" t="n">
        <x:f>F1697-IF(H1697=2,1,0)</x:f>
        <x:v>0</x:v>
      </x:c>
      <x:c r="N1697" s="19" t="n">
        <x:f>MAX(K1697-1,0)+MAX(L1697-1,0)+MAX(M1697-1,0)</x:f>
        <x:v>2</x:v>
      </x:c>
      <x:c r="O1697" s="19" t="n">
        <x:f>IF(AND(SUM(K1697:M1697)&lt;9,OR(M1697=0,N1697&lt;6)),1,0)</x:f>
        <x:v>1</x:v>
      </x:c>
      <x:c r="P1697" s="19" t="n">
        <x:f>IF(AND(SUM(K1697:M1697)&lt;9,OR(L1697=0,N1697&lt;6)),1,0)</x:f>
        <x:v>1</x:v>
      </x:c>
      <x:c r="Q1697" s="19" t="n">
        <x:f>IF(AND(SUM(K1697:M1697)&lt;9,OR(K1697=0,N1697&lt;6)),1,0)</x:f>
        <x:v>1</x:v>
      </x:c>
      <x:c r="R1697" s="22" t="str">
        <x:f>O1697&amp;P1697&amp;Q1697</x:f>
        <x:v>111</x:v>
      </x:c>
      <x:c r="S1697" s="19" t="n">
        <x:f>IF(I1697=1,IF(J1697=0,Q1697,IF(J1697=1,P1697,IF(J1697=2,O1697,0))),0)</x:f>
        <x:v>1</x:v>
      </x:c>
      <x:c r="T1697" s="19" t="n">
        <x:f>K1697+IF(AND(S1697=1,J1697=0),1,0)</x:f>
        <x:v>2</x:v>
      </x:c>
      <x:c r="U1697" s="19" t="n">
        <x:f>L1697+IF(AND(S1697=1,J1697=1),1,0)</x:f>
        <x:v>2</x:v>
      </x:c>
      <x:c r="V1697" s="19" t="n">
        <x:f>M1697+IF(AND(S1697=1,J1697=2),1,0)</x:f>
        <x:v>1</x:v>
      </x:c>
      <x:c r="W1697" s="19" t="n">
        <x:f>SUM(T1697:V1697)</x:f>
        <x:v>5</x:v>
      </x:c>
      <x:c r="X1697" s="19" t="n">
        <x:f>W1697-G1697</x:f>
        <x:v>0</x:v>
      </x:c>
      <x:c r="Y1697" s="19" t="n">
        <x:f>MAX(T1697,1)+MAX(U1697,1)+MAX(V1697,1)</x:f>
        <x:v>5</x:v>
      </x:c>
      <x:c r="Z1697" s="21" t="str">
        <x:f>IF(AND(MIN(D1697:F1697)&gt;=0,MAX(D1697:F1697)&lt;=7,MAX(D1697,1)+MAX(E1697,1)+MAX(F1697,1)&lt;=9,OR(H1697="-",AND(H1697=0,D1697&gt;0),AND(H1697=1,E1697&gt;0),AND(H1697=2,F1697&gt;0)),OR(I1697=0,AND(I1697=1,OR(J1697=0,J1697=1,J1697=2),R1697&lt;&gt;"000")),Y1697&lt;=9,MIN(T1697:V1697)&gt;=0),"合法","输入违约")</x:f>
        <x:v>合法</x:v>
      </x:c>
    </x:row>
    <x:row r="1698" ht="23" customHeight="1">
      <x:c r="A1698" s="3" t="str">
        <x:v>CT-1691</x:v>
      </x:c>
      <x:c r="B1698" s="3" t="str">
        <x:v>ST-053</x:v>
      </x:c>
      <x:c r="C1698" s="3" t="str">
        <x:v>仅R回收</x:v>
      </x:c>
      <x:c r="D1698" s="25" t="n">
        <x:v>3</x:v>
      </x:c>
      <x:c r="E1698" s="25" t="n">
        <x:v>2</x:v>
      </x:c>
      <x:c r="F1698" s="25" t="n">
        <x:v>0</x:v>
      </x:c>
      <x:c r="G1698" s="19" t="n">
        <x:f>SUM(D1698:F1698)</x:f>
        <x:v>5</x:v>
      </x:c>
      <x:c r="H1698" s="25" t="n">
        <x:v>1</x:v>
      </x:c>
      <x:c r="I1698" s="25" t="n">
        <x:v>0</x:v>
      </x:c>
      <x:c r="J1698" s="25" t="str">
        <x:v>-</x:v>
      </x:c>
      <x:c r="K1698" s="19" t="n">
        <x:f>D1698-IF(H1698=0,1,0)</x:f>
        <x:v>3</x:v>
      </x:c>
      <x:c r="L1698" s="19" t="n">
        <x:f>E1698-IF(H1698=1,1,0)</x:f>
        <x:v>1</x:v>
      </x:c>
      <x:c r="M1698" s="19" t="n">
        <x:f>F1698-IF(H1698=2,1,0)</x:f>
        <x:v>0</x:v>
      </x:c>
      <x:c r="N1698" s="19" t="n">
        <x:f>MAX(K1698-1,0)+MAX(L1698-1,0)+MAX(M1698-1,0)</x:f>
        <x:v>2</x:v>
      </x:c>
      <x:c r="O1698" s="19" t="n">
        <x:f>IF(AND(SUM(K1698:M1698)&lt;9,OR(M1698=0,N1698&lt;6)),1,0)</x:f>
        <x:v>1</x:v>
      </x:c>
      <x:c r="P1698" s="19" t="n">
        <x:f>IF(AND(SUM(K1698:M1698)&lt;9,OR(L1698=0,N1698&lt;6)),1,0)</x:f>
        <x:v>1</x:v>
      </x:c>
      <x:c r="Q1698" s="19" t="n">
        <x:f>IF(AND(SUM(K1698:M1698)&lt;9,OR(K1698=0,N1698&lt;6)),1,0)</x:f>
        <x:v>1</x:v>
      </x:c>
      <x:c r="R1698" s="22" t="str">
        <x:f>O1698&amp;P1698&amp;Q1698</x:f>
        <x:v>111</x:v>
      </x:c>
      <x:c r="S1698" s="19" t="n">
        <x:f>IF(I1698=1,IF(J1698=0,Q1698,IF(J1698=1,P1698,IF(J1698=2,O1698,0))),0)</x:f>
        <x:v>0</x:v>
      </x:c>
      <x:c r="T1698" s="19" t="n">
        <x:f>K1698+IF(AND(S1698=1,J1698=0),1,0)</x:f>
        <x:v>3</x:v>
      </x:c>
      <x:c r="U1698" s="19" t="n">
        <x:f>L1698+IF(AND(S1698=1,J1698=1),1,0)</x:f>
        <x:v>1</x:v>
      </x:c>
      <x:c r="V1698" s="19" t="n">
        <x:f>M1698+IF(AND(S1698=1,J1698=2),1,0)</x:f>
        <x:v>0</x:v>
      </x:c>
      <x:c r="W1698" s="19" t="n">
        <x:f>SUM(T1698:V1698)</x:f>
        <x:v>4</x:v>
      </x:c>
      <x:c r="X1698" s="19" t="n">
        <x:f>W1698-G1698</x:f>
        <x:v>-1</x:v>
      </x:c>
      <x:c r="Y1698" s="19" t="n">
        <x:f>MAX(T1698,1)+MAX(U1698,1)+MAX(V1698,1)</x:f>
        <x:v>5</x:v>
      </x:c>
      <x:c r="Z1698" s="21" t="str">
        <x:f>IF(AND(MIN(D1698:F1698)&gt;=0,MAX(D1698:F1698)&lt;=7,MAX(D1698,1)+MAX(E1698,1)+MAX(F1698,1)&lt;=9,OR(H1698="-",AND(H1698=0,D1698&gt;0),AND(H1698=1,E1698&gt;0),AND(H1698=2,F1698&gt;0)),OR(I1698=0,AND(I1698=1,OR(J1698=0,J1698=1,J1698=2),R1698&lt;&gt;"000")),Y1698&lt;=9,MIN(T1698:V1698)&gt;=0),"合法","输入违约")</x:f>
        <x:v>合法</x:v>
      </x:c>
    </x:row>
    <x:row r="1699" ht="23" customHeight="1">
      <x:c r="A1699" s="3" t="str">
        <x:v>CT-1692</x:v>
      </x:c>
      <x:c r="B1699" s="3" t="str">
        <x:v>ST-053</x:v>
      </x:c>
      <x:c r="C1699" s="3" t="str">
        <x:v>R+AR同收同发</x:v>
      </x:c>
      <x:c r="D1699" s="25" t="n">
        <x:v>3</x:v>
      </x:c>
      <x:c r="E1699" s="25" t="n">
        <x:v>2</x:v>
      </x:c>
      <x:c r="F1699" s="25" t="n">
        <x:v>0</x:v>
      </x:c>
      <x:c r="G1699" s="19" t="n">
        <x:f>SUM(D1699:F1699)</x:f>
        <x:v>5</x:v>
      </x:c>
      <x:c r="H1699" s="25" t="n">
        <x:v>1</x:v>
      </x:c>
      <x:c r="I1699" s="25" t="n">
        <x:v>1</x:v>
      </x:c>
      <x:c r="J1699" s="25" t="n">
        <x:v>0</x:v>
      </x:c>
      <x:c r="K1699" s="19" t="n">
        <x:f>D1699-IF(H1699=0,1,0)</x:f>
        <x:v>3</x:v>
      </x:c>
      <x:c r="L1699" s="19" t="n">
        <x:f>E1699-IF(H1699=1,1,0)</x:f>
        <x:v>1</x:v>
      </x:c>
      <x:c r="M1699" s="19" t="n">
        <x:f>F1699-IF(H1699=2,1,0)</x:f>
        <x:v>0</x:v>
      </x:c>
      <x:c r="N1699" s="19" t="n">
        <x:f>MAX(K1699-1,0)+MAX(L1699-1,0)+MAX(M1699-1,0)</x:f>
        <x:v>2</x:v>
      </x:c>
      <x:c r="O1699" s="19" t="n">
        <x:f>IF(AND(SUM(K1699:M1699)&lt;9,OR(M1699=0,N1699&lt;6)),1,0)</x:f>
        <x:v>1</x:v>
      </x:c>
      <x:c r="P1699" s="19" t="n">
        <x:f>IF(AND(SUM(K1699:M1699)&lt;9,OR(L1699=0,N1699&lt;6)),1,0)</x:f>
        <x:v>1</x:v>
      </x:c>
      <x:c r="Q1699" s="19" t="n">
        <x:f>IF(AND(SUM(K1699:M1699)&lt;9,OR(K1699=0,N1699&lt;6)),1,0)</x:f>
        <x:v>1</x:v>
      </x:c>
      <x:c r="R1699" s="22" t="str">
        <x:f>O1699&amp;P1699&amp;Q1699</x:f>
        <x:v>111</x:v>
      </x:c>
      <x:c r="S1699" s="19" t="n">
        <x:f>IF(I1699=1,IF(J1699=0,Q1699,IF(J1699=1,P1699,IF(J1699=2,O1699,0))),0)</x:f>
        <x:v>1</x:v>
      </x:c>
      <x:c r="T1699" s="19" t="n">
        <x:f>K1699+IF(AND(S1699=1,J1699=0),1,0)</x:f>
        <x:v>4</x:v>
      </x:c>
      <x:c r="U1699" s="19" t="n">
        <x:f>L1699+IF(AND(S1699=1,J1699=1),1,0)</x:f>
        <x:v>1</x:v>
      </x:c>
      <x:c r="V1699" s="19" t="n">
        <x:f>M1699+IF(AND(S1699=1,J1699=2),1,0)</x:f>
        <x:v>0</x:v>
      </x:c>
      <x:c r="W1699" s="19" t="n">
        <x:f>SUM(T1699:V1699)</x:f>
        <x:v>5</x:v>
      </x:c>
      <x:c r="X1699" s="19" t="n">
        <x:f>W1699-G1699</x:f>
        <x:v>0</x:v>
      </x:c>
      <x:c r="Y1699" s="19" t="n">
        <x:f>MAX(T1699,1)+MAX(U1699,1)+MAX(V1699,1)</x:f>
        <x:v>6</x:v>
      </x:c>
      <x:c r="Z1699" s="21" t="str">
        <x:f>IF(AND(MIN(D1699:F1699)&gt;=0,MAX(D1699:F1699)&lt;=7,MAX(D1699,1)+MAX(E1699,1)+MAX(F1699,1)&lt;=9,OR(H1699="-",AND(H1699=0,D1699&gt;0),AND(H1699=1,E1699&gt;0),AND(H1699=2,F1699&gt;0)),OR(I1699=0,AND(I1699=1,OR(J1699=0,J1699=1,J1699=2),R1699&lt;&gt;"000")),Y1699&lt;=9,MIN(T1699:V1699)&gt;=0),"合法","输入违约")</x:f>
        <x:v>合法</x:v>
      </x:c>
    </x:row>
    <x:row r="1700" ht="23" customHeight="1">
      <x:c r="A1700" s="3" t="str">
        <x:v>CT-1693</x:v>
      </x:c>
      <x:c r="B1700" s="3" t="str">
        <x:v>ST-053</x:v>
      </x:c>
      <x:c r="C1700" s="3" t="str">
        <x:v>R+AR同收同发</x:v>
      </x:c>
      <x:c r="D1700" s="25" t="n">
        <x:v>3</x:v>
      </x:c>
      <x:c r="E1700" s="25" t="n">
        <x:v>2</x:v>
      </x:c>
      <x:c r="F1700" s="25" t="n">
        <x:v>0</x:v>
      </x:c>
      <x:c r="G1700" s="19" t="n">
        <x:f>SUM(D1700:F1700)</x:f>
        <x:v>5</x:v>
      </x:c>
      <x:c r="H1700" s="25" t="n">
        <x:v>1</x:v>
      </x:c>
      <x:c r="I1700" s="25" t="n">
        <x:v>1</x:v>
      </x:c>
      <x:c r="J1700" s="25" t="n">
        <x:v>1</x:v>
      </x:c>
      <x:c r="K1700" s="19" t="n">
        <x:f>D1700-IF(H1700=0,1,0)</x:f>
        <x:v>3</x:v>
      </x:c>
      <x:c r="L1700" s="19" t="n">
        <x:f>E1700-IF(H1700=1,1,0)</x:f>
        <x:v>1</x:v>
      </x:c>
      <x:c r="M1700" s="19" t="n">
        <x:f>F1700-IF(H1700=2,1,0)</x:f>
        <x:v>0</x:v>
      </x:c>
      <x:c r="N1700" s="19" t="n">
        <x:f>MAX(K1700-1,0)+MAX(L1700-1,0)+MAX(M1700-1,0)</x:f>
        <x:v>2</x:v>
      </x:c>
      <x:c r="O1700" s="19" t="n">
        <x:f>IF(AND(SUM(K1700:M1700)&lt;9,OR(M1700=0,N1700&lt;6)),1,0)</x:f>
        <x:v>1</x:v>
      </x:c>
      <x:c r="P1700" s="19" t="n">
        <x:f>IF(AND(SUM(K1700:M1700)&lt;9,OR(L1700=0,N1700&lt;6)),1,0)</x:f>
        <x:v>1</x:v>
      </x:c>
      <x:c r="Q1700" s="19" t="n">
        <x:f>IF(AND(SUM(K1700:M1700)&lt;9,OR(K1700=0,N1700&lt;6)),1,0)</x:f>
        <x:v>1</x:v>
      </x:c>
      <x:c r="R1700" s="22" t="str">
        <x:f>O1700&amp;P1700&amp;Q1700</x:f>
        <x:v>111</x:v>
      </x:c>
      <x:c r="S1700" s="19" t="n">
        <x:f>IF(I1700=1,IF(J1700=0,Q1700,IF(J1700=1,P1700,IF(J1700=2,O1700,0))),0)</x:f>
        <x:v>1</x:v>
      </x:c>
      <x:c r="T1700" s="19" t="n">
        <x:f>K1700+IF(AND(S1700=1,J1700=0),1,0)</x:f>
        <x:v>3</x:v>
      </x:c>
      <x:c r="U1700" s="19" t="n">
        <x:f>L1700+IF(AND(S1700=1,J1700=1),1,0)</x:f>
        <x:v>2</x:v>
      </x:c>
      <x:c r="V1700" s="19" t="n">
        <x:f>M1700+IF(AND(S1700=1,J1700=2),1,0)</x:f>
        <x:v>0</x:v>
      </x:c>
      <x:c r="W1700" s="19" t="n">
        <x:f>SUM(T1700:V1700)</x:f>
        <x:v>5</x:v>
      </x:c>
      <x:c r="X1700" s="19" t="n">
        <x:f>W1700-G1700</x:f>
        <x:v>0</x:v>
      </x:c>
      <x:c r="Y1700" s="19" t="n">
        <x:f>MAX(T1700,1)+MAX(U1700,1)+MAX(V1700,1)</x:f>
        <x:v>6</x:v>
      </x:c>
      <x:c r="Z1700" s="21" t="str">
        <x:f>IF(AND(MIN(D1700:F1700)&gt;=0,MAX(D1700:F1700)&lt;=7,MAX(D1700,1)+MAX(E1700,1)+MAX(F1700,1)&lt;=9,OR(H1700="-",AND(H1700=0,D1700&gt;0),AND(H1700=1,E1700&gt;0),AND(H1700=2,F1700&gt;0)),OR(I1700=0,AND(I1700=1,OR(J1700=0,J1700=1,J1700=2),R1700&lt;&gt;"000")),Y1700&lt;=9,MIN(T1700:V1700)&gt;=0),"合法","输入违约")</x:f>
        <x:v>合法</x:v>
      </x:c>
    </x:row>
    <x:row r="1701" ht="23" customHeight="1">
      <x:c r="A1701" s="3" t="str">
        <x:v>CT-1694</x:v>
      </x:c>
      <x:c r="B1701" s="3" t="str">
        <x:v>ST-053</x:v>
      </x:c>
      <x:c r="C1701" s="3" t="str">
        <x:v>R+AR同收同发</x:v>
      </x:c>
      <x:c r="D1701" s="25" t="n">
        <x:v>3</x:v>
      </x:c>
      <x:c r="E1701" s="25" t="n">
        <x:v>2</x:v>
      </x:c>
      <x:c r="F1701" s="25" t="n">
        <x:v>0</x:v>
      </x:c>
      <x:c r="G1701" s="19" t="n">
        <x:f>SUM(D1701:F1701)</x:f>
        <x:v>5</x:v>
      </x:c>
      <x:c r="H1701" s="25" t="n">
        <x:v>1</x:v>
      </x:c>
      <x:c r="I1701" s="25" t="n">
        <x:v>1</x:v>
      </x:c>
      <x:c r="J1701" s="25" t="n">
        <x:v>2</x:v>
      </x:c>
      <x:c r="K1701" s="19" t="n">
        <x:f>D1701-IF(H1701=0,1,0)</x:f>
        <x:v>3</x:v>
      </x:c>
      <x:c r="L1701" s="19" t="n">
        <x:f>E1701-IF(H1701=1,1,0)</x:f>
        <x:v>1</x:v>
      </x:c>
      <x:c r="M1701" s="19" t="n">
        <x:f>F1701-IF(H1701=2,1,0)</x:f>
        <x:v>0</x:v>
      </x:c>
      <x:c r="N1701" s="19" t="n">
        <x:f>MAX(K1701-1,0)+MAX(L1701-1,0)+MAX(M1701-1,0)</x:f>
        <x:v>2</x:v>
      </x:c>
      <x:c r="O1701" s="19" t="n">
        <x:f>IF(AND(SUM(K1701:M1701)&lt;9,OR(M1701=0,N1701&lt;6)),1,0)</x:f>
        <x:v>1</x:v>
      </x:c>
      <x:c r="P1701" s="19" t="n">
        <x:f>IF(AND(SUM(K1701:M1701)&lt;9,OR(L1701=0,N1701&lt;6)),1,0)</x:f>
        <x:v>1</x:v>
      </x:c>
      <x:c r="Q1701" s="19" t="n">
        <x:f>IF(AND(SUM(K1701:M1701)&lt;9,OR(K1701=0,N1701&lt;6)),1,0)</x:f>
        <x:v>1</x:v>
      </x:c>
      <x:c r="R1701" s="22" t="str">
        <x:f>O1701&amp;P1701&amp;Q1701</x:f>
        <x:v>111</x:v>
      </x:c>
      <x:c r="S1701" s="19" t="n">
        <x:f>IF(I1701=1,IF(J1701=0,Q1701,IF(J1701=1,P1701,IF(J1701=2,O1701,0))),0)</x:f>
        <x:v>1</x:v>
      </x:c>
      <x:c r="T1701" s="19" t="n">
        <x:f>K1701+IF(AND(S1701=1,J1701=0),1,0)</x:f>
        <x:v>3</x:v>
      </x:c>
      <x:c r="U1701" s="19" t="n">
        <x:f>L1701+IF(AND(S1701=1,J1701=1),1,0)</x:f>
        <x:v>1</x:v>
      </x:c>
      <x:c r="V1701" s="19" t="n">
        <x:f>M1701+IF(AND(S1701=1,J1701=2),1,0)</x:f>
        <x:v>1</x:v>
      </x:c>
      <x:c r="W1701" s="19" t="n">
        <x:f>SUM(T1701:V1701)</x:f>
        <x:v>5</x:v>
      </x:c>
      <x:c r="X1701" s="19" t="n">
        <x:f>W1701-G1701</x:f>
        <x:v>0</x:v>
      </x:c>
      <x:c r="Y1701" s="19" t="n">
        <x:f>MAX(T1701,1)+MAX(U1701,1)+MAX(V1701,1)</x:f>
        <x:v>5</x:v>
      </x:c>
      <x:c r="Z1701" s="21" t="str">
        <x:f>IF(AND(MIN(D1701:F1701)&gt;=0,MAX(D1701:F1701)&lt;=7,MAX(D1701,1)+MAX(E1701,1)+MAX(F1701,1)&lt;=9,OR(H1701="-",AND(H1701=0,D1701&gt;0),AND(H1701=1,E1701&gt;0),AND(H1701=2,F1701&gt;0)),OR(I1701=0,AND(I1701=1,OR(J1701=0,J1701=1,J1701=2),R1701&lt;&gt;"000")),Y1701&lt;=9,MIN(T1701:V1701)&gt;=0),"合法","输入违约")</x:f>
        <x:v>合法</x:v>
      </x:c>
    </x:row>
    <x:row r="1702" ht="23" customHeight="1">
      <x:c r="A1702" s="3" t="str">
        <x:v>CT-1695</x:v>
      </x:c>
      <x:c r="B1702" s="3" t="str">
        <x:v>ST-077</x:v>
      </x:c>
      <x:c r="C1702" s="3" t="str">
        <x:v>无AR/R</x:v>
      </x:c>
      <x:c r="D1702" s="25" t="n">
        <x:v>3</x:v>
      </x:c>
      <x:c r="E1702" s="25" t="n">
        <x:v>2</x:v>
      </x:c>
      <x:c r="F1702" s="25" t="n">
        <x:v>1</x:v>
      </x:c>
      <x:c r="G1702" s="19" t="n">
        <x:f>SUM(D1702:F1702)</x:f>
        <x:v>6</x:v>
      </x:c>
      <x:c r="H1702" s="25" t="str">
        <x:v>-</x:v>
      </x:c>
      <x:c r="I1702" s="25" t="n">
        <x:v>0</x:v>
      </x:c>
      <x:c r="J1702" s="25" t="str">
        <x:v>-</x:v>
      </x:c>
      <x:c r="K1702" s="19" t="n">
        <x:f>D1702-IF(H1702=0,1,0)</x:f>
        <x:v>3</x:v>
      </x:c>
      <x:c r="L1702" s="19" t="n">
        <x:f>E1702-IF(H1702=1,1,0)</x:f>
        <x:v>2</x:v>
      </x:c>
      <x:c r="M1702" s="19" t="n">
        <x:f>F1702-IF(H1702=2,1,0)</x:f>
        <x:v>1</x:v>
      </x:c>
      <x:c r="N1702" s="19" t="n">
        <x:f>MAX(K1702-1,0)+MAX(L1702-1,0)+MAX(M1702-1,0)</x:f>
        <x:v>3</x:v>
      </x:c>
      <x:c r="O1702" s="19" t="n">
        <x:f>IF(AND(SUM(K1702:M1702)&lt;9,OR(M1702=0,N1702&lt;6)),1,0)</x:f>
        <x:v>1</x:v>
      </x:c>
      <x:c r="P1702" s="19" t="n">
        <x:f>IF(AND(SUM(K1702:M1702)&lt;9,OR(L1702=0,N1702&lt;6)),1,0)</x:f>
        <x:v>1</x:v>
      </x:c>
      <x:c r="Q1702" s="19" t="n">
        <x:f>IF(AND(SUM(K1702:M1702)&lt;9,OR(K1702=0,N1702&lt;6)),1,0)</x:f>
        <x:v>1</x:v>
      </x:c>
      <x:c r="R1702" s="22" t="str">
        <x:f>O1702&amp;P1702&amp;Q1702</x:f>
        <x:v>111</x:v>
      </x:c>
      <x:c r="S1702" s="19" t="n">
        <x:f>IF(I1702=1,IF(J1702=0,Q1702,IF(J1702=1,P1702,IF(J1702=2,O1702,0))),0)</x:f>
        <x:v>0</x:v>
      </x:c>
      <x:c r="T1702" s="19" t="n">
        <x:f>K1702+IF(AND(S1702=1,J1702=0),1,0)</x:f>
        <x:v>3</x:v>
      </x:c>
      <x:c r="U1702" s="19" t="n">
        <x:f>L1702+IF(AND(S1702=1,J1702=1),1,0)</x:f>
        <x:v>2</x:v>
      </x:c>
      <x:c r="V1702" s="19" t="n">
        <x:f>M1702+IF(AND(S1702=1,J1702=2),1,0)</x:f>
        <x:v>1</x:v>
      </x:c>
      <x:c r="W1702" s="19" t="n">
        <x:f>SUM(T1702:V1702)</x:f>
        <x:v>6</x:v>
      </x:c>
      <x:c r="X1702" s="19" t="n">
        <x:f>W1702-G1702</x:f>
        <x:v>0</x:v>
      </x:c>
      <x:c r="Y1702" s="19" t="n">
        <x:f>MAX(T1702,1)+MAX(U1702,1)+MAX(V1702,1)</x:f>
        <x:v>6</x:v>
      </x:c>
      <x:c r="Z1702" s="21" t="str">
        <x:f>IF(AND(MIN(D1702:F1702)&gt;=0,MAX(D1702:F1702)&lt;=7,MAX(D1702,1)+MAX(E1702,1)+MAX(F1702,1)&lt;=9,OR(H1702="-",AND(H1702=0,D1702&gt;0),AND(H1702=1,E1702&gt;0),AND(H1702=2,F1702&gt;0)),OR(I1702=0,AND(I1702=1,OR(J1702=0,J1702=1,J1702=2),R1702&lt;&gt;"000")),Y1702&lt;=9,MIN(T1702:V1702)&gt;=0),"合法","输入违约")</x:f>
        <x:v>合法</x:v>
      </x:c>
    </x:row>
    <x:row r="1703" ht="23" customHeight="1">
      <x:c r="A1703" s="3" t="str">
        <x:v>CT-1696</x:v>
      </x:c>
      <x:c r="B1703" s="3" t="str">
        <x:v>ST-077</x:v>
      </x:c>
      <x:c r="C1703" s="3" t="str">
        <x:v>仅AR接收</x:v>
      </x:c>
      <x:c r="D1703" s="25" t="n">
        <x:v>3</x:v>
      </x:c>
      <x:c r="E1703" s="25" t="n">
        <x:v>2</x:v>
      </x:c>
      <x:c r="F1703" s="25" t="n">
        <x:v>1</x:v>
      </x:c>
      <x:c r="G1703" s="19" t="n">
        <x:f>SUM(D1703:F1703)</x:f>
        <x:v>6</x:v>
      </x:c>
      <x:c r="H1703" s="25" t="str">
        <x:v>-</x:v>
      </x:c>
      <x:c r="I1703" s="25" t="n">
        <x:v>1</x:v>
      </x:c>
      <x:c r="J1703" s="25" t="n">
        <x:v>0</x:v>
      </x:c>
      <x:c r="K1703" s="19" t="n">
        <x:f>D1703-IF(H1703=0,1,0)</x:f>
        <x:v>3</x:v>
      </x:c>
      <x:c r="L1703" s="19" t="n">
        <x:f>E1703-IF(H1703=1,1,0)</x:f>
        <x:v>2</x:v>
      </x:c>
      <x:c r="M1703" s="19" t="n">
        <x:f>F1703-IF(H1703=2,1,0)</x:f>
        <x:v>1</x:v>
      </x:c>
      <x:c r="N1703" s="19" t="n">
        <x:f>MAX(K1703-1,0)+MAX(L1703-1,0)+MAX(M1703-1,0)</x:f>
        <x:v>3</x:v>
      </x:c>
      <x:c r="O1703" s="19" t="n">
        <x:f>IF(AND(SUM(K1703:M1703)&lt;9,OR(M1703=0,N1703&lt;6)),1,0)</x:f>
        <x:v>1</x:v>
      </x:c>
      <x:c r="P1703" s="19" t="n">
        <x:f>IF(AND(SUM(K1703:M1703)&lt;9,OR(L1703=0,N1703&lt;6)),1,0)</x:f>
        <x:v>1</x:v>
      </x:c>
      <x:c r="Q1703" s="19" t="n">
        <x:f>IF(AND(SUM(K1703:M1703)&lt;9,OR(K1703=0,N1703&lt;6)),1,0)</x:f>
        <x:v>1</x:v>
      </x:c>
      <x:c r="R1703" s="22" t="str">
        <x:f>O1703&amp;P1703&amp;Q1703</x:f>
        <x:v>111</x:v>
      </x:c>
      <x:c r="S1703" s="19" t="n">
        <x:f>IF(I1703=1,IF(J1703=0,Q1703,IF(J1703=1,P1703,IF(J1703=2,O1703,0))),0)</x:f>
        <x:v>1</x:v>
      </x:c>
      <x:c r="T1703" s="19" t="n">
        <x:f>K1703+IF(AND(S1703=1,J1703=0),1,0)</x:f>
        <x:v>4</x:v>
      </x:c>
      <x:c r="U1703" s="19" t="n">
        <x:f>L1703+IF(AND(S1703=1,J1703=1),1,0)</x:f>
        <x:v>2</x:v>
      </x:c>
      <x:c r="V1703" s="19" t="n">
        <x:f>M1703+IF(AND(S1703=1,J1703=2),1,0)</x:f>
        <x:v>1</x:v>
      </x:c>
      <x:c r="W1703" s="19" t="n">
        <x:f>SUM(T1703:V1703)</x:f>
        <x:v>7</x:v>
      </x:c>
      <x:c r="X1703" s="19" t="n">
        <x:f>W1703-G1703</x:f>
        <x:v>1</x:v>
      </x:c>
      <x:c r="Y1703" s="19" t="n">
        <x:f>MAX(T1703,1)+MAX(U1703,1)+MAX(V1703,1)</x:f>
        <x:v>7</x:v>
      </x:c>
      <x:c r="Z1703" s="21" t="str">
        <x:f>IF(AND(MIN(D1703:F1703)&gt;=0,MAX(D1703:F1703)&lt;=7,MAX(D1703,1)+MAX(E1703,1)+MAX(F1703,1)&lt;=9,OR(H1703="-",AND(H1703=0,D1703&gt;0),AND(H1703=1,E1703&gt;0),AND(H1703=2,F1703&gt;0)),OR(I1703=0,AND(I1703=1,OR(J1703=0,J1703=1,J1703=2),R1703&lt;&gt;"000")),Y1703&lt;=9,MIN(T1703:V1703)&gt;=0),"合法","输入违约")</x:f>
        <x:v>合法</x:v>
      </x:c>
    </x:row>
    <x:row r="1704" ht="23" customHeight="1">
      <x:c r="A1704" s="3" t="str">
        <x:v>CT-1697</x:v>
      </x:c>
      <x:c r="B1704" s="3" t="str">
        <x:v>ST-077</x:v>
      </x:c>
      <x:c r="C1704" s="3" t="str">
        <x:v>仅AR接收</x:v>
      </x:c>
      <x:c r="D1704" s="25" t="n">
        <x:v>3</x:v>
      </x:c>
      <x:c r="E1704" s="25" t="n">
        <x:v>2</x:v>
      </x:c>
      <x:c r="F1704" s="25" t="n">
        <x:v>1</x:v>
      </x:c>
      <x:c r="G1704" s="19" t="n">
        <x:f>SUM(D1704:F1704)</x:f>
        <x:v>6</x:v>
      </x:c>
      <x:c r="H1704" s="25" t="str">
        <x:v>-</x:v>
      </x:c>
      <x:c r="I1704" s="25" t="n">
        <x:v>1</x:v>
      </x:c>
      <x:c r="J1704" s="25" t="n">
        <x:v>1</x:v>
      </x:c>
      <x:c r="K1704" s="19" t="n">
        <x:f>D1704-IF(H1704=0,1,0)</x:f>
        <x:v>3</x:v>
      </x:c>
      <x:c r="L1704" s="19" t="n">
        <x:f>E1704-IF(H1704=1,1,0)</x:f>
        <x:v>2</x:v>
      </x:c>
      <x:c r="M1704" s="19" t="n">
        <x:f>F1704-IF(H1704=2,1,0)</x:f>
        <x:v>1</x:v>
      </x:c>
      <x:c r="N1704" s="19" t="n">
        <x:f>MAX(K1704-1,0)+MAX(L1704-1,0)+MAX(M1704-1,0)</x:f>
        <x:v>3</x:v>
      </x:c>
      <x:c r="O1704" s="19" t="n">
        <x:f>IF(AND(SUM(K1704:M1704)&lt;9,OR(M1704=0,N1704&lt;6)),1,0)</x:f>
        <x:v>1</x:v>
      </x:c>
      <x:c r="P1704" s="19" t="n">
        <x:f>IF(AND(SUM(K1704:M1704)&lt;9,OR(L1704=0,N1704&lt;6)),1,0)</x:f>
        <x:v>1</x:v>
      </x:c>
      <x:c r="Q1704" s="19" t="n">
        <x:f>IF(AND(SUM(K1704:M1704)&lt;9,OR(K1704=0,N1704&lt;6)),1,0)</x:f>
        <x:v>1</x:v>
      </x:c>
      <x:c r="R1704" s="22" t="str">
        <x:f>O1704&amp;P1704&amp;Q1704</x:f>
        <x:v>111</x:v>
      </x:c>
      <x:c r="S1704" s="19" t="n">
        <x:f>IF(I1704=1,IF(J1704=0,Q1704,IF(J1704=1,P1704,IF(J1704=2,O1704,0))),0)</x:f>
        <x:v>1</x:v>
      </x:c>
      <x:c r="T1704" s="19" t="n">
        <x:f>K1704+IF(AND(S1704=1,J1704=0),1,0)</x:f>
        <x:v>3</x:v>
      </x:c>
      <x:c r="U1704" s="19" t="n">
        <x:f>L1704+IF(AND(S1704=1,J1704=1),1,0)</x:f>
        <x:v>3</x:v>
      </x:c>
      <x:c r="V1704" s="19" t="n">
        <x:f>M1704+IF(AND(S1704=1,J1704=2),1,0)</x:f>
        <x:v>1</x:v>
      </x:c>
      <x:c r="W1704" s="19" t="n">
        <x:f>SUM(T1704:V1704)</x:f>
        <x:v>7</x:v>
      </x:c>
      <x:c r="X1704" s="19" t="n">
        <x:f>W1704-G1704</x:f>
        <x:v>1</x:v>
      </x:c>
      <x:c r="Y1704" s="19" t="n">
        <x:f>MAX(T1704,1)+MAX(U1704,1)+MAX(V1704,1)</x:f>
        <x:v>7</x:v>
      </x:c>
      <x:c r="Z1704" s="21" t="str">
        <x:f>IF(AND(MIN(D1704:F1704)&gt;=0,MAX(D1704:F1704)&lt;=7,MAX(D1704,1)+MAX(E1704,1)+MAX(F1704,1)&lt;=9,OR(H1704="-",AND(H1704=0,D1704&gt;0),AND(H1704=1,E1704&gt;0),AND(H1704=2,F1704&gt;0)),OR(I1704=0,AND(I1704=1,OR(J1704=0,J1704=1,J1704=2),R1704&lt;&gt;"000")),Y1704&lt;=9,MIN(T1704:V1704)&gt;=0),"合法","输入违约")</x:f>
        <x:v>合法</x:v>
      </x:c>
    </x:row>
    <x:row r="1705" ht="23" customHeight="1">
      <x:c r="A1705" s="3" t="str">
        <x:v>CT-1698</x:v>
      </x:c>
      <x:c r="B1705" s="3" t="str">
        <x:v>ST-077</x:v>
      </x:c>
      <x:c r="C1705" s="3" t="str">
        <x:v>仅AR接收</x:v>
      </x:c>
      <x:c r="D1705" s="25" t="n">
        <x:v>3</x:v>
      </x:c>
      <x:c r="E1705" s="25" t="n">
        <x:v>2</x:v>
      </x:c>
      <x:c r="F1705" s="25" t="n">
        <x:v>1</x:v>
      </x:c>
      <x:c r="G1705" s="19" t="n">
        <x:f>SUM(D1705:F1705)</x:f>
        <x:v>6</x:v>
      </x:c>
      <x:c r="H1705" s="25" t="str">
        <x:v>-</x:v>
      </x:c>
      <x:c r="I1705" s="25" t="n">
        <x:v>1</x:v>
      </x:c>
      <x:c r="J1705" s="25" t="n">
        <x:v>2</x:v>
      </x:c>
      <x:c r="K1705" s="19" t="n">
        <x:f>D1705-IF(H1705=0,1,0)</x:f>
        <x:v>3</x:v>
      </x:c>
      <x:c r="L1705" s="19" t="n">
        <x:f>E1705-IF(H1705=1,1,0)</x:f>
        <x:v>2</x:v>
      </x:c>
      <x:c r="M1705" s="19" t="n">
        <x:f>F1705-IF(H1705=2,1,0)</x:f>
        <x:v>1</x:v>
      </x:c>
      <x:c r="N1705" s="19" t="n">
        <x:f>MAX(K1705-1,0)+MAX(L1705-1,0)+MAX(M1705-1,0)</x:f>
        <x:v>3</x:v>
      </x:c>
      <x:c r="O1705" s="19" t="n">
        <x:f>IF(AND(SUM(K1705:M1705)&lt;9,OR(M1705=0,N1705&lt;6)),1,0)</x:f>
        <x:v>1</x:v>
      </x:c>
      <x:c r="P1705" s="19" t="n">
        <x:f>IF(AND(SUM(K1705:M1705)&lt;9,OR(L1705=0,N1705&lt;6)),1,0)</x:f>
        <x:v>1</x:v>
      </x:c>
      <x:c r="Q1705" s="19" t="n">
        <x:f>IF(AND(SUM(K1705:M1705)&lt;9,OR(K1705=0,N1705&lt;6)),1,0)</x:f>
        <x:v>1</x:v>
      </x:c>
      <x:c r="R1705" s="22" t="str">
        <x:f>O1705&amp;P1705&amp;Q1705</x:f>
        <x:v>111</x:v>
      </x:c>
      <x:c r="S1705" s="19" t="n">
        <x:f>IF(I1705=1,IF(J1705=0,Q1705,IF(J1705=1,P1705,IF(J1705=2,O1705,0))),0)</x:f>
        <x:v>1</x:v>
      </x:c>
      <x:c r="T1705" s="19" t="n">
        <x:f>K1705+IF(AND(S1705=1,J1705=0),1,0)</x:f>
        <x:v>3</x:v>
      </x:c>
      <x:c r="U1705" s="19" t="n">
        <x:f>L1705+IF(AND(S1705=1,J1705=1),1,0)</x:f>
        <x:v>2</x:v>
      </x:c>
      <x:c r="V1705" s="19" t="n">
        <x:f>M1705+IF(AND(S1705=1,J1705=2),1,0)</x:f>
        <x:v>2</x:v>
      </x:c>
      <x:c r="W1705" s="19" t="n">
        <x:f>SUM(T1705:V1705)</x:f>
        <x:v>7</x:v>
      </x:c>
      <x:c r="X1705" s="19" t="n">
        <x:f>W1705-G1705</x:f>
        <x:v>1</x:v>
      </x:c>
      <x:c r="Y1705" s="19" t="n">
        <x:f>MAX(T1705,1)+MAX(U1705,1)+MAX(V1705,1)</x:f>
        <x:v>7</x:v>
      </x:c>
      <x:c r="Z1705" s="21" t="str">
        <x:f>IF(AND(MIN(D1705:F1705)&gt;=0,MAX(D1705:F1705)&lt;=7,MAX(D1705,1)+MAX(E1705,1)+MAX(F1705,1)&lt;=9,OR(H1705="-",AND(H1705=0,D1705&gt;0),AND(H1705=1,E1705&gt;0),AND(H1705=2,F1705&gt;0)),OR(I1705=0,AND(I1705=1,OR(J1705=0,J1705=1,J1705=2),R1705&lt;&gt;"000")),Y1705&lt;=9,MIN(T1705:V1705)&gt;=0),"合法","输入违约")</x:f>
        <x:v>合法</x:v>
      </x:c>
    </x:row>
    <x:row r="1706" ht="23" customHeight="1">
      <x:c r="A1706" s="3" t="str">
        <x:v>CT-1699</x:v>
      </x:c>
      <x:c r="B1706" s="3" t="str">
        <x:v>ST-077</x:v>
      </x:c>
      <x:c r="C1706" s="3" t="str">
        <x:v>仅R回收</x:v>
      </x:c>
      <x:c r="D1706" s="25" t="n">
        <x:v>3</x:v>
      </x:c>
      <x:c r="E1706" s="25" t="n">
        <x:v>2</x:v>
      </x:c>
      <x:c r="F1706" s="25" t="n">
        <x:v>1</x:v>
      </x:c>
      <x:c r="G1706" s="19" t="n">
        <x:f>SUM(D1706:F1706)</x:f>
        <x:v>6</x:v>
      </x:c>
      <x:c r="H1706" s="25" t="n">
        <x:v>0</x:v>
      </x:c>
      <x:c r="I1706" s="25" t="n">
        <x:v>0</x:v>
      </x:c>
      <x:c r="J1706" s="25" t="str">
        <x:v>-</x:v>
      </x:c>
      <x:c r="K1706" s="19" t="n">
        <x:f>D1706-IF(H1706=0,1,0)</x:f>
        <x:v>2</x:v>
      </x:c>
      <x:c r="L1706" s="19" t="n">
        <x:f>E1706-IF(H1706=1,1,0)</x:f>
        <x:v>2</x:v>
      </x:c>
      <x:c r="M1706" s="19" t="n">
        <x:f>F1706-IF(H1706=2,1,0)</x:f>
        <x:v>1</x:v>
      </x:c>
      <x:c r="N1706" s="19" t="n">
        <x:f>MAX(K1706-1,0)+MAX(L1706-1,0)+MAX(M1706-1,0)</x:f>
        <x:v>2</x:v>
      </x:c>
      <x:c r="O1706" s="19" t="n">
        <x:f>IF(AND(SUM(K1706:M1706)&lt;9,OR(M1706=0,N1706&lt;6)),1,0)</x:f>
        <x:v>1</x:v>
      </x:c>
      <x:c r="P1706" s="19" t="n">
        <x:f>IF(AND(SUM(K1706:M1706)&lt;9,OR(L1706=0,N1706&lt;6)),1,0)</x:f>
        <x:v>1</x:v>
      </x:c>
      <x:c r="Q1706" s="19" t="n">
        <x:f>IF(AND(SUM(K1706:M1706)&lt;9,OR(K1706=0,N1706&lt;6)),1,0)</x:f>
        <x:v>1</x:v>
      </x:c>
      <x:c r="R1706" s="22" t="str">
        <x:f>O1706&amp;P1706&amp;Q1706</x:f>
        <x:v>111</x:v>
      </x:c>
      <x:c r="S1706" s="19" t="n">
        <x:f>IF(I1706=1,IF(J1706=0,Q1706,IF(J1706=1,P1706,IF(J1706=2,O1706,0))),0)</x:f>
        <x:v>0</x:v>
      </x:c>
      <x:c r="T1706" s="19" t="n">
        <x:f>K1706+IF(AND(S1706=1,J1706=0),1,0)</x:f>
        <x:v>2</x:v>
      </x:c>
      <x:c r="U1706" s="19" t="n">
        <x:f>L1706+IF(AND(S1706=1,J1706=1),1,0)</x:f>
        <x:v>2</x:v>
      </x:c>
      <x:c r="V1706" s="19" t="n">
        <x:f>M1706+IF(AND(S1706=1,J1706=2),1,0)</x:f>
        <x:v>1</x:v>
      </x:c>
      <x:c r="W1706" s="19" t="n">
        <x:f>SUM(T1706:V1706)</x:f>
        <x:v>5</x:v>
      </x:c>
      <x:c r="X1706" s="19" t="n">
        <x:f>W1706-G1706</x:f>
        <x:v>-1</x:v>
      </x:c>
      <x:c r="Y1706" s="19" t="n">
        <x:f>MAX(T1706,1)+MAX(U1706,1)+MAX(V1706,1)</x:f>
        <x:v>5</x:v>
      </x:c>
      <x:c r="Z1706" s="21" t="str">
        <x:f>IF(AND(MIN(D1706:F1706)&gt;=0,MAX(D1706:F1706)&lt;=7,MAX(D1706,1)+MAX(E1706,1)+MAX(F1706,1)&lt;=9,OR(H1706="-",AND(H1706=0,D1706&gt;0),AND(H1706=1,E1706&gt;0),AND(H1706=2,F1706&gt;0)),OR(I1706=0,AND(I1706=1,OR(J1706=0,J1706=1,J1706=2),R1706&lt;&gt;"000")),Y1706&lt;=9,MIN(T1706:V1706)&gt;=0),"合法","输入违约")</x:f>
        <x:v>合法</x:v>
      </x:c>
    </x:row>
    <x:row r="1707" ht="23" customHeight="1">
      <x:c r="A1707" s="3" t="str">
        <x:v>CT-1700</x:v>
      </x:c>
      <x:c r="B1707" s="3" t="str">
        <x:v>ST-077</x:v>
      </x:c>
      <x:c r="C1707" s="3" t="str">
        <x:v>R+AR同收同发</x:v>
      </x:c>
      <x:c r="D1707" s="25" t="n">
        <x:v>3</x:v>
      </x:c>
      <x:c r="E1707" s="25" t="n">
        <x:v>2</x:v>
      </x:c>
      <x:c r="F1707" s="25" t="n">
        <x:v>1</x:v>
      </x:c>
      <x:c r="G1707" s="19" t="n">
        <x:f>SUM(D1707:F1707)</x:f>
        <x:v>6</x:v>
      </x:c>
      <x:c r="H1707" s="25" t="n">
        <x:v>0</x:v>
      </x:c>
      <x:c r="I1707" s="25" t="n">
        <x:v>1</x:v>
      </x:c>
      <x:c r="J1707" s="25" t="n">
        <x:v>0</x:v>
      </x:c>
      <x:c r="K1707" s="19" t="n">
        <x:f>D1707-IF(H1707=0,1,0)</x:f>
        <x:v>2</x:v>
      </x:c>
      <x:c r="L1707" s="19" t="n">
        <x:f>E1707-IF(H1707=1,1,0)</x:f>
        <x:v>2</x:v>
      </x:c>
      <x:c r="M1707" s="19" t="n">
        <x:f>F1707-IF(H1707=2,1,0)</x:f>
        <x:v>1</x:v>
      </x:c>
      <x:c r="N1707" s="19" t="n">
        <x:f>MAX(K1707-1,0)+MAX(L1707-1,0)+MAX(M1707-1,0)</x:f>
        <x:v>2</x:v>
      </x:c>
      <x:c r="O1707" s="19" t="n">
        <x:f>IF(AND(SUM(K1707:M1707)&lt;9,OR(M1707=0,N1707&lt;6)),1,0)</x:f>
        <x:v>1</x:v>
      </x:c>
      <x:c r="P1707" s="19" t="n">
        <x:f>IF(AND(SUM(K1707:M1707)&lt;9,OR(L1707=0,N1707&lt;6)),1,0)</x:f>
        <x:v>1</x:v>
      </x:c>
      <x:c r="Q1707" s="19" t="n">
        <x:f>IF(AND(SUM(K1707:M1707)&lt;9,OR(K1707=0,N1707&lt;6)),1,0)</x:f>
        <x:v>1</x:v>
      </x:c>
      <x:c r="R1707" s="22" t="str">
        <x:f>O1707&amp;P1707&amp;Q1707</x:f>
        <x:v>111</x:v>
      </x:c>
      <x:c r="S1707" s="19" t="n">
        <x:f>IF(I1707=1,IF(J1707=0,Q1707,IF(J1707=1,P1707,IF(J1707=2,O1707,0))),0)</x:f>
        <x:v>1</x:v>
      </x:c>
      <x:c r="T1707" s="19" t="n">
        <x:f>K1707+IF(AND(S1707=1,J1707=0),1,0)</x:f>
        <x:v>3</x:v>
      </x:c>
      <x:c r="U1707" s="19" t="n">
        <x:f>L1707+IF(AND(S1707=1,J1707=1),1,0)</x:f>
        <x:v>2</x:v>
      </x:c>
      <x:c r="V1707" s="19" t="n">
        <x:f>M1707+IF(AND(S1707=1,J1707=2),1,0)</x:f>
        <x:v>1</x:v>
      </x:c>
      <x:c r="W1707" s="19" t="n">
        <x:f>SUM(T1707:V1707)</x:f>
        <x:v>6</x:v>
      </x:c>
      <x:c r="X1707" s="19" t="n">
        <x:f>W1707-G1707</x:f>
        <x:v>0</x:v>
      </x:c>
      <x:c r="Y1707" s="19" t="n">
        <x:f>MAX(T1707,1)+MAX(U1707,1)+MAX(V1707,1)</x:f>
        <x:v>6</x:v>
      </x:c>
      <x:c r="Z1707" s="21" t="str">
        <x:f>IF(AND(MIN(D1707:F1707)&gt;=0,MAX(D1707:F1707)&lt;=7,MAX(D1707,1)+MAX(E1707,1)+MAX(F1707,1)&lt;=9,OR(H1707="-",AND(H1707=0,D1707&gt;0),AND(H1707=1,E1707&gt;0),AND(H1707=2,F1707&gt;0)),OR(I1707=0,AND(I1707=1,OR(J1707=0,J1707=1,J1707=2),R1707&lt;&gt;"000")),Y1707&lt;=9,MIN(T1707:V1707)&gt;=0),"合法","输入违约")</x:f>
        <x:v>合法</x:v>
      </x:c>
    </x:row>
    <x:row r="1708" ht="23" customHeight="1">
      <x:c r="A1708" s="3" t="str">
        <x:v>CT-1701</x:v>
      </x:c>
      <x:c r="B1708" s="3" t="str">
        <x:v>ST-077</x:v>
      </x:c>
      <x:c r="C1708" s="3" t="str">
        <x:v>R+AR同收同发</x:v>
      </x:c>
      <x:c r="D1708" s="25" t="n">
        <x:v>3</x:v>
      </x:c>
      <x:c r="E1708" s="25" t="n">
        <x:v>2</x:v>
      </x:c>
      <x:c r="F1708" s="25" t="n">
        <x:v>1</x:v>
      </x:c>
      <x:c r="G1708" s="19" t="n">
        <x:f>SUM(D1708:F1708)</x:f>
        <x:v>6</x:v>
      </x:c>
      <x:c r="H1708" s="25" t="n">
        <x:v>0</x:v>
      </x:c>
      <x:c r="I1708" s="25" t="n">
        <x:v>1</x:v>
      </x:c>
      <x:c r="J1708" s="25" t="n">
        <x:v>1</x:v>
      </x:c>
      <x:c r="K1708" s="19" t="n">
        <x:f>D1708-IF(H1708=0,1,0)</x:f>
        <x:v>2</x:v>
      </x:c>
      <x:c r="L1708" s="19" t="n">
        <x:f>E1708-IF(H1708=1,1,0)</x:f>
        <x:v>2</x:v>
      </x:c>
      <x:c r="M1708" s="19" t="n">
        <x:f>F1708-IF(H1708=2,1,0)</x:f>
        <x:v>1</x:v>
      </x:c>
      <x:c r="N1708" s="19" t="n">
        <x:f>MAX(K1708-1,0)+MAX(L1708-1,0)+MAX(M1708-1,0)</x:f>
        <x:v>2</x:v>
      </x:c>
      <x:c r="O1708" s="19" t="n">
        <x:f>IF(AND(SUM(K1708:M1708)&lt;9,OR(M1708=0,N1708&lt;6)),1,0)</x:f>
        <x:v>1</x:v>
      </x:c>
      <x:c r="P1708" s="19" t="n">
        <x:f>IF(AND(SUM(K1708:M1708)&lt;9,OR(L1708=0,N1708&lt;6)),1,0)</x:f>
        <x:v>1</x:v>
      </x:c>
      <x:c r="Q1708" s="19" t="n">
        <x:f>IF(AND(SUM(K1708:M1708)&lt;9,OR(K1708=0,N1708&lt;6)),1,0)</x:f>
        <x:v>1</x:v>
      </x:c>
      <x:c r="R1708" s="22" t="str">
        <x:f>O1708&amp;P1708&amp;Q1708</x:f>
        <x:v>111</x:v>
      </x:c>
      <x:c r="S1708" s="19" t="n">
        <x:f>IF(I1708=1,IF(J1708=0,Q1708,IF(J1708=1,P1708,IF(J1708=2,O1708,0))),0)</x:f>
        <x:v>1</x:v>
      </x:c>
      <x:c r="T1708" s="19" t="n">
        <x:f>K1708+IF(AND(S1708=1,J1708=0),1,0)</x:f>
        <x:v>2</x:v>
      </x:c>
      <x:c r="U1708" s="19" t="n">
        <x:f>L1708+IF(AND(S1708=1,J1708=1),1,0)</x:f>
        <x:v>3</x:v>
      </x:c>
      <x:c r="V1708" s="19" t="n">
        <x:f>M1708+IF(AND(S1708=1,J1708=2),1,0)</x:f>
        <x:v>1</x:v>
      </x:c>
      <x:c r="W1708" s="19" t="n">
        <x:f>SUM(T1708:V1708)</x:f>
        <x:v>6</x:v>
      </x:c>
      <x:c r="X1708" s="19" t="n">
        <x:f>W1708-G1708</x:f>
        <x:v>0</x:v>
      </x:c>
      <x:c r="Y1708" s="19" t="n">
        <x:f>MAX(T1708,1)+MAX(U1708,1)+MAX(V1708,1)</x:f>
        <x:v>6</x:v>
      </x:c>
      <x:c r="Z1708" s="21" t="str">
        <x:f>IF(AND(MIN(D1708:F1708)&gt;=0,MAX(D1708:F1708)&lt;=7,MAX(D1708,1)+MAX(E1708,1)+MAX(F1708,1)&lt;=9,OR(H1708="-",AND(H1708=0,D1708&gt;0),AND(H1708=1,E1708&gt;0),AND(H1708=2,F1708&gt;0)),OR(I1708=0,AND(I1708=1,OR(J1708=0,J1708=1,J1708=2),R1708&lt;&gt;"000")),Y1708&lt;=9,MIN(T1708:V1708)&gt;=0),"合法","输入违约")</x:f>
        <x:v>合法</x:v>
      </x:c>
    </x:row>
    <x:row r="1709" ht="23" customHeight="1">
      <x:c r="A1709" s="3" t="str">
        <x:v>CT-1702</x:v>
      </x:c>
      <x:c r="B1709" s="3" t="str">
        <x:v>ST-077</x:v>
      </x:c>
      <x:c r="C1709" s="3" t="str">
        <x:v>R+AR同收同发</x:v>
      </x:c>
      <x:c r="D1709" s="25" t="n">
        <x:v>3</x:v>
      </x:c>
      <x:c r="E1709" s="25" t="n">
        <x:v>2</x:v>
      </x:c>
      <x:c r="F1709" s="25" t="n">
        <x:v>1</x:v>
      </x:c>
      <x:c r="G1709" s="19" t="n">
        <x:f>SUM(D1709:F1709)</x:f>
        <x:v>6</x:v>
      </x:c>
      <x:c r="H1709" s="25" t="n">
        <x:v>0</x:v>
      </x:c>
      <x:c r="I1709" s="25" t="n">
        <x:v>1</x:v>
      </x:c>
      <x:c r="J1709" s="25" t="n">
        <x:v>2</x:v>
      </x:c>
      <x:c r="K1709" s="19" t="n">
        <x:f>D1709-IF(H1709=0,1,0)</x:f>
        <x:v>2</x:v>
      </x:c>
      <x:c r="L1709" s="19" t="n">
        <x:f>E1709-IF(H1709=1,1,0)</x:f>
        <x:v>2</x:v>
      </x:c>
      <x:c r="M1709" s="19" t="n">
        <x:f>F1709-IF(H1709=2,1,0)</x:f>
        <x:v>1</x:v>
      </x:c>
      <x:c r="N1709" s="19" t="n">
        <x:f>MAX(K1709-1,0)+MAX(L1709-1,0)+MAX(M1709-1,0)</x:f>
        <x:v>2</x:v>
      </x:c>
      <x:c r="O1709" s="19" t="n">
        <x:f>IF(AND(SUM(K1709:M1709)&lt;9,OR(M1709=0,N1709&lt;6)),1,0)</x:f>
        <x:v>1</x:v>
      </x:c>
      <x:c r="P1709" s="19" t="n">
        <x:f>IF(AND(SUM(K1709:M1709)&lt;9,OR(L1709=0,N1709&lt;6)),1,0)</x:f>
        <x:v>1</x:v>
      </x:c>
      <x:c r="Q1709" s="19" t="n">
        <x:f>IF(AND(SUM(K1709:M1709)&lt;9,OR(K1709=0,N1709&lt;6)),1,0)</x:f>
        <x:v>1</x:v>
      </x:c>
      <x:c r="R1709" s="22" t="str">
        <x:f>O1709&amp;P1709&amp;Q1709</x:f>
        <x:v>111</x:v>
      </x:c>
      <x:c r="S1709" s="19" t="n">
        <x:f>IF(I1709=1,IF(J1709=0,Q1709,IF(J1709=1,P1709,IF(J1709=2,O1709,0))),0)</x:f>
        <x:v>1</x:v>
      </x:c>
      <x:c r="T1709" s="19" t="n">
        <x:f>K1709+IF(AND(S1709=1,J1709=0),1,0)</x:f>
        <x:v>2</x:v>
      </x:c>
      <x:c r="U1709" s="19" t="n">
        <x:f>L1709+IF(AND(S1709=1,J1709=1),1,0)</x:f>
        <x:v>2</x:v>
      </x:c>
      <x:c r="V1709" s="19" t="n">
        <x:f>M1709+IF(AND(S1709=1,J1709=2),1,0)</x:f>
        <x:v>2</x:v>
      </x:c>
      <x:c r="W1709" s="19" t="n">
        <x:f>SUM(T1709:V1709)</x:f>
        <x:v>6</x:v>
      </x:c>
      <x:c r="X1709" s="19" t="n">
        <x:f>W1709-G1709</x:f>
        <x:v>0</x:v>
      </x:c>
      <x:c r="Y1709" s="19" t="n">
        <x:f>MAX(T1709,1)+MAX(U1709,1)+MAX(V1709,1)</x:f>
        <x:v>6</x:v>
      </x:c>
      <x:c r="Z1709" s="21" t="str">
        <x:f>IF(AND(MIN(D1709:F1709)&gt;=0,MAX(D1709:F1709)&lt;=7,MAX(D1709,1)+MAX(E1709,1)+MAX(F1709,1)&lt;=9,OR(H1709="-",AND(H1709=0,D1709&gt;0),AND(H1709=1,E1709&gt;0),AND(H1709=2,F1709&gt;0)),OR(I1709=0,AND(I1709=1,OR(J1709=0,J1709=1,J1709=2),R1709&lt;&gt;"000")),Y1709&lt;=9,MIN(T1709:V1709)&gt;=0),"合法","输入违约")</x:f>
        <x:v>合法</x:v>
      </x:c>
    </x:row>
    <x:row r="1710" ht="23" customHeight="1">
      <x:c r="A1710" s="3" t="str">
        <x:v>CT-1703</x:v>
      </x:c>
      <x:c r="B1710" s="3" t="str">
        <x:v>ST-077</x:v>
      </x:c>
      <x:c r="C1710" s="3" t="str">
        <x:v>仅R回收</x:v>
      </x:c>
      <x:c r="D1710" s="25" t="n">
        <x:v>3</x:v>
      </x:c>
      <x:c r="E1710" s="25" t="n">
        <x:v>2</x:v>
      </x:c>
      <x:c r="F1710" s="25" t="n">
        <x:v>1</x:v>
      </x:c>
      <x:c r="G1710" s="19" t="n">
        <x:f>SUM(D1710:F1710)</x:f>
        <x:v>6</x:v>
      </x:c>
      <x:c r="H1710" s="25" t="n">
        <x:v>1</x:v>
      </x:c>
      <x:c r="I1710" s="25" t="n">
        <x:v>0</x:v>
      </x:c>
      <x:c r="J1710" s="25" t="str">
        <x:v>-</x:v>
      </x:c>
      <x:c r="K1710" s="19" t="n">
        <x:f>D1710-IF(H1710=0,1,0)</x:f>
        <x:v>3</x:v>
      </x:c>
      <x:c r="L1710" s="19" t="n">
        <x:f>E1710-IF(H1710=1,1,0)</x:f>
        <x:v>1</x:v>
      </x:c>
      <x:c r="M1710" s="19" t="n">
        <x:f>F1710-IF(H1710=2,1,0)</x:f>
        <x:v>1</x:v>
      </x:c>
      <x:c r="N1710" s="19" t="n">
        <x:f>MAX(K1710-1,0)+MAX(L1710-1,0)+MAX(M1710-1,0)</x:f>
        <x:v>2</x:v>
      </x:c>
      <x:c r="O1710" s="19" t="n">
        <x:f>IF(AND(SUM(K1710:M1710)&lt;9,OR(M1710=0,N1710&lt;6)),1,0)</x:f>
        <x:v>1</x:v>
      </x:c>
      <x:c r="P1710" s="19" t="n">
        <x:f>IF(AND(SUM(K1710:M1710)&lt;9,OR(L1710=0,N1710&lt;6)),1,0)</x:f>
        <x:v>1</x:v>
      </x:c>
      <x:c r="Q1710" s="19" t="n">
        <x:f>IF(AND(SUM(K1710:M1710)&lt;9,OR(K1710=0,N1710&lt;6)),1,0)</x:f>
        <x:v>1</x:v>
      </x:c>
      <x:c r="R1710" s="22" t="str">
        <x:f>O1710&amp;P1710&amp;Q1710</x:f>
        <x:v>111</x:v>
      </x:c>
      <x:c r="S1710" s="19" t="n">
        <x:f>IF(I1710=1,IF(J1710=0,Q1710,IF(J1710=1,P1710,IF(J1710=2,O1710,0))),0)</x:f>
        <x:v>0</x:v>
      </x:c>
      <x:c r="T1710" s="19" t="n">
        <x:f>K1710+IF(AND(S1710=1,J1710=0),1,0)</x:f>
        <x:v>3</x:v>
      </x:c>
      <x:c r="U1710" s="19" t="n">
        <x:f>L1710+IF(AND(S1710=1,J1710=1),1,0)</x:f>
        <x:v>1</x:v>
      </x:c>
      <x:c r="V1710" s="19" t="n">
        <x:f>M1710+IF(AND(S1710=1,J1710=2),1,0)</x:f>
        <x:v>1</x:v>
      </x:c>
      <x:c r="W1710" s="19" t="n">
        <x:f>SUM(T1710:V1710)</x:f>
        <x:v>5</x:v>
      </x:c>
      <x:c r="X1710" s="19" t="n">
        <x:f>W1710-G1710</x:f>
        <x:v>-1</x:v>
      </x:c>
      <x:c r="Y1710" s="19" t="n">
        <x:f>MAX(T1710,1)+MAX(U1710,1)+MAX(V1710,1)</x:f>
        <x:v>5</x:v>
      </x:c>
      <x:c r="Z1710" s="21" t="str">
        <x:f>IF(AND(MIN(D1710:F1710)&gt;=0,MAX(D1710:F1710)&lt;=7,MAX(D1710,1)+MAX(E1710,1)+MAX(F1710,1)&lt;=9,OR(H1710="-",AND(H1710=0,D1710&gt;0),AND(H1710=1,E1710&gt;0),AND(H1710=2,F1710&gt;0)),OR(I1710=0,AND(I1710=1,OR(J1710=0,J1710=1,J1710=2),R1710&lt;&gt;"000")),Y1710&lt;=9,MIN(T1710:V1710)&gt;=0),"合法","输入违约")</x:f>
        <x:v>合法</x:v>
      </x:c>
    </x:row>
    <x:row r="1711" ht="23" customHeight="1">
      <x:c r="A1711" s="3" t="str">
        <x:v>CT-1704</x:v>
      </x:c>
      <x:c r="B1711" s="3" t="str">
        <x:v>ST-077</x:v>
      </x:c>
      <x:c r="C1711" s="3" t="str">
        <x:v>R+AR同收同发</x:v>
      </x:c>
      <x:c r="D1711" s="25" t="n">
        <x:v>3</x:v>
      </x:c>
      <x:c r="E1711" s="25" t="n">
        <x:v>2</x:v>
      </x:c>
      <x:c r="F1711" s="25" t="n">
        <x:v>1</x:v>
      </x:c>
      <x:c r="G1711" s="19" t="n">
        <x:f>SUM(D1711:F1711)</x:f>
        <x:v>6</x:v>
      </x:c>
      <x:c r="H1711" s="25" t="n">
        <x:v>1</x:v>
      </x:c>
      <x:c r="I1711" s="25" t="n">
        <x:v>1</x:v>
      </x:c>
      <x:c r="J1711" s="25" t="n">
        <x:v>0</x:v>
      </x:c>
      <x:c r="K1711" s="19" t="n">
        <x:f>D1711-IF(H1711=0,1,0)</x:f>
        <x:v>3</x:v>
      </x:c>
      <x:c r="L1711" s="19" t="n">
        <x:f>E1711-IF(H1711=1,1,0)</x:f>
        <x:v>1</x:v>
      </x:c>
      <x:c r="M1711" s="19" t="n">
        <x:f>F1711-IF(H1711=2,1,0)</x:f>
        <x:v>1</x:v>
      </x:c>
      <x:c r="N1711" s="19" t="n">
        <x:f>MAX(K1711-1,0)+MAX(L1711-1,0)+MAX(M1711-1,0)</x:f>
        <x:v>2</x:v>
      </x:c>
      <x:c r="O1711" s="19" t="n">
        <x:f>IF(AND(SUM(K1711:M1711)&lt;9,OR(M1711=0,N1711&lt;6)),1,0)</x:f>
        <x:v>1</x:v>
      </x:c>
      <x:c r="P1711" s="19" t="n">
        <x:f>IF(AND(SUM(K1711:M1711)&lt;9,OR(L1711=0,N1711&lt;6)),1,0)</x:f>
        <x:v>1</x:v>
      </x:c>
      <x:c r="Q1711" s="19" t="n">
        <x:f>IF(AND(SUM(K1711:M1711)&lt;9,OR(K1711=0,N1711&lt;6)),1,0)</x:f>
        <x:v>1</x:v>
      </x:c>
      <x:c r="R1711" s="22" t="str">
        <x:f>O1711&amp;P1711&amp;Q1711</x:f>
        <x:v>111</x:v>
      </x:c>
      <x:c r="S1711" s="19" t="n">
        <x:f>IF(I1711=1,IF(J1711=0,Q1711,IF(J1711=1,P1711,IF(J1711=2,O1711,0))),0)</x:f>
        <x:v>1</x:v>
      </x:c>
      <x:c r="T1711" s="19" t="n">
        <x:f>K1711+IF(AND(S1711=1,J1711=0),1,0)</x:f>
        <x:v>4</x:v>
      </x:c>
      <x:c r="U1711" s="19" t="n">
        <x:f>L1711+IF(AND(S1711=1,J1711=1),1,0)</x:f>
        <x:v>1</x:v>
      </x:c>
      <x:c r="V1711" s="19" t="n">
        <x:f>M1711+IF(AND(S1711=1,J1711=2),1,0)</x:f>
        <x:v>1</x:v>
      </x:c>
      <x:c r="W1711" s="19" t="n">
        <x:f>SUM(T1711:V1711)</x:f>
        <x:v>6</x:v>
      </x:c>
      <x:c r="X1711" s="19" t="n">
        <x:f>W1711-G1711</x:f>
        <x:v>0</x:v>
      </x:c>
      <x:c r="Y1711" s="19" t="n">
        <x:f>MAX(T1711,1)+MAX(U1711,1)+MAX(V1711,1)</x:f>
        <x:v>6</x:v>
      </x:c>
      <x:c r="Z1711" s="21" t="str">
        <x:f>IF(AND(MIN(D1711:F1711)&gt;=0,MAX(D1711:F1711)&lt;=7,MAX(D1711,1)+MAX(E1711,1)+MAX(F1711,1)&lt;=9,OR(H1711="-",AND(H1711=0,D1711&gt;0),AND(H1711=1,E1711&gt;0),AND(H1711=2,F1711&gt;0)),OR(I1711=0,AND(I1711=1,OR(J1711=0,J1711=1,J1711=2),R1711&lt;&gt;"000")),Y1711&lt;=9,MIN(T1711:V1711)&gt;=0),"合法","输入违约")</x:f>
        <x:v>合法</x:v>
      </x:c>
    </x:row>
    <x:row r="1712" ht="23" customHeight="1">
      <x:c r="A1712" s="3" t="str">
        <x:v>CT-1705</x:v>
      </x:c>
      <x:c r="B1712" s="3" t="str">
        <x:v>ST-077</x:v>
      </x:c>
      <x:c r="C1712" s="3" t="str">
        <x:v>R+AR同收同发</x:v>
      </x:c>
      <x:c r="D1712" s="25" t="n">
        <x:v>3</x:v>
      </x:c>
      <x:c r="E1712" s="25" t="n">
        <x:v>2</x:v>
      </x:c>
      <x:c r="F1712" s="25" t="n">
        <x:v>1</x:v>
      </x:c>
      <x:c r="G1712" s="19" t="n">
        <x:f>SUM(D1712:F1712)</x:f>
        <x:v>6</x:v>
      </x:c>
      <x:c r="H1712" s="25" t="n">
        <x:v>1</x:v>
      </x:c>
      <x:c r="I1712" s="25" t="n">
        <x:v>1</x:v>
      </x:c>
      <x:c r="J1712" s="25" t="n">
        <x:v>1</x:v>
      </x:c>
      <x:c r="K1712" s="19" t="n">
        <x:f>D1712-IF(H1712=0,1,0)</x:f>
        <x:v>3</x:v>
      </x:c>
      <x:c r="L1712" s="19" t="n">
        <x:f>E1712-IF(H1712=1,1,0)</x:f>
        <x:v>1</x:v>
      </x:c>
      <x:c r="M1712" s="19" t="n">
        <x:f>F1712-IF(H1712=2,1,0)</x:f>
        <x:v>1</x:v>
      </x:c>
      <x:c r="N1712" s="19" t="n">
        <x:f>MAX(K1712-1,0)+MAX(L1712-1,0)+MAX(M1712-1,0)</x:f>
        <x:v>2</x:v>
      </x:c>
      <x:c r="O1712" s="19" t="n">
        <x:f>IF(AND(SUM(K1712:M1712)&lt;9,OR(M1712=0,N1712&lt;6)),1,0)</x:f>
        <x:v>1</x:v>
      </x:c>
      <x:c r="P1712" s="19" t="n">
        <x:f>IF(AND(SUM(K1712:M1712)&lt;9,OR(L1712=0,N1712&lt;6)),1,0)</x:f>
        <x:v>1</x:v>
      </x:c>
      <x:c r="Q1712" s="19" t="n">
        <x:f>IF(AND(SUM(K1712:M1712)&lt;9,OR(K1712=0,N1712&lt;6)),1,0)</x:f>
        <x:v>1</x:v>
      </x:c>
      <x:c r="R1712" s="22" t="str">
        <x:f>O1712&amp;P1712&amp;Q1712</x:f>
        <x:v>111</x:v>
      </x:c>
      <x:c r="S1712" s="19" t="n">
        <x:f>IF(I1712=1,IF(J1712=0,Q1712,IF(J1712=1,P1712,IF(J1712=2,O1712,0))),0)</x:f>
        <x:v>1</x:v>
      </x:c>
      <x:c r="T1712" s="19" t="n">
        <x:f>K1712+IF(AND(S1712=1,J1712=0),1,0)</x:f>
        <x:v>3</x:v>
      </x:c>
      <x:c r="U1712" s="19" t="n">
        <x:f>L1712+IF(AND(S1712=1,J1712=1),1,0)</x:f>
        <x:v>2</x:v>
      </x:c>
      <x:c r="V1712" s="19" t="n">
        <x:f>M1712+IF(AND(S1712=1,J1712=2),1,0)</x:f>
        <x:v>1</x:v>
      </x:c>
      <x:c r="W1712" s="19" t="n">
        <x:f>SUM(T1712:V1712)</x:f>
        <x:v>6</x:v>
      </x:c>
      <x:c r="X1712" s="19" t="n">
        <x:f>W1712-G1712</x:f>
        <x:v>0</x:v>
      </x:c>
      <x:c r="Y1712" s="19" t="n">
        <x:f>MAX(T1712,1)+MAX(U1712,1)+MAX(V1712,1)</x:f>
        <x:v>6</x:v>
      </x:c>
      <x:c r="Z1712" s="21" t="str">
        <x:f>IF(AND(MIN(D1712:F1712)&gt;=0,MAX(D1712:F1712)&lt;=7,MAX(D1712,1)+MAX(E1712,1)+MAX(F1712,1)&lt;=9,OR(H1712="-",AND(H1712=0,D1712&gt;0),AND(H1712=1,E1712&gt;0),AND(H1712=2,F1712&gt;0)),OR(I1712=0,AND(I1712=1,OR(J1712=0,J1712=1,J1712=2),R1712&lt;&gt;"000")),Y1712&lt;=9,MIN(T1712:V1712)&gt;=0),"合法","输入违约")</x:f>
        <x:v>合法</x:v>
      </x:c>
    </x:row>
    <x:row r="1713" ht="23" customHeight="1">
      <x:c r="A1713" s="3" t="str">
        <x:v>CT-1706</x:v>
      </x:c>
      <x:c r="B1713" s="3" t="str">
        <x:v>ST-077</x:v>
      </x:c>
      <x:c r="C1713" s="3" t="str">
        <x:v>R+AR同收同发</x:v>
      </x:c>
      <x:c r="D1713" s="25" t="n">
        <x:v>3</x:v>
      </x:c>
      <x:c r="E1713" s="25" t="n">
        <x:v>2</x:v>
      </x:c>
      <x:c r="F1713" s="25" t="n">
        <x:v>1</x:v>
      </x:c>
      <x:c r="G1713" s="19" t="n">
        <x:f>SUM(D1713:F1713)</x:f>
        <x:v>6</x:v>
      </x:c>
      <x:c r="H1713" s="25" t="n">
        <x:v>1</x:v>
      </x:c>
      <x:c r="I1713" s="25" t="n">
        <x:v>1</x:v>
      </x:c>
      <x:c r="J1713" s="25" t="n">
        <x:v>2</x:v>
      </x:c>
      <x:c r="K1713" s="19" t="n">
        <x:f>D1713-IF(H1713=0,1,0)</x:f>
        <x:v>3</x:v>
      </x:c>
      <x:c r="L1713" s="19" t="n">
        <x:f>E1713-IF(H1713=1,1,0)</x:f>
        <x:v>1</x:v>
      </x:c>
      <x:c r="M1713" s="19" t="n">
        <x:f>F1713-IF(H1713=2,1,0)</x:f>
        <x:v>1</x:v>
      </x:c>
      <x:c r="N1713" s="19" t="n">
        <x:f>MAX(K1713-1,0)+MAX(L1713-1,0)+MAX(M1713-1,0)</x:f>
        <x:v>2</x:v>
      </x:c>
      <x:c r="O1713" s="19" t="n">
        <x:f>IF(AND(SUM(K1713:M1713)&lt;9,OR(M1713=0,N1713&lt;6)),1,0)</x:f>
        <x:v>1</x:v>
      </x:c>
      <x:c r="P1713" s="19" t="n">
        <x:f>IF(AND(SUM(K1713:M1713)&lt;9,OR(L1713=0,N1713&lt;6)),1,0)</x:f>
        <x:v>1</x:v>
      </x:c>
      <x:c r="Q1713" s="19" t="n">
        <x:f>IF(AND(SUM(K1713:M1713)&lt;9,OR(K1713=0,N1713&lt;6)),1,0)</x:f>
        <x:v>1</x:v>
      </x:c>
      <x:c r="R1713" s="22" t="str">
        <x:f>O1713&amp;P1713&amp;Q1713</x:f>
        <x:v>111</x:v>
      </x:c>
      <x:c r="S1713" s="19" t="n">
        <x:f>IF(I1713=1,IF(J1713=0,Q1713,IF(J1713=1,P1713,IF(J1713=2,O1713,0))),0)</x:f>
        <x:v>1</x:v>
      </x:c>
      <x:c r="T1713" s="19" t="n">
        <x:f>K1713+IF(AND(S1713=1,J1713=0),1,0)</x:f>
        <x:v>3</x:v>
      </x:c>
      <x:c r="U1713" s="19" t="n">
        <x:f>L1713+IF(AND(S1713=1,J1713=1),1,0)</x:f>
        <x:v>1</x:v>
      </x:c>
      <x:c r="V1713" s="19" t="n">
        <x:f>M1713+IF(AND(S1713=1,J1713=2),1,0)</x:f>
        <x:v>2</x:v>
      </x:c>
      <x:c r="W1713" s="19" t="n">
        <x:f>SUM(T1713:V1713)</x:f>
        <x:v>6</x:v>
      </x:c>
      <x:c r="X1713" s="19" t="n">
        <x:f>W1713-G1713</x:f>
        <x:v>0</x:v>
      </x:c>
      <x:c r="Y1713" s="19" t="n">
        <x:f>MAX(T1713,1)+MAX(U1713,1)+MAX(V1713,1)</x:f>
        <x:v>6</x:v>
      </x:c>
      <x:c r="Z1713" s="21" t="str">
        <x:f>IF(AND(MIN(D1713:F1713)&gt;=0,MAX(D1713:F1713)&lt;=7,MAX(D1713,1)+MAX(E1713,1)+MAX(F1713,1)&lt;=9,OR(H1713="-",AND(H1713=0,D1713&gt;0),AND(H1713=1,E1713&gt;0),AND(H1713=2,F1713&gt;0)),OR(I1713=0,AND(I1713=1,OR(J1713=0,J1713=1,J1713=2),R1713&lt;&gt;"000")),Y1713&lt;=9,MIN(T1713:V1713)&gt;=0),"合法","输入违约")</x:f>
        <x:v>合法</x:v>
      </x:c>
    </x:row>
    <x:row r="1714" ht="23" customHeight="1">
      <x:c r="A1714" s="3" t="str">
        <x:v>CT-1707</x:v>
      </x:c>
      <x:c r="B1714" s="3" t="str">
        <x:v>ST-077</x:v>
      </x:c>
      <x:c r="C1714" s="3" t="str">
        <x:v>仅R回收</x:v>
      </x:c>
      <x:c r="D1714" s="25" t="n">
        <x:v>3</x:v>
      </x:c>
      <x:c r="E1714" s="25" t="n">
        <x:v>2</x:v>
      </x:c>
      <x:c r="F1714" s="25" t="n">
        <x:v>1</x:v>
      </x:c>
      <x:c r="G1714" s="19" t="n">
        <x:f>SUM(D1714:F1714)</x:f>
        <x:v>6</x:v>
      </x:c>
      <x:c r="H1714" s="25" t="n">
        <x:v>2</x:v>
      </x:c>
      <x:c r="I1714" s="25" t="n">
        <x:v>0</x:v>
      </x:c>
      <x:c r="J1714" s="25" t="str">
        <x:v>-</x:v>
      </x:c>
      <x:c r="K1714" s="19" t="n">
        <x:f>D1714-IF(H1714=0,1,0)</x:f>
        <x:v>3</x:v>
      </x:c>
      <x:c r="L1714" s="19" t="n">
        <x:f>E1714-IF(H1714=1,1,0)</x:f>
        <x:v>2</x:v>
      </x:c>
      <x:c r="M1714" s="19" t="n">
        <x:f>F1714-IF(H1714=2,1,0)</x:f>
        <x:v>0</x:v>
      </x:c>
      <x:c r="N1714" s="19" t="n">
        <x:f>MAX(K1714-1,0)+MAX(L1714-1,0)+MAX(M1714-1,0)</x:f>
        <x:v>3</x:v>
      </x:c>
      <x:c r="O1714" s="19" t="n">
        <x:f>IF(AND(SUM(K1714:M1714)&lt;9,OR(M1714=0,N1714&lt;6)),1,0)</x:f>
        <x:v>1</x:v>
      </x:c>
      <x:c r="P1714" s="19" t="n">
        <x:f>IF(AND(SUM(K1714:M1714)&lt;9,OR(L1714=0,N1714&lt;6)),1,0)</x:f>
        <x:v>1</x:v>
      </x:c>
      <x:c r="Q1714" s="19" t="n">
        <x:f>IF(AND(SUM(K1714:M1714)&lt;9,OR(K1714=0,N1714&lt;6)),1,0)</x:f>
        <x:v>1</x:v>
      </x:c>
      <x:c r="R1714" s="22" t="str">
        <x:f>O1714&amp;P1714&amp;Q1714</x:f>
        <x:v>111</x:v>
      </x:c>
      <x:c r="S1714" s="19" t="n">
        <x:f>IF(I1714=1,IF(J1714=0,Q1714,IF(J1714=1,P1714,IF(J1714=2,O1714,0))),0)</x:f>
        <x:v>0</x:v>
      </x:c>
      <x:c r="T1714" s="19" t="n">
        <x:f>K1714+IF(AND(S1714=1,J1714=0),1,0)</x:f>
        <x:v>3</x:v>
      </x:c>
      <x:c r="U1714" s="19" t="n">
        <x:f>L1714+IF(AND(S1714=1,J1714=1),1,0)</x:f>
        <x:v>2</x:v>
      </x:c>
      <x:c r="V1714" s="19" t="n">
        <x:f>M1714+IF(AND(S1714=1,J1714=2),1,0)</x:f>
        <x:v>0</x:v>
      </x:c>
      <x:c r="W1714" s="19" t="n">
        <x:f>SUM(T1714:V1714)</x:f>
        <x:v>5</x:v>
      </x:c>
      <x:c r="X1714" s="19" t="n">
        <x:f>W1714-G1714</x:f>
        <x:v>-1</x:v>
      </x:c>
      <x:c r="Y1714" s="19" t="n">
        <x:f>MAX(T1714,1)+MAX(U1714,1)+MAX(V1714,1)</x:f>
        <x:v>6</x:v>
      </x:c>
      <x:c r="Z1714" s="21" t="str">
        <x:f>IF(AND(MIN(D1714:F1714)&gt;=0,MAX(D1714:F1714)&lt;=7,MAX(D1714,1)+MAX(E1714,1)+MAX(F1714,1)&lt;=9,OR(H1714="-",AND(H1714=0,D1714&gt;0),AND(H1714=1,E1714&gt;0),AND(H1714=2,F1714&gt;0)),OR(I1714=0,AND(I1714=1,OR(J1714=0,J1714=1,J1714=2),R1714&lt;&gt;"000")),Y1714&lt;=9,MIN(T1714:V1714)&gt;=0),"合法","输入违约")</x:f>
        <x:v>合法</x:v>
      </x:c>
    </x:row>
    <x:row r="1715" ht="23" customHeight="1">
      <x:c r="A1715" s="3" t="str">
        <x:v>CT-1708</x:v>
      </x:c>
      <x:c r="B1715" s="3" t="str">
        <x:v>ST-077</x:v>
      </x:c>
      <x:c r="C1715" s="3" t="str">
        <x:v>R+AR同收同发</x:v>
      </x:c>
      <x:c r="D1715" s="25" t="n">
        <x:v>3</x:v>
      </x:c>
      <x:c r="E1715" s="25" t="n">
        <x:v>2</x:v>
      </x:c>
      <x:c r="F1715" s="25" t="n">
        <x:v>1</x:v>
      </x:c>
      <x:c r="G1715" s="19" t="n">
        <x:f>SUM(D1715:F1715)</x:f>
        <x:v>6</x:v>
      </x:c>
      <x:c r="H1715" s="25" t="n">
        <x:v>2</x:v>
      </x:c>
      <x:c r="I1715" s="25" t="n">
        <x:v>1</x:v>
      </x:c>
      <x:c r="J1715" s="25" t="n">
        <x:v>0</x:v>
      </x:c>
      <x:c r="K1715" s="19" t="n">
        <x:f>D1715-IF(H1715=0,1,0)</x:f>
        <x:v>3</x:v>
      </x:c>
      <x:c r="L1715" s="19" t="n">
        <x:f>E1715-IF(H1715=1,1,0)</x:f>
        <x:v>2</x:v>
      </x:c>
      <x:c r="M1715" s="19" t="n">
        <x:f>F1715-IF(H1715=2,1,0)</x:f>
        <x:v>0</x:v>
      </x:c>
      <x:c r="N1715" s="19" t="n">
        <x:f>MAX(K1715-1,0)+MAX(L1715-1,0)+MAX(M1715-1,0)</x:f>
        <x:v>3</x:v>
      </x:c>
      <x:c r="O1715" s="19" t="n">
        <x:f>IF(AND(SUM(K1715:M1715)&lt;9,OR(M1715=0,N1715&lt;6)),1,0)</x:f>
        <x:v>1</x:v>
      </x:c>
      <x:c r="P1715" s="19" t="n">
        <x:f>IF(AND(SUM(K1715:M1715)&lt;9,OR(L1715=0,N1715&lt;6)),1,0)</x:f>
        <x:v>1</x:v>
      </x:c>
      <x:c r="Q1715" s="19" t="n">
        <x:f>IF(AND(SUM(K1715:M1715)&lt;9,OR(K1715=0,N1715&lt;6)),1,0)</x:f>
        <x:v>1</x:v>
      </x:c>
      <x:c r="R1715" s="22" t="str">
        <x:f>O1715&amp;P1715&amp;Q1715</x:f>
        <x:v>111</x:v>
      </x:c>
      <x:c r="S1715" s="19" t="n">
        <x:f>IF(I1715=1,IF(J1715=0,Q1715,IF(J1715=1,P1715,IF(J1715=2,O1715,0))),0)</x:f>
        <x:v>1</x:v>
      </x:c>
      <x:c r="T1715" s="19" t="n">
        <x:f>K1715+IF(AND(S1715=1,J1715=0),1,0)</x:f>
        <x:v>4</x:v>
      </x:c>
      <x:c r="U1715" s="19" t="n">
        <x:f>L1715+IF(AND(S1715=1,J1715=1),1,0)</x:f>
        <x:v>2</x:v>
      </x:c>
      <x:c r="V1715" s="19" t="n">
        <x:f>M1715+IF(AND(S1715=1,J1715=2),1,0)</x:f>
        <x:v>0</x:v>
      </x:c>
      <x:c r="W1715" s="19" t="n">
        <x:f>SUM(T1715:V1715)</x:f>
        <x:v>6</x:v>
      </x:c>
      <x:c r="X1715" s="19" t="n">
        <x:f>W1715-G1715</x:f>
        <x:v>0</x:v>
      </x:c>
      <x:c r="Y1715" s="19" t="n">
        <x:f>MAX(T1715,1)+MAX(U1715,1)+MAX(V1715,1)</x:f>
        <x:v>7</x:v>
      </x:c>
      <x:c r="Z1715" s="21" t="str">
        <x:f>IF(AND(MIN(D1715:F1715)&gt;=0,MAX(D1715:F1715)&lt;=7,MAX(D1715,1)+MAX(E1715,1)+MAX(F1715,1)&lt;=9,OR(H1715="-",AND(H1715=0,D1715&gt;0),AND(H1715=1,E1715&gt;0),AND(H1715=2,F1715&gt;0)),OR(I1715=0,AND(I1715=1,OR(J1715=0,J1715=1,J1715=2),R1715&lt;&gt;"000")),Y1715&lt;=9,MIN(T1715:V1715)&gt;=0),"合法","输入违约")</x:f>
        <x:v>合法</x:v>
      </x:c>
    </x:row>
    <x:row r="1716" ht="23" customHeight="1">
      <x:c r="A1716" s="3" t="str">
        <x:v>CT-1709</x:v>
      </x:c>
      <x:c r="B1716" s="3" t="str">
        <x:v>ST-077</x:v>
      </x:c>
      <x:c r="C1716" s="3" t="str">
        <x:v>R+AR同收同发</x:v>
      </x:c>
      <x:c r="D1716" s="25" t="n">
        <x:v>3</x:v>
      </x:c>
      <x:c r="E1716" s="25" t="n">
        <x:v>2</x:v>
      </x:c>
      <x:c r="F1716" s="25" t="n">
        <x:v>1</x:v>
      </x:c>
      <x:c r="G1716" s="19" t="n">
        <x:f>SUM(D1716:F1716)</x:f>
        <x:v>6</x:v>
      </x:c>
      <x:c r="H1716" s="25" t="n">
        <x:v>2</x:v>
      </x:c>
      <x:c r="I1716" s="25" t="n">
        <x:v>1</x:v>
      </x:c>
      <x:c r="J1716" s="25" t="n">
        <x:v>1</x:v>
      </x:c>
      <x:c r="K1716" s="19" t="n">
        <x:f>D1716-IF(H1716=0,1,0)</x:f>
        <x:v>3</x:v>
      </x:c>
      <x:c r="L1716" s="19" t="n">
        <x:f>E1716-IF(H1716=1,1,0)</x:f>
        <x:v>2</x:v>
      </x:c>
      <x:c r="M1716" s="19" t="n">
        <x:f>F1716-IF(H1716=2,1,0)</x:f>
        <x:v>0</x:v>
      </x:c>
      <x:c r="N1716" s="19" t="n">
        <x:f>MAX(K1716-1,0)+MAX(L1716-1,0)+MAX(M1716-1,0)</x:f>
        <x:v>3</x:v>
      </x:c>
      <x:c r="O1716" s="19" t="n">
        <x:f>IF(AND(SUM(K1716:M1716)&lt;9,OR(M1716=0,N1716&lt;6)),1,0)</x:f>
        <x:v>1</x:v>
      </x:c>
      <x:c r="P1716" s="19" t="n">
        <x:f>IF(AND(SUM(K1716:M1716)&lt;9,OR(L1716=0,N1716&lt;6)),1,0)</x:f>
        <x:v>1</x:v>
      </x:c>
      <x:c r="Q1716" s="19" t="n">
        <x:f>IF(AND(SUM(K1716:M1716)&lt;9,OR(K1716=0,N1716&lt;6)),1,0)</x:f>
        <x:v>1</x:v>
      </x:c>
      <x:c r="R1716" s="22" t="str">
        <x:f>O1716&amp;P1716&amp;Q1716</x:f>
        <x:v>111</x:v>
      </x:c>
      <x:c r="S1716" s="19" t="n">
        <x:f>IF(I1716=1,IF(J1716=0,Q1716,IF(J1716=1,P1716,IF(J1716=2,O1716,0))),0)</x:f>
        <x:v>1</x:v>
      </x:c>
      <x:c r="T1716" s="19" t="n">
        <x:f>K1716+IF(AND(S1716=1,J1716=0),1,0)</x:f>
        <x:v>3</x:v>
      </x:c>
      <x:c r="U1716" s="19" t="n">
        <x:f>L1716+IF(AND(S1716=1,J1716=1),1,0)</x:f>
        <x:v>3</x:v>
      </x:c>
      <x:c r="V1716" s="19" t="n">
        <x:f>M1716+IF(AND(S1716=1,J1716=2),1,0)</x:f>
        <x:v>0</x:v>
      </x:c>
      <x:c r="W1716" s="19" t="n">
        <x:f>SUM(T1716:V1716)</x:f>
        <x:v>6</x:v>
      </x:c>
      <x:c r="X1716" s="19" t="n">
        <x:f>W1716-G1716</x:f>
        <x:v>0</x:v>
      </x:c>
      <x:c r="Y1716" s="19" t="n">
        <x:f>MAX(T1716,1)+MAX(U1716,1)+MAX(V1716,1)</x:f>
        <x:v>7</x:v>
      </x:c>
      <x:c r="Z1716" s="21" t="str">
        <x:f>IF(AND(MIN(D1716:F1716)&gt;=0,MAX(D1716:F1716)&lt;=7,MAX(D1716,1)+MAX(E1716,1)+MAX(F1716,1)&lt;=9,OR(H1716="-",AND(H1716=0,D1716&gt;0),AND(H1716=1,E1716&gt;0),AND(H1716=2,F1716&gt;0)),OR(I1716=0,AND(I1716=1,OR(J1716=0,J1716=1,J1716=2),R1716&lt;&gt;"000")),Y1716&lt;=9,MIN(T1716:V1716)&gt;=0),"合法","输入违约")</x:f>
        <x:v>合法</x:v>
      </x:c>
    </x:row>
    <x:row r="1717" ht="23" customHeight="1">
      <x:c r="A1717" s="3" t="str">
        <x:v>CT-1710</x:v>
      </x:c>
      <x:c r="B1717" s="3" t="str">
        <x:v>ST-077</x:v>
      </x:c>
      <x:c r="C1717" s="3" t="str">
        <x:v>R+AR同收同发</x:v>
      </x:c>
      <x:c r="D1717" s="25" t="n">
        <x:v>3</x:v>
      </x:c>
      <x:c r="E1717" s="25" t="n">
        <x:v>2</x:v>
      </x:c>
      <x:c r="F1717" s="25" t="n">
        <x:v>1</x:v>
      </x:c>
      <x:c r="G1717" s="19" t="n">
        <x:f>SUM(D1717:F1717)</x:f>
        <x:v>6</x:v>
      </x:c>
      <x:c r="H1717" s="25" t="n">
        <x:v>2</x:v>
      </x:c>
      <x:c r="I1717" s="25" t="n">
        <x:v>1</x:v>
      </x:c>
      <x:c r="J1717" s="25" t="n">
        <x:v>2</x:v>
      </x:c>
      <x:c r="K1717" s="19" t="n">
        <x:f>D1717-IF(H1717=0,1,0)</x:f>
        <x:v>3</x:v>
      </x:c>
      <x:c r="L1717" s="19" t="n">
        <x:f>E1717-IF(H1717=1,1,0)</x:f>
        <x:v>2</x:v>
      </x:c>
      <x:c r="M1717" s="19" t="n">
        <x:f>F1717-IF(H1717=2,1,0)</x:f>
        <x:v>0</x:v>
      </x:c>
      <x:c r="N1717" s="19" t="n">
        <x:f>MAX(K1717-1,0)+MAX(L1717-1,0)+MAX(M1717-1,0)</x:f>
        <x:v>3</x:v>
      </x:c>
      <x:c r="O1717" s="19" t="n">
        <x:f>IF(AND(SUM(K1717:M1717)&lt;9,OR(M1717=0,N1717&lt;6)),1,0)</x:f>
        <x:v>1</x:v>
      </x:c>
      <x:c r="P1717" s="19" t="n">
        <x:f>IF(AND(SUM(K1717:M1717)&lt;9,OR(L1717=0,N1717&lt;6)),1,0)</x:f>
        <x:v>1</x:v>
      </x:c>
      <x:c r="Q1717" s="19" t="n">
        <x:f>IF(AND(SUM(K1717:M1717)&lt;9,OR(K1717=0,N1717&lt;6)),1,0)</x:f>
        <x:v>1</x:v>
      </x:c>
      <x:c r="R1717" s="22" t="str">
        <x:f>O1717&amp;P1717&amp;Q1717</x:f>
        <x:v>111</x:v>
      </x:c>
      <x:c r="S1717" s="19" t="n">
        <x:f>IF(I1717=1,IF(J1717=0,Q1717,IF(J1717=1,P1717,IF(J1717=2,O1717,0))),0)</x:f>
        <x:v>1</x:v>
      </x:c>
      <x:c r="T1717" s="19" t="n">
        <x:f>K1717+IF(AND(S1717=1,J1717=0),1,0)</x:f>
        <x:v>3</x:v>
      </x:c>
      <x:c r="U1717" s="19" t="n">
        <x:f>L1717+IF(AND(S1717=1,J1717=1),1,0)</x:f>
        <x:v>2</x:v>
      </x:c>
      <x:c r="V1717" s="19" t="n">
        <x:f>M1717+IF(AND(S1717=1,J1717=2),1,0)</x:f>
        <x:v>1</x:v>
      </x:c>
      <x:c r="W1717" s="19" t="n">
        <x:f>SUM(T1717:V1717)</x:f>
        <x:v>6</x:v>
      </x:c>
      <x:c r="X1717" s="19" t="n">
        <x:f>W1717-G1717</x:f>
        <x:v>0</x:v>
      </x:c>
      <x:c r="Y1717" s="19" t="n">
        <x:f>MAX(T1717,1)+MAX(U1717,1)+MAX(V1717,1)</x:f>
        <x:v>6</x:v>
      </x:c>
      <x:c r="Z1717" s="21" t="str">
        <x:f>IF(AND(MIN(D1717:F1717)&gt;=0,MAX(D1717:F1717)&lt;=7,MAX(D1717,1)+MAX(E1717,1)+MAX(F1717,1)&lt;=9,OR(H1717="-",AND(H1717=0,D1717&gt;0),AND(H1717=1,E1717&gt;0),AND(H1717=2,F1717&gt;0)),OR(I1717=0,AND(I1717=1,OR(J1717=0,J1717=1,J1717=2),R1717&lt;&gt;"000")),Y1717&lt;=9,MIN(T1717:V1717)&gt;=0),"合法","输入违约")</x:f>
        <x:v>合法</x:v>
      </x:c>
    </x:row>
    <x:row r="1718" ht="23" customHeight="1">
      <x:c r="A1718" s="3" t="str">
        <x:v>CT-1711</x:v>
      </x:c>
      <x:c r="B1718" s="3" t="str">
        <x:v>ST-108</x:v>
      </x:c>
      <x:c r="C1718" s="3" t="str">
        <x:v>无AR/R</x:v>
      </x:c>
      <x:c r="D1718" s="25" t="n">
        <x:v>3</x:v>
      </x:c>
      <x:c r="E1718" s="25" t="n">
        <x:v>2</x:v>
      </x:c>
      <x:c r="F1718" s="25" t="n">
        <x:v>2</x:v>
      </x:c>
      <x:c r="G1718" s="19" t="n">
        <x:f>SUM(D1718:F1718)</x:f>
        <x:v>7</x:v>
      </x:c>
      <x:c r="H1718" s="25" t="str">
        <x:v>-</x:v>
      </x:c>
      <x:c r="I1718" s="25" t="n">
        <x:v>0</x:v>
      </x:c>
      <x:c r="J1718" s="25" t="str">
        <x:v>-</x:v>
      </x:c>
      <x:c r="K1718" s="19" t="n">
        <x:f>D1718-IF(H1718=0,1,0)</x:f>
        <x:v>3</x:v>
      </x:c>
      <x:c r="L1718" s="19" t="n">
        <x:f>E1718-IF(H1718=1,1,0)</x:f>
        <x:v>2</x:v>
      </x:c>
      <x:c r="M1718" s="19" t="n">
        <x:f>F1718-IF(H1718=2,1,0)</x:f>
        <x:v>2</x:v>
      </x:c>
      <x:c r="N1718" s="19" t="n">
        <x:f>MAX(K1718-1,0)+MAX(L1718-1,0)+MAX(M1718-1,0)</x:f>
        <x:v>4</x:v>
      </x:c>
      <x:c r="O1718" s="19" t="n">
        <x:f>IF(AND(SUM(K1718:M1718)&lt;9,OR(M1718=0,N1718&lt;6)),1,0)</x:f>
        <x:v>1</x:v>
      </x:c>
      <x:c r="P1718" s="19" t="n">
        <x:f>IF(AND(SUM(K1718:M1718)&lt;9,OR(L1718=0,N1718&lt;6)),1,0)</x:f>
        <x:v>1</x:v>
      </x:c>
      <x:c r="Q1718" s="19" t="n">
        <x:f>IF(AND(SUM(K1718:M1718)&lt;9,OR(K1718=0,N1718&lt;6)),1,0)</x:f>
        <x:v>1</x:v>
      </x:c>
      <x:c r="R1718" s="22" t="str">
        <x:f>O1718&amp;P1718&amp;Q1718</x:f>
        <x:v>111</x:v>
      </x:c>
      <x:c r="S1718" s="19" t="n">
        <x:f>IF(I1718=1,IF(J1718=0,Q1718,IF(J1718=1,P1718,IF(J1718=2,O1718,0))),0)</x:f>
        <x:v>0</x:v>
      </x:c>
      <x:c r="T1718" s="19" t="n">
        <x:f>K1718+IF(AND(S1718=1,J1718=0),1,0)</x:f>
        <x:v>3</x:v>
      </x:c>
      <x:c r="U1718" s="19" t="n">
        <x:f>L1718+IF(AND(S1718=1,J1718=1),1,0)</x:f>
        <x:v>2</x:v>
      </x:c>
      <x:c r="V1718" s="19" t="n">
        <x:f>M1718+IF(AND(S1718=1,J1718=2),1,0)</x:f>
        <x:v>2</x:v>
      </x:c>
      <x:c r="W1718" s="19" t="n">
        <x:f>SUM(T1718:V1718)</x:f>
        <x:v>7</x:v>
      </x:c>
      <x:c r="X1718" s="19" t="n">
        <x:f>W1718-G1718</x:f>
        <x:v>0</x:v>
      </x:c>
      <x:c r="Y1718" s="19" t="n">
        <x:f>MAX(T1718,1)+MAX(U1718,1)+MAX(V1718,1)</x:f>
        <x:v>7</x:v>
      </x:c>
      <x:c r="Z1718" s="21" t="str">
        <x:f>IF(AND(MIN(D1718:F1718)&gt;=0,MAX(D1718:F1718)&lt;=7,MAX(D1718,1)+MAX(E1718,1)+MAX(F1718,1)&lt;=9,OR(H1718="-",AND(H1718=0,D1718&gt;0),AND(H1718=1,E1718&gt;0),AND(H1718=2,F1718&gt;0)),OR(I1718=0,AND(I1718=1,OR(J1718=0,J1718=1,J1718=2),R1718&lt;&gt;"000")),Y1718&lt;=9,MIN(T1718:V1718)&gt;=0),"合法","输入违约")</x:f>
        <x:v>合法</x:v>
      </x:c>
    </x:row>
    <x:row r="1719" ht="23" customHeight="1">
      <x:c r="A1719" s="3" t="str">
        <x:v>CT-1712</x:v>
      </x:c>
      <x:c r="B1719" s="3" t="str">
        <x:v>ST-108</x:v>
      </x:c>
      <x:c r="C1719" s="3" t="str">
        <x:v>仅AR接收</x:v>
      </x:c>
      <x:c r="D1719" s="25" t="n">
        <x:v>3</x:v>
      </x:c>
      <x:c r="E1719" s="25" t="n">
        <x:v>2</x:v>
      </x:c>
      <x:c r="F1719" s="25" t="n">
        <x:v>2</x:v>
      </x:c>
      <x:c r="G1719" s="19" t="n">
        <x:f>SUM(D1719:F1719)</x:f>
        <x:v>7</x:v>
      </x:c>
      <x:c r="H1719" s="25" t="str">
        <x:v>-</x:v>
      </x:c>
      <x:c r="I1719" s="25" t="n">
        <x:v>1</x:v>
      </x:c>
      <x:c r="J1719" s="25" t="n">
        <x:v>0</x:v>
      </x:c>
      <x:c r="K1719" s="19" t="n">
        <x:f>D1719-IF(H1719=0,1,0)</x:f>
        <x:v>3</x:v>
      </x:c>
      <x:c r="L1719" s="19" t="n">
        <x:f>E1719-IF(H1719=1,1,0)</x:f>
        <x:v>2</x:v>
      </x:c>
      <x:c r="M1719" s="19" t="n">
        <x:f>F1719-IF(H1719=2,1,0)</x:f>
        <x:v>2</x:v>
      </x:c>
      <x:c r="N1719" s="19" t="n">
        <x:f>MAX(K1719-1,0)+MAX(L1719-1,0)+MAX(M1719-1,0)</x:f>
        <x:v>4</x:v>
      </x:c>
      <x:c r="O1719" s="19" t="n">
        <x:f>IF(AND(SUM(K1719:M1719)&lt;9,OR(M1719=0,N1719&lt;6)),1,0)</x:f>
        <x:v>1</x:v>
      </x:c>
      <x:c r="P1719" s="19" t="n">
        <x:f>IF(AND(SUM(K1719:M1719)&lt;9,OR(L1719=0,N1719&lt;6)),1,0)</x:f>
        <x:v>1</x:v>
      </x:c>
      <x:c r="Q1719" s="19" t="n">
        <x:f>IF(AND(SUM(K1719:M1719)&lt;9,OR(K1719=0,N1719&lt;6)),1,0)</x:f>
        <x:v>1</x:v>
      </x:c>
      <x:c r="R1719" s="22" t="str">
        <x:f>O1719&amp;P1719&amp;Q1719</x:f>
        <x:v>111</x:v>
      </x:c>
      <x:c r="S1719" s="19" t="n">
        <x:f>IF(I1719=1,IF(J1719=0,Q1719,IF(J1719=1,P1719,IF(J1719=2,O1719,0))),0)</x:f>
        <x:v>1</x:v>
      </x:c>
      <x:c r="T1719" s="19" t="n">
        <x:f>K1719+IF(AND(S1719=1,J1719=0),1,0)</x:f>
        <x:v>4</x:v>
      </x:c>
      <x:c r="U1719" s="19" t="n">
        <x:f>L1719+IF(AND(S1719=1,J1719=1),1,0)</x:f>
        <x:v>2</x:v>
      </x:c>
      <x:c r="V1719" s="19" t="n">
        <x:f>M1719+IF(AND(S1719=1,J1719=2),1,0)</x:f>
        <x:v>2</x:v>
      </x:c>
      <x:c r="W1719" s="19" t="n">
        <x:f>SUM(T1719:V1719)</x:f>
        <x:v>8</x:v>
      </x:c>
      <x:c r="X1719" s="19" t="n">
        <x:f>W1719-G1719</x:f>
        <x:v>1</x:v>
      </x:c>
      <x:c r="Y1719" s="19" t="n">
        <x:f>MAX(T1719,1)+MAX(U1719,1)+MAX(V1719,1)</x:f>
        <x:v>8</x:v>
      </x:c>
      <x:c r="Z1719" s="21" t="str">
        <x:f>IF(AND(MIN(D1719:F1719)&gt;=0,MAX(D1719:F1719)&lt;=7,MAX(D1719,1)+MAX(E1719,1)+MAX(F1719,1)&lt;=9,OR(H1719="-",AND(H1719=0,D1719&gt;0),AND(H1719=1,E1719&gt;0),AND(H1719=2,F1719&gt;0)),OR(I1719=0,AND(I1719=1,OR(J1719=0,J1719=1,J1719=2),R1719&lt;&gt;"000")),Y1719&lt;=9,MIN(T1719:V1719)&gt;=0),"合法","输入违约")</x:f>
        <x:v>合法</x:v>
      </x:c>
    </x:row>
    <x:row r="1720" ht="23" customHeight="1">
      <x:c r="A1720" s="3" t="str">
        <x:v>CT-1713</x:v>
      </x:c>
      <x:c r="B1720" s="3" t="str">
        <x:v>ST-108</x:v>
      </x:c>
      <x:c r="C1720" s="3" t="str">
        <x:v>仅AR接收</x:v>
      </x:c>
      <x:c r="D1720" s="25" t="n">
        <x:v>3</x:v>
      </x:c>
      <x:c r="E1720" s="25" t="n">
        <x:v>2</x:v>
      </x:c>
      <x:c r="F1720" s="25" t="n">
        <x:v>2</x:v>
      </x:c>
      <x:c r="G1720" s="19" t="n">
        <x:f>SUM(D1720:F1720)</x:f>
        <x:v>7</x:v>
      </x:c>
      <x:c r="H1720" s="25" t="str">
        <x:v>-</x:v>
      </x:c>
      <x:c r="I1720" s="25" t="n">
        <x:v>1</x:v>
      </x:c>
      <x:c r="J1720" s="25" t="n">
        <x:v>1</x:v>
      </x:c>
      <x:c r="K1720" s="19" t="n">
        <x:f>D1720-IF(H1720=0,1,0)</x:f>
        <x:v>3</x:v>
      </x:c>
      <x:c r="L1720" s="19" t="n">
        <x:f>E1720-IF(H1720=1,1,0)</x:f>
        <x:v>2</x:v>
      </x:c>
      <x:c r="M1720" s="19" t="n">
        <x:f>F1720-IF(H1720=2,1,0)</x:f>
        <x:v>2</x:v>
      </x:c>
      <x:c r="N1720" s="19" t="n">
        <x:f>MAX(K1720-1,0)+MAX(L1720-1,0)+MAX(M1720-1,0)</x:f>
        <x:v>4</x:v>
      </x:c>
      <x:c r="O1720" s="19" t="n">
        <x:f>IF(AND(SUM(K1720:M1720)&lt;9,OR(M1720=0,N1720&lt;6)),1,0)</x:f>
        <x:v>1</x:v>
      </x:c>
      <x:c r="P1720" s="19" t="n">
        <x:f>IF(AND(SUM(K1720:M1720)&lt;9,OR(L1720=0,N1720&lt;6)),1,0)</x:f>
        <x:v>1</x:v>
      </x:c>
      <x:c r="Q1720" s="19" t="n">
        <x:f>IF(AND(SUM(K1720:M1720)&lt;9,OR(K1720=0,N1720&lt;6)),1,0)</x:f>
        <x:v>1</x:v>
      </x:c>
      <x:c r="R1720" s="22" t="str">
        <x:f>O1720&amp;P1720&amp;Q1720</x:f>
        <x:v>111</x:v>
      </x:c>
      <x:c r="S1720" s="19" t="n">
        <x:f>IF(I1720=1,IF(J1720=0,Q1720,IF(J1720=1,P1720,IF(J1720=2,O1720,0))),0)</x:f>
        <x:v>1</x:v>
      </x:c>
      <x:c r="T1720" s="19" t="n">
        <x:f>K1720+IF(AND(S1720=1,J1720=0),1,0)</x:f>
        <x:v>3</x:v>
      </x:c>
      <x:c r="U1720" s="19" t="n">
        <x:f>L1720+IF(AND(S1720=1,J1720=1),1,0)</x:f>
        <x:v>3</x:v>
      </x:c>
      <x:c r="V1720" s="19" t="n">
        <x:f>M1720+IF(AND(S1720=1,J1720=2),1,0)</x:f>
        <x:v>2</x:v>
      </x:c>
      <x:c r="W1720" s="19" t="n">
        <x:f>SUM(T1720:V1720)</x:f>
        <x:v>8</x:v>
      </x:c>
      <x:c r="X1720" s="19" t="n">
        <x:f>W1720-G1720</x:f>
        <x:v>1</x:v>
      </x:c>
      <x:c r="Y1720" s="19" t="n">
        <x:f>MAX(T1720,1)+MAX(U1720,1)+MAX(V1720,1)</x:f>
        <x:v>8</x:v>
      </x:c>
      <x:c r="Z1720" s="21" t="str">
        <x:f>IF(AND(MIN(D1720:F1720)&gt;=0,MAX(D1720:F1720)&lt;=7,MAX(D1720,1)+MAX(E1720,1)+MAX(F1720,1)&lt;=9,OR(H1720="-",AND(H1720=0,D1720&gt;0),AND(H1720=1,E1720&gt;0),AND(H1720=2,F1720&gt;0)),OR(I1720=0,AND(I1720=1,OR(J1720=0,J1720=1,J1720=2),R1720&lt;&gt;"000")),Y1720&lt;=9,MIN(T1720:V1720)&gt;=0),"合法","输入违约")</x:f>
        <x:v>合法</x:v>
      </x:c>
    </x:row>
    <x:row r="1721" ht="23" customHeight="1">
      <x:c r="A1721" s="3" t="str">
        <x:v>CT-1714</x:v>
      </x:c>
      <x:c r="B1721" s="3" t="str">
        <x:v>ST-108</x:v>
      </x:c>
      <x:c r="C1721" s="3" t="str">
        <x:v>仅AR接收</x:v>
      </x:c>
      <x:c r="D1721" s="25" t="n">
        <x:v>3</x:v>
      </x:c>
      <x:c r="E1721" s="25" t="n">
        <x:v>2</x:v>
      </x:c>
      <x:c r="F1721" s="25" t="n">
        <x:v>2</x:v>
      </x:c>
      <x:c r="G1721" s="19" t="n">
        <x:f>SUM(D1721:F1721)</x:f>
        <x:v>7</x:v>
      </x:c>
      <x:c r="H1721" s="25" t="str">
        <x:v>-</x:v>
      </x:c>
      <x:c r="I1721" s="25" t="n">
        <x:v>1</x:v>
      </x:c>
      <x:c r="J1721" s="25" t="n">
        <x:v>2</x:v>
      </x:c>
      <x:c r="K1721" s="19" t="n">
        <x:f>D1721-IF(H1721=0,1,0)</x:f>
        <x:v>3</x:v>
      </x:c>
      <x:c r="L1721" s="19" t="n">
        <x:f>E1721-IF(H1721=1,1,0)</x:f>
        <x:v>2</x:v>
      </x:c>
      <x:c r="M1721" s="19" t="n">
        <x:f>F1721-IF(H1721=2,1,0)</x:f>
        <x:v>2</x:v>
      </x:c>
      <x:c r="N1721" s="19" t="n">
        <x:f>MAX(K1721-1,0)+MAX(L1721-1,0)+MAX(M1721-1,0)</x:f>
        <x:v>4</x:v>
      </x:c>
      <x:c r="O1721" s="19" t="n">
        <x:f>IF(AND(SUM(K1721:M1721)&lt;9,OR(M1721=0,N1721&lt;6)),1,0)</x:f>
        <x:v>1</x:v>
      </x:c>
      <x:c r="P1721" s="19" t="n">
        <x:f>IF(AND(SUM(K1721:M1721)&lt;9,OR(L1721=0,N1721&lt;6)),1,0)</x:f>
        <x:v>1</x:v>
      </x:c>
      <x:c r="Q1721" s="19" t="n">
        <x:f>IF(AND(SUM(K1721:M1721)&lt;9,OR(K1721=0,N1721&lt;6)),1,0)</x:f>
        <x:v>1</x:v>
      </x:c>
      <x:c r="R1721" s="22" t="str">
        <x:f>O1721&amp;P1721&amp;Q1721</x:f>
        <x:v>111</x:v>
      </x:c>
      <x:c r="S1721" s="19" t="n">
        <x:f>IF(I1721=1,IF(J1721=0,Q1721,IF(J1721=1,P1721,IF(J1721=2,O1721,0))),0)</x:f>
        <x:v>1</x:v>
      </x:c>
      <x:c r="T1721" s="19" t="n">
        <x:f>K1721+IF(AND(S1721=1,J1721=0),1,0)</x:f>
        <x:v>3</x:v>
      </x:c>
      <x:c r="U1721" s="19" t="n">
        <x:f>L1721+IF(AND(S1721=1,J1721=1),1,0)</x:f>
        <x:v>2</x:v>
      </x:c>
      <x:c r="V1721" s="19" t="n">
        <x:f>M1721+IF(AND(S1721=1,J1721=2),1,0)</x:f>
        <x:v>3</x:v>
      </x:c>
      <x:c r="W1721" s="19" t="n">
        <x:f>SUM(T1721:V1721)</x:f>
        <x:v>8</x:v>
      </x:c>
      <x:c r="X1721" s="19" t="n">
        <x:f>W1721-G1721</x:f>
        <x:v>1</x:v>
      </x:c>
      <x:c r="Y1721" s="19" t="n">
        <x:f>MAX(T1721,1)+MAX(U1721,1)+MAX(V1721,1)</x:f>
        <x:v>8</x:v>
      </x:c>
      <x:c r="Z1721" s="21" t="str">
        <x:f>IF(AND(MIN(D1721:F1721)&gt;=0,MAX(D1721:F1721)&lt;=7,MAX(D1721,1)+MAX(E1721,1)+MAX(F1721,1)&lt;=9,OR(H1721="-",AND(H1721=0,D1721&gt;0),AND(H1721=1,E1721&gt;0),AND(H1721=2,F1721&gt;0)),OR(I1721=0,AND(I1721=1,OR(J1721=0,J1721=1,J1721=2),R1721&lt;&gt;"000")),Y1721&lt;=9,MIN(T1721:V1721)&gt;=0),"合法","输入违约")</x:f>
        <x:v>合法</x:v>
      </x:c>
    </x:row>
    <x:row r="1722" ht="23" customHeight="1">
      <x:c r="A1722" s="3" t="str">
        <x:v>CT-1715</x:v>
      </x:c>
      <x:c r="B1722" s="3" t="str">
        <x:v>ST-108</x:v>
      </x:c>
      <x:c r="C1722" s="3" t="str">
        <x:v>仅R回收</x:v>
      </x:c>
      <x:c r="D1722" s="25" t="n">
        <x:v>3</x:v>
      </x:c>
      <x:c r="E1722" s="25" t="n">
        <x:v>2</x:v>
      </x:c>
      <x:c r="F1722" s="25" t="n">
        <x:v>2</x:v>
      </x:c>
      <x:c r="G1722" s="19" t="n">
        <x:f>SUM(D1722:F1722)</x:f>
        <x:v>7</x:v>
      </x:c>
      <x:c r="H1722" s="25" t="n">
        <x:v>0</x:v>
      </x:c>
      <x:c r="I1722" s="25" t="n">
        <x:v>0</x:v>
      </x:c>
      <x:c r="J1722" s="25" t="str">
        <x:v>-</x:v>
      </x:c>
      <x:c r="K1722" s="19" t="n">
        <x:f>D1722-IF(H1722=0,1,0)</x:f>
        <x:v>2</x:v>
      </x:c>
      <x:c r="L1722" s="19" t="n">
        <x:f>E1722-IF(H1722=1,1,0)</x:f>
        <x:v>2</x:v>
      </x:c>
      <x:c r="M1722" s="19" t="n">
        <x:f>F1722-IF(H1722=2,1,0)</x:f>
        <x:v>2</x:v>
      </x:c>
      <x:c r="N1722" s="19" t="n">
        <x:f>MAX(K1722-1,0)+MAX(L1722-1,0)+MAX(M1722-1,0)</x:f>
        <x:v>3</x:v>
      </x:c>
      <x:c r="O1722" s="19" t="n">
        <x:f>IF(AND(SUM(K1722:M1722)&lt;9,OR(M1722=0,N1722&lt;6)),1,0)</x:f>
        <x:v>1</x:v>
      </x:c>
      <x:c r="P1722" s="19" t="n">
        <x:f>IF(AND(SUM(K1722:M1722)&lt;9,OR(L1722=0,N1722&lt;6)),1,0)</x:f>
        <x:v>1</x:v>
      </x:c>
      <x:c r="Q1722" s="19" t="n">
        <x:f>IF(AND(SUM(K1722:M1722)&lt;9,OR(K1722=0,N1722&lt;6)),1,0)</x:f>
        <x:v>1</x:v>
      </x:c>
      <x:c r="R1722" s="22" t="str">
        <x:f>O1722&amp;P1722&amp;Q1722</x:f>
        <x:v>111</x:v>
      </x:c>
      <x:c r="S1722" s="19" t="n">
        <x:f>IF(I1722=1,IF(J1722=0,Q1722,IF(J1722=1,P1722,IF(J1722=2,O1722,0))),0)</x:f>
        <x:v>0</x:v>
      </x:c>
      <x:c r="T1722" s="19" t="n">
        <x:f>K1722+IF(AND(S1722=1,J1722=0),1,0)</x:f>
        <x:v>2</x:v>
      </x:c>
      <x:c r="U1722" s="19" t="n">
        <x:f>L1722+IF(AND(S1722=1,J1722=1),1,0)</x:f>
        <x:v>2</x:v>
      </x:c>
      <x:c r="V1722" s="19" t="n">
        <x:f>M1722+IF(AND(S1722=1,J1722=2),1,0)</x:f>
        <x:v>2</x:v>
      </x:c>
      <x:c r="W1722" s="19" t="n">
        <x:f>SUM(T1722:V1722)</x:f>
        <x:v>6</x:v>
      </x:c>
      <x:c r="X1722" s="19" t="n">
        <x:f>W1722-G1722</x:f>
        <x:v>-1</x:v>
      </x:c>
      <x:c r="Y1722" s="19" t="n">
        <x:f>MAX(T1722,1)+MAX(U1722,1)+MAX(V1722,1)</x:f>
        <x:v>6</x:v>
      </x:c>
      <x:c r="Z1722" s="21" t="str">
        <x:f>IF(AND(MIN(D1722:F1722)&gt;=0,MAX(D1722:F1722)&lt;=7,MAX(D1722,1)+MAX(E1722,1)+MAX(F1722,1)&lt;=9,OR(H1722="-",AND(H1722=0,D1722&gt;0),AND(H1722=1,E1722&gt;0),AND(H1722=2,F1722&gt;0)),OR(I1722=0,AND(I1722=1,OR(J1722=0,J1722=1,J1722=2),R1722&lt;&gt;"000")),Y1722&lt;=9,MIN(T1722:V1722)&gt;=0),"合法","输入违约")</x:f>
        <x:v>合法</x:v>
      </x:c>
    </x:row>
    <x:row r="1723" ht="23" customHeight="1">
      <x:c r="A1723" s="3" t="str">
        <x:v>CT-1716</x:v>
      </x:c>
      <x:c r="B1723" s="3" t="str">
        <x:v>ST-108</x:v>
      </x:c>
      <x:c r="C1723" s="3" t="str">
        <x:v>R+AR同收同发</x:v>
      </x:c>
      <x:c r="D1723" s="25" t="n">
        <x:v>3</x:v>
      </x:c>
      <x:c r="E1723" s="25" t="n">
        <x:v>2</x:v>
      </x:c>
      <x:c r="F1723" s="25" t="n">
        <x:v>2</x:v>
      </x:c>
      <x:c r="G1723" s="19" t="n">
        <x:f>SUM(D1723:F1723)</x:f>
        <x:v>7</x:v>
      </x:c>
      <x:c r="H1723" s="25" t="n">
        <x:v>0</x:v>
      </x:c>
      <x:c r="I1723" s="25" t="n">
        <x:v>1</x:v>
      </x:c>
      <x:c r="J1723" s="25" t="n">
        <x:v>0</x:v>
      </x:c>
      <x:c r="K1723" s="19" t="n">
        <x:f>D1723-IF(H1723=0,1,0)</x:f>
        <x:v>2</x:v>
      </x:c>
      <x:c r="L1723" s="19" t="n">
        <x:f>E1723-IF(H1723=1,1,0)</x:f>
        <x:v>2</x:v>
      </x:c>
      <x:c r="M1723" s="19" t="n">
        <x:f>F1723-IF(H1723=2,1,0)</x:f>
        <x:v>2</x:v>
      </x:c>
      <x:c r="N1723" s="19" t="n">
        <x:f>MAX(K1723-1,0)+MAX(L1723-1,0)+MAX(M1723-1,0)</x:f>
        <x:v>3</x:v>
      </x:c>
      <x:c r="O1723" s="19" t="n">
        <x:f>IF(AND(SUM(K1723:M1723)&lt;9,OR(M1723=0,N1723&lt;6)),1,0)</x:f>
        <x:v>1</x:v>
      </x:c>
      <x:c r="P1723" s="19" t="n">
        <x:f>IF(AND(SUM(K1723:M1723)&lt;9,OR(L1723=0,N1723&lt;6)),1,0)</x:f>
        <x:v>1</x:v>
      </x:c>
      <x:c r="Q1723" s="19" t="n">
        <x:f>IF(AND(SUM(K1723:M1723)&lt;9,OR(K1723=0,N1723&lt;6)),1,0)</x:f>
        <x:v>1</x:v>
      </x:c>
      <x:c r="R1723" s="22" t="str">
        <x:f>O1723&amp;P1723&amp;Q1723</x:f>
        <x:v>111</x:v>
      </x:c>
      <x:c r="S1723" s="19" t="n">
        <x:f>IF(I1723=1,IF(J1723=0,Q1723,IF(J1723=1,P1723,IF(J1723=2,O1723,0))),0)</x:f>
        <x:v>1</x:v>
      </x:c>
      <x:c r="T1723" s="19" t="n">
        <x:f>K1723+IF(AND(S1723=1,J1723=0),1,0)</x:f>
        <x:v>3</x:v>
      </x:c>
      <x:c r="U1723" s="19" t="n">
        <x:f>L1723+IF(AND(S1723=1,J1723=1),1,0)</x:f>
        <x:v>2</x:v>
      </x:c>
      <x:c r="V1723" s="19" t="n">
        <x:f>M1723+IF(AND(S1723=1,J1723=2),1,0)</x:f>
        <x:v>2</x:v>
      </x:c>
      <x:c r="W1723" s="19" t="n">
        <x:f>SUM(T1723:V1723)</x:f>
        <x:v>7</x:v>
      </x:c>
      <x:c r="X1723" s="19" t="n">
        <x:f>W1723-G1723</x:f>
        <x:v>0</x:v>
      </x:c>
      <x:c r="Y1723" s="19" t="n">
        <x:f>MAX(T1723,1)+MAX(U1723,1)+MAX(V1723,1)</x:f>
        <x:v>7</x:v>
      </x:c>
      <x:c r="Z1723" s="21" t="str">
        <x:f>IF(AND(MIN(D1723:F1723)&gt;=0,MAX(D1723:F1723)&lt;=7,MAX(D1723,1)+MAX(E1723,1)+MAX(F1723,1)&lt;=9,OR(H1723="-",AND(H1723=0,D1723&gt;0),AND(H1723=1,E1723&gt;0),AND(H1723=2,F1723&gt;0)),OR(I1723=0,AND(I1723=1,OR(J1723=0,J1723=1,J1723=2),R1723&lt;&gt;"000")),Y1723&lt;=9,MIN(T1723:V1723)&gt;=0),"合法","输入违约")</x:f>
        <x:v>合法</x:v>
      </x:c>
    </x:row>
    <x:row r="1724" ht="23" customHeight="1">
      <x:c r="A1724" s="3" t="str">
        <x:v>CT-1717</x:v>
      </x:c>
      <x:c r="B1724" s="3" t="str">
        <x:v>ST-108</x:v>
      </x:c>
      <x:c r="C1724" s="3" t="str">
        <x:v>R+AR同收同发</x:v>
      </x:c>
      <x:c r="D1724" s="25" t="n">
        <x:v>3</x:v>
      </x:c>
      <x:c r="E1724" s="25" t="n">
        <x:v>2</x:v>
      </x:c>
      <x:c r="F1724" s="25" t="n">
        <x:v>2</x:v>
      </x:c>
      <x:c r="G1724" s="19" t="n">
        <x:f>SUM(D1724:F1724)</x:f>
        <x:v>7</x:v>
      </x:c>
      <x:c r="H1724" s="25" t="n">
        <x:v>0</x:v>
      </x:c>
      <x:c r="I1724" s="25" t="n">
        <x:v>1</x:v>
      </x:c>
      <x:c r="J1724" s="25" t="n">
        <x:v>1</x:v>
      </x:c>
      <x:c r="K1724" s="19" t="n">
        <x:f>D1724-IF(H1724=0,1,0)</x:f>
        <x:v>2</x:v>
      </x:c>
      <x:c r="L1724" s="19" t="n">
        <x:f>E1724-IF(H1724=1,1,0)</x:f>
        <x:v>2</x:v>
      </x:c>
      <x:c r="M1724" s="19" t="n">
        <x:f>F1724-IF(H1724=2,1,0)</x:f>
        <x:v>2</x:v>
      </x:c>
      <x:c r="N1724" s="19" t="n">
        <x:f>MAX(K1724-1,0)+MAX(L1724-1,0)+MAX(M1724-1,0)</x:f>
        <x:v>3</x:v>
      </x:c>
      <x:c r="O1724" s="19" t="n">
        <x:f>IF(AND(SUM(K1724:M1724)&lt;9,OR(M1724=0,N1724&lt;6)),1,0)</x:f>
        <x:v>1</x:v>
      </x:c>
      <x:c r="P1724" s="19" t="n">
        <x:f>IF(AND(SUM(K1724:M1724)&lt;9,OR(L1724=0,N1724&lt;6)),1,0)</x:f>
        <x:v>1</x:v>
      </x:c>
      <x:c r="Q1724" s="19" t="n">
        <x:f>IF(AND(SUM(K1724:M1724)&lt;9,OR(K1724=0,N1724&lt;6)),1,0)</x:f>
        <x:v>1</x:v>
      </x:c>
      <x:c r="R1724" s="22" t="str">
        <x:f>O1724&amp;P1724&amp;Q1724</x:f>
        <x:v>111</x:v>
      </x:c>
      <x:c r="S1724" s="19" t="n">
        <x:f>IF(I1724=1,IF(J1724=0,Q1724,IF(J1724=1,P1724,IF(J1724=2,O1724,0))),0)</x:f>
        <x:v>1</x:v>
      </x:c>
      <x:c r="T1724" s="19" t="n">
        <x:f>K1724+IF(AND(S1724=1,J1724=0),1,0)</x:f>
        <x:v>2</x:v>
      </x:c>
      <x:c r="U1724" s="19" t="n">
        <x:f>L1724+IF(AND(S1724=1,J1724=1),1,0)</x:f>
        <x:v>3</x:v>
      </x:c>
      <x:c r="V1724" s="19" t="n">
        <x:f>M1724+IF(AND(S1724=1,J1724=2),1,0)</x:f>
        <x:v>2</x:v>
      </x:c>
      <x:c r="W1724" s="19" t="n">
        <x:f>SUM(T1724:V1724)</x:f>
        <x:v>7</x:v>
      </x:c>
      <x:c r="X1724" s="19" t="n">
        <x:f>W1724-G1724</x:f>
        <x:v>0</x:v>
      </x:c>
      <x:c r="Y1724" s="19" t="n">
        <x:f>MAX(T1724,1)+MAX(U1724,1)+MAX(V1724,1)</x:f>
        <x:v>7</x:v>
      </x:c>
      <x:c r="Z1724" s="21" t="str">
        <x:f>IF(AND(MIN(D1724:F1724)&gt;=0,MAX(D1724:F1724)&lt;=7,MAX(D1724,1)+MAX(E1724,1)+MAX(F1724,1)&lt;=9,OR(H1724="-",AND(H1724=0,D1724&gt;0),AND(H1724=1,E1724&gt;0),AND(H1724=2,F1724&gt;0)),OR(I1724=0,AND(I1724=1,OR(J1724=0,J1724=1,J1724=2),R1724&lt;&gt;"000")),Y1724&lt;=9,MIN(T1724:V1724)&gt;=0),"合法","输入违约")</x:f>
        <x:v>合法</x:v>
      </x:c>
    </x:row>
    <x:row r="1725" ht="23" customHeight="1">
      <x:c r="A1725" s="3" t="str">
        <x:v>CT-1718</x:v>
      </x:c>
      <x:c r="B1725" s="3" t="str">
        <x:v>ST-108</x:v>
      </x:c>
      <x:c r="C1725" s="3" t="str">
        <x:v>R+AR同收同发</x:v>
      </x:c>
      <x:c r="D1725" s="25" t="n">
        <x:v>3</x:v>
      </x:c>
      <x:c r="E1725" s="25" t="n">
        <x:v>2</x:v>
      </x:c>
      <x:c r="F1725" s="25" t="n">
        <x:v>2</x:v>
      </x:c>
      <x:c r="G1725" s="19" t="n">
        <x:f>SUM(D1725:F1725)</x:f>
        <x:v>7</x:v>
      </x:c>
      <x:c r="H1725" s="25" t="n">
        <x:v>0</x:v>
      </x:c>
      <x:c r="I1725" s="25" t="n">
        <x:v>1</x:v>
      </x:c>
      <x:c r="J1725" s="25" t="n">
        <x:v>2</x:v>
      </x:c>
      <x:c r="K1725" s="19" t="n">
        <x:f>D1725-IF(H1725=0,1,0)</x:f>
        <x:v>2</x:v>
      </x:c>
      <x:c r="L1725" s="19" t="n">
        <x:f>E1725-IF(H1725=1,1,0)</x:f>
        <x:v>2</x:v>
      </x:c>
      <x:c r="M1725" s="19" t="n">
        <x:f>F1725-IF(H1725=2,1,0)</x:f>
        <x:v>2</x:v>
      </x:c>
      <x:c r="N1725" s="19" t="n">
        <x:f>MAX(K1725-1,0)+MAX(L1725-1,0)+MAX(M1725-1,0)</x:f>
        <x:v>3</x:v>
      </x:c>
      <x:c r="O1725" s="19" t="n">
        <x:f>IF(AND(SUM(K1725:M1725)&lt;9,OR(M1725=0,N1725&lt;6)),1,0)</x:f>
        <x:v>1</x:v>
      </x:c>
      <x:c r="P1725" s="19" t="n">
        <x:f>IF(AND(SUM(K1725:M1725)&lt;9,OR(L1725=0,N1725&lt;6)),1,0)</x:f>
        <x:v>1</x:v>
      </x:c>
      <x:c r="Q1725" s="19" t="n">
        <x:f>IF(AND(SUM(K1725:M1725)&lt;9,OR(K1725=0,N1725&lt;6)),1,0)</x:f>
        <x:v>1</x:v>
      </x:c>
      <x:c r="R1725" s="22" t="str">
        <x:f>O1725&amp;P1725&amp;Q1725</x:f>
        <x:v>111</x:v>
      </x:c>
      <x:c r="S1725" s="19" t="n">
        <x:f>IF(I1725=1,IF(J1725=0,Q1725,IF(J1725=1,P1725,IF(J1725=2,O1725,0))),0)</x:f>
        <x:v>1</x:v>
      </x:c>
      <x:c r="T1725" s="19" t="n">
        <x:f>K1725+IF(AND(S1725=1,J1725=0),1,0)</x:f>
        <x:v>2</x:v>
      </x:c>
      <x:c r="U1725" s="19" t="n">
        <x:f>L1725+IF(AND(S1725=1,J1725=1),1,0)</x:f>
        <x:v>2</x:v>
      </x:c>
      <x:c r="V1725" s="19" t="n">
        <x:f>M1725+IF(AND(S1725=1,J1725=2),1,0)</x:f>
        <x:v>3</x:v>
      </x:c>
      <x:c r="W1725" s="19" t="n">
        <x:f>SUM(T1725:V1725)</x:f>
        <x:v>7</x:v>
      </x:c>
      <x:c r="X1725" s="19" t="n">
        <x:f>W1725-G1725</x:f>
        <x:v>0</x:v>
      </x:c>
      <x:c r="Y1725" s="19" t="n">
        <x:f>MAX(T1725,1)+MAX(U1725,1)+MAX(V1725,1)</x:f>
        <x:v>7</x:v>
      </x:c>
      <x:c r="Z1725" s="21" t="str">
        <x:f>IF(AND(MIN(D1725:F1725)&gt;=0,MAX(D1725:F1725)&lt;=7,MAX(D1725,1)+MAX(E1725,1)+MAX(F1725,1)&lt;=9,OR(H1725="-",AND(H1725=0,D1725&gt;0),AND(H1725=1,E1725&gt;0),AND(H1725=2,F1725&gt;0)),OR(I1725=0,AND(I1725=1,OR(J1725=0,J1725=1,J1725=2),R1725&lt;&gt;"000")),Y1725&lt;=9,MIN(T1725:V1725)&gt;=0),"合法","输入违约")</x:f>
        <x:v>合法</x:v>
      </x:c>
    </x:row>
    <x:row r="1726" ht="23" customHeight="1">
      <x:c r="A1726" s="3" t="str">
        <x:v>CT-1719</x:v>
      </x:c>
      <x:c r="B1726" s="3" t="str">
        <x:v>ST-108</x:v>
      </x:c>
      <x:c r="C1726" s="3" t="str">
        <x:v>仅R回收</x:v>
      </x:c>
      <x:c r="D1726" s="25" t="n">
        <x:v>3</x:v>
      </x:c>
      <x:c r="E1726" s="25" t="n">
        <x:v>2</x:v>
      </x:c>
      <x:c r="F1726" s="25" t="n">
        <x:v>2</x:v>
      </x:c>
      <x:c r="G1726" s="19" t="n">
        <x:f>SUM(D1726:F1726)</x:f>
        <x:v>7</x:v>
      </x:c>
      <x:c r="H1726" s="25" t="n">
        <x:v>1</x:v>
      </x:c>
      <x:c r="I1726" s="25" t="n">
        <x:v>0</x:v>
      </x:c>
      <x:c r="J1726" s="25" t="str">
        <x:v>-</x:v>
      </x:c>
      <x:c r="K1726" s="19" t="n">
        <x:f>D1726-IF(H1726=0,1,0)</x:f>
        <x:v>3</x:v>
      </x:c>
      <x:c r="L1726" s="19" t="n">
        <x:f>E1726-IF(H1726=1,1,0)</x:f>
        <x:v>1</x:v>
      </x:c>
      <x:c r="M1726" s="19" t="n">
        <x:f>F1726-IF(H1726=2,1,0)</x:f>
        <x:v>2</x:v>
      </x:c>
      <x:c r="N1726" s="19" t="n">
        <x:f>MAX(K1726-1,0)+MAX(L1726-1,0)+MAX(M1726-1,0)</x:f>
        <x:v>3</x:v>
      </x:c>
      <x:c r="O1726" s="19" t="n">
        <x:f>IF(AND(SUM(K1726:M1726)&lt;9,OR(M1726=0,N1726&lt;6)),1,0)</x:f>
        <x:v>1</x:v>
      </x:c>
      <x:c r="P1726" s="19" t="n">
        <x:f>IF(AND(SUM(K1726:M1726)&lt;9,OR(L1726=0,N1726&lt;6)),1,0)</x:f>
        <x:v>1</x:v>
      </x:c>
      <x:c r="Q1726" s="19" t="n">
        <x:f>IF(AND(SUM(K1726:M1726)&lt;9,OR(K1726=0,N1726&lt;6)),1,0)</x:f>
        <x:v>1</x:v>
      </x:c>
      <x:c r="R1726" s="22" t="str">
        <x:f>O1726&amp;P1726&amp;Q1726</x:f>
        <x:v>111</x:v>
      </x:c>
      <x:c r="S1726" s="19" t="n">
        <x:f>IF(I1726=1,IF(J1726=0,Q1726,IF(J1726=1,P1726,IF(J1726=2,O1726,0))),0)</x:f>
        <x:v>0</x:v>
      </x:c>
      <x:c r="T1726" s="19" t="n">
        <x:f>K1726+IF(AND(S1726=1,J1726=0),1,0)</x:f>
        <x:v>3</x:v>
      </x:c>
      <x:c r="U1726" s="19" t="n">
        <x:f>L1726+IF(AND(S1726=1,J1726=1),1,0)</x:f>
        <x:v>1</x:v>
      </x:c>
      <x:c r="V1726" s="19" t="n">
        <x:f>M1726+IF(AND(S1726=1,J1726=2),1,0)</x:f>
        <x:v>2</x:v>
      </x:c>
      <x:c r="W1726" s="19" t="n">
        <x:f>SUM(T1726:V1726)</x:f>
        <x:v>6</x:v>
      </x:c>
      <x:c r="X1726" s="19" t="n">
        <x:f>W1726-G1726</x:f>
        <x:v>-1</x:v>
      </x:c>
      <x:c r="Y1726" s="19" t="n">
        <x:f>MAX(T1726,1)+MAX(U1726,1)+MAX(V1726,1)</x:f>
        <x:v>6</x:v>
      </x:c>
      <x:c r="Z1726" s="21" t="str">
        <x:f>IF(AND(MIN(D1726:F1726)&gt;=0,MAX(D1726:F1726)&lt;=7,MAX(D1726,1)+MAX(E1726,1)+MAX(F1726,1)&lt;=9,OR(H1726="-",AND(H1726=0,D1726&gt;0),AND(H1726=1,E1726&gt;0),AND(H1726=2,F1726&gt;0)),OR(I1726=0,AND(I1726=1,OR(J1726=0,J1726=1,J1726=2),R1726&lt;&gt;"000")),Y1726&lt;=9,MIN(T1726:V1726)&gt;=0),"合法","输入违约")</x:f>
        <x:v>合法</x:v>
      </x:c>
    </x:row>
    <x:row r="1727" ht="23" customHeight="1">
      <x:c r="A1727" s="3" t="str">
        <x:v>CT-1720</x:v>
      </x:c>
      <x:c r="B1727" s="3" t="str">
        <x:v>ST-108</x:v>
      </x:c>
      <x:c r="C1727" s="3" t="str">
        <x:v>R+AR同收同发</x:v>
      </x:c>
      <x:c r="D1727" s="25" t="n">
        <x:v>3</x:v>
      </x:c>
      <x:c r="E1727" s="25" t="n">
        <x:v>2</x:v>
      </x:c>
      <x:c r="F1727" s="25" t="n">
        <x:v>2</x:v>
      </x:c>
      <x:c r="G1727" s="19" t="n">
        <x:f>SUM(D1727:F1727)</x:f>
        <x:v>7</x:v>
      </x:c>
      <x:c r="H1727" s="25" t="n">
        <x:v>1</x:v>
      </x:c>
      <x:c r="I1727" s="25" t="n">
        <x:v>1</x:v>
      </x:c>
      <x:c r="J1727" s="25" t="n">
        <x:v>0</x:v>
      </x:c>
      <x:c r="K1727" s="19" t="n">
        <x:f>D1727-IF(H1727=0,1,0)</x:f>
        <x:v>3</x:v>
      </x:c>
      <x:c r="L1727" s="19" t="n">
        <x:f>E1727-IF(H1727=1,1,0)</x:f>
        <x:v>1</x:v>
      </x:c>
      <x:c r="M1727" s="19" t="n">
        <x:f>F1727-IF(H1727=2,1,0)</x:f>
        <x:v>2</x:v>
      </x:c>
      <x:c r="N1727" s="19" t="n">
        <x:f>MAX(K1727-1,0)+MAX(L1727-1,0)+MAX(M1727-1,0)</x:f>
        <x:v>3</x:v>
      </x:c>
      <x:c r="O1727" s="19" t="n">
        <x:f>IF(AND(SUM(K1727:M1727)&lt;9,OR(M1727=0,N1727&lt;6)),1,0)</x:f>
        <x:v>1</x:v>
      </x:c>
      <x:c r="P1727" s="19" t="n">
        <x:f>IF(AND(SUM(K1727:M1727)&lt;9,OR(L1727=0,N1727&lt;6)),1,0)</x:f>
        <x:v>1</x:v>
      </x:c>
      <x:c r="Q1727" s="19" t="n">
        <x:f>IF(AND(SUM(K1727:M1727)&lt;9,OR(K1727=0,N1727&lt;6)),1,0)</x:f>
        <x:v>1</x:v>
      </x:c>
      <x:c r="R1727" s="22" t="str">
        <x:f>O1727&amp;P1727&amp;Q1727</x:f>
        <x:v>111</x:v>
      </x:c>
      <x:c r="S1727" s="19" t="n">
        <x:f>IF(I1727=1,IF(J1727=0,Q1727,IF(J1727=1,P1727,IF(J1727=2,O1727,0))),0)</x:f>
        <x:v>1</x:v>
      </x:c>
      <x:c r="T1727" s="19" t="n">
        <x:f>K1727+IF(AND(S1727=1,J1727=0),1,0)</x:f>
        <x:v>4</x:v>
      </x:c>
      <x:c r="U1727" s="19" t="n">
        <x:f>L1727+IF(AND(S1727=1,J1727=1),1,0)</x:f>
        <x:v>1</x:v>
      </x:c>
      <x:c r="V1727" s="19" t="n">
        <x:f>M1727+IF(AND(S1727=1,J1727=2),1,0)</x:f>
        <x:v>2</x:v>
      </x:c>
      <x:c r="W1727" s="19" t="n">
        <x:f>SUM(T1727:V1727)</x:f>
        <x:v>7</x:v>
      </x:c>
      <x:c r="X1727" s="19" t="n">
        <x:f>W1727-G1727</x:f>
        <x:v>0</x:v>
      </x:c>
      <x:c r="Y1727" s="19" t="n">
        <x:f>MAX(T1727,1)+MAX(U1727,1)+MAX(V1727,1)</x:f>
        <x:v>7</x:v>
      </x:c>
      <x:c r="Z1727" s="21" t="str">
        <x:f>IF(AND(MIN(D1727:F1727)&gt;=0,MAX(D1727:F1727)&lt;=7,MAX(D1727,1)+MAX(E1727,1)+MAX(F1727,1)&lt;=9,OR(H1727="-",AND(H1727=0,D1727&gt;0),AND(H1727=1,E1727&gt;0),AND(H1727=2,F1727&gt;0)),OR(I1727=0,AND(I1727=1,OR(J1727=0,J1727=1,J1727=2),R1727&lt;&gt;"000")),Y1727&lt;=9,MIN(T1727:V1727)&gt;=0),"合法","输入违约")</x:f>
        <x:v>合法</x:v>
      </x:c>
    </x:row>
    <x:row r="1728" ht="23" customHeight="1">
      <x:c r="A1728" s="3" t="str">
        <x:v>CT-1721</x:v>
      </x:c>
      <x:c r="B1728" s="3" t="str">
        <x:v>ST-108</x:v>
      </x:c>
      <x:c r="C1728" s="3" t="str">
        <x:v>R+AR同收同发</x:v>
      </x:c>
      <x:c r="D1728" s="25" t="n">
        <x:v>3</x:v>
      </x:c>
      <x:c r="E1728" s="25" t="n">
        <x:v>2</x:v>
      </x:c>
      <x:c r="F1728" s="25" t="n">
        <x:v>2</x:v>
      </x:c>
      <x:c r="G1728" s="19" t="n">
        <x:f>SUM(D1728:F1728)</x:f>
        <x:v>7</x:v>
      </x:c>
      <x:c r="H1728" s="25" t="n">
        <x:v>1</x:v>
      </x:c>
      <x:c r="I1728" s="25" t="n">
        <x:v>1</x:v>
      </x:c>
      <x:c r="J1728" s="25" t="n">
        <x:v>1</x:v>
      </x:c>
      <x:c r="K1728" s="19" t="n">
        <x:f>D1728-IF(H1728=0,1,0)</x:f>
        <x:v>3</x:v>
      </x:c>
      <x:c r="L1728" s="19" t="n">
        <x:f>E1728-IF(H1728=1,1,0)</x:f>
        <x:v>1</x:v>
      </x:c>
      <x:c r="M1728" s="19" t="n">
        <x:f>F1728-IF(H1728=2,1,0)</x:f>
        <x:v>2</x:v>
      </x:c>
      <x:c r="N1728" s="19" t="n">
        <x:f>MAX(K1728-1,0)+MAX(L1728-1,0)+MAX(M1728-1,0)</x:f>
        <x:v>3</x:v>
      </x:c>
      <x:c r="O1728" s="19" t="n">
        <x:f>IF(AND(SUM(K1728:M1728)&lt;9,OR(M1728=0,N1728&lt;6)),1,0)</x:f>
        <x:v>1</x:v>
      </x:c>
      <x:c r="P1728" s="19" t="n">
        <x:f>IF(AND(SUM(K1728:M1728)&lt;9,OR(L1728=0,N1728&lt;6)),1,0)</x:f>
        <x:v>1</x:v>
      </x:c>
      <x:c r="Q1728" s="19" t="n">
        <x:f>IF(AND(SUM(K1728:M1728)&lt;9,OR(K1728=0,N1728&lt;6)),1,0)</x:f>
        <x:v>1</x:v>
      </x:c>
      <x:c r="R1728" s="22" t="str">
        <x:f>O1728&amp;P1728&amp;Q1728</x:f>
        <x:v>111</x:v>
      </x:c>
      <x:c r="S1728" s="19" t="n">
        <x:f>IF(I1728=1,IF(J1728=0,Q1728,IF(J1728=1,P1728,IF(J1728=2,O1728,0))),0)</x:f>
        <x:v>1</x:v>
      </x:c>
      <x:c r="T1728" s="19" t="n">
        <x:f>K1728+IF(AND(S1728=1,J1728=0),1,0)</x:f>
        <x:v>3</x:v>
      </x:c>
      <x:c r="U1728" s="19" t="n">
        <x:f>L1728+IF(AND(S1728=1,J1728=1),1,0)</x:f>
        <x:v>2</x:v>
      </x:c>
      <x:c r="V1728" s="19" t="n">
        <x:f>M1728+IF(AND(S1728=1,J1728=2),1,0)</x:f>
        <x:v>2</x:v>
      </x:c>
      <x:c r="W1728" s="19" t="n">
        <x:f>SUM(T1728:V1728)</x:f>
        <x:v>7</x:v>
      </x:c>
      <x:c r="X1728" s="19" t="n">
        <x:f>W1728-G1728</x:f>
        <x:v>0</x:v>
      </x:c>
      <x:c r="Y1728" s="19" t="n">
        <x:f>MAX(T1728,1)+MAX(U1728,1)+MAX(V1728,1)</x:f>
        <x:v>7</x:v>
      </x:c>
      <x:c r="Z1728" s="21" t="str">
        <x:f>IF(AND(MIN(D1728:F1728)&gt;=0,MAX(D1728:F1728)&lt;=7,MAX(D1728,1)+MAX(E1728,1)+MAX(F1728,1)&lt;=9,OR(H1728="-",AND(H1728=0,D1728&gt;0),AND(H1728=1,E1728&gt;0),AND(H1728=2,F1728&gt;0)),OR(I1728=0,AND(I1728=1,OR(J1728=0,J1728=1,J1728=2),R1728&lt;&gt;"000")),Y1728&lt;=9,MIN(T1728:V1728)&gt;=0),"合法","输入违约")</x:f>
        <x:v>合法</x:v>
      </x:c>
    </x:row>
    <x:row r="1729" ht="23" customHeight="1">
      <x:c r="A1729" s="3" t="str">
        <x:v>CT-1722</x:v>
      </x:c>
      <x:c r="B1729" s="3" t="str">
        <x:v>ST-108</x:v>
      </x:c>
      <x:c r="C1729" s="3" t="str">
        <x:v>R+AR同收同发</x:v>
      </x:c>
      <x:c r="D1729" s="25" t="n">
        <x:v>3</x:v>
      </x:c>
      <x:c r="E1729" s="25" t="n">
        <x:v>2</x:v>
      </x:c>
      <x:c r="F1729" s="25" t="n">
        <x:v>2</x:v>
      </x:c>
      <x:c r="G1729" s="19" t="n">
        <x:f>SUM(D1729:F1729)</x:f>
        <x:v>7</x:v>
      </x:c>
      <x:c r="H1729" s="25" t="n">
        <x:v>1</x:v>
      </x:c>
      <x:c r="I1729" s="25" t="n">
        <x:v>1</x:v>
      </x:c>
      <x:c r="J1729" s="25" t="n">
        <x:v>2</x:v>
      </x:c>
      <x:c r="K1729" s="19" t="n">
        <x:f>D1729-IF(H1729=0,1,0)</x:f>
        <x:v>3</x:v>
      </x:c>
      <x:c r="L1729" s="19" t="n">
        <x:f>E1729-IF(H1729=1,1,0)</x:f>
        <x:v>1</x:v>
      </x:c>
      <x:c r="M1729" s="19" t="n">
        <x:f>F1729-IF(H1729=2,1,0)</x:f>
        <x:v>2</x:v>
      </x:c>
      <x:c r="N1729" s="19" t="n">
        <x:f>MAX(K1729-1,0)+MAX(L1729-1,0)+MAX(M1729-1,0)</x:f>
        <x:v>3</x:v>
      </x:c>
      <x:c r="O1729" s="19" t="n">
        <x:f>IF(AND(SUM(K1729:M1729)&lt;9,OR(M1729=0,N1729&lt;6)),1,0)</x:f>
        <x:v>1</x:v>
      </x:c>
      <x:c r="P1729" s="19" t="n">
        <x:f>IF(AND(SUM(K1729:M1729)&lt;9,OR(L1729=0,N1729&lt;6)),1,0)</x:f>
        <x:v>1</x:v>
      </x:c>
      <x:c r="Q1729" s="19" t="n">
        <x:f>IF(AND(SUM(K1729:M1729)&lt;9,OR(K1729=0,N1729&lt;6)),1,0)</x:f>
        <x:v>1</x:v>
      </x:c>
      <x:c r="R1729" s="22" t="str">
        <x:f>O1729&amp;P1729&amp;Q1729</x:f>
        <x:v>111</x:v>
      </x:c>
      <x:c r="S1729" s="19" t="n">
        <x:f>IF(I1729=1,IF(J1729=0,Q1729,IF(J1729=1,P1729,IF(J1729=2,O1729,0))),0)</x:f>
        <x:v>1</x:v>
      </x:c>
      <x:c r="T1729" s="19" t="n">
        <x:f>K1729+IF(AND(S1729=1,J1729=0),1,0)</x:f>
        <x:v>3</x:v>
      </x:c>
      <x:c r="U1729" s="19" t="n">
        <x:f>L1729+IF(AND(S1729=1,J1729=1),1,0)</x:f>
        <x:v>1</x:v>
      </x:c>
      <x:c r="V1729" s="19" t="n">
        <x:f>M1729+IF(AND(S1729=1,J1729=2),1,0)</x:f>
        <x:v>3</x:v>
      </x:c>
      <x:c r="W1729" s="19" t="n">
        <x:f>SUM(T1729:V1729)</x:f>
        <x:v>7</x:v>
      </x:c>
      <x:c r="X1729" s="19" t="n">
        <x:f>W1729-G1729</x:f>
        <x:v>0</x:v>
      </x:c>
      <x:c r="Y1729" s="19" t="n">
        <x:f>MAX(T1729,1)+MAX(U1729,1)+MAX(V1729,1)</x:f>
        <x:v>7</x:v>
      </x:c>
      <x:c r="Z1729" s="21" t="str">
        <x:f>IF(AND(MIN(D1729:F1729)&gt;=0,MAX(D1729:F1729)&lt;=7,MAX(D1729,1)+MAX(E1729,1)+MAX(F1729,1)&lt;=9,OR(H1729="-",AND(H1729=0,D1729&gt;0),AND(H1729=1,E1729&gt;0),AND(H1729=2,F1729&gt;0)),OR(I1729=0,AND(I1729=1,OR(J1729=0,J1729=1,J1729=2),R1729&lt;&gt;"000")),Y1729&lt;=9,MIN(T1729:V1729)&gt;=0),"合法","输入违约")</x:f>
        <x:v>合法</x:v>
      </x:c>
    </x:row>
    <x:row r="1730" ht="23" customHeight="1">
      <x:c r="A1730" s="3" t="str">
        <x:v>CT-1723</x:v>
      </x:c>
      <x:c r="B1730" s="3" t="str">
        <x:v>ST-108</x:v>
      </x:c>
      <x:c r="C1730" s="3" t="str">
        <x:v>仅R回收</x:v>
      </x:c>
      <x:c r="D1730" s="25" t="n">
        <x:v>3</x:v>
      </x:c>
      <x:c r="E1730" s="25" t="n">
        <x:v>2</x:v>
      </x:c>
      <x:c r="F1730" s="25" t="n">
        <x:v>2</x:v>
      </x:c>
      <x:c r="G1730" s="19" t="n">
        <x:f>SUM(D1730:F1730)</x:f>
        <x:v>7</x:v>
      </x:c>
      <x:c r="H1730" s="25" t="n">
        <x:v>2</x:v>
      </x:c>
      <x:c r="I1730" s="25" t="n">
        <x:v>0</x:v>
      </x:c>
      <x:c r="J1730" s="25" t="str">
        <x:v>-</x:v>
      </x:c>
      <x:c r="K1730" s="19" t="n">
        <x:f>D1730-IF(H1730=0,1,0)</x:f>
        <x:v>3</x:v>
      </x:c>
      <x:c r="L1730" s="19" t="n">
        <x:f>E1730-IF(H1730=1,1,0)</x:f>
        <x:v>2</x:v>
      </x:c>
      <x:c r="M1730" s="19" t="n">
        <x:f>F1730-IF(H1730=2,1,0)</x:f>
        <x:v>1</x:v>
      </x:c>
      <x:c r="N1730" s="19" t="n">
        <x:f>MAX(K1730-1,0)+MAX(L1730-1,0)+MAX(M1730-1,0)</x:f>
        <x:v>3</x:v>
      </x:c>
      <x:c r="O1730" s="19" t="n">
        <x:f>IF(AND(SUM(K1730:M1730)&lt;9,OR(M1730=0,N1730&lt;6)),1,0)</x:f>
        <x:v>1</x:v>
      </x:c>
      <x:c r="P1730" s="19" t="n">
        <x:f>IF(AND(SUM(K1730:M1730)&lt;9,OR(L1730=0,N1730&lt;6)),1,0)</x:f>
        <x:v>1</x:v>
      </x:c>
      <x:c r="Q1730" s="19" t="n">
        <x:f>IF(AND(SUM(K1730:M1730)&lt;9,OR(K1730=0,N1730&lt;6)),1,0)</x:f>
        <x:v>1</x:v>
      </x:c>
      <x:c r="R1730" s="22" t="str">
        <x:f>O1730&amp;P1730&amp;Q1730</x:f>
        <x:v>111</x:v>
      </x:c>
      <x:c r="S1730" s="19" t="n">
        <x:f>IF(I1730=1,IF(J1730=0,Q1730,IF(J1730=1,P1730,IF(J1730=2,O1730,0))),0)</x:f>
        <x:v>0</x:v>
      </x:c>
      <x:c r="T1730" s="19" t="n">
        <x:f>K1730+IF(AND(S1730=1,J1730=0),1,0)</x:f>
        <x:v>3</x:v>
      </x:c>
      <x:c r="U1730" s="19" t="n">
        <x:f>L1730+IF(AND(S1730=1,J1730=1),1,0)</x:f>
        <x:v>2</x:v>
      </x:c>
      <x:c r="V1730" s="19" t="n">
        <x:f>M1730+IF(AND(S1730=1,J1730=2),1,0)</x:f>
        <x:v>1</x:v>
      </x:c>
      <x:c r="W1730" s="19" t="n">
        <x:f>SUM(T1730:V1730)</x:f>
        <x:v>6</x:v>
      </x:c>
      <x:c r="X1730" s="19" t="n">
        <x:f>W1730-G1730</x:f>
        <x:v>-1</x:v>
      </x:c>
      <x:c r="Y1730" s="19" t="n">
        <x:f>MAX(T1730,1)+MAX(U1730,1)+MAX(V1730,1)</x:f>
        <x:v>6</x:v>
      </x:c>
      <x:c r="Z1730" s="21" t="str">
        <x:f>IF(AND(MIN(D1730:F1730)&gt;=0,MAX(D1730:F1730)&lt;=7,MAX(D1730,1)+MAX(E1730,1)+MAX(F1730,1)&lt;=9,OR(H1730="-",AND(H1730=0,D1730&gt;0),AND(H1730=1,E1730&gt;0),AND(H1730=2,F1730&gt;0)),OR(I1730=0,AND(I1730=1,OR(J1730=0,J1730=1,J1730=2),R1730&lt;&gt;"000")),Y1730&lt;=9,MIN(T1730:V1730)&gt;=0),"合法","输入违约")</x:f>
        <x:v>合法</x:v>
      </x:c>
    </x:row>
    <x:row r="1731" ht="23" customHeight="1">
      <x:c r="A1731" s="3" t="str">
        <x:v>CT-1724</x:v>
      </x:c>
      <x:c r="B1731" s="3" t="str">
        <x:v>ST-108</x:v>
      </x:c>
      <x:c r="C1731" s="3" t="str">
        <x:v>R+AR同收同发</x:v>
      </x:c>
      <x:c r="D1731" s="25" t="n">
        <x:v>3</x:v>
      </x:c>
      <x:c r="E1731" s="25" t="n">
        <x:v>2</x:v>
      </x:c>
      <x:c r="F1731" s="25" t="n">
        <x:v>2</x:v>
      </x:c>
      <x:c r="G1731" s="19" t="n">
        <x:f>SUM(D1731:F1731)</x:f>
        <x:v>7</x:v>
      </x:c>
      <x:c r="H1731" s="25" t="n">
        <x:v>2</x:v>
      </x:c>
      <x:c r="I1731" s="25" t="n">
        <x:v>1</x:v>
      </x:c>
      <x:c r="J1731" s="25" t="n">
        <x:v>0</x:v>
      </x:c>
      <x:c r="K1731" s="19" t="n">
        <x:f>D1731-IF(H1731=0,1,0)</x:f>
        <x:v>3</x:v>
      </x:c>
      <x:c r="L1731" s="19" t="n">
        <x:f>E1731-IF(H1731=1,1,0)</x:f>
        <x:v>2</x:v>
      </x:c>
      <x:c r="M1731" s="19" t="n">
        <x:f>F1731-IF(H1731=2,1,0)</x:f>
        <x:v>1</x:v>
      </x:c>
      <x:c r="N1731" s="19" t="n">
        <x:f>MAX(K1731-1,0)+MAX(L1731-1,0)+MAX(M1731-1,0)</x:f>
        <x:v>3</x:v>
      </x:c>
      <x:c r="O1731" s="19" t="n">
        <x:f>IF(AND(SUM(K1731:M1731)&lt;9,OR(M1731=0,N1731&lt;6)),1,0)</x:f>
        <x:v>1</x:v>
      </x:c>
      <x:c r="P1731" s="19" t="n">
        <x:f>IF(AND(SUM(K1731:M1731)&lt;9,OR(L1731=0,N1731&lt;6)),1,0)</x:f>
        <x:v>1</x:v>
      </x:c>
      <x:c r="Q1731" s="19" t="n">
        <x:f>IF(AND(SUM(K1731:M1731)&lt;9,OR(K1731=0,N1731&lt;6)),1,0)</x:f>
        <x:v>1</x:v>
      </x:c>
      <x:c r="R1731" s="22" t="str">
        <x:f>O1731&amp;P1731&amp;Q1731</x:f>
        <x:v>111</x:v>
      </x:c>
      <x:c r="S1731" s="19" t="n">
        <x:f>IF(I1731=1,IF(J1731=0,Q1731,IF(J1731=1,P1731,IF(J1731=2,O1731,0))),0)</x:f>
        <x:v>1</x:v>
      </x:c>
      <x:c r="T1731" s="19" t="n">
        <x:f>K1731+IF(AND(S1731=1,J1731=0),1,0)</x:f>
        <x:v>4</x:v>
      </x:c>
      <x:c r="U1731" s="19" t="n">
        <x:f>L1731+IF(AND(S1731=1,J1731=1),1,0)</x:f>
        <x:v>2</x:v>
      </x:c>
      <x:c r="V1731" s="19" t="n">
        <x:f>M1731+IF(AND(S1731=1,J1731=2),1,0)</x:f>
        <x:v>1</x:v>
      </x:c>
      <x:c r="W1731" s="19" t="n">
        <x:f>SUM(T1731:V1731)</x:f>
        <x:v>7</x:v>
      </x:c>
      <x:c r="X1731" s="19" t="n">
        <x:f>W1731-G1731</x:f>
        <x:v>0</x:v>
      </x:c>
      <x:c r="Y1731" s="19" t="n">
        <x:f>MAX(T1731,1)+MAX(U1731,1)+MAX(V1731,1)</x:f>
        <x:v>7</x:v>
      </x:c>
      <x:c r="Z1731" s="21" t="str">
        <x:f>IF(AND(MIN(D1731:F1731)&gt;=0,MAX(D1731:F1731)&lt;=7,MAX(D1731,1)+MAX(E1731,1)+MAX(F1731,1)&lt;=9,OR(H1731="-",AND(H1731=0,D1731&gt;0),AND(H1731=1,E1731&gt;0),AND(H1731=2,F1731&gt;0)),OR(I1731=0,AND(I1731=1,OR(J1731=0,J1731=1,J1731=2),R1731&lt;&gt;"000")),Y1731&lt;=9,MIN(T1731:V1731)&gt;=0),"合法","输入违约")</x:f>
        <x:v>合法</x:v>
      </x:c>
    </x:row>
    <x:row r="1732" ht="23" customHeight="1">
      <x:c r="A1732" s="3" t="str">
        <x:v>CT-1725</x:v>
      </x:c>
      <x:c r="B1732" s="3" t="str">
        <x:v>ST-108</x:v>
      </x:c>
      <x:c r="C1732" s="3" t="str">
        <x:v>R+AR同收同发</x:v>
      </x:c>
      <x:c r="D1732" s="25" t="n">
        <x:v>3</x:v>
      </x:c>
      <x:c r="E1732" s="25" t="n">
        <x:v>2</x:v>
      </x:c>
      <x:c r="F1732" s="25" t="n">
        <x:v>2</x:v>
      </x:c>
      <x:c r="G1732" s="19" t="n">
        <x:f>SUM(D1732:F1732)</x:f>
        <x:v>7</x:v>
      </x:c>
      <x:c r="H1732" s="25" t="n">
        <x:v>2</x:v>
      </x:c>
      <x:c r="I1732" s="25" t="n">
        <x:v>1</x:v>
      </x:c>
      <x:c r="J1732" s="25" t="n">
        <x:v>1</x:v>
      </x:c>
      <x:c r="K1732" s="19" t="n">
        <x:f>D1732-IF(H1732=0,1,0)</x:f>
        <x:v>3</x:v>
      </x:c>
      <x:c r="L1732" s="19" t="n">
        <x:f>E1732-IF(H1732=1,1,0)</x:f>
        <x:v>2</x:v>
      </x:c>
      <x:c r="M1732" s="19" t="n">
        <x:f>F1732-IF(H1732=2,1,0)</x:f>
        <x:v>1</x:v>
      </x:c>
      <x:c r="N1732" s="19" t="n">
        <x:f>MAX(K1732-1,0)+MAX(L1732-1,0)+MAX(M1732-1,0)</x:f>
        <x:v>3</x:v>
      </x:c>
      <x:c r="O1732" s="19" t="n">
        <x:f>IF(AND(SUM(K1732:M1732)&lt;9,OR(M1732=0,N1732&lt;6)),1,0)</x:f>
        <x:v>1</x:v>
      </x:c>
      <x:c r="P1732" s="19" t="n">
        <x:f>IF(AND(SUM(K1732:M1732)&lt;9,OR(L1732=0,N1732&lt;6)),1,0)</x:f>
        <x:v>1</x:v>
      </x:c>
      <x:c r="Q1732" s="19" t="n">
        <x:f>IF(AND(SUM(K1732:M1732)&lt;9,OR(K1732=0,N1732&lt;6)),1,0)</x:f>
        <x:v>1</x:v>
      </x:c>
      <x:c r="R1732" s="22" t="str">
        <x:f>O1732&amp;P1732&amp;Q1732</x:f>
        <x:v>111</x:v>
      </x:c>
      <x:c r="S1732" s="19" t="n">
        <x:f>IF(I1732=1,IF(J1732=0,Q1732,IF(J1732=1,P1732,IF(J1732=2,O1732,0))),0)</x:f>
        <x:v>1</x:v>
      </x:c>
      <x:c r="T1732" s="19" t="n">
        <x:f>K1732+IF(AND(S1732=1,J1732=0),1,0)</x:f>
        <x:v>3</x:v>
      </x:c>
      <x:c r="U1732" s="19" t="n">
        <x:f>L1732+IF(AND(S1732=1,J1732=1),1,0)</x:f>
        <x:v>3</x:v>
      </x:c>
      <x:c r="V1732" s="19" t="n">
        <x:f>M1732+IF(AND(S1732=1,J1732=2),1,0)</x:f>
        <x:v>1</x:v>
      </x:c>
      <x:c r="W1732" s="19" t="n">
        <x:f>SUM(T1732:V1732)</x:f>
        <x:v>7</x:v>
      </x:c>
      <x:c r="X1732" s="19" t="n">
        <x:f>W1732-G1732</x:f>
        <x:v>0</x:v>
      </x:c>
      <x:c r="Y1732" s="19" t="n">
        <x:f>MAX(T1732,1)+MAX(U1732,1)+MAX(V1732,1)</x:f>
        <x:v>7</x:v>
      </x:c>
      <x:c r="Z1732" s="21" t="str">
        <x:f>IF(AND(MIN(D1732:F1732)&gt;=0,MAX(D1732:F1732)&lt;=7,MAX(D1732,1)+MAX(E1732,1)+MAX(F1732,1)&lt;=9,OR(H1732="-",AND(H1732=0,D1732&gt;0),AND(H1732=1,E1732&gt;0),AND(H1732=2,F1732&gt;0)),OR(I1732=0,AND(I1732=1,OR(J1732=0,J1732=1,J1732=2),R1732&lt;&gt;"000")),Y1732&lt;=9,MIN(T1732:V1732)&gt;=0),"合法","输入违约")</x:f>
        <x:v>合法</x:v>
      </x:c>
    </x:row>
    <x:row r="1733" ht="23" customHeight="1">
      <x:c r="A1733" s="3" t="str">
        <x:v>CT-1726</x:v>
      </x:c>
      <x:c r="B1733" s="3" t="str">
        <x:v>ST-108</x:v>
      </x:c>
      <x:c r="C1733" s="3" t="str">
        <x:v>R+AR同收同发</x:v>
      </x:c>
      <x:c r="D1733" s="25" t="n">
        <x:v>3</x:v>
      </x:c>
      <x:c r="E1733" s="25" t="n">
        <x:v>2</x:v>
      </x:c>
      <x:c r="F1733" s="25" t="n">
        <x:v>2</x:v>
      </x:c>
      <x:c r="G1733" s="19" t="n">
        <x:f>SUM(D1733:F1733)</x:f>
        <x:v>7</x:v>
      </x:c>
      <x:c r="H1733" s="25" t="n">
        <x:v>2</x:v>
      </x:c>
      <x:c r="I1733" s="25" t="n">
        <x:v>1</x:v>
      </x:c>
      <x:c r="J1733" s="25" t="n">
        <x:v>2</x:v>
      </x:c>
      <x:c r="K1733" s="19" t="n">
        <x:f>D1733-IF(H1733=0,1,0)</x:f>
        <x:v>3</x:v>
      </x:c>
      <x:c r="L1733" s="19" t="n">
        <x:f>E1733-IF(H1733=1,1,0)</x:f>
        <x:v>2</x:v>
      </x:c>
      <x:c r="M1733" s="19" t="n">
        <x:f>F1733-IF(H1733=2,1,0)</x:f>
        <x:v>1</x:v>
      </x:c>
      <x:c r="N1733" s="19" t="n">
        <x:f>MAX(K1733-1,0)+MAX(L1733-1,0)+MAX(M1733-1,0)</x:f>
        <x:v>3</x:v>
      </x:c>
      <x:c r="O1733" s="19" t="n">
        <x:f>IF(AND(SUM(K1733:M1733)&lt;9,OR(M1733=0,N1733&lt;6)),1,0)</x:f>
        <x:v>1</x:v>
      </x:c>
      <x:c r="P1733" s="19" t="n">
        <x:f>IF(AND(SUM(K1733:M1733)&lt;9,OR(L1733=0,N1733&lt;6)),1,0)</x:f>
        <x:v>1</x:v>
      </x:c>
      <x:c r="Q1733" s="19" t="n">
        <x:f>IF(AND(SUM(K1733:M1733)&lt;9,OR(K1733=0,N1733&lt;6)),1,0)</x:f>
        <x:v>1</x:v>
      </x:c>
      <x:c r="R1733" s="22" t="str">
        <x:f>O1733&amp;P1733&amp;Q1733</x:f>
        <x:v>111</x:v>
      </x:c>
      <x:c r="S1733" s="19" t="n">
        <x:f>IF(I1733=1,IF(J1733=0,Q1733,IF(J1733=1,P1733,IF(J1733=2,O1733,0))),0)</x:f>
        <x:v>1</x:v>
      </x:c>
      <x:c r="T1733" s="19" t="n">
        <x:f>K1733+IF(AND(S1733=1,J1733=0),1,0)</x:f>
        <x:v>3</x:v>
      </x:c>
      <x:c r="U1733" s="19" t="n">
        <x:f>L1733+IF(AND(S1733=1,J1733=1),1,0)</x:f>
        <x:v>2</x:v>
      </x:c>
      <x:c r="V1733" s="19" t="n">
        <x:f>M1733+IF(AND(S1733=1,J1733=2),1,0)</x:f>
        <x:v>2</x:v>
      </x:c>
      <x:c r="W1733" s="19" t="n">
        <x:f>SUM(T1733:V1733)</x:f>
        <x:v>7</x:v>
      </x:c>
      <x:c r="X1733" s="19" t="n">
        <x:f>W1733-G1733</x:f>
        <x:v>0</x:v>
      </x:c>
      <x:c r="Y1733" s="19" t="n">
        <x:f>MAX(T1733,1)+MAX(U1733,1)+MAX(V1733,1)</x:f>
        <x:v>7</x:v>
      </x:c>
      <x:c r="Z1733" s="21" t="str">
        <x:f>IF(AND(MIN(D1733:F1733)&gt;=0,MAX(D1733:F1733)&lt;=7,MAX(D1733,1)+MAX(E1733,1)+MAX(F1733,1)&lt;=9,OR(H1733="-",AND(H1733=0,D1733&gt;0),AND(H1733=1,E1733&gt;0),AND(H1733=2,F1733&gt;0)),OR(I1733=0,AND(I1733=1,OR(J1733=0,J1733=1,J1733=2),R1733&lt;&gt;"000")),Y1733&lt;=9,MIN(T1733:V1733)&gt;=0),"合法","输入违约")</x:f>
        <x:v>合法</x:v>
      </x:c>
    </x:row>
    <x:row r="1734" ht="23" customHeight="1">
      <x:c r="A1734" s="3" t="str">
        <x:v>CT-1727</x:v>
      </x:c>
      <x:c r="B1734" s="3" t="str">
        <x:v>ST-145</x:v>
      </x:c>
      <x:c r="C1734" s="3" t="str">
        <x:v>无AR/R</x:v>
      </x:c>
      <x:c r="D1734" s="25" t="n">
        <x:v>3</x:v>
      </x:c>
      <x:c r="E1734" s="25" t="n">
        <x:v>2</x:v>
      </x:c>
      <x:c r="F1734" s="25" t="n">
        <x:v>3</x:v>
      </x:c>
      <x:c r="G1734" s="19" t="n">
        <x:f>SUM(D1734:F1734)</x:f>
        <x:v>8</x:v>
      </x:c>
      <x:c r="H1734" s="25" t="str">
        <x:v>-</x:v>
      </x:c>
      <x:c r="I1734" s="25" t="n">
        <x:v>0</x:v>
      </x:c>
      <x:c r="J1734" s="25" t="str">
        <x:v>-</x:v>
      </x:c>
      <x:c r="K1734" s="19" t="n">
        <x:f>D1734-IF(H1734=0,1,0)</x:f>
        <x:v>3</x:v>
      </x:c>
      <x:c r="L1734" s="19" t="n">
        <x:f>E1734-IF(H1734=1,1,0)</x:f>
        <x:v>2</x:v>
      </x:c>
      <x:c r="M1734" s="19" t="n">
        <x:f>F1734-IF(H1734=2,1,0)</x:f>
        <x:v>3</x:v>
      </x:c>
      <x:c r="N1734" s="19" t="n">
        <x:f>MAX(K1734-1,0)+MAX(L1734-1,0)+MAX(M1734-1,0)</x:f>
        <x:v>5</x:v>
      </x:c>
      <x:c r="O1734" s="19" t="n">
        <x:f>IF(AND(SUM(K1734:M1734)&lt;9,OR(M1734=0,N1734&lt;6)),1,0)</x:f>
        <x:v>1</x:v>
      </x:c>
      <x:c r="P1734" s="19" t="n">
        <x:f>IF(AND(SUM(K1734:M1734)&lt;9,OR(L1734=0,N1734&lt;6)),1,0)</x:f>
        <x:v>1</x:v>
      </x:c>
      <x:c r="Q1734" s="19" t="n">
        <x:f>IF(AND(SUM(K1734:M1734)&lt;9,OR(K1734=0,N1734&lt;6)),1,0)</x:f>
        <x:v>1</x:v>
      </x:c>
      <x:c r="R1734" s="22" t="str">
        <x:f>O1734&amp;P1734&amp;Q1734</x:f>
        <x:v>111</x:v>
      </x:c>
      <x:c r="S1734" s="19" t="n">
        <x:f>IF(I1734=1,IF(J1734=0,Q1734,IF(J1734=1,P1734,IF(J1734=2,O1734,0))),0)</x:f>
        <x:v>0</x:v>
      </x:c>
      <x:c r="T1734" s="19" t="n">
        <x:f>K1734+IF(AND(S1734=1,J1734=0),1,0)</x:f>
        <x:v>3</x:v>
      </x:c>
      <x:c r="U1734" s="19" t="n">
        <x:f>L1734+IF(AND(S1734=1,J1734=1),1,0)</x:f>
        <x:v>2</x:v>
      </x:c>
      <x:c r="V1734" s="19" t="n">
        <x:f>M1734+IF(AND(S1734=1,J1734=2),1,0)</x:f>
        <x:v>3</x:v>
      </x:c>
      <x:c r="W1734" s="19" t="n">
        <x:f>SUM(T1734:V1734)</x:f>
        <x:v>8</x:v>
      </x:c>
      <x:c r="X1734" s="19" t="n">
        <x:f>W1734-G1734</x:f>
        <x:v>0</x:v>
      </x:c>
      <x:c r="Y1734" s="19" t="n">
        <x:f>MAX(T1734,1)+MAX(U1734,1)+MAX(V1734,1)</x:f>
        <x:v>8</x:v>
      </x:c>
      <x:c r="Z1734" s="21" t="str">
        <x:f>IF(AND(MIN(D1734:F1734)&gt;=0,MAX(D1734:F1734)&lt;=7,MAX(D1734,1)+MAX(E1734,1)+MAX(F1734,1)&lt;=9,OR(H1734="-",AND(H1734=0,D1734&gt;0),AND(H1734=1,E1734&gt;0),AND(H1734=2,F1734&gt;0)),OR(I1734=0,AND(I1734=1,OR(J1734=0,J1734=1,J1734=2),R1734&lt;&gt;"000")),Y1734&lt;=9,MIN(T1734:V1734)&gt;=0),"合法","输入违约")</x:f>
        <x:v>合法</x:v>
      </x:c>
    </x:row>
    <x:row r="1735" ht="23" customHeight="1">
      <x:c r="A1735" s="3" t="str">
        <x:v>CT-1728</x:v>
      </x:c>
      <x:c r="B1735" s="3" t="str">
        <x:v>ST-145</x:v>
      </x:c>
      <x:c r="C1735" s="3" t="str">
        <x:v>仅AR接收</x:v>
      </x:c>
      <x:c r="D1735" s="25" t="n">
        <x:v>3</x:v>
      </x:c>
      <x:c r="E1735" s="25" t="n">
        <x:v>2</x:v>
      </x:c>
      <x:c r="F1735" s="25" t="n">
        <x:v>3</x:v>
      </x:c>
      <x:c r="G1735" s="19" t="n">
        <x:f>SUM(D1735:F1735)</x:f>
        <x:v>8</x:v>
      </x:c>
      <x:c r="H1735" s="25" t="str">
        <x:v>-</x:v>
      </x:c>
      <x:c r="I1735" s="25" t="n">
        <x:v>1</x:v>
      </x:c>
      <x:c r="J1735" s="25" t="n">
        <x:v>0</x:v>
      </x:c>
      <x:c r="K1735" s="19" t="n">
        <x:f>D1735-IF(H1735=0,1,0)</x:f>
        <x:v>3</x:v>
      </x:c>
      <x:c r="L1735" s="19" t="n">
        <x:f>E1735-IF(H1735=1,1,0)</x:f>
        <x:v>2</x:v>
      </x:c>
      <x:c r="M1735" s="19" t="n">
        <x:f>F1735-IF(H1735=2,1,0)</x:f>
        <x:v>3</x:v>
      </x:c>
      <x:c r="N1735" s="19" t="n">
        <x:f>MAX(K1735-1,0)+MAX(L1735-1,0)+MAX(M1735-1,0)</x:f>
        <x:v>5</x:v>
      </x:c>
      <x:c r="O1735" s="19" t="n">
        <x:f>IF(AND(SUM(K1735:M1735)&lt;9,OR(M1735=0,N1735&lt;6)),1,0)</x:f>
        <x:v>1</x:v>
      </x:c>
      <x:c r="P1735" s="19" t="n">
        <x:f>IF(AND(SUM(K1735:M1735)&lt;9,OR(L1735=0,N1735&lt;6)),1,0)</x:f>
        <x:v>1</x:v>
      </x:c>
      <x:c r="Q1735" s="19" t="n">
        <x:f>IF(AND(SUM(K1735:M1735)&lt;9,OR(K1735=0,N1735&lt;6)),1,0)</x:f>
        <x:v>1</x:v>
      </x:c>
      <x:c r="R1735" s="22" t="str">
        <x:f>O1735&amp;P1735&amp;Q1735</x:f>
        <x:v>111</x:v>
      </x:c>
      <x:c r="S1735" s="19" t="n">
        <x:f>IF(I1735=1,IF(J1735=0,Q1735,IF(J1735=1,P1735,IF(J1735=2,O1735,0))),0)</x:f>
        <x:v>1</x:v>
      </x:c>
      <x:c r="T1735" s="19" t="n">
        <x:f>K1735+IF(AND(S1735=1,J1735=0),1,0)</x:f>
        <x:v>4</x:v>
      </x:c>
      <x:c r="U1735" s="19" t="n">
        <x:f>L1735+IF(AND(S1735=1,J1735=1),1,0)</x:f>
        <x:v>2</x:v>
      </x:c>
      <x:c r="V1735" s="19" t="n">
        <x:f>M1735+IF(AND(S1735=1,J1735=2),1,0)</x:f>
        <x:v>3</x:v>
      </x:c>
      <x:c r="W1735" s="19" t="n">
        <x:f>SUM(T1735:V1735)</x:f>
        <x:v>9</x:v>
      </x:c>
      <x:c r="X1735" s="19" t="n">
        <x:f>W1735-G1735</x:f>
        <x:v>1</x:v>
      </x:c>
      <x:c r="Y1735" s="19" t="n">
        <x:f>MAX(T1735,1)+MAX(U1735,1)+MAX(V1735,1)</x:f>
        <x:v>9</x:v>
      </x:c>
      <x:c r="Z1735" s="21" t="str">
        <x:f>IF(AND(MIN(D1735:F1735)&gt;=0,MAX(D1735:F1735)&lt;=7,MAX(D1735,1)+MAX(E1735,1)+MAX(F1735,1)&lt;=9,OR(H1735="-",AND(H1735=0,D1735&gt;0),AND(H1735=1,E1735&gt;0),AND(H1735=2,F1735&gt;0)),OR(I1735=0,AND(I1735=1,OR(J1735=0,J1735=1,J1735=2),R1735&lt;&gt;"000")),Y1735&lt;=9,MIN(T1735:V1735)&gt;=0),"合法","输入违约")</x:f>
        <x:v>合法</x:v>
      </x:c>
    </x:row>
    <x:row r="1736" ht="23" customHeight="1">
      <x:c r="A1736" s="3" t="str">
        <x:v>CT-1729</x:v>
      </x:c>
      <x:c r="B1736" s="3" t="str">
        <x:v>ST-145</x:v>
      </x:c>
      <x:c r="C1736" s="3" t="str">
        <x:v>仅AR接收</x:v>
      </x:c>
      <x:c r="D1736" s="25" t="n">
        <x:v>3</x:v>
      </x:c>
      <x:c r="E1736" s="25" t="n">
        <x:v>2</x:v>
      </x:c>
      <x:c r="F1736" s="25" t="n">
        <x:v>3</x:v>
      </x:c>
      <x:c r="G1736" s="19" t="n">
        <x:f>SUM(D1736:F1736)</x:f>
        <x:v>8</x:v>
      </x:c>
      <x:c r="H1736" s="25" t="str">
        <x:v>-</x:v>
      </x:c>
      <x:c r="I1736" s="25" t="n">
        <x:v>1</x:v>
      </x:c>
      <x:c r="J1736" s="25" t="n">
        <x:v>1</x:v>
      </x:c>
      <x:c r="K1736" s="19" t="n">
        <x:f>D1736-IF(H1736=0,1,0)</x:f>
        <x:v>3</x:v>
      </x:c>
      <x:c r="L1736" s="19" t="n">
        <x:f>E1736-IF(H1736=1,1,0)</x:f>
        <x:v>2</x:v>
      </x:c>
      <x:c r="M1736" s="19" t="n">
        <x:f>F1736-IF(H1736=2,1,0)</x:f>
        <x:v>3</x:v>
      </x:c>
      <x:c r="N1736" s="19" t="n">
        <x:f>MAX(K1736-1,0)+MAX(L1736-1,0)+MAX(M1736-1,0)</x:f>
        <x:v>5</x:v>
      </x:c>
      <x:c r="O1736" s="19" t="n">
        <x:f>IF(AND(SUM(K1736:M1736)&lt;9,OR(M1736=0,N1736&lt;6)),1,0)</x:f>
        <x:v>1</x:v>
      </x:c>
      <x:c r="P1736" s="19" t="n">
        <x:f>IF(AND(SUM(K1736:M1736)&lt;9,OR(L1736=0,N1736&lt;6)),1,0)</x:f>
        <x:v>1</x:v>
      </x:c>
      <x:c r="Q1736" s="19" t="n">
        <x:f>IF(AND(SUM(K1736:M1736)&lt;9,OR(K1736=0,N1736&lt;6)),1,0)</x:f>
        <x:v>1</x:v>
      </x:c>
      <x:c r="R1736" s="22" t="str">
        <x:f>O1736&amp;P1736&amp;Q1736</x:f>
        <x:v>111</x:v>
      </x:c>
      <x:c r="S1736" s="19" t="n">
        <x:f>IF(I1736=1,IF(J1736=0,Q1736,IF(J1736=1,P1736,IF(J1736=2,O1736,0))),0)</x:f>
        <x:v>1</x:v>
      </x:c>
      <x:c r="T1736" s="19" t="n">
        <x:f>K1736+IF(AND(S1736=1,J1736=0),1,0)</x:f>
        <x:v>3</x:v>
      </x:c>
      <x:c r="U1736" s="19" t="n">
        <x:f>L1736+IF(AND(S1736=1,J1736=1),1,0)</x:f>
        <x:v>3</x:v>
      </x:c>
      <x:c r="V1736" s="19" t="n">
        <x:f>M1736+IF(AND(S1736=1,J1736=2),1,0)</x:f>
        <x:v>3</x:v>
      </x:c>
      <x:c r="W1736" s="19" t="n">
        <x:f>SUM(T1736:V1736)</x:f>
        <x:v>9</x:v>
      </x:c>
      <x:c r="X1736" s="19" t="n">
        <x:f>W1736-G1736</x:f>
        <x:v>1</x:v>
      </x:c>
      <x:c r="Y1736" s="19" t="n">
        <x:f>MAX(T1736,1)+MAX(U1736,1)+MAX(V1736,1)</x:f>
        <x:v>9</x:v>
      </x:c>
      <x:c r="Z1736" s="21" t="str">
        <x:f>IF(AND(MIN(D1736:F1736)&gt;=0,MAX(D1736:F1736)&lt;=7,MAX(D1736,1)+MAX(E1736,1)+MAX(F1736,1)&lt;=9,OR(H1736="-",AND(H1736=0,D1736&gt;0),AND(H1736=1,E1736&gt;0),AND(H1736=2,F1736&gt;0)),OR(I1736=0,AND(I1736=1,OR(J1736=0,J1736=1,J1736=2),R1736&lt;&gt;"000")),Y1736&lt;=9,MIN(T1736:V1736)&gt;=0),"合法","输入违约")</x:f>
        <x:v>合法</x:v>
      </x:c>
    </x:row>
    <x:row r="1737" ht="23" customHeight="1">
      <x:c r="A1737" s="3" t="str">
        <x:v>CT-1730</x:v>
      </x:c>
      <x:c r="B1737" s="3" t="str">
        <x:v>ST-145</x:v>
      </x:c>
      <x:c r="C1737" s="3" t="str">
        <x:v>仅AR接收</x:v>
      </x:c>
      <x:c r="D1737" s="25" t="n">
        <x:v>3</x:v>
      </x:c>
      <x:c r="E1737" s="25" t="n">
        <x:v>2</x:v>
      </x:c>
      <x:c r="F1737" s="25" t="n">
        <x:v>3</x:v>
      </x:c>
      <x:c r="G1737" s="19" t="n">
        <x:f>SUM(D1737:F1737)</x:f>
        <x:v>8</x:v>
      </x:c>
      <x:c r="H1737" s="25" t="str">
        <x:v>-</x:v>
      </x:c>
      <x:c r="I1737" s="25" t="n">
        <x:v>1</x:v>
      </x:c>
      <x:c r="J1737" s="25" t="n">
        <x:v>2</x:v>
      </x:c>
      <x:c r="K1737" s="19" t="n">
        <x:f>D1737-IF(H1737=0,1,0)</x:f>
        <x:v>3</x:v>
      </x:c>
      <x:c r="L1737" s="19" t="n">
        <x:f>E1737-IF(H1737=1,1,0)</x:f>
        <x:v>2</x:v>
      </x:c>
      <x:c r="M1737" s="19" t="n">
        <x:f>F1737-IF(H1737=2,1,0)</x:f>
        <x:v>3</x:v>
      </x:c>
      <x:c r="N1737" s="19" t="n">
        <x:f>MAX(K1737-1,0)+MAX(L1737-1,0)+MAX(M1737-1,0)</x:f>
        <x:v>5</x:v>
      </x:c>
      <x:c r="O1737" s="19" t="n">
        <x:f>IF(AND(SUM(K1737:M1737)&lt;9,OR(M1737=0,N1737&lt;6)),1,0)</x:f>
        <x:v>1</x:v>
      </x:c>
      <x:c r="P1737" s="19" t="n">
        <x:f>IF(AND(SUM(K1737:M1737)&lt;9,OR(L1737=0,N1737&lt;6)),1,0)</x:f>
        <x:v>1</x:v>
      </x:c>
      <x:c r="Q1737" s="19" t="n">
        <x:f>IF(AND(SUM(K1737:M1737)&lt;9,OR(K1737=0,N1737&lt;6)),1,0)</x:f>
        <x:v>1</x:v>
      </x:c>
      <x:c r="R1737" s="22" t="str">
        <x:f>O1737&amp;P1737&amp;Q1737</x:f>
        <x:v>111</x:v>
      </x:c>
      <x:c r="S1737" s="19" t="n">
        <x:f>IF(I1737=1,IF(J1737=0,Q1737,IF(J1737=1,P1737,IF(J1737=2,O1737,0))),0)</x:f>
        <x:v>1</x:v>
      </x:c>
      <x:c r="T1737" s="19" t="n">
        <x:f>K1737+IF(AND(S1737=1,J1737=0),1,0)</x:f>
        <x:v>3</x:v>
      </x:c>
      <x:c r="U1737" s="19" t="n">
        <x:f>L1737+IF(AND(S1737=1,J1737=1),1,0)</x:f>
        <x:v>2</x:v>
      </x:c>
      <x:c r="V1737" s="19" t="n">
        <x:f>M1737+IF(AND(S1737=1,J1737=2),1,0)</x:f>
        <x:v>4</x:v>
      </x:c>
      <x:c r="W1737" s="19" t="n">
        <x:f>SUM(T1737:V1737)</x:f>
        <x:v>9</x:v>
      </x:c>
      <x:c r="X1737" s="19" t="n">
        <x:f>W1737-G1737</x:f>
        <x:v>1</x:v>
      </x:c>
      <x:c r="Y1737" s="19" t="n">
        <x:f>MAX(T1737,1)+MAX(U1737,1)+MAX(V1737,1)</x:f>
        <x:v>9</x:v>
      </x:c>
      <x:c r="Z1737" s="21" t="str">
        <x:f>IF(AND(MIN(D1737:F1737)&gt;=0,MAX(D1737:F1737)&lt;=7,MAX(D1737,1)+MAX(E1737,1)+MAX(F1737,1)&lt;=9,OR(H1737="-",AND(H1737=0,D1737&gt;0),AND(H1737=1,E1737&gt;0),AND(H1737=2,F1737&gt;0)),OR(I1737=0,AND(I1737=1,OR(J1737=0,J1737=1,J1737=2),R1737&lt;&gt;"000")),Y1737&lt;=9,MIN(T1737:V1737)&gt;=0),"合法","输入违约")</x:f>
        <x:v>合法</x:v>
      </x:c>
    </x:row>
    <x:row r="1738" ht="23" customHeight="1">
      <x:c r="A1738" s="3" t="str">
        <x:v>CT-1731</x:v>
      </x:c>
      <x:c r="B1738" s="3" t="str">
        <x:v>ST-145</x:v>
      </x:c>
      <x:c r="C1738" s="3" t="str">
        <x:v>仅R回收</x:v>
      </x:c>
      <x:c r="D1738" s="25" t="n">
        <x:v>3</x:v>
      </x:c>
      <x:c r="E1738" s="25" t="n">
        <x:v>2</x:v>
      </x:c>
      <x:c r="F1738" s="25" t="n">
        <x:v>3</x:v>
      </x:c>
      <x:c r="G1738" s="19" t="n">
        <x:f>SUM(D1738:F1738)</x:f>
        <x:v>8</x:v>
      </x:c>
      <x:c r="H1738" s="25" t="n">
        <x:v>0</x:v>
      </x:c>
      <x:c r="I1738" s="25" t="n">
        <x:v>0</x:v>
      </x:c>
      <x:c r="J1738" s="25" t="str">
        <x:v>-</x:v>
      </x:c>
      <x:c r="K1738" s="19" t="n">
        <x:f>D1738-IF(H1738=0,1,0)</x:f>
        <x:v>2</x:v>
      </x:c>
      <x:c r="L1738" s="19" t="n">
        <x:f>E1738-IF(H1738=1,1,0)</x:f>
        <x:v>2</x:v>
      </x:c>
      <x:c r="M1738" s="19" t="n">
        <x:f>F1738-IF(H1738=2,1,0)</x:f>
        <x:v>3</x:v>
      </x:c>
      <x:c r="N1738" s="19" t="n">
        <x:f>MAX(K1738-1,0)+MAX(L1738-1,0)+MAX(M1738-1,0)</x:f>
        <x:v>4</x:v>
      </x:c>
      <x:c r="O1738" s="19" t="n">
        <x:f>IF(AND(SUM(K1738:M1738)&lt;9,OR(M1738=0,N1738&lt;6)),1,0)</x:f>
        <x:v>1</x:v>
      </x:c>
      <x:c r="P1738" s="19" t="n">
        <x:f>IF(AND(SUM(K1738:M1738)&lt;9,OR(L1738=0,N1738&lt;6)),1,0)</x:f>
        <x:v>1</x:v>
      </x:c>
      <x:c r="Q1738" s="19" t="n">
        <x:f>IF(AND(SUM(K1738:M1738)&lt;9,OR(K1738=0,N1738&lt;6)),1,0)</x:f>
        <x:v>1</x:v>
      </x:c>
      <x:c r="R1738" s="22" t="str">
        <x:f>O1738&amp;P1738&amp;Q1738</x:f>
        <x:v>111</x:v>
      </x:c>
      <x:c r="S1738" s="19" t="n">
        <x:f>IF(I1738=1,IF(J1738=0,Q1738,IF(J1738=1,P1738,IF(J1738=2,O1738,0))),0)</x:f>
        <x:v>0</x:v>
      </x:c>
      <x:c r="T1738" s="19" t="n">
        <x:f>K1738+IF(AND(S1738=1,J1738=0),1,0)</x:f>
        <x:v>2</x:v>
      </x:c>
      <x:c r="U1738" s="19" t="n">
        <x:f>L1738+IF(AND(S1738=1,J1738=1),1,0)</x:f>
        <x:v>2</x:v>
      </x:c>
      <x:c r="V1738" s="19" t="n">
        <x:f>M1738+IF(AND(S1738=1,J1738=2),1,0)</x:f>
        <x:v>3</x:v>
      </x:c>
      <x:c r="W1738" s="19" t="n">
        <x:f>SUM(T1738:V1738)</x:f>
        <x:v>7</x:v>
      </x:c>
      <x:c r="X1738" s="19" t="n">
        <x:f>W1738-G1738</x:f>
        <x:v>-1</x:v>
      </x:c>
      <x:c r="Y1738" s="19" t="n">
        <x:f>MAX(T1738,1)+MAX(U1738,1)+MAX(V1738,1)</x:f>
        <x:v>7</x:v>
      </x:c>
      <x:c r="Z1738" s="21" t="str">
        <x:f>IF(AND(MIN(D1738:F1738)&gt;=0,MAX(D1738:F1738)&lt;=7,MAX(D1738,1)+MAX(E1738,1)+MAX(F1738,1)&lt;=9,OR(H1738="-",AND(H1738=0,D1738&gt;0),AND(H1738=1,E1738&gt;0),AND(H1738=2,F1738&gt;0)),OR(I1738=0,AND(I1738=1,OR(J1738=0,J1738=1,J1738=2),R1738&lt;&gt;"000")),Y1738&lt;=9,MIN(T1738:V1738)&gt;=0),"合法","输入违约")</x:f>
        <x:v>合法</x:v>
      </x:c>
    </x:row>
    <x:row r="1739" ht="23" customHeight="1">
      <x:c r="A1739" s="3" t="str">
        <x:v>CT-1732</x:v>
      </x:c>
      <x:c r="B1739" s="3" t="str">
        <x:v>ST-145</x:v>
      </x:c>
      <x:c r="C1739" s="3" t="str">
        <x:v>R+AR同收同发</x:v>
      </x:c>
      <x:c r="D1739" s="25" t="n">
        <x:v>3</x:v>
      </x:c>
      <x:c r="E1739" s="25" t="n">
        <x:v>2</x:v>
      </x:c>
      <x:c r="F1739" s="25" t="n">
        <x:v>3</x:v>
      </x:c>
      <x:c r="G1739" s="19" t="n">
        <x:f>SUM(D1739:F1739)</x:f>
        <x:v>8</x:v>
      </x:c>
      <x:c r="H1739" s="25" t="n">
        <x:v>0</x:v>
      </x:c>
      <x:c r="I1739" s="25" t="n">
        <x:v>1</x:v>
      </x:c>
      <x:c r="J1739" s="25" t="n">
        <x:v>0</x:v>
      </x:c>
      <x:c r="K1739" s="19" t="n">
        <x:f>D1739-IF(H1739=0,1,0)</x:f>
        <x:v>2</x:v>
      </x:c>
      <x:c r="L1739" s="19" t="n">
        <x:f>E1739-IF(H1739=1,1,0)</x:f>
        <x:v>2</x:v>
      </x:c>
      <x:c r="M1739" s="19" t="n">
        <x:f>F1739-IF(H1739=2,1,0)</x:f>
        <x:v>3</x:v>
      </x:c>
      <x:c r="N1739" s="19" t="n">
        <x:f>MAX(K1739-1,0)+MAX(L1739-1,0)+MAX(M1739-1,0)</x:f>
        <x:v>4</x:v>
      </x:c>
      <x:c r="O1739" s="19" t="n">
        <x:f>IF(AND(SUM(K1739:M1739)&lt;9,OR(M1739=0,N1739&lt;6)),1,0)</x:f>
        <x:v>1</x:v>
      </x:c>
      <x:c r="P1739" s="19" t="n">
        <x:f>IF(AND(SUM(K1739:M1739)&lt;9,OR(L1739=0,N1739&lt;6)),1,0)</x:f>
        <x:v>1</x:v>
      </x:c>
      <x:c r="Q1739" s="19" t="n">
        <x:f>IF(AND(SUM(K1739:M1739)&lt;9,OR(K1739=0,N1739&lt;6)),1,0)</x:f>
        <x:v>1</x:v>
      </x:c>
      <x:c r="R1739" s="22" t="str">
        <x:f>O1739&amp;P1739&amp;Q1739</x:f>
        <x:v>111</x:v>
      </x:c>
      <x:c r="S1739" s="19" t="n">
        <x:f>IF(I1739=1,IF(J1739=0,Q1739,IF(J1739=1,P1739,IF(J1739=2,O1739,0))),0)</x:f>
        <x:v>1</x:v>
      </x:c>
      <x:c r="T1739" s="19" t="n">
        <x:f>K1739+IF(AND(S1739=1,J1739=0),1,0)</x:f>
        <x:v>3</x:v>
      </x:c>
      <x:c r="U1739" s="19" t="n">
        <x:f>L1739+IF(AND(S1739=1,J1739=1),1,0)</x:f>
        <x:v>2</x:v>
      </x:c>
      <x:c r="V1739" s="19" t="n">
        <x:f>M1739+IF(AND(S1739=1,J1739=2),1,0)</x:f>
        <x:v>3</x:v>
      </x:c>
      <x:c r="W1739" s="19" t="n">
        <x:f>SUM(T1739:V1739)</x:f>
        <x:v>8</x:v>
      </x:c>
      <x:c r="X1739" s="19" t="n">
        <x:f>W1739-G1739</x:f>
        <x:v>0</x:v>
      </x:c>
      <x:c r="Y1739" s="19" t="n">
        <x:f>MAX(T1739,1)+MAX(U1739,1)+MAX(V1739,1)</x:f>
        <x:v>8</x:v>
      </x:c>
      <x:c r="Z1739" s="21" t="str">
        <x:f>IF(AND(MIN(D1739:F1739)&gt;=0,MAX(D1739:F1739)&lt;=7,MAX(D1739,1)+MAX(E1739,1)+MAX(F1739,1)&lt;=9,OR(H1739="-",AND(H1739=0,D1739&gt;0),AND(H1739=1,E1739&gt;0),AND(H1739=2,F1739&gt;0)),OR(I1739=0,AND(I1739=1,OR(J1739=0,J1739=1,J1739=2),R1739&lt;&gt;"000")),Y1739&lt;=9,MIN(T1739:V1739)&gt;=0),"合法","输入违约")</x:f>
        <x:v>合法</x:v>
      </x:c>
    </x:row>
    <x:row r="1740" ht="23" customHeight="1">
      <x:c r="A1740" s="3" t="str">
        <x:v>CT-1733</x:v>
      </x:c>
      <x:c r="B1740" s="3" t="str">
        <x:v>ST-145</x:v>
      </x:c>
      <x:c r="C1740" s="3" t="str">
        <x:v>R+AR同收同发</x:v>
      </x:c>
      <x:c r="D1740" s="25" t="n">
        <x:v>3</x:v>
      </x:c>
      <x:c r="E1740" s="25" t="n">
        <x:v>2</x:v>
      </x:c>
      <x:c r="F1740" s="25" t="n">
        <x:v>3</x:v>
      </x:c>
      <x:c r="G1740" s="19" t="n">
        <x:f>SUM(D1740:F1740)</x:f>
        <x:v>8</x:v>
      </x:c>
      <x:c r="H1740" s="25" t="n">
        <x:v>0</x:v>
      </x:c>
      <x:c r="I1740" s="25" t="n">
        <x:v>1</x:v>
      </x:c>
      <x:c r="J1740" s="25" t="n">
        <x:v>1</x:v>
      </x:c>
      <x:c r="K1740" s="19" t="n">
        <x:f>D1740-IF(H1740=0,1,0)</x:f>
        <x:v>2</x:v>
      </x:c>
      <x:c r="L1740" s="19" t="n">
        <x:f>E1740-IF(H1740=1,1,0)</x:f>
        <x:v>2</x:v>
      </x:c>
      <x:c r="M1740" s="19" t="n">
        <x:f>F1740-IF(H1740=2,1,0)</x:f>
        <x:v>3</x:v>
      </x:c>
      <x:c r="N1740" s="19" t="n">
        <x:f>MAX(K1740-1,0)+MAX(L1740-1,0)+MAX(M1740-1,0)</x:f>
        <x:v>4</x:v>
      </x:c>
      <x:c r="O1740" s="19" t="n">
        <x:f>IF(AND(SUM(K1740:M1740)&lt;9,OR(M1740=0,N1740&lt;6)),1,0)</x:f>
        <x:v>1</x:v>
      </x:c>
      <x:c r="P1740" s="19" t="n">
        <x:f>IF(AND(SUM(K1740:M1740)&lt;9,OR(L1740=0,N1740&lt;6)),1,0)</x:f>
        <x:v>1</x:v>
      </x:c>
      <x:c r="Q1740" s="19" t="n">
        <x:f>IF(AND(SUM(K1740:M1740)&lt;9,OR(K1740=0,N1740&lt;6)),1,0)</x:f>
        <x:v>1</x:v>
      </x:c>
      <x:c r="R1740" s="22" t="str">
        <x:f>O1740&amp;P1740&amp;Q1740</x:f>
        <x:v>111</x:v>
      </x:c>
      <x:c r="S1740" s="19" t="n">
        <x:f>IF(I1740=1,IF(J1740=0,Q1740,IF(J1740=1,P1740,IF(J1740=2,O1740,0))),0)</x:f>
        <x:v>1</x:v>
      </x:c>
      <x:c r="T1740" s="19" t="n">
        <x:f>K1740+IF(AND(S1740=1,J1740=0),1,0)</x:f>
        <x:v>2</x:v>
      </x:c>
      <x:c r="U1740" s="19" t="n">
        <x:f>L1740+IF(AND(S1740=1,J1740=1),1,0)</x:f>
        <x:v>3</x:v>
      </x:c>
      <x:c r="V1740" s="19" t="n">
        <x:f>M1740+IF(AND(S1740=1,J1740=2),1,0)</x:f>
        <x:v>3</x:v>
      </x:c>
      <x:c r="W1740" s="19" t="n">
        <x:f>SUM(T1740:V1740)</x:f>
        <x:v>8</x:v>
      </x:c>
      <x:c r="X1740" s="19" t="n">
        <x:f>W1740-G1740</x:f>
        <x:v>0</x:v>
      </x:c>
      <x:c r="Y1740" s="19" t="n">
        <x:f>MAX(T1740,1)+MAX(U1740,1)+MAX(V1740,1)</x:f>
        <x:v>8</x:v>
      </x:c>
      <x:c r="Z1740" s="21" t="str">
        <x:f>IF(AND(MIN(D1740:F1740)&gt;=0,MAX(D1740:F1740)&lt;=7,MAX(D1740,1)+MAX(E1740,1)+MAX(F1740,1)&lt;=9,OR(H1740="-",AND(H1740=0,D1740&gt;0),AND(H1740=1,E1740&gt;0),AND(H1740=2,F1740&gt;0)),OR(I1740=0,AND(I1740=1,OR(J1740=0,J1740=1,J1740=2),R1740&lt;&gt;"000")),Y1740&lt;=9,MIN(T1740:V1740)&gt;=0),"合法","输入违约")</x:f>
        <x:v>合法</x:v>
      </x:c>
    </x:row>
    <x:row r="1741" ht="23" customHeight="1">
      <x:c r="A1741" s="3" t="str">
        <x:v>CT-1734</x:v>
      </x:c>
      <x:c r="B1741" s="3" t="str">
        <x:v>ST-145</x:v>
      </x:c>
      <x:c r="C1741" s="3" t="str">
        <x:v>R+AR同收同发</x:v>
      </x:c>
      <x:c r="D1741" s="25" t="n">
        <x:v>3</x:v>
      </x:c>
      <x:c r="E1741" s="25" t="n">
        <x:v>2</x:v>
      </x:c>
      <x:c r="F1741" s="25" t="n">
        <x:v>3</x:v>
      </x:c>
      <x:c r="G1741" s="19" t="n">
        <x:f>SUM(D1741:F1741)</x:f>
        <x:v>8</x:v>
      </x:c>
      <x:c r="H1741" s="25" t="n">
        <x:v>0</x:v>
      </x:c>
      <x:c r="I1741" s="25" t="n">
        <x:v>1</x:v>
      </x:c>
      <x:c r="J1741" s="25" t="n">
        <x:v>2</x:v>
      </x:c>
      <x:c r="K1741" s="19" t="n">
        <x:f>D1741-IF(H1741=0,1,0)</x:f>
        <x:v>2</x:v>
      </x:c>
      <x:c r="L1741" s="19" t="n">
        <x:f>E1741-IF(H1741=1,1,0)</x:f>
        <x:v>2</x:v>
      </x:c>
      <x:c r="M1741" s="19" t="n">
        <x:f>F1741-IF(H1741=2,1,0)</x:f>
        <x:v>3</x:v>
      </x:c>
      <x:c r="N1741" s="19" t="n">
        <x:f>MAX(K1741-1,0)+MAX(L1741-1,0)+MAX(M1741-1,0)</x:f>
        <x:v>4</x:v>
      </x:c>
      <x:c r="O1741" s="19" t="n">
        <x:f>IF(AND(SUM(K1741:M1741)&lt;9,OR(M1741=0,N1741&lt;6)),1,0)</x:f>
        <x:v>1</x:v>
      </x:c>
      <x:c r="P1741" s="19" t="n">
        <x:f>IF(AND(SUM(K1741:M1741)&lt;9,OR(L1741=0,N1741&lt;6)),1,0)</x:f>
        <x:v>1</x:v>
      </x:c>
      <x:c r="Q1741" s="19" t="n">
        <x:f>IF(AND(SUM(K1741:M1741)&lt;9,OR(K1741=0,N1741&lt;6)),1,0)</x:f>
        <x:v>1</x:v>
      </x:c>
      <x:c r="R1741" s="22" t="str">
        <x:f>O1741&amp;P1741&amp;Q1741</x:f>
        <x:v>111</x:v>
      </x:c>
      <x:c r="S1741" s="19" t="n">
        <x:f>IF(I1741=1,IF(J1741=0,Q1741,IF(J1741=1,P1741,IF(J1741=2,O1741,0))),0)</x:f>
        <x:v>1</x:v>
      </x:c>
      <x:c r="T1741" s="19" t="n">
        <x:f>K1741+IF(AND(S1741=1,J1741=0),1,0)</x:f>
        <x:v>2</x:v>
      </x:c>
      <x:c r="U1741" s="19" t="n">
        <x:f>L1741+IF(AND(S1741=1,J1741=1),1,0)</x:f>
        <x:v>2</x:v>
      </x:c>
      <x:c r="V1741" s="19" t="n">
        <x:f>M1741+IF(AND(S1741=1,J1741=2),1,0)</x:f>
        <x:v>4</x:v>
      </x:c>
      <x:c r="W1741" s="19" t="n">
        <x:f>SUM(T1741:V1741)</x:f>
        <x:v>8</x:v>
      </x:c>
      <x:c r="X1741" s="19" t="n">
        <x:f>W1741-G1741</x:f>
        <x:v>0</x:v>
      </x:c>
      <x:c r="Y1741" s="19" t="n">
        <x:f>MAX(T1741,1)+MAX(U1741,1)+MAX(V1741,1)</x:f>
        <x:v>8</x:v>
      </x:c>
      <x:c r="Z1741" s="21" t="str">
        <x:f>IF(AND(MIN(D1741:F1741)&gt;=0,MAX(D1741:F1741)&lt;=7,MAX(D1741,1)+MAX(E1741,1)+MAX(F1741,1)&lt;=9,OR(H1741="-",AND(H1741=0,D1741&gt;0),AND(H1741=1,E1741&gt;0),AND(H1741=2,F1741&gt;0)),OR(I1741=0,AND(I1741=1,OR(J1741=0,J1741=1,J1741=2),R1741&lt;&gt;"000")),Y1741&lt;=9,MIN(T1741:V1741)&gt;=0),"合法","输入违约")</x:f>
        <x:v>合法</x:v>
      </x:c>
    </x:row>
    <x:row r="1742" ht="23" customHeight="1">
      <x:c r="A1742" s="3" t="str">
        <x:v>CT-1735</x:v>
      </x:c>
      <x:c r="B1742" s="3" t="str">
        <x:v>ST-145</x:v>
      </x:c>
      <x:c r="C1742" s="3" t="str">
        <x:v>仅R回收</x:v>
      </x:c>
      <x:c r="D1742" s="25" t="n">
        <x:v>3</x:v>
      </x:c>
      <x:c r="E1742" s="25" t="n">
        <x:v>2</x:v>
      </x:c>
      <x:c r="F1742" s="25" t="n">
        <x:v>3</x:v>
      </x:c>
      <x:c r="G1742" s="19" t="n">
        <x:f>SUM(D1742:F1742)</x:f>
        <x:v>8</x:v>
      </x:c>
      <x:c r="H1742" s="25" t="n">
        <x:v>1</x:v>
      </x:c>
      <x:c r="I1742" s="25" t="n">
        <x:v>0</x:v>
      </x:c>
      <x:c r="J1742" s="25" t="str">
        <x:v>-</x:v>
      </x:c>
      <x:c r="K1742" s="19" t="n">
        <x:f>D1742-IF(H1742=0,1,0)</x:f>
        <x:v>3</x:v>
      </x:c>
      <x:c r="L1742" s="19" t="n">
        <x:f>E1742-IF(H1742=1,1,0)</x:f>
        <x:v>1</x:v>
      </x:c>
      <x:c r="M1742" s="19" t="n">
        <x:f>F1742-IF(H1742=2,1,0)</x:f>
        <x:v>3</x:v>
      </x:c>
      <x:c r="N1742" s="19" t="n">
        <x:f>MAX(K1742-1,0)+MAX(L1742-1,0)+MAX(M1742-1,0)</x:f>
        <x:v>4</x:v>
      </x:c>
      <x:c r="O1742" s="19" t="n">
        <x:f>IF(AND(SUM(K1742:M1742)&lt;9,OR(M1742=0,N1742&lt;6)),1,0)</x:f>
        <x:v>1</x:v>
      </x:c>
      <x:c r="P1742" s="19" t="n">
        <x:f>IF(AND(SUM(K1742:M1742)&lt;9,OR(L1742=0,N1742&lt;6)),1,0)</x:f>
        <x:v>1</x:v>
      </x:c>
      <x:c r="Q1742" s="19" t="n">
        <x:f>IF(AND(SUM(K1742:M1742)&lt;9,OR(K1742=0,N1742&lt;6)),1,0)</x:f>
        <x:v>1</x:v>
      </x:c>
      <x:c r="R1742" s="22" t="str">
        <x:f>O1742&amp;P1742&amp;Q1742</x:f>
        <x:v>111</x:v>
      </x:c>
      <x:c r="S1742" s="19" t="n">
        <x:f>IF(I1742=1,IF(J1742=0,Q1742,IF(J1742=1,P1742,IF(J1742=2,O1742,0))),0)</x:f>
        <x:v>0</x:v>
      </x:c>
      <x:c r="T1742" s="19" t="n">
        <x:f>K1742+IF(AND(S1742=1,J1742=0),1,0)</x:f>
        <x:v>3</x:v>
      </x:c>
      <x:c r="U1742" s="19" t="n">
        <x:f>L1742+IF(AND(S1742=1,J1742=1),1,0)</x:f>
        <x:v>1</x:v>
      </x:c>
      <x:c r="V1742" s="19" t="n">
        <x:f>M1742+IF(AND(S1742=1,J1742=2),1,0)</x:f>
        <x:v>3</x:v>
      </x:c>
      <x:c r="W1742" s="19" t="n">
        <x:f>SUM(T1742:V1742)</x:f>
        <x:v>7</x:v>
      </x:c>
      <x:c r="X1742" s="19" t="n">
        <x:f>W1742-G1742</x:f>
        <x:v>-1</x:v>
      </x:c>
      <x:c r="Y1742" s="19" t="n">
        <x:f>MAX(T1742,1)+MAX(U1742,1)+MAX(V1742,1)</x:f>
        <x:v>7</x:v>
      </x:c>
      <x:c r="Z1742" s="21" t="str">
        <x:f>IF(AND(MIN(D1742:F1742)&gt;=0,MAX(D1742:F1742)&lt;=7,MAX(D1742,1)+MAX(E1742,1)+MAX(F1742,1)&lt;=9,OR(H1742="-",AND(H1742=0,D1742&gt;0),AND(H1742=1,E1742&gt;0),AND(H1742=2,F1742&gt;0)),OR(I1742=0,AND(I1742=1,OR(J1742=0,J1742=1,J1742=2),R1742&lt;&gt;"000")),Y1742&lt;=9,MIN(T1742:V1742)&gt;=0),"合法","输入违约")</x:f>
        <x:v>合法</x:v>
      </x:c>
    </x:row>
    <x:row r="1743" ht="23" customHeight="1">
      <x:c r="A1743" s="3" t="str">
        <x:v>CT-1736</x:v>
      </x:c>
      <x:c r="B1743" s="3" t="str">
        <x:v>ST-145</x:v>
      </x:c>
      <x:c r="C1743" s="3" t="str">
        <x:v>R+AR同收同发</x:v>
      </x:c>
      <x:c r="D1743" s="25" t="n">
        <x:v>3</x:v>
      </x:c>
      <x:c r="E1743" s="25" t="n">
        <x:v>2</x:v>
      </x:c>
      <x:c r="F1743" s="25" t="n">
        <x:v>3</x:v>
      </x:c>
      <x:c r="G1743" s="19" t="n">
        <x:f>SUM(D1743:F1743)</x:f>
        <x:v>8</x:v>
      </x:c>
      <x:c r="H1743" s="25" t="n">
        <x:v>1</x:v>
      </x:c>
      <x:c r="I1743" s="25" t="n">
        <x:v>1</x:v>
      </x:c>
      <x:c r="J1743" s="25" t="n">
        <x:v>0</x:v>
      </x:c>
      <x:c r="K1743" s="19" t="n">
        <x:f>D1743-IF(H1743=0,1,0)</x:f>
        <x:v>3</x:v>
      </x:c>
      <x:c r="L1743" s="19" t="n">
        <x:f>E1743-IF(H1743=1,1,0)</x:f>
        <x:v>1</x:v>
      </x:c>
      <x:c r="M1743" s="19" t="n">
        <x:f>F1743-IF(H1743=2,1,0)</x:f>
        <x:v>3</x:v>
      </x:c>
      <x:c r="N1743" s="19" t="n">
        <x:f>MAX(K1743-1,0)+MAX(L1743-1,0)+MAX(M1743-1,0)</x:f>
        <x:v>4</x:v>
      </x:c>
      <x:c r="O1743" s="19" t="n">
        <x:f>IF(AND(SUM(K1743:M1743)&lt;9,OR(M1743=0,N1743&lt;6)),1,0)</x:f>
        <x:v>1</x:v>
      </x:c>
      <x:c r="P1743" s="19" t="n">
        <x:f>IF(AND(SUM(K1743:M1743)&lt;9,OR(L1743=0,N1743&lt;6)),1,0)</x:f>
        <x:v>1</x:v>
      </x:c>
      <x:c r="Q1743" s="19" t="n">
        <x:f>IF(AND(SUM(K1743:M1743)&lt;9,OR(K1743=0,N1743&lt;6)),1,0)</x:f>
        <x:v>1</x:v>
      </x:c>
      <x:c r="R1743" s="22" t="str">
        <x:f>O1743&amp;P1743&amp;Q1743</x:f>
        <x:v>111</x:v>
      </x:c>
      <x:c r="S1743" s="19" t="n">
        <x:f>IF(I1743=1,IF(J1743=0,Q1743,IF(J1743=1,P1743,IF(J1743=2,O1743,0))),0)</x:f>
        <x:v>1</x:v>
      </x:c>
      <x:c r="T1743" s="19" t="n">
        <x:f>K1743+IF(AND(S1743=1,J1743=0),1,0)</x:f>
        <x:v>4</x:v>
      </x:c>
      <x:c r="U1743" s="19" t="n">
        <x:f>L1743+IF(AND(S1743=1,J1743=1),1,0)</x:f>
        <x:v>1</x:v>
      </x:c>
      <x:c r="V1743" s="19" t="n">
        <x:f>M1743+IF(AND(S1743=1,J1743=2),1,0)</x:f>
        <x:v>3</x:v>
      </x:c>
      <x:c r="W1743" s="19" t="n">
        <x:f>SUM(T1743:V1743)</x:f>
        <x:v>8</x:v>
      </x:c>
      <x:c r="X1743" s="19" t="n">
        <x:f>W1743-G1743</x:f>
        <x:v>0</x:v>
      </x:c>
      <x:c r="Y1743" s="19" t="n">
        <x:f>MAX(T1743,1)+MAX(U1743,1)+MAX(V1743,1)</x:f>
        <x:v>8</x:v>
      </x:c>
      <x:c r="Z1743" s="21" t="str">
        <x:f>IF(AND(MIN(D1743:F1743)&gt;=0,MAX(D1743:F1743)&lt;=7,MAX(D1743,1)+MAX(E1743,1)+MAX(F1743,1)&lt;=9,OR(H1743="-",AND(H1743=0,D1743&gt;0),AND(H1743=1,E1743&gt;0),AND(H1743=2,F1743&gt;0)),OR(I1743=0,AND(I1743=1,OR(J1743=0,J1743=1,J1743=2),R1743&lt;&gt;"000")),Y1743&lt;=9,MIN(T1743:V1743)&gt;=0),"合法","输入违约")</x:f>
        <x:v>合法</x:v>
      </x:c>
    </x:row>
    <x:row r="1744" ht="23" customHeight="1">
      <x:c r="A1744" s="3" t="str">
        <x:v>CT-1737</x:v>
      </x:c>
      <x:c r="B1744" s="3" t="str">
        <x:v>ST-145</x:v>
      </x:c>
      <x:c r="C1744" s="3" t="str">
        <x:v>R+AR同收同发</x:v>
      </x:c>
      <x:c r="D1744" s="25" t="n">
        <x:v>3</x:v>
      </x:c>
      <x:c r="E1744" s="25" t="n">
        <x:v>2</x:v>
      </x:c>
      <x:c r="F1744" s="25" t="n">
        <x:v>3</x:v>
      </x:c>
      <x:c r="G1744" s="19" t="n">
        <x:f>SUM(D1744:F1744)</x:f>
        <x:v>8</x:v>
      </x:c>
      <x:c r="H1744" s="25" t="n">
        <x:v>1</x:v>
      </x:c>
      <x:c r="I1744" s="25" t="n">
        <x:v>1</x:v>
      </x:c>
      <x:c r="J1744" s="25" t="n">
        <x:v>1</x:v>
      </x:c>
      <x:c r="K1744" s="19" t="n">
        <x:f>D1744-IF(H1744=0,1,0)</x:f>
        <x:v>3</x:v>
      </x:c>
      <x:c r="L1744" s="19" t="n">
        <x:f>E1744-IF(H1744=1,1,0)</x:f>
        <x:v>1</x:v>
      </x:c>
      <x:c r="M1744" s="19" t="n">
        <x:f>F1744-IF(H1744=2,1,0)</x:f>
        <x:v>3</x:v>
      </x:c>
      <x:c r="N1744" s="19" t="n">
        <x:f>MAX(K1744-1,0)+MAX(L1744-1,0)+MAX(M1744-1,0)</x:f>
        <x:v>4</x:v>
      </x:c>
      <x:c r="O1744" s="19" t="n">
        <x:f>IF(AND(SUM(K1744:M1744)&lt;9,OR(M1744=0,N1744&lt;6)),1,0)</x:f>
        <x:v>1</x:v>
      </x:c>
      <x:c r="P1744" s="19" t="n">
        <x:f>IF(AND(SUM(K1744:M1744)&lt;9,OR(L1744=0,N1744&lt;6)),1,0)</x:f>
        <x:v>1</x:v>
      </x:c>
      <x:c r="Q1744" s="19" t="n">
        <x:f>IF(AND(SUM(K1744:M1744)&lt;9,OR(K1744=0,N1744&lt;6)),1,0)</x:f>
        <x:v>1</x:v>
      </x:c>
      <x:c r="R1744" s="22" t="str">
        <x:f>O1744&amp;P1744&amp;Q1744</x:f>
        <x:v>111</x:v>
      </x:c>
      <x:c r="S1744" s="19" t="n">
        <x:f>IF(I1744=1,IF(J1744=0,Q1744,IF(J1744=1,P1744,IF(J1744=2,O1744,0))),0)</x:f>
        <x:v>1</x:v>
      </x:c>
      <x:c r="T1744" s="19" t="n">
        <x:f>K1744+IF(AND(S1744=1,J1744=0),1,0)</x:f>
        <x:v>3</x:v>
      </x:c>
      <x:c r="U1744" s="19" t="n">
        <x:f>L1744+IF(AND(S1744=1,J1744=1),1,0)</x:f>
        <x:v>2</x:v>
      </x:c>
      <x:c r="V1744" s="19" t="n">
        <x:f>M1744+IF(AND(S1744=1,J1744=2),1,0)</x:f>
        <x:v>3</x:v>
      </x:c>
      <x:c r="W1744" s="19" t="n">
        <x:f>SUM(T1744:V1744)</x:f>
        <x:v>8</x:v>
      </x:c>
      <x:c r="X1744" s="19" t="n">
        <x:f>W1744-G1744</x:f>
        <x:v>0</x:v>
      </x:c>
      <x:c r="Y1744" s="19" t="n">
        <x:f>MAX(T1744,1)+MAX(U1744,1)+MAX(V1744,1)</x:f>
        <x:v>8</x:v>
      </x:c>
      <x:c r="Z1744" s="21" t="str">
        <x:f>IF(AND(MIN(D1744:F1744)&gt;=0,MAX(D1744:F1744)&lt;=7,MAX(D1744,1)+MAX(E1744,1)+MAX(F1744,1)&lt;=9,OR(H1744="-",AND(H1744=0,D1744&gt;0),AND(H1744=1,E1744&gt;0),AND(H1744=2,F1744&gt;0)),OR(I1744=0,AND(I1744=1,OR(J1744=0,J1744=1,J1744=2),R1744&lt;&gt;"000")),Y1744&lt;=9,MIN(T1744:V1744)&gt;=0),"合法","输入违约")</x:f>
        <x:v>合法</x:v>
      </x:c>
    </x:row>
    <x:row r="1745" ht="23" customHeight="1">
      <x:c r="A1745" s="3" t="str">
        <x:v>CT-1738</x:v>
      </x:c>
      <x:c r="B1745" s="3" t="str">
        <x:v>ST-145</x:v>
      </x:c>
      <x:c r="C1745" s="3" t="str">
        <x:v>R+AR同收同发</x:v>
      </x:c>
      <x:c r="D1745" s="25" t="n">
        <x:v>3</x:v>
      </x:c>
      <x:c r="E1745" s="25" t="n">
        <x:v>2</x:v>
      </x:c>
      <x:c r="F1745" s="25" t="n">
        <x:v>3</x:v>
      </x:c>
      <x:c r="G1745" s="19" t="n">
        <x:f>SUM(D1745:F1745)</x:f>
        <x:v>8</x:v>
      </x:c>
      <x:c r="H1745" s="25" t="n">
        <x:v>1</x:v>
      </x:c>
      <x:c r="I1745" s="25" t="n">
        <x:v>1</x:v>
      </x:c>
      <x:c r="J1745" s="25" t="n">
        <x:v>2</x:v>
      </x:c>
      <x:c r="K1745" s="19" t="n">
        <x:f>D1745-IF(H1745=0,1,0)</x:f>
        <x:v>3</x:v>
      </x:c>
      <x:c r="L1745" s="19" t="n">
        <x:f>E1745-IF(H1745=1,1,0)</x:f>
        <x:v>1</x:v>
      </x:c>
      <x:c r="M1745" s="19" t="n">
        <x:f>F1745-IF(H1745=2,1,0)</x:f>
        <x:v>3</x:v>
      </x:c>
      <x:c r="N1745" s="19" t="n">
        <x:f>MAX(K1745-1,0)+MAX(L1745-1,0)+MAX(M1745-1,0)</x:f>
        <x:v>4</x:v>
      </x:c>
      <x:c r="O1745" s="19" t="n">
        <x:f>IF(AND(SUM(K1745:M1745)&lt;9,OR(M1745=0,N1745&lt;6)),1,0)</x:f>
        <x:v>1</x:v>
      </x:c>
      <x:c r="P1745" s="19" t="n">
        <x:f>IF(AND(SUM(K1745:M1745)&lt;9,OR(L1745=0,N1745&lt;6)),1,0)</x:f>
        <x:v>1</x:v>
      </x:c>
      <x:c r="Q1745" s="19" t="n">
        <x:f>IF(AND(SUM(K1745:M1745)&lt;9,OR(K1745=0,N1745&lt;6)),1,0)</x:f>
        <x:v>1</x:v>
      </x:c>
      <x:c r="R1745" s="22" t="str">
        <x:f>O1745&amp;P1745&amp;Q1745</x:f>
        <x:v>111</x:v>
      </x:c>
      <x:c r="S1745" s="19" t="n">
        <x:f>IF(I1745=1,IF(J1745=0,Q1745,IF(J1745=1,P1745,IF(J1745=2,O1745,0))),0)</x:f>
        <x:v>1</x:v>
      </x:c>
      <x:c r="T1745" s="19" t="n">
        <x:f>K1745+IF(AND(S1745=1,J1745=0),1,0)</x:f>
        <x:v>3</x:v>
      </x:c>
      <x:c r="U1745" s="19" t="n">
        <x:f>L1745+IF(AND(S1745=1,J1745=1),1,0)</x:f>
        <x:v>1</x:v>
      </x:c>
      <x:c r="V1745" s="19" t="n">
        <x:f>M1745+IF(AND(S1745=1,J1745=2),1,0)</x:f>
        <x:v>4</x:v>
      </x:c>
      <x:c r="W1745" s="19" t="n">
        <x:f>SUM(T1745:V1745)</x:f>
        <x:v>8</x:v>
      </x:c>
      <x:c r="X1745" s="19" t="n">
        <x:f>W1745-G1745</x:f>
        <x:v>0</x:v>
      </x:c>
      <x:c r="Y1745" s="19" t="n">
        <x:f>MAX(T1745,1)+MAX(U1745,1)+MAX(V1745,1)</x:f>
        <x:v>8</x:v>
      </x:c>
      <x:c r="Z1745" s="21" t="str">
        <x:f>IF(AND(MIN(D1745:F1745)&gt;=0,MAX(D1745:F1745)&lt;=7,MAX(D1745,1)+MAX(E1745,1)+MAX(F1745,1)&lt;=9,OR(H1745="-",AND(H1745=0,D1745&gt;0),AND(H1745=1,E1745&gt;0),AND(H1745=2,F1745&gt;0)),OR(I1745=0,AND(I1745=1,OR(J1745=0,J1745=1,J1745=2),R1745&lt;&gt;"000")),Y1745&lt;=9,MIN(T1745:V1745)&gt;=0),"合法","输入违约")</x:f>
        <x:v>合法</x:v>
      </x:c>
    </x:row>
    <x:row r="1746" ht="23" customHeight="1">
      <x:c r="A1746" s="3" t="str">
        <x:v>CT-1739</x:v>
      </x:c>
      <x:c r="B1746" s="3" t="str">
        <x:v>ST-145</x:v>
      </x:c>
      <x:c r="C1746" s="3" t="str">
        <x:v>仅R回收</x:v>
      </x:c>
      <x:c r="D1746" s="25" t="n">
        <x:v>3</x:v>
      </x:c>
      <x:c r="E1746" s="25" t="n">
        <x:v>2</x:v>
      </x:c>
      <x:c r="F1746" s="25" t="n">
        <x:v>3</x:v>
      </x:c>
      <x:c r="G1746" s="19" t="n">
        <x:f>SUM(D1746:F1746)</x:f>
        <x:v>8</x:v>
      </x:c>
      <x:c r="H1746" s="25" t="n">
        <x:v>2</x:v>
      </x:c>
      <x:c r="I1746" s="25" t="n">
        <x:v>0</x:v>
      </x:c>
      <x:c r="J1746" s="25" t="str">
        <x:v>-</x:v>
      </x:c>
      <x:c r="K1746" s="19" t="n">
        <x:f>D1746-IF(H1746=0,1,0)</x:f>
        <x:v>3</x:v>
      </x:c>
      <x:c r="L1746" s="19" t="n">
        <x:f>E1746-IF(H1746=1,1,0)</x:f>
        <x:v>2</x:v>
      </x:c>
      <x:c r="M1746" s="19" t="n">
        <x:f>F1746-IF(H1746=2,1,0)</x:f>
        <x:v>2</x:v>
      </x:c>
      <x:c r="N1746" s="19" t="n">
        <x:f>MAX(K1746-1,0)+MAX(L1746-1,0)+MAX(M1746-1,0)</x:f>
        <x:v>4</x:v>
      </x:c>
      <x:c r="O1746" s="19" t="n">
        <x:f>IF(AND(SUM(K1746:M1746)&lt;9,OR(M1746=0,N1746&lt;6)),1,0)</x:f>
        <x:v>1</x:v>
      </x:c>
      <x:c r="P1746" s="19" t="n">
        <x:f>IF(AND(SUM(K1746:M1746)&lt;9,OR(L1746=0,N1746&lt;6)),1,0)</x:f>
        <x:v>1</x:v>
      </x:c>
      <x:c r="Q1746" s="19" t="n">
        <x:f>IF(AND(SUM(K1746:M1746)&lt;9,OR(K1746=0,N1746&lt;6)),1,0)</x:f>
        <x:v>1</x:v>
      </x:c>
      <x:c r="R1746" s="22" t="str">
        <x:f>O1746&amp;P1746&amp;Q1746</x:f>
        <x:v>111</x:v>
      </x:c>
      <x:c r="S1746" s="19" t="n">
        <x:f>IF(I1746=1,IF(J1746=0,Q1746,IF(J1746=1,P1746,IF(J1746=2,O1746,0))),0)</x:f>
        <x:v>0</x:v>
      </x:c>
      <x:c r="T1746" s="19" t="n">
        <x:f>K1746+IF(AND(S1746=1,J1746=0),1,0)</x:f>
        <x:v>3</x:v>
      </x:c>
      <x:c r="U1746" s="19" t="n">
        <x:f>L1746+IF(AND(S1746=1,J1746=1),1,0)</x:f>
        <x:v>2</x:v>
      </x:c>
      <x:c r="V1746" s="19" t="n">
        <x:f>M1746+IF(AND(S1746=1,J1746=2),1,0)</x:f>
        <x:v>2</x:v>
      </x:c>
      <x:c r="W1746" s="19" t="n">
        <x:f>SUM(T1746:V1746)</x:f>
        <x:v>7</x:v>
      </x:c>
      <x:c r="X1746" s="19" t="n">
        <x:f>W1746-G1746</x:f>
        <x:v>-1</x:v>
      </x:c>
      <x:c r="Y1746" s="19" t="n">
        <x:f>MAX(T1746,1)+MAX(U1746,1)+MAX(V1746,1)</x:f>
        <x:v>7</x:v>
      </x:c>
      <x:c r="Z1746" s="21" t="str">
        <x:f>IF(AND(MIN(D1746:F1746)&gt;=0,MAX(D1746:F1746)&lt;=7,MAX(D1746,1)+MAX(E1746,1)+MAX(F1746,1)&lt;=9,OR(H1746="-",AND(H1746=0,D1746&gt;0),AND(H1746=1,E1746&gt;0),AND(H1746=2,F1746&gt;0)),OR(I1746=0,AND(I1746=1,OR(J1746=0,J1746=1,J1746=2),R1746&lt;&gt;"000")),Y1746&lt;=9,MIN(T1746:V1746)&gt;=0),"合法","输入违约")</x:f>
        <x:v>合法</x:v>
      </x:c>
    </x:row>
    <x:row r="1747" ht="23" customHeight="1">
      <x:c r="A1747" s="3" t="str">
        <x:v>CT-1740</x:v>
      </x:c>
      <x:c r="B1747" s="3" t="str">
        <x:v>ST-145</x:v>
      </x:c>
      <x:c r="C1747" s="3" t="str">
        <x:v>R+AR同收同发</x:v>
      </x:c>
      <x:c r="D1747" s="25" t="n">
        <x:v>3</x:v>
      </x:c>
      <x:c r="E1747" s="25" t="n">
        <x:v>2</x:v>
      </x:c>
      <x:c r="F1747" s="25" t="n">
        <x:v>3</x:v>
      </x:c>
      <x:c r="G1747" s="19" t="n">
        <x:f>SUM(D1747:F1747)</x:f>
        <x:v>8</x:v>
      </x:c>
      <x:c r="H1747" s="25" t="n">
        <x:v>2</x:v>
      </x:c>
      <x:c r="I1747" s="25" t="n">
        <x:v>1</x:v>
      </x:c>
      <x:c r="J1747" s="25" t="n">
        <x:v>0</x:v>
      </x:c>
      <x:c r="K1747" s="19" t="n">
        <x:f>D1747-IF(H1747=0,1,0)</x:f>
        <x:v>3</x:v>
      </x:c>
      <x:c r="L1747" s="19" t="n">
        <x:f>E1747-IF(H1747=1,1,0)</x:f>
        <x:v>2</x:v>
      </x:c>
      <x:c r="M1747" s="19" t="n">
        <x:f>F1747-IF(H1747=2,1,0)</x:f>
        <x:v>2</x:v>
      </x:c>
      <x:c r="N1747" s="19" t="n">
        <x:f>MAX(K1747-1,0)+MAX(L1747-1,0)+MAX(M1747-1,0)</x:f>
        <x:v>4</x:v>
      </x:c>
      <x:c r="O1747" s="19" t="n">
        <x:f>IF(AND(SUM(K1747:M1747)&lt;9,OR(M1747=0,N1747&lt;6)),1,0)</x:f>
        <x:v>1</x:v>
      </x:c>
      <x:c r="P1747" s="19" t="n">
        <x:f>IF(AND(SUM(K1747:M1747)&lt;9,OR(L1747=0,N1747&lt;6)),1,0)</x:f>
        <x:v>1</x:v>
      </x:c>
      <x:c r="Q1747" s="19" t="n">
        <x:f>IF(AND(SUM(K1747:M1747)&lt;9,OR(K1747=0,N1747&lt;6)),1,0)</x:f>
        <x:v>1</x:v>
      </x:c>
      <x:c r="R1747" s="22" t="str">
        <x:f>O1747&amp;P1747&amp;Q1747</x:f>
        <x:v>111</x:v>
      </x:c>
      <x:c r="S1747" s="19" t="n">
        <x:f>IF(I1747=1,IF(J1747=0,Q1747,IF(J1747=1,P1747,IF(J1747=2,O1747,0))),0)</x:f>
        <x:v>1</x:v>
      </x:c>
      <x:c r="T1747" s="19" t="n">
        <x:f>K1747+IF(AND(S1747=1,J1747=0),1,0)</x:f>
        <x:v>4</x:v>
      </x:c>
      <x:c r="U1747" s="19" t="n">
        <x:f>L1747+IF(AND(S1747=1,J1747=1),1,0)</x:f>
        <x:v>2</x:v>
      </x:c>
      <x:c r="V1747" s="19" t="n">
        <x:f>M1747+IF(AND(S1747=1,J1747=2),1,0)</x:f>
        <x:v>2</x:v>
      </x:c>
      <x:c r="W1747" s="19" t="n">
        <x:f>SUM(T1747:V1747)</x:f>
        <x:v>8</x:v>
      </x:c>
      <x:c r="X1747" s="19" t="n">
        <x:f>W1747-G1747</x:f>
        <x:v>0</x:v>
      </x:c>
      <x:c r="Y1747" s="19" t="n">
        <x:f>MAX(T1747,1)+MAX(U1747,1)+MAX(V1747,1)</x:f>
        <x:v>8</x:v>
      </x:c>
      <x:c r="Z1747" s="21" t="str">
        <x:f>IF(AND(MIN(D1747:F1747)&gt;=0,MAX(D1747:F1747)&lt;=7,MAX(D1747,1)+MAX(E1747,1)+MAX(F1747,1)&lt;=9,OR(H1747="-",AND(H1747=0,D1747&gt;0),AND(H1747=1,E1747&gt;0),AND(H1747=2,F1747&gt;0)),OR(I1747=0,AND(I1747=1,OR(J1747=0,J1747=1,J1747=2),R1747&lt;&gt;"000")),Y1747&lt;=9,MIN(T1747:V1747)&gt;=0),"合法","输入违约")</x:f>
        <x:v>合法</x:v>
      </x:c>
    </x:row>
    <x:row r="1748" ht="23" customHeight="1">
      <x:c r="A1748" s="3" t="str">
        <x:v>CT-1741</x:v>
      </x:c>
      <x:c r="B1748" s="3" t="str">
        <x:v>ST-145</x:v>
      </x:c>
      <x:c r="C1748" s="3" t="str">
        <x:v>R+AR同收同发</x:v>
      </x:c>
      <x:c r="D1748" s="25" t="n">
        <x:v>3</x:v>
      </x:c>
      <x:c r="E1748" s="25" t="n">
        <x:v>2</x:v>
      </x:c>
      <x:c r="F1748" s="25" t="n">
        <x:v>3</x:v>
      </x:c>
      <x:c r="G1748" s="19" t="n">
        <x:f>SUM(D1748:F1748)</x:f>
        <x:v>8</x:v>
      </x:c>
      <x:c r="H1748" s="25" t="n">
        <x:v>2</x:v>
      </x:c>
      <x:c r="I1748" s="25" t="n">
        <x:v>1</x:v>
      </x:c>
      <x:c r="J1748" s="25" t="n">
        <x:v>1</x:v>
      </x:c>
      <x:c r="K1748" s="19" t="n">
        <x:f>D1748-IF(H1748=0,1,0)</x:f>
        <x:v>3</x:v>
      </x:c>
      <x:c r="L1748" s="19" t="n">
        <x:f>E1748-IF(H1748=1,1,0)</x:f>
        <x:v>2</x:v>
      </x:c>
      <x:c r="M1748" s="19" t="n">
        <x:f>F1748-IF(H1748=2,1,0)</x:f>
        <x:v>2</x:v>
      </x:c>
      <x:c r="N1748" s="19" t="n">
        <x:f>MAX(K1748-1,0)+MAX(L1748-1,0)+MAX(M1748-1,0)</x:f>
        <x:v>4</x:v>
      </x:c>
      <x:c r="O1748" s="19" t="n">
        <x:f>IF(AND(SUM(K1748:M1748)&lt;9,OR(M1748=0,N1748&lt;6)),1,0)</x:f>
        <x:v>1</x:v>
      </x:c>
      <x:c r="P1748" s="19" t="n">
        <x:f>IF(AND(SUM(K1748:M1748)&lt;9,OR(L1748=0,N1748&lt;6)),1,0)</x:f>
        <x:v>1</x:v>
      </x:c>
      <x:c r="Q1748" s="19" t="n">
        <x:f>IF(AND(SUM(K1748:M1748)&lt;9,OR(K1748=0,N1748&lt;6)),1,0)</x:f>
        <x:v>1</x:v>
      </x:c>
      <x:c r="R1748" s="22" t="str">
        <x:f>O1748&amp;P1748&amp;Q1748</x:f>
        <x:v>111</x:v>
      </x:c>
      <x:c r="S1748" s="19" t="n">
        <x:f>IF(I1748=1,IF(J1748=0,Q1748,IF(J1748=1,P1748,IF(J1748=2,O1748,0))),0)</x:f>
        <x:v>1</x:v>
      </x:c>
      <x:c r="T1748" s="19" t="n">
        <x:f>K1748+IF(AND(S1748=1,J1748=0),1,0)</x:f>
        <x:v>3</x:v>
      </x:c>
      <x:c r="U1748" s="19" t="n">
        <x:f>L1748+IF(AND(S1748=1,J1748=1),1,0)</x:f>
        <x:v>3</x:v>
      </x:c>
      <x:c r="V1748" s="19" t="n">
        <x:f>M1748+IF(AND(S1748=1,J1748=2),1,0)</x:f>
        <x:v>2</x:v>
      </x:c>
      <x:c r="W1748" s="19" t="n">
        <x:f>SUM(T1748:V1748)</x:f>
        <x:v>8</x:v>
      </x:c>
      <x:c r="X1748" s="19" t="n">
        <x:f>W1748-G1748</x:f>
        <x:v>0</x:v>
      </x:c>
      <x:c r="Y1748" s="19" t="n">
        <x:f>MAX(T1748,1)+MAX(U1748,1)+MAX(V1748,1)</x:f>
        <x:v>8</x:v>
      </x:c>
      <x:c r="Z1748" s="21" t="str">
        <x:f>IF(AND(MIN(D1748:F1748)&gt;=0,MAX(D1748:F1748)&lt;=7,MAX(D1748,1)+MAX(E1748,1)+MAX(F1748,1)&lt;=9,OR(H1748="-",AND(H1748=0,D1748&gt;0),AND(H1748=1,E1748&gt;0),AND(H1748=2,F1748&gt;0)),OR(I1748=0,AND(I1748=1,OR(J1748=0,J1748=1,J1748=2),R1748&lt;&gt;"000")),Y1748&lt;=9,MIN(T1748:V1748)&gt;=0),"合法","输入违约")</x:f>
        <x:v>合法</x:v>
      </x:c>
    </x:row>
    <x:row r="1749" ht="23" customHeight="1">
      <x:c r="A1749" s="3" t="str">
        <x:v>CT-1742</x:v>
      </x:c>
      <x:c r="B1749" s="3" t="str">
        <x:v>ST-145</x:v>
      </x:c>
      <x:c r="C1749" s="3" t="str">
        <x:v>R+AR同收同发</x:v>
      </x:c>
      <x:c r="D1749" s="25" t="n">
        <x:v>3</x:v>
      </x:c>
      <x:c r="E1749" s="25" t="n">
        <x:v>2</x:v>
      </x:c>
      <x:c r="F1749" s="25" t="n">
        <x:v>3</x:v>
      </x:c>
      <x:c r="G1749" s="19" t="n">
        <x:f>SUM(D1749:F1749)</x:f>
        <x:v>8</x:v>
      </x:c>
      <x:c r="H1749" s="25" t="n">
        <x:v>2</x:v>
      </x:c>
      <x:c r="I1749" s="25" t="n">
        <x:v>1</x:v>
      </x:c>
      <x:c r="J1749" s="25" t="n">
        <x:v>2</x:v>
      </x:c>
      <x:c r="K1749" s="19" t="n">
        <x:f>D1749-IF(H1749=0,1,0)</x:f>
        <x:v>3</x:v>
      </x:c>
      <x:c r="L1749" s="19" t="n">
        <x:f>E1749-IF(H1749=1,1,0)</x:f>
        <x:v>2</x:v>
      </x:c>
      <x:c r="M1749" s="19" t="n">
        <x:f>F1749-IF(H1749=2,1,0)</x:f>
        <x:v>2</x:v>
      </x:c>
      <x:c r="N1749" s="19" t="n">
        <x:f>MAX(K1749-1,0)+MAX(L1749-1,0)+MAX(M1749-1,0)</x:f>
        <x:v>4</x:v>
      </x:c>
      <x:c r="O1749" s="19" t="n">
        <x:f>IF(AND(SUM(K1749:M1749)&lt;9,OR(M1749=0,N1749&lt;6)),1,0)</x:f>
        <x:v>1</x:v>
      </x:c>
      <x:c r="P1749" s="19" t="n">
        <x:f>IF(AND(SUM(K1749:M1749)&lt;9,OR(L1749=0,N1749&lt;6)),1,0)</x:f>
        <x:v>1</x:v>
      </x:c>
      <x:c r="Q1749" s="19" t="n">
        <x:f>IF(AND(SUM(K1749:M1749)&lt;9,OR(K1749=0,N1749&lt;6)),1,0)</x:f>
        <x:v>1</x:v>
      </x:c>
      <x:c r="R1749" s="22" t="str">
        <x:f>O1749&amp;P1749&amp;Q1749</x:f>
        <x:v>111</x:v>
      </x:c>
      <x:c r="S1749" s="19" t="n">
        <x:f>IF(I1749=1,IF(J1749=0,Q1749,IF(J1749=1,P1749,IF(J1749=2,O1749,0))),0)</x:f>
        <x:v>1</x:v>
      </x:c>
      <x:c r="T1749" s="19" t="n">
        <x:f>K1749+IF(AND(S1749=1,J1749=0),1,0)</x:f>
        <x:v>3</x:v>
      </x:c>
      <x:c r="U1749" s="19" t="n">
        <x:f>L1749+IF(AND(S1749=1,J1749=1),1,0)</x:f>
        <x:v>2</x:v>
      </x:c>
      <x:c r="V1749" s="19" t="n">
        <x:f>M1749+IF(AND(S1749=1,J1749=2),1,0)</x:f>
        <x:v>3</x:v>
      </x:c>
      <x:c r="W1749" s="19" t="n">
        <x:f>SUM(T1749:V1749)</x:f>
        <x:v>8</x:v>
      </x:c>
      <x:c r="X1749" s="19" t="n">
        <x:f>W1749-G1749</x:f>
        <x:v>0</x:v>
      </x:c>
      <x:c r="Y1749" s="19" t="n">
        <x:f>MAX(T1749,1)+MAX(U1749,1)+MAX(V1749,1)</x:f>
        <x:v>8</x:v>
      </x:c>
      <x:c r="Z1749" s="21" t="str">
        <x:f>IF(AND(MIN(D1749:F1749)&gt;=0,MAX(D1749:F1749)&lt;=7,MAX(D1749,1)+MAX(E1749,1)+MAX(F1749,1)&lt;=9,OR(H1749="-",AND(H1749=0,D1749&gt;0),AND(H1749=1,E1749&gt;0),AND(H1749=2,F1749&gt;0)),OR(I1749=0,AND(I1749=1,OR(J1749=0,J1749=1,J1749=2),R1749&lt;&gt;"000")),Y1749&lt;=9,MIN(T1749:V1749)&gt;=0),"合法","输入违约")</x:f>
        <x:v>合法</x:v>
      </x:c>
    </x:row>
    <x:row r="1750" ht="23" customHeight="1">
      <x:c r="A1750" s="3" t="str">
        <x:v>CT-1743</x:v>
      </x:c>
      <x:c r="B1750" s="3" t="str">
        <x:v>ST-177</x:v>
      </x:c>
      <x:c r="C1750" s="3" t="str">
        <x:v>无AR/R</x:v>
      </x:c>
      <x:c r="D1750" s="25" t="n">
        <x:v>3</x:v>
      </x:c>
      <x:c r="E1750" s="25" t="n">
        <x:v>2</x:v>
      </x:c>
      <x:c r="F1750" s="25" t="n">
        <x:v>4</x:v>
      </x:c>
      <x:c r="G1750" s="19" t="n">
        <x:f>SUM(D1750:F1750)</x:f>
        <x:v>9</x:v>
      </x:c>
      <x:c r="H1750" s="25" t="str">
        <x:v>-</x:v>
      </x:c>
      <x:c r="I1750" s="25" t="n">
        <x:v>0</x:v>
      </x:c>
      <x:c r="J1750" s="25" t="str">
        <x:v>-</x:v>
      </x:c>
      <x:c r="K1750" s="19" t="n">
        <x:f>D1750-IF(H1750=0,1,0)</x:f>
        <x:v>3</x:v>
      </x:c>
      <x:c r="L1750" s="19" t="n">
        <x:f>E1750-IF(H1750=1,1,0)</x:f>
        <x:v>2</x:v>
      </x:c>
      <x:c r="M1750" s="19" t="n">
        <x:f>F1750-IF(H1750=2,1,0)</x:f>
        <x:v>4</x:v>
      </x:c>
      <x:c r="N1750" s="19" t="n">
        <x:f>MAX(K1750-1,0)+MAX(L1750-1,0)+MAX(M1750-1,0)</x:f>
        <x:v>6</x:v>
      </x:c>
      <x:c r="O1750" s="19" t="n">
        <x:f>IF(AND(SUM(K1750:M1750)&lt;9,OR(M1750=0,N1750&lt;6)),1,0)</x:f>
        <x:v>0</x:v>
      </x:c>
      <x:c r="P1750" s="19" t="n">
        <x:f>IF(AND(SUM(K1750:M1750)&lt;9,OR(L1750=0,N1750&lt;6)),1,0)</x:f>
        <x:v>0</x:v>
      </x:c>
      <x:c r="Q1750" s="19" t="n">
        <x:f>IF(AND(SUM(K1750:M1750)&lt;9,OR(K1750=0,N1750&lt;6)),1,0)</x:f>
        <x:v>0</x:v>
      </x:c>
      <x:c r="R1750" s="22" t="str">
        <x:f>O1750&amp;P1750&amp;Q1750</x:f>
        <x:v>000</x:v>
      </x:c>
      <x:c r="S1750" s="19" t="n">
        <x:f>IF(I1750=1,IF(J1750=0,Q1750,IF(J1750=1,P1750,IF(J1750=2,O1750,0))),0)</x:f>
        <x:v>0</x:v>
      </x:c>
      <x:c r="T1750" s="19" t="n">
        <x:f>K1750+IF(AND(S1750=1,J1750=0),1,0)</x:f>
        <x:v>3</x:v>
      </x:c>
      <x:c r="U1750" s="19" t="n">
        <x:f>L1750+IF(AND(S1750=1,J1750=1),1,0)</x:f>
        <x:v>2</x:v>
      </x:c>
      <x:c r="V1750" s="19" t="n">
        <x:f>M1750+IF(AND(S1750=1,J1750=2),1,0)</x:f>
        <x:v>4</x:v>
      </x:c>
      <x:c r="W1750" s="19" t="n">
        <x:f>SUM(T1750:V1750)</x:f>
        <x:v>9</x:v>
      </x:c>
      <x:c r="X1750" s="19" t="n">
        <x:f>W1750-G1750</x:f>
        <x:v>0</x:v>
      </x:c>
      <x:c r="Y1750" s="19" t="n">
        <x:f>MAX(T1750,1)+MAX(U1750,1)+MAX(V1750,1)</x:f>
        <x:v>9</x:v>
      </x:c>
      <x:c r="Z1750" s="21" t="str">
        <x:f>IF(AND(MIN(D1750:F1750)&gt;=0,MAX(D1750:F1750)&lt;=7,MAX(D1750,1)+MAX(E1750,1)+MAX(F1750,1)&lt;=9,OR(H1750="-",AND(H1750=0,D1750&gt;0),AND(H1750=1,E1750&gt;0),AND(H1750=2,F1750&gt;0)),OR(I1750=0,AND(I1750=1,OR(J1750=0,J1750=1,J1750=2),R1750&lt;&gt;"000")),Y1750&lt;=9,MIN(T1750:V1750)&gt;=0),"合法","输入违约")</x:f>
        <x:v>合法</x:v>
      </x:c>
    </x:row>
    <x:row r="1751" ht="23" customHeight="1">
      <x:c r="A1751" s="3" t="str">
        <x:v>CT-1744</x:v>
      </x:c>
      <x:c r="B1751" s="3" t="str">
        <x:v>ST-177</x:v>
      </x:c>
      <x:c r="C1751" s="3" t="str">
        <x:v>仅R回收</x:v>
      </x:c>
      <x:c r="D1751" s="25" t="n">
        <x:v>3</x:v>
      </x:c>
      <x:c r="E1751" s="25" t="n">
        <x:v>2</x:v>
      </x:c>
      <x:c r="F1751" s="25" t="n">
        <x:v>4</x:v>
      </x:c>
      <x:c r="G1751" s="19" t="n">
        <x:f>SUM(D1751:F1751)</x:f>
        <x:v>9</x:v>
      </x:c>
      <x:c r="H1751" s="25" t="n">
        <x:v>0</x:v>
      </x:c>
      <x:c r="I1751" s="25" t="n">
        <x:v>0</x:v>
      </x:c>
      <x:c r="J1751" s="25" t="str">
        <x:v>-</x:v>
      </x:c>
      <x:c r="K1751" s="19" t="n">
        <x:f>D1751-IF(H1751=0,1,0)</x:f>
        <x:v>2</x:v>
      </x:c>
      <x:c r="L1751" s="19" t="n">
        <x:f>E1751-IF(H1751=1,1,0)</x:f>
        <x:v>2</x:v>
      </x:c>
      <x:c r="M1751" s="19" t="n">
        <x:f>F1751-IF(H1751=2,1,0)</x:f>
        <x:v>4</x:v>
      </x:c>
      <x:c r="N1751" s="19" t="n">
        <x:f>MAX(K1751-1,0)+MAX(L1751-1,0)+MAX(M1751-1,0)</x:f>
        <x:v>5</x:v>
      </x:c>
      <x:c r="O1751" s="19" t="n">
        <x:f>IF(AND(SUM(K1751:M1751)&lt;9,OR(M1751=0,N1751&lt;6)),1,0)</x:f>
        <x:v>1</x:v>
      </x:c>
      <x:c r="P1751" s="19" t="n">
        <x:f>IF(AND(SUM(K1751:M1751)&lt;9,OR(L1751=0,N1751&lt;6)),1,0)</x:f>
        <x:v>1</x:v>
      </x:c>
      <x:c r="Q1751" s="19" t="n">
        <x:f>IF(AND(SUM(K1751:M1751)&lt;9,OR(K1751=0,N1751&lt;6)),1,0)</x:f>
        <x:v>1</x:v>
      </x:c>
      <x:c r="R1751" s="22" t="str">
        <x:f>O1751&amp;P1751&amp;Q1751</x:f>
        <x:v>111</x:v>
      </x:c>
      <x:c r="S1751" s="19" t="n">
        <x:f>IF(I1751=1,IF(J1751=0,Q1751,IF(J1751=1,P1751,IF(J1751=2,O1751,0))),0)</x:f>
        <x:v>0</x:v>
      </x:c>
      <x:c r="T1751" s="19" t="n">
        <x:f>K1751+IF(AND(S1751=1,J1751=0),1,0)</x:f>
        <x:v>2</x:v>
      </x:c>
      <x:c r="U1751" s="19" t="n">
        <x:f>L1751+IF(AND(S1751=1,J1751=1),1,0)</x:f>
        <x:v>2</x:v>
      </x:c>
      <x:c r="V1751" s="19" t="n">
        <x:f>M1751+IF(AND(S1751=1,J1751=2),1,0)</x:f>
        <x:v>4</x:v>
      </x:c>
      <x:c r="W1751" s="19" t="n">
        <x:f>SUM(T1751:V1751)</x:f>
        <x:v>8</x:v>
      </x:c>
      <x:c r="X1751" s="19" t="n">
        <x:f>W1751-G1751</x:f>
        <x:v>-1</x:v>
      </x:c>
      <x:c r="Y1751" s="19" t="n">
        <x:f>MAX(T1751,1)+MAX(U1751,1)+MAX(V1751,1)</x:f>
        <x:v>8</x:v>
      </x:c>
      <x:c r="Z1751" s="21" t="str">
        <x:f>IF(AND(MIN(D1751:F1751)&gt;=0,MAX(D1751:F1751)&lt;=7,MAX(D1751,1)+MAX(E1751,1)+MAX(F1751,1)&lt;=9,OR(H1751="-",AND(H1751=0,D1751&gt;0),AND(H1751=1,E1751&gt;0),AND(H1751=2,F1751&gt;0)),OR(I1751=0,AND(I1751=1,OR(J1751=0,J1751=1,J1751=2),R1751&lt;&gt;"000")),Y1751&lt;=9,MIN(T1751:V1751)&gt;=0),"合法","输入违约")</x:f>
        <x:v>合法</x:v>
      </x:c>
    </x:row>
    <x:row r="1752" ht="23" customHeight="1">
      <x:c r="A1752" s="3" t="str">
        <x:v>CT-1745</x:v>
      </x:c>
      <x:c r="B1752" s="3" t="str">
        <x:v>ST-177</x:v>
      </x:c>
      <x:c r="C1752" s="3" t="str">
        <x:v>R+AR同收同发</x:v>
      </x:c>
      <x:c r="D1752" s="25" t="n">
        <x:v>3</x:v>
      </x:c>
      <x:c r="E1752" s="25" t="n">
        <x:v>2</x:v>
      </x:c>
      <x:c r="F1752" s="25" t="n">
        <x:v>4</x:v>
      </x:c>
      <x:c r="G1752" s="19" t="n">
        <x:f>SUM(D1752:F1752)</x:f>
        <x:v>9</x:v>
      </x:c>
      <x:c r="H1752" s="25" t="n">
        <x:v>0</x:v>
      </x:c>
      <x:c r="I1752" s="25" t="n">
        <x:v>1</x:v>
      </x:c>
      <x:c r="J1752" s="25" t="n">
        <x:v>0</x:v>
      </x:c>
      <x:c r="K1752" s="19" t="n">
        <x:f>D1752-IF(H1752=0,1,0)</x:f>
        <x:v>2</x:v>
      </x:c>
      <x:c r="L1752" s="19" t="n">
        <x:f>E1752-IF(H1752=1,1,0)</x:f>
        <x:v>2</x:v>
      </x:c>
      <x:c r="M1752" s="19" t="n">
        <x:f>F1752-IF(H1752=2,1,0)</x:f>
        <x:v>4</x:v>
      </x:c>
      <x:c r="N1752" s="19" t="n">
        <x:f>MAX(K1752-1,0)+MAX(L1752-1,0)+MAX(M1752-1,0)</x:f>
        <x:v>5</x:v>
      </x:c>
      <x:c r="O1752" s="19" t="n">
        <x:f>IF(AND(SUM(K1752:M1752)&lt;9,OR(M1752=0,N1752&lt;6)),1,0)</x:f>
        <x:v>1</x:v>
      </x:c>
      <x:c r="P1752" s="19" t="n">
        <x:f>IF(AND(SUM(K1752:M1752)&lt;9,OR(L1752=0,N1752&lt;6)),1,0)</x:f>
        <x:v>1</x:v>
      </x:c>
      <x:c r="Q1752" s="19" t="n">
        <x:f>IF(AND(SUM(K1752:M1752)&lt;9,OR(K1752=0,N1752&lt;6)),1,0)</x:f>
        <x:v>1</x:v>
      </x:c>
      <x:c r="R1752" s="22" t="str">
        <x:f>O1752&amp;P1752&amp;Q1752</x:f>
        <x:v>111</x:v>
      </x:c>
      <x:c r="S1752" s="19" t="n">
        <x:f>IF(I1752=1,IF(J1752=0,Q1752,IF(J1752=1,P1752,IF(J1752=2,O1752,0))),0)</x:f>
        <x:v>1</x:v>
      </x:c>
      <x:c r="T1752" s="19" t="n">
        <x:f>K1752+IF(AND(S1752=1,J1752=0),1,0)</x:f>
        <x:v>3</x:v>
      </x:c>
      <x:c r="U1752" s="19" t="n">
        <x:f>L1752+IF(AND(S1752=1,J1752=1),1,0)</x:f>
        <x:v>2</x:v>
      </x:c>
      <x:c r="V1752" s="19" t="n">
        <x:f>M1752+IF(AND(S1752=1,J1752=2),1,0)</x:f>
        <x:v>4</x:v>
      </x:c>
      <x:c r="W1752" s="19" t="n">
        <x:f>SUM(T1752:V1752)</x:f>
        <x:v>9</x:v>
      </x:c>
      <x:c r="X1752" s="19" t="n">
        <x:f>W1752-G1752</x:f>
        <x:v>0</x:v>
      </x:c>
      <x:c r="Y1752" s="19" t="n">
        <x:f>MAX(T1752,1)+MAX(U1752,1)+MAX(V1752,1)</x:f>
        <x:v>9</x:v>
      </x:c>
      <x:c r="Z1752" s="21" t="str">
        <x:f>IF(AND(MIN(D1752:F1752)&gt;=0,MAX(D1752:F1752)&lt;=7,MAX(D1752,1)+MAX(E1752,1)+MAX(F1752,1)&lt;=9,OR(H1752="-",AND(H1752=0,D1752&gt;0),AND(H1752=1,E1752&gt;0),AND(H1752=2,F1752&gt;0)),OR(I1752=0,AND(I1752=1,OR(J1752=0,J1752=1,J1752=2),R1752&lt;&gt;"000")),Y1752&lt;=9,MIN(T1752:V1752)&gt;=0),"合法","输入违约")</x:f>
        <x:v>合法</x:v>
      </x:c>
    </x:row>
    <x:row r="1753" ht="23" customHeight="1">
      <x:c r="A1753" s="3" t="str">
        <x:v>CT-1746</x:v>
      </x:c>
      <x:c r="B1753" s="3" t="str">
        <x:v>ST-177</x:v>
      </x:c>
      <x:c r="C1753" s="3" t="str">
        <x:v>R+AR同收同发</x:v>
      </x:c>
      <x:c r="D1753" s="25" t="n">
        <x:v>3</x:v>
      </x:c>
      <x:c r="E1753" s="25" t="n">
        <x:v>2</x:v>
      </x:c>
      <x:c r="F1753" s="25" t="n">
        <x:v>4</x:v>
      </x:c>
      <x:c r="G1753" s="19" t="n">
        <x:f>SUM(D1753:F1753)</x:f>
        <x:v>9</x:v>
      </x:c>
      <x:c r="H1753" s="25" t="n">
        <x:v>0</x:v>
      </x:c>
      <x:c r="I1753" s="25" t="n">
        <x:v>1</x:v>
      </x:c>
      <x:c r="J1753" s="25" t="n">
        <x:v>1</x:v>
      </x:c>
      <x:c r="K1753" s="19" t="n">
        <x:f>D1753-IF(H1753=0,1,0)</x:f>
        <x:v>2</x:v>
      </x:c>
      <x:c r="L1753" s="19" t="n">
        <x:f>E1753-IF(H1753=1,1,0)</x:f>
        <x:v>2</x:v>
      </x:c>
      <x:c r="M1753" s="19" t="n">
        <x:f>F1753-IF(H1753=2,1,0)</x:f>
        <x:v>4</x:v>
      </x:c>
      <x:c r="N1753" s="19" t="n">
        <x:f>MAX(K1753-1,0)+MAX(L1753-1,0)+MAX(M1753-1,0)</x:f>
        <x:v>5</x:v>
      </x:c>
      <x:c r="O1753" s="19" t="n">
        <x:f>IF(AND(SUM(K1753:M1753)&lt;9,OR(M1753=0,N1753&lt;6)),1,0)</x:f>
        <x:v>1</x:v>
      </x:c>
      <x:c r="P1753" s="19" t="n">
        <x:f>IF(AND(SUM(K1753:M1753)&lt;9,OR(L1753=0,N1753&lt;6)),1,0)</x:f>
        <x:v>1</x:v>
      </x:c>
      <x:c r="Q1753" s="19" t="n">
        <x:f>IF(AND(SUM(K1753:M1753)&lt;9,OR(K1753=0,N1753&lt;6)),1,0)</x:f>
        <x:v>1</x:v>
      </x:c>
      <x:c r="R1753" s="22" t="str">
        <x:f>O1753&amp;P1753&amp;Q1753</x:f>
        <x:v>111</x:v>
      </x:c>
      <x:c r="S1753" s="19" t="n">
        <x:f>IF(I1753=1,IF(J1753=0,Q1753,IF(J1753=1,P1753,IF(J1753=2,O1753,0))),0)</x:f>
        <x:v>1</x:v>
      </x:c>
      <x:c r="T1753" s="19" t="n">
        <x:f>K1753+IF(AND(S1753=1,J1753=0),1,0)</x:f>
        <x:v>2</x:v>
      </x:c>
      <x:c r="U1753" s="19" t="n">
        <x:f>L1753+IF(AND(S1753=1,J1753=1),1,0)</x:f>
        <x:v>3</x:v>
      </x:c>
      <x:c r="V1753" s="19" t="n">
        <x:f>M1753+IF(AND(S1753=1,J1753=2),1,0)</x:f>
        <x:v>4</x:v>
      </x:c>
      <x:c r="W1753" s="19" t="n">
        <x:f>SUM(T1753:V1753)</x:f>
        <x:v>9</x:v>
      </x:c>
      <x:c r="X1753" s="19" t="n">
        <x:f>W1753-G1753</x:f>
        <x:v>0</x:v>
      </x:c>
      <x:c r="Y1753" s="19" t="n">
        <x:f>MAX(T1753,1)+MAX(U1753,1)+MAX(V1753,1)</x:f>
        <x:v>9</x:v>
      </x:c>
      <x:c r="Z1753" s="21" t="str">
        <x:f>IF(AND(MIN(D1753:F1753)&gt;=0,MAX(D1753:F1753)&lt;=7,MAX(D1753,1)+MAX(E1753,1)+MAX(F1753,1)&lt;=9,OR(H1753="-",AND(H1753=0,D1753&gt;0),AND(H1753=1,E1753&gt;0),AND(H1753=2,F1753&gt;0)),OR(I1753=0,AND(I1753=1,OR(J1753=0,J1753=1,J1753=2),R1753&lt;&gt;"000")),Y1753&lt;=9,MIN(T1753:V1753)&gt;=0),"合法","输入违约")</x:f>
        <x:v>合法</x:v>
      </x:c>
    </x:row>
    <x:row r="1754" ht="23" customHeight="1">
      <x:c r="A1754" s="3" t="str">
        <x:v>CT-1747</x:v>
      </x:c>
      <x:c r="B1754" s="3" t="str">
        <x:v>ST-177</x:v>
      </x:c>
      <x:c r="C1754" s="3" t="str">
        <x:v>R+AR同收同发</x:v>
      </x:c>
      <x:c r="D1754" s="25" t="n">
        <x:v>3</x:v>
      </x:c>
      <x:c r="E1754" s="25" t="n">
        <x:v>2</x:v>
      </x:c>
      <x:c r="F1754" s="25" t="n">
        <x:v>4</x:v>
      </x:c>
      <x:c r="G1754" s="19" t="n">
        <x:f>SUM(D1754:F1754)</x:f>
        <x:v>9</x:v>
      </x:c>
      <x:c r="H1754" s="25" t="n">
        <x:v>0</x:v>
      </x:c>
      <x:c r="I1754" s="25" t="n">
        <x:v>1</x:v>
      </x:c>
      <x:c r="J1754" s="25" t="n">
        <x:v>2</x:v>
      </x:c>
      <x:c r="K1754" s="19" t="n">
        <x:f>D1754-IF(H1754=0,1,0)</x:f>
        <x:v>2</x:v>
      </x:c>
      <x:c r="L1754" s="19" t="n">
        <x:f>E1754-IF(H1754=1,1,0)</x:f>
        <x:v>2</x:v>
      </x:c>
      <x:c r="M1754" s="19" t="n">
        <x:f>F1754-IF(H1754=2,1,0)</x:f>
        <x:v>4</x:v>
      </x:c>
      <x:c r="N1754" s="19" t="n">
        <x:f>MAX(K1754-1,0)+MAX(L1754-1,0)+MAX(M1754-1,0)</x:f>
        <x:v>5</x:v>
      </x:c>
      <x:c r="O1754" s="19" t="n">
        <x:f>IF(AND(SUM(K1754:M1754)&lt;9,OR(M1754=0,N1754&lt;6)),1,0)</x:f>
        <x:v>1</x:v>
      </x:c>
      <x:c r="P1754" s="19" t="n">
        <x:f>IF(AND(SUM(K1754:M1754)&lt;9,OR(L1754=0,N1754&lt;6)),1,0)</x:f>
        <x:v>1</x:v>
      </x:c>
      <x:c r="Q1754" s="19" t="n">
        <x:f>IF(AND(SUM(K1754:M1754)&lt;9,OR(K1754=0,N1754&lt;6)),1,0)</x:f>
        <x:v>1</x:v>
      </x:c>
      <x:c r="R1754" s="22" t="str">
        <x:f>O1754&amp;P1754&amp;Q1754</x:f>
        <x:v>111</x:v>
      </x:c>
      <x:c r="S1754" s="19" t="n">
        <x:f>IF(I1754=1,IF(J1754=0,Q1754,IF(J1754=1,P1754,IF(J1754=2,O1754,0))),0)</x:f>
        <x:v>1</x:v>
      </x:c>
      <x:c r="T1754" s="19" t="n">
        <x:f>K1754+IF(AND(S1754=1,J1754=0),1,0)</x:f>
        <x:v>2</x:v>
      </x:c>
      <x:c r="U1754" s="19" t="n">
        <x:f>L1754+IF(AND(S1754=1,J1754=1),1,0)</x:f>
        <x:v>2</x:v>
      </x:c>
      <x:c r="V1754" s="19" t="n">
        <x:f>M1754+IF(AND(S1754=1,J1754=2),1,0)</x:f>
        <x:v>5</x:v>
      </x:c>
      <x:c r="W1754" s="19" t="n">
        <x:f>SUM(T1754:V1754)</x:f>
        <x:v>9</x:v>
      </x:c>
      <x:c r="X1754" s="19" t="n">
        <x:f>W1754-G1754</x:f>
        <x:v>0</x:v>
      </x:c>
      <x:c r="Y1754" s="19" t="n">
        <x:f>MAX(T1754,1)+MAX(U1754,1)+MAX(V1754,1)</x:f>
        <x:v>9</x:v>
      </x:c>
      <x:c r="Z1754" s="21" t="str">
        <x:f>IF(AND(MIN(D1754:F1754)&gt;=0,MAX(D1754:F1754)&lt;=7,MAX(D1754,1)+MAX(E1754,1)+MAX(F1754,1)&lt;=9,OR(H1754="-",AND(H1754=0,D1754&gt;0),AND(H1754=1,E1754&gt;0),AND(H1754=2,F1754&gt;0)),OR(I1754=0,AND(I1754=1,OR(J1754=0,J1754=1,J1754=2),R1754&lt;&gt;"000")),Y1754&lt;=9,MIN(T1754:V1754)&gt;=0),"合法","输入违约")</x:f>
        <x:v>合法</x:v>
      </x:c>
    </x:row>
    <x:row r="1755" ht="23" customHeight="1">
      <x:c r="A1755" s="3" t="str">
        <x:v>CT-1748</x:v>
      </x:c>
      <x:c r="B1755" s="3" t="str">
        <x:v>ST-177</x:v>
      </x:c>
      <x:c r="C1755" s="3" t="str">
        <x:v>仅R回收</x:v>
      </x:c>
      <x:c r="D1755" s="25" t="n">
        <x:v>3</x:v>
      </x:c>
      <x:c r="E1755" s="25" t="n">
        <x:v>2</x:v>
      </x:c>
      <x:c r="F1755" s="25" t="n">
        <x:v>4</x:v>
      </x:c>
      <x:c r="G1755" s="19" t="n">
        <x:f>SUM(D1755:F1755)</x:f>
        <x:v>9</x:v>
      </x:c>
      <x:c r="H1755" s="25" t="n">
        <x:v>1</x:v>
      </x:c>
      <x:c r="I1755" s="25" t="n">
        <x:v>0</x:v>
      </x:c>
      <x:c r="J1755" s="25" t="str">
        <x:v>-</x:v>
      </x:c>
      <x:c r="K1755" s="19" t="n">
        <x:f>D1755-IF(H1755=0,1,0)</x:f>
        <x:v>3</x:v>
      </x:c>
      <x:c r="L1755" s="19" t="n">
        <x:f>E1755-IF(H1755=1,1,0)</x:f>
        <x:v>1</x:v>
      </x:c>
      <x:c r="M1755" s="19" t="n">
        <x:f>F1755-IF(H1755=2,1,0)</x:f>
        <x:v>4</x:v>
      </x:c>
      <x:c r="N1755" s="19" t="n">
        <x:f>MAX(K1755-1,0)+MAX(L1755-1,0)+MAX(M1755-1,0)</x:f>
        <x:v>5</x:v>
      </x:c>
      <x:c r="O1755" s="19" t="n">
        <x:f>IF(AND(SUM(K1755:M1755)&lt;9,OR(M1755=0,N1755&lt;6)),1,0)</x:f>
        <x:v>1</x:v>
      </x:c>
      <x:c r="P1755" s="19" t="n">
        <x:f>IF(AND(SUM(K1755:M1755)&lt;9,OR(L1755=0,N1755&lt;6)),1,0)</x:f>
        <x:v>1</x:v>
      </x:c>
      <x:c r="Q1755" s="19" t="n">
        <x:f>IF(AND(SUM(K1755:M1755)&lt;9,OR(K1755=0,N1755&lt;6)),1,0)</x:f>
        <x:v>1</x:v>
      </x:c>
      <x:c r="R1755" s="22" t="str">
        <x:f>O1755&amp;P1755&amp;Q1755</x:f>
        <x:v>111</x:v>
      </x:c>
      <x:c r="S1755" s="19" t="n">
        <x:f>IF(I1755=1,IF(J1755=0,Q1755,IF(J1755=1,P1755,IF(J1755=2,O1755,0))),0)</x:f>
        <x:v>0</x:v>
      </x:c>
      <x:c r="T1755" s="19" t="n">
        <x:f>K1755+IF(AND(S1755=1,J1755=0),1,0)</x:f>
        <x:v>3</x:v>
      </x:c>
      <x:c r="U1755" s="19" t="n">
        <x:f>L1755+IF(AND(S1755=1,J1755=1),1,0)</x:f>
        <x:v>1</x:v>
      </x:c>
      <x:c r="V1755" s="19" t="n">
        <x:f>M1755+IF(AND(S1755=1,J1755=2),1,0)</x:f>
        <x:v>4</x:v>
      </x:c>
      <x:c r="W1755" s="19" t="n">
        <x:f>SUM(T1755:V1755)</x:f>
        <x:v>8</x:v>
      </x:c>
      <x:c r="X1755" s="19" t="n">
        <x:f>W1755-G1755</x:f>
        <x:v>-1</x:v>
      </x:c>
      <x:c r="Y1755" s="19" t="n">
        <x:f>MAX(T1755,1)+MAX(U1755,1)+MAX(V1755,1)</x:f>
        <x:v>8</x:v>
      </x:c>
      <x:c r="Z1755" s="21" t="str">
        <x:f>IF(AND(MIN(D1755:F1755)&gt;=0,MAX(D1755:F1755)&lt;=7,MAX(D1755,1)+MAX(E1755,1)+MAX(F1755,1)&lt;=9,OR(H1755="-",AND(H1755=0,D1755&gt;0),AND(H1755=1,E1755&gt;0),AND(H1755=2,F1755&gt;0)),OR(I1755=0,AND(I1755=1,OR(J1755=0,J1755=1,J1755=2),R1755&lt;&gt;"000")),Y1755&lt;=9,MIN(T1755:V1755)&gt;=0),"合法","输入违约")</x:f>
        <x:v>合法</x:v>
      </x:c>
    </x:row>
    <x:row r="1756" ht="23" customHeight="1">
      <x:c r="A1756" s="3" t="str">
        <x:v>CT-1749</x:v>
      </x:c>
      <x:c r="B1756" s="3" t="str">
        <x:v>ST-177</x:v>
      </x:c>
      <x:c r="C1756" s="3" t="str">
        <x:v>R+AR同收同发</x:v>
      </x:c>
      <x:c r="D1756" s="25" t="n">
        <x:v>3</x:v>
      </x:c>
      <x:c r="E1756" s="25" t="n">
        <x:v>2</x:v>
      </x:c>
      <x:c r="F1756" s="25" t="n">
        <x:v>4</x:v>
      </x:c>
      <x:c r="G1756" s="19" t="n">
        <x:f>SUM(D1756:F1756)</x:f>
        <x:v>9</x:v>
      </x:c>
      <x:c r="H1756" s="25" t="n">
        <x:v>1</x:v>
      </x:c>
      <x:c r="I1756" s="25" t="n">
        <x:v>1</x:v>
      </x:c>
      <x:c r="J1756" s="25" t="n">
        <x:v>0</x:v>
      </x:c>
      <x:c r="K1756" s="19" t="n">
        <x:f>D1756-IF(H1756=0,1,0)</x:f>
        <x:v>3</x:v>
      </x:c>
      <x:c r="L1756" s="19" t="n">
        <x:f>E1756-IF(H1756=1,1,0)</x:f>
        <x:v>1</x:v>
      </x:c>
      <x:c r="M1756" s="19" t="n">
        <x:f>F1756-IF(H1756=2,1,0)</x:f>
        <x:v>4</x:v>
      </x:c>
      <x:c r="N1756" s="19" t="n">
        <x:f>MAX(K1756-1,0)+MAX(L1756-1,0)+MAX(M1756-1,0)</x:f>
        <x:v>5</x:v>
      </x:c>
      <x:c r="O1756" s="19" t="n">
        <x:f>IF(AND(SUM(K1756:M1756)&lt;9,OR(M1756=0,N1756&lt;6)),1,0)</x:f>
        <x:v>1</x:v>
      </x:c>
      <x:c r="P1756" s="19" t="n">
        <x:f>IF(AND(SUM(K1756:M1756)&lt;9,OR(L1756=0,N1756&lt;6)),1,0)</x:f>
        <x:v>1</x:v>
      </x:c>
      <x:c r="Q1756" s="19" t="n">
        <x:f>IF(AND(SUM(K1756:M1756)&lt;9,OR(K1756=0,N1756&lt;6)),1,0)</x:f>
        <x:v>1</x:v>
      </x:c>
      <x:c r="R1756" s="22" t="str">
        <x:f>O1756&amp;P1756&amp;Q1756</x:f>
        <x:v>111</x:v>
      </x:c>
      <x:c r="S1756" s="19" t="n">
        <x:f>IF(I1756=1,IF(J1756=0,Q1756,IF(J1756=1,P1756,IF(J1756=2,O1756,0))),0)</x:f>
        <x:v>1</x:v>
      </x:c>
      <x:c r="T1756" s="19" t="n">
        <x:f>K1756+IF(AND(S1756=1,J1756=0),1,0)</x:f>
        <x:v>4</x:v>
      </x:c>
      <x:c r="U1756" s="19" t="n">
        <x:f>L1756+IF(AND(S1756=1,J1756=1),1,0)</x:f>
        <x:v>1</x:v>
      </x:c>
      <x:c r="V1756" s="19" t="n">
        <x:f>M1756+IF(AND(S1756=1,J1756=2),1,0)</x:f>
        <x:v>4</x:v>
      </x:c>
      <x:c r="W1756" s="19" t="n">
        <x:f>SUM(T1756:V1756)</x:f>
        <x:v>9</x:v>
      </x:c>
      <x:c r="X1756" s="19" t="n">
        <x:f>W1756-G1756</x:f>
        <x:v>0</x:v>
      </x:c>
      <x:c r="Y1756" s="19" t="n">
        <x:f>MAX(T1756,1)+MAX(U1756,1)+MAX(V1756,1)</x:f>
        <x:v>9</x:v>
      </x:c>
      <x:c r="Z1756" s="21" t="str">
        <x:f>IF(AND(MIN(D1756:F1756)&gt;=0,MAX(D1756:F1756)&lt;=7,MAX(D1756,1)+MAX(E1756,1)+MAX(F1756,1)&lt;=9,OR(H1756="-",AND(H1756=0,D1756&gt;0),AND(H1756=1,E1756&gt;0),AND(H1756=2,F1756&gt;0)),OR(I1756=0,AND(I1756=1,OR(J1756=0,J1756=1,J1756=2),R1756&lt;&gt;"000")),Y1756&lt;=9,MIN(T1756:V1756)&gt;=0),"合法","输入违约")</x:f>
        <x:v>合法</x:v>
      </x:c>
    </x:row>
    <x:row r="1757" ht="23" customHeight="1">
      <x:c r="A1757" s="3" t="str">
        <x:v>CT-1750</x:v>
      </x:c>
      <x:c r="B1757" s="3" t="str">
        <x:v>ST-177</x:v>
      </x:c>
      <x:c r="C1757" s="3" t="str">
        <x:v>R+AR同收同发</x:v>
      </x:c>
      <x:c r="D1757" s="25" t="n">
        <x:v>3</x:v>
      </x:c>
      <x:c r="E1757" s="25" t="n">
        <x:v>2</x:v>
      </x:c>
      <x:c r="F1757" s="25" t="n">
        <x:v>4</x:v>
      </x:c>
      <x:c r="G1757" s="19" t="n">
        <x:f>SUM(D1757:F1757)</x:f>
        <x:v>9</x:v>
      </x:c>
      <x:c r="H1757" s="25" t="n">
        <x:v>1</x:v>
      </x:c>
      <x:c r="I1757" s="25" t="n">
        <x:v>1</x:v>
      </x:c>
      <x:c r="J1757" s="25" t="n">
        <x:v>1</x:v>
      </x:c>
      <x:c r="K1757" s="19" t="n">
        <x:f>D1757-IF(H1757=0,1,0)</x:f>
        <x:v>3</x:v>
      </x:c>
      <x:c r="L1757" s="19" t="n">
        <x:f>E1757-IF(H1757=1,1,0)</x:f>
        <x:v>1</x:v>
      </x:c>
      <x:c r="M1757" s="19" t="n">
        <x:f>F1757-IF(H1757=2,1,0)</x:f>
        <x:v>4</x:v>
      </x:c>
      <x:c r="N1757" s="19" t="n">
        <x:f>MAX(K1757-1,0)+MAX(L1757-1,0)+MAX(M1757-1,0)</x:f>
        <x:v>5</x:v>
      </x:c>
      <x:c r="O1757" s="19" t="n">
        <x:f>IF(AND(SUM(K1757:M1757)&lt;9,OR(M1757=0,N1757&lt;6)),1,0)</x:f>
        <x:v>1</x:v>
      </x:c>
      <x:c r="P1757" s="19" t="n">
        <x:f>IF(AND(SUM(K1757:M1757)&lt;9,OR(L1757=0,N1757&lt;6)),1,0)</x:f>
        <x:v>1</x:v>
      </x:c>
      <x:c r="Q1757" s="19" t="n">
        <x:f>IF(AND(SUM(K1757:M1757)&lt;9,OR(K1757=0,N1757&lt;6)),1,0)</x:f>
        <x:v>1</x:v>
      </x:c>
      <x:c r="R1757" s="22" t="str">
        <x:f>O1757&amp;P1757&amp;Q1757</x:f>
        <x:v>111</x:v>
      </x:c>
      <x:c r="S1757" s="19" t="n">
        <x:f>IF(I1757=1,IF(J1757=0,Q1757,IF(J1757=1,P1757,IF(J1757=2,O1757,0))),0)</x:f>
        <x:v>1</x:v>
      </x:c>
      <x:c r="T1757" s="19" t="n">
        <x:f>K1757+IF(AND(S1757=1,J1757=0),1,0)</x:f>
        <x:v>3</x:v>
      </x:c>
      <x:c r="U1757" s="19" t="n">
        <x:f>L1757+IF(AND(S1757=1,J1757=1),1,0)</x:f>
        <x:v>2</x:v>
      </x:c>
      <x:c r="V1757" s="19" t="n">
        <x:f>M1757+IF(AND(S1757=1,J1757=2),1,0)</x:f>
        <x:v>4</x:v>
      </x:c>
      <x:c r="W1757" s="19" t="n">
        <x:f>SUM(T1757:V1757)</x:f>
        <x:v>9</x:v>
      </x:c>
      <x:c r="X1757" s="19" t="n">
        <x:f>W1757-G1757</x:f>
        <x:v>0</x:v>
      </x:c>
      <x:c r="Y1757" s="19" t="n">
        <x:f>MAX(T1757,1)+MAX(U1757,1)+MAX(V1757,1)</x:f>
        <x:v>9</x:v>
      </x:c>
      <x:c r="Z1757" s="21" t="str">
        <x:f>IF(AND(MIN(D1757:F1757)&gt;=0,MAX(D1757:F1757)&lt;=7,MAX(D1757,1)+MAX(E1757,1)+MAX(F1757,1)&lt;=9,OR(H1757="-",AND(H1757=0,D1757&gt;0),AND(H1757=1,E1757&gt;0),AND(H1757=2,F1757&gt;0)),OR(I1757=0,AND(I1757=1,OR(J1757=0,J1757=1,J1757=2),R1757&lt;&gt;"000")),Y1757&lt;=9,MIN(T1757:V1757)&gt;=0),"合法","输入违约")</x:f>
        <x:v>合法</x:v>
      </x:c>
    </x:row>
    <x:row r="1758" ht="23" customHeight="1">
      <x:c r="A1758" s="3" t="str">
        <x:v>CT-1751</x:v>
      </x:c>
      <x:c r="B1758" s="3" t="str">
        <x:v>ST-177</x:v>
      </x:c>
      <x:c r="C1758" s="3" t="str">
        <x:v>R+AR同收同发</x:v>
      </x:c>
      <x:c r="D1758" s="25" t="n">
        <x:v>3</x:v>
      </x:c>
      <x:c r="E1758" s="25" t="n">
        <x:v>2</x:v>
      </x:c>
      <x:c r="F1758" s="25" t="n">
        <x:v>4</x:v>
      </x:c>
      <x:c r="G1758" s="19" t="n">
        <x:f>SUM(D1758:F1758)</x:f>
        <x:v>9</x:v>
      </x:c>
      <x:c r="H1758" s="25" t="n">
        <x:v>1</x:v>
      </x:c>
      <x:c r="I1758" s="25" t="n">
        <x:v>1</x:v>
      </x:c>
      <x:c r="J1758" s="25" t="n">
        <x:v>2</x:v>
      </x:c>
      <x:c r="K1758" s="19" t="n">
        <x:f>D1758-IF(H1758=0,1,0)</x:f>
        <x:v>3</x:v>
      </x:c>
      <x:c r="L1758" s="19" t="n">
        <x:f>E1758-IF(H1758=1,1,0)</x:f>
        <x:v>1</x:v>
      </x:c>
      <x:c r="M1758" s="19" t="n">
        <x:f>F1758-IF(H1758=2,1,0)</x:f>
        <x:v>4</x:v>
      </x:c>
      <x:c r="N1758" s="19" t="n">
        <x:f>MAX(K1758-1,0)+MAX(L1758-1,0)+MAX(M1758-1,0)</x:f>
        <x:v>5</x:v>
      </x:c>
      <x:c r="O1758" s="19" t="n">
        <x:f>IF(AND(SUM(K1758:M1758)&lt;9,OR(M1758=0,N1758&lt;6)),1,0)</x:f>
        <x:v>1</x:v>
      </x:c>
      <x:c r="P1758" s="19" t="n">
        <x:f>IF(AND(SUM(K1758:M1758)&lt;9,OR(L1758=0,N1758&lt;6)),1,0)</x:f>
        <x:v>1</x:v>
      </x:c>
      <x:c r="Q1758" s="19" t="n">
        <x:f>IF(AND(SUM(K1758:M1758)&lt;9,OR(K1758=0,N1758&lt;6)),1,0)</x:f>
        <x:v>1</x:v>
      </x:c>
      <x:c r="R1758" s="22" t="str">
        <x:f>O1758&amp;P1758&amp;Q1758</x:f>
        <x:v>111</x:v>
      </x:c>
      <x:c r="S1758" s="19" t="n">
        <x:f>IF(I1758=1,IF(J1758=0,Q1758,IF(J1758=1,P1758,IF(J1758=2,O1758,0))),0)</x:f>
        <x:v>1</x:v>
      </x:c>
      <x:c r="T1758" s="19" t="n">
        <x:f>K1758+IF(AND(S1758=1,J1758=0),1,0)</x:f>
        <x:v>3</x:v>
      </x:c>
      <x:c r="U1758" s="19" t="n">
        <x:f>L1758+IF(AND(S1758=1,J1758=1),1,0)</x:f>
        <x:v>1</x:v>
      </x:c>
      <x:c r="V1758" s="19" t="n">
        <x:f>M1758+IF(AND(S1758=1,J1758=2),1,0)</x:f>
        <x:v>5</x:v>
      </x:c>
      <x:c r="W1758" s="19" t="n">
        <x:f>SUM(T1758:V1758)</x:f>
        <x:v>9</x:v>
      </x:c>
      <x:c r="X1758" s="19" t="n">
        <x:f>W1758-G1758</x:f>
        <x:v>0</x:v>
      </x:c>
      <x:c r="Y1758" s="19" t="n">
        <x:f>MAX(T1758,1)+MAX(U1758,1)+MAX(V1758,1)</x:f>
        <x:v>9</x:v>
      </x:c>
      <x:c r="Z1758" s="21" t="str">
        <x:f>IF(AND(MIN(D1758:F1758)&gt;=0,MAX(D1758:F1758)&lt;=7,MAX(D1758,1)+MAX(E1758,1)+MAX(F1758,1)&lt;=9,OR(H1758="-",AND(H1758=0,D1758&gt;0),AND(H1758=1,E1758&gt;0),AND(H1758=2,F1758&gt;0)),OR(I1758=0,AND(I1758=1,OR(J1758=0,J1758=1,J1758=2),R1758&lt;&gt;"000")),Y1758&lt;=9,MIN(T1758:V1758)&gt;=0),"合法","输入违约")</x:f>
        <x:v>合法</x:v>
      </x:c>
    </x:row>
    <x:row r="1759" ht="23" customHeight="1">
      <x:c r="A1759" s="3" t="str">
        <x:v>CT-1752</x:v>
      </x:c>
      <x:c r="B1759" s="3" t="str">
        <x:v>ST-177</x:v>
      </x:c>
      <x:c r="C1759" s="3" t="str">
        <x:v>仅R回收</x:v>
      </x:c>
      <x:c r="D1759" s="25" t="n">
        <x:v>3</x:v>
      </x:c>
      <x:c r="E1759" s="25" t="n">
        <x:v>2</x:v>
      </x:c>
      <x:c r="F1759" s="25" t="n">
        <x:v>4</x:v>
      </x:c>
      <x:c r="G1759" s="19" t="n">
        <x:f>SUM(D1759:F1759)</x:f>
        <x:v>9</x:v>
      </x:c>
      <x:c r="H1759" s="25" t="n">
        <x:v>2</x:v>
      </x:c>
      <x:c r="I1759" s="25" t="n">
        <x:v>0</x:v>
      </x:c>
      <x:c r="J1759" s="25" t="str">
        <x:v>-</x:v>
      </x:c>
      <x:c r="K1759" s="19" t="n">
        <x:f>D1759-IF(H1759=0,1,0)</x:f>
        <x:v>3</x:v>
      </x:c>
      <x:c r="L1759" s="19" t="n">
        <x:f>E1759-IF(H1759=1,1,0)</x:f>
        <x:v>2</x:v>
      </x:c>
      <x:c r="M1759" s="19" t="n">
        <x:f>F1759-IF(H1759=2,1,0)</x:f>
        <x:v>3</x:v>
      </x:c>
      <x:c r="N1759" s="19" t="n">
        <x:f>MAX(K1759-1,0)+MAX(L1759-1,0)+MAX(M1759-1,0)</x:f>
        <x:v>5</x:v>
      </x:c>
      <x:c r="O1759" s="19" t="n">
        <x:f>IF(AND(SUM(K1759:M1759)&lt;9,OR(M1759=0,N1759&lt;6)),1,0)</x:f>
        <x:v>1</x:v>
      </x:c>
      <x:c r="P1759" s="19" t="n">
        <x:f>IF(AND(SUM(K1759:M1759)&lt;9,OR(L1759=0,N1759&lt;6)),1,0)</x:f>
        <x:v>1</x:v>
      </x:c>
      <x:c r="Q1759" s="19" t="n">
        <x:f>IF(AND(SUM(K1759:M1759)&lt;9,OR(K1759=0,N1759&lt;6)),1,0)</x:f>
        <x:v>1</x:v>
      </x:c>
      <x:c r="R1759" s="22" t="str">
        <x:f>O1759&amp;P1759&amp;Q1759</x:f>
        <x:v>111</x:v>
      </x:c>
      <x:c r="S1759" s="19" t="n">
        <x:f>IF(I1759=1,IF(J1759=0,Q1759,IF(J1759=1,P1759,IF(J1759=2,O1759,0))),0)</x:f>
        <x:v>0</x:v>
      </x:c>
      <x:c r="T1759" s="19" t="n">
        <x:f>K1759+IF(AND(S1759=1,J1759=0),1,0)</x:f>
        <x:v>3</x:v>
      </x:c>
      <x:c r="U1759" s="19" t="n">
        <x:f>L1759+IF(AND(S1759=1,J1759=1),1,0)</x:f>
        <x:v>2</x:v>
      </x:c>
      <x:c r="V1759" s="19" t="n">
        <x:f>M1759+IF(AND(S1759=1,J1759=2),1,0)</x:f>
        <x:v>3</x:v>
      </x:c>
      <x:c r="W1759" s="19" t="n">
        <x:f>SUM(T1759:V1759)</x:f>
        <x:v>8</x:v>
      </x:c>
      <x:c r="X1759" s="19" t="n">
        <x:f>W1759-G1759</x:f>
        <x:v>-1</x:v>
      </x:c>
      <x:c r="Y1759" s="19" t="n">
        <x:f>MAX(T1759,1)+MAX(U1759,1)+MAX(V1759,1)</x:f>
        <x:v>8</x:v>
      </x:c>
      <x:c r="Z1759" s="21" t="str">
        <x:f>IF(AND(MIN(D1759:F1759)&gt;=0,MAX(D1759:F1759)&lt;=7,MAX(D1759,1)+MAX(E1759,1)+MAX(F1759,1)&lt;=9,OR(H1759="-",AND(H1759=0,D1759&gt;0),AND(H1759=1,E1759&gt;0),AND(H1759=2,F1759&gt;0)),OR(I1759=0,AND(I1759=1,OR(J1759=0,J1759=1,J1759=2),R1759&lt;&gt;"000")),Y1759&lt;=9,MIN(T1759:V1759)&gt;=0),"合法","输入违约")</x:f>
        <x:v>合法</x:v>
      </x:c>
    </x:row>
    <x:row r="1760" ht="23" customHeight="1">
      <x:c r="A1760" s="3" t="str">
        <x:v>CT-1753</x:v>
      </x:c>
      <x:c r="B1760" s="3" t="str">
        <x:v>ST-177</x:v>
      </x:c>
      <x:c r="C1760" s="3" t="str">
        <x:v>R+AR同收同发</x:v>
      </x:c>
      <x:c r="D1760" s="25" t="n">
        <x:v>3</x:v>
      </x:c>
      <x:c r="E1760" s="25" t="n">
        <x:v>2</x:v>
      </x:c>
      <x:c r="F1760" s="25" t="n">
        <x:v>4</x:v>
      </x:c>
      <x:c r="G1760" s="19" t="n">
        <x:f>SUM(D1760:F1760)</x:f>
        <x:v>9</x:v>
      </x:c>
      <x:c r="H1760" s="25" t="n">
        <x:v>2</x:v>
      </x:c>
      <x:c r="I1760" s="25" t="n">
        <x:v>1</x:v>
      </x:c>
      <x:c r="J1760" s="25" t="n">
        <x:v>0</x:v>
      </x:c>
      <x:c r="K1760" s="19" t="n">
        <x:f>D1760-IF(H1760=0,1,0)</x:f>
        <x:v>3</x:v>
      </x:c>
      <x:c r="L1760" s="19" t="n">
        <x:f>E1760-IF(H1760=1,1,0)</x:f>
        <x:v>2</x:v>
      </x:c>
      <x:c r="M1760" s="19" t="n">
        <x:f>F1760-IF(H1760=2,1,0)</x:f>
        <x:v>3</x:v>
      </x:c>
      <x:c r="N1760" s="19" t="n">
        <x:f>MAX(K1760-1,0)+MAX(L1760-1,0)+MAX(M1760-1,0)</x:f>
        <x:v>5</x:v>
      </x:c>
      <x:c r="O1760" s="19" t="n">
        <x:f>IF(AND(SUM(K1760:M1760)&lt;9,OR(M1760=0,N1760&lt;6)),1,0)</x:f>
        <x:v>1</x:v>
      </x:c>
      <x:c r="P1760" s="19" t="n">
        <x:f>IF(AND(SUM(K1760:M1760)&lt;9,OR(L1760=0,N1760&lt;6)),1,0)</x:f>
        <x:v>1</x:v>
      </x:c>
      <x:c r="Q1760" s="19" t="n">
        <x:f>IF(AND(SUM(K1760:M1760)&lt;9,OR(K1760=0,N1760&lt;6)),1,0)</x:f>
        <x:v>1</x:v>
      </x:c>
      <x:c r="R1760" s="22" t="str">
        <x:f>O1760&amp;P1760&amp;Q1760</x:f>
        <x:v>111</x:v>
      </x:c>
      <x:c r="S1760" s="19" t="n">
        <x:f>IF(I1760=1,IF(J1760=0,Q1760,IF(J1760=1,P1760,IF(J1760=2,O1760,0))),0)</x:f>
        <x:v>1</x:v>
      </x:c>
      <x:c r="T1760" s="19" t="n">
        <x:f>K1760+IF(AND(S1760=1,J1760=0),1,0)</x:f>
        <x:v>4</x:v>
      </x:c>
      <x:c r="U1760" s="19" t="n">
        <x:f>L1760+IF(AND(S1760=1,J1760=1),1,0)</x:f>
        <x:v>2</x:v>
      </x:c>
      <x:c r="V1760" s="19" t="n">
        <x:f>M1760+IF(AND(S1760=1,J1760=2),1,0)</x:f>
        <x:v>3</x:v>
      </x:c>
      <x:c r="W1760" s="19" t="n">
        <x:f>SUM(T1760:V1760)</x:f>
        <x:v>9</x:v>
      </x:c>
      <x:c r="X1760" s="19" t="n">
        <x:f>W1760-G1760</x:f>
        <x:v>0</x:v>
      </x:c>
      <x:c r="Y1760" s="19" t="n">
        <x:f>MAX(T1760,1)+MAX(U1760,1)+MAX(V1760,1)</x:f>
        <x:v>9</x:v>
      </x:c>
      <x:c r="Z1760" s="21" t="str">
        <x:f>IF(AND(MIN(D1760:F1760)&gt;=0,MAX(D1760:F1760)&lt;=7,MAX(D1760,1)+MAX(E1760,1)+MAX(F1760,1)&lt;=9,OR(H1760="-",AND(H1760=0,D1760&gt;0),AND(H1760=1,E1760&gt;0),AND(H1760=2,F1760&gt;0)),OR(I1760=0,AND(I1760=1,OR(J1760=0,J1760=1,J1760=2),R1760&lt;&gt;"000")),Y1760&lt;=9,MIN(T1760:V1760)&gt;=0),"合法","输入违约")</x:f>
        <x:v>合法</x:v>
      </x:c>
    </x:row>
    <x:row r="1761" ht="23" customHeight="1">
      <x:c r="A1761" s="3" t="str">
        <x:v>CT-1754</x:v>
      </x:c>
      <x:c r="B1761" s="3" t="str">
        <x:v>ST-177</x:v>
      </x:c>
      <x:c r="C1761" s="3" t="str">
        <x:v>R+AR同收同发</x:v>
      </x:c>
      <x:c r="D1761" s="25" t="n">
        <x:v>3</x:v>
      </x:c>
      <x:c r="E1761" s="25" t="n">
        <x:v>2</x:v>
      </x:c>
      <x:c r="F1761" s="25" t="n">
        <x:v>4</x:v>
      </x:c>
      <x:c r="G1761" s="19" t="n">
        <x:f>SUM(D1761:F1761)</x:f>
        <x:v>9</x:v>
      </x:c>
      <x:c r="H1761" s="25" t="n">
        <x:v>2</x:v>
      </x:c>
      <x:c r="I1761" s="25" t="n">
        <x:v>1</x:v>
      </x:c>
      <x:c r="J1761" s="25" t="n">
        <x:v>1</x:v>
      </x:c>
      <x:c r="K1761" s="19" t="n">
        <x:f>D1761-IF(H1761=0,1,0)</x:f>
        <x:v>3</x:v>
      </x:c>
      <x:c r="L1761" s="19" t="n">
        <x:f>E1761-IF(H1761=1,1,0)</x:f>
        <x:v>2</x:v>
      </x:c>
      <x:c r="M1761" s="19" t="n">
        <x:f>F1761-IF(H1761=2,1,0)</x:f>
        <x:v>3</x:v>
      </x:c>
      <x:c r="N1761" s="19" t="n">
        <x:f>MAX(K1761-1,0)+MAX(L1761-1,0)+MAX(M1761-1,0)</x:f>
        <x:v>5</x:v>
      </x:c>
      <x:c r="O1761" s="19" t="n">
        <x:f>IF(AND(SUM(K1761:M1761)&lt;9,OR(M1761=0,N1761&lt;6)),1,0)</x:f>
        <x:v>1</x:v>
      </x:c>
      <x:c r="P1761" s="19" t="n">
        <x:f>IF(AND(SUM(K1761:M1761)&lt;9,OR(L1761=0,N1761&lt;6)),1,0)</x:f>
        <x:v>1</x:v>
      </x:c>
      <x:c r="Q1761" s="19" t="n">
        <x:f>IF(AND(SUM(K1761:M1761)&lt;9,OR(K1761=0,N1761&lt;6)),1,0)</x:f>
        <x:v>1</x:v>
      </x:c>
      <x:c r="R1761" s="22" t="str">
        <x:f>O1761&amp;P1761&amp;Q1761</x:f>
        <x:v>111</x:v>
      </x:c>
      <x:c r="S1761" s="19" t="n">
        <x:f>IF(I1761=1,IF(J1761=0,Q1761,IF(J1761=1,P1761,IF(J1761=2,O1761,0))),0)</x:f>
        <x:v>1</x:v>
      </x:c>
      <x:c r="T1761" s="19" t="n">
        <x:f>K1761+IF(AND(S1761=1,J1761=0),1,0)</x:f>
        <x:v>3</x:v>
      </x:c>
      <x:c r="U1761" s="19" t="n">
        <x:f>L1761+IF(AND(S1761=1,J1761=1),1,0)</x:f>
        <x:v>3</x:v>
      </x:c>
      <x:c r="V1761" s="19" t="n">
        <x:f>M1761+IF(AND(S1761=1,J1761=2),1,0)</x:f>
        <x:v>3</x:v>
      </x:c>
      <x:c r="W1761" s="19" t="n">
        <x:f>SUM(T1761:V1761)</x:f>
        <x:v>9</x:v>
      </x:c>
      <x:c r="X1761" s="19" t="n">
        <x:f>W1761-G1761</x:f>
        <x:v>0</x:v>
      </x:c>
      <x:c r="Y1761" s="19" t="n">
        <x:f>MAX(T1761,1)+MAX(U1761,1)+MAX(V1761,1)</x:f>
        <x:v>9</x:v>
      </x:c>
      <x:c r="Z1761" s="21" t="str">
        <x:f>IF(AND(MIN(D1761:F1761)&gt;=0,MAX(D1761:F1761)&lt;=7,MAX(D1761,1)+MAX(E1761,1)+MAX(F1761,1)&lt;=9,OR(H1761="-",AND(H1761=0,D1761&gt;0),AND(H1761=1,E1761&gt;0),AND(H1761=2,F1761&gt;0)),OR(I1761=0,AND(I1761=1,OR(J1761=0,J1761=1,J1761=2),R1761&lt;&gt;"000")),Y1761&lt;=9,MIN(T1761:V1761)&gt;=0),"合法","输入违约")</x:f>
        <x:v>合法</x:v>
      </x:c>
    </x:row>
    <x:row r="1762" ht="23" customHeight="1">
      <x:c r="A1762" s="3" t="str">
        <x:v>CT-1755</x:v>
      </x:c>
      <x:c r="B1762" s="3" t="str">
        <x:v>ST-177</x:v>
      </x:c>
      <x:c r="C1762" s="3" t="str">
        <x:v>R+AR同收同发</x:v>
      </x:c>
      <x:c r="D1762" s="25" t="n">
        <x:v>3</x:v>
      </x:c>
      <x:c r="E1762" s="25" t="n">
        <x:v>2</x:v>
      </x:c>
      <x:c r="F1762" s="25" t="n">
        <x:v>4</x:v>
      </x:c>
      <x:c r="G1762" s="19" t="n">
        <x:f>SUM(D1762:F1762)</x:f>
        <x:v>9</x:v>
      </x:c>
      <x:c r="H1762" s="25" t="n">
        <x:v>2</x:v>
      </x:c>
      <x:c r="I1762" s="25" t="n">
        <x:v>1</x:v>
      </x:c>
      <x:c r="J1762" s="25" t="n">
        <x:v>2</x:v>
      </x:c>
      <x:c r="K1762" s="19" t="n">
        <x:f>D1762-IF(H1762=0,1,0)</x:f>
        <x:v>3</x:v>
      </x:c>
      <x:c r="L1762" s="19" t="n">
        <x:f>E1762-IF(H1762=1,1,0)</x:f>
        <x:v>2</x:v>
      </x:c>
      <x:c r="M1762" s="19" t="n">
        <x:f>F1762-IF(H1762=2,1,0)</x:f>
        <x:v>3</x:v>
      </x:c>
      <x:c r="N1762" s="19" t="n">
        <x:f>MAX(K1762-1,0)+MAX(L1762-1,0)+MAX(M1762-1,0)</x:f>
        <x:v>5</x:v>
      </x:c>
      <x:c r="O1762" s="19" t="n">
        <x:f>IF(AND(SUM(K1762:M1762)&lt;9,OR(M1762=0,N1762&lt;6)),1,0)</x:f>
        <x:v>1</x:v>
      </x:c>
      <x:c r="P1762" s="19" t="n">
        <x:f>IF(AND(SUM(K1762:M1762)&lt;9,OR(L1762=0,N1762&lt;6)),1,0)</x:f>
        <x:v>1</x:v>
      </x:c>
      <x:c r="Q1762" s="19" t="n">
        <x:f>IF(AND(SUM(K1762:M1762)&lt;9,OR(K1762=0,N1762&lt;6)),1,0)</x:f>
        <x:v>1</x:v>
      </x:c>
      <x:c r="R1762" s="22" t="str">
        <x:f>O1762&amp;P1762&amp;Q1762</x:f>
        <x:v>111</x:v>
      </x:c>
      <x:c r="S1762" s="19" t="n">
        <x:f>IF(I1762=1,IF(J1762=0,Q1762,IF(J1762=1,P1762,IF(J1762=2,O1762,0))),0)</x:f>
        <x:v>1</x:v>
      </x:c>
      <x:c r="T1762" s="19" t="n">
        <x:f>K1762+IF(AND(S1762=1,J1762=0),1,0)</x:f>
        <x:v>3</x:v>
      </x:c>
      <x:c r="U1762" s="19" t="n">
        <x:f>L1762+IF(AND(S1762=1,J1762=1),1,0)</x:f>
        <x:v>2</x:v>
      </x:c>
      <x:c r="V1762" s="19" t="n">
        <x:f>M1762+IF(AND(S1762=1,J1762=2),1,0)</x:f>
        <x:v>4</x:v>
      </x:c>
      <x:c r="W1762" s="19" t="n">
        <x:f>SUM(T1762:V1762)</x:f>
        <x:v>9</x:v>
      </x:c>
      <x:c r="X1762" s="19" t="n">
        <x:f>W1762-G1762</x:f>
        <x:v>0</x:v>
      </x:c>
      <x:c r="Y1762" s="19" t="n">
        <x:f>MAX(T1762,1)+MAX(U1762,1)+MAX(V1762,1)</x:f>
        <x:v>9</x:v>
      </x:c>
      <x:c r="Z1762" s="21" t="str">
        <x:f>IF(AND(MIN(D1762:F1762)&gt;=0,MAX(D1762:F1762)&lt;=7,MAX(D1762,1)+MAX(E1762,1)+MAX(F1762,1)&lt;=9,OR(H1762="-",AND(H1762=0,D1762&gt;0),AND(H1762=1,E1762&gt;0),AND(H1762=2,F1762&gt;0)),OR(I1762=0,AND(I1762=1,OR(J1762=0,J1762=1,J1762=2),R1762&lt;&gt;"000")),Y1762&lt;=9,MIN(T1762:V1762)&gt;=0),"合法","输入违约")</x:f>
        <x:v>合法</x:v>
      </x:c>
    </x:row>
    <x:row r="1763" ht="23" customHeight="1">
      <x:c r="A1763" s="3" t="str">
        <x:v>CT-1756</x:v>
      </x:c>
      <x:c r="B1763" s="3" t="str">
        <x:v>ST-078</x:v>
      </x:c>
      <x:c r="C1763" s="3" t="str">
        <x:v>无AR/R</x:v>
      </x:c>
      <x:c r="D1763" s="25" t="n">
        <x:v>3</x:v>
      </x:c>
      <x:c r="E1763" s="25" t="n">
        <x:v>3</x:v>
      </x:c>
      <x:c r="F1763" s="25" t="n">
        <x:v>0</x:v>
      </x:c>
      <x:c r="G1763" s="19" t="n">
        <x:f>SUM(D1763:F1763)</x:f>
        <x:v>6</x:v>
      </x:c>
      <x:c r="H1763" s="25" t="str">
        <x:v>-</x:v>
      </x:c>
      <x:c r="I1763" s="25" t="n">
        <x:v>0</x:v>
      </x:c>
      <x:c r="J1763" s="25" t="str">
        <x:v>-</x:v>
      </x:c>
      <x:c r="K1763" s="19" t="n">
        <x:f>D1763-IF(H1763=0,1,0)</x:f>
        <x:v>3</x:v>
      </x:c>
      <x:c r="L1763" s="19" t="n">
        <x:f>E1763-IF(H1763=1,1,0)</x:f>
        <x:v>3</x:v>
      </x:c>
      <x:c r="M1763" s="19" t="n">
        <x:f>F1763-IF(H1763=2,1,0)</x:f>
        <x:v>0</x:v>
      </x:c>
      <x:c r="N1763" s="19" t="n">
        <x:f>MAX(K1763-1,0)+MAX(L1763-1,0)+MAX(M1763-1,0)</x:f>
        <x:v>4</x:v>
      </x:c>
      <x:c r="O1763" s="19" t="n">
        <x:f>IF(AND(SUM(K1763:M1763)&lt;9,OR(M1763=0,N1763&lt;6)),1,0)</x:f>
        <x:v>1</x:v>
      </x:c>
      <x:c r="P1763" s="19" t="n">
        <x:f>IF(AND(SUM(K1763:M1763)&lt;9,OR(L1763=0,N1763&lt;6)),1,0)</x:f>
        <x:v>1</x:v>
      </x:c>
      <x:c r="Q1763" s="19" t="n">
        <x:f>IF(AND(SUM(K1763:M1763)&lt;9,OR(K1763=0,N1763&lt;6)),1,0)</x:f>
        <x:v>1</x:v>
      </x:c>
      <x:c r="R1763" s="22" t="str">
        <x:f>O1763&amp;P1763&amp;Q1763</x:f>
        <x:v>111</x:v>
      </x:c>
      <x:c r="S1763" s="19" t="n">
        <x:f>IF(I1763=1,IF(J1763=0,Q1763,IF(J1763=1,P1763,IF(J1763=2,O1763,0))),0)</x:f>
        <x:v>0</x:v>
      </x:c>
      <x:c r="T1763" s="19" t="n">
        <x:f>K1763+IF(AND(S1763=1,J1763=0),1,0)</x:f>
        <x:v>3</x:v>
      </x:c>
      <x:c r="U1763" s="19" t="n">
        <x:f>L1763+IF(AND(S1763=1,J1763=1),1,0)</x:f>
        <x:v>3</x:v>
      </x:c>
      <x:c r="V1763" s="19" t="n">
        <x:f>M1763+IF(AND(S1763=1,J1763=2),1,0)</x:f>
        <x:v>0</x:v>
      </x:c>
      <x:c r="W1763" s="19" t="n">
        <x:f>SUM(T1763:V1763)</x:f>
        <x:v>6</x:v>
      </x:c>
      <x:c r="X1763" s="19" t="n">
        <x:f>W1763-G1763</x:f>
        <x:v>0</x:v>
      </x:c>
      <x:c r="Y1763" s="19" t="n">
        <x:f>MAX(T1763,1)+MAX(U1763,1)+MAX(V1763,1)</x:f>
        <x:v>7</x:v>
      </x:c>
      <x:c r="Z1763" s="21" t="str">
        <x:f>IF(AND(MIN(D1763:F1763)&gt;=0,MAX(D1763:F1763)&lt;=7,MAX(D1763,1)+MAX(E1763,1)+MAX(F1763,1)&lt;=9,OR(H1763="-",AND(H1763=0,D1763&gt;0),AND(H1763=1,E1763&gt;0),AND(H1763=2,F1763&gt;0)),OR(I1763=0,AND(I1763=1,OR(J1763=0,J1763=1,J1763=2),R1763&lt;&gt;"000")),Y1763&lt;=9,MIN(T1763:V1763)&gt;=0),"合法","输入违约")</x:f>
        <x:v>合法</x:v>
      </x:c>
    </x:row>
    <x:row r="1764" ht="23" customHeight="1">
      <x:c r="A1764" s="3" t="str">
        <x:v>CT-1757</x:v>
      </x:c>
      <x:c r="B1764" s="3" t="str">
        <x:v>ST-078</x:v>
      </x:c>
      <x:c r="C1764" s="3" t="str">
        <x:v>仅AR接收</x:v>
      </x:c>
      <x:c r="D1764" s="25" t="n">
        <x:v>3</x:v>
      </x:c>
      <x:c r="E1764" s="25" t="n">
        <x:v>3</x:v>
      </x:c>
      <x:c r="F1764" s="25" t="n">
        <x:v>0</x:v>
      </x:c>
      <x:c r="G1764" s="19" t="n">
        <x:f>SUM(D1764:F1764)</x:f>
        <x:v>6</x:v>
      </x:c>
      <x:c r="H1764" s="25" t="str">
        <x:v>-</x:v>
      </x:c>
      <x:c r="I1764" s="25" t="n">
        <x:v>1</x:v>
      </x:c>
      <x:c r="J1764" s="25" t="n">
        <x:v>0</x:v>
      </x:c>
      <x:c r="K1764" s="19" t="n">
        <x:f>D1764-IF(H1764=0,1,0)</x:f>
        <x:v>3</x:v>
      </x:c>
      <x:c r="L1764" s="19" t="n">
        <x:f>E1764-IF(H1764=1,1,0)</x:f>
        <x:v>3</x:v>
      </x:c>
      <x:c r="M1764" s="19" t="n">
        <x:f>F1764-IF(H1764=2,1,0)</x:f>
        <x:v>0</x:v>
      </x:c>
      <x:c r="N1764" s="19" t="n">
        <x:f>MAX(K1764-1,0)+MAX(L1764-1,0)+MAX(M1764-1,0)</x:f>
        <x:v>4</x:v>
      </x:c>
      <x:c r="O1764" s="19" t="n">
        <x:f>IF(AND(SUM(K1764:M1764)&lt;9,OR(M1764=0,N1764&lt;6)),1,0)</x:f>
        <x:v>1</x:v>
      </x:c>
      <x:c r="P1764" s="19" t="n">
        <x:f>IF(AND(SUM(K1764:M1764)&lt;9,OR(L1764=0,N1764&lt;6)),1,0)</x:f>
        <x:v>1</x:v>
      </x:c>
      <x:c r="Q1764" s="19" t="n">
        <x:f>IF(AND(SUM(K1764:M1764)&lt;9,OR(K1764=0,N1764&lt;6)),1,0)</x:f>
        <x:v>1</x:v>
      </x:c>
      <x:c r="R1764" s="22" t="str">
        <x:f>O1764&amp;P1764&amp;Q1764</x:f>
        <x:v>111</x:v>
      </x:c>
      <x:c r="S1764" s="19" t="n">
        <x:f>IF(I1764=1,IF(J1764=0,Q1764,IF(J1764=1,P1764,IF(J1764=2,O1764,0))),0)</x:f>
        <x:v>1</x:v>
      </x:c>
      <x:c r="T1764" s="19" t="n">
        <x:f>K1764+IF(AND(S1764=1,J1764=0),1,0)</x:f>
        <x:v>4</x:v>
      </x:c>
      <x:c r="U1764" s="19" t="n">
        <x:f>L1764+IF(AND(S1764=1,J1764=1),1,0)</x:f>
        <x:v>3</x:v>
      </x:c>
      <x:c r="V1764" s="19" t="n">
        <x:f>M1764+IF(AND(S1764=1,J1764=2),1,0)</x:f>
        <x:v>0</x:v>
      </x:c>
      <x:c r="W1764" s="19" t="n">
        <x:f>SUM(T1764:V1764)</x:f>
        <x:v>7</x:v>
      </x:c>
      <x:c r="X1764" s="19" t="n">
        <x:f>W1764-G1764</x:f>
        <x:v>1</x:v>
      </x:c>
      <x:c r="Y1764" s="19" t="n">
        <x:f>MAX(T1764,1)+MAX(U1764,1)+MAX(V1764,1)</x:f>
        <x:v>8</x:v>
      </x:c>
      <x:c r="Z1764" s="21" t="str">
        <x:f>IF(AND(MIN(D1764:F1764)&gt;=0,MAX(D1764:F1764)&lt;=7,MAX(D1764,1)+MAX(E1764,1)+MAX(F1764,1)&lt;=9,OR(H1764="-",AND(H1764=0,D1764&gt;0),AND(H1764=1,E1764&gt;0),AND(H1764=2,F1764&gt;0)),OR(I1764=0,AND(I1764=1,OR(J1764=0,J1764=1,J1764=2),R1764&lt;&gt;"000")),Y1764&lt;=9,MIN(T1764:V1764)&gt;=0),"合法","输入违约")</x:f>
        <x:v>合法</x:v>
      </x:c>
    </x:row>
    <x:row r="1765" ht="23" customHeight="1">
      <x:c r="A1765" s="3" t="str">
        <x:v>CT-1758</x:v>
      </x:c>
      <x:c r="B1765" s="3" t="str">
        <x:v>ST-078</x:v>
      </x:c>
      <x:c r="C1765" s="3" t="str">
        <x:v>仅AR接收</x:v>
      </x:c>
      <x:c r="D1765" s="25" t="n">
        <x:v>3</x:v>
      </x:c>
      <x:c r="E1765" s="25" t="n">
        <x:v>3</x:v>
      </x:c>
      <x:c r="F1765" s="25" t="n">
        <x:v>0</x:v>
      </x:c>
      <x:c r="G1765" s="19" t="n">
        <x:f>SUM(D1765:F1765)</x:f>
        <x:v>6</x:v>
      </x:c>
      <x:c r="H1765" s="25" t="str">
        <x:v>-</x:v>
      </x:c>
      <x:c r="I1765" s="25" t="n">
        <x:v>1</x:v>
      </x:c>
      <x:c r="J1765" s="25" t="n">
        <x:v>1</x:v>
      </x:c>
      <x:c r="K1765" s="19" t="n">
        <x:f>D1765-IF(H1765=0,1,0)</x:f>
        <x:v>3</x:v>
      </x:c>
      <x:c r="L1765" s="19" t="n">
        <x:f>E1765-IF(H1765=1,1,0)</x:f>
        <x:v>3</x:v>
      </x:c>
      <x:c r="M1765" s="19" t="n">
        <x:f>F1765-IF(H1765=2,1,0)</x:f>
        <x:v>0</x:v>
      </x:c>
      <x:c r="N1765" s="19" t="n">
        <x:f>MAX(K1765-1,0)+MAX(L1765-1,0)+MAX(M1765-1,0)</x:f>
        <x:v>4</x:v>
      </x:c>
      <x:c r="O1765" s="19" t="n">
        <x:f>IF(AND(SUM(K1765:M1765)&lt;9,OR(M1765=0,N1765&lt;6)),1,0)</x:f>
        <x:v>1</x:v>
      </x:c>
      <x:c r="P1765" s="19" t="n">
        <x:f>IF(AND(SUM(K1765:M1765)&lt;9,OR(L1765=0,N1765&lt;6)),1,0)</x:f>
        <x:v>1</x:v>
      </x:c>
      <x:c r="Q1765" s="19" t="n">
        <x:f>IF(AND(SUM(K1765:M1765)&lt;9,OR(K1765=0,N1765&lt;6)),1,0)</x:f>
        <x:v>1</x:v>
      </x:c>
      <x:c r="R1765" s="22" t="str">
        <x:f>O1765&amp;P1765&amp;Q1765</x:f>
        <x:v>111</x:v>
      </x:c>
      <x:c r="S1765" s="19" t="n">
        <x:f>IF(I1765=1,IF(J1765=0,Q1765,IF(J1765=1,P1765,IF(J1765=2,O1765,0))),0)</x:f>
        <x:v>1</x:v>
      </x:c>
      <x:c r="T1765" s="19" t="n">
        <x:f>K1765+IF(AND(S1765=1,J1765=0),1,0)</x:f>
        <x:v>3</x:v>
      </x:c>
      <x:c r="U1765" s="19" t="n">
        <x:f>L1765+IF(AND(S1765=1,J1765=1),1,0)</x:f>
        <x:v>4</x:v>
      </x:c>
      <x:c r="V1765" s="19" t="n">
        <x:f>M1765+IF(AND(S1765=1,J1765=2),1,0)</x:f>
        <x:v>0</x:v>
      </x:c>
      <x:c r="W1765" s="19" t="n">
        <x:f>SUM(T1765:V1765)</x:f>
        <x:v>7</x:v>
      </x:c>
      <x:c r="X1765" s="19" t="n">
        <x:f>W1765-G1765</x:f>
        <x:v>1</x:v>
      </x:c>
      <x:c r="Y1765" s="19" t="n">
        <x:f>MAX(T1765,1)+MAX(U1765,1)+MAX(V1765,1)</x:f>
        <x:v>8</x:v>
      </x:c>
      <x:c r="Z1765" s="21" t="str">
        <x:f>IF(AND(MIN(D1765:F1765)&gt;=0,MAX(D1765:F1765)&lt;=7,MAX(D1765,1)+MAX(E1765,1)+MAX(F1765,1)&lt;=9,OR(H1765="-",AND(H1765=0,D1765&gt;0),AND(H1765=1,E1765&gt;0),AND(H1765=2,F1765&gt;0)),OR(I1765=0,AND(I1765=1,OR(J1765=0,J1765=1,J1765=2),R1765&lt;&gt;"000")),Y1765&lt;=9,MIN(T1765:V1765)&gt;=0),"合法","输入违约")</x:f>
        <x:v>合法</x:v>
      </x:c>
    </x:row>
    <x:row r="1766" ht="23" customHeight="1">
      <x:c r="A1766" s="3" t="str">
        <x:v>CT-1759</x:v>
      </x:c>
      <x:c r="B1766" s="3" t="str">
        <x:v>ST-078</x:v>
      </x:c>
      <x:c r="C1766" s="3" t="str">
        <x:v>仅AR接收</x:v>
      </x:c>
      <x:c r="D1766" s="25" t="n">
        <x:v>3</x:v>
      </x:c>
      <x:c r="E1766" s="25" t="n">
        <x:v>3</x:v>
      </x:c>
      <x:c r="F1766" s="25" t="n">
        <x:v>0</x:v>
      </x:c>
      <x:c r="G1766" s="19" t="n">
        <x:f>SUM(D1766:F1766)</x:f>
        <x:v>6</x:v>
      </x:c>
      <x:c r="H1766" s="25" t="str">
        <x:v>-</x:v>
      </x:c>
      <x:c r="I1766" s="25" t="n">
        <x:v>1</x:v>
      </x:c>
      <x:c r="J1766" s="25" t="n">
        <x:v>2</x:v>
      </x:c>
      <x:c r="K1766" s="19" t="n">
        <x:f>D1766-IF(H1766=0,1,0)</x:f>
        <x:v>3</x:v>
      </x:c>
      <x:c r="L1766" s="19" t="n">
        <x:f>E1766-IF(H1766=1,1,0)</x:f>
        <x:v>3</x:v>
      </x:c>
      <x:c r="M1766" s="19" t="n">
        <x:f>F1766-IF(H1766=2,1,0)</x:f>
        <x:v>0</x:v>
      </x:c>
      <x:c r="N1766" s="19" t="n">
        <x:f>MAX(K1766-1,0)+MAX(L1766-1,0)+MAX(M1766-1,0)</x:f>
        <x:v>4</x:v>
      </x:c>
      <x:c r="O1766" s="19" t="n">
        <x:f>IF(AND(SUM(K1766:M1766)&lt;9,OR(M1766=0,N1766&lt;6)),1,0)</x:f>
        <x:v>1</x:v>
      </x:c>
      <x:c r="P1766" s="19" t="n">
        <x:f>IF(AND(SUM(K1766:M1766)&lt;9,OR(L1766=0,N1766&lt;6)),1,0)</x:f>
        <x:v>1</x:v>
      </x:c>
      <x:c r="Q1766" s="19" t="n">
        <x:f>IF(AND(SUM(K1766:M1766)&lt;9,OR(K1766=0,N1766&lt;6)),1,0)</x:f>
        <x:v>1</x:v>
      </x:c>
      <x:c r="R1766" s="22" t="str">
        <x:f>O1766&amp;P1766&amp;Q1766</x:f>
        <x:v>111</x:v>
      </x:c>
      <x:c r="S1766" s="19" t="n">
        <x:f>IF(I1766=1,IF(J1766=0,Q1766,IF(J1766=1,P1766,IF(J1766=2,O1766,0))),0)</x:f>
        <x:v>1</x:v>
      </x:c>
      <x:c r="T1766" s="19" t="n">
        <x:f>K1766+IF(AND(S1766=1,J1766=0),1,0)</x:f>
        <x:v>3</x:v>
      </x:c>
      <x:c r="U1766" s="19" t="n">
        <x:f>L1766+IF(AND(S1766=1,J1766=1),1,0)</x:f>
        <x:v>3</x:v>
      </x:c>
      <x:c r="V1766" s="19" t="n">
        <x:f>M1766+IF(AND(S1766=1,J1766=2),1,0)</x:f>
        <x:v>1</x:v>
      </x:c>
      <x:c r="W1766" s="19" t="n">
        <x:f>SUM(T1766:V1766)</x:f>
        <x:v>7</x:v>
      </x:c>
      <x:c r="X1766" s="19" t="n">
        <x:f>W1766-G1766</x:f>
        <x:v>1</x:v>
      </x:c>
      <x:c r="Y1766" s="19" t="n">
        <x:f>MAX(T1766,1)+MAX(U1766,1)+MAX(V1766,1)</x:f>
        <x:v>7</x:v>
      </x:c>
      <x:c r="Z1766" s="21" t="str">
        <x:f>IF(AND(MIN(D1766:F1766)&gt;=0,MAX(D1766:F1766)&lt;=7,MAX(D1766,1)+MAX(E1766,1)+MAX(F1766,1)&lt;=9,OR(H1766="-",AND(H1766=0,D1766&gt;0),AND(H1766=1,E1766&gt;0),AND(H1766=2,F1766&gt;0)),OR(I1766=0,AND(I1766=1,OR(J1766=0,J1766=1,J1766=2),R1766&lt;&gt;"000")),Y1766&lt;=9,MIN(T1766:V1766)&gt;=0),"合法","输入违约")</x:f>
        <x:v>合法</x:v>
      </x:c>
    </x:row>
    <x:row r="1767" ht="23" customHeight="1">
      <x:c r="A1767" s="3" t="str">
        <x:v>CT-1760</x:v>
      </x:c>
      <x:c r="B1767" s="3" t="str">
        <x:v>ST-078</x:v>
      </x:c>
      <x:c r="C1767" s="3" t="str">
        <x:v>仅R回收</x:v>
      </x:c>
      <x:c r="D1767" s="25" t="n">
        <x:v>3</x:v>
      </x:c>
      <x:c r="E1767" s="25" t="n">
        <x:v>3</x:v>
      </x:c>
      <x:c r="F1767" s="25" t="n">
        <x:v>0</x:v>
      </x:c>
      <x:c r="G1767" s="19" t="n">
        <x:f>SUM(D1767:F1767)</x:f>
        <x:v>6</x:v>
      </x:c>
      <x:c r="H1767" s="25" t="n">
        <x:v>0</x:v>
      </x:c>
      <x:c r="I1767" s="25" t="n">
        <x:v>0</x:v>
      </x:c>
      <x:c r="J1767" s="25" t="str">
        <x:v>-</x:v>
      </x:c>
      <x:c r="K1767" s="19" t="n">
        <x:f>D1767-IF(H1767=0,1,0)</x:f>
        <x:v>2</x:v>
      </x:c>
      <x:c r="L1767" s="19" t="n">
        <x:f>E1767-IF(H1767=1,1,0)</x:f>
        <x:v>3</x:v>
      </x:c>
      <x:c r="M1767" s="19" t="n">
        <x:f>F1767-IF(H1767=2,1,0)</x:f>
        <x:v>0</x:v>
      </x:c>
      <x:c r="N1767" s="19" t="n">
        <x:f>MAX(K1767-1,0)+MAX(L1767-1,0)+MAX(M1767-1,0)</x:f>
        <x:v>3</x:v>
      </x:c>
      <x:c r="O1767" s="19" t="n">
        <x:f>IF(AND(SUM(K1767:M1767)&lt;9,OR(M1767=0,N1767&lt;6)),1,0)</x:f>
        <x:v>1</x:v>
      </x:c>
      <x:c r="P1767" s="19" t="n">
        <x:f>IF(AND(SUM(K1767:M1767)&lt;9,OR(L1767=0,N1767&lt;6)),1,0)</x:f>
        <x:v>1</x:v>
      </x:c>
      <x:c r="Q1767" s="19" t="n">
        <x:f>IF(AND(SUM(K1767:M1767)&lt;9,OR(K1767=0,N1767&lt;6)),1,0)</x:f>
        <x:v>1</x:v>
      </x:c>
      <x:c r="R1767" s="22" t="str">
        <x:f>O1767&amp;P1767&amp;Q1767</x:f>
        <x:v>111</x:v>
      </x:c>
      <x:c r="S1767" s="19" t="n">
        <x:f>IF(I1767=1,IF(J1767=0,Q1767,IF(J1767=1,P1767,IF(J1767=2,O1767,0))),0)</x:f>
        <x:v>0</x:v>
      </x:c>
      <x:c r="T1767" s="19" t="n">
        <x:f>K1767+IF(AND(S1767=1,J1767=0),1,0)</x:f>
        <x:v>2</x:v>
      </x:c>
      <x:c r="U1767" s="19" t="n">
        <x:f>L1767+IF(AND(S1767=1,J1767=1),1,0)</x:f>
        <x:v>3</x:v>
      </x:c>
      <x:c r="V1767" s="19" t="n">
        <x:f>M1767+IF(AND(S1767=1,J1767=2),1,0)</x:f>
        <x:v>0</x:v>
      </x:c>
      <x:c r="W1767" s="19" t="n">
        <x:f>SUM(T1767:V1767)</x:f>
        <x:v>5</x:v>
      </x:c>
      <x:c r="X1767" s="19" t="n">
        <x:f>W1767-G1767</x:f>
        <x:v>-1</x:v>
      </x:c>
      <x:c r="Y1767" s="19" t="n">
        <x:f>MAX(T1767,1)+MAX(U1767,1)+MAX(V1767,1)</x:f>
        <x:v>6</x:v>
      </x:c>
      <x:c r="Z1767" s="21" t="str">
        <x:f>IF(AND(MIN(D1767:F1767)&gt;=0,MAX(D1767:F1767)&lt;=7,MAX(D1767,1)+MAX(E1767,1)+MAX(F1767,1)&lt;=9,OR(H1767="-",AND(H1767=0,D1767&gt;0),AND(H1767=1,E1767&gt;0),AND(H1767=2,F1767&gt;0)),OR(I1767=0,AND(I1767=1,OR(J1767=0,J1767=1,J1767=2),R1767&lt;&gt;"000")),Y1767&lt;=9,MIN(T1767:V1767)&gt;=0),"合法","输入违约")</x:f>
        <x:v>合法</x:v>
      </x:c>
    </x:row>
    <x:row r="1768" ht="23" customHeight="1">
      <x:c r="A1768" s="3" t="str">
        <x:v>CT-1761</x:v>
      </x:c>
      <x:c r="B1768" s="3" t="str">
        <x:v>ST-078</x:v>
      </x:c>
      <x:c r="C1768" s="3" t="str">
        <x:v>R+AR同收同发</x:v>
      </x:c>
      <x:c r="D1768" s="25" t="n">
        <x:v>3</x:v>
      </x:c>
      <x:c r="E1768" s="25" t="n">
        <x:v>3</x:v>
      </x:c>
      <x:c r="F1768" s="25" t="n">
        <x:v>0</x:v>
      </x:c>
      <x:c r="G1768" s="19" t="n">
        <x:f>SUM(D1768:F1768)</x:f>
        <x:v>6</x:v>
      </x:c>
      <x:c r="H1768" s="25" t="n">
        <x:v>0</x:v>
      </x:c>
      <x:c r="I1768" s="25" t="n">
        <x:v>1</x:v>
      </x:c>
      <x:c r="J1768" s="25" t="n">
        <x:v>0</x:v>
      </x:c>
      <x:c r="K1768" s="19" t="n">
        <x:f>D1768-IF(H1768=0,1,0)</x:f>
        <x:v>2</x:v>
      </x:c>
      <x:c r="L1768" s="19" t="n">
        <x:f>E1768-IF(H1768=1,1,0)</x:f>
        <x:v>3</x:v>
      </x:c>
      <x:c r="M1768" s="19" t="n">
        <x:f>F1768-IF(H1768=2,1,0)</x:f>
        <x:v>0</x:v>
      </x:c>
      <x:c r="N1768" s="19" t="n">
        <x:f>MAX(K1768-1,0)+MAX(L1768-1,0)+MAX(M1768-1,0)</x:f>
        <x:v>3</x:v>
      </x:c>
      <x:c r="O1768" s="19" t="n">
        <x:f>IF(AND(SUM(K1768:M1768)&lt;9,OR(M1768=0,N1768&lt;6)),1,0)</x:f>
        <x:v>1</x:v>
      </x:c>
      <x:c r="P1768" s="19" t="n">
        <x:f>IF(AND(SUM(K1768:M1768)&lt;9,OR(L1768=0,N1768&lt;6)),1,0)</x:f>
        <x:v>1</x:v>
      </x:c>
      <x:c r="Q1768" s="19" t="n">
        <x:f>IF(AND(SUM(K1768:M1768)&lt;9,OR(K1768=0,N1768&lt;6)),1,0)</x:f>
        <x:v>1</x:v>
      </x:c>
      <x:c r="R1768" s="22" t="str">
        <x:f>O1768&amp;P1768&amp;Q1768</x:f>
        <x:v>111</x:v>
      </x:c>
      <x:c r="S1768" s="19" t="n">
        <x:f>IF(I1768=1,IF(J1768=0,Q1768,IF(J1768=1,P1768,IF(J1768=2,O1768,0))),0)</x:f>
        <x:v>1</x:v>
      </x:c>
      <x:c r="T1768" s="19" t="n">
        <x:f>K1768+IF(AND(S1768=1,J1768=0),1,0)</x:f>
        <x:v>3</x:v>
      </x:c>
      <x:c r="U1768" s="19" t="n">
        <x:f>L1768+IF(AND(S1768=1,J1768=1),1,0)</x:f>
        <x:v>3</x:v>
      </x:c>
      <x:c r="V1768" s="19" t="n">
        <x:f>M1768+IF(AND(S1768=1,J1768=2),1,0)</x:f>
        <x:v>0</x:v>
      </x:c>
      <x:c r="W1768" s="19" t="n">
        <x:f>SUM(T1768:V1768)</x:f>
        <x:v>6</x:v>
      </x:c>
      <x:c r="X1768" s="19" t="n">
        <x:f>W1768-G1768</x:f>
        <x:v>0</x:v>
      </x:c>
      <x:c r="Y1768" s="19" t="n">
        <x:f>MAX(T1768,1)+MAX(U1768,1)+MAX(V1768,1)</x:f>
        <x:v>7</x:v>
      </x:c>
      <x:c r="Z1768" s="21" t="str">
        <x:f>IF(AND(MIN(D1768:F1768)&gt;=0,MAX(D1768:F1768)&lt;=7,MAX(D1768,1)+MAX(E1768,1)+MAX(F1768,1)&lt;=9,OR(H1768="-",AND(H1768=0,D1768&gt;0),AND(H1768=1,E1768&gt;0),AND(H1768=2,F1768&gt;0)),OR(I1768=0,AND(I1768=1,OR(J1768=0,J1768=1,J1768=2),R1768&lt;&gt;"000")),Y1768&lt;=9,MIN(T1768:V1768)&gt;=0),"合法","输入违约")</x:f>
        <x:v>合法</x:v>
      </x:c>
    </x:row>
    <x:row r="1769" ht="23" customHeight="1">
      <x:c r="A1769" s="3" t="str">
        <x:v>CT-1762</x:v>
      </x:c>
      <x:c r="B1769" s="3" t="str">
        <x:v>ST-078</x:v>
      </x:c>
      <x:c r="C1769" s="3" t="str">
        <x:v>R+AR同收同发</x:v>
      </x:c>
      <x:c r="D1769" s="25" t="n">
        <x:v>3</x:v>
      </x:c>
      <x:c r="E1769" s="25" t="n">
        <x:v>3</x:v>
      </x:c>
      <x:c r="F1769" s="25" t="n">
        <x:v>0</x:v>
      </x:c>
      <x:c r="G1769" s="19" t="n">
        <x:f>SUM(D1769:F1769)</x:f>
        <x:v>6</x:v>
      </x:c>
      <x:c r="H1769" s="25" t="n">
        <x:v>0</x:v>
      </x:c>
      <x:c r="I1769" s="25" t="n">
        <x:v>1</x:v>
      </x:c>
      <x:c r="J1769" s="25" t="n">
        <x:v>1</x:v>
      </x:c>
      <x:c r="K1769" s="19" t="n">
        <x:f>D1769-IF(H1769=0,1,0)</x:f>
        <x:v>2</x:v>
      </x:c>
      <x:c r="L1769" s="19" t="n">
        <x:f>E1769-IF(H1769=1,1,0)</x:f>
        <x:v>3</x:v>
      </x:c>
      <x:c r="M1769" s="19" t="n">
        <x:f>F1769-IF(H1769=2,1,0)</x:f>
        <x:v>0</x:v>
      </x:c>
      <x:c r="N1769" s="19" t="n">
        <x:f>MAX(K1769-1,0)+MAX(L1769-1,0)+MAX(M1769-1,0)</x:f>
        <x:v>3</x:v>
      </x:c>
      <x:c r="O1769" s="19" t="n">
        <x:f>IF(AND(SUM(K1769:M1769)&lt;9,OR(M1769=0,N1769&lt;6)),1,0)</x:f>
        <x:v>1</x:v>
      </x:c>
      <x:c r="P1769" s="19" t="n">
        <x:f>IF(AND(SUM(K1769:M1769)&lt;9,OR(L1769=0,N1769&lt;6)),1,0)</x:f>
        <x:v>1</x:v>
      </x:c>
      <x:c r="Q1769" s="19" t="n">
        <x:f>IF(AND(SUM(K1769:M1769)&lt;9,OR(K1769=0,N1769&lt;6)),1,0)</x:f>
        <x:v>1</x:v>
      </x:c>
      <x:c r="R1769" s="22" t="str">
        <x:f>O1769&amp;P1769&amp;Q1769</x:f>
        <x:v>111</x:v>
      </x:c>
      <x:c r="S1769" s="19" t="n">
        <x:f>IF(I1769=1,IF(J1769=0,Q1769,IF(J1769=1,P1769,IF(J1769=2,O1769,0))),0)</x:f>
        <x:v>1</x:v>
      </x:c>
      <x:c r="T1769" s="19" t="n">
        <x:f>K1769+IF(AND(S1769=1,J1769=0),1,0)</x:f>
        <x:v>2</x:v>
      </x:c>
      <x:c r="U1769" s="19" t="n">
        <x:f>L1769+IF(AND(S1769=1,J1769=1),1,0)</x:f>
        <x:v>4</x:v>
      </x:c>
      <x:c r="V1769" s="19" t="n">
        <x:f>M1769+IF(AND(S1769=1,J1769=2),1,0)</x:f>
        <x:v>0</x:v>
      </x:c>
      <x:c r="W1769" s="19" t="n">
        <x:f>SUM(T1769:V1769)</x:f>
        <x:v>6</x:v>
      </x:c>
      <x:c r="X1769" s="19" t="n">
        <x:f>W1769-G1769</x:f>
        <x:v>0</x:v>
      </x:c>
      <x:c r="Y1769" s="19" t="n">
        <x:f>MAX(T1769,1)+MAX(U1769,1)+MAX(V1769,1)</x:f>
        <x:v>7</x:v>
      </x:c>
      <x:c r="Z1769" s="21" t="str">
        <x:f>IF(AND(MIN(D1769:F1769)&gt;=0,MAX(D1769:F1769)&lt;=7,MAX(D1769,1)+MAX(E1769,1)+MAX(F1769,1)&lt;=9,OR(H1769="-",AND(H1769=0,D1769&gt;0),AND(H1769=1,E1769&gt;0),AND(H1769=2,F1769&gt;0)),OR(I1769=0,AND(I1769=1,OR(J1769=0,J1769=1,J1769=2),R1769&lt;&gt;"000")),Y1769&lt;=9,MIN(T1769:V1769)&gt;=0),"合法","输入违约")</x:f>
        <x:v>合法</x:v>
      </x:c>
    </x:row>
    <x:row r="1770" ht="23" customHeight="1">
      <x:c r="A1770" s="3" t="str">
        <x:v>CT-1763</x:v>
      </x:c>
      <x:c r="B1770" s="3" t="str">
        <x:v>ST-078</x:v>
      </x:c>
      <x:c r="C1770" s="3" t="str">
        <x:v>R+AR同收同发</x:v>
      </x:c>
      <x:c r="D1770" s="25" t="n">
        <x:v>3</x:v>
      </x:c>
      <x:c r="E1770" s="25" t="n">
        <x:v>3</x:v>
      </x:c>
      <x:c r="F1770" s="25" t="n">
        <x:v>0</x:v>
      </x:c>
      <x:c r="G1770" s="19" t="n">
        <x:f>SUM(D1770:F1770)</x:f>
        <x:v>6</x:v>
      </x:c>
      <x:c r="H1770" s="25" t="n">
        <x:v>0</x:v>
      </x:c>
      <x:c r="I1770" s="25" t="n">
        <x:v>1</x:v>
      </x:c>
      <x:c r="J1770" s="25" t="n">
        <x:v>2</x:v>
      </x:c>
      <x:c r="K1770" s="19" t="n">
        <x:f>D1770-IF(H1770=0,1,0)</x:f>
        <x:v>2</x:v>
      </x:c>
      <x:c r="L1770" s="19" t="n">
        <x:f>E1770-IF(H1770=1,1,0)</x:f>
        <x:v>3</x:v>
      </x:c>
      <x:c r="M1770" s="19" t="n">
        <x:f>F1770-IF(H1770=2,1,0)</x:f>
        <x:v>0</x:v>
      </x:c>
      <x:c r="N1770" s="19" t="n">
        <x:f>MAX(K1770-1,0)+MAX(L1770-1,0)+MAX(M1770-1,0)</x:f>
        <x:v>3</x:v>
      </x:c>
      <x:c r="O1770" s="19" t="n">
        <x:f>IF(AND(SUM(K1770:M1770)&lt;9,OR(M1770=0,N1770&lt;6)),1,0)</x:f>
        <x:v>1</x:v>
      </x:c>
      <x:c r="P1770" s="19" t="n">
        <x:f>IF(AND(SUM(K1770:M1770)&lt;9,OR(L1770=0,N1770&lt;6)),1,0)</x:f>
        <x:v>1</x:v>
      </x:c>
      <x:c r="Q1770" s="19" t="n">
        <x:f>IF(AND(SUM(K1770:M1770)&lt;9,OR(K1770=0,N1770&lt;6)),1,0)</x:f>
        <x:v>1</x:v>
      </x:c>
      <x:c r="R1770" s="22" t="str">
        <x:f>O1770&amp;P1770&amp;Q1770</x:f>
        <x:v>111</x:v>
      </x:c>
      <x:c r="S1770" s="19" t="n">
        <x:f>IF(I1770=1,IF(J1770=0,Q1770,IF(J1770=1,P1770,IF(J1770=2,O1770,0))),0)</x:f>
        <x:v>1</x:v>
      </x:c>
      <x:c r="T1770" s="19" t="n">
        <x:f>K1770+IF(AND(S1770=1,J1770=0),1,0)</x:f>
        <x:v>2</x:v>
      </x:c>
      <x:c r="U1770" s="19" t="n">
        <x:f>L1770+IF(AND(S1770=1,J1770=1),1,0)</x:f>
        <x:v>3</x:v>
      </x:c>
      <x:c r="V1770" s="19" t="n">
        <x:f>M1770+IF(AND(S1770=1,J1770=2),1,0)</x:f>
        <x:v>1</x:v>
      </x:c>
      <x:c r="W1770" s="19" t="n">
        <x:f>SUM(T1770:V1770)</x:f>
        <x:v>6</x:v>
      </x:c>
      <x:c r="X1770" s="19" t="n">
        <x:f>W1770-G1770</x:f>
        <x:v>0</x:v>
      </x:c>
      <x:c r="Y1770" s="19" t="n">
        <x:f>MAX(T1770,1)+MAX(U1770,1)+MAX(V1770,1)</x:f>
        <x:v>6</x:v>
      </x:c>
      <x:c r="Z1770" s="21" t="str">
        <x:f>IF(AND(MIN(D1770:F1770)&gt;=0,MAX(D1770:F1770)&lt;=7,MAX(D1770,1)+MAX(E1770,1)+MAX(F1770,1)&lt;=9,OR(H1770="-",AND(H1770=0,D1770&gt;0),AND(H1770=1,E1770&gt;0),AND(H1770=2,F1770&gt;0)),OR(I1770=0,AND(I1770=1,OR(J1770=0,J1770=1,J1770=2),R1770&lt;&gt;"000")),Y1770&lt;=9,MIN(T1770:V1770)&gt;=0),"合法","输入违约")</x:f>
        <x:v>合法</x:v>
      </x:c>
    </x:row>
    <x:row r="1771" ht="23" customHeight="1">
      <x:c r="A1771" s="3" t="str">
        <x:v>CT-1764</x:v>
      </x:c>
      <x:c r="B1771" s="3" t="str">
        <x:v>ST-078</x:v>
      </x:c>
      <x:c r="C1771" s="3" t="str">
        <x:v>仅R回收</x:v>
      </x:c>
      <x:c r="D1771" s="25" t="n">
        <x:v>3</x:v>
      </x:c>
      <x:c r="E1771" s="25" t="n">
        <x:v>3</x:v>
      </x:c>
      <x:c r="F1771" s="25" t="n">
        <x:v>0</x:v>
      </x:c>
      <x:c r="G1771" s="19" t="n">
        <x:f>SUM(D1771:F1771)</x:f>
        <x:v>6</x:v>
      </x:c>
      <x:c r="H1771" s="25" t="n">
        <x:v>1</x:v>
      </x:c>
      <x:c r="I1771" s="25" t="n">
        <x:v>0</x:v>
      </x:c>
      <x:c r="J1771" s="25" t="str">
        <x:v>-</x:v>
      </x:c>
      <x:c r="K1771" s="19" t="n">
        <x:f>D1771-IF(H1771=0,1,0)</x:f>
        <x:v>3</x:v>
      </x:c>
      <x:c r="L1771" s="19" t="n">
        <x:f>E1771-IF(H1771=1,1,0)</x:f>
        <x:v>2</x:v>
      </x:c>
      <x:c r="M1771" s="19" t="n">
        <x:f>F1771-IF(H1771=2,1,0)</x:f>
        <x:v>0</x:v>
      </x:c>
      <x:c r="N1771" s="19" t="n">
        <x:f>MAX(K1771-1,0)+MAX(L1771-1,0)+MAX(M1771-1,0)</x:f>
        <x:v>3</x:v>
      </x:c>
      <x:c r="O1771" s="19" t="n">
        <x:f>IF(AND(SUM(K1771:M1771)&lt;9,OR(M1771=0,N1771&lt;6)),1,0)</x:f>
        <x:v>1</x:v>
      </x:c>
      <x:c r="P1771" s="19" t="n">
        <x:f>IF(AND(SUM(K1771:M1771)&lt;9,OR(L1771=0,N1771&lt;6)),1,0)</x:f>
        <x:v>1</x:v>
      </x:c>
      <x:c r="Q1771" s="19" t="n">
        <x:f>IF(AND(SUM(K1771:M1771)&lt;9,OR(K1771=0,N1771&lt;6)),1,0)</x:f>
        <x:v>1</x:v>
      </x:c>
      <x:c r="R1771" s="22" t="str">
        <x:f>O1771&amp;P1771&amp;Q1771</x:f>
        <x:v>111</x:v>
      </x:c>
      <x:c r="S1771" s="19" t="n">
        <x:f>IF(I1771=1,IF(J1771=0,Q1771,IF(J1771=1,P1771,IF(J1771=2,O1771,0))),0)</x:f>
        <x:v>0</x:v>
      </x:c>
      <x:c r="T1771" s="19" t="n">
        <x:f>K1771+IF(AND(S1771=1,J1771=0),1,0)</x:f>
        <x:v>3</x:v>
      </x:c>
      <x:c r="U1771" s="19" t="n">
        <x:f>L1771+IF(AND(S1771=1,J1771=1),1,0)</x:f>
        <x:v>2</x:v>
      </x:c>
      <x:c r="V1771" s="19" t="n">
        <x:f>M1771+IF(AND(S1771=1,J1771=2),1,0)</x:f>
        <x:v>0</x:v>
      </x:c>
      <x:c r="W1771" s="19" t="n">
        <x:f>SUM(T1771:V1771)</x:f>
        <x:v>5</x:v>
      </x:c>
      <x:c r="X1771" s="19" t="n">
        <x:f>W1771-G1771</x:f>
        <x:v>-1</x:v>
      </x:c>
      <x:c r="Y1771" s="19" t="n">
        <x:f>MAX(T1771,1)+MAX(U1771,1)+MAX(V1771,1)</x:f>
        <x:v>6</x:v>
      </x:c>
      <x:c r="Z1771" s="21" t="str">
        <x:f>IF(AND(MIN(D1771:F1771)&gt;=0,MAX(D1771:F1771)&lt;=7,MAX(D1771,1)+MAX(E1771,1)+MAX(F1771,1)&lt;=9,OR(H1771="-",AND(H1771=0,D1771&gt;0),AND(H1771=1,E1771&gt;0),AND(H1771=2,F1771&gt;0)),OR(I1771=0,AND(I1771=1,OR(J1771=0,J1771=1,J1771=2),R1771&lt;&gt;"000")),Y1771&lt;=9,MIN(T1771:V1771)&gt;=0),"合法","输入违约")</x:f>
        <x:v>合法</x:v>
      </x:c>
    </x:row>
    <x:row r="1772" ht="23" customHeight="1">
      <x:c r="A1772" s="3" t="str">
        <x:v>CT-1765</x:v>
      </x:c>
      <x:c r="B1772" s="3" t="str">
        <x:v>ST-078</x:v>
      </x:c>
      <x:c r="C1772" s="3" t="str">
        <x:v>R+AR同收同发</x:v>
      </x:c>
      <x:c r="D1772" s="25" t="n">
        <x:v>3</x:v>
      </x:c>
      <x:c r="E1772" s="25" t="n">
        <x:v>3</x:v>
      </x:c>
      <x:c r="F1772" s="25" t="n">
        <x:v>0</x:v>
      </x:c>
      <x:c r="G1772" s="19" t="n">
        <x:f>SUM(D1772:F1772)</x:f>
        <x:v>6</x:v>
      </x:c>
      <x:c r="H1772" s="25" t="n">
        <x:v>1</x:v>
      </x:c>
      <x:c r="I1772" s="25" t="n">
        <x:v>1</x:v>
      </x:c>
      <x:c r="J1772" s="25" t="n">
        <x:v>0</x:v>
      </x:c>
      <x:c r="K1772" s="19" t="n">
        <x:f>D1772-IF(H1772=0,1,0)</x:f>
        <x:v>3</x:v>
      </x:c>
      <x:c r="L1772" s="19" t="n">
        <x:f>E1772-IF(H1772=1,1,0)</x:f>
        <x:v>2</x:v>
      </x:c>
      <x:c r="M1772" s="19" t="n">
        <x:f>F1772-IF(H1772=2,1,0)</x:f>
        <x:v>0</x:v>
      </x:c>
      <x:c r="N1772" s="19" t="n">
        <x:f>MAX(K1772-1,0)+MAX(L1772-1,0)+MAX(M1772-1,0)</x:f>
        <x:v>3</x:v>
      </x:c>
      <x:c r="O1772" s="19" t="n">
        <x:f>IF(AND(SUM(K1772:M1772)&lt;9,OR(M1772=0,N1772&lt;6)),1,0)</x:f>
        <x:v>1</x:v>
      </x:c>
      <x:c r="P1772" s="19" t="n">
        <x:f>IF(AND(SUM(K1772:M1772)&lt;9,OR(L1772=0,N1772&lt;6)),1,0)</x:f>
        <x:v>1</x:v>
      </x:c>
      <x:c r="Q1772" s="19" t="n">
        <x:f>IF(AND(SUM(K1772:M1772)&lt;9,OR(K1772=0,N1772&lt;6)),1,0)</x:f>
        <x:v>1</x:v>
      </x:c>
      <x:c r="R1772" s="22" t="str">
        <x:f>O1772&amp;P1772&amp;Q1772</x:f>
        <x:v>111</x:v>
      </x:c>
      <x:c r="S1772" s="19" t="n">
        <x:f>IF(I1772=1,IF(J1772=0,Q1772,IF(J1772=1,P1772,IF(J1772=2,O1772,0))),0)</x:f>
        <x:v>1</x:v>
      </x:c>
      <x:c r="T1772" s="19" t="n">
        <x:f>K1772+IF(AND(S1772=1,J1772=0),1,0)</x:f>
        <x:v>4</x:v>
      </x:c>
      <x:c r="U1772" s="19" t="n">
        <x:f>L1772+IF(AND(S1772=1,J1772=1),1,0)</x:f>
        <x:v>2</x:v>
      </x:c>
      <x:c r="V1772" s="19" t="n">
        <x:f>M1772+IF(AND(S1772=1,J1772=2),1,0)</x:f>
        <x:v>0</x:v>
      </x:c>
      <x:c r="W1772" s="19" t="n">
        <x:f>SUM(T1772:V1772)</x:f>
        <x:v>6</x:v>
      </x:c>
      <x:c r="X1772" s="19" t="n">
        <x:f>W1772-G1772</x:f>
        <x:v>0</x:v>
      </x:c>
      <x:c r="Y1772" s="19" t="n">
        <x:f>MAX(T1772,1)+MAX(U1772,1)+MAX(V1772,1)</x:f>
        <x:v>7</x:v>
      </x:c>
      <x:c r="Z1772" s="21" t="str">
        <x:f>IF(AND(MIN(D1772:F1772)&gt;=0,MAX(D1772:F1772)&lt;=7,MAX(D1772,1)+MAX(E1772,1)+MAX(F1772,1)&lt;=9,OR(H1772="-",AND(H1772=0,D1772&gt;0),AND(H1772=1,E1772&gt;0),AND(H1772=2,F1772&gt;0)),OR(I1772=0,AND(I1772=1,OR(J1772=0,J1772=1,J1772=2),R1772&lt;&gt;"000")),Y1772&lt;=9,MIN(T1772:V1772)&gt;=0),"合法","输入违约")</x:f>
        <x:v>合法</x:v>
      </x:c>
    </x:row>
    <x:row r="1773" ht="23" customHeight="1">
      <x:c r="A1773" s="3" t="str">
        <x:v>CT-1766</x:v>
      </x:c>
      <x:c r="B1773" s="3" t="str">
        <x:v>ST-078</x:v>
      </x:c>
      <x:c r="C1773" s="3" t="str">
        <x:v>R+AR同收同发</x:v>
      </x:c>
      <x:c r="D1773" s="25" t="n">
        <x:v>3</x:v>
      </x:c>
      <x:c r="E1773" s="25" t="n">
        <x:v>3</x:v>
      </x:c>
      <x:c r="F1773" s="25" t="n">
        <x:v>0</x:v>
      </x:c>
      <x:c r="G1773" s="19" t="n">
        <x:f>SUM(D1773:F1773)</x:f>
        <x:v>6</x:v>
      </x:c>
      <x:c r="H1773" s="25" t="n">
        <x:v>1</x:v>
      </x:c>
      <x:c r="I1773" s="25" t="n">
        <x:v>1</x:v>
      </x:c>
      <x:c r="J1773" s="25" t="n">
        <x:v>1</x:v>
      </x:c>
      <x:c r="K1773" s="19" t="n">
        <x:f>D1773-IF(H1773=0,1,0)</x:f>
        <x:v>3</x:v>
      </x:c>
      <x:c r="L1773" s="19" t="n">
        <x:f>E1773-IF(H1773=1,1,0)</x:f>
        <x:v>2</x:v>
      </x:c>
      <x:c r="M1773" s="19" t="n">
        <x:f>F1773-IF(H1773=2,1,0)</x:f>
        <x:v>0</x:v>
      </x:c>
      <x:c r="N1773" s="19" t="n">
        <x:f>MAX(K1773-1,0)+MAX(L1773-1,0)+MAX(M1773-1,0)</x:f>
        <x:v>3</x:v>
      </x:c>
      <x:c r="O1773" s="19" t="n">
        <x:f>IF(AND(SUM(K1773:M1773)&lt;9,OR(M1773=0,N1773&lt;6)),1,0)</x:f>
        <x:v>1</x:v>
      </x:c>
      <x:c r="P1773" s="19" t="n">
        <x:f>IF(AND(SUM(K1773:M1773)&lt;9,OR(L1773=0,N1773&lt;6)),1,0)</x:f>
        <x:v>1</x:v>
      </x:c>
      <x:c r="Q1773" s="19" t="n">
        <x:f>IF(AND(SUM(K1773:M1773)&lt;9,OR(K1773=0,N1773&lt;6)),1,0)</x:f>
        <x:v>1</x:v>
      </x:c>
      <x:c r="R1773" s="22" t="str">
        <x:f>O1773&amp;P1773&amp;Q1773</x:f>
        <x:v>111</x:v>
      </x:c>
      <x:c r="S1773" s="19" t="n">
        <x:f>IF(I1773=1,IF(J1773=0,Q1773,IF(J1773=1,P1773,IF(J1773=2,O1773,0))),0)</x:f>
        <x:v>1</x:v>
      </x:c>
      <x:c r="T1773" s="19" t="n">
        <x:f>K1773+IF(AND(S1773=1,J1773=0),1,0)</x:f>
        <x:v>3</x:v>
      </x:c>
      <x:c r="U1773" s="19" t="n">
        <x:f>L1773+IF(AND(S1773=1,J1773=1),1,0)</x:f>
        <x:v>3</x:v>
      </x:c>
      <x:c r="V1773" s="19" t="n">
        <x:f>M1773+IF(AND(S1773=1,J1773=2),1,0)</x:f>
        <x:v>0</x:v>
      </x:c>
      <x:c r="W1773" s="19" t="n">
        <x:f>SUM(T1773:V1773)</x:f>
        <x:v>6</x:v>
      </x:c>
      <x:c r="X1773" s="19" t="n">
        <x:f>W1773-G1773</x:f>
        <x:v>0</x:v>
      </x:c>
      <x:c r="Y1773" s="19" t="n">
        <x:f>MAX(T1773,1)+MAX(U1773,1)+MAX(V1773,1)</x:f>
        <x:v>7</x:v>
      </x:c>
      <x:c r="Z1773" s="21" t="str">
        <x:f>IF(AND(MIN(D1773:F1773)&gt;=0,MAX(D1773:F1773)&lt;=7,MAX(D1773,1)+MAX(E1773,1)+MAX(F1773,1)&lt;=9,OR(H1773="-",AND(H1773=0,D1773&gt;0),AND(H1773=1,E1773&gt;0),AND(H1773=2,F1773&gt;0)),OR(I1773=0,AND(I1773=1,OR(J1773=0,J1773=1,J1773=2),R1773&lt;&gt;"000")),Y1773&lt;=9,MIN(T1773:V1773)&gt;=0),"合法","输入违约")</x:f>
        <x:v>合法</x:v>
      </x:c>
    </x:row>
    <x:row r="1774" ht="23" customHeight="1">
      <x:c r="A1774" s="3" t="str">
        <x:v>CT-1767</x:v>
      </x:c>
      <x:c r="B1774" s="3" t="str">
        <x:v>ST-078</x:v>
      </x:c>
      <x:c r="C1774" s="3" t="str">
        <x:v>R+AR同收同发</x:v>
      </x:c>
      <x:c r="D1774" s="25" t="n">
        <x:v>3</x:v>
      </x:c>
      <x:c r="E1774" s="25" t="n">
        <x:v>3</x:v>
      </x:c>
      <x:c r="F1774" s="25" t="n">
        <x:v>0</x:v>
      </x:c>
      <x:c r="G1774" s="19" t="n">
        <x:f>SUM(D1774:F1774)</x:f>
        <x:v>6</x:v>
      </x:c>
      <x:c r="H1774" s="25" t="n">
        <x:v>1</x:v>
      </x:c>
      <x:c r="I1774" s="25" t="n">
        <x:v>1</x:v>
      </x:c>
      <x:c r="J1774" s="25" t="n">
        <x:v>2</x:v>
      </x:c>
      <x:c r="K1774" s="19" t="n">
        <x:f>D1774-IF(H1774=0,1,0)</x:f>
        <x:v>3</x:v>
      </x:c>
      <x:c r="L1774" s="19" t="n">
        <x:f>E1774-IF(H1774=1,1,0)</x:f>
        <x:v>2</x:v>
      </x:c>
      <x:c r="M1774" s="19" t="n">
        <x:f>F1774-IF(H1774=2,1,0)</x:f>
        <x:v>0</x:v>
      </x:c>
      <x:c r="N1774" s="19" t="n">
        <x:f>MAX(K1774-1,0)+MAX(L1774-1,0)+MAX(M1774-1,0)</x:f>
        <x:v>3</x:v>
      </x:c>
      <x:c r="O1774" s="19" t="n">
        <x:f>IF(AND(SUM(K1774:M1774)&lt;9,OR(M1774=0,N1774&lt;6)),1,0)</x:f>
        <x:v>1</x:v>
      </x:c>
      <x:c r="P1774" s="19" t="n">
        <x:f>IF(AND(SUM(K1774:M1774)&lt;9,OR(L1774=0,N1774&lt;6)),1,0)</x:f>
        <x:v>1</x:v>
      </x:c>
      <x:c r="Q1774" s="19" t="n">
        <x:f>IF(AND(SUM(K1774:M1774)&lt;9,OR(K1774=0,N1774&lt;6)),1,0)</x:f>
        <x:v>1</x:v>
      </x:c>
      <x:c r="R1774" s="22" t="str">
        <x:f>O1774&amp;P1774&amp;Q1774</x:f>
        <x:v>111</x:v>
      </x:c>
      <x:c r="S1774" s="19" t="n">
        <x:f>IF(I1774=1,IF(J1774=0,Q1774,IF(J1774=1,P1774,IF(J1774=2,O1774,0))),0)</x:f>
        <x:v>1</x:v>
      </x:c>
      <x:c r="T1774" s="19" t="n">
        <x:f>K1774+IF(AND(S1774=1,J1774=0),1,0)</x:f>
        <x:v>3</x:v>
      </x:c>
      <x:c r="U1774" s="19" t="n">
        <x:f>L1774+IF(AND(S1774=1,J1774=1),1,0)</x:f>
        <x:v>2</x:v>
      </x:c>
      <x:c r="V1774" s="19" t="n">
        <x:f>M1774+IF(AND(S1774=1,J1774=2),1,0)</x:f>
        <x:v>1</x:v>
      </x:c>
      <x:c r="W1774" s="19" t="n">
        <x:f>SUM(T1774:V1774)</x:f>
        <x:v>6</x:v>
      </x:c>
      <x:c r="X1774" s="19" t="n">
        <x:f>W1774-G1774</x:f>
        <x:v>0</x:v>
      </x:c>
      <x:c r="Y1774" s="19" t="n">
        <x:f>MAX(T1774,1)+MAX(U1774,1)+MAX(V1774,1)</x:f>
        <x:v>6</x:v>
      </x:c>
      <x:c r="Z1774" s="21" t="str">
        <x:f>IF(AND(MIN(D1774:F1774)&gt;=0,MAX(D1774:F1774)&lt;=7,MAX(D1774,1)+MAX(E1774,1)+MAX(F1774,1)&lt;=9,OR(H1774="-",AND(H1774=0,D1774&gt;0),AND(H1774=1,E1774&gt;0),AND(H1774=2,F1774&gt;0)),OR(I1774=0,AND(I1774=1,OR(J1774=0,J1774=1,J1774=2),R1774&lt;&gt;"000")),Y1774&lt;=9,MIN(T1774:V1774)&gt;=0),"合法","输入违约")</x:f>
        <x:v>合法</x:v>
      </x:c>
    </x:row>
    <x:row r="1775" ht="23" customHeight="1">
      <x:c r="A1775" s="3" t="str">
        <x:v>CT-1768</x:v>
      </x:c>
      <x:c r="B1775" s="3" t="str">
        <x:v>ST-109</x:v>
      </x:c>
      <x:c r="C1775" s="3" t="str">
        <x:v>无AR/R</x:v>
      </x:c>
      <x:c r="D1775" s="25" t="n">
        <x:v>3</x:v>
      </x:c>
      <x:c r="E1775" s="25" t="n">
        <x:v>3</x:v>
      </x:c>
      <x:c r="F1775" s="25" t="n">
        <x:v>1</x:v>
      </x:c>
      <x:c r="G1775" s="19" t="n">
        <x:f>SUM(D1775:F1775)</x:f>
        <x:v>7</x:v>
      </x:c>
      <x:c r="H1775" s="25" t="str">
        <x:v>-</x:v>
      </x:c>
      <x:c r="I1775" s="25" t="n">
        <x:v>0</x:v>
      </x:c>
      <x:c r="J1775" s="25" t="str">
        <x:v>-</x:v>
      </x:c>
      <x:c r="K1775" s="19" t="n">
        <x:f>D1775-IF(H1775=0,1,0)</x:f>
        <x:v>3</x:v>
      </x:c>
      <x:c r="L1775" s="19" t="n">
        <x:f>E1775-IF(H1775=1,1,0)</x:f>
        <x:v>3</x:v>
      </x:c>
      <x:c r="M1775" s="19" t="n">
        <x:f>F1775-IF(H1775=2,1,0)</x:f>
        <x:v>1</x:v>
      </x:c>
      <x:c r="N1775" s="19" t="n">
        <x:f>MAX(K1775-1,0)+MAX(L1775-1,0)+MAX(M1775-1,0)</x:f>
        <x:v>4</x:v>
      </x:c>
      <x:c r="O1775" s="19" t="n">
        <x:f>IF(AND(SUM(K1775:M1775)&lt;9,OR(M1775=0,N1775&lt;6)),1,0)</x:f>
        <x:v>1</x:v>
      </x:c>
      <x:c r="P1775" s="19" t="n">
        <x:f>IF(AND(SUM(K1775:M1775)&lt;9,OR(L1775=0,N1775&lt;6)),1,0)</x:f>
        <x:v>1</x:v>
      </x:c>
      <x:c r="Q1775" s="19" t="n">
        <x:f>IF(AND(SUM(K1775:M1775)&lt;9,OR(K1775=0,N1775&lt;6)),1,0)</x:f>
        <x:v>1</x:v>
      </x:c>
      <x:c r="R1775" s="22" t="str">
        <x:f>O1775&amp;P1775&amp;Q1775</x:f>
        <x:v>111</x:v>
      </x:c>
      <x:c r="S1775" s="19" t="n">
        <x:f>IF(I1775=1,IF(J1775=0,Q1775,IF(J1775=1,P1775,IF(J1775=2,O1775,0))),0)</x:f>
        <x:v>0</x:v>
      </x:c>
      <x:c r="T1775" s="19" t="n">
        <x:f>K1775+IF(AND(S1775=1,J1775=0),1,0)</x:f>
        <x:v>3</x:v>
      </x:c>
      <x:c r="U1775" s="19" t="n">
        <x:f>L1775+IF(AND(S1775=1,J1775=1),1,0)</x:f>
        <x:v>3</x:v>
      </x:c>
      <x:c r="V1775" s="19" t="n">
        <x:f>M1775+IF(AND(S1775=1,J1775=2),1,0)</x:f>
        <x:v>1</x:v>
      </x:c>
      <x:c r="W1775" s="19" t="n">
        <x:f>SUM(T1775:V1775)</x:f>
        <x:v>7</x:v>
      </x:c>
      <x:c r="X1775" s="19" t="n">
        <x:f>W1775-G1775</x:f>
        <x:v>0</x:v>
      </x:c>
      <x:c r="Y1775" s="19" t="n">
        <x:f>MAX(T1775,1)+MAX(U1775,1)+MAX(V1775,1)</x:f>
        <x:v>7</x:v>
      </x:c>
      <x:c r="Z1775" s="21" t="str">
        <x:f>IF(AND(MIN(D1775:F1775)&gt;=0,MAX(D1775:F1775)&lt;=7,MAX(D1775,1)+MAX(E1775,1)+MAX(F1775,1)&lt;=9,OR(H1775="-",AND(H1775=0,D1775&gt;0),AND(H1775=1,E1775&gt;0),AND(H1775=2,F1775&gt;0)),OR(I1775=0,AND(I1775=1,OR(J1775=0,J1775=1,J1775=2),R1775&lt;&gt;"000")),Y1775&lt;=9,MIN(T1775:V1775)&gt;=0),"合法","输入违约")</x:f>
        <x:v>合法</x:v>
      </x:c>
    </x:row>
    <x:row r="1776" ht="23" customHeight="1">
      <x:c r="A1776" s="3" t="str">
        <x:v>CT-1769</x:v>
      </x:c>
      <x:c r="B1776" s="3" t="str">
        <x:v>ST-109</x:v>
      </x:c>
      <x:c r="C1776" s="3" t="str">
        <x:v>仅AR接收</x:v>
      </x:c>
      <x:c r="D1776" s="25" t="n">
        <x:v>3</x:v>
      </x:c>
      <x:c r="E1776" s="25" t="n">
        <x:v>3</x:v>
      </x:c>
      <x:c r="F1776" s="25" t="n">
        <x:v>1</x:v>
      </x:c>
      <x:c r="G1776" s="19" t="n">
        <x:f>SUM(D1776:F1776)</x:f>
        <x:v>7</x:v>
      </x:c>
      <x:c r="H1776" s="25" t="str">
        <x:v>-</x:v>
      </x:c>
      <x:c r="I1776" s="25" t="n">
        <x:v>1</x:v>
      </x:c>
      <x:c r="J1776" s="25" t="n">
        <x:v>0</x:v>
      </x:c>
      <x:c r="K1776" s="19" t="n">
        <x:f>D1776-IF(H1776=0,1,0)</x:f>
        <x:v>3</x:v>
      </x:c>
      <x:c r="L1776" s="19" t="n">
        <x:f>E1776-IF(H1776=1,1,0)</x:f>
        <x:v>3</x:v>
      </x:c>
      <x:c r="M1776" s="19" t="n">
        <x:f>F1776-IF(H1776=2,1,0)</x:f>
        <x:v>1</x:v>
      </x:c>
      <x:c r="N1776" s="19" t="n">
        <x:f>MAX(K1776-1,0)+MAX(L1776-1,0)+MAX(M1776-1,0)</x:f>
        <x:v>4</x:v>
      </x:c>
      <x:c r="O1776" s="19" t="n">
        <x:f>IF(AND(SUM(K1776:M1776)&lt;9,OR(M1776=0,N1776&lt;6)),1,0)</x:f>
        <x:v>1</x:v>
      </x:c>
      <x:c r="P1776" s="19" t="n">
        <x:f>IF(AND(SUM(K1776:M1776)&lt;9,OR(L1776=0,N1776&lt;6)),1,0)</x:f>
        <x:v>1</x:v>
      </x:c>
      <x:c r="Q1776" s="19" t="n">
        <x:f>IF(AND(SUM(K1776:M1776)&lt;9,OR(K1776=0,N1776&lt;6)),1,0)</x:f>
        <x:v>1</x:v>
      </x:c>
      <x:c r="R1776" s="22" t="str">
        <x:f>O1776&amp;P1776&amp;Q1776</x:f>
        <x:v>111</x:v>
      </x:c>
      <x:c r="S1776" s="19" t="n">
        <x:f>IF(I1776=1,IF(J1776=0,Q1776,IF(J1776=1,P1776,IF(J1776=2,O1776,0))),0)</x:f>
        <x:v>1</x:v>
      </x:c>
      <x:c r="T1776" s="19" t="n">
        <x:f>K1776+IF(AND(S1776=1,J1776=0),1,0)</x:f>
        <x:v>4</x:v>
      </x:c>
      <x:c r="U1776" s="19" t="n">
        <x:f>L1776+IF(AND(S1776=1,J1776=1),1,0)</x:f>
        <x:v>3</x:v>
      </x:c>
      <x:c r="V1776" s="19" t="n">
        <x:f>M1776+IF(AND(S1776=1,J1776=2),1,0)</x:f>
        <x:v>1</x:v>
      </x:c>
      <x:c r="W1776" s="19" t="n">
        <x:f>SUM(T1776:V1776)</x:f>
        <x:v>8</x:v>
      </x:c>
      <x:c r="X1776" s="19" t="n">
        <x:f>W1776-G1776</x:f>
        <x:v>1</x:v>
      </x:c>
      <x:c r="Y1776" s="19" t="n">
        <x:f>MAX(T1776,1)+MAX(U1776,1)+MAX(V1776,1)</x:f>
        <x:v>8</x:v>
      </x:c>
      <x:c r="Z1776" s="21" t="str">
        <x:f>IF(AND(MIN(D1776:F1776)&gt;=0,MAX(D1776:F1776)&lt;=7,MAX(D1776,1)+MAX(E1776,1)+MAX(F1776,1)&lt;=9,OR(H1776="-",AND(H1776=0,D1776&gt;0),AND(H1776=1,E1776&gt;0),AND(H1776=2,F1776&gt;0)),OR(I1776=0,AND(I1776=1,OR(J1776=0,J1776=1,J1776=2),R1776&lt;&gt;"000")),Y1776&lt;=9,MIN(T1776:V1776)&gt;=0),"合法","输入违约")</x:f>
        <x:v>合法</x:v>
      </x:c>
    </x:row>
    <x:row r="1777" ht="23" customHeight="1">
      <x:c r="A1777" s="3" t="str">
        <x:v>CT-1770</x:v>
      </x:c>
      <x:c r="B1777" s="3" t="str">
        <x:v>ST-109</x:v>
      </x:c>
      <x:c r="C1777" s="3" t="str">
        <x:v>仅AR接收</x:v>
      </x:c>
      <x:c r="D1777" s="25" t="n">
        <x:v>3</x:v>
      </x:c>
      <x:c r="E1777" s="25" t="n">
        <x:v>3</x:v>
      </x:c>
      <x:c r="F1777" s="25" t="n">
        <x:v>1</x:v>
      </x:c>
      <x:c r="G1777" s="19" t="n">
        <x:f>SUM(D1777:F1777)</x:f>
        <x:v>7</x:v>
      </x:c>
      <x:c r="H1777" s="25" t="str">
        <x:v>-</x:v>
      </x:c>
      <x:c r="I1777" s="25" t="n">
        <x:v>1</x:v>
      </x:c>
      <x:c r="J1777" s="25" t="n">
        <x:v>1</x:v>
      </x:c>
      <x:c r="K1777" s="19" t="n">
        <x:f>D1777-IF(H1777=0,1,0)</x:f>
        <x:v>3</x:v>
      </x:c>
      <x:c r="L1777" s="19" t="n">
        <x:f>E1777-IF(H1777=1,1,0)</x:f>
        <x:v>3</x:v>
      </x:c>
      <x:c r="M1777" s="19" t="n">
        <x:f>F1777-IF(H1777=2,1,0)</x:f>
        <x:v>1</x:v>
      </x:c>
      <x:c r="N1777" s="19" t="n">
        <x:f>MAX(K1777-1,0)+MAX(L1777-1,0)+MAX(M1777-1,0)</x:f>
        <x:v>4</x:v>
      </x:c>
      <x:c r="O1777" s="19" t="n">
        <x:f>IF(AND(SUM(K1777:M1777)&lt;9,OR(M1777=0,N1777&lt;6)),1,0)</x:f>
        <x:v>1</x:v>
      </x:c>
      <x:c r="P1777" s="19" t="n">
        <x:f>IF(AND(SUM(K1777:M1777)&lt;9,OR(L1777=0,N1777&lt;6)),1,0)</x:f>
        <x:v>1</x:v>
      </x:c>
      <x:c r="Q1777" s="19" t="n">
        <x:f>IF(AND(SUM(K1777:M1777)&lt;9,OR(K1777=0,N1777&lt;6)),1,0)</x:f>
        <x:v>1</x:v>
      </x:c>
      <x:c r="R1777" s="22" t="str">
        <x:f>O1777&amp;P1777&amp;Q1777</x:f>
        <x:v>111</x:v>
      </x:c>
      <x:c r="S1777" s="19" t="n">
        <x:f>IF(I1777=1,IF(J1777=0,Q1777,IF(J1777=1,P1777,IF(J1777=2,O1777,0))),0)</x:f>
        <x:v>1</x:v>
      </x:c>
      <x:c r="T1777" s="19" t="n">
        <x:f>K1777+IF(AND(S1777=1,J1777=0),1,0)</x:f>
        <x:v>3</x:v>
      </x:c>
      <x:c r="U1777" s="19" t="n">
        <x:f>L1777+IF(AND(S1777=1,J1777=1),1,0)</x:f>
        <x:v>4</x:v>
      </x:c>
      <x:c r="V1777" s="19" t="n">
        <x:f>M1777+IF(AND(S1777=1,J1777=2),1,0)</x:f>
        <x:v>1</x:v>
      </x:c>
      <x:c r="W1777" s="19" t="n">
        <x:f>SUM(T1777:V1777)</x:f>
        <x:v>8</x:v>
      </x:c>
      <x:c r="X1777" s="19" t="n">
        <x:f>W1777-G1777</x:f>
        <x:v>1</x:v>
      </x:c>
      <x:c r="Y1777" s="19" t="n">
        <x:f>MAX(T1777,1)+MAX(U1777,1)+MAX(V1777,1)</x:f>
        <x:v>8</x:v>
      </x:c>
      <x:c r="Z1777" s="21" t="str">
        <x:f>IF(AND(MIN(D1777:F1777)&gt;=0,MAX(D1777:F1777)&lt;=7,MAX(D1777,1)+MAX(E1777,1)+MAX(F1777,1)&lt;=9,OR(H1777="-",AND(H1777=0,D1777&gt;0),AND(H1777=1,E1777&gt;0),AND(H1777=2,F1777&gt;0)),OR(I1777=0,AND(I1777=1,OR(J1777=0,J1777=1,J1777=2),R1777&lt;&gt;"000")),Y1777&lt;=9,MIN(T1777:V1777)&gt;=0),"合法","输入违约")</x:f>
        <x:v>合法</x:v>
      </x:c>
    </x:row>
    <x:row r="1778" ht="23" customHeight="1">
      <x:c r="A1778" s="3" t="str">
        <x:v>CT-1771</x:v>
      </x:c>
      <x:c r="B1778" s="3" t="str">
        <x:v>ST-109</x:v>
      </x:c>
      <x:c r="C1778" s="3" t="str">
        <x:v>仅AR接收</x:v>
      </x:c>
      <x:c r="D1778" s="25" t="n">
        <x:v>3</x:v>
      </x:c>
      <x:c r="E1778" s="25" t="n">
        <x:v>3</x:v>
      </x:c>
      <x:c r="F1778" s="25" t="n">
        <x:v>1</x:v>
      </x:c>
      <x:c r="G1778" s="19" t="n">
        <x:f>SUM(D1778:F1778)</x:f>
        <x:v>7</x:v>
      </x:c>
      <x:c r="H1778" s="25" t="str">
        <x:v>-</x:v>
      </x:c>
      <x:c r="I1778" s="25" t="n">
        <x:v>1</x:v>
      </x:c>
      <x:c r="J1778" s="25" t="n">
        <x:v>2</x:v>
      </x:c>
      <x:c r="K1778" s="19" t="n">
        <x:f>D1778-IF(H1778=0,1,0)</x:f>
        <x:v>3</x:v>
      </x:c>
      <x:c r="L1778" s="19" t="n">
        <x:f>E1778-IF(H1778=1,1,0)</x:f>
        <x:v>3</x:v>
      </x:c>
      <x:c r="M1778" s="19" t="n">
        <x:f>F1778-IF(H1778=2,1,0)</x:f>
        <x:v>1</x:v>
      </x:c>
      <x:c r="N1778" s="19" t="n">
        <x:f>MAX(K1778-1,0)+MAX(L1778-1,0)+MAX(M1778-1,0)</x:f>
        <x:v>4</x:v>
      </x:c>
      <x:c r="O1778" s="19" t="n">
        <x:f>IF(AND(SUM(K1778:M1778)&lt;9,OR(M1778=0,N1778&lt;6)),1,0)</x:f>
        <x:v>1</x:v>
      </x:c>
      <x:c r="P1778" s="19" t="n">
        <x:f>IF(AND(SUM(K1778:M1778)&lt;9,OR(L1778=0,N1778&lt;6)),1,0)</x:f>
        <x:v>1</x:v>
      </x:c>
      <x:c r="Q1778" s="19" t="n">
        <x:f>IF(AND(SUM(K1778:M1778)&lt;9,OR(K1778=0,N1778&lt;6)),1,0)</x:f>
        <x:v>1</x:v>
      </x:c>
      <x:c r="R1778" s="22" t="str">
        <x:f>O1778&amp;P1778&amp;Q1778</x:f>
        <x:v>111</x:v>
      </x:c>
      <x:c r="S1778" s="19" t="n">
        <x:f>IF(I1778=1,IF(J1778=0,Q1778,IF(J1778=1,P1778,IF(J1778=2,O1778,0))),0)</x:f>
        <x:v>1</x:v>
      </x:c>
      <x:c r="T1778" s="19" t="n">
        <x:f>K1778+IF(AND(S1778=1,J1778=0),1,0)</x:f>
        <x:v>3</x:v>
      </x:c>
      <x:c r="U1778" s="19" t="n">
        <x:f>L1778+IF(AND(S1778=1,J1778=1),1,0)</x:f>
        <x:v>3</x:v>
      </x:c>
      <x:c r="V1778" s="19" t="n">
        <x:f>M1778+IF(AND(S1778=1,J1778=2),1,0)</x:f>
        <x:v>2</x:v>
      </x:c>
      <x:c r="W1778" s="19" t="n">
        <x:f>SUM(T1778:V1778)</x:f>
        <x:v>8</x:v>
      </x:c>
      <x:c r="X1778" s="19" t="n">
        <x:f>W1778-G1778</x:f>
        <x:v>1</x:v>
      </x:c>
      <x:c r="Y1778" s="19" t="n">
        <x:f>MAX(T1778,1)+MAX(U1778,1)+MAX(V1778,1)</x:f>
        <x:v>8</x:v>
      </x:c>
      <x:c r="Z1778" s="21" t="str">
        <x:f>IF(AND(MIN(D1778:F1778)&gt;=0,MAX(D1778:F1778)&lt;=7,MAX(D1778,1)+MAX(E1778,1)+MAX(F1778,1)&lt;=9,OR(H1778="-",AND(H1778=0,D1778&gt;0),AND(H1778=1,E1778&gt;0),AND(H1778=2,F1778&gt;0)),OR(I1778=0,AND(I1778=1,OR(J1778=0,J1778=1,J1778=2),R1778&lt;&gt;"000")),Y1778&lt;=9,MIN(T1778:V1778)&gt;=0),"合法","输入违约")</x:f>
        <x:v>合法</x:v>
      </x:c>
    </x:row>
    <x:row r="1779" ht="23" customHeight="1">
      <x:c r="A1779" s="3" t="str">
        <x:v>CT-1772</x:v>
      </x:c>
      <x:c r="B1779" s="3" t="str">
        <x:v>ST-109</x:v>
      </x:c>
      <x:c r="C1779" s="3" t="str">
        <x:v>仅R回收</x:v>
      </x:c>
      <x:c r="D1779" s="25" t="n">
        <x:v>3</x:v>
      </x:c>
      <x:c r="E1779" s="25" t="n">
        <x:v>3</x:v>
      </x:c>
      <x:c r="F1779" s="25" t="n">
        <x:v>1</x:v>
      </x:c>
      <x:c r="G1779" s="19" t="n">
        <x:f>SUM(D1779:F1779)</x:f>
        <x:v>7</x:v>
      </x:c>
      <x:c r="H1779" s="25" t="n">
        <x:v>0</x:v>
      </x:c>
      <x:c r="I1779" s="25" t="n">
        <x:v>0</x:v>
      </x:c>
      <x:c r="J1779" s="25" t="str">
        <x:v>-</x:v>
      </x:c>
      <x:c r="K1779" s="19" t="n">
        <x:f>D1779-IF(H1779=0,1,0)</x:f>
        <x:v>2</x:v>
      </x:c>
      <x:c r="L1779" s="19" t="n">
        <x:f>E1779-IF(H1779=1,1,0)</x:f>
        <x:v>3</x:v>
      </x:c>
      <x:c r="M1779" s="19" t="n">
        <x:f>F1779-IF(H1779=2,1,0)</x:f>
        <x:v>1</x:v>
      </x:c>
      <x:c r="N1779" s="19" t="n">
        <x:f>MAX(K1779-1,0)+MAX(L1779-1,0)+MAX(M1779-1,0)</x:f>
        <x:v>3</x:v>
      </x:c>
      <x:c r="O1779" s="19" t="n">
        <x:f>IF(AND(SUM(K1779:M1779)&lt;9,OR(M1779=0,N1779&lt;6)),1,0)</x:f>
        <x:v>1</x:v>
      </x:c>
      <x:c r="P1779" s="19" t="n">
        <x:f>IF(AND(SUM(K1779:M1779)&lt;9,OR(L1779=0,N1779&lt;6)),1,0)</x:f>
        <x:v>1</x:v>
      </x:c>
      <x:c r="Q1779" s="19" t="n">
        <x:f>IF(AND(SUM(K1779:M1779)&lt;9,OR(K1779=0,N1779&lt;6)),1,0)</x:f>
        <x:v>1</x:v>
      </x:c>
      <x:c r="R1779" s="22" t="str">
        <x:f>O1779&amp;P1779&amp;Q1779</x:f>
        <x:v>111</x:v>
      </x:c>
      <x:c r="S1779" s="19" t="n">
        <x:f>IF(I1779=1,IF(J1779=0,Q1779,IF(J1779=1,P1779,IF(J1779=2,O1779,0))),0)</x:f>
        <x:v>0</x:v>
      </x:c>
      <x:c r="T1779" s="19" t="n">
        <x:f>K1779+IF(AND(S1779=1,J1779=0),1,0)</x:f>
        <x:v>2</x:v>
      </x:c>
      <x:c r="U1779" s="19" t="n">
        <x:f>L1779+IF(AND(S1779=1,J1779=1),1,0)</x:f>
        <x:v>3</x:v>
      </x:c>
      <x:c r="V1779" s="19" t="n">
        <x:f>M1779+IF(AND(S1779=1,J1779=2),1,0)</x:f>
        <x:v>1</x:v>
      </x:c>
      <x:c r="W1779" s="19" t="n">
        <x:f>SUM(T1779:V1779)</x:f>
        <x:v>6</x:v>
      </x:c>
      <x:c r="X1779" s="19" t="n">
        <x:f>W1779-G1779</x:f>
        <x:v>-1</x:v>
      </x:c>
      <x:c r="Y1779" s="19" t="n">
        <x:f>MAX(T1779,1)+MAX(U1779,1)+MAX(V1779,1)</x:f>
        <x:v>6</x:v>
      </x:c>
      <x:c r="Z1779" s="21" t="str">
        <x:f>IF(AND(MIN(D1779:F1779)&gt;=0,MAX(D1779:F1779)&lt;=7,MAX(D1779,1)+MAX(E1779,1)+MAX(F1779,1)&lt;=9,OR(H1779="-",AND(H1779=0,D1779&gt;0),AND(H1779=1,E1779&gt;0),AND(H1779=2,F1779&gt;0)),OR(I1779=0,AND(I1779=1,OR(J1779=0,J1779=1,J1779=2),R1779&lt;&gt;"000")),Y1779&lt;=9,MIN(T1779:V1779)&gt;=0),"合法","输入违约")</x:f>
        <x:v>合法</x:v>
      </x:c>
    </x:row>
    <x:row r="1780" ht="23" customHeight="1">
      <x:c r="A1780" s="3" t="str">
        <x:v>CT-1773</x:v>
      </x:c>
      <x:c r="B1780" s="3" t="str">
        <x:v>ST-109</x:v>
      </x:c>
      <x:c r="C1780" s="3" t="str">
        <x:v>R+AR同收同发</x:v>
      </x:c>
      <x:c r="D1780" s="25" t="n">
        <x:v>3</x:v>
      </x:c>
      <x:c r="E1780" s="25" t="n">
        <x:v>3</x:v>
      </x:c>
      <x:c r="F1780" s="25" t="n">
        <x:v>1</x:v>
      </x:c>
      <x:c r="G1780" s="19" t="n">
        <x:f>SUM(D1780:F1780)</x:f>
        <x:v>7</x:v>
      </x:c>
      <x:c r="H1780" s="25" t="n">
        <x:v>0</x:v>
      </x:c>
      <x:c r="I1780" s="25" t="n">
        <x:v>1</x:v>
      </x:c>
      <x:c r="J1780" s="25" t="n">
        <x:v>0</x:v>
      </x:c>
      <x:c r="K1780" s="19" t="n">
        <x:f>D1780-IF(H1780=0,1,0)</x:f>
        <x:v>2</x:v>
      </x:c>
      <x:c r="L1780" s="19" t="n">
        <x:f>E1780-IF(H1780=1,1,0)</x:f>
        <x:v>3</x:v>
      </x:c>
      <x:c r="M1780" s="19" t="n">
        <x:f>F1780-IF(H1780=2,1,0)</x:f>
        <x:v>1</x:v>
      </x:c>
      <x:c r="N1780" s="19" t="n">
        <x:f>MAX(K1780-1,0)+MAX(L1780-1,0)+MAX(M1780-1,0)</x:f>
        <x:v>3</x:v>
      </x:c>
      <x:c r="O1780" s="19" t="n">
        <x:f>IF(AND(SUM(K1780:M1780)&lt;9,OR(M1780=0,N1780&lt;6)),1,0)</x:f>
        <x:v>1</x:v>
      </x:c>
      <x:c r="P1780" s="19" t="n">
        <x:f>IF(AND(SUM(K1780:M1780)&lt;9,OR(L1780=0,N1780&lt;6)),1,0)</x:f>
        <x:v>1</x:v>
      </x:c>
      <x:c r="Q1780" s="19" t="n">
        <x:f>IF(AND(SUM(K1780:M1780)&lt;9,OR(K1780=0,N1780&lt;6)),1,0)</x:f>
        <x:v>1</x:v>
      </x:c>
      <x:c r="R1780" s="22" t="str">
        <x:f>O1780&amp;P1780&amp;Q1780</x:f>
        <x:v>111</x:v>
      </x:c>
      <x:c r="S1780" s="19" t="n">
        <x:f>IF(I1780=1,IF(J1780=0,Q1780,IF(J1780=1,P1780,IF(J1780=2,O1780,0))),0)</x:f>
        <x:v>1</x:v>
      </x:c>
      <x:c r="T1780" s="19" t="n">
        <x:f>K1780+IF(AND(S1780=1,J1780=0),1,0)</x:f>
        <x:v>3</x:v>
      </x:c>
      <x:c r="U1780" s="19" t="n">
        <x:f>L1780+IF(AND(S1780=1,J1780=1),1,0)</x:f>
        <x:v>3</x:v>
      </x:c>
      <x:c r="V1780" s="19" t="n">
        <x:f>M1780+IF(AND(S1780=1,J1780=2),1,0)</x:f>
        <x:v>1</x:v>
      </x:c>
      <x:c r="W1780" s="19" t="n">
        <x:f>SUM(T1780:V1780)</x:f>
        <x:v>7</x:v>
      </x:c>
      <x:c r="X1780" s="19" t="n">
        <x:f>W1780-G1780</x:f>
        <x:v>0</x:v>
      </x:c>
      <x:c r="Y1780" s="19" t="n">
        <x:f>MAX(T1780,1)+MAX(U1780,1)+MAX(V1780,1)</x:f>
        <x:v>7</x:v>
      </x:c>
      <x:c r="Z1780" s="21" t="str">
        <x:f>IF(AND(MIN(D1780:F1780)&gt;=0,MAX(D1780:F1780)&lt;=7,MAX(D1780,1)+MAX(E1780,1)+MAX(F1780,1)&lt;=9,OR(H1780="-",AND(H1780=0,D1780&gt;0),AND(H1780=1,E1780&gt;0),AND(H1780=2,F1780&gt;0)),OR(I1780=0,AND(I1780=1,OR(J1780=0,J1780=1,J1780=2),R1780&lt;&gt;"000")),Y1780&lt;=9,MIN(T1780:V1780)&gt;=0),"合法","输入违约")</x:f>
        <x:v>合法</x:v>
      </x:c>
    </x:row>
    <x:row r="1781" ht="23" customHeight="1">
      <x:c r="A1781" s="3" t="str">
        <x:v>CT-1774</x:v>
      </x:c>
      <x:c r="B1781" s="3" t="str">
        <x:v>ST-109</x:v>
      </x:c>
      <x:c r="C1781" s="3" t="str">
        <x:v>R+AR同收同发</x:v>
      </x:c>
      <x:c r="D1781" s="25" t="n">
        <x:v>3</x:v>
      </x:c>
      <x:c r="E1781" s="25" t="n">
        <x:v>3</x:v>
      </x:c>
      <x:c r="F1781" s="25" t="n">
        <x:v>1</x:v>
      </x:c>
      <x:c r="G1781" s="19" t="n">
        <x:f>SUM(D1781:F1781)</x:f>
        <x:v>7</x:v>
      </x:c>
      <x:c r="H1781" s="25" t="n">
        <x:v>0</x:v>
      </x:c>
      <x:c r="I1781" s="25" t="n">
        <x:v>1</x:v>
      </x:c>
      <x:c r="J1781" s="25" t="n">
        <x:v>1</x:v>
      </x:c>
      <x:c r="K1781" s="19" t="n">
        <x:f>D1781-IF(H1781=0,1,0)</x:f>
        <x:v>2</x:v>
      </x:c>
      <x:c r="L1781" s="19" t="n">
        <x:f>E1781-IF(H1781=1,1,0)</x:f>
        <x:v>3</x:v>
      </x:c>
      <x:c r="M1781" s="19" t="n">
        <x:f>F1781-IF(H1781=2,1,0)</x:f>
        <x:v>1</x:v>
      </x:c>
      <x:c r="N1781" s="19" t="n">
        <x:f>MAX(K1781-1,0)+MAX(L1781-1,0)+MAX(M1781-1,0)</x:f>
        <x:v>3</x:v>
      </x:c>
      <x:c r="O1781" s="19" t="n">
        <x:f>IF(AND(SUM(K1781:M1781)&lt;9,OR(M1781=0,N1781&lt;6)),1,0)</x:f>
        <x:v>1</x:v>
      </x:c>
      <x:c r="P1781" s="19" t="n">
        <x:f>IF(AND(SUM(K1781:M1781)&lt;9,OR(L1781=0,N1781&lt;6)),1,0)</x:f>
        <x:v>1</x:v>
      </x:c>
      <x:c r="Q1781" s="19" t="n">
        <x:f>IF(AND(SUM(K1781:M1781)&lt;9,OR(K1781=0,N1781&lt;6)),1,0)</x:f>
        <x:v>1</x:v>
      </x:c>
      <x:c r="R1781" s="22" t="str">
        <x:f>O1781&amp;P1781&amp;Q1781</x:f>
        <x:v>111</x:v>
      </x:c>
      <x:c r="S1781" s="19" t="n">
        <x:f>IF(I1781=1,IF(J1781=0,Q1781,IF(J1781=1,P1781,IF(J1781=2,O1781,0))),0)</x:f>
        <x:v>1</x:v>
      </x:c>
      <x:c r="T1781" s="19" t="n">
        <x:f>K1781+IF(AND(S1781=1,J1781=0),1,0)</x:f>
        <x:v>2</x:v>
      </x:c>
      <x:c r="U1781" s="19" t="n">
        <x:f>L1781+IF(AND(S1781=1,J1781=1),1,0)</x:f>
        <x:v>4</x:v>
      </x:c>
      <x:c r="V1781" s="19" t="n">
        <x:f>M1781+IF(AND(S1781=1,J1781=2),1,0)</x:f>
        <x:v>1</x:v>
      </x:c>
      <x:c r="W1781" s="19" t="n">
        <x:f>SUM(T1781:V1781)</x:f>
        <x:v>7</x:v>
      </x:c>
      <x:c r="X1781" s="19" t="n">
        <x:f>W1781-G1781</x:f>
        <x:v>0</x:v>
      </x:c>
      <x:c r="Y1781" s="19" t="n">
        <x:f>MAX(T1781,1)+MAX(U1781,1)+MAX(V1781,1)</x:f>
        <x:v>7</x:v>
      </x:c>
      <x:c r="Z1781" s="21" t="str">
        <x:f>IF(AND(MIN(D1781:F1781)&gt;=0,MAX(D1781:F1781)&lt;=7,MAX(D1781,1)+MAX(E1781,1)+MAX(F1781,1)&lt;=9,OR(H1781="-",AND(H1781=0,D1781&gt;0),AND(H1781=1,E1781&gt;0),AND(H1781=2,F1781&gt;0)),OR(I1781=0,AND(I1781=1,OR(J1781=0,J1781=1,J1781=2),R1781&lt;&gt;"000")),Y1781&lt;=9,MIN(T1781:V1781)&gt;=0),"合法","输入违约")</x:f>
        <x:v>合法</x:v>
      </x:c>
    </x:row>
    <x:row r="1782" ht="23" customHeight="1">
      <x:c r="A1782" s="3" t="str">
        <x:v>CT-1775</x:v>
      </x:c>
      <x:c r="B1782" s="3" t="str">
        <x:v>ST-109</x:v>
      </x:c>
      <x:c r="C1782" s="3" t="str">
        <x:v>R+AR同收同发</x:v>
      </x:c>
      <x:c r="D1782" s="25" t="n">
        <x:v>3</x:v>
      </x:c>
      <x:c r="E1782" s="25" t="n">
        <x:v>3</x:v>
      </x:c>
      <x:c r="F1782" s="25" t="n">
        <x:v>1</x:v>
      </x:c>
      <x:c r="G1782" s="19" t="n">
        <x:f>SUM(D1782:F1782)</x:f>
        <x:v>7</x:v>
      </x:c>
      <x:c r="H1782" s="25" t="n">
        <x:v>0</x:v>
      </x:c>
      <x:c r="I1782" s="25" t="n">
        <x:v>1</x:v>
      </x:c>
      <x:c r="J1782" s="25" t="n">
        <x:v>2</x:v>
      </x:c>
      <x:c r="K1782" s="19" t="n">
        <x:f>D1782-IF(H1782=0,1,0)</x:f>
        <x:v>2</x:v>
      </x:c>
      <x:c r="L1782" s="19" t="n">
        <x:f>E1782-IF(H1782=1,1,0)</x:f>
        <x:v>3</x:v>
      </x:c>
      <x:c r="M1782" s="19" t="n">
        <x:f>F1782-IF(H1782=2,1,0)</x:f>
        <x:v>1</x:v>
      </x:c>
      <x:c r="N1782" s="19" t="n">
        <x:f>MAX(K1782-1,0)+MAX(L1782-1,0)+MAX(M1782-1,0)</x:f>
        <x:v>3</x:v>
      </x:c>
      <x:c r="O1782" s="19" t="n">
        <x:f>IF(AND(SUM(K1782:M1782)&lt;9,OR(M1782=0,N1782&lt;6)),1,0)</x:f>
        <x:v>1</x:v>
      </x:c>
      <x:c r="P1782" s="19" t="n">
        <x:f>IF(AND(SUM(K1782:M1782)&lt;9,OR(L1782=0,N1782&lt;6)),1,0)</x:f>
        <x:v>1</x:v>
      </x:c>
      <x:c r="Q1782" s="19" t="n">
        <x:f>IF(AND(SUM(K1782:M1782)&lt;9,OR(K1782=0,N1782&lt;6)),1,0)</x:f>
        <x:v>1</x:v>
      </x:c>
      <x:c r="R1782" s="22" t="str">
        <x:f>O1782&amp;P1782&amp;Q1782</x:f>
        <x:v>111</x:v>
      </x:c>
      <x:c r="S1782" s="19" t="n">
        <x:f>IF(I1782=1,IF(J1782=0,Q1782,IF(J1782=1,P1782,IF(J1782=2,O1782,0))),0)</x:f>
        <x:v>1</x:v>
      </x:c>
      <x:c r="T1782" s="19" t="n">
        <x:f>K1782+IF(AND(S1782=1,J1782=0),1,0)</x:f>
        <x:v>2</x:v>
      </x:c>
      <x:c r="U1782" s="19" t="n">
        <x:f>L1782+IF(AND(S1782=1,J1782=1),1,0)</x:f>
        <x:v>3</x:v>
      </x:c>
      <x:c r="V1782" s="19" t="n">
        <x:f>M1782+IF(AND(S1782=1,J1782=2),1,0)</x:f>
        <x:v>2</x:v>
      </x:c>
      <x:c r="W1782" s="19" t="n">
        <x:f>SUM(T1782:V1782)</x:f>
        <x:v>7</x:v>
      </x:c>
      <x:c r="X1782" s="19" t="n">
        <x:f>W1782-G1782</x:f>
        <x:v>0</x:v>
      </x:c>
      <x:c r="Y1782" s="19" t="n">
        <x:f>MAX(T1782,1)+MAX(U1782,1)+MAX(V1782,1)</x:f>
        <x:v>7</x:v>
      </x:c>
      <x:c r="Z1782" s="21" t="str">
        <x:f>IF(AND(MIN(D1782:F1782)&gt;=0,MAX(D1782:F1782)&lt;=7,MAX(D1782,1)+MAX(E1782,1)+MAX(F1782,1)&lt;=9,OR(H1782="-",AND(H1782=0,D1782&gt;0),AND(H1782=1,E1782&gt;0),AND(H1782=2,F1782&gt;0)),OR(I1782=0,AND(I1782=1,OR(J1782=0,J1782=1,J1782=2),R1782&lt;&gt;"000")),Y1782&lt;=9,MIN(T1782:V1782)&gt;=0),"合法","输入违约")</x:f>
        <x:v>合法</x:v>
      </x:c>
    </x:row>
    <x:row r="1783" ht="23" customHeight="1">
      <x:c r="A1783" s="3" t="str">
        <x:v>CT-1776</x:v>
      </x:c>
      <x:c r="B1783" s="3" t="str">
        <x:v>ST-109</x:v>
      </x:c>
      <x:c r="C1783" s="3" t="str">
        <x:v>仅R回收</x:v>
      </x:c>
      <x:c r="D1783" s="25" t="n">
        <x:v>3</x:v>
      </x:c>
      <x:c r="E1783" s="25" t="n">
        <x:v>3</x:v>
      </x:c>
      <x:c r="F1783" s="25" t="n">
        <x:v>1</x:v>
      </x:c>
      <x:c r="G1783" s="19" t="n">
        <x:f>SUM(D1783:F1783)</x:f>
        <x:v>7</x:v>
      </x:c>
      <x:c r="H1783" s="25" t="n">
        <x:v>1</x:v>
      </x:c>
      <x:c r="I1783" s="25" t="n">
        <x:v>0</x:v>
      </x:c>
      <x:c r="J1783" s="25" t="str">
        <x:v>-</x:v>
      </x:c>
      <x:c r="K1783" s="19" t="n">
        <x:f>D1783-IF(H1783=0,1,0)</x:f>
        <x:v>3</x:v>
      </x:c>
      <x:c r="L1783" s="19" t="n">
        <x:f>E1783-IF(H1783=1,1,0)</x:f>
        <x:v>2</x:v>
      </x:c>
      <x:c r="M1783" s="19" t="n">
        <x:f>F1783-IF(H1783=2,1,0)</x:f>
        <x:v>1</x:v>
      </x:c>
      <x:c r="N1783" s="19" t="n">
        <x:f>MAX(K1783-1,0)+MAX(L1783-1,0)+MAX(M1783-1,0)</x:f>
        <x:v>3</x:v>
      </x:c>
      <x:c r="O1783" s="19" t="n">
        <x:f>IF(AND(SUM(K1783:M1783)&lt;9,OR(M1783=0,N1783&lt;6)),1,0)</x:f>
        <x:v>1</x:v>
      </x:c>
      <x:c r="P1783" s="19" t="n">
        <x:f>IF(AND(SUM(K1783:M1783)&lt;9,OR(L1783=0,N1783&lt;6)),1,0)</x:f>
        <x:v>1</x:v>
      </x:c>
      <x:c r="Q1783" s="19" t="n">
        <x:f>IF(AND(SUM(K1783:M1783)&lt;9,OR(K1783=0,N1783&lt;6)),1,0)</x:f>
        <x:v>1</x:v>
      </x:c>
      <x:c r="R1783" s="22" t="str">
        <x:f>O1783&amp;P1783&amp;Q1783</x:f>
        <x:v>111</x:v>
      </x:c>
      <x:c r="S1783" s="19" t="n">
        <x:f>IF(I1783=1,IF(J1783=0,Q1783,IF(J1783=1,P1783,IF(J1783=2,O1783,0))),0)</x:f>
        <x:v>0</x:v>
      </x:c>
      <x:c r="T1783" s="19" t="n">
        <x:f>K1783+IF(AND(S1783=1,J1783=0),1,0)</x:f>
        <x:v>3</x:v>
      </x:c>
      <x:c r="U1783" s="19" t="n">
        <x:f>L1783+IF(AND(S1783=1,J1783=1),1,0)</x:f>
        <x:v>2</x:v>
      </x:c>
      <x:c r="V1783" s="19" t="n">
        <x:f>M1783+IF(AND(S1783=1,J1783=2),1,0)</x:f>
        <x:v>1</x:v>
      </x:c>
      <x:c r="W1783" s="19" t="n">
        <x:f>SUM(T1783:V1783)</x:f>
        <x:v>6</x:v>
      </x:c>
      <x:c r="X1783" s="19" t="n">
        <x:f>W1783-G1783</x:f>
        <x:v>-1</x:v>
      </x:c>
      <x:c r="Y1783" s="19" t="n">
        <x:f>MAX(T1783,1)+MAX(U1783,1)+MAX(V1783,1)</x:f>
        <x:v>6</x:v>
      </x:c>
      <x:c r="Z1783" s="21" t="str">
        <x:f>IF(AND(MIN(D1783:F1783)&gt;=0,MAX(D1783:F1783)&lt;=7,MAX(D1783,1)+MAX(E1783,1)+MAX(F1783,1)&lt;=9,OR(H1783="-",AND(H1783=0,D1783&gt;0),AND(H1783=1,E1783&gt;0),AND(H1783=2,F1783&gt;0)),OR(I1783=0,AND(I1783=1,OR(J1783=0,J1783=1,J1783=2),R1783&lt;&gt;"000")),Y1783&lt;=9,MIN(T1783:V1783)&gt;=0),"合法","输入违约")</x:f>
        <x:v>合法</x:v>
      </x:c>
    </x:row>
    <x:row r="1784" ht="23" customHeight="1">
      <x:c r="A1784" s="3" t="str">
        <x:v>CT-1777</x:v>
      </x:c>
      <x:c r="B1784" s="3" t="str">
        <x:v>ST-109</x:v>
      </x:c>
      <x:c r="C1784" s="3" t="str">
        <x:v>R+AR同收同发</x:v>
      </x:c>
      <x:c r="D1784" s="25" t="n">
        <x:v>3</x:v>
      </x:c>
      <x:c r="E1784" s="25" t="n">
        <x:v>3</x:v>
      </x:c>
      <x:c r="F1784" s="25" t="n">
        <x:v>1</x:v>
      </x:c>
      <x:c r="G1784" s="19" t="n">
        <x:f>SUM(D1784:F1784)</x:f>
        <x:v>7</x:v>
      </x:c>
      <x:c r="H1784" s="25" t="n">
        <x:v>1</x:v>
      </x:c>
      <x:c r="I1784" s="25" t="n">
        <x:v>1</x:v>
      </x:c>
      <x:c r="J1784" s="25" t="n">
        <x:v>0</x:v>
      </x:c>
      <x:c r="K1784" s="19" t="n">
        <x:f>D1784-IF(H1784=0,1,0)</x:f>
        <x:v>3</x:v>
      </x:c>
      <x:c r="L1784" s="19" t="n">
        <x:f>E1784-IF(H1784=1,1,0)</x:f>
        <x:v>2</x:v>
      </x:c>
      <x:c r="M1784" s="19" t="n">
        <x:f>F1784-IF(H1784=2,1,0)</x:f>
        <x:v>1</x:v>
      </x:c>
      <x:c r="N1784" s="19" t="n">
        <x:f>MAX(K1784-1,0)+MAX(L1784-1,0)+MAX(M1784-1,0)</x:f>
        <x:v>3</x:v>
      </x:c>
      <x:c r="O1784" s="19" t="n">
        <x:f>IF(AND(SUM(K1784:M1784)&lt;9,OR(M1784=0,N1784&lt;6)),1,0)</x:f>
        <x:v>1</x:v>
      </x:c>
      <x:c r="P1784" s="19" t="n">
        <x:f>IF(AND(SUM(K1784:M1784)&lt;9,OR(L1784=0,N1784&lt;6)),1,0)</x:f>
        <x:v>1</x:v>
      </x:c>
      <x:c r="Q1784" s="19" t="n">
        <x:f>IF(AND(SUM(K1784:M1784)&lt;9,OR(K1784=0,N1784&lt;6)),1,0)</x:f>
        <x:v>1</x:v>
      </x:c>
      <x:c r="R1784" s="22" t="str">
        <x:f>O1784&amp;P1784&amp;Q1784</x:f>
        <x:v>111</x:v>
      </x:c>
      <x:c r="S1784" s="19" t="n">
        <x:f>IF(I1784=1,IF(J1784=0,Q1784,IF(J1784=1,P1784,IF(J1784=2,O1784,0))),0)</x:f>
        <x:v>1</x:v>
      </x:c>
      <x:c r="T1784" s="19" t="n">
        <x:f>K1784+IF(AND(S1784=1,J1784=0),1,0)</x:f>
        <x:v>4</x:v>
      </x:c>
      <x:c r="U1784" s="19" t="n">
        <x:f>L1784+IF(AND(S1784=1,J1784=1),1,0)</x:f>
        <x:v>2</x:v>
      </x:c>
      <x:c r="V1784" s="19" t="n">
        <x:f>M1784+IF(AND(S1784=1,J1784=2),1,0)</x:f>
        <x:v>1</x:v>
      </x:c>
      <x:c r="W1784" s="19" t="n">
        <x:f>SUM(T1784:V1784)</x:f>
        <x:v>7</x:v>
      </x:c>
      <x:c r="X1784" s="19" t="n">
        <x:f>W1784-G1784</x:f>
        <x:v>0</x:v>
      </x:c>
      <x:c r="Y1784" s="19" t="n">
        <x:f>MAX(T1784,1)+MAX(U1784,1)+MAX(V1784,1)</x:f>
        <x:v>7</x:v>
      </x:c>
      <x:c r="Z1784" s="21" t="str">
        <x:f>IF(AND(MIN(D1784:F1784)&gt;=0,MAX(D1784:F1784)&lt;=7,MAX(D1784,1)+MAX(E1784,1)+MAX(F1784,1)&lt;=9,OR(H1784="-",AND(H1784=0,D1784&gt;0),AND(H1784=1,E1784&gt;0),AND(H1784=2,F1784&gt;0)),OR(I1784=0,AND(I1784=1,OR(J1784=0,J1784=1,J1784=2),R1784&lt;&gt;"000")),Y1784&lt;=9,MIN(T1784:V1784)&gt;=0),"合法","输入违约")</x:f>
        <x:v>合法</x:v>
      </x:c>
    </x:row>
    <x:row r="1785" ht="23" customHeight="1">
      <x:c r="A1785" s="3" t="str">
        <x:v>CT-1778</x:v>
      </x:c>
      <x:c r="B1785" s="3" t="str">
        <x:v>ST-109</x:v>
      </x:c>
      <x:c r="C1785" s="3" t="str">
        <x:v>R+AR同收同发</x:v>
      </x:c>
      <x:c r="D1785" s="25" t="n">
        <x:v>3</x:v>
      </x:c>
      <x:c r="E1785" s="25" t="n">
        <x:v>3</x:v>
      </x:c>
      <x:c r="F1785" s="25" t="n">
        <x:v>1</x:v>
      </x:c>
      <x:c r="G1785" s="19" t="n">
        <x:f>SUM(D1785:F1785)</x:f>
        <x:v>7</x:v>
      </x:c>
      <x:c r="H1785" s="25" t="n">
        <x:v>1</x:v>
      </x:c>
      <x:c r="I1785" s="25" t="n">
        <x:v>1</x:v>
      </x:c>
      <x:c r="J1785" s="25" t="n">
        <x:v>1</x:v>
      </x:c>
      <x:c r="K1785" s="19" t="n">
        <x:f>D1785-IF(H1785=0,1,0)</x:f>
        <x:v>3</x:v>
      </x:c>
      <x:c r="L1785" s="19" t="n">
        <x:f>E1785-IF(H1785=1,1,0)</x:f>
        <x:v>2</x:v>
      </x:c>
      <x:c r="M1785" s="19" t="n">
        <x:f>F1785-IF(H1785=2,1,0)</x:f>
        <x:v>1</x:v>
      </x:c>
      <x:c r="N1785" s="19" t="n">
        <x:f>MAX(K1785-1,0)+MAX(L1785-1,0)+MAX(M1785-1,0)</x:f>
        <x:v>3</x:v>
      </x:c>
      <x:c r="O1785" s="19" t="n">
        <x:f>IF(AND(SUM(K1785:M1785)&lt;9,OR(M1785=0,N1785&lt;6)),1,0)</x:f>
        <x:v>1</x:v>
      </x:c>
      <x:c r="P1785" s="19" t="n">
        <x:f>IF(AND(SUM(K1785:M1785)&lt;9,OR(L1785=0,N1785&lt;6)),1,0)</x:f>
        <x:v>1</x:v>
      </x:c>
      <x:c r="Q1785" s="19" t="n">
        <x:f>IF(AND(SUM(K1785:M1785)&lt;9,OR(K1785=0,N1785&lt;6)),1,0)</x:f>
        <x:v>1</x:v>
      </x:c>
      <x:c r="R1785" s="22" t="str">
        <x:f>O1785&amp;P1785&amp;Q1785</x:f>
        <x:v>111</x:v>
      </x:c>
      <x:c r="S1785" s="19" t="n">
        <x:f>IF(I1785=1,IF(J1785=0,Q1785,IF(J1785=1,P1785,IF(J1785=2,O1785,0))),0)</x:f>
        <x:v>1</x:v>
      </x:c>
      <x:c r="T1785" s="19" t="n">
        <x:f>K1785+IF(AND(S1785=1,J1785=0),1,0)</x:f>
        <x:v>3</x:v>
      </x:c>
      <x:c r="U1785" s="19" t="n">
        <x:f>L1785+IF(AND(S1785=1,J1785=1),1,0)</x:f>
        <x:v>3</x:v>
      </x:c>
      <x:c r="V1785" s="19" t="n">
        <x:f>M1785+IF(AND(S1785=1,J1785=2),1,0)</x:f>
        <x:v>1</x:v>
      </x:c>
      <x:c r="W1785" s="19" t="n">
        <x:f>SUM(T1785:V1785)</x:f>
        <x:v>7</x:v>
      </x:c>
      <x:c r="X1785" s="19" t="n">
        <x:f>W1785-G1785</x:f>
        <x:v>0</x:v>
      </x:c>
      <x:c r="Y1785" s="19" t="n">
        <x:f>MAX(T1785,1)+MAX(U1785,1)+MAX(V1785,1)</x:f>
        <x:v>7</x:v>
      </x:c>
      <x:c r="Z1785" s="21" t="str">
        <x:f>IF(AND(MIN(D1785:F1785)&gt;=0,MAX(D1785:F1785)&lt;=7,MAX(D1785,1)+MAX(E1785,1)+MAX(F1785,1)&lt;=9,OR(H1785="-",AND(H1785=0,D1785&gt;0),AND(H1785=1,E1785&gt;0),AND(H1785=2,F1785&gt;0)),OR(I1785=0,AND(I1785=1,OR(J1785=0,J1785=1,J1785=2),R1785&lt;&gt;"000")),Y1785&lt;=9,MIN(T1785:V1785)&gt;=0),"合法","输入违约")</x:f>
        <x:v>合法</x:v>
      </x:c>
    </x:row>
    <x:row r="1786" ht="23" customHeight="1">
      <x:c r="A1786" s="3" t="str">
        <x:v>CT-1779</x:v>
      </x:c>
      <x:c r="B1786" s="3" t="str">
        <x:v>ST-109</x:v>
      </x:c>
      <x:c r="C1786" s="3" t="str">
        <x:v>R+AR同收同发</x:v>
      </x:c>
      <x:c r="D1786" s="25" t="n">
        <x:v>3</x:v>
      </x:c>
      <x:c r="E1786" s="25" t="n">
        <x:v>3</x:v>
      </x:c>
      <x:c r="F1786" s="25" t="n">
        <x:v>1</x:v>
      </x:c>
      <x:c r="G1786" s="19" t="n">
        <x:f>SUM(D1786:F1786)</x:f>
        <x:v>7</x:v>
      </x:c>
      <x:c r="H1786" s="25" t="n">
        <x:v>1</x:v>
      </x:c>
      <x:c r="I1786" s="25" t="n">
        <x:v>1</x:v>
      </x:c>
      <x:c r="J1786" s="25" t="n">
        <x:v>2</x:v>
      </x:c>
      <x:c r="K1786" s="19" t="n">
        <x:f>D1786-IF(H1786=0,1,0)</x:f>
        <x:v>3</x:v>
      </x:c>
      <x:c r="L1786" s="19" t="n">
        <x:f>E1786-IF(H1786=1,1,0)</x:f>
        <x:v>2</x:v>
      </x:c>
      <x:c r="M1786" s="19" t="n">
        <x:f>F1786-IF(H1786=2,1,0)</x:f>
        <x:v>1</x:v>
      </x:c>
      <x:c r="N1786" s="19" t="n">
        <x:f>MAX(K1786-1,0)+MAX(L1786-1,0)+MAX(M1786-1,0)</x:f>
        <x:v>3</x:v>
      </x:c>
      <x:c r="O1786" s="19" t="n">
        <x:f>IF(AND(SUM(K1786:M1786)&lt;9,OR(M1786=0,N1786&lt;6)),1,0)</x:f>
        <x:v>1</x:v>
      </x:c>
      <x:c r="P1786" s="19" t="n">
        <x:f>IF(AND(SUM(K1786:M1786)&lt;9,OR(L1786=0,N1786&lt;6)),1,0)</x:f>
        <x:v>1</x:v>
      </x:c>
      <x:c r="Q1786" s="19" t="n">
        <x:f>IF(AND(SUM(K1786:M1786)&lt;9,OR(K1786=0,N1786&lt;6)),1,0)</x:f>
        <x:v>1</x:v>
      </x:c>
      <x:c r="R1786" s="22" t="str">
        <x:f>O1786&amp;P1786&amp;Q1786</x:f>
        <x:v>111</x:v>
      </x:c>
      <x:c r="S1786" s="19" t="n">
        <x:f>IF(I1786=1,IF(J1786=0,Q1786,IF(J1786=1,P1786,IF(J1786=2,O1786,0))),0)</x:f>
        <x:v>1</x:v>
      </x:c>
      <x:c r="T1786" s="19" t="n">
        <x:f>K1786+IF(AND(S1786=1,J1786=0),1,0)</x:f>
        <x:v>3</x:v>
      </x:c>
      <x:c r="U1786" s="19" t="n">
        <x:f>L1786+IF(AND(S1786=1,J1786=1),1,0)</x:f>
        <x:v>2</x:v>
      </x:c>
      <x:c r="V1786" s="19" t="n">
        <x:f>M1786+IF(AND(S1786=1,J1786=2),1,0)</x:f>
        <x:v>2</x:v>
      </x:c>
      <x:c r="W1786" s="19" t="n">
        <x:f>SUM(T1786:V1786)</x:f>
        <x:v>7</x:v>
      </x:c>
      <x:c r="X1786" s="19" t="n">
        <x:f>W1786-G1786</x:f>
        <x:v>0</x:v>
      </x:c>
      <x:c r="Y1786" s="19" t="n">
        <x:f>MAX(T1786,1)+MAX(U1786,1)+MAX(V1786,1)</x:f>
        <x:v>7</x:v>
      </x:c>
      <x:c r="Z1786" s="21" t="str">
        <x:f>IF(AND(MIN(D1786:F1786)&gt;=0,MAX(D1786:F1786)&lt;=7,MAX(D1786,1)+MAX(E1786,1)+MAX(F1786,1)&lt;=9,OR(H1786="-",AND(H1786=0,D1786&gt;0),AND(H1786=1,E1786&gt;0),AND(H1786=2,F1786&gt;0)),OR(I1786=0,AND(I1786=1,OR(J1786=0,J1786=1,J1786=2),R1786&lt;&gt;"000")),Y1786&lt;=9,MIN(T1786:V1786)&gt;=0),"合法","输入违约")</x:f>
        <x:v>合法</x:v>
      </x:c>
    </x:row>
    <x:row r="1787" ht="23" customHeight="1">
      <x:c r="A1787" s="3" t="str">
        <x:v>CT-1780</x:v>
      </x:c>
      <x:c r="B1787" s="3" t="str">
        <x:v>ST-109</x:v>
      </x:c>
      <x:c r="C1787" s="3" t="str">
        <x:v>仅R回收</x:v>
      </x:c>
      <x:c r="D1787" s="25" t="n">
        <x:v>3</x:v>
      </x:c>
      <x:c r="E1787" s="25" t="n">
        <x:v>3</x:v>
      </x:c>
      <x:c r="F1787" s="25" t="n">
        <x:v>1</x:v>
      </x:c>
      <x:c r="G1787" s="19" t="n">
        <x:f>SUM(D1787:F1787)</x:f>
        <x:v>7</x:v>
      </x:c>
      <x:c r="H1787" s="25" t="n">
        <x:v>2</x:v>
      </x:c>
      <x:c r="I1787" s="25" t="n">
        <x:v>0</x:v>
      </x:c>
      <x:c r="J1787" s="25" t="str">
        <x:v>-</x:v>
      </x:c>
      <x:c r="K1787" s="19" t="n">
        <x:f>D1787-IF(H1787=0,1,0)</x:f>
        <x:v>3</x:v>
      </x:c>
      <x:c r="L1787" s="19" t="n">
        <x:f>E1787-IF(H1787=1,1,0)</x:f>
        <x:v>3</x:v>
      </x:c>
      <x:c r="M1787" s="19" t="n">
        <x:f>F1787-IF(H1787=2,1,0)</x:f>
        <x:v>0</x:v>
      </x:c>
      <x:c r="N1787" s="19" t="n">
        <x:f>MAX(K1787-1,0)+MAX(L1787-1,0)+MAX(M1787-1,0)</x:f>
        <x:v>4</x:v>
      </x:c>
      <x:c r="O1787" s="19" t="n">
        <x:f>IF(AND(SUM(K1787:M1787)&lt;9,OR(M1787=0,N1787&lt;6)),1,0)</x:f>
        <x:v>1</x:v>
      </x:c>
      <x:c r="P1787" s="19" t="n">
        <x:f>IF(AND(SUM(K1787:M1787)&lt;9,OR(L1787=0,N1787&lt;6)),1,0)</x:f>
        <x:v>1</x:v>
      </x:c>
      <x:c r="Q1787" s="19" t="n">
        <x:f>IF(AND(SUM(K1787:M1787)&lt;9,OR(K1787=0,N1787&lt;6)),1,0)</x:f>
        <x:v>1</x:v>
      </x:c>
      <x:c r="R1787" s="22" t="str">
        <x:f>O1787&amp;P1787&amp;Q1787</x:f>
        <x:v>111</x:v>
      </x:c>
      <x:c r="S1787" s="19" t="n">
        <x:f>IF(I1787=1,IF(J1787=0,Q1787,IF(J1787=1,P1787,IF(J1787=2,O1787,0))),0)</x:f>
        <x:v>0</x:v>
      </x:c>
      <x:c r="T1787" s="19" t="n">
        <x:f>K1787+IF(AND(S1787=1,J1787=0),1,0)</x:f>
        <x:v>3</x:v>
      </x:c>
      <x:c r="U1787" s="19" t="n">
        <x:f>L1787+IF(AND(S1787=1,J1787=1),1,0)</x:f>
        <x:v>3</x:v>
      </x:c>
      <x:c r="V1787" s="19" t="n">
        <x:f>M1787+IF(AND(S1787=1,J1787=2),1,0)</x:f>
        <x:v>0</x:v>
      </x:c>
      <x:c r="W1787" s="19" t="n">
        <x:f>SUM(T1787:V1787)</x:f>
        <x:v>6</x:v>
      </x:c>
      <x:c r="X1787" s="19" t="n">
        <x:f>W1787-G1787</x:f>
        <x:v>-1</x:v>
      </x:c>
      <x:c r="Y1787" s="19" t="n">
        <x:f>MAX(T1787,1)+MAX(U1787,1)+MAX(V1787,1)</x:f>
        <x:v>7</x:v>
      </x:c>
      <x:c r="Z1787" s="21" t="str">
        <x:f>IF(AND(MIN(D1787:F1787)&gt;=0,MAX(D1787:F1787)&lt;=7,MAX(D1787,1)+MAX(E1787,1)+MAX(F1787,1)&lt;=9,OR(H1787="-",AND(H1787=0,D1787&gt;0),AND(H1787=1,E1787&gt;0),AND(H1787=2,F1787&gt;0)),OR(I1787=0,AND(I1787=1,OR(J1787=0,J1787=1,J1787=2),R1787&lt;&gt;"000")),Y1787&lt;=9,MIN(T1787:V1787)&gt;=0),"合法","输入违约")</x:f>
        <x:v>合法</x:v>
      </x:c>
    </x:row>
    <x:row r="1788" ht="23" customHeight="1">
      <x:c r="A1788" s="3" t="str">
        <x:v>CT-1781</x:v>
      </x:c>
      <x:c r="B1788" s="3" t="str">
        <x:v>ST-109</x:v>
      </x:c>
      <x:c r="C1788" s="3" t="str">
        <x:v>R+AR同收同发</x:v>
      </x:c>
      <x:c r="D1788" s="25" t="n">
        <x:v>3</x:v>
      </x:c>
      <x:c r="E1788" s="25" t="n">
        <x:v>3</x:v>
      </x:c>
      <x:c r="F1788" s="25" t="n">
        <x:v>1</x:v>
      </x:c>
      <x:c r="G1788" s="19" t="n">
        <x:f>SUM(D1788:F1788)</x:f>
        <x:v>7</x:v>
      </x:c>
      <x:c r="H1788" s="25" t="n">
        <x:v>2</x:v>
      </x:c>
      <x:c r="I1788" s="25" t="n">
        <x:v>1</x:v>
      </x:c>
      <x:c r="J1788" s="25" t="n">
        <x:v>0</x:v>
      </x:c>
      <x:c r="K1788" s="19" t="n">
        <x:f>D1788-IF(H1788=0,1,0)</x:f>
        <x:v>3</x:v>
      </x:c>
      <x:c r="L1788" s="19" t="n">
        <x:f>E1788-IF(H1788=1,1,0)</x:f>
        <x:v>3</x:v>
      </x:c>
      <x:c r="M1788" s="19" t="n">
        <x:f>F1788-IF(H1788=2,1,0)</x:f>
        <x:v>0</x:v>
      </x:c>
      <x:c r="N1788" s="19" t="n">
        <x:f>MAX(K1788-1,0)+MAX(L1788-1,0)+MAX(M1788-1,0)</x:f>
        <x:v>4</x:v>
      </x:c>
      <x:c r="O1788" s="19" t="n">
        <x:f>IF(AND(SUM(K1788:M1788)&lt;9,OR(M1788=0,N1788&lt;6)),1,0)</x:f>
        <x:v>1</x:v>
      </x:c>
      <x:c r="P1788" s="19" t="n">
        <x:f>IF(AND(SUM(K1788:M1788)&lt;9,OR(L1788=0,N1788&lt;6)),1,0)</x:f>
        <x:v>1</x:v>
      </x:c>
      <x:c r="Q1788" s="19" t="n">
        <x:f>IF(AND(SUM(K1788:M1788)&lt;9,OR(K1788=0,N1788&lt;6)),1,0)</x:f>
        <x:v>1</x:v>
      </x:c>
      <x:c r="R1788" s="22" t="str">
        <x:f>O1788&amp;P1788&amp;Q1788</x:f>
        <x:v>111</x:v>
      </x:c>
      <x:c r="S1788" s="19" t="n">
        <x:f>IF(I1788=1,IF(J1788=0,Q1788,IF(J1788=1,P1788,IF(J1788=2,O1788,0))),0)</x:f>
        <x:v>1</x:v>
      </x:c>
      <x:c r="T1788" s="19" t="n">
        <x:f>K1788+IF(AND(S1788=1,J1788=0),1,0)</x:f>
        <x:v>4</x:v>
      </x:c>
      <x:c r="U1788" s="19" t="n">
        <x:f>L1788+IF(AND(S1788=1,J1788=1),1,0)</x:f>
        <x:v>3</x:v>
      </x:c>
      <x:c r="V1788" s="19" t="n">
        <x:f>M1788+IF(AND(S1788=1,J1788=2),1,0)</x:f>
        <x:v>0</x:v>
      </x:c>
      <x:c r="W1788" s="19" t="n">
        <x:f>SUM(T1788:V1788)</x:f>
        <x:v>7</x:v>
      </x:c>
      <x:c r="X1788" s="19" t="n">
        <x:f>W1788-G1788</x:f>
        <x:v>0</x:v>
      </x:c>
      <x:c r="Y1788" s="19" t="n">
        <x:f>MAX(T1788,1)+MAX(U1788,1)+MAX(V1788,1)</x:f>
        <x:v>8</x:v>
      </x:c>
      <x:c r="Z1788" s="21" t="str">
        <x:f>IF(AND(MIN(D1788:F1788)&gt;=0,MAX(D1788:F1788)&lt;=7,MAX(D1788,1)+MAX(E1788,1)+MAX(F1788,1)&lt;=9,OR(H1788="-",AND(H1788=0,D1788&gt;0),AND(H1788=1,E1788&gt;0),AND(H1788=2,F1788&gt;0)),OR(I1788=0,AND(I1788=1,OR(J1788=0,J1788=1,J1788=2),R1788&lt;&gt;"000")),Y1788&lt;=9,MIN(T1788:V1788)&gt;=0),"合法","输入违约")</x:f>
        <x:v>合法</x:v>
      </x:c>
    </x:row>
    <x:row r="1789" ht="23" customHeight="1">
      <x:c r="A1789" s="3" t="str">
        <x:v>CT-1782</x:v>
      </x:c>
      <x:c r="B1789" s="3" t="str">
        <x:v>ST-109</x:v>
      </x:c>
      <x:c r="C1789" s="3" t="str">
        <x:v>R+AR同收同发</x:v>
      </x:c>
      <x:c r="D1789" s="25" t="n">
        <x:v>3</x:v>
      </x:c>
      <x:c r="E1789" s="25" t="n">
        <x:v>3</x:v>
      </x:c>
      <x:c r="F1789" s="25" t="n">
        <x:v>1</x:v>
      </x:c>
      <x:c r="G1789" s="19" t="n">
        <x:f>SUM(D1789:F1789)</x:f>
        <x:v>7</x:v>
      </x:c>
      <x:c r="H1789" s="25" t="n">
        <x:v>2</x:v>
      </x:c>
      <x:c r="I1789" s="25" t="n">
        <x:v>1</x:v>
      </x:c>
      <x:c r="J1789" s="25" t="n">
        <x:v>1</x:v>
      </x:c>
      <x:c r="K1789" s="19" t="n">
        <x:f>D1789-IF(H1789=0,1,0)</x:f>
        <x:v>3</x:v>
      </x:c>
      <x:c r="L1789" s="19" t="n">
        <x:f>E1789-IF(H1789=1,1,0)</x:f>
        <x:v>3</x:v>
      </x:c>
      <x:c r="M1789" s="19" t="n">
        <x:f>F1789-IF(H1789=2,1,0)</x:f>
        <x:v>0</x:v>
      </x:c>
      <x:c r="N1789" s="19" t="n">
        <x:f>MAX(K1789-1,0)+MAX(L1789-1,0)+MAX(M1789-1,0)</x:f>
        <x:v>4</x:v>
      </x:c>
      <x:c r="O1789" s="19" t="n">
        <x:f>IF(AND(SUM(K1789:M1789)&lt;9,OR(M1789=0,N1789&lt;6)),1,0)</x:f>
        <x:v>1</x:v>
      </x:c>
      <x:c r="P1789" s="19" t="n">
        <x:f>IF(AND(SUM(K1789:M1789)&lt;9,OR(L1789=0,N1789&lt;6)),1,0)</x:f>
        <x:v>1</x:v>
      </x:c>
      <x:c r="Q1789" s="19" t="n">
        <x:f>IF(AND(SUM(K1789:M1789)&lt;9,OR(K1789=0,N1789&lt;6)),1,0)</x:f>
        <x:v>1</x:v>
      </x:c>
      <x:c r="R1789" s="22" t="str">
        <x:f>O1789&amp;P1789&amp;Q1789</x:f>
        <x:v>111</x:v>
      </x:c>
      <x:c r="S1789" s="19" t="n">
        <x:f>IF(I1789=1,IF(J1789=0,Q1789,IF(J1789=1,P1789,IF(J1789=2,O1789,0))),0)</x:f>
        <x:v>1</x:v>
      </x:c>
      <x:c r="T1789" s="19" t="n">
        <x:f>K1789+IF(AND(S1789=1,J1789=0),1,0)</x:f>
        <x:v>3</x:v>
      </x:c>
      <x:c r="U1789" s="19" t="n">
        <x:f>L1789+IF(AND(S1789=1,J1789=1),1,0)</x:f>
        <x:v>4</x:v>
      </x:c>
      <x:c r="V1789" s="19" t="n">
        <x:f>M1789+IF(AND(S1789=1,J1789=2),1,0)</x:f>
        <x:v>0</x:v>
      </x:c>
      <x:c r="W1789" s="19" t="n">
        <x:f>SUM(T1789:V1789)</x:f>
        <x:v>7</x:v>
      </x:c>
      <x:c r="X1789" s="19" t="n">
        <x:f>W1789-G1789</x:f>
        <x:v>0</x:v>
      </x:c>
      <x:c r="Y1789" s="19" t="n">
        <x:f>MAX(T1789,1)+MAX(U1789,1)+MAX(V1789,1)</x:f>
        <x:v>8</x:v>
      </x:c>
      <x:c r="Z1789" s="21" t="str">
        <x:f>IF(AND(MIN(D1789:F1789)&gt;=0,MAX(D1789:F1789)&lt;=7,MAX(D1789,1)+MAX(E1789,1)+MAX(F1789,1)&lt;=9,OR(H1789="-",AND(H1789=0,D1789&gt;0),AND(H1789=1,E1789&gt;0),AND(H1789=2,F1789&gt;0)),OR(I1789=0,AND(I1789=1,OR(J1789=0,J1789=1,J1789=2),R1789&lt;&gt;"000")),Y1789&lt;=9,MIN(T1789:V1789)&gt;=0),"合法","输入违约")</x:f>
        <x:v>合法</x:v>
      </x:c>
    </x:row>
    <x:row r="1790" ht="23" customHeight="1">
      <x:c r="A1790" s="3" t="str">
        <x:v>CT-1783</x:v>
      </x:c>
      <x:c r="B1790" s="3" t="str">
        <x:v>ST-109</x:v>
      </x:c>
      <x:c r="C1790" s="3" t="str">
        <x:v>R+AR同收同发</x:v>
      </x:c>
      <x:c r="D1790" s="25" t="n">
        <x:v>3</x:v>
      </x:c>
      <x:c r="E1790" s="25" t="n">
        <x:v>3</x:v>
      </x:c>
      <x:c r="F1790" s="25" t="n">
        <x:v>1</x:v>
      </x:c>
      <x:c r="G1790" s="19" t="n">
        <x:f>SUM(D1790:F1790)</x:f>
        <x:v>7</x:v>
      </x:c>
      <x:c r="H1790" s="25" t="n">
        <x:v>2</x:v>
      </x:c>
      <x:c r="I1790" s="25" t="n">
        <x:v>1</x:v>
      </x:c>
      <x:c r="J1790" s="25" t="n">
        <x:v>2</x:v>
      </x:c>
      <x:c r="K1790" s="19" t="n">
        <x:f>D1790-IF(H1790=0,1,0)</x:f>
        <x:v>3</x:v>
      </x:c>
      <x:c r="L1790" s="19" t="n">
        <x:f>E1790-IF(H1790=1,1,0)</x:f>
        <x:v>3</x:v>
      </x:c>
      <x:c r="M1790" s="19" t="n">
        <x:f>F1790-IF(H1790=2,1,0)</x:f>
        <x:v>0</x:v>
      </x:c>
      <x:c r="N1790" s="19" t="n">
        <x:f>MAX(K1790-1,0)+MAX(L1790-1,0)+MAX(M1790-1,0)</x:f>
        <x:v>4</x:v>
      </x:c>
      <x:c r="O1790" s="19" t="n">
        <x:f>IF(AND(SUM(K1790:M1790)&lt;9,OR(M1790=0,N1790&lt;6)),1,0)</x:f>
        <x:v>1</x:v>
      </x:c>
      <x:c r="P1790" s="19" t="n">
        <x:f>IF(AND(SUM(K1790:M1790)&lt;9,OR(L1790=0,N1790&lt;6)),1,0)</x:f>
        <x:v>1</x:v>
      </x:c>
      <x:c r="Q1790" s="19" t="n">
        <x:f>IF(AND(SUM(K1790:M1790)&lt;9,OR(K1790=0,N1790&lt;6)),1,0)</x:f>
        <x:v>1</x:v>
      </x:c>
      <x:c r="R1790" s="22" t="str">
        <x:f>O1790&amp;P1790&amp;Q1790</x:f>
        <x:v>111</x:v>
      </x:c>
      <x:c r="S1790" s="19" t="n">
        <x:f>IF(I1790=1,IF(J1790=0,Q1790,IF(J1790=1,P1790,IF(J1790=2,O1790,0))),0)</x:f>
        <x:v>1</x:v>
      </x:c>
      <x:c r="T1790" s="19" t="n">
        <x:f>K1790+IF(AND(S1790=1,J1790=0),1,0)</x:f>
        <x:v>3</x:v>
      </x:c>
      <x:c r="U1790" s="19" t="n">
        <x:f>L1790+IF(AND(S1790=1,J1790=1),1,0)</x:f>
        <x:v>3</x:v>
      </x:c>
      <x:c r="V1790" s="19" t="n">
        <x:f>M1790+IF(AND(S1790=1,J1790=2),1,0)</x:f>
        <x:v>1</x:v>
      </x:c>
      <x:c r="W1790" s="19" t="n">
        <x:f>SUM(T1790:V1790)</x:f>
        <x:v>7</x:v>
      </x:c>
      <x:c r="X1790" s="19" t="n">
        <x:f>W1790-G1790</x:f>
        <x:v>0</x:v>
      </x:c>
      <x:c r="Y1790" s="19" t="n">
        <x:f>MAX(T1790,1)+MAX(U1790,1)+MAX(V1790,1)</x:f>
        <x:v>7</x:v>
      </x:c>
      <x:c r="Z1790" s="21" t="str">
        <x:f>IF(AND(MIN(D1790:F1790)&gt;=0,MAX(D1790:F1790)&lt;=7,MAX(D1790,1)+MAX(E1790,1)+MAX(F1790,1)&lt;=9,OR(H1790="-",AND(H1790=0,D1790&gt;0),AND(H1790=1,E1790&gt;0),AND(H1790=2,F1790&gt;0)),OR(I1790=0,AND(I1790=1,OR(J1790=0,J1790=1,J1790=2),R1790&lt;&gt;"000")),Y1790&lt;=9,MIN(T1790:V1790)&gt;=0),"合法","输入违约")</x:f>
        <x:v>合法</x:v>
      </x:c>
    </x:row>
    <x:row r="1791" ht="23" customHeight="1">
      <x:c r="A1791" s="3" t="str">
        <x:v>CT-1784</x:v>
      </x:c>
      <x:c r="B1791" s="3" t="str">
        <x:v>ST-146</x:v>
      </x:c>
      <x:c r="C1791" s="3" t="str">
        <x:v>无AR/R</x:v>
      </x:c>
      <x:c r="D1791" s="25" t="n">
        <x:v>3</x:v>
      </x:c>
      <x:c r="E1791" s="25" t="n">
        <x:v>3</x:v>
      </x:c>
      <x:c r="F1791" s="25" t="n">
        <x:v>2</x:v>
      </x:c>
      <x:c r="G1791" s="19" t="n">
        <x:f>SUM(D1791:F1791)</x:f>
        <x:v>8</x:v>
      </x:c>
      <x:c r="H1791" s="25" t="str">
        <x:v>-</x:v>
      </x:c>
      <x:c r="I1791" s="25" t="n">
        <x:v>0</x:v>
      </x:c>
      <x:c r="J1791" s="25" t="str">
        <x:v>-</x:v>
      </x:c>
      <x:c r="K1791" s="19" t="n">
        <x:f>D1791-IF(H1791=0,1,0)</x:f>
        <x:v>3</x:v>
      </x:c>
      <x:c r="L1791" s="19" t="n">
        <x:f>E1791-IF(H1791=1,1,0)</x:f>
        <x:v>3</x:v>
      </x:c>
      <x:c r="M1791" s="19" t="n">
        <x:f>F1791-IF(H1791=2,1,0)</x:f>
        <x:v>2</x:v>
      </x:c>
      <x:c r="N1791" s="19" t="n">
        <x:f>MAX(K1791-1,0)+MAX(L1791-1,0)+MAX(M1791-1,0)</x:f>
        <x:v>5</x:v>
      </x:c>
      <x:c r="O1791" s="19" t="n">
        <x:f>IF(AND(SUM(K1791:M1791)&lt;9,OR(M1791=0,N1791&lt;6)),1,0)</x:f>
        <x:v>1</x:v>
      </x:c>
      <x:c r="P1791" s="19" t="n">
        <x:f>IF(AND(SUM(K1791:M1791)&lt;9,OR(L1791=0,N1791&lt;6)),1,0)</x:f>
        <x:v>1</x:v>
      </x:c>
      <x:c r="Q1791" s="19" t="n">
        <x:f>IF(AND(SUM(K1791:M1791)&lt;9,OR(K1791=0,N1791&lt;6)),1,0)</x:f>
        <x:v>1</x:v>
      </x:c>
      <x:c r="R1791" s="22" t="str">
        <x:f>O1791&amp;P1791&amp;Q1791</x:f>
        <x:v>111</x:v>
      </x:c>
      <x:c r="S1791" s="19" t="n">
        <x:f>IF(I1791=1,IF(J1791=0,Q1791,IF(J1791=1,P1791,IF(J1791=2,O1791,0))),0)</x:f>
        <x:v>0</x:v>
      </x:c>
      <x:c r="T1791" s="19" t="n">
        <x:f>K1791+IF(AND(S1791=1,J1791=0),1,0)</x:f>
        <x:v>3</x:v>
      </x:c>
      <x:c r="U1791" s="19" t="n">
        <x:f>L1791+IF(AND(S1791=1,J1791=1),1,0)</x:f>
        <x:v>3</x:v>
      </x:c>
      <x:c r="V1791" s="19" t="n">
        <x:f>M1791+IF(AND(S1791=1,J1791=2),1,0)</x:f>
        <x:v>2</x:v>
      </x:c>
      <x:c r="W1791" s="19" t="n">
        <x:f>SUM(T1791:V1791)</x:f>
        <x:v>8</x:v>
      </x:c>
      <x:c r="X1791" s="19" t="n">
        <x:f>W1791-G1791</x:f>
        <x:v>0</x:v>
      </x:c>
      <x:c r="Y1791" s="19" t="n">
        <x:f>MAX(T1791,1)+MAX(U1791,1)+MAX(V1791,1)</x:f>
        <x:v>8</x:v>
      </x:c>
      <x:c r="Z1791" s="21" t="str">
        <x:f>IF(AND(MIN(D1791:F1791)&gt;=0,MAX(D1791:F1791)&lt;=7,MAX(D1791,1)+MAX(E1791,1)+MAX(F1791,1)&lt;=9,OR(H1791="-",AND(H1791=0,D1791&gt;0),AND(H1791=1,E1791&gt;0),AND(H1791=2,F1791&gt;0)),OR(I1791=0,AND(I1791=1,OR(J1791=0,J1791=1,J1791=2),R1791&lt;&gt;"000")),Y1791&lt;=9,MIN(T1791:V1791)&gt;=0),"合法","输入违约")</x:f>
        <x:v>合法</x:v>
      </x:c>
    </x:row>
    <x:row r="1792" ht="23" customHeight="1">
      <x:c r="A1792" s="3" t="str">
        <x:v>CT-1785</x:v>
      </x:c>
      <x:c r="B1792" s="3" t="str">
        <x:v>ST-146</x:v>
      </x:c>
      <x:c r="C1792" s="3" t="str">
        <x:v>仅AR接收</x:v>
      </x:c>
      <x:c r="D1792" s="25" t="n">
        <x:v>3</x:v>
      </x:c>
      <x:c r="E1792" s="25" t="n">
        <x:v>3</x:v>
      </x:c>
      <x:c r="F1792" s="25" t="n">
        <x:v>2</x:v>
      </x:c>
      <x:c r="G1792" s="19" t="n">
        <x:f>SUM(D1792:F1792)</x:f>
        <x:v>8</x:v>
      </x:c>
      <x:c r="H1792" s="25" t="str">
        <x:v>-</x:v>
      </x:c>
      <x:c r="I1792" s="25" t="n">
        <x:v>1</x:v>
      </x:c>
      <x:c r="J1792" s="25" t="n">
        <x:v>0</x:v>
      </x:c>
      <x:c r="K1792" s="19" t="n">
        <x:f>D1792-IF(H1792=0,1,0)</x:f>
        <x:v>3</x:v>
      </x:c>
      <x:c r="L1792" s="19" t="n">
        <x:f>E1792-IF(H1792=1,1,0)</x:f>
        <x:v>3</x:v>
      </x:c>
      <x:c r="M1792" s="19" t="n">
        <x:f>F1792-IF(H1792=2,1,0)</x:f>
        <x:v>2</x:v>
      </x:c>
      <x:c r="N1792" s="19" t="n">
        <x:f>MAX(K1792-1,0)+MAX(L1792-1,0)+MAX(M1792-1,0)</x:f>
        <x:v>5</x:v>
      </x:c>
      <x:c r="O1792" s="19" t="n">
        <x:f>IF(AND(SUM(K1792:M1792)&lt;9,OR(M1792=0,N1792&lt;6)),1,0)</x:f>
        <x:v>1</x:v>
      </x:c>
      <x:c r="P1792" s="19" t="n">
        <x:f>IF(AND(SUM(K1792:M1792)&lt;9,OR(L1792=0,N1792&lt;6)),1,0)</x:f>
        <x:v>1</x:v>
      </x:c>
      <x:c r="Q1792" s="19" t="n">
        <x:f>IF(AND(SUM(K1792:M1792)&lt;9,OR(K1792=0,N1792&lt;6)),1,0)</x:f>
        <x:v>1</x:v>
      </x:c>
      <x:c r="R1792" s="22" t="str">
        <x:f>O1792&amp;P1792&amp;Q1792</x:f>
        <x:v>111</x:v>
      </x:c>
      <x:c r="S1792" s="19" t="n">
        <x:f>IF(I1792=1,IF(J1792=0,Q1792,IF(J1792=1,P1792,IF(J1792=2,O1792,0))),0)</x:f>
        <x:v>1</x:v>
      </x:c>
      <x:c r="T1792" s="19" t="n">
        <x:f>K1792+IF(AND(S1792=1,J1792=0),1,0)</x:f>
        <x:v>4</x:v>
      </x:c>
      <x:c r="U1792" s="19" t="n">
        <x:f>L1792+IF(AND(S1792=1,J1792=1),1,0)</x:f>
        <x:v>3</x:v>
      </x:c>
      <x:c r="V1792" s="19" t="n">
        <x:f>M1792+IF(AND(S1792=1,J1792=2),1,0)</x:f>
        <x:v>2</x:v>
      </x:c>
      <x:c r="W1792" s="19" t="n">
        <x:f>SUM(T1792:V1792)</x:f>
        <x:v>9</x:v>
      </x:c>
      <x:c r="X1792" s="19" t="n">
        <x:f>W1792-G1792</x:f>
        <x:v>1</x:v>
      </x:c>
      <x:c r="Y1792" s="19" t="n">
        <x:f>MAX(T1792,1)+MAX(U1792,1)+MAX(V1792,1)</x:f>
        <x:v>9</x:v>
      </x:c>
      <x:c r="Z1792" s="21" t="str">
        <x:f>IF(AND(MIN(D1792:F1792)&gt;=0,MAX(D1792:F1792)&lt;=7,MAX(D1792,1)+MAX(E1792,1)+MAX(F1792,1)&lt;=9,OR(H1792="-",AND(H1792=0,D1792&gt;0),AND(H1792=1,E1792&gt;0),AND(H1792=2,F1792&gt;0)),OR(I1792=0,AND(I1792=1,OR(J1792=0,J1792=1,J1792=2),R1792&lt;&gt;"000")),Y1792&lt;=9,MIN(T1792:V1792)&gt;=0),"合法","输入违约")</x:f>
        <x:v>合法</x:v>
      </x:c>
    </x:row>
    <x:row r="1793" ht="23" customHeight="1">
      <x:c r="A1793" s="3" t="str">
        <x:v>CT-1786</x:v>
      </x:c>
      <x:c r="B1793" s="3" t="str">
        <x:v>ST-146</x:v>
      </x:c>
      <x:c r="C1793" s="3" t="str">
        <x:v>仅AR接收</x:v>
      </x:c>
      <x:c r="D1793" s="25" t="n">
        <x:v>3</x:v>
      </x:c>
      <x:c r="E1793" s="25" t="n">
        <x:v>3</x:v>
      </x:c>
      <x:c r="F1793" s="25" t="n">
        <x:v>2</x:v>
      </x:c>
      <x:c r="G1793" s="19" t="n">
        <x:f>SUM(D1793:F1793)</x:f>
        <x:v>8</x:v>
      </x:c>
      <x:c r="H1793" s="25" t="str">
        <x:v>-</x:v>
      </x:c>
      <x:c r="I1793" s="25" t="n">
        <x:v>1</x:v>
      </x:c>
      <x:c r="J1793" s="25" t="n">
        <x:v>1</x:v>
      </x:c>
      <x:c r="K1793" s="19" t="n">
        <x:f>D1793-IF(H1793=0,1,0)</x:f>
        <x:v>3</x:v>
      </x:c>
      <x:c r="L1793" s="19" t="n">
        <x:f>E1793-IF(H1793=1,1,0)</x:f>
        <x:v>3</x:v>
      </x:c>
      <x:c r="M1793" s="19" t="n">
        <x:f>F1793-IF(H1793=2,1,0)</x:f>
        <x:v>2</x:v>
      </x:c>
      <x:c r="N1793" s="19" t="n">
        <x:f>MAX(K1793-1,0)+MAX(L1793-1,0)+MAX(M1793-1,0)</x:f>
        <x:v>5</x:v>
      </x:c>
      <x:c r="O1793" s="19" t="n">
        <x:f>IF(AND(SUM(K1793:M1793)&lt;9,OR(M1793=0,N1793&lt;6)),1,0)</x:f>
        <x:v>1</x:v>
      </x:c>
      <x:c r="P1793" s="19" t="n">
        <x:f>IF(AND(SUM(K1793:M1793)&lt;9,OR(L1793=0,N1793&lt;6)),1,0)</x:f>
        <x:v>1</x:v>
      </x:c>
      <x:c r="Q1793" s="19" t="n">
        <x:f>IF(AND(SUM(K1793:M1793)&lt;9,OR(K1793=0,N1793&lt;6)),1,0)</x:f>
        <x:v>1</x:v>
      </x:c>
      <x:c r="R1793" s="22" t="str">
        <x:f>O1793&amp;P1793&amp;Q1793</x:f>
        <x:v>111</x:v>
      </x:c>
      <x:c r="S1793" s="19" t="n">
        <x:f>IF(I1793=1,IF(J1793=0,Q1793,IF(J1793=1,P1793,IF(J1793=2,O1793,0))),0)</x:f>
        <x:v>1</x:v>
      </x:c>
      <x:c r="T1793" s="19" t="n">
        <x:f>K1793+IF(AND(S1793=1,J1793=0),1,0)</x:f>
        <x:v>3</x:v>
      </x:c>
      <x:c r="U1793" s="19" t="n">
        <x:f>L1793+IF(AND(S1793=1,J1793=1),1,0)</x:f>
        <x:v>4</x:v>
      </x:c>
      <x:c r="V1793" s="19" t="n">
        <x:f>M1793+IF(AND(S1793=1,J1793=2),1,0)</x:f>
        <x:v>2</x:v>
      </x:c>
      <x:c r="W1793" s="19" t="n">
        <x:f>SUM(T1793:V1793)</x:f>
        <x:v>9</x:v>
      </x:c>
      <x:c r="X1793" s="19" t="n">
        <x:f>W1793-G1793</x:f>
        <x:v>1</x:v>
      </x:c>
      <x:c r="Y1793" s="19" t="n">
        <x:f>MAX(T1793,1)+MAX(U1793,1)+MAX(V1793,1)</x:f>
        <x:v>9</x:v>
      </x:c>
      <x:c r="Z1793" s="21" t="str">
        <x:f>IF(AND(MIN(D1793:F1793)&gt;=0,MAX(D1793:F1793)&lt;=7,MAX(D1793,1)+MAX(E1793,1)+MAX(F1793,1)&lt;=9,OR(H1793="-",AND(H1793=0,D1793&gt;0),AND(H1793=1,E1793&gt;0),AND(H1793=2,F1793&gt;0)),OR(I1793=0,AND(I1793=1,OR(J1793=0,J1793=1,J1793=2),R1793&lt;&gt;"000")),Y1793&lt;=9,MIN(T1793:V1793)&gt;=0),"合法","输入违约")</x:f>
        <x:v>合法</x:v>
      </x:c>
    </x:row>
    <x:row r="1794" ht="23" customHeight="1">
      <x:c r="A1794" s="3" t="str">
        <x:v>CT-1787</x:v>
      </x:c>
      <x:c r="B1794" s="3" t="str">
        <x:v>ST-146</x:v>
      </x:c>
      <x:c r="C1794" s="3" t="str">
        <x:v>仅AR接收</x:v>
      </x:c>
      <x:c r="D1794" s="25" t="n">
        <x:v>3</x:v>
      </x:c>
      <x:c r="E1794" s="25" t="n">
        <x:v>3</x:v>
      </x:c>
      <x:c r="F1794" s="25" t="n">
        <x:v>2</x:v>
      </x:c>
      <x:c r="G1794" s="19" t="n">
        <x:f>SUM(D1794:F1794)</x:f>
        <x:v>8</x:v>
      </x:c>
      <x:c r="H1794" s="25" t="str">
        <x:v>-</x:v>
      </x:c>
      <x:c r="I1794" s="25" t="n">
        <x:v>1</x:v>
      </x:c>
      <x:c r="J1794" s="25" t="n">
        <x:v>2</x:v>
      </x:c>
      <x:c r="K1794" s="19" t="n">
        <x:f>D1794-IF(H1794=0,1,0)</x:f>
        <x:v>3</x:v>
      </x:c>
      <x:c r="L1794" s="19" t="n">
        <x:f>E1794-IF(H1794=1,1,0)</x:f>
        <x:v>3</x:v>
      </x:c>
      <x:c r="M1794" s="19" t="n">
        <x:f>F1794-IF(H1794=2,1,0)</x:f>
        <x:v>2</x:v>
      </x:c>
      <x:c r="N1794" s="19" t="n">
        <x:f>MAX(K1794-1,0)+MAX(L1794-1,0)+MAX(M1794-1,0)</x:f>
        <x:v>5</x:v>
      </x:c>
      <x:c r="O1794" s="19" t="n">
        <x:f>IF(AND(SUM(K1794:M1794)&lt;9,OR(M1794=0,N1794&lt;6)),1,0)</x:f>
        <x:v>1</x:v>
      </x:c>
      <x:c r="P1794" s="19" t="n">
        <x:f>IF(AND(SUM(K1794:M1794)&lt;9,OR(L1794=0,N1794&lt;6)),1,0)</x:f>
        <x:v>1</x:v>
      </x:c>
      <x:c r="Q1794" s="19" t="n">
        <x:f>IF(AND(SUM(K1794:M1794)&lt;9,OR(K1794=0,N1794&lt;6)),1,0)</x:f>
        <x:v>1</x:v>
      </x:c>
      <x:c r="R1794" s="22" t="str">
        <x:f>O1794&amp;P1794&amp;Q1794</x:f>
        <x:v>111</x:v>
      </x:c>
      <x:c r="S1794" s="19" t="n">
        <x:f>IF(I1794=1,IF(J1794=0,Q1794,IF(J1794=1,P1794,IF(J1794=2,O1794,0))),0)</x:f>
        <x:v>1</x:v>
      </x:c>
      <x:c r="T1794" s="19" t="n">
        <x:f>K1794+IF(AND(S1794=1,J1794=0),1,0)</x:f>
        <x:v>3</x:v>
      </x:c>
      <x:c r="U1794" s="19" t="n">
        <x:f>L1794+IF(AND(S1794=1,J1794=1),1,0)</x:f>
        <x:v>3</x:v>
      </x:c>
      <x:c r="V1794" s="19" t="n">
        <x:f>M1794+IF(AND(S1794=1,J1794=2),1,0)</x:f>
        <x:v>3</x:v>
      </x:c>
      <x:c r="W1794" s="19" t="n">
        <x:f>SUM(T1794:V1794)</x:f>
        <x:v>9</x:v>
      </x:c>
      <x:c r="X1794" s="19" t="n">
        <x:f>W1794-G1794</x:f>
        <x:v>1</x:v>
      </x:c>
      <x:c r="Y1794" s="19" t="n">
        <x:f>MAX(T1794,1)+MAX(U1794,1)+MAX(V1794,1)</x:f>
        <x:v>9</x:v>
      </x:c>
      <x:c r="Z1794" s="21" t="str">
        <x:f>IF(AND(MIN(D1794:F1794)&gt;=0,MAX(D1794:F1794)&lt;=7,MAX(D1794,1)+MAX(E1794,1)+MAX(F1794,1)&lt;=9,OR(H1794="-",AND(H1794=0,D1794&gt;0),AND(H1794=1,E1794&gt;0),AND(H1794=2,F1794&gt;0)),OR(I1794=0,AND(I1794=1,OR(J1794=0,J1794=1,J1794=2),R1794&lt;&gt;"000")),Y1794&lt;=9,MIN(T1794:V1794)&gt;=0),"合法","输入违约")</x:f>
        <x:v>合法</x:v>
      </x:c>
    </x:row>
    <x:row r="1795" ht="23" customHeight="1">
      <x:c r="A1795" s="3" t="str">
        <x:v>CT-1788</x:v>
      </x:c>
      <x:c r="B1795" s="3" t="str">
        <x:v>ST-146</x:v>
      </x:c>
      <x:c r="C1795" s="3" t="str">
        <x:v>仅R回收</x:v>
      </x:c>
      <x:c r="D1795" s="25" t="n">
        <x:v>3</x:v>
      </x:c>
      <x:c r="E1795" s="25" t="n">
        <x:v>3</x:v>
      </x:c>
      <x:c r="F1795" s="25" t="n">
        <x:v>2</x:v>
      </x:c>
      <x:c r="G1795" s="19" t="n">
        <x:f>SUM(D1795:F1795)</x:f>
        <x:v>8</x:v>
      </x:c>
      <x:c r="H1795" s="25" t="n">
        <x:v>0</x:v>
      </x:c>
      <x:c r="I1795" s="25" t="n">
        <x:v>0</x:v>
      </x:c>
      <x:c r="J1795" s="25" t="str">
        <x:v>-</x:v>
      </x:c>
      <x:c r="K1795" s="19" t="n">
        <x:f>D1795-IF(H1795=0,1,0)</x:f>
        <x:v>2</x:v>
      </x:c>
      <x:c r="L1795" s="19" t="n">
        <x:f>E1795-IF(H1795=1,1,0)</x:f>
        <x:v>3</x:v>
      </x:c>
      <x:c r="M1795" s="19" t="n">
        <x:f>F1795-IF(H1795=2,1,0)</x:f>
        <x:v>2</x:v>
      </x:c>
      <x:c r="N1795" s="19" t="n">
        <x:f>MAX(K1795-1,0)+MAX(L1795-1,0)+MAX(M1795-1,0)</x:f>
        <x:v>4</x:v>
      </x:c>
      <x:c r="O1795" s="19" t="n">
        <x:f>IF(AND(SUM(K1795:M1795)&lt;9,OR(M1795=0,N1795&lt;6)),1,0)</x:f>
        <x:v>1</x:v>
      </x:c>
      <x:c r="P1795" s="19" t="n">
        <x:f>IF(AND(SUM(K1795:M1795)&lt;9,OR(L1795=0,N1795&lt;6)),1,0)</x:f>
        <x:v>1</x:v>
      </x:c>
      <x:c r="Q1795" s="19" t="n">
        <x:f>IF(AND(SUM(K1795:M1795)&lt;9,OR(K1795=0,N1795&lt;6)),1,0)</x:f>
        <x:v>1</x:v>
      </x:c>
      <x:c r="R1795" s="22" t="str">
        <x:f>O1795&amp;P1795&amp;Q1795</x:f>
        <x:v>111</x:v>
      </x:c>
      <x:c r="S1795" s="19" t="n">
        <x:f>IF(I1795=1,IF(J1795=0,Q1795,IF(J1795=1,P1795,IF(J1795=2,O1795,0))),0)</x:f>
        <x:v>0</x:v>
      </x:c>
      <x:c r="T1795" s="19" t="n">
        <x:f>K1795+IF(AND(S1795=1,J1795=0),1,0)</x:f>
        <x:v>2</x:v>
      </x:c>
      <x:c r="U1795" s="19" t="n">
        <x:f>L1795+IF(AND(S1795=1,J1795=1),1,0)</x:f>
        <x:v>3</x:v>
      </x:c>
      <x:c r="V1795" s="19" t="n">
        <x:f>M1795+IF(AND(S1795=1,J1795=2),1,0)</x:f>
        <x:v>2</x:v>
      </x:c>
      <x:c r="W1795" s="19" t="n">
        <x:f>SUM(T1795:V1795)</x:f>
        <x:v>7</x:v>
      </x:c>
      <x:c r="X1795" s="19" t="n">
        <x:f>W1795-G1795</x:f>
        <x:v>-1</x:v>
      </x:c>
      <x:c r="Y1795" s="19" t="n">
        <x:f>MAX(T1795,1)+MAX(U1795,1)+MAX(V1795,1)</x:f>
        <x:v>7</x:v>
      </x:c>
      <x:c r="Z1795" s="21" t="str">
        <x:f>IF(AND(MIN(D1795:F1795)&gt;=0,MAX(D1795:F1795)&lt;=7,MAX(D1795,1)+MAX(E1795,1)+MAX(F1795,1)&lt;=9,OR(H1795="-",AND(H1795=0,D1795&gt;0),AND(H1795=1,E1795&gt;0),AND(H1795=2,F1795&gt;0)),OR(I1795=0,AND(I1795=1,OR(J1795=0,J1795=1,J1795=2),R1795&lt;&gt;"000")),Y1795&lt;=9,MIN(T1795:V1795)&gt;=0),"合法","输入违约")</x:f>
        <x:v>合法</x:v>
      </x:c>
    </x:row>
    <x:row r="1796" ht="23" customHeight="1">
      <x:c r="A1796" s="3" t="str">
        <x:v>CT-1789</x:v>
      </x:c>
      <x:c r="B1796" s="3" t="str">
        <x:v>ST-146</x:v>
      </x:c>
      <x:c r="C1796" s="3" t="str">
        <x:v>R+AR同收同发</x:v>
      </x:c>
      <x:c r="D1796" s="25" t="n">
        <x:v>3</x:v>
      </x:c>
      <x:c r="E1796" s="25" t="n">
        <x:v>3</x:v>
      </x:c>
      <x:c r="F1796" s="25" t="n">
        <x:v>2</x:v>
      </x:c>
      <x:c r="G1796" s="19" t="n">
        <x:f>SUM(D1796:F1796)</x:f>
        <x:v>8</x:v>
      </x:c>
      <x:c r="H1796" s="25" t="n">
        <x:v>0</x:v>
      </x:c>
      <x:c r="I1796" s="25" t="n">
        <x:v>1</x:v>
      </x:c>
      <x:c r="J1796" s="25" t="n">
        <x:v>0</x:v>
      </x:c>
      <x:c r="K1796" s="19" t="n">
        <x:f>D1796-IF(H1796=0,1,0)</x:f>
        <x:v>2</x:v>
      </x:c>
      <x:c r="L1796" s="19" t="n">
        <x:f>E1796-IF(H1796=1,1,0)</x:f>
        <x:v>3</x:v>
      </x:c>
      <x:c r="M1796" s="19" t="n">
        <x:f>F1796-IF(H1796=2,1,0)</x:f>
        <x:v>2</x:v>
      </x:c>
      <x:c r="N1796" s="19" t="n">
        <x:f>MAX(K1796-1,0)+MAX(L1796-1,0)+MAX(M1796-1,0)</x:f>
        <x:v>4</x:v>
      </x:c>
      <x:c r="O1796" s="19" t="n">
        <x:f>IF(AND(SUM(K1796:M1796)&lt;9,OR(M1796=0,N1796&lt;6)),1,0)</x:f>
        <x:v>1</x:v>
      </x:c>
      <x:c r="P1796" s="19" t="n">
        <x:f>IF(AND(SUM(K1796:M1796)&lt;9,OR(L1796=0,N1796&lt;6)),1,0)</x:f>
        <x:v>1</x:v>
      </x:c>
      <x:c r="Q1796" s="19" t="n">
        <x:f>IF(AND(SUM(K1796:M1796)&lt;9,OR(K1796=0,N1796&lt;6)),1,0)</x:f>
        <x:v>1</x:v>
      </x:c>
      <x:c r="R1796" s="22" t="str">
        <x:f>O1796&amp;P1796&amp;Q1796</x:f>
        <x:v>111</x:v>
      </x:c>
      <x:c r="S1796" s="19" t="n">
        <x:f>IF(I1796=1,IF(J1796=0,Q1796,IF(J1796=1,P1796,IF(J1796=2,O1796,0))),0)</x:f>
        <x:v>1</x:v>
      </x:c>
      <x:c r="T1796" s="19" t="n">
        <x:f>K1796+IF(AND(S1796=1,J1796=0),1,0)</x:f>
        <x:v>3</x:v>
      </x:c>
      <x:c r="U1796" s="19" t="n">
        <x:f>L1796+IF(AND(S1796=1,J1796=1),1,0)</x:f>
        <x:v>3</x:v>
      </x:c>
      <x:c r="V1796" s="19" t="n">
        <x:f>M1796+IF(AND(S1796=1,J1796=2),1,0)</x:f>
        <x:v>2</x:v>
      </x:c>
      <x:c r="W1796" s="19" t="n">
        <x:f>SUM(T1796:V1796)</x:f>
        <x:v>8</x:v>
      </x:c>
      <x:c r="X1796" s="19" t="n">
        <x:f>W1796-G1796</x:f>
        <x:v>0</x:v>
      </x:c>
      <x:c r="Y1796" s="19" t="n">
        <x:f>MAX(T1796,1)+MAX(U1796,1)+MAX(V1796,1)</x:f>
        <x:v>8</x:v>
      </x:c>
      <x:c r="Z1796" s="21" t="str">
        <x:f>IF(AND(MIN(D1796:F1796)&gt;=0,MAX(D1796:F1796)&lt;=7,MAX(D1796,1)+MAX(E1796,1)+MAX(F1796,1)&lt;=9,OR(H1796="-",AND(H1796=0,D1796&gt;0),AND(H1796=1,E1796&gt;0),AND(H1796=2,F1796&gt;0)),OR(I1796=0,AND(I1796=1,OR(J1796=0,J1796=1,J1796=2),R1796&lt;&gt;"000")),Y1796&lt;=9,MIN(T1796:V1796)&gt;=0),"合法","输入违约")</x:f>
        <x:v>合法</x:v>
      </x:c>
    </x:row>
    <x:row r="1797" ht="23" customHeight="1">
      <x:c r="A1797" s="3" t="str">
        <x:v>CT-1790</x:v>
      </x:c>
      <x:c r="B1797" s="3" t="str">
        <x:v>ST-146</x:v>
      </x:c>
      <x:c r="C1797" s="3" t="str">
        <x:v>R+AR同收同发</x:v>
      </x:c>
      <x:c r="D1797" s="25" t="n">
        <x:v>3</x:v>
      </x:c>
      <x:c r="E1797" s="25" t="n">
        <x:v>3</x:v>
      </x:c>
      <x:c r="F1797" s="25" t="n">
        <x:v>2</x:v>
      </x:c>
      <x:c r="G1797" s="19" t="n">
        <x:f>SUM(D1797:F1797)</x:f>
        <x:v>8</x:v>
      </x:c>
      <x:c r="H1797" s="25" t="n">
        <x:v>0</x:v>
      </x:c>
      <x:c r="I1797" s="25" t="n">
        <x:v>1</x:v>
      </x:c>
      <x:c r="J1797" s="25" t="n">
        <x:v>1</x:v>
      </x:c>
      <x:c r="K1797" s="19" t="n">
        <x:f>D1797-IF(H1797=0,1,0)</x:f>
        <x:v>2</x:v>
      </x:c>
      <x:c r="L1797" s="19" t="n">
        <x:f>E1797-IF(H1797=1,1,0)</x:f>
        <x:v>3</x:v>
      </x:c>
      <x:c r="M1797" s="19" t="n">
        <x:f>F1797-IF(H1797=2,1,0)</x:f>
        <x:v>2</x:v>
      </x:c>
      <x:c r="N1797" s="19" t="n">
        <x:f>MAX(K1797-1,0)+MAX(L1797-1,0)+MAX(M1797-1,0)</x:f>
        <x:v>4</x:v>
      </x:c>
      <x:c r="O1797" s="19" t="n">
        <x:f>IF(AND(SUM(K1797:M1797)&lt;9,OR(M1797=0,N1797&lt;6)),1,0)</x:f>
        <x:v>1</x:v>
      </x:c>
      <x:c r="P1797" s="19" t="n">
        <x:f>IF(AND(SUM(K1797:M1797)&lt;9,OR(L1797=0,N1797&lt;6)),1,0)</x:f>
        <x:v>1</x:v>
      </x:c>
      <x:c r="Q1797" s="19" t="n">
        <x:f>IF(AND(SUM(K1797:M1797)&lt;9,OR(K1797=0,N1797&lt;6)),1,0)</x:f>
        <x:v>1</x:v>
      </x:c>
      <x:c r="R1797" s="22" t="str">
        <x:f>O1797&amp;P1797&amp;Q1797</x:f>
        <x:v>111</x:v>
      </x:c>
      <x:c r="S1797" s="19" t="n">
        <x:f>IF(I1797=1,IF(J1797=0,Q1797,IF(J1797=1,P1797,IF(J1797=2,O1797,0))),0)</x:f>
        <x:v>1</x:v>
      </x:c>
      <x:c r="T1797" s="19" t="n">
        <x:f>K1797+IF(AND(S1797=1,J1797=0),1,0)</x:f>
        <x:v>2</x:v>
      </x:c>
      <x:c r="U1797" s="19" t="n">
        <x:f>L1797+IF(AND(S1797=1,J1797=1),1,0)</x:f>
        <x:v>4</x:v>
      </x:c>
      <x:c r="V1797" s="19" t="n">
        <x:f>M1797+IF(AND(S1797=1,J1797=2),1,0)</x:f>
        <x:v>2</x:v>
      </x:c>
      <x:c r="W1797" s="19" t="n">
        <x:f>SUM(T1797:V1797)</x:f>
        <x:v>8</x:v>
      </x:c>
      <x:c r="X1797" s="19" t="n">
        <x:f>W1797-G1797</x:f>
        <x:v>0</x:v>
      </x:c>
      <x:c r="Y1797" s="19" t="n">
        <x:f>MAX(T1797,1)+MAX(U1797,1)+MAX(V1797,1)</x:f>
        <x:v>8</x:v>
      </x:c>
      <x:c r="Z1797" s="21" t="str">
        <x:f>IF(AND(MIN(D1797:F1797)&gt;=0,MAX(D1797:F1797)&lt;=7,MAX(D1797,1)+MAX(E1797,1)+MAX(F1797,1)&lt;=9,OR(H1797="-",AND(H1797=0,D1797&gt;0),AND(H1797=1,E1797&gt;0),AND(H1797=2,F1797&gt;0)),OR(I1797=0,AND(I1797=1,OR(J1797=0,J1797=1,J1797=2),R1797&lt;&gt;"000")),Y1797&lt;=9,MIN(T1797:V1797)&gt;=0),"合法","输入违约")</x:f>
        <x:v>合法</x:v>
      </x:c>
    </x:row>
    <x:row r="1798" ht="23" customHeight="1">
      <x:c r="A1798" s="3" t="str">
        <x:v>CT-1791</x:v>
      </x:c>
      <x:c r="B1798" s="3" t="str">
        <x:v>ST-146</x:v>
      </x:c>
      <x:c r="C1798" s="3" t="str">
        <x:v>R+AR同收同发</x:v>
      </x:c>
      <x:c r="D1798" s="25" t="n">
        <x:v>3</x:v>
      </x:c>
      <x:c r="E1798" s="25" t="n">
        <x:v>3</x:v>
      </x:c>
      <x:c r="F1798" s="25" t="n">
        <x:v>2</x:v>
      </x:c>
      <x:c r="G1798" s="19" t="n">
        <x:f>SUM(D1798:F1798)</x:f>
        <x:v>8</x:v>
      </x:c>
      <x:c r="H1798" s="25" t="n">
        <x:v>0</x:v>
      </x:c>
      <x:c r="I1798" s="25" t="n">
        <x:v>1</x:v>
      </x:c>
      <x:c r="J1798" s="25" t="n">
        <x:v>2</x:v>
      </x:c>
      <x:c r="K1798" s="19" t="n">
        <x:f>D1798-IF(H1798=0,1,0)</x:f>
        <x:v>2</x:v>
      </x:c>
      <x:c r="L1798" s="19" t="n">
        <x:f>E1798-IF(H1798=1,1,0)</x:f>
        <x:v>3</x:v>
      </x:c>
      <x:c r="M1798" s="19" t="n">
        <x:f>F1798-IF(H1798=2,1,0)</x:f>
        <x:v>2</x:v>
      </x:c>
      <x:c r="N1798" s="19" t="n">
        <x:f>MAX(K1798-1,0)+MAX(L1798-1,0)+MAX(M1798-1,0)</x:f>
        <x:v>4</x:v>
      </x:c>
      <x:c r="O1798" s="19" t="n">
        <x:f>IF(AND(SUM(K1798:M1798)&lt;9,OR(M1798=0,N1798&lt;6)),1,0)</x:f>
        <x:v>1</x:v>
      </x:c>
      <x:c r="P1798" s="19" t="n">
        <x:f>IF(AND(SUM(K1798:M1798)&lt;9,OR(L1798=0,N1798&lt;6)),1,0)</x:f>
        <x:v>1</x:v>
      </x:c>
      <x:c r="Q1798" s="19" t="n">
        <x:f>IF(AND(SUM(K1798:M1798)&lt;9,OR(K1798=0,N1798&lt;6)),1,0)</x:f>
        <x:v>1</x:v>
      </x:c>
      <x:c r="R1798" s="22" t="str">
        <x:f>O1798&amp;P1798&amp;Q1798</x:f>
        <x:v>111</x:v>
      </x:c>
      <x:c r="S1798" s="19" t="n">
        <x:f>IF(I1798=1,IF(J1798=0,Q1798,IF(J1798=1,P1798,IF(J1798=2,O1798,0))),0)</x:f>
        <x:v>1</x:v>
      </x:c>
      <x:c r="T1798" s="19" t="n">
        <x:f>K1798+IF(AND(S1798=1,J1798=0),1,0)</x:f>
        <x:v>2</x:v>
      </x:c>
      <x:c r="U1798" s="19" t="n">
        <x:f>L1798+IF(AND(S1798=1,J1798=1),1,0)</x:f>
        <x:v>3</x:v>
      </x:c>
      <x:c r="V1798" s="19" t="n">
        <x:f>M1798+IF(AND(S1798=1,J1798=2),1,0)</x:f>
        <x:v>3</x:v>
      </x:c>
      <x:c r="W1798" s="19" t="n">
        <x:f>SUM(T1798:V1798)</x:f>
        <x:v>8</x:v>
      </x:c>
      <x:c r="X1798" s="19" t="n">
        <x:f>W1798-G1798</x:f>
        <x:v>0</x:v>
      </x:c>
      <x:c r="Y1798" s="19" t="n">
        <x:f>MAX(T1798,1)+MAX(U1798,1)+MAX(V1798,1)</x:f>
        <x:v>8</x:v>
      </x:c>
      <x:c r="Z1798" s="21" t="str">
        <x:f>IF(AND(MIN(D1798:F1798)&gt;=0,MAX(D1798:F1798)&lt;=7,MAX(D1798,1)+MAX(E1798,1)+MAX(F1798,1)&lt;=9,OR(H1798="-",AND(H1798=0,D1798&gt;0),AND(H1798=1,E1798&gt;0),AND(H1798=2,F1798&gt;0)),OR(I1798=0,AND(I1798=1,OR(J1798=0,J1798=1,J1798=2),R1798&lt;&gt;"000")),Y1798&lt;=9,MIN(T1798:V1798)&gt;=0),"合法","输入违约")</x:f>
        <x:v>合法</x:v>
      </x:c>
    </x:row>
    <x:row r="1799" ht="23" customHeight="1">
      <x:c r="A1799" s="3" t="str">
        <x:v>CT-1792</x:v>
      </x:c>
      <x:c r="B1799" s="3" t="str">
        <x:v>ST-146</x:v>
      </x:c>
      <x:c r="C1799" s="3" t="str">
        <x:v>仅R回收</x:v>
      </x:c>
      <x:c r="D1799" s="25" t="n">
        <x:v>3</x:v>
      </x:c>
      <x:c r="E1799" s="25" t="n">
        <x:v>3</x:v>
      </x:c>
      <x:c r="F1799" s="25" t="n">
        <x:v>2</x:v>
      </x:c>
      <x:c r="G1799" s="19" t="n">
        <x:f>SUM(D1799:F1799)</x:f>
        <x:v>8</x:v>
      </x:c>
      <x:c r="H1799" s="25" t="n">
        <x:v>1</x:v>
      </x:c>
      <x:c r="I1799" s="25" t="n">
        <x:v>0</x:v>
      </x:c>
      <x:c r="J1799" s="25" t="str">
        <x:v>-</x:v>
      </x:c>
      <x:c r="K1799" s="19" t="n">
        <x:f>D1799-IF(H1799=0,1,0)</x:f>
        <x:v>3</x:v>
      </x:c>
      <x:c r="L1799" s="19" t="n">
        <x:f>E1799-IF(H1799=1,1,0)</x:f>
        <x:v>2</x:v>
      </x:c>
      <x:c r="M1799" s="19" t="n">
        <x:f>F1799-IF(H1799=2,1,0)</x:f>
        <x:v>2</x:v>
      </x:c>
      <x:c r="N1799" s="19" t="n">
        <x:f>MAX(K1799-1,0)+MAX(L1799-1,0)+MAX(M1799-1,0)</x:f>
        <x:v>4</x:v>
      </x:c>
      <x:c r="O1799" s="19" t="n">
        <x:f>IF(AND(SUM(K1799:M1799)&lt;9,OR(M1799=0,N1799&lt;6)),1,0)</x:f>
        <x:v>1</x:v>
      </x:c>
      <x:c r="P1799" s="19" t="n">
        <x:f>IF(AND(SUM(K1799:M1799)&lt;9,OR(L1799=0,N1799&lt;6)),1,0)</x:f>
        <x:v>1</x:v>
      </x:c>
      <x:c r="Q1799" s="19" t="n">
        <x:f>IF(AND(SUM(K1799:M1799)&lt;9,OR(K1799=0,N1799&lt;6)),1,0)</x:f>
        <x:v>1</x:v>
      </x:c>
      <x:c r="R1799" s="22" t="str">
        <x:f>O1799&amp;P1799&amp;Q1799</x:f>
        <x:v>111</x:v>
      </x:c>
      <x:c r="S1799" s="19" t="n">
        <x:f>IF(I1799=1,IF(J1799=0,Q1799,IF(J1799=1,P1799,IF(J1799=2,O1799,0))),0)</x:f>
        <x:v>0</x:v>
      </x:c>
      <x:c r="T1799" s="19" t="n">
        <x:f>K1799+IF(AND(S1799=1,J1799=0),1,0)</x:f>
        <x:v>3</x:v>
      </x:c>
      <x:c r="U1799" s="19" t="n">
        <x:f>L1799+IF(AND(S1799=1,J1799=1),1,0)</x:f>
        <x:v>2</x:v>
      </x:c>
      <x:c r="V1799" s="19" t="n">
        <x:f>M1799+IF(AND(S1799=1,J1799=2),1,0)</x:f>
        <x:v>2</x:v>
      </x:c>
      <x:c r="W1799" s="19" t="n">
        <x:f>SUM(T1799:V1799)</x:f>
        <x:v>7</x:v>
      </x:c>
      <x:c r="X1799" s="19" t="n">
        <x:f>W1799-G1799</x:f>
        <x:v>-1</x:v>
      </x:c>
      <x:c r="Y1799" s="19" t="n">
        <x:f>MAX(T1799,1)+MAX(U1799,1)+MAX(V1799,1)</x:f>
        <x:v>7</x:v>
      </x:c>
      <x:c r="Z1799" s="21" t="str">
        <x:f>IF(AND(MIN(D1799:F1799)&gt;=0,MAX(D1799:F1799)&lt;=7,MAX(D1799,1)+MAX(E1799,1)+MAX(F1799,1)&lt;=9,OR(H1799="-",AND(H1799=0,D1799&gt;0),AND(H1799=1,E1799&gt;0),AND(H1799=2,F1799&gt;0)),OR(I1799=0,AND(I1799=1,OR(J1799=0,J1799=1,J1799=2),R1799&lt;&gt;"000")),Y1799&lt;=9,MIN(T1799:V1799)&gt;=0),"合法","输入违约")</x:f>
        <x:v>合法</x:v>
      </x:c>
    </x:row>
    <x:row r="1800" ht="23" customHeight="1">
      <x:c r="A1800" s="3" t="str">
        <x:v>CT-1793</x:v>
      </x:c>
      <x:c r="B1800" s="3" t="str">
        <x:v>ST-146</x:v>
      </x:c>
      <x:c r="C1800" s="3" t="str">
        <x:v>R+AR同收同发</x:v>
      </x:c>
      <x:c r="D1800" s="25" t="n">
        <x:v>3</x:v>
      </x:c>
      <x:c r="E1800" s="25" t="n">
        <x:v>3</x:v>
      </x:c>
      <x:c r="F1800" s="25" t="n">
        <x:v>2</x:v>
      </x:c>
      <x:c r="G1800" s="19" t="n">
        <x:f>SUM(D1800:F1800)</x:f>
        <x:v>8</x:v>
      </x:c>
      <x:c r="H1800" s="25" t="n">
        <x:v>1</x:v>
      </x:c>
      <x:c r="I1800" s="25" t="n">
        <x:v>1</x:v>
      </x:c>
      <x:c r="J1800" s="25" t="n">
        <x:v>0</x:v>
      </x:c>
      <x:c r="K1800" s="19" t="n">
        <x:f>D1800-IF(H1800=0,1,0)</x:f>
        <x:v>3</x:v>
      </x:c>
      <x:c r="L1800" s="19" t="n">
        <x:f>E1800-IF(H1800=1,1,0)</x:f>
        <x:v>2</x:v>
      </x:c>
      <x:c r="M1800" s="19" t="n">
        <x:f>F1800-IF(H1800=2,1,0)</x:f>
        <x:v>2</x:v>
      </x:c>
      <x:c r="N1800" s="19" t="n">
        <x:f>MAX(K1800-1,0)+MAX(L1800-1,0)+MAX(M1800-1,0)</x:f>
        <x:v>4</x:v>
      </x:c>
      <x:c r="O1800" s="19" t="n">
        <x:f>IF(AND(SUM(K1800:M1800)&lt;9,OR(M1800=0,N1800&lt;6)),1,0)</x:f>
        <x:v>1</x:v>
      </x:c>
      <x:c r="P1800" s="19" t="n">
        <x:f>IF(AND(SUM(K1800:M1800)&lt;9,OR(L1800=0,N1800&lt;6)),1,0)</x:f>
        <x:v>1</x:v>
      </x:c>
      <x:c r="Q1800" s="19" t="n">
        <x:f>IF(AND(SUM(K1800:M1800)&lt;9,OR(K1800=0,N1800&lt;6)),1,0)</x:f>
        <x:v>1</x:v>
      </x:c>
      <x:c r="R1800" s="22" t="str">
        <x:f>O1800&amp;P1800&amp;Q1800</x:f>
        <x:v>111</x:v>
      </x:c>
      <x:c r="S1800" s="19" t="n">
        <x:f>IF(I1800=1,IF(J1800=0,Q1800,IF(J1800=1,P1800,IF(J1800=2,O1800,0))),0)</x:f>
        <x:v>1</x:v>
      </x:c>
      <x:c r="T1800" s="19" t="n">
        <x:f>K1800+IF(AND(S1800=1,J1800=0),1,0)</x:f>
        <x:v>4</x:v>
      </x:c>
      <x:c r="U1800" s="19" t="n">
        <x:f>L1800+IF(AND(S1800=1,J1800=1),1,0)</x:f>
        <x:v>2</x:v>
      </x:c>
      <x:c r="V1800" s="19" t="n">
        <x:f>M1800+IF(AND(S1800=1,J1800=2),1,0)</x:f>
        <x:v>2</x:v>
      </x:c>
      <x:c r="W1800" s="19" t="n">
        <x:f>SUM(T1800:V1800)</x:f>
        <x:v>8</x:v>
      </x:c>
      <x:c r="X1800" s="19" t="n">
        <x:f>W1800-G1800</x:f>
        <x:v>0</x:v>
      </x:c>
      <x:c r="Y1800" s="19" t="n">
        <x:f>MAX(T1800,1)+MAX(U1800,1)+MAX(V1800,1)</x:f>
        <x:v>8</x:v>
      </x:c>
      <x:c r="Z1800" s="21" t="str">
        <x:f>IF(AND(MIN(D1800:F1800)&gt;=0,MAX(D1800:F1800)&lt;=7,MAX(D1800,1)+MAX(E1800,1)+MAX(F1800,1)&lt;=9,OR(H1800="-",AND(H1800=0,D1800&gt;0),AND(H1800=1,E1800&gt;0),AND(H1800=2,F1800&gt;0)),OR(I1800=0,AND(I1800=1,OR(J1800=0,J1800=1,J1800=2),R1800&lt;&gt;"000")),Y1800&lt;=9,MIN(T1800:V1800)&gt;=0),"合法","输入违约")</x:f>
        <x:v>合法</x:v>
      </x:c>
    </x:row>
    <x:row r="1801" ht="23" customHeight="1">
      <x:c r="A1801" s="3" t="str">
        <x:v>CT-1794</x:v>
      </x:c>
      <x:c r="B1801" s="3" t="str">
        <x:v>ST-146</x:v>
      </x:c>
      <x:c r="C1801" s="3" t="str">
        <x:v>R+AR同收同发</x:v>
      </x:c>
      <x:c r="D1801" s="25" t="n">
        <x:v>3</x:v>
      </x:c>
      <x:c r="E1801" s="25" t="n">
        <x:v>3</x:v>
      </x:c>
      <x:c r="F1801" s="25" t="n">
        <x:v>2</x:v>
      </x:c>
      <x:c r="G1801" s="19" t="n">
        <x:f>SUM(D1801:F1801)</x:f>
        <x:v>8</x:v>
      </x:c>
      <x:c r="H1801" s="25" t="n">
        <x:v>1</x:v>
      </x:c>
      <x:c r="I1801" s="25" t="n">
        <x:v>1</x:v>
      </x:c>
      <x:c r="J1801" s="25" t="n">
        <x:v>1</x:v>
      </x:c>
      <x:c r="K1801" s="19" t="n">
        <x:f>D1801-IF(H1801=0,1,0)</x:f>
        <x:v>3</x:v>
      </x:c>
      <x:c r="L1801" s="19" t="n">
        <x:f>E1801-IF(H1801=1,1,0)</x:f>
        <x:v>2</x:v>
      </x:c>
      <x:c r="M1801" s="19" t="n">
        <x:f>F1801-IF(H1801=2,1,0)</x:f>
        <x:v>2</x:v>
      </x:c>
      <x:c r="N1801" s="19" t="n">
        <x:f>MAX(K1801-1,0)+MAX(L1801-1,0)+MAX(M1801-1,0)</x:f>
        <x:v>4</x:v>
      </x:c>
      <x:c r="O1801" s="19" t="n">
        <x:f>IF(AND(SUM(K1801:M1801)&lt;9,OR(M1801=0,N1801&lt;6)),1,0)</x:f>
        <x:v>1</x:v>
      </x:c>
      <x:c r="P1801" s="19" t="n">
        <x:f>IF(AND(SUM(K1801:M1801)&lt;9,OR(L1801=0,N1801&lt;6)),1,0)</x:f>
        <x:v>1</x:v>
      </x:c>
      <x:c r="Q1801" s="19" t="n">
        <x:f>IF(AND(SUM(K1801:M1801)&lt;9,OR(K1801=0,N1801&lt;6)),1,0)</x:f>
        <x:v>1</x:v>
      </x:c>
      <x:c r="R1801" s="22" t="str">
        <x:f>O1801&amp;P1801&amp;Q1801</x:f>
        <x:v>111</x:v>
      </x:c>
      <x:c r="S1801" s="19" t="n">
        <x:f>IF(I1801=1,IF(J1801=0,Q1801,IF(J1801=1,P1801,IF(J1801=2,O1801,0))),0)</x:f>
        <x:v>1</x:v>
      </x:c>
      <x:c r="T1801" s="19" t="n">
        <x:f>K1801+IF(AND(S1801=1,J1801=0),1,0)</x:f>
        <x:v>3</x:v>
      </x:c>
      <x:c r="U1801" s="19" t="n">
        <x:f>L1801+IF(AND(S1801=1,J1801=1),1,0)</x:f>
        <x:v>3</x:v>
      </x:c>
      <x:c r="V1801" s="19" t="n">
        <x:f>M1801+IF(AND(S1801=1,J1801=2),1,0)</x:f>
        <x:v>2</x:v>
      </x:c>
      <x:c r="W1801" s="19" t="n">
        <x:f>SUM(T1801:V1801)</x:f>
        <x:v>8</x:v>
      </x:c>
      <x:c r="X1801" s="19" t="n">
        <x:f>W1801-G1801</x:f>
        <x:v>0</x:v>
      </x:c>
      <x:c r="Y1801" s="19" t="n">
        <x:f>MAX(T1801,1)+MAX(U1801,1)+MAX(V1801,1)</x:f>
        <x:v>8</x:v>
      </x:c>
      <x:c r="Z1801" s="21" t="str">
        <x:f>IF(AND(MIN(D1801:F1801)&gt;=0,MAX(D1801:F1801)&lt;=7,MAX(D1801,1)+MAX(E1801,1)+MAX(F1801,1)&lt;=9,OR(H1801="-",AND(H1801=0,D1801&gt;0),AND(H1801=1,E1801&gt;0),AND(H1801=2,F1801&gt;0)),OR(I1801=0,AND(I1801=1,OR(J1801=0,J1801=1,J1801=2),R1801&lt;&gt;"000")),Y1801&lt;=9,MIN(T1801:V1801)&gt;=0),"合法","输入违约")</x:f>
        <x:v>合法</x:v>
      </x:c>
    </x:row>
    <x:row r="1802" ht="23" customHeight="1">
      <x:c r="A1802" s="3" t="str">
        <x:v>CT-1795</x:v>
      </x:c>
      <x:c r="B1802" s="3" t="str">
        <x:v>ST-146</x:v>
      </x:c>
      <x:c r="C1802" s="3" t="str">
        <x:v>R+AR同收同发</x:v>
      </x:c>
      <x:c r="D1802" s="25" t="n">
        <x:v>3</x:v>
      </x:c>
      <x:c r="E1802" s="25" t="n">
        <x:v>3</x:v>
      </x:c>
      <x:c r="F1802" s="25" t="n">
        <x:v>2</x:v>
      </x:c>
      <x:c r="G1802" s="19" t="n">
        <x:f>SUM(D1802:F1802)</x:f>
        <x:v>8</x:v>
      </x:c>
      <x:c r="H1802" s="25" t="n">
        <x:v>1</x:v>
      </x:c>
      <x:c r="I1802" s="25" t="n">
        <x:v>1</x:v>
      </x:c>
      <x:c r="J1802" s="25" t="n">
        <x:v>2</x:v>
      </x:c>
      <x:c r="K1802" s="19" t="n">
        <x:f>D1802-IF(H1802=0,1,0)</x:f>
        <x:v>3</x:v>
      </x:c>
      <x:c r="L1802" s="19" t="n">
        <x:f>E1802-IF(H1802=1,1,0)</x:f>
        <x:v>2</x:v>
      </x:c>
      <x:c r="M1802" s="19" t="n">
        <x:f>F1802-IF(H1802=2,1,0)</x:f>
        <x:v>2</x:v>
      </x:c>
      <x:c r="N1802" s="19" t="n">
        <x:f>MAX(K1802-1,0)+MAX(L1802-1,0)+MAX(M1802-1,0)</x:f>
        <x:v>4</x:v>
      </x:c>
      <x:c r="O1802" s="19" t="n">
        <x:f>IF(AND(SUM(K1802:M1802)&lt;9,OR(M1802=0,N1802&lt;6)),1,0)</x:f>
        <x:v>1</x:v>
      </x:c>
      <x:c r="P1802" s="19" t="n">
        <x:f>IF(AND(SUM(K1802:M1802)&lt;9,OR(L1802=0,N1802&lt;6)),1,0)</x:f>
        <x:v>1</x:v>
      </x:c>
      <x:c r="Q1802" s="19" t="n">
        <x:f>IF(AND(SUM(K1802:M1802)&lt;9,OR(K1802=0,N1802&lt;6)),1,0)</x:f>
        <x:v>1</x:v>
      </x:c>
      <x:c r="R1802" s="22" t="str">
        <x:f>O1802&amp;P1802&amp;Q1802</x:f>
        <x:v>111</x:v>
      </x:c>
      <x:c r="S1802" s="19" t="n">
        <x:f>IF(I1802=1,IF(J1802=0,Q1802,IF(J1802=1,P1802,IF(J1802=2,O1802,0))),0)</x:f>
        <x:v>1</x:v>
      </x:c>
      <x:c r="T1802" s="19" t="n">
        <x:f>K1802+IF(AND(S1802=1,J1802=0),1,0)</x:f>
        <x:v>3</x:v>
      </x:c>
      <x:c r="U1802" s="19" t="n">
        <x:f>L1802+IF(AND(S1802=1,J1802=1),1,0)</x:f>
        <x:v>2</x:v>
      </x:c>
      <x:c r="V1802" s="19" t="n">
        <x:f>M1802+IF(AND(S1802=1,J1802=2),1,0)</x:f>
        <x:v>3</x:v>
      </x:c>
      <x:c r="W1802" s="19" t="n">
        <x:f>SUM(T1802:V1802)</x:f>
        <x:v>8</x:v>
      </x:c>
      <x:c r="X1802" s="19" t="n">
        <x:f>W1802-G1802</x:f>
        <x:v>0</x:v>
      </x:c>
      <x:c r="Y1802" s="19" t="n">
        <x:f>MAX(T1802,1)+MAX(U1802,1)+MAX(V1802,1)</x:f>
        <x:v>8</x:v>
      </x:c>
      <x:c r="Z1802" s="21" t="str">
        <x:f>IF(AND(MIN(D1802:F1802)&gt;=0,MAX(D1802:F1802)&lt;=7,MAX(D1802,1)+MAX(E1802,1)+MAX(F1802,1)&lt;=9,OR(H1802="-",AND(H1802=0,D1802&gt;0),AND(H1802=1,E1802&gt;0),AND(H1802=2,F1802&gt;0)),OR(I1802=0,AND(I1802=1,OR(J1802=0,J1802=1,J1802=2),R1802&lt;&gt;"000")),Y1802&lt;=9,MIN(T1802:V1802)&gt;=0),"合法","输入违约")</x:f>
        <x:v>合法</x:v>
      </x:c>
    </x:row>
    <x:row r="1803" ht="23" customHeight="1">
      <x:c r="A1803" s="3" t="str">
        <x:v>CT-1796</x:v>
      </x:c>
      <x:c r="B1803" s="3" t="str">
        <x:v>ST-146</x:v>
      </x:c>
      <x:c r="C1803" s="3" t="str">
        <x:v>仅R回收</x:v>
      </x:c>
      <x:c r="D1803" s="25" t="n">
        <x:v>3</x:v>
      </x:c>
      <x:c r="E1803" s="25" t="n">
        <x:v>3</x:v>
      </x:c>
      <x:c r="F1803" s="25" t="n">
        <x:v>2</x:v>
      </x:c>
      <x:c r="G1803" s="19" t="n">
        <x:f>SUM(D1803:F1803)</x:f>
        <x:v>8</x:v>
      </x:c>
      <x:c r="H1803" s="25" t="n">
        <x:v>2</x:v>
      </x:c>
      <x:c r="I1803" s="25" t="n">
        <x:v>0</x:v>
      </x:c>
      <x:c r="J1803" s="25" t="str">
        <x:v>-</x:v>
      </x:c>
      <x:c r="K1803" s="19" t="n">
        <x:f>D1803-IF(H1803=0,1,0)</x:f>
        <x:v>3</x:v>
      </x:c>
      <x:c r="L1803" s="19" t="n">
        <x:f>E1803-IF(H1803=1,1,0)</x:f>
        <x:v>3</x:v>
      </x:c>
      <x:c r="M1803" s="19" t="n">
        <x:f>F1803-IF(H1803=2,1,0)</x:f>
        <x:v>1</x:v>
      </x:c>
      <x:c r="N1803" s="19" t="n">
        <x:f>MAX(K1803-1,0)+MAX(L1803-1,0)+MAX(M1803-1,0)</x:f>
        <x:v>4</x:v>
      </x:c>
      <x:c r="O1803" s="19" t="n">
        <x:f>IF(AND(SUM(K1803:M1803)&lt;9,OR(M1803=0,N1803&lt;6)),1,0)</x:f>
        <x:v>1</x:v>
      </x:c>
      <x:c r="P1803" s="19" t="n">
        <x:f>IF(AND(SUM(K1803:M1803)&lt;9,OR(L1803=0,N1803&lt;6)),1,0)</x:f>
        <x:v>1</x:v>
      </x:c>
      <x:c r="Q1803" s="19" t="n">
        <x:f>IF(AND(SUM(K1803:M1803)&lt;9,OR(K1803=0,N1803&lt;6)),1,0)</x:f>
        <x:v>1</x:v>
      </x:c>
      <x:c r="R1803" s="22" t="str">
        <x:f>O1803&amp;P1803&amp;Q1803</x:f>
        <x:v>111</x:v>
      </x:c>
      <x:c r="S1803" s="19" t="n">
        <x:f>IF(I1803=1,IF(J1803=0,Q1803,IF(J1803=1,P1803,IF(J1803=2,O1803,0))),0)</x:f>
        <x:v>0</x:v>
      </x:c>
      <x:c r="T1803" s="19" t="n">
        <x:f>K1803+IF(AND(S1803=1,J1803=0),1,0)</x:f>
        <x:v>3</x:v>
      </x:c>
      <x:c r="U1803" s="19" t="n">
        <x:f>L1803+IF(AND(S1803=1,J1803=1),1,0)</x:f>
        <x:v>3</x:v>
      </x:c>
      <x:c r="V1803" s="19" t="n">
        <x:f>M1803+IF(AND(S1803=1,J1803=2),1,0)</x:f>
        <x:v>1</x:v>
      </x:c>
      <x:c r="W1803" s="19" t="n">
        <x:f>SUM(T1803:V1803)</x:f>
        <x:v>7</x:v>
      </x:c>
      <x:c r="X1803" s="19" t="n">
        <x:f>W1803-G1803</x:f>
        <x:v>-1</x:v>
      </x:c>
      <x:c r="Y1803" s="19" t="n">
        <x:f>MAX(T1803,1)+MAX(U1803,1)+MAX(V1803,1)</x:f>
        <x:v>7</x:v>
      </x:c>
      <x:c r="Z1803" s="21" t="str">
        <x:f>IF(AND(MIN(D1803:F1803)&gt;=0,MAX(D1803:F1803)&lt;=7,MAX(D1803,1)+MAX(E1803,1)+MAX(F1803,1)&lt;=9,OR(H1803="-",AND(H1803=0,D1803&gt;0),AND(H1803=1,E1803&gt;0),AND(H1803=2,F1803&gt;0)),OR(I1803=0,AND(I1803=1,OR(J1803=0,J1803=1,J1803=2),R1803&lt;&gt;"000")),Y1803&lt;=9,MIN(T1803:V1803)&gt;=0),"合法","输入违约")</x:f>
        <x:v>合法</x:v>
      </x:c>
    </x:row>
    <x:row r="1804" ht="23" customHeight="1">
      <x:c r="A1804" s="3" t="str">
        <x:v>CT-1797</x:v>
      </x:c>
      <x:c r="B1804" s="3" t="str">
        <x:v>ST-146</x:v>
      </x:c>
      <x:c r="C1804" s="3" t="str">
        <x:v>R+AR同收同发</x:v>
      </x:c>
      <x:c r="D1804" s="25" t="n">
        <x:v>3</x:v>
      </x:c>
      <x:c r="E1804" s="25" t="n">
        <x:v>3</x:v>
      </x:c>
      <x:c r="F1804" s="25" t="n">
        <x:v>2</x:v>
      </x:c>
      <x:c r="G1804" s="19" t="n">
        <x:f>SUM(D1804:F1804)</x:f>
        <x:v>8</x:v>
      </x:c>
      <x:c r="H1804" s="25" t="n">
        <x:v>2</x:v>
      </x:c>
      <x:c r="I1804" s="25" t="n">
        <x:v>1</x:v>
      </x:c>
      <x:c r="J1804" s="25" t="n">
        <x:v>0</x:v>
      </x:c>
      <x:c r="K1804" s="19" t="n">
        <x:f>D1804-IF(H1804=0,1,0)</x:f>
        <x:v>3</x:v>
      </x:c>
      <x:c r="L1804" s="19" t="n">
        <x:f>E1804-IF(H1804=1,1,0)</x:f>
        <x:v>3</x:v>
      </x:c>
      <x:c r="M1804" s="19" t="n">
        <x:f>F1804-IF(H1804=2,1,0)</x:f>
        <x:v>1</x:v>
      </x:c>
      <x:c r="N1804" s="19" t="n">
        <x:f>MAX(K1804-1,0)+MAX(L1804-1,0)+MAX(M1804-1,0)</x:f>
        <x:v>4</x:v>
      </x:c>
      <x:c r="O1804" s="19" t="n">
        <x:f>IF(AND(SUM(K1804:M1804)&lt;9,OR(M1804=0,N1804&lt;6)),1,0)</x:f>
        <x:v>1</x:v>
      </x:c>
      <x:c r="P1804" s="19" t="n">
        <x:f>IF(AND(SUM(K1804:M1804)&lt;9,OR(L1804=0,N1804&lt;6)),1,0)</x:f>
        <x:v>1</x:v>
      </x:c>
      <x:c r="Q1804" s="19" t="n">
        <x:f>IF(AND(SUM(K1804:M1804)&lt;9,OR(K1804=0,N1804&lt;6)),1,0)</x:f>
        <x:v>1</x:v>
      </x:c>
      <x:c r="R1804" s="22" t="str">
        <x:f>O1804&amp;P1804&amp;Q1804</x:f>
        <x:v>111</x:v>
      </x:c>
      <x:c r="S1804" s="19" t="n">
        <x:f>IF(I1804=1,IF(J1804=0,Q1804,IF(J1804=1,P1804,IF(J1804=2,O1804,0))),0)</x:f>
        <x:v>1</x:v>
      </x:c>
      <x:c r="T1804" s="19" t="n">
        <x:f>K1804+IF(AND(S1804=1,J1804=0),1,0)</x:f>
        <x:v>4</x:v>
      </x:c>
      <x:c r="U1804" s="19" t="n">
        <x:f>L1804+IF(AND(S1804=1,J1804=1),1,0)</x:f>
        <x:v>3</x:v>
      </x:c>
      <x:c r="V1804" s="19" t="n">
        <x:f>M1804+IF(AND(S1804=1,J1804=2),1,0)</x:f>
        <x:v>1</x:v>
      </x:c>
      <x:c r="W1804" s="19" t="n">
        <x:f>SUM(T1804:V1804)</x:f>
        <x:v>8</x:v>
      </x:c>
      <x:c r="X1804" s="19" t="n">
        <x:f>W1804-G1804</x:f>
        <x:v>0</x:v>
      </x:c>
      <x:c r="Y1804" s="19" t="n">
        <x:f>MAX(T1804,1)+MAX(U1804,1)+MAX(V1804,1)</x:f>
        <x:v>8</x:v>
      </x:c>
      <x:c r="Z1804" s="21" t="str">
        <x:f>IF(AND(MIN(D1804:F1804)&gt;=0,MAX(D1804:F1804)&lt;=7,MAX(D1804,1)+MAX(E1804,1)+MAX(F1804,1)&lt;=9,OR(H1804="-",AND(H1804=0,D1804&gt;0),AND(H1804=1,E1804&gt;0),AND(H1804=2,F1804&gt;0)),OR(I1804=0,AND(I1804=1,OR(J1804=0,J1804=1,J1804=2),R1804&lt;&gt;"000")),Y1804&lt;=9,MIN(T1804:V1804)&gt;=0),"合法","输入违约")</x:f>
        <x:v>合法</x:v>
      </x:c>
    </x:row>
    <x:row r="1805" ht="23" customHeight="1">
      <x:c r="A1805" s="3" t="str">
        <x:v>CT-1798</x:v>
      </x:c>
      <x:c r="B1805" s="3" t="str">
        <x:v>ST-146</x:v>
      </x:c>
      <x:c r="C1805" s="3" t="str">
        <x:v>R+AR同收同发</x:v>
      </x:c>
      <x:c r="D1805" s="25" t="n">
        <x:v>3</x:v>
      </x:c>
      <x:c r="E1805" s="25" t="n">
        <x:v>3</x:v>
      </x:c>
      <x:c r="F1805" s="25" t="n">
        <x:v>2</x:v>
      </x:c>
      <x:c r="G1805" s="19" t="n">
        <x:f>SUM(D1805:F1805)</x:f>
        <x:v>8</x:v>
      </x:c>
      <x:c r="H1805" s="25" t="n">
        <x:v>2</x:v>
      </x:c>
      <x:c r="I1805" s="25" t="n">
        <x:v>1</x:v>
      </x:c>
      <x:c r="J1805" s="25" t="n">
        <x:v>1</x:v>
      </x:c>
      <x:c r="K1805" s="19" t="n">
        <x:f>D1805-IF(H1805=0,1,0)</x:f>
        <x:v>3</x:v>
      </x:c>
      <x:c r="L1805" s="19" t="n">
        <x:f>E1805-IF(H1805=1,1,0)</x:f>
        <x:v>3</x:v>
      </x:c>
      <x:c r="M1805" s="19" t="n">
        <x:f>F1805-IF(H1805=2,1,0)</x:f>
        <x:v>1</x:v>
      </x:c>
      <x:c r="N1805" s="19" t="n">
        <x:f>MAX(K1805-1,0)+MAX(L1805-1,0)+MAX(M1805-1,0)</x:f>
        <x:v>4</x:v>
      </x:c>
      <x:c r="O1805" s="19" t="n">
        <x:f>IF(AND(SUM(K1805:M1805)&lt;9,OR(M1805=0,N1805&lt;6)),1,0)</x:f>
        <x:v>1</x:v>
      </x:c>
      <x:c r="P1805" s="19" t="n">
        <x:f>IF(AND(SUM(K1805:M1805)&lt;9,OR(L1805=0,N1805&lt;6)),1,0)</x:f>
        <x:v>1</x:v>
      </x:c>
      <x:c r="Q1805" s="19" t="n">
        <x:f>IF(AND(SUM(K1805:M1805)&lt;9,OR(K1805=0,N1805&lt;6)),1,0)</x:f>
        <x:v>1</x:v>
      </x:c>
      <x:c r="R1805" s="22" t="str">
        <x:f>O1805&amp;P1805&amp;Q1805</x:f>
        <x:v>111</x:v>
      </x:c>
      <x:c r="S1805" s="19" t="n">
        <x:f>IF(I1805=1,IF(J1805=0,Q1805,IF(J1805=1,P1805,IF(J1805=2,O1805,0))),0)</x:f>
        <x:v>1</x:v>
      </x:c>
      <x:c r="T1805" s="19" t="n">
        <x:f>K1805+IF(AND(S1805=1,J1805=0),1,0)</x:f>
        <x:v>3</x:v>
      </x:c>
      <x:c r="U1805" s="19" t="n">
        <x:f>L1805+IF(AND(S1805=1,J1805=1),1,0)</x:f>
        <x:v>4</x:v>
      </x:c>
      <x:c r="V1805" s="19" t="n">
        <x:f>M1805+IF(AND(S1805=1,J1805=2),1,0)</x:f>
        <x:v>1</x:v>
      </x:c>
      <x:c r="W1805" s="19" t="n">
        <x:f>SUM(T1805:V1805)</x:f>
        <x:v>8</x:v>
      </x:c>
      <x:c r="X1805" s="19" t="n">
        <x:f>W1805-G1805</x:f>
        <x:v>0</x:v>
      </x:c>
      <x:c r="Y1805" s="19" t="n">
        <x:f>MAX(T1805,1)+MAX(U1805,1)+MAX(V1805,1)</x:f>
        <x:v>8</x:v>
      </x:c>
      <x:c r="Z1805" s="21" t="str">
        <x:f>IF(AND(MIN(D1805:F1805)&gt;=0,MAX(D1805:F1805)&lt;=7,MAX(D1805,1)+MAX(E1805,1)+MAX(F1805,1)&lt;=9,OR(H1805="-",AND(H1805=0,D1805&gt;0),AND(H1805=1,E1805&gt;0),AND(H1805=2,F1805&gt;0)),OR(I1805=0,AND(I1805=1,OR(J1805=0,J1805=1,J1805=2),R1805&lt;&gt;"000")),Y1805&lt;=9,MIN(T1805:V1805)&gt;=0),"合法","输入违约")</x:f>
        <x:v>合法</x:v>
      </x:c>
    </x:row>
    <x:row r="1806" ht="23" customHeight="1">
      <x:c r="A1806" s="3" t="str">
        <x:v>CT-1799</x:v>
      </x:c>
      <x:c r="B1806" s="3" t="str">
        <x:v>ST-146</x:v>
      </x:c>
      <x:c r="C1806" s="3" t="str">
        <x:v>R+AR同收同发</x:v>
      </x:c>
      <x:c r="D1806" s="25" t="n">
        <x:v>3</x:v>
      </x:c>
      <x:c r="E1806" s="25" t="n">
        <x:v>3</x:v>
      </x:c>
      <x:c r="F1806" s="25" t="n">
        <x:v>2</x:v>
      </x:c>
      <x:c r="G1806" s="19" t="n">
        <x:f>SUM(D1806:F1806)</x:f>
        <x:v>8</x:v>
      </x:c>
      <x:c r="H1806" s="25" t="n">
        <x:v>2</x:v>
      </x:c>
      <x:c r="I1806" s="25" t="n">
        <x:v>1</x:v>
      </x:c>
      <x:c r="J1806" s="25" t="n">
        <x:v>2</x:v>
      </x:c>
      <x:c r="K1806" s="19" t="n">
        <x:f>D1806-IF(H1806=0,1,0)</x:f>
        <x:v>3</x:v>
      </x:c>
      <x:c r="L1806" s="19" t="n">
        <x:f>E1806-IF(H1806=1,1,0)</x:f>
        <x:v>3</x:v>
      </x:c>
      <x:c r="M1806" s="19" t="n">
        <x:f>F1806-IF(H1806=2,1,0)</x:f>
        <x:v>1</x:v>
      </x:c>
      <x:c r="N1806" s="19" t="n">
        <x:f>MAX(K1806-1,0)+MAX(L1806-1,0)+MAX(M1806-1,0)</x:f>
        <x:v>4</x:v>
      </x:c>
      <x:c r="O1806" s="19" t="n">
        <x:f>IF(AND(SUM(K1806:M1806)&lt;9,OR(M1806=0,N1806&lt;6)),1,0)</x:f>
        <x:v>1</x:v>
      </x:c>
      <x:c r="P1806" s="19" t="n">
        <x:f>IF(AND(SUM(K1806:M1806)&lt;9,OR(L1806=0,N1806&lt;6)),1,0)</x:f>
        <x:v>1</x:v>
      </x:c>
      <x:c r="Q1806" s="19" t="n">
        <x:f>IF(AND(SUM(K1806:M1806)&lt;9,OR(K1806=0,N1806&lt;6)),1,0)</x:f>
        <x:v>1</x:v>
      </x:c>
      <x:c r="R1806" s="22" t="str">
        <x:f>O1806&amp;P1806&amp;Q1806</x:f>
        <x:v>111</x:v>
      </x:c>
      <x:c r="S1806" s="19" t="n">
        <x:f>IF(I1806=1,IF(J1806=0,Q1806,IF(J1806=1,P1806,IF(J1806=2,O1806,0))),0)</x:f>
        <x:v>1</x:v>
      </x:c>
      <x:c r="T1806" s="19" t="n">
        <x:f>K1806+IF(AND(S1806=1,J1806=0),1,0)</x:f>
        <x:v>3</x:v>
      </x:c>
      <x:c r="U1806" s="19" t="n">
        <x:f>L1806+IF(AND(S1806=1,J1806=1),1,0)</x:f>
        <x:v>3</x:v>
      </x:c>
      <x:c r="V1806" s="19" t="n">
        <x:f>M1806+IF(AND(S1806=1,J1806=2),1,0)</x:f>
        <x:v>2</x:v>
      </x:c>
      <x:c r="W1806" s="19" t="n">
        <x:f>SUM(T1806:V1806)</x:f>
        <x:v>8</x:v>
      </x:c>
      <x:c r="X1806" s="19" t="n">
        <x:f>W1806-G1806</x:f>
        <x:v>0</x:v>
      </x:c>
      <x:c r="Y1806" s="19" t="n">
        <x:f>MAX(T1806,1)+MAX(U1806,1)+MAX(V1806,1)</x:f>
        <x:v>8</x:v>
      </x:c>
      <x:c r="Z1806" s="21" t="str">
        <x:f>IF(AND(MIN(D1806:F1806)&gt;=0,MAX(D1806:F1806)&lt;=7,MAX(D1806,1)+MAX(E1806,1)+MAX(F1806,1)&lt;=9,OR(H1806="-",AND(H1806=0,D1806&gt;0),AND(H1806=1,E1806&gt;0),AND(H1806=2,F1806&gt;0)),OR(I1806=0,AND(I1806=1,OR(J1806=0,J1806=1,J1806=2),R1806&lt;&gt;"000")),Y1806&lt;=9,MIN(T1806:V1806)&gt;=0),"合法","输入违约")</x:f>
        <x:v>合法</x:v>
      </x:c>
    </x:row>
    <x:row r="1807" ht="23" customHeight="1">
      <x:c r="A1807" s="3" t="str">
        <x:v>CT-1800</x:v>
      </x:c>
      <x:c r="B1807" s="3" t="str">
        <x:v>ST-178</x:v>
      </x:c>
      <x:c r="C1807" s="3" t="str">
        <x:v>无AR/R</x:v>
      </x:c>
      <x:c r="D1807" s="25" t="n">
        <x:v>3</x:v>
      </x:c>
      <x:c r="E1807" s="25" t="n">
        <x:v>3</x:v>
      </x:c>
      <x:c r="F1807" s="25" t="n">
        <x:v>3</x:v>
      </x:c>
      <x:c r="G1807" s="19" t="n">
        <x:f>SUM(D1807:F1807)</x:f>
        <x:v>9</x:v>
      </x:c>
      <x:c r="H1807" s="25" t="str">
        <x:v>-</x:v>
      </x:c>
      <x:c r="I1807" s="25" t="n">
        <x:v>0</x:v>
      </x:c>
      <x:c r="J1807" s="25" t="str">
        <x:v>-</x:v>
      </x:c>
      <x:c r="K1807" s="19" t="n">
        <x:f>D1807-IF(H1807=0,1,0)</x:f>
        <x:v>3</x:v>
      </x:c>
      <x:c r="L1807" s="19" t="n">
        <x:f>E1807-IF(H1807=1,1,0)</x:f>
        <x:v>3</x:v>
      </x:c>
      <x:c r="M1807" s="19" t="n">
        <x:f>F1807-IF(H1807=2,1,0)</x:f>
        <x:v>3</x:v>
      </x:c>
      <x:c r="N1807" s="19" t="n">
        <x:f>MAX(K1807-1,0)+MAX(L1807-1,0)+MAX(M1807-1,0)</x:f>
        <x:v>6</x:v>
      </x:c>
      <x:c r="O1807" s="19" t="n">
        <x:f>IF(AND(SUM(K1807:M1807)&lt;9,OR(M1807=0,N1807&lt;6)),1,0)</x:f>
        <x:v>0</x:v>
      </x:c>
      <x:c r="P1807" s="19" t="n">
        <x:f>IF(AND(SUM(K1807:M1807)&lt;9,OR(L1807=0,N1807&lt;6)),1,0)</x:f>
        <x:v>0</x:v>
      </x:c>
      <x:c r="Q1807" s="19" t="n">
        <x:f>IF(AND(SUM(K1807:M1807)&lt;9,OR(K1807=0,N1807&lt;6)),1,0)</x:f>
        <x:v>0</x:v>
      </x:c>
      <x:c r="R1807" s="22" t="str">
        <x:f>O1807&amp;P1807&amp;Q1807</x:f>
        <x:v>000</x:v>
      </x:c>
      <x:c r="S1807" s="19" t="n">
        <x:f>IF(I1807=1,IF(J1807=0,Q1807,IF(J1807=1,P1807,IF(J1807=2,O1807,0))),0)</x:f>
        <x:v>0</x:v>
      </x:c>
      <x:c r="T1807" s="19" t="n">
        <x:f>K1807+IF(AND(S1807=1,J1807=0),1,0)</x:f>
        <x:v>3</x:v>
      </x:c>
      <x:c r="U1807" s="19" t="n">
        <x:f>L1807+IF(AND(S1807=1,J1807=1),1,0)</x:f>
        <x:v>3</x:v>
      </x:c>
      <x:c r="V1807" s="19" t="n">
        <x:f>M1807+IF(AND(S1807=1,J1807=2),1,0)</x:f>
        <x:v>3</x:v>
      </x:c>
      <x:c r="W1807" s="19" t="n">
        <x:f>SUM(T1807:V1807)</x:f>
        <x:v>9</x:v>
      </x:c>
      <x:c r="X1807" s="19" t="n">
        <x:f>W1807-G1807</x:f>
        <x:v>0</x:v>
      </x:c>
      <x:c r="Y1807" s="19" t="n">
        <x:f>MAX(T1807,1)+MAX(U1807,1)+MAX(V1807,1)</x:f>
        <x:v>9</x:v>
      </x:c>
      <x:c r="Z1807" s="21" t="str">
        <x:f>IF(AND(MIN(D1807:F1807)&gt;=0,MAX(D1807:F1807)&lt;=7,MAX(D1807,1)+MAX(E1807,1)+MAX(F1807,1)&lt;=9,OR(H1807="-",AND(H1807=0,D1807&gt;0),AND(H1807=1,E1807&gt;0),AND(H1807=2,F1807&gt;0)),OR(I1807=0,AND(I1807=1,OR(J1807=0,J1807=1,J1807=2),R1807&lt;&gt;"000")),Y1807&lt;=9,MIN(T1807:V1807)&gt;=0),"合法","输入违约")</x:f>
        <x:v>合法</x:v>
      </x:c>
    </x:row>
    <x:row r="1808" ht="23" customHeight="1">
      <x:c r="A1808" s="3" t="str">
        <x:v>CT-1801</x:v>
      </x:c>
      <x:c r="B1808" s="3" t="str">
        <x:v>ST-178</x:v>
      </x:c>
      <x:c r="C1808" s="3" t="str">
        <x:v>仅R回收</x:v>
      </x:c>
      <x:c r="D1808" s="25" t="n">
        <x:v>3</x:v>
      </x:c>
      <x:c r="E1808" s="25" t="n">
        <x:v>3</x:v>
      </x:c>
      <x:c r="F1808" s="25" t="n">
        <x:v>3</x:v>
      </x:c>
      <x:c r="G1808" s="19" t="n">
        <x:f>SUM(D1808:F1808)</x:f>
        <x:v>9</x:v>
      </x:c>
      <x:c r="H1808" s="25" t="n">
        <x:v>0</x:v>
      </x:c>
      <x:c r="I1808" s="25" t="n">
        <x:v>0</x:v>
      </x:c>
      <x:c r="J1808" s="25" t="str">
        <x:v>-</x:v>
      </x:c>
      <x:c r="K1808" s="19" t="n">
        <x:f>D1808-IF(H1808=0,1,0)</x:f>
        <x:v>2</x:v>
      </x:c>
      <x:c r="L1808" s="19" t="n">
        <x:f>E1808-IF(H1808=1,1,0)</x:f>
        <x:v>3</x:v>
      </x:c>
      <x:c r="M1808" s="19" t="n">
        <x:f>F1808-IF(H1808=2,1,0)</x:f>
        <x:v>3</x:v>
      </x:c>
      <x:c r="N1808" s="19" t="n">
        <x:f>MAX(K1808-1,0)+MAX(L1808-1,0)+MAX(M1808-1,0)</x:f>
        <x:v>5</x:v>
      </x:c>
      <x:c r="O1808" s="19" t="n">
        <x:f>IF(AND(SUM(K1808:M1808)&lt;9,OR(M1808=0,N1808&lt;6)),1,0)</x:f>
        <x:v>1</x:v>
      </x:c>
      <x:c r="P1808" s="19" t="n">
        <x:f>IF(AND(SUM(K1808:M1808)&lt;9,OR(L1808=0,N1808&lt;6)),1,0)</x:f>
        <x:v>1</x:v>
      </x:c>
      <x:c r="Q1808" s="19" t="n">
        <x:f>IF(AND(SUM(K1808:M1808)&lt;9,OR(K1808=0,N1808&lt;6)),1,0)</x:f>
        <x:v>1</x:v>
      </x:c>
      <x:c r="R1808" s="22" t="str">
        <x:f>O1808&amp;P1808&amp;Q1808</x:f>
        <x:v>111</x:v>
      </x:c>
      <x:c r="S1808" s="19" t="n">
        <x:f>IF(I1808=1,IF(J1808=0,Q1808,IF(J1808=1,P1808,IF(J1808=2,O1808,0))),0)</x:f>
        <x:v>0</x:v>
      </x:c>
      <x:c r="T1808" s="19" t="n">
        <x:f>K1808+IF(AND(S1808=1,J1808=0),1,0)</x:f>
        <x:v>2</x:v>
      </x:c>
      <x:c r="U1808" s="19" t="n">
        <x:f>L1808+IF(AND(S1808=1,J1808=1),1,0)</x:f>
        <x:v>3</x:v>
      </x:c>
      <x:c r="V1808" s="19" t="n">
        <x:f>M1808+IF(AND(S1808=1,J1808=2),1,0)</x:f>
        <x:v>3</x:v>
      </x:c>
      <x:c r="W1808" s="19" t="n">
        <x:f>SUM(T1808:V1808)</x:f>
        <x:v>8</x:v>
      </x:c>
      <x:c r="X1808" s="19" t="n">
        <x:f>W1808-G1808</x:f>
        <x:v>-1</x:v>
      </x:c>
      <x:c r="Y1808" s="19" t="n">
        <x:f>MAX(T1808,1)+MAX(U1808,1)+MAX(V1808,1)</x:f>
        <x:v>8</x:v>
      </x:c>
      <x:c r="Z1808" s="21" t="str">
        <x:f>IF(AND(MIN(D1808:F1808)&gt;=0,MAX(D1808:F1808)&lt;=7,MAX(D1808,1)+MAX(E1808,1)+MAX(F1808,1)&lt;=9,OR(H1808="-",AND(H1808=0,D1808&gt;0),AND(H1808=1,E1808&gt;0),AND(H1808=2,F1808&gt;0)),OR(I1808=0,AND(I1808=1,OR(J1808=0,J1808=1,J1808=2),R1808&lt;&gt;"000")),Y1808&lt;=9,MIN(T1808:V1808)&gt;=0),"合法","输入违约")</x:f>
        <x:v>合法</x:v>
      </x:c>
    </x:row>
    <x:row r="1809" ht="23" customHeight="1">
      <x:c r="A1809" s="3" t="str">
        <x:v>CT-1802</x:v>
      </x:c>
      <x:c r="B1809" s="3" t="str">
        <x:v>ST-178</x:v>
      </x:c>
      <x:c r="C1809" s="3" t="str">
        <x:v>R+AR同收同发</x:v>
      </x:c>
      <x:c r="D1809" s="25" t="n">
        <x:v>3</x:v>
      </x:c>
      <x:c r="E1809" s="25" t="n">
        <x:v>3</x:v>
      </x:c>
      <x:c r="F1809" s="25" t="n">
        <x:v>3</x:v>
      </x:c>
      <x:c r="G1809" s="19" t="n">
        <x:f>SUM(D1809:F1809)</x:f>
        <x:v>9</x:v>
      </x:c>
      <x:c r="H1809" s="25" t="n">
        <x:v>0</x:v>
      </x:c>
      <x:c r="I1809" s="25" t="n">
        <x:v>1</x:v>
      </x:c>
      <x:c r="J1809" s="25" t="n">
        <x:v>0</x:v>
      </x:c>
      <x:c r="K1809" s="19" t="n">
        <x:f>D1809-IF(H1809=0,1,0)</x:f>
        <x:v>2</x:v>
      </x:c>
      <x:c r="L1809" s="19" t="n">
        <x:f>E1809-IF(H1809=1,1,0)</x:f>
        <x:v>3</x:v>
      </x:c>
      <x:c r="M1809" s="19" t="n">
        <x:f>F1809-IF(H1809=2,1,0)</x:f>
        <x:v>3</x:v>
      </x:c>
      <x:c r="N1809" s="19" t="n">
        <x:f>MAX(K1809-1,0)+MAX(L1809-1,0)+MAX(M1809-1,0)</x:f>
        <x:v>5</x:v>
      </x:c>
      <x:c r="O1809" s="19" t="n">
        <x:f>IF(AND(SUM(K1809:M1809)&lt;9,OR(M1809=0,N1809&lt;6)),1,0)</x:f>
        <x:v>1</x:v>
      </x:c>
      <x:c r="P1809" s="19" t="n">
        <x:f>IF(AND(SUM(K1809:M1809)&lt;9,OR(L1809=0,N1809&lt;6)),1,0)</x:f>
        <x:v>1</x:v>
      </x:c>
      <x:c r="Q1809" s="19" t="n">
        <x:f>IF(AND(SUM(K1809:M1809)&lt;9,OR(K1809=0,N1809&lt;6)),1,0)</x:f>
        <x:v>1</x:v>
      </x:c>
      <x:c r="R1809" s="22" t="str">
        <x:f>O1809&amp;P1809&amp;Q1809</x:f>
        <x:v>111</x:v>
      </x:c>
      <x:c r="S1809" s="19" t="n">
        <x:f>IF(I1809=1,IF(J1809=0,Q1809,IF(J1809=1,P1809,IF(J1809=2,O1809,0))),0)</x:f>
        <x:v>1</x:v>
      </x:c>
      <x:c r="T1809" s="19" t="n">
        <x:f>K1809+IF(AND(S1809=1,J1809=0),1,0)</x:f>
        <x:v>3</x:v>
      </x:c>
      <x:c r="U1809" s="19" t="n">
        <x:f>L1809+IF(AND(S1809=1,J1809=1),1,0)</x:f>
        <x:v>3</x:v>
      </x:c>
      <x:c r="V1809" s="19" t="n">
        <x:f>M1809+IF(AND(S1809=1,J1809=2),1,0)</x:f>
        <x:v>3</x:v>
      </x:c>
      <x:c r="W1809" s="19" t="n">
        <x:f>SUM(T1809:V1809)</x:f>
        <x:v>9</x:v>
      </x:c>
      <x:c r="X1809" s="19" t="n">
        <x:f>W1809-G1809</x:f>
        <x:v>0</x:v>
      </x:c>
      <x:c r="Y1809" s="19" t="n">
        <x:f>MAX(T1809,1)+MAX(U1809,1)+MAX(V1809,1)</x:f>
        <x:v>9</x:v>
      </x:c>
      <x:c r="Z1809" s="21" t="str">
        <x:f>IF(AND(MIN(D1809:F1809)&gt;=0,MAX(D1809:F1809)&lt;=7,MAX(D1809,1)+MAX(E1809,1)+MAX(F1809,1)&lt;=9,OR(H1809="-",AND(H1809=0,D1809&gt;0),AND(H1809=1,E1809&gt;0),AND(H1809=2,F1809&gt;0)),OR(I1809=0,AND(I1809=1,OR(J1809=0,J1809=1,J1809=2),R1809&lt;&gt;"000")),Y1809&lt;=9,MIN(T1809:V1809)&gt;=0),"合法","输入违约")</x:f>
        <x:v>合法</x:v>
      </x:c>
    </x:row>
    <x:row r="1810" ht="23" customHeight="1">
      <x:c r="A1810" s="3" t="str">
        <x:v>CT-1803</x:v>
      </x:c>
      <x:c r="B1810" s="3" t="str">
        <x:v>ST-178</x:v>
      </x:c>
      <x:c r="C1810" s="3" t="str">
        <x:v>R+AR同收同发</x:v>
      </x:c>
      <x:c r="D1810" s="25" t="n">
        <x:v>3</x:v>
      </x:c>
      <x:c r="E1810" s="25" t="n">
        <x:v>3</x:v>
      </x:c>
      <x:c r="F1810" s="25" t="n">
        <x:v>3</x:v>
      </x:c>
      <x:c r="G1810" s="19" t="n">
        <x:f>SUM(D1810:F1810)</x:f>
        <x:v>9</x:v>
      </x:c>
      <x:c r="H1810" s="25" t="n">
        <x:v>0</x:v>
      </x:c>
      <x:c r="I1810" s="25" t="n">
        <x:v>1</x:v>
      </x:c>
      <x:c r="J1810" s="25" t="n">
        <x:v>1</x:v>
      </x:c>
      <x:c r="K1810" s="19" t="n">
        <x:f>D1810-IF(H1810=0,1,0)</x:f>
        <x:v>2</x:v>
      </x:c>
      <x:c r="L1810" s="19" t="n">
        <x:f>E1810-IF(H1810=1,1,0)</x:f>
        <x:v>3</x:v>
      </x:c>
      <x:c r="M1810" s="19" t="n">
        <x:f>F1810-IF(H1810=2,1,0)</x:f>
        <x:v>3</x:v>
      </x:c>
      <x:c r="N1810" s="19" t="n">
        <x:f>MAX(K1810-1,0)+MAX(L1810-1,0)+MAX(M1810-1,0)</x:f>
        <x:v>5</x:v>
      </x:c>
      <x:c r="O1810" s="19" t="n">
        <x:f>IF(AND(SUM(K1810:M1810)&lt;9,OR(M1810=0,N1810&lt;6)),1,0)</x:f>
        <x:v>1</x:v>
      </x:c>
      <x:c r="P1810" s="19" t="n">
        <x:f>IF(AND(SUM(K1810:M1810)&lt;9,OR(L1810=0,N1810&lt;6)),1,0)</x:f>
        <x:v>1</x:v>
      </x:c>
      <x:c r="Q1810" s="19" t="n">
        <x:f>IF(AND(SUM(K1810:M1810)&lt;9,OR(K1810=0,N1810&lt;6)),1,0)</x:f>
        <x:v>1</x:v>
      </x:c>
      <x:c r="R1810" s="22" t="str">
        <x:f>O1810&amp;P1810&amp;Q1810</x:f>
        <x:v>111</x:v>
      </x:c>
      <x:c r="S1810" s="19" t="n">
        <x:f>IF(I1810=1,IF(J1810=0,Q1810,IF(J1810=1,P1810,IF(J1810=2,O1810,0))),0)</x:f>
        <x:v>1</x:v>
      </x:c>
      <x:c r="T1810" s="19" t="n">
        <x:f>K1810+IF(AND(S1810=1,J1810=0),1,0)</x:f>
        <x:v>2</x:v>
      </x:c>
      <x:c r="U1810" s="19" t="n">
        <x:f>L1810+IF(AND(S1810=1,J1810=1),1,0)</x:f>
        <x:v>4</x:v>
      </x:c>
      <x:c r="V1810" s="19" t="n">
        <x:f>M1810+IF(AND(S1810=1,J1810=2),1,0)</x:f>
        <x:v>3</x:v>
      </x:c>
      <x:c r="W1810" s="19" t="n">
        <x:f>SUM(T1810:V1810)</x:f>
        <x:v>9</x:v>
      </x:c>
      <x:c r="X1810" s="19" t="n">
        <x:f>W1810-G1810</x:f>
        <x:v>0</x:v>
      </x:c>
      <x:c r="Y1810" s="19" t="n">
        <x:f>MAX(T1810,1)+MAX(U1810,1)+MAX(V1810,1)</x:f>
        <x:v>9</x:v>
      </x:c>
      <x:c r="Z1810" s="21" t="str">
        <x:f>IF(AND(MIN(D1810:F1810)&gt;=0,MAX(D1810:F1810)&lt;=7,MAX(D1810,1)+MAX(E1810,1)+MAX(F1810,1)&lt;=9,OR(H1810="-",AND(H1810=0,D1810&gt;0),AND(H1810=1,E1810&gt;0),AND(H1810=2,F1810&gt;0)),OR(I1810=0,AND(I1810=1,OR(J1810=0,J1810=1,J1810=2),R1810&lt;&gt;"000")),Y1810&lt;=9,MIN(T1810:V1810)&gt;=0),"合法","输入违约")</x:f>
        <x:v>合法</x:v>
      </x:c>
    </x:row>
    <x:row r="1811" ht="23" customHeight="1">
      <x:c r="A1811" s="3" t="str">
        <x:v>CT-1804</x:v>
      </x:c>
      <x:c r="B1811" s="3" t="str">
        <x:v>ST-178</x:v>
      </x:c>
      <x:c r="C1811" s="3" t="str">
        <x:v>R+AR同收同发</x:v>
      </x:c>
      <x:c r="D1811" s="25" t="n">
        <x:v>3</x:v>
      </x:c>
      <x:c r="E1811" s="25" t="n">
        <x:v>3</x:v>
      </x:c>
      <x:c r="F1811" s="25" t="n">
        <x:v>3</x:v>
      </x:c>
      <x:c r="G1811" s="19" t="n">
        <x:f>SUM(D1811:F1811)</x:f>
        <x:v>9</x:v>
      </x:c>
      <x:c r="H1811" s="25" t="n">
        <x:v>0</x:v>
      </x:c>
      <x:c r="I1811" s="25" t="n">
        <x:v>1</x:v>
      </x:c>
      <x:c r="J1811" s="25" t="n">
        <x:v>2</x:v>
      </x:c>
      <x:c r="K1811" s="19" t="n">
        <x:f>D1811-IF(H1811=0,1,0)</x:f>
        <x:v>2</x:v>
      </x:c>
      <x:c r="L1811" s="19" t="n">
        <x:f>E1811-IF(H1811=1,1,0)</x:f>
        <x:v>3</x:v>
      </x:c>
      <x:c r="M1811" s="19" t="n">
        <x:f>F1811-IF(H1811=2,1,0)</x:f>
        <x:v>3</x:v>
      </x:c>
      <x:c r="N1811" s="19" t="n">
        <x:f>MAX(K1811-1,0)+MAX(L1811-1,0)+MAX(M1811-1,0)</x:f>
        <x:v>5</x:v>
      </x:c>
      <x:c r="O1811" s="19" t="n">
        <x:f>IF(AND(SUM(K1811:M1811)&lt;9,OR(M1811=0,N1811&lt;6)),1,0)</x:f>
        <x:v>1</x:v>
      </x:c>
      <x:c r="P1811" s="19" t="n">
        <x:f>IF(AND(SUM(K1811:M1811)&lt;9,OR(L1811=0,N1811&lt;6)),1,0)</x:f>
        <x:v>1</x:v>
      </x:c>
      <x:c r="Q1811" s="19" t="n">
        <x:f>IF(AND(SUM(K1811:M1811)&lt;9,OR(K1811=0,N1811&lt;6)),1,0)</x:f>
        <x:v>1</x:v>
      </x:c>
      <x:c r="R1811" s="22" t="str">
        <x:f>O1811&amp;P1811&amp;Q1811</x:f>
        <x:v>111</x:v>
      </x:c>
      <x:c r="S1811" s="19" t="n">
        <x:f>IF(I1811=1,IF(J1811=0,Q1811,IF(J1811=1,P1811,IF(J1811=2,O1811,0))),0)</x:f>
        <x:v>1</x:v>
      </x:c>
      <x:c r="T1811" s="19" t="n">
        <x:f>K1811+IF(AND(S1811=1,J1811=0),1,0)</x:f>
        <x:v>2</x:v>
      </x:c>
      <x:c r="U1811" s="19" t="n">
        <x:f>L1811+IF(AND(S1811=1,J1811=1),1,0)</x:f>
        <x:v>3</x:v>
      </x:c>
      <x:c r="V1811" s="19" t="n">
        <x:f>M1811+IF(AND(S1811=1,J1811=2),1,0)</x:f>
        <x:v>4</x:v>
      </x:c>
      <x:c r="W1811" s="19" t="n">
        <x:f>SUM(T1811:V1811)</x:f>
        <x:v>9</x:v>
      </x:c>
      <x:c r="X1811" s="19" t="n">
        <x:f>W1811-G1811</x:f>
        <x:v>0</x:v>
      </x:c>
      <x:c r="Y1811" s="19" t="n">
        <x:f>MAX(T1811,1)+MAX(U1811,1)+MAX(V1811,1)</x:f>
        <x:v>9</x:v>
      </x:c>
      <x:c r="Z1811" s="21" t="str">
        <x:f>IF(AND(MIN(D1811:F1811)&gt;=0,MAX(D1811:F1811)&lt;=7,MAX(D1811,1)+MAX(E1811,1)+MAX(F1811,1)&lt;=9,OR(H1811="-",AND(H1811=0,D1811&gt;0),AND(H1811=1,E1811&gt;0),AND(H1811=2,F1811&gt;0)),OR(I1811=0,AND(I1811=1,OR(J1811=0,J1811=1,J1811=2),R1811&lt;&gt;"000")),Y1811&lt;=9,MIN(T1811:V1811)&gt;=0),"合法","输入违约")</x:f>
        <x:v>合法</x:v>
      </x:c>
    </x:row>
    <x:row r="1812" ht="23" customHeight="1">
      <x:c r="A1812" s="3" t="str">
        <x:v>CT-1805</x:v>
      </x:c>
      <x:c r="B1812" s="3" t="str">
        <x:v>ST-178</x:v>
      </x:c>
      <x:c r="C1812" s="3" t="str">
        <x:v>仅R回收</x:v>
      </x:c>
      <x:c r="D1812" s="25" t="n">
        <x:v>3</x:v>
      </x:c>
      <x:c r="E1812" s="25" t="n">
        <x:v>3</x:v>
      </x:c>
      <x:c r="F1812" s="25" t="n">
        <x:v>3</x:v>
      </x:c>
      <x:c r="G1812" s="19" t="n">
        <x:f>SUM(D1812:F1812)</x:f>
        <x:v>9</x:v>
      </x:c>
      <x:c r="H1812" s="25" t="n">
        <x:v>1</x:v>
      </x:c>
      <x:c r="I1812" s="25" t="n">
        <x:v>0</x:v>
      </x:c>
      <x:c r="J1812" s="25" t="str">
        <x:v>-</x:v>
      </x:c>
      <x:c r="K1812" s="19" t="n">
        <x:f>D1812-IF(H1812=0,1,0)</x:f>
        <x:v>3</x:v>
      </x:c>
      <x:c r="L1812" s="19" t="n">
        <x:f>E1812-IF(H1812=1,1,0)</x:f>
        <x:v>2</x:v>
      </x:c>
      <x:c r="M1812" s="19" t="n">
        <x:f>F1812-IF(H1812=2,1,0)</x:f>
        <x:v>3</x:v>
      </x:c>
      <x:c r="N1812" s="19" t="n">
        <x:f>MAX(K1812-1,0)+MAX(L1812-1,0)+MAX(M1812-1,0)</x:f>
        <x:v>5</x:v>
      </x:c>
      <x:c r="O1812" s="19" t="n">
        <x:f>IF(AND(SUM(K1812:M1812)&lt;9,OR(M1812=0,N1812&lt;6)),1,0)</x:f>
        <x:v>1</x:v>
      </x:c>
      <x:c r="P1812" s="19" t="n">
        <x:f>IF(AND(SUM(K1812:M1812)&lt;9,OR(L1812=0,N1812&lt;6)),1,0)</x:f>
        <x:v>1</x:v>
      </x:c>
      <x:c r="Q1812" s="19" t="n">
        <x:f>IF(AND(SUM(K1812:M1812)&lt;9,OR(K1812=0,N1812&lt;6)),1,0)</x:f>
        <x:v>1</x:v>
      </x:c>
      <x:c r="R1812" s="22" t="str">
        <x:f>O1812&amp;P1812&amp;Q1812</x:f>
        <x:v>111</x:v>
      </x:c>
      <x:c r="S1812" s="19" t="n">
        <x:f>IF(I1812=1,IF(J1812=0,Q1812,IF(J1812=1,P1812,IF(J1812=2,O1812,0))),0)</x:f>
        <x:v>0</x:v>
      </x:c>
      <x:c r="T1812" s="19" t="n">
        <x:f>K1812+IF(AND(S1812=1,J1812=0),1,0)</x:f>
        <x:v>3</x:v>
      </x:c>
      <x:c r="U1812" s="19" t="n">
        <x:f>L1812+IF(AND(S1812=1,J1812=1),1,0)</x:f>
        <x:v>2</x:v>
      </x:c>
      <x:c r="V1812" s="19" t="n">
        <x:f>M1812+IF(AND(S1812=1,J1812=2),1,0)</x:f>
        <x:v>3</x:v>
      </x:c>
      <x:c r="W1812" s="19" t="n">
        <x:f>SUM(T1812:V1812)</x:f>
        <x:v>8</x:v>
      </x:c>
      <x:c r="X1812" s="19" t="n">
        <x:f>W1812-G1812</x:f>
        <x:v>-1</x:v>
      </x:c>
      <x:c r="Y1812" s="19" t="n">
        <x:f>MAX(T1812,1)+MAX(U1812,1)+MAX(V1812,1)</x:f>
        <x:v>8</x:v>
      </x:c>
      <x:c r="Z1812" s="21" t="str">
        <x:f>IF(AND(MIN(D1812:F1812)&gt;=0,MAX(D1812:F1812)&lt;=7,MAX(D1812,1)+MAX(E1812,1)+MAX(F1812,1)&lt;=9,OR(H1812="-",AND(H1812=0,D1812&gt;0),AND(H1812=1,E1812&gt;0),AND(H1812=2,F1812&gt;0)),OR(I1812=0,AND(I1812=1,OR(J1812=0,J1812=1,J1812=2),R1812&lt;&gt;"000")),Y1812&lt;=9,MIN(T1812:V1812)&gt;=0),"合法","输入违约")</x:f>
        <x:v>合法</x:v>
      </x:c>
    </x:row>
    <x:row r="1813" ht="23" customHeight="1">
      <x:c r="A1813" s="3" t="str">
        <x:v>CT-1806</x:v>
      </x:c>
      <x:c r="B1813" s="3" t="str">
        <x:v>ST-178</x:v>
      </x:c>
      <x:c r="C1813" s="3" t="str">
        <x:v>R+AR同收同发</x:v>
      </x:c>
      <x:c r="D1813" s="25" t="n">
        <x:v>3</x:v>
      </x:c>
      <x:c r="E1813" s="25" t="n">
        <x:v>3</x:v>
      </x:c>
      <x:c r="F1813" s="25" t="n">
        <x:v>3</x:v>
      </x:c>
      <x:c r="G1813" s="19" t="n">
        <x:f>SUM(D1813:F1813)</x:f>
        <x:v>9</x:v>
      </x:c>
      <x:c r="H1813" s="25" t="n">
        <x:v>1</x:v>
      </x:c>
      <x:c r="I1813" s="25" t="n">
        <x:v>1</x:v>
      </x:c>
      <x:c r="J1813" s="25" t="n">
        <x:v>0</x:v>
      </x:c>
      <x:c r="K1813" s="19" t="n">
        <x:f>D1813-IF(H1813=0,1,0)</x:f>
        <x:v>3</x:v>
      </x:c>
      <x:c r="L1813" s="19" t="n">
        <x:f>E1813-IF(H1813=1,1,0)</x:f>
        <x:v>2</x:v>
      </x:c>
      <x:c r="M1813" s="19" t="n">
        <x:f>F1813-IF(H1813=2,1,0)</x:f>
        <x:v>3</x:v>
      </x:c>
      <x:c r="N1813" s="19" t="n">
        <x:f>MAX(K1813-1,0)+MAX(L1813-1,0)+MAX(M1813-1,0)</x:f>
        <x:v>5</x:v>
      </x:c>
      <x:c r="O1813" s="19" t="n">
        <x:f>IF(AND(SUM(K1813:M1813)&lt;9,OR(M1813=0,N1813&lt;6)),1,0)</x:f>
        <x:v>1</x:v>
      </x:c>
      <x:c r="P1813" s="19" t="n">
        <x:f>IF(AND(SUM(K1813:M1813)&lt;9,OR(L1813=0,N1813&lt;6)),1,0)</x:f>
        <x:v>1</x:v>
      </x:c>
      <x:c r="Q1813" s="19" t="n">
        <x:f>IF(AND(SUM(K1813:M1813)&lt;9,OR(K1813=0,N1813&lt;6)),1,0)</x:f>
        <x:v>1</x:v>
      </x:c>
      <x:c r="R1813" s="22" t="str">
        <x:f>O1813&amp;P1813&amp;Q1813</x:f>
        <x:v>111</x:v>
      </x:c>
      <x:c r="S1813" s="19" t="n">
        <x:f>IF(I1813=1,IF(J1813=0,Q1813,IF(J1813=1,P1813,IF(J1813=2,O1813,0))),0)</x:f>
        <x:v>1</x:v>
      </x:c>
      <x:c r="T1813" s="19" t="n">
        <x:f>K1813+IF(AND(S1813=1,J1813=0),1,0)</x:f>
        <x:v>4</x:v>
      </x:c>
      <x:c r="U1813" s="19" t="n">
        <x:f>L1813+IF(AND(S1813=1,J1813=1),1,0)</x:f>
        <x:v>2</x:v>
      </x:c>
      <x:c r="V1813" s="19" t="n">
        <x:f>M1813+IF(AND(S1813=1,J1813=2),1,0)</x:f>
        <x:v>3</x:v>
      </x:c>
      <x:c r="W1813" s="19" t="n">
        <x:f>SUM(T1813:V1813)</x:f>
        <x:v>9</x:v>
      </x:c>
      <x:c r="X1813" s="19" t="n">
        <x:f>W1813-G1813</x:f>
        <x:v>0</x:v>
      </x:c>
      <x:c r="Y1813" s="19" t="n">
        <x:f>MAX(T1813,1)+MAX(U1813,1)+MAX(V1813,1)</x:f>
        <x:v>9</x:v>
      </x:c>
      <x:c r="Z1813" s="21" t="str">
        <x:f>IF(AND(MIN(D1813:F1813)&gt;=0,MAX(D1813:F1813)&lt;=7,MAX(D1813,1)+MAX(E1813,1)+MAX(F1813,1)&lt;=9,OR(H1813="-",AND(H1813=0,D1813&gt;0),AND(H1813=1,E1813&gt;0),AND(H1813=2,F1813&gt;0)),OR(I1813=0,AND(I1813=1,OR(J1813=0,J1813=1,J1813=2),R1813&lt;&gt;"000")),Y1813&lt;=9,MIN(T1813:V1813)&gt;=0),"合法","输入违约")</x:f>
        <x:v>合法</x:v>
      </x:c>
    </x:row>
    <x:row r="1814" ht="23" customHeight="1">
      <x:c r="A1814" s="3" t="str">
        <x:v>CT-1807</x:v>
      </x:c>
      <x:c r="B1814" s="3" t="str">
        <x:v>ST-178</x:v>
      </x:c>
      <x:c r="C1814" s="3" t="str">
        <x:v>R+AR同收同发</x:v>
      </x:c>
      <x:c r="D1814" s="25" t="n">
        <x:v>3</x:v>
      </x:c>
      <x:c r="E1814" s="25" t="n">
        <x:v>3</x:v>
      </x:c>
      <x:c r="F1814" s="25" t="n">
        <x:v>3</x:v>
      </x:c>
      <x:c r="G1814" s="19" t="n">
        <x:f>SUM(D1814:F1814)</x:f>
        <x:v>9</x:v>
      </x:c>
      <x:c r="H1814" s="25" t="n">
        <x:v>1</x:v>
      </x:c>
      <x:c r="I1814" s="25" t="n">
        <x:v>1</x:v>
      </x:c>
      <x:c r="J1814" s="25" t="n">
        <x:v>1</x:v>
      </x:c>
      <x:c r="K1814" s="19" t="n">
        <x:f>D1814-IF(H1814=0,1,0)</x:f>
        <x:v>3</x:v>
      </x:c>
      <x:c r="L1814" s="19" t="n">
        <x:f>E1814-IF(H1814=1,1,0)</x:f>
        <x:v>2</x:v>
      </x:c>
      <x:c r="M1814" s="19" t="n">
        <x:f>F1814-IF(H1814=2,1,0)</x:f>
        <x:v>3</x:v>
      </x:c>
      <x:c r="N1814" s="19" t="n">
        <x:f>MAX(K1814-1,0)+MAX(L1814-1,0)+MAX(M1814-1,0)</x:f>
        <x:v>5</x:v>
      </x:c>
      <x:c r="O1814" s="19" t="n">
        <x:f>IF(AND(SUM(K1814:M1814)&lt;9,OR(M1814=0,N1814&lt;6)),1,0)</x:f>
        <x:v>1</x:v>
      </x:c>
      <x:c r="P1814" s="19" t="n">
        <x:f>IF(AND(SUM(K1814:M1814)&lt;9,OR(L1814=0,N1814&lt;6)),1,0)</x:f>
        <x:v>1</x:v>
      </x:c>
      <x:c r="Q1814" s="19" t="n">
        <x:f>IF(AND(SUM(K1814:M1814)&lt;9,OR(K1814=0,N1814&lt;6)),1,0)</x:f>
        <x:v>1</x:v>
      </x:c>
      <x:c r="R1814" s="22" t="str">
        <x:f>O1814&amp;P1814&amp;Q1814</x:f>
        <x:v>111</x:v>
      </x:c>
      <x:c r="S1814" s="19" t="n">
        <x:f>IF(I1814=1,IF(J1814=0,Q1814,IF(J1814=1,P1814,IF(J1814=2,O1814,0))),0)</x:f>
        <x:v>1</x:v>
      </x:c>
      <x:c r="T1814" s="19" t="n">
        <x:f>K1814+IF(AND(S1814=1,J1814=0),1,0)</x:f>
        <x:v>3</x:v>
      </x:c>
      <x:c r="U1814" s="19" t="n">
        <x:f>L1814+IF(AND(S1814=1,J1814=1),1,0)</x:f>
        <x:v>3</x:v>
      </x:c>
      <x:c r="V1814" s="19" t="n">
        <x:f>M1814+IF(AND(S1814=1,J1814=2),1,0)</x:f>
        <x:v>3</x:v>
      </x:c>
      <x:c r="W1814" s="19" t="n">
        <x:f>SUM(T1814:V1814)</x:f>
        <x:v>9</x:v>
      </x:c>
      <x:c r="X1814" s="19" t="n">
        <x:f>W1814-G1814</x:f>
        <x:v>0</x:v>
      </x:c>
      <x:c r="Y1814" s="19" t="n">
        <x:f>MAX(T1814,1)+MAX(U1814,1)+MAX(V1814,1)</x:f>
        <x:v>9</x:v>
      </x:c>
      <x:c r="Z1814" s="21" t="str">
        <x:f>IF(AND(MIN(D1814:F1814)&gt;=0,MAX(D1814:F1814)&lt;=7,MAX(D1814,1)+MAX(E1814,1)+MAX(F1814,1)&lt;=9,OR(H1814="-",AND(H1814=0,D1814&gt;0),AND(H1814=1,E1814&gt;0),AND(H1814=2,F1814&gt;0)),OR(I1814=0,AND(I1814=1,OR(J1814=0,J1814=1,J1814=2),R1814&lt;&gt;"000")),Y1814&lt;=9,MIN(T1814:V1814)&gt;=0),"合法","输入违约")</x:f>
        <x:v>合法</x:v>
      </x:c>
    </x:row>
    <x:row r="1815" ht="23" customHeight="1">
      <x:c r="A1815" s="3" t="str">
        <x:v>CT-1808</x:v>
      </x:c>
      <x:c r="B1815" s="3" t="str">
        <x:v>ST-178</x:v>
      </x:c>
      <x:c r="C1815" s="3" t="str">
        <x:v>R+AR同收同发</x:v>
      </x:c>
      <x:c r="D1815" s="25" t="n">
        <x:v>3</x:v>
      </x:c>
      <x:c r="E1815" s="25" t="n">
        <x:v>3</x:v>
      </x:c>
      <x:c r="F1815" s="25" t="n">
        <x:v>3</x:v>
      </x:c>
      <x:c r="G1815" s="19" t="n">
        <x:f>SUM(D1815:F1815)</x:f>
        <x:v>9</x:v>
      </x:c>
      <x:c r="H1815" s="25" t="n">
        <x:v>1</x:v>
      </x:c>
      <x:c r="I1815" s="25" t="n">
        <x:v>1</x:v>
      </x:c>
      <x:c r="J1815" s="25" t="n">
        <x:v>2</x:v>
      </x:c>
      <x:c r="K1815" s="19" t="n">
        <x:f>D1815-IF(H1815=0,1,0)</x:f>
        <x:v>3</x:v>
      </x:c>
      <x:c r="L1815" s="19" t="n">
        <x:f>E1815-IF(H1815=1,1,0)</x:f>
        <x:v>2</x:v>
      </x:c>
      <x:c r="M1815" s="19" t="n">
        <x:f>F1815-IF(H1815=2,1,0)</x:f>
        <x:v>3</x:v>
      </x:c>
      <x:c r="N1815" s="19" t="n">
        <x:f>MAX(K1815-1,0)+MAX(L1815-1,0)+MAX(M1815-1,0)</x:f>
        <x:v>5</x:v>
      </x:c>
      <x:c r="O1815" s="19" t="n">
        <x:f>IF(AND(SUM(K1815:M1815)&lt;9,OR(M1815=0,N1815&lt;6)),1,0)</x:f>
        <x:v>1</x:v>
      </x:c>
      <x:c r="P1815" s="19" t="n">
        <x:f>IF(AND(SUM(K1815:M1815)&lt;9,OR(L1815=0,N1815&lt;6)),1,0)</x:f>
        <x:v>1</x:v>
      </x:c>
      <x:c r="Q1815" s="19" t="n">
        <x:f>IF(AND(SUM(K1815:M1815)&lt;9,OR(K1815=0,N1815&lt;6)),1,0)</x:f>
        <x:v>1</x:v>
      </x:c>
      <x:c r="R1815" s="22" t="str">
        <x:f>O1815&amp;P1815&amp;Q1815</x:f>
        <x:v>111</x:v>
      </x:c>
      <x:c r="S1815" s="19" t="n">
        <x:f>IF(I1815=1,IF(J1815=0,Q1815,IF(J1815=1,P1815,IF(J1815=2,O1815,0))),0)</x:f>
        <x:v>1</x:v>
      </x:c>
      <x:c r="T1815" s="19" t="n">
        <x:f>K1815+IF(AND(S1815=1,J1815=0),1,0)</x:f>
        <x:v>3</x:v>
      </x:c>
      <x:c r="U1815" s="19" t="n">
        <x:f>L1815+IF(AND(S1815=1,J1815=1),1,0)</x:f>
        <x:v>2</x:v>
      </x:c>
      <x:c r="V1815" s="19" t="n">
        <x:f>M1815+IF(AND(S1815=1,J1815=2),1,0)</x:f>
        <x:v>4</x:v>
      </x:c>
      <x:c r="W1815" s="19" t="n">
        <x:f>SUM(T1815:V1815)</x:f>
        <x:v>9</x:v>
      </x:c>
      <x:c r="X1815" s="19" t="n">
        <x:f>W1815-G1815</x:f>
        <x:v>0</x:v>
      </x:c>
      <x:c r="Y1815" s="19" t="n">
        <x:f>MAX(T1815,1)+MAX(U1815,1)+MAX(V1815,1)</x:f>
        <x:v>9</x:v>
      </x:c>
      <x:c r="Z1815" s="21" t="str">
        <x:f>IF(AND(MIN(D1815:F1815)&gt;=0,MAX(D1815:F1815)&lt;=7,MAX(D1815,1)+MAX(E1815,1)+MAX(F1815,1)&lt;=9,OR(H1815="-",AND(H1815=0,D1815&gt;0),AND(H1815=1,E1815&gt;0),AND(H1815=2,F1815&gt;0)),OR(I1815=0,AND(I1815=1,OR(J1815=0,J1815=1,J1815=2),R1815&lt;&gt;"000")),Y1815&lt;=9,MIN(T1815:V1815)&gt;=0),"合法","输入违约")</x:f>
        <x:v>合法</x:v>
      </x:c>
    </x:row>
    <x:row r="1816" ht="23" customHeight="1">
      <x:c r="A1816" s="3" t="str">
        <x:v>CT-1809</x:v>
      </x:c>
      <x:c r="B1816" s="3" t="str">
        <x:v>ST-178</x:v>
      </x:c>
      <x:c r="C1816" s="3" t="str">
        <x:v>仅R回收</x:v>
      </x:c>
      <x:c r="D1816" s="25" t="n">
        <x:v>3</x:v>
      </x:c>
      <x:c r="E1816" s="25" t="n">
        <x:v>3</x:v>
      </x:c>
      <x:c r="F1816" s="25" t="n">
        <x:v>3</x:v>
      </x:c>
      <x:c r="G1816" s="19" t="n">
        <x:f>SUM(D1816:F1816)</x:f>
        <x:v>9</x:v>
      </x:c>
      <x:c r="H1816" s="25" t="n">
        <x:v>2</x:v>
      </x:c>
      <x:c r="I1816" s="25" t="n">
        <x:v>0</x:v>
      </x:c>
      <x:c r="J1816" s="25" t="str">
        <x:v>-</x:v>
      </x:c>
      <x:c r="K1816" s="19" t="n">
        <x:f>D1816-IF(H1816=0,1,0)</x:f>
        <x:v>3</x:v>
      </x:c>
      <x:c r="L1816" s="19" t="n">
        <x:f>E1816-IF(H1816=1,1,0)</x:f>
        <x:v>3</x:v>
      </x:c>
      <x:c r="M1816" s="19" t="n">
        <x:f>F1816-IF(H1816=2,1,0)</x:f>
        <x:v>2</x:v>
      </x:c>
      <x:c r="N1816" s="19" t="n">
        <x:f>MAX(K1816-1,0)+MAX(L1816-1,0)+MAX(M1816-1,0)</x:f>
        <x:v>5</x:v>
      </x:c>
      <x:c r="O1816" s="19" t="n">
        <x:f>IF(AND(SUM(K1816:M1816)&lt;9,OR(M1816=0,N1816&lt;6)),1,0)</x:f>
        <x:v>1</x:v>
      </x:c>
      <x:c r="P1816" s="19" t="n">
        <x:f>IF(AND(SUM(K1816:M1816)&lt;9,OR(L1816=0,N1816&lt;6)),1,0)</x:f>
        <x:v>1</x:v>
      </x:c>
      <x:c r="Q1816" s="19" t="n">
        <x:f>IF(AND(SUM(K1816:M1816)&lt;9,OR(K1816=0,N1816&lt;6)),1,0)</x:f>
        <x:v>1</x:v>
      </x:c>
      <x:c r="R1816" s="22" t="str">
        <x:f>O1816&amp;P1816&amp;Q1816</x:f>
        <x:v>111</x:v>
      </x:c>
      <x:c r="S1816" s="19" t="n">
        <x:f>IF(I1816=1,IF(J1816=0,Q1816,IF(J1816=1,P1816,IF(J1816=2,O1816,0))),0)</x:f>
        <x:v>0</x:v>
      </x:c>
      <x:c r="T1816" s="19" t="n">
        <x:f>K1816+IF(AND(S1816=1,J1816=0),1,0)</x:f>
        <x:v>3</x:v>
      </x:c>
      <x:c r="U1816" s="19" t="n">
        <x:f>L1816+IF(AND(S1816=1,J1816=1),1,0)</x:f>
        <x:v>3</x:v>
      </x:c>
      <x:c r="V1816" s="19" t="n">
        <x:f>M1816+IF(AND(S1816=1,J1816=2),1,0)</x:f>
        <x:v>2</x:v>
      </x:c>
      <x:c r="W1816" s="19" t="n">
        <x:f>SUM(T1816:V1816)</x:f>
        <x:v>8</x:v>
      </x:c>
      <x:c r="X1816" s="19" t="n">
        <x:f>W1816-G1816</x:f>
        <x:v>-1</x:v>
      </x:c>
      <x:c r="Y1816" s="19" t="n">
        <x:f>MAX(T1816,1)+MAX(U1816,1)+MAX(V1816,1)</x:f>
        <x:v>8</x:v>
      </x:c>
      <x:c r="Z1816" s="21" t="str">
        <x:f>IF(AND(MIN(D1816:F1816)&gt;=0,MAX(D1816:F1816)&lt;=7,MAX(D1816,1)+MAX(E1816,1)+MAX(F1816,1)&lt;=9,OR(H1816="-",AND(H1816=0,D1816&gt;0),AND(H1816=1,E1816&gt;0),AND(H1816=2,F1816&gt;0)),OR(I1816=0,AND(I1816=1,OR(J1816=0,J1816=1,J1816=2),R1816&lt;&gt;"000")),Y1816&lt;=9,MIN(T1816:V1816)&gt;=0),"合法","输入违约")</x:f>
        <x:v>合法</x:v>
      </x:c>
    </x:row>
    <x:row r="1817" ht="23" customHeight="1">
      <x:c r="A1817" s="3" t="str">
        <x:v>CT-1810</x:v>
      </x:c>
      <x:c r="B1817" s="3" t="str">
        <x:v>ST-178</x:v>
      </x:c>
      <x:c r="C1817" s="3" t="str">
        <x:v>R+AR同收同发</x:v>
      </x:c>
      <x:c r="D1817" s="25" t="n">
        <x:v>3</x:v>
      </x:c>
      <x:c r="E1817" s="25" t="n">
        <x:v>3</x:v>
      </x:c>
      <x:c r="F1817" s="25" t="n">
        <x:v>3</x:v>
      </x:c>
      <x:c r="G1817" s="19" t="n">
        <x:f>SUM(D1817:F1817)</x:f>
        <x:v>9</x:v>
      </x:c>
      <x:c r="H1817" s="25" t="n">
        <x:v>2</x:v>
      </x:c>
      <x:c r="I1817" s="25" t="n">
        <x:v>1</x:v>
      </x:c>
      <x:c r="J1817" s="25" t="n">
        <x:v>0</x:v>
      </x:c>
      <x:c r="K1817" s="19" t="n">
        <x:f>D1817-IF(H1817=0,1,0)</x:f>
        <x:v>3</x:v>
      </x:c>
      <x:c r="L1817" s="19" t="n">
        <x:f>E1817-IF(H1817=1,1,0)</x:f>
        <x:v>3</x:v>
      </x:c>
      <x:c r="M1817" s="19" t="n">
        <x:f>F1817-IF(H1817=2,1,0)</x:f>
        <x:v>2</x:v>
      </x:c>
      <x:c r="N1817" s="19" t="n">
        <x:f>MAX(K1817-1,0)+MAX(L1817-1,0)+MAX(M1817-1,0)</x:f>
        <x:v>5</x:v>
      </x:c>
      <x:c r="O1817" s="19" t="n">
        <x:f>IF(AND(SUM(K1817:M1817)&lt;9,OR(M1817=0,N1817&lt;6)),1,0)</x:f>
        <x:v>1</x:v>
      </x:c>
      <x:c r="P1817" s="19" t="n">
        <x:f>IF(AND(SUM(K1817:M1817)&lt;9,OR(L1817=0,N1817&lt;6)),1,0)</x:f>
        <x:v>1</x:v>
      </x:c>
      <x:c r="Q1817" s="19" t="n">
        <x:f>IF(AND(SUM(K1817:M1817)&lt;9,OR(K1817=0,N1817&lt;6)),1,0)</x:f>
        <x:v>1</x:v>
      </x:c>
      <x:c r="R1817" s="22" t="str">
        <x:f>O1817&amp;P1817&amp;Q1817</x:f>
        <x:v>111</x:v>
      </x:c>
      <x:c r="S1817" s="19" t="n">
        <x:f>IF(I1817=1,IF(J1817=0,Q1817,IF(J1817=1,P1817,IF(J1817=2,O1817,0))),0)</x:f>
        <x:v>1</x:v>
      </x:c>
      <x:c r="T1817" s="19" t="n">
        <x:f>K1817+IF(AND(S1817=1,J1817=0),1,0)</x:f>
        <x:v>4</x:v>
      </x:c>
      <x:c r="U1817" s="19" t="n">
        <x:f>L1817+IF(AND(S1817=1,J1817=1),1,0)</x:f>
        <x:v>3</x:v>
      </x:c>
      <x:c r="V1817" s="19" t="n">
        <x:f>M1817+IF(AND(S1817=1,J1817=2),1,0)</x:f>
        <x:v>2</x:v>
      </x:c>
      <x:c r="W1817" s="19" t="n">
        <x:f>SUM(T1817:V1817)</x:f>
        <x:v>9</x:v>
      </x:c>
      <x:c r="X1817" s="19" t="n">
        <x:f>W1817-G1817</x:f>
        <x:v>0</x:v>
      </x:c>
      <x:c r="Y1817" s="19" t="n">
        <x:f>MAX(T1817,1)+MAX(U1817,1)+MAX(V1817,1)</x:f>
        <x:v>9</x:v>
      </x:c>
      <x:c r="Z1817" s="21" t="str">
        <x:f>IF(AND(MIN(D1817:F1817)&gt;=0,MAX(D1817:F1817)&lt;=7,MAX(D1817,1)+MAX(E1817,1)+MAX(F1817,1)&lt;=9,OR(H1817="-",AND(H1817=0,D1817&gt;0),AND(H1817=1,E1817&gt;0),AND(H1817=2,F1817&gt;0)),OR(I1817=0,AND(I1817=1,OR(J1817=0,J1817=1,J1817=2),R1817&lt;&gt;"000")),Y1817&lt;=9,MIN(T1817:V1817)&gt;=0),"合法","输入违约")</x:f>
        <x:v>合法</x:v>
      </x:c>
    </x:row>
    <x:row r="1818" ht="23" customHeight="1">
      <x:c r="A1818" s="3" t="str">
        <x:v>CT-1811</x:v>
      </x:c>
      <x:c r="B1818" s="3" t="str">
        <x:v>ST-178</x:v>
      </x:c>
      <x:c r="C1818" s="3" t="str">
        <x:v>R+AR同收同发</x:v>
      </x:c>
      <x:c r="D1818" s="25" t="n">
        <x:v>3</x:v>
      </x:c>
      <x:c r="E1818" s="25" t="n">
        <x:v>3</x:v>
      </x:c>
      <x:c r="F1818" s="25" t="n">
        <x:v>3</x:v>
      </x:c>
      <x:c r="G1818" s="19" t="n">
        <x:f>SUM(D1818:F1818)</x:f>
        <x:v>9</x:v>
      </x:c>
      <x:c r="H1818" s="25" t="n">
        <x:v>2</x:v>
      </x:c>
      <x:c r="I1818" s="25" t="n">
        <x:v>1</x:v>
      </x:c>
      <x:c r="J1818" s="25" t="n">
        <x:v>1</x:v>
      </x:c>
      <x:c r="K1818" s="19" t="n">
        <x:f>D1818-IF(H1818=0,1,0)</x:f>
        <x:v>3</x:v>
      </x:c>
      <x:c r="L1818" s="19" t="n">
        <x:f>E1818-IF(H1818=1,1,0)</x:f>
        <x:v>3</x:v>
      </x:c>
      <x:c r="M1818" s="19" t="n">
        <x:f>F1818-IF(H1818=2,1,0)</x:f>
        <x:v>2</x:v>
      </x:c>
      <x:c r="N1818" s="19" t="n">
        <x:f>MAX(K1818-1,0)+MAX(L1818-1,0)+MAX(M1818-1,0)</x:f>
        <x:v>5</x:v>
      </x:c>
      <x:c r="O1818" s="19" t="n">
        <x:f>IF(AND(SUM(K1818:M1818)&lt;9,OR(M1818=0,N1818&lt;6)),1,0)</x:f>
        <x:v>1</x:v>
      </x:c>
      <x:c r="P1818" s="19" t="n">
        <x:f>IF(AND(SUM(K1818:M1818)&lt;9,OR(L1818=0,N1818&lt;6)),1,0)</x:f>
        <x:v>1</x:v>
      </x:c>
      <x:c r="Q1818" s="19" t="n">
        <x:f>IF(AND(SUM(K1818:M1818)&lt;9,OR(K1818=0,N1818&lt;6)),1,0)</x:f>
        <x:v>1</x:v>
      </x:c>
      <x:c r="R1818" s="22" t="str">
        <x:f>O1818&amp;P1818&amp;Q1818</x:f>
        <x:v>111</x:v>
      </x:c>
      <x:c r="S1818" s="19" t="n">
        <x:f>IF(I1818=1,IF(J1818=0,Q1818,IF(J1818=1,P1818,IF(J1818=2,O1818,0))),0)</x:f>
        <x:v>1</x:v>
      </x:c>
      <x:c r="T1818" s="19" t="n">
        <x:f>K1818+IF(AND(S1818=1,J1818=0),1,0)</x:f>
        <x:v>3</x:v>
      </x:c>
      <x:c r="U1818" s="19" t="n">
        <x:f>L1818+IF(AND(S1818=1,J1818=1),1,0)</x:f>
        <x:v>4</x:v>
      </x:c>
      <x:c r="V1818" s="19" t="n">
        <x:f>M1818+IF(AND(S1818=1,J1818=2),1,0)</x:f>
        <x:v>2</x:v>
      </x:c>
      <x:c r="W1818" s="19" t="n">
        <x:f>SUM(T1818:V1818)</x:f>
        <x:v>9</x:v>
      </x:c>
      <x:c r="X1818" s="19" t="n">
        <x:f>W1818-G1818</x:f>
        <x:v>0</x:v>
      </x:c>
      <x:c r="Y1818" s="19" t="n">
        <x:f>MAX(T1818,1)+MAX(U1818,1)+MAX(V1818,1)</x:f>
        <x:v>9</x:v>
      </x:c>
      <x:c r="Z1818" s="21" t="str">
        <x:f>IF(AND(MIN(D1818:F1818)&gt;=0,MAX(D1818:F1818)&lt;=7,MAX(D1818,1)+MAX(E1818,1)+MAX(F1818,1)&lt;=9,OR(H1818="-",AND(H1818=0,D1818&gt;0),AND(H1818=1,E1818&gt;0),AND(H1818=2,F1818&gt;0)),OR(I1818=0,AND(I1818=1,OR(J1818=0,J1818=1,J1818=2),R1818&lt;&gt;"000")),Y1818&lt;=9,MIN(T1818:V1818)&gt;=0),"合法","输入违约")</x:f>
        <x:v>合法</x:v>
      </x:c>
    </x:row>
    <x:row r="1819" ht="23" customHeight="1">
      <x:c r="A1819" s="3" t="str">
        <x:v>CT-1812</x:v>
      </x:c>
      <x:c r="B1819" s="3" t="str">
        <x:v>ST-178</x:v>
      </x:c>
      <x:c r="C1819" s="3" t="str">
        <x:v>R+AR同收同发</x:v>
      </x:c>
      <x:c r="D1819" s="25" t="n">
        <x:v>3</x:v>
      </x:c>
      <x:c r="E1819" s="25" t="n">
        <x:v>3</x:v>
      </x:c>
      <x:c r="F1819" s="25" t="n">
        <x:v>3</x:v>
      </x:c>
      <x:c r="G1819" s="19" t="n">
        <x:f>SUM(D1819:F1819)</x:f>
        <x:v>9</x:v>
      </x:c>
      <x:c r="H1819" s="25" t="n">
        <x:v>2</x:v>
      </x:c>
      <x:c r="I1819" s="25" t="n">
        <x:v>1</x:v>
      </x:c>
      <x:c r="J1819" s="25" t="n">
        <x:v>2</x:v>
      </x:c>
      <x:c r="K1819" s="19" t="n">
        <x:f>D1819-IF(H1819=0,1,0)</x:f>
        <x:v>3</x:v>
      </x:c>
      <x:c r="L1819" s="19" t="n">
        <x:f>E1819-IF(H1819=1,1,0)</x:f>
        <x:v>3</x:v>
      </x:c>
      <x:c r="M1819" s="19" t="n">
        <x:f>F1819-IF(H1819=2,1,0)</x:f>
        <x:v>2</x:v>
      </x:c>
      <x:c r="N1819" s="19" t="n">
        <x:f>MAX(K1819-1,0)+MAX(L1819-1,0)+MAX(M1819-1,0)</x:f>
        <x:v>5</x:v>
      </x:c>
      <x:c r="O1819" s="19" t="n">
        <x:f>IF(AND(SUM(K1819:M1819)&lt;9,OR(M1819=0,N1819&lt;6)),1,0)</x:f>
        <x:v>1</x:v>
      </x:c>
      <x:c r="P1819" s="19" t="n">
        <x:f>IF(AND(SUM(K1819:M1819)&lt;9,OR(L1819=0,N1819&lt;6)),1,0)</x:f>
        <x:v>1</x:v>
      </x:c>
      <x:c r="Q1819" s="19" t="n">
        <x:f>IF(AND(SUM(K1819:M1819)&lt;9,OR(K1819=0,N1819&lt;6)),1,0)</x:f>
        <x:v>1</x:v>
      </x:c>
      <x:c r="R1819" s="22" t="str">
        <x:f>O1819&amp;P1819&amp;Q1819</x:f>
        <x:v>111</x:v>
      </x:c>
      <x:c r="S1819" s="19" t="n">
        <x:f>IF(I1819=1,IF(J1819=0,Q1819,IF(J1819=1,P1819,IF(J1819=2,O1819,0))),0)</x:f>
        <x:v>1</x:v>
      </x:c>
      <x:c r="T1819" s="19" t="n">
        <x:f>K1819+IF(AND(S1819=1,J1819=0),1,0)</x:f>
        <x:v>3</x:v>
      </x:c>
      <x:c r="U1819" s="19" t="n">
        <x:f>L1819+IF(AND(S1819=1,J1819=1),1,0)</x:f>
        <x:v>3</x:v>
      </x:c>
      <x:c r="V1819" s="19" t="n">
        <x:f>M1819+IF(AND(S1819=1,J1819=2),1,0)</x:f>
        <x:v>3</x:v>
      </x:c>
      <x:c r="W1819" s="19" t="n">
        <x:f>SUM(T1819:V1819)</x:f>
        <x:v>9</x:v>
      </x:c>
      <x:c r="X1819" s="19" t="n">
        <x:f>W1819-G1819</x:f>
        <x:v>0</x:v>
      </x:c>
      <x:c r="Y1819" s="19" t="n">
        <x:f>MAX(T1819,1)+MAX(U1819,1)+MAX(V1819,1)</x:f>
        <x:v>9</x:v>
      </x:c>
      <x:c r="Z1819" s="21" t="str">
        <x:f>IF(AND(MIN(D1819:F1819)&gt;=0,MAX(D1819:F1819)&lt;=7,MAX(D1819,1)+MAX(E1819,1)+MAX(F1819,1)&lt;=9,OR(H1819="-",AND(H1819=0,D1819&gt;0),AND(H1819=1,E1819&gt;0),AND(H1819=2,F1819&gt;0)),OR(I1819=0,AND(I1819=1,OR(J1819=0,J1819=1,J1819=2),R1819&lt;&gt;"000")),Y1819&lt;=9,MIN(T1819:V1819)&gt;=0),"合法","输入违约")</x:f>
        <x:v>合法</x:v>
      </x:c>
    </x:row>
    <x:row r="1820" ht="23" customHeight="1">
      <x:c r="A1820" s="3" t="str">
        <x:v>CT-1813</x:v>
      </x:c>
      <x:c r="B1820" s="3" t="str">
        <x:v>ST-110</x:v>
      </x:c>
      <x:c r="C1820" s="3" t="str">
        <x:v>无AR/R</x:v>
      </x:c>
      <x:c r="D1820" s="25" t="n">
        <x:v>3</x:v>
      </x:c>
      <x:c r="E1820" s="25" t="n">
        <x:v>4</x:v>
      </x:c>
      <x:c r="F1820" s="25" t="n">
        <x:v>0</x:v>
      </x:c>
      <x:c r="G1820" s="19" t="n">
        <x:f>SUM(D1820:F1820)</x:f>
        <x:v>7</x:v>
      </x:c>
      <x:c r="H1820" s="25" t="str">
        <x:v>-</x:v>
      </x:c>
      <x:c r="I1820" s="25" t="n">
        <x:v>0</x:v>
      </x:c>
      <x:c r="J1820" s="25" t="str">
        <x:v>-</x:v>
      </x:c>
      <x:c r="K1820" s="19" t="n">
        <x:f>D1820-IF(H1820=0,1,0)</x:f>
        <x:v>3</x:v>
      </x:c>
      <x:c r="L1820" s="19" t="n">
        <x:f>E1820-IF(H1820=1,1,0)</x:f>
        <x:v>4</x:v>
      </x:c>
      <x:c r="M1820" s="19" t="n">
        <x:f>F1820-IF(H1820=2,1,0)</x:f>
        <x:v>0</x:v>
      </x:c>
      <x:c r="N1820" s="19" t="n">
        <x:f>MAX(K1820-1,0)+MAX(L1820-1,0)+MAX(M1820-1,0)</x:f>
        <x:v>5</x:v>
      </x:c>
      <x:c r="O1820" s="19" t="n">
        <x:f>IF(AND(SUM(K1820:M1820)&lt;9,OR(M1820=0,N1820&lt;6)),1,0)</x:f>
        <x:v>1</x:v>
      </x:c>
      <x:c r="P1820" s="19" t="n">
        <x:f>IF(AND(SUM(K1820:M1820)&lt;9,OR(L1820=0,N1820&lt;6)),1,0)</x:f>
        <x:v>1</x:v>
      </x:c>
      <x:c r="Q1820" s="19" t="n">
        <x:f>IF(AND(SUM(K1820:M1820)&lt;9,OR(K1820=0,N1820&lt;6)),1,0)</x:f>
        <x:v>1</x:v>
      </x:c>
      <x:c r="R1820" s="22" t="str">
        <x:f>O1820&amp;P1820&amp;Q1820</x:f>
        <x:v>111</x:v>
      </x:c>
      <x:c r="S1820" s="19" t="n">
        <x:f>IF(I1820=1,IF(J1820=0,Q1820,IF(J1820=1,P1820,IF(J1820=2,O1820,0))),0)</x:f>
        <x:v>0</x:v>
      </x:c>
      <x:c r="T1820" s="19" t="n">
        <x:f>K1820+IF(AND(S1820=1,J1820=0),1,0)</x:f>
        <x:v>3</x:v>
      </x:c>
      <x:c r="U1820" s="19" t="n">
        <x:f>L1820+IF(AND(S1820=1,J1820=1),1,0)</x:f>
        <x:v>4</x:v>
      </x:c>
      <x:c r="V1820" s="19" t="n">
        <x:f>M1820+IF(AND(S1820=1,J1820=2),1,0)</x:f>
        <x:v>0</x:v>
      </x:c>
      <x:c r="W1820" s="19" t="n">
        <x:f>SUM(T1820:V1820)</x:f>
        <x:v>7</x:v>
      </x:c>
      <x:c r="X1820" s="19" t="n">
        <x:f>W1820-G1820</x:f>
        <x:v>0</x:v>
      </x:c>
      <x:c r="Y1820" s="19" t="n">
        <x:f>MAX(T1820,1)+MAX(U1820,1)+MAX(V1820,1)</x:f>
        <x:v>8</x:v>
      </x:c>
      <x:c r="Z1820" s="21" t="str">
        <x:f>IF(AND(MIN(D1820:F1820)&gt;=0,MAX(D1820:F1820)&lt;=7,MAX(D1820,1)+MAX(E1820,1)+MAX(F1820,1)&lt;=9,OR(H1820="-",AND(H1820=0,D1820&gt;0),AND(H1820=1,E1820&gt;0),AND(H1820=2,F1820&gt;0)),OR(I1820=0,AND(I1820=1,OR(J1820=0,J1820=1,J1820=2),R1820&lt;&gt;"000")),Y1820&lt;=9,MIN(T1820:V1820)&gt;=0),"合法","输入违约")</x:f>
        <x:v>合法</x:v>
      </x:c>
    </x:row>
    <x:row r="1821" ht="23" customHeight="1">
      <x:c r="A1821" s="3" t="str">
        <x:v>CT-1814</x:v>
      </x:c>
      <x:c r="B1821" s="3" t="str">
        <x:v>ST-110</x:v>
      </x:c>
      <x:c r="C1821" s="3" t="str">
        <x:v>仅AR接收</x:v>
      </x:c>
      <x:c r="D1821" s="25" t="n">
        <x:v>3</x:v>
      </x:c>
      <x:c r="E1821" s="25" t="n">
        <x:v>4</x:v>
      </x:c>
      <x:c r="F1821" s="25" t="n">
        <x:v>0</x:v>
      </x:c>
      <x:c r="G1821" s="19" t="n">
        <x:f>SUM(D1821:F1821)</x:f>
        <x:v>7</x:v>
      </x:c>
      <x:c r="H1821" s="25" t="str">
        <x:v>-</x:v>
      </x:c>
      <x:c r="I1821" s="25" t="n">
        <x:v>1</x:v>
      </x:c>
      <x:c r="J1821" s="25" t="n">
        <x:v>0</x:v>
      </x:c>
      <x:c r="K1821" s="19" t="n">
        <x:f>D1821-IF(H1821=0,1,0)</x:f>
        <x:v>3</x:v>
      </x:c>
      <x:c r="L1821" s="19" t="n">
        <x:f>E1821-IF(H1821=1,1,0)</x:f>
        <x:v>4</x:v>
      </x:c>
      <x:c r="M1821" s="19" t="n">
        <x:f>F1821-IF(H1821=2,1,0)</x:f>
        <x:v>0</x:v>
      </x:c>
      <x:c r="N1821" s="19" t="n">
        <x:f>MAX(K1821-1,0)+MAX(L1821-1,0)+MAX(M1821-1,0)</x:f>
        <x:v>5</x:v>
      </x:c>
      <x:c r="O1821" s="19" t="n">
        <x:f>IF(AND(SUM(K1821:M1821)&lt;9,OR(M1821=0,N1821&lt;6)),1,0)</x:f>
        <x:v>1</x:v>
      </x:c>
      <x:c r="P1821" s="19" t="n">
        <x:f>IF(AND(SUM(K1821:M1821)&lt;9,OR(L1821=0,N1821&lt;6)),1,0)</x:f>
        <x:v>1</x:v>
      </x:c>
      <x:c r="Q1821" s="19" t="n">
        <x:f>IF(AND(SUM(K1821:M1821)&lt;9,OR(K1821=0,N1821&lt;6)),1,0)</x:f>
        <x:v>1</x:v>
      </x:c>
      <x:c r="R1821" s="22" t="str">
        <x:f>O1821&amp;P1821&amp;Q1821</x:f>
        <x:v>111</x:v>
      </x:c>
      <x:c r="S1821" s="19" t="n">
        <x:f>IF(I1821=1,IF(J1821=0,Q1821,IF(J1821=1,P1821,IF(J1821=2,O1821,0))),0)</x:f>
        <x:v>1</x:v>
      </x:c>
      <x:c r="T1821" s="19" t="n">
        <x:f>K1821+IF(AND(S1821=1,J1821=0),1,0)</x:f>
        <x:v>4</x:v>
      </x:c>
      <x:c r="U1821" s="19" t="n">
        <x:f>L1821+IF(AND(S1821=1,J1821=1),1,0)</x:f>
        <x:v>4</x:v>
      </x:c>
      <x:c r="V1821" s="19" t="n">
        <x:f>M1821+IF(AND(S1821=1,J1821=2),1,0)</x:f>
        <x:v>0</x:v>
      </x:c>
      <x:c r="W1821" s="19" t="n">
        <x:f>SUM(T1821:V1821)</x:f>
        <x:v>8</x:v>
      </x:c>
      <x:c r="X1821" s="19" t="n">
        <x:f>W1821-G1821</x:f>
        <x:v>1</x:v>
      </x:c>
      <x:c r="Y1821" s="19" t="n">
        <x:f>MAX(T1821,1)+MAX(U1821,1)+MAX(V1821,1)</x:f>
        <x:v>9</x:v>
      </x:c>
      <x:c r="Z1821" s="21" t="str">
        <x:f>IF(AND(MIN(D1821:F1821)&gt;=0,MAX(D1821:F1821)&lt;=7,MAX(D1821,1)+MAX(E1821,1)+MAX(F1821,1)&lt;=9,OR(H1821="-",AND(H1821=0,D1821&gt;0),AND(H1821=1,E1821&gt;0),AND(H1821=2,F1821&gt;0)),OR(I1821=0,AND(I1821=1,OR(J1821=0,J1821=1,J1821=2),R1821&lt;&gt;"000")),Y1821&lt;=9,MIN(T1821:V1821)&gt;=0),"合法","输入违约")</x:f>
        <x:v>合法</x:v>
      </x:c>
    </x:row>
    <x:row r="1822" ht="23" customHeight="1">
      <x:c r="A1822" s="3" t="str">
        <x:v>CT-1815</x:v>
      </x:c>
      <x:c r="B1822" s="3" t="str">
        <x:v>ST-110</x:v>
      </x:c>
      <x:c r="C1822" s="3" t="str">
        <x:v>仅AR接收</x:v>
      </x:c>
      <x:c r="D1822" s="25" t="n">
        <x:v>3</x:v>
      </x:c>
      <x:c r="E1822" s="25" t="n">
        <x:v>4</x:v>
      </x:c>
      <x:c r="F1822" s="25" t="n">
        <x:v>0</x:v>
      </x:c>
      <x:c r="G1822" s="19" t="n">
        <x:f>SUM(D1822:F1822)</x:f>
        <x:v>7</x:v>
      </x:c>
      <x:c r="H1822" s="25" t="str">
        <x:v>-</x:v>
      </x:c>
      <x:c r="I1822" s="25" t="n">
        <x:v>1</x:v>
      </x:c>
      <x:c r="J1822" s="25" t="n">
        <x:v>1</x:v>
      </x:c>
      <x:c r="K1822" s="19" t="n">
        <x:f>D1822-IF(H1822=0,1,0)</x:f>
        <x:v>3</x:v>
      </x:c>
      <x:c r="L1822" s="19" t="n">
        <x:f>E1822-IF(H1822=1,1,0)</x:f>
        <x:v>4</x:v>
      </x:c>
      <x:c r="M1822" s="19" t="n">
        <x:f>F1822-IF(H1822=2,1,0)</x:f>
        <x:v>0</x:v>
      </x:c>
      <x:c r="N1822" s="19" t="n">
        <x:f>MAX(K1822-1,0)+MAX(L1822-1,0)+MAX(M1822-1,0)</x:f>
        <x:v>5</x:v>
      </x:c>
      <x:c r="O1822" s="19" t="n">
        <x:f>IF(AND(SUM(K1822:M1822)&lt;9,OR(M1822=0,N1822&lt;6)),1,0)</x:f>
        <x:v>1</x:v>
      </x:c>
      <x:c r="P1822" s="19" t="n">
        <x:f>IF(AND(SUM(K1822:M1822)&lt;9,OR(L1822=0,N1822&lt;6)),1,0)</x:f>
        <x:v>1</x:v>
      </x:c>
      <x:c r="Q1822" s="19" t="n">
        <x:f>IF(AND(SUM(K1822:M1822)&lt;9,OR(K1822=0,N1822&lt;6)),1,0)</x:f>
        <x:v>1</x:v>
      </x:c>
      <x:c r="R1822" s="22" t="str">
        <x:f>O1822&amp;P1822&amp;Q1822</x:f>
        <x:v>111</x:v>
      </x:c>
      <x:c r="S1822" s="19" t="n">
        <x:f>IF(I1822=1,IF(J1822=0,Q1822,IF(J1822=1,P1822,IF(J1822=2,O1822,0))),0)</x:f>
        <x:v>1</x:v>
      </x:c>
      <x:c r="T1822" s="19" t="n">
        <x:f>K1822+IF(AND(S1822=1,J1822=0),1,0)</x:f>
        <x:v>3</x:v>
      </x:c>
      <x:c r="U1822" s="19" t="n">
        <x:f>L1822+IF(AND(S1822=1,J1822=1),1,0)</x:f>
        <x:v>5</x:v>
      </x:c>
      <x:c r="V1822" s="19" t="n">
        <x:f>M1822+IF(AND(S1822=1,J1822=2),1,0)</x:f>
        <x:v>0</x:v>
      </x:c>
      <x:c r="W1822" s="19" t="n">
        <x:f>SUM(T1822:V1822)</x:f>
        <x:v>8</x:v>
      </x:c>
      <x:c r="X1822" s="19" t="n">
        <x:f>W1822-G1822</x:f>
        <x:v>1</x:v>
      </x:c>
      <x:c r="Y1822" s="19" t="n">
        <x:f>MAX(T1822,1)+MAX(U1822,1)+MAX(V1822,1)</x:f>
        <x:v>9</x:v>
      </x:c>
      <x:c r="Z1822" s="21" t="str">
        <x:f>IF(AND(MIN(D1822:F1822)&gt;=0,MAX(D1822:F1822)&lt;=7,MAX(D1822,1)+MAX(E1822,1)+MAX(F1822,1)&lt;=9,OR(H1822="-",AND(H1822=0,D1822&gt;0),AND(H1822=1,E1822&gt;0),AND(H1822=2,F1822&gt;0)),OR(I1822=0,AND(I1822=1,OR(J1822=0,J1822=1,J1822=2),R1822&lt;&gt;"000")),Y1822&lt;=9,MIN(T1822:V1822)&gt;=0),"合法","输入违约")</x:f>
        <x:v>合法</x:v>
      </x:c>
    </x:row>
    <x:row r="1823" ht="23" customHeight="1">
      <x:c r="A1823" s="3" t="str">
        <x:v>CT-1816</x:v>
      </x:c>
      <x:c r="B1823" s="3" t="str">
        <x:v>ST-110</x:v>
      </x:c>
      <x:c r="C1823" s="3" t="str">
        <x:v>仅AR接收</x:v>
      </x:c>
      <x:c r="D1823" s="25" t="n">
        <x:v>3</x:v>
      </x:c>
      <x:c r="E1823" s="25" t="n">
        <x:v>4</x:v>
      </x:c>
      <x:c r="F1823" s="25" t="n">
        <x:v>0</x:v>
      </x:c>
      <x:c r="G1823" s="19" t="n">
        <x:f>SUM(D1823:F1823)</x:f>
        <x:v>7</x:v>
      </x:c>
      <x:c r="H1823" s="25" t="str">
        <x:v>-</x:v>
      </x:c>
      <x:c r="I1823" s="25" t="n">
        <x:v>1</x:v>
      </x:c>
      <x:c r="J1823" s="25" t="n">
        <x:v>2</x:v>
      </x:c>
      <x:c r="K1823" s="19" t="n">
        <x:f>D1823-IF(H1823=0,1,0)</x:f>
        <x:v>3</x:v>
      </x:c>
      <x:c r="L1823" s="19" t="n">
        <x:f>E1823-IF(H1823=1,1,0)</x:f>
        <x:v>4</x:v>
      </x:c>
      <x:c r="M1823" s="19" t="n">
        <x:f>F1823-IF(H1823=2,1,0)</x:f>
        <x:v>0</x:v>
      </x:c>
      <x:c r="N1823" s="19" t="n">
        <x:f>MAX(K1823-1,0)+MAX(L1823-1,0)+MAX(M1823-1,0)</x:f>
        <x:v>5</x:v>
      </x:c>
      <x:c r="O1823" s="19" t="n">
        <x:f>IF(AND(SUM(K1823:M1823)&lt;9,OR(M1823=0,N1823&lt;6)),1,0)</x:f>
        <x:v>1</x:v>
      </x:c>
      <x:c r="P1823" s="19" t="n">
        <x:f>IF(AND(SUM(K1823:M1823)&lt;9,OR(L1823=0,N1823&lt;6)),1,0)</x:f>
        <x:v>1</x:v>
      </x:c>
      <x:c r="Q1823" s="19" t="n">
        <x:f>IF(AND(SUM(K1823:M1823)&lt;9,OR(K1823=0,N1823&lt;6)),1,0)</x:f>
        <x:v>1</x:v>
      </x:c>
      <x:c r="R1823" s="22" t="str">
        <x:f>O1823&amp;P1823&amp;Q1823</x:f>
        <x:v>111</x:v>
      </x:c>
      <x:c r="S1823" s="19" t="n">
        <x:f>IF(I1823=1,IF(J1823=0,Q1823,IF(J1823=1,P1823,IF(J1823=2,O1823,0))),0)</x:f>
        <x:v>1</x:v>
      </x:c>
      <x:c r="T1823" s="19" t="n">
        <x:f>K1823+IF(AND(S1823=1,J1823=0),1,0)</x:f>
        <x:v>3</x:v>
      </x:c>
      <x:c r="U1823" s="19" t="n">
        <x:f>L1823+IF(AND(S1823=1,J1823=1),1,0)</x:f>
        <x:v>4</x:v>
      </x:c>
      <x:c r="V1823" s="19" t="n">
        <x:f>M1823+IF(AND(S1823=1,J1823=2),1,0)</x:f>
        <x:v>1</x:v>
      </x:c>
      <x:c r="W1823" s="19" t="n">
        <x:f>SUM(T1823:V1823)</x:f>
        <x:v>8</x:v>
      </x:c>
      <x:c r="X1823" s="19" t="n">
        <x:f>W1823-G1823</x:f>
        <x:v>1</x:v>
      </x:c>
      <x:c r="Y1823" s="19" t="n">
        <x:f>MAX(T1823,1)+MAX(U1823,1)+MAX(V1823,1)</x:f>
        <x:v>8</x:v>
      </x:c>
      <x:c r="Z1823" s="21" t="str">
        <x:f>IF(AND(MIN(D1823:F1823)&gt;=0,MAX(D1823:F1823)&lt;=7,MAX(D1823,1)+MAX(E1823,1)+MAX(F1823,1)&lt;=9,OR(H1823="-",AND(H1823=0,D1823&gt;0),AND(H1823=1,E1823&gt;0),AND(H1823=2,F1823&gt;0)),OR(I1823=0,AND(I1823=1,OR(J1823=0,J1823=1,J1823=2),R1823&lt;&gt;"000")),Y1823&lt;=9,MIN(T1823:V1823)&gt;=0),"合法","输入违约")</x:f>
        <x:v>合法</x:v>
      </x:c>
    </x:row>
    <x:row r="1824" ht="23" customHeight="1">
      <x:c r="A1824" s="3" t="str">
        <x:v>CT-1817</x:v>
      </x:c>
      <x:c r="B1824" s="3" t="str">
        <x:v>ST-110</x:v>
      </x:c>
      <x:c r="C1824" s="3" t="str">
        <x:v>仅R回收</x:v>
      </x:c>
      <x:c r="D1824" s="25" t="n">
        <x:v>3</x:v>
      </x:c>
      <x:c r="E1824" s="25" t="n">
        <x:v>4</x:v>
      </x:c>
      <x:c r="F1824" s="25" t="n">
        <x:v>0</x:v>
      </x:c>
      <x:c r="G1824" s="19" t="n">
        <x:f>SUM(D1824:F1824)</x:f>
        <x:v>7</x:v>
      </x:c>
      <x:c r="H1824" s="25" t="n">
        <x:v>0</x:v>
      </x:c>
      <x:c r="I1824" s="25" t="n">
        <x:v>0</x:v>
      </x:c>
      <x:c r="J1824" s="25" t="str">
        <x:v>-</x:v>
      </x:c>
      <x:c r="K1824" s="19" t="n">
        <x:f>D1824-IF(H1824=0,1,0)</x:f>
        <x:v>2</x:v>
      </x:c>
      <x:c r="L1824" s="19" t="n">
        <x:f>E1824-IF(H1824=1,1,0)</x:f>
        <x:v>4</x:v>
      </x:c>
      <x:c r="M1824" s="19" t="n">
        <x:f>F1824-IF(H1824=2,1,0)</x:f>
        <x:v>0</x:v>
      </x:c>
      <x:c r="N1824" s="19" t="n">
        <x:f>MAX(K1824-1,0)+MAX(L1824-1,0)+MAX(M1824-1,0)</x:f>
        <x:v>4</x:v>
      </x:c>
      <x:c r="O1824" s="19" t="n">
        <x:f>IF(AND(SUM(K1824:M1824)&lt;9,OR(M1824=0,N1824&lt;6)),1,0)</x:f>
        <x:v>1</x:v>
      </x:c>
      <x:c r="P1824" s="19" t="n">
        <x:f>IF(AND(SUM(K1824:M1824)&lt;9,OR(L1824=0,N1824&lt;6)),1,0)</x:f>
        <x:v>1</x:v>
      </x:c>
      <x:c r="Q1824" s="19" t="n">
        <x:f>IF(AND(SUM(K1824:M1824)&lt;9,OR(K1824=0,N1824&lt;6)),1,0)</x:f>
        <x:v>1</x:v>
      </x:c>
      <x:c r="R1824" s="22" t="str">
        <x:f>O1824&amp;P1824&amp;Q1824</x:f>
        <x:v>111</x:v>
      </x:c>
      <x:c r="S1824" s="19" t="n">
        <x:f>IF(I1824=1,IF(J1824=0,Q1824,IF(J1824=1,P1824,IF(J1824=2,O1824,0))),0)</x:f>
        <x:v>0</x:v>
      </x:c>
      <x:c r="T1824" s="19" t="n">
        <x:f>K1824+IF(AND(S1824=1,J1824=0),1,0)</x:f>
        <x:v>2</x:v>
      </x:c>
      <x:c r="U1824" s="19" t="n">
        <x:f>L1824+IF(AND(S1824=1,J1824=1),1,0)</x:f>
        <x:v>4</x:v>
      </x:c>
      <x:c r="V1824" s="19" t="n">
        <x:f>M1824+IF(AND(S1824=1,J1824=2),1,0)</x:f>
        <x:v>0</x:v>
      </x:c>
      <x:c r="W1824" s="19" t="n">
        <x:f>SUM(T1824:V1824)</x:f>
        <x:v>6</x:v>
      </x:c>
      <x:c r="X1824" s="19" t="n">
        <x:f>W1824-G1824</x:f>
        <x:v>-1</x:v>
      </x:c>
      <x:c r="Y1824" s="19" t="n">
        <x:f>MAX(T1824,1)+MAX(U1824,1)+MAX(V1824,1)</x:f>
        <x:v>7</x:v>
      </x:c>
      <x:c r="Z1824" s="21" t="str">
        <x:f>IF(AND(MIN(D1824:F1824)&gt;=0,MAX(D1824:F1824)&lt;=7,MAX(D1824,1)+MAX(E1824,1)+MAX(F1824,1)&lt;=9,OR(H1824="-",AND(H1824=0,D1824&gt;0),AND(H1824=1,E1824&gt;0),AND(H1824=2,F1824&gt;0)),OR(I1824=0,AND(I1824=1,OR(J1824=0,J1824=1,J1824=2),R1824&lt;&gt;"000")),Y1824&lt;=9,MIN(T1824:V1824)&gt;=0),"合法","输入违约")</x:f>
        <x:v>合法</x:v>
      </x:c>
    </x:row>
    <x:row r="1825" ht="23" customHeight="1">
      <x:c r="A1825" s="3" t="str">
        <x:v>CT-1818</x:v>
      </x:c>
      <x:c r="B1825" s="3" t="str">
        <x:v>ST-110</x:v>
      </x:c>
      <x:c r="C1825" s="3" t="str">
        <x:v>R+AR同收同发</x:v>
      </x:c>
      <x:c r="D1825" s="25" t="n">
        <x:v>3</x:v>
      </x:c>
      <x:c r="E1825" s="25" t="n">
        <x:v>4</x:v>
      </x:c>
      <x:c r="F1825" s="25" t="n">
        <x:v>0</x:v>
      </x:c>
      <x:c r="G1825" s="19" t="n">
        <x:f>SUM(D1825:F1825)</x:f>
        <x:v>7</x:v>
      </x:c>
      <x:c r="H1825" s="25" t="n">
        <x:v>0</x:v>
      </x:c>
      <x:c r="I1825" s="25" t="n">
        <x:v>1</x:v>
      </x:c>
      <x:c r="J1825" s="25" t="n">
        <x:v>0</x:v>
      </x:c>
      <x:c r="K1825" s="19" t="n">
        <x:f>D1825-IF(H1825=0,1,0)</x:f>
        <x:v>2</x:v>
      </x:c>
      <x:c r="L1825" s="19" t="n">
        <x:f>E1825-IF(H1825=1,1,0)</x:f>
        <x:v>4</x:v>
      </x:c>
      <x:c r="M1825" s="19" t="n">
        <x:f>F1825-IF(H1825=2,1,0)</x:f>
        <x:v>0</x:v>
      </x:c>
      <x:c r="N1825" s="19" t="n">
        <x:f>MAX(K1825-1,0)+MAX(L1825-1,0)+MAX(M1825-1,0)</x:f>
        <x:v>4</x:v>
      </x:c>
      <x:c r="O1825" s="19" t="n">
        <x:f>IF(AND(SUM(K1825:M1825)&lt;9,OR(M1825=0,N1825&lt;6)),1,0)</x:f>
        <x:v>1</x:v>
      </x:c>
      <x:c r="P1825" s="19" t="n">
        <x:f>IF(AND(SUM(K1825:M1825)&lt;9,OR(L1825=0,N1825&lt;6)),1,0)</x:f>
        <x:v>1</x:v>
      </x:c>
      <x:c r="Q1825" s="19" t="n">
        <x:f>IF(AND(SUM(K1825:M1825)&lt;9,OR(K1825=0,N1825&lt;6)),1,0)</x:f>
        <x:v>1</x:v>
      </x:c>
      <x:c r="R1825" s="22" t="str">
        <x:f>O1825&amp;P1825&amp;Q1825</x:f>
        <x:v>111</x:v>
      </x:c>
      <x:c r="S1825" s="19" t="n">
        <x:f>IF(I1825=1,IF(J1825=0,Q1825,IF(J1825=1,P1825,IF(J1825=2,O1825,0))),0)</x:f>
        <x:v>1</x:v>
      </x:c>
      <x:c r="T1825" s="19" t="n">
        <x:f>K1825+IF(AND(S1825=1,J1825=0),1,0)</x:f>
        <x:v>3</x:v>
      </x:c>
      <x:c r="U1825" s="19" t="n">
        <x:f>L1825+IF(AND(S1825=1,J1825=1),1,0)</x:f>
        <x:v>4</x:v>
      </x:c>
      <x:c r="V1825" s="19" t="n">
        <x:f>M1825+IF(AND(S1825=1,J1825=2),1,0)</x:f>
        <x:v>0</x:v>
      </x:c>
      <x:c r="W1825" s="19" t="n">
        <x:f>SUM(T1825:V1825)</x:f>
        <x:v>7</x:v>
      </x:c>
      <x:c r="X1825" s="19" t="n">
        <x:f>W1825-G1825</x:f>
        <x:v>0</x:v>
      </x:c>
      <x:c r="Y1825" s="19" t="n">
        <x:f>MAX(T1825,1)+MAX(U1825,1)+MAX(V1825,1)</x:f>
        <x:v>8</x:v>
      </x:c>
      <x:c r="Z1825" s="21" t="str">
        <x:f>IF(AND(MIN(D1825:F1825)&gt;=0,MAX(D1825:F1825)&lt;=7,MAX(D1825,1)+MAX(E1825,1)+MAX(F1825,1)&lt;=9,OR(H1825="-",AND(H1825=0,D1825&gt;0),AND(H1825=1,E1825&gt;0),AND(H1825=2,F1825&gt;0)),OR(I1825=0,AND(I1825=1,OR(J1825=0,J1825=1,J1825=2),R1825&lt;&gt;"000")),Y1825&lt;=9,MIN(T1825:V1825)&gt;=0),"合法","输入违约")</x:f>
        <x:v>合法</x:v>
      </x:c>
    </x:row>
    <x:row r="1826" ht="23" customHeight="1">
      <x:c r="A1826" s="3" t="str">
        <x:v>CT-1819</x:v>
      </x:c>
      <x:c r="B1826" s="3" t="str">
        <x:v>ST-110</x:v>
      </x:c>
      <x:c r="C1826" s="3" t="str">
        <x:v>R+AR同收同发</x:v>
      </x:c>
      <x:c r="D1826" s="25" t="n">
        <x:v>3</x:v>
      </x:c>
      <x:c r="E1826" s="25" t="n">
        <x:v>4</x:v>
      </x:c>
      <x:c r="F1826" s="25" t="n">
        <x:v>0</x:v>
      </x:c>
      <x:c r="G1826" s="19" t="n">
        <x:f>SUM(D1826:F1826)</x:f>
        <x:v>7</x:v>
      </x:c>
      <x:c r="H1826" s="25" t="n">
        <x:v>0</x:v>
      </x:c>
      <x:c r="I1826" s="25" t="n">
        <x:v>1</x:v>
      </x:c>
      <x:c r="J1826" s="25" t="n">
        <x:v>1</x:v>
      </x:c>
      <x:c r="K1826" s="19" t="n">
        <x:f>D1826-IF(H1826=0,1,0)</x:f>
        <x:v>2</x:v>
      </x:c>
      <x:c r="L1826" s="19" t="n">
        <x:f>E1826-IF(H1826=1,1,0)</x:f>
        <x:v>4</x:v>
      </x:c>
      <x:c r="M1826" s="19" t="n">
        <x:f>F1826-IF(H1826=2,1,0)</x:f>
        <x:v>0</x:v>
      </x:c>
      <x:c r="N1826" s="19" t="n">
        <x:f>MAX(K1826-1,0)+MAX(L1826-1,0)+MAX(M1826-1,0)</x:f>
        <x:v>4</x:v>
      </x:c>
      <x:c r="O1826" s="19" t="n">
        <x:f>IF(AND(SUM(K1826:M1826)&lt;9,OR(M1826=0,N1826&lt;6)),1,0)</x:f>
        <x:v>1</x:v>
      </x:c>
      <x:c r="P1826" s="19" t="n">
        <x:f>IF(AND(SUM(K1826:M1826)&lt;9,OR(L1826=0,N1826&lt;6)),1,0)</x:f>
        <x:v>1</x:v>
      </x:c>
      <x:c r="Q1826" s="19" t="n">
        <x:f>IF(AND(SUM(K1826:M1826)&lt;9,OR(K1826=0,N1826&lt;6)),1,0)</x:f>
        <x:v>1</x:v>
      </x:c>
      <x:c r="R1826" s="22" t="str">
        <x:f>O1826&amp;P1826&amp;Q1826</x:f>
        <x:v>111</x:v>
      </x:c>
      <x:c r="S1826" s="19" t="n">
        <x:f>IF(I1826=1,IF(J1826=0,Q1826,IF(J1826=1,P1826,IF(J1826=2,O1826,0))),0)</x:f>
        <x:v>1</x:v>
      </x:c>
      <x:c r="T1826" s="19" t="n">
        <x:f>K1826+IF(AND(S1826=1,J1826=0),1,0)</x:f>
        <x:v>2</x:v>
      </x:c>
      <x:c r="U1826" s="19" t="n">
        <x:f>L1826+IF(AND(S1826=1,J1826=1),1,0)</x:f>
        <x:v>5</x:v>
      </x:c>
      <x:c r="V1826" s="19" t="n">
        <x:f>M1826+IF(AND(S1826=1,J1826=2),1,0)</x:f>
        <x:v>0</x:v>
      </x:c>
      <x:c r="W1826" s="19" t="n">
        <x:f>SUM(T1826:V1826)</x:f>
        <x:v>7</x:v>
      </x:c>
      <x:c r="X1826" s="19" t="n">
        <x:f>W1826-G1826</x:f>
        <x:v>0</x:v>
      </x:c>
      <x:c r="Y1826" s="19" t="n">
        <x:f>MAX(T1826,1)+MAX(U1826,1)+MAX(V1826,1)</x:f>
        <x:v>8</x:v>
      </x:c>
      <x:c r="Z1826" s="21" t="str">
        <x:f>IF(AND(MIN(D1826:F1826)&gt;=0,MAX(D1826:F1826)&lt;=7,MAX(D1826,1)+MAX(E1826,1)+MAX(F1826,1)&lt;=9,OR(H1826="-",AND(H1826=0,D1826&gt;0),AND(H1826=1,E1826&gt;0),AND(H1826=2,F1826&gt;0)),OR(I1826=0,AND(I1826=1,OR(J1826=0,J1826=1,J1826=2),R1826&lt;&gt;"000")),Y1826&lt;=9,MIN(T1826:V1826)&gt;=0),"合法","输入违约")</x:f>
        <x:v>合法</x:v>
      </x:c>
    </x:row>
    <x:row r="1827" ht="23" customHeight="1">
      <x:c r="A1827" s="3" t="str">
        <x:v>CT-1820</x:v>
      </x:c>
      <x:c r="B1827" s="3" t="str">
        <x:v>ST-110</x:v>
      </x:c>
      <x:c r="C1827" s="3" t="str">
        <x:v>R+AR同收同发</x:v>
      </x:c>
      <x:c r="D1827" s="25" t="n">
        <x:v>3</x:v>
      </x:c>
      <x:c r="E1827" s="25" t="n">
        <x:v>4</x:v>
      </x:c>
      <x:c r="F1827" s="25" t="n">
        <x:v>0</x:v>
      </x:c>
      <x:c r="G1827" s="19" t="n">
        <x:f>SUM(D1827:F1827)</x:f>
        <x:v>7</x:v>
      </x:c>
      <x:c r="H1827" s="25" t="n">
        <x:v>0</x:v>
      </x:c>
      <x:c r="I1827" s="25" t="n">
        <x:v>1</x:v>
      </x:c>
      <x:c r="J1827" s="25" t="n">
        <x:v>2</x:v>
      </x:c>
      <x:c r="K1827" s="19" t="n">
        <x:f>D1827-IF(H1827=0,1,0)</x:f>
        <x:v>2</x:v>
      </x:c>
      <x:c r="L1827" s="19" t="n">
        <x:f>E1827-IF(H1827=1,1,0)</x:f>
        <x:v>4</x:v>
      </x:c>
      <x:c r="M1827" s="19" t="n">
        <x:f>F1827-IF(H1827=2,1,0)</x:f>
        <x:v>0</x:v>
      </x:c>
      <x:c r="N1827" s="19" t="n">
        <x:f>MAX(K1827-1,0)+MAX(L1827-1,0)+MAX(M1827-1,0)</x:f>
        <x:v>4</x:v>
      </x:c>
      <x:c r="O1827" s="19" t="n">
        <x:f>IF(AND(SUM(K1827:M1827)&lt;9,OR(M1827=0,N1827&lt;6)),1,0)</x:f>
        <x:v>1</x:v>
      </x:c>
      <x:c r="P1827" s="19" t="n">
        <x:f>IF(AND(SUM(K1827:M1827)&lt;9,OR(L1827=0,N1827&lt;6)),1,0)</x:f>
        <x:v>1</x:v>
      </x:c>
      <x:c r="Q1827" s="19" t="n">
        <x:f>IF(AND(SUM(K1827:M1827)&lt;9,OR(K1827=0,N1827&lt;6)),1,0)</x:f>
        <x:v>1</x:v>
      </x:c>
      <x:c r="R1827" s="22" t="str">
        <x:f>O1827&amp;P1827&amp;Q1827</x:f>
        <x:v>111</x:v>
      </x:c>
      <x:c r="S1827" s="19" t="n">
        <x:f>IF(I1827=1,IF(J1827=0,Q1827,IF(J1827=1,P1827,IF(J1827=2,O1827,0))),0)</x:f>
        <x:v>1</x:v>
      </x:c>
      <x:c r="T1827" s="19" t="n">
        <x:f>K1827+IF(AND(S1827=1,J1827=0),1,0)</x:f>
        <x:v>2</x:v>
      </x:c>
      <x:c r="U1827" s="19" t="n">
        <x:f>L1827+IF(AND(S1827=1,J1827=1),1,0)</x:f>
        <x:v>4</x:v>
      </x:c>
      <x:c r="V1827" s="19" t="n">
        <x:f>M1827+IF(AND(S1827=1,J1827=2),1,0)</x:f>
        <x:v>1</x:v>
      </x:c>
      <x:c r="W1827" s="19" t="n">
        <x:f>SUM(T1827:V1827)</x:f>
        <x:v>7</x:v>
      </x:c>
      <x:c r="X1827" s="19" t="n">
        <x:f>W1827-G1827</x:f>
        <x:v>0</x:v>
      </x:c>
      <x:c r="Y1827" s="19" t="n">
        <x:f>MAX(T1827,1)+MAX(U1827,1)+MAX(V1827,1)</x:f>
        <x:v>7</x:v>
      </x:c>
      <x:c r="Z1827" s="21" t="str">
        <x:f>IF(AND(MIN(D1827:F1827)&gt;=0,MAX(D1827:F1827)&lt;=7,MAX(D1827,1)+MAX(E1827,1)+MAX(F1827,1)&lt;=9,OR(H1827="-",AND(H1827=0,D1827&gt;0),AND(H1827=1,E1827&gt;0),AND(H1827=2,F1827&gt;0)),OR(I1827=0,AND(I1827=1,OR(J1827=0,J1827=1,J1827=2),R1827&lt;&gt;"000")),Y1827&lt;=9,MIN(T1827:V1827)&gt;=0),"合法","输入违约")</x:f>
        <x:v>合法</x:v>
      </x:c>
    </x:row>
    <x:row r="1828" ht="23" customHeight="1">
      <x:c r="A1828" s="3" t="str">
        <x:v>CT-1821</x:v>
      </x:c>
      <x:c r="B1828" s="3" t="str">
        <x:v>ST-110</x:v>
      </x:c>
      <x:c r="C1828" s="3" t="str">
        <x:v>仅R回收</x:v>
      </x:c>
      <x:c r="D1828" s="25" t="n">
        <x:v>3</x:v>
      </x:c>
      <x:c r="E1828" s="25" t="n">
        <x:v>4</x:v>
      </x:c>
      <x:c r="F1828" s="25" t="n">
        <x:v>0</x:v>
      </x:c>
      <x:c r="G1828" s="19" t="n">
        <x:f>SUM(D1828:F1828)</x:f>
        <x:v>7</x:v>
      </x:c>
      <x:c r="H1828" s="25" t="n">
        <x:v>1</x:v>
      </x:c>
      <x:c r="I1828" s="25" t="n">
        <x:v>0</x:v>
      </x:c>
      <x:c r="J1828" s="25" t="str">
        <x:v>-</x:v>
      </x:c>
      <x:c r="K1828" s="19" t="n">
        <x:f>D1828-IF(H1828=0,1,0)</x:f>
        <x:v>3</x:v>
      </x:c>
      <x:c r="L1828" s="19" t="n">
        <x:f>E1828-IF(H1828=1,1,0)</x:f>
        <x:v>3</x:v>
      </x:c>
      <x:c r="M1828" s="19" t="n">
        <x:f>F1828-IF(H1828=2,1,0)</x:f>
        <x:v>0</x:v>
      </x:c>
      <x:c r="N1828" s="19" t="n">
        <x:f>MAX(K1828-1,0)+MAX(L1828-1,0)+MAX(M1828-1,0)</x:f>
        <x:v>4</x:v>
      </x:c>
      <x:c r="O1828" s="19" t="n">
        <x:f>IF(AND(SUM(K1828:M1828)&lt;9,OR(M1828=0,N1828&lt;6)),1,0)</x:f>
        <x:v>1</x:v>
      </x:c>
      <x:c r="P1828" s="19" t="n">
        <x:f>IF(AND(SUM(K1828:M1828)&lt;9,OR(L1828=0,N1828&lt;6)),1,0)</x:f>
        <x:v>1</x:v>
      </x:c>
      <x:c r="Q1828" s="19" t="n">
        <x:f>IF(AND(SUM(K1828:M1828)&lt;9,OR(K1828=0,N1828&lt;6)),1,0)</x:f>
        <x:v>1</x:v>
      </x:c>
      <x:c r="R1828" s="22" t="str">
        <x:f>O1828&amp;P1828&amp;Q1828</x:f>
        <x:v>111</x:v>
      </x:c>
      <x:c r="S1828" s="19" t="n">
        <x:f>IF(I1828=1,IF(J1828=0,Q1828,IF(J1828=1,P1828,IF(J1828=2,O1828,0))),0)</x:f>
        <x:v>0</x:v>
      </x:c>
      <x:c r="T1828" s="19" t="n">
        <x:f>K1828+IF(AND(S1828=1,J1828=0),1,0)</x:f>
        <x:v>3</x:v>
      </x:c>
      <x:c r="U1828" s="19" t="n">
        <x:f>L1828+IF(AND(S1828=1,J1828=1),1,0)</x:f>
        <x:v>3</x:v>
      </x:c>
      <x:c r="V1828" s="19" t="n">
        <x:f>M1828+IF(AND(S1828=1,J1828=2),1,0)</x:f>
        <x:v>0</x:v>
      </x:c>
      <x:c r="W1828" s="19" t="n">
        <x:f>SUM(T1828:V1828)</x:f>
        <x:v>6</x:v>
      </x:c>
      <x:c r="X1828" s="19" t="n">
        <x:f>W1828-G1828</x:f>
        <x:v>-1</x:v>
      </x:c>
      <x:c r="Y1828" s="19" t="n">
        <x:f>MAX(T1828,1)+MAX(U1828,1)+MAX(V1828,1)</x:f>
        <x:v>7</x:v>
      </x:c>
      <x:c r="Z1828" s="21" t="str">
        <x:f>IF(AND(MIN(D1828:F1828)&gt;=0,MAX(D1828:F1828)&lt;=7,MAX(D1828,1)+MAX(E1828,1)+MAX(F1828,1)&lt;=9,OR(H1828="-",AND(H1828=0,D1828&gt;0),AND(H1828=1,E1828&gt;0),AND(H1828=2,F1828&gt;0)),OR(I1828=0,AND(I1828=1,OR(J1828=0,J1828=1,J1828=2),R1828&lt;&gt;"000")),Y1828&lt;=9,MIN(T1828:V1828)&gt;=0),"合法","输入违约")</x:f>
        <x:v>合法</x:v>
      </x:c>
    </x:row>
    <x:row r="1829" ht="23" customHeight="1">
      <x:c r="A1829" s="3" t="str">
        <x:v>CT-1822</x:v>
      </x:c>
      <x:c r="B1829" s="3" t="str">
        <x:v>ST-110</x:v>
      </x:c>
      <x:c r="C1829" s="3" t="str">
        <x:v>R+AR同收同发</x:v>
      </x:c>
      <x:c r="D1829" s="25" t="n">
        <x:v>3</x:v>
      </x:c>
      <x:c r="E1829" s="25" t="n">
        <x:v>4</x:v>
      </x:c>
      <x:c r="F1829" s="25" t="n">
        <x:v>0</x:v>
      </x:c>
      <x:c r="G1829" s="19" t="n">
        <x:f>SUM(D1829:F1829)</x:f>
        <x:v>7</x:v>
      </x:c>
      <x:c r="H1829" s="25" t="n">
        <x:v>1</x:v>
      </x:c>
      <x:c r="I1829" s="25" t="n">
        <x:v>1</x:v>
      </x:c>
      <x:c r="J1829" s="25" t="n">
        <x:v>0</x:v>
      </x:c>
      <x:c r="K1829" s="19" t="n">
        <x:f>D1829-IF(H1829=0,1,0)</x:f>
        <x:v>3</x:v>
      </x:c>
      <x:c r="L1829" s="19" t="n">
        <x:f>E1829-IF(H1829=1,1,0)</x:f>
        <x:v>3</x:v>
      </x:c>
      <x:c r="M1829" s="19" t="n">
        <x:f>F1829-IF(H1829=2,1,0)</x:f>
        <x:v>0</x:v>
      </x:c>
      <x:c r="N1829" s="19" t="n">
        <x:f>MAX(K1829-1,0)+MAX(L1829-1,0)+MAX(M1829-1,0)</x:f>
        <x:v>4</x:v>
      </x:c>
      <x:c r="O1829" s="19" t="n">
        <x:f>IF(AND(SUM(K1829:M1829)&lt;9,OR(M1829=0,N1829&lt;6)),1,0)</x:f>
        <x:v>1</x:v>
      </x:c>
      <x:c r="P1829" s="19" t="n">
        <x:f>IF(AND(SUM(K1829:M1829)&lt;9,OR(L1829=0,N1829&lt;6)),1,0)</x:f>
        <x:v>1</x:v>
      </x:c>
      <x:c r="Q1829" s="19" t="n">
        <x:f>IF(AND(SUM(K1829:M1829)&lt;9,OR(K1829=0,N1829&lt;6)),1,0)</x:f>
        <x:v>1</x:v>
      </x:c>
      <x:c r="R1829" s="22" t="str">
        <x:f>O1829&amp;P1829&amp;Q1829</x:f>
        <x:v>111</x:v>
      </x:c>
      <x:c r="S1829" s="19" t="n">
        <x:f>IF(I1829=1,IF(J1829=0,Q1829,IF(J1829=1,P1829,IF(J1829=2,O1829,0))),0)</x:f>
        <x:v>1</x:v>
      </x:c>
      <x:c r="T1829" s="19" t="n">
        <x:f>K1829+IF(AND(S1829=1,J1829=0),1,0)</x:f>
        <x:v>4</x:v>
      </x:c>
      <x:c r="U1829" s="19" t="n">
        <x:f>L1829+IF(AND(S1829=1,J1829=1),1,0)</x:f>
        <x:v>3</x:v>
      </x:c>
      <x:c r="V1829" s="19" t="n">
        <x:f>M1829+IF(AND(S1829=1,J1829=2),1,0)</x:f>
        <x:v>0</x:v>
      </x:c>
      <x:c r="W1829" s="19" t="n">
        <x:f>SUM(T1829:V1829)</x:f>
        <x:v>7</x:v>
      </x:c>
      <x:c r="X1829" s="19" t="n">
        <x:f>W1829-G1829</x:f>
        <x:v>0</x:v>
      </x:c>
      <x:c r="Y1829" s="19" t="n">
        <x:f>MAX(T1829,1)+MAX(U1829,1)+MAX(V1829,1)</x:f>
        <x:v>8</x:v>
      </x:c>
      <x:c r="Z1829" s="21" t="str">
        <x:f>IF(AND(MIN(D1829:F1829)&gt;=0,MAX(D1829:F1829)&lt;=7,MAX(D1829,1)+MAX(E1829,1)+MAX(F1829,1)&lt;=9,OR(H1829="-",AND(H1829=0,D1829&gt;0),AND(H1829=1,E1829&gt;0),AND(H1829=2,F1829&gt;0)),OR(I1829=0,AND(I1829=1,OR(J1829=0,J1829=1,J1829=2),R1829&lt;&gt;"000")),Y1829&lt;=9,MIN(T1829:V1829)&gt;=0),"合法","输入违约")</x:f>
        <x:v>合法</x:v>
      </x:c>
    </x:row>
    <x:row r="1830" ht="23" customHeight="1">
      <x:c r="A1830" s="3" t="str">
        <x:v>CT-1823</x:v>
      </x:c>
      <x:c r="B1830" s="3" t="str">
        <x:v>ST-110</x:v>
      </x:c>
      <x:c r="C1830" s="3" t="str">
        <x:v>R+AR同收同发</x:v>
      </x:c>
      <x:c r="D1830" s="25" t="n">
        <x:v>3</x:v>
      </x:c>
      <x:c r="E1830" s="25" t="n">
        <x:v>4</x:v>
      </x:c>
      <x:c r="F1830" s="25" t="n">
        <x:v>0</x:v>
      </x:c>
      <x:c r="G1830" s="19" t="n">
        <x:f>SUM(D1830:F1830)</x:f>
        <x:v>7</x:v>
      </x:c>
      <x:c r="H1830" s="25" t="n">
        <x:v>1</x:v>
      </x:c>
      <x:c r="I1830" s="25" t="n">
        <x:v>1</x:v>
      </x:c>
      <x:c r="J1830" s="25" t="n">
        <x:v>1</x:v>
      </x:c>
      <x:c r="K1830" s="19" t="n">
        <x:f>D1830-IF(H1830=0,1,0)</x:f>
        <x:v>3</x:v>
      </x:c>
      <x:c r="L1830" s="19" t="n">
        <x:f>E1830-IF(H1830=1,1,0)</x:f>
        <x:v>3</x:v>
      </x:c>
      <x:c r="M1830" s="19" t="n">
        <x:f>F1830-IF(H1830=2,1,0)</x:f>
        <x:v>0</x:v>
      </x:c>
      <x:c r="N1830" s="19" t="n">
        <x:f>MAX(K1830-1,0)+MAX(L1830-1,0)+MAX(M1830-1,0)</x:f>
        <x:v>4</x:v>
      </x:c>
      <x:c r="O1830" s="19" t="n">
        <x:f>IF(AND(SUM(K1830:M1830)&lt;9,OR(M1830=0,N1830&lt;6)),1,0)</x:f>
        <x:v>1</x:v>
      </x:c>
      <x:c r="P1830" s="19" t="n">
        <x:f>IF(AND(SUM(K1830:M1830)&lt;9,OR(L1830=0,N1830&lt;6)),1,0)</x:f>
        <x:v>1</x:v>
      </x:c>
      <x:c r="Q1830" s="19" t="n">
        <x:f>IF(AND(SUM(K1830:M1830)&lt;9,OR(K1830=0,N1830&lt;6)),1,0)</x:f>
        <x:v>1</x:v>
      </x:c>
      <x:c r="R1830" s="22" t="str">
        <x:f>O1830&amp;P1830&amp;Q1830</x:f>
        <x:v>111</x:v>
      </x:c>
      <x:c r="S1830" s="19" t="n">
        <x:f>IF(I1830=1,IF(J1830=0,Q1830,IF(J1830=1,P1830,IF(J1830=2,O1830,0))),0)</x:f>
        <x:v>1</x:v>
      </x:c>
      <x:c r="T1830" s="19" t="n">
        <x:f>K1830+IF(AND(S1830=1,J1830=0),1,0)</x:f>
        <x:v>3</x:v>
      </x:c>
      <x:c r="U1830" s="19" t="n">
        <x:f>L1830+IF(AND(S1830=1,J1830=1),1,0)</x:f>
        <x:v>4</x:v>
      </x:c>
      <x:c r="V1830" s="19" t="n">
        <x:f>M1830+IF(AND(S1830=1,J1830=2),1,0)</x:f>
        <x:v>0</x:v>
      </x:c>
      <x:c r="W1830" s="19" t="n">
        <x:f>SUM(T1830:V1830)</x:f>
        <x:v>7</x:v>
      </x:c>
      <x:c r="X1830" s="19" t="n">
        <x:f>W1830-G1830</x:f>
        <x:v>0</x:v>
      </x:c>
      <x:c r="Y1830" s="19" t="n">
        <x:f>MAX(T1830,1)+MAX(U1830,1)+MAX(V1830,1)</x:f>
        <x:v>8</x:v>
      </x:c>
      <x:c r="Z1830" s="21" t="str">
        <x:f>IF(AND(MIN(D1830:F1830)&gt;=0,MAX(D1830:F1830)&lt;=7,MAX(D1830,1)+MAX(E1830,1)+MAX(F1830,1)&lt;=9,OR(H1830="-",AND(H1830=0,D1830&gt;0),AND(H1830=1,E1830&gt;0),AND(H1830=2,F1830&gt;0)),OR(I1830=0,AND(I1830=1,OR(J1830=0,J1830=1,J1830=2),R1830&lt;&gt;"000")),Y1830&lt;=9,MIN(T1830:V1830)&gt;=0),"合法","输入违约")</x:f>
        <x:v>合法</x:v>
      </x:c>
    </x:row>
    <x:row r="1831" ht="23" customHeight="1">
      <x:c r="A1831" s="3" t="str">
        <x:v>CT-1824</x:v>
      </x:c>
      <x:c r="B1831" s="3" t="str">
        <x:v>ST-110</x:v>
      </x:c>
      <x:c r="C1831" s="3" t="str">
        <x:v>R+AR同收同发</x:v>
      </x:c>
      <x:c r="D1831" s="25" t="n">
        <x:v>3</x:v>
      </x:c>
      <x:c r="E1831" s="25" t="n">
        <x:v>4</x:v>
      </x:c>
      <x:c r="F1831" s="25" t="n">
        <x:v>0</x:v>
      </x:c>
      <x:c r="G1831" s="19" t="n">
        <x:f>SUM(D1831:F1831)</x:f>
        <x:v>7</x:v>
      </x:c>
      <x:c r="H1831" s="25" t="n">
        <x:v>1</x:v>
      </x:c>
      <x:c r="I1831" s="25" t="n">
        <x:v>1</x:v>
      </x:c>
      <x:c r="J1831" s="25" t="n">
        <x:v>2</x:v>
      </x:c>
      <x:c r="K1831" s="19" t="n">
        <x:f>D1831-IF(H1831=0,1,0)</x:f>
        <x:v>3</x:v>
      </x:c>
      <x:c r="L1831" s="19" t="n">
        <x:f>E1831-IF(H1831=1,1,0)</x:f>
        <x:v>3</x:v>
      </x:c>
      <x:c r="M1831" s="19" t="n">
        <x:f>F1831-IF(H1831=2,1,0)</x:f>
        <x:v>0</x:v>
      </x:c>
      <x:c r="N1831" s="19" t="n">
        <x:f>MAX(K1831-1,0)+MAX(L1831-1,0)+MAX(M1831-1,0)</x:f>
        <x:v>4</x:v>
      </x:c>
      <x:c r="O1831" s="19" t="n">
        <x:f>IF(AND(SUM(K1831:M1831)&lt;9,OR(M1831=0,N1831&lt;6)),1,0)</x:f>
        <x:v>1</x:v>
      </x:c>
      <x:c r="P1831" s="19" t="n">
        <x:f>IF(AND(SUM(K1831:M1831)&lt;9,OR(L1831=0,N1831&lt;6)),1,0)</x:f>
        <x:v>1</x:v>
      </x:c>
      <x:c r="Q1831" s="19" t="n">
        <x:f>IF(AND(SUM(K1831:M1831)&lt;9,OR(K1831=0,N1831&lt;6)),1,0)</x:f>
        <x:v>1</x:v>
      </x:c>
      <x:c r="R1831" s="22" t="str">
        <x:f>O1831&amp;P1831&amp;Q1831</x:f>
        <x:v>111</x:v>
      </x:c>
      <x:c r="S1831" s="19" t="n">
        <x:f>IF(I1831=1,IF(J1831=0,Q1831,IF(J1831=1,P1831,IF(J1831=2,O1831,0))),0)</x:f>
        <x:v>1</x:v>
      </x:c>
      <x:c r="T1831" s="19" t="n">
        <x:f>K1831+IF(AND(S1831=1,J1831=0),1,0)</x:f>
        <x:v>3</x:v>
      </x:c>
      <x:c r="U1831" s="19" t="n">
        <x:f>L1831+IF(AND(S1831=1,J1831=1),1,0)</x:f>
        <x:v>3</x:v>
      </x:c>
      <x:c r="V1831" s="19" t="n">
        <x:f>M1831+IF(AND(S1831=1,J1831=2),1,0)</x:f>
        <x:v>1</x:v>
      </x:c>
      <x:c r="W1831" s="19" t="n">
        <x:f>SUM(T1831:V1831)</x:f>
        <x:v>7</x:v>
      </x:c>
      <x:c r="X1831" s="19" t="n">
        <x:f>W1831-G1831</x:f>
        <x:v>0</x:v>
      </x:c>
      <x:c r="Y1831" s="19" t="n">
        <x:f>MAX(T1831,1)+MAX(U1831,1)+MAX(V1831,1)</x:f>
        <x:v>7</x:v>
      </x:c>
      <x:c r="Z1831" s="21" t="str">
        <x:f>IF(AND(MIN(D1831:F1831)&gt;=0,MAX(D1831:F1831)&lt;=7,MAX(D1831,1)+MAX(E1831,1)+MAX(F1831,1)&lt;=9,OR(H1831="-",AND(H1831=0,D1831&gt;0),AND(H1831=1,E1831&gt;0),AND(H1831=2,F1831&gt;0)),OR(I1831=0,AND(I1831=1,OR(J1831=0,J1831=1,J1831=2),R1831&lt;&gt;"000")),Y1831&lt;=9,MIN(T1831:V1831)&gt;=0),"合法","输入违约")</x:f>
        <x:v>合法</x:v>
      </x:c>
    </x:row>
    <x:row r="1832" ht="23" customHeight="1">
      <x:c r="A1832" s="3" t="str">
        <x:v>CT-1825</x:v>
      </x:c>
      <x:c r="B1832" s="3" t="str">
        <x:v>ST-147</x:v>
      </x:c>
      <x:c r="C1832" s="3" t="str">
        <x:v>无AR/R</x:v>
      </x:c>
      <x:c r="D1832" s="25" t="n">
        <x:v>3</x:v>
      </x:c>
      <x:c r="E1832" s="25" t="n">
        <x:v>4</x:v>
      </x:c>
      <x:c r="F1832" s="25" t="n">
        <x:v>1</x:v>
      </x:c>
      <x:c r="G1832" s="19" t="n">
        <x:f>SUM(D1832:F1832)</x:f>
        <x:v>8</x:v>
      </x:c>
      <x:c r="H1832" s="25" t="str">
        <x:v>-</x:v>
      </x:c>
      <x:c r="I1832" s="25" t="n">
        <x:v>0</x:v>
      </x:c>
      <x:c r="J1832" s="25" t="str">
        <x:v>-</x:v>
      </x:c>
      <x:c r="K1832" s="19" t="n">
        <x:f>D1832-IF(H1832=0,1,0)</x:f>
        <x:v>3</x:v>
      </x:c>
      <x:c r="L1832" s="19" t="n">
        <x:f>E1832-IF(H1832=1,1,0)</x:f>
        <x:v>4</x:v>
      </x:c>
      <x:c r="M1832" s="19" t="n">
        <x:f>F1832-IF(H1832=2,1,0)</x:f>
        <x:v>1</x:v>
      </x:c>
      <x:c r="N1832" s="19" t="n">
        <x:f>MAX(K1832-1,0)+MAX(L1832-1,0)+MAX(M1832-1,0)</x:f>
        <x:v>5</x:v>
      </x:c>
      <x:c r="O1832" s="19" t="n">
        <x:f>IF(AND(SUM(K1832:M1832)&lt;9,OR(M1832=0,N1832&lt;6)),1,0)</x:f>
        <x:v>1</x:v>
      </x:c>
      <x:c r="P1832" s="19" t="n">
        <x:f>IF(AND(SUM(K1832:M1832)&lt;9,OR(L1832=0,N1832&lt;6)),1,0)</x:f>
        <x:v>1</x:v>
      </x:c>
      <x:c r="Q1832" s="19" t="n">
        <x:f>IF(AND(SUM(K1832:M1832)&lt;9,OR(K1832=0,N1832&lt;6)),1,0)</x:f>
        <x:v>1</x:v>
      </x:c>
      <x:c r="R1832" s="22" t="str">
        <x:f>O1832&amp;P1832&amp;Q1832</x:f>
        <x:v>111</x:v>
      </x:c>
      <x:c r="S1832" s="19" t="n">
        <x:f>IF(I1832=1,IF(J1832=0,Q1832,IF(J1832=1,P1832,IF(J1832=2,O1832,0))),0)</x:f>
        <x:v>0</x:v>
      </x:c>
      <x:c r="T1832" s="19" t="n">
        <x:f>K1832+IF(AND(S1832=1,J1832=0),1,0)</x:f>
        <x:v>3</x:v>
      </x:c>
      <x:c r="U1832" s="19" t="n">
        <x:f>L1832+IF(AND(S1832=1,J1832=1),1,0)</x:f>
        <x:v>4</x:v>
      </x:c>
      <x:c r="V1832" s="19" t="n">
        <x:f>M1832+IF(AND(S1832=1,J1832=2),1,0)</x:f>
        <x:v>1</x:v>
      </x:c>
      <x:c r="W1832" s="19" t="n">
        <x:f>SUM(T1832:V1832)</x:f>
        <x:v>8</x:v>
      </x:c>
      <x:c r="X1832" s="19" t="n">
        <x:f>W1832-G1832</x:f>
        <x:v>0</x:v>
      </x:c>
      <x:c r="Y1832" s="19" t="n">
        <x:f>MAX(T1832,1)+MAX(U1832,1)+MAX(V1832,1)</x:f>
        <x:v>8</x:v>
      </x:c>
      <x:c r="Z1832" s="21" t="str">
        <x:f>IF(AND(MIN(D1832:F1832)&gt;=0,MAX(D1832:F1832)&lt;=7,MAX(D1832,1)+MAX(E1832,1)+MAX(F1832,1)&lt;=9,OR(H1832="-",AND(H1832=0,D1832&gt;0),AND(H1832=1,E1832&gt;0),AND(H1832=2,F1832&gt;0)),OR(I1832=0,AND(I1832=1,OR(J1832=0,J1832=1,J1832=2),R1832&lt;&gt;"000")),Y1832&lt;=9,MIN(T1832:V1832)&gt;=0),"合法","输入违约")</x:f>
        <x:v>合法</x:v>
      </x:c>
    </x:row>
    <x:row r="1833" ht="23" customHeight="1">
      <x:c r="A1833" s="3" t="str">
        <x:v>CT-1826</x:v>
      </x:c>
      <x:c r="B1833" s="3" t="str">
        <x:v>ST-147</x:v>
      </x:c>
      <x:c r="C1833" s="3" t="str">
        <x:v>仅AR接收</x:v>
      </x:c>
      <x:c r="D1833" s="25" t="n">
        <x:v>3</x:v>
      </x:c>
      <x:c r="E1833" s="25" t="n">
        <x:v>4</x:v>
      </x:c>
      <x:c r="F1833" s="25" t="n">
        <x:v>1</x:v>
      </x:c>
      <x:c r="G1833" s="19" t="n">
        <x:f>SUM(D1833:F1833)</x:f>
        <x:v>8</x:v>
      </x:c>
      <x:c r="H1833" s="25" t="str">
        <x:v>-</x:v>
      </x:c>
      <x:c r="I1833" s="25" t="n">
        <x:v>1</x:v>
      </x:c>
      <x:c r="J1833" s="25" t="n">
        <x:v>0</x:v>
      </x:c>
      <x:c r="K1833" s="19" t="n">
        <x:f>D1833-IF(H1833=0,1,0)</x:f>
        <x:v>3</x:v>
      </x:c>
      <x:c r="L1833" s="19" t="n">
        <x:f>E1833-IF(H1833=1,1,0)</x:f>
        <x:v>4</x:v>
      </x:c>
      <x:c r="M1833" s="19" t="n">
        <x:f>F1833-IF(H1833=2,1,0)</x:f>
        <x:v>1</x:v>
      </x:c>
      <x:c r="N1833" s="19" t="n">
        <x:f>MAX(K1833-1,0)+MAX(L1833-1,0)+MAX(M1833-1,0)</x:f>
        <x:v>5</x:v>
      </x:c>
      <x:c r="O1833" s="19" t="n">
        <x:f>IF(AND(SUM(K1833:M1833)&lt;9,OR(M1833=0,N1833&lt;6)),1,0)</x:f>
        <x:v>1</x:v>
      </x:c>
      <x:c r="P1833" s="19" t="n">
        <x:f>IF(AND(SUM(K1833:M1833)&lt;9,OR(L1833=0,N1833&lt;6)),1,0)</x:f>
        <x:v>1</x:v>
      </x:c>
      <x:c r="Q1833" s="19" t="n">
        <x:f>IF(AND(SUM(K1833:M1833)&lt;9,OR(K1833=0,N1833&lt;6)),1,0)</x:f>
        <x:v>1</x:v>
      </x:c>
      <x:c r="R1833" s="22" t="str">
        <x:f>O1833&amp;P1833&amp;Q1833</x:f>
        <x:v>111</x:v>
      </x:c>
      <x:c r="S1833" s="19" t="n">
        <x:f>IF(I1833=1,IF(J1833=0,Q1833,IF(J1833=1,P1833,IF(J1833=2,O1833,0))),0)</x:f>
        <x:v>1</x:v>
      </x:c>
      <x:c r="T1833" s="19" t="n">
        <x:f>K1833+IF(AND(S1833=1,J1833=0),1,0)</x:f>
        <x:v>4</x:v>
      </x:c>
      <x:c r="U1833" s="19" t="n">
        <x:f>L1833+IF(AND(S1833=1,J1833=1),1,0)</x:f>
        <x:v>4</x:v>
      </x:c>
      <x:c r="V1833" s="19" t="n">
        <x:f>M1833+IF(AND(S1833=1,J1833=2),1,0)</x:f>
        <x:v>1</x:v>
      </x:c>
      <x:c r="W1833" s="19" t="n">
        <x:f>SUM(T1833:V1833)</x:f>
        <x:v>9</x:v>
      </x:c>
      <x:c r="X1833" s="19" t="n">
        <x:f>W1833-G1833</x:f>
        <x:v>1</x:v>
      </x:c>
      <x:c r="Y1833" s="19" t="n">
        <x:f>MAX(T1833,1)+MAX(U1833,1)+MAX(V1833,1)</x:f>
        <x:v>9</x:v>
      </x:c>
      <x:c r="Z1833" s="21" t="str">
        <x:f>IF(AND(MIN(D1833:F1833)&gt;=0,MAX(D1833:F1833)&lt;=7,MAX(D1833,1)+MAX(E1833,1)+MAX(F1833,1)&lt;=9,OR(H1833="-",AND(H1833=0,D1833&gt;0),AND(H1833=1,E1833&gt;0),AND(H1833=2,F1833&gt;0)),OR(I1833=0,AND(I1833=1,OR(J1833=0,J1833=1,J1833=2),R1833&lt;&gt;"000")),Y1833&lt;=9,MIN(T1833:V1833)&gt;=0),"合法","输入违约")</x:f>
        <x:v>合法</x:v>
      </x:c>
    </x:row>
    <x:row r="1834" ht="23" customHeight="1">
      <x:c r="A1834" s="3" t="str">
        <x:v>CT-1827</x:v>
      </x:c>
      <x:c r="B1834" s="3" t="str">
        <x:v>ST-147</x:v>
      </x:c>
      <x:c r="C1834" s="3" t="str">
        <x:v>仅AR接收</x:v>
      </x:c>
      <x:c r="D1834" s="25" t="n">
        <x:v>3</x:v>
      </x:c>
      <x:c r="E1834" s="25" t="n">
        <x:v>4</x:v>
      </x:c>
      <x:c r="F1834" s="25" t="n">
        <x:v>1</x:v>
      </x:c>
      <x:c r="G1834" s="19" t="n">
        <x:f>SUM(D1834:F1834)</x:f>
        <x:v>8</x:v>
      </x:c>
      <x:c r="H1834" s="25" t="str">
        <x:v>-</x:v>
      </x:c>
      <x:c r="I1834" s="25" t="n">
        <x:v>1</x:v>
      </x:c>
      <x:c r="J1834" s="25" t="n">
        <x:v>1</x:v>
      </x:c>
      <x:c r="K1834" s="19" t="n">
        <x:f>D1834-IF(H1834=0,1,0)</x:f>
        <x:v>3</x:v>
      </x:c>
      <x:c r="L1834" s="19" t="n">
        <x:f>E1834-IF(H1834=1,1,0)</x:f>
        <x:v>4</x:v>
      </x:c>
      <x:c r="M1834" s="19" t="n">
        <x:f>F1834-IF(H1834=2,1,0)</x:f>
        <x:v>1</x:v>
      </x:c>
      <x:c r="N1834" s="19" t="n">
        <x:f>MAX(K1834-1,0)+MAX(L1834-1,0)+MAX(M1834-1,0)</x:f>
        <x:v>5</x:v>
      </x:c>
      <x:c r="O1834" s="19" t="n">
        <x:f>IF(AND(SUM(K1834:M1834)&lt;9,OR(M1834=0,N1834&lt;6)),1,0)</x:f>
        <x:v>1</x:v>
      </x:c>
      <x:c r="P1834" s="19" t="n">
        <x:f>IF(AND(SUM(K1834:M1834)&lt;9,OR(L1834=0,N1834&lt;6)),1,0)</x:f>
        <x:v>1</x:v>
      </x:c>
      <x:c r="Q1834" s="19" t="n">
        <x:f>IF(AND(SUM(K1834:M1834)&lt;9,OR(K1834=0,N1834&lt;6)),1,0)</x:f>
        <x:v>1</x:v>
      </x:c>
      <x:c r="R1834" s="22" t="str">
        <x:f>O1834&amp;P1834&amp;Q1834</x:f>
        <x:v>111</x:v>
      </x:c>
      <x:c r="S1834" s="19" t="n">
        <x:f>IF(I1834=1,IF(J1834=0,Q1834,IF(J1834=1,P1834,IF(J1834=2,O1834,0))),0)</x:f>
        <x:v>1</x:v>
      </x:c>
      <x:c r="T1834" s="19" t="n">
        <x:f>K1834+IF(AND(S1834=1,J1834=0),1,0)</x:f>
        <x:v>3</x:v>
      </x:c>
      <x:c r="U1834" s="19" t="n">
        <x:f>L1834+IF(AND(S1834=1,J1834=1),1,0)</x:f>
        <x:v>5</x:v>
      </x:c>
      <x:c r="V1834" s="19" t="n">
        <x:f>M1834+IF(AND(S1834=1,J1834=2),1,0)</x:f>
        <x:v>1</x:v>
      </x:c>
      <x:c r="W1834" s="19" t="n">
        <x:f>SUM(T1834:V1834)</x:f>
        <x:v>9</x:v>
      </x:c>
      <x:c r="X1834" s="19" t="n">
        <x:f>W1834-G1834</x:f>
        <x:v>1</x:v>
      </x:c>
      <x:c r="Y1834" s="19" t="n">
        <x:f>MAX(T1834,1)+MAX(U1834,1)+MAX(V1834,1)</x:f>
        <x:v>9</x:v>
      </x:c>
      <x:c r="Z1834" s="21" t="str">
        <x:f>IF(AND(MIN(D1834:F1834)&gt;=0,MAX(D1834:F1834)&lt;=7,MAX(D1834,1)+MAX(E1834,1)+MAX(F1834,1)&lt;=9,OR(H1834="-",AND(H1834=0,D1834&gt;0),AND(H1834=1,E1834&gt;0),AND(H1834=2,F1834&gt;0)),OR(I1834=0,AND(I1834=1,OR(J1834=0,J1834=1,J1834=2),R1834&lt;&gt;"000")),Y1834&lt;=9,MIN(T1834:V1834)&gt;=0),"合法","输入违约")</x:f>
        <x:v>合法</x:v>
      </x:c>
    </x:row>
    <x:row r="1835" ht="23" customHeight="1">
      <x:c r="A1835" s="3" t="str">
        <x:v>CT-1828</x:v>
      </x:c>
      <x:c r="B1835" s="3" t="str">
        <x:v>ST-147</x:v>
      </x:c>
      <x:c r="C1835" s="3" t="str">
        <x:v>仅AR接收</x:v>
      </x:c>
      <x:c r="D1835" s="25" t="n">
        <x:v>3</x:v>
      </x:c>
      <x:c r="E1835" s="25" t="n">
        <x:v>4</x:v>
      </x:c>
      <x:c r="F1835" s="25" t="n">
        <x:v>1</x:v>
      </x:c>
      <x:c r="G1835" s="19" t="n">
        <x:f>SUM(D1835:F1835)</x:f>
        <x:v>8</x:v>
      </x:c>
      <x:c r="H1835" s="25" t="str">
        <x:v>-</x:v>
      </x:c>
      <x:c r="I1835" s="25" t="n">
        <x:v>1</x:v>
      </x:c>
      <x:c r="J1835" s="25" t="n">
        <x:v>2</x:v>
      </x:c>
      <x:c r="K1835" s="19" t="n">
        <x:f>D1835-IF(H1835=0,1,0)</x:f>
        <x:v>3</x:v>
      </x:c>
      <x:c r="L1835" s="19" t="n">
        <x:f>E1835-IF(H1835=1,1,0)</x:f>
        <x:v>4</x:v>
      </x:c>
      <x:c r="M1835" s="19" t="n">
        <x:f>F1835-IF(H1835=2,1,0)</x:f>
        <x:v>1</x:v>
      </x:c>
      <x:c r="N1835" s="19" t="n">
        <x:f>MAX(K1835-1,0)+MAX(L1835-1,0)+MAX(M1835-1,0)</x:f>
        <x:v>5</x:v>
      </x:c>
      <x:c r="O1835" s="19" t="n">
        <x:f>IF(AND(SUM(K1835:M1835)&lt;9,OR(M1835=0,N1835&lt;6)),1,0)</x:f>
        <x:v>1</x:v>
      </x:c>
      <x:c r="P1835" s="19" t="n">
        <x:f>IF(AND(SUM(K1835:M1835)&lt;9,OR(L1835=0,N1835&lt;6)),1,0)</x:f>
        <x:v>1</x:v>
      </x:c>
      <x:c r="Q1835" s="19" t="n">
        <x:f>IF(AND(SUM(K1835:M1835)&lt;9,OR(K1835=0,N1835&lt;6)),1,0)</x:f>
        <x:v>1</x:v>
      </x:c>
      <x:c r="R1835" s="22" t="str">
        <x:f>O1835&amp;P1835&amp;Q1835</x:f>
        <x:v>111</x:v>
      </x:c>
      <x:c r="S1835" s="19" t="n">
        <x:f>IF(I1835=1,IF(J1835=0,Q1835,IF(J1835=1,P1835,IF(J1835=2,O1835,0))),0)</x:f>
        <x:v>1</x:v>
      </x:c>
      <x:c r="T1835" s="19" t="n">
        <x:f>K1835+IF(AND(S1835=1,J1835=0),1,0)</x:f>
        <x:v>3</x:v>
      </x:c>
      <x:c r="U1835" s="19" t="n">
        <x:f>L1835+IF(AND(S1835=1,J1835=1),1,0)</x:f>
        <x:v>4</x:v>
      </x:c>
      <x:c r="V1835" s="19" t="n">
        <x:f>M1835+IF(AND(S1835=1,J1835=2),1,0)</x:f>
        <x:v>2</x:v>
      </x:c>
      <x:c r="W1835" s="19" t="n">
        <x:f>SUM(T1835:V1835)</x:f>
        <x:v>9</x:v>
      </x:c>
      <x:c r="X1835" s="19" t="n">
        <x:f>W1835-G1835</x:f>
        <x:v>1</x:v>
      </x:c>
      <x:c r="Y1835" s="19" t="n">
        <x:f>MAX(T1835,1)+MAX(U1835,1)+MAX(V1835,1)</x:f>
        <x:v>9</x:v>
      </x:c>
      <x:c r="Z1835" s="21" t="str">
        <x:f>IF(AND(MIN(D1835:F1835)&gt;=0,MAX(D1835:F1835)&lt;=7,MAX(D1835,1)+MAX(E1835,1)+MAX(F1835,1)&lt;=9,OR(H1835="-",AND(H1835=0,D1835&gt;0),AND(H1835=1,E1835&gt;0),AND(H1835=2,F1835&gt;0)),OR(I1835=0,AND(I1835=1,OR(J1835=0,J1835=1,J1835=2),R1835&lt;&gt;"000")),Y1835&lt;=9,MIN(T1835:V1835)&gt;=0),"合法","输入违约")</x:f>
        <x:v>合法</x:v>
      </x:c>
    </x:row>
    <x:row r="1836" ht="23" customHeight="1">
      <x:c r="A1836" s="3" t="str">
        <x:v>CT-1829</x:v>
      </x:c>
      <x:c r="B1836" s="3" t="str">
        <x:v>ST-147</x:v>
      </x:c>
      <x:c r="C1836" s="3" t="str">
        <x:v>仅R回收</x:v>
      </x:c>
      <x:c r="D1836" s="25" t="n">
        <x:v>3</x:v>
      </x:c>
      <x:c r="E1836" s="25" t="n">
        <x:v>4</x:v>
      </x:c>
      <x:c r="F1836" s="25" t="n">
        <x:v>1</x:v>
      </x:c>
      <x:c r="G1836" s="19" t="n">
        <x:f>SUM(D1836:F1836)</x:f>
        <x:v>8</x:v>
      </x:c>
      <x:c r="H1836" s="25" t="n">
        <x:v>0</x:v>
      </x:c>
      <x:c r="I1836" s="25" t="n">
        <x:v>0</x:v>
      </x:c>
      <x:c r="J1836" s="25" t="str">
        <x:v>-</x:v>
      </x:c>
      <x:c r="K1836" s="19" t="n">
        <x:f>D1836-IF(H1836=0,1,0)</x:f>
        <x:v>2</x:v>
      </x:c>
      <x:c r="L1836" s="19" t="n">
        <x:f>E1836-IF(H1836=1,1,0)</x:f>
        <x:v>4</x:v>
      </x:c>
      <x:c r="M1836" s="19" t="n">
        <x:f>F1836-IF(H1836=2,1,0)</x:f>
        <x:v>1</x:v>
      </x:c>
      <x:c r="N1836" s="19" t="n">
        <x:f>MAX(K1836-1,0)+MAX(L1836-1,0)+MAX(M1836-1,0)</x:f>
        <x:v>4</x:v>
      </x:c>
      <x:c r="O1836" s="19" t="n">
        <x:f>IF(AND(SUM(K1836:M1836)&lt;9,OR(M1836=0,N1836&lt;6)),1,0)</x:f>
        <x:v>1</x:v>
      </x:c>
      <x:c r="P1836" s="19" t="n">
        <x:f>IF(AND(SUM(K1836:M1836)&lt;9,OR(L1836=0,N1836&lt;6)),1,0)</x:f>
        <x:v>1</x:v>
      </x:c>
      <x:c r="Q1836" s="19" t="n">
        <x:f>IF(AND(SUM(K1836:M1836)&lt;9,OR(K1836=0,N1836&lt;6)),1,0)</x:f>
        <x:v>1</x:v>
      </x:c>
      <x:c r="R1836" s="22" t="str">
        <x:f>O1836&amp;P1836&amp;Q1836</x:f>
        <x:v>111</x:v>
      </x:c>
      <x:c r="S1836" s="19" t="n">
        <x:f>IF(I1836=1,IF(J1836=0,Q1836,IF(J1836=1,P1836,IF(J1836=2,O1836,0))),0)</x:f>
        <x:v>0</x:v>
      </x:c>
      <x:c r="T1836" s="19" t="n">
        <x:f>K1836+IF(AND(S1836=1,J1836=0),1,0)</x:f>
        <x:v>2</x:v>
      </x:c>
      <x:c r="U1836" s="19" t="n">
        <x:f>L1836+IF(AND(S1836=1,J1836=1),1,0)</x:f>
        <x:v>4</x:v>
      </x:c>
      <x:c r="V1836" s="19" t="n">
        <x:f>M1836+IF(AND(S1836=1,J1836=2),1,0)</x:f>
        <x:v>1</x:v>
      </x:c>
      <x:c r="W1836" s="19" t="n">
        <x:f>SUM(T1836:V1836)</x:f>
        <x:v>7</x:v>
      </x:c>
      <x:c r="X1836" s="19" t="n">
        <x:f>W1836-G1836</x:f>
        <x:v>-1</x:v>
      </x:c>
      <x:c r="Y1836" s="19" t="n">
        <x:f>MAX(T1836,1)+MAX(U1836,1)+MAX(V1836,1)</x:f>
        <x:v>7</x:v>
      </x:c>
      <x:c r="Z1836" s="21" t="str">
        <x:f>IF(AND(MIN(D1836:F1836)&gt;=0,MAX(D1836:F1836)&lt;=7,MAX(D1836,1)+MAX(E1836,1)+MAX(F1836,1)&lt;=9,OR(H1836="-",AND(H1836=0,D1836&gt;0),AND(H1836=1,E1836&gt;0),AND(H1836=2,F1836&gt;0)),OR(I1836=0,AND(I1836=1,OR(J1836=0,J1836=1,J1836=2),R1836&lt;&gt;"000")),Y1836&lt;=9,MIN(T1836:V1836)&gt;=0),"合法","输入违约")</x:f>
        <x:v>合法</x:v>
      </x:c>
    </x:row>
    <x:row r="1837" ht="23" customHeight="1">
      <x:c r="A1837" s="3" t="str">
        <x:v>CT-1830</x:v>
      </x:c>
      <x:c r="B1837" s="3" t="str">
        <x:v>ST-147</x:v>
      </x:c>
      <x:c r="C1837" s="3" t="str">
        <x:v>R+AR同收同发</x:v>
      </x:c>
      <x:c r="D1837" s="25" t="n">
        <x:v>3</x:v>
      </x:c>
      <x:c r="E1837" s="25" t="n">
        <x:v>4</x:v>
      </x:c>
      <x:c r="F1837" s="25" t="n">
        <x:v>1</x:v>
      </x:c>
      <x:c r="G1837" s="19" t="n">
        <x:f>SUM(D1837:F1837)</x:f>
        <x:v>8</x:v>
      </x:c>
      <x:c r="H1837" s="25" t="n">
        <x:v>0</x:v>
      </x:c>
      <x:c r="I1837" s="25" t="n">
        <x:v>1</x:v>
      </x:c>
      <x:c r="J1837" s="25" t="n">
        <x:v>0</x:v>
      </x:c>
      <x:c r="K1837" s="19" t="n">
        <x:f>D1837-IF(H1837=0,1,0)</x:f>
        <x:v>2</x:v>
      </x:c>
      <x:c r="L1837" s="19" t="n">
        <x:f>E1837-IF(H1837=1,1,0)</x:f>
        <x:v>4</x:v>
      </x:c>
      <x:c r="M1837" s="19" t="n">
        <x:f>F1837-IF(H1837=2,1,0)</x:f>
        <x:v>1</x:v>
      </x:c>
      <x:c r="N1837" s="19" t="n">
        <x:f>MAX(K1837-1,0)+MAX(L1837-1,0)+MAX(M1837-1,0)</x:f>
        <x:v>4</x:v>
      </x:c>
      <x:c r="O1837" s="19" t="n">
        <x:f>IF(AND(SUM(K1837:M1837)&lt;9,OR(M1837=0,N1837&lt;6)),1,0)</x:f>
        <x:v>1</x:v>
      </x:c>
      <x:c r="P1837" s="19" t="n">
        <x:f>IF(AND(SUM(K1837:M1837)&lt;9,OR(L1837=0,N1837&lt;6)),1,0)</x:f>
        <x:v>1</x:v>
      </x:c>
      <x:c r="Q1837" s="19" t="n">
        <x:f>IF(AND(SUM(K1837:M1837)&lt;9,OR(K1837=0,N1837&lt;6)),1,0)</x:f>
        <x:v>1</x:v>
      </x:c>
      <x:c r="R1837" s="22" t="str">
        <x:f>O1837&amp;P1837&amp;Q1837</x:f>
        <x:v>111</x:v>
      </x:c>
      <x:c r="S1837" s="19" t="n">
        <x:f>IF(I1837=1,IF(J1837=0,Q1837,IF(J1837=1,P1837,IF(J1837=2,O1837,0))),0)</x:f>
        <x:v>1</x:v>
      </x:c>
      <x:c r="T1837" s="19" t="n">
        <x:f>K1837+IF(AND(S1837=1,J1837=0),1,0)</x:f>
        <x:v>3</x:v>
      </x:c>
      <x:c r="U1837" s="19" t="n">
        <x:f>L1837+IF(AND(S1837=1,J1837=1),1,0)</x:f>
        <x:v>4</x:v>
      </x:c>
      <x:c r="V1837" s="19" t="n">
        <x:f>M1837+IF(AND(S1837=1,J1837=2),1,0)</x:f>
        <x:v>1</x:v>
      </x:c>
      <x:c r="W1837" s="19" t="n">
        <x:f>SUM(T1837:V1837)</x:f>
        <x:v>8</x:v>
      </x:c>
      <x:c r="X1837" s="19" t="n">
        <x:f>W1837-G1837</x:f>
        <x:v>0</x:v>
      </x:c>
      <x:c r="Y1837" s="19" t="n">
        <x:f>MAX(T1837,1)+MAX(U1837,1)+MAX(V1837,1)</x:f>
        <x:v>8</x:v>
      </x:c>
      <x:c r="Z1837" s="21" t="str">
        <x:f>IF(AND(MIN(D1837:F1837)&gt;=0,MAX(D1837:F1837)&lt;=7,MAX(D1837,1)+MAX(E1837,1)+MAX(F1837,1)&lt;=9,OR(H1837="-",AND(H1837=0,D1837&gt;0),AND(H1837=1,E1837&gt;0),AND(H1837=2,F1837&gt;0)),OR(I1837=0,AND(I1837=1,OR(J1837=0,J1837=1,J1837=2),R1837&lt;&gt;"000")),Y1837&lt;=9,MIN(T1837:V1837)&gt;=0),"合法","输入违约")</x:f>
        <x:v>合法</x:v>
      </x:c>
    </x:row>
    <x:row r="1838" ht="23" customHeight="1">
      <x:c r="A1838" s="3" t="str">
        <x:v>CT-1831</x:v>
      </x:c>
      <x:c r="B1838" s="3" t="str">
        <x:v>ST-147</x:v>
      </x:c>
      <x:c r="C1838" s="3" t="str">
        <x:v>R+AR同收同发</x:v>
      </x:c>
      <x:c r="D1838" s="25" t="n">
        <x:v>3</x:v>
      </x:c>
      <x:c r="E1838" s="25" t="n">
        <x:v>4</x:v>
      </x:c>
      <x:c r="F1838" s="25" t="n">
        <x:v>1</x:v>
      </x:c>
      <x:c r="G1838" s="19" t="n">
        <x:f>SUM(D1838:F1838)</x:f>
        <x:v>8</x:v>
      </x:c>
      <x:c r="H1838" s="25" t="n">
        <x:v>0</x:v>
      </x:c>
      <x:c r="I1838" s="25" t="n">
        <x:v>1</x:v>
      </x:c>
      <x:c r="J1838" s="25" t="n">
        <x:v>1</x:v>
      </x:c>
      <x:c r="K1838" s="19" t="n">
        <x:f>D1838-IF(H1838=0,1,0)</x:f>
        <x:v>2</x:v>
      </x:c>
      <x:c r="L1838" s="19" t="n">
        <x:f>E1838-IF(H1838=1,1,0)</x:f>
        <x:v>4</x:v>
      </x:c>
      <x:c r="M1838" s="19" t="n">
        <x:f>F1838-IF(H1838=2,1,0)</x:f>
        <x:v>1</x:v>
      </x:c>
      <x:c r="N1838" s="19" t="n">
        <x:f>MAX(K1838-1,0)+MAX(L1838-1,0)+MAX(M1838-1,0)</x:f>
        <x:v>4</x:v>
      </x:c>
      <x:c r="O1838" s="19" t="n">
        <x:f>IF(AND(SUM(K1838:M1838)&lt;9,OR(M1838=0,N1838&lt;6)),1,0)</x:f>
        <x:v>1</x:v>
      </x:c>
      <x:c r="P1838" s="19" t="n">
        <x:f>IF(AND(SUM(K1838:M1838)&lt;9,OR(L1838=0,N1838&lt;6)),1,0)</x:f>
        <x:v>1</x:v>
      </x:c>
      <x:c r="Q1838" s="19" t="n">
        <x:f>IF(AND(SUM(K1838:M1838)&lt;9,OR(K1838=0,N1838&lt;6)),1,0)</x:f>
        <x:v>1</x:v>
      </x:c>
      <x:c r="R1838" s="22" t="str">
        <x:f>O1838&amp;P1838&amp;Q1838</x:f>
        <x:v>111</x:v>
      </x:c>
      <x:c r="S1838" s="19" t="n">
        <x:f>IF(I1838=1,IF(J1838=0,Q1838,IF(J1838=1,P1838,IF(J1838=2,O1838,0))),0)</x:f>
        <x:v>1</x:v>
      </x:c>
      <x:c r="T1838" s="19" t="n">
        <x:f>K1838+IF(AND(S1838=1,J1838=0),1,0)</x:f>
        <x:v>2</x:v>
      </x:c>
      <x:c r="U1838" s="19" t="n">
        <x:f>L1838+IF(AND(S1838=1,J1838=1),1,0)</x:f>
        <x:v>5</x:v>
      </x:c>
      <x:c r="V1838" s="19" t="n">
        <x:f>M1838+IF(AND(S1838=1,J1838=2),1,0)</x:f>
        <x:v>1</x:v>
      </x:c>
      <x:c r="W1838" s="19" t="n">
        <x:f>SUM(T1838:V1838)</x:f>
        <x:v>8</x:v>
      </x:c>
      <x:c r="X1838" s="19" t="n">
        <x:f>W1838-G1838</x:f>
        <x:v>0</x:v>
      </x:c>
      <x:c r="Y1838" s="19" t="n">
        <x:f>MAX(T1838,1)+MAX(U1838,1)+MAX(V1838,1)</x:f>
        <x:v>8</x:v>
      </x:c>
      <x:c r="Z1838" s="21" t="str">
        <x:f>IF(AND(MIN(D1838:F1838)&gt;=0,MAX(D1838:F1838)&lt;=7,MAX(D1838,1)+MAX(E1838,1)+MAX(F1838,1)&lt;=9,OR(H1838="-",AND(H1838=0,D1838&gt;0),AND(H1838=1,E1838&gt;0),AND(H1838=2,F1838&gt;0)),OR(I1838=0,AND(I1838=1,OR(J1838=0,J1838=1,J1838=2),R1838&lt;&gt;"000")),Y1838&lt;=9,MIN(T1838:V1838)&gt;=0),"合法","输入违约")</x:f>
        <x:v>合法</x:v>
      </x:c>
    </x:row>
    <x:row r="1839" ht="23" customHeight="1">
      <x:c r="A1839" s="3" t="str">
        <x:v>CT-1832</x:v>
      </x:c>
      <x:c r="B1839" s="3" t="str">
        <x:v>ST-147</x:v>
      </x:c>
      <x:c r="C1839" s="3" t="str">
        <x:v>R+AR同收同发</x:v>
      </x:c>
      <x:c r="D1839" s="25" t="n">
        <x:v>3</x:v>
      </x:c>
      <x:c r="E1839" s="25" t="n">
        <x:v>4</x:v>
      </x:c>
      <x:c r="F1839" s="25" t="n">
        <x:v>1</x:v>
      </x:c>
      <x:c r="G1839" s="19" t="n">
        <x:f>SUM(D1839:F1839)</x:f>
        <x:v>8</x:v>
      </x:c>
      <x:c r="H1839" s="25" t="n">
        <x:v>0</x:v>
      </x:c>
      <x:c r="I1839" s="25" t="n">
        <x:v>1</x:v>
      </x:c>
      <x:c r="J1839" s="25" t="n">
        <x:v>2</x:v>
      </x:c>
      <x:c r="K1839" s="19" t="n">
        <x:f>D1839-IF(H1839=0,1,0)</x:f>
        <x:v>2</x:v>
      </x:c>
      <x:c r="L1839" s="19" t="n">
        <x:f>E1839-IF(H1839=1,1,0)</x:f>
        <x:v>4</x:v>
      </x:c>
      <x:c r="M1839" s="19" t="n">
        <x:f>F1839-IF(H1839=2,1,0)</x:f>
        <x:v>1</x:v>
      </x:c>
      <x:c r="N1839" s="19" t="n">
        <x:f>MAX(K1839-1,0)+MAX(L1839-1,0)+MAX(M1839-1,0)</x:f>
        <x:v>4</x:v>
      </x:c>
      <x:c r="O1839" s="19" t="n">
        <x:f>IF(AND(SUM(K1839:M1839)&lt;9,OR(M1839=0,N1839&lt;6)),1,0)</x:f>
        <x:v>1</x:v>
      </x:c>
      <x:c r="P1839" s="19" t="n">
        <x:f>IF(AND(SUM(K1839:M1839)&lt;9,OR(L1839=0,N1839&lt;6)),1,0)</x:f>
        <x:v>1</x:v>
      </x:c>
      <x:c r="Q1839" s="19" t="n">
        <x:f>IF(AND(SUM(K1839:M1839)&lt;9,OR(K1839=0,N1839&lt;6)),1,0)</x:f>
        <x:v>1</x:v>
      </x:c>
      <x:c r="R1839" s="22" t="str">
        <x:f>O1839&amp;P1839&amp;Q1839</x:f>
        <x:v>111</x:v>
      </x:c>
      <x:c r="S1839" s="19" t="n">
        <x:f>IF(I1839=1,IF(J1839=0,Q1839,IF(J1839=1,P1839,IF(J1839=2,O1839,0))),0)</x:f>
        <x:v>1</x:v>
      </x:c>
      <x:c r="T1839" s="19" t="n">
        <x:f>K1839+IF(AND(S1839=1,J1839=0),1,0)</x:f>
        <x:v>2</x:v>
      </x:c>
      <x:c r="U1839" s="19" t="n">
        <x:f>L1839+IF(AND(S1839=1,J1839=1),1,0)</x:f>
        <x:v>4</x:v>
      </x:c>
      <x:c r="V1839" s="19" t="n">
        <x:f>M1839+IF(AND(S1839=1,J1839=2),1,0)</x:f>
        <x:v>2</x:v>
      </x:c>
      <x:c r="W1839" s="19" t="n">
        <x:f>SUM(T1839:V1839)</x:f>
        <x:v>8</x:v>
      </x:c>
      <x:c r="X1839" s="19" t="n">
        <x:f>W1839-G1839</x:f>
        <x:v>0</x:v>
      </x:c>
      <x:c r="Y1839" s="19" t="n">
        <x:f>MAX(T1839,1)+MAX(U1839,1)+MAX(V1839,1)</x:f>
        <x:v>8</x:v>
      </x:c>
      <x:c r="Z1839" s="21" t="str">
        <x:f>IF(AND(MIN(D1839:F1839)&gt;=0,MAX(D1839:F1839)&lt;=7,MAX(D1839,1)+MAX(E1839,1)+MAX(F1839,1)&lt;=9,OR(H1839="-",AND(H1839=0,D1839&gt;0),AND(H1839=1,E1839&gt;0),AND(H1839=2,F1839&gt;0)),OR(I1839=0,AND(I1839=1,OR(J1839=0,J1839=1,J1839=2),R1839&lt;&gt;"000")),Y1839&lt;=9,MIN(T1839:V1839)&gt;=0),"合法","输入违约")</x:f>
        <x:v>合法</x:v>
      </x:c>
    </x:row>
    <x:row r="1840" ht="23" customHeight="1">
      <x:c r="A1840" s="3" t="str">
        <x:v>CT-1833</x:v>
      </x:c>
      <x:c r="B1840" s="3" t="str">
        <x:v>ST-147</x:v>
      </x:c>
      <x:c r="C1840" s="3" t="str">
        <x:v>仅R回收</x:v>
      </x:c>
      <x:c r="D1840" s="25" t="n">
        <x:v>3</x:v>
      </x:c>
      <x:c r="E1840" s="25" t="n">
        <x:v>4</x:v>
      </x:c>
      <x:c r="F1840" s="25" t="n">
        <x:v>1</x:v>
      </x:c>
      <x:c r="G1840" s="19" t="n">
        <x:f>SUM(D1840:F1840)</x:f>
        <x:v>8</x:v>
      </x:c>
      <x:c r="H1840" s="25" t="n">
        <x:v>1</x:v>
      </x:c>
      <x:c r="I1840" s="25" t="n">
        <x:v>0</x:v>
      </x:c>
      <x:c r="J1840" s="25" t="str">
        <x:v>-</x:v>
      </x:c>
      <x:c r="K1840" s="19" t="n">
        <x:f>D1840-IF(H1840=0,1,0)</x:f>
        <x:v>3</x:v>
      </x:c>
      <x:c r="L1840" s="19" t="n">
        <x:f>E1840-IF(H1840=1,1,0)</x:f>
        <x:v>3</x:v>
      </x:c>
      <x:c r="M1840" s="19" t="n">
        <x:f>F1840-IF(H1840=2,1,0)</x:f>
        <x:v>1</x:v>
      </x:c>
      <x:c r="N1840" s="19" t="n">
        <x:f>MAX(K1840-1,0)+MAX(L1840-1,0)+MAX(M1840-1,0)</x:f>
        <x:v>4</x:v>
      </x:c>
      <x:c r="O1840" s="19" t="n">
        <x:f>IF(AND(SUM(K1840:M1840)&lt;9,OR(M1840=0,N1840&lt;6)),1,0)</x:f>
        <x:v>1</x:v>
      </x:c>
      <x:c r="P1840" s="19" t="n">
        <x:f>IF(AND(SUM(K1840:M1840)&lt;9,OR(L1840=0,N1840&lt;6)),1,0)</x:f>
        <x:v>1</x:v>
      </x:c>
      <x:c r="Q1840" s="19" t="n">
        <x:f>IF(AND(SUM(K1840:M1840)&lt;9,OR(K1840=0,N1840&lt;6)),1,0)</x:f>
        <x:v>1</x:v>
      </x:c>
      <x:c r="R1840" s="22" t="str">
        <x:f>O1840&amp;P1840&amp;Q1840</x:f>
        <x:v>111</x:v>
      </x:c>
      <x:c r="S1840" s="19" t="n">
        <x:f>IF(I1840=1,IF(J1840=0,Q1840,IF(J1840=1,P1840,IF(J1840=2,O1840,0))),0)</x:f>
        <x:v>0</x:v>
      </x:c>
      <x:c r="T1840" s="19" t="n">
        <x:f>K1840+IF(AND(S1840=1,J1840=0),1,0)</x:f>
        <x:v>3</x:v>
      </x:c>
      <x:c r="U1840" s="19" t="n">
        <x:f>L1840+IF(AND(S1840=1,J1840=1),1,0)</x:f>
        <x:v>3</x:v>
      </x:c>
      <x:c r="V1840" s="19" t="n">
        <x:f>M1840+IF(AND(S1840=1,J1840=2),1,0)</x:f>
        <x:v>1</x:v>
      </x:c>
      <x:c r="W1840" s="19" t="n">
        <x:f>SUM(T1840:V1840)</x:f>
        <x:v>7</x:v>
      </x:c>
      <x:c r="X1840" s="19" t="n">
        <x:f>W1840-G1840</x:f>
        <x:v>-1</x:v>
      </x:c>
      <x:c r="Y1840" s="19" t="n">
        <x:f>MAX(T1840,1)+MAX(U1840,1)+MAX(V1840,1)</x:f>
        <x:v>7</x:v>
      </x:c>
      <x:c r="Z1840" s="21" t="str">
        <x:f>IF(AND(MIN(D1840:F1840)&gt;=0,MAX(D1840:F1840)&lt;=7,MAX(D1840,1)+MAX(E1840,1)+MAX(F1840,1)&lt;=9,OR(H1840="-",AND(H1840=0,D1840&gt;0),AND(H1840=1,E1840&gt;0),AND(H1840=2,F1840&gt;0)),OR(I1840=0,AND(I1840=1,OR(J1840=0,J1840=1,J1840=2),R1840&lt;&gt;"000")),Y1840&lt;=9,MIN(T1840:V1840)&gt;=0),"合法","输入违约")</x:f>
        <x:v>合法</x:v>
      </x:c>
    </x:row>
    <x:row r="1841" ht="23" customHeight="1">
      <x:c r="A1841" s="3" t="str">
        <x:v>CT-1834</x:v>
      </x:c>
      <x:c r="B1841" s="3" t="str">
        <x:v>ST-147</x:v>
      </x:c>
      <x:c r="C1841" s="3" t="str">
        <x:v>R+AR同收同发</x:v>
      </x:c>
      <x:c r="D1841" s="25" t="n">
        <x:v>3</x:v>
      </x:c>
      <x:c r="E1841" s="25" t="n">
        <x:v>4</x:v>
      </x:c>
      <x:c r="F1841" s="25" t="n">
        <x:v>1</x:v>
      </x:c>
      <x:c r="G1841" s="19" t="n">
        <x:f>SUM(D1841:F1841)</x:f>
        <x:v>8</x:v>
      </x:c>
      <x:c r="H1841" s="25" t="n">
        <x:v>1</x:v>
      </x:c>
      <x:c r="I1841" s="25" t="n">
        <x:v>1</x:v>
      </x:c>
      <x:c r="J1841" s="25" t="n">
        <x:v>0</x:v>
      </x:c>
      <x:c r="K1841" s="19" t="n">
        <x:f>D1841-IF(H1841=0,1,0)</x:f>
        <x:v>3</x:v>
      </x:c>
      <x:c r="L1841" s="19" t="n">
        <x:f>E1841-IF(H1841=1,1,0)</x:f>
        <x:v>3</x:v>
      </x:c>
      <x:c r="M1841" s="19" t="n">
        <x:f>F1841-IF(H1841=2,1,0)</x:f>
        <x:v>1</x:v>
      </x:c>
      <x:c r="N1841" s="19" t="n">
        <x:f>MAX(K1841-1,0)+MAX(L1841-1,0)+MAX(M1841-1,0)</x:f>
        <x:v>4</x:v>
      </x:c>
      <x:c r="O1841" s="19" t="n">
        <x:f>IF(AND(SUM(K1841:M1841)&lt;9,OR(M1841=0,N1841&lt;6)),1,0)</x:f>
        <x:v>1</x:v>
      </x:c>
      <x:c r="P1841" s="19" t="n">
        <x:f>IF(AND(SUM(K1841:M1841)&lt;9,OR(L1841=0,N1841&lt;6)),1,0)</x:f>
        <x:v>1</x:v>
      </x:c>
      <x:c r="Q1841" s="19" t="n">
        <x:f>IF(AND(SUM(K1841:M1841)&lt;9,OR(K1841=0,N1841&lt;6)),1,0)</x:f>
        <x:v>1</x:v>
      </x:c>
      <x:c r="R1841" s="22" t="str">
        <x:f>O1841&amp;P1841&amp;Q1841</x:f>
        <x:v>111</x:v>
      </x:c>
      <x:c r="S1841" s="19" t="n">
        <x:f>IF(I1841=1,IF(J1841=0,Q1841,IF(J1841=1,P1841,IF(J1841=2,O1841,0))),0)</x:f>
        <x:v>1</x:v>
      </x:c>
      <x:c r="T1841" s="19" t="n">
        <x:f>K1841+IF(AND(S1841=1,J1841=0),1,0)</x:f>
        <x:v>4</x:v>
      </x:c>
      <x:c r="U1841" s="19" t="n">
        <x:f>L1841+IF(AND(S1841=1,J1841=1),1,0)</x:f>
        <x:v>3</x:v>
      </x:c>
      <x:c r="V1841" s="19" t="n">
        <x:f>M1841+IF(AND(S1841=1,J1841=2),1,0)</x:f>
        <x:v>1</x:v>
      </x:c>
      <x:c r="W1841" s="19" t="n">
        <x:f>SUM(T1841:V1841)</x:f>
        <x:v>8</x:v>
      </x:c>
      <x:c r="X1841" s="19" t="n">
        <x:f>W1841-G1841</x:f>
        <x:v>0</x:v>
      </x:c>
      <x:c r="Y1841" s="19" t="n">
        <x:f>MAX(T1841,1)+MAX(U1841,1)+MAX(V1841,1)</x:f>
        <x:v>8</x:v>
      </x:c>
      <x:c r="Z1841" s="21" t="str">
        <x:f>IF(AND(MIN(D1841:F1841)&gt;=0,MAX(D1841:F1841)&lt;=7,MAX(D1841,1)+MAX(E1841,1)+MAX(F1841,1)&lt;=9,OR(H1841="-",AND(H1841=0,D1841&gt;0),AND(H1841=1,E1841&gt;0),AND(H1841=2,F1841&gt;0)),OR(I1841=0,AND(I1841=1,OR(J1841=0,J1841=1,J1841=2),R1841&lt;&gt;"000")),Y1841&lt;=9,MIN(T1841:V1841)&gt;=0),"合法","输入违约")</x:f>
        <x:v>合法</x:v>
      </x:c>
    </x:row>
    <x:row r="1842" ht="23" customHeight="1">
      <x:c r="A1842" s="3" t="str">
        <x:v>CT-1835</x:v>
      </x:c>
      <x:c r="B1842" s="3" t="str">
        <x:v>ST-147</x:v>
      </x:c>
      <x:c r="C1842" s="3" t="str">
        <x:v>R+AR同收同发</x:v>
      </x:c>
      <x:c r="D1842" s="25" t="n">
        <x:v>3</x:v>
      </x:c>
      <x:c r="E1842" s="25" t="n">
        <x:v>4</x:v>
      </x:c>
      <x:c r="F1842" s="25" t="n">
        <x:v>1</x:v>
      </x:c>
      <x:c r="G1842" s="19" t="n">
        <x:f>SUM(D1842:F1842)</x:f>
        <x:v>8</x:v>
      </x:c>
      <x:c r="H1842" s="25" t="n">
        <x:v>1</x:v>
      </x:c>
      <x:c r="I1842" s="25" t="n">
        <x:v>1</x:v>
      </x:c>
      <x:c r="J1842" s="25" t="n">
        <x:v>1</x:v>
      </x:c>
      <x:c r="K1842" s="19" t="n">
        <x:f>D1842-IF(H1842=0,1,0)</x:f>
        <x:v>3</x:v>
      </x:c>
      <x:c r="L1842" s="19" t="n">
        <x:f>E1842-IF(H1842=1,1,0)</x:f>
        <x:v>3</x:v>
      </x:c>
      <x:c r="M1842" s="19" t="n">
        <x:f>F1842-IF(H1842=2,1,0)</x:f>
        <x:v>1</x:v>
      </x:c>
      <x:c r="N1842" s="19" t="n">
        <x:f>MAX(K1842-1,0)+MAX(L1842-1,0)+MAX(M1842-1,0)</x:f>
        <x:v>4</x:v>
      </x:c>
      <x:c r="O1842" s="19" t="n">
        <x:f>IF(AND(SUM(K1842:M1842)&lt;9,OR(M1842=0,N1842&lt;6)),1,0)</x:f>
        <x:v>1</x:v>
      </x:c>
      <x:c r="P1842" s="19" t="n">
        <x:f>IF(AND(SUM(K1842:M1842)&lt;9,OR(L1842=0,N1842&lt;6)),1,0)</x:f>
        <x:v>1</x:v>
      </x:c>
      <x:c r="Q1842" s="19" t="n">
        <x:f>IF(AND(SUM(K1842:M1842)&lt;9,OR(K1842=0,N1842&lt;6)),1,0)</x:f>
        <x:v>1</x:v>
      </x:c>
      <x:c r="R1842" s="22" t="str">
        <x:f>O1842&amp;P1842&amp;Q1842</x:f>
        <x:v>111</x:v>
      </x:c>
      <x:c r="S1842" s="19" t="n">
        <x:f>IF(I1842=1,IF(J1842=0,Q1842,IF(J1842=1,P1842,IF(J1842=2,O1842,0))),0)</x:f>
        <x:v>1</x:v>
      </x:c>
      <x:c r="T1842" s="19" t="n">
        <x:f>K1842+IF(AND(S1842=1,J1842=0),1,0)</x:f>
        <x:v>3</x:v>
      </x:c>
      <x:c r="U1842" s="19" t="n">
        <x:f>L1842+IF(AND(S1842=1,J1842=1),1,0)</x:f>
        <x:v>4</x:v>
      </x:c>
      <x:c r="V1842" s="19" t="n">
        <x:f>M1842+IF(AND(S1842=1,J1842=2),1,0)</x:f>
        <x:v>1</x:v>
      </x:c>
      <x:c r="W1842" s="19" t="n">
        <x:f>SUM(T1842:V1842)</x:f>
        <x:v>8</x:v>
      </x:c>
      <x:c r="X1842" s="19" t="n">
        <x:f>W1842-G1842</x:f>
        <x:v>0</x:v>
      </x:c>
      <x:c r="Y1842" s="19" t="n">
        <x:f>MAX(T1842,1)+MAX(U1842,1)+MAX(V1842,1)</x:f>
        <x:v>8</x:v>
      </x:c>
      <x:c r="Z1842" s="21" t="str">
        <x:f>IF(AND(MIN(D1842:F1842)&gt;=0,MAX(D1842:F1842)&lt;=7,MAX(D1842,1)+MAX(E1842,1)+MAX(F1842,1)&lt;=9,OR(H1842="-",AND(H1842=0,D1842&gt;0),AND(H1842=1,E1842&gt;0),AND(H1842=2,F1842&gt;0)),OR(I1842=0,AND(I1842=1,OR(J1842=0,J1842=1,J1842=2),R1842&lt;&gt;"000")),Y1842&lt;=9,MIN(T1842:V1842)&gt;=0),"合法","输入违约")</x:f>
        <x:v>合法</x:v>
      </x:c>
    </x:row>
    <x:row r="1843" ht="23" customHeight="1">
      <x:c r="A1843" s="3" t="str">
        <x:v>CT-1836</x:v>
      </x:c>
      <x:c r="B1843" s="3" t="str">
        <x:v>ST-147</x:v>
      </x:c>
      <x:c r="C1843" s="3" t="str">
        <x:v>R+AR同收同发</x:v>
      </x:c>
      <x:c r="D1843" s="25" t="n">
        <x:v>3</x:v>
      </x:c>
      <x:c r="E1843" s="25" t="n">
        <x:v>4</x:v>
      </x:c>
      <x:c r="F1843" s="25" t="n">
        <x:v>1</x:v>
      </x:c>
      <x:c r="G1843" s="19" t="n">
        <x:f>SUM(D1843:F1843)</x:f>
        <x:v>8</x:v>
      </x:c>
      <x:c r="H1843" s="25" t="n">
        <x:v>1</x:v>
      </x:c>
      <x:c r="I1843" s="25" t="n">
        <x:v>1</x:v>
      </x:c>
      <x:c r="J1843" s="25" t="n">
        <x:v>2</x:v>
      </x:c>
      <x:c r="K1843" s="19" t="n">
        <x:f>D1843-IF(H1843=0,1,0)</x:f>
        <x:v>3</x:v>
      </x:c>
      <x:c r="L1843" s="19" t="n">
        <x:f>E1843-IF(H1843=1,1,0)</x:f>
        <x:v>3</x:v>
      </x:c>
      <x:c r="M1843" s="19" t="n">
        <x:f>F1843-IF(H1843=2,1,0)</x:f>
        <x:v>1</x:v>
      </x:c>
      <x:c r="N1843" s="19" t="n">
        <x:f>MAX(K1843-1,0)+MAX(L1843-1,0)+MAX(M1843-1,0)</x:f>
        <x:v>4</x:v>
      </x:c>
      <x:c r="O1843" s="19" t="n">
        <x:f>IF(AND(SUM(K1843:M1843)&lt;9,OR(M1843=0,N1843&lt;6)),1,0)</x:f>
        <x:v>1</x:v>
      </x:c>
      <x:c r="P1843" s="19" t="n">
        <x:f>IF(AND(SUM(K1843:M1843)&lt;9,OR(L1843=0,N1843&lt;6)),1,0)</x:f>
        <x:v>1</x:v>
      </x:c>
      <x:c r="Q1843" s="19" t="n">
        <x:f>IF(AND(SUM(K1843:M1843)&lt;9,OR(K1843=0,N1843&lt;6)),1,0)</x:f>
        <x:v>1</x:v>
      </x:c>
      <x:c r="R1843" s="22" t="str">
        <x:f>O1843&amp;P1843&amp;Q1843</x:f>
        <x:v>111</x:v>
      </x:c>
      <x:c r="S1843" s="19" t="n">
        <x:f>IF(I1843=1,IF(J1843=0,Q1843,IF(J1843=1,P1843,IF(J1843=2,O1843,0))),0)</x:f>
        <x:v>1</x:v>
      </x:c>
      <x:c r="T1843" s="19" t="n">
        <x:f>K1843+IF(AND(S1843=1,J1843=0),1,0)</x:f>
        <x:v>3</x:v>
      </x:c>
      <x:c r="U1843" s="19" t="n">
        <x:f>L1843+IF(AND(S1843=1,J1843=1),1,0)</x:f>
        <x:v>3</x:v>
      </x:c>
      <x:c r="V1843" s="19" t="n">
        <x:f>M1843+IF(AND(S1843=1,J1843=2),1,0)</x:f>
        <x:v>2</x:v>
      </x:c>
      <x:c r="W1843" s="19" t="n">
        <x:f>SUM(T1843:V1843)</x:f>
        <x:v>8</x:v>
      </x:c>
      <x:c r="X1843" s="19" t="n">
        <x:f>W1843-G1843</x:f>
        <x:v>0</x:v>
      </x:c>
      <x:c r="Y1843" s="19" t="n">
        <x:f>MAX(T1843,1)+MAX(U1843,1)+MAX(V1843,1)</x:f>
        <x:v>8</x:v>
      </x:c>
      <x:c r="Z1843" s="21" t="str">
        <x:f>IF(AND(MIN(D1843:F1843)&gt;=0,MAX(D1843:F1843)&lt;=7,MAX(D1843,1)+MAX(E1843,1)+MAX(F1843,1)&lt;=9,OR(H1843="-",AND(H1843=0,D1843&gt;0),AND(H1843=1,E1843&gt;0),AND(H1843=2,F1843&gt;0)),OR(I1843=0,AND(I1843=1,OR(J1843=0,J1843=1,J1843=2),R1843&lt;&gt;"000")),Y1843&lt;=9,MIN(T1843:V1843)&gt;=0),"合法","输入违约")</x:f>
        <x:v>合法</x:v>
      </x:c>
    </x:row>
    <x:row r="1844" ht="23" customHeight="1">
      <x:c r="A1844" s="3" t="str">
        <x:v>CT-1837</x:v>
      </x:c>
      <x:c r="B1844" s="3" t="str">
        <x:v>ST-147</x:v>
      </x:c>
      <x:c r="C1844" s="3" t="str">
        <x:v>仅R回收</x:v>
      </x:c>
      <x:c r="D1844" s="25" t="n">
        <x:v>3</x:v>
      </x:c>
      <x:c r="E1844" s="25" t="n">
        <x:v>4</x:v>
      </x:c>
      <x:c r="F1844" s="25" t="n">
        <x:v>1</x:v>
      </x:c>
      <x:c r="G1844" s="19" t="n">
        <x:f>SUM(D1844:F1844)</x:f>
        <x:v>8</x:v>
      </x:c>
      <x:c r="H1844" s="25" t="n">
        <x:v>2</x:v>
      </x:c>
      <x:c r="I1844" s="25" t="n">
        <x:v>0</x:v>
      </x:c>
      <x:c r="J1844" s="25" t="str">
        <x:v>-</x:v>
      </x:c>
      <x:c r="K1844" s="19" t="n">
        <x:f>D1844-IF(H1844=0,1,0)</x:f>
        <x:v>3</x:v>
      </x:c>
      <x:c r="L1844" s="19" t="n">
        <x:f>E1844-IF(H1844=1,1,0)</x:f>
        <x:v>4</x:v>
      </x:c>
      <x:c r="M1844" s="19" t="n">
        <x:f>F1844-IF(H1844=2,1,0)</x:f>
        <x:v>0</x:v>
      </x:c>
      <x:c r="N1844" s="19" t="n">
        <x:f>MAX(K1844-1,0)+MAX(L1844-1,0)+MAX(M1844-1,0)</x:f>
        <x:v>5</x:v>
      </x:c>
      <x:c r="O1844" s="19" t="n">
        <x:f>IF(AND(SUM(K1844:M1844)&lt;9,OR(M1844=0,N1844&lt;6)),1,0)</x:f>
        <x:v>1</x:v>
      </x:c>
      <x:c r="P1844" s="19" t="n">
        <x:f>IF(AND(SUM(K1844:M1844)&lt;9,OR(L1844=0,N1844&lt;6)),1,0)</x:f>
        <x:v>1</x:v>
      </x:c>
      <x:c r="Q1844" s="19" t="n">
        <x:f>IF(AND(SUM(K1844:M1844)&lt;9,OR(K1844=0,N1844&lt;6)),1,0)</x:f>
        <x:v>1</x:v>
      </x:c>
      <x:c r="R1844" s="22" t="str">
        <x:f>O1844&amp;P1844&amp;Q1844</x:f>
        <x:v>111</x:v>
      </x:c>
      <x:c r="S1844" s="19" t="n">
        <x:f>IF(I1844=1,IF(J1844=0,Q1844,IF(J1844=1,P1844,IF(J1844=2,O1844,0))),0)</x:f>
        <x:v>0</x:v>
      </x:c>
      <x:c r="T1844" s="19" t="n">
        <x:f>K1844+IF(AND(S1844=1,J1844=0),1,0)</x:f>
        <x:v>3</x:v>
      </x:c>
      <x:c r="U1844" s="19" t="n">
        <x:f>L1844+IF(AND(S1844=1,J1844=1),1,0)</x:f>
        <x:v>4</x:v>
      </x:c>
      <x:c r="V1844" s="19" t="n">
        <x:f>M1844+IF(AND(S1844=1,J1844=2),1,0)</x:f>
        <x:v>0</x:v>
      </x:c>
      <x:c r="W1844" s="19" t="n">
        <x:f>SUM(T1844:V1844)</x:f>
        <x:v>7</x:v>
      </x:c>
      <x:c r="X1844" s="19" t="n">
        <x:f>W1844-G1844</x:f>
        <x:v>-1</x:v>
      </x:c>
      <x:c r="Y1844" s="19" t="n">
        <x:f>MAX(T1844,1)+MAX(U1844,1)+MAX(V1844,1)</x:f>
        <x:v>8</x:v>
      </x:c>
      <x:c r="Z1844" s="21" t="str">
        <x:f>IF(AND(MIN(D1844:F1844)&gt;=0,MAX(D1844:F1844)&lt;=7,MAX(D1844,1)+MAX(E1844,1)+MAX(F1844,1)&lt;=9,OR(H1844="-",AND(H1844=0,D1844&gt;0),AND(H1844=1,E1844&gt;0),AND(H1844=2,F1844&gt;0)),OR(I1844=0,AND(I1844=1,OR(J1844=0,J1844=1,J1844=2),R1844&lt;&gt;"000")),Y1844&lt;=9,MIN(T1844:V1844)&gt;=0),"合法","输入违约")</x:f>
        <x:v>合法</x:v>
      </x:c>
    </x:row>
    <x:row r="1845" ht="23" customHeight="1">
      <x:c r="A1845" s="3" t="str">
        <x:v>CT-1838</x:v>
      </x:c>
      <x:c r="B1845" s="3" t="str">
        <x:v>ST-147</x:v>
      </x:c>
      <x:c r="C1845" s="3" t="str">
        <x:v>R+AR同收同发</x:v>
      </x:c>
      <x:c r="D1845" s="25" t="n">
        <x:v>3</x:v>
      </x:c>
      <x:c r="E1845" s="25" t="n">
        <x:v>4</x:v>
      </x:c>
      <x:c r="F1845" s="25" t="n">
        <x:v>1</x:v>
      </x:c>
      <x:c r="G1845" s="19" t="n">
        <x:f>SUM(D1845:F1845)</x:f>
        <x:v>8</x:v>
      </x:c>
      <x:c r="H1845" s="25" t="n">
        <x:v>2</x:v>
      </x:c>
      <x:c r="I1845" s="25" t="n">
        <x:v>1</x:v>
      </x:c>
      <x:c r="J1845" s="25" t="n">
        <x:v>0</x:v>
      </x:c>
      <x:c r="K1845" s="19" t="n">
        <x:f>D1845-IF(H1845=0,1,0)</x:f>
        <x:v>3</x:v>
      </x:c>
      <x:c r="L1845" s="19" t="n">
        <x:f>E1845-IF(H1845=1,1,0)</x:f>
        <x:v>4</x:v>
      </x:c>
      <x:c r="M1845" s="19" t="n">
        <x:f>F1845-IF(H1845=2,1,0)</x:f>
        <x:v>0</x:v>
      </x:c>
      <x:c r="N1845" s="19" t="n">
        <x:f>MAX(K1845-1,0)+MAX(L1845-1,0)+MAX(M1845-1,0)</x:f>
        <x:v>5</x:v>
      </x:c>
      <x:c r="O1845" s="19" t="n">
        <x:f>IF(AND(SUM(K1845:M1845)&lt;9,OR(M1845=0,N1845&lt;6)),1,0)</x:f>
        <x:v>1</x:v>
      </x:c>
      <x:c r="P1845" s="19" t="n">
        <x:f>IF(AND(SUM(K1845:M1845)&lt;9,OR(L1845=0,N1845&lt;6)),1,0)</x:f>
        <x:v>1</x:v>
      </x:c>
      <x:c r="Q1845" s="19" t="n">
        <x:f>IF(AND(SUM(K1845:M1845)&lt;9,OR(K1845=0,N1845&lt;6)),1,0)</x:f>
        <x:v>1</x:v>
      </x:c>
      <x:c r="R1845" s="22" t="str">
        <x:f>O1845&amp;P1845&amp;Q1845</x:f>
        <x:v>111</x:v>
      </x:c>
      <x:c r="S1845" s="19" t="n">
        <x:f>IF(I1845=1,IF(J1845=0,Q1845,IF(J1845=1,P1845,IF(J1845=2,O1845,0))),0)</x:f>
        <x:v>1</x:v>
      </x:c>
      <x:c r="T1845" s="19" t="n">
        <x:f>K1845+IF(AND(S1845=1,J1845=0),1,0)</x:f>
        <x:v>4</x:v>
      </x:c>
      <x:c r="U1845" s="19" t="n">
        <x:f>L1845+IF(AND(S1845=1,J1845=1),1,0)</x:f>
        <x:v>4</x:v>
      </x:c>
      <x:c r="V1845" s="19" t="n">
        <x:f>M1845+IF(AND(S1845=1,J1845=2),1,0)</x:f>
        <x:v>0</x:v>
      </x:c>
      <x:c r="W1845" s="19" t="n">
        <x:f>SUM(T1845:V1845)</x:f>
        <x:v>8</x:v>
      </x:c>
      <x:c r="X1845" s="19" t="n">
        <x:f>W1845-G1845</x:f>
        <x:v>0</x:v>
      </x:c>
      <x:c r="Y1845" s="19" t="n">
        <x:f>MAX(T1845,1)+MAX(U1845,1)+MAX(V1845,1)</x:f>
        <x:v>9</x:v>
      </x:c>
      <x:c r="Z1845" s="21" t="str">
        <x:f>IF(AND(MIN(D1845:F1845)&gt;=0,MAX(D1845:F1845)&lt;=7,MAX(D1845,1)+MAX(E1845,1)+MAX(F1845,1)&lt;=9,OR(H1845="-",AND(H1845=0,D1845&gt;0),AND(H1845=1,E1845&gt;0),AND(H1845=2,F1845&gt;0)),OR(I1845=0,AND(I1845=1,OR(J1845=0,J1845=1,J1845=2),R1845&lt;&gt;"000")),Y1845&lt;=9,MIN(T1845:V1845)&gt;=0),"合法","输入违约")</x:f>
        <x:v>合法</x:v>
      </x:c>
    </x:row>
    <x:row r="1846" ht="23" customHeight="1">
      <x:c r="A1846" s="3" t="str">
        <x:v>CT-1839</x:v>
      </x:c>
      <x:c r="B1846" s="3" t="str">
        <x:v>ST-147</x:v>
      </x:c>
      <x:c r="C1846" s="3" t="str">
        <x:v>R+AR同收同发</x:v>
      </x:c>
      <x:c r="D1846" s="25" t="n">
        <x:v>3</x:v>
      </x:c>
      <x:c r="E1846" s="25" t="n">
        <x:v>4</x:v>
      </x:c>
      <x:c r="F1846" s="25" t="n">
        <x:v>1</x:v>
      </x:c>
      <x:c r="G1846" s="19" t="n">
        <x:f>SUM(D1846:F1846)</x:f>
        <x:v>8</x:v>
      </x:c>
      <x:c r="H1846" s="25" t="n">
        <x:v>2</x:v>
      </x:c>
      <x:c r="I1846" s="25" t="n">
        <x:v>1</x:v>
      </x:c>
      <x:c r="J1846" s="25" t="n">
        <x:v>1</x:v>
      </x:c>
      <x:c r="K1846" s="19" t="n">
        <x:f>D1846-IF(H1846=0,1,0)</x:f>
        <x:v>3</x:v>
      </x:c>
      <x:c r="L1846" s="19" t="n">
        <x:f>E1846-IF(H1846=1,1,0)</x:f>
        <x:v>4</x:v>
      </x:c>
      <x:c r="M1846" s="19" t="n">
        <x:f>F1846-IF(H1846=2,1,0)</x:f>
        <x:v>0</x:v>
      </x:c>
      <x:c r="N1846" s="19" t="n">
        <x:f>MAX(K1846-1,0)+MAX(L1846-1,0)+MAX(M1846-1,0)</x:f>
        <x:v>5</x:v>
      </x:c>
      <x:c r="O1846" s="19" t="n">
        <x:f>IF(AND(SUM(K1846:M1846)&lt;9,OR(M1846=0,N1846&lt;6)),1,0)</x:f>
        <x:v>1</x:v>
      </x:c>
      <x:c r="P1846" s="19" t="n">
        <x:f>IF(AND(SUM(K1846:M1846)&lt;9,OR(L1846=0,N1846&lt;6)),1,0)</x:f>
        <x:v>1</x:v>
      </x:c>
      <x:c r="Q1846" s="19" t="n">
        <x:f>IF(AND(SUM(K1846:M1846)&lt;9,OR(K1846=0,N1846&lt;6)),1,0)</x:f>
        <x:v>1</x:v>
      </x:c>
      <x:c r="R1846" s="22" t="str">
        <x:f>O1846&amp;P1846&amp;Q1846</x:f>
        <x:v>111</x:v>
      </x:c>
      <x:c r="S1846" s="19" t="n">
        <x:f>IF(I1846=1,IF(J1846=0,Q1846,IF(J1846=1,P1846,IF(J1846=2,O1846,0))),0)</x:f>
        <x:v>1</x:v>
      </x:c>
      <x:c r="T1846" s="19" t="n">
        <x:f>K1846+IF(AND(S1846=1,J1846=0),1,0)</x:f>
        <x:v>3</x:v>
      </x:c>
      <x:c r="U1846" s="19" t="n">
        <x:f>L1846+IF(AND(S1846=1,J1846=1),1,0)</x:f>
        <x:v>5</x:v>
      </x:c>
      <x:c r="V1846" s="19" t="n">
        <x:f>M1846+IF(AND(S1846=1,J1846=2),1,0)</x:f>
        <x:v>0</x:v>
      </x:c>
      <x:c r="W1846" s="19" t="n">
        <x:f>SUM(T1846:V1846)</x:f>
        <x:v>8</x:v>
      </x:c>
      <x:c r="X1846" s="19" t="n">
        <x:f>W1846-G1846</x:f>
        <x:v>0</x:v>
      </x:c>
      <x:c r="Y1846" s="19" t="n">
        <x:f>MAX(T1846,1)+MAX(U1846,1)+MAX(V1846,1)</x:f>
        <x:v>9</x:v>
      </x:c>
      <x:c r="Z1846" s="21" t="str">
        <x:f>IF(AND(MIN(D1846:F1846)&gt;=0,MAX(D1846:F1846)&lt;=7,MAX(D1846,1)+MAX(E1846,1)+MAX(F1846,1)&lt;=9,OR(H1846="-",AND(H1846=0,D1846&gt;0),AND(H1846=1,E1846&gt;0),AND(H1846=2,F1846&gt;0)),OR(I1846=0,AND(I1846=1,OR(J1846=0,J1846=1,J1846=2),R1846&lt;&gt;"000")),Y1846&lt;=9,MIN(T1846:V1846)&gt;=0),"合法","输入违约")</x:f>
        <x:v>合法</x:v>
      </x:c>
    </x:row>
    <x:row r="1847" ht="23" customHeight="1">
      <x:c r="A1847" s="3" t="str">
        <x:v>CT-1840</x:v>
      </x:c>
      <x:c r="B1847" s="3" t="str">
        <x:v>ST-147</x:v>
      </x:c>
      <x:c r="C1847" s="3" t="str">
        <x:v>R+AR同收同发</x:v>
      </x:c>
      <x:c r="D1847" s="25" t="n">
        <x:v>3</x:v>
      </x:c>
      <x:c r="E1847" s="25" t="n">
        <x:v>4</x:v>
      </x:c>
      <x:c r="F1847" s="25" t="n">
        <x:v>1</x:v>
      </x:c>
      <x:c r="G1847" s="19" t="n">
        <x:f>SUM(D1847:F1847)</x:f>
        <x:v>8</x:v>
      </x:c>
      <x:c r="H1847" s="25" t="n">
        <x:v>2</x:v>
      </x:c>
      <x:c r="I1847" s="25" t="n">
        <x:v>1</x:v>
      </x:c>
      <x:c r="J1847" s="25" t="n">
        <x:v>2</x:v>
      </x:c>
      <x:c r="K1847" s="19" t="n">
        <x:f>D1847-IF(H1847=0,1,0)</x:f>
        <x:v>3</x:v>
      </x:c>
      <x:c r="L1847" s="19" t="n">
        <x:f>E1847-IF(H1847=1,1,0)</x:f>
        <x:v>4</x:v>
      </x:c>
      <x:c r="M1847" s="19" t="n">
        <x:f>F1847-IF(H1847=2,1,0)</x:f>
        <x:v>0</x:v>
      </x:c>
      <x:c r="N1847" s="19" t="n">
        <x:f>MAX(K1847-1,0)+MAX(L1847-1,0)+MAX(M1847-1,0)</x:f>
        <x:v>5</x:v>
      </x:c>
      <x:c r="O1847" s="19" t="n">
        <x:f>IF(AND(SUM(K1847:M1847)&lt;9,OR(M1847=0,N1847&lt;6)),1,0)</x:f>
        <x:v>1</x:v>
      </x:c>
      <x:c r="P1847" s="19" t="n">
        <x:f>IF(AND(SUM(K1847:M1847)&lt;9,OR(L1847=0,N1847&lt;6)),1,0)</x:f>
        <x:v>1</x:v>
      </x:c>
      <x:c r="Q1847" s="19" t="n">
        <x:f>IF(AND(SUM(K1847:M1847)&lt;9,OR(K1847=0,N1847&lt;6)),1,0)</x:f>
        <x:v>1</x:v>
      </x:c>
      <x:c r="R1847" s="22" t="str">
        <x:f>O1847&amp;P1847&amp;Q1847</x:f>
        <x:v>111</x:v>
      </x:c>
      <x:c r="S1847" s="19" t="n">
        <x:f>IF(I1847=1,IF(J1847=0,Q1847,IF(J1847=1,P1847,IF(J1847=2,O1847,0))),0)</x:f>
        <x:v>1</x:v>
      </x:c>
      <x:c r="T1847" s="19" t="n">
        <x:f>K1847+IF(AND(S1847=1,J1847=0),1,0)</x:f>
        <x:v>3</x:v>
      </x:c>
      <x:c r="U1847" s="19" t="n">
        <x:f>L1847+IF(AND(S1847=1,J1847=1),1,0)</x:f>
        <x:v>4</x:v>
      </x:c>
      <x:c r="V1847" s="19" t="n">
        <x:f>M1847+IF(AND(S1847=1,J1847=2),1,0)</x:f>
        <x:v>1</x:v>
      </x:c>
      <x:c r="W1847" s="19" t="n">
        <x:f>SUM(T1847:V1847)</x:f>
        <x:v>8</x:v>
      </x:c>
      <x:c r="X1847" s="19" t="n">
        <x:f>W1847-G1847</x:f>
        <x:v>0</x:v>
      </x:c>
      <x:c r="Y1847" s="19" t="n">
        <x:f>MAX(T1847,1)+MAX(U1847,1)+MAX(V1847,1)</x:f>
        <x:v>8</x:v>
      </x:c>
      <x:c r="Z1847" s="21" t="str">
        <x:f>IF(AND(MIN(D1847:F1847)&gt;=0,MAX(D1847:F1847)&lt;=7,MAX(D1847,1)+MAX(E1847,1)+MAX(F1847,1)&lt;=9,OR(H1847="-",AND(H1847=0,D1847&gt;0),AND(H1847=1,E1847&gt;0),AND(H1847=2,F1847&gt;0)),OR(I1847=0,AND(I1847=1,OR(J1847=0,J1847=1,J1847=2),R1847&lt;&gt;"000")),Y1847&lt;=9,MIN(T1847:V1847)&gt;=0),"合法","输入违约")</x:f>
        <x:v>合法</x:v>
      </x:c>
    </x:row>
    <x:row r="1848" ht="23" customHeight="1">
      <x:c r="A1848" s="3" t="str">
        <x:v>CT-1841</x:v>
      </x:c>
      <x:c r="B1848" s="3" t="str">
        <x:v>ST-179</x:v>
      </x:c>
      <x:c r="C1848" s="3" t="str">
        <x:v>无AR/R</x:v>
      </x:c>
      <x:c r="D1848" s="25" t="n">
        <x:v>3</x:v>
      </x:c>
      <x:c r="E1848" s="25" t="n">
        <x:v>4</x:v>
      </x:c>
      <x:c r="F1848" s="25" t="n">
        <x:v>2</x:v>
      </x:c>
      <x:c r="G1848" s="19" t="n">
        <x:f>SUM(D1848:F1848)</x:f>
        <x:v>9</x:v>
      </x:c>
      <x:c r="H1848" s="25" t="str">
        <x:v>-</x:v>
      </x:c>
      <x:c r="I1848" s="25" t="n">
        <x:v>0</x:v>
      </x:c>
      <x:c r="J1848" s="25" t="str">
        <x:v>-</x:v>
      </x:c>
      <x:c r="K1848" s="19" t="n">
        <x:f>D1848-IF(H1848=0,1,0)</x:f>
        <x:v>3</x:v>
      </x:c>
      <x:c r="L1848" s="19" t="n">
        <x:f>E1848-IF(H1848=1,1,0)</x:f>
        <x:v>4</x:v>
      </x:c>
      <x:c r="M1848" s="19" t="n">
        <x:f>F1848-IF(H1848=2,1,0)</x:f>
        <x:v>2</x:v>
      </x:c>
      <x:c r="N1848" s="19" t="n">
        <x:f>MAX(K1848-1,0)+MAX(L1848-1,0)+MAX(M1848-1,0)</x:f>
        <x:v>6</x:v>
      </x:c>
      <x:c r="O1848" s="19" t="n">
        <x:f>IF(AND(SUM(K1848:M1848)&lt;9,OR(M1848=0,N1848&lt;6)),1,0)</x:f>
        <x:v>0</x:v>
      </x:c>
      <x:c r="P1848" s="19" t="n">
        <x:f>IF(AND(SUM(K1848:M1848)&lt;9,OR(L1848=0,N1848&lt;6)),1,0)</x:f>
        <x:v>0</x:v>
      </x:c>
      <x:c r="Q1848" s="19" t="n">
        <x:f>IF(AND(SUM(K1848:M1848)&lt;9,OR(K1848=0,N1848&lt;6)),1,0)</x:f>
        <x:v>0</x:v>
      </x:c>
      <x:c r="R1848" s="22" t="str">
        <x:f>O1848&amp;P1848&amp;Q1848</x:f>
        <x:v>000</x:v>
      </x:c>
      <x:c r="S1848" s="19" t="n">
        <x:f>IF(I1848=1,IF(J1848=0,Q1848,IF(J1848=1,P1848,IF(J1848=2,O1848,0))),0)</x:f>
        <x:v>0</x:v>
      </x:c>
      <x:c r="T1848" s="19" t="n">
        <x:f>K1848+IF(AND(S1848=1,J1848=0),1,0)</x:f>
        <x:v>3</x:v>
      </x:c>
      <x:c r="U1848" s="19" t="n">
        <x:f>L1848+IF(AND(S1848=1,J1848=1),1,0)</x:f>
        <x:v>4</x:v>
      </x:c>
      <x:c r="V1848" s="19" t="n">
        <x:f>M1848+IF(AND(S1848=1,J1848=2),1,0)</x:f>
        <x:v>2</x:v>
      </x:c>
      <x:c r="W1848" s="19" t="n">
        <x:f>SUM(T1848:V1848)</x:f>
        <x:v>9</x:v>
      </x:c>
      <x:c r="X1848" s="19" t="n">
        <x:f>W1848-G1848</x:f>
        <x:v>0</x:v>
      </x:c>
      <x:c r="Y1848" s="19" t="n">
        <x:f>MAX(T1848,1)+MAX(U1848,1)+MAX(V1848,1)</x:f>
        <x:v>9</x:v>
      </x:c>
      <x:c r="Z1848" s="21" t="str">
        <x:f>IF(AND(MIN(D1848:F1848)&gt;=0,MAX(D1848:F1848)&lt;=7,MAX(D1848,1)+MAX(E1848,1)+MAX(F1848,1)&lt;=9,OR(H1848="-",AND(H1848=0,D1848&gt;0),AND(H1848=1,E1848&gt;0),AND(H1848=2,F1848&gt;0)),OR(I1848=0,AND(I1848=1,OR(J1848=0,J1848=1,J1848=2),R1848&lt;&gt;"000")),Y1848&lt;=9,MIN(T1848:V1848)&gt;=0),"合法","输入违约")</x:f>
        <x:v>合法</x:v>
      </x:c>
    </x:row>
    <x:row r="1849" ht="23" customHeight="1">
      <x:c r="A1849" s="3" t="str">
        <x:v>CT-1842</x:v>
      </x:c>
      <x:c r="B1849" s="3" t="str">
        <x:v>ST-179</x:v>
      </x:c>
      <x:c r="C1849" s="3" t="str">
        <x:v>仅R回收</x:v>
      </x:c>
      <x:c r="D1849" s="25" t="n">
        <x:v>3</x:v>
      </x:c>
      <x:c r="E1849" s="25" t="n">
        <x:v>4</x:v>
      </x:c>
      <x:c r="F1849" s="25" t="n">
        <x:v>2</x:v>
      </x:c>
      <x:c r="G1849" s="19" t="n">
        <x:f>SUM(D1849:F1849)</x:f>
        <x:v>9</x:v>
      </x:c>
      <x:c r="H1849" s="25" t="n">
        <x:v>0</x:v>
      </x:c>
      <x:c r="I1849" s="25" t="n">
        <x:v>0</x:v>
      </x:c>
      <x:c r="J1849" s="25" t="str">
        <x:v>-</x:v>
      </x:c>
      <x:c r="K1849" s="19" t="n">
        <x:f>D1849-IF(H1849=0,1,0)</x:f>
        <x:v>2</x:v>
      </x:c>
      <x:c r="L1849" s="19" t="n">
        <x:f>E1849-IF(H1849=1,1,0)</x:f>
        <x:v>4</x:v>
      </x:c>
      <x:c r="M1849" s="19" t="n">
        <x:f>F1849-IF(H1849=2,1,0)</x:f>
        <x:v>2</x:v>
      </x:c>
      <x:c r="N1849" s="19" t="n">
        <x:f>MAX(K1849-1,0)+MAX(L1849-1,0)+MAX(M1849-1,0)</x:f>
        <x:v>5</x:v>
      </x:c>
      <x:c r="O1849" s="19" t="n">
        <x:f>IF(AND(SUM(K1849:M1849)&lt;9,OR(M1849=0,N1849&lt;6)),1,0)</x:f>
        <x:v>1</x:v>
      </x:c>
      <x:c r="P1849" s="19" t="n">
        <x:f>IF(AND(SUM(K1849:M1849)&lt;9,OR(L1849=0,N1849&lt;6)),1,0)</x:f>
        <x:v>1</x:v>
      </x:c>
      <x:c r="Q1849" s="19" t="n">
        <x:f>IF(AND(SUM(K1849:M1849)&lt;9,OR(K1849=0,N1849&lt;6)),1,0)</x:f>
        <x:v>1</x:v>
      </x:c>
      <x:c r="R1849" s="22" t="str">
        <x:f>O1849&amp;P1849&amp;Q1849</x:f>
        <x:v>111</x:v>
      </x:c>
      <x:c r="S1849" s="19" t="n">
        <x:f>IF(I1849=1,IF(J1849=0,Q1849,IF(J1849=1,P1849,IF(J1849=2,O1849,0))),0)</x:f>
        <x:v>0</x:v>
      </x:c>
      <x:c r="T1849" s="19" t="n">
        <x:f>K1849+IF(AND(S1849=1,J1849=0),1,0)</x:f>
        <x:v>2</x:v>
      </x:c>
      <x:c r="U1849" s="19" t="n">
        <x:f>L1849+IF(AND(S1849=1,J1849=1),1,0)</x:f>
        <x:v>4</x:v>
      </x:c>
      <x:c r="V1849" s="19" t="n">
        <x:f>M1849+IF(AND(S1849=1,J1849=2),1,0)</x:f>
        <x:v>2</x:v>
      </x:c>
      <x:c r="W1849" s="19" t="n">
        <x:f>SUM(T1849:V1849)</x:f>
        <x:v>8</x:v>
      </x:c>
      <x:c r="X1849" s="19" t="n">
        <x:f>W1849-G1849</x:f>
        <x:v>-1</x:v>
      </x:c>
      <x:c r="Y1849" s="19" t="n">
        <x:f>MAX(T1849,1)+MAX(U1849,1)+MAX(V1849,1)</x:f>
        <x:v>8</x:v>
      </x:c>
      <x:c r="Z1849" s="21" t="str">
        <x:f>IF(AND(MIN(D1849:F1849)&gt;=0,MAX(D1849:F1849)&lt;=7,MAX(D1849,1)+MAX(E1849,1)+MAX(F1849,1)&lt;=9,OR(H1849="-",AND(H1849=0,D1849&gt;0),AND(H1849=1,E1849&gt;0),AND(H1849=2,F1849&gt;0)),OR(I1849=0,AND(I1849=1,OR(J1849=0,J1849=1,J1849=2),R1849&lt;&gt;"000")),Y1849&lt;=9,MIN(T1849:V1849)&gt;=0),"合法","输入违约")</x:f>
        <x:v>合法</x:v>
      </x:c>
    </x:row>
    <x:row r="1850" ht="23" customHeight="1">
      <x:c r="A1850" s="3" t="str">
        <x:v>CT-1843</x:v>
      </x:c>
      <x:c r="B1850" s="3" t="str">
        <x:v>ST-179</x:v>
      </x:c>
      <x:c r="C1850" s="3" t="str">
        <x:v>R+AR同收同发</x:v>
      </x:c>
      <x:c r="D1850" s="25" t="n">
        <x:v>3</x:v>
      </x:c>
      <x:c r="E1850" s="25" t="n">
        <x:v>4</x:v>
      </x:c>
      <x:c r="F1850" s="25" t="n">
        <x:v>2</x:v>
      </x:c>
      <x:c r="G1850" s="19" t="n">
        <x:f>SUM(D1850:F1850)</x:f>
        <x:v>9</x:v>
      </x:c>
      <x:c r="H1850" s="25" t="n">
        <x:v>0</x:v>
      </x:c>
      <x:c r="I1850" s="25" t="n">
        <x:v>1</x:v>
      </x:c>
      <x:c r="J1850" s="25" t="n">
        <x:v>0</x:v>
      </x:c>
      <x:c r="K1850" s="19" t="n">
        <x:f>D1850-IF(H1850=0,1,0)</x:f>
        <x:v>2</x:v>
      </x:c>
      <x:c r="L1850" s="19" t="n">
        <x:f>E1850-IF(H1850=1,1,0)</x:f>
        <x:v>4</x:v>
      </x:c>
      <x:c r="M1850" s="19" t="n">
        <x:f>F1850-IF(H1850=2,1,0)</x:f>
        <x:v>2</x:v>
      </x:c>
      <x:c r="N1850" s="19" t="n">
        <x:f>MAX(K1850-1,0)+MAX(L1850-1,0)+MAX(M1850-1,0)</x:f>
        <x:v>5</x:v>
      </x:c>
      <x:c r="O1850" s="19" t="n">
        <x:f>IF(AND(SUM(K1850:M1850)&lt;9,OR(M1850=0,N1850&lt;6)),1,0)</x:f>
        <x:v>1</x:v>
      </x:c>
      <x:c r="P1850" s="19" t="n">
        <x:f>IF(AND(SUM(K1850:M1850)&lt;9,OR(L1850=0,N1850&lt;6)),1,0)</x:f>
        <x:v>1</x:v>
      </x:c>
      <x:c r="Q1850" s="19" t="n">
        <x:f>IF(AND(SUM(K1850:M1850)&lt;9,OR(K1850=0,N1850&lt;6)),1,0)</x:f>
        <x:v>1</x:v>
      </x:c>
      <x:c r="R1850" s="22" t="str">
        <x:f>O1850&amp;P1850&amp;Q1850</x:f>
        <x:v>111</x:v>
      </x:c>
      <x:c r="S1850" s="19" t="n">
        <x:f>IF(I1850=1,IF(J1850=0,Q1850,IF(J1850=1,P1850,IF(J1850=2,O1850,0))),0)</x:f>
        <x:v>1</x:v>
      </x:c>
      <x:c r="T1850" s="19" t="n">
        <x:f>K1850+IF(AND(S1850=1,J1850=0),1,0)</x:f>
        <x:v>3</x:v>
      </x:c>
      <x:c r="U1850" s="19" t="n">
        <x:f>L1850+IF(AND(S1850=1,J1850=1),1,0)</x:f>
        <x:v>4</x:v>
      </x:c>
      <x:c r="V1850" s="19" t="n">
        <x:f>M1850+IF(AND(S1850=1,J1850=2),1,0)</x:f>
        <x:v>2</x:v>
      </x:c>
      <x:c r="W1850" s="19" t="n">
        <x:f>SUM(T1850:V1850)</x:f>
        <x:v>9</x:v>
      </x:c>
      <x:c r="X1850" s="19" t="n">
        <x:f>W1850-G1850</x:f>
        <x:v>0</x:v>
      </x:c>
      <x:c r="Y1850" s="19" t="n">
        <x:f>MAX(T1850,1)+MAX(U1850,1)+MAX(V1850,1)</x:f>
        <x:v>9</x:v>
      </x:c>
      <x:c r="Z1850" s="21" t="str">
        <x:f>IF(AND(MIN(D1850:F1850)&gt;=0,MAX(D1850:F1850)&lt;=7,MAX(D1850,1)+MAX(E1850,1)+MAX(F1850,1)&lt;=9,OR(H1850="-",AND(H1850=0,D1850&gt;0),AND(H1850=1,E1850&gt;0),AND(H1850=2,F1850&gt;0)),OR(I1850=0,AND(I1850=1,OR(J1850=0,J1850=1,J1850=2),R1850&lt;&gt;"000")),Y1850&lt;=9,MIN(T1850:V1850)&gt;=0),"合法","输入违约")</x:f>
        <x:v>合法</x:v>
      </x:c>
    </x:row>
    <x:row r="1851" ht="23" customHeight="1">
      <x:c r="A1851" s="3" t="str">
        <x:v>CT-1844</x:v>
      </x:c>
      <x:c r="B1851" s="3" t="str">
        <x:v>ST-179</x:v>
      </x:c>
      <x:c r="C1851" s="3" t="str">
        <x:v>R+AR同收同发</x:v>
      </x:c>
      <x:c r="D1851" s="25" t="n">
        <x:v>3</x:v>
      </x:c>
      <x:c r="E1851" s="25" t="n">
        <x:v>4</x:v>
      </x:c>
      <x:c r="F1851" s="25" t="n">
        <x:v>2</x:v>
      </x:c>
      <x:c r="G1851" s="19" t="n">
        <x:f>SUM(D1851:F1851)</x:f>
        <x:v>9</x:v>
      </x:c>
      <x:c r="H1851" s="25" t="n">
        <x:v>0</x:v>
      </x:c>
      <x:c r="I1851" s="25" t="n">
        <x:v>1</x:v>
      </x:c>
      <x:c r="J1851" s="25" t="n">
        <x:v>1</x:v>
      </x:c>
      <x:c r="K1851" s="19" t="n">
        <x:f>D1851-IF(H1851=0,1,0)</x:f>
        <x:v>2</x:v>
      </x:c>
      <x:c r="L1851" s="19" t="n">
        <x:f>E1851-IF(H1851=1,1,0)</x:f>
        <x:v>4</x:v>
      </x:c>
      <x:c r="M1851" s="19" t="n">
        <x:f>F1851-IF(H1851=2,1,0)</x:f>
        <x:v>2</x:v>
      </x:c>
      <x:c r="N1851" s="19" t="n">
        <x:f>MAX(K1851-1,0)+MAX(L1851-1,0)+MAX(M1851-1,0)</x:f>
        <x:v>5</x:v>
      </x:c>
      <x:c r="O1851" s="19" t="n">
        <x:f>IF(AND(SUM(K1851:M1851)&lt;9,OR(M1851=0,N1851&lt;6)),1,0)</x:f>
        <x:v>1</x:v>
      </x:c>
      <x:c r="P1851" s="19" t="n">
        <x:f>IF(AND(SUM(K1851:M1851)&lt;9,OR(L1851=0,N1851&lt;6)),1,0)</x:f>
        <x:v>1</x:v>
      </x:c>
      <x:c r="Q1851" s="19" t="n">
        <x:f>IF(AND(SUM(K1851:M1851)&lt;9,OR(K1851=0,N1851&lt;6)),1,0)</x:f>
        <x:v>1</x:v>
      </x:c>
      <x:c r="R1851" s="22" t="str">
        <x:f>O1851&amp;P1851&amp;Q1851</x:f>
        <x:v>111</x:v>
      </x:c>
      <x:c r="S1851" s="19" t="n">
        <x:f>IF(I1851=1,IF(J1851=0,Q1851,IF(J1851=1,P1851,IF(J1851=2,O1851,0))),0)</x:f>
        <x:v>1</x:v>
      </x:c>
      <x:c r="T1851" s="19" t="n">
        <x:f>K1851+IF(AND(S1851=1,J1851=0),1,0)</x:f>
        <x:v>2</x:v>
      </x:c>
      <x:c r="U1851" s="19" t="n">
        <x:f>L1851+IF(AND(S1851=1,J1851=1),1,0)</x:f>
        <x:v>5</x:v>
      </x:c>
      <x:c r="V1851" s="19" t="n">
        <x:f>M1851+IF(AND(S1851=1,J1851=2),1,0)</x:f>
        <x:v>2</x:v>
      </x:c>
      <x:c r="W1851" s="19" t="n">
        <x:f>SUM(T1851:V1851)</x:f>
        <x:v>9</x:v>
      </x:c>
      <x:c r="X1851" s="19" t="n">
        <x:f>W1851-G1851</x:f>
        <x:v>0</x:v>
      </x:c>
      <x:c r="Y1851" s="19" t="n">
        <x:f>MAX(T1851,1)+MAX(U1851,1)+MAX(V1851,1)</x:f>
        <x:v>9</x:v>
      </x:c>
      <x:c r="Z1851" s="21" t="str">
        <x:f>IF(AND(MIN(D1851:F1851)&gt;=0,MAX(D1851:F1851)&lt;=7,MAX(D1851,1)+MAX(E1851,1)+MAX(F1851,1)&lt;=9,OR(H1851="-",AND(H1851=0,D1851&gt;0),AND(H1851=1,E1851&gt;0),AND(H1851=2,F1851&gt;0)),OR(I1851=0,AND(I1851=1,OR(J1851=0,J1851=1,J1851=2),R1851&lt;&gt;"000")),Y1851&lt;=9,MIN(T1851:V1851)&gt;=0),"合法","输入违约")</x:f>
        <x:v>合法</x:v>
      </x:c>
    </x:row>
    <x:row r="1852" ht="23" customHeight="1">
      <x:c r="A1852" s="3" t="str">
        <x:v>CT-1845</x:v>
      </x:c>
      <x:c r="B1852" s="3" t="str">
        <x:v>ST-179</x:v>
      </x:c>
      <x:c r="C1852" s="3" t="str">
        <x:v>R+AR同收同发</x:v>
      </x:c>
      <x:c r="D1852" s="25" t="n">
        <x:v>3</x:v>
      </x:c>
      <x:c r="E1852" s="25" t="n">
        <x:v>4</x:v>
      </x:c>
      <x:c r="F1852" s="25" t="n">
        <x:v>2</x:v>
      </x:c>
      <x:c r="G1852" s="19" t="n">
        <x:f>SUM(D1852:F1852)</x:f>
        <x:v>9</x:v>
      </x:c>
      <x:c r="H1852" s="25" t="n">
        <x:v>0</x:v>
      </x:c>
      <x:c r="I1852" s="25" t="n">
        <x:v>1</x:v>
      </x:c>
      <x:c r="J1852" s="25" t="n">
        <x:v>2</x:v>
      </x:c>
      <x:c r="K1852" s="19" t="n">
        <x:f>D1852-IF(H1852=0,1,0)</x:f>
        <x:v>2</x:v>
      </x:c>
      <x:c r="L1852" s="19" t="n">
        <x:f>E1852-IF(H1852=1,1,0)</x:f>
        <x:v>4</x:v>
      </x:c>
      <x:c r="M1852" s="19" t="n">
        <x:f>F1852-IF(H1852=2,1,0)</x:f>
        <x:v>2</x:v>
      </x:c>
      <x:c r="N1852" s="19" t="n">
        <x:f>MAX(K1852-1,0)+MAX(L1852-1,0)+MAX(M1852-1,0)</x:f>
        <x:v>5</x:v>
      </x:c>
      <x:c r="O1852" s="19" t="n">
        <x:f>IF(AND(SUM(K1852:M1852)&lt;9,OR(M1852=0,N1852&lt;6)),1,0)</x:f>
        <x:v>1</x:v>
      </x:c>
      <x:c r="P1852" s="19" t="n">
        <x:f>IF(AND(SUM(K1852:M1852)&lt;9,OR(L1852=0,N1852&lt;6)),1,0)</x:f>
        <x:v>1</x:v>
      </x:c>
      <x:c r="Q1852" s="19" t="n">
        <x:f>IF(AND(SUM(K1852:M1852)&lt;9,OR(K1852=0,N1852&lt;6)),1,0)</x:f>
        <x:v>1</x:v>
      </x:c>
      <x:c r="R1852" s="22" t="str">
        <x:f>O1852&amp;P1852&amp;Q1852</x:f>
        <x:v>111</x:v>
      </x:c>
      <x:c r="S1852" s="19" t="n">
        <x:f>IF(I1852=1,IF(J1852=0,Q1852,IF(J1852=1,P1852,IF(J1852=2,O1852,0))),0)</x:f>
        <x:v>1</x:v>
      </x:c>
      <x:c r="T1852" s="19" t="n">
        <x:f>K1852+IF(AND(S1852=1,J1852=0),1,0)</x:f>
        <x:v>2</x:v>
      </x:c>
      <x:c r="U1852" s="19" t="n">
        <x:f>L1852+IF(AND(S1852=1,J1852=1),1,0)</x:f>
        <x:v>4</x:v>
      </x:c>
      <x:c r="V1852" s="19" t="n">
        <x:f>M1852+IF(AND(S1852=1,J1852=2),1,0)</x:f>
        <x:v>3</x:v>
      </x:c>
      <x:c r="W1852" s="19" t="n">
        <x:f>SUM(T1852:V1852)</x:f>
        <x:v>9</x:v>
      </x:c>
      <x:c r="X1852" s="19" t="n">
        <x:f>W1852-G1852</x:f>
        <x:v>0</x:v>
      </x:c>
      <x:c r="Y1852" s="19" t="n">
        <x:f>MAX(T1852,1)+MAX(U1852,1)+MAX(V1852,1)</x:f>
        <x:v>9</x:v>
      </x:c>
      <x:c r="Z1852" s="21" t="str">
        <x:f>IF(AND(MIN(D1852:F1852)&gt;=0,MAX(D1852:F1852)&lt;=7,MAX(D1852,1)+MAX(E1852,1)+MAX(F1852,1)&lt;=9,OR(H1852="-",AND(H1852=0,D1852&gt;0),AND(H1852=1,E1852&gt;0),AND(H1852=2,F1852&gt;0)),OR(I1852=0,AND(I1852=1,OR(J1852=0,J1852=1,J1852=2),R1852&lt;&gt;"000")),Y1852&lt;=9,MIN(T1852:V1852)&gt;=0),"合法","输入违约")</x:f>
        <x:v>合法</x:v>
      </x:c>
    </x:row>
    <x:row r="1853" ht="23" customHeight="1">
      <x:c r="A1853" s="3" t="str">
        <x:v>CT-1846</x:v>
      </x:c>
      <x:c r="B1853" s="3" t="str">
        <x:v>ST-179</x:v>
      </x:c>
      <x:c r="C1853" s="3" t="str">
        <x:v>仅R回收</x:v>
      </x:c>
      <x:c r="D1853" s="25" t="n">
        <x:v>3</x:v>
      </x:c>
      <x:c r="E1853" s="25" t="n">
        <x:v>4</x:v>
      </x:c>
      <x:c r="F1853" s="25" t="n">
        <x:v>2</x:v>
      </x:c>
      <x:c r="G1853" s="19" t="n">
        <x:f>SUM(D1853:F1853)</x:f>
        <x:v>9</x:v>
      </x:c>
      <x:c r="H1853" s="25" t="n">
        <x:v>1</x:v>
      </x:c>
      <x:c r="I1853" s="25" t="n">
        <x:v>0</x:v>
      </x:c>
      <x:c r="J1853" s="25" t="str">
        <x:v>-</x:v>
      </x:c>
      <x:c r="K1853" s="19" t="n">
        <x:f>D1853-IF(H1853=0,1,0)</x:f>
        <x:v>3</x:v>
      </x:c>
      <x:c r="L1853" s="19" t="n">
        <x:f>E1853-IF(H1853=1,1,0)</x:f>
        <x:v>3</x:v>
      </x:c>
      <x:c r="M1853" s="19" t="n">
        <x:f>F1853-IF(H1853=2,1,0)</x:f>
        <x:v>2</x:v>
      </x:c>
      <x:c r="N1853" s="19" t="n">
        <x:f>MAX(K1853-1,0)+MAX(L1853-1,0)+MAX(M1853-1,0)</x:f>
        <x:v>5</x:v>
      </x:c>
      <x:c r="O1853" s="19" t="n">
        <x:f>IF(AND(SUM(K1853:M1853)&lt;9,OR(M1853=0,N1853&lt;6)),1,0)</x:f>
        <x:v>1</x:v>
      </x:c>
      <x:c r="P1853" s="19" t="n">
        <x:f>IF(AND(SUM(K1853:M1853)&lt;9,OR(L1853=0,N1853&lt;6)),1,0)</x:f>
        <x:v>1</x:v>
      </x:c>
      <x:c r="Q1853" s="19" t="n">
        <x:f>IF(AND(SUM(K1853:M1853)&lt;9,OR(K1853=0,N1853&lt;6)),1,0)</x:f>
        <x:v>1</x:v>
      </x:c>
      <x:c r="R1853" s="22" t="str">
        <x:f>O1853&amp;P1853&amp;Q1853</x:f>
        <x:v>111</x:v>
      </x:c>
      <x:c r="S1853" s="19" t="n">
        <x:f>IF(I1853=1,IF(J1853=0,Q1853,IF(J1853=1,P1853,IF(J1853=2,O1853,0))),0)</x:f>
        <x:v>0</x:v>
      </x:c>
      <x:c r="T1853" s="19" t="n">
        <x:f>K1853+IF(AND(S1853=1,J1853=0),1,0)</x:f>
        <x:v>3</x:v>
      </x:c>
      <x:c r="U1853" s="19" t="n">
        <x:f>L1853+IF(AND(S1853=1,J1853=1),1,0)</x:f>
        <x:v>3</x:v>
      </x:c>
      <x:c r="V1853" s="19" t="n">
        <x:f>M1853+IF(AND(S1853=1,J1853=2),1,0)</x:f>
        <x:v>2</x:v>
      </x:c>
      <x:c r="W1853" s="19" t="n">
        <x:f>SUM(T1853:V1853)</x:f>
        <x:v>8</x:v>
      </x:c>
      <x:c r="X1853" s="19" t="n">
        <x:f>W1853-G1853</x:f>
        <x:v>-1</x:v>
      </x:c>
      <x:c r="Y1853" s="19" t="n">
        <x:f>MAX(T1853,1)+MAX(U1853,1)+MAX(V1853,1)</x:f>
        <x:v>8</x:v>
      </x:c>
      <x:c r="Z1853" s="21" t="str">
        <x:f>IF(AND(MIN(D1853:F1853)&gt;=0,MAX(D1853:F1853)&lt;=7,MAX(D1853,1)+MAX(E1853,1)+MAX(F1853,1)&lt;=9,OR(H1853="-",AND(H1853=0,D1853&gt;0),AND(H1853=1,E1853&gt;0),AND(H1853=2,F1853&gt;0)),OR(I1853=0,AND(I1853=1,OR(J1853=0,J1853=1,J1853=2),R1853&lt;&gt;"000")),Y1853&lt;=9,MIN(T1853:V1853)&gt;=0),"合法","输入违约")</x:f>
        <x:v>合法</x:v>
      </x:c>
    </x:row>
    <x:row r="1854" ht="23" customHeight="1">
      <x:c r="A1854" s="3" t="str">
        <x:v>CT-1847</x:v>
      </x:c>
      <x:c r="B1854" s="3" t="str">
        <x:v>ST-179</x:v>
      </x:c>
      <x:c r="C1854" s="3" t="str">
        <x:v>R+AR同收同发</x:v>
      </x:c>
      <x:c r="D1854" s="25" t="n">
        <x:v>3</x:v>
      </x:c>
      <x:c r="E1854" s="25" t="n">
        <x:v>4</x:v>
      </x:c>
      <x:c r="F1854" s="25" t="n">
        <x:v>2</x:v>
      </x:c>
      <x:c r="G1854" s="19" t="n">
        <x:f>SUM(D1854:F1854)</x:f>
        <x:v>9</x:v>
      </x:c>
      <x:c r="H1854" s="25" t="n">
        <x:v>1</x:v>
      </x:c>
      <x:c r="I1854" s="25" t="n">
        <x:v>1</x:v>
      </x:c>
      <x:c r="J1854" s="25" t="n">
        <x:v>0</x:v>
      </x:c>
      <x:c r="K1854" s="19" t="n">
        <x:f>D1854-IF(H1854=0,1,0)</x:f>
        <x:v>3</x:v>
      </x:c>
      <x:c r="L1854" s="19" t="n">
        <x:f>E1854-IF(H1854=1,1,0)</x:f>
        <x:v>3</x:v>
      </x:c>
      <x:c r="M1854" s="19" t="n">
        <x:f>F1854-IF(H1854=2,1,0)</x:f>
        <x:v>2</x:v>
      </x:c>
      <x:c r="N1854" s="19" t="n">
        <x:f>MAX(K1854-1,0)+MAX(L1854-1,0)+MAX(M1854-1,0)</x:f>
        <x:v>5</x:v>
      </x:c>
      <x:c r="O1854" s="19" t="n">
        <x:f>IF(AND(SUM(K1854:M1854)&lt;9,OR(M1854=0,N1854&lt;6)),1,0)</x:f>
        <x:v>1</x:v>
      </x:c>
      <x:c r="P1854" s="19" t="n">
        <x:f>IF(AND(SUM(K1854:M1854)&lt;9,OR(L1854=0,N1854&lt;6)),1,0)</x:f>
        <x:v>1</x:v>
      </x:c>
      <x:c r="Q1854" s="19" t="n">
        <x:f>IF(AND(SUM(K1854:M1854)&lt;9,OR(K1854=0,N1854&lt;6)),1,0)</x:f>
        <x:v>1</x:v>
      </x:c>
      <x:c r="R1854" s="22" t="str">
        <x:f>O1854&amp;P1854&amp;Q1854</x:f>
        <x:v>111</x:v>
      </x:c>
      <x:c r="S1854" s="19" t="n">
        <x:f>IF(I1854=1,IF(J1854=0,Q1854,IF(J1854=1,P1854,IF(J1854=2,O1854,0))),0)</x:f>
        <x:v>1</x:v>
      </x:c>
      <x:c r="T1854" s="19" t="n">
        <x:f>K1854+IF(AND(S1854=1,J1854=0),1,0)</x:f>
        <x:v>4</x:v>
      </x:c>
      <x:c r="U1854" s="19" t="n">
        <x:f>L1854+IF(AND(S1854=1,J1854=1),1,0)</x:f>
        <x:v>3</x:v>
      </x:c>
      <x:c r="V1854" s="19" t="n">
        <x:f>M1854+IF(AND(S1854=1,J1854=2),1,0)</x:f>
        <x:v>2</x:v>
      </x:c>
      <x:c r="W1854" s="19" t="n">
        <x:f>SUM(T1854:V1854)</x:f>
        <x:v>9</x:v>
      </x:c>
      <x:c r="X1854" s="19" t="n">
        <x:f>W1854-G1854</x:f>
        <x:v>0</x:v>
      </x:c>
      <x:c r="Y1854" s="19" t="n">
        <x:f>MAX(T1854,1)+MAX(U1854,1)+MAX(V1854,1)</x:f>
        <x:v>9</x:v>
      </x:c>
      <x:c r="Z1854" s="21" t="str">
        <x:f>IF(AND(MIN(D1854:F1854)&gt;=0,MAX(D1854:F1854)&lt;=7,MAX(D1854,1)+MAX(E1854,1)+MAX(F1854,1)&lt;=9,OR(H1854="-",AND(H1854=0,D1854&gt;0),AND(H1854=1,E1854&gt;0),AND(H1854=2,F1854&gt;0)),OR(I1854=0,AND(I1854=1,OR(J1854=0,J1854=1,J1854=2),R1854&lt;&gt;"000")),Y1854&lt;=9,MIN(T1854:V1854)&gt;=0),"合法","输入违约")</x:f>
        <x:v>合法</x:v>
      </x:c>
    </x:row>
    <x:row r="1855" ht="23" customHeight="1">
      <x:c r="A1855" s="3" t="str">
        <x:v>CT-1848</x:v>
      </x:c>
      <x:c r="B1855" s="3" t="str">
        <x:v>ST-179</x:v>
      </x:c>
      <x:c r="C1855" s="3" t="str">
        <x:v>R+AR同收同发</x:v>
      </x:c>
      <x:c r="D1855" s="25" t="n">
        <x:v>3</x:v>
      </x:c>
      <x:c r="E1855" s="25" t="n">
        <x:v>4</x:v>
      </x:c>
      <x:c r="F1855" s="25" t="n">
        <x:v>2</x:v>
      </x:c>
      <x:c r="G1855" s="19" t="n">
        <x:f>SUM(D1855:F1855)</x:f>
        <x:v>9</x:v>
      </x:c>
      <x:c r="H1855" s="25" t="n">
        <x:v>1</x:v>
      </x:c>
      <x:c r="I1855" s="25" t="n">
        <x:v>1</x:v>
      </x:c>
      <x:c r="J1855" s="25" t="n">
        <x:v>1</x:v>
      </x:c>
      <x:c r="K1855" s="19" t="n">
        <x:f>D1855-IF(H1855=0,1,0)</x:f>
        <x:v>3</x:v>
      </x:c>
      <x:c r="L1855" s="19" t="n">
        <x:f>E1855-IF(H1855=1,1,0)</x:f>
        <x:v>3</x:v>
      </x:c>
      <x:c r="M1855" s="19" t="n">
        <x:f>F1855-IF(H1855=2,1,0)</x:f>
        <x:v>2</x:v>
      </x:c>
      <x:c r="N1855" s="19" t="n">
        <x:f>MAX(K1855-1,0)+MAX(L1855-1,0)+MAX(M1855-1,0)</x:f>
        <x:v>5</x:v>
      </x:c>
      <x:c r="O1855" s="19" t="n">
        <x:f>IF(AND(SUM(K1855:M1855)&lt;9,OR(M1855=0,N1855&lt;6)),1,0)</x:f>
        <x:v>1</x:v>
      </x:c>
      <x:c r="P1855" s="19" t="n">
        <x:f>IF(AND(SUM(K1855:M1855)&lt;9,OR(L1855=0,N1855&lt;6)),1,0)</x:f>
        <x:v>1</x:v>
      </x:c>
      <x:c r="Q1855" s="19" t="n">
        <x:f>IF(AND(SUM(K1855:M1855)&lt;9,OR(K1855=0,N1855&lt;6)),1,0)</x:f>
        <x:v>1</x:v>
      </x:c>
      <x:c r="R1855" s="22" t="str">
        <x:f>O1855&amp;P1855&amp;Q1855</x:f>
        <x:v>111</x:v>
      </x:c>
      <x:c r="S1855" s="19" t="n">
        <x:f>IF(I1855=1,IF(J1855=0,Q1855,IF(J1855=1,P1855,IF(J1855=2,O1855,0))),0)</x:f>
        <x:v>1</x:v>
      </x:c>
      <x:c r="T1855" s="19" t="n">
        <x:f>K1855+IF(AND(S1855=1,J1855=0),1,0)</x:f>
        <x:v>3</x:v>
      </x:c>
      <x:c r="U1855" s="19" t="n">
        <x:f>L1855+IF(AND(S1855=1,J1855=1),1,0)</x:f>
        <x:v>4</x:v>
      </x:c>
      <x:c r="V1855" s="19" t="n">
        <x:f>M1855+IF(AND(S1855=1,J1855=2),1,0)</x:f>
        <x:v>2</x:v>
      </x:c>
      <x:c r="W1855" s="19" t="n">
        <x:f>SUM(T1855:V1855)</x:f>
        <x:v>9</x:v>
      </x:c>
      <x:c r="X1855" s="19" t="n">
        <x:f>W1855-G1855</x:f>
        <x:v>0</x:v>
      </x:c>
      <x:c r="Y1855" s="19" t="n">
        <x:f>MAX(T1855,1)+MAX(U1855,1)+MAX(V1855,1)</x:f>
        <x:v>9</x:v>
      </x:c>
      <x:c r="Z1855" s="21" t="str">
        <x:f>IF(AND(MIN(D1855:F1855)&gt;=0,MAX(D1855:F1855)&lt;=7,MAX(D1855,1)+MAX(E1855,1)+MAX(F1855,1)&lt;=9,OR(H1855="-",AND(H1855=0,D1855&gt;0),AND(H1855=1,E1855&gt;0),AND(H1855=2,F1855&gt;0)),OR(I1855=0,AND(I1855=1,OR(J1855=0,J1855=1,J1855=2),R1855&lt;&gt;"000")),Y1855&lt;=9,MIN(T1855:V1855)&gt;=0),"合法","输入违约")</x:f>
        <x:v>合法</x:v>
      </x:c>
    </x:row>
    <x:row r="1856" ht="23" customHeight="1">
      <x:c r="A1856" s="3" t="str">
        <x:v>CT-1849</x:v>
      </x:c>
      <x:c r="B1856" s="3" t="str">
        <x:v>ST-179</x:v>
      </x:c>
      <x:c r="C1856" s="3" t="str">
        <x:v>R+AR同收同发</x:v>
      </x:c>
      <x:c r="D1856" s="25" t="n">
        <x:v>3</x:v>
      </x:c>
      <x:c r="E1856" s="25" t="n">
        <x:v>4</x:v>
      </x:c>
      <x:c r="F1856" s="25" t="n">
        <x:v>2</x:v>
      </x:c>
      <x:c r="G1856" s="19" t="n">
        <x:f>SUM(D1856:F1856)</x:f>
        <x:v>9</x:v>
      </x:c>
      <x:c r="H1856" s="25" t="n">
        <x:v>1</x:v>
      </x:c>
      <x:c r="I1856" s="25" t="n">
        <x:v>1</x:v>
      </x:c>
      <x:c r="J1856" s="25" t="n">
        <x:v>2</x:v>
      </x:c>
      <x:c r="K1856" s="19" t="n">
        <x:f>D1856-IF(H1856=0,1,0)</x:f>
        <x:v>3</x:v>
      </x:c>
      <x:c r="L1856" s="19" t="n">
        <x:f>E1856-IF(H1856=1,1,0)</x:f>
        <x:v>3</x:v>
      </x:c>
      <x:c r="M1856" s="19" t="n">
        <x:f>F1856-IF(H1856=2,1,0)</x:f>
        <x:v>2</x:v>
      </x:c>
      <x:c r="N1856" s="19" t="n">
        <x:f>MAX(K1856-1,0)+MAX(L1856-1,0)+MAX(M1856-1,0)</x:f>
        <x:v>5</x:v>
      </x:c>
      <x:c r="O1856" s="19" t="n">
        <x:f>IF(AND(SUM(K1856:M1856)&lt;9,OR(M1856=0,N1856&lt;6)),1,0)</x:f>
        <x:v>1</x:v>
      </x:c>
      <x:c r="P1856" s="19" t="n">
        <x:f>IF(AND(SUM(K1856:M1856)&lt;9,OR(L1856=0,N1856&lt;6)),1,0)</x:f>
        <x:v>1</x:v>
      </x:c>
      <x:c r="Q1856" s="19" t="n">
        <x:f>IF(AND(SUM(K1856:M1856)&lt;9,OR(K1856=0,N1856&lt;6)),1,0)</x:f>
        <x:v>1</x:v>
      </x:c>
      <x:c r="R1856" s="22" t="str">
        <x:f>O1856&amp;P1856&amp;Q1856</x:f>
        <x:v>111</x:v>
      </x:c>
      <x:c r="S1856" s="19" t="n">
        <x:f>IF(I1856=1,IF(J1856=0,Q1856,IF(J1856=1,P1856,IF(J1856=2,O1856,0))),0)</x:f>
        <x:v>1</x:v>
      </x:c>
      <x:c r="T1856" s="19" t="n">
        <x:f>K1856+IF(AND(S1856=1,J1856=0),1,0)</x:f>
        <x:v>3</x:v>
      </x:c>
      <x:c r="U1856" s="19" t="n">
        <x:f>L1856+IF(AND(S1856=1,J1856=1),1,0)</x:f>
        <x:v>3</x:v>
      </x:c>
      <x:c r="V1856" s="19" t="n">
        <x:f>M1856+IF(AND(S1856=1,J1856=2),1,0)</x:f>
        <x:v>3</x:v>
      </x:c>
      <x:c r="W1856" s="19" t="n">
        <x:f>SUM(T1856:V1856)</x:f>
        <x:v>9</x:v>
      </x:c>
      <x:c r="X1856" s="19" t="n">
        <x:f>W1856-G1856</x:f>
        <x:v>0</x:v>
      </x:c>
      <x:c r="Y1856" s="19" t="n">
        <x:f>MAX(T1856,1)+MAX(U1856,1)+MAX(V1856,1)</x:f>
        <x:v>9</x:v>
      </x:c>
      <x:c r="Z1856" s="21" t="str">
        <x:f>IF(AND(MIN(D1856:F1856)&gt;=0,MAX(D1856:F1856)&lt;=7,MAX(D1856,1)+MAX(E1856,1)+MAX(F1856,1)&lt;=9,OR(H1856="-",AND(H1856=0,D1856&gt;0),AND(H1856=1,E1856&gt;0),AND(H1856=2,F1856&gt;0)),OR(I1856=0,AND(I1856=1,OR(J1856=0,J1856=1,J1856=2),R1856&lt;&gt;"000")),Y1856&lt;=9,MIN(T1856:V1856)&gt;=0),"合法","输入违约")</x:f>
        <x:v>合法</x:v>
      </x:c>
    </x:row>
    <x:row r="1857" ht="23" customHeight="1">
      <x:c r="A1857" s="3" t="str">
        <x:v>CT-1850</x:v>
      </x:c>
      <x:c r="B1857" s="3" t="str">
        <x:v>ST-179</x:v>
      </x:c>
      <x:c r="C1857" s="3" t="str">
        <x:v>仅R回收</x:v>
      </x:c>
      <x:c r="D1857" s="25" t="n">
        <x:v>3</x:v>
      </x:c>
      <x:c r="E1857" s="25" t="n">
        <x:v>4</x:v>
      </x:c>
      <x:c r="F1857" s="25" t="n">
        <x:v>2</x:v>
      </x:c>
      <x:c r="G1857" s="19" t="n">
        <x:f>SUM(D1857:F1857)</x:f>
        <x:v>9</x:v>
      </x:c>
      <x:c r="H1857" s="25" t="n">
        <x:v>2</x:v>
      </x:c>
      <x:c r="I1857" s="25" t="n">
        <x:v>0</x:v>
      </x:c>
      <x:c r="J1857" s="25" t="str">
        <x:v>-</x:v>
      </x:c>
      <x:c r="K1857" s="19" t="n">
        <x:f>D1857-IF(H1857=0,1,0)</x:f>
        <x:v>3</x:v>
      </x:c>
      <x:c r="L1857" s="19" t="n">
        <x:f>E1857-IF(H1857=1,1,0)</x:f>
        <x:v>4</x:v>
      </x:c>
      <x:c r="M1857" s="19" t="n">
        <x:f>F1857-IF(H1857=2,1,0)</x:f>
        <x:v>1</x:v>
      </x:c>
      <x:c r="N1857" s="19" t="n">
        <x:f>MAX(K1857-1,0)+MAX(L1857-1,0)+MAX(M1857-1,0)</x:f>
        <x:v>5</x:v>
      </x:c>
      <x:c r="O1857" s="19" t="n">
        <x:f>IF(AND(SUM(K1857:M1857)&lt;9,OR(M1857=0,N1857&lt;6)),1,0)</x:f>
        <x:v>1</x:v>
      </x:c>
      <x:c r="P1857" s="19" t="n">
        <x:f>IF(AND(SUM(K1857:M1857)&lt;9,OR(L1857=0,N1857&lt;6)),1,0)</x:f>
        <x:v>1</x:v>
      </x:c>
      <x:c r="Q1857" s="19" t="n">
        <x:f>IF(AND(SUM(K1857:M1857)&lt;9,OR(K1857=0,N1857&lt;6)),1,0)</x:f>
        <x:v>1</x:v>
      </x:c>
      <x:c r="R1857" s="22" t="str">
        <x:f>O1857&amp;P1857&amp;Q1857</x:f>
        <x:v>111</x:v>
      </x:c>
      <x:c r="S1857" s="19" t="n">
        <x:f>IF(I1857=1,IF(J1857=0,Q1857,IF(J1857=1,P1857,IF(J1857=2,O1857,0))),0)</x:f>
        <x:v>0</x:v>
      </x:c>
      <x:c r="T1857" s="19" t="n">
        <x:f>K1857+IF(AND(S1857=1,J1857=0),1,0)</x:f>
        <x:v>3</x:v>
      </x:c>
      <x:c r="U1857" s="19" t="n">
        <x:f>L1857+IF(AND(S1857=1,J1857=1),1,0)</x:f>
        <x:v>4</x:v>
      </x:c>
      <x:c r="V1857" s="19" t="n">
        <x:f>M1857+IF(AND(S1857=1,J1857=2),1,0)</x:f>
        <x:v>1</x:v>
      </x:c>
      <x:c r="W1857" s="19" t="n">
        <x:f>SUM(T1857:V1857)</x:f>
        <x:v>8</x:v>
      </x:c>
      <x:c r="X1857" s="19" t="n">
        <x:f>W1857-G1857</x:f>
        <x:v>-1</x:v>
      </x:c>
      <x:c r="Y1857" s="19" t="n">
        <x:f>MAX(T1857,1)+MAX(U1857,1)+MAX(V1857,1)</x:f>
        <x:v>8</x:v>
      </x:c>
      <x:c r="Z1857" s="21" t="str">
        <x:f>IF(AND(MIN(D1857:F1857)&gt;=0,MAX(D1857:F1857)&lt;=7,MAX(D1857,1)+MAX(E1857,1)+MAX(F1857,1)&lt;=9,OR(H1857="-",AND(H1857=0,D1857&gt;0),AND(H1857=1,E1857&gt;0),AND(H1857=2,F1857&gt;0)),OR(I1857=0,AND(I1857=1,OR(J1857=0,J1857=1,J1857=2),R1857&lt;&gt;"000")),Y1857&lt;=9,MIN(T1857:V1857)&gt;=0),"合法","输入违约")</x:f>
        <x:v>合法</x:v>
      </x:c>
    </x:row>
    <x:row r="1858" ht="23" customHeight="1">
      <x:c r="A1858" s="3" t="str">
        <x:v>CT-1851</x:v>
      </x:c>
      <x:c r="B1858" s="3" t="str">
        <x:v>ST-179</x:v>
      </x:c>
      <x:c r="C1858" s="3" t="str">
        <x:v>R+AR同收同发</x:v>
      </x:c>
      <x:c r="D1858" s="25" t="n">
        <x:v>3</x:v>
      </x:c>
      <x:c r="E1858" s="25" t="n">
        <x:v>4</x:v>
      </x:c>
      <x:c r="F1858" s="25" t="n">
        <x:v>2</x:v>
      </x:c>
      <x:c r="G1858" s="19" t="n">
        <x:f>SUM(D1858:F1858)</x:f>
        <x:v>9</x:v>
      </x:c>
      <x:c r="H1858" s="25" t="n">
        <x:v>2</x:v>
      </x:c>
      <x:c r="I1858" s="25" t="n">
        <x:v>1</x:v>
      </x:c>
      <x:c r="J1858" s="25" t="n">
        <x:v>0</x:v>
      </x:c>
      <x:c r="K1858" s="19" t="n">
        <x:f>D1858-IF(H1858=0,1,0)</x:f>
        <x:v>3</x:v>
      </x:c>
      <x:c r="L1858" s="19" t="n">
        <x:f>E1858-IF(H1858=1,1,0)</x:f>
        <x:v>4</x:v>
      </x:c>
      <x:c r="M1858" s="19" t="n">
        <x:f>F1858-IF(H1858=2,1,0)</x:f>
        <x:v>1</x:v>
      </x:c>
      <x:c r="N1858" s="19" t="n">
        <x:f>MAX(K1858-1,0)+MAX(L1858-1,0)+MAX(M1858-1,0)</x:f>
        <x:v>5</x:v>
      </x:c>
      <x:c r="O1858" s="19" t="n">
        <x:f>IF(AND(SUM(K1858:M1858)&lt;9,OR(M1858=0,N1858&lt;6)),1,0)</x:f>
        <x:v>1</x:v>
      </x:c>
      <x:c r="P1858" s="19" t="n">
        <x:f>IF(AND(SUM(K1858:M1858)&lt;9,OR(L1858=0,N1858&lt;6)),1,0)</x:f>
        <x:v>1</x:v>
      </x:c>
      <x:c r="Q1858" s="19" t="n">
        <x:f>IF(AND(SUM(K1858:M1858)&lt;9,OR(K1858=0,N1858&lt;6)),1,0)</x:f>
        <x:v>1</x:v>
      </x:c>
      <x:c r="R1858" s="22" t="str">
        <x:f>O1858&amp;P1858&amp;Q1858</x:f>
        <x:v>111</x:v>
      </x:c>
      <x:c r="S1858" s="19" t="n">
        <x:f>IF(I1858=1,IF(J1858=0,Q1858,IF(J1858=1,P1858,IF(J1858=2,O1858,0))),0)</x:f>
        <x:v>1</x:v>
      </x:c>
      <x:c r="T1858" s="19" t="n">
        <x:f>K1858+IF(AND(S1858=1,J1858=0),1,0)</x:f>
        <x:v>4</x:v>
      </x:c>
      <x:c r="U1858" s="19" t="n">
        <x:f>L1858+IF(AND(S1858=1,J1858=1),1,0)</x:f>
        <x:v>4</x:v>
      </x:c>
      <x:c r="V1858" s="19" t="n">
        <x:f>M1858+IF(AND(S1858=1,J1858=2),1,0)</x:f>
        <x:v>1</x:v>
      </x:c>
      <x:c r="W1858" s="19" t="n">
        <x:f>SUM(T1858:V1858)</x:f>
        <x:v>9</x:v>
      </x:c>
      <x:c r="X1858" s="19" t="n">
        <x:f>W1858-G1858</x:f>
        <x:v>0</x:v>
      </x:c>
      <x:c r="Y1858" s="19" t="n">
        <x:f>MAX(T1858,1)+MAX(U1858,1)+MAX(V1858,1)</x:f>
        <x:v>9</x:v>
      </x:c>
      <x:c r="Z1858" s="21" t="str">
        <x:f>IF(AND(MIN(D1858:F1858)&gt;=0,MAX(D1858:F1858)&lt;=7,MAX(D1858,1)+MAX(E1858,1)+MAX(F1858,1)&lt;=9,OR(H1858="-",AND(H1858=0,D1858&gt;0),AND(H1858=1,E1858&gt;0),AND(H1858=2,F1858&gt;0)),OR(I1858=0,AND(I1858=1,OR(J1858=0,J1858=1,J1858=2),R1858&lt;&gt;"000")),Y1858&lt;=9,MIN(T1858:V1858)&gt;=0),"合法","输入违约")</x:f>
        <x:v>合法</x:v>
      </x:c>
    </x:row>
    <x:row r="1859" ht="23" customHeight="1">
      <x:c r="A1859" s="3" t="str">
        <x:v>CT-1852</x:v>
      </x:c>
      <x:c r="B1859" s="3" t="str">
        <x:v>ST-179</x:v>
      </x:c>
      <x:c r="C1859" s="3" t="str">
        <x:v>R+AR同收同发</x:v>
      </x:c>
      <x:c r="D1859" s="25" t="n">
        <x:v>3</x:v>
      </x:c>
      <x:c r="E1859" s="25" t="n">
        <x:v>4</x:v>
      </x:c>
      <x:c r="F1859" s="25" t="n">
        <x:v>2</x:v>
      </x:c>
      <x:c r="G1859" s="19" t="n">
        <x:f>SUM(D1859:F1859)</x:f>
        <x:v>9</x:v>
      </x:c>
      <x:c r="H1859" s="25" t="n">
        <x:v>2</x:v>
      </x:c>
      <x:c r="I1859" s="25" t="n">
        <x:v>1</x:v>
      </x:c>
      <x:c r="J1859" s="25" t="n">
        <x:v>1</x:v>
      </x:c>
      <x:c r="K1859" s="19" t="n">
        <x:f>D1859-IF(H1859=0,1,0)</x:f>
        <x:v>3</x:v>
      </x:c>
      <x:c r="L1859" s="19" t="n">
        <x:f>E1859-IF(H1859=1,1,0)</x:f>
        <x:v>4</x:v>
      </x:c>
      <x:c r="M1859" s="19" t="n">
        <x:f>F1859-IF(H1859=2,1,0)</x:f>
        <x:v>1</x:v>
      </x:c>
      <x:c r="N1859" s="19" t="n">
        <x:f>MAX(K1859-1,0)+MAX(L1859-1,0)+MAX(M1859-1,0)</x:f>
        <x:v>5</x:v>
      </x:c>
      <x:c r="O1859" s="19" t="n">
        <x:f>IF(AND(SUM(K1859:M1859)&lt;9,OR(M1859=0,N1859&lt;6)),1,0)</x:f>
        <x:v>1</x:v>
      </x:c>
      <x:c r="P1859" s="19" t="n">
        <x:f>IF(AND(SUM(K1859:M1859)&lt;9,OR(L1859=0,N1859&lt;6)),1,0)</x:f>
        <x:v>1</x:v>
      </x:c>
      <x:c r="Q1859" s="19" t="n">
        <x:f>IF(AND(SUM(K1859:M1859)&lt;9,OR(K1859=0,N1859&lt;6)),1,0)</x:f>
        <x:v>1</x:v>
      </x:c>
      <x:c r="R1859" s="22" t="str">
        <x:f>O1859&amp;P1859&amp;Q1859</x:f>
        <x:v>111</x:v>
      </x:c>
      <x:c r="S1859" s="19" t="n">
        <x:f>IF(I1859=1,IF(J1859=0,Q1859,IF(J1859=1,P1859,IF(J1859=2,O1859,0))),0)</x:f>
        <x:v>1</x:v>
      </x:c>
      <x:c r="T1859" s="19" t="n">
        <x:f>K1859+IF(AND(S1859=1,J1859=0),1,0)</x:f>
        <x:v>3</x:v>
      </x:c>
      <x:c r="U1859" s="19" t="n">
        <x:f>L1859+IF(AND(S1859=1,J1859=1),1,0)</x:f>
        <x:v>5</x:v>
      </x:c>
      <x:c r="V1859" s="19" t="n">
        <x:f>M1859+IF(AND(S1859=1,J1859=2),1,0)</x:f>
        <x:v>1</x:v>
      </x:c>
      <x:c r="W1859" s="19" t="n">
        <x:f>SUM(T1859:V1859)</x:f>
        <x:v>9</x:v>
      </x:c>
      <x:c r="X1859" s="19" t="n">
        <x:f>W1859-G1859</x:f>
        <x:v>0</x:v>
      </x:c>
      <x:c r="Y1859" s="19" t="n">
        <x:f>MAX(T1859,1)+MAX(U1859,1)+MAX(V1859,1)</x:f>
        <x:v>9</x:v>
      </x:c>
      <x:c r="Z1859" s="21" t="str">
        <x:f>IF(AND(MIN(D1859:F1859)&gt;=0,MAX(D1859:F1859)&lt;=7,MAX(D1859,1)+MAX(E1859,1)+MAX(F1859,1)&lt;=9,OR(H1859="-",AND(H1859=0,D1859&gt;0),AND(H1859=1,E1859&gt;0),AND(H1859=2,F1859&gt;0)),OR(I1859=0,AND(I1859=1,OR(J1859=0,J1859=1,J1859=2),R1859&lt;&gt;"000")),Y1859&lt;=9,MIN(T1859:V1859)&gt;=0),"合法","输入违约")</x:f>
        <x:v>合法</x:v>
      </x:c>
    </x:row>
    <x:row r="1860" ht="23" customHeight="1">
      <x:c r="A1860" s="3" t="str">
        <x:v>CT-1853</x:v>
      </x:c>
      <x:c r="B1860" s="3" t="str">
        <x:v>ST-179</x:v>
      </x:c>
      <x:c r="C1860" s="3" t="str">
        <x:v>R+AR同收同发</x:v>
      </x:c>
      <x:c r="D1860" s="25" t="n">
        <x:v>3</x:v>
      </x:c>
      <x:c r="E1860" s="25" t="n">
        <x:v>4</x:v>
      </x:c>
      <x:c r="F1860" s="25" t="n">
        <x:v>2</x:v>
      </x:c>
      <x:c r="G1860" s="19" t="n">
        <x:f>SUM(D1860:F1860)</x:f>
        <x:v>9</x:v>
      </x:c>
      <x:c r="H1860" s="25" t="n">
        <x:v>2</x:v>
      </x:c>
      <x:c r="I1860" s="25" t="n">
        <x:v>1</x:v>
      </x:c>
      <x:c r="J1860" s="25" t="n">
        <x:v>2</x:v>
      </x:c>
      <x:c r="K1860" s="19" t="n">
        <x:f>D1860-IF(H1860=0,1,0)</x:f>
        <x:v>3</x:v>
      </x:c>
      <x:c r="L1860" s="19" t="n">
        <x:f>E1860-IF(H1860=1,1,0)</x:f>
        <x:v>4</x:v>
      </x:c>
      <x:c r="M1860" s="19" t="n">
        <x:f>F1860-IF(H1860=2,1,0)</x:f>
        <x:v>1</x:v>
      </x:c>
      <x:c r="N1860" s="19" t="n">
        <x:f>MAX(K1860-1,0)+MAX(L1860-1,0)+MAX(M1860-1,0)</x:f>
        <x:v>5</x:v>
      </x:c>
      <x:c r="O1860" s="19" t="n">
        <x:f>IF(AND(SUM(K1860:M1860)&lt;9,OR(M1860=0,N1860&lt;6)),1,0)</x:f>
        <x:v>1</x:v>
      </x:c>
      <x:c r="P1860" s="19" t="n">
        <x:f>IF(AND(SUM(K1860:M1860)&lt;9,OR(L1860=0,N1860&lt;6)),1,0)</x:f>
        <x:v>1</x:v>
      </x:c>
      <x:c r="Q1860" s="19" t="n">
        <x:f>IF(AND(SUM(K1860:M1860)&lt;9,OR(K1860=0,N1860&lt;6)),1,0)</x:f>
        <x:v>1</x:v>
      </x:c>
      <x:c r="R1860" s="22" t="str">
        <x:f>O1860&amp;P1860&amp;Q1860</x:f>
        <x:v>111</x:v>
      </x:c>
      <x:c r="S1860" s="19" t="n">
        <x:f>IF(I1860=1,IF(J1860=0,Q1860,IF(J1860=1,P1860,IF(J1860=2,O1860,0))),0)</x:f>
        <x:v>1</x:v>
      </x:c>
      <x:c r="T1860" s="19" t="n">
        <x:f>K1860+IF(AND(S1860=1,J1860=0),1,0)</x:f>
        <x:v>3</x:v>
      </x:c>
      <x:c r="U1860" s="19" t="n">
        <x:f>L1860+IF(AND(S1860=1,J1860=1),1,0)</x:f>
        <x:v>4</x:v>
      </x:c>
      <x:c r="V1860" s="19" t="n">
        <x:f>M1860+IF(AND(S1860=1,J1860=2),1,0)</x:f>
        <x:v>2</x:v>
      </x:c>
      <x:c r="W1860" s="19" t="n">
        <x:f>SUM(T1860:V1860)</x:f>
        <x:v>9</x:v>
      </x:c>
      <x:c r="X1860" s="19" t="n">
        <x:f>W1860-G1860</x:f>
        <x:v>0</x:v>
      </x:c>
      <x:c r="Y1860" s="19" t="n">
        <x:f>MAX(T1860,1)+MAX(U1860,1)+MAX(V1860,1)</x:f>
        <x:v>9</x:v>
      </x:c>
      <x:c r="Z1860" s="21" t="str">
        <x:f>IF(AND(MIN(D1860:F1860)&gt;=0,MAX(D1860:F1860)&lt;=7,MAX(D1860,1)+MAX(E1860,1)+MAX(F1860,1)&lt;=9,OR(H1860="-",AND(H1860=0,D1860&gt;0),AND(H1860=1,E1860&gt;0),AND(H1860=2,F1860&gt;0)),OR(I1860=0,AND(I1860=1,OR(J1860=0,J1860=1,J1860=2),R1860&lt;&gt;"000")),Y1860&lt;=9,MIN(T1860:V1860)&gt;=0),"合法","输入违约")</x:f>
        <x:v>合法</x:v>
      </x:c>
    </x:row>
    <x:row r="1861" ht="23" customHeight="1">
      <x:c r="A1861" s="3" t="str">
        <x:v>CT-1854</x:v>
      </x:c>
      <x:c r="B1861" s="3" t="str">
        <x:v>ST-148</x:v>
      </x:c>
      <x:c r="C1861" s="3" t="str">
        <x:v>无AR/R</x:v>
      </x:c>
      <x:c r="D1861" s="25" t="n">
        <x:v>3</x:v>
      </x:c>
      <x:c r="E1861" s="25" t="n">
        <x:v>5</x:v>
      </x:c>
      <x:c r="F1861" s="25" t="n">
        <x:v>0</x:v>
      </x:c>
      <x:c r="G1861" s="19" t="n">
        <x:f>SUM(D1861:F1861)</x:f>
        <x:v>8</x:v>
      </x:c>
      <x:c r="H1861" s="25" t="str">
        <x:v>-</x:v>
      </x:c>
      <x:c r="I1861" s="25" t="n">
        <x:v>0</x:v>
      </x:c>
      <x:c r="J1861" s="25" t="str">
        <x:v>-</x:v>
      </x:c>
      <x:c r="K1861" s="19" t="n">
        <x:f>D1861-IF(H1861=0,1,0)</x:f>
        <x:v>3</x:v>
      </x:c>
      <x:c r="L1861" s="19" t="n">
        <x:f>E1861-IF(H1861=1,1,0)</x:f>
        <x:v>5</x:v>
      </x:c>
      <x:c r="M1861" s="19" t="n">
        <x:f>F1861-IF(H1861=2,1,0)</x:f>
        <x:v>0</x:v>
      </x:c>
      <x:c r="N1861" s="19" t="n">
        <x:f>MAX(K1861-1,0)+MAX(L1861-1,0)+MAX(M1861-1,0)</x:f>
        <x:v>6</x:v>
      </x:c>
      <x:c r="O1861" s="19" t="n">
        <x:f>IF(AND(SUM(K1861:M1861)&lt;9,OR(M1861=0,N1861&lt;6)),1,0)</x:f>
        <x:v>1</x:v>
      </x:c>
      <x:c r="P1861" s="19" t="n">
        <x:f>IF(AND(SUM(K1861:M1861)&lt;9,OR(L1861=0,N1861&lt;6)),1,0)</x:f>
        <x:v>0</x:v>
      </x:c>
      <x:c r="Q1861" s="19" t="n">
        <x:f>IF(AND(SUM(K1861:M1861)&lt;9,OR(K1861=0,N1861&lt;6)),1,0)</x:f>
        <x:v>0</x:v>
      </x:c>
      <x:c r="R1861" s="22" t="str">
        <x:f>O1861&amp;P1861&amp;Q1861</x:f>
        <x:v>100</x:v>
      </x:c>
      <x:c r="S1861" s="19" t="n">
        <x:f>IF(I1861=1,IF(J1861=0,Q1861,IF(J1861=1,P1861,IF(J1861=2,O1861,0))),0)</x:f>
        <x:v>0</x:v>
      </x:c>
      <x:c r="T1861" s="19" t="n">
        <x:f>K1861+IF(AND(S1861=1,J1861=0),1,0)</x:f>
        <x:v>3</x:v>
      </x:c>
      <x:c r="U1861" s="19" t="n">
        <x:f>L1861+IF(AND(S1861=1,J1861=1),1,0)</x:f>
        <x:v>5</x:v>
      </x:c>
      <x:c r="V1861" s="19" t="n">
        <x:f>M1861+IF(AND(S1861=1,J1861=2),1,0)</x:f>
        <x:v>0</x:v>
      </x:c>
      <x:c r="W1861" s="19" t="n">
        <x:f>SUM(T1861:V1861)</x:f>
        <x:v>8</x:v>
      </x:c>
      <x:c r="X1861" s="19" t="n">
        <x:f>W1861-G1861</x:f>
        <x:v>0</x:v>
      </x:c>
      <x:c r="Y1861" s="19" t="n">
        <x:f>MAX(T1861,1)+MAX(U1861,1)+MAX(V1861,1)</x:f>
        <x:v>9</x:v>
      </x:c>
      <x:c r="Z1861" s="21" t="str">
        <x:f>IF(AND(MIN(D1861:F1861)&gt;=0,MAX(D1861:F1861)&lt;=7,MAX(D1861,1)+MAX(E1861,1)+MAX(F1861,1)&lt;=9,OR(H1861="-",AND(H1861=0,D1861&gt;0),AND(H1861=1,E1861&gt;0),AND(H1861=2,F1861&gt;0)),OR(I1861=0,AND(I1861=1,OR(J1861=0,J1861=1,J1861=2),R1861&lt;&gt;"000")),Y1861&lt;=9,MIN(T1861:V1861)&gt;=0),"合法","输入违约")</x:f>
        <x:v>合法</x:v>
      </x:c>
    </x:row>
    <x:row r="1862" ht="23" customHeight="1">
      <x:c r="A1862" s="3" t="str">
        <x:v>CT-1855</x:v>
      </x:c>
      <x:c r="B1862" s="3" t="str">
        <x:v>ST-148</x:v>
      </x:c>
      <x:c r="C1862" s="3" t="str">
        <x:v>所选源被阻塞</x:v>
      </x:c>
      <x:c r="D1862" s="25" t="n">
        <x:v>3</x:v>
      </x:c>
      <x:c r="E1862" s="25" t="n">
        <x:v>5</x:v>
      </x:c>
      <x:c r="F1862" s="25" t="n">
        <x:v>0</x:v>
      </x:c>
      <x:c r="G1862" s="19" t="n">
        <x:f>SUM(D1862:F1862)</x:f>
        <x:v>8</x:v>
      </x:c>
      <x:c r="H1862" s="25" t="str">
        <x:v>-</x:v>
      </x:c>
      <x:c r="I1862" s="25" t="n">
        <x:v>1</x:v>
      </x:c>
      <x:c r="J1862" s="25" t="n">
        <x:v>0</x:v>
      </x:c>
      <x:c r="K1862" s="19" t="n">
        <x:f>D1862-IF(H1862=0,1,0)</x:f>
        <x:v>3</x:v>
      </x:c>
      <x:c r="L1862" s="19" t="n">
        <x:f>E1862-IF(H1862=1,1,0)</x:f>
        <x:v>5</x:v>
      </x:c>
      <x:c r="M1862" s="19" t="n">
        <x:f>F1862-IF(H1862=2,1,0)</x:f>
        <x:v>0</x:v>
      </x:c>
      <x:c r="N1862" s="19" t="n">
        <x:f>MAX(K1862-1,0)+MAX(L1862-1,0)+MAX(M1862-1,0)</x:f>
        <x:v>6</x:v>
      </x:c>
      <x:c r="O1862" s="19" t="n">
        <x:f>IF(AND(SUM(K1862:M1862)&lt;9,OR(M1862=0,N1862&lt;6)),1,0)</x:f>
        <x:v>1</x:v>
      </x:c>
      <x:c r="P1862" s="19" t="n">
        <x:f>IF(AND(SUM(K1862:M1862)&lt;9,OR(L1862=0,N1862&lt;6)),1,0)</x:f>
        <x:v>0</x:v>
      </x:c>
      <x:c r="Q1862" s="19" t="n">
        <x:f>IF(AND(SUM(K1862:M1862)&lt;9,OR(K1862=0,N1862&lt;6)),1,0)</x:f>
        <x:v>0</x:v>
      </x:c>
      <x:c r="R1862" s="22" t="str">
        <x:f>O1862&amp;P1862&amp;Q1862</x:f>
        <x:v>100</x:v>
      </x:c>
      <x:c r="S1862" s="19" t="n">
        <x:f>IF(I1862=1,IF(J1862=0,Q1862,IF(J1862=1,P1862,IF(J1862=2,O1862,0))),0)</x:f>
        <x:v>0</x:v>
      </x:c>
      <x:c r="T1862" s="19" t="n">
        <x:f>K1862+IF(AND(S1862=1,J1862=0),1,0)</x:f>
        <x:v>3</x:v>
      </x:c>
      <x:c r="U1862" s="19" t="n">
        <x:f>L1862+IF(AND(S1862=1,J1862=1),1,0)</x:f>
        <x:v>5</x:v>
      </x:c>
      <x:c r="V1862" s="19" t="n">
        <x:f>M1862+IF(AND(S1862=1,J1862=2),1,0)</x:f>
        <x:v>0</x:v>
      </x:c>
      <x:c r="W1862" s="19" t="n">
        <x:f>SUM(T1862:V1862)</x:f>
        <x:v>8</x:v>
      </x:c>
      <x:c r="X1862" s="19" t="n">
        <x:f>W1862-G1862</x:f>
        <x:v>0</x:v>
      </x:c>
      <x:c r="Y1862" s="19" t="n">
        <x:f>MAX(T1862,1)+MAX(U1862,1)+MAX(V1862,1)</x:f>
        <x:v>9</x:v>
      </x:c>
      <x:c r="Z1862" s="21" t="str">
        <x:f>IF(AND(MIN(D1862:F1862)&gt;=0,MAX(D1862:F1862)&lt;=7,MAX(D1862,1)+MAX(E1862,1)+MAX(F1862,1)&lt;=9,OR(H1862="-",AND(H1862=0,D1862&gt;0),AND(H1862=1,E1862&gt;0),AND(H1862=2,F1862&gt;0)),OR(I1862=0,AND(I1862=1,OR(J1862=0,J1862=1,J1862=2),R1862&lt;&gt;"000")),Y1862&lt;=9,MIN(T1862:V1862)&gt;=0),"合法","输入违约")</x:f>
        <x:v>合法</x:v>
      </x:c>
    </x:row>
    <x:row r="1863" ht="23" customHeight="1">
      <x:c r="A1863" s="3" t="str">
        <x:v>CT-1856</x:v>
      </x:c>
      <x:c r="B1863" s="3" t="str">
        <x:v>ST-148</x:v>
      </x:c>
      <x:c r="C1863" s="3" t="str">
        <x:v>所选源被阻塞</x:v>
      </x:c>
      <x:c r="D1863" s="25" t="n">
        <x:v>3</x:v>
      </x:c>
      <x:c r="E1863" s="25" t="n">
        <x:v>5</x:v>
      </x:c>
      <x:c r="F1863" s="25" t="n">
        <x:v>0</x:v>
      </x:c>
      <x:c r="G1863" s="19" t="n">
        <x:f>SUM(D1863:F1863)</x:f>
        <x:v>8</x:v>
      </x:c>
      <x:c r="H1863" s="25" t="str">
        <x:v>-</x:v>
      </x:c>
      <x:c r="I1863" s="25" t="n">
        <x:v>1</x:v>
      </x:c>
      <x:c r="J1863" s="25" t="n">
        <x:v>1</x:v>
      </x:c>
      <x:c r="K1863" s="19" t="n">
        <x:f>D1863-IF(H1863=0,1,0)</x:f>
        <x:v>3</x:v>
      </x:c>
      <x:c r="L1863" s="19" t="n">
        <x:f>E1863-IF(H1863=1,1,0)</x:f>
        <x:v>5</x:v>
      </x:c>
      <x:c r="M1863" s="19" t="n">
        <x:f>F1863-IF(H1863=2,1,0)</x:f>
        <x:v>0</x:v>
      </x:c>
      <x:c r="N1863" s="19" t="n">
        <x:f>MAX(K1863-1,0)+MAX(L1863-1,0)+MAX(M1863-1,0)</x:f>
        <x:v>6</x:v>
      </x:c>
      <x:c r="O1863" s="19" t="n">
        <x:f>IF(AND(SUM(K1863:M1863)&lt;9,OR(M1863=0,N1863&lt;6)),1,0)</x:f>
        <x:v>1</x:v>
      </x:c>
      <x:c r="P1863" s="19" t="n">
        <x:f>IF(AND(SUM(K1863:M1863)&lt;9,OR(L1863=0,N1863&lt;6)),1,0)</x:f>
        <x:v>0</x:v>
      </x:c>
      <x:c r="Q1863" s="19" t="n">
        <x:f>IF(AND(SUM(K1863:M1863)&lt;9,OR(K1863=0,N1863&lt;6)),1,0)</x:f>
        <x:v>0</x:v>
      </x:c>
      <x:c r="R1863" s="22" t="str">
        <x:f>O1863&amp;P1863&amp;Q1863</x:f>
        <x:v>100</x:v>
      </x:c>
      <x:c r="S1863" s="19" t="n">
        <x:f>IF(I1863=1,IF(J1863=0,Q1863,IF(J1863=1,P1863,IF(J1863=2,O1863,0))),0)</x:f>
        <x:v>0</x:v>
      </x:c>
      <x:c r="T1863" s="19" t="n">
        <x:f>K1863+IF(AND(S1863=1,J1863=0),1,0)</x:f>
        <x:v>3</x:v>
      </x:c>
      <x:c r="U1863" s="19" t="n">
        <x:f>L1863+IF(AND(S1863=1,J1863=1),1,0)</x:f>
        <x:v>5</x:v>
      </x:c>
      <x:c r="V1863" s="19" t="n">
        <x:f>M1863+IF(AND(S1863=1,J1863=2),1,0)</x:f>
        <x:v>0</x:v>
      </x:c>
      <x:c r="W1863" s="19" t="n">
        <x:f>SUM(T1863:V1863)</x:f>
        <x:v>8</x:v>
      </x:c>
      <x:c r="X1863" s="19" t="n">
        <x:f>W1863-G1863</x:f>
        <x:v>0</x:v>
      </x:c>
      <x:c r="Y1863" s="19" t="n">
        <x:f>MAX(T1863,1)+MAX(U1863,1)+MAX(V1863,1)</x:f>
        <x:v>9</x:v>
      </x:c>
      <x:c r="Z1863" s="21" t="str">
        <x:f>IF(AND(MIN(D1863:F1863)&gt;=0,MAX(D1863:F1863)&lt;=7,MAX(D1863,1)+MAX(E1863,1)+MAX(F1863,1)&lt;=9,OR(H1863="-",AND(H1863=0,D1863&gt;0),AND(H1863=1,E1863&gt;0),AND(H1863=2,F1863&gt;0)),OR(I1863=0,AND(I1863=1,OR(J1863=0,J1863=1,J1863=2),R1863&lt;&gt;"000")),Y1863&lt;=9,MIN(T1863:V1863)&gt;=0),"合法","输入违约")</x:f>
        <x:v>合法</x:v>
      </x:c>
    </x:row>
    <x:row r="1864" ht="23" customHeight="1">
      <x:c r="A1864" s="3" t="str">
        <x:v>CT-1857</x:v>
      </x:c>
      <x:c r="B1864" s="3" t="str">
        <x:v>ST-148</x:v>
      </x:c>
      <x:c r="C1864" s="3" t="str">
        <x:v>仅AR接收</x:v>
      </x:c>
      <x:c r="D1864" s="25" t="n">
        <x:v>3</x:v>
      </x:c>
      <x:c r="E1864" s="25" t="n">
        <x:v>5</x:v>
      </x:c>
      <x:c r="F1864" s="25" t="n">
        <x:v>0</x:v>
      </x:c>
      <x:c r="G1864" s="19" t="n">
        <x:f>SUM(D1864:F1864)</x:f>
        <x:v>8</x:v>
      </x:c>
      <x:c r="H1864" s="25" t="str">
        <x:v>-</x:v>
      </x:c>
      <x:c r="I1864" s="25" t="n">
        <x:v>1</x:v>
      </x:c>
      <x:c r="J1864" s="25" t="n">
        <x:v>2</x:v>
      </x:c>
      <x:c r="K1864" s="19" t="n">
        <x:f>D1864-IF(H1864=0,1,0)</x:f>
        <x:v>3</x:v>
      </x:c>
      <x:c r="L1864" s="19" t="n">
        <x:f>E1864-IF(H1864=1,1,0)</x:f>
        <x:v>5</x:v>
      </x:c>
      <x:c r="M1864" s="19" t="n">
        <x:f>F1864-IF(H1864=2,1,0)</x:f>
        <x:v>0</x:v>
      </x:c>
      <x:c r="N1864" s="19" t="n">
        <x:f>MAX(K1864-1,0)+MAX(L1864-1,0)+MAX(M1864-1,0)</x:f>
        <x:v>6</x:v>
      </x:c>
      <x:c r="O1864" s="19" t="n">
        <x:f>IF(AND(SUM(K1864:M1864)&lt;9,OR(M1864=0,N1864&lt;6)),1,0)</x:f>
        <x:v>1</x:v>
      </x:c>
      <x:c r="P1864" s="19" t="n">
        <x:f>IF(AND(SUM(K1864:M1864)&lt;9,OR(L1864=0,N1864&lt;6)),1,0)</x:f>
        <x:v>0</x:v>
      </x:c>
      <x:c r="Q1864" s="19" t="n">
        <x:f>IF(AND(SUM(K1864:M1864)&lt;9,OR(K1864=0,N1864&lt;6)),1,0)</x:f>
        <x:v>0</x:v>
      </x:c>
      <x:c r="R1864" s="22" t="str">
        <x:f>O1864&amp;P1864&amp;Q1864</x:f>
        <x:v>100</x:v>
      </x:c>
      <x:c r="S1864" s="19" t="n">
        <x:f>IF(I1864=1,IF(J1864=0,Q1864,IF(J1864=1,P1864,IF(J1864=2,O1864,0))),0)</x:f>
        <x:v>1</x:v>
      </x:c>
      <x:c r="T1864" s="19" t="n">
        <x:f>K1864+IF(AND(S1864=1,J1864=0),1,0)</x:f>
        <x:v>3</x:v>
      </x:c>
      <x:c r="U1864" s="19" t="n">
        <x:f>L1864+IF(AND(S1864=1,J1864=1),1,0)</x:f>
        <x:v>5</x:v>
      </x:c>
      <x:c r="V1864" s="19" t="n">
        <x:f>M1864+IF(AND(S1864=1,J1864=2),1,0)</x:f>
        <x:v>1</x:v>
      </x:c>
      <x:c r="W1864" s="19" t="n">
        <x:f>SUM(T1864:V1864)</x:f>
        <x:v>9</x:v>
      </x:c>
      <x:c r="X1864" s="19" t="n">
        <x:f>W1864-G1864</x:f>
        <x:v>1</x:v>
      </x:c>
      <x:c r="Y1864" s="19" t="n">
        <x:f>MAX(T1864,1)+MAX(U1864,1)+MAX(V1864,1)</x:f>
        <x:v>9</x:v>
      </x:c>
      <x:c r="Z1864" s="21" t="str">
        <x:f>IF(AND(MIN(D1864:F1864)&gt;=0,MAX(D1864:F1864)&lt;=7,MAX(D1864,1)+MAX(E1864,1)+MAX(F1864,1)&lt;=9,OR(H1864="-",AND(H1864=0,D1864&gt;0),AND(H1864=1,E1864&gt;0),AND(H1864=2,F1864&gt;0)),OR(I1864=0,AND(I1864=1,OR(J1864=0,J1864=1,J1864=2),R1864&lt;&gt;"000")),Y1864&lt;=9,MIN(T1864:V1864)&gt;=0),"合法","输入违约")</x:f>
        <x:v>合法</x:v>
      </x:c>
    </x:row>
    <x:row r="1865" ht="23" customHeight="1">
      <x:c r="A1865" s="3" t="str">
        <x:v>CT-1858</x:v>
      </x:c>
      <x:c r="B1865" s="3" t="str">
        <x:v>ST-148</x:v>
      </x:c>
      <x:c r="C1865" s="3" t="str">
        <x:v>仅R回收</x:v>
      </x:c>
      <x:c r="D1865" s="25" t="n">
        <x:v>3</x:v>
      </x:c>
      <x:c r="E1865" s="25" t="n">
        <x:v>5</x:v>
      </x:c>
      <x:c r="F1865" s="25" t="n">
        <x:v>0</x:v>
      </x:c>
      <x:c r="G1865" s="19" t="n">
        <x:f>SUM(D1865:F1865)</x:f>
        <x:v>8</x:v>
      </x:c>
      <x:c r="H1865" s="25" t="n">
        <x:v>0</x:v>
      </x:c>
      <x:c r="I1865" s="25" t="n">
        <x:v>0</x:v>
      </x:c>
      <x:c r="J1865" s="25" t="str">
        <x:v>-</x:v>
      </x:c>
      <x:c r="K1865" s="19" t="n">
        <x:f>D1865-IF(H1865=0,1,0)</x:f>
        <x:v>2</x:v>
      </x:c>
      <x:c r="L1865" s="19" t="n">
        <x:f>E1865-IF(H1865=1,1,0)</x:f>
        <x:v>5</x:v>
      </x:c>
      <x:c r="M1865" s="19" t="n">
        <x:f>F1865-IF(H1865=2,1,0)</x:f>
        <x:v>0</x:v>
      </x:c>
      <x:c r="N1865" s="19" t="n">
        <x:f>MAX(K1865-1,0)+MAX(L1865-1,0)+MAX(M1865-1,0)</x:f>
        <x:v>5</x:v>
      </x:c>
      <x:c r="O1865" s="19" t="n">
        <x:f>IF(AND(SUM(K1865:M1865)&lt;9,OR(M1865=0,N1865&lt;6)),1,0)</x:f>
        <x:v>1</x:v>
      </x:c>
      <x:c r="P1865" s="19" t="n">
        <x:f>IF(AND(SUM(K1865:M1865)&lt;9,OR(L1865=0,N1865&lt;6)),1,0)</x:f>
        <x:v>1</x:v>
      </x:c>
      <x:c r="Q1865" s="19" t="n">
        <x:f>IF(AND(SUM(K1865:M1865)&lt;9,OR(K1865=0,N1865&lt;6)),1,0)</x:f>
        <x:v>1</x:v>
      </x:c>
      <x:c r="R1865" s="22" t="str">
        <x:f>O1865&amp;P1865&amp;Q1865</x:f>
        <x:v>111</x:v>
      </x:c>
      <x:c r="S1865" s="19" t="n">
        <x:f>IF(I1865=1,IF(J1865=0,Q1865,IF(J1865=1,P1865,IF(J1865=2,O1865,0))),0)</x:f>
        <x:v>0</x:v>
      </x:c>
      <x:c r="T1865" s="19" t="n">
        <x:f>K1865+IF(AND(S1865=1,J1865=0),1,0)</x:f>
        <x:v>2</x:v>
      </x:c>
      <x:c r="U1865" s="19" t="n">
        <x:f>L1865+IF(AND(S1865=1,J1865=1),1,0)</x:f>
        <x:v>5</x:v>
      </x:c>
      <x:c r="V1865" s="19" t="n">
        <x:f>M1865+IF(AND(S1865=1,J1865=2),1,0)</x:f>
        <x:v>0</x:v>
      </x:c>
      <x:c r="W1865" s="19" t="n">
        <x:f>SUM(T1865:V1865)</x:f>
        <x:v>7</x:v>
      </x:c>
      <x:c r="X1865" s="19" t="n">
        <x:f>W1865-G1865</x:f>
        <x:v>-1</x:v>
      </x:c>
      <x:c r="Y1865" s="19" t="n">
        <x:f>MAX(T1865,1)+MAX(U1865,1)+MAX(V1865,1)</x:f>
        <x:v>8</x:v>
      </x:c>
      <x:c r="Z1865" s="21" t="str">
        <x:f>IF(AND(MIN(D1865:F1865)&gt;=0,MAX(D1865:F1865)&lt;=7,MAX(D1865,1)+MAX(E1865,1)+MAX(F1865,1)&lt;=9,OR(H1865="-",AND(H1865=0,D1865&gt;0),AND(H1865=1,E1865&gt;0),AND(H1865=2,F1865&gt;0)),OR(I1865=0,AND(I1865=1,OR(J1865=0,J1865=1,J1865=2),R1865&lt;&gt;"000")),Y1865&lt;=9,MIN(T1865:V1865)&gt;=0),"合法","输入违约")</x:f>
        <x:v>合法</x:v>
      </x:c>
    </x:row>
    <x:row r="1866" ht="23" customHeight="1">
      <x:c r="A1866" s="3" t="str">
        <x:v>CT-1859</x:v>
      </x:c>
      <x:c r="B1866" s="3" t="str">
        <x:v>ST-148</x:v>
      </x:c>
      <x:c r="C1866" s="3" t="str">
        <x:v>R+AR同收同发</x:v>
      </x:c>
      <x:c r="D1866" s="25" t="n">
        <x:v>3</x:v>
      </x:c>
      <x:c r="E1866" s="25" t="n">
        <x:v>5</x:v>
      </x:c>
      <x:c r="F1866" s="25" t="n">
        <x:v>0</x:v>
      </x:c>
      <x:c r="G1866" s="19" t="n">
        <x:f>SUM(D1866:F1866)</x:f>
        <x:v>8</x:v>
      </x:c>
      <x:c r="H1866" s="25" t="n">
        <x:v>0</x:v>
      </x:c>
      <x:c r="I1866" s="25" t="n">
        <x:v>1</x:v>
      </x:c>
      <x:c r="J1866" s="25" t="n">
        <x:v>0</x:v>
      </x:c>
      <x:c r="K1866" s="19" t="n">
        <x:f>D1866-IF(H1866=0,1,0)</x:f>
        <x:v>2</x:v>
      </x:c>
      <x:c r="L1866" s="19" t="n">
        <x:f>E1866-IF(H1866=1,1,0)</x:f>
        <x:v>5</x:v>
      </x:c>
      <x:c r="M1866" s="19" t="n">
        <x:f>F1866-IF(H1866=2,1,0)</x:f>
        <x:v>0</x:v>
      </x:c>
      <x:c r="N1866" s="19" t="n">
        <x:f>MAX(K1866-1,0)+MAX(L1866-1,0)+MAX(M1866-1,0)</x:f>
        <x:v>5</x:v>
      </x:c>
      <x:c r="O1866" s="19" t="n">
        <x:f>IF(AND(SUM(K1866:M1866)&lt;9,OR(M1866=0,N1866&lt;6)),1,0)</x:f>
        <x:v>1</x:v>
      </x:c>
      <x:c r="P1866" s="19" t="n">
        <x:f>IF(AND(SUM(K1866:M1866)&lt;9,OR(L1866=0,N1866&lt;6)),1,0)</x:f>
        <x:v>1</x:v>
      </x:c>
      <x:c r="Q1866" s="19" t="n">
        <x:f>IF(AND(SUM(K1866:M1866)&lt;9,OR(K1866=0,N1866&lt;6)),1,0)</x:f>
        <x:v>1</x:v>
      </x:c>
      <x:c r="R1866" s="22" t="str">
        <x:f>O1866&amp;P1866&amp;Q1866</x:f>
        <x:v>111</x:v>
      </x:c>
      <x:c r="S1866" s="19" t="n">
        <x:f>IF(I1866=1,IF(J1866=0,Q1866,IF(J1866=1,P1866,IF(J1866=2,O1866,0))),0)</x:f>
        <x:v>1</x:v>
      </x:c>
      <x:c r="T1866" s="19" t="n">
        <x:f>K1866+IF(AND(S1866=1,J1866=0),1,0)</x:f>
        <x:v>3</x:v>
      </x:c>
      <x:c r="U1866" s="19" t="n">
        <x:f>L1866+IF(AND(S1866=1,J1866=1),1,0)</x:f>
        <x:v>5</x:v>
      </x:c>
      <x:c r="V1866" s="19" t="n">
        <x:f>M1866+IF(AND(S1866=1,J1866=2),1,0)</x:f>
        <x:v>0</x:v>
      </x:c>
      <x:c r="W1866" s="19" t="n">
        <x:f>SUM(T1866:V1866)</x:f>
        <x:v>8</x:v>
      </x:c>
      <x:c r="X1866" s="19" t="n">
        <x:f>W1866-G1866</x:f>
        <x:v>0</x:v>
      </x:c>
      <x:c r="Y1866" s="19" t="n">
        <x:f>MAX(T1866,1)+MAX(U1866,1)+MAX(V1866,1)</x:f>
        <x:v>9</x:v>
      </x:c>
      <x:c r="Z1866" s="21" t="str">
        <x:f>IF(AND(MIN(D1866:F1866)&gt;=0,MAX(D1866:F1866)&lt;=7,MAX(D1866,1)+MAX(E1866,1)+MAX(F1866,1)&lt;=9,OR(H1866="-",AND(H1866=0,D1866&gt;0),AND(H1866=1,E1866&gt;0),AND(H1866=2,F1866&gt;0)),OR(I1866=0,AND(I1866=1,OR(J1866=0,J1866=1,J1866=2),R1866&lt;&gt;"000")),Y1866&lt;=9,MIN(T1866:V1866)&gt;=0),"合法","输入违约")</x:f>
        <x:v>合法</x:v>
      </x:c>
    </x:row>
    <x:row r="1867" ht="23" customHeight="1">
      <x:c r="A1867" s="3" t="str">
        <x:v>CT-1860</x:v>
      </x:c>
      <x:c r="B1867" s="3" t="str">
        <x:v>ST-148</x:v>
      </x:c>
      <x:c r="C1867" s="3" t="str">
        <x:v>R+AR同收同发</x:v>
      </x:c>
      <x:c r="D1867" s="25" t="n">
        <x:v>3</x:v>
      </x:c>
      <x:c r="E1867" s="25" t="n">
        <x:v>5</x:v>
      </x:c>
      <x:c r="F1867" s="25" t="n">
        <x:v>0</x:v>
      </x:c>
      <x:c r="G1867" s="19" t="n">
        <x:f>SUM(D1867:F1867)</x:f>
        <x:v>8</x:v>
      </x:c>
      <x:c r="H1867" s="25" t="n">
        <x:v>0</x:v>
      </x:c>
      <x:c r="I1867" s="25" t="n">
        <x:v>1</x:v>
      </x:c>
      <x:c r="J1867" s="25" t="n">
        <x:v>1</x:v>
      </x:c>
      <x:c r="K1867" s="19" t="n">
        <x:f>D1867-IF(H1867=0,1,0)</x:f>
        <x:v>2</x:v>
      </x:c>
      <x:c r="L1867" s="19" t="n">
        <x:f>E1867-IF(H1867=1,1,0)</x:f>
        <x:v>5</x:v>
      </x:c>
      <x:c r="M1867" s="19" t="n">
        <x:f>F1867-IF(H1867=2,1,0)</x:f>
        <x:v>0</x:v>
      </x:c>
      <x:c r="N1867" s="19" t="n">
        <x:f>MAX(K1867-1,0)+MAX(L1867-1,0)+MAX(M1867-1,0)</x:f>
        <x:v>5</x:v>
      </x:c>
      <x:c r="O1867" s="19" t="n">
        <x:f>IF(AND(SUM(K1867:M1867)&lt;9,OR(M1867=0,N1867&lt;6)),1,0)</x:f>
        <x:v>1</x:v>
      </x:c>
      <x:c r="P1867" s="19" t="n">
        <x:f>IF(AND(SUM(K1867:M1867)&lt;9,OR(L1867=0,N1867&lt;6)),1,0)</x:f>
        <x:v>1</x:v>
      </x:c>
      <x:c r="Q1867" s="19" t="n">
        <x:f>IF(AND(SUM(K1867:M1867)&lt;9,OR(K1867=0,N1867&lt;6)),1,0)</x:f>
        <x:v>1</x:v>
      </x:c>
      <x:c r="R1867" s="22" t="str">
        <x:f>O1867&amp;P1867&amp;Q1867</x:f>
        <x:v>111</x:v>
      </x:c>
      <x:c r="S1867" s="19" t="n">
        <x:f>IF(I1867=1,IF(J1867=0,Q1867,IF(J1867=1,P1867,IF(J1867=2,O1867,0))),0)</x:f>
        <x:v>1</x:v>
      </x:c>
      <x:c r="T1867" s="19" t="n">
        <x:f>K1867+IF(AND(S1867=1,J1867=0),1,0)</x:f>
        <x:v>2</x:v>
      </x:c>
      <x:c r="U1867" s="19" t="n">
        <x:f>L1867+IF(AND(S1867=1,J1867=1),1,0)</x:f>
        <x:v>6</x:v>
      </x:c>
      <x:c r="V1867" s="19" t="n">
        <x:f>M1867+IF(AND(S1867=1,J1867=2),1,0)</x:f>
        <x:v>0</x:v>
      </x:c>
      <x:c r="W1867" s="19" t="n">
        <x:f>SUM(T1867:V1867)</x:f>
        <x:v>8</x:v>
      </x:c>
      <x:c r="X1867" s="19" t="n">
        <x:f>W1867-G1867</x:f>
        <x:v>0</x:v>
      </x:c>
      <x:c r="Y1867" s="19" t="n">
        <x:f>MAX(T1867,1)+MAX(U1867,1)+MAX(V1867,1)</x:f>
        <x:v>9</x:v>
      </x:c>
      <x:c r="Z1867" s="21" t="str">
        <x:f>IF(AND(MIN(D1867:F1867)&gt;=0,MAX(D1867:F1867)&lt;=7,MAX(D1867,1)+MAX(E1867,1)+MAX(F1867,1)&lt;=9,OR(H1867="-",AND(H1867=0,D1867&gt;0),AND(H1867=1,E1867&gt;0),AND(H1867=2,F1867&gt;0)),OR(I1867=0,AND(I1867=1,OR(J1867=0,J1867=1,J1867=2),R1867&lt;&gt;"000")),Y1867&lt;=9,MIN(T1867:V1867)&gt;=0),"合法","输入违约")</x:f>
        <x:v>合法</x:v>
      </x:c>
    </x:row>
    <x:row r="1868" ht="23" customHeight="1">
      <x:c r="A1868" s="3" t="str">
        <x:v>CT-1861</x:v>
      </x:c>
      <x:c r="B1868" s="3" t="str">
        <x:v>ST-148</x:v>
      </x:c>
      <x:c r="C1868" s="3" t="str">
        <x:v>R+AR同收同发</x:v>
      </x:c>
      <x:c r="D1868" s="25" t="n">
        <x:v>3</x:v>
      </x:c>
      <x:c r="E1868" s="25" t="n">
        <x:v>5</x:v>
      </x:c>
      <x:c r="F1868" s="25" t="n">
        <x:v>0</x:v>
      </x:c>
      <x:c r="G1868" s="19" t="n">
        <x:f>SUM(D1868:F1868)</x:f>
        <x:v>8</x:v>
      </x:c>
      <x:c r="H1868" s="25" t="n">
        <x:v>0</x:v>
      </x:c>
      <x:c r="I1868" s="25" t="n">
        <x:v>1</x:v>
      </x:c>
      <x:c r="J1868" s="25" t="n">
        <x:v>2</x:v>
      </x:c>
      <x:c r="K1868" s="19" t="n">
        <x:f>D1868-IF(H1868=0,1,0)</x:f>
        <x:v>2</x:v>
      </x:c>
      <x:c r="L1868" s="19" t="n">
        <x:f>E1868-IF(H1868=1,1,0)</x:f>
        <x:v>5</x:v>
      </x:c>
      <x:c r="M1868" s="19" t="n">
        <x:f>F1868-IF(H1868=2,1,0)</x:f>
        <x:v>0</x:v>
      </x:c>
      <x:c r="N1868" s="19" t="n">
        <x:f>MAX(K1868-1,0)+MAX(L1868-1,0)+MAX(M1868-1,0)</x:f>
        <x:v>5</x:v>
      </x:c>
      <x:c r="O1868" s="19" t="n">
        <x:f>IF(AND(SUM(K1868:M1868)&lt;9,OR(M1868=0,N1868&lt;6)),1,0)</x:f>
        <x:v>1</x:v>
      </x:c>
      <x:c r="P1868" s="19" t="n">
        <x:f>IF(AND(SUM(K1868:M1868)&lt;9,OR(L1868=0,N1868&lt;6)),1,0)</x:f>
        <x:v>1</x:v>
      </x:c>
      <x:c r="Q1868" s="19" t="n">
        <x:f>IF(AND(SUM(K1868:M1868)&lt;9,OR(K1868=0,N1868&lt;6)),1,0)</x:f>
        <x:v>1</x:v>
      </x:c>
      <x:c r="R1868" s="22" t="str">
        <x:f>O1868&amp;P1868&amp;Q1868</x:f>
        <x:v>111</x:v>
      </x:c>
      <x:c r="S1868" s="19" t="n">
        <x:f>IF(I1868=1,IF(J1868=0,Q1868,IF(J1868=1,P1868,IF(J1868=2,O1868,0))),0)</x:f>
        <x:v>1</x:v>
      </x:c>
      <x:c r="T1868" s="19" t="n">
        <x:f>K1868+IF(AND(S1868=1,J1868=0),1,0)</x:f>
        <x:v>2</x:v>
      </x:c>
      <x:c r="U1868" s="19" t="n">
        <x:f>L1868+IF(AND(S1868=1,J1868=1),1,0)</x:f>
        <x:v>5</x:v>
      </x:c>
      <x:c r="V1868" s="19" t="n">
        <x:f>M1868+IF(AND(S1868=1,J1868=2),1,0)</x:f>
        <x:v>1</x:v>
      </x:c>
      <x:c r="W1868" s="19" t="n">
        <x:f>SUM(T1868:V1868)</x:f>
        <x:v>8</x:v>
      </x:c>
      <x:c r="X1868" s="19" t="n">
        <x:f>W1868-G1868</x:f>
        <x:v>0</x:v>
      </x:c>
      <x:c r="Y1868" s="19" t="n">
        <x:f>MAX(T1868,1)+MAX(U1868,1)+MAX(V1868,1)</x:f>
        <x:v>8</x:v>
      </x:c>
      <x:c r="Z1868" s="21" t="str">
        <x:f>IF(AND(MIN(D1868:F1868)&gt;=0,MAX(D1868:F1868)&lt;=7,MAX(D1868,1)+MAX(E1868,1)+MAX(F1868,1)&lt;=9,OR(H1868="-",AND(H1868=0,D1868&gt;0),AND(H1868=1,E1868&gt;0),AND(H1868=2,F1868&gt;0)),OR(I1868=0,AND(I1868=1,OR(J1868=0,J1868=1,J1868=2),R1868&lt;&gt;"000")),Y1868&lt;=9,MIN(T1868:V1868)&gt;=0),"合法","输入违约")</x:f>
        <x:v>合法</x:v>
      </x:c>
    </x:row>
    <x:row r="1869" ht="23" customHeight="1">
      <x:c r="A1869" s="3" t="str">
        <x:v>CT-1862</x:v>
      </x:c>
      <x:c r="B1869" s="3" t="str">
        <x:v>ST-148</x:v>
      </x:c>
      <x:c r="C1869" s="3" t="str">
        <x:v>仅R回收</x:v>
      </x:c>
      <x:c r="D1869" s="25" t="n">
        <x:v>3</x:v>
      </x:c>
      <x:c r="E1869" s="25" t="n">
        <x:v>5</x:v>
      </x:c>
      <x:c r="F1869" s="25" t="n">
        <x:v>0</x:v>
      </x:c>
      <x:c r="G1869" s="19" t="n">
        <x:f>SUM(D1869:F1869)</x:f>
        <x:v>8</x:v>
      </x:c>
      <x:c r="H1869" s="25" t="n">
        <x:v>1</x:v>
      </x:c>
      <x:c r="I1869" s="25" t="n">
        <x:v>0</x:v>
      </x:c>
      <x:c r="J1869" s="25" t="str">
        <x:v>-</x:v>
      </x:c>
      <x:c r="K1869" s="19" t="n">
        <x:f>D1869-IF(H1869=0,1,0)</x:f>
        <x:v>3</x:v>
      </x:c>
      <x:c r="L1869" s="19" t="n">
        <x:f>E1869-IF(H1869=1,1,0)</x:f>
        <x:v>4</x:v>
      </x:c>
      <x:c r="M1869" s="19" t="n">
        <x:f>F1869-IF(H1869=2,1,0)</x:f>
        <x:v>0</x:v>
      </x:c>
      <x:c r="N1869" s="19" t="n">
        <x:f>MAX(K1869-1,0)+MAX(L1869-1,0)+MAX(M1869-1,0)</x:f>
        <x:v>5</x:v>
      </x:c>
      <x:c r="O1869" s="19" t="n">
        <x:f>IF(AND(SUM(K1869:M1869)&lt;9,OR(M1869=0,N1869&lt;6)),1,0)</x:f>
        <x:v>1</x:v>
      </x:c>
      <x:c r="P1869" s="19" t="n">
        <x:f>IF(AND(SUM(K1869:M1869)&lt;9,OR(L1869=0,N1869&lt;6)),1,0)</x:f>
        <x:v>1</x:v>
      </x:c>
      <x:c r="Q1869" s="19" t="n">
        <x:f>IF(AND(SUM(K1869:M1869)&lt;9,OR(K1869=0,N1869&lt;6)),1,0)</x:f>
        <x:v>1</x:v>
      </x:c>
      <x:c r="R1869" s="22" t="str">
        <x:f>O1869&amp;P1869&amp;Q1869</x:f>
        <x:v>111</x:v>
      </x:c>
      <x:c r="S1869" s="19" t="n">
        <x:f>IF(I1869=1,IF(J1869=0,Q1869,IF(J1869=1,P1869,IF(J1869=2,O1869,0))),0)</x:f>
        <x:v>0</x:v>
      </x:c>
      <x:c r="T1869" s="19" t="n">
        <x:f>K1869+IF(AND(S1869=1,J1869=0),1,0)</x:f>
        <x:v>3</x:v>
      </x:c>
      <x:c r="U1869" s="19" t="n">
        <x:f>L1869+IF(AND(S1869=1,J1869=1),1,0)</x:f>
        <x:v>4</x:v>
      </x:c>
      <x:c r="V1869" s="19" t="n">
        <x:f>M1869+IF(AND(S1869=1,J1869=2),1,0)</x:f>
        <x:v>0</x:v>
      </x:c>
      <x:c r="W1869" s="19" t="n">
        <x:f>SUM(T1869:V1869)</x:f>
        <x:v>7</x:v>
      </x:c>
      <x:c r="X1869" s="19" t="n">
        <x:f>W1869-G1869</x:f>
        <x:v>-1</x:v>
      </x:c>
      <x:c r="Y1869" s="19" t="n">
        <x:f>MAX(T1869,1)+MAX(U1869,1)+MAX(V1869,1)</x:f>
        <x:v>8</x:v>
      </x:c>
      <x:c r="Z1869" s="21" t="str">
        <x:f>IF(AND(MIN(D1869:F1869)&gt;=0,MAX(D1869:F1869)&lt;=7,MAX(D1869,1)+MAX(E1869,1)+MAX(F1869,1)&lt;=9,OR(H1869="-",AND(H1869=0,D1869&gt;0),AND(H1869=1,E1869&gt;0),AND(H1869=2,F1869&gt;0)),OR(I1869=0,AND(I1869=1,OR(J1869=0,J1869=1,J1869=2),R1869&lt;&gt;"000")),Y1869&lt;=9,MIN(T1869:V1869)&gt;=0),"合法","输入违约")</x:f>
        <x:v>合法</x:v>
      </x:c>
    </x:row>
    <x:row r="1870" ht="23" customHeight="1">
      <x:c r="A1870" s="3" t="str">
        <x:v>CT-1863</x:v>
      </x:c>
      <x:c r="B1870" s="3" t="str">
        <x:v>ST-148</x:v>
      </x:c>
      <x:c r="C1870" s="3" t="str">
        <x:v>R+AR同收同发</x:v>
      </x:c>
      <x:c r="D1870" s="25" t="n">
        <x:v>3</x:v>
      </x:c>
      <x:c r="E1870" s="25" t="n">
        <x:v>5</x:v>
      </x:c>
      <x:c r="F1870" s="25" t="n">
        <x:v>0</x:v>
      </x:c>
      <x:c r="G1870" s="19" t="n">
        <x:f>SUM(D1870:F1870)</x:f>
        <x:v>8</x:v>
      </x:c>
      <x:c r="H1870" s="25" t="n">
        <x:v>1</x:v>
      </x:c>
      <x:c r="I1870" s="25" t="n">
        <x:v>1</x:v>
      </x:c>
      <x:c r="J1870" s="25" t="n">
        <x:v>0</x:v>
      </x:c>
      <x:c r="K1870" s="19" t="n">
        <x:f>D1870-IF(H1870=0,1,0)</x:f>
        <x:v>3</x:v>
      </x:c>
      <x:c r="L1870" s="19" t="n">
        <x:f>E1870-IF(H1870=1,1,0)</x:f>
        <x:v>4</x:v>
      </x:c>
      <x:c r="M1870" s="19" t="n">
        <x:f>F1870-IF(H1870=2,1,0)</x:f>
        <x:v>0</x:v>
      </x:c>
      <x:c r="N1870" s="19" t="n">
        <x:f>MAX(K1870-1,0)+MAX(L1870-1,0)+MAX(M1870-1,0)</x:f>
        <x:v>5</x:v>
      </x:c>
      <x:c r="O1870" s="19" t="n">
        <x:f>IF(AND(SUM(K1870:M1870)&lt;9,OR(M1870=0,N1870&lt;6)),1,0)</x:f>
        <x:v>1</x:v>
      </x:c>
      <x:c r="P1870" s="19" t="n">
        <x:f>IF(AND(SUM(K1870:M1870)&lt;9,OR(L1870=0,N1870&lt;6)),1,0)</x:f>
        <x:v>1</x:v>
      </x:c>
      <x:c r="Q1870" s="19" t="n">
        <x:f>IF(AND(SUM(K1870:M1870)&lt;9,OR(K1870=0,N1870&lt;6)),1,0)</x:f>
        <x:v>1</x:v>
      </x:c>
      <x:c r="R1870" s="22" t="str">
        <x:f>O1870&amp;P1870&amp;Q1870</x:f>
        <x:v>111</x:v>
      </x:c>
      <x:c r="S1870" s="19" t="n">
        <x:f>IF(I1870=1,IF(J1870=0,Q1870,IF(J1870=1,P1870,IF(J1870=2,O1870,0))),0)</x:f>
        <x:v>1</x:v>
      </x:c>
      <x:c r="T1870" s="19" t="n">
        <x:f>K1870+IF(AND(S1870=1,J1870=0),1,0)</x:f>
        <x:v>4</x:v>
      </x:c>
      <x:c r="U1870" s="19" t="n">
        <x:f>L1870+IF(AND(S1870=1,J1870=1),1,0)</x:f>
        <x:v>4</x:v>
      </x:c>
      <x:c r="V1870" s="19" t="n">
        <x:f>M1870+IF(AND(S1870=1,J1870=2),1,0)</x:f>
        <x:v>0</x:v>
      </x:c>
      <x:c r="W1870" s="19" t="n">
        <x:f>SUM(T1870:V1870)</x:f>
        <x:v>8</x:v>
      </x:c>
      <x:c r="X1870" s="19" t="n">
        <x:f>W1870-G1870</x:f>
        <x:v>0</x:v>
      </x:c>
      <x:c r="Y1870" s="19" t="n">
        <x:f>MAX(T1870,1)+MAX(U1870,1)+MAX(V1870,1)</x:f>
        <x:v>9</x:v>
      </x:c>
      <x:c r="Z1870" s="21" t="str">
        <x:f>IF(AND(MIN(D1870:F1870)&gt;=0,MAX(D1870:F1870)&lt;=7,MAX(D1870,1)+MAX(E1870,1)+MAX(F1870,1)&lt;=9,OR(H1870="-",AND(H1870=0,D1870&gt;0),AND(H1870=1,E1870&gt;0),AND(H1870=2,F1870&gt;0)),OR(I1870=0,AND(I1870=1,OR(J1870=0,J1870=1,J1870=2),R1870&lt;&gt;"000")),Y1870&lt;=9,MIN(T1870:V1870)&gt;=0),"合法","输入违约")</x:f>
        <x:v>合法</x:v>
      </x:c>
    </x:row>
    <x:row r="1871" ht="23" customHeight="1">
      <x:c r="A1871" s="3" t="str">
        <x:v>CT-1864</x:v>
      </x:c>
      <x:c r="B1871" s="3" t="str">
        <x:v>ST-148</x:v>
      </x:c>
      <x:c r="C1871" s="3" t="str">
        <x:v>R+AR同收同发</x:v>
      </x:c>
      <x:c r="D1871" s="25" t="n">
        <x:v>3</x:v>
      </x:c>
      <x:c r="E1871" s="25" t="n">
        <x:v>5</x:v>
      </x:c>
      <x:c r="F1871" s="25" t="n">
        <x:v>0</x:v>
      </x:c>
      <x:c r="G1871" s="19" t="n">
        <x:f>SUM(D1871:F1871)</x:f>
        <x:v>8</x:v>
      </x:c>
      <x:c r="H1871" s="25" t="n">
        <x:v>1</x:v>
      </x:c>
      <x:c r="I1871" s="25" t="n">
        <x:v>1</x:v>
      </x:c>
      <x:c r="J1871" s="25" t="n">
        <x:v>1</x:v>
      </x:c>
      <x:c r="K1871" s="19" t="n">
        <x:f>D1871-IF(H1871=0,1,0)</x:f>
        <x:v>3</x:v>
      </x:c>
      <x:c r="L1871" s="19" t="n">
        <x:f>E1871-IF(H1871=1,1,0)</x:f>
        <x:v>4</x:v>
      </x:c>
      <x:c r="M1871" s="19" t="n">
        <x:f>F1871-IF(H1871=2,1,0)</x:f>
        <x:v>0</x:v>
      </x:c>
      <x:c r="N1871" s="19" t="n">
        <x:f>MAX(K1871-1,0)+MAX(L1871-1,0)+MAX(M1871-1,0)</x:f>
        <x:v>5</x:v>
      </x:c>
      <x:c r="O1871" s="19" t="n">
        <x:f>IF(AND(SUM(K1871:M1871)&lt;9,OR(M1871=0,N1871&lt;6)),1,0)</x:f>
        <x:v>1</x:v>
      </x:c>
      <x:c r="P1871" s="19" t="n">
        <x:f>IF(AND(SUM(K1871:M1871)&lt;9,OR(L1871=0,N1871&lt;6)),1,0)</x:f>
        <x:v>1</x:v>
      </x:c>
      <x:c r="Q1871" s="19" t="n">
        <x:f>IF(AND(SUM(K1871:M1871)&lt;9,OR(K1871=0,N1871&lt;6)),1,0)</x:f>
        <x:v>1</x:v>
      </x:c>
      <x:c r="R1871" s="22" t="str">
        <x:f>O1871&amp;P1871&amp;Q1871</x:f>
        <x:v>111</x:v>
      </x:c>
      <x:c r="S1871" s="19" t="n">
        <x:f>IF(I1871=1,IF(J1871=0,Q1871,IF(J1871=1,P1871,IF(J1871=2,O1871,0))),0)</x:f>
        <x:v>1</x:v>
      </x:c>
      <x:c r="T1871" s="19" t="n">
        <x:f>K1871+IF(AND(S1871=1,J1871=0),1,0)</x:f>
        <x:v>3</x:v>
      </x:c>
      <x:c r="U1871" s="19" t="n">
        <x:f>L1871+IF(AND(S1871=1,J1871=1),1,0)</x:f>
        <x:v>5</x:v>
      </x:c>
      <x:c r="V1871" s="19" t="n">
        <x:f>M1871+IF(AND(S1871=1,J1871=2),1,0)</x:f>
        <x:v>0</x:v>
      </x:c>
      <x:c r="W1871" s="19" t="n">
        <x:f>SUM(T1871:V1871)</x:f>
        <x:v>8</x:v>
      </x:c>
      <x:c r="X1871" s="19" t="n">
        <x:f>W1871-G1871</x:f>
        <x:v>0</x:v>
      </x:c>
      <x:c r="Y1871" s="19" t="n">
        <x:f>MAX(T1871,1)+MAX(U1871,1)+MAX(V1871,1)</x:f>
        <x:v>9</x:v>
      </x:c>
      <x:c r="Z1871" s="21" t="str">
        <x:f>IF(AND(MIN(D1871:F1871)&gt;=0,MAX(D1871:F1871)&lt;=7,MAX(D1871,1)+MAX(E1871,1)+MAX(F1871,1)&lt;=9,OR(H1871="-",AND(H1871=0,D1871&gt;0),AND(H1871=1,E1871&gt;0),AND(H1871=2,F1871&gt;0)),OR(I1871=0,AND(I1871=1,OR(J1871=0,J1871=1,J1871=2),R1871&lt;&gt;"000")),Y1871&lt;=9,MIN(T1871:V1871)&gt;=0),"合法","输入违约")</x:f>
        <x:v>合法</x:v>
      </x:c>
    </x:row>
    <x:row r="1872" ht="23" customHeight="1">
      <x:c r="A1872" s="3" t="str">
        <x:v>CT-1865</x:v>
      </x:c>
      <x:c r="B1872" s="3" t="str">
        <x:v>ST-148</x:v>
      </x:c>
      <x:c r="C1872" s="3" t="str">
        <x:v>R+AR同收同发</x:v>
      </x:c>
      <x:c r="D1872" s="25" t="n">
        <x:v>3</x:v>
      </x:c>
      <x:c r="E1872" s="25" t="n">
        <x:v>5</x:v>
      </x:c>
      <x:c r="F1872" s="25" t="n">
        <x:v>0</x:v>
      </x:c>
      <x:c r="G1872" s="19" t="n">
        <x:f>SUM(D1872:F1872)</x:f>
        <x:v>8</x:v>
      </x:c>
      <x:c r="H1872" s="25" t="n">
        <x:v>1</x:v>
      </x:c>
      <x:c r="I1872" s="25" t="n">
        <x:v>1</x:v>
      </x:c>
      <x:c r="J1872" s="25" t="n">
        <x:v>2</x:v>
      </x:c>
      <x:c r="K1872" s="19" t="n">
        <x:f>D1872-IF(H1872=0,1,0)</x:f>
        <x:v>3</x:v>
      </x:c>
      <x:c r="L1872" s="19" t="n">
        <x:f>E1872-IF(H1872=1,1,0)</x:f>
        <x:v>4</x:v>
      </x:c>
      <x:c r="M1872" s="19" t="n">
        <x:f>F1872-IF(H1872=2,1,0)</x:f>
        <x:v>0</x:v>
      </x:c>
      <x:c r="N1872" s="19" t="n">
        <x:f>MAX(K1872-1,0)+MAX(L1872-1,0)+MAX(M1872-1,0)</x:f>
        <x:v>5</x:v>
      </x:c>
      <x:c r="O1872" s="19" t="n">
        <x:f>IF(AND(SUM(K1872:M1872)&lt;9,OR(M1872=0,N1872&lt;6)),1,0)</x:f>
        <x:v>1</x:v>
      </x:c>
      <x:c r="P1872" s="19" t="n">
        <x:f>IF(AND(SUM(K1872:M1872)&lt;9,OR(L1872=0,N1872&lt;6)),1,0)</x:f>
        <x:v>1</x:v>
      </x:c>
      <x:c r="Q1872" s="19" t="n">
        <x:f>IF(AND(SUM(K1872:M1872)&lt;9,OR(K1872=0,N1872&lt;6)),1,0)</x:f>
        <x:v>1</x:v>
      </x:c>
      <x:c r="R1872" s="22" t="str">
        <x:f>O1872&amp;P1872&amp;Q1872</x:f>
        <x:v>111</x:v>
      </x:c>
      <x:c r="S1872" s="19" t="n">
        <x:f>IF(I1872=1,IF(J1872=0,Q1872,IF(J1872=1,P1872,IF(J1872=2,O1872,0))),0)</x:f>
        <x:v>1</x:v>
      </x:c>
      <x:c r="T1872" s="19" t="n">
        <x:f>K1872+IF(AND(S1872=1,J1872=0),1,0)</x:f>
        <x:v>3</x:v>
      </x:c>
      <x:c r="U1872" s="19" t="n">
        <x:f>L1872+IF(AND(S1872=1,J1872=1),1,0)</x:f>
        <x:v>4</x:v>
      </x:c>
      <x:c r="V1872" s="19" t="n">
        <x:f>M1872+IF(AND(S1872=1,J1872=2),1,0)</x:f>
        <x:v>1</x:v>
      </x:c>
      <x:c r="W1872" s="19" t="n">
        <x:f>SUM(T1872:V1872)</x:f>
        <x:v>8</x:v>
      </x:c>
      <x:c r="X1872" s="19" t="n">
        <x:f>W1872-G1872</x:f>
        <x:v>0</x:v>
      </x:c>
      <x:c r="Y1872" s="19" t="n">
        <x:f>MAX(T1872,1)+MAX(U1872,1)+MAX(V1872,1)</x:f>
        <x:v>8</x:v>
      </x:c>
      <x:c r="Z1872" s="21" t="str">
        <x:f>IF(AND(MIN(D1872:F1872)&gt;=0,MAX(D1872:F1872)&lt;=7,MAX(D1872,1)+MAX(E1872,1)+MAX(F1872,1)&lt;=9,OR(H1872="-",AND(H1872=0,D1872&gt;0),AND(H1872=1,E1872&gt;0),AND(H1872=2,F1872&gt;0)),OR(I1872=0,AND(I1872=1,OR(J1872=0,J1872=1,J1872=2),R1872&lt;&gt;"000")),Y1872&lt;=9,MIN(T1872:V1872)&gt;=0),"合法","输入违约")</x:f>
        <x:v>合法</x:v>
      </x:c>
    </x:row>
    <x:row r="1873" ht="23" customHeight="1">
      <x:c r="A1873" s="3" t="str">
        <x:v>CT-1866</x:v>
      </x:c>
      <x:c r="B1873" s="3" t="str">
        <x:v>ST-180</x:v>
      </x:c>
      <x:c r="C1873" s="3" t="str">
        <x:v>无AR/R</x:v>
      </x:c>
      <x:c r="D1873" s="25" t="n">
        <x:v>3</x:v>
      </x:c>
      <x:c r="E1873" s="25" t="n">
        <x:v>5</x:v>
      </x:c>
      <x:c r="F1873" s="25" t="n">
        <x:v>1</x:v>
      </x:c>
      <x:c r="G1873" s="19" t="n">
        <x:f>SUM(D1873:F1873)</x:f>
        <x:v>9</x:v>
      </x:c>
      <x:c r="H1873" s="25" t="str">
        <x:v>-</x:v>
      </x:c>
      <x:c r="I1873" s="25" t="n">
        <x:v>0</x:v>
      </x:c>
      <x:c r="J1873" s="25" t="str">
        <x:v>-</x:v>
      </x:c>
      <x:c r="K1873" s="19" t="n">
        <x:f>D1873-IF(H1873=0,1,0)</x:f>
        <x:v>3</x:v>
      </x:c>
      <x:c r="L1873" s="19" t="n">
        <x:f>E1873-IF(H1873=1,1,0)</x:f>
        <x:v>5</x:v>
      </x:c>
      <x:c r="M1873" s="19" t="n">
        <x:f>F1873-IF(H1873=2,1,0)</x:f>
        <x:v>1</x:v>
      </x:c>
      <x:c r="N1873" s="19" t="n">
        <x:f>MAX(K1873-1,0)+MAX(L1873-1,0)+MAX(M1873-1,0)</x:f>
        <x:v>6</x:v>
      </x:c>
      <x:c r="O1873" s="19" t="n">
        <x:f>IF(AND(SUM(K1873:M1873)&lt;9,OR(M1873=0,N1873&lt;6)),1,0)</x:f>
        <x:v>0</x:v>
      </x:c>
      <x:c r="P1873" s="19" t="n">
        <x:f>IF(AND(SUM(K1873:M1873)&lt;9,OR(L1873=0,N1873&lt;6)),1,0)</x:f>
        <x:v>0</x:v>
      </x:c>
      <x:c r="Q1873" s="19" t="n">
        <x:f>IF(AND(SUM(K1873:M1873)&lt;9,OR(K1873=0,N1873&lt;6)),1,0)</x:f>
        <x:v>0</x:v>
      </x:c>
      <x:c r="R1873" s="22" t="str">
        <x:f>O1873&amp;P1873&amp;Q1873</x:f>
        <x:v>000</x:v>
      </x:c>
      <x:c r="S1873" s="19" t="n">
        <x:f>IF(I1873=1,IF(J1873=0,Q1873,IF(J1873=1,P1873,IF(J1873=2,O1873,0))),0)</x:f>
        <x:v>0</x:v>
      </x:c>
      <x:c r="T1873" s="19" t="n">
        <x:f>K1873+IF(AND(S1873=1,J1873=0),1,0)</x:f>
        <x:v>3</x:v>
      </x:c>
      <x:c r="U1873" s="19" t="n">
        <x:f>L1873+IF(AND(S1873=1,J1873=1),1,0)</x:f>
        <x:v>5</x:v>
      </x:c>
      <x:c r="V1873" s="19" t="n">
        <x:f>M1873+IF(AND(S1873=1,J1873=2),1,0)</x:f>
        <x:v>1</x:v>
      </x:c>
      <x:c r="W1873" s="19" t="n">
        <x:f>SUM(T1873:V1873)</x:f>
        <x:v>9</x:v>
      </x:c>
      <x:c r="X1873" s="19" t="n">
        <x:f>W1873-G1873</x:f>
        <x:v>0</x:v>
      </x:c>
      <x:c r="Y1873" s="19" t="n">
        <x:f>MAX(T1873,1)+MAX(U1873,1)+MAX(V1873,1)</x:f>
        <x:v>9</x:v>
      </x:c>
      <x:c r="Z1873" s="21" t="str">
        <x:f>IF(AND(MIN(D1873:F1873)&gt;=0,MAX(D1873:F1873)&lt;=7,MAX(D1873,1)+MAX(E1873,1)+MAX(F1873,1)&lt;=9,OR(H1873="-",AND(H1873=0,D1873&gt;0),AND(H1873=1,E1873&gt;0),AND(H1873=2,F1873&gt;0)),OR(I1873=0,AND(I1873=1,OR(J1873=0,J1873=1,J1873=2),R1873&lt;&gt;"000")),Y1873&lt;=9,MIN(T1873:V1873)&gt;=0),"合法","输入违约")</x:f>
        <x:v>合法</x:v>
      </x:c>
    </x:row>
    <x:row r="1874" ht="23" customHeight="1">
      <x:c r="A1874" s="3" t="str">
        <x:v>CT-1867</x:v>
      </x:c>
      <x:c r="B1874" s="3" t="str">
        <x:v>ST-180</x:v>
      </x:c>
      <x:c r="C1874" s="3" t="str">
        <x:v>仅R回收</x:v>
      </x:c>
      <x:c r="D1874" s="25" t="n">
        <x:v>3</x:v>
      </x:c>
      <x:c r="E1874" s="25" t="n">
        <x:v>5</x:v>
      </x:c>
      <x:c r="F1874" s="25" t="n">
        <x:v>1</x:v>
      </x:c>
      <x:c r="G1874" s="19" t="n">
        <x:f>SUM(D1874:F1874)</x:f>
        <x:v>9</x:v>
      </x:c>
      <x:c r="H1874" s="25" t="n">
        <x:v>0</x:v>
      </x:c>
      <x:c r="I1874" s="25" t="n">
        <x:v>0</x:v>
      </x:c>
      <x:c r="J1874" s="25" t="str">
        <x:v>-</x:v>
      </x:c>
      <x:c r="K1874" s="19" t="n">
        <x:f>D1874-IF(H1874=0,1,0)</x:f>
        <x:v>2</x:v>
      </x:c>
      <x:c r="L1874" s="19" t="n">
        <x:f>E1874-IF(H1874=1,1,0)</x:f>
        <x:v>5</x:v>
      </x:c>
      <x:c r="M1874" s="19" t="n">
        <x:f>F1874-IF(H1874=2,1,0)</x:f>
        <x:v>1</x:v>
      </x:c>
      <x:c r="N1874" s="19" t="n">
        <x:f>MAX(K1874-1,0)+MAX(L1874-1,0)+MAX(M1874-1,0)</x:f>
        <x:v>5</x:v>
      </x:c>
      <x:c r="O1874" s="19" t="n">
        <x:f>IF(AND(SUM(K1874:M1874)&lt;9,OR(M1874=0,N1874&lt;6)),1,0)</x:f>
        <x:v>1</x:v>
      </x:c>
      <x:c r="P1874" s="19" t="n">
        <x:f>IF(AND(SUM(K1874:M1874)&lt;9,OR(L1874=0,N1874&lt;6)),1,0)</x:f>
        <x:v>1</x:v>
      </x:c>
      <x:c r="Q1874" s="19" t="n">
        <x:f>IF(AND(SUM(K1874:M1874)&lt;9,OR(K1874=0,N1874&lt;6)),1,0)</x:f>
        <x:v>1</x:v>
      </x:c>
      <x:c r="R1874" s="22" t="str">
        <x:f>O1874&amp;P1874&amp;Q1874</x:f>
        <x:v>111</x:v>
      </x:c>
      <x:c r="S1874" s="19" t="n">
        <x:f>IF(I1874=1,IF(J1874=0,Q1874,IF(J1874=1,P1874,IF(J1874=2,O1874,0))),0)</x:f>
        <x:v>0</x:v>
      </x:c>
      <x:c r="T1874" s="19" t="n">
        <x:f>K1874+IF(AND(S1874=1,J1874=0),1,0)</x:f>
        <x:v>2</x:v>
      </x:c>
      <x:c r="U1874" s="19" t="n">
        <x:f>L1874+IF(AND(S1874=1,J1874=1),1,0)</x:f>
        <x:v>5</x:v>
      </x:c>
      <x:c r="V1874" s="19" t="n">
        <x:f>M1874+IF(AND(S1874=1,J1874=2),1,0)</x:f>
        <x:v>1</x:v>
      </x:c>
      <x:c r="W1874" s="19" t="n">
        <x:f>SUM(T1874:V1874)</x:f>
        <x:v>8</x:v>
      </x:c>
      <x:c r="X1874" s="19" t="n">
        <x:f>W1874-G1874</x:f>
        <x:v>-1</x:v>
      </x:c>
      <x:c r="Y1874" s="19" t="n">
        <x:f>MAX(T1874,1)+MAX(U1874,1)+MAX(V1874,1)</x:f>
        <x:v>8</x:v>
      </x:c>
      <x:c r="Z1874" s="21" t="str">
        <x:f>IF(AND(MIN(D1874:F1874)&gt;=0,MAX(D1874:F1874)&lt;=7,MAX(D1874,1)+MAX(E1874,1)+MAX(F1874,1)&lt;=9,OR(H1874="-",AND(H1874=0,D1874&gt;0),AND(H1874=1,E1874&gt;0),AND(H1874=2,F1874&gt;0)),OR(I1874=0,AND(I1874=1,OR(J1874=0,J1874=1,J1874=2),R1874&lt;&gt;"000")),Y1874&lt;=9,MIN(T1874:V1874)&gt;=0),"合法","输入违约")</x:f>
        <x:v>合法</x:v>
      </x:c>
    </x:row>
    <x:row r="1875" ht="23" customHeight="1">
      <x:c r="A1875" s="3" t="str">
        <x:v>CT-1868</x:v>
      </x:c>
      <x:c r="B1875" s="3" t="str">
        <x:v>ST-180</x:v>
      </x:c>
      <x:c r="C1875" s="3" t="str">
        <x:v>R+AR同收同发</x:v>
      </x:c>
      <x:c r="D1875" s="25" t="n">
        <x:v>3</x:v>
      </x:c>
      <x:c r="E1875" s="25" t="n">
        <x:v>5</x:v>
      </x:c>
      <x:c r="F1875" s="25" t="n">
        <x:v>1</x:v>
      </x:c>
      <x:c r="G1875" s="19" t="n">
        <x:f>SUM(D1875:F1875)</x:f>
        <x:v>9</x:v>
      </x:c>
      <x:c r="H1875" s="25" t="n">
        <x:v>0</x:v>
      </x:c>
      <x:c r="I1875" s="25" t="n">
        <x:v>1</x:v>
      </x:c>
      <x:c r="J1875" s="25" t="n">
        <x:v>0</x:v>
      </x:c>
      <x:c r="K1875" s="19" t="n">
        <x:f>D1875-IF(H1875=0,1,0)</x:f>
        <x:v>2</x:v>
      </x:c>
      <x:c r="L1875" s="19" t="n">
        <x:f>E1875-IF(H1875=1,1,0)</x:f>
        <x:v>5</x:v>
      </x:c>
      <x:c r="M1875" s="19" t="n">
        <x:f>F1875-IF(H1875=2,1,0)</x:f>
        <x:v>1</x:v>
      </x:c>
      <x:c r="N1875" s="19" t="n">
        <x:f>MAX(K1875-1,0)+MAX(L1875-1,0)+MAX(M1875-1,0)</x:f>
        <x:v>5</x:v>
      </x:c>
      <x:c r="O1875" s="19" t="n">
        <x:f>IF(AND(SUM(K1875:M1875)&lt;9,OR(M1875=0,N1875&lt;6)),1,0)</x:f>
        <x:v>1</x:v>
      </x:c>
      <x:c r="P1875" s="19" t="n">
        <x:f>IF(AND(SUM(K1875:M1875)&lt;9,OR(L1875=0,N1875&lt;6)),1,0)</x:f>
        <x:v>1</x:v>
      </x:c>
      <x:c r="Q1875" s="19" t="n">
        <x:f>IF(AND(SUM(K1875:M1875)&lt;9,OR(K1875=0,N1875&lt;6)),1,0)</x:f>
        <x:v>1</x:v>
      </x:c>
      <x:c r="R1875" s="22" t="str">
        <x:f>O1875&amp;P1875&amp;Q1875</x:f>
        <x:v>111</x:v>
      </x:c>
      <x:c r="S1875" s="19" t="n">
        <x:f>IF(I1875=1,IF(J1875=0,Q1875,IF(J1875=1,P1875,IF(J1875=2,O1875,0))),0)</x:f>
        <x:v>1</x:v>
      </x:c>
      <x:c r="T1875" s="19" t="n">
        <x:f>K1875+IF(AND(S1875=1,J1875=0),1,0)</x:f>
        <x:v>3</x:v>
      </x:c>
      <x:c r="U1875" s="19" t="n">
        <x:f>L1875+IF(AND(S1875=1,J1875=1),1,0)</x:f>
        <x:v>5</x:v>
      </x:c>
      <x:c r="V1875" s="19" t="n">
        <x:f>M1875+IF(AND(S1875=1,J1875=2),1,0)</x:f>
        <x:v>1</x:v>
      </x:c>
      <x:c r="W1875" s="19" t="n">
        <x:f>SUM(T1875:V1875)</x:f>
        <x:v>9</x:v>
      </x:c>
      <x:c r="X1875" s="19" t="n">
        <x:f>W1875-G1875</x:f>
        <x:v>0</x:v>
      </x:c>
      <x:c r="Y1875" s="19" t="n">
        <x:f>MAX(T1875,1)+MAX(U1875,1)+MAX(V1875,1)</x:f>
        <x:v>9</x:v>
      </x:c>
      <x:c r="Z1875" s="21" t="str">
        <x:f>IF(AND(MIN(D1875:F1875)&gt;=0,MAX(D1875:F1875)&lt;=7,MAX(D1875,1)+MAX(E1875,1)+MAX(F1875,1)&lt;=9,OR(H1875="-",AND(H1875=0,D1875&gt;0),AND(H1875=1,E1875&gt;0),AND(H1875=2,F1875&gt;0)),OR(I1875=0,AND(I1875=1,OR(J1875=0,J1875=1,J1875=2),R1875&lt;&gt;"000")),Y1875&lt;=9,MIN(T1875:V1875)&gt;=0),"合法","输入违约")</x:f>
        <x:v>合法</x:v>
      </x:c>
    </x:row>
    <x:row r="1876" ht="23" customHeight="1">
      <x:c r="A1876" s="3" t="str">
        <x:v>CT-1869</x:v>
      </x:c>
      <x:c r="B1876" s="3" t="str">
        <x:v>ST-180</x:v>
      </x:c>
      <x:c r="C1876" s="3" t="str">
        <x:v>R+AR同收同发</x:v>
      </x:c>
      <x:c r="D1876" s="25" t="n">
        <x:v>3</x:v>
      </x:c>
      <x:c r="E1876" s="25" t="n">
        <x:v>5</x:v>
      </x:c>
      <x:c r="F1876" s="25" t="n">
        <x:v>1</x:v>
      </x:c>
      <x:c r="G1876" s="19" t="n">
        <x:f>SUM(D1876:F1876)</x:f>
        <x:v>9</x:v>
      </x:c>
      <x:c r="H1876" s="25" t="n">
        <x:v>0</x:v>
      </x:c>
      <x:c r="I1876" s="25" t="n">
        <x:v>1</x:v>
      </x:c>
      <x:c r="J1876" s="25" t="n">
        <x:v>1</x:v>
      </x:c>
      <x:c r="K1876" s="19" t="n">
        <x:f>D1876-IF(H1876=0,1,0)</x:f>
        <x:v>2</x:v>
      </x:c>
      <x:c r="L1876" s="19" t="n">
        <x:f>E1876-IF(H1876=1,1,0)</x:f>
        <x:v>5</x:v>
      </x:c>
      <x:c r="M1876" s="19" t="n">
        <x:f>F1876-IF(H1876=2,1,0)</x:f>
        <x:v>1</x:v>
      </x:c>
      <x:c r="N1876" s="19" t="n">
        <x:f>MAX(K1876-1,0)+MAX(L1876-1,0)+MAX(M1876-1,0)</x:f>
        <x:v>5</x:v>
      </x:c>
      <x:c r="O1876" s="19" t="n">
        <x:f>IF(AND(SUM(K1876:M1876)&lt;9,OR(M1876=0,N1876&lt;6)),1,0)</x:f>
        <x:v>1</x:v>
      </x:c>
      <x:c r="P1876" s="19" t="n">
        <x:f>IF(AND(SUM(K1876:M1876)&lt;9,OR(L1876=0,N1876&lt;6)),1,0)</x:f>
        <x:v>1</x:v>
      </x:c>
      <x:c r="Q1876" s="19" t="n">
        <x:f>IF(AND(SUM(K1876:M1876)&lt;9,OR(K1876=0,N1876&lt;6)),1,0)</x:f>
        <x:v>1</x:v>
      </x:c>
      <x:c r="R1876" s="22" t="str">
        <x:f>O1876&amp;P1876&amp;Q1876</x:f>
        <x:v>111</x:v>
      </x:c>
      <x:c r="S1876" s="19" t="n">
        <x:f>IF(I1876=1,IF(J1876=0,Q1876,IF(J1876=1,P1876,IF(J1876=2,O1876,0))),0)</x:f>
        <x:v>1</x:v>
      </x:c>
      <x:c r="T1876" s="19" t="n">
        <x:f>K1876+IF(AND(S1876=1,J1876=0),1,0)</x:f>
        <x:v>2</x:v>
      </x:c>
      <x:c r="U1876" s="19" t="n">
        <x:f>L1876+IF(AND(S1876=1,J1876=1),1,0)</x:f>
        <x:v>6</x:v>
      </x:c>
      <x:c r="V1876" s="19" t="n">
        <x:f>M1876+IF(AND(S1876=1,J1876=2),1,0)</x:f>
        <x:v>1</x:v>
      </x:c>
      <x:c r="W1876" s="19" t="n">
        <x:f>SUM(T1876:V1876)</x:f>
        <x:v>9</x:v>
      </x:c>
      <x:c r="X1876" s="19" t="n">
        <x:f>W1876-G1876</x:f>
        <x:v>0</x:v>
      </x:c>
      <x:c r="Y1876" s="19" t="n">
        <x:f>MAX(T1876,1)+MAX(U1876,1)+MAX(V1876,1)</x:f>
        <x:v>9</x:v>
      </x:c>
      <x:c r="Z1876" s="21" t="str">
        <x:f>IF(AND(MIN(D1876:F1876)&gt;=0,MAX(D1876:F1876)&lt;=7,MAX(D1876,1)+MAX(E1876,1)+MAX(F1876,1)&lt;=9,OR(H1876="-",AND(H1876=0,D1876&gt;0),AND(H1876=1,E1876&gt;0),AND(H1876=2,F1876&gt;0)),OR(I1876=0,AND(I1876=1,OR(J1876=0,J1876=1,J1876=2),R1876&lt;&gt;"000")),Y1876&lt;=9,MIN(T1876:V1876)&gt;=0),"合法","输入违约")</x:f>
        <x:v>合法</x:v>
      </x:c>
    </x:row>
    <x:row r="1877" ht="23" customHeight="1">
      <x:c r="A1877" s="3" t="str">
        <x:v>CT-1870</x:v>
      </x:c>
      <x:c r="B1877" s="3" t="str">
        <x:v>ST-180</x:v>
      </x:c>
      <x:c r="C1877" s="3" t="str">
        <x:v>R+AR同收同发</x:v>
      </x:c>
      <x:c r="D1877" s="25" t="n">
        <x:v>3</x:v>
      </x:c>
      <x:c r="E1877" s="25" t="n">
        <x:v>5</x:v>
      </x:c>
      <x:c r="F1877" s="25" t="n">
        <x:v>1</x:v>
      </x:c>
      <x:c r="G1877" s="19" t="n">
        <x:f>SUM(D1877:F1877)</x:f>
        <x:v>9</x:v>
      </x:c>
      <x:c r="H1877" s="25" t="n">
        <x:v>0</x:v>
      </x:c>
      <x:c r="I1877" s="25" t="n">
        <x:v>1</x:v>
      </x:c>
      <x:c r="J1877" s="25" t="n">
        <x:v>2</x:v>
      </x:c>
      <x:c r="K1877" s="19" t="n">
        <x:f>D1877-IF(H1877=0,1,0)</x:f>
        <x:v>2</x:v>
      </x:c>
      <x:c r="L1877" s="19" t="n">
        <x:f>E1877-IF(H1877=1,1,0)</x:f>
        <x:v>5</x:v>
      </x:c>
      <x:c r="M1877" s="19" t="n">
        <x:f>F1877-IF(H1877=2,1,0)</x:f>
        <x:v>1</x:v>
      </x:c>
      <x:c r="N1877" s="19" t="n">
        <x:f>MAX(K1877-1,0)+MAX(L1877-1,0)+MAX(M1877-1,0)</x:f>
        <x:v>5</x:v>
      </x:c>
      <x:c r="O1877" s="19" t="n">
        <x:f>IF(AND(SUM(K1877:M1877)&lt;9,OR(M1877=0,N1877&lt;6)),1,0)</x:f>
        <x:v>1</x:v>
      </x:c>
      <x:c r="P1877" s="19" t="n">
        <x:f>IF(AND(SUM(K1877:M1877)&lt;9,OR(L1877=0,N1877&lt;6)),1,0)</x:f>
        <x:v>1</x:v>
      </x:c>
      <x:c r="Q1877" s="19" t="n">
        <x:f>IF(AND(SUM(K1877:M1877)&lt;9,OR(K1877=0,N1877&lt;6)),1,0)</x:f>
        <x:v>1</x:v>
      </x:c>
      <x:c r="R1877" s="22" t="str">
        <x:f>O1877&amp;P1877&amp;Q1877</x:f>
        <x:v>111</x:v>
      </x:c>
      <x:c r="S1877" s="19" t="n">
        <x:f>IF(I1877=1,IF(J1877=0,Q1877,IF(J1877=1,P1877,IF(J1877=2,O1877,0))),0)</x:f>
        <x:v>1</x:v>
      </x:c>
      <x:c r="T1877" s="19" t="n">
        <x:f>K1877+IF(AND(S1877=1,J1877=0),1,0)</x:f>
        <x:v>2</x:v>
      </x:c>
      <x:c r="U1877" s="19" t="n">
        <x:f>L1877+IF(AND(S1877=1,J1877=1),1,0)</x:f>
        <x:v>5</x:v>
      </x:c>
      <x:c r="V1877" s="19" t="n">
        <x:f>M1877+IF(AND(S1877=1,J1877=2),1,0)</x:f>
        <x:v>2</x:v>
      </x:c>
      <x:c r="W1877" s="19" t="n">
        <x:f>SUM(T1877:V1877)</x:f>
        <x:v>9</x:v>
      </x:c>
      <x:c r="X1877" s="19" t="n">
        <x:f>W1877-G1877</x:f>
        <x:v>0</x:v>
      </x:c>
      <x:c r="Y1877" s="19" t="n">
        <x:f>MAX(T1877,1)+MAX(U1877,1)+MAX(V1877,1)</x:f>
        <x:v>9</x:v>
      </x:c>
      <x:c r="Z1877" s="21" t="str">
        <x:f>IF(AND(MIN(D1877:F1877)&gt;=0,MAX(D1877:F1877)&lt;=7,MAX(D1877,1)+MAX(E1877,1)+MAX(F1877,1)&lt;=9,OR(H1877="-",AND(H1877=0,D1877&gt;0),AND(H1877=1,E1877&gt;0),AND(H1877=2,F1877&gt;0)),OR(I1877=0,AND(I1877=1,OR(J1877=0,J1877=1,J1877=2),R1877&lt;&gt;"000")),Y1877&lt;=9,MIN(T1877:V1877)&gt;=0),"合法","输入违约")</x:f>
        <x:v>合法</x:v>
      </x:c>
    </x:row>
    <x:row r="1878" ht="23" customHeight="1">
      <x:c r="A1878" s="3" t="str">
        <x:v>CT-1871</x:v>
      </x:c>
      <x:c r="B1878" s="3" t="str">
        <x:v>ST-180</x:v>
      </x:c>
      <x:c r="C1878" s="3" t="str">
        <x:v>仅R回收</x:v>
      </x:c>
      <x:c r="D1878" s="25" t="n">
        <x:v>3</x:v>
      </x:c>
      <x:c r="E1878" s="25" t="n">
        <x:v>5</x:v>
      </x:c>
      <x:c r="F1878" s="25" t="n">
        <x:v>1</x:v>
      </x:c>
      <x:c r="G1878" s="19" t="n">
        <x:f>SUM(D1878:F1878)</x:f>
        <x:v>9</x:v>
      </x:c>
      <x:c r="H1878" s="25" t="n">
        <x:v>1</x:v>
      </x:c>
      <x:c r="I1878" s="25" t="n">
        <x:v>0</x:v>
      </x:c>
      <x:c r="J1878" s="25" t="str">
        <x:v>-</x:v>
      </x:c>
      <x:c r="K1878" s="19" t="n">
        <x:f>D1878-IF(H1878=0,1,0)</x:f>
        <x:v>3</x:v>
      </x:c>
      <x:c r="L1878" s="19" t="n">
        <x:f>E1878-IF(H1878=1,1,0)</x:f>
        <x:v>4</x:v>
      </x:c>
      <x:c r="M1878" s="19" t="n">
        <x:f>F1878-IF(H1878=2,1,0)</x:f>
        <x:v>1</x:v>
      </x:c>
      <x:c r="N1878" s="19" t="n">
        <x:f>MAX(K1878-1,0)+MAX(L1878-1,0)+MAX(M1878-1,0)</x:f>
        <x:v>5</x:v>
      </x:c>
      <x:c r="O1878" s="19" t="n">
        <x:f>IF(AND(SUM(K1878:M1878)&lt;9,OR(M1878=0,N1878&lt;6)),1,0)</x:f>
        <x:v>1</x:v>
      </x:c>
      <x:c r="P1878" s="19" t="n">
        <x:f>IF(AND(SUM(K1878:M1878)&lt;9,OR(L1878=0,N1878&lt;6)),1,0)</x:f>
        <x:v>1</x:v>
      </x:c>
      <x:c r="Q1878" s="19" t="n">
        <x:f>IF(AND(SUM(K1878:M1878)&lt;9,OR(K1878=0,N1878&lt;6)),1,0)</x:f>
        <x:v>1</x:v>
      </x:c>
      <x:c r="R1878" s="22" t="str">
        <x:f>O1878&amp;P1878&amp;Q1878</x:f>
        <x:v>111</x:v>
      </x:c>
      <x:c r="S1878" s="19" t="n">
        <x:f>IF(I1878=1,IF(J1878=0,Q1878,IF(J1878=1,P1878,IF(J1878=2,O1878,0))),0)</x:f>
        <x:v>0</x:v>
      </x:c>
      <x:c r="T1878" s="19" t="n">
        <x:f>K1878+IF(AND(S1878=1,J1878=0),1,0)</x:f>
        <x:v>3</x:v>
      </x:c>
      <x:c r="U1878" s="19" t="n">
        <x:f>L1878+IF(AND(S1878=1,J1878=1),1,0)</x:f>
        <x:v>4</x:v>
      </x:c>
      <x:c r="V1878" s="19" t="n">
        <x:f>M1878+IF(AND(S1878=1,J1878=2),1,0)</x:f>
        <x:v>1</x:v>
      </x:c>
      <x:c r="W1878" s="19" t="n">
        <x:f>SUM(T1878:V1878)</x:f>
        <x:v>8</x:v>
      </x:c>
      <x:c r="X1878" s="19" t="n">
        <x:f>W1878-G1878</x:f>
        <x:v>-1</x:v>
      </x:c>
      <x:c r="Y1878" s="19" t="n">
        <x:f>MAX(T1878,1)+MAX(U1878,1)+MAX(V1878,1)</x:f>
        <x:v>8</x:v>
      </x:c>
      <x:c r="Z1878" s="21" t="str">
        <x:f>IF(AND(MIN(D1878:F1878)&gt;=0,MAX(D1878:F1878)&lt;=7,MAX(D1878,1)+MAX(E1878,1)+MAX(F1878,1)&lt;=9,OR(H1878="-",AND(H1878=0,D1878&gt;0),AND(H1878=1,E1878&gt;0),AND(H1878=2,F1878&gt;0)),OR(I1878=0,AND(I1878=1,OR(J1878=0,J1878=1,J1878=2),R1878&lt;&gt;"000")),Y1878&lt;=9,MIN(T1878:V1878)&gt;=0),"合法","输入违约")</x:f>
        <x:v>合法</x:v>
      </x:c>
    </x:row>
    <x:row r="1879" ht="23" customHeight="1">
      <x:c r="A1879" s="3" t="str">
        <x:v>CT-1872</x:v>
      </x:c>
      <x:c r="B1879" s="3" t="str">
        <x:v>ST-180</x:v>
      </x:c>
      <x:c r="C1879" s="3" t="str">
        <x:v>R+AR同收同发</x:v>
      </x:c>
      <x:c r="D1879" s="25" t="n">
        <x:v>3</x:v>
      </x:c>
      <x:c r="E1879" s="25" t="n">
        <x:v>5</x:v>
      </x:c>
      <x:c r="F1879" s="25" t="n">
        <x:v>1</x:v>
      </x:c>
      <x:c r="G1879" s="19" t="n">
        <x:f>SUM(D1879:F1879)</x:f>
        <x:v>9</x:v>
      </x:c>
      <x:c r="H1879" s="25" t="n">
        <x:v>1</x:v>
      </x:c>
      <x:c r="I1879" s="25" t="n">
        <x:v>1</x:v>
      </x:c>
      <x:c r="J1879" s="25" t="n">
        <x:v>0</x:v>
      </x:c>
      <x:c r="K1879" s="19" t="n">
        <x:f>D1879-IF(H1879=0,1,0)</x:f>
        <x:v>3</x:v>
      </x:c>
      <x:c r="L1879" s="19" t="n">
        <x:f>E1879-IF(H1879=1,1,0)</x:f>
        <x:v>4</x:v>
      </x:c>
      <x:c r="M1879" s="19" t="n">
        <x:f>F1879-IF(H1879=2,1,0)</x:f>
        <x:v>1</x:v>
      </x:c>
      <x:c r="N1879" s="19" t="n">
        <x:f>MAX(K1879-1,0)+MAX(L1879-1,0)+MAX(M1879-1,0)</x:f>
        <x:v>5</x:v>
      </x:c>
      <x:c r="O1879" s="19" t="n">
        <x:f>IF(AND(SUM(K1879:M1879)&lt;9,OR(M1879=0,N1879&lt;6)),1,0)</x:f>
        <x:v>1</x:v>
      </x:c>
      <x:c r="P1879" s="19" t="n">
        <x:f>IF(AND(SUM(K1879:M1879)&lt;9,OR(L1879=0,N1879&lt;6)),1,0)</x:f>
        <x:v>1</x:v>
      </x:c>
      <x:c r="Q1879" s="19" t="n">
        <x:f>IF(AND(SUM(K1879:M1879)&lt;9,OR(K1879=0,N1879&lt;6)),1,0)</x:f>
        <x:v>1</x:v>
      </x:c>
      <x:c r="R1879" s="22" t="str">
        <x:f>O1879&amp;P1879&amp;Q1879</x:f>
        <x:v>111</x:v>
      </x:c>
      <x:c r="S1879" s="19" t="n">
        <x:f>IF(I1879=1,IF(J1879=0,Q1879,IF(J1879=1,P1879,IF(J1879=2,O1879,0))),0)</x:f>
        <x:v>1</x:v>
      </x:c>
      <x:c r="T1879" s="19" t="n">
        <x:f>K1879+IF(AND(S1879=1,J1879=0),1,0)</x:f>
        <x:v>4</x:v>
      </x:c>
      <x:c r="U1879" s="19" t="n">
        <x:f>L1879+IF(AND(S1879=1,J1879=1),1,0)</x:f>
        <x:v>4</x:v>
      </x:c>
      <x:c r="V1879" s="19" t="n">
        <x:f>M1879+IF(AND(S1879=1,J1879=2),1,0)</x:f>
        <x:v>1</x:v>
      </x:c>
      <x:c r="W1879" s="19" t="n">
        <x:f>SUM(T1879:V1879)</x:f>
        <x:v>9</x:v>
      </x:c>
      <x:c r="X1879" s="19" t="n">
        <x:f>W1879-G1879</x:f>
        <x:v>0</x:v>
      </x:c>
      <x:c r="Y1879" s="19" t="n">
        <x:f>MAX(T1879,1)+MAX(U1879,1)+MAX(V1879,1)</x:f>
        <x:v>9</x:v>
      </x:c>
      <x:c r="Z1879" s="21" t="str">
        <x:f>IF(AND(MIN(D1879:F1879)&gt;=0,MAX(D1879:F1879)&lt;=7,MAX(D1879,1)+MAX(E1879,1)+MAX(F1879,1)&lt;=9,OR(H1879="-",AND(H1879=0,D1879&gt;0),AND(H1879=1,E1879&gt;0),AND(H1879=2,F1879&gt;0)),OR(I1879=0,AND(I1879=1,OR(J1879=0,J1879=1,J1879=2),R1879&lt;&gt;"000")),Y1879&lt;=9,MIN(T1879:V1879)&gt;=0),"合法","输入违约")</x:f>
        <x:v>合法</x:v>
      </x:c>
    </x:row>
    <x:row r="1880" ht="23" customHeight="1">
      <x:c r="A1880" s="3" t="str">
        <x:v>CT-1873</x:v>
      </x:c>
      <x:c r="B1880" s="3" t="str">
        <x:v>ST-180</x:v>
      </x:c>
      <x:c r="C1880" s="3" t="str">
        <x:v>R+AR同收同发</x:v>
      </x:c>
      <x:c r="D1880" s="25" t="n">
        <x:v>3</x:v>
      </x:c>
      <x:c r="E1880" s="25" t="n">
        <x:v>5</x:v>
      </x:c>
      <x:c r="F1880" s="25" t="n">
        <x:v>1</x:v>
      </x:c>
      <x:c r="G1880" s="19" t="n">
        <x:f>SUM(D1880:F1880)</x:f>
        <x:v>9</x:v>
      </x:c>
      <x:c r="H1880" s="25" t="n">
        <x:v>1</x:v>
      </x:c>
      <x:c r="I1880" s="25" t="n">
        <x:v>1</x:v>
      </x:c>
      <x:c r="J1880" s="25" t="n">
        <x:v>1</x:v>
      </x:c>
      <x:c r="K1880" s="19" t="n">
        <x:f>D1880-IF(H1880=0,1,0)</x:f>
        <x:v>3</x:v>
      </x:c>
      <x:c r="L1880" s="19" t="n">
        <x:f>E1880-IF(H1880=1,1,0)</x:f>
        <x:v>4</x:v>
      </x:c>
      <x:c r="M1880" s="19" t="n">
        <x:f>F1880-IF(H1880=2,1,0)</x:f>
        <x:v>1</x:v>
      </x:c>
      <x:c r="N1880" s="19" t="n">
        <x:f>MAX(K1880-1,0)+MAX(L1880-1,0)+MAX(M1880-1,0)</x:f>
        <x:v>5</x:v>
      </x:c>
      <x:c r="O1880" s="19" t="n">
        <x:f>IF(AND(SUM(K1880:M1880)&lt;9,OR(M1880=0,N1880&lt;6)),1,0)</x:f>
        <x:v>1</x:v>
      </x:c>
      <x:c r="P1880" s="19" t="n">
        <x:f>IF(AND(SUM(K1880:M1880)&lt;9,OR(L1880=0,N1880&lt;6)),1,0)</x:f>
        <x:v>1</x:v>
      </x:c>
      <x:c r="Q1880" s="19" t="n">
        <x:f>IF(AND(SUM(K1880:M1880)&lt;9,OR(K1880=0,N1880&lt;6)),1,0)</x:f>
        <x:v>1</x:v>
      </x:c>
      <x:c r="R1880" s="22" t="str">
        <x:f>O1880&amp;P1880&amp;Q1880</x:f>
        <x:v>111</x:v>
      </x:c>
      <x:c r="S1880" s="19" t="n">
        <x:f>IF(I1880=1,IF(J1880=0,Q1880,IF(J1880=1,P1880,IF(J1880=2,O1880,0))),0)</x:f>
        <x:v>1</x:v>
      </x:c>
      <x:c r="T1880" s="19" t="n">
        <x:f>K1880+IF(AND(S1880=1,J1880=0),1,0)</x:f>
        <x:v>3</x:v>
      </x:c>
      <x:c r="U1880" s="19" t="n">
        <x:f>L1880+IF(AND(S1880=1,J1880=1),1,0)</x:f>
        <x:v>5</x:v>
      </x:c>
      <x:c r="V1880" s="19" t="n">
        <x:f>M1880+IF(AND(S1880=1,J1880=2),1,0)</x:f>
        <x:v>1</x:v>
      </x:c>
      <x:c r="W1880" s="19" t="n">
        <x:f>SUM(T1880:V1880)</x:f>
        <x:v>9</x:v>
      </x:c>
      <x:c r="X1880" s="19" t="n">
        <x:f>W1880-G1880</x:f>
        <x:v>0</x:v>
      </x:c>
      <x:c r="Y1880" s="19" t="n">
        <x:f>MAX(T1880,1)+MAX(U1880,1)+MAX(V1880,1)</x:f>
        <x:v>9</x:v>
      </x:c>
      <x:c r="Z1880" s="21" t="str">
        <x:f>IF(AND(MIN(D1880:F1880)&gt;=0,MAX(D1880:F1880)&lt;=7,MAX(D1880,1)+MAX(E1880,1)+MAX(F1880,1)&lt;=9,OR(H1880="-",AND(H1880=0,D1880&gt;0),AND(H1880=1,E1880&gt;0),AND(H1880=2,F1880&gt;0)),OR(I1880=0,AND(I1880=1,OR(J1880=0,J1880=1,J1880=2),R1880&lt;&gt;"000")),Y1880&lt;=9,MIN(T1880:V1880)&gt;=0),"合法","输入违约")</x:f>
        <x:v>合法</x:v>
      </x:c>
    </x:row>
    <x:row r="1881" ht="23" customHeight="1">
      <x:c r="A1881" s="3" t="str">
        <x:v>CT-1874</x:v>
      </x:c>
      <x:c r="B1881" s="3" t="str">
        <x:v>ST-180</x:v>
      </x:c>
      <x:c r="C1881" s="3" t="str">
        <x:v>R+AR同收同发</x:v>
      </x:c>
      <x:c r="D1881" s="25" t="n">
        <x:v>3</x:v>
      </x:c>
      <x:c r="E1881" s="25" t="n">
        <x:v>5</x:v>
      </x:c>
      <x:c r="F1881" s="25" t="n">
        <x:v>1</x:v>
      </x:c>
      <x:c r="G1881" s="19" t="n">
        <x:f>SUM(D1881:F1881)</x:f>
        <x:v>9</x:v>
      </x:c>
      <x:c r="H1881" s="25" t="n">
        <x:v>1</x:v>
      </x:c>
      <x:c r="I1881" s="25" t="n">
        <x:v>1</x:v>
      </x:c>
      <x:c r="J1881" s="25" t="n">
        <x:v>2</x:v>
      </x:c>
      <x:c r="K1881" s="19" t="n">
        <x:f>D1881-IF(H1881=0,1,0)</x:f>
        <x:v>3</x:v>
      </x:c>
      <x:c r="L1881" s="19" t="n">
        <x:f>E1881-IF(H1881=1,1,0)</x:f>
        <x:v>4</x:v>
      </x:c>
      <x:c r="M1881" s="19" t="n">
        <x:f>F1881-IF(H1881=2,1,0)</x:f>
        <x:v>1</x:v>
      </x:c>
      <x:c r="N1881" s="19" t="n">
        <x:f>MAX(K1881-1,0)+MAX(L1881-1,0)+MAX(M1881-1,0)</x:f>
        <x:v>5</x:v>
      </x:c>
      <x:c r="O1881" s="19" t="n">
        <x:f>IF(AND(SUM(K1881:M1881)&lt;9,OR(M1881=0,N1881&lt;6)),1,0)</x:f>
        <x:v>1</x:v>
      </x:c>
      <x:c r="P1881" s="19" t="n">
        <x:f>IF(AND(SUM(K1881:M1881)&lt;9,OR(L1881=0,N1881&lt;6)),1,0)</x:f>
        <x:v>1</x:v>
      </x:c>
      <x:c r="Q1881" s="19" t="n">
        <x:f>IF(AND(SUM(K1881:M1881)&lt;9,OR(K1881=0,N1881&lt;6)),1,0)</x:f>
        <x:v>1</x:v>
      </x:c>
      <x:c r="R1881" s="22" t="str">
        <x:f>O1881&amp;P1881&amp;Q1881</x:f>
        <x:v>111</x:v>
      </x:c>
      <x:c r="S1881" s="19" t="n">
        <x:f>IF(I1881=1,IF(J1881=0,Q1881,IF(J1881=1,P1881,IF(J1881=2,O1881,0))),0)</x:f>
        <x:v>1</x:v>
      </x:c>
      <x:c r="T1881" s="19" t="n">
        <x:f>K1881+IF(AND(S1881=1,J1881=0),1,0)</x:f>
        <x:v>3</x:v>
      </x:c>
      <x:c r="U1881" s="19" t="n">
        <x:f>L1881+IF(AND(S1881=1,J1881=1),1,0)</x:f>
        <x:v>4</x:v>
      </x:c>
      <x:c r="V1881" s="19" t="n">
        <x:f>M1881+IF(AND(S1881=1,J1881=2),1,0)</x:f>
        <x:v>2</x:v>
      </x:c>
      <x:c r="W1881" s="19" t="n">
        <x:f>SUM(T1881:V1881)</x:f>
        <x:v>9</x:v>
      </x:c>
      <x:c r="X1881" s="19" t="n">
        <x:f>W1881-G1881</x:f>
        <x:v>0</x:v>
      </x:c>
      <x:c r="Y1881" s="19" t="n">
        <x:f>MAX(T1881,1)+MAX(U1881,1)+MAX(V1881,1)</x:f>
        <x:v>9</x:v>
      </x:c>
      <x:c r="Z1881" s="21" t="str">
        <x:f>IF(AND(MIN(D1881:F1881)&gt;=0,MAX(D1881:F1881)&lt;=7,MAX(D1881,1)+MAX(E1881,1)+MAX(F1881,1)&lt;=9,OR(H1881="-",AND(H1881=0,D1881&gt;0),AND(H1881=1,E1881&gt;0),AND(H1881=2,F1881&gt;0)),OR(I1881=0,AND(I1881=1,OR(J1881=0,J1881=1,J1881=2),R1881&lt;&gt;"000")),Y1881&lt;=9,MIN(T1881:V1881)&gt;=0),"合法","输入违约")</x:f>
        <x:v>合法</x:v>
      </x:c>
    </x:row>
    <x:row r="1882" ht="23" customHeight="1">
      <x:c r="A1882" s="3" t="str">
        <x:v>CT-1875</x:v>
      </x:c>
      <x:c r="B1882" s="3" t="str">
        <x:v>ST-180</x:v>
      </x:c>
      <x:c r="C1882" s="3" t="str">
        <x:v>仅R回收</x:v>
      </x:c>
      <x:c r="D1882" s="25" t="n">
        <x:v>3</x:v>
      </x:c>
      <x:c r="E1882" s="25" t="n">
        <x:v>5</x:v>
      </x:c>
      <x:c r="F1882" s="25" t="n">
        <x:v>1</x:v>
      </x:c>
      <x:c r="G1882" s="19" t="n">
        <x:f>SUM(D1882:F1882)</x:f>
        <x:v>9</x:v>
      </x:c>
      <x:c r="H1882" s="25" t="n">
        <x:v>2</x:v>
      </x:c>
      <x:c r="I1882" s="25" t="n">
        <x:v>0</x:v>
      </x:c>
      <x:c r="J1882" s="25" t="str">
        <x:v>-</x:v>
      </x:c>
      <x:c r="K1882" s="19" t="n">
        <x:f>D1882-IF(H1882=0,1,0)</x:f>
        <x:v>3</x:v>
      </x:c>
      <x:c r="L1882" s="19" t="n">
        <x:f>E1882-IF(H1882=1,1,0)</x:f>
        <x:v>5</x:v>
      </x:c>
      <x:c r="M1882" s="19" t="n">
        <x:f>F1882-IF(H1882=2,1,0)</x:f>
        <x:v>0</x:v>
      </x:c>
      <x:c r="N1882" s="19" t="n">
        <x:f>MAX(K1882-1,0)+MAX(L1882-1,0)+MAX(M1882-1,0)</x:f>
        <x:v>6</x:v>
      </x:c>
      <x:c r="O1882" s="19" t="n">
        <x:f>IF(AND(SUM(K1882:M1882)&lt;9,OR(M1882=0,N1882&lt;6)),1,0)</x:f>
        <x:v>1</x:v>
      </x:c>
      <x:c r="P1882" s="19" t="n">
        <x:f>IF(AND(SUM(K1882:M1882)&lt;9,OR(L1882=0,N1882&lt;6)),1,0)</x:f>
        <x:v>0</x:v>
      </x:c>
      <x:c r="Q1882" s="19" t="n">
        <x:f>IF(AND(SUM(K1882:M1882)&lt;9,OR(K1882=0,N1882&lt;6)),1,0)</x:f>
        <x:v>0</x:v>
      </x:c>
      <x:c r="R1882" s="22" t="str">
        <x:f>O1882&amp;P1882&amp;Q1882</x:f>
        <x:v>100</x:v>
      </x:c>
      <x:c r="S1882" s="19" t="n">
        <x:f>IF(I1882=1,IF(J1882=0,Q1882,IF(J1882=1,P1882,IF(J1882=2,O1882,0))),0)</x:f>
        <x:v>0</x:v>
      </x:c>
      <x:c r="T1882" s="19" t="n">
        <x:f>K1882+IF(AND(S1882=1,J1882=0),1,0)</x:f>
        <x:v>3</x:v>
      </x:c>
      <x:c r="U1882" s="19" t="n">
        <x:f>L1882+IF(AND(S1882=1,J1882=1),1,0)</x:f>
        <x:v>5</x:v>
      </x:c>
      <x:c r="V1882" s="19" t="n">
        <x:f>M1882+IF(AND(S1882=1,J1882=2),1,0)</x:f>
        <x:v>0</x:v>
      </x:c>
      <x:c r="W1882" s="19" t="n">
        <x:f>SUM(T1882:V1882)</x:f>
        <x:v>8</x:v>
      </x:c>
      <x:c r="X1882" s="19" t="n">
        <x:f>W1882-G1882</x:f>
        <x:v>-1</x:v>
      </x:c>
      <x:c r="Y1882" s="19" t="n">
        <x:f>MAX(T1882,1)+MAX(U1882,1)+MAX(V1882,1)</x:f>
        <x:v>9</x:v>
      </x:c>
      <x:c r="Z1882" s="21" t="str">
        <x:f>IF(AND(MIN(D1882:F1882)&gt;=0,MAX(D1882:F1882)&lt;=7,MAX(D1882,1)+MAX(E1882,1)+MAX(F1882,1)&lt;=9,OR(H1882="-",AND(H1882=0,D1882&gt;0),AND(H1882=1,E1882&gt;0),AND(H1882=2,F1882&gt;0)),OR(I1882=0,AND(I1882=1,OR(J1882=0,J1882=1,J1882=2),R1882&lt;&gt;"000")),Y1882&lt;=9,MIN(T1882:V1882)&gt;=0),"合法","输入违约")</x:f>
        <x:v>合法</x:v>
      </x:c>
    </x:row>
    <x:row r="1883" ht="23" customHeight="1">
      <x:c r="A1883" s="3" t="str">
        <x:v>CT-1876</x:v>
      </x:c>
      <x:c r="B1883" s="3" t="str">
        <x:v>ST-180</x:v>
      </x:c>
      <x:c r="C1883" s="3" t="str">
        <x:v>仅R回收</x:v>
      </x:c>
      <x:c r="D1883" s="25" t="n">
        <x:v>3</x:v>
      </x:c>
      <x:c r="E1883" s="25" t="n">
        <x:v>5</x:v>
      </x:c>
      <x:c r="F1883" s="25" t="n">
        <x:v>1</x:v>
      </x:c>
      <x:c r="G1883" s="19" t="n">
        <x:f>SUM(D1883:F1883)</x:f>
        <x:v>9</x:v>
      </x:c>
      <x:c r="H1883" s="25" t="n">
        <x:v>2</x:v>
      </x:c>
      <x:c r="I1883" s="25" t="n">
        <x:v>1</x:v>
      </x:c>
      <x:c r="J1883" s="25" t="n">
        <x:v>0</x:v>
      </x:c>
      <x:c r="K1883" s="19" t="n">
        <x:f>D1883-IF(H1883=0,1,0)</x:f>
        <x:v>3</x:v>
      </x:c>
      <x:c r="L1883" s="19" t="n">
        <x:f>E1883-IF(H1883=1,1,0)</x:f>
        <x:v>5</x:v>
      </x:c>
      <x:c r="M1883" s="19" t="n">
        <x:f>F1883-IF(H1883=2,1,0)</x:f>
        <x:v>0</x:v>
      </x:c>
      <x:c r="N1883" s="19" t="n">
        <x:f>MAX(K1883-1,0)+MAX(L1883-1,0)+MAX(M1883-1,0)</x:f>
        <x:v>6</x:v>
      </x:c>
      <x:c r="O1883" s="19" t="n">
        <x:f>IF(AND(SUM(K1883:M1883)&lt;9,OR(M1883=0,N1883&lt;6)),1,0)</x:f>
        <x:v>1</x:v>
      </x:c>
      <x:c r="P1883" s="19" t="n">
        <x:f>IF(AND(SUM(K1883:M1883)&lt;9,OR(L1883=0,N1883&lt;6)),1,0)</x:f>
        <x:v>0</x:v>
      </x:c>
      <x:c r="Q1883" s="19" t="n">
        <x:f>IF(AND(SUM(K1883:M1883)&lt;9,OR(K1883=0,N1883&lt;6)),1,0)</x:f>
        <x:v>0</x:v>
      </x:c>
      <x:c r="R1883" s="22" t="str">
        <x:f>O1883&amp;P1883&amp;Q1883</x:f>
        <x:v>100</x:v>
      </x:c>
      <x:c r="S1883" s="19" t="n">
        <x:f>IF(I1883=1,IF(J1883=0,Q1883,IF(J1883=1,P1883,IF(J1883=2,O1883,0))),0)</x:f>
        <x:v>0</x:v>
      </x:c>
      <x:c r="T1883" s="19" t="n">
        <x:f>K1883+IF(AND(S1883=1,J1883=0),1,0)</x:f>
        <x:v>3</x:v>
      </x:c>
      <x:c r="U1883" s="19" t="n">
        <x:f>L1883+IF(AND(S1883=1,J1883=1),1,0)</x:f>
        <x:v>5</x:v>
      </x:c>
      <x:c r="V1883" s="19" t="n">
        <x:f>M1883+IF(AND(S1883=1,J1883=2),1,0)</x:f>
        <x:v>0</x:v>
      </x:c>
      <x:c r="W1883" s="19" t="n">
        <x:f>SUM(T1883:V1883)</x:f>
        <x:v>8</x:v>
      </x:c>
      <x:c r="X1883" s="19" t="n">
        <x:f>W1883-G1883</x:f>
        <x:v>-1</x:v>
      </x:c>
      <x:c r="Y1883" s="19" t="n">
        <x:f>MAX(T1883,1)+MAX(U1883,1)+MAX(V1883,1)</x:f>
        <x:v>9</x:v>
      </x:c>
      <x:c r="Z1883" s="21" t="str">
        <x:f>IF(AND(MIN(D1883:F1883)&gt;=0,MAX(D1883:F1883)&lt;=7,MAX(D1883,1)+MAX(E1883,1)+MAX(F1883,1)&lt;=9,OR(H1883="-",AND(H1883=0,D1883&gt;0),AND(H1883=1,E1883&gt;0),AND(H1883=2,F1883&gt;0)),OR(I1883=0,AND(I1883=1,OR(J1883=0,J1883=1,J1883=2),R1883&lt;&gt;"000")),Y1883&lt;=9,MIN(T1883:V1883)&gt;=0),"合法","输入违约")</x:f>
        <x:v>合法</x:v>
      </x:c>
    </x:row>
    <x:row r="1884" ht="23" customHeight="1">
      <x:c r="A1884" s="3" t="str">
        <x:v>CT-1877</x:v>
      </x:c>
      <x:c r="B1884" s="3" t="str">
        <x:v>ST-180</x:v>
      </x:c>
      <x:c r="C1884" s="3" t="str">
        <x:v>仅R回收</x:v>
      </x:c>
      <x:c r="D1884" s="25" t="n">
        <x:v>3</x:v>
      </x:c>
      <x:c r="E1884" s="25" t="n">
        <x:v>5</x:v>
      </x:c>
      <x:c r="F1884" s="25" t="n">
        <x:v>1</x:v>
      </x:c>
      <x:c r="G1884" s="19" t="n">
        <x:f>SUM(D1884:F1884)</x:f>
        <x:v>9</x:v>
      </x:c>
      <x:c r="H1884" s="25" t="n">
        <x:v>2</x:v>
      </x:c>
      <x:c r="I1884" s="25" t="n">
        <x:v>1</x:v>
      </x:c>
      <x:c r="J1884" s="25" t="n">
        <x:v>1</x:v>
      </x:c>
      <x:c r="K1884" s="19" t="n">
        <x:f>D1884-IF(H1884=0,1,0)</x:f>
        <x:v>3</x:v>
      </x:c>
      <x:c r="L1884" s="19" t="n">
        <x:f>E1884-IF(H1884=1,1,0)</x:f>
        <x:v>5</x:v>
      </x:c>
      <x:c r="M1884" s="19" t="n">
        <x:f>F1884-IF(H1884=2,1,0)</x:f>
        <x:v>0</x:v>
      </x:c>
      <x:c r="N1884" s="19" t="n">
        <x:f>MAX(K1884-1,0)+MAX(L1884-1,0)+MAX(M1884-1,0)</x:f>
        <x:v>6</x:v>
      </x:c>
      <x:c r="O1884" s="19" t="n">
        <x:f>IF(AND(SUM(K1884:M1884)&lt;9,OR(M1884=0,N1884&lt;6)),1,0)</x:f>
        <x:v>1</x:v>
      </x:c>
      <x:c r="P1884" s="19" t="n">
        <x:f>IF(AND(SUM(K1884:M1884)&lt;9,OR(L1884=0,N1884&lt;6)),1,0)</x:f>
        <x:v>0</x:v>
      </x:c>
      <x:c r="Q1884" s="19" t="n">
        <x:f>IF(AND(SUM(K1884:M1884)&lt;9,OR(K1884=0,N1884&lt;6)),1,0)</x:f>
        <x:v>0</x:v>
      </x:c>
      <x:c r="R1884" s="22" t="str">
        <x:f>O1884&amp;P1884&amp;Q1884</x:f>
        <x:v>100</x:v>
      </x:c>
      <x:c r="S1884" s="19" t="n">
        <x:f>IF(I1884=1,IF(J1884=0,Q1884,IF(J1884=1,P1884,IF(J1884=2,O1884,0))),0)</x:f>
        <x:v>0</x:v>
      </x:c>
      <x:c r="T1884" s="19" t="n">
        <x:f>K1884+IF(AND(S1884=1,J1884=0),1,0)</x:f>
        <x:v>3</x:v>
      </x:c>
      <x:c r="U1884" s="19" t="n">
        <x:f>L1884+IF(AND(S1884=1,J1884=1),1,0)</x:f>
        <x:v>5</x:v>
      </x:c>
      <x:c r="V1884" s="19" t="n">
        <x:f>M1884+IF(AND(S1884=1,J1884=2),1,0)</x:f>
        <x:v>0</x:v>
      </x:c>
      <x:c r="W1884" s="19" t="n">
        <x:f>SUM(T1884:V1884)</x:f>
        <x:v>8</x:v>
      </x:c>
      <x:c r="X1884" s="19" t="n">
        <x:f>W1884-G1884</x:f>
        <x:v>-1</x:v>
      </x:c>
      <x:c r="Y1884" s="19" t="n">
        <x:f>MAX(T1884,1)+MAX(U1884,1)+MAX(V1884,1)</x:f>
        <x:v>9</x:v>
      </x:c>
      <x:c r="Z1884" s="21" t="str">
        <x:f>IF(AND(MIN(D1884:F1884)&gt;=0,MAX(D1884:F1884)&lt;=7,MAX(D1884,1)+MAX(E1884,1)+MAX(F1884,1)&lt;=9,OR(H1884="-",AND(H1884=0,D1884&gt;0),AND(H1884=1,E1884&gt;0),AND(H1884=2,F1884&gt;0)),OR(I1884=0,AND(I1884=1,OR(J1884=0,J1884=1,J1884=2),R1884&lt;&gt;"000")),Y1884&lt;=9,MIN(T1884:V1884)&gt;=0),"合法","输入违约")</x:f>
        <x:v>合法</x:v>
      </x:c>
    </x:row>
    <x:row r="1885" ht="23" customHeight="1">
      <x:c r="A1885" s="3" t="str">
        <x:v>CT-1878</x:v>
      </x:c>
      <x:c r="B1885" s="3" t="str">
        <x:v>ST-180</x:v>
      </x:c>
      <x:c r="C1885" s="3" t="str">
        <x:v>R+AR同收同发</x:v>
      </x:c>
      <x:c r="D1885" s="25" t="n">
        <x:v>3</x:v>
      </x:c>
      <x:c r="E1885" s="25" t="n">
        <x:v>5</x:v>
      </x:c>
      <x:c r="F1885" s="25" t="n">
        <x:v>1</x:v>
      </x:c>
      <x:c r="G1885" s="19" t="n">
        <x:f>SUM(D1885:F1885)</x:f>
        <x:v>9</x:v>
      </x:c>
      <x:c r="H1885" s="25" t="n">
        <x:v>2</x:v>
      </x:c>
      <x:c r="I1885" s="25" t="n">
        <x:v>1</x:v>
      </x:c>
      <x:c r="J1885" s="25" t="n">
        <x:v>2</x:v>
      </x:c>
      <x:c r="K1885" s="19" t="n">
        <x:f>D1885-IF(H1885=0,1,0)</x:f>
        <x:v>3</x:v>
      </x:c>
      <x:c r="L1885" s="19" t="n">
        <x:f>E1885-IF(H1885=1,1,0)</x:f>
        <x:v>5</x:v>
      </x:c>
      <x:c r="M1885" s="19" t="n">
        <x:f>F1885-IF(H1885=2,1,0)</x:f>
        <x:v>0</x:v>
      </x:c>
      <x:c r="N1885" s="19" t="n">
        <x:f>MAX(K1885-1,0)+MAX(L1885-1,0)+MAX(M1885-1,0)</x:f>
        <x:v>6</x:v>
      </x:c>
      <x:c r="O1885" s="19" t="n">
        <x:f>IF(AND(SUM(K1885:M1885)&lt;9,OR(M1885=0,N1885&lt;6)),1,0)</x:f>
        <x:v>1</x:v>
      </x:c>
      <x:c r="P1885" s="19" t="n">
        <x:f>IF(AND(SUM(K1885:M1885)&lt;9,OR(L1885=0,N1885&lt;6)),1,0)</x:f>
        <x:v>0</x:v>
      </x:c>
      <x:c r="Q1885" s="19" t="n">
        <x:f>IF(AND(SUM(K1885:M1885)&lt;9,OR(K1885=0,N1885&lt;6)),1,0)</x:f>
        <x:v>0</x:v>
      </x:c>
      <x:c r="R1885" s="22" t="str">
        <x:f>O1885&amp;P1885&amp;Q1885</x:f>
        <x:v>100</x:v>
      </x:c>
      <x:c r="S1885" s="19" t="n">
        <x:f>IF(I1885=1,IF(J1885=0,Q1885,IF(J1885=1,P1885,IF(J1885=2,O1885,0))),0)</x:f>
        <x:v>1</x:v>
      </x:c>
      <x:c r="T1885" s="19" t="n">
        <x:f>K1885+IF(AND(S1885=1,J1885=0),1,0)</x:f>
        <x:v>3</x:v>
      </x:c>
      <x:c r="U1885" s="19" t="n">
        <x:f>L1885+IF(AND(S1885=1,J1885=1),1,0)</x:f>
        <x:v>5</x:v>
      </x:c>
      <x:c r="V1885" s="19" t="n">
        <x:f>M1885+IF(AND(S1885=1,J1885=2),1,0)</x:f>
        <x:v>1</x:v>
      </x:c>
      <x:c r="W1885" s="19" t="n">
        <x:f>SUM(T1885:V1885)</x:f>
        <x:v>9</x:v>
      </x:c>
      <x:c r="X1885" s="19" t="n">
        <x:f>W1885-G1885</x:f>
        <x:v>0</x:v>
      </x:c>
      <x:c r="Y1885" s="19" t="n">
        <x:f>MAX(T1885,1)+MAX(U1885,1)+MAX(V1885,1)</x:f>
        <x:v>9</x:v>
      </x:c>
      <x:c r="Z1885" s="21" t="str">
        <x:f>IF(AND(MIN(D1885:F1885)&gt;=0,MAX(D1885:F1885)&lt;=7,MAX(D1885,1)+MAX(E1885,1)+MAX(F1885,1)&lt;=9,OR(H1885="-",AND(H1885=0,D1885&gt;0),AND(H1885=1,E1885&gt;0),AND(H1885=2,F1885&gt;0)),OR(I1885=0,AND(I1885=1,OR(J1885=0,J1885=1,J1885=2),R1885&lt;&gt;"000")),Y1885&lt;=9,MIN(T1885:V1885)&gt;=0),"合法","输入违约")</x:f>
        <x:v>合法</x:v>
      </x:c>
    </x:row>
    <x:row r="1886" ht="23" customHeight="1">
      <x:c r="A1886" s="3" t="str">
        <x:v>CT-1879</x:v>
      </x:c>
      <x:c r="B1886" s="3" t="str">
        <x:v>ST-035</x:v>
      </x:c>
      <x:c r="C1886" s="3" t="str">
        <x:v>无AR/R</x:v>
      </x:c>
      <x:c r="D1886" s="25" t="n">
        <x:v>4</x:v>
      </x:c>
      <x:c r="E1886" s="25" t="n">
        <x:v>0</x:v>
      </x:c>
      <x:c r="F1886" s="25" t="n">
        <x:v>0</x:v>
      </x:c>
      <x:c r="G1886" s="19" t="n">
        <x:f>SUM(D1886:F1886)</x:f>
        <x:v>4</x:v>
      </x:c>
      <x:c r="H1886" s="25" t="str">
        <x:v>-</x:v>
      </x:c>
      <x:c r="I1886" s="25" t="n">
        <x:v>0</x:v>
      </x:c>
      <x:c r="J1886" s="25" t="str">
        <x:v>-</x:v>
      </x:c>
      <x:c r="K1886" s="19" t="n">
        <x:f>D1886-IF(H1886=0,1,0)</x:f>
        <x:v>4</x:v>
      </x:c>
      <x:c r="L1886" s="19" t="n">
        <x:f>E1886-IF(H1886=1,1,0)</x:f>
        <x:v>0</x:v>
      </x:c>
      <x:c r="M1886" s="19" t="n">
        <x:f>F1886-IF(H1886=2,1,0)</x:f>
        <x:v>0</x:v>
      </x:c>
      <x:c r="N1886" s="19" t="n">
        <x:f>MAX(K1886-1,0)+MAX(L1886-1,0)+MAX(M1886-1,0)</x:f>
        <x:v>3</x:v>
      </x:c>
      <x:c r="O1886" s="19" t="n">
        <x:f>IF(AND(SUM(K1886:M1886)&lt;9,OR(M1886=0,N1886&lt;6)),1,0)</x:f>
        <x:v>1</x:v>
      </x:c>
      <x:c r="P1886" s="19" t="n">
        <x:f>IF(AND(SUM(K1886:M1886)&lt;9,OR(L1886=0,N1886&lt;6)),1,0)</x:f>
        <x:v>1</x:v>
      </x:c>
      <x:c r="Q1886" s="19" t="n">
        <x:f>IF(AND(SUM(K1886:M1886)&lt;9,OR(K1886=0,N1886&lt;6)),1,0)</x:f>
        <x:v>1</x:v>
      </x:c>
      <x:c r="R1886" s="22" t="str">
        <x:f>O1886&amp;P1886&amp;Q1886</x:f>
        <x:v>111</x:v>
      </x:c>
      <x:c r="S1886" s="19" t="n">
        <x:f>IF(I1886=1,IF(J1886=0,Q1886,IF(J1886=1,P1886,IF(J1886=2,O1886,0))),0)</x:f>
        <x:v>0</x:v>
      </x:c>
      <x:c r="T1886" s="19" t="n">
        <x:f>K1886+IF(AND(S1886=1,J1886=0),1,0)</x:f>
        <x:v>4</x:v>
      </x:c>
      <x:c r="U1886" s="19" t="n">
        <x:f>L1886+IF(AND(S1886=1,J1886=1),1,0)</x:f>
        <x:v>0</x:v>
      </x:c>
      <x:c r="V1886" s="19" t="n">
        <x:f>M1886+IF(AND(S1886=1,J1886=2),1,0)</x:f>
        <x:v>0</x:v>
      </x:c>
      <x:c r="W1886" s="19" t="n">
        <x:f>SUM(T1886:V1886)</x:f>
        <x:v>4</x:v>
      </x:c>
      <x:c r="X1886" s="19" t="n">
        <x:f>W1886-G1886</x:f>
        <x:v>0</x:v>
      </x:c>
      <x:c r="Y1886" s="19" t="n">
        <x:f>MAX(T1886,1)+MAX(U1886,1)+MAX(V1886,1)</x:f>
        <x:v>6</x:v>
      </x:c>
      <x:c r="Z1886" s="21" t="str">
        <x:f>IF(AND(MIN(D1886:F1886)&gt;=0,MAX(D1886:F1886)&lt;=7,MAX(D1886,1)+MAX(E1886,1)+MAX(F1886,1)&lt;=9,OR(H1886="-",AND(H1886=0,D1886&gt;0),AND(H1886=1,E1886&gt;0),AND(H1886=2,F1886&gt;0)),OR(I1886=0,AND(I1886=1,OR(J1886=0,J1886=1,J1886=2),R1886&lt;&gt;"000")),Y1886&lt;=9,MIN(T1886:V1886)&gt;=0),"合法","输入违约")</x:f>
        <x:v>合法</x:v>
      </x:c>
    </x:row>
    <x:row r="1887" ht="23" customHeight="1">
      <x:c r="A1887" s="3" t="str">
        <x:v>CT-1880</x:v>
      </x:c>
      <x:c r="B1887" s="3" t="str">
        <x:v>ST-035</x:v>
      </x:c>
      <x:c r="C1887" s="3" t="str">
        <x:v>仅AR接收</x:v>
      </x:c>
      <x:c r="D1887" s="25" t="n">
        <x:v>4</x:v>
      </x:c>
      <x:c r="E1887" s="25" t="n">
        <x:v>0</x:v>
      </x:c>
      <x:c r="F1887" s="25" t="n">
        <x:v>0</x:v>
      </x:c>
      <x:c r="G1887" s="19" t="n">
        <x:f>SUM(D1887:F1887)</x:f>
        <x:v>4</x:v>
      </x:c>
      <x:c r="H1887" s="25" t="str">
        <x:v>-</x:v>
      </x:c>
      <x:c r="I1887" s="25" t="n">
        <x:v>1</x:v>
      </x:c>
      <x:c r="J1887" s="25" t="n">
        <x:v>0</x:v>
      </x:c>
      <x:c r="K1887" s="19" t="n">
        <x:f>D1887-IF(H1887=0,1,0)</x:f>
        <x:v>4</x:v>
      </x:c>
      <x:c r="L1887" s="19" t="n">
        <x:f>E1887-IF(H1887=1,1,0)</x:f>
        <x:v>0</x:v>
      </x:c>
      <x:c r="M1887" s="19" t="n">
        <x:f>F1887-IF(H1887=2,1,0)</x:f>
        <x:v>0</x:v>
      </x:c>
      <x:c r="N1887" s="19" t="n">
        <x:f>MAX(K1887-1,0)+MAX(L1887-1,0)+MAX(M1887-1,0)</x:f>
        <x:v>3</x:v>
      </x:c>
      <x:c r="O1887" s="19" t="n">
        <x:f>IF(AND(SUM(K1887:M1887)&lt;9,OR(M1887=0,N1887&lt;6)),1,0)</x:f>
        <x:v>1</x:v>
      </x:c>
      <x:c r="P1887" s="19" t="n">
        <x:f>IF(AND(SUM(K1887:M1887)&lt;9,OR(L1887=0,N1887&lt;6)),1,0)</x:f>
        <x:v>1</x:v>
      </x:c>
      <x:c r="Q1887" s="19" t="n">
        <x:f>IF(AND(SUM(K1887:M1887)&lt;9,OR(K1887=0,N1887&lt;6)),1,0)</x:f>
        <x:v>1</x:v>
      </x:c>
      <x:c r="R1887" s="22" t="str">
        <x:f>O1887&amp;P1887&amp;Q1887</x:f>
        <x:v>111</x:v>
      </x:c>
      <x:c r="S1887" s="19" t="n">
        <x:f>IF(I1887=1,IF(J1887=0,Q1887,IF(J1887=1,P1887,IF(J1887=2,O1887,0))),0)</x:f>
        <x:v>1</x:v>
      </x:c>
      <x:c r="T1887" s="19" t="n">
        <x:f>K1887+IF(AND(S1887=1,J1887=0),1,0)</x:f>
        <x:v>5</x:v>
      </x:c>
      <x:c r="U1887" s="19" t="n">
        <x:f>L1887+IF(AND(S1887=1,J1887=1),1,0)</x:f>
        <x:v>0</x:v>
      </x:c>
      <x:c r="V1887" s="19" t="n">
        <x:f>M1887+IF(AND(S1887=1,J1887=2),1,0)</x:f>
        <x:v>0</x:v>
      </x:c>
      <x:c r="W1887" s="19" t="n">
        <x:f>SUM(T1887:V1887)</x:f>
        <x:v>5</x:v>
      </x:c>
      <x:c r="X1887" s="19" t="n">
        <x:f>W1887-G1887</x:f>
        <x:v>1</x:v>
      </x:c>
      <x:c r="Y1887" s="19" t="n">
        <x:f>MAX(T1887,1)+MAX(U1887,1)+MAX(V1887,1)</x:f>
        <x:v>7</x:v>
      </x:c>
      <x:c r="Z1887" s="21" t="str">
        <x:f>IF(AND(MIN(D1887:F1887)&gt;=0,MAX(D1887:F1887)&lt;=7,MAX(D1887,1)+MAX(E1887,1)+MAX(F1887,1)&lt;=9,OR(H1887="-",AND(H1887=0,D1887&gt;0),AND(H1887=1,E1887&gt;0),AND(H1887=2,F1887&gt;0)),OR(I1887=0,AND(I1887=1,OR(J1887=0,J1887=1,J1887=2),R1887&lt;&gt;"000")),Y1887&lt;=9,MIN(T1887:V1887)&gt;=0),"合法","输入违约")</x:f>
        <x:v>合法</x:v>
      </x:c>
    </x:row>
    <x:row r="1888" ht="23" customHeight="1">
      <x:c r="A1888" s="3" t="str">
        <x:v>CT-1881</x:v>
      </x:c>
      <x:c r="B1888" s="3" t="str">
        <x:v>ST-035</x:v>
      </x:c>
      <x:c r="C1888" s="3" t="str">
        <x:v>仅AR接收</x:v>
      </x:c>
      <x:c r="D1888" s="25" t="n">
        <x:v>4</x:v>
      </x:c>
      <x:c r="E1888" s="25" t="n">
        <x:v>0</x:v>
      </x:c>
      <x:c r="F1888" s="25" t="n">
        <x:v>0</x:v>
      </x:c>
      <x:c r="G1888" s="19" t="n">
        <x:f>SUM(D1888:F1888)</x:f>
        <x:v>4</x:v>
      </x:c>
      <x:c r="H1888" s="25" t="str">
        <x:v>-</x:v>
      </x:c>
      <x:c r="I1888" s="25" t="n">
        <x:v>1</x:v>
      </x:c>
      <x:c r="J1888" s="25" t="n">
        <x:v>1</x:v>
      </x:c>
      <x:c r="K1888" s="19" t="n">
        <x:f>D1888-IF(H1888=0,1,0)</x:f>
        <x:v>4</x:v>
      </x:c>
      <x:c r="L1888" s="19" t="n">
        <x:f>E1888-IF(H1888=1,1,0)</x:f>
        <x:v>0</x:v>
      </x:c>
      <x:c r="M1888" s="19" t="n">
        <x:f>F1888-IF(H1888=2,1,0)</x:f>
        <x:v>0</x:v>
      </x:c>
      <x:c r="N1888" s="19" t="n">
        <x:f>MAX(K1888-1,0)+MAX(L1888-1,0)+MAX(M1888-1,0)</x:f>
        <x:v>3</x:v>
      </x:c>
      <x:c r="O1888" s="19" t="n">
        <x:f>IF(AND(SUM(K1888:M1888)&lt;9,OR(M1888=0,N1888&lt;6)),1,0)</x:f>
        <x:v>1</x:v>
      </x:c>
      <x:c r="P1888" s="19" t="n">
        <x:f>IF(AND(SUM(K1888:M1888)&lt;9,OR(L1888=0,N1888&lt;6)),1,0)</x:f>
        <x:v>1</x:v>
      </x:c>
      <x:c r="Q1888" s="19" t="n">
        <x:f>IF(AND(SUM(K1888:M1888)&lt;9,OR(K1888=0,N1888&lt;6)),1,0)</x:f>
        <x:v>1</x:v>
      </x:c>
      <x:c r="R1888" s="22" t="str">
        <x:f>O1888&amp;P1888&amp;Q1888</x:f>
        <x:v>111</x:v>
      </x:c>
      <x:c r="S1888" s="19" t="n">
        <x:f>IF(I1888=1,IF(J1888=0,Q1888,IF(J1888=1,P1888,IF(J1888=2,O1888,0))),0)</x:f>
        <x:v>1</x:v>
      </x:c>
      <x:c r="T1888" s="19" t="n">
        <x:f>K1888+IF(AND(S1888=1,J1888=0),1,0)</x:f>
        <x:v>4</x:v>
      </x:c>
      <x:c r="U1888" s="19" t="n">
        <x:f>L1888+IF(AND(S1888=1,J1888=1),1,0)</x:f>
        <x:v>1</x:v>
      </x:c>
      <x:c r="V1888" s="19" t="n">
        <x:f>M1888+IF(AND(S1888=1,J1888=2),1,0)</x:f>
        <x:v>0</x:v>
      </x:c>
      <x:c r="W1888" s="19" t="n">
        <x:f>SUM(T1888:V1888)</x:f>
        <x:v>5</x:v>
      </x:c>
      <x:c r="X1888" s="19" t="n">
        <x:f>W1888-G1888</x:f>
        <x:v>1</x:v>
      </x:c>
      <x:c r="Y1888" s="19" t="n">
        <x:f>MAX(T1888,1)+MAX(U1888,1)+MAX(V1888,1)</x:f>
        <x:v>6</x:v>
      </x:c>
      <x:c r="Z1888" s="21" t="str">
        <x:f>IF(AND(MIN(D1888:F1888)&gt;=0,MAX(D1888:F1888)&lt;=7,MAX(D1888,1)+MAX(E1888,1)+MAX(F1888,1)&lt;=9,OR(H1888="-",AND(H1888=0,D1888&gt;0),AND(H1888=1,E1888&gt;0),AND(H1888=2,F1888&gt;0)),OR(I1888=0,AND(I1888=1,OR(J1888=0,J1888=1,J1888=2),R1888&lt;&gt;"000")),Y1888&lt;=9,MIN(T1888:V1888)&gt;=0),"合法","输入违约")</x:f>
        <x:v>合法</x:v>
      </x:c>
    </x:row>
    <x:row r="1889" ht="23" customHeight="1">
      <x:c r="A1889" s="3" t="str">
        <x:v>CT-1882</x:v>
      </x:c>
      <x:c r="B1889" s="3" t="str">
        <x:v>ST-035</x:v>
      </x:c>
      <x:c r="C1889" s="3" t="str">
        <x:v>仅AR接收</x:v>
      </x:c>
      <x:c r="D1889" s="25" t="n">
        <x:v>4</x:v>
      </x:c>
      <x:c r="E1889" s="25" t="n">
        <x:v>0</x:v>
      </x:c>
      <x:c r="F1889" s="25" t="n">
        <x:v>0</x:v>
      </x:c>
      <x:c r="G1889" s="19" t="n">
        <x:f>SUM(D1889:F1889)</x:f>
        <x:v>4</x:v>
      </x:c>
      <x:c r="H1889" s="25" t="str">
        <x:v>-</x:v>
      </x:c>
      <x:c r="I1889" s="25" t="n">
        <x:v>1</x:v>
      </x:c>
      <x:c r="J1889" s="25" t="n">
        <x:v>2</x:v>
      </x:c>
      <x:c r="K1889" s="19" t="n">
        <x:f>D1889-IF(H1889=0,1,0)</x:f>
        <x:v>4</x:v>
      </x:c>
      <x:c r="L1889" s="19" t="n">
        <x:f>E1889-IF(H1889=1,1,0)</x:f>
        <x:v>0</x:v>
      </x:c>
      <x:c r="M1889" s="19" t="n">
        <x:f>F1889-IF(H1889=2,1,0)</x:f>
        <x:v>0</x:v>
      </x:c>
      <x:c r="N1889" s="19" t="n">
        <x:f>MAX(K1889-1,0)+MAX(L1889-1,0)+MAX(M1889-1,0)</x:f>
        <x:v>3</x:v>
      </x:c>
      <x:c r="O1889" s="19" t="n">
        <x:f>IF(AND(SUM(K1889:M1889)&lt;9,OR(M1889=0,N1889&lt;6)),1,0)</x:f>
        <x:v>1</x:v>
      </x:c>
      <x:c r="P1889" s="19" t="n">
        <x:f>IF(AND(SUM(K1889:M1889)&lt;9,OR(L1889=0,N1889&lt;6)),1,0)</x:f>
        <x:v>1</x:v>
      </x:c>
      <x:c r="Q1889" s="19" t="n">
        <x:f>IF(AND(SUM(K1889:M1889)&lt;9,OR(K1889=0,N1889&lt;6)),1,0)</x:f>
        <x:v>1</x:v>
      </x:c>
      <x:c r="R1889" s="22" t="str">
        <x:f>O1889&amp;P1889&amp;Q1889</x:f>
        <x:v>111</x:v>
      </x:c>
      <x:c r="S1889" s="19" t="n">
        <x:f>IF(I1889=1,IF(J1889=0,Q1889,IF(J1889=1,P1889,IF(J1889=2,O1889,0))),0)</x:f>
        <x:v>1</x:v>
      </x:c>
      <x:c r="T1889" s="19" t="n">
        <x:f>K1889+IF(AND(S1889=1,J1889=0),1,0)</x:f>
        <x:v>4</x:v>
      </x:c>
      <x:c r="U1889" s="19" t="n">
        <x:f>L1889+IF(AND(S1889=1,J1889=1),1,0)</x:f>
        <x:v>0</x:v>
      </x:c>
      <x:c r="V1889" s="19" t="n">
        <x:f>M1889+IF(AND(S1889=1,J1889=2),1,0)</x:f>
        <x:v>1</x:v>
      </x:c>
      <x:c r="W1889" s="19" t="n">
        <x:f>SUM(T1889:V1889)</x:f>
        <x:v>5</x:v>
      </x:c>
      <x:c r="X1889" s="19" t="n">
        <x:f>W1889-G1889</x:f>
        <x:v>1</x:v>
      </x:c>
      <x:c r="Y1889" s="19" t="n">
        <x:f>MAX(T1889,1)+MAX(U1889,1)+MAX(V1889,1)</x:f>
        <x:v>6</x:v>
      </x:c>
      <x:c r="Z1889" s="21" t="str">
        <x:f>IF(AND(MIN(D1889:F1889)&gt;=0,MAX(D1889:F1889)&lt;=7,MAX(D1889,1)+MAX(E1889,1)+MAX(F1889,1)&lt;=9,OR(H1889="-",AND(H1889=0,D1889&gt;0),AND(H1889=1,E1889&gt;0),AND(H1889=2,F1889&gt;0)),OR(I1889=0,AND(I1889=1,OR(J1889=0,J1889=1,J1889=2),R1889&lt;&gt;"000")),Y1889&lt;=9,MIN(T1889:V1889)&gt;=0),"合法","输入违约")</x:f>
        <x:v>合法</x:v>
      </x:c>
    </x:row>
    <x:row r="1890" ht="23" customHeight="1">
      <x:c r="A1890" s="3" t="str">
        <x:v>CT-1883</x:v>
      </x:c>
      <x:c r="B1890" s="3" t="str">
        <x:v>ST-035</x:v>
      </x:c>
      <x:c r="C1890" s="3" t="str">
        <x:v>仅R回收</x:v>
      </x:c>
      <x:c r="D1890" s="25" t="n">
        <x:v>4</x:v>
      </x:c>
      <x:c r="E1890" s="25" t="n">
        <x:v>0</x:v>
      </x:c>
      <x:c r="F1890" s="25" t="n">
        <x:v>0</x:v>
      </x:c>
      <x:c r="G1890" s="19" t="n">
        <x:f>SUM(D1890:F1890)</x:f>
        <x:v>4</x:v>
      </x:c>
      <x:c r="H1890" s="25" t="n">
        <x:v>0</x:v>
      </x:c>
      <x:c r="I1890" s="25" t="n">
        <x:v>0</x:v>
      </x:c>
      <x:c r="J1890" s="25" t="str">
        <x:v>-</x:v>
      </x:c>
      <x:c r="K1890" s="19" t="n">
        <x:f>D1890-IF(H1890=0,1,0)</x:f>
        <x:v>3</x:v>
      </x:c>
      <x:c r="L1890" s="19" t="n">
        <x:f>E1890-IF(H1890=1,1,0)</x:f>
        <x:v>0</x:v>
      </x:c>
      <x:c r="M1890" s="19" t="n">
        <x:f>F1890-IF(H1890=2,1,0)</x:f>
        <x:v>0</x:v>
      </x:c>
      <x:c r="N1890" s="19" t="n">
        <x:f>MAX(K1890-1,0)+MAX(L1890-1,0)+MAX(M1890-1,0)</x:f>
        <x:v>2</x:v>
      </x:c>
      <x:c r="O1890" s="19" t="n">
        <x:f>IF(AND(SUM(K1890:M1890)&lt;9,OR(M1890=0,N1890&lt;6)),1,0)</x:f>
        <x:v>1</x:v>
      </x:c>
      <x:c r="P1890" s="19" t="n">
        <x:f>IF(AND(SUM(K1890:M1890)&lt;9,OR(L1890=0,N1890&lt;6)),1,0)</x:f>
        <x:v>1</x:v>
      </x:c>
      <x:c r="Q1890" s="19" t="n">
        <x:f>IF(AND(SUM(K1890:M1890)&lt;9,OR(K1890=0,N1890&lt;6)),1,0)</x:f>
        <x:v>1</x:v>
      </x:c>
      <x:c r="R1890" s="22" t="str">
        <x:f>O1890&amp;P1890&amp;Q1890</x:f>
        <x:v>111</x:v>
      </x:c>
      <x:c r="S1890" s="19" t="n">
        <x:f>IF(I1890=1,IF(J1890=0,Q1890,IF(J1890=1,P1890,IF(J1890=2,O1890,0))),0)</x:f>
        <x:v>0</x:v>
      </x:c>
      <x:c r="T1890" s="19" t="n">
        <x:f>K1890+IF(AND(S1890=1,J1890=0),1,0)</x:f>
        <x:v>3</x:v>
      </x:c>
      <x:c r="U1890" s="19" t="n">
        <x:f>L1890+IF(AND(S1890=1,J1890=1),1,0)</x:f>
        <x:v>0</x:v>
      </x:c>
      <x:c r="V1890" s="19" t="n">
        <x:f>M1890+IF(AND(S1890=1,J1890=2),1,0)</x:f>
        <x:v>0</x:v>
      </x:c>
      <x:c r="W1890" s="19" t="n">
        <x:f>SUM(T1890:V1890)</x:f>
        <x:v>3</x:v>
      </x:c>
      <x:c r="X1890" s="19" t="n">
        <x:f>W1890-G1890</x:f>
        <x:v>-1</x:v>
      </x:c>
      <x:c r="Y1890" s="19" t="n">
        <x:f>MAX(T1890,1)+MAX(U1890,1)+MAX(V1890,1)</x:f>
        <x:v>5</x:v>
      </x:c>
      <x:c r="Z1890" s="21" t="str">
        <x:f>IF(AND(MIN(D1890:F1890)&gt;=0,MAX(D1890:F1890)&lt;=7,MAX(D1890,1)+MAX(E1890,1)+MAX(F1890,1)&lt;=9,OR(H1890="-",AND(H1890=0,D1890&gt;0),AND(H1890=1,E1890&gt;0),AND(H1890=2,F1890&gt;0)),OR(I1890=0,AND(I1890=1,OR(J1890=0,J1890=1,J1890=2),R1890&lt;&gt;"000")),Y1890&lt;=9,MIN(T1890:V1890)&gt;=0),"合法","输入违约")</x:f>
        <x:v>合法</x:v>
      </x:c>
    </x:row>
    <x:row r="1891" ht="23" customHeight="1">
      <x:c r="A1891" s="3" t="str">
        <x:v>CT-1884</x:v>
      </x:c>
      <x:c r="B1891" s="3" t="str">
        <x:v>ST-035</x:v>
      </x:c>
      <x:c r="C1891" s="3" t="str">
        <x:v>R+AR同收同发</x:v>
      </x:c>
      <x:c r="D1891" s="25" t="n">
        <x:v>4</x:v>
      </x:c>
      <x:c r="E1891" s="25" t="n">
        <x:v>0</x:v>
      </x:c>
      <x:c r="F1891" s="25" t="n">
        <x:v>0</x:v>
      </x:c>
      <x:c r="G1891" s="19" t="n">
        <x:f>SUM(D1891:F1891)</x:f>
        <x:v>4</x:v>
      </x:c>
      <x:c r="H1891" s="25" t="n">
        <x:v>0</x:v>
      </x:c>
      <x:c r="I1891" s="25" t="n">
        <x:v>1</x:v>
      </x:c>
      <x:c r="J1891" s="25" t="n">
        <x:v>0</x:v>
      </x:c>
      <x:c r="K1891" s="19" t="n">
        <x:f>D1891-IF(H1891=0,1,0)</x:f>
        <x:v>3</x:v>
      </x:c>
      <x:c r="L1891" s="19" t="n">
        <x:f>E1891-IF(H1891=1,1,0)</x:f>
        <x:v>0</x:v>
      </x:c>
      <x:c r="M1891" s="19" t="n">
        <x:f>F1891-IF(H1891=2,1,0)</x:f>
        <x:v>0</x:v>
      </x:c>
      <x:c r="N1891" s="19" t="n">
        <x:f>MAX(K1891-1,0)+MAX(L1891-1,0)+MAX(M1891-1,0)</x:f>
        <x:v>2</x:v>
      </x:c>
      <x:c r="O1891" s="19" t="n">
        <x:f>IF(AND(SUM(K1891:M1891)&lt;9,OR(M1891=0,N1891&lt;6)),1,0)</x:f>
        <x:v>1</x:v>
      </x:c>
      <x:c r="P1891" s="19" t="n">
        <x:f>IF(AND(SUM(K1891:M1891)&lt;9,OR(L1891=0,N1891&lt;6)),1,0)</x:f>
        <x:v>1</x:v>
      </x:c>
      <x:c r="Q1891" s="19" t="n">
        <x:f>IF(AND(SUM(K1891:M1891)&lt;9,OR(K1891=0,N1891&lt;6)),1,0)</x:f>
        <x:v>1</x:v>
      </x:c>
      <x:c r="R1891" s="22" t="str">
        <x:f>O1891&amp;P1891&amp;Q1891</x:f>
        <x:v>111</x:v>
      </x:c>
      <x:c r="S1891" s="19" t="n">
        <x:f>IF(I1891=1,IF(J1891=0,Q1891,IF(J1891=1,P1891,IF(J1891=2,O1891,0))),0)</x:f>
        <x:v>1</x:v>
      </x:c>
      <x:c r="T1891" s="19" t="n">
        <x:f>K1891+IF(AND(S1891=1,J1891=0),1,0)</x:f>
        <x:v>4</x:v>
      </x:c>
      <x:c r="U1891" s="19" t="n">
        <x:f>L1891+IF(AND(S1891=1,J1891=1),1,0)</x:f>
        <x:v>0</x:v>
      </x:c>
      <x:c r="V1891" s="19" t="n">
        <x:f>M1891+IF(AND(S1891=1,J1891=2),1,0)</x:f>
        <x:v>0</x:v>
      </x:c>
      <x:c r="W1891" s="19" t="n">
        <x:f>SUM(T1891:V1891)</x:f>
        <x:v>4</x:v>
      </x:c>
      <x:c r="X1891" s="19" t="n">
        <x:f>W1891-G1891</x:f>
        <x:v>0</x:v>
      </x:c>
      <x:c r="Y1891" s="19" t="n">
        <x:f>MAX(T1891,1)+MAX(U1891,1)+MAX(V1891,1)</x:f>
        <x:v>6</x:v>
      </x:c>
      <x:c r="Z1891" s="21" t="str">
        <x:f>IF(AND(MIN(D1891:F1891)&gt;=0,MAX(D1891:F1891)&lt;=7,MAX(D1891,1)+MAX(E1891,1)+MAX(F1891,1)&lt;=9,OR(H1891="-",AND(H1891=0,D1891&gt;0),AND(H1891=1,E1891&gt;0),AND(H1891=2,F1891&gt;0)),OR(I1891=0,AND(I1891=1,OR(J1891=0,J1891=1,J1891=2),R1891&lt;&gt;"000")),Y1891&lt;=9,MIN(T1891:V1891)&gt;=0),"合法","输入违约")</x:f>
        <x:v>合法</x:v>
      </x:c>
    </x:row>
    <x:row r="1892" ht="23" customHeight="1">
      <x:c r="A1892" s="3" t="str">
        <x:v>CT-1885</x:v>
      </x:c>
      <x:c r="B1892" s="3" t="str">
        <x:v>ST-035</x:v>
      </x:c>
      <x:c r="C1892" s="3" t="str">
        <x:v>R+AR同收同发</x:v>
      </x:c>
      <x:c r="D1892" s="25" t="n">
        <x:v>4</x:v>
      </x:c>
      <x:c r="E1892" s="25" t="n">
        <x:v>0</x:v>
      </x:c>
      <x:c r="F1892" s="25" t="n">
        <x:v>0</x:v>
      </x:c>
      <x:c r="G1892" s="19" t="n">
        <x:f>SUM(D1892:F1892)</x:f>
        <x:v>4</x:v>
      </x:c>
      <x:c r="H1892" s="25" t="n">
        <x:v>0</x:v>
      </x:c>
      <x:c r="I1892" s="25" t="n">
        <x:v>1</x:v>
      </x:c>
      <x:c r="J1892" s="25" t="n">
        <x:v>1</x:v>
      </x:c>
      <x:c r="K1892" s="19" t="n">
        <x:f>D1892-IF(H1892=0,1,0)</x:f>
        <x:v>3</x:v>
      </x:c>
      <x:c r="L1892" s="19" t="n">
        <x:f>E1892-IF(H1892=1,1,0)</x:f>
        <x:v>0</x:v>
      </x:c>
      <x:c r="M1892" s="19" t="n">
        <x:f>F1892-IF(H1892=2,1,0)</x:f>
        <x:v>0</x:v>
      </x:c>
      <x:c r="N1892" s="19" t="n">
        <x:f>MAX(K1892-1,0)+MAX(L1892-1,0)+MAX(M1892-1,0)</x:f>
        <x:v>2</x:v>
      </x:c>
      <x:c r="O1892" s="19" t="n">
        <x:f>IF(AND(SUM(K1892:M1892)&lt;9,OR(M1892=0,N1892&lt;6)),1,0)</x:f>
        <x:v>1</x:v>
      </x:c>
      <x:c r="P1892" s="19" t="n">
        <x:f>IF(AND(SUM(K1892:M1892)&lt;9,OR(L1892=0,N1892&lt;6)),1,0)</x:f>
        <x:v>1</x:v>
      </x:c>
      <x:c r="Q1892" s="19" t="n">
        <x:f>IF(AND(SUM(K1892:M1892)&lt;9,OR(K1892=0,N1892&lt;6)),1,0)</x:f>
        <x:v>1</x:v>
      </x:c>
      <x:c r="R1892" s="22" t="str">
        <x:f>O1892&amp;P1892&amp;Q1892</x:f>
        <x:v>111</x:v>
      </x:c>
      <x:c r="S1892" s="19" t="n">
        <x:f>IF(I1892=1,IF(J1892=0,Q1892,IF(J1892=1,P1892,IF(J1892=2,O1892,0))),0)</x:f>
        <x:v>1</x:v>
      </x:c>
      <x:c r="T1892" s="19" t="n">
        <x:f>K1892+IF(AND(S1892=1,J1892=0),1,0)</x:f>
        <x:v>3</x:v>
      </x:c>
      <x:c r="U1892" s="19" t="n">
        <x:f>L1892+IF(AND(S1892=1,J1892=1),1,0)</x:f>
        <x:v>1</x:v>
      </x:c>
      <x:c r="V1892" s="19" t="n">
        <x:f>M1892+IF(AND(S1892=1,J1892=2),1,0)</x:f>
        <x:v>0</x:v>
      </x:c>
      <x:c r="W1892" s="19" t="n">
        <x:f>SUM(T1892:V1892)</x:f>
        <x:v>4</x:v>
      </x:c>
      <x:c r="X1892" s="19" t="n">
        <x:f>W1892-G1892</x:f>
        <x:v>0</x:v>
      </x:c>
      <x:c r="Y1892" s="19" t="n">
        <x:f>MAX(T1892,1)+MAX(U1892,1)+MAX(V1892,1)</x:f>
        <x:v>5</x:v>
      </x:c>
      <x:c r="Z1892" s="21" t="str">
        <x:f>IF(AND(MIN(D1892:F1892)&gt;=0,MAX(D1892:F1892)&lt;=7,MAX(D1892,1)+MAX(E1892,1)+MAX(F1892,1)&lt;=9,OR(H1892="-",AND(H1892=0,D1892&gt;0),AND(H1892=1,E1892&gt;0),AND(H1892=2,F1892&gt;0)),OR(I1892=0,AND(I1892=1,OR(J1892=0,J1892=1,J1892=2),R1892&lt;&gt;"000")),Y1892&lt;=9,MIN(T1892:V1892)&gt;=0),"合法","输入违约")</x:f>
        <x:v>合法</x:v>
      </x:c>
    </x:row>
    <x:row r="1893" ht="23" customHeight="1">
      <x:c r="A1893" s="3" t="str">
        <x:v>CT-1886</x:v>
      </x:c>
      <x:c r="B1893" s="3" t="str">
        <x:v>ST-035</x:v>
      </x:c>
      <x:c r="C1893" s="3" t="str">
        <x:v>R+AR同收同发</x:v>
      </x:c>
      <x:c r="D1893" s="25" t="n">
        <x:v>4</x:v>
      </x:c>
      <x:c r="E1893" s="25" t="n">
        <x:v>0</x:v>
      </x:c>
      <x:c r="F1893" s="25" t="n">
        <x:v>0</x:v>
      </x:c>
      <x:c r="G1893" s="19" t="n">
        <x:f>SUM(D1893:F1893)</x:f>
        <x:v>4</x:v>
      </x:c>
      <x:c r="H1893" s="25" t="n">
        <x:v>0</x:v>
      </x:c>
      <x:c r="I1893" s="25" t="n">
        <x:v>1</x:v>
      </x:c>
      <x:c r="J1893" s="25" t="n">
        <x:v>2</x:v>
      </x:c>
      <x:c r="K1893" s="19" t="n">
        <x:f>D1893-IF(H1893=0,1,0)</x:f>
        <x:v>3</x:v>
      </x:c>
      <x:c r="L1893" s="19" t="n">
        <x:f>E1893-IF(H1893=1,1,0)</x:f>
        <x:v>0</x:v>
      </x:c>
      <x:c r="M1893" s="19" t="n">
        <x:f>F1893-IF(H1893=2,1,0)</x:f>
        <x:v>0</x:v>
      </x:c>
      <x:c r="N1893" s="19" t="n">
        <x:f>MAX(K1893-1,0)+MAX(L1893-1,0)+MAX(M1893-1,0)</x:f>
        <x:v>2</x:v>
      </x:c>
      <x:c r="O1893" s="19" t="n">
        <x:f>IF(AND(SUM(K1893:M1893)&lt;9,OR(M1893=0,N1893&lt;6)),1,0)</x:f>
        <x:v>1</x:v>
      </x:c>
      <x:c r="P1893" s="19" t="n">
        <x:f>IF(AND(SUM(K1893:M1893)&lt;9,OR(L1893=0,N1893&lt;6)),1,0)</x:f>
        <x:v>1</x:v>
      </x:c>
      <x:c r="Q1893" s="19" t="n">
        <x:f>IF(AND(SUM(K1893:M1893)&lt;9,OR(K1893=0,N1893&lt;6)),1,0)</x:f>
        <x:v>1</x:v>
      </x:c>
      <x:c r="R1893" s="22" t="str">
        <x:f>O1893&amp;P1893&amp;Q1893</x:f>
        <x:v>111</x:v>
      </x:c>
      <x:c r="S1893" s="19" t="n">
        <x:f>IF(I1893=1,IF(J1893=0,Q1893,IF(J1893=1,P1893,IF(J1893=2,O1893,0))),0)</x:f>
        <x:v>1</x:v>
      </x:c>
      <x:c r="T1893" s="19" t="n">
        <x:f>K1893+IF(AND(S1893=1,J1893=0),1,0)</x:f>
        <x:v>3</x:v>
      </x:c>
      <x:c r="U1893" s="19" t="n">
        <x:f>L1893+IF(AND(S1893=1,J1893=1),1,0)</x:f>
        <x:v>0</x:v>
      </x:c>
      <x:c r="V1893" s="19" t="n">
        <x:f>M1893+IF(AND(S1893=1,J1893=2),1,0)</x:f>
        <x:v>1</x:v>
      </x:c>
      <x:c r="W1893" s="19" t="n">
        <x:f>SUM(T1893:V1893)</x:f>
        <x:v>4</x:v>
      </x:c>
      <x:c r="X1893" s="19" t="n">
        <x:f>W1893-G1893</x:f>
        <x:v>0</x:v>
      </x:c>
      <x:c r="Y1893" s="19" t="n">
        <x:f>MAX(T1893,1)+MAX(U1893,1)+MAX(V1893,1)</x:f>
        <x:v>5</x:v>
      </x:c>
      <x:c r="Z1893" s="21" t="str">
        <x:f>IF(AND(MIN(D1893:F1893)&gt;=0,MAX(D1893:F1893)&lt;=7,MAX(D1893,1)+MAX(E1893,1)+MAX(F1893,1)&lt;=9,OR(H1893="-",AND(H1893=0,D1893&gt;0),AND(H1893=1,E1893&gt;0),AND(H1893=2,F1893&gt;0)),OR(I1893=0,AND(I1893=1,OR(J1893=0,J1893=1,J1893=2),R1893&lt;&gt;"000")),Y1893&lt;=9,MIN(T1893:V1893)&gt;=0),"合法","输入违约")</x:f>
        <x:v>合法</x:v>
      </x:c>
    </x:row>
    <x:row r="1894" ht="23" customHeight="1">
      <x:c r="A1894" s="3" t="str">
        <x:v>CT-1887</x:v>
      </x:c>
      <x:c r="B1894" s="3" t="str">
        <x:v>ST-054</x:v>
      </x:c>
      <x:c r="C1894" s="3" t="str">
        <x:v>无AR/R</x:v>
      </x:c>
      <x:c r="D1894" s="25" t="n">
        <x:v>4</x:v>
      </x:c>
      <x:c r="E1894" s="25" t="n">
        <x:v>0</x:v>
      </x:c>
      <x:c r="F1894" s="25" t="n">
        <x:v>1</x:v>
      </x:c>
      <x:c r="G1894" s="19" t="n">
        <x:f>SUM(D1894:F1894)</x:f>
        <x:v>5</x:v>
      </x:c>
      <x:c r="H1894" s="25" t="str">
        <x:v>-</x:v>
      </x:c>
      <x:c r="I1894" s="25" t="n">
        <x:v>0</x:v>
      </x:c>
      <x:c r="J1894" s="25" t="str">
        <x:v>-</x:v>
      </x:c>
      <x:c r="K1894" s="19" t="n">
        <x:f>D1894-IF(H1894=0,1,0)</x:f>
        <x:v>4</x:v>
      </x:c>
      <x:c r="L1894" s="19" t="n">
        <x:f>E1894-IF(H1894=1,1,0)</x:f>
        <x:v>0</x:v>
      </x:c>
      <x:c r="M1894" s="19" t="n">
        <x:f>F1894-IF(H1894=2,1,0)</x:f>
        <x:v>1</x:v>
      </x:c>
      <x:c r="N1894" s="19" t="n">
        <x:f>MAX(K1894-1,0)+MAX(L1894-1,0)+MAX(M1894-1,0)</x:f>
        <x:v>3</x:v>
      </x:c>
      <x:c r="O1894" s="19" t="n">
        <x:f>IF(AND(SUM(K1894:M1894)&lt;9,OR(M1894=0,N1894&lt;6)),1,0)</x:f>
        <x:v>1</x:v>
      </x:c>
      <x:c r="P1894" s="19" t="n">
        <x:f>IF(AND(SUM(K1894:M1894)&lt;9,OR(L1894=0,N1894&lt;6)),1,0)</x:f>
        <x:v>1</x:v>
      </x:c>
      <x:c r="Q1894" s="19" t="n">
        <x:f>IF(AND(SUM(K1894:M1894)&lt;9,OR(K1894=0,N1894&lt;6)),1,0)</x:f>
        <x:v>1</x:v>
      </x:c>
      <x:c r="R1894" s="22" t="str">
        <x:f>O1894&amp;P1894&amp;Q1894</x:f>
        <x:v>111</x:v>
      </x:c>
      <x:c r="S1894" s="19" t="n">
        <x:f>IF(I1894=1,IF(J1894=0,Q1894,IF(J1894=1,P1894,IF(J1894=2,O1894,0))),0)</x:f>
        <x:v>0</x:v>
      </x:c>
      <x:c r="T1894" s="19" t="n">
        <x:f>K1894+IF(AND(S1894=1,J1894=0),1,0)</x:f>
        <x:v>4</x:v>
      </x:c>
      <x:c r="U1894" s="19" t="n">
        <x:f>L1894+IF(AND(S1894=1,J1894=1),1,0)</x:f>
        <x:v>0</x:v>
      </x:c>
      <x:c r="V1894" s="19" t="n">
        <x:f>M1894+IF(AND(S1894=1,J1894=2),1,0)</x:f>
        <x:v>1</x:v>
      </x:c>
      <x:c r="W1894" s="19" t="n">
        <x:f>SUM(T1894:V1894)</x:f>
        <x:v>5</x:v>
      </x:c>
      <x:c r="X1894" s="19" t="n">
        <x:f>W1894-G1894</x:f>
        <x:v>0</x:v>
      </x:c>
      <x:c r="Y1894" s="19" t="n">
        <x:f>MAX(T1894,1)+MAX(U1894,1)+MAX(V1894,1)</x:f>
        <x:v>6</x:v>
      </x:c>
      <x:c r="Z1894" s="21" t="str">
        <x:f>IF(AND(MIN(D1894:F1894)&gt;=0,MAX(D1894:F1894)&lt;=7,MAX(D1894,1)+MAX(E1894,1)+MAX(F1894,1)&lt;=9,OR(H1894="-",AND(H1894=0,D1894&gt;0),AND(H1894=1,E1894&gt;0),AND(H1894=2,F1894&gt;0)),OR(I1894=0,AND(I1894=1,OR(J1894=0,J1894=1,J1894=2),R1894&lt;&gt;"000")),Y1894&lt;=9,MIN(T1894:V1894)&gt;=0),"合法","输入违约")</x:f>
        <x:v>合法</x:v>
      </x:c>
    </x:row>
    <x:row r="1895" ht="23" customHeight="1">
      <x:c r="A1895" s="3" t="str">
        <x:v>CT-1888</x:v>
      </x:c>
      <x:c r="B1895" s="3" t="str">
        <x:v>ST-054</x:v>
      </x:c>
      <x:c r="C1895" s="3" t="str">
        <x:v>仅AR接收</x:v>
      </x:c>
      <x:c r="D1895" s="25" t="n">
        <x:v>4</x:v>
      </x:c>
      <x:c r="E1895" s="25" t="n">
        <x:v>0</x:v>
      </x:c>
      <x:c r="F1895" s="25" t="n">
        <x:v>1</x:v>
      </x:c>
      <x:c r="G1895" s="19" t="n">
        <x:f>SUM(D1895:F1895)</x:f>
        <x:v>5</x:v>
      </x:c>
      <x:c r="H1895" s="25" t="str">
        <x:v>-</x:v>
      </x:c>
      <x:c r="I1895" s="25" t="n">
        <x:v>1</x:v>
      </x:c>
      <x:c r="J1895" s="25" t="n">
        <x:v>0</x:v>
      </x:c>
      <x:c r="K1895" s="19" t="n">
        <x:f>D1895-IF(H1895=0,1,0)</x:f>
        <x:v>4</x:v>
      </x:c>
      <x:c r="L1895" s="19" t="n">
        <x:f>E1895-IF(H1895=1,1,0)</x:f>
        <x:v>0</x:v>
      </x:c>
      <x:c r="M1895" s="19" t="n">
        <x:f>F1895-IF(H1895=2,1,0)</x:f>
        <x:v>1</x:v>
      </x:c>
      <x:c r="N1895" s="19" t="n">
        <x:f>MAX(K1895-1,0)+MAX(L1895-1,0)+MAX(M1895-1,0)</x:f>
        <x:v>3</x:v>
      </x:c>
      <x:c r="O1895" s="19" t="n">
        <x:f>IF(AND(SUM(K1895:M1895)&lt;9,OR(M1895=0,N1895&lt;6)),1,0)</x:f>
        <x:v>1</x:v>
      </x:c>
      <x:c r="P1895" s="19" t="n">
        <x:f>IF(AND(SUM(K1895:M1895)&lt;9,OR(L1895=0,N1895&lt;6)),1,0)</x:f>
        <x:v>1</x:v>
      </x:c>
      <x:c r="Q1895" s="19" t="n">
        <x:f>IF(AND(SUM(K1895:M1895)&lt;9,OR(K1895=0,N1895&lt;6)),1,0)</x:f>
        <x:v>1</x:v>
      </x:c>
      <x:c r="R1895" s="22" t="str">
        <x:f>O1895&amp;P1895&amp;Q1895</x:f>
        <x:v>111</x:v>
      </x:c>
      <x:c r="S1895" s="19" t="n">
        <x:f>IF(I1895=1,IF(J1895=0,Q1895,IF(J1895=1,P1895,IF(J1895=2,O1895,0))),0)</x:f>
        <x:v>1</x:v>
      </x:c>
      <x:c r="T1895" s="19" t="n">
        <x:f>K1895+IF(AND(S1895=1,J1895=0),1,0)</x:f>
        <x:v>5</x:v>
      </x:c>
      <x:c r="U1895" s="19" t="n">
        <x:f>L1895+IF(AND(S1895=1,J1895=1),1,0)</x:f>
        <x:v>0</x:v>
      </x:c>
      <x:c r="V1895" s="19" t="n">
        <x:f>M1895+IF(AND(S1895=1,J1895=2),1,0)</x:f>
        <x:v>1</x:v>
      </x:c>
      <x:c r="W1895" s="19" t="n">
        <x:f>SUM(T1895:V1895)</x:f>
        <x:v>6</x:v>
      </x:c>
      <x:c r="X1895" s="19" t="n">
        <x:f>W1895-G1895</x:f>
        <x:v>1</x:v>
      </x:c>
      <x:c r="Y1895" s="19" t="n">
        <x:f>MAX(T1895,1)+MAX(U1895,1)+MAX(V1895,1)</x:f>
        <x:v>7</x:v>
      </x:c>
      <x:c r="Z1895" s="21" t="str">
        <x:f>IF(AND(MIN(D1895:F1895)&gt;=0,MAX(D1895:F1895)&lt;=7,MAX(D1895,1)+MAX(E1895,1)+MAX(F1895,1)&lt;=9,OR(H1895="-",AND(H1895=0,D1895&gt;0),AND(H1895=1,E1895&gt;0),AND(H1895=2,F1895&gt;0)),OR(I1895=0,AND(I1895=1,OR(J1895=0,J1895=1,J1895=2),R1895&lt;&gt;"000")),Y1895&lt;=9,MIN(T1895:V1895)&gt;=0),"合法","输入违约")</x:f>
        <x:v>合法</x:v>
      </x:c>
    </x:row>
    <x:row r="1896" ht="23" customHeight="1">
      <x:c r="A1896" s="3" t="str">
        <x:v>CT-1889</x:v>
      </x:c>
      <x:c r="B1896" s="3" t="str">
        <x:v>ST-054</x:v>
      </x:c>
      <x:c r="C1896" s="3" t="str">
        <x:v>仅AR接收</x:v>
      </x:c>
      <x:c r="D1896" s="25" t="n">
        <x:v>4</x:v>
      </x:c>
      <x:c r="E1896" s="25" t="n">
        <x:v>0</x:v>
      </x:c>
      <x:c r="F1896" s="25" t="n">
        <x:v>1</x:v>
      </x:c>
      <x:c r="G1896" s="19" t="n">
        <x:f>SUM(D1896:F1896)</x:f>
        <x:v>5</x:v>
      </x:c>
      <x:c r="H1896" s="25" t="str">
        <x:v>-</x:v>
      </x:c>
      <x:c r="I1896" s="25" t="n">
        <x:v>1</x:v>
      </x:c>
      <x:c r="J1896" s="25" t="n">
        <x:v>1</x:v>
      </x:c>
      <x:c r="K1896" s="19" t="n">
        <x:f>D1896-IF(H1896=0,1,0)</x:f>
        <x:v>4</x:v>
      </x:c>
      <x:c r="L1896" s="19" t="n">
        <x:f>E1896-IF(H1896=1,1,0)</x:f>
        <x:v>0</x:v>
      </x:c>
      <x:c r="M1896" s="19" t="n">
        <x:f>F1896-IF(H1896=2,1,0)</x:f>
        <x:v>1</x:v>
      </x:c>
      <x:c r="N1896" s="19" t="n">
        <x:f>MAX(K1896-1,0)+MAX(L1896-1,0)+MAX(M1896-1,0)</x:f>
        <x:v>3</x:v>
      </x:c>
      <x:c r="O1896" s="19" t="n">
        <x:f>IF(AND(SUM(K1896:M1896)&lt;9,OR(M1896=0,N1896&lt;6)),1,0)</x:f>
        <x:v>1</x:v>
      </x:c>
      <x:c r="P1896" s="19" t="n">
        <x:f>IF(AND(SUM(K1896:M1896)&lt;9,OR(L1896=0,N1896&lt;6)),1,0)</x:f>
        <x:v>1</x:v>
      </x:c>
      <x:c r="Q1896" s="19" t="n">
        <x:f>IF(AND(SUM(K1896:M1896)&lt;9,OR(K1896=0,N1896&lt;6)),1,0)</x:f>
        <x:v>1</x:v>
      </x:c>
      <x:c r="R1896" s="22" t="str">
        <x:f>O1896&amp;P1896&amp;Q1896</x:f>
        <x:v>111</x:v>
      </x:c>
      <x:c r="S1896" s="19" t="n">
        <x:f>IF(I1896=1,IF(J1896=0,Q1896,IF(J1896=1,P1896,IF(J1896=2,O1896,0))),0)</x:f>
        <x:v>1</x:v>
      </x:c>
      <x:c r="T1896" s="19" t="n">
        <x:f>K1896+IF(AND(S1896=1,J1896=0),1,0)</x:f>
        <x:v>4</x:v>
      </x:c>
      <x:c r="U1896" s="19" t="n">
        <x:f>L1896+IF(AND(S1896=1,J1896=1),1,0)</x:f>
        <x:v>1</x:v>
      </x:c>
      <x:c r="V1896" s="19" t="n">
        <x:f>M1896+IF(AND(S1896=1,J1896=2),1,0)</x:f>
        <x:v>1</x:v>
      </x:c>
      <x:c r="W1896" s="19" t="n">
        <x:f>SUM(T1896:V1896)</x:f>
        <x:v>6</x:v>
      </x:c>
      <x:c r="X1896" s="19" t="n">
        <x:f>W1896-G1896</x:f>
        <x:v>1</x:v>
      </x:c>
      <x:c r="Y1896" s="19" t="n">
        <x:f>MAX(T1896,1)+MAX(U1896,1)+MAX(V1896,1)</x:f>
        <x:v>6</x:v>
      </x:c>
      <x:c r="Z1896" s="21" t="str">
        <x:f>IF(AND(MIN(D1896:F1896)&gt;=0,MAX(D1896:F1896)&lt;=7,MAX(D1896,1)+MAX(E1896,1)+MAX(F1896,1)&lt;=9,OR(H1896="-",AND(H1896=0,D1896&gt;0),AND(H1896=1,E1896&gt;0),AND(H1896=2,F1896&gt;0)),OR(I1896=0,AND(I1896=1,OR(J1896=0,J1896=1,J1896=2),R1896&lt;&gt;"000")),Y1896&lt;=9,MIN(T1896:V1896)&gt;=0),"合法","输入违约")</x:f>
        <x:v>合法</x:v>
      </x:c>
    </x:row>
    <x:row r="1897" ht="23" customHeight="1">
      <x:c r="A1897" s="3" t="str">
        <x:v>CT-1890</x:v>
      </x:c>
      <x:c r="B1897" s="3" t="str">
        <x:v>ST-054</x:v>
      </x:c>
      <x:c r="C1897" s="3" t="str">
        <x:v>仅AR接收</x:v>
      </x:c>
      <x:c r="D1897" s="25" t="n">
        <x:v>4</x:v>
      </x:c>
      <x:c r="E1897" s="25" t="n">
        <x:v>0</x:v>
      </x:c>
      <x:c r="F1897" s="25" t="n">
        <x:v>1</x:v>
      </x:c>
      <x:c r="G1897" s="19" t="n">
        <x:f>SUM(D1897:F1897)</x:f>
        <x:v>5</x:v>
      </x:c>
      <x:c r="H1897" s="25" t="str">
        <x:v>-</x:v>
      </x:c>
      <x:c r="I1897" s="25" t="n">
        <x:v>1</x:v>
      </x:c>
      <x:c r="J1897" s="25" t="n">
        <x:v>2</x:v>
      </x:c>
      <x:c r="K1897" s="19" t="n">
        <x:f>D1897-IF(H1897=0,1,0)</x:f>
        <x:v>4</x:v>
      </x:c>
      <x:c r="L1897" s="19" t="n">
        <x:f>E1897-IF(H1897=1,1,0)</x:f>
        <x:v>0</x:v>
      </x:c>
      <x:c r="M1897" s="19" t="n">
        <x:f>F1897-IF(H1897=2,1,0)</x:f>
        <x:v>1</x:v>
      </x:c>
      <x:c r="N1897" s="19" t="n">
        <x:f>MAX(K1897-1,0)+MAX(L1897-1,0)+MAX(M1897-1,0)</x:f>
        <x:v>3</x:v>
      </x:c>
      <x:c r="O1897" s="19" t="n">
        <x:f>IF(AND(SUM(K1897:M1897)&lt;9,OR(M1897=0,N1897&lt;6)),1,0)</x:f>
        <x:v>1</x:v>
      </x:c>
      <x:c r="P1897" s="19" t="n">
        <x:f>IF(AND(SUM(K1897:M1897)&lt;9,OR(L1897=0,N1897&lt;6)),1,0)</x:f>
        <x:v>1</x:v>
      </x:c>
      <x:c r="Q1897" s="19" t="n">
        <x:f>IF(AND(SUM(K1897:M1897)&lt;9,OR(K1897=0,N1897&lt;6)),1,0)</x:f>
        <x:v>1</x:v>
      </x:c>
      <x:c r="R1897" s="22" t="str">
        <x:f>O1897&amp;P1897&amp;Q1897</x:f>
        <x:v>111</x:v>
      </x:c>
      <x:c r="S1897" s="19" t="n">
        <x:f>IF(I1897=1,IF(J1897=0,Q1897,IF(J1897=1,P1897,IF(J1897=2,O1897,0))),0)</x:f>
        <x:v>1</x:v>
      </x:c>
      <x:c r="T1897" s="19" t="n">
        <x:f>K1897+IF(AND(S1897=1,J1897=0),1,0)</x:f>
        <x:v>4</x:v>
      </x:c>
      <x:c r="U1897" s="19" t="n">
        <x:f>L1897+IF(AND(S1897=1,J1897=1),1,0)</x:f>
        <x:v>0</x:v>
      </x:c>
      <x:c r="V1897" s="19" t="n">
        <x:f>M1897+IF(AND(S1897=1,J1897=2),1,0)</x:f>
        <x:v>2</x:v>
      </x:c>
      <x:c r="W1897" s="19" t="n">
        <x:f>SUM(T1897:V1897)</x:f>
        <x:v>6</x:v>
      </x:c>
      <x:c r="X1897" s="19" t="n">
        <x:f>W1897-G1897</x:f>
        <x:v>1</x:v>
      </x:c>
      <x:c r="Y1897" s="19" t="n">
        <x:f>MAX(T1897,1)+MAX(U1897,1)+MAX(V1897,1)</x:f>
        <x:v>7</x:v>
      </x:c>
      <x:c r="Z1897" s="21" t="str">
        <x:f>IF(AND(MIN(D1897:F1897)&gt;=0,MAX(D1897:F1897)&lt;=7,MAX(D1897,1)+MAX(E1897,1)+MAX(F1897,1)&lt;=9,OR(H1897="-",AND(H1897=0,D1897&gt;0),AND(H1897=1,E1897&gt;0),AND(H1897=2,F1897&gt;0)),OR(I1897=0,AND(I1897=1,OR(J1897=0,J1897=1,J1897=2),R1897&lt;&gt;"000")),Y1897&lt;=9,MIN(T1897:V1897)&gt;=0),"合法","输入违约")</x:f>
        <x:v>合法</x:v>
      </x:c>
    </x:row>
    <x:row r="1898" ht="23" customHeight="1">
      <x:c r="A1898" s="3" t="str">
        <x:v>CT-1891</x:v>
      </x:c>
      <x:c r="B1898" s="3" t="str">
        <x:v>ST-054</x:v>
      </x:c>
      <x:c r="C1898" s="3" t="str">
        <x:v>仅R回收</x:v>
      </x:c>
      <x:c r="D1898" s="25" t="n">
        <x:v>4</x:v>
      </x:c>
      <x:c r="E1898" s="25" t="n">
        <x:v>0</x:v>
      </x:c>
      <x:c r="F1898" s="25" t="n">
        <x:v>1</x:v>
      </x:c>
      <x:c r="G1898" s="19" t="n">
        <x:f>SUM(D1898:F1898)</x:f>
        <x:v>5</x:v>
      </x:c>
      <x:c r="H1898" s="25" t="n">
        <x:v>0</x:v>
      </x:c>
      <x:c r="I1898" s="25" t="n">
        <x:v>0</x:v>
      </x:c>
      <x:c r="J1898" s="25" t="str">
        <x:v>-</x:v>
      </x:c>
      <x:c r="K1898" s="19" t="n">
        <x:f>D1898-IF(H1898=0,1,0)</x:f>
        <x:v>3</x:v>
      </x:c>
      <x:c r="L1898" s="19" t="n">
        <x:f>E1898-IF(H1898=1,1,0)</x:f>
        <x:v>0</x:v>
      </x:c>
      <x:c r="M1898" s="19" t="n">
        <x:f>F1898-IF(H1898=2,1,0)</x:f>
        <x:v>1</x:v>
      </x:c>
      <x:c r="N1898" s="19" t="n">
        <x:f>MAX(K1898-1,0)+MAX(L1898-1,0)+MAX(M1898-1,0)</x:f>
        <x:v>2</x:v>
      </x:c>
      <x:c r="O1898" s="19" t="n">
        <x:f>IF(AND(SUM(K1898:M1898)&lt;9,OR(M1898=0,N1898&lt;6)),1,0)</x:f>
        <x:v>1</x:v>
      </x:c>
      <x:c r="P1898" s="19" t="n">
        <x:f>IF(AND(SUM(K1898:M1898)&lt;9,OR(L1898=0,N1898&lt;6)),1,0)</x:f>
        <x:v>1</x:v>
      </x:c>
      <x:c r="Q1898" s="19" t="n">
        <x:f>IF(AND(SUM(K1898:M1898)&lt;9,OR(K1898=0,N1898&lt;6)),1,0)</x:f>
        <x:v>1</x:v>
      </x:c>
      <x:c r="R1898" s="22" t="str">
        <x:f>O1898&amp;P1898&amp;Q1898</x:f>
        <x:v>111</x:v>
      </x:c>
      <x:c r="S1898" s="19" t="n">
        <x:f>IF(I1898=1,IF(J1898=0,Q1898,IF(J1898=1,P1898,IF(J1898=2,O1898,0))),0)</x:f>
        <x:v>0</x:v>
      </x:c>
      <x:c r="T1898" s="19" t="n">
        <x:f>K1898+IF(AND(S1898=1,J1898=0),1,0)</x:f>
        <x:v>3</x:v>
      </x:c>
      <x:c r="U1898" s="19" t="n">
        <x:f>L1898+IF(AND(S1898=1,J1898=1),1,0)</x:f>
        <x:v>0</x:v>
      </x:c>
      <x:c r="V1898" s="19" t="n">
        <x:f>M1898+IF(AND(S1898=1,J1898=2),1,0)</x:f>
        <x:v>1</x:v>
      </x:c>
      <x:c r="W1898" s="19" t="n">
        <x:f>SUM(T1898:V1898)</x:f>
        <x:v>4</x:v>
      </x:c>
      <x:c r="X1898" s="19" t="n">
        <x:f>W1898-G1898</x:f>
        <x:v>-1</x:v>
      </x:c>
      <x:c r="Y1898" s="19" t="n">
        <x:f>MAX(T1898,1)+MAX(U1898,1)+MAX(V1898,1)</x:f>
        <x:v>5</x:v>
      </x:c>
      <x:c r="Z1898" s="21" t="str">
        <x:f>IF(AND(MIN(D1898:F1898)&gt;=0,MAX(D1898:F1898)&lt;=7,MAX(D1898,1)+MAX(E1898,1)+MAX(F1898,1)&lt;=9,OR(H1898="-",AND(H1898=0,D1898&gt;0),AND(H1898=1,E1898&gt;0),AND(H1898=2,F1898&gt;0)),OR(I1898=0,AND(I1898=1,OR(J1898=0,J1898=1,J1898=2),R1898&lt;&gt;"000")),Y1898&lt;=9,MIN(T1898:V1898)&gt;=0),"合法","输入违约")</x:f>
        <x:v>合法</x:v>
      </x:c>
    </x:row>
    <x:row r="1899" ht="23" customHeight="1">
      <x:c r="A1899" s="3" t="str">
        <x:v>CT-1892</x:v>
      </x:c>
      <x:c r="B1899" s="3" t="str">
        <x:v>ST-054</x:v>
      </x:c>
      <x:c r="C1899" s="3" t="str">
        <x:v>R+AR同收同发</x:v>
      </x:c>
      <x:c r="D1899" s="25" t="n">
        <x:v>4</x:v>
      </x:c>
      <x:c r="E1899" s="25" t="n">
        <x:v>0</x:v>
      </x:c>
      <x:c r="F1899" s="25" t="n">
        <x:v>1</x:v>
      </x:c>
      <x:c r="G1899" s="19" t="n">
        <x:f>SUM(D1899:F1899)</x:f>
        <x:v>5</x:v>
      </x:c>
      <x:c r="H1899" s="25" t="n">
        <x:v>0</x:v>
      </x:c>
      <x:c r="I1899" s="25" t="n">
        <x:v>1</x:v>
      </x:c>
      <x:c r="J1899" s="25" t="n">
        <x:v>0</x:v>
      </x:c>
      <x:c r="K1899" s="19" t="n">
        <x:f>D1899-IF(H1899=0,1,0)</x:f>
        <x:v>3</x:v>
      </x:c>
      <x:c r="L1899" s="19" t="n">
        <x:f>E1899-IF(H1899=1,1,0)</x:f>
        <x:v>0</x:v>
      </x:c>
      <x:c r="M1899" s="19" t="n">
        <x:f>F1899-IF(H1899=2,1,0)</x:f>
        <x:v>1</x:v>
      </x:c>
      <x:c r="N1899" s="19" t="n">
        <x:f>MAX(K1899-1,0)+MAX(L1899-1,0)+MAX(M1899-1,0)</x:f>
        <x:v>2</x:v>
      </x:c>
      <x:c r="O1899" s="19" t="n">
        <x:f>IF(AND(SUM(K1899:M1899)&lt;9,OR(M1899=0,N1899&lt;6)),1,0)</x:f>
        <x:v>1</x:v>
      </x:c>
      <x:c r="P1899" s="19" t="n">
        <x:f>IF(AND(SUM(K1899:M1899)&lt;9,OR(L1899=0,N1899&lt;6)),1,0)</x:f>
        <x:v>1</x:v>
      </x:c>
      <x:c r="Q1899" s="19" t="n">
        <x:f>IF(AND(SUM(K1899:M1899)&lt;9,OR(K1899=0,N1899&lt;6)),1,0)</x:f>
        <x:v>1</x:v>
      </x:c>
      <x:c r="R1899" s="22" t="str">
        <x:f>O1899&amp;P1899&amp;Q1899</x:f>
        <x:v>111</x:v>
      </x:c>
      <x:c r="S1899" s="19" t="n">
        <x:f>IF(I1899=1,IF(J1899=0,Q1899,IF(J1899=1,P1899,IF(J1899=2,O1899,0))),0)</x:f>
        <x:v>1</x:v>
      </x:c>
      <x:c r="T1899" s="19" t="n">
        <x:f>K1899+IF(AND(S1899=1,J1899=0),1,0)</x:f>
        <x:v>4</x:v>
      </x:c>
      <x:c r="U1899" s="19" t="n">
        <x:f>L1899+IF(AND(S1899=1,J1899=1),1,0)</x:f>
        <x:v>0</x:v>
      </x:c>
      <x:c r="V1899" s="19" t="n">
        <x:f>M1899+IF(AND(S1899=1,J1899=2),1,0)</x:f>
        <x:v>1</x:v>
      </x:c>
      <x:c r="W1899" s="19" t="n">
        <x:f>SUM(T1899:V1899)</x:f>
        <x:v>5</x:v>
      </x:c>
      <x:c r="X1899" s="19" t="n">
        <x:f>W1899-G1899</x:f>
        <x:v>0</x:v>
      </x:c>
      <x:c r="Y1899" s="19" t="n">
        <x:f>MAX(T1899,1)+MAX(U1899,1)+MAX(V1899,1)</x:f>
        <x:v>6</x:v>
      </x:c>
      <x:c r="Z1899" s="21" t="str">
        <x:f>IF(AND(MIN(D1899:F1899)&gt;=0,MAX(D1899:F1899)&lt;=7,MAX(D1899,1)+MAX(E1899,1)+MAX(F1899,1)&lt;=9,OR(H1899="-",AND(H1899=0,D1899&gt;0),AND(H1899=1,E1899&gt;0),AND(H1899=2,F1899&gt;0)),OR(I1899=0,AND(I1899=1,OR(J1899=0,J1899=1,J1899=2),R1899&lt;&gt;"000")),Y1899&lt;=9,MIN(T1899:V1899)&gt;=0),"合法","输入违约")</x:f>
        <x:v>合法</x:v>
      </x:c>
    </x:row>
    <x:row r="1900" ht="23" customHeight="1">
      <x:c r="A1900" s="3" t="str">
        <x:v>CT-1893</x:v>
      </x:c>
      <x:c r="B1900" s="3" t="str">
        <x:v>ST-054</x:v>
      </x:c>
      <x:c r="C1900" s="3" t="str">
        <x:v>R+AR同收同发</x:v>
      </x:c>
      <x:c r="D1900" s="25" t="n">
        <x:v>4</x:v>
      </x:c>
      <x:c r="E1900" s="25" t="n">
        <x:v>0</x:v>
      </x:c>
      <x:c r="F1900" s="25" t="n">
        <x:v>1</x:v>
      </x:c>
      <x:c r="G1900" s="19" t="n">
        <x:f>SUM(D1900:F1900)</x:f>
        <x:v>5</x:v>
      </x:c>
      <x:c r="H1900" s="25" t="n">
        <x:v>0</x:v>
      </x:c>
      <x:c r="I1900" s="25" t="n">
        <x:v>1</x:v>
      </x:c>
      <x:c r="J1900" s="25" t="n">
        <x:v>1</x:v>
      </x:c>
      <x:c r="K1900" s="19" t="n">
        <x:f>D1900-IF(H1900=0,1,0)</x:f>
        <x:v>3</x:v>
      </x:c>
      <x:c r="L1900" s="19" t="n">
        <x:f>E1900-IF(H1900=1,1,0)</x:f>
        <x:v>0</x:v>
      </x:c>
      <x:c r="M1900" s="19" t="n">
        <x:f>F1900-IF(H1900=2,1,0)</x:f>
        <x:v>1</x:v>
      </x:c>
      <x:c r="N1900" s="19" t="n">
        <x:f>MAX(K1900-1,0)+MAX(L1900-1,0)+MAX(M1900-1,0)</x:f>
        <x:v>2</x:v>
      </x:c>
      <x:c r="O1900" s="19" t="n">
        <x:f>IF(AND(SUM(K1900:M1900)&lt;9,OR(M1900=0,N1900&lt;6)),1,0)</x:f>
        <x:v>1</x:v>
      </x:c>
      <x:c r="P1900" s="19" t="n">
        <x:f>IF(AND(SUM(K1900:M1900)&lt;9,OR(L1900=0,N1900&lt;6)),1,0)</x:f>
        <x:v>1</x:v>
      </x:c>
      <x:c r="Q1900" s="19" t="n">
        <x:f>IF(AND(SUM(K1900:M1900)&lt;9,OR(K1900=0,N1900&lt;6)),1,0)</x:f>
        <x:v>1</x:v>
      </x:c>
      <x:c r="R1900" s="22" t="str">
        <x:f>O1900&amp;P1900&amp;Q1900</x:f>
        <x:v>111</x:v>
      </x:c>
      <x:c r="S1900" s="19" t="n">
        <x:f>IF(I1900=1,IF(J1900=0,Q1900,IF(J1900=1,P1900,IF(J1900=2,O1900,0))),0)</x:f>
        <x:v>1</x:v>
      </x:c>
      <x:c r="T1900" s="19" t="n">
        <x:f>K1900+IF(AND(S1900=1,J1900=0),1,0)</x:f>
        <x:v>3</x:v>
      </x:c>
      <x:c r="U1900" s="19" t="n">
        <x:f>L1900+IF(AND(S1900=1,J1900=1),1,0)</x:f>
        <x:v>1</x:v>
      </x:c>
      <x:c r="V1900" s="19" t="n">
        <x:f>M1900+IF(AND(S1900=1,J1900=2),1,0)</x:f>
        <x:v>1</x:v>
      </x:c>
      <x:c r="W1900" s="19" t="n">
        <x:f>SUM(T1900:V1900)</x:f>
        <x:v>5</x:v>
      </x:c>
      <x:c r="X1900" s="19" t="n">
        <x:f>W1900-G1900</x:f>
        <x:v>0</x:v>
      </x:c>
      <x:c r="Y1900" s="19" t="n">
        <x:f>MAX(T1900,1)+MAX(U1900,1)+MAX(V1900,1)</x:f>
        <x:v>5</x:v>
      </x:c>
      <x:c r="Z1900" s="21" t="str">
        <x:f>IF(AND(MIN(D1900:F1900)&gt;=0,MAX(D1900:F1900)&lt;=7,MAX(D1900,1)+MAX(E1900,1)+MAX(F1900,1)&lt;=9,OR(H1900="-",AND(H1900=0,D1900&gt;0),AND(H1900=1,E1900&gt;0),AND(H1900=2,F1900&gt;0)),OR(I1900=0,AND(I1900=1,OR(J1900=0,J1900=1,J1900=2),R1900&lt;&gt;"000")),Y1900&lt;=9,MIN(T1900:V1900)&gt;=0),"合法","输入违约")</x:f>
        <x:v>合法</x:v>
      </x:c>
    </x:row>
    <x:row r="1901" ht="23" customHeight="1">
      <x:c r="A1901" s="3" t="str">
        <x:v>CT-1894</x:v>
      </x:c>
      <x:c r="B1901" s="3" t="str">
        <x:v>ST-054</x:v>
      </x:c>
      <x:c r="C1901" s="3" t="str">
        <x:v>R+AR同收同发</x:v>
      </x:c>
      <x:c r="D1901" s="25" t="n">
        <x:v>4</x:v>
      </x:c>
      <x:c r="E1901" s="25" t="n">
        <x:v>0</x:v>
      </x:c>
      <x:c r="F1901" s="25" t="n">
        <x:v>1</x:v>
      </x:c>
      <x:c r="G1901" s="19" t="n">
        <x:f>SUM(D1901:F1901)</x:f>
        <x:v>5</x:v>
      </x:c>
      <x:c r="H1901" s="25" t="n">
        <x:v>0</x:v>
      </x:c>
      <x:c r="I1901" s="25" t="n">
        <x:v>1</x:v>
      </x:c>
      <x:c r="J1901" s="25" t="n">
        <x:v>2</x:v>
      </x:c>
      <x:c r="K1901" s="19" t="n">
        <x:f>D1901-IF(H1901=0,1,0)</x:f>
        <x:v>3</x:v>
      </x:c>
      <x:c r="L1901" s="19" t="n">
        <x:f>E1901-IF(H1901=1,1,0)</x:f>
        <x:v>0</x:v>
      </x:c>
      <x:c r="M1901" s="19" t="n">
        <x:f>F1901-IF(H1901=2,1,0)</x:f>
        <x:v>1</x:v>
      </x:c>
      <x:c r="N1901" s="19" t="n">
        <x:f>MAX(K1901-1,0)+MAX(L1901-1,0)+MAX(M1901-1,0)</x:f>
        <x:v>2</x:v>
      </x:c>
      <x:c r="O1901" s="19" t="n">
        <x:f>IF(AND(SUM(K1901:M1901)&lt;9,OR(M1901=0,N1901&lt;6)),1,0)</x:f>
        <x:v>1</x:v>
      </x:c>
      <x:c r="P1901" s="19" t="n">
        <x:f>IF(AND(SUM(K1901:M1901)&lt;9,OR(L1901=0,N1901&lt;6)),1,0)</x:f>
        <x:v>1</x:v>
      </x:c>
      <x:c r="Q1901" s="19" t="n">
        <x:f>IF(AND(SUM(K1901:M1901)&lt;9,OR(K1901=0,N1901&lt;6)),1,0)</x:f>
        <x:v>1</x:v>
      </x:c>
      <x:c r="R1901" s="22" t="str">
        <x:f>O1901&amp;P1901&amp;Q1901</x:f>
        <x:v>111</x:v>
      </x:c>
      <x:c r="S1901" s="19" t="n">
        <x:f>IF(I1901=1,IF(J1901=0,Q1901,IF(J1901=1,P1901,IF(J1901=2,O1901,0))),0)</x:f>
        <x:v>1</x:v>
      </x:c>
      <x:c r="T1901" s="19" t="n">
        <x:f>K1901+IF(AND(S1901=1,J1901=0),1,0)</x:f>
        <x:v>3</x:v>
      </x:c>
      <x:c r="U1901" s="19" t="n">
        <x:f>L1901+IF(AND(S1901=1,J1901=1),1,0)</x:f>
        <x:v>0</x:v>
      </x:c>
      <x:c r="V1901" s="19" t="n">
        <x:f>M1901+IF(AND(S1901=1,J1901=2),1,0)</x:f>
        <x:v>2</x:v>
      </x:c>
      <x:c r="W1901" s="19" t="n">
        <x:f>SUM(T1901:V1901)</x:f>
        <x:v>5</x:v>
      </x:c>
      <x:c r="X1901" s="19" t="n">
        <x:f>W1901-G1901</x:f>
        <x:v>0</x:v>
      </x:c>
      <x:c r="Y1901" s="19" t="n">
        <x:f>MAX(T1901,1)+MAX(U1901,1)+MAX(V1901,1)</x:f>
        <x:v>6</x:v>
      </x:c>
      <x:c r="Z1901" s="21" t="str">
        <x:f>IF(AND(MIN(D1901:F1901)&gt;=0,MAX(D1901:F1901)&lt;=7,MAX(D1901,1)+MAX(E1901,1)+MAX(F1901,1)&lt;=9,OR(H1901="-",AND(H1901=0,D1901&gt;0),AND(H1901=1,E1901&gt;0),AND(H1901=2,F1901&gt;0)),OR(I1901=0,AND(I1901=1,OR(J1901=0,J1901=1,J1901=2),R1901&lt;&gt;"000")),Y1901&lt;=9,MIN(T1901:V1901)&gt;=0),"合法","输入违约")</x:f>
        <x:v>合法</x:v>
      </x:c>
    </x:row>
    <x:row r="1902" ht="23" customHeight="1">
      <x:c r="A1902" s="3" t="str">
        <x:v>CT-1895</x:v>
      </x:c>
      <x:c r="B1902" s="3" t="str">
        <x:v>ST-054</x:v>
      </x:c>
      <x:c r="C1902" s="3" t="str">
        <x:v>仅R回收</x:v>
      </x:c>
      <x:c r="D1902" s="25" t="n">
        <x:v>4</x:v>
      </x:c>
      <x:c r="E1902" s="25" t="n">
        <x:v>0</x:v>
      </x:c>
      <x:c r="F1902" s="25" t="n">
        <x:v>1</x:v>
      </x:c>
      <x:c r="G1902" s="19" t="n">
        <x:f>SUM(D1902:F1902)</x:f>
        <x:v>5</x:v>
      </x:c>
      <x:c r="H1902" s="25" t="n">
        <x:v>2</x:v>
      </x:c>
      <x:c r="I1902" s="25" t="n">
        <x:v>0</x:v>
      </x:c>
      <x:c r="J1902" s="25" t="str">
        <x:v>-</x:v>
      </x:c>
      <x:c r="K1902" s="19" t="n">
        <x:f>D1902-IF(H1902=0,1,0)</x:f>
        <x:v>4</x:v>
      </x:c>
      <x:c r="L1902" s="19" t="n">
        <x:f>E1902-IF(H1902=1,1,0)</x:f>
        <x:v>0</x:v>
      </x:c>
      <x:c r="M1902" s="19" t="n">
        <x:f>F1902-IF(H1902=2,1,0)</x:f>
        <x:v>0</x:v>
      </x:c>
      <x:c r="N1902" s="19" t="n">
        <x:f>MAX(K1902-1,0)+MAX(L1902-1,0)+MAX(M1902-1,0)</x:f>
        <x:v>3</x:v>
      </x:c>
      <x:c r="O1902" s="19" t="n">
        <x:f>IF(AND(SUM(K1902:M1902)&lt;9,OR(M1902=0,N1902&lt;6)),1,0)</x:f>
        <x:v>1</x:v>
      </x:c>
      <x:c r="P1902" s="19" t="n">
        <x:f>IF(AND(SUM(K1902:M1902)&lt;9,OR(L1902=0,N1902&lt;6)),1,0)</x:f>
        <x:v>1</x:v>
      </x:c>
      <x:c r="Q1902" s="19" t="n">
        <x:f>IF(AND(SUM(K1902:M1902)&lt;9,OR(K1902=0,N1902&lt;6)),1,0)</x:f>
        <x:v>1</x:v>
      </x:c>
      <x:c r="R1902" s="22" t="str">
        <x:f>O1902&amp;P1902&amp;Q1902</x:f>
        <x:v>111</x:v>
      </x:c>
      <x:c r="S1902" s="19" t="n">
        <x:f>IF(I1902=1,IF(J1902=0,Q1902,IF(J1902=1,P1902,IF(J1902=2,O1902,0))),0)</x:f>
        <x:v>0</x:v>
      </x:c>
      <x:c r="T1902" s="19" t="n">
        <x:f>K1902+IF(AND(S1902=1,J1902=0),1,0)</x:f>
        <x:v>4</x:v>
      </x:c>
      <x:c r="U1902" s="19" t="n">
        <x:f>L1902+IF(AND(S1902=1,J1902=1),1,0)</x:f>
        <x:v>0</x:v>
      </x:c>
      <x:c r="V1902" s="19" t="n">
        <x:f>M1902+IF(AND(S1902=1,J1902=2),1,0)</x:f>
        <x:v>0</x:v>
      </x:c>
      <x:c r="W1902" s="19" t="n">
        <x:f>SUM(T1902:V1902)</x:f>
        <x:v>4</x:v>
      </x:c>
      <x:c r="X1902" s="19" t="n">
        <x:f>W1902-G1902</x:f>
        <x:v>-1</x:v>
      </x:c>
      <x:c r="Y1902" s="19" t="n">
        <x:f>MAX(T1902,1)+MAX(U1902,1)+MAX(V1902,1)</x:f>
        <x:v>6</x:v>
      </x:c>
      <x:c r="Z1902" s="21" t="str">
        <x:f>IF(AND(MIN(D1902:F1902)&gt;=0,MAX(D1902:F1902)&lt;=7,MAX(D1902,1)+MAX(E1902,1)+MAX(F1902,1)&lt;=9,OR(H1902="-",AND(H1902=0,D1902&gt;0),AND(H1902=1,E1902&gt;0),AND(H1902=2,F1902&gt;0)),OR(I1902=0,AND(I1902=1,OR(J1902=0,J1902=1,J1902=2),R1902&lt;&gt;"000")),Y1902&lt;=9,MIN(T1902:V1902)&gt;=0),"合法","输入违约")</x:f>
        <x:v>合法</x:v>
      </x:c>
    </x:row>
    <x:row r="1903" ht="23" customHeight="1">
      <x:c r="A1903" s="3" t="str">
        <x:v>CT-1896</x:v>
      </x:c>
      <x:c r="B1903" s="3" t="str">
        <x:v>ST-054</x:v>
      </x:c>
      <x:c r="C1903" s="3" t="str">
        <x:v>R+AR同收同发</x:v>
      </x:c>
      <x:c r="D1903" s="25" t="n">
        <x:v>4</x:v>
      </x:c>
      <x:c r="E1903" s="25" t="n">
        <x:v>0</x:v>
      </x:c>
      <x:c r="F1903" s="25" t="n">
        <x:v>1</x:v>
      </x:c>
      <x:c r="G1903" s="19" t="n">
        <x:f>SUM(D1903:F1903)</x:f>
        <x:v>5</x:v>
      </x:c>
      <x:c r="H1903" s="25" t="n">
        <x:v>2</x:v>
      </x:c>
      <x:c r="I1903" s="25" t="n">
        <x:v>1</x:v>
      </x:c>
      <x:c r="J1903" s="25" t="n">
        <x:v>0</x:v>
      </x:c>
      <x:c r="K1903" s="19" t="n">
        <x:f>D1903-IF(H1903=0,1,0)</x:f>
        <x:v>4</x:v>
      </x:c>
      <x:c r="L1903" s="19" t="n">
        <x:f>E1903-IF(H1903=1,1,0)</x:f>
        <x:v>0</x:v>
      </x:c>
      <x:c r="M1903" s="19" t="n">
        <x:f>F1903-IF(H1903=2,1,0)</x:f>
        <x:v>0</x:v>
      </x:c>
      <x:c r="N1903" s="19" t="n">
        <x:f>MAX(K1903-1,0)+MAX(L1903-1,0)+MAX(M1903-1,0)</x:f>
        <x:v>3</x:v>
      </x:c>
      <x:c r="O1903" s="19" t="n">
        <x:f>IF(AND(SUM(K1903:M1903)&lt;9,OR(M1903=0,N1903&lt;6)),1,0)</x:f>
        <x:v>1</x:v>
      </x:c>
      <x:c r="P1903" s="19" t="n">
        <x:f>IF(AND(SUM(K1903:M1903)&lt;9,OR(L1903=0,N1903&lt;6)),1,0)</x:f>
        <x:v>1</x:v>
      </x:c>
      <x:c r="Q1903" s="19" t="n">
        <x:f>IF(AND(SUM(K1903:M1903)&lt;9,OR(K1903=0,N1903&lt;6)),1,0)</x:f>
        <x:v>1</x:v>
      </x:c>
      <x:c r="R1903" s="22" t="str">
        <x:f>O1903&amp;P1903&amp;Q1903</x:f>
        <x:v>111</x:v>
      </x:c>
      <x:c r="S1903" s="19" t="n">
        <x:f>IF(I1903=1,IF(J1903=0,Q1903,IF(J1903=1,P1903,IF(J1903=2,O1903,0))),0)</x:f>
        <x:v>1</x:v>
      </x:c>
      <x:c r="T1903" s="19" t="n">
        <x:f>K1903+IF(AND(S1903=1,J1903=0),1,0)</x:f>
        <x:v>5</x:v>
      </x:c>
      <x:c r="U1903" s="19" t="n">
        <x:f>L1903+IF(AND(S1903=1,J1903=1),1,0)</x:f>
        <x:v>0</x:v>
      </x:c>
      <x:c r="V1903" s="19" t="n">
        <x:f>M1903+IF(AND(S1903=1,J1903=2),1,0)</x:f>
        <x:v>0</x:v>
      </x:c>
      <x:c r="W1903" s="19" t="n">
        <x:f>SUM(T1903:V1903)</x:f>
        <x:v>5</x:v>
      </x:c>
      <x:c r="X1903" s="19" t="n">
        <x:f>W1903-G1903</x:f>
        <x:v>0</x:v>
      </x:c>
      <x:c r="Y1903" s="19" t="n">
        <x:f>MAX(T1903,1)+MAX(U1903,1)+MAX(V1903,1)</x:f>
        <x:v>7</x:v>
      </x:c>
      <x:c r="Z1903" s="21" t="str">
        <x:f>IF(AND(MIN(D1903:F1903)&gt;=0,MAX(D1903:F1903)&lt;=7,MAX(D1903,1)+MAX(E1903,1)+MAX(F1903,1)&lt;=9,OR(H1903="-",AND(H1903=0,D1903&gt;0),AND(H1903=1,E1903&gt;0),AND(H1903=2,F1903&gt;0)),OR(I1903=0,AND(I1903=1,OR(J1903=0,J1903=1,J1903=2),R1903&lt;&gt;"000")),Y1903&lt;=9,MIN(T1903:V1903)&gt;=0),"合法","输入违约")</x:f>
        <x:v>合法</x:v>
      </x:c>
    </x:row>
    <x:row r="1904" ht="23" customHeight="1">
      <x:c r="A1904" s="3" t="str">
        <x:v>CT-1897</x:v>
      </x:c>
      <x:c r="B1904" s="3" t="str">
        <x:v>ST-054</x:v>
      </x:c>
      <x:c r="C1904" s="3" t="str">
        <x:v>R+AR同收同发</x:v>
      </x:c>
      <x:c r="D1904" s="25" t="n">
        <x:v>4</x:v>
      </x:c>
      <x:c r="E1904" s="25" t="n">
        <x:v>0</x:v>
      </x:c>
      <x:c r="F1904" s="25" t="n">
        <x:v>1</x:v>
      </x:c>
      <x:c r="G1904" s="19" t="n">
        <x:f>SUM(D1904:F1904)</x:f>
        <x:v>5</x:v>
      </x:c>
      <x:c r="H1904" s="25" t="n">
        <x:v>2</x:v>
      </x:c>
      <x:c r="I1904" s="25" t="n">
        <x:v>1</x:v>
      </x:c>
      <x:c r="J1904" s="25" t="n">
        <x:v>1</x:v>
      </x:c>
      <x:c r="K1904" s="19" t="n">
        <x:f>D1904-IF(H1904=0,1,0)</x:f>
        <x:v>4</x:v>
      </x:c>
      <x:c r="L1904" s="19" t="n">
        <x:f>E1904-IF(H1904=1,1,0)</x:f>
        <x:v>0</x:v>
      </x:c>
      <x:c r="M1904" s="19" t="n">
        <x:f>F1904-IF(H1904=2,1,0)</x:f>
        <x:v>0</x:v>
      </x:c>
      <x:c r="N1904" s="19" t="n">
        <x:f>MAX(K1904-1,0)+MAX(L1904-1,0)+MAX(M1904-1,0)</x:f>
        <x:v>3</x:v>
      </x:c>
      <x:c r="O1904" s="19" t="n">
        <x:f>IF(AND(SUM(K1904:M1904)&lt;9,OR(M1904=0,N1904&lt;6)),1,0)</x:f>
        <x:v>1</x:v>
      </x:c>
      <x:c r="P1904" s="19" t="n">
        <x:f>IF(AND(SUM(K1904:M1904)&lt;9,OR(L1904=0,N1904&lt;6)),1,0)</x:f>
        <x:v>1</x:v>
      </x:c>
      <x:c r="Q1904" s="19" t="n">
        <x:f>IF(AND(SUM(K1904:M1904)&lt;9,OR(K1904=0,N1904&lt;6)),1,0)</x:f>
        <x:v>1</x:v>
      </x:c>
      <x:c r="R1904" s="22" t="str">
        <x:f>O1904&amp;P1904&amp;Q1904</x:f>
        <x:v>111</x:v>
      </x:c>
      <x:c r="S1904" s="19" t="n">
        <x:f>IF(I1904=1,IF(J1904=0,Q1904,IF(J1904=1,P1904,IF(J1904=2,O1904,0))),0)</x:f>
        <x:v>1</x:v>
      </x:c>
      <x:c r="T1904" s="19" t="n">
        <x:f>K1904+IF(AND(S1904=1,J1904=0),1,0)</x:f>
        <x:v>4</x:v>
      </x:c>
      <x:c r="U1904" s="19" t="n">
        <x:f>L1904+IF(AND(S1904=1,J1904=1),1,0)</x:f>
        <x:v>1</x:v>
      </x:c>
      <x:c r="V1904" s="19" t="n">
        <x:f>M1904+IF(AND(S1904=1,J1904=2),1,0)</x:f>
        <x:v>0</x:v>
      </x:c>
      <x:c r="W1904" s="19" t="n">
        <x:f>SUM(T1904:V1904)</x:f>
        <x:v>5</x:v>
      </x:c>
      <x:c r="X1904" s="19" t="n">
        <x:f>W1904-G1904</x:f>
        <x:v>0</x:v>
      </x:c>
      <x:c r="Y1904" s="19" t="n">
        <x:f>MAX(T1904,1)+MAX(U1904,1)+MAX(V1904,1)</x:f>
        <x:v>6</x:v>
      </x:c>
      <x:c r="Z1904" s="21" t="str">
        <x:f>IF(AND(MIN(D1904:F1904)&gt;=0,MAX(D1904:F1904)&lt;=7,MAX(D1904,1)+MAX(E1904,1)+MAX(F1904,1)&lt;=9,OR(H1904="-",AND(H1904=0,D1904&gt;0),AND(H1904=1,E1904&gt;0),AND(H1904=2,F1904&gt;0)),OR(I1904=0,AND(I1904=1,OR(J1904=0,J1904=1,J1904=2),R1904&lt;&gt;"000")),Y1904&lt;=9,MIN(T1904:V1904)&gt;=0),"合法","输入违约")</x:f>
        <x:v>合法</x:v>
      </x:c>
    </x:row>
    <x:row r="1905" ht="23" customHeight="1">
      <x:c r="A1905" s="3" t="str">
        <x:v>CT-1898</x:v>
      </x:c>
      <x:c r="B1905" s="3" t="str">
        <x:v>ST-054</x:v>
      </x:c>
      <x:c r="C1905" s="3" t="str">
        <x:v>R+AR同收同发</x:v>
      </x:c>
      <x:c r="D1905" s="25" t="n">
        <x:v>4</x:v>
      </x:c>
      <x:c r="E1905" s="25" t="n">
        <x:v>0</x:v>
      </x:c>
      <x:c r="F1905" s="25" t="n">
        <x:v>1</x:v>
      </x:c>
      <x:c r="G1905" s="19" t="n">
        <x:f>SUM(D1905:F1905)</x:f>
        <x:v>5</x:v>
      </x:c>
      <x:c r="H1905" s="25" t="n">
        <x:v>2</x:v>
      </x:c>
      <x:c r="I1905" s="25" t="n">
        <x:v>1</x:v>
      </x:c>
      <x:c r="J1905" s="25" t="n">
        <x:v>2</x:v>
      </x:c>
      <x:c r="K1905" s="19" t="n">
        <x:f>D1905-IF(H1905=0,1,0)</x:f>
        <x:v>4</x:v>
      </x:c>
      <x:c r="L1905" s="19" t="n">
        <x:f>E1905-IF(H1905=1,1,0)</x:f>
        <x:v>0</x:v>
      </x:c>
      <x:c r="M1905" s="19" t="n">
        <x:f>F1905-IF(H1905=2,1,0)</x:f>
        <x:v>0</x:v>
      </x:c>
      <x:c r="N1905" s="19" t="n">
        <x:f>MAX(K1905-1,0)+MAX(L1905-1,0)+MAX(M1905-1,0)</x:f>
        <x:v>3</x:v>
      </x:c>
      <x:c r="O1905" s="19" t="n">
        <x:f>IF(AND(SUM(K1905:M1905)&lt;9,OR(M1905=0,N1905&lt;6)),1,0)</x:f>
        <x:v>1</x:v>
      </x:c>
      <x:c r="P1905" s="19" t="n">
        <x:f>IF(AND(SUM(K1905:M1905)&lt;9,OR(L1905=0,N1905&lt;6)),1,0)</x:f>
        <x:v>1</x:v>
      </x:c>
      <x:c r="Q1905" s="19" t="n">
        <x:f>IF(AND(SUM(K1905:M1905)&lt;9,OR(K1905=0,N1905&lt;6)),1,0)</x:f>
        <x:v>1</x:v>
      </x:c>
      <x:c r="R1905" s="22" t="str">
        <x:f>O1905&amp;P1905&amp;Q1905</x:f>
        <x:v>111</x:v>
      </x:c>
      <x:c r="S1905" s="19" t="n">
        <x:f>IF(I1905=1,IF(J1905=0,Q1905,IF(J1905=1,P1905,IF(J1905=2,O1905,0))),0)</x:f>
        <x:v>1</x:v>
      </x:c>
      <x:c r="T1905" s="19" t="n">
        <x:f>K1905+IF(AND(S1905=1,J1905=0),1,0)</x:f>
        <x:v>4</x:v>
      </x:c>
      <x:c r="U1905" s="19" t="n">
        <x:f>L1905+IF(AND(S1905=1,J1905=1),1,0)</x:f>
        <x:v>0</x:v>
      </x:c>
      <x:c r="V1905" s="19" t="n">
        <x:f>M1905+IF(AND(S1905=1,J1905=2),1,0)</x:f>
        <x:v>1</x:v>
      </x:c>
      <x:c r="W1905" s="19" t="n">
        <x:f>SUM(T1905:V1905)</x:f>
        <x:v>5</x:v>
      </x:c>
      <x:c r="X1905" s="19" t="n">
        <x:f>W1905-G1905</x:f>
        <x:v>0</x:v>
      </x:c>
      <x:c r="Y1905" s="19" t="n">
        <x:f>MAX(T1905,1)+MAX(U1905,1)+MAX(V1905,1)</x:f>
        <x:v>6</x:v>
      </x:c>
      <x:c r="Z1905" s="21" t="str">
        <x:f>IF(AND(MIN(D1905:F1905)&gt;=0,MAX(D1905:F1905)&lt;=7,MAX(D1905,1)+MAX(E1905,1)+MAX(F1905,1)&lt;=9,OR(H1905="-",AND(H1905=0,D1905&gt;0),AND(H1905=1,E1905&gt;0),AND(H1905=2,F1905&gt;0)),OR(I1905=0,AND(I1905=1,OR(J1905=0,J1905=1,J1905=2),R1905&lt;&gt;"000")),Y1905&lt;=9,MIN(T1905:V1905)&gt;=0),"合法","输入违约")</x:f>
        <x:v>合法</x:v>
      </x:c>
    </x:row>
    <x:row r="1906" ht="23" customHeight="1">
      <x:c r="A1906" s="3" t="str">
        <x:v>CT-1899</x:v>
      </x:c>
      <x:c r="B1906" s="3" t="str">
        <x:v>ST-079</x:v>
      </x:c>
      <x:c r="C1906" s="3" t="str">
        <x:v>无AR/R</x:v>
      </x:c>
      <x:c r="D1906" s="25" t="n">
        <x:v>4</x:v>
      </x:c>
      <x:c r="E1906" s="25" t="n">
        <x:v>0</x:v>
      </x:c>
      <x:c r="F1906" s="25" t="n">
        <x:v>2</x:v>
      </x:c>
      <x:c r="G1906" s="19" t="n">
        <x:f>SUM(D1906:F1906)</x:f>
        <x:v>6</x:v>
      </x:c>
      <x:c r="H1906" s="25" t="str">
        <x:v>-</x:v>
      </x:c>
      <x:c r="I1906" s="25" t="n">
        <x:v>0</x:v>
      </x:c>
      <x:c r="J1906" s="25" t="str">
        <x:v>-</x:v>
      </x:c>
      <x:c r="K1906" s="19" t="n">
        <x:f>D1906-IF(H1906=0,1,0)</x:f>
        <x:v>4</x:v>
      </x:c>
      <x:c r="L1906" s="19" t="n">
        <x:f>E1906-IF(H1906=1,1,0)</x:f>
        <x:v>0</x:v>
      </x:c>
      <x:c r="M1906" s="19" t="n">
        <x:f>F1906-IF(H1906=2,1,0)</x:f>
        <x:v>2</x:v>
      </x:c>
      <x:c r="N1906" s="19" t="n">
        <x:f>MAX(K1906-1,0)+MAX(L1906-1,0)+MAX(M1906-1,0)</x:f>
        <x:v>4</x:v>
      </x:c>
      <x:c r="O1906" s="19" t="n">
        <x:f>IF(AND(SUM(K1906:M1906)&lt;9,OR(M1906=0,N1906&lt;6)),1,0)</x:f>
        <x:v>1</x:v>
      </x:c>
      <x:c r="P1906" s="19" t="n">
        <x:f>IF(AND(SUM(K1906:M1906)&lt;9,OR(L1906=0,N1906&lt;6)),1,0)</x:f>
        <x:v>1</x:v>
      </x:c>
      <x:c r="Q1906" s="19" t="n">
        <x:f>IF(AND(SUM(K1906:M1906)&lt;9,OR(K1906=0,N1906&lt;6)),1,0)</x:f>
        <x:v>1</x:v>
      </x:c>
      <x:c r="R1906" s="22" t="str">
        <x:f>O1906&amp;P1906&amp;Q1906</x:f>
        <x:v>111</x:v>
      </x:c>
      <x:c r="S1906" s="19" t="n">
        <x:f>IF(I1906=1,IF(J1906=0,Q1906,IF(J1906=1,P1906,IF(J1906=2,O1906,0))),0)</x:f>
        <x:v>0</x:v>
      </x:c>
      <x:c r="T1906" s="19" t="n">
        <x:f>K1906+IF(AND(S1906=1,J1906=0),1,0)</x:f>
        <x:v>4</x:v>
      </x:c>
      <x:c r="U1906" s="19" t="n">
        <x:f>L1906+IF(AND(S1906=1,J1906=1),1,0)</x:f>
        <x:v>0</x:v>
      </x:c>
      <x:c r="V1906" s="19" t="n">
        <x:f>M1906+IF(AND(S1906=1,J1906=2),1,0)</x:f>
        <x:v>2</x:v>
      </x:c>
      <x:c r="W1906" s="19" t="n">
        <x:f>SUM(T1906:V1906)</x:f>
        <x:v>6</x:v>
      </x:c>
      <x:c r="X1906" s="19" t="n">
        <x:f>W1906-G1906</x:f>
        <x:v>0</x:v>
      </x:c>
      <x:c r="Y1906" s="19" t="n">
        <x:f>MAX(T1906,1)+MAX(U1906,1)+MAX(V1906,1)</x:f>
        <x:v>7</x:v>
      </x:c>
      <x:c r="Z1906" s="21" t="str">
        <x:f>IF(AND(MIN(D1906:F1906)&gt;=0,MAX(D1906:F1906)&lt;=7,MAX(D1906,1)+MAX(E1906,1)+MAX(F1906,1)&lt;=9,OR(H1906="-",AND(H1906=0,D1906&gt;0),AND(H1906=1,E1906&gt;0),AND(H1906=2,F1906&gt;0)),OR(I1906=0,AND(I1906=1,OR(J1906=0,J1906=1,J1906=2),R1906&lt;&gt;"000")),Y1906&lt;=9,MIN(T1906:V1906)&gt;=0),"合法","输入违约")</x:f>
        <x:v>合法</x:v>
      </x:c>
    </x:row>
    <x:row r="1907" ht="23" customHeight="1">
      <x:c r="A1907" s="3" t="str">
        <x:v>CT-1900</x:v>
      </x:c>
      <x:c r="B1907" s="3" t="str">
        <x:v>ST-079</x:v>
      </x:c>
      <x:c r="C1907" s="3" t="str">
        <x:v>仅AR接收</x:v>
      </x:c>
      <x:c r="D1907" s="25" t="n">
        <x:v>4</x:v>
      </x:c>
      <x:c r="E1907" s="25" t="n">
        <x:v>0</x:v>
      </x:c>
      <x:c r="F1907" s="25" t="n">
        <x:v>2</x:v>
      </x:c>
      <x:c r="G1907" s="19" t="n">
        <x:f>SUM(D1907:F1907)</x:f>
        <x:v>6</x:v>
      </x:c>
      <x:c r="H1907" s="25" t="str">
        <x:v>-</x:v>
      </x:c>
      <x:c r="I1907" s="25" t="n">
        <x:v>1</x:v>
      </x:c>
      <x:c r="J1907" s="25" t="n">
        <x:v>0</x:v>
      </x:c>
      <x:c r="K1907" s="19" t="n">
        <x:f>D1907-IF(H1907=0,1,0)</x:f>
        <x:v>4</x:v>
      </x:c>
      <x:c r="L1907" s="19" t="n">
        <x:f>E1907-IF(H1907=1,1,0)</x:f>
        <x:v>0</x:v>
      </x:c>
      <x:c r="M1907" s="19" t="n">
        <x:f>F1907-IF(H1907=2,1,0)</x:f>
        <x:v>2</x:v>
      </x:c>
      <x:c r="N1907" s="19" t="n">
        <x:f>MAX(K1907-1,0)+MAX(L1907-1,0)+MAX(M1907-1,0)</x:f>
        <x:v>4</x:v>
      </x:c>
      <x:c r="O1907" s="19" t="n">
        <x:f>IF(AND(SUM(K1907:M1907)&lt;9,OR(M1907=0,N1907&lt;6)),1,0)</x:f>
        <x:v>1</x:v>
      </x:c>
      <x:c r="P1907" s="19" t="n">
        <x:f>IF(AND(SUM(K1907:M1907)&lt;9,OR(L1907=0,N1907&lt;6)),1,0)</x:f>
        <x:v>1</x:v>
      </x:c>
      <x:c r="Q1907" s="19" t="n">
        <x:f>IF(AND(SUM(K1907:M1907)&lt;9,OR(K1907=0,N1907&lt;6)),1,0)</x:f>
        <x:v>1</x:v>
      </x:c>
      <x:c r="R1907" s="22" t="str">
        <x:f>O1907&amp;P1907&amp;Q1907</x:f>
        <x:v>111</x:v>
      </x:c>
      <x:c r="S1907" s="19" t="n">
        <x:f>IF(I1907=1,IF(J1907=0,Q1907,IF(J1907=1,P1907,IF(J1907=2,O1907,0))),0)</x:f>
        <x:v>1</x:v>
      </x:c>
      <x:c r="T1907" s="19" t="n">
        <x:f>K1907+IF(AND(S1907=1,J1907=0),1,0)</x:f>
        <x:v>5</x:v>
      </x:c>
      <x:c r="U1907" s="19" t="n">
        <x:f>L1907+IF(AND(S1907=1,J1907=1),1,0)</x:f>
        <x:v>0</x:v>
      </x:c>
      <x:c r="V1907" s="19" t="n">
        <x:f>M1907+IF(AND(S1907=1,J1907=2),1,0)</x:f>
        <x:v>2</x:v>
      </x:c>
      <x:c r="W1907" s="19" t="n">
        <x:f>SUM(T1907:V1907)</x:f>
        <x:v>7</x:v>
      </x:c>
      <x:c r="X1907" s="19" t="n">
        <x:f>W1907-G1907</x:f>
        <x:v>1</x:v>
      </x:c>
      <x:c r="Y1907" s="19" t="n">
        <x:f>MAX(T1907,1)+MAX(U1907,1)+MAX(V1907,1)</x:f>
        <x:v>8</x:v>
      </x:c>
      <x:c r="Z1907" s="21" t="str">
        <x:f>IF(AND(MIN(D1907:F1907)&gt;=0,MAX(D1907:F1907)&lt;=7,MAX(D1907,1)+MAX(E1907,1)+MAX(F1907,1)&lt;=9,OR(H1907="-",AND(H1907=0,D1907&gt;0),AND(H1907=1,E1907&gt;0),AND(H1907=2,F1907&gt;0)),OR(I1907=0,AND(I1907=1,OR(J1907=0,J1907=1,J1907=2),R1907&lt;&gt;"000")),Y1907&lt;=9,MIN(T1907:V1907)&gt;=0),"合法","输入违约")</x:f>
        <x:v>合法</x:v>
      </x:c>
    </x:row>
    <x:row r="1908" ht="23" customHeight="1">
      <x:c r="A1908" s="3" t="str">
        <x:v>CT-1901</x:v>
      </x:c>
      <x:c r="B1908" s="3" t="str">
        <x:v>ST-079</x:v>
      </x:c>
      <x:c r="C1908" s="3" t="str">
        <x:v>仅AR接收</x:v>
      </x:c>
      <x:c r="D1908" s="25" t="n">
        <x:v>4</x:v>
      </x:c>
      <x:c r="E1908" s="25" t="n">
        <x:v>0</x:v>
      </x:c>
      <x:c r="F1908" s="25" t="n">
        <x:v>2</x:v>
      </x:c>
      <x:c r="G1908" s="19" t="n">
        <x:f>SUM(D1908:F1908)</x:f>
        <x:v>6</x:v>
      </x:c>
      <x:c r="H1908" s="25" t="str">
        <x:v>-</x:v>
      </x:c>
      <x:c r="I1908" s="25" t="n">
        <x:v>1</x:v>
      </x:c>
      <x:c r="J1908" s="25" t="n">
        <x:v>1</x:v>
      </x:c>
      <x:c r="K1908" s="19" t="n">
        <x:f>D1908-IF(H1908=0,1,0)</x:f>
        <x:v>4</x:v>
      </x:c>
      <x:c r="L1908" s="19" t="n">
        <x:f>E1908-IF(H1908=1,1,0)</x:f>
        <x:v>0</x:v>
      </x:c>
      <x:c r="M1908" s="19" t="n">
        <x:f>F1908-IF(H1908=2,1,0)</x:f>
        <x:v>2</x:v>
      </x:c>
      <x:c r="N1908" s="19" t="n">
        <x:f>MAX(K1908-1,0)+MAX(L1908-1,0)+MAX(M1908-1,0)</x:f>
        <x:v>4</x:v>
      </x:c>
      <x:c r="O1908" s="19" t="n">
        <x:f>IF(AND(SUM(K1908:M1908)&lt;9,OR(M1908=0,N1908&lt;6)),1,0)</x:f>
        <x:v>1</x:v>
      </x:c>
      <x:c r="P1908" s="19" t="n">
        <x:f>IF(AND(SUM(K1908:M1908)&lt;9,OR(L1908=0,N1908&lt;6)),1,0)</x:f>
        <x:v>1</x:v>
      </x:c>
      <x:c r="Q1908" s="19" t="n">
        <x:f>IF(AND(SUM(K1908:M1908)&lt;9,OR(K1908=0,N1908&lt;6)),1,0)</x:f>
        <x:v>1</x:v>
      </x:c>
      <x:c r="R1908" s="22" t="str">
        <x:f>O1908&amp;P1908&amp;Q1908</x:f>
        <x:v>111</x:v>
      </x:c>
      <x:c r="S1908" s="19" t="n">
        <x:f>IF(I1908=1,IF(J1908=0,Q1908,IF(J1908=1,P1908,IF(J1908=2,O1908,0))),0)</x:f>
        <x:v>1</x:v>
      </x:c>
      <x:c r="T1908" s="19" t="n">
        <x:f>K1908+IF(AND(S1908=1,J1908=0),1,0)</x:f>
        <x:v>4</x:v>
      </x:c>
      <x:c r="U1908" s="19" t="n">
        <x:f>L1908+IF(AND(S1908=1,J1908=1),1,0)</x:f>
        <x:v>1</x:v>
      </x:c>
      <x:c r="V1908" s="19" t="n">
        <x:f>M1908+IF(AND(S1908=1,J1908=2),1,0)</x:f>
        <x:v>2</x:v>
      </x:c>
      <x:c r="W1908" s="19" t="n">
        <x:f>SUM(T1908:V1908)</x:f>
        <x:v>7</x:v>
      </x:c>
      <x:c r="X1908" s="19" t="n">
        <x:f>W1908-G1908</x:f>
        <x:v>1</x:v>
      </x:c>
      <x:c r="Y1908" s="19" t="n">
        <x:f>MAX(T1908,1)+MAX(U1908,1)+MAX(V1908,1)</x:f>
        <x:v>7</x:v>
      </x:c>
      <x:c r="Z1908" s="21" t="str">
        <x:f>IF(AND(MIN(D1908:F1908)&gt;=0,MAX(D1908:F1908)&lt;=7,MAX(D1908,1)+MAX(E1908,1)+MAX(F1908,1)&lt;=9,OR(H1908="-",AND(H1908=0,D1908&gt;0),AND(H1908=1,E1908&gt;0),AND(H1908=2,F1908&gt;0)),OR(I1908=0,AND(I1908=1,OR(J1908=0,J1908=1,J1908=2),R1908&lt;&gt;"000")),Y1908&lt;=9,MIN(T1908:V1908)&gt;=0),"合法","输入违约")</x:f>
        <x:v>合法</x:v>
      </x:c>
    </x:row>
    <x:row r="1909" ht="23" customHeight="1">
      <x:c r="A1909" s="3" t="str">
        <x:v>CT-1902</x:v>
      </x:c>
      <x:c r="B1909" s="3" t="str">
        <x:v>ST-079</x:v>
      </x:c>
      <x:c r="C1909" s="3" t="str">
        <x:v>仅AR接收</x:v>
      </x:c>
      <x:c r="D1909" s="25" t="n">
        <x:v>4</x:v>
      </x:c>
      <x:c r="E1909" s="25" t="n">
        <x:v>0</x:v>
      </x:c>
      <x:c r="F1909" s="25" t="n">
        <x:v>2</x:v>
      </x:c>
      <x:c r="G1909" s="19" t="n">
        <x:f>SUM(D1909:F1909)</x:f>
        <x:v>6</x:v>
      </x:c>
      <x:c r="H1909" s="25" t="str">
        <x:v>-</x:v>
      </x:c>
      <x:c r="I1909" s="25" t="n">
        <x:v>1</x:v>
      </x:c>
      <x:c r="J1909" s="25" t="n">
        <x:v>2</x:v>
      </x:c>
      <x:c r="K1909" s="19" t="n">
        <x:f>D1909-IF(H1909=0,1,0)</x:f>
        <x:v>4</x:v>
      </x:c>
      <x:c r="L1909" s="19" t="n">
        <x:f>E1909-IF(H1909=1,1,0)</x:f>
        <x:v>0</x:v>
      </x:c>
      <x:c r="M1909" s="19" t="n">
        <x:f>F1909-IF(H1909=2,1,0)</x:f>
        <x:v>2</x:v>
      </x:c>
      <x:c r="N1909" s="19" t="n">
        <x:f>MAX(K1909-1,0)+MAX(L1909-1,0)+MAX(M1909-1,0)</x:f>
        <x:v>4</x:v>
      </x:c>
      <x:c r="O1909" s="19" t="n">
        <x:f>IF(AND(SUM(K1909:M1909)&lt;9,OR(M1909=0,N1909&lt;6)),1,0)</x:f>
        <x:v>1</x:v>
      </x:c>
      <x:c r="P1909" s="19" t="n">
        <x:f>IF(AND(SUM(K1909:M1909)&lt;9,OR(L1909=0,N1909&lt;6)),1,0)</x:f>
        <x:v>1</x:v>
      </x:c>
      <x:c r="Q1909" s="19" t="n">
        <x:f>IF(AND(SUM(K1909:M1909)&lt;9,OR(K1909=0,N1909&lt;6)),1,0)</x:f>
        <x:v>1</x:v>
      </x:c>
      <x:c r="R1909" s="22" t="str">
        <x:f>O1909&amp;P1909&amp;Q1909</x:f>
        <x:v>111</x:v>
      </x:c>
      <x:c r="S1909" s="19" t="n">
        <x:f>IF(I1909=1,IF(J1909=0,Q1909,IF(J1909=1,P1909,IF(J1909=2,O1909,0))),0)</x:f>
        <x:v>1</x:v>
      </x:c>
      <x:c r="T1909" s="19" t="n">
        <x:f>K1909+IF(AND(S1909=1,J1909=0),1,0)</x:f>
        <x:v>4</x:v>
      </x:c>
      <x:c r="U1909" s="19" t="n">
        <x:f>L1909+IF(AND(S1909=1,J1909=1),1,0)</x:f>
        <x:v>0</x:v>
      </x:c>
      <x:c r="V1909" s="19" t="n">
        <x:f>M1909+IF(AND(S1909=1,J1909=2),1,0)</x:f>
        <x:v>3</x:v>
      </x:c>
      <x:c r="W1909" s="19" t="n">
        <x:f>SUM(T1909:V1909)</x:f>
        <x:v>7</x:v>
      </x:c>
      <x:c r="X1909" s="19" t="n">
        <x:f>W1909-G1909</x:f>
        <x:v>1</x:v>
      </x:c>
      <x:c r="Y1909" s="19" t="n">
        <x:f>MAX(T1909,1)+MAX(U1909,1)+MAX(V1909,1)</x:f>
        <x:v>8</x:v>
      </x:c>
      <x:c r="Z1909" s="21" t="str">
        <x:f>IF(AND(MIN(D1909:F1909)&gt;=0,MAX(D1909:F1909)&lt;=7,MAX(D1909,1)+MAX(E1909,1)+MAX(F1909,1)&lt;=9,OR(H1909="-",AND(H1909=0,D1909&gt;0),AND(H1909=1,E1909&gt;0),AND(H1909=2,F1909&gt;0)),OR(I1909=0,AND(I1909=1,OR(J1909=0,J1909=1,J1909=2),R1909&lt;&gt;"000")),Y1909&lt;=9,MIN(T1909:V1909)&gt;=0),"合法","输入违约")</x:f>
        <x:v>合法</x:v>
      </x:c>
    </x:row>
    <x:row r="1910" ht="23" customHeight="1">
      <x:c r="A1910" s="3" t="str">
        <x:v>CT-1903</x:v>
      </x:c>
      <x:c r="B1910" s="3" t="str">
        <x:v>ST-079</x:v>
      </x:c>
      <x:c r="C1910" s="3" t="str">
        <x:v>仅R回收</x:v>
      </x:c>
      <x:c r="D1910" s="25" t="n">
        <x:v>4</x:v>
      </x:c>
      <x:c r="E1910" s="25" t="n">
        <x:v>0</x:v>
      </x:c>
      <x:c r="F1910" s="25" t="n">
        <x:v>2</x:v>
      </x:c>
      <x:c r="G1910" s="19" t="n">
        <x:f>SUM(D1910:F1910)</x:f>
        <x:v>6</x:v>
      </x:c>
      <x:c r="H1910" s="25" t="n">
        <x:v>0</x:v>
      </x:c>
      <x:c r="I1910" s="25" t="n">
        <x:v>0</x:v>
      </x:c>
      <x:c r="J1910" s="25" t="str">
        <x:v>-</x:v>
      </x:c>
      <x:c r="K1910" s="19" t="n">
        <x:f>D1910-IF(H1910=0,1,0)</x:f>
        <x:v>3</x:v>
      </x:c>
      <x:c r="L1910" s="19" t="n">
        <x:f>E1910-IF(H1910=1,1,0)</x:f>
        <x:v>0</x:v>
      </x:c>
      <x:c r="M1910" s="19" t="n">
        <x:f>F1910-IF(H1910=2,1,0)</x:f>
        <x:v>2</x:v>
      </x:c>
      <x:c r="N1910" s="19" t="n">
        <x:f>MAX(K1910-1,0)+MAX(L1910-1,0)+MAX(M1910-1,0)</x:f>
        <x:v>3</x:v>
      </x:c>
      <x:c r="O1910" s="19" t="n">
        <x:f>IF(AND(SUM(K1910:M1910)&lt;9,OR(M1910=0,N1910&lt;6)),1,0)</x:f>
        <x:v>1</x:v>
      </x:c>
      <x:c r="P1910" s="19" t="n">
        <x:f>IF(AND(SUM(K1910:M1910)&lt;9,OR(L1910=0,N1910&lt;6)),1,0)</x:f>
        <x:v>1</x:v>
      </x:c>
      <x:c r="Q1910" s="19" t="n">
        <x:f>IF(AND(SUM(K1910:M1910)&lt;9,OR(K1910=0,N1910&lt;6)),1,0)</x:f>
        <x:v>1</x:v>
      </x:c>
      <x:c r="R1910" s="22" t="str">
        <x:f>O1910&amp;P1910&amp;Q1910</x:f>
        <x:v>111</x:v>
      </x:c>
      <x:c r="S1910" s="19" t="n">
        <x:f>IF(I1910=1,IF(J1910=0,Q1910,IF(J1910=1,P1910,IF(J1910=2,O1910,0))),0)</x:f>
        <x:v>0</x:v>
      </x:c>
      <x:c r="T1910" s="19" t="n">
        <x:f>K1910+IF(AND(S1910=1,J1910=0),1,0)</x:f>
        <x:v>3</x:v>
      </x:c>
      <x:c r="U1910" s="19" t="n">
        <x:f>L1910+IF(AND(S1910=1,J1910=1),1,0)</x:f>
        <x:v>0</x:v>
      </x:c>
      <x:c r="V1910" s="19" t="n">
        <x:f>M1910+IF(AND(S1910=1,J1910=2),1,0)</x:f>
        <x:v>2</x:v>
      </x:c>
      <x:c r="W1910" s="19" t="n">
        <x:f>SUM(T1910:V1910)</x:f>
        <x:v>5</x:v>
      </x:c>
      <x:c r="X1910" s="19" t="n">
        <x:f>W1910-G1910</x:f>
        <x:v>-1</x:v>
      </x:c>
      <x:c r="Y1910" s="19" t="n">
        <x:f>MAX(T1910,1)+MAX(U1910,1)+MAX(V1910,1)</x:f>
        <x:v>6</x:v>
      </x:c>
      <x:c r="Z1910" s="21" t="str">
        <x:f>IF(AND(MIN(D1910:F1910)&gt;=0,MAX(D1910:F1910)&lt;=7,MAX(D1910,1)+MAX(E1910,1)+MAX(F1910,1)&lt;=9,OR(H1910="-",AND(H1910=0,D1910&gt;0),AND(H1910=1,E1910&gt;0),AND(H1910=2,F1910&gt;0)),OR(I1910=0,AND(I1910=1,OR(J1910=0,J1910=1,J1910=2),R1910&lt;&gt;"000")),Y1910&lt;=9,MIN(T1910:V1910)&gt;=0),"合法","输入违约")</x:f>
        <x:v>合法</x:v>
      </x:c>
    </x:row>
    <x:row r="1911" ht="23" customHeight="1">
      <x:c r="A1911" s="3" t="str">
        <x:v>CT-1904</x:v>
      </x:c>
      <x:c r="B1911" s="3" t="str">
        <x:v>ST-079</x:v>
      </x:c>
      <x:c r="C1911" s="3" t="str">
        <x:v>R+AR同收同发</x:v>
      </x:c>
      <x:c r="D1911" s="25" t="n">
        <x:v>4</x:v>
      </x:c>
      <x:c r="E1911" s="25" t="n">
        <x:v>0</x:v>
      </x:c>
      <x:c r="F1911" s="25" t="n">
        <x:v>2</x:v>
      </x:c>
      <x:c r="G1911" s="19" t="n">
        <x:f>SUM(D1911:F1911)</x:f>
        <x:v>6</x:v>
      </x:c>
      <x:c r="H1911" s="25" t="n">
        <x:v>0</x:v>
      </x:c>
      <x:c r="I1911" s="25" t="n">
        <x:v>1</x:v>
      </x:c>
      <x:c r="J1911" s="25" t="n">
        <x:v>0</x:v>
      </x:c>
      <x:c r="K1911" s="19" t="n">
        <x:f>D1911-IF(H1911=0,1,0)</x:f>
        <x:v>3</x:v>
      </x:c>
      <x:c r="L1911" s="19" t="n">
        <x:f>E1911-IF(H1911=1,1,0)</x:f>
        <x:v>0</x:v>
      </x:c>
      <x:c r="M1911" s="19" t="n">
        <x:f>F1911-IF(H1911=2,1,0)</x:f>
        <x:v>2</x:v>
      </x:c>
      <x:c r="N1911" s="19" t="n">
        <x:f>MAX(K1911-1,0)+MAX(L1911-1,0)+MAX(M1911-1,0)</x:f>
        <x:v>3</x:v>
      </x:c>
      <x:c r="O1911" s="19" t="n">
        <x:f>IF(AND(SUM(K1911:M1911)&lt;9,OR(M1911=0,N1911&lt;6)),1,0)</x:f>
        <x:v>1</x:v>
      </x:c>
      <x:c r="P1911" s="19" t="n">
        <x:f>IF(AND(SUM(K1911:M1911)&lt;9,OR(L1911=0,N1911&lt;6)),1,0)</x:f>
        <x:v>1</x:v>
      </x:c>
      <x:c r="Q1911" s="19" t="n">
        <x:f>IF(AND(SUM(K1911:M1911)&lt;9,OR(K1911=0,N1911&lt;6)),1,0)</x:f>
        <x:v>1</x:v>
      </x:c>
      <x:c r="R1911" s="22" t="str">
        <x:f>O1911&amp;P1911&amp;Q1911</x:f>
        <x:v>111</x:v>
      </x:c>
      <x:c r="S1911" s="19" t="n">
        <x:f>IF(I1911=1,IF(J1911=0,Q1911,IF(J1911=1,P1911,IF(J1911=2,O1911,0))),0)</x:f>
        <x:v>1</x:v>
      </x:c>
      <x:c r="T1911" s="19" t="n">
        <x:f>K1911+IF(AND(S1911=1,J1911=0),1,0)</x:f>
        <x:v>4</x:v>
      </x:c>
      <x:c r="U1911" s="19" t="n">
        <x:f>L1911+IF(AND(S1911=1,J1911=1),1,0)</x:f>
        <x:v>0</x:v>
      </x:c>
      <x:c r="V1911" s="19" t="n">
        <x:f>M1911+IF(AND(S1911=1,J1911=2),1,0)</x:f>
        <x:v>2</x:v>
      </x:c>
      <x:c r="W1911" s="19" t="n">
        <x:f>SUM(T1911:V1911)</x:f>
        <x:v>6</x:v>
      </x:c>
      <x:c r="X1911" s="19" t="n">
        <x:f>W1911-G1911</x:f>
        <x:v>0</x:v>
      </x:c>
      <x:c r="Y1911" s="19" t="n">
        <x:f>MAX(T1911,1)+MAX(U1911,1)+MAX(V1911,1)</x:f>
        <x:v>7</x:v>
      </x:c>
      <x:c r="Z1911" s="21" t="str">
        <x:f>IF(AND(MIN(D1911:F1911)&gt;=0,MAX(D1911:F1911)&lt;=7,MAX(D1911,1)+MAX(E1911,1)+MAX(F1911,1)&lt;=9,OR(H1911="-",AND(H1911=0,D1911&gt;0),AND(H1911=1,E1911&gt;0),AND(H1911=2,F1911&gt;0)),OR(I1911=0,AND(I1911=1,OR(J1911=0,J1911=1,J1911=2),R1911&lt;&gt;"000")),Y1911&lt;=9,MIN(T1911:V1911)&gt;=0),"合法","输入违约")</x:f>
        <x:v>合法</x:v>
      </x:c>
    </x:row>
    <x:row r="1912" ht="23" customHeight="1">
      <x:c r="A1912" s="3" t="str">
        <x:v>CT-1905</x:v>
      </x:c>
      <x:c r="B1912" s="3" t="str">
        <x:v>ST-079</x:v>
      </x:c>
      <x:c r="C1912" s="3" t="str">
        <x:v>R+AR同收同发</x:v>
      </x:c>
      <x:c r="D1912" s="25" t="n">
        <x:v>4</x:v>
      </x:c>
      <x:c r="E1912" s="25" t="n">
        <x:v>0</x:v>
      </x:c>
      <x:c r="F1912" s="25" t="n">
        <x:v>2</x:v>
      </x:c>
      <x:c r="G1912" s="19" t="n">
        <x:f>SUM(D1912:F1912)</x:f>
        <x:v>6</x:v>
      </x:c>
      <x:c r="H1912" s="25" t="n">
        <x:v>0</x:v>
      </x:c>
      <x:c r="I1912" s="25" t="n">
        <x:v>1</x:v>
      </x:c>
      <x:c r="J1912" s="25" t="n">
        <x:v>1</x:v>
      </x:c>
      <x:c r="K1912" s="19" t="n">
        <x:f>D1912-IF(H1912=0,1,0)</x:f>
        <x:v>3</x:v>
      </x:c>
      <x:c r="L1912" s="19" t="n">
        <x:f>E1912-IF(H1912=1,1,0)</x:f>
        <x:v>0</x:v>
      </x:c>
      <x:c r="M1912" s="19" t="n">
        <x:f>F1912-IF(H1912=2,1,0)</x:f>
        <x:v>2</x:v>
      </x:c>
      <x:c r="N1912" s="19" t="n">
        <x:f>MAX(K1912-1,0)+MAX(L1912-1,0)+MAX(M1912-1,0)</x:f>
        <x:v>3</x:v>
      </x:c>
      <x:c r="O1912" s="19" t="n">
        <x:f>IF(AND(SUM(K1912:M1912)&lt;9,OR(M1912=0,N1912&lt;6)),1,0)</x:f>
        <x:v>1</x:v>
      </x:c>
      <x:c r="P1912" s="19" t="n">
        <x:f>IF(AND(SUM(K1912:M1912)&lt;9,OR(L1912=0,N1912&lt;6)),1,0)</x:f>
        <x:v>1</x:v>
      </x:c>
      <x:c r="Q1912" s="19" t="n">
        <x:f>IF(AND(SUM(K1912:M1912)&lt;9,OR(K1912=0,N1912&lt;6)),1,0)</x:f>
        <x:v>1</x:v>
      </x:c>
      <x:c r="R1912" s="22" t="str">
        <x:f>O1912&amp;P1912&amp;Q1912</x:f>
        <x:v>111</x:v>
      </x:c>
      <x:c r="S1912" s="19" t="n">
        <x:f>IF(I1912=1,IF(J1912=0,Q1912,IF(J1912=1,P1912,IF(J1912=2,O1912,0))),0)</x:f>
        <x:v>1</x:v>
      </x:c>
      <x:c r="T1912" s="19" t="n">
        <x:f>K1912+IF(AND(S1912=1,J1912=0),1,0)</x:f>
        <x:v>3</x:v>
      </x:c>
      <x:c r="U1912" s="19" t="n">
        <x:f>L1912+IF(AND(S1912=1,J1912=1),1,0)</x:f>
        <x:v>1</x:v>
      </x:c>
      <x:c r="V1912" s="19" t="n">
        <x:f>M1912+IF(AND(S1912=1,J1912=2),1,0)</x:f>
        <x:v>2</x:v>
      </x:c>
      <x:c r="W1912" s="19" t="n">
        <x:f>SUM(T1912:V1912)</x:f>
        <x:v>6</x:v>
      </x:c>
      <x:c r="X1912" s="19" t="n">
        <x:f>W1912-G1912</x:f>
        <x:v>0</x:v>
      </x:c>
      <x:c r="Y1912" s="19" t="n">
        <x:f>MAX(T1912,1)+MAX(U1912,1)+MAX(V1912,1)</x:f>
        <x:v>6</x:v>
      </x:c>
      <x:c r="Z1912" s="21" t="str">
        <x:f>IF(AND(MIN(D1912:F1912)&gt;=0,MAX(D1912:F1912)&lt;=7,MAX(D1912,1)+MAX(E1912,1)+MAX(F1912,1)&lt;=9,OR(H1912="-",AND(H1912=0,D1912&gt;0),AND(H1912=1,E1912&gt;0),AND(H1912=2,F1912&gt;0)),OR(I1912=0,AND(I1912=1,OR(J1912=0,J1912=1,J1912=2),R1912&lt;&gt;"000")),Y1912&lt;=9,MIN(T1912:V1912)&gt;=0),"合法","输入违约")</x:f>
        <x:v>合法</x:v>
      </x:c>
    </x:row>
    <x:row r="1913" ht="23" customHeight="1">
      <x:c r="A1913" s="3" t="str">
        <x:v>CT-1906</x:v>
      </x:c>
      <x:c r="B1913" s="3" t="str">
        <x:v>ST-079</x:v>
      </x:c>
      <x:c r="C1913" s="3" t="str">
        <x:v>R+AR同收同发</x:v>
      </x:c>
      <x:c r="D1913" s="25" t="n">
        <x:v>4</x:v>
      </x:c>
      <x:c r="E1913" s="25" t="n">
        <x:v>0</x:v>
      </x:c>
      <x:c r="F1913" s="25" t="n">
        <x:v>2</x:v>
      </x:c>
      <x:c r="G1913" s="19" t="n">
        <x:f>SUM(D1913:F1913)</x:f>
        <x:v>6</x:v>
      </x:c>
      <x:c r="H1913" s="25" t="n">
        <x:v>0</x:v>
      </x:c>
      <x:c r="I1913" s="25" t="n">
        <x:v>1</x:v>
      </x:c>
      <x:c r="J1913" s="25" t="n">
        <x:v>2</x:v>
      </x:c>
      <x:c r="K1913" s="19" t="n">
        <x:f>D1913-IF(H1913=0,1,0)</x:f>
        <x:v>3</x:v>
      </x:c>
      <x:c r="L1913" s="19" t="n">
        <x:f>E1913-IF(H1913=1,1,0)</x:f>
        <x:v>0</x:v>
      </x:c>
      <x:c r="M1913" s="19" t="n">
        <x:f>F1913-IF(H1913=2,1,0)</x:f>
        <x:v>2</x:v>
      </x:c>
      <x:c r="N1913" s="19" t="n">
        <x:f>MAX(K1913-1,0)+MAX(L1913-1,0)+MAX(M1913-1,0)</x:f>
        <x:v>3</x:v>
      </x:c>
      <x:c r="O1913" s="19" t="n">
        <x:f>IF(AND(SUM(K1913:M1913)&lt;9,OR(M1913=0,N1913&lt;6)),1,0)</x:f>
        <x:v>1</x:v>
      </x:c>
      <x:c r="P1913" s="19" t="n">
        <x:f>IF(AND(SUM(K1913:M1913)&lt;9,OR(L1913=0,N1913&lt;6)),1,0)</x:f>
        <x:v>1</x:v>
      </x:c>
      <x:c r="Q1913" s="19" t="n">
        <x:f>IF(AND(SUM(K1913:M1913)&lt;9,OR(K1913=0,N1913&lt;6)),1,0)</x:f>
        <x:v>1</x:v>
      </x:c>
      <x:c r="R1913" s="22" t="str">
        <x:f>O1913&amp;P1913&amp;Q1913</x:f>
        <x:v>111</x:v>
      </x:c>
      <x:c r="S1913" s="19" t="n">
        <x:f>IF(I1913=1,IF(J1913=0,Q1913,IF(J1913=1,P1913,IF(J1913=2,O1913,0))),0)</x:f>
        <x:v>1</x:v>
      </x:c>
      <x:c r="T1913" s="19" t="n">
        <x:f>K1913+IF(AND(S1913=1,J1913=0),1,0)</x:f>
        <x:v>3</x:v>
      </x:c>
      <x:c r="U1913" s="19" t="n">
        <x:f>L1913+IF(AND(S1913=1,J1913=1),1,0)</x:f>
        <x:v>0</x:v>
      </x:c>
      <x:c r="V1913" s="19" t="n">
        <x:f>M1913+IF(AND(S1913=1,J1913=2),1,0)</x:f>
        <x:v>3</x:v>
      </x:c>
      <x:c r="W1913" s="19" t="n">
        <x:f>SUM(T1913:V1913)</x:f>
        <x:v>6</x:v>
      </x:c>
      <x:c r="X1913" s="19" t="n">
        <x:f>W1913-G1913</x:f>
        <x:v>0</x:v>
      </x:c>
      <x:c r="Y1913" s="19" t="n">
        <x:f>MAX(T1913,1)+MAX(U1913,1)+MAX(V1913,1)</x:f>
        <x:v>7</x:v>
      </x:c>
      <x:c r="Z1913" s="21" t="str">
        <x:f>IF(AND(MIN(D1913:F1913)&gt;=0,MAX(D1913:F1913)&lt;=7,MAX(D1913,1)+MAX(E1913,1)+MAX(F1913,1)&lt;=9,OR(H1913="-",AND(H1913=0,D1913&gt;0),AND(H1913=1,E1913&gt;0),AND(H1913=2,F1913&gt;0)),OR(I1913=0,AND(I1913=1,OR(J1913=0,J1913=1,J1913=2),R1913&lt;&gt;"000")),Y1913&lt;=9,MIN(T1913:V1913)&gt;=0),"合法","输入违约")</x:f>
        <x:v>合法</x:v>
      </x:c>
    </x:row>
    <x:row r="1914" ht="23" customHeight="1">
      <x:c r="A1914" s="3" t="str">
        <x:v>CT-1907</x:v>
      </x:c>
      <x:c r="B1914" s="3" t="str">
        <x:v>ST-079</x:v>
      </x:c>
      <x:c r="C1914" s="3" t="str">
        <x:v>仅R回收</x:v>
      </x:c>
      <x:c r="D1914" s="25" t="n">
        <x:v>4</x:v>
      </x:c>
      <x:c r="E1914" s="25" t="n">
        <x:v>0</x:v>
      </x:c>
      <x:c r="F1914" s="25" t="n">
        <x:v>2</x:v>
      </x:c>
      <x:c r="G1914" s="19" t="n">
        <x:f>SUM(D1914:F1914)</x:f>
        <x:v>6</x:v>
      </x:c>
      <x:c r="H1914" s="25" t="n">
        <x:v>2</x:v>
      </x:c>
      <x:c r="I1914" s="25" t="n">
        <x:v>0</x:v>
      </x:c>
      <x:c r="J1914" s="25" t="str">
        <x:v>-</x:v>
      </x:c>
      <x:c r="K1914" s="19" t="n">
        <x:f>D1914-IF(H1914=0,1,0)</x:f>
        <x:v>4</x:v>
      </x:c>
      <x:c r="L1914" s="19" t="n">
        <x:f>E1914-IF(H1914=1,1,0)</x:f>
        <x:v>0</x:v>
      </x:c>
      <x:c r="M1914" s="19" t="n">
        <x:f>F1914-IF(H1914=2,1,0)</x:f>
        <x:v>1</x:v>
      </x:c>
      <x:c r="N1914" s="19" t="n">
        <x:f>MAX(K1914-1,0)+MAX(L1914-1,0)+MAX(M1914-1,0)</x:f>
        <x:v>3</x:v>
      </x:c>
      <x:c r="O1914" s="19" t="n">
        <x:f>IF(AND(SUM(K1914:M1914)&lt;9,OR(M1914=0,N1914&lt;6)),1,0)</x:f>
        <x:v>1</x:v>
      </x:c>
      <x:c r="P1914" s="19" t="n">
        <x:f>IF(AND(SUM(K1914:M1914)&lt;9,OR(L1914=0,N1914&lt;6)),1,0)</x:f>
        <x:v>1</x:v>
      </x:c>
      <x:c r="Q1914" s="19" t="n">
        <x:f>IF(AND(SUM(K1914:M1914)&lt;9,OR(K1914=0,N1914&lt;6)),1,0)</x:f>
        <x:v>1</x:v>
      </x:c>
      <x:c r="R1914" s="22" t="str">
        <x:f>O1914&amp;P1914&amp;Q1914</x:f>
        <x:v>111</x:v>
      </x:c>
      <x:c r="S1914" s="19" t="n">
        <x:f>IF(I1914=1,IF(J1914=0,Q1914,IF(J1914=1,P1914,IF(J1914=2,O1914,0))),0)</x:f>
        <x:v>0</x:v>
      </x:c>
      <x:c r="T1914" s="19" t="n">
        <x:f>K1914+IF(AND(S1914=1,J1914=0),1,0)</x:f>
        <x:v>4</x:v>
      </x:c>
      <x:c r="U1914" s="19" t="n">
        <x:f>L1914+IF(AND(S1914=1,J1914=1),1,0)</x:f>
        <x:v>0</x:v>
      </x:c>
      <x:c r="V1914" s="19" t="n">
        <x:f>M1914+IF(AND(S1914=1,J1914=2),1,0)</x:f>
        <x:v>1</x:v>
      </x:c>
      <x:c r="W1914" s="19" t="n">
        <x:f>SUM(T1914:V1914)</x:f>
        <x:v>5</x:v>
      </x:c>
      <x:c r="X1914" s="19" t="n">
        <x:f>W1914-G1914</x:f>
        <x:v>-1</x:v>
      </x:c>
      <x:c r="Y1914" s="19" t="n">
        <x:f>MAX(T1914,1)+MAX(U1914,1)+MAX(V1914,1)</x:f>
        <x:v>6</x:v>
      </x:c>
      <x:c r="Z1914" s="21" t="str">
        <x:f>IF(AND(MIN(D1914:F1914)&gt;=0,MAX(D1914:F1914)&lt;=7,MAX(D1914,1)+MAX(E1914,1)+MAX(F1914,1)&lt;=9,OR(H1914="-",AND(H1914=0,D1914&gt;0),AND(H1914=1,E1914&gt;0),AND(H1914=2,F1914&gt;0)),OR(I1914=0,AND(I1914=1,OR(J1914=0,J1914=1,J1914=2),R1914&lt;&gt;"000")),Y1914&lt;=9,MIN(T1914:V1914)&gt;=0),"合法","输入违约")</x:f>
        <x:v>合法</x:v>
      </x:c>
    </x:row>
    <x:row r="1915" ht="23" customHeight="1">
      <x:c r="A1915" s="3" t="str">
        <x:v>CT-1908</x:v>
      </x:c>
      <x:c r="B1915" s="3" t="str">
        <x:v>ST-079</x:v>
      </x:c>
      <x:c r="C1915" s="3" t="str">
        <x:v>R+AR同收同发</x:v>
      </x:c>
      <x:c r="D1915" s="25" t="n">
        <x:v>4</x:v>
      </x:c>
      <x:c r="E1915" s="25" t="n">
        <x:v>0</x:v>
      </x:c>
      <x:c r="F1915" s="25" t="n">
        <x:v>2</x:v>
      </x:c>
      <x:c r="G1915" s="19" t="n">
        <x:f>SUM(D1915:F1915)</x:f>
        <x:v>6</x:v>
      </x:c>
      <x:c r="H1915" s="25" t="n">
        <x:v>2</x:v>
      </x:c>
      <x:c r="I1915" s="25" t="n">
        <x:v>1</x:v>
      </x:c>
      <x:c r="J1915" s="25" t="n">
        <x:v>0</x:v>
      </x:c>
      <x:c r="K1915" s="19" t="n">
        <x:f>D1915-IF(H1915=0,1,0)</x:f>
        <x:v>4</x:v>
      </x:c>
      <x:c r="L1915" s="19" t="n">
        <x:f>E1915-IF(H1915=1,1,0)</x:f>
        <x:v>0</x:v>
      </x:c>
      <x:c r="M1915" s="19" t="n">
        <x:f>F1915-IF(H1915=2,1,0)</x:f>
        <x:v>1</x:v>
      </x:c>
      <x:c r="N1915" s="19" t="n">
        <x:f>MAX(K1915-1,0)+MAX(L1915-1,0)+MAX(M1915-1,0)</x:f>
        <x:v>3</x:v>
      </x:c>
      <x:c r="O1915" s="19" t="n">
        <x:f>IF(AND(SUM(K1915:M1915)&lt;9,OR(M1915=0,N1915&lt;6)),1,0)</x:f>
        <x:v>1</x:v>
      </x:c>
      <x:c r="P1915" s="19" t="n">
        <x:f>IF(AND(SUM(K1915:M1915)&lt;9,OR(L1915=0,N1915&lt;6)),1,0)</x:f>
        <x:v>1</x:v>
      </x:c>
      <x:c r="Q1915" s="19" t="n">
        <x:f>IF(AND(SUM(K1915:M1915)&lt;9,OR(K1915=0,N1915&lt;6)),1,0)</x:f>
        <x:v>1</x:v>
      </x:c>
      <x:c r="R1915" s="22" t="str">
        <x:f>O1915&amp;P1915&amp;Q1915</x:f>
        <x:v>111</x:v>
      </x:c>
      <x:c r="S1915" s="19" t="n">
        <x:f>IF(I1915=1,IF(J1915=0,Q1915,IF(J1915=1,P1915,IF(J1915=2,O1915,0))),0)</x:f>
        <x:v>1</x:v>
      </x:c>
      <x:c r="T1915" s="19" t="n">
        <x:f>K1915+IF(AND(S1915=1,J1915=0),1,0)</x:f>
        <x:v>5</x:v>
      </x:c>
      <x:c r="U1915" s="19" t="n">
        <x:f>L1915+IF(AND(S1915=1,J1915=1),1,0)</x:f>
        <x:v>0</x:v>
      </x:c>
      <x:c r="V1915" s="19" t="n">
        <x:f>M1915+IF(AND(S1915=1,J1915=2),1,0)</x:f>
        <x:v>1</x:v>
      </x:c>
      <x:c r="W1915" s="19" t="n">
        <x:f>SUM(T1915:V1915)</x:f>
        <x:v>6</x:v>
      </x:c>
      <x:c r="X1915" s="19" t="n">
        <x:f>W1915-G1915</x:f>
        <x:v>0</x:v>
      </x:c>
      <x:c r="Y1915" s="19" t="n">
        <x:f>MAX(T1915,1)+MAX(U1915,1)+MAX(V1915,1)</x:f>
        <x:v>7</x:v>
      </x:c>
      <x:c r="Z1915" s="21" t="str">
        <x:f>IF(AND(MIN(D1915:F1915)&gt;=0,MAX(D1915:F1915)&lt;=7,MAX(D1915,1)+MAX(E1915,1)+MAX(F1915,1)&lt;=9,OR(H1915="-",AND(H1915=0,D1915&gt;0),AND(H1915=1,E1915&gt;0),AND(H1915=2,F1915&gt;0)),OR(I1915=0,AND(I1915=1,OR(J1915=0,J1915=1,J1915=2),R1915&lt;&gt;"000")),Y1915&lt;=9,MIN(T1915:V1915)&gt;=0),"合法","输入违约")</x:f>
        <x:v>合法</x:v>
      </x:c>
    </x:row>
    <x:row r="1916" ht="23" customHeight="1">
      <x:c r="A1916" s="3" t="str">
        <x:v>CT-1909</x:v>
      </x:c>
      <x:c r="B1916" s="3" t="str">
        <x:v>ST-079</x:v>
      </x:c>
      <x:c r="C1916" s="3" t="str">
        <x:v>R+AR同收同发</x:v>
      </x:c>
      <x:c r="D1916" s="25" t="n">
        <x:v>4</x:v>
      </x:c>
      <x:c r="E1916" s="25" t="n">
        <x:v>0</x:v>
      </x:c>
      <x:c r="F1916" s="25" t="n">
        <x:v>2</x:v>
      </x:c>
      <x:c r="G1916" s="19" t="n">
        <x:f>SUM(D1916:F1916)</x:f>
        <x:v>6</x:v>
      </x:c>
      <x:c r="H1916" s="25" t="n">
        <x:v>2</x:v>
      </x:c>
      <x:c r="I1916" s="25" t="n">
        <x:v>1</x:v>
      </x:c>
      <x:c r="J1916" s="25" t="n">
        <x:v>1</x:v>
      </x:c>
      <x:c r="K1916" s="19" t="n">
        <x:f>D1916-IF(H1916=0,1,0)</x:f>
        <x:v>4</x:v>
      </x:c>
      <x:c r="L1916" s="19" t="n">
        <x:f>E1916-IF(H1916=1,1,0)</x:f>
        <x:v>0</x:v>
      </x:c>
      <x:c r="M1916" s="19" t="n">
        <x:f>F1916-IF(H1916=2,1,0)</x:f>
        <x:v>1</x:v>
      </x:c>
      <x:c r="N1916" s="19" t="n">
        <x:f>MAX(K1916-1,0)+MAX(L1916-1,0)+MAX(M1916-1,0)</x:f>
        <x:v>3</x:v>
      </x:c>
      <x:c r="O1916" s="19" t="n">
        <x:f>IF(AND(SUM(K1916:M1916)&lt;9,OR(M1916=0,N1916&lt;6)),1,0)</x:f>
        <x:v>1</x:v>
      </x:c>
      <x:c r="P1916" s="19" t="n">
        <x:f>IF(AND(SUM(K1916:M1916)&lt;9,OR(L1916=0,N1916&lt;6)),1,0)</x:f>
        <x:v>1</x:v>
      </x:c>
      <x:c r="Q1916" s="19" t="n">
        <x:f>IF(AND(SUM(K1916:M1916)&lt;9,OR(K1916=0,N1916&lt;6)),1,0)</x:f>
        <x:v>1</x:v>
      </x:c>
      <x:c r="R1916" s="22" t="str">
        <x:f>O1916&amp;P1916&amp;Q1916</x:f>
        <x:v>111</x:v>
      </x:c>
      <x:c r="S1916" s="19" t="n">
        <x:f>IF(I1916=1,IF(J1916=0,Q1916,IF(J1916=1,P1916,IF(J1916=2,O1916,0))),0)</x:f>
        <x:v>1</x:v>
      </x:c>
      <x:c r="T1916" s="19" t="n">
        <x:f>K1916+IF(AND(S1916=1,J1916=0),1,0)</x:f>
        <x:v>4</x:v>
      </x:c>
      <x:c r="U1916" s="19" t="n">
        <x:f>L1916+IF(AND(S1916=1,J1916=1),1,0)</x:f>
        <x:v>1</x:v>
      </x:c>
      <x:c r="V1916" s="19" t="n">
        <x:f>M1916+IF(AND(S1916=1,J1916=2),1,0)</x:f>
        <x:v>1</x:v>
      </x:c>
      <x:c r="W1916" s="19" t="n">
        <x:f>SUM(T1916:V1916)</x:f>
        <x:v>6</x:v>
      </x:c>
      <x:c r="X1916" s="19" t="n">
        <x:f>W1916-G1916</x:f>
        <x:v>0</x:v>
      </x:c>
      <x:c r="Y1916" s="19" t="n">
        <x:f>MAX(T1916,1)+MAX(U1916,1)+MAX(V1916,1)</x:f>
        <x:v>6</x:v>
      </x:c>
      <x:c r="Z1916" s="21" t="str">
        <x:f>IF(AND(MIN(D1916:F1916)&gt;=0,MAX(D1916:F1916)&lt;=7,MAX(D1916,1)+MAX(E1916,1)+MAX(F1916,1)&lt;=9,OR(H1916="-",AND(H1916=0,D1916&gt;0),AND(H1916=1,E1916&gt;0),AND(H1916=2,F1916&gt;0)),OR(I1916=0,AND(I1916=1,OR(J1916=0,J1916=1,J1916=2),R1916&lt;&gt;"000")),Y1916&lt;=9,MIN(T1916:V1916)&gt;=0),"合法","输入违约")</x:f>
        <x:v>合法</x:v>
      </x:c>
    </x:row>
    <x:row r="1917" ht="23" customHeight="1">
      <x:c r="A1917" s="3" t="str">
        <x:v>CT-1910</x:v>
      </x:c>
      <x:c r="B1917" s="3" t="str">
        <x:v>ST-079</x:v>
      </x:c>
      <x:c r="C1917" s="3" t="str">
        <x:v>R+AR同收同发</x:v>
      </x:c>
      <x:c r="D1917" s="25" t="n">
        <x:v>4</x:v>
      </x:c>
      <x:c r="E1917" s="25" t="n">
        <x:v>0</x:v>
      </x:c>
      <x:c r="F1917" s="25" t="n">
        <x:v>2</x:v>
      </x:c>
      <x:c r="G1917" s="19" t="n">
        <x:f>SUM(D1917:F1917)</x:f>
        <x:v>6</x:v>
      </x:c>
      <x:c r="H1917" s="25" t="n">
        <x:v>2</x:v>
      </x:c>
      <x:c r="I1917" s="25" t="n">
        <x:v>1</x:v>
      </x:c>
      <x:c r="J1917" s="25" t="n">
        <x:v>2</x:v>
      </x:c>
      <x:c r="K1917" s="19" t="n">
        <x:f>D1917-IF(H1917=0,1,0)</x:f>
        <x:v>4</x:v>
      </x:c>
      <x:c r="L1917" s="19" t="n">
        <x:f>E1917-IF(H1917=1,1,0)</x:f>
        <x:v>0</x:v>
      </x:c>
      <x:c r="M1917" s="19" t="n">
        <x:f>F1917-IF(H1917=2,1,0)</x:f>
        <x:v>1</x:v>
      </x:c>
      <x:c r="N1917" s="19" t="n">
        <x:f>MAX(K1917-1,0)+MAX(L1917-1,0)+MAX(M1917-1,0)</x:f>
        <x:v>3</x:v>
      </x:c>
      <x:c r="O1917" s="19" t="n">
        <x:f>IF(AND(SUM(K1917:M1917)&lt;9,OR(M1917=0,N1917&lt;6)),1,0)</x:f>
        <x:v>1</x:v>
      </x:c>
      <x:c r="P1917" s="19" t="n">
        <x:f>IF(AND(SUM(K1917:M1917)&lt;9,OR(L1917=0,N1917&lt;6)),1,0)</x:f>
        <x:v>1</x:v>
      </x:c>
      <x:c r="Q1917" s="19" t="n">
        <x:f>IF(AND(SUM(K1917:M1917)&lt;9,OR(K1917=0,N1917&lt;6)),1,0)</x:f>
        <x:v>1</x:v>
      </x:c>
      <x:c r="R1917" s="22" t="str">
        <x:f>O1917&amp;P1917&amp;Q1917</x:f>
        <x:v>111</x:v>
      </x:c>
      <x:c r="S1917" s="19" t="n">
        <x:f>IF(I1917=1,IF(J1917=0,Q1917,IF(J1917=1,P1917,IF(J1917=2,O1917,0))),0)</x:f>
        <x:v>1</x:v>
      </x:c>
      <x:c r="T1917" s="19" t="n">
        <x:f>K1917+IF(AND(S1917=1,J1917=0),1,0)</x:f>
        <x:v>4</x:v>
      </x:c>
      <x:c r="U1917" s="19" t="n">
        <x:f>L1917+IF(AND(S1917=1,J1917=1),1,0)</x:f>
        <x:v>0</x:v>
      </x:c>
      <x:c r="V1917" s="19" t="n">
        <x:f>M1917+IF(AND(S1917=1,J1917=2),1,0)</x:f>
        <x:v>2</x:v>
      </x:c>
      <x:c r="W1917" s="19" t="n">
        <x:f>SUM(T1917:V1917)</x:f>
        <x:v>6</x:v>
      </x:c>
      <x:c r="X1917" s="19" t="n">
        <x:f>W1917-G1917</x:f>
        <x:v>0</x:v>
      </x:c>
      <x:c r="Y1917" s="19" t="n">
        <x:f>MAX(T1917,1)+MAX(U1917,1)+MAX(V1917,1)</x:f>
        <x:v>7</x:v>
      </x:c>
      <x:c r="Z1917" s="21" t="str">
        <x:f>IF(AND(MIN(D1917:F1917)&gt;=0,MAX(D1917:F1917)&lt;=7,MAX(D1917,1)+MAX(E1917,1)+MAX(F1917,1)&lt;=9,OR(H1917="-",AND(H1917=0,D1917&gt;0),AND(H1917=1,E1917&gt;0),AND(H1917=2,F1917&gt;0)),OR(I1917=0,AND(I1917=1,OR(J1917=0,J1917=1,J1917=2),R1917&lt;&gt;"000")),Y1917&lt;=9,MIN(T1917:V1917)&gt;=0),"合法","输入违约")</x:f>
        <x:v>合法</x:v>
      </x:c>
    </x:row>
    <x:row r="1918" ht="23" customHeight="1">
      <x:c r="A1918" s="3" t="str">
        <x:v>CT-1911</x:v>
      </x:c>
      <x:c r="B1918" s="3" t="str">
        <x:v>ST-111</x:v>
      </x:c>
      <x:c r="C1918" s="3" t="str">
        <x:v>无AR/R</x:v>
      </x:c>
      <x:c r="D1918" s="25" t="n">
        <x:v>4</x:v>
      </x:c>
      <x:c r="E1918" s="25" t="n">
        <x:v>0</x:v>
      </x:c>
      <x:c r="F1918" s="25" t="n">
        <x:v>3</x:v>
      </x:c>
      <x:c r="G1918" s="19" t="n">
        <x:f>SUM(D1918:F1918)</x:f>
        <x:v>7</x:v>
      </x:c>
      <x:c r="H1918" s="25" t="str">
        <x:v>-</x:v>
      </x:c>
      <x:c r="I1918" s="25" t="n">
        <x:v>0</x:v>
      </x:c>
      <x:c r="J1918" s="25" t="str">
        <x:v>-</x:v>
      </x:c>
      <x:c r="K1918" s="19" t="n">
        <x:f>D1918-IF(H1918=0,1,0)</x:f>
        <x:v>4</x:v>
      </x:c>
      <x:c r="L1918" s="19" t="n">
        <x:f>E1918-IF(H1918=1,1,0)</x:f>
        <x:v>0</x:v>
      </x:c>
      <x:c r="M1918" s="19" t="n">
        <x:f>F1918-IF(H1918=2,1,0)</x:f>
        <x:v>3</x:v>
      </x:c>
      <x:c r="N1918" s="19" t="n">
        <x:f>MAX(K1918-1,0)+MAX(L1918-1,0)+MAX(M1918-1,0)</x:f>
        <x:v>5</x:v>
      </x:c>
      <x:c r="O1918" s="19" t="n">
        <x:f>IF(AND(SUM(K1918:M1918)&lt;9,OR(M1918=0,N1918&lt;6)),1,0)</x:f>
        <x:v>1</x:v>
      </x:c>
      <x:c r="P1918" s="19" t="n">
        <x:f>IF(AND(SUM(K1918:M1918)&lt;9,OR(L1918=0,N1918&lt;6)),1,0)</x:f>
        <x:v>1</x:v>
      </x:c>
      <x:c r="Q1918" s="19" t="n">
        <x:f>IF(AND(SUM(K1918:M1918)&lt;9,OR(K1918=0,N1918&lt;6)),1,0)</x:f>
        <x:v>1</x:v>
      </x:c>
      <x:c r="R1918" s="22" t="str">
        <x:f>O1918&amp;P1918&amp;Q1918</x:f>
        <x:v>111</x:v>
      </x:c>
      <x:c r="S1918" s="19" t="n">
        <x:f>IF(I1918=1,IF(J1918=0,Q1918,IF(J1918=1,P1918,IF(J1918=2,O1918,0))),0)</x:f>
        <x:v>0</x:v>
      </x:c>
      <x:c r="T1918" s="19" t="n">
        <x:f>K1918+IF(AND(S1918=1,J1918=0),1,0)</x:f>
        <x:v>4</x:v>
      </x:c>
      <x:c r="U1918" s="19" t="n">
        <x:f>L1918+IF(AND(S1918=1,J1918=1),1,0)</x:f>
        <x:v>0</x:v>
      </x:c>
      <x:c r="V1918" s="19" t="n">
        <x:f>M1918+IF(AND(S1918=1,J1918=2),1,0)</x:f>
        <x:v>3</x:v>
      </x:c>
      <x:c r="W1918" s="19" t="n">
        <x:f>SUM(T1918:V1918)</x:f>
        <x:v>7</x:v>
      </x:c>
      <x:c r="X1918" s="19" t="n">
        <x:f>W1918-G1918</x:f>
        <x:v>0</x:v>
      </x:c>
      <x:c r="Y1918" s="19" t="n">
        <x:f>MAX(T1918,1)+MAX(U1918,1)+MAX(V1918,1)</x:f>
        <x:v>8</x:v>
      </x:c>
      <x:c r="Z1918" s="21" t="str">
        <x:f>IF(AND(MIN(D1918:F1918)&gt;=0,MAX(D1918:F1918)&lt;=7,MAX(D1918,1)+MAX(E1918,1)+MAX(F1918,1)&lt;=9,OR(H1918="-",AND(H1918=0,D1918&gt;0),AND(H1918=1,E1918&gt;0),AND(H1918=2,F1918&gt;0)),OR(I1918=0,AND(I1918=1,OR(J1918=0,J1918=1,J1918=2),R1918&lt;&gt;"000")),Y1918&lt;=9,MIN(T1918:V1918)&gt;=0),"合法","输入违约")</x:f>
        <x:v>合法</x:v>
      </x:c>
    </x:row>
    <x:row r="1919" ht="23" customHeight="1">
      <x:c r="A1919" s="3" t="str">
        <x:v>CT-1912</x:v>
      </x:c>
      <x:c r="B1919" s="3" t="str">
        <x:v>ST-111</x:v>
      </x:c>
      <x:c r="C1919" s="3" t="str">
        <x:v>仅AR接收</x:v>
      </x:c>
      <x:c r="D1919" s="25" t="n">
        <x:v>4</x:v>
      </x:c>
      <x:c r="E1919" s="25" t="n">
        <x:v>0</x:v>
      </x:c>
      <x:c r="F1919" s="25" t="n">
        <x:v>3</x:v>
      </x:c>
      <x:c r="G1919" s="19" t="n">
        <x:f>SUM(D1919:F1919)</x:f>
        <x:v>7</x:v>
      </x:c>
      <x:c r="H1919" s="25" t="str">
        <x:v>-</x:v>
      </x:c>
      <x:c r="I1919" s="25" t="n">
        <x:v>1</x:v>
      </x:c>
      <x:c r="J1919" s="25" t="n">
        <x:v>0</x:v>
      </x:c>
      <x:c r="K1919" s="19" t="n">
        <x:f>D1919-IF(H1919=0,1,0)</x:f>
        <x:v>4</x:v>
      </x:c>
      <x:c r="L1919" s="19" t="n">
        <x:f>E1919-IF(H1919=1,1,0)</x:f>
        <x:v>0</x:v>
      </x:c>
      <x:c r="M1919" s="19" t="n">
        <x:f>F1919-IF(H1919=2,1,0)</x:f>
        <x:v>3</x:v>
      </x:c>
      <x:c r="N1919" s="19" t="n">
        <x:f>MAX(K1919-1,0)+MAX(L1919-1,0)+MAX(M1919-1,0)</x:f>
        <x:v>5</x:v>
      </x:c>
      <x:c r="O1919" s="19" t="n">
        <x:f>IF(AND(SUM(K1919:M1919)&lt;9,OR(M1919=0,N1919&lt;6)),1,0)</x:f>
        <x:v>1</x:v>
      </x:c>
      <x:c r="P1919" s="19" t="n">
        <x:f>IF(AND(SUM(K1919:M1919)&lt;9,OR(L1919=0,N1919&lt;6)),1,0)</x:f>
        <x:v>1</x:v>
      </x:c>
      <x:c r="Q1919" s="19" t="n">
        <x:f>IF(AND(SUM(K1919:M1919)&lt;9,OR(K1919=0,N1919&lt;6)),1,0)</x:f>
        <x:v>1</x:v>
      </x:c>
      <x:c r="R1919" s="22" t="str">
        <x:f>O1919&amp;P1919&amp;Q1919</x:f>
        <x:v>111</x:v>
      </x:c>
      <x:c r="S1919" s="19" t="n">
        <x:f>IF(I1919=1,IF(J1919=0,Q1919,IF(J1919=1,P1919,IF(J1919=2,O1919,0))),0)</x:f>
        <x:v>1</x:v>
      </x:c>
      <x:c r="T1919" s="19" t="n">
        <x:f>K1919+IF(AND(S1919=1,J1919=0),1,0)</x:f>
        <x:v>5</x:v>
      </x:c>
      <x:c r="U1919" s="19" t="n">
        <x:f>L1919+IF(AND(S1919=1,J1919=1),1,0)</x:f>
        <x:v>0</x:v>
      </x:c>
      <x:c r="V1919" s="19" t="n">
        <x:f>M1919+IF(AND(S1919=1,J1919=2),1,0)</x:f>
        <x:v>3</x:v>
      </x:c>
      <x:c r="W1919" s="19" t="n">
        <x:f>SUM(T1919:V1919)</x:f>
        <x:v>8</x:v>
      </x:c>
      <x:c r="X1919" s="19" t="n">
        <x:f>W1919-G1919</x:f>
        <x:v>1</x:v>
      </x:c>
      <x:c r="Y1919" s="19" t="n">
        <x:f>MAX(T1919,1)+MAX(U1919,1)+MAX(V1919,1)</x:f>
        <x:v>9</x:v>
      </x:c>
      <x:c r="Z1919" s="21" t="str">
        <x:f>IF(AND(MIN(D1919:F1919)&gt;=0,MAX(D1919:F1919)&lt;=7,MAX(D1919,1)+MAX(E1919,1)+MAX(F1919,1)&lt;=9,OR(H1919="-",AND(H1919=0,D1919&gt;0),AND(H1919=1,E1919&gt;0),AND(H1919=2,F1919&gt;0)),OR(I1919=0,AND(I1919=1,OR(J1919=0,J1919=1,J1919=2),R1919&lt;&gt;"000")),Y1919&lt;=9,MIN(T1919:V1919)&gt;=0),"合法","输入违约")</x:f>
        <x:v>合法</x:v>
      </x:c>
    </x:row>
    <x:row r="1920" ht="23" customHeight="1">
      <x:c r="A1920" s="3" t="str">
        <x:v>CT-1913</x:v>
      </x:c>
      <x:c r="B1920" s="3" t="str">
        <x:v>ST-111</x:v>
      </x:c>
      <x:c r="C1920" s="3" t="str">
        <x:v>仅AR接收</x:v>
      </x:c>
      <x:c r="D1920" s="25" t="n">
        <x:v>4</x:v>
      </x:c>
      <x:c r="E1920" s="25" t="n">
        <x:v>0</x:v>
      </x:c>
      <x:c r="F1920" s="25" t="n">
        <x:v>3</x:v>
      </x:c>
      <x:c r="G1920" s="19" t="n">
        <x:f>SUM(D1920:F1920)</x:f>
        <x:v>7</x:v>
      </x:c>
      <x:c r="H1920" s="25" t="str">
        <x:v>-</x:v>
      </x:c>
      <x:c r="I1920" s="25" t="n">
        <x:v>1</x:v>
      </x:c>
      <x:c r="J1920" s="25" t="n">
        <x:v>1</x:v>
      </x:c>
      <x:c r="K1920" s="19" t="n">
        <x:f>D1920-IF(H1920=0,1,0)</x:f>
        <x:v>4</x:v>
      </x:c>
      <x:c r="L1920" s="19" t="n">
        <x:f>E1920-IF(H1920=1,1,0)</x:f>
        <x:v>0</x:v>
      </x:c>
      <x:c r="M1920" s="19" t="n">
        <x:f>F1920-IF(H1920=2,1,0)</x:f>
        <x:v>3</x:v>
      </x:c>
      <x:c r="N1920" s="19" t="n">
        <x:f>MAX(K1920-1,0)+MAX(L1920-1,0)+MAX(M1920-1,0)</x:f>
        <x:v>5</x:v>
      </x:c>
      <x:c r="O1920" s="19" t="n">
        <x:f>IF(AND(SUM(K1920:M1920)&lt;9,OR(M1920=0,N1920&lt;6)),1,0)</x:f>
        <x:v>1</x:v>
      </x:c>
      <x:c r="P1920" s="19" t="n">
        <x:f>IF(AND(SUM(K1920:M1920)&lt;9,OR(L1920=0,N1920&lt;6)),1,0)</x:f>
        <x:v>1</x:v>
      </x:c>
      <x:c r="Q1920" s="19" t="n">
        <x:f>IF(AND(SUM(K1920:M1920)&lt;9,OR(K1920=0,N1920&lt;6)),1,0)</x:f>
        <x:v>1</x:v>
      </x:c>
      <x:c r="R1920" s="22" t="str">
        <x:f>O1920&amp;P1920&amp;Q1920</x:f>
        <x:v>111</x:v>
      </x:c>
      <x:c r="S1920" s="19" t="n">
        <x:f>IF(I1920=1,IF(J1920=0,Q1920,IF(J1920=1,P1920,IF(J1920=2,O1920,0))),0)</x:f>
        <x:v>1</x:v>
      </x:c>
      <x:c r="T1920" s="19" t="n">
        <x:f>K1920+IF(AND(S1920=1,J1920=0),1,0)</x:f>
        <x:v>4</x:v>
      </x:c>
      <x:c r="U1920" s="19" t="n">
        <x:f>L1920+IF(AND(S1920=1,J1920=1),1,0)</x:f>
        <x:v>1</x:v>
      </x:c>
      <x:c r="V1920" s="19" t="n">
        <x:f>M1920+IF(AND(S1920=1,J1920=2),1,0)</x:f>
        <x:v>3</x:v>
      </x:c>
      <x:c r="W1920" s="19" t="n">
        <x:f>SUM(T1920:V1920)</x:f>
        <x:v>8</x:v>
      </x:c>
      <x:c r="X1920" s="19" t="n">
        <x:f>W1920-G1920</x:f>
        <x:v>1</x:v>
      </x:c>
      <x:c r="Y1920" s="19" t="n">
        <x:f>MAX(T1920,1)+MAX(U1920,1)+MAX(V1920,1)</x:f>
        <x:v>8</x:v>
      </x:c>
      <x:c r="Z1920" s="21" t="str">
        <x:f>IF(AND(MIN(D1920:F1920)&gt;=0,MAX(D1920:F1920)&lt;=7,MAX(D1920,1)+MAX(E1920,1)+MAX(F1920,1)&lt;=9,OR(H1920="-",AND(H1920=0,D1920&gt;0),AND(H1920=1,E1920&gt;0),AND(H1920=2,F1920&gt;0)),OR(I1920=0,AND(I1920=1,OR(J1920=0,J1920=1,J1920=2),R1920&lt;&gt;"000")),Y1920&lt;=9,MIN(T1920:V1920)&gt;=0),"合法","输入违约")</x:f>
        <x:v>合法</x:v>
      </x:c>
    </x:row>
    <x:row r="1921" ht="23" customHeight="1">
      <x:c r="A1921" s="3" t="str">
        <x:v>CT-1914</x:v>
      </x:c>
      <x:c r="B1921" s="3" t="str">
        <x:v>ST-111</x:v>
      </x:c>
      <x:c r="C1921" s="3" t="str">
        <x:v>仅AR接收</x:v>
      </x:c>
      <x:c r="D1921" s="25" t="n">
        <x:v>4</x:v>
      </x:c>
      <x:c r="E1921" s="25" t="n">
        <x:v>0</x:v>
      </x:c>
      <x:c r="F1921" s="25" t="n">
        <x:v>3</x:v>
      </x:c>
      <x:c r="G1921" s="19" t="n">
        <x:f>SUM(D1921:F1921)</x:f>
        <x:v>7</x:v>
      </x:c>
      <x:c r="H1921" s="25" t="str">
        <x:v>-</x:v>
      </x:c>
      <x:c r="I1921" s="25" t="n">
        <x:v>1</x:v>
      </x:c>
      <x:c r="J1921" s="25" t="n">
        <x:v>2</x:v>
      </x:c>
      <x:c r="K1921" s="19" t="n">
        <x:f>D1921-IF(H1921=0,1,0)</x:f>
        <x:v>4</x:v>
      </x:c>
      <x:c r="L1921" s="19" t="n">
        <x:f>E1921-IF(H1921=1,1,0)</x:f>
        <x:v>0</x:v>
      </x:c>
      <x:c r="M1921" s="19" t="n">
        <x:f>F1921-IF(H1921=2,1,0)</x:f>
        <x:v>3</x:v>
      </x:c>
      <x:c r="N1921" s="19" t="n">
        <x:f>MAX(K1921-1,0)+MAX(L1921-1,0)+MAX(M1921-1,0)</x:f>
        <x:v>5</x:v>
      </x:c>
      <x:c r="O1921" s="19" t="n">
        <x:f>IF(AND(SUM(K1921:M1921)&lt;9,OR(M1921=0,N1921&lt;6)),1,0)</x:f>
        <x:v>1</x:v>
      </x:c>
      <x:c r="P1921" s="19" t="n">
        <x:f>IF(AND(SUM(K1921:M1921)&lt;9,OR(L1921=0,N1921&lt;6)),1,0)</x:f>
        <x:v>1</x:v>
      </x:c>
      <x:c r="Q1921" s="19" t="n">
        <x:f>IF(AND(SUM(K1921:M1921)&lt;9,OR(K1921=0,N1921&lt;6)),1,0)</x:f>
        <x:v>1</x:v>
      </x:c>
      <x:c r="R1921" s="22" t="str">
        <x:f>O1921&amp;P1921&amp;Q1921</x:f>
        <x:v>111</x:v>
      </x:c>
      <x:c r="S1921" s="19" t="n">
        <x:f>IF(I1921=1,IF(J1921=0,Q1921,IF(J1921=1,P1921,IF(J1921=2,O1921,0))),0)</x:f>
        <x:v>1</x:v>
      </x:c>
      <x:c r="T1921" s="19" t="n">
        <x:f>K1921+IF(AND(S1921=1,J1921=0),1,0)</x:f>
        <x:v>4</x:v>
      </x:c>
      <x:c r="U1921" s="19" t="n">
        <x:f>L1921+IF(AND(S1921=1,J1921=1),1,0)</x:f>
        <x:v>0</x:v>
      </x:c>
      <x:c r="V1921" s="19" t="n">
        <x:f>M1921+IF(AND(S1921=1,J1921=2),1,0)</x:f>
        <x:v>4</x:v>
      </x:c>
      <x:c r="W1921" s="19" t="n">
        <x:f>SUM(T1921:V1921)</x:f>
        <x:v>8</x:v>
      </x:c>
      <x:c r="X1921" s="19" t="n">
        <x:f>W1921-G1921</x:f>
        <x:v>1</x:v>
      </x:c>
      <x:c r="Y1921" s="19" t="n">
        <x:f>MAX(T1921,1)+MAX(U1921,1)+MAX(V1921,1)</x:f>
        <x:v>9</x:v>
      </x:c>
      <x:c r="Z1921" s="21" t="str">
        <x:f>IF(AND(MIN(D1921:F1921)&gt;=0,MAX(D1921:F1921)&lt;=7,MAX(D1921,1)+MAX(E1921,1)+MAX(F1921,1)&lt;=9,OR(H1921="-",AND(H1921=0,D1921&gt;0),AND(H1921=1,E1921&gt;0),AND(H1921=2,F1921&gt;0)),OR(I1921=0,AND(I1921=1,OR(J1921=0,J1921=1,J1921=2),R1921&lt;&gt;"000")),Y1921&lt;=9,MIN(T1921:V1921)&gt;=0),"合法","输入违约")</x:f>
        <x:v>合法</x:v>
      </x:c>
    </x:row>
    <x:row r="1922" ht="23" customHeight="1">
      <x:c r="A1922" s="3" t="str">
        <x:v>CT-1915</x:v>
      </x:c>
      <x:c r="B1922" s="3" t="str">
        <x:v>ST-111</x:v>
      </x:c>
      <x:c r="C1922" s="3" t="str">
        <x:v>仅R回收</x:v>
      </x:c>
      <x:c r="D1922" s="25" t="n">
        <x:v>4</x:v>
      </x:c>
      <x:c r="E1922" s="25" t="n">
        <x:v>0</x:v>
      </x:c>
      <x:c r="F1922" s="25" t="n">
        <x:v>3</x:v>
      </x:c>
      <x:c r="G1922" s="19" t="n">
        <x:f>SUM(D1922:F1922)</x:f>
        <x:v>7</x:v>
      </x:c>
      <x:c r="H1922" s="25" t="n">
        <x:v>0</x:v>
      </x:c>
      <x:c r="I1922" s="25" t="n">
        <x:v>0</x:v>
      </x:c>
      <x:c r="J1922" s="25" t="str">
        <x:v>-</x:v>
      </x:c>
      <x:c r="K1922" s="19" t="n">
        <x:f>D1922-IF(H1922=0,1,0)</x:f>
        <x:v>3</x:v>
      </x:c>
      <x:c r="L1922" s="19" t="n">
        <x:f>E1922-IF(H1922=1,1,0)</x:f>
        <x:v>0</x:v>
      </x:c>
      <x:c r="M1922" s="19" t="n">
        <x:f>F1922-IF(H1922=2,1,0)</x:f>
        <x:v>3</x:v>
      </x:c>
      <x:c r="N1922" s="19" t="n">
        <x:f>MAX(K1922-1,0)+MAX(L1922-1,0)+MAX(M1922-1,0)</x:f>
        <x:v>4</x:v>
      </x:c>
      <x:c r="O1922" s="19" t="n">
        <x:f>IF(AND(SUM(K1922:M1922)&lt;9,OR(M1922=0,N1922&lt;6)),1,0)</x:f>
        <x:v>1</x:v>
      </x:c>
      <x:c r="P1922" s="19" t="n">
        <x:f>IF(AND(SUM(K1922:M1922)&lt;9,OR(L1922=0,N1922&lt;6)),1,0)</x:f>
        <x:v>1</x:v>
      </x:c>
      <x:c r="Q1922" s="19" t="n">
        <x:f>IF(AND(SUM(K1922:M1922)&lt;9,OR(K1922=0,N1922&lt;6)),1,0)</x:f>
        <x:v>1</x:v>
      </x:c>
      <x:c r="R1922" s="22" t="str">
        <x:f>O1922&amp;P1922&amp;Q1922</x:f>
        <x:v>111</x:v>
      </x:c>
      <x:c r="S1922" s="19" t="n">
        <x:f>IF(I1922=1,IF(J1922=0,Q1922,IF(J1922=1,P1922,IF(J1922=2,O1922,0))),0)</x:f>
        <x:v>0</x:v>
      </x:c>
      <x:c r="T1922" s="19" t="n">
        <x:f>K1922+IF(AND(S1922=1,J1922=0),1,0)</x:f>
        <x:v>3</x:v>
      </x:c>
      <x:c r="U1922" s="19" t="n">
        <x:f>L1922+IF(AND(S1922=1,J1922=1),1,0)</x:f>
        <x:v>0</x:v>
      </x:c>
      <x:c r="V1922" s="19" t="n">
        <x:f>M1922+IF(AND(S1922=1,J1922=2),1,0)</x:f>
        <x:v>3</x:v>
      </x:c>
      <x:c r="W1922" s="19" t="n">
        <x:f>SUM(T1922:V1922)</x:f>
        <x:v>6</x:v>
      </x:c>
      <x:c r="X1922" s="19" t="n">
        <x:f>W1922-G1922</x:f>
        <x:v>-1</x:v>
      </x:c>
      <x:c r="Y1922" s="19" t="n">
        <x:f>MAX(T1922,1)+MAX(U1922,1)+MAX(V1922,1)</x:f>
        <x:v>7</x:v>
      </x:c>
      <x:c r="Z1922" s="21" t="str">
        <x:f>IF(AND(MIN(D1922:F1922)&gt;=0,MAX(D1922:F1922)&lt;=7,MAX(D1922,1)+MAX(E1922,1)+MAX(F1922,1)&lt;=9,OR(H1922="-",AND(H1922=0,D1922&gt;0),AND(H1922=1,E1922&gt;0),AND(H1922=2,F1922&gt;0)),OR(I1922=0,AND(I1922=1,OR(J1922=0,J1922=1,J1922=2),R1922&lt;&gt;"000")),Y1922&lt;=9,MIN(T1922:V1922)&gt;=0),"合法","输入违约")</x:f>
        <x:v>合法</x:v>
      </x:c>
    </x:row>
    <x:row r="1923" ht="23" customHeight="1">
      <x:c r="A1923" s="3" t="str">
        <x:v>CT-1916</x:v>
      </x:c>
      <x:c r="B1923" s="3" t="str">
        <x:v>ST-111</x:v>
      </x:c>
      <x:c r="C1923" s="3" t="str">
        <x:v>R+AR同收同发</x:v>
      </x:c>
      <x:c r="D1923" s="25" t="n">
        <x:v>4</x:v>
      </x:c>
      <x:c r="E1923" s="25" t="n">
        <x:v>0</x:v>
      </x:c>
      <x:c r="F1923" s="25" t="n">
        <x:v>3</x:v>
      </x:c>
      <x:c r="G1923" s="19" t="n">
        <x:f>SUM(D1923:F1923)</x:f>
        <x:v>7</x:v>
      </x:c>
      <x:c r="H1923" s="25" t="n">
        <x:v>0</x:v>
      </x:c>
      <x:c r="I1923" s="25" t="n">
        <x:v>1</x:v>
      </x:c>
      <x:c r="J1923" s="25" t="n">
        <x:v>0</x:v>
      </x:c>
      <x:c r="K1923" s="19" t="n">
        <x:f>D1923-IF(H1923=0,1,0)</x:f>
        <x:v>3</x:v>
      </x:c>
      <x:c r="L1923" s="19" t="n">
        <x:f>E1923-IF(H1923=1,1,0)</x:f>
        <x:v>0</x:v>
      </x:c>
      <x:c r="M1923" s="19" t="n">
        <x:f>F1923-IF(H1923=2,1,0)</x:f>
        <x:v>3</x:v>
      </x:c>
      <x:c r="N1923" s="19" t="n">
        <x:f>MAX(K1923-1,0)+MAX(L1923-1,0)+MAX(M1923-1,0)</x:f>
        <x:v>4</x:v>
      </x:c>
      <x:c r="O1923" s="19" t="n">
        <x:f>IF(AND(SUM(K1923:M1923)&lt;9,OR(M1923=0,N1923&lt;6)),1,0)</x:f>
        <x:v>1</x:v>
      </x:c>
      <x:c r="P1923" s="19" t="n">
        <x:f>IF(AND(SUM(K1923:M1923)&lt;9,OR(L1923=0,N1923&lt;6)),1,0)</x:f>
        <x:v>1</x:v>
      </x:c>
      <x:c r="Q1923" s="19" t="n">
        <x:f>IF(AND(SUM(K1923:M1923)&lt;9,OR(K1923=0,N1923&lt;6)),1,0)</x:f>
        <x:v>1</x:v>
      </x:c>
      <x:c r="R1923" s="22" t="str">
        <x:f>O1923&amp;P1923&amp;Q1923</x:f>
        <x:v>111</x:v>
      </x:c>
      <x:c r="S1923" s="19" t="n">
        <x:f>IF(I1923=1,IF(J1923=0,Q1923,IF(J1923=1,P1923,IF(J1923=2,O1923,0))),0)</x:f>
        <x:v>1</x:v>
      </x:c>
      <x:c r="T1923" s="19" t="n">
        <x:f>K1923+IF(AND(S1923=1,J1923=0),1,0)</x:f>
        <x:v>4</x:v>
      </x:c>
      <x:c r="U1923" s="19" t="n">
        <x:f>L1923+IF(AND(S1923=1,J1923=1),1,0)</x:f>
        <x:v>0</x:v>
      </x:c>
      <x:c r="V1923" s="19" t="n">
        <x:f>M1923+IF(AND(S1923=1,J1923=2),1,0)</x:f>
        <x:v>3</x:v>
      </x:c>
      <x:c r="W1923" s="19" t="n">
        <x:f>SUM(T1923:V1923)</x:f>
        <x:v>7</x:v>
      </x:c>
      <x:c r="X1923" s="19" t="n">
        <x:f>W1923-G1923</x:f>
        <x:v>0</x:v>
      </x:c>
      <x:c r="Y1923" s="19" t="n">
        <x:f>MAX(T1923,1)+MAX(U1923,1)+MAX(V1923,1)</x:f>
        <x:v>8</x:v>
      </x:c>
      <x:c r="Z1923" s="21" t="str">
        <x:f>IF(AND(MIN(D1923:F1923)&gt;=0,MAX(D1923:F1923)&lt;=7,MAX(D1923,1)+MAX(E1923,1)+MAX(F1923,1)&lt;=9,OR(H1923="-",AND(H1923=0,D1923&gt;0),AND(H1923=1,E1923&gt;0),AND(H1923=2,F1923&gt;0)),OR(I1923=0,AND(I1923=1,OR(J1923=0,J1923=1,J1923=2),R1923&lt;&gt;"000")),Y1923&lt;=9,MIN(T1923:V1923)&gt;=0),"合法","输入违约")</x:f>
        <x:v>合法</x:v>
      </x:c>
    </x:row>
    <x:row r="1924" ht="23" customHeight="1">
      <x:c r="A1924" s="3" t="str">
        <x:v>CT-1917</x:v>
      </x:c>
      <x:c r="B1924" s="3" t="str">
        <x:v>ST-111</x:v>
      </x:c>
      <x:c r="C1924" s="3" t="str">
        <x:v>R+AR同收同发</x:v>
      </x:c>
      <x:c r="D1924" s="25" t="n">
        <x:v>4</x:v>
      </x:c>
      <x:c r="E1924" s="25" t="n">
        <x:v>0</x:v>
      </x:c>
      <x:c r="F1924" s="25" t="n">
        <x:v>3</x:v>
      </x:c>
      <x:c r="G1924" s="19" t="n">
        <x:f>SUM(D1924:F1924)</x:f>
        <x:v>7</x:v>
      </x:c>
      <x:c r="H1924" s="25" t="n">
        <x:v>0</x:v>
      </x:c>
      <x:c r="I1924" s="25" t="n">
        <x:v>1</x:v>
      </x:c>
      <x:c r="J1924" s="25" t="n">
        <x:v>1</x:v>
      </x:c>
      <x:c r="K1924" s="19" t="n">
        <x:f>D1924-IF(H1924=0,1,0)</x:f>
        <x:v>3</x:v>
      </x:c>
      <x:c r="L1924" s="19" t="n">
        <x:f>E1924-IF(H1924=1,1,0)</x:f>
        <x:v>0</x:v>
      </x:c>
      <x:c r="M1924" s="19" t="n">
        <x:f>F1924-IF(H1924=2,1,0)</x:f>
        <x:v>3</x:v>
      </x:c>
      <x:c r="N1924" s="19" t="n">
        <x:f>MAX(K1924-1,0)+MAX(L1924-1,0)+MAX(M1924-1,0)</x:f>
        <x:v>4</x:v>
      </x:c>
      <x:c r="O1924" s="19" t="n">
        <x:f>IF(AND(SUM(K1924:M1924)&lt;9,OR(M1924=0,N1924&lt;6)),1,0)</x:f>
        <x:v>1</x:v>
      </x:c>
      <x:c r="P1924" s="19" t="n">
        <x:f>IF(AND(SUM(K1924:M1924)&lt;9,OR(L1924=0,N1924&lt;6)),1,0)</x:f>
        <x:v>1</x:v>
      </x:c>
      <x:c r="Q1924" s="19" t="n">
        <x:f>IF(AND(SUM(K1924:M1924)&lt;9,OR(K1924=0,N1924&lt;6)),1,0)</x:f>
        <x:v>1</x:v>
      </x:c>
      <x:c r="R1924" s="22" t="str">
        <x:f>O1924&amp;P1924&amp;Q1924</x:f>
        <x:v>111</x:v>
      </x:c>
      <x:c r="S1924" s="19" t="n">
        <x:f>IF(I1924=1,IF(J1924=0,Q1924,IF(J1924=1,P1924,IF(J1924=2,O1924,0))),0)</x:f>
        <x:v>1</x:v>
      </x:c>
      <x:c r="T1924" s="19" t="n">
        <x:f>K1924+IF(AND(S1924=1,J1924=0),1,0)</x:f>
        <x:v>3</x:v>
      </x:c>
      <x:c r="U1924" s="19" t="n">
        <x:f>L1924+IF(AND(S1924=1,J1924=1),1,0)</x:f>
        <x:v>1</x:v>
      </x:c>
      <x:c r="V1924" s="19" t="n">
        <x:f>M1924+IF(AND(S1924=1,J1924=2),1,0)</x:f>
        <x:v>3</x:v>
      </x:c>
      <x:c r="W1924" s="19" t="n">
        <x:f>SUM(T1924:V1924)</x:f>
        <x:v>7</x:v>
      </x:c>
      <x:c r="X1924" s="19" t="n">
        <x:f>W1924-G1924</x:f>
        <x:v>0</x:v>
      </x:c>
      <x:c r="Y1924" s="19" t="n">
        <x:f>MAX(T1924,1)+MAX(U1924,1)+MAX(V1924,1)</x:f>
        <x:v>7</x:v>
      </x:c>
      <x:c r="Z1924" s="21" t="str">
        <x:f>IF(AND(MIN(D1924:F1924)&gt;=0,MAX(D1924:F1924)&lt;=7,MAX(D1924,1)+MAX(E1924,1)+MAX(F1924,1)&lt;=9,OR(H1924="-",AND(H1924=0,D1924&gt;0),AND(H1924=1,E1924&gt;0),AND(H1924=2,F1924&gt;0)),OR(I1924=0,AND(I1924=1,OR(J1924=0,J1924=1,J1924=2),R1924&lt;&gt;"000")),Y1924&lt;=9,MIN(T1924:V1924)&gt;=0),"合法","输入违约")</x:f>
        <x:v>合法</x:v>
      </x:c>
    </x:row>
    <x:row r="1925" ht="23" customHeight="1">
      <x:c r="A1925" s="3" t="str">
        <x:v>CT-1918</x:v>
      </x:c>
      <x:c r="B1925" s="3" t="str">
        <x:v>ST-111</x:v>
      </x:c>
      <x:c r="C1925" s="3" t="str">
        <x:v>R+AR同收同发</x:v>
      </x:c>
      <x:c r="D1925" s="25" t="n">
        <x:v>4</x:v>
      </x:c>
      <x:c r="E1925" s="25" t="n">
        <x:v>0</x:v>
      </x:c>
      <x:c r="F1925" s="25" t="n">
        <x:v>3</x:v>
      </x:c>
      <x:c r="G1925" s="19" t="n">
        <x:f>SUM(D1925:F1925)</x:f>
        <x:v>7</x:v>
      </x:c>
      <x:c r="H1925" s="25" t="n">
        <x:v>0</x:v>
      </x:c>
      <x:c r="I1925" s="25" t="n">
        <x:v>1</x:v>
      </x:c>
      <x:c r="J1925" s="25" t="n">
        <x:v>2</x:v>
      </x:c>
      <x:c r="K1925" s="19" t="n">
        <x:f>D1925-IF(H1925=0,1,0)</x:f>
        <x:v>3</x:v>
      </x:c>
      <x:c r="L1925" s="19" t="n">
        <x:f>E1925-IF(H1925=1,1,0)</x:f>
        <x:v>0</x:v>
      </x:c>
      <x:c r="M1925" s="19" t="n">
        <x:f>F1925-IF(H1925=2,1,0)</x:f>
        <x:v>3</x:v>
      </x:c>
      <x:c r="N1925" s="19" t="n">
        <x:f>MAX(K1925-1,0)+MAX(L1925-1,0)+MAX(M1925-1,0)</x:f>
        <x:v>4</x:v>
      </x:c>
      <x:c r="O1925" s="19" t="n">
        <x:f>IF(AND(SUM(K1925:M1925)&lt;9,OR(M1925=0,N1925&lt;6)),1,0)</x:f>
        <x:v>1</x:v>
      </x:c>
      <x:c r="P1925" s="19" t="n">
        <x:f>IF(AND(SUM(K1925:M1925)&lt;9,OR(L1925=0,N1925&lt;6)),1,0)</x:f>
        <x:v>1</x:v>
      </x:c>
      <x:c r="Q1925" s="19" t="n">
        <x:f>IF(AND(SUM(K1925:M1925)&lt;9,OR(K1925=0,N1925&lt;6)),1,0)</x:f>
        <x:v>1</x:v>
      </x:c>
      <x:c r="R1925" s="22" t="str">
        <x:f>O1925&amp;P1925&amp;Q1925</x:f>
        <x:v>111</x:v>
      </x:c>
      <x:c r="S1925" s="19" t="n">
        <x:f>IF(I1925=1,IF(J1925=0,Q1925,IF(J1925=1,P1925,IF(J1925=2,O1925,0))),0)</x:f>
        <x:v>1</x:v>
      </x:c>
      <x:c r="T1925" s="19" t="n">
        <x:f>K1925+IF(AND(S1925=1,J1925=0),1,0)</x:f>
        <x:v>3</x:v>
      </x:c>
      <x:c r="U1925" s="19" t="n">
        <x:f>L1925+IF(AND(S1925=1,J1925=1),1,0)</x:f>
        <x:v>0</x:v>
      </x:c>
      <x:c r="V1925" s="19" t="n">
        <x:f>M1925+IF(AND(S1925=1,J1925=2),1,0)</x:f>
        <x:v>4</x:v>
      </x:c>
      <x:c r="W1925" s="19" t="n">
        <x:f>SUM(T1925:V1925)</x:f>
        <x:v>7</x:v>
      </x:c>
      <x:c r="X1925" s="19" t="n">
        <x:f>W1925-G1925</x:f>
        <x:v>0</x:v>
      </x:c>
      <x:c r="Y1925" s="19" t="n">
        <x:f>MAX(T1925,1)+MAX(U1925,1)+MAX(V1925,1)</x:f>
        <x:v>8</x:v>
      </x:c>
      <x:c r="Z1925" s="21" t="str">
        <x:f>IF(AND(MIN(D1925:F1925)&gt;=0,MAX(D1925:F1925)&lt;=7,MAX(D1925,1)+MAX(E1925,1)+MAX(F1925,1)&lt;=9,OR(H1925="-",AND(H1925=0,D1925&gt;0),AND(H1925=1,E1925&gt;0),AND(H1925=2,F1925&gt;0)),OR(I1925=0,AND(I1925=1,OR(J1925=0,J1925=1,J1925=2),R1925&lt;&gt;"000")),Y1925&lt;=9,MIN(T1925:V1925)&gt;=0),"合法","输入违约")</x:f>
        <x:v>合法</x:v>
      </x:c>
    </x:row>
    <x:row r="1926" ht="23" customHeight="1">
      <x:c r="A1926" s="3" t="str">
        <x:v>CT-1919</x:v>
      </x:c>
      <x:c r="B1926" s="3" t="str">
        <x:v>ST-111</x:v>
      </x:c>
      <x:c r="C1926" s="3" t="str">
        <x:v>仅R回收</x:v>
      </x:c>
      <x:c r="D1926" s="25" t="n">
        <x:v>4</x:v>
      </x:c>
      <x:c r="E1926" s="25" t="n">
        <x:v>0</x:v>
      </x:c>
      <x:c r="F1926" s="25" t="n">
        <x:v>3</x:v>
      </x:c>
      <x:c r="G1926" s="19" t="n">
        <x:f>SUM(D1926:F1926)</x:f>
        <x:v>7</x:v>
      </x:c>
      <x:c r="H1926" s="25" t="n">
        <x:v>2</x:v>
      </x:c>
      <x:c r="I1926" s="25" t="n">
        <x:v>0</x:v>
      </x:c>
      <x:c r="J1926" s="25" t="str">
        <x:v>-</x:v>
      </x:c>
      <x:c r="K1926" s="19" t="n">
        <x:f>D1926-IF(H1926=0,1,0)</x:f>
        <x:v>4</x:v>
      </x:c>
      <x:c r="L1926" s="19" t="n">
        <x:f>E1926-IF(H1926=1,1,0)</x:f>
        <x:v>0</x:v>
      </x:c>
      <x:c r="M1926" s="19" t="n">
        <x:f>F1926-IF(H1926=2,1,0)</x:f>
        <x:v>2</x:v>
      </x:c>
      <x:c r="N1926" s="19" t="n">
        <x:f>MAX(K1926-1,0)+MAX(L1926-1,0)+MAX(M1926-1,0)</x:f>
        <x:v>4</x:v>
      </x:c>
      <x:c r="O1926" s="19" t="n">
        <x:f>IF(AND(SUM(K1926:M1926)&lt;9,OR(M1926=0,N1926&lt;6)),1,0)</x:f>
        <x:v>1</x:v>
      </x:c>
      <x:c r="P1926" s="19" t="n">
        <x:f>IF(AND(SUM(K1926:M1926)&lt;9,OR(L1926=0,N1926&lt;6)),1,0)</x:f>
        <x:v>1</x:v>
      </x:c>
      <x:c r="Q1926" s="19" t="n">
        <x:f>IF(AND(SUM(K1926:M1926)&lt;9,OR(K1926=0,N1926&lt;6)),1,0)</x:f>
        <x:v>1</x:v>
      </x:c>
      <x:c r="R1926" s="22" t="str">
        <x:f>O1926&amp;P1926&amp;Q1926</x:f>
        <x:v>111</x:v>
      </x:c>
      <x:c r="S1926" s="19" t="n">
        <x:f>IF(I1926=1,IF(J1926=0,Q1926,IF(J1926=1,P1926,IF(J1926=2,O1926,0))),0)</x:f>
        <x:v>0</x:v>
      </x:c>
      <x:c r="T1926" s="19" t="n">
        <x:f>K1926+IF(AND(S1926=1,J1926=0),1,0)</x:f>
        <x:v>4</x:v>
      </x:c>
      <x:c r="U1926" s="19" t="n">
        <x:f>L1926+IF(AND(S1926=1,J1926=1),1,0)</x:f>
        <x:v>0</x:v>
      </x:c>
      <x:c r="V1926" s="19" t="n">
        <x:f>M1926+IF(AND(S1926=1,J1926=2),1,0)</x:f>
        <x:v>2</x:v>
      </x:c>
      <x:c r="W1926" s="19" t="n">
        <x:f>SUM(T1926:V1926)</x:f>
        <x:v>6</x:v>
      </x:c>
      <x:c r="X1926" s="19" t="n">
        <x:f>W1926-G1926</x:f>
        <x:v>-1</x:v>
      </x:c>
      <x:c r="Y1926" s="19" t="n">
        <x:f>MAX(T1926,1)+MAX(U1926,1)+MAX(V1926,1)</x:f>
        <x:v>7</x:v>
      </x:c>
      <x:c r="Z1926" s="21" t="str">
        <x:f>IF(AND(MIN(D1926:F1926)&gt;=0,MAX(D1926:F1926)&lt;=7,MAX(D1926,1)+MAX(E1926,1)+MAX(F1926,1)&lt;=9,OR(H1926="-",AND(H1926=0,D1926&gt;0),AND(H1926=1,E1926&gt;0),AND(H1926=2,F1926&gt;0)),OR(I1926=0,AND(I1926=1,OR(J1926=0,J1926=1,J1926=2),R1926&lt;&gt;"000")),Y1926&lt;=9,MIN(T1926:V1926)&gt;=0),"合法","输入违约")</x:f>
        <x:v>合法</x:v>
      </x:c>
    </x:row>
    <x:row r="1927" ht="23" customHeight="1">
      <x:c r="A1927" s="3" t="str">
        <x:v>CT-1920</x:v>
      </x:c>
      <x:c r="B1927" s="3" t="str">
        <x:v>ST-111</x:v>
      </x:c>
      <x:c r="C1927" s="3" t="str">
        <x:v>R+AR同收同发</x:v>
      </x:c>
      <x:c r="D1927" s="25" t="n">
        <x:v>4</x:v>
      </x:c>
      <x:c r="E1927" s="25" t="n">
        <x:v>0</x:v>
      </x:c>
      <x:c r="F1927" s="25" t="n">
        <x:v>3</x:v>
      </x:c>
      <x:c r="G1927" s="19" t="n">
        <x:f>SUM(D1927:F1927)</x:f>
        <x:v>7</x:v>
      </x:c>
      <x:c r="H1927" s="25" t="n">
        <x:v>2</x:v>
      </x:c>
      <x:c r="I1927" s="25" t="n">
        <x:v>1</x:v>
      </x:c>
      <x:c r="J1927" s="25" t="n">
        <x:v>0</x:v>
      </x:c>
      <x:c r="K1927" s="19" t="n">
        <x:f>D1927-IF(H1927=0,1,0)</x:f>
        <x:v>4</x:v>
      </x:c>
      <x:c r="L1927" s="19" t="n">
        <x:f>E1927-IF(H1927=1,1,0)</x:f>
        <x:v>0</x:v>
      </x:c>
      <x:c r="M1927" s="19" t="n">
        <x:f>F1927-IF(H1927=2,1,0)</x:f>
        <x:v>2</x:v>
      </x:c>
      <x:c r="N1927" s="19" t="n">
        <x:f>MAX(K1927-1,0)+MAX(L1927-1,0)+MAX(M1927-1,0)</x:f>
        <x:v>4</x:v>
      </x:c>
      <x:c r="O1927" s="19" t="n">
        <x:f>IF(AND(SUM(K1927:M1927)&lt;9,OR(M1927=0,N1927&lt;6)),1,0)</x:f>
        <x:v>1</x:v>
      </x:c>
      <x:c r="P1927" s="19" t="n">
        <x:f>IF(AND(SUM(K1927:M1927)&lt;9,OR(L1927=0,N1927&lt;6)),1,0)</x:f>
        <x:v>1</x:v>
      </x:c>
      <x:c r="Q1927" s="19" t="n">
        <x:f>IF(AND(SUM(K1927:M1927)&lt;9,OR(K1927=0,N1927&lt;6)),1,0)</x:f>
        <x:v>1</x:v>
      </x:c>
      <x:c r="R1927" s="22" t="str">
        <x:f>O1927&amp;P1927&amp;Q1927</x:f>
        <x:v>111</x:v>
      </x:c>
      <x:c r="S1927" s="19" t="n">
        <x:f>IF(I1927=1,IF(J1927=0,Q1927,IF(J1927=1,P1927,IF(J1927=2,O1927,0))),0)</x:f>
        <x:v>1</x:v>
      </x:c>
      <x:c r="T1927" s="19" t="n">
        <x:f>K1927+IF(AND(S1927=1,J1927=0),1,0)</x:f>
        <x:v>5</x:v>
      </x:c>
      <x:c r="U1927" s="19" t="n">
        <x:f>L1927+IF(AND(S1927=1,J1927=1),1,0)</x:f>
        <x:v>0</x:v>
      </x:c>
      <x:c r="V1927" s="19" t="n">
        <x:f>M1927+IF(AND(S1927=1,J1927=2),1,0)</x:f>
        <x:v>2</x:v>
      </x:c>
      <x:c r="W1927" s="19" t="n">
        <x:f>SUM(T1927:V1927)</x:f>
        <x:v>7</x:v>
      </x:c>
      <x:c r="X1927" s="19" t="n">
        <x:f>W1927-G1927</x:f>
        <x:v>0</x:v>
      </x:c>
      <x:c r="Y1927" s="19" t="n">
        <x:f>MAX(T1927,1)+MAX(U1927,1)+MAX(V1927,1)</x:f>
        <x:v>8</x:v>
      </x:c>
      <x:c r="Z1927" s="21" t="str">
        <x:f>IF(AND(MIN(D1927:F1927)&gt;=0,MAX(D1927:F1927)&lt;=7,MAX(D1927,1)+MAX(E1927,1)+MAX(F1927,1)&lt;=9,OR(H1927="-",AND(H1927=0,D1927&gt;0),AND(H1927=1,E1927&gt;0),AND(H1927=2,F1927&gt;0)),OR(I1927=0,AND(I1927=1,OR(J1927=0,J1927=1,J1927=2),R1927&lt;&gt;"000")),Y1927&lt;=9,MIN(T1927:V1927)&gt;=0),"合法","输入违约")</x:f>
        <x:v>合法</x:v>
      </x:c>
    </x:row>
    <x:row r="1928" ht="23" customHeight="1">
      <x:c r="A1928" s="3" t="str">
        <x:v>CT-1921</x:v>
      </x:c>
      <x:c r="B1928" s="3" t="str">
        <x:v>ST-111</x:v>
      </x:c>
      <x:c r="C1928" s="3" t="str">
        <x:v>R+AR同收同发</x:v>
      </x:c>
      <x:c r="D1928" s="25" t="n">
        <x:v>4</x:v>
      </x:c>
      <x:c r="E1928" s="25" t="n">
        <x:v>0</x:v>
      </x:c>
      <x:c r="F1928" s="25" t="n">
        <x:v>3</x:v>
      </x:c>
      <x:c r="G1928" s="19" t="n">
        <x:f>SUM(D1928:F1928)</x:f>
        <x:v>7</x:v>
      </x:c>
      <x:c r="H1928" s="25" t="n">
        <x:v>2</x:v>
      </x:c>
      <x:c r="I1928" s="25" t="n">
        <x:v>1</x:v>
      </x:c>
      <x:c r="J1928" s="25" t="n">
        <x:v>1</x:v>
      </x:c>
      <x:c r="K1928" s="19" t="n">
        <x:f>D1928-IF(H1928=0,1,0)</x:f>
        <x:v>4</x:v>
      </x:c>
      <x:c r="L1928" s="19" t="n">
        <x:f>E1928-IF(H1928=1,1,0)</x:f>
        <x:v>0</x:v>
      </x:c>
      <x:c r="M1928" s="19" t="n">
        <x:f>F1928-IF(H1928=2,1,0)</x:f>
        <x:v>2</x:v>
      </x:c>
      <x:c r="N1928" s="19" t="n">
        <x:f>MAX(K1928-1,0)+MAX(L1928-1,0)+MAX(M1928-1,0)</x:f>
        <x:v>4</x:v>
      </x:c>
      <x:c r="O1928" s="19" t="n">
        <x:f>IF(AND(SUM(K1928:M1928)&lt;9,OR(M1928=0,N1928&lt;6)),1,0)</x:f>
        <x:v>1</x:v>
      </x:c>
      <x:c r="P1928" s="19" t="n">
        <x:f>IF(AND(SUM(K1928:M1928)&lt;9,OR(L1928=0,N1928&lt;6)),1,0)</x:f>
        <x:v>1</x:v>
      </x:c>
      <x:c r="Q1928" s="19" t="n">
        <x:f>IF(AND(SUM(K1928:M1928)&lt;9,OR(K1928=0,N1928&lt;6)),1,0)</x:f>
        <x:v>1</x:v>
      </x:c>
      <x:c r="R1928" s="22" t="str">
        <x:f>O1928&amp;P1928&amp;Q1928</x:f>
        <x:v>111</x:v>
      </x:c>
      <x:c r="S1928" s="19" t="n">
        <x:f>IF(I1928=1,IF(J1928=0,Q1928,IF(J1928=1,P1928,IF(J1928=2,O1928,0))),0)</x:f>
        <x:v>1</x:v>
      </x:c>
      <x:c r="T1928" s="19" t="n">
        <x:f>K1928+IF(AND(S1928=1,J1928=0),1,0)</x:f>
        <x:v>4</x:v>
      </x:c>
      <x:c r="U1928" s="19" t="n">
        <x:f>L1928+IF(AND(S1928=1,J1928=1),1,0)</x:f>
        <x:v>1</x:v>
      </x:c>
      <x:c r="V1928" s="19" t="n">
        <x:f>M1928+IF(AND(S1928=1,J1928=2),1,0)</x:f>
        <x:v>2</x:v>
      </x:c>
      <x:c r="W1928" s="19" t="n">
        <x:f>SUM(T1928:V1928)</x:f>
        <x:v>7</x:v>
      </x:c>
      <x:c r="X1928" s="19" t="n">
        <x:f>W1928-G1928</x:f>
        <x:v>0</x:v>
      </x:c>
      <x:c r="Y1928" s="19" t="n">
        <x:f>MAX(T1928,1)+MAX(U1928,1)+MAX(V1928,1)</x:f>
        <x:v>7</x:v>
      </x:c>
      <x:c r="Z1928" s="21" t="str">
        <x:f>IF(AND(MIN(D1928:F1928)&gt;=0,MAX(D1928:F1928)&lt;=7,MAX(D1928,1)+MAX(E1928,1)+MAX(F1928,1)&lt;=9,OR(H1928="-",AND(H1928=0,D1928&gt;0),AND(H1928=1,E1928&gt;0),AND(H1928=2,F1928&gt;0)),OR(I1928=0,AND(I1928=1,OR(J1928=0,J1928=1,J1928=2),R1928&lt;&gt;"000")),Y1928&lt;=9,MIN(T1928:V1928)&gt;=0),"合法","输入违约")</x:f>
        <x:v>合法</x:v>
      </x:c>
    </x:row>
    <x:row r="1929" ht="23" customHeight="1">
      <x:c r="A1929" s="3" t="str">
        <x:v>CT-1922</x:v>
      </x:c>
      <x:c r="B1929" s="3" t="str">
        <x:v>ST-111</x:v>
      </x:c>
      <x:c r="C1929" s="3" t="str">
        <x:v>R+AR同收同发</x:v>
      </x:c>
      <x:c r="D1929" s="25" t="n">
        <x:v>4</x:v>
      </x:c>
      <x:c r="E1929" s="25" t="n">
        <x:v>0</x:v>
      </x:c>
      <x:c r="F1929" s="25" t="n">
        <x:v>3</x:v>
      </x:c>
      <x:c r="G1929" s="19" t="n">
        <x:f>SUM(D1929:F1929)</x:f>
        <x:v>7</x:v>
      </x:c>
      <x:c r="H1929" s="25" t="n">
        <x:v>2</x:v>
      </x:c>
      <x:c r="I1929" s="25" t="n">
        <x:v>1</x:v>
      </x:c>
      <x:c r="J1929" s="25" t="n">
        <x:v>2</x:v>
      </x:c>
      <x:c r="K1929" s="19" t="n">
        <x:f>D1929-IF(H1929=0,1,0)</x:f>
        <x:v>4</x:v>
      </x:c>
      <x:c r="L1929" s="19" t="n">
        <x:f>E1929-IF(H1929=1,1,0)</x:f>
        <x:v>0</x:v>
      </x:c>
      <x:c r="M1929" s="19" t="n">
        <x:f>F1929-IF(H1929=2,1,0)</x:f>
        <x:v>2</x:v>
      </x:c>
      <x:c r="N1929" s="19" t="n">
        <x:f>MAX(K1929-1,0)+MAX(L1929-1,0)+MAX(M1929-1,0)</x:f>
        <x:v>4</x:v>
      </x:c>
      <x:c r="O1929" s="19" t="n">
        <x:f>IF(AND(SUM(K1929:M1929)&lt;9,OR(M1929=0,N1929&lt;6)),1,0)</x:f>
        <x:v>1</x:v>
      </x:c>
      <x:c r="P1929" s="19" t="n">
        <x:f>IF(AND(SUM(K1929:M1929)&lt;9,OR(L1929=0,N1929&lt;6)),1,0)</x:f>
        <x:v>1</x:v>
      </x:c>
      <x:c r="Q1929" s="19" t="n">
        <x:f>IF(AND(SUM(K1929:M1929)&lt;9,OR(K1929=0,N1929&lt;6)),1,0)</x:f>
        <x:v>1</x:v>
      </x:c>
      <x:c r="R1929" s="22" t="str">
        <x:f>O1929&amp;P1929&amp;Q1929</x:f>
        <x:v>111</x:v>
      </x:c>
      <x:c r="S1929" s="19" t="n">
        <x:f>IF(I1929=1,IF(J1929=0,Q1929,IF(J1929=1,P1929,IF(J1929=2,O1929,0))),0)</x:f>
        <x:v>1</x:v>
      </x:c>
      <x:c r="T1929" s="19" t="n">
        <x:f>K1929+IF(AND(S1929=1,J1929=0),1,0)</x:f>
        <x:v>4</x:v>
      </x:c>
      <x:c r="U1929" s="19" t="n">
        <x:f>L1929+IF(AND(S1929=1,J1929=1),1,0)</x:f>
        <x:v>0</x:v>
      </x:c>
      <x:c r="V1929" s="19" t="n">
        <x:f>M1929+IF(AND(S1929=1,J1929=2),1,0)</x:f>
        <x:v>3</x:v>
      </x:c>
      <x:c r="W1929" s="19" t="n">
        <x:f>SUM(T1929:V1929)</x:f>
        <x:v>7</x:v>
      </x:c>
      <x:c r="X1929" s="19" t="n">
        <x:f>W1929-G1929</x:f>
        <x:v>0</x:v>
      </x:c>
      <x:c r="Y1929" s="19" t="n">
        <x:f>MAX(T1929,1)+MAX(U1929,1)+MAX(V1929,1)</x:f>
        <x:v>8</x:v>
      </x:c>
      <x:c r="Z1929" s="21" t="str">
        <x:f>IF(AND(MIN(D1929:F1929)&gt;=0,MAX(D1929:F1929)&lt;=7,MAX(D1929,1)+MAX(E1929,1)+MAX(F1929,1)&lt;=9,OR(H1929="-",AND(H1929=0,D1929&gt;0),AND(H1929=1,E1929&gt;0),AND(H1929=2,F1929&gt;0)),OR(I1929=0,AND(I1929=1,OR(J1929=0,J1929=1,J1929=2),R1929&lt;&gt;"000")),Y1929&lt;=9,MIN(T1929:V1929)&gt;=0),"合法","输入违约")</x:f>
        <x:v>合法</x:v>
      </x:c>
    </x:row>
    <x:row r="1930" ht="23" customHeight="1">
      <x:c r="A1930" s="3" t="str">
        <x:v>CT-1923</x:v>
      </x:c>
      <x:c r="B1930" s="3" t="str">
        <x:v>ST-149</x:v>
      </x:c>
      <x:c r="C1930" s="3" t="str">
        <x:v>无AR/R</x:v>
      </x:c>
      <x:c r="D1930" s="25" t="n">
        <x:v>4</x:v>
      </x:c>
      <x:c r="E1930" s="25" t="n">
        <x:v>0</x:v>
      </x:c>
      <x:c r="F1930" s="25" t="n">
        <x:v>4</x:v>
      </x:c>
      <x:c r="G1930" s="19" t="n">
        <x:f>SUM(D1930:F1930)</x:f>
        <x:v>8</x:v>
      </x:c>
      <x:c r="H1930" s="25" t="str">
        <x:v>-</x:v>
      </x:c>
      <x:c r="I1930" s="25" t="n">
        <x:v>0</x:v>
      </x:c>
      <x:c r="J1930" s="25" t="str">
        <x:v>-</x:v>
      </x:c>
      <x:c r="K1930" s="19" t="n">
        <x:f>D1930-IF(H1930=0,1,0)</x:f>
        <x:v>4</x:v>
      </x:c>
      <x:c r="L1930" s="19" t="n">
        <x:f>E1930-IF(H1930=1,1,0)</x:f>
        <x:v>0</x:v>
      </x:c>
      <x:c r="M1930" s="19" t="n">
        <x:f>F1930-IF(H1930=2,1,0)</x:f>
        <x:v>4</x:v>
      </x:c>
      <x:c r="N1930" s="19" t="n">
        <x:f>MAX(K1930-1,0)+MAX(L1930-1,0)+MAX(M1930-1,0)</x:f>
        <x:v>6</x:v>
      </x:c>
      <x:c r="O1930" s="19" t="n">
        <x:f>IF(AND(SUM(K1930:M1930)&lt;9,OR(M1930=0,N1930&lt;6)),1,0)</x:f>
        <x:v>0</x:v>
      </x:c>
      <x:c r="P1930" s="19" t="n">
        <x:f>IF(AND(SUM(K1930:M1930)&lt;9,OR(L1930=0,N1930&lt;6)),1,0)</x:f>
        <x:v>1</x:v>
      </x:c>
      <x:c r="Q1930" s="19" t="n">
        <x:f>IF(AND(SUM(K1930:M1930)&lt;9,OR(K1930=0,N1930&lt;6)),1,0)</x:f>
        <x:v>0</x:v>
      </x:c>
      <x:c r="R1930" s="22" t="str">
        <x:f>O1930&amp;P1930&amp;Q1930</x:f>
        <x:v>010</x:v>
      </x:c>
      <x:c r="S1930" s="19" t="n">
        <x:f>IF(I1930=1,IF(J1930=0,Q1930,IF(J1930=1,P1930,IF(J1930=2,O1930,0))),0)</x:f>
        <x:v>0</x:v>
      </x:c>
      <x:c r="T1930" s="19" t="n">
        <x:f>K1930+IF(AND(S1930=1,J1930=0),1,0)</x:f>
        <x:v>4</x:v>
      </x:c>
      <x:c r="U1930" s="19" t="n">
        <x:f>L1930+IF(AND(S1930=1,J1930=1),1,0)</x:f>
        <x:v>0</x:v>
      </x:c>
      <x:c r="V1930" s="19" t="n">
        <x:f>M1930+IF(AND(S1930=1,J1930=2),1,0)</x:f>
        <x:v>4</x:v>
      </x:c>
      <x:c r="W1930" s="19" t="n">
        <x:f>SUM(T1930:V1930)</x:f>
        <x:v>8</x:v>
      </x:c>
      <x:c r="X1930" s="19" t="n">
        <x:f>W1930-G1930</x:f>
        <x:v>0</x:v>
      </x:c>
      <x:c r="Y1930" s="19" t="n">
        <x:f>MAX(T1930,1)+MAX(U1930,1)+MAX(V1930,1)</x:f>
        <x:v>9</x:v>
      </x:c>
      <x:c r="Z1930" s="21" t="str">
        <x:f>IF(AND(MIN(D1930:F1930)&gt;=0,MAX(D1930:F1930)&lt;=7,MAX(D1930,1)+MAX(E1930,1)+MAX(F1930,1)&lt;=9,OR(H1930="-",AND(H1930=0,D1930&gt;0),AND(H1930=1,E1930&gt;0),AND(H1930=2,F1930&gt;0)),OR(I1930=0,AND(I1930=1,OR(J1930=0,J1930=1,J1930=2),R1930&lt;&gt;"000")),Y1930&lt;=9,MIN(T1930:V1930)&gt;=0),"合法","输入违约")</x:f>
        <x:v>合法</x:v>
      </x:c>
    </x:row>
    <x:row r="1931" ht="23" customHeight="1">
      <x:c r="A1931" s="3" t="str">
        <x:v>CT-1924</x:v>
      </x:c>
      <x:c r="B1931" s="3" t="str">
        <x:v>ST-149</x:v>
      </x:c>
      <x:c r="C1931" s="3" t="str">
        <x:v>所选源被阻塞</x:v>
      </x:c>
      <x:c r="D1931" s="25" t="n">
        <x:v>4</x:v>
      </x:c>
      <x:c r="E1931" s="25" t="n">
        <x:v>0</x:v>
      </x:c>
      <x:c r="F1931" s="25" t="n">
        <x:v>4</x:v>
      </x:c>
      <x:c r="G1931" s="19" t="n">
        <x:f>SUM(D1931:F1931)</x:f>
        <x:v>8</x:v>
      </x:c>
      <x:c r="H1931" s="25" t="str">
        <x:v>-</x:v>
      </x:c>
      <x:c r="I1931" s="25" t="n">
        <x:v>1</x:v>
      </x:c>
      <x:c r="J1931" s="25" t="n">
        <x:v>0</x:v>
      </x:c>
      <x:c r="K1931" s="19" t="n">
        <x:f>D1931-IF(H1931=0,1,0)</x:f>
        <x:v>4</x:v>
      </x:c>
      <x:c r="L1931" s="19" t="n">
        <x:f>E1931-IF(H1931=1,1,0)</x:f>
        <x:v>0</x:v>
      </x:c>
      <x:c r="M1931" s="19" t="n">
        <x:f>F1931-IF(H1931=2,1,0)</x:f>
        <x:v>4</x:v>
      </x:c>
      <x:c r="N1931" s="19" t="n">
        <x:f>MAX(K1931-1,0)+MAX(L1931-1,0)+MAX(M1931-1,0)</x:f>
        <x:v>6</x:v>
      </x:c>
      <x:c r="O1931" s="19" t="n">
        <x:f>IF(AND(SUM(K1931:M1931)&lt;9,OR(M1931=0,N1931&lt;6)),1,0)</x:f>
        <x:v>0</x:v>
      </x:c>
      <x:c r="P1931" s="19" t="n">
        <x:f>IF(AND(SUM(K1931:M1931)&lt;9,OR(L1931=0,N1931&lt;6)),1,0)</x:f>
        <x:v>1</x:v>
      </x:c>
      <x:c r="Q1931" s="19" t="n">
        <x:f>IF(AND(SUM(K1931:M1931)&lt;9,OR(K1931=0,N1931&lt;6)),1,0)</x:f>
        <x:v>0</x:v>
      </x:c>
      <x:c r="R1931" s="22" t="str">
        <x:f>O1931&amp;P1931&amp;Q1931</x:f>
        <x:v>010</x:v>
      </x:c>
      <x:c r="S1931" s="19" t="n">
        <x:f>IF(I1931=1,IF(J1931=0,Q1931,IF(J1931=1,P1931,IF(J1931=2,O1931,0))),0)</x:f>
        <x:v>0</x:v>
      </x:c>
      <x:c r="T1931" s="19" t="n">
        <x:f>K1931+IF(AND(S1931=1,J1931=0),1,0)</x:f>
        <x:v>4</x:v>
      </x:c>
      <x:c r="U1931" s="19" t="n">
        <x:f>L1931+IF(AND(S1931=1,J1931=1),1,0)</x:f>
        <x:v>0</x:v>
      </x:c>
      <x:c r="V1931" s="19" t="n">
        <x:f>M1931+IF(AND(S1931=1,J1931=2),1,0)</x:f>
        <x:v>4</x:v>
      </x:c>
      <x:c r="W1931" s="19" t="n">
        <x:f>SUM(T1931:V1931)</x:f>
        <x:v>8</x:v>
      </x:c>
      <x:c r="X1931" s="19" t="n">
        <x:f>W1931-G1931</x:f>
        <x:v>0</x:v>
      </x:c>
      <x:c r="Y1931" s="19" t="n">
        <x:f>MAX(T1931,1)+MAX(U1931,1)+MAX(V1931,1)</x:f>
        <x:v>9</x:v>
      </x:c>
      <x:c r="Z1931" s="21" t="str">
        <x:f>IF(AND(MIN(D1931:F1931)&gt;=0,MAX(D1931:F1931)&lt;=7,MAX(D1931,1)+MAX(E1931,1)+MAX(F1931,1)&lt;=9,OR(H1931="-",AND(H1931=0,D1931&gt;0),AND(H1931=1,E1931&gt;0),AND(H1931=2,F1931&gt;0)),OR(I1931=0,AND(I1931=1,OR(J1931=0,J1931=1,J1931=2),R1931&lt;&gt;"000")),Y1931&lt;=9,MIN(T1931:V1931)&gt;=0),"合法","输入违约")</x:f>
        <x:v>合法</x:v>
      </x:c>
    </x:row>
    <x:row r="1932" ht="23" customHeight="1">
      <x:c r="A1932" s="3" t="str">
        <x:v>CT-1925</x:v>
      </x:c>
      <x:c r="B1932" s="3" t="str">
        <x:v>ST-149</x:v>
      </x:c>
      <x:c r="C1932" s="3" t="str">
        <x:v>仅AR接收</x:v>
      </x:c>
      <x:c r="D1932" s="25" t="n">
        <x:v>4</x:v>
      </x:c>
      <x:c r="E1932" s="25" t="n">
        <x:v>0</x:v>
      </x:c>
      <x:c r="F1932" s="25" t="n">
        <x:v>4</x:v>
      </x:c>
      <x:c r="G1932" s="19" t="n">
        <x:f>SUM(D1932:F1932)</x:f>
        <x:v>8</x:v>
      </x:c>
      <x:c r="H1932" s="25" t="str">
        <x:v>-</x:v>
      </x:c>
      <x:c r="I1932" s="25" t="n">
        <x:v>1</x:v>
      </x:c>
      <x:c r="J1932" s="25" t="n">
        <x:v>1</x:v>
      </x:c>
      <x:c r="K1932" s="19" t="n">
        <x:f>D1932-IF(H1932=0,1,0)</x:f>
        <x:v>4</x:v>
      </x:c>
      <x:c r="L1932" s="19" t="n">
        <x:f>E1932-IF(H1932=1,1,0)</x:f>
        <x:v>0</x:v>
      </x:c>
      <x:c r="M1932" s="19" t="n">
        <x:f>F1932-IF(H1932=2,1,0)</x:f>
        <x:v>4</x:v>
      </x:c>
      <x:c r="N1932" s="19" t="n">
        <x:f>MAX(K1932-1,0)+MAX(L1932-1,0)+MAX(M1932-1,0)</x:f>
        <x:v>6</x:v>
      </x:c>
      <x:c r="O1932" s="19" t="n">
        <x:f>IF(AND(SUM(K1932:M1932)&lt;9,OR(M1932=0,N1932&lt;6)),1,0)</x:f>
        <x:v>0</x:v>
      </x:c>
      <x:c r="P1932" s="19" t="n">
        <x:f>IF(AND(SUM(K1932:M1932)&lt;9,OR(L1932=0,N1932&lt;6)),1,0)</x:f>
        <x:v>1</x:v>
      </x:c>
      <x:c r="Q1932" s="19" t="n">
        <x:f>IF(AND(SUM(K1932:M1932)&lt;9,OR(K1932=0,N1932&lt;6)),1,0)</x:f>
        <x:v>0</x:v>
      </x:c>
      <x:c r="R1932" s="22" t="str">
        <x:f>O1932&amp;P1932&amp;Q1932</x:f>
        <x:v>010</x:v>
      </x:c>
      <x:c r="S1932" s="19" t="n">
        <x:f>IF(I1932=1,IF(J1932=0,Q1932,IF(J1932=1,P1932,IF(J1932=2,O1932,0))),0)</x:f>
        <x:v>1</x:v>
      </x:c>
      <x:c r="T1932" s="19" t="n">
        <x:f>K1932+IF(AND(S1932=1,J1932=0),1,0)</x:f>
        <x:v>4</x:v>
      </x:c>
      <x:c r="U1932" s="19" t="n">
        <x:f>L1932+IF(AND(S1932=1,J1932=1),1,0)</x:f>
        <x:v>1</x:v>
      </x:c>
      <x:c r="V1932" s="19" t="n">
        <x:f>M1932+IF(AND(S1932=1,J1932=2),1,0)</x:f>
        <x:v>4</x:v>
      </x:c>
      <x:c r="W1932" s="19" t="n">
        <x:f>SUM(T1932:V1932)</x:f>
        <x:v>9</x:v>
      </x:c>
      <x:c r="X1932" s="19" t="n">
        <x:f>W1932-G1932</x:f>
        <x:v>1</x:v>
      </x:c>
      <x:c r="Y1932" s="19" t="n">
        <x:f>MAX(T1932,1)+MAX(U1932,1)+MAX(V1932,1)</x:f>
        <x:v>9</x:v>
      </x:c>
      <x:c r="Z1932" s="21" t="str">
        <x:f>IF(AND(MIN(D1932:F1932)&gt;=0,MAX(D1932:F1932)&lt;=7,MAX(D1932,1)+MAX(E1932,1)+MAX(F1932,1)&lt;=9,OR(H1932="-",AND(H1932=0,D1932&gt;0),AND(H1932=1,E1932&gt;0),AND(H1932=2,F1932&gt;0)),OR(I1932=0,AND(I1932=1,OR(J1932=0,J1932=1,J1932=2),R1932&lt;&gt;"000")),Y1932&lt;=9,MIN(T1932:V1932)&gt;=0),"合法","输入违约")</x:f>
        <x:v>合法</x:v>
      </x:c>
    </x:row>
    <x:row r="1933" ht="23" customHeight="1">
      <x:c r="A1933" s="3" t="str">
        <x:v>CT-1926</x:v>
      </x:c>
      <x:c r="B1933" s="3" t="str">
        <x:v>ST-149</x:v>
      </x:c>
      <x:c r="C1933" s="3" t="str">
        <x:v>所选源被阻塞</x:v>
      </x:c>
      <x:c r="D1933" s="25" t="n">
        <x:v>4</x:v>
      </x:c>
      <x:c r="E1933" s="25" t="n">
        <x:v>0</x:v>
      </x:c>
      <x:c r="F1933" s="25" t="n">
        <x:v>4</x:v>
      </x:c>
      <x:c r="G1933" s="19" t="n">
        <x:f>SUM(D1933:F1933)</x:f>
        <x:v>8</x:v>
      </x:c>
      <x:c r="H1933" s="25" t="str">
        <x:v>-</x:v>
      </x:c>
      <x:c r="I1933" s="25" t="n">
        <x:v>1</x:v>
      </x:c>
      <x:c r="J1933" s="25" t="n">
        <x:v>2</x:v>
      </x:c>
      <x:c r="K1933" s="19" t="n">
        <x:f>D1933-IF(H1933=0,1,0)</x:f>
        <x:v>4</x:v>
      </x:c>
      <x:c r="L1933" s="19" t="n">
        <x:f>E1933-IF(H1933=1,1,0)</x:f>
        <x:v>0</x:v>
      </x:c>
      <x:c r="M1933" s="19" t="n">
        <x:f>F1933-IF(H1933=2,1,0)</x:f>
        <x:v>4</x:v>
      </x:c>
      <x:c r="N1933" s="19" t="n">
        <x:f>MAX(K1933-1,0)+MAX(L1933-1,0)+MAX(M1933-1,0)</x:f>
        <x:v>6</x:v>
      </x:c>
      <x:c r="O1933" s="19" t="n">
        <x:f>IF(AND(SUM(K1933:M1933)&lt;9,OR(M1933=0,N1933&lt;6)),1,0)</x:f>
        <x:v>0</x:v>
      </x:c>
      <x:c r="P1933" s="19" t="n">
        <x:f>IF(AND(SUM(K1933:M1933)&lt;9,OR(L1933=0,N1933&lt;6)),1,0)</x:f>
        <x:v>1</x:v>
      </x:c>
      <x:c r="Q1933" s="19" t="n">
        <x:f>IF(AND(SUM(K1933:M1933)&lt;9,OR(K1933=0,N1933&lt;6)),1,0)</x:f>
        <x:v>0</x:v>
      </x:c>
      <x:c r="R1933" s="22" t="str">
        <x:f>O1933&amp;P1933&amp;Q1933</x:f>
        <x:v>010</x:v>
      </x:c>
      <x:c r="S1933" s="19" t="n">
        <x:f>IF(I1933=1,IF(J1933=0,Q1933,IF(J1933=1,P1933,IF(J1933=2,O1933,0))),0)</x:f>
        <x:v>0</x:v>
      </x:c>
      <x:c r="T1933" s="19" t="n">
        <x:f>K1933+IF(AND(S1933=1,J1933=0),1,0)</x:f>
        <x:v>4</x:v>
      </x:c>
      <x:c r="U1933" s="19" t="n">
        <x:f>L1933+IF(AND(S1933=1,J1933=1),1,0)</x:f>
        <x:v>0</x:v>
      </x:c>
      <x:c r="V1933" s="19" t="n">
        <x:f>M1933+IF(AND(S1933=1,J1933=2),1,0)</x:f>
        <x:v>4</x:v>
      </x:c>
      <x:c r="W1933" s="19" t="n">
        <x:f>SUM(T1933:V1933)</x:f>
        <x:v>8</x:v>
      </x:c>
      <x:c r="X1933" s="19" t="n">
        <x:f>W1933-G1933</x:f>
        <x:v>0</x:v>
      </x:c>
      <x:c r="Y1933" s="19" t="n">
        <x:f>MAX(T1933,1)+MAX(U1933,1)+MAX(V1933,1)</x:f>
        <x:v>9</x:v>
      </x:c>
      <x:c r="Z1933" s="21" t="str">
        <x:f>IF(AND(MIN(D1933:F1933)&gt;=0,MAX(D1933:F1933)&lt;=7,MAX(D1933,1)+MAX(E1933,1)+MAX(F1933,1)&lt;=9,OR(H1933="-",AND(H1933=0,D1933&gt;0),AND(H1933=1,E1933&gt;0),AND(H1933=2,F1933&gt;0)),OR(I1933=0,AND(I1933=1,OR(J1933=0,J1933=1,J1933=2),R1933&lt;&gt;"000")),Y1933&lt;=9,MIN(T1933:V1933)&gt;=0),"合法","输入违约")</x:f>
        <x:v>合法</x:v>
      </x:c>
    </x:row>
    <x:row r="1934" ht="23" customHeight="1">
      <x:c r="A1934" s="3" t="str">
        <x:v>CT-1927</x:v>
      </x:c>
      <x:c r="B1934" s="3" t="str">
        <x:v>ST-149</x:v>
      </x:c>
      <x:c r="C1934" s="3" t="str">
        <x:v>仅R回收</x:v>
      </x:c>
      <x:c r="D1934" s="25" t="n">
        <x:v>4</x:v>
      </x:c>
      <x:c r="E1934" s="25" t="n">
        <x:v>0</x:v>
      </x:c>
      <x:c r="F1934" s="25" t="n">
        <x:v>4</x:v>
      </x:c>
      <x:c r="G1934" s="19" t="n">
        <x:f>SUM(D1934:F1934)</x:f>
        <x:v>8</x:v>
      </x:c>
      <x:c r="H1934" s="25" t="n">
        <x:v>0</x:v>
      </x:c>
      <x:c r="I1934" s="25" t="n">
        <x:v>0</x:v>
      </x:c>
      <x:c r="J1934" s="25" t="str">
        <x:v>-</x:v>
      </x:c>
      <x:c r="K1934" s="19" t="n">
        <x:f>D1934-IF(H1934=0,1,0)</x:f>
        <x:v>3</x:v>
      </x:c>
      <x:c r="L1934" s="19" t="n">
        <x:f>E1934-IF(H1934=1,1,0)</x:f>
        <x:v>0</x:v>
      </x:c>
      <x:c r="M1934" s="19" t="n">
        <x:f>F1934-IF(H1934=2,1,0)</x:f>
        <x:v>4</x:v>
      </x:c>
      <x:c r="N1934" s="19" t="n">
        <x:f>MAX(K1934-1,0)+MAX(L1934-1,0)+MAX(M1934-1,0)</x:f>
        <x:v>5</x:v>
      </x:c>
      <x:c r="O1934" s="19" t="n">
        <x:f>IF(AND(SUM(K1934:M1934)&lt;9,OR(M1934=0,N1934&lt;6)),1,0)</x:f>
        <x:v>1</x:v>
      </x:c>
      <x:c r="P1934" s="19" t="n">
        <x:f>IF(AND(SUM(K1934:M1934)&lt;9,OR(L1934=0,N1934&lt;6)),1,0)</x:f>
        <x:v>1</x:v>
      </x:c>
      <x:c r="Q1934" s="19" t="n">
        <x:f>IF(AND(SUM(K1934:M1934)&lt;9,OR(K1934=0,N1934&lt;6)),1,0)</x:f>
        <x:v>1</x:v>
      </x:c>
      <x:c r="R1934" s="22" t="str">
        <x:f>O1934&amp;P1934&amp;Q1934</x:f>
        <x:v>111</x:v>
      </x:c>
      <x:c r="S1934" s="19" t="n">
        <x:f>IF(I1934=1,IF(J1934=0,Q1934,IF(J1934=1,P1934,IF(J1934=2,O1934,0))),0)</x:f>
        <x:v>0</x:v>
      </x:c>
      <x:c r="T1934" s="19" t="n">
        <x:f>K1934+IF(AND(S1934=1,J1934=0),1,0)</x:f>
        <x:v>3</x:v>
      </x:c>
      <x:c r="U1934" s="19" t="n">
        <x:f>L1934+IF(AND(S1934=1,J1934=1),1,0)</x:f>
        <x:v>0</x:v>
      </x:c>
      <x:c r="V1934" s="19" t="n">
        <x:f>M1934+IF(AND(S1934=1,J1934=2),1,0)</x:f>
        <x:v>4</x:v>
      </x:c>
      <x:c r="W1934" s="19" t="n">
        <x:f>SUM(T1934:V1934)</x:f>
        <x:v>7</x:v>
      </x:c>
      <x:c r="X1934" s="19" t="n">
        <x:f>W1934-G1934</x:f>
        <x:v>-1</x:v>
      </x:c>
      <x:c r="Y1934" s="19" t="n">
        <x:f>MAX(T1934,1)+MAX(U1934,1)+MAX(V1934,1)</x:f>
        <x:v>8</x:v>
      </x:c>
      <x:c r="Z1934" s="21" t="str">
        <x:f>IF(AND(MIN(D1934:F1934)&gt;=0,MAX(D1934:F1934)&lt;=7,MAX(D1934,1)+MAX(E1934,1)+MAX(F1934,1)&lt;=9,OR(H1934="-",AND(H1934=0,D1934&gt;0),AND(H1934=1,E1934&gt;0),AND(H1934=2,F1934&gt;0)),OR(I1934=0,AND(I1934=1,OR(J1934=0,J1934=1,J1934=2),R1934&lt;&gt;"000")),Y1934&lt;=9,MIN(T1934:V1934)&gt;=0),"合法","输入违约")</x:f>
        <x:v>合法</x:v>
      </x:c>
    </x:row>
    <x:row r="1935" ht="23" customHeight="1">
      <x:c r="A1935" s="3" t="str">
        <x:v>CT-1928</x:v>
      </x:c>
      <x:c r="B1935" s="3" t="str">
        <x:v>ST-149</x:v>
      </x:c>
      <x:c r="C1935" s="3" t="str">
        <x:v>R+AR同收同发</x:v>
      </x:c>
      <x:c r="D1935" s="25" t="n">
        <x:v>4</x:v>
      </x:c>
      <x:c r="E1935" s="25" t="n">
        <x:v>0</x:v>
      </x:c>
      <x:c r="F1935" s="25" t="n">
        <x:v>4</x:v>
      </x:c>
      <x:c r="G1935" s="19" t="n">
        <x:f>SUM(D1935:F1935)</x:f>
        <x:v>8</x:v>
      </x:c>
      <x:c r="H1935" s="25" t="n">
        <x:v>0</x:v>
      </x:c>
      <x:c r="I1935" s="25" t="n">
        <x:v>1</x:v>
      </x:c>
      <x:c r="J1935" s="25" t="n">
        <x:v>0</x:v>
      </x:c>
      <x:c r="K1935" s="19" t="n">
        <x:f>D1935-IF(H1935=0,1,0)</x:f>
        <x:v>3</x:v>
      </x:c>
      <x:c r="L1935" s="19" t="n">
        <x:f>E1935-IF(H1935=1,1,0)</x:f>
        <x:v>0</x:v>
      </x:c>
      <x:c r="M1935" s="19" t="n">
        <x:f>F1935-IF(H1935=2,1,0)</x:f>
        <x:v>4</x:v>
      </x:c>
      <x:c r="N1935" s="19" t="n">
        <x:f>MAX(K1935-1,0)+MAX(L1935-1,0)+MAX(M1935-1,0)</x:f>
        <x:v>5</x:v>
      </x:c>
      <x:c r="O1935" s="19" t="n">
        <x:f>IF(AND(SUM(K1935:M1935)&lt;9,OR(M1935=0,N1935&lt;6)),1,0)</x:f>
        <x:v>1</x:v>
      </x:c>
      <x:c r="P1935" s="19" t="n">
        <x:f>IF(AND(SUM(K1935:M1935)&lt;9,OR(L1935=0,N1935&lt;6)),1,0)</x:f>
        <x:v>1</x:v>
      </x:c>
      <x:c r="Q1935" s="19" t="n">
        <x:f>IF(AND(SUM(K1935:M1935)&lt;9,OR(K1935=0,N1935&lt;6)),1,0)</x:f>
        <x:v>1</x:v>
      </x:c>
      <x:c r="R1935" s="22" t="str">
        <x:f>O1935&amp;P1935&amp;Q1935</x:f>
        <x:v>111</x:v>
      </x:c>
      <x:c r="S1935" s="19" t="n">
        <x:f>IF(I1935=1,IF(J1935=0,Q1935,IF(J1935=1,P1935,IF(J1935=2,O1935,0))),0)</x:f>
        <x:v>1</x:v>
      </x:c>
      <x:c r="T1935" s="19" t="n">
        <x:f>K1935+IF(AND(S1935=1,J1935=0),1,0)</x:f>
        <x:v>4</x:v>
      </x:c>
      <x:c r="U1935" s="19" t="n">
        <x:f>L1935+IF(AND(S1935=1,J1935=1),1,0)</x:f>
        <x:v>0</x:v>
      </x:c>
      <x:c r="V1935" s="19" t="n">
        <x:f>M1935+IF(AND(S1935=1,J1935=2),1,0)</x:f>
        <x:v>4</x:v>
      </x:c>
      <x:c r="W1935" s="19" t="n">
        <x:f>SUM(T1935:V1935)</x:f>
        <x:v>8</x:v>
      </x:c>
      <x:c r="X1935" s="19" t="n">
        <x:f>W1935-G1935</x:f>
        <x:v>0</x:v>
      </x:c>
      <x:c r="Y1935" s="19" t="n">
        <x:f>MAX(T1935,1)+MAX(U1935,1)+MAX(V1935,1)</x:f>
        <x:v>9</x:v>
      </x:c>
      <x:c r="Z1935" s="21" t="str">
        <x:f>IF(AND(MIN(D1935:F1935)&gt;=0,MAX(D1935:F1935)&lt;=7,MAX(D1935,1)+MAX(E1935,1)+MAX(F1935,1)&lt;=9,OR(H1935="-",AND(H1935=0,D1935&gt;0),AND(H1935=1,E1935&gt;0),AND(H1935=2,F1935&gt;0)),OR(I1935=0,AND(I1935=1,OR(J1935=0,J1935=1,J1935=2),R1935&lt;&gt;"000")),Y1935&lt;=9,MIN(T1935:V1935)&gt;=0),"合法","输入违约")</x:f>
        <x:v>合法</x:v>
      </x:c>
    </x:row>
    <x:row r="1936" ht="23" customHeight="1">
      <x:c r="A1936" s="3" t="str">
        <x:v>CT-1929</x:v>
      </x:c>
      <x:c r="B1936" s="3" t="str">
        <x:v>ST-149</x:v>
      </x:c>
      <x:c r="C1936" s="3" t="str">
        <x:v>R+AR同收同发</x:v>
      </x:c>
      <x:c r="D1936" s="25" t="n">
        <x:v>4</x:v>
      </x:c>
      <x:c r="E1936" s="25" t="n">
        <x:v>0</x:v>
      </x:c>
      <x:c r="F1936" s="25" t="n">
        <x:v>4</x:v>
      </x:c>
      <x:c r="G1936" s="19" t="n">
        <x:f>SUM(D1936:F1936)</x:f>
        <x:v>8</x:v>
      </x:c>
      <x:c r="H1936" s="25" t="n">
        <x:v>0</x:v>
      </x:c>
      <x:c r="I1936" s="25" t="n">
        <x:v>1</x:v>
      </x:c>
      <x:c r="J1936" s="25" t="n">
        <x:v>1</x:v>
      </x:c>
      <x:c r="K1936" s="19" t="n">
        <x:f>D1936-IF(H1936=0,1,0)</x:f>
        <x:v>3</x:v>
      </x:c>
      <x:c r="L1936" s="19" t="n">
        <x:f>E1936-IF(H1936=1,1,0)</x:f>
        <x:v>0</x:v>
      </x:c>
      <x:c r="M1936" s="19" t="n">
        <x:f>F1936-IF(H1936=2,1,0)</x:f>
        <x:v>4</x:v>
      </x:c>
      <x:c r="N1936" s="19" t="n">
        <x:f>MAX(K1936-1,0)+MAX(L1936-1,0)+MAX(M1936-1,0)</x:f>
        <x:v>5</x:v>
      </x:c>
      <x:c r="O1936" s="19" t="n">
        <x:f>IF(AND(SUM(K1936:M1936)&lt;9,OR(M1936=0,N1936&lt;6)),1,0)</x:f>
        <x:v>1</x:v>
      </x:c>
      <x:c r="P1936" s="19" t="n">
        <x:f>IF(AND(SUM(K1936:M1936)&lt;9,OR(L1936=0,N1936&lt;6)),1,0)</x:f>
        <x:v>1</x:v>
      </x:c>
      <x:c r="Q1936" s="19" t="n">
        <x:f>IF(AND(SUM(K1936:M1936)&lt;9,OR(K1936=0,N1936&lt;6)),1,0)</x:f>
        <x:v>1</x:v>
      </x:c>
      <x:c r="R1936" s="22" t="str">
        <x:f>O1936&amp;P1936&amp;Q1936</x:f>
        <x:v>111</x:v>
      </x:c>
      <x:c r="S1936" s="19" t="n">
        <x:f>IF(I1936=1,IF(J1936=0,Q1936,IF(J1936=1,P1936,IF(J1936=2,O1936,0))),0)</x:f>
        <x:v>1</x:v>
      </x:c>
      <x:c r="T1936" s="19" t="n">
        <x:f>K1936+IF(AND(S1936=1,J1936=0),1,0)</x:f>
        <x:v>3</x:v>
      </x:c>
      <x:c r="U1936" s="19" t="n">
        <x:f>L1936+IF(AND(S1936=1,J1936=1),1,0)</x:f>
        <x:v>1</x:v>
      </x:c>
      <x:c r="V1936" s="19" t="n">
        <x:f>M1936+IF(AND(S1936=1,J1936=2),1,0)</x:f>
        <x:v>4</x:v>
      </x:c>
      <x:c r="W1936" s="19" t="n">
        <x:f>SUM(T1936:V1936)</x:f>
        <x:v>8</x:v>
      </x:c>
      <x:c r="X1936" s="19" t="n">
        <x:f>W1936-G1936</x:f>
        <x:v>0</x:v>
      </x:c>
      <x:c r="Y1936" s="19" t="n">
        <x:f>MAX(T1936,1)+MAX(U1936,1)+MAX(V1936,1)</x:f>
        <x:v>8</x:v>
      </x:c>
      <x:c r="Z1936" s="21" t="str">
        <x:f>IF(AND(MIN(D1936:F1936)&gt;=0,MAX(D1936:F1936)&lt;=7,MAX(D1936,1)+MAX(E1936,1)+MAX(F1936,1)&lt;=9,OR(H1936="-",AND(H1936=0,D1936&gt;0),AND(H1936=1,E1936&gt;0),AND(H1936=2,F1936&gt;0)),OR(I1936=0,AND(I1936=1,OR(J1936=0,J1936=1,J1936=2),R1936&lt;&gt;"000")),Y1936&lt;=9,MIN(T1936:V1936)&gt;=0),"合法","输入违约")</x:f>
        <x:v>合法</x:v>
      </x:c>
    </x:row>
    <x:row r="1937" ht="23" customHeight="1">
      <x:c r="A1937" s="3" t="str">
        <x:v>CT-1930</x:v>
      </x:c>
      <x:c r="B1937" s="3" t="str">
        <x:v>ST-149</x:v>
      </x:c>
      <x:c r="C1937" s="3" t="str">
        <x:v>R+AR同收同发</x:v>
      </x:c>
      <x:c r="D1937" s="25" t="n">
        <x:v>4</x:v>
      </x:c>
      <x:c r="E1937" s="25" t="n">
        <x:v>0</x:v>
      </x:c>
      <x:c r="F1937" s="25" t="n">
        <x:v>4</x:v>
      </x:c>
      <x:c r="G1937" s="19" t="n">
        <x:f>SUM(D1937:F1937)</x:f>
        <x:v>8</x:v>
      </x:c>
      <x:c r="H1937" s="25" t="n">
        <x:v>0</x:v>
      </x:c>
      <x:c r="I1937" s="25" t="n">
        <x:v>1</x:v>
      </x:c>
      <x:c r="J1937" s="25" t="n">
        <x:v>2</x:v>
      </x:c>
      <x:c r="K1937" s="19" t="n">
        <x:f>D1937-IF(H1937=0,1,0)</x:f>
        <x:v>3</x:v>
      </x:c>
      <x:c r="L1937" s="19" t="n">
        <x:f>E1937-IF(H1937=1,1,0)</x:f>
        <x:v>0</x:v>
      </x:c>
      <x:c r="M1937" s="19" t="n">
        <x:f>F1937-IF(H1937=2,1,0)</x:f>
        <x:v>4</x:v>
      </x:c>
      <x:c r="N1937" s="19" t="n">
        <x:f>MAX(K1937-1,0)+MAX(L1937-1,0)+MAX(M1937-1,0)</x:f>
        <x:v>5</x:v>
      </x:c>
      <x:c r="O1937" s="19" t="n">
        <x:f>IF(AND(SUM(K1937:M1937)&lt;9,OR(M1937=0,N1937&lt;6)),1,0)</x:f>
        <x:v>1</x:v>
      </x:c>
      <x:c r="P1937" s="19" t="n">
        <x:f>IF(AND(SUM(K1937:M1937)&lt;9,OR(L1937=0,N1937&lt;6)),1,0)</x:f>
        <x:v>1</x:v>
      </x:c>
      <x:c r="Q1937" s="19" t="n">
        <x:f>IF(AND(SUM(K1937:M1937)&lt;9,OR(K1937=0,N1937&lt;6)),1,0)</x:f>
        <x:v>1</x:v>
      </x:c>
      <x:c r="R1937" s="22" t="str">
        <x:f>O1937&amp;P1937&amp;Q1937</x:f>
        <x:v>111</x:v>
      </x:c>
      <x:c r="S1937" s="19" t="n">
        <x:f>IF(I1937=1,IF(J1937=0,Q1937,IF(J1937=1,P1937,IF(J1937=2,O1937,0))),0)</x:f>
        <x:v>1</x:v>
      </x:c>
      <x:c r="T1937" s="19" t="n">
        <x:f>K1937+IF(AND(S1937=1,J1937=0),1,0)</x:f>
        <x:v>3</x:v>
      </x:c>
      <x:c r="U1937" s="19" t="n">
        <x:f>L1937+IF(AND(S1937=1,J1937=1),1,0)</x:f>
        <x:v>0</x:v>
      </x:c>
      <x:c r="V1937" s="19" t="n">
        <x:f>M1937+IF(AND(S1937=1,J1937=2),1,0)</x:f>
        <x:v>5</x:v>
      </x:c>
      <x:c r="W1937" s="19" t="n">
        <x:f>SUM(T1937:V1937)</x:f>
        <x:v>8</x:v>
      </x:c>
      <x:c r="X1937" s="19" t="n">
        <x:f>W1937-G1937</x:f>
        <x:v>0</x:v>
      </x:c>
      <x:c r="Y1937" s="19" t="n">
        <x:f>MAX(T1937,1)+MAX(U1937,1)+MAX(V1937,1)</x:f>
        <x:v>9</x:v>
      </x:c>
      <x:c r="Z1937" s="21" t="str">
        <x:f>IF(AND(MIN(D1937:F1937)&gt;=0,MAX(D1937:F1937)&lt;=7,MAX(D1937,1)+MAX(E1937,1)+MAX(F1937,1)&lt;=9,OR(H1937="-",AND(H1937=0,D1937&gt;0),AND(H1937=1,E1937&gt;0),AND(H1937=2,F1937&gt;0)),OR(I1937=0,AND(I1937=1,OR(J1937=0,J1937=1,J1937=2),R1937&lt;&gt;"000")),Y1937&lt;=9,MIN(T1937:V1937)&gt;=0),"合法","输入违约")</x:f>
        <x:v>合法</x:v>
      </x:c>
    </x:row>
    <x:row r="1938" ht="23" customHeight="1">
      <x:c r="A1938" s="3" t="str">
        <x:v>CT-1931</x:v>
      </x:c>
      <x:c r="B1938" s="3" t="str">
        <x:v>ST-149</x:v>
      </x:c>
      <x:c r="C1938" s="3" t="str">
        <x:v>仅R回收</x:v>
      </x:c>
      <x:c r="D1938" s="25" t="n">
        <x:v>4</x:v>
      </x:c>
      <x:c r="E1938" s="25" t="n">
        <x:v>0</x:v>
      </x:c>
      <x:c r="F1938" s="25" t="n">
        <x:v>4</x:v>
      </x:c>
      <x:c r="G1938" s="19" t="n">
        <x:f>SUM(D1938:F1938)</x:f>
        <x:v>8</x:v>
      </x:c>
      <x:c r="H1938" s="25" t="n">
        <x:v>2</x:v>
      </x:c>
      <x:c r="I1938" s="25" t="n">
        <x:v>0</x:v>
      </x:c>
      <x:c r="J1938" s="25" t="str">
        <x:v>-</x:v>
      </x:c>
      <x:c r="K1938" s="19" t="n">
        <x:f>D1938-IF(H1938=0,1,0)</x:f>
        <x:v>4</x:v>
      </x:c>
      <x:c r="L1938" s="19" t="n">
        <x:f>E1938-IF(H1938=1,1,0)</x:f>
        <x:v>0</x:v>
      </x:c>
      <x:c r="M1938" s="19" t="n">
        <x:f>F1938-IF(H1938=2,1,0)</x:f>
        <x:v>3</x:v>
      </x:c>
      <x:c r="N1938" s="19" t="n">
        <x:f>MAX(K1938-1,0)+MAX(L1938-1,0)+MAX(M1938-1,0)</x:f>
        <x:v>5</x:v>
      </x:c>
      <x:c r="O1938" s="19" t="n">
        <x:f>IF(AND(SUM(K1938:M1938)&lt;9,OR(M1938=0,N1938&lt;6)),1,0)</x:f>
        <x:v>1</x:v>
      </x:c>
      <x:c r="P1938" s="19" t="n">
        <x:f>IF(AND(SUM(K1938:M1938)&lt;9,OR(L1938=0,N1938&lt;6)),1,0)</x:f>
        <x:v>1</x:v>
      </x:c>
      <x:c r="Q1938" s="19" t="n">
        <x:f>IF(AND(SUM(K1938:M1938)&lt;9,OR(K1938=0,N1938&lt;6)),1,0)</x:f>
        <x:v>1</x:v>
      </x:c>
      <x:c r="R1938" s="22" t="str">
        <x:f>O1938&amp;P1938&amp;Q1938</x:f>
        <x:v>111</x:v>
      </x:c>
      <x:c r="S1938" s="19" t="n">
        <x:f>IF(I1938=1,IF(J1938=0,Q1938,IF(J1938=1,P1938,IF(J1938=2,O1938,0))),0)</x:f>
        <x:v>0</x:v>
      </x:c>
      <x:c r="T1938" s="19" t="n">
        <x:f>K1938+IF(AND(S1938=1,J1938=0),1,0)</x:f>
        <x:v>4</x:v>
      </x:c>
      <x:c r="U1938" s="19" t="n">
        <x:f>L1938+IF(AND(S1938=1,J1938=1),1,0)</x:f>
        <x:v>0</x:v>
      </x:c>
      <x:c r="V1938" s="19" t="n">
        <x:f>M1938+IF(AND(S1938=1,J1938=2),1,0)</x:f>
        <x:v>3</x:v>
      </x:c>
      <x:c r="W1938" s="19" t="n">
        <x:f>SUM(T1938:V1938)</x:f>
        <x:v>7</x:v>
      </x:c>
      <x:c r="X1938" s="19" t="n">
        <x:f>W1938-G1938</x:f>
        <x:v>-1</x:v>
      </x:c>
      <x:c r="Y1938" s="19" t="n">
        <x:f>MAX(T1938,1)+MAX(U1938,1)+MAX(V1938,1)</x:f>
        <x:v>8</x:v>
      </x:c>
      <x:c r="Z1938" s="21" t="str">
        <x:f>IF(AND(MIN(D1938:F1938)&gt;=0,MAX(D1938:F1938)&lt;=7,MAX(D1938,1)+MAX(E1938,1)+MAX(F1938,1)&lt;=9,OR(H1938="-",AND(H1938=0,D1938&gt;0),AND(H1938=1,E1938&gt;0),AND(H1938=2,F1938&gt;0)),OR(I1938=0,AND(I1938=1,OR(J1938=0,J1938=1,J1938=2),R1938&lt;&gt;"000")),Y1938&lt;=9,MIN(T1938:V1938)&gt;=0),"合法","输入违约")</x:f>
        <x:v>合法</x:v>
      </x:c>
    </x:row>
    <x:row r="1939" ht="23" customHeight="1">
      <x:c r="A1939" s="3" t="str">
        <x:v>CT-1932</x:v>
      </x:c>
      <x:c r="B1939" s="3" t="str">
        <x:v>ST-149</x:v>
      </x:c>
      <x:c r="C1939" s="3" t="str">
        <x:v>R+AR同收同发</x:v>
      </x:c>
      <x:c r="D1939" s="25" t="n">
        <x:v>4</x:v>
      </x:c>
      <x:c r="E1939" s="25" t="n">
        <x:v>0</x:v>
      </x:c>
      <x:c r="F1939" s="25" t="n">
        <x:v>4</x:v>
      </x:c>
      <x:c r="G1939" s="19" t="n">
        <x:f>SUM(D1939:F1939)</x:f>
        <x:v>8</x:v>
      </x:c>
      <x:c r="H1939" s="25" t="n">
        <x:v>2</x:v>
      </x:c>
      <x:c r="I1939" s="25" t="n">
        <x:v>1</x:v>
      </x:c>
      <x:c r="J1939" s="25" t="n">
        <x:v>0</x:v>
      </x:c>
      <x:c r="K1939" s="19" t="n">
        <x:f>D1939-IF(H1939=0,1,0)</x:f>
        <x:v>4</x:v>
      </x:c>
      <x:c r="L1939" s="19" t="n">
        <x:f>E1939-IF(H1939=1,1,0)</x:f>
        <x:v>0</x:v>
      </x:c>
      <x:c r="M1939" s="19" t="n">
        <x:f>F1939-IF(H1939=2,1,0)</x:f>
        <x:v>3</x:v>
      </x:c>
      <x:c r="N1939" s="19" t="n">
        <x:f>MAX(K1939-1,0)+MAX(L1939-1,0)+MAX(M1939-1,0)</x:f>
        <x:v>5</x:v>
      </x:c>
      <x:c r="O1939" s="19" t="n">
        <x:f>IF(AND(SUM(K1939:M1939)&lt;9,OR(M1939=0,N1939&lt;6)),1,0)</x:f>
        <x:v>1</x:v>
      </x:c>
      <x:c r="P1939" s="19" t="n">
        <x:f>IF(AND(SUM(K1939:M1939)&lt;9,OR(L1939=0,N1939&lt;6)),1,0)</x:f>
        <x:v>1</x:v>
      </x:c>
      <x:c r="Q1939" s="19" t="n">
        <x:f>IF(AND(SUM(K1939:M1939)&lt;9,OR(K1939=0,N1939&lt;6)),1,0)</x:f>
        <x:v>1</x:v>
      </x:c>
      <x:c r="R1939" s="22" t="str">
        <x:f>O1939&amp;P1939&amp;Q1939</x:f>
        <x:v>111</x:v>
      </x:c>
      <x:c r="S1939" s="19" t="n">
        <x:f>IF(I1939=1,IF(J1939=0,Q1939,IF(J1939=1,P1939,IF(J1939=2,O1939,0))),0)</x:f>
        <x:v>1</x:v>
      </x:c>
      <x:c r="T1939" s="19" t="n">
        <x:f>K1939+IF(AND(S1939=1,J1939=0),1,0)</x:f>
        <x:v>5</x:v>
      </x:c>
      <x:c r="U1939" s="19" t="n">
        <x:f>L1939+IF(AND(S1939=1,J1939=1),1,0)</x:f>
        <x:v>0</x:v>
      </x:c>
      <x:c r="V1939" s="19" t="n">
        <x:f>M1939+IF(AND(S1939=1,J1939=2),1,0)</x:f>
        <x:v>3</x:v>
      </x:c>
      <x:c r="W1939" s="19" t="n">
        <x:f>SUM(T1939:V1939)</x:f>
        <x:v>8</x:v>
      </x:c>
      <x:c r="X1939" s="19" t="n">
        <x:f>W1939-G1939</x:f>
        <x:v>0</x:v>
      </x:c>
      <x:c r="Y1939" s="19" t="n">
        <x:f>MAX(T1939,1)+MAX(U1939,1)+MAX(V1939,1)</x:f>
        <x:v>9</x:v>
      </x:c>
      <x:c r="Z1939" s="21" t="str">
        <x:f>IF(AND(MIN(D1939:F1939)&gt;=0,MAX(D1939:F1939)&lt;=7,MAX(D1939,1)+MAX(E1939,1)+MAX(F1939,1)&lt;=9,OR(H1939="-",AND(H1939=0,D1939&gt;0),AND(H1939=1,E1939&gt;0),AND(H1939=2,F1939&gt;0)),OR(I1939=0,AND(I1939=1,OR(J1939=0,J1939=1,J1939=2),R1939&lt;&gt;"000")),Y1939&lt;=9,MIN(T1939:V1939)&gt;=0),"合法","输入违约")</x:f>
        <x:v>合法</x:v>
      </x:c>
    </x:row>
    <x:row r="1940" ht="23" customHeight="1">
      <x:c r="A1940" s="3" t="str">
        <x:v>CT-1933</x:v>
      </x:c>
      <x:c r="B1940" s="3" t="str">
        <x:v>ST-149</x:v>
      </x:c>
      <x:c r="C1940" s="3" t="str">
        <x:v>R+AR同收同发</x:v>
      </x:c>
      <x:c r="D1940" s="25" t="n">
        <x:v>4</x:v>
      </x:c>
      <x:c r="E1940" s="25" t="n">
        <x:v>0</x:v>
      </x:c>
      <x:c r="F1940" s="25" t="n">
        <x:v>4</x:v>
      </x:c>
      <x:c r="G1940" s="19" t="n">
        <x:f>SUM(D1940:F1940)</x:f>
        <x:v>8</x:v>
      </x:c>
      <x:c r="H1940" s="25" t="n">
        <x:v>2</x:v>
      </x:c>
      <x:c r="I1940" s="25" t="n">
        <x:v>1</x:v>
      </x:c>
      <x:c r="J1940" s="25" t="n">
        <x:v>1</x:v>
      </x:c>
      <x:c r="K1940" s="19" t="n">
        <x:f>D1940-IF(H1940=0,1,0)</x:f>
        <x:v>4</x:v>
      </x:c>
      <x:c r="L1940" s="19" t="n">
        <x:f>E1940-IF(H1940=1,1,0)</x:f>
        <x:v>0</x:v>
      </x:c>
      <x:c r="M1940" s="19" t="n">
        <x:f>F1940-IF(H1940=2,1,0)</x:f>
        <x:v>3</x:v>
      </x:c>
      <x:c r="N1940" s="19" t="n">
        <x:f>MAX(K1940-1,0)+MAX(L1940-1,0)+MAX(M1940-1,0)</x:f>
        <x:v>5</x:v>
      </x:c>
      <x:c r="O1940" s="19" t="n">
        <x:f>IF(AND(SUM(K1940:M1940)&lt;9,OR(M1940=0,N1940&lt;6)),1,0)</x:f>
        <x:v>1</x:v>
      </x:c>
      <x:c r="P1940" s="19" t="n">
        <x:f>IF(AND(SUM(K1940:M1940)&lt;9,OR(L1940=0,N1940&lt;6)),1,0)</x:f>
        <x:v>1</x:v>
      </x:c>
      <x:c r="Q1940" s="19" t="n">
        <x:f>IF(AND(SUM(K1940:M1940)&lt;9,OR(K1940=0,N1940&lt;6)),1,0)</x:f>
        <x:v>1</x:v>
      </x:c>
      <x:c r="R1940" s="22" t="str">
        <x:f>O1940&amp;P1940&amp;Q1940</x:f>
        <x:v>111</x:v>
      </x:c>
      <x:c r="S1940" s="19" t="n">
        <x:f>IF(I1940=1,IF(J1940=0,Q1940,IF(J1940=1,P1940,IF(J1940=2,O1940,0))),0)</x:f>
        <x:v>1</x:v>
      </x:c>
      <x:c r="T1940" s="19" t="n">
        <x:f>K1940+IF(AND(S1940=1,J1940=0),1,0)</x:f>
        <x:v>4</x:v>
      </x:c>
      <x:c r="U1940" s="19" t="n">
        <x:f>L1940+IF(AND(S1940=1,J1940=1),1,0)</x:f>
        <x:v>1</x:v>
      </x:c>
      <x:c r="V1940" s="19" t="n">
        <x:f>M1940+IF(AND(S1940=1,J1940=2),1,0)</x:f>
        <x:v>3</x:v>
      </x:c>
      <x:c r="W1940" s="19" t="n">
        <x:f>SUM(T1940:V1940)</x:f>
        <x:v>8</x:v>
      </x:c>
      <x:c r="X1940" s="19" t="n">
        <x:f>W1940-G1940</x:f>
        <x:v>0</x:v>
      </x:c>
      <x:c r="Y1940" s="19" t="n">
        <x:f>MAX(T1940,1)+MAX(U1940,1)+MAX(V1940,1)</x:f>
        <x:v>8</x:v>
      </x:c>
      <x:c r="Z1940" s="21" t="str">
        <x:f>IF(AND(MIN(D1940:F1940)&gt;=0,MAX(D1940:F1940)&lt;=7,MAX(D1940,1)+MAX(E1940,1)+MAX(F1940,1)&lt;=9,OR(H1940="-",AND(H1940=0,D1940&gt;0),AND(H1940=1,E1940&gt;0),AND(H1940=2,F1940&gt;0)),OR(I1940=0,AND(I1940=1,OR(J1940=0,J1940=1,J1940=2),R1940&lt;&gt;"000")),Y1940&lt;=9,MIN(T1940:V1940)&gt;=0),"合法","输入违约")</x:f>
        <x:v>合法</x:v>
      </x:c>
    </x:row>
    <x:row r="1941" ht="23" customHeight="1">
      <x:c r="A1941" s="3" t="str">
        <x:v>CT-1934</x:v>
      </x:c>
      <x:c r="B1941" s="3" t="str">
        <x:v>ST-149</x:v>
      </x:c>
      <x:c r="C1941" s="3" t="str">
        <x:v>R+AR同收同发</x:v>
      </x:c>
      <x:c r="D1941" s="25" t="n">
        <x:v>4</x:v>
      </x:c>
      <x:c r="E1941" s="25" t="n">
        <x:v>0</x:v>
      </x:c>
      <x:c r="F1941" s="25" t="n">
        <x:v>4</x:v>
      </x:c>
      <x:c r="G1941" s="19" t="n">
        <x:f>SUM(D1941:F1941)</x:f>
        <x:v>8</x:v>
      </x:c>
      <x:c r="H1941" s="25" t="n">
        <x:v>2</x:v>
      </x:c>
      <x:c r="I1941" s="25" t="n">
        <x:v>1</x:v>
      </x:c>
      <x:c r="J1941" s="25" t="n">
        <x:v>2</x:v>
      </x:c>
      <x:c r="K1941" s="19" t="n">
        <x:f>D1941-IF(H1941=0,1,0)</x:f>
        <x:v>4</x:v>
      </x:c>
      <x:c r="L1941" s="19" t="n">
        <x:f>E1941-IF(H1941=1,1,0)</x:f>
        <x:v>0</x:v>
      </x:c>
      <x:c r="M1941" s="19" t="n">
        <x:f>F1941-IF(H1941=2,1,0)</x:f>
        <x:v>3</x:v>
      </x:c>
      <x:c r="N1941" s="19" t="n">
        <x:f>MAX(K1941-1,0)+MAX(L1941-1,0)+MAX(M1941-1,0)</x:f>
        <x:v>5</x:v>
      </x:c>
      <x:c r="O1941" s="19" t="n">
        <x:f>IF(AND(SUM(K1941:M1941)&lt;9,OR(M1941=0,N1941&lt;6)),1,0)</x:f>
        <x:v>1</x:v>
      </x:c>
      <x:c r="P1941" s="19" t="n">
        <x:f>IF(AND(SUM(K1941:M1941)&lt;9,OR(L1941=0,N1941&lt;6)),1,0)</x:f>
        <x:v>1</x:v>
      </x:c>
      <x:c r="Q1941" s="19" t="n">
        <x:f>IF(AND(SUM(K1941:M1941)&lt;9,OR(K1941=0,N1941&lt;6)),1,0)</x:f>
        <x:v>1</x:v>
      </x:c>
      <x:c r="R1941" s="22" t="str">
        <x:f>O1941&amp;P1941&amp;Q1941</x:f>
        <x:v>111</x:v>
      </x:c>
      <x:c r="S1941" s="19" t="n">
        <x:f>IF(I1941=1,IF(J1941=0,Q1941,IF(J1941=1,P1941,IF(J1941=2,O1941,0))),0)</x:f>
        <x:v>1</x:v>
      </x:c>
      <x:c r="T1941" s="19" t="n">
        <x:f>K1941+IF(AND(S1941=1,J1941=0),1,0)</x:f>
        <x:v>4</x:v>
      </x:c>
      <x:c r="U1941" s="19" t="n">
        <x:f>L1941+IF(AND(S1941=1,J1941=1),1,0)</x:f>
        <x:v>0</x:v>
      </x:c>
      <x:c r="V1941" s="19" t="n">
        <x:f>M1941+IF(AND(S1941=1,J1941=2),1,0)</x:f>
        <x:v>4</x:v>
      </x:c>
      <x:c r="W1941" s="19" t="n">
        <x:f>SUM(T1941:V1941)</x:f>
        <x:v>8</x:v>
      </x:c>
      <x:c r="X1941" s="19" t="n">
        <x:f>W1941-G1941</x:f>
        <x:v>0</x:v>
      </x:c>
      <x:c r="Y1941" s="19" t="n">
        <x:f>MAX(T1941,1)+MAX(U1941,1)+MAX(V1941,1)</x:f>
        <x:v>9</x:v>
      </x:c>
      <x:c r="Z1941" s="21" t="str">
        <x:f>IF(AND(MIN(D1941:F1941)&gt;=0,MAX(D1941:F1941)&lt;=7,MAX(D1941,1)+MAX(E1941,1)+MAX(F1941,1)&lt;=9,OR(H1941="-",AND(H1941=0,D1941&gt;0),AND(H1941=1,E1941&gt;0),AND(H1941=2,F1941&gt;0)),OR(I1941=0,AND(I1941=1,OR(J1941=0,J1941=1,J1941=2),R1941&lt;&gt;"000")),Y1941&lt;=9,MIN(T1941:V1941)&gt;=0),"合法","输入违约")</x:f>
        <x:v>合法</x:v>
      </x:c>
    </x:row>
    <x:row r="1942" ht="23" customHeight="1">
      <x:c r="A1942" s="3" t="str">
        <x:v>CT-1935</x:v>
      </x:c>
      <x:c r="B1942" s="3" t="str">
        <x:v>ST-055</x:v>
      </x:c>
      <x:c r="C1942" s="3" t="str">
        <x:v>无AR/R</x:v>
      </x:c>
      <x:c r="D1942" s="25" t="n">
        <x:v>4</x:v>
      </x:c>
      <x:c r="E1942" s="25" t="n">
        <x:v>1</x:v>
      </x:c>
      <x:c r="F1942" s="25" t="n">
        <x:v>0</x:v>
      </x:c>
      <x:c r="G1942" s="19" t="n">
        <x:f>SUM(D1942:F1942)</x:f>
        <x:v>5</x:v>
      </x:c>
      <x:c r="H1942" s="25" t="str">
        <x:v>-</x:v>
      </x:c>
      <x:c r="I1942" s="25" t="n">
        <x:v>0</x:v>
      </x:c>
      <x:c r="J1942" s="25" t="str">
        <x:v>-</x:v>
      </x:c>
      <x:c r="K1942" s="19" t="n">
        <x:f>D1942-IF(H1942=0,1,0)</x:f>
        <x:v>4</x:v>
      </x:c>
      <x:c r="L1942" s="19" t="n">
        <x:f>E1942-IF(H1942=1,1,0)</x:f>
        <x:v>1</x:v>
      </x:c>
      <x:c r="M1942" s="19" t="n">
        <x:f>F1942-IF(H1942=2,1,0)</x:f>
        <x:v>0</x:v>
      </x:c>
      <x:c r="N1942" s="19" t="n">
        <x:f>MAX(K1942-1,0)+MAX(L1942-1,0)+MAX(M1942-1,0)</x:f>
        <x:v>3</x:v>
      </x:c>
      <x:c r="O1942" s="19" t="n">
        <x:f>IF(AND(SUM(K1942:M1942)&lt;9,OR(M1942=0,N1942&lt;6)),1,0)</x:f>
        <x:v>1</x:v>
      </x:c>
      <x:c r="P1942" s="19" t="n">
        <x:f>IF(AND(SUM(K1942:M1942)&lt;9,OR(L1942=0,N1942&lt;6)),1,0)</x:f>
        <x:v>1</x:v>
      </x:c>
      <x:c r="Q1942" s="19" t="n">
        <x:f>IF(AND(SUM(K1942:M1942)&lt;9,OR(K1942=0,N1942&lt;6)),1,0)</x:f>
        <x:v>1</x:v>
      </x:c>
      <x:c r="R1942" s="22" t="str">
        <x:f>O1942&amp;P1942&amp;Q1942</x:f>
        <x:v>111</x:v>
      </x:c>
      <x:c r="S1942" s="19" t="n">
        <x:f>IF(I1942=1,IF(J1942=0,Q1942,IF(J1942=1,P1942,IF(J1942=2,O1942,0))),0)</x:f>
        <x:v>0</x:v>
      </x:c>
      <x:c r="T1942" s="19" t="n">
        <x:f>K1942+IF(AND(S1942=1,J1942=0),1,0)</x:f>
        <x:v>4</x:v>
      </x:c>
      <x:c r="U1942" s="19" t="n">
        <x:f>L1942+IF(AND(S1942=1,J1942=1),1,0)</x:f>
        <x:v>1</x:v>
      </x:c>
      <x:c r="V1942" s="19" t="n">
        <x:f>M1942+IF(AND(S1942=1,J1942=2),1,0)</x:f>
        <x:v>0</x:v>
      </x:c>
      <x:c r="W1942" s="19" t="n">
        <x:f>SUM(T1942:V1942)</x:f>
        <x:v>5</x:v>
      </x:c>
      <x:c r="X1942" s="19" t="n">
        <x:f>W1942-G1942</x:f>
        <x:v>0</x:v>
      </x:c>
      <x:c r="Y1942" s="19" t="n">
        <x:f>MAX(T1942,1)+MAX(U1942,1)+MAX(V1942,1)</x:f>
        <x:v>6</x:v>
      </x:c>
      <x:c r="Z1942" s="21" t="str">
        <x:f>IF(AND(MIN(D1942:F1942)&gt;=0,MAX(D1942:F1942)&lt;=7,MAX(D1942,1)+MAX(E1942,1)+MAX(F1942,1)&lt;=9,OR(H1942="-",AND(H1942=0,D1942&gt;0),AND(H1942=1,E1942&gt;0),AND(H1942=2,F1942&gt;0)),OR(I1942=0,AND(I1942=1,OR(J1942=0,J1942=1,J1942=2),R1942&lt;&gt;"000")),Y1942&lt;=9,MIN(T1942:V1942)&gt;=0),"合法","输入违约")</x:f>
        <x:v>合法</x:v>
      </x:c>
    </x:row>
    <x:row r="1943" ht="23" customHeight="1">
      <x:c r="A1943" s="3" t="str">
        <x:v>CT-1936</x:v>
      </x:c>
      <x:c r="B1943" s="3" t="str">
        <x:v>ST-055</x:v>
      </x:c>
      <x:c r="C1943" s="3" t="str">
        <x:v>仅AR接收</x:v>
      </x:c>
      <x:c r="D1943" s="25" t="n">
        <x:v>4</x:v>
      </x:c>
      <x:c r="E1943" s="25" t="n">
        <x:v>1</x:v>
      </x:c>
      <x:c r="F1943" s="25" t="n">
        <x:v>0</x:v>
      </x:c>
      <x:c r="G1943" s="19" t="n">
        <x:f>SUM(D1943:F1943)</x:f>
        <x:v>5</x:v>
      </x:c>
      <x:c r="H1943" s="25" t="str">
        <x:v>-</x:v>
      </x:c>
      <x:c r="I1943" s="25" t="n">
        <x:v>1</x:v>
      </x:c>
      <x:c r="J1943" s="25" t="n">
        <x:v>0</x:v>
      </x:c>
      <x:c r="K1943" s="19" t="n">
        <x:f>D1943-IF(H1943=0,1,0)</x:f>
        <x:v>4</x:v>
      </x:c>
      <x:c r="L1943" s="19" t="n">
        <x:f>E1943-IF(H1943=1,1,0)</x:f>
        <x:v>1</x:v>
      </x:c>
      <x:c r="M1943" s="19" t="n">
        <x:f>F1943-IF(H1943=2,1,0)</x:f>
        <x:v>0</x:v>
      </x:c>
      <x:c r="N1943" s="19" t="n">
        <x:f>MAX(K1943-1,0)+MAX(L1943-1,0)+MAX(M1943-1,0)</x:f>
        <x:v>3</x:v>
      </x:c>
      <x:c r="O1943" s="19" t="n">
        <x:f>IF(AND(SUM(K1943:M1943)&lt;9,OR(M1943=0,N1943&lt;6)),1,0)</x:f>
        <x:v>1</x:v>
      </x:c>
      <x:c r="P1943" s="19" t="n">
        <x:f>IF(AND(SUM(K1943:M1943)&lt;9,OR(L1943=0,N1943&lt;6)),1,0)</x:f>
        <x:v>1</x:v>
      </x:c>
      <x:c r="Q1943" s="19" t="n">
        <x:f>IF(AND(SUM(K1943:M1943)&lt;9,OR(K1943=0,N1943&lt;6)),1,0)</x:f>
        <x:v>1</x:v>
      </x:c>
      <x:c r="R1943" s="22" t="str">
        <x:f>O1943&amp;P1943&amp;Q1943</x:f>
        <x:v>111</x:v>
      </x:c>
      <x:c r="S1943" s="19" t="n">
        <x:f>IF(I1943=1,IF(J1943=0,Q1943,IF(J1943=1,P1943,IF(J1943=2,O1943,0))),0)</x:f>
        <x:v>1</x:v>
      </x:c>
      <x:c r="T1943" s="19" t="n">
        <x:f>K1943+IF(AND(S1943=1,J1943=0),1,0)</x:f>
        <x:v>5</x:v>
      </x:c>
      <x:c r="U1943" s="19" t="n">
        <x:f>L1943+IF(AND(S1943=1,J1943=1),1,0)</x:f>
        <x:v>1</x:v>
      </x:c>
      <x:c r="V1943" s="19" t="n">
        <x:f>M1943+IF(AND(S1943=1,J1943=2),1,0)</x:f>
        <x:v>0</x:v>
      </x:c>
      <x:c r="W1943" s="19" t="n">
        <x:f>SUM(T1943:V1943)</x:f>
        <x:v>6</x:v>
      </x:c>
      <x:c r="X1943" s="19" t="n">
        <x:f>W1943-G1943</x:f>
        <x:v>1</x:v>
      </x:c>
      <x:c r="Y1943" s="19" t="n">
        <x:f>MAX(T1943,1)+MAX(U1943,1)+MAX(V1943,1)</x:f>
        <x:v>7</x:v>
      </x:c>
      <x:c r="Z1943" s="21" t="str">
        <x:f>IF(AND(MIN(D1943:F1943)&gt;=0,MAX(D1943:F1943)&lt;=7,MAX(D1943,1)+MAX(E1943,1)+MAX(F1943,1)&lt;=9,OR(H1943="-",AND(H1943=0,D1943&gt;0),AND(H1943=1,E1943&gt;0),AND(H1943=2,F1943&gt;0)),OR(I1943=0,AND(I1943=1,OR(J1943=0,J1943=1,J1943=2),R1943&lt;&gt;"000")),Y1943&lt;=9,MIN(T1943:V1943)&gt;=0),"合法","输入违约")</x:f>
        <x:v>合法</x:v>
      </x:c>
    </x:row>
    <x:row r="1944" ht="23" customHeight="1">
      <x:c r="A1944" s="3" t="str">
        <x:v>CT-1937</x:v>
      </x:c>
      <x:c r="B1944" s="3" t="str">
        <x:v>ST-055</x:v>
      </x:c>
      <x:c r="C1944" s="3" t="str">
        <x:v>仅AR接收</x:v>
      </x:c>
      <x:c r="D1944" s="25" t="n">
        <x:v>4</x:v>
      </x:c>
      <x:c r="E1944" s="25" t="n">
        <x:v>1</x:v>
      </x:c>
      <x:c r="F1944" s="25" t="n">
        <x:v>0</x:v>
      </x:c>
      <x:c r="G1944" s="19" t="n">
        <x:f>SUM(D1944:F1944)</x:f>
        <x:v>5</x:v>
      </x:c>
      <x:c r="H1944" s="25" t="str">
        <x:v>-</x:v>
      </x:c>
      <x:c r="I1944" s="25" t="n">
        <x:v>1</x:v>
      </x:c>
      <x:c r="J1944" s="25" t="n">
        <x:v>1</x:v>
      </x:c>
      <x:c r="K1944" s="19" t="n">
        <x:f>D1944-IF(H1944=0,1,0)</x:f>
        <x:v>4</x:v>
      </x:c>
      <x:c r="L1944" s="19" t="n">
        <x:f>E1944-IF(H1944=1,1,0)</x:f>
        <x:v>1</x:v>
      </x:c>
      <x:c r="M1944" s="19" t="n">
        <x:f>F1944-IF(H1944=2,1,0)</x:f>
        <x:v>0</x:v>
      </x:c>
      <x:c r="N1944" s="19" t="n">
        <x:f>MAX(K1944-1,0)+MAX(L1944-1,0)+MAX(M1944-1,0)</x:f>
        <x:v>3</x:v>
      </x:c>
      <x:c r="O1944" s="19" t="n">
        <x:f>IF(AND(SUM(K1944:M1944)&lt;9,OR(M1944=0,N1944&lt;6)),1,0)</x:f>
        <x:v>1</x:v>
      </x:c>
      <x:c r="P1944" s="19" t="n">
        <x:f>IF(AND(SUM(K1944:M1944)&lt;9,OR(L1944=0,N1944&lt;6)),1,0)</x:f>
        <x:v>1</x:v>
      </x:c>
      <x:c r="Q1944" s="19" t="n">
        <x:f>IF(AND(SUM(K1944:M1944)&lt;9,OR(K1944=0,N1944&lt;6)),1,0)</x:f>
        <x:v>1</x:v>
      </x:c>
      <x:c r="R1944" s="22" t="str">
        <x:f>O1944&amp;P1944&amp;Q1944</x:f>
        <x:v>111</x:v>
      </x:c>
      <x:c r="S1944" s="19" t="n">
        <x:f>IF(I1944=1,IF(J1944=0,Q1944,IF(J1944=1,P1944,IF(J1944=2,O1944,0))),0)</x:f>
        <x:v>1</x:v>
      </x:c>
      <x:c r="T1944" s="19" t="n">
        <x:f>K1944+IF(AND(S1944=1,J1944=0),1,0)</x:f>
        <x:v>4</x:v>
      </x:c>
      <x:c r="U1944" s="19" t="n">
        <x:f>L1944+IF(AND(S1944=1,J1944=1),1,0)</x:f>
        <x:v>2</x:v>
      </x:c>
      <x:c r="V1944" s="19" t="n">
        <x:f>M1944+IF(AND(S1944=1,J1944=2),1,0)</x:f>
        <x:v>0</x:v>
      </x:c>
      <x:c r="W1944" s="19" t="n">
        <x:f>SUM(T1944:V1944)</x:f>
        <x:v>6</x:v>
      </x:c>
      <x:c r="X1944" s="19" t="n">
        <x:f>W1944-G1944</x:f>
        <x:v>1</x:v>
      </x:c>
      <x:c r="Y1944" s="19" t="n">
        <x:f>MAX(T1944,1)+MAX(U1944,1)+MAX(V1944,1)</x:f>
        <x:v>7</x:v>
      </x:c>
      <x:c r="Z1944" s="21" t="str">
        <x:f>IF(AND(MIN(D1944:F1944)&gt;=0,MAX(D1944:F1944)&lt;=7,MAX(D1944,1)+MAX(E1944,1)+MAX(F1944,1)&lt;=9,OR(H1944="-",AND(H1944=0,D1944&gt;0),AND(H1944=1,E1944&gt;0),AND(H1944=2,F1944&gt;0)),OR(I1944=0,AND(I1944=1,OR(J1944=0,J1944=1,J1944=2),R1944&lt;&gt;"000")),Y1944&lt;=9,MIN(T1944:V1944)&gt;=0),"合法","输入违约")</x:f>
        <x:v>合法</x:v>
      </x:c>
    </x:row>
    <x:row r="1945" ht="23" customHeight="1">
      <x:c r="A1945" s="3" t="str">
        <x:v>CT-1938</x:v>
      </x:c>
      <x:c r="B1945" s="3" t="str">
        <x:v>ST-055</x:v>
      </x:c>
      <x:c r="C1945" s="3" t="str">
        <x:v>仅AR接收</x:v>
      </x:c>
      <x:c r="D1945" s="25" t="n">
        <x:v>4</x:v>
      </x:c>
      <x:c r="E1945" s="25" t="n">
        <x:v>1</x:v>
      </x:c>
      <x:c r="F1945" s="25" t="n">
        <x:v>0</x:v>
      </x:c>
      <x:c r="G1945" s="19" t="n">
        <x:f>SUM(D1945:F1945)</x:f>
        <x:v>5</x:v>
      </x:c>
      <x:c r="H1945" s="25" t="str">
        <x:v>-</x:v>
      </x:c>
      <x:c r="I1945" s="25" t="n">
        <x:v>1</x:v>
      </x:c>
      <x:c r="J1945" s="25" t="n">
        <x:v>2</x:v>
      </x:c>
      <x:c r="K1945" s="19" t="n">
        <x:f>D1945-IF(H1945=0,1,0)</x:f>
        <x:v>4</x:v>
      </x:c>
      <x:c r="L1945" s="19" t="n">
        <x:f>E1945-IF(H1945=1,1,0)</x:f>
        <x:v>1</x:v>
      </x:c>
      <x:c r="M1945" s="19" t="n">
        <x:f>F1945-IF(H1945=2,1,0)</x:f>
        <x:v>0</x:v>
      </x:c>
      <x:c r="N1945" s="19" t="n">
        <x:f>MAX(K1945-1,0)+MAX(L1945-1,0)+MAX(M1945-1,0)</x:f>
        <x:v>3</x:v>
      </x:c>
      <x:c r="O1945" s="19" t="n">
        <x:f>IF(AND(SUM(K1945:M1945)&lt;9,OR(M1945=0,N1945&lt;6)),1,0)</x:f>
        <x:v>1</x:v>
      </x:c>
      <x:c r="P1945" s="19" t="n">
        <x:f>IF(AND(SUM(K1945:M1945)&lt;9,OR(L1945=0,N1945&lt;6)),1,0)</x:f>
        <x:v>1</x:v>
      </x:c>
      <x:c r="Q1945" s="19" t="n">
        <x:f>IF(AND(SUM(K1945:M1945)&lt;9,OR(K1945=0,N1945&lt;6)),1,0)</x:f>
        <x:v>1</x:v>
      </x:c>
      <x:c r="R1945" s="22" t="str">
        <x:f>O1945&amp;P1945&amp;Q1945</x:f>
        <x:v>111</x:v>
      </x:c>
      <x:c r="S1945" s="19" t="n">
        <x:f>IF(I1945=1,IF(J1945=0,Q1945,IF(J1945=1,P1945,IF(J1945=2,O1945,0))),0)</x:f>
        <x:v>1</x:v>
      </x:c>
      <x:c r="T1945" s="19" t="n">
        <x:f>K1945+IF(AND(S1945=1,J1945=0),1,0)</x:f>
        <x:v>4</x:v>
      </x:c>
      <x:c r="U1945" s="19" t="n">
        <x:f>L1945+IF(AND(S1945=1,J1945=1),1,0)</x:f>
        <x:v>1</x:v>
      </x:c>
      <x:c r="V1945" s="19" t="n">
        <x:f>M1945+IF(AND(S1945=1,J1945=2),1,0)</x:f>
        <x:v>1</x:v>
      </x:c>
      <x:c r="W1945" s="19" t="n">
        <x:f>SUM(T1945:V1945)</x:f>
        <x:v>6</x:v>
      </x:c>
      <x:c r="X1945" s="19" t="n">
        <x:f>W1945-G1945</x:f>
        <x:v>1</x:v>
      </x:c>
      <x:c r="Y1945" s="19" t="n">
        <x:f>MAX(T1945,1)+MAX(U1945,1)+MAX(V1945,1)</x:f>
        <x:v>6</x:v>
      </x:c>
      <x:c r="Z1945" s="21" t="str">
        <x:f>IF(AND(MIN(D1945:F1945)&gt;=0,MAX(D1945:F1945)&lt;=7,MAX(D1945,1)+MAX(E1945,1)+MAX(F1945,1)&lt;=9,OR(H1945="-",AND(H1945=0,D1945&gt;0),AND(H1945=1,E1945&gt;0),AND(H1945=2,F1945&gt;0)),OR(I1945=0,AND(I1945=1,OR(J1945=0,J1945=1,J1945=2),R1945&lt;&gt;"000")),Y1945&lt;=9,MIN(T1945:V1945)&gt;=0),"合法","输入违约")</x:f>
        <x:v>合法</x:v>
      </x:c>
    </x:row>
    <x:row r="1946" ht="23" customHeight="1">
      <x:c r="A1946" s="3" t="str">
        <x:v>CT-1939</x:v>
      </x:c>
      <x:c r="B1946" s="3" t="str">
        <x:v>ST-055</x:v>
      </x:c>
      <x:c r="C1946" s="3" t="str">
        <x:v>仅R回收</x:v>
      </x:c>
      <x:c r="D1946" s="25" t="n">
        <x:v>4</x:v>
      </x:c>
      <x:c r="E1946" s="25" t="n">
        <x:v>1</x:v>
      </x:c>
      <x:c r="F1946" s="25" t="n">
        <x:v>0</x:v>
      </x:c>
      <x:c r="G1946" s="19" t="n">
        <x:f>SUM(D1946:F1946)</x:f>
        <x:v>5</x:v>
      </x:c>
      <x:c r="H1946" s="25" t="n">
        <x:v>0</x:v>
      </x:c>
      <x:c r="I1946" s="25" t="n">
        <x:v>0</x:v>
      </x:c>
      <x:c r="J1946" s="25" t="str">
        <x:v>-</x:v>
      </x:c>
      <x:c r="K1946" s="19" t="n">
        <x:f>D1946-IF(H1946=0,1,0)</x:f>
        <x:v>3</x:v>
      </x:c>
      <x:c r="L1946" s="19" t="n">
        <x:f>E1946-IF(H1946=1,1,0)</x:f>
        <x:v>1</x:v>
      </x:c>
      <x:c r="M1946" s="19" t="n">
        <x:f>F1946-IF(H1946=2,1,0)</x:f>
        <x:v>0</x:v>
      </x:c>
      <x:c r="N1946" s="19" t="n">
        <x:f>MAX(K1946-1,0)+MAX(L1946-1,0)+MAX(M1946-1,0)</x:f>
        <x:v>2</x:v>
      </x:c>
      <x:c r="O1946" s="19" t="n">
        <x:f>IF(AND(SUM(K1946:M1946)&lt;9,OR(M1946=0,N1946&lt;6)),1,0)</x:f>
        <x:v>1</x:v>
      </x:c>
      <x:c r="P1946" s="19" t="n">
        <x:f>IF(AND(SUM(K1946:M1946)&lt;9,OR(L1946=0,N1946&lt;6)),1,0)</x:f>
        <x:v>1</x:v>
      </x:c>
      <x:c r="Q1946" s="19" t="n">
        <x:f>IF(AND(SUM(K1946:M1946)&lt;9,OR(K1946=0,N1946&lt;6)),1,0)</x:f>
        <x:v>1</x:v>
      </x:c>
      <x:c r="R1946" s="22" t="str">
        <x:f>O1946&amp;P1946&amp;Q1946</x:f>
        <x:v>111</x:v>
      </x:c>
      <x:c r="S1946" s="19" t="n">
        <x:f>IF(I1946=1,IF(J1946=0,Q1946,IF(J1946=1,P1946,IF(J1946=2,O1946,0))),0)</x:f>
        <x:v>0</x:v>
      </x:c>
      <x:c r="T1946" s="19" t="n">
        <x:f>K1946+IF(AND(S1946=1,J1946=0),1,0)</x:f>
        <x:v>3</x:v>
      </x:c>
      <x:c r="U1946" s="19" t="n">
        <x:f>L1946+IF(AND(S1946=1,J1946=1),1,0)</x:f>
        <x:v>1</x:v>
      </x:c>
      <x:c r="V1946" s="19" t="n">
        <x:f>M1946+IF(AND(S1946=1,J1946=2),1,0)</x:f>
        <x:v>0</x:v>
      </x:c>
      <x:c r="W1946" s="19" t="n">
        <x:f>SUM(T1946:V1946)</x:f>
        <x:v>4</x:v>
      </x:c>
      <x:c r="X1946" s="19" t="n">
        <x:f>W1946-G1946</x:f>
        <x:v>-1</x:v>
      </x:c>
      <x:c r="Y1946" s="19" t="n">
        <x:f>MAX(T1946,1)+MAX(U1946,1)+MAX(V1946,1)</x:f>
        <x:v>5</x:v>
      </x:c>
      <x:c r="Z1946" s="21" t="str">
        <x:f>IF(AND(MIN(D1946:F1946)&gt;=0,MAX(D1946:F1946)&lt;=7,MAX(D1946,1)+MAX(E1946,1)+MAX(F1946,1)&lt;=9,OR(H1946="-",AND(H1946=0,D1946&gt;0),AND(H1946=1,E1946&gt;0),AND(H1946=2,F1946&gt;0)),OR(I1946=0,AND(I1946=1,OR(J1946=0,J1946=1,J1946=2),R1946&lt;&gt;"000")),Y1946&lt;=9,MIN(T1946:V1946)&gt;=0),"合法","输入违约")</x:f>
        <x:v>合法</x:v>
      </x:c>
    </x:row>
    <x:row r="1947" ht="23" customHeight="1">
      <x:c r="A1947" s="3" t="str">
        <x:v>CT-1940</x:v>
      </x:c>
      <x:c r="B1947" s="3" t="str">
        <x:v>ST-055</x:v>
      </x:c>
      <x:c r="C1947" s="3" t="str">
        <x:v>R+AR同收同发</x:v>
      </x:c>
      <x:c r="D1947" s="25" t="n">
        <x:v>4</x:v>
      </x:c>
      <x:c r="E1947" s="25" t="n">
        <x:v>1</x:v>
      </x:c>
      <x:c r="F1947" s="25" t="n">
        <x:v>0</x:v>
      </x:c>
      <x:c r="G1947" s="19" t="n">
        <x:f>SUM(D1947:F1947)</x:f>
        <x:v>5</x:v>
      </x:c>
      <x:c r="H1947" s="25" t="n">
        <x:v>0</x:v>
      </x:c>
      <x:c r="I1947" s="25" t="n">
        <x:v>1</x:v>
      </x:c>
      <x:c r="J1947" s="25" t="n">
        <x:v>0</x:v>
      </x:c>
      <x:c r="K1947" s="19" t="n">
        <x:f>D1947-IF(H1947=0,1,0)</x:f>
        <x:v>3</x:v>
      </x:c>
      <x:c r="L1947" s="19" t="n">
        <x:f>E1947-IF(H1947=1,1,0)</x:f>
        <x:v>1</x:v>
      </x:c>
      <x:c r="M1947" s="19" t="n">
        <x:f>F1947-IF(H1947=2,1,0)</x:f>
        <x:v>0</x:v>
      </x:c>
      <x:c r="N1947" s="19" t="n">
        <x:f>MAX(K1947-1,0)+MAX(L1947-1,0)+MAX(M1947-1,0)</x:f>
        <x:v>2</x:v>
      </x:c>
      <x:c r="O1947" s="19" t="n">
        <x:f>IF(AND(SUM(K1947:M1947)&lt;9,OR(M1947=0,N1947&lt;6)),1,0)</x:f>
        <x:v>1</x:v>
      </x:c>
      <x:c r="P1947" s="19" t="n">
        <x:f>IF(AND(SUM(K1947:M1947)&lt;9,OR(L1947=0,N1947&lt;6)),1,0)</x:f>
        <x:v>1</x:v>
      </x:c>
      <x:c r="Q1947" s="19" t="n">
        <x:f>IF(AND(SUM(K1947:M1947)&lt;9,OR(K1947=0,N1947&lt;6)),1,0)</x:f>
        <x:v>1</x:v>
      </x:c>
      <x:c r="R1947" s="22" t="str">
        <x:f>O1947&amp;P1947&amp;Q1947</x:f>
        <x:v>111</x:v>
      </x:c>
      <x:c r="S1947" s="19" t="n">
        <x:f>IF(I1947=1,IF(J1947=0,Q1947,IF(J1947=1,P1947,IF(J1947=2,O1947,0))),0)</x:f>
        <x:v>1</x:v>
      </x:c>
      <x:c r="T1947" s="19" t="n">
        <x:f>K1947+IF(AND(S1947=1,J1947=0),1,0)</x:f>
        <x:v>4</x:v>
      </x:c>
      <x:c r="U1947" s="19" t="n">
        <x:f>L1947+IF(AND(S1947=1,J1947=1),1,0)</x:f>
        <x:v>1</x:v>
      </x:c>
      <x:c r="V1947" s="19" t="n">
        <x:f>M1947+IF(AND(S1947=1,J1947=2),1,0)</x:f>
        <x:v>0</x:v>
      </x:c>
      <x:c r="W1947" s="19" t="n">
        <x:f>SUM(T1947:V1947)</x:f>
        <x:v>5</x:v>
      </x:c>
      <x:c r="X1947" s="19" t="n">
        <x:f>W1947-G1947</x:f>
        <x:v>0</x:v>
      </x:c>
      <x:c r="Y1947" s="19" t="n">
        <x:f>MAX(T1947,1)+MAX(U1947,1)+MAX(V1947,1)</x:f>
        <x:v>6</x:v>
      </x:c>
      <x:c r="Z1947" s="21" t="str">
        <x:f>IF(AND(MIN(D1947:F1947)&gt;=0,MAX(D1947:F1947)&lt;=7,MAX(D1947,1)+MAX(E1947,1)+MAX(F1947,1)&lt;=9,OR(H1947="-",AND(H1947=0,D1947&gt;0),AND(H1947=1,E1947&gt;0),AND(H1947=2,F1947&gt;0)),OR(I1947=0,AND(I1947=1,OR(J1947=0,J1947=1,J1947=2),R1947&lt;&gt;"000")),Y1947&lt;=9,MIN(T1947:V1947)&gt;=0),"合法","输入违约")</x:f>
        <x:v>合法</x:v>
      </x:c>
    </x:row>
    <x:row r="1948" ht="23" customHeight="1">
      <x:c r="A1948" s="3" t="str">
        <x:v>CT-1941</x:v>
      </x:c>
      <x:c r="B1948" s="3" t="str">
        <x:v>ST-055</x:v>
      </x:c>
      <x:c r="C1948" s="3" t="str">
        <x:v>R+AR同收同发</x:v>
      </x:c>
      <x:c r="D1948" s="25" t="n">
        <x:v>4</x:v>
      </x:c>
      <x:c r="E1948" s="25" t="n">
        <x:v>1</x:v>
      </x:c>
      <x:c r="F1948" s="25" t="n">
        <x:v>0</x:v>
      </x:c>
      <x:c r="G1948" s="19" t="n">
        <x:f>SUM(D1948:F1948)</x:f>
        <x:v>5</x:v>
      </x:c>
      <x:c r="H1948" s="25" t="n">
        <x:v>0</x:v>
      </x:c>
      <x:c r="I1948" s="25" t="n">
        <x:v>1</x:v>
      </x:c>
      <x:c r="J1948" s="25" t="n">
        <x:v>1</x:v>
      </x:c>
      <x:c r="K1948" s="19" t="n">
        <x:f>D1948-IF(H1948=0,1,0)</x:f>
        <x:v>3</x:v>
      </x:c>
      <x:c r="L1948" s="19" t="n">
        <x:f>E1948-IF(H1948=1,1,0)</x:f>
        <x:v>1</x:v>
      </x:c>
      <x:c r="M1948" s="19" t="n">
        <x:f>F1948-IF(H1948=2,1,0)</x:f>
        <x:v>0</x:v>
      </x:c>
      <x:c r="N1948" s="19" t="n">
        <x:f>MAX(K1948-1,0)+MAX(L1948-1,0)+MAX(M1948-1,0)</x:f>
        <x:v>2</x:v>
      </x:c>
      <x:c r="O1948" s="19" t="n">
        <x:f>IF(AND(SUM(K1948:M1948)&lt;9,OR(M1948=0,N1948&lt;6)),1,0)</x:f>
        <x:v>1</x:v>
      </x:c>
      <x:c r="P1948" s="19" t="n">
        <x:f>IF(AND(SUM(K1948:M1948)&lt;9,OR(L1948=0,N1948&lt;6)),1,0)</x:f>
        <x:v>1</x:v>
      </x:c>
      <x:c r="Q1948" s="19" t="n">
        <x:f>IF(AND(SUM(K1948:M1948)&lt;9,OR(K1948=0,N1948&lt;6)),1,0)</x:f>
        <x:v>1</x:v>
      </x:c>
      <x:c r="R1948" s="22" t="str">
        <x:f>O1948&amp;P1948&amp;Q1948</x:f>
        <x:v>111</x:v>
      </x:c>
      <x:c r="S1948" s="19" t="n">
        <x:f>IF(I1948=1,IF(J1948=0,Q1948,IF(J1948=1,P1948,IF(J1948=2,O1948,0))),0)</x:f>
        <x:v>1</x:v>
      </x:c>
      <x:c r="T1948" s="19" t="n">
        <x:f>K1948+IF(AND(S1948=1,J1948=0),1,0)</x:f>
        <x:v>3</x:v>
      </x:c>
      <x:c r="U1948" s="19" t="n">
        <x:f>L1948+IF(AND(S1948=1,J1948=1),1,0)</x:f>
        <x:v>2</x:v>
      </x:c>
      <x:c r="V1948" s="19" t="n">
        <x:f>M1948+IF(AND(S1948=1,J1948=2),1,0)</x:f>
        <x:v>0</x:v>
      </x:c>
      <x:c r="W1948" s="19" t="n">
        <x:f>SUM(T1948:V1948)</x:f>
        <x:v>5</x:v>
      </x:c>
      <x:c r="X1948" s="19" t="n">
        <x:f>W1948-G1948</x:f>
        <x:v>0</x:v>
      </x:c>
      <x:c r="Y1948" s="19" t="n">
        <x:f>MAX(T1948,1)+MAX(U1948,1)+MAX(V1948,1)</x:f>
        <x:v>6</x:v>
      </x:c>
      <x:c r="Z1948" s="21" t="str">
        <x:f>IF(AND(MIN(D1948:F1948)&gt;=0,MAX(D1948:F1948)&lt;=7,MAX(D1948,1)+MAX(E1948,1)+MAX(F1948,1)&lt;=9,OR(H1948="-",AND(H1948=0,D1948&gt;0),AND(H1948=1,E1948&gt;0),AND(H1948=2,F1948&gt;0)),OR(I1948=0,AND(I1948=1,OR(J1948=0,J1948=1,J1948=2),R1948&lt;&gt;"000")),Y1948&lt;=9,MIN(T1948:V1948)&gt;=0),"合法","输入违约")</x:f>
        <x:v>合法</x:v>
      </x:c>
    </x:row>
    <x:row r="1949" ht="23" customHeight="1">
      <x:c r="A1949" s="3" t="str">
        <x:v>CT-1942</x:v>
      </x:c>
      <x:c r="B1949" s="3" t="str">
        <x:v>ST-055</x:v>
      </x:c>
      <x:c r="C1949" s="3" t="str">
        <x:v>R+AR同收同发</x:v>
      </x:c>
      <x:c r="D1949" s="25" t="n">
        <x:v>4</x:v>
      </x:c>
      <x:c r="E1949" s="25" t="n">
        <x:v>1</x:v>
      </x:c>
      <x:c r="F1949" s="25" t="n">
        <x:v>0</x:v>
      </x:c>
      <x:c r="G1949" s="19" t="n">
        <x:f>SUM(D1949:F1949)</x:f>
        <x:v>5</x:v>
      </x:c>
      <x:c r="H1949" s="25" t="n">
        <x:v>0</x:v>
      </x:c>
      <x:c r="I1949" s="25" t="n">
        <x:v>1</x:v>
      </x:c>
      <x:c r="J1949" s="25" t="n">
        <x:v>2</x:v>
      </x:c>
      <x:c r="K1949" s="19" t="n">
        <x:f>D1949-IF(H1949=0,1,0)</x:f>
        <x:v>3</x:v>
      </x:c>
      <x:c r="L1949" s="19" t="n">
        <x:f>E1949-IF(H1949=1,1,0)</x:f>
        <x:v>1</x:v>
      </x:c>
      <x:c r="M1949" s="19" t="n">
        <x:f>F1949-IF(H1949=2,1,0)</x:f>
        <x:v>0</x:v>
      </x:c>
      <x:c r="N1949" s="19" t="n">
        <x:f>MAX(K1949-1,0)+MAX(L1949-1,0)+MAX(M1949-1,0)</x:f>
        <x:v>2</x:v>
      </x:c>
      <x:c r="O1949" s="19" t="n">
        <x:f>IF(AND(SUM(K1949:M1949)&lt;9,OR(M1949=0,N1949&lt;6)),1,0)</x:f>
        <x:v>1</x:v>
      </x:c>
      <x:c r="P1949" s="19" t="n">
        <x:f>IF(AND(SUM(K1949:M1949)&lt;9,OR(L1949=0,N1949&lt;6)),1,0)</x:f>
        <x:v>1</x:v>
      </x:c>
      <x:c r="Q1949" s="19" t="n">
        <x:f>IF(AND(SUM(K1949:M1949)&lt;9,OR(K1949=0,N1949&lt;6)),1,0)</x:f>
        <x:v>1</x:v>
      </x:c>
      <x:c r="R1949" s="22" t="str">
        <x:f>O1949&amp;P1949&amp;Q1949</x:f>
        <x:v>111</x:v>
      </x:c>
      <x:c r="S1949" s="19" t="n">
        <x:f>IF(I1949=1,IF(J1949=0,Q1949,IF(J1949=1,P1949,IF(J1949=2,O1949,0))),0)</x:f>
        <x:v>1</x:v>
      </x:c>
      <x:c r="T1949" s="19" t="n">
        <x:f>K1949+IF(AND(S1949=1,J1949=0),1,0)</x:f>
        <x:v>3</x:v>
      </x:c>
      <x:c r="U1949" s="19" t="n">
        <x:f>L1949+IF(AND(S1949=1,J1949=1),1,0)</x:f>
        <x:v>1</x:v>
      </x:c>
      <x:c r="V1949" s="19" t="n">
        <x:f>M1949+IF(AND(S1949=1,J1949=2),1,0)</x:f>
        <x:v>1</x:v>
      </x:c>
      <x:c r="W1949" s="19" t="n">
        <x:f>SUM(T1949:V1949)</x:f>
        <x:v>5</x:v>
      </x:c>
      <x:c r="X1949" s="19" t="n">
        <x:f>W1949-G1949</x:f>
        <x:v>0</x:v>
      </x:c>
      <x:c r="Y1949" s="19" t="n">
        <x:f>MAX(T1949,1)+MAX(U1949,1)+MAX(V1949,1)</x:f>
        <x:v>5</x:v>
      </x:c>
      <x:c r="Z1949" s="21" t="str">
        <x:f>IF(AND(MIN(D1949:F1949)&gt;=0,MAX(D1949:F1949)&lt;=7,MAX(D1949,1)+MAX(E1949,1)+MAX(F1949,1)&lt;=9,OR(H1949="-",AND(H1949=0,D1949&gt;0),AND(H1949=1,E1949&gt;0),AND(H1949=2,F1949&gt;0)),OR(I1949=0,AND(I1949=1,OR(J1949=0,J1949=1,J1949=2),R1949&lt;&gt;"000")),Y1949&lt;=9,MIN(T1949:V1949)&gt;=0),"合法","输入违约")</x:f>
        <x:v>合法</x:v>
      </x:c>
    </x:row>
    <x:row r="1950" ht="23" customHeight="1">
      <x:c r="A1950" s="3" t="str">
        <x:v>CT-1943</x:v>
      </x:c>
      <x:c r="B1950" s="3" t="str">
        <x:v>ST-055</x:v>
      </x:c>
      <x:c r="C1950" s="3" t="str">
        <x:v>仅R回收</x:v>
      </x:c>
      <x:c r="D1950" s="25" t="n">
        <x:v>4</x:v>
      </x:c>
      <x:c r="E1950" s="25" t="n">
        <x:v>1</x:v>
      </x:c>
      <x:c r="F1950" s="25" t="n">
        <x:v>0</x:v>
      </x:c>
      <x:c r="G1950" s="19" t="n">
        <x:f>SUM(D1950:F1950)</x:f>
        <x:v>5</x:v>
      </x:c>
      <x:c r="H1950" s="25" t="n">
        <x:v>1</x:v>
      </x:c>
      <x:c r="I1950" s="25" t="n">
        <x:v>0</x:v>
      </x:c>
      <x:c r="J1950" s="25" t="str">
        <x:v>-</x:v>
      </x:c>
      <x:c r="K1950" s="19" t="n">
        <x:f>D1950-IF(H1950=0,1,0)</x:f>
        <x:v>4</x:v>
      </x:c>
      <x:c r="L1950" s="19" t="n">
        <x:f>E1950-IF(H1950=1,1,0)</x:f>
        <x:v>0</x:v>
      </x:c>
      <x:c r="M1950" s="19" t="n">
        <x:f>F1950-IF(H1950=2,1,0)</x:f>
        <x:v>0</x:v>
      </x:c>
      <x:c r="N1950" s="19" t="n">
        <x:f>MAX(K1950-1,0)+MAX(L1950-1,0)+MAX(M1950-1,0)</x:f>
        <x:v>3</x:v>
      </x:c>
      <x:c r="O1950" s="19" t="n">
        <x:f>IF(AND(SUM(K1950:M1950)&lt;9,OR(M1950=0,N1950&lt;6)),1,0)</x:f>
        <x:v>1</x:v>
      </x:c>
      <x:c r="P1950" s="19" t="n">
        <x:f>IF(AND(SUM(K1950:M1950)&lt;9,OR(L1950=0,N1950&lt;6)),1,0)</x:f>
        <x:v>1</x:v>
      </x:c>
      <x:c r="Q1950" s="19" t="n">
        <x:f>IF(AND(SUM(K1950:M1950)&lt;9,OR(K1950=0,N1950&lt;6)),1,0)</x:f>
        <x:v>1</x:v>
      </x:c>
      <x:c r="R1950" s="22" t="str">
        <x:f>O1950&amp;P1950&amp;Q1950</x:f>
        <x:v>111</x:v>
      </x:c>
      <x:c r="S1950" s="19" t="n">
        <x:f>IF(I1950=1,IF(J1950=0,Q1950,IF(J1950=1,P1950,IF(J1950=2,O1950,0))),0)</x:f>
        <x:v>0</x:v>
      </x:c>
      <x:c r="T1950" s="19" t="n">
        <x:f>K1950+IF(AND(S1950=1,J1950=0),1,0)</x:f>
        <x:v>4</x:v>
      </x:c>
      <x:c r="U1950" s="19" t="n">
        <x:f>L1950+IF(AND(S1950=1,J1950=1),1,0)</x:f>
        <x:v>0</x:v>
      </x:c>
      <x:c r="V1950" s="19" t="n">
        <x:f>M1950+IF(AND(S1950=1,J1950=2),1,0)</x:f>
        <x:v>0</x:v>
      </x:c>
      <x:c r="W1950" s="19" t="n">
        <x:f>SUM(T1950:V1950)</x:f>
        <x:v>4</x:v>
      </x:c>
      <x:c r="X1950" s="19" t="n">
        <x:f>W1950-G1950</x:f>
        <x:v>-1</x:v>
      </x:c>
      <x:c r="Y1950" s="19" t="n">
        <x:f>MAX(T1950,1)+MAX(U1950,1)+MAX(V1950,1)</x:f>
        <x:v>6</x:v>
      </x:c>
      <x:c r="Z1950" s="21" t="str">
        <x:f>IF(AND(MIN(D1950:F1950)&gt;=0,MAX(D1950:F1950)&lt;=7,MAX(D1950,1)+MAX(E1950,1)+MAX(F1950,1)&lt;=9,OR(H1950="-",AND(H1950=0,D1950&gt;0),AND(H1950=1,E1950&gt;0),AND(H1950=2,F1950&gt;0)),OR(I1950=0,AND(I1950=1,OR(J1950=0,J1950=1,J1950=2),R1950&lt;&gt;"000")),Y1950&lt;=9,MIN(T1950:V1950)&gt;=0),"合法","输入违约")</x:f>
        <x:v>合法</x:v>
      </x:c>
    </x:row>
    <x:row r="1951" ht="23" customHeight="1">
      <x:c r="A1951" s="3" t="str">
        <x:v>CT-1944</x:v>
      </x:c>
      <x:c r="B1951" s="3" t="str">
        <x:v>ST-055</x:v>
      </x:c>
      <x:c r="C1951" s="3" t="str">
        <x:v>R+AR同收同发</x:v>
      </x:c>
      <x:c r="D1951" s="25" t="n">
        <x:v>4</x:v>
      </x:c>
      <x:c r="E1951" s="25" t="n">
        <x:v>1</x:v>
      </x:c>
      <x:c r="F1951" s="25" t="n">
        <x:v>0</x:v>
      </x:c>
      <x:c r="G1951" s="19" t="n">
        <x:f>SUM(D1951:F1951)</x:f>
        <x:v>5</x:v>
      </x:c>
      <x:c r="H1951" s="25" t="n">
        <x:v>1</x:v>
      </x:c>
      <x:c r="I1951" s="25" t="n">
        <x:v>1</x:v>
      </x:c>
      <x:c r="J1951" s="25" t="n">
        <x:v>0</x:v>
      </x:c>
      <x:c r="K1951" s="19" t="n">
        <x:f>D1951-IF(H1951=0,1,0)</x:f>
        <x:v>4</x:v>
      </x:c>
      <x:c r="L1951" s="19" t="n">
        <x:f>E1951-IF(H1951=1,1,0)</x:f>
        <x:v>0</x:v>
      </x:c>
      <x:c r="M1951" s="19" t="n">
        <x:f>F1951-IF(H1951=2,1,0)</x:f>
        <x:v>0</x:v>
      </x:c>
      <x:c r="N1951" s="19" t="n">
        <x:f>MAX(K1951-1,0)+MAX(L1951-1,0)+MAX(M1951-1,0)</x:f>
        <x:v>3</x:v>
      </x:c>
      <x:c r="O1951" s="19" t="n">
        <x:f>IF(AND(SUM(K1951:M1951)&lt;9,OR(M1951=0,N1951&lt;6)),1,0)</x:f>
        <x:v>1</x:v>
      </x:c>
      <x:c r="P1951" s="19" t="n">
        <x:f>IF(AND(SUM(K1951:M1951)&lt;9,OR(L1951=0,N1951&lt;6)),1,0)</x:f>
        <x:v>1</x:v>
      </x:c>
      <x:c r="Q1951" s="19" t="n">
        <x:f>IF(AND(SUM(K1951:M1951)&lt;9,OR(K1951=0,N1951&lt;6)),1,0)</x:f>
        <x:v>1</x:v>
      </x:c>
      <x:c r="R1951" s="22" t="str">
        <x:f>O1951&amp;P1951&amp;Q1951</x:f>
        <x:v>111</x:v>
      </x:c>
      <x:c r="S1951" s="19" t="n">
        <x:f>IF(I1951=1,IF(J1951=0,Q1951,IF(J1951=1,P1951,IF(J1951=2,O1951,0))),0)</x:f>
        <x:v>1</x:v>
      </x:c>
      <x:c r="T1951" s="19" t="n">
        <x:f>K1951+IF(AND(S1951=1,J1951=0),1,0)</x:f>
        <x:v>5</x:v>
      </x:c>
      <x:c r="U1951" s="19" t="n">
        <x:f>L1951+IF(AND(S1951=1,J1951=1),1,0)</x:f>
        <x:v>0</x:v>
      </x:c>
      <x:c r="V1951" s="19" t="n">
        <x:f>M1951+IF(AND(S1951=1,J1951=2),1,0)</x:f>
        <x:v>0</x:v>
      </x:c>
      <x:c r="W1951" s="19" t="n">
        <x:f>SUM(T1951:V1951)</x:f>
        <x:v>5</x:v>
      </x:c>
      <x:c r="X1951" s="19" t="n">
        <x:f>W1951-G1951</x:f>
        <x:v>0</x:v>
      </x:c>
      <x:c r="Y1951" s="19" t="n">
        <x:f>MAX(T1951,1)+MAX(U1951,1)+MAX(V1951,1)</x:f>
        <x:v>7</x:v>
      </x:c>
      <x:c r="Z1951" s="21" t="str">
        <x:f>IF(AND(MIN(D1951:F1951)&gt;=0,MAX(D1951:F1951)&lt;=7,MAX(D1951,1)+MAX(E1951,1)+MAX(F1951,1)&lt;=9,OR(H1951="-",AND(H1951=0,D1951&gt;0),AND(H1951=1,E1951&gt;0),AND(H1951=2,F1951&gt;0)),OR(I1951=0,AND(I1951=1,OR(J1951=0,J1951=1,J1951=2),R1951&lt;&gt;"000")),Y1951&lt;=9,MIN(T1951:V1951)&gt;=0),"合法","输入违约")</x:f>
        <x:v>合法</x:v>
      </x:c>
    </x:row>
    <x:row r="1952" ht="23" customHeight="1">
      <x:c r="A1952" s="3" t="str">
        <x:v>CT-1945</x:v>
      </x:c>
      <x:c r="B1952" s="3" t="str">
        <x:v>ST-055</x:v>
      </x:c>
      <x:c r="C1952" s="3" t="str">
        <x:v>R+AR同收同发</x:v>
      </x:c>
      <x:c r="D1952" s="25" t="n">
        <x:v>4</x:v>
      </x:c>
      <x:c r="E1952" s="25" t="n">
        <x:v>1</x:v>
      </x:c>
      <x:c r="F1952" s="25" t="n">
        <x:v>0</x:v>
      </x:c>
      <x:c r="G1952" s="19" t="n">
        <x:f>SUM(D1952:F1952)</x:f>
        <x:v>5</x:v>
      </x:c>
      <x:c r="H1952" s="25" t="n">
        <x:v>1</x:v>
      </x:c>
      <x:c r="I1952" s="25" t="n">
        <x:v>1</x:v>
      </x:c>
      <x:c r="J1952" s="25" t="n">
        <x:v>1</x:v>
      </x:c>
      <x:c r="K1952" s="19" t="n">
        <x:f>D1952-IF(H1952=0,1,0)</x:f>
        <x:v>4</x:v>
      </x:c>
      <x:c r="L1952" s="19" t="n">
        <x:f>E1952-IF(H1952=1,1,0)</x:f>
        <x:v>0</x:v>
      </x:c>
      <x:c r="M1952" s="19" t="n">
        <x:f>F1952-IF(H1952=2,1,0)</x:f>
        <x:v>0</x:v>
      </x:c>
      <x:c r="N1952" s="19" t="n">
        <x:f>MAX(K1952-1,0)+MAX(L1952-1,0)+MAX(M1952-1,0)</x:f>
        <x:v>3</x:v>
      </x:c>
      <x:c r="O1952" s="19" t="n">
        <x:f>IF(AND(SUM(K1952:M1952)&lt;9,OR(M1952=0,N1952&lt;6)),1,0)</x:f>
        <x:v>1</x:v>
      </x:c>
      <x:c r="P1952" s="19" t="n">
        <x:f>IF(AND(SUM(K1952:M1952)&lt;9,OR(L1952=0,N1952&lt;6)),1,0)</x:f>
        <x:v>1</x:v>
      </x:c>
      <x:c r="Q1952" s="19" t="n">
        <x:f>IF(AND(SUM(K1952:M1952)&lt;9,OR(K1952=0,N1952&lt;6)),1,0)</x:f>
        <x:v>1</x:v>
      </x:c>
      <x:c r="R1952" s="22" t="str">
        <x:f>O1952&amp;P1952&amp;Q1952</x:f>
        <x:v>111</x:v>
      </x:c>
      <x:c r="S1952" s="19" t="n">
        <x:f>IF(I1952=1,IF(J1952=0,Q1952,IF(J1952=1,P1952,IF(J1952=2,O1952,0))),0)</x:f>
        <x:v>1</x:v>
      </x:c>
      <x:c r="T1952" s="19" t="n">
        <x:f>K1952+IF(AND(S1952=1,J1952=0),1,0)</x:f>
        <x:v>4</x:v>
      </x:c>
      <x:c r="U1952" s="19" t="n">
        <x:f>L1952+IF(AND(S1952=1,J1952=1),1,0)</x:f>
        <x:v>1</x:v>
      </x:c>
      <x:c r="V1952" s="19" t="n">
        <x:f>M1952+IF(AND(S1952=1,J1952=2),1,0)</x:f>
        <x:v>0</x:v>
      </x:c>
      <x:c r="W1952" s="19" t="n">
        <x:f>SUM(T1952:V1952)</x:f>
        <x:v>5</x:v>
      </x:c>
      <x:c r="X1952" s="19" t="n">
        <x:f>W1952-G1952</x:f>
        <x:v>0</x:v>
      </x:c>
      <x:c r="Y1952" s="19" t="n">
        <x:f>MAX(T1952,1)+MAX(U1952,1)+MAX(V1952,1)</x:f>
        <x:v>6</x:v>
      </x:c>
      <x:c r="Z1952" s="21" t="str">
        <x:f>IF(AND(MIN(D1952:F1952)&gt;=0,MAX(D1952:F1952)&lt;=7,MAX(D1952,1)+MAX(E1952,1)+MAX(F1952,1)&lt;=9,OR(H1952="-",AND(H1952=0,D1952&gt;0),AND(H1952=1,E1952&gt;0),AND(H1952=2,F1952&gt;0)),OR(I1952=0,AND(I1952=1,OR(J1952=0,J1952=1,J1952=2),R1952&lt;&gt;"000")),Y1952&lt;=9,MIN(T1952:V1952)&gt;=0),"合法","输入违约")</x:f>
        <x:v>合法</x:v>
      </x:c>
    </x:row>
    <x:row r="1953" ht="23" customHeight="1">
      <x:c r="A1953" s="3" t="str">
        <x:v>CT-1946</x:v>
      </x:c>
      <x:c r="B1953" s="3" t="str">
        <x:v>ST-055</x:v>
      </x:c>
      <x:c r="C1953" s="3" t="str">
        <x:v>R+AR同收同发</x:v>
      </x:c>
      <x:c r="D1953" s="25" t="n">
        <x:v>4</x:v>
      </x:c>
      <x:c r="E1953" s="25" t="n">
        <x:v>1</x:v>
      </x:c>
      <x:c r="F1953" s="25" t="n">
        <x:v>0</x:v>
      </x:c>
      <x:c r="G1953" s="19" t="n">
        <x:f>SUM(D1953:F1953)</x:f>
        <x:v>5</x:v>
      </x:c>
      <x:c r="H1953" s="25" t="n">
        <x:v>1</x:v>
      </x:c>
      <x:c r="I1953" s="25" t="n">
        <x:v>1</x:v>
      </x:c>
      <x:c r="J1953" s="25" t="n">
        <x:v>2</x:v>
      </x:c>
      <x:c r="K1953" s="19" t="n">
        <x:f>D1953-IF(H1953=0,1,0)</x:f>
        <x:v>4</x:v>
      </x:c>
      <x:c r="L1953" s="19" t="n">
        <x:f>E1953-IF(H1953=1,1,0)</x:f>
        <x:v>0</x:v>
      </x:c>
      <x:c r="M1953" s="19" t="n">
        <x:f>F1953-IF(H1953=2,1,0)</x:f>
        <x:v>0</x:v>
      </x:c>
      <x:c r="N1953" s="19" t="n">
        <x:f>MAX(K1953-1,0)+MAX(L1953-1,0)+MAX(M1953-1,0)</x:f>
        <x:v>3</x:v>
      </x:c>
      <x:c r="O1953" s="19" t="n">
        <x:f>IF(AND(SUM(K1953:M1953)&lt;9,OR(M1953=0,N1953&lt;6)),1,0)</x:f>
        <x:v>1</x:v>
      </x:c>
      <x:c r="P1953" s="19" t="n">
        <x:f>IF(AND(SUM(K1953:M1953)&lt;9,OR(L1953=0,N1953&lt;6)),1,0)</x:f>
        <x:v>1</x:v>
      </x:c>
      <x:c r="Q1953" s="19" t="n">
        <x:f>IF(AND(SUM(K1953:M1953)&lt;9,OR(K1953=0,N1953&lt;6)),1,0)</x:f>
        <x:v>1</x:v>
      </x:c>
      <x:c r="R1953" s="22" t="str">
        <x:f>O1953&amp;P1953&amp;Q1953</x:f>
        <x:v>111</x:v>
      </x:c>
      <x:c r="S1953" s="19" t="n">
        <x:f>IF(I1953=1,IF(J1953=0,Q1953,IF(J1953=1,P1953,IF(J1953=2,O1953,0))),0)</x:f>
        <x:v>1</x:v>
      </x:c>
      <x:c r="T1953" s="19" t="n">
        <x:f>K1953+IF(AND(S1953=1,J1953=0),1,0)</x:f>
        <x:v>4</x:v>
      </x:c>
      <x:c r="U1953" s="19" t="n">
        <x:f>L1953+IF(AND(S1953=1,J1953=1),1,0)</x:f>
        <x:v>0</x:v>
      </x:c>
      <x:c r="V1953" s="19" t="n">
        <x:f>M1953+IF(AND(S1953=1,J1953=2),1,0)</x:f>
        <x:v>1</x:v>
      </x:c>
      <x:c r="W1953" s="19" t="n">
        <x:f>SUM(T1953:V1953)</x:f>
        <x:v>5</x:v>
      </x:c>
      <x:c r="X1953" s="19" t="n">
        <x:f>W1953-G1953</x:f>
        <x:v>0</x:v>
      </x:c>
      <x:c r="Y1953" s="19" t="n">
        <x:f>MAX(T1953,1)+MAX(U1953,1)+MAX(V1953,1)</x:f>
        <x:v>6</x:v>
      </x:c>
      <x:c r="Z1953" s="21" t="str">
        <x:f>IF(AND(MIN(D1953:F1953)&gt;=0,MAX(D1953:F1953)&lt;=7,MAX(D1953,1)+MAX(E1953,1)+MAX(F1953,1)&lt;=9,OR(H1953="-",AND(H1953=0,D1953&gt;0),AND(H1953=1,E1953&gt;0),AND(H1953=2,F1953&gt;0)),OR(I1953=0,AND(I1953=1,OR(J1953=0,J1953=1,J1953=2),R1953&lt;&gt;"000")),Y1953&lt;=9,MIN(T1953:V1953)&gt;=0),"合法","输入违约")</x:f>
        <x:v>合法</x:v>
      </x:c>
    </x:row>
    <x:row r="1954" ht="23" customHeight="1">
      <x:c r="A1954" s="3" t="str">
        <x:v>CT-1947</x:v>
      </x:c>
      <x:c r="B1954" s="3" t="str">
        <x:v>ST-080</x:v>
      </x:c>
      <x:c r="C1954" s="3" t="str">
        <x:v>无AR/R</x:v>
      </x:c>
      <x:c r="D1954" s="25" t="n">
        <x:v>4</x:v>
      </x:c>
      <x:c r="E1954" s="25" t="n">
        <x:v>1</x:v>
      </x:c>
      <x:c r="F1954" s="25" t="n">
        <x:v>1</x:v>
      </x:c>
      <x:c r="G1954" s="19" t="n">
        <x:f>SUM(D1954:F1954)</x:f>
        <x:v>6</x:v>
      </x:c>
      <x:c r="H1954" s="25" t="str">
        <x:v>-</x:v>
      </x:c>
      <x:c r="I1954" s="25" t="n">
        <x:v>0</x:v>
      </x:c>
      <x:c r="J1954" s="25" t="str">
        <x:v>-</x:v>
      </x:c>
      <x:c r="K1954" s="19" t="n">
        <x:f>D1954-IF(H1954=0,1,0)</x:f>
        <x:v>4</x:v>
      </x:c>
      <x:c r="L1954" s="19" t="n">
        <x:f>E1954-IF(H1954=1,1,0)</x:f>
        <x:v>1</x:v>
      </x:c>
      <x:c r="M1954" s="19" t="n">
        <x:f>F1954-IF(H1954=2,1,0)</x:f>
        <x:v>1</x:v>
      </x:c>
      <x:c r="N1954" s="19" t="n">
        <x:f>MAX(K1954-1,0)+MAX(L1954-1,0)+MAX(M1954-1,0)</x:f>
        <x:v>3</x:v>
      </x:c>
      <x:c r="O1954" s="19" t="n">
        <x:f>IF(AND(SUM(K1954:M1954)&lt;9,OR(M1954=0,N1954&lt;6)),1,0)</x:f>
        <x:v>1</x:v>
      </x:c>
      <x:c r="P1954" s="19" t="n">
        <x:f>IF(AND(SUM(K1954:M1954)&lt;9,OR(L1954=0,N1954&lt;6)),1,0)</x:f>
        <x:v>1</x:v>
      </x:c>
      <x:c r="Q1954" s="19" t="n">
        <x:f>IF(AND(SUM(K1954:M1954)&lt;9,OR(K1954=0,N1954&lt;6)),1,0)</x:f>
        <x:v>1</x:v>
      </x:c>
      <x:c r="R1954" s="22" t="str">
        <x:f>O1954&amp;P1954&amp;Q1954</x:f>
        <x:v>111</x:v>
      </x:c>
      <x:c r="S1954" s="19" t="n">
        <x:f>IF(I1954=1,IF(J1954=0,Q1954,IF(J1954=1,P1954,IF(J1954=2,O1954,0))),0)</x:f>
        <x:v>0</x:v>
      </x:c>
      <x:c r="T1954" s="19" t="n">
        <x:f>K1954+IF(AND(S1954=1,J1954=0),1,0)</x:f>
        <x:v>4</x:v>
      </x:c>
      <x:c r="U1954" s="19" t="n">
        <x:f>L1954+IF(AND(S1954=1,J1954=1),1,0)</x:f>
        <x:v>1</x:v>
      </x:c>
      <x:c r="V1954" s="19" t="n">
        <x:f>M1954+IF(AND(S1954=1,J1954=2),1,0)</x:f>
        <x:v>1</x:v>
      </x:c>
      <x:c r="W1954" s="19" t="n">
        <x:f>SUM(T1954:V1954)</x:f>
        <x:v>6</x:v>
      </x:c>
      <x:c r="X1954" s="19" t="n">
        <x:f>W1954-G1954</x:f>
        <x:v>0</x:v>
      </x:c>
      <x:c r="Y1954" s="19" t="n">
        <x:f>MAX(T1954,1)+MAX(U1954,1)+MAX(V1954,1)</x:f>
        <x:v>6</x:v>
      </x:c>
      <x:c r="Z1954" s="21" t="str">
        <x:f>IF(AND(MIN(D1954:F1954)&gt;=0,MAX(D1954:F1954)&lt;=7,MAX(D1954,1)+MAX(E1954,1)+MAX(F1954,1)&lt;=9,OR(H1954="-",AND(H1954=0,D1954&gt;0),AND(H1954=1,E1954&gt;0),AND(H1954=2,F1954&gt;0)),OR(I1954=0,AND(I1954=1,OR(J1954=0,J1954=1,J1954=2),R1954&lt;&gt;"000")),Y1954&lt;=9,MIN(T1954:V1954)&gt;=0),"合法","输入违约")</x:f>
        <x:v>合法</x:v>
      </x:c>
    </x:row>
    <x:row r="1955" ht="23" customHeight="1">
      <x:c r="A1955" s="3" t="str">
        <x:v>CT-1948</x:v>
      </x:c>
      <x:c r="B1955" s="3" t="str">
        <x:v>ST-080</x:v>
      </x:c>
      <x:c r="C1955" s="3" t="str">
        <x:v>仅AR接收</x:v>
      </x:c>
      <x:c r="D1955" s="25" t="n">
        <x:v>4</x:v>
      </x:c>
      <x:c r="E1955" s="25" t="n">
        <x:v>1</x:v>
      </x:c>
      <x:c r="F1955" s="25" t="n">
        <x:v>1</x:v>
      </x:c>
      <x:c r="G1955" s="19" t="n">
        <x:f>SUM(D1955:F1955)</x:f>
        <x:v>6</x:v>
      </x:c>
      <x:c r="H1955" s="25" t="str">
        <x:v>-</x:v>
      </x:c>
      <x:c r="I1955" s="25" t="n">
        <x:v>1</x:v>
      </x:c>
      <x:c r="J1955" s="25" t="n">
        <x:v>0</x:v>
      </x:c>
      <x:c r="K1955" s="19" t="n">
        <x:f>D1955-IF(H1955=0,1,0)</x:f>
        <x:v>4</x:v>
      </x:c>
      <x:c r="L1955" s="19" t="n">
        <x:f>E1955-IF(H1955=1,1,0)</x:f>
        <x:v>1</x:v>
      </x:c>
      <x:c r="M1955" s="19" t="n">
        <x:f>F1955-IF(H1955=2,1,0)</x:f>
        <x:v>1</x:v>
      </x:c>
      <x:c r="N1955" s="19" t="n">
        <x:f>MAX(K1955-1,0)+MAX(L1955-1,0)+MAX(M1955-1,0)</x:f>
        <x:v>3</x:v>
      </x:c>
      <x:c r="O1955" s="19" t="n">
        <x:f>IF(AND(SUM(K1955:M1955)&lt;9,OR(M1955=0,N1955&lt;6)),1,0)</x:f>
        <x:v>1</x:v>
      </x:c>
      <x:c r="P1955" s="19" t="n">
        <x:f>IF(AND(SUM(K1955:M1955)&lt;9,OR(L1955=0,N1955&lt;6)),1,0)</x:f>
        <x:v>1</x:v>
      </x:c>
      <x:c r="Q1955" s="19" t="n">
        <x:f>IF(AND(SUM(K1955:M1955)&lt;9,OR(K1955=0,N1955&lt;6)),1,0)</x:f>
        <x:v>1</x:v>
      </x:c>
      <x:c r="R1955" s="22" t="str">
        <x:f>O1955&amp;P1955&amp;Q1955</x:f>
        <x:v>111</x:v>
      </x:c>
      <x:c r="S1955" s="19" t="n">
        <x:f>IF(I1955=1,IF(J1955=0,Q1955,IF(J1955=1,P1955,IF(J1955=2,O1955,0))),0)</x:f>
        <x:v>1</x:v>
      </x:c>
      <x:c r="T1955" s="19" t="n">
        <x:f>K1955+IF(AND(S1955=1,J1955=0),1,0)</x:f>
        <x:v>5</x:v>
      </x:c>
      <x:c r="U1955" s="19" t="n">
        <x:f>L1955+IF(AND(S1955=1,J1955=1),1,0)</x:f>
        <x:v>1</x:v>
      </x:c>
      <x:c r="V1955" s="19" t="n">
        <x:f>M1955+IF(AND(S1955=1,J1955=2),1,0)</x:f>
        <x:v>1</x:v>
      </x:c>
      <x:c r="W1955" s="19" t="n">
        <x:f>SUM(T1955:V1955)</x:f>
        <x:v>7</x:v>
      </x:c>
      <x:c r="X1955" s="19" t="n">
        <x:f>W1955-G1955</x:f>
        <x:v>1</x:v>
      </x:c>
      <x:c r="Y1955" s="19" t="n">
        <x:f>MAX(T1955,1)+MAX(U1955,1)+MAX(V1955,1)</x:f>
        <x:v>7</x:v>
      </x:c>
      <x:c r="Z1955" s="21" t="str">
        <x:f>IF(AND(MIN(D1955:F1955)&gt;=0,MAX(D1955:F1955)&lt;=7,MAX(D1955,1)+MAX(E1955,1)+MAX(F1955,1)&lt;=9,OR(H1955="-",AND(H1955=0,D1955&gt;0),AND(H1955=1,E1955&gt;0),AND(H1955=2,F1955&gt;0)),OR(I1955=0,AND(I1955=1,OR(J1955=0,J1955=1,J1955=2),R1955&lt;&gt;"000")),Y1955&lt;=9,MIN(T1955:V1955)&gt;=0),"合法","输入违约")</x:f>
        <x:v>合法</x:v>
      </x:c>
    </x:row>
    <x:row r="1956" ht="23" customHeight="1">
      <x:c r="A1956" s="3" t="str">
        <x:v>CT-1949</x:v>
      </x:c>
      <x:c r="B1956" s="3" t="str">
        <x:v>ST-080</x:v>
      </x:c>
      <x:c r="C1956" s="3" t="str">
        <x:v>仅AR接收</x:v>
      </x:c>
      <x:c r="D1956" s="25" t="n">
        <x:v>4</x:v>
      </x:c>
      <x:c r="E1956" s="25" t="n">
        <x:v>1</x:v>
      </x:c>
      <x:c r="F1956" s="25" t="n">
        <x:v>1</x:v>
      </x:c>
      <x:c r="G1956" s="19" t="n">
        <x:f>SUM(D1956:F1956)</x:f>
        <x:v>6</x:v>
      </x:c>
      <x:c r="H1956" s="25" t="str">
        <x:v>-</x:v>
      </x:c>
      <x:c r="I1956" s="25" t="n">
        <x:v>1</x:v>
      </x:c>
      <x:c r="J1956" s="25" t="n">
        <x:v>1</x:v>
      </x:c>
      <x:c r="K1956" s="19" t="n">
        <x:f>D1956-IF(H1956=0,1,0)</x:f>
        <x:v>4</x:v>
      </x:c>
      <x:c r="L1956" s="19" t="n">
        <x:f>E1956-IF(H1956=1,1,0)</x:f>
        <x:v>1</x:v>
      </x:c>
      <x:c r="M1956" s="19" t="n">
        <x:f>F1956-IF(H1956=2,1,0)</x:f>
        <x:v>1</x:v>
      </x:c>
      <x:c r="N1956" s="19" t="n">
        <x:f>MAX(K1956-1,0)+MAX(L1956-1,0)+MAX(M1956-1,0)</x:f>
        <x:v>3</x:v>
      </x:c>
      <x:c r="O1956" s="19" t="n">
        <x:f>IF(AND(SUM(K1956:M1956)&lt;9,OR(M1956=0,N1956&lt;6)),1,0)</x:f>
        <x:v>1</x:v>
      </x:c>
      <x:c r="P1956" s="19" t="n">
        <x:f>IF(AND(SUM(K1956:M1956)&lt;9,OR(L1956=0,N1956&lt;6)),1,0)</x:f>
        <x:v>1</x:v>
      </x:c>
      <x:c r="Q1956" s="19" t="n">
        <x:f>IF(AND(SUM(K1956:M1956)&lt;9,OR(K1956=0,N1956&lt;6)),1,0)</x:f>
        <x:v>1</x:v>
      </x:c>
      <x:c r="R1956" s="22" t="str">
        <x:f>O1956&amp;P1956&amp;Q1956</x:f>
        <x:v>111</x:v>
      </x:c>
      <x:c r="S1956" s="19" t="n">
        <x:f>IF(I1956=1,IF(J1956=0,Q1956,IF(J1956=1,P1956,IF(J1956=2,O1956,0))),0)</x:f>
        <x:v>1</x:v>
      </x:c>
      <x:c r="T1956" s="19" t="n">
        <x:f>K1956+IF(AND(S1956=1,J1956=0),1,0)</x:f>
        <x:v>4</x:v>
      </x:c>
      <x:c r="U1956" s="19" t="n">
        <x:f>L1956+IF(AND(S1956=1,J1956=1),1,0)</x:f>
        <x:v>2</x:v>
      </x:c>
      <x:c r="V1956" s="19" t="n">
        <x:f>M1956+IF(AND(S1956=1,J1956=2),1,0)</x:f>
        <x:v>1</x:v>
      </x:c>
      <x:c r="W1956" s="19" t="n">
        <x:f>SUM(T1956:V1956)</x:f>
        <x:v>7</x:v>
      </x:c>
      <x:c r="X1956" s="19" t="n">
        <x:f>W1956-G1956</x:f>
        <x:v>1</x:v>
      </x:c>
      <x:c r="Y1956" s="19" t="n">
        <x:f>MAX(T1956,1)+MAX(U1956,1)+MAX(V1956,1)</x:f>
        <x:v>7</x:v>
      </x:c>
      <x:c r="Z1956" s="21" t="str">
        <x:f>IF(AND(MIN(D1956:F1956)&gt;=0,MAX(D1956:F1956)&lt;=7,MAX(D1956,1)+MAX(E1956,1)+MAX(F1956,1)&lt;=9,OR(H1956="-",AND(H1956=0,D1956&gt;0),AND(H1956=1,E1956&gt;0),AND(H1956=2,F1956&gt;0)),OR(I1956=0,AND(I1956=1,OR(J1956=0,J1956=1,J1956=2),R1956&lt;&gt;"000")),Y1956&lt;=9,MIN(T1956:V1956)&gt;=0),"合法","输入违约")</x:f>
        <x:v>合法</x:v>
      </x:c>
    </x:row>
    <x:row r="1957" ht="23" customHeight="1">
      <x:c r="A1957" s="3" t="str">
        <x:v>CT-1950</x:v>
      </x:c>
      <x:c r="B1957" s="3" t="str">
        <x:v>ST-080</x:v>
      </x:c>
      <x:c r="C1957" s="3" t="str">
        <x:v>仅AR接收</x:v>
      </x:c>
      <x:c r="D1957" s="25" t="n">
        <x:v>4</x:v>
      </x:c>
      <x:c r="E1957" s="25" t="n">
        <x:v>1</x:v>
      </x:c>
      <x:c r="F1957" s="25" t="n">
        <x:v>1</x:v>
      </x:c>
      <x:c r="G1957" s="19" t="n">
        <x:f>SUM(D1957:F1957)</x:f>
        <x:v>6</x:v>
      </x:c>
      <x:c r="H1957" s="25" t="str">
        <x:v>-</x:v>
      </x:c>
      <x:c r="I1957" s="25" t="n">
        <x:v>1</x:v>
      </x:c>
      <x:c r="J1957" s="25" t="n">
        <x:v>2</x:v>
      </x:c>
      <x:c r="K1957" s="19" t="n">
        <x:f>D1957-IF(H1957=0,1,0)</x:f>
        <x:v>4</x:v>
      </x:c>
      <x:c r="L1957" s="19" t="n">
        <x:f>E1957-IF(H1957=1,1,0)</x:f>
        <x:v>1</x:v>
      </x:c>
      <x:c r="M1957" s="19" t="n">
        <x:f>F1957-IF(H1957=2,1,0)</x:f>
        <x:v>1</x:v>
      </x:c>
      <x:c r="N1957" s="19" t="n">
        <x:f>MAX(K1957-1,0)+MAX(L1957-1,0)+MAX(M1957-1,0)</x:f>
        <x:v>3</x:v>
      </x:c>
      <x:c r="O1957" s="19" t="n">
        <x:f>IF(AND(SUM(K1957:M1957)&lt;9,OR(M1957=0,N1957&lt;6)),1,0)</x:f>
        <x:v>1</x:v>
      </x:c>
      <x:c r="P1957" s="19" t="n">
        <x:f>IF(AND(SUM(K1957:M1957)&lt;9,OR(L1957=0,N1957&lt;6)),1,0)</x:f>
        <x:v>1</x:v>
      </x:c>
      <x:c r="Q1957" s="19" t="n">
        <x:f>IF(AND(SUM(K1957:M1957)&lt;9,OR(K1957=0,N1957&lt;6)),1,0)</x:f>
        <x:v>1</x:v>
      </x:c>
      <x:c r="R1957" s="22" t="str">
        <x:f>O1957&amp;P1957&amp;Q1957</x:f>
        <x:v>111</x:v>
      </x:c>
      <x:c r="S1957" s="19" t="n">
        <x:f>IF(I1957=1,IF(J1957=0,Q1957,IF(J1957=1,P1957,IF(J1957=2,O1957,0))),0)</x:f>
        <x:v>1</x:v>
      </x:c>
      <x:c r="T1957" s="19" t="n">
        <x:f>K1957+IF(AND(S1957=1,J1957=0),1,0)</x:f>
        <x:v>4</x:v>
      </x:c>
      <x:c r="U1957" s="19" t="n">
        <x:f>L1957+IF(AND(S1957=1,J1957=1),1,0)</x:f>
        <x:v>1</x:v>
      </x:c>
      <x:c r="V1957" s="19" t="n">
        <x:f>M1957+IF(AND(S1957=1,J1957=2),1,0)</x:f>
        <x:v>2</x:v>
      </x:c>
      <x:c r="W1957" s="19" t="n">
        <x:f>SUM(T1957:V1957)</x:f>
        <x:v>7</x:v>
      </x:c>
      <x:c r="X1957" s="19" t="n">
        <x:f>W1957-G1957</x:f>
        <x:v>1</x:v>
      </x:c>
      <x:c r="Y1957" s="19" t="n">
        <x:f>MAX(T1957,1)+MAX(U1957,1)+MAX(V1957,1)</x:f>
        <x:v>7</x:v>
      </x:c>
      <x:c r="Z1957" s="21" t="str">
        <x:f>IF(AND(MIN(D1957:F1957)&gt;=0,MAX(D1957:F1957)&lt;=7,MAX(D1957,1)+MAX(E1957,1)+MAX(F1957,1)&lt;=9,OR(H1957="-",AND(H1957=0,D1957&gt;0),AND(H1957=1,E1957&gt;0),AND(H1957=2,F1957&gt;0)),OR(I1957=0,AND(I1957=1,OR(J1957=0,J1957=1,J1957=2),R1957&lt;&gt;"000")),Y1957&lt;=9,MIN(T1957:V1957)&gt;=0),"合法","输入违约")</x:f>
        <x:v>合法</x:v>
      </x:c>
    </x:row>
    <x:row r="1958" ht="23" customHeight="1">
      <x:c r="A1958" s="3" t="str">
        <x:v>CT-1951</x:v>
      </x:c>
      <x:c r="B1958" s="3" t="str">
        <x:v>ST-080</x:v>
      </x:c>
      <x:c r="C1958" s="3" t="str">
        <x:v>仅R回收</x:v>
      </x:c>
      <x:c r="D1958" s="25" t="n">
        <x:v>4</x:v>
      </x:c>
      <x:c r="E1958" s="25" t="n">
        <x:v>1</x:v>
      </x:c>
      <x:c r="F1958" s="25" t="n">
        <x:v>1</x:v>
      </x:c>
      <x:c r="G1958" s="19" t="n">
        <x:f>SUM(D1958:F1958)</x:f>
        <x:v>6</x:v>
      </x:c>
      <x:c r="H1958" s="25" t="n">
        <x:v>0</x:v>
      </x:c>
      <x:c r="I1958" s="25" t="n">
        <x:v>0</x:v>
      </x:c>
      <x:c r="J1958" s="25" t="str">
        <x:v>-</x:v>
      </x:c>
      <x:c r="K1958" s="19" t="n">
        <x:f>D1958-IF(H1958=0,1,0)</x:f>
        <x:v>3</x:v>
      </x:c>
      <x:c r="L1958" s="19" t="n">
        <x:f>E1958-IF(H1958=1,1,0)</x:f>
        <x:v>1</x:v>
      </x:c>
      <x:c r="M1958" s="19" t="n">
        <x:f>F1958-IF(H1958=2,1,0)</x:f>
        <x:v>1</x:v>
      </x:c>
      <x:c r="N1958" s="19" t="n">
        <x:f>MAX(K1958-1,0)+MAX(L1958-1,0)+MAX(M1958-1,0)</x:f>
        <x:v>2</x:v>
      </x:c>
      <x:c r="O1958" s="19" t="n">
        <x:f>IF(AND(SUM(K1958:M1958)&lt;9,OR(M1958=0,N1958&lt;6)),1,0)</x:f>
        <x:v>1</x:v>
      </x:c>
      <x:c r="P1958" s="19" t="n">
        <x:f>IF(AND(SUM(K1958:M1958)&lt;9,OR(L1958=0,N1958&lt;6)),1,0)</x:f>
        <x:v>1</x:v>
      </x:c>
      <x:c r="Q1958" s="19" t="n">
        <x:f>IF(AND(SUM(K1958:M1958)&lt;9,OR(K1958=0,N1958&lt;6)),1,0)</x:f>
        <x:v>1</x:v>
      </x:c>
      <x:c r="R1958" s="22" t="str">
        <x:f>O1958&amp;P1958&amp;Q1958</x:f>
        <x:v>111</x:v>
      </x:c>
      <x:c r="S1958" s="19" t="n">
        <x:f>IF(I1958=1,IF(J1958=0,Q1958,IF(J1958=1,P1958,IF(J1958=2,O1958,0))),0)</x:f>
        <x:v>0</x:v>
      </x:c>
      <x:c r="T1958" s="19" t="n">
        <x:f>K1958+IF(AND(S1958=1,J1958=0),1,0)</x:f>
        <x:v>3</x:v>
      </x:c>
      <x:c r="U1958" s="19" t="n">
        <x:f>L1958+IF(AND(S1958=1,J1958=1),1,0)</x:f>
        <x:v>1</x:v>
      </x:c>
      <x:c r="V1958" s="19" t="n">
        <x:f>M1958+IF(AND(S1958=1,J1958=2),1,0)</x:f>
        <x:v>1</x:v>
      </x:c>
      <x:c r="W1958" s="19" t="n">
        <x:f>SUM(T1958:V1958)</x:f>
        <x:v>5</x:v>
      </x:c>
      <x:c r="X1958" s="19" t="n">
        <x:f>W1958-G1958</x:f>
        <x:v>-1</x:v>
      </x:c>
      <x:c r="Y1958" s="19" t="n">
        <x:f>MAX(T1958,1)+MAX(U1958,1)+MAX(V1958,1)</x:f>
        <x:v>5</x:v>
      </x:c>
      <x:c r="Z1958" s="21" t="str">
        <x:f>IF(AND(MIN(D1958:F1958)&gt;=0,MAX(D1958:F1958)&lt;=7,MAX(D1958,1)+MAX(E1958,1)+MAX(F1958,1)&lt;=9,OR(H1958="-",AND(H1958=0,D1958&gt;0),AND(H1958=1,E1958&gt;0),AND(H1958=2,F1958&gt;0)),OR(I1958=0,AND(I1958=1,OR(J1958=0,J1958=1,J1958=2),R1958&lt;&gt;"000")),Y1958&lt;=9,MIN(T1958:V1958)&gt;=0),"合法","输入违约")</x:f>
        <x:v>合法</x:v>
      </x:c>
    </x:row>
    <x:row r="1959" ht="23" customHeight="1">
      <x:c r="A1959" s="3" t="str">
        <x:v>CT-1952</x:v>
      </x:c>
      <x:c r="B1959" s="3" t="str">
        <x:v>ST-080</x:v>
      </x:c>
      <x:c r="C1959" s="3" t="str">
        <x:v>R+AR同收同发</x:v>
      </x:c>
      <x:c r="D1959" s="25" t="n">
        <x:v>4</x:v>
      </x:c>
      <x:c r="E1959" s="25" t="n">
        <x:v>1</x:v>
      </x:c>
      <x:c r="F1959" s="25" t="n">
        <x:v>1</x:v>
      </x:c>
      <x:c r="G1959" s="19" t="n">
        <x:f>SUM(D1959:F1959)</x:f>
        <x:v>6</x:v>
      </x:c>
      <x:c r="H1959" s="25" t="n">
        <x:v>0</x:v>
      </x:c>
      <x:c r="I1959" s="25" t="n">
        <x:v>1</x:v>
      </x:c>
      <x:c r="J1959" s="25" t="n">
        <x:v>0</x:v>
      </x:c>
      <x:c r="K1959" s="19" t="n">
        <x:f>D1959-IF(H1959=0,1,0)</x:f>
        <x:v>3</x:v>
      </x:c>
      <x:c r="L1959" s="19" t="n">
        <x:f>E1959-IF(H1959=1,1,0)</x:f>
        <x:v>1</x:v>
      </x:c>
      <x:c r="M1959" s="19" t="n">
        <x:f>F1959-IF(H1959=2,1,0)</x:f>
        <x:v>1</x:v>
      </x:c>
      <x:c r="N1959" s="19" t="n">
        <x:f>MAX(K1959-1,0)+MAX(L1959-1,0)+MAX(M1959-1,0)</x:f>
        <x:v>2</x:v>
      </x:c>
      <x:c r="O1959" s="19" t="n">
        <x:f>IF(AND(SUM(K1959:M1959)&lt;9,OR(M1959=0,N1959&lt;6)),1,0)</x:f>
        <x:v>1</x:v>
      </x:c>
      <x:c r="P1959" s="19" t="n">
        <x:f>IF(AND(SUM(K1959:M1959)&lt;9,OR(L1959=0,N1959&lt;6)),1,0)</x:f>
        <x:v>1</x:v>
      </x:c>
      <x:c r="Q1959" s="19" t="n">
        <x:f>IF(AND(SUM(K1959:M1959)&lt;9,OR(K1959=0,N1959&lt;6)),1,0)</x:f>
        <x:v>1</x:v>
      </x:c>
      <x:c r="R1959" s="22" t="str">
        <x:f>O1959&amp;P1959&amp;Q1959</x:f>
        <x:v>111</x:v>
      </x:c>
      <x:c r="S1959" s="19" t="n">
        <x:f>IF(I1959=1,IF(J1959=0,Q1959,IF(J1959=1,P1959,IF(J1959=2,O1959,0))),0)</x:f>
        <x:v>1</x:v>
      </x:c>
      <x:c r="T1959" s="19" t="n">
        <x:f>K1959+IF(AND(S1959=1,J1959=0),1,0)</x:f>
        <x:v>4</x:v>
      </x:c>
      <x:c r="U1959" s="19" t="n">
        <x:f>L1959+IF(AND(S1959=1,J1959=1),1,0)</x:f>
        <x:v>1</x:v>
      </x:c>
      <x:c r="V1959" s="19" t="n">
        <x:f>M1959+IF(AND(S1959=1,J1959=2),1,0)</x:f>
        <x:v>1</x:v>
      </x:c>
      <x:c r="W1959" s="19" t="n">
        <x:f>SUM(T1959:V1959)</x:f>
        <x:v>6</x:v>
      </x:c>
      <x:c r="X1959" s="19" t="n">
        <x:f>W1959-G1959</x:f>
        <x:v>0</x:v>
      </x:c>
      <x:c r="Y1959" s="19" t="n">
        <x:f>MAX(T1959,1)+MAX(U1959,1)+MAX(V1959,1)</x:f>
        <x:v>6</x:v>
      </x:c>
      <x:c r="Z1959" s="21" t="str">
        <x:f>IF(AND(MIN(D1959:F1959)&gt;=0,MAX(D1959:F1959)&lt;=7,MAX(D1959,1)+MAX(E1959,1)+MAX(F1959,1)&lt;=9,OR(H1959="-",AND(H1959=0,D1959&gt;0),AND(H1959=1,E1959&gt;0),AND(H1959=2,F1959&gt;0)),OR(I1959=0,AND(I1959=1,OR(J1959=0,J1959=1,J1959=2),R1959&lt;&gt;"000")),Y1959&lt;=9,MIN(T1959:V1959)&gt;=0),"合法","输入违约")</x:f>
        <x:v>合法</x:v>
      </x:c>
    </x:row>
    <x:row r="1960" ht="23" customHeight="1">
      <x:c r="A1960" s="3" t="str">
        <x:v>CT-1953</x:v>
      </x:c>
      <x:c r="B1960" s="3" t="str">
        <x:v>ST-080</x:v>
      </x:c>
      <x:c r="C1960" s="3" t="str">
        <x:v>R+AR同收同发</x:v>
      </x:c>
      <x:c r="D1960" s="25" t="n">
        <x:v>4</x:v>
      </x:c>
      <x:c r="E1960" s="25" t="n">
        <x:v>1</x:v>
      </x:c>
      <x:c r="F1960" s="25" t="n">
        <x:v>1</x:v>
      </x:c>
      <x:c r="G1960" s="19" t="n">
        <x:f>SUM(D1960:F1960)</x:f>
        <x:v>6</x:v>
      </x:c>
      <x:c r="H1960" s="25" t="n">
        <x:v>0</x:v>
      </x:c>
      <x:c r="I1960" s="25" t="n">
        <x:v>1</x:v>
      </x:c>
      <x:c r="J1960" s="25" t="n">
        <x:v>1</x:v>
      </x:c>
      <x:c r="K1960" s="19" t="n">
        <x:f>D1960-IF(H1960=0,1,0)</x:f>
        <x:v>3</x:v>
      </x:c>
      <x:c r="L1960" s="19" t="n">
        <x:f>E1960-IF(H1960=1,1,0)</x:f>
        <x:v>1</x:v>
      </x:c>
      <x:c r="M1960" s="19" t="n">
        <x:f>F1960-IF(H1960=2,1,0)</x:f>
        <x:v>1</x:v>
      </x:c>
      <x:c r="N1960" s="19" t="n">
        <x:f>MAX(K1960-1,0)+MAX(L1960-1,0)+MAX(M1960-1,0)</x:f>
        <x:v>2</x:v>
      </x:c>
      <x:c r="O1960" s="19" t="n">
        <x:f>IF(AND(SUM(K1960:M1960)&lt;9,OR(M1960=0,N1960&lt;6)),1,0)</x:f>
        <x:v>1</x:v>
      </x:c>
      <x:c r="P1960" s="19" t="n">
        <x:f>IF(AND(SUM(K1960:M1960)&lt;9,OR(L1960=0,N1960&lt;6)),1,0)</x:f>
        <x:v>1</x:v>
      </x:c>
      <x:c r="Q1960" s="19" t="n">
        <x:f>IF(AND(SUM(K1960:M1960)&lt;9,OR(K1960=0,N1960&lt;6)),1,0)</x:f>
        <x:v>1</x:v>
      </x:c>
      <x:c r="R1960" s="22" t="str">
        <x:f>O1960&amp;P1960&amp;Q1960</x:f>
        <x:v>111</x:v>
      </x:c>
      <x:c r="S1960" s="19" t="n">
        <x:f>IF(I1960=1,IF(J1960=0,Q1960,IF(J1960=1,P1960,IF(J1960=2,O1960,0))),0)</x:f>
        <x:v>1</x:v>
      </x:c>
      <x:c r="T1960" s="19" t="n">
        <x:f>K1960+IF(AND(S1960=1,J1960=0),1,0)</x:f>
        <x:v>3</x:v>
      </x:c>
      <x:c r="U1960" s="19" t="n">
        <x:f>L1960+IF(AND(S1960=1,J1960=1),1,0)</x:f>
        <x:v>2</x:v>
      </x:c>
      <x:c r="V1960" s="19" t="n">
        <x:f>M1960+IF(AND(S1960=1,J1960=2),1,0)</x:f>
        <x:v>1</x:v>
      </x:c>
      <x:c r="W1960" s="19" t="n">
        <x:f>SUM(T1960:V1960)</x:f>
        <x:v>6</x:v>
      </x:c>
      <x:c r="X1960" s="19" t="n">
        <x:f>W1960-G1960</x:f>
        <x:v>0</x:v>
      </x:c>
      <x:c r="Y1960" s="19" t="n">
        <x:f>MAX(T1960,1)+MAX(U1960,1)+MAX(V1960,1)</x:f>
        <x:v>6</x:v>
      </x:c>
      <x:c r="Z1960" s="21" t="str">
        <x:f>IF(AND(MIN(D1960:F1960)&gt;=0,MAX(D1960:F1960)&lt;=7,MAX(D1960,1)+MAX(E1960,1)+MAX(F1960,1)&lt;=9,OR(H1960="-",AND(H1960=0,D1960&gt;0),AND(H1960=1,E1960&gt;0),AND(H1960=2,F1960&gt;0)),OR(I1960=0,AND(I1960=1,OR(J1960=0,J1960=1,J1960=2),R1960&lt;&gt;"000")),Y1960&lt;=9,MIN(T1960:V1960)&gt;=0),"合法","输入违约")</x:f>
        <x:v>合法</x:v>
      </x:c>
    </x:row>
    <x:row r="1961" ht="23" customHeight="1">
      <x:c r="A1961" s="3" t="str">
        <x:v>CT-1954</x:v>
      </x:c>
      <x:c r="B1961" s="3" t="str">
        <x:v>ST-080</x:v>
      </x:c>
      <x:c r="C1961" s="3" t="str">
        <x:v>R+AR同收同发</x:v>
      </x:c>
      <x:c r="D1961" s="25" t="n">
        <x:v>4</x:v>
      </x:c>
      <x:c r="E1961" s="25" t="n">
        <x:v>1</x:v>
      </x:c>
      <x:c r="F1961" s="25" t="n">
        <x:v>1</x:v>
      </x:c>
      <x:c r="G1961" s="19" t="n">
        <x:f>SUM(D1961:F1961)</x:f>
        <x:v>6</x:v>
      </x:c>
      <x:c r="H1961" s="25" t="n">
        <x:v>0</x:v>
      </x:c>
      <x:c r="I1961" s="25" t="n">
        <x:v>1</x:v>
      </x:c>
      <x:c r="J1961" s="25" t="n">
        <x:v>2</x:v>
      </x:c>
      <x:c r="K1961" s="19" t="n">
        <x:f>D1961-IF(H1961=0,1,0)</x:f>
        <x:v>3</x:v>
      </x:c>
      <x:c r="L1961" s="19" t="n">
        <x:f>E1961-IF(H1961=1,1,0)</x:f>
        <x:v>1</x:v>
      </x:c>
      <x:c r="M1961" s="19" t="n">
        <x:f>F1961-IF(H1961=2,1,0)</x:f>
        <x:v>1</x:v>
      </x:c>
      <x:c r="N1961" s="19" t="n">
        <x:f>MAX(K1961-1,0)+MAX(L1961-1,0)+MAX(M1961-1,0)</x:f>
        <x:v>2</x:v>
      </x:c>
      <x:c r="O1961" s="19" t="n">
        <x:f>IF(AND(SUM(K1961:M1961)&lt;9,OR(M1961=0,N1961&lt;6)),1,0)</x:f>
        <x:v>1</x:v>
      </x:c>
      <x:c r="P1961" s="19" t="n">
        <x:f>IF(AND(SUM(K1961:M1961)&lt;9,OR(L1961=0,N1961&lt;6)),1,0)</x:f>
        <x:v>1</x:v>
      </x:c>
      <x:c r="Q1961" s="19" t="n">
        <x:f>IF(AND(SUM(K1961:M1961)&lt;9,OR(K1961=0,N1961&lt;6)),1,0)</x:f>
        <x:v>1</x:v>
      </x:c>
      <x:c r="R1961" s="22" t="str">
        <x:f>O1961&amp;P1961&amp;Q1961</x:f>
        <x:v>111</x:v>
      </x:c>
      <x:c r="S1961" s="19" t="n">
        <x:f>IF(I1961=1,IF(J1961=0,Q1961,IF(J1961=1,P1961,IF(J1961=2,O1961,0))),0)</x:f>
        <x:v>1</x:v>
      </x:c>
      <x:c r="T1961" s="19" t="n">
        <x:f>K1961+IF(AND(S1961=1,J1961=0),1,0)</x:f>
        <x:v>3</x:v>
      </x:c>
      <x:c r="U1961" s="19" t="n">
        <x:f>L1961+IF(AND(S1961=1,J1961=1),1,0)</x:f>
        <x:v>1</x:v>
      </x:c>
      <x:c r="V1961" s="19" t="n">
        <x:f>M1961+IF(AND(S1961=1,J1961=2),1,0)</x:f>
        <x:v>2</x:v>
      </x:c>
      <x:c r="W1961" s="19" t="n">
        <x:f>SUM(T1961:V1961)</x:f>
        <x:v>6</x:v>
      </x:c>
      <x:c r="X1961" s="19" t="n">
        <x:f>W1961-G1961</x:f>
        <x:v>0</x:v>
      </x:c>
      <x:c r="Y1961" s="19" t="n">
        <x:f>MAX(T1961,1)+MAX(U1961,1)+MAX(V1961,1)</x:f>
        <x:v>6</x:v>
      </x:c>
      <x:c r="Z1961" s="21" t="str">
        <x:f>IF(AND(MIN(D1961:F1961)&gt;=0,MAX(D1961:F1961)&lt;=7,MAX(D1961,1)+MAX(E1961,1)+MAX(F1961,1)&lt;=9,OR(H1961="-",AND(H1961=0,D1961&gt;0),AND(H1961=1,E1961&gt;0),AND(H1961=2,F1961&gt;0)),OR(I1961=0,AND(I1961=1,OR(J1961=0,J1961=1,J1961=2),R1961&lt;&gt;"000")),Y1961&lt;=9,MIN(T1961:V1961)&gt;=0),"合法","输入违约")</x:f>
        <x:v>合法</x:v>
      </x:c>
    </x:row>
    <x:row r="1962" ht="23" customHeight="1">
      <x:c r="A1962" s="3" t="str">
        <x:v>CT-1955</x:v>
      </x:c>
      <x:c r="B1962" s="3" t="str">
        <x:v>ST-080</x:v>
      </x:c>
      <x:c r="C1962" s="3" t="str">
        <x:v>仅R回收</x:v>
      </x:c>
      <x:c r="D1962" s="25" t="n">
        <x:v>4</x:v>
      </x:c>
      <x:c r="E1962" s="25" t="n">
        <x:v>1</x:v>
      </x:c>
      <x:c r="F1962" s="25" t="n">
        <x:v>1</x:v>
      </x:c>
      <x:c r="G1962" s="19" t="n">
        <x:f>SUM(D1962:F1962)</x:f>
        <x:v>6</x:v>
      </x:c>
      <x:c r="H1962" s="25" t="n">
        <x:v>1</x:v>
      </x:c>
      <x:c r="I1962" s="25" t="n">
        <x:v>0</x:v>
      </x:c>
      <x:c r="J1962" s="25" t="str">
        <x:v>-</x:v>
      </x:c>
      <x:c r="K1962" s="19" t="n">
        <x:f>D1962-IF(H1962=0,1,0)</x:f>
        <x:v>4</x:v>
      </x:c>
      <x:c r="L1962" s="19" t="n">
        <x:f>E1962-IF(H1962=1,1,0)</x:f>
        <x:v>0</x:v>
      </x:c>
      <x:c r="M1962" s="19" t="n">
        <x:f>F1962-IF(H1962=2,1,0)</x:f>
        <x:v>1</x:v>
      </x:c>
      <x:c r="N1962" s="19" t="n">
        <x:f>MAX(K1962-1,0)+MAX(L1962-1,0)+MAX(M1962-1,0)</x:f>
        <x:v>3</x:v>
      </x:c>
      <x:c r="O1962" s="19" t="n">
        <x:f>IF(AND(SUM(K1962:M1962)&lt;9,OR(M1962=0,N1962&lt;6)),1,0)</x:f>
        <x:v>1</x:v>
      </x:c>
      <x:c r="P1962" s="19" t="n">
        <x:f>IF(AND(SUM(K1962:M1962)&lt;9,OR(L1962=0,N1962&lt;6)),1,0)</x:f>
        <x:v>1</x:v>
      </x:c>
      <x:c r="Q1962" s="19" t="n">
        <x:f>IF(AND(SUM(K1962:M1962)&lt;9,OR(K1962=0,N1962&lt;6)),1,0)</x:f>
        <x:v>1</x:v>
      </x:c>
      <x:c r="R1962" s="22" t="str">
        <x:f>O1962&amp;P1962&amp;Q1962</x:f>
        <x:v>111</x:v>
      </x:c>
      <x:c r="S1962" s="19" t="n">
        <x:f>IF(I1962=1,IF(J1962=0,Q1962,IF(J1962=1,P1962,IF(J1962=2,O1962,0))),0)</x:f>
        <x:v>0</x:v>
      </x:c>
      <x:c r="T1962" s="19" t="n">
        <x:f>K1962+IF(AND(S1962=1,J1962=0),1,0)</x:f>
        <x:v>4</x:v>
      </x:c>
      <x:c r="U1962" s="19" t="n">
        <x:f>L1962+IF(AND(S1962=1,J1962=1),1,0)</x:f>
        <x:v>0</x:v>
      </x:c>
      <x:c r="V1962" s="19" t="n">
        <x:f>M1962+IF(AND(S1962=1,J1962=2),1,0)</x:f>
        <x:v>1</x:v>
      </x:c>
      <x:c r="W1962" s="19" t="n">
        <x:f>SUM(T1962:V1962)</x:f>
        <x:v>5</x:v>
      </x:c>
      <x:c r="X1962" s="19" t="n">
        <x:f>W1962-G1962</x:f>
        <x:v>-1</x:v>
      </x:c>
      <x:c r="Y1962" s="19" t="n">
        <x:f>MAX(T1962,1)+MAX(U1962,1)+MAX(V1962,1)</x:f>
        <x:v>6</x:v>
      </x:c>
      <x:c r="Z1962" s="21" t="str">
        <x:f>IF(AND(MIN(D1962:F1962)&gt;=0,MAX(D1962:F1962)&lt;=7,MAX(D1962,1)+MAX(E1962,1)+MAX(F1962,1)&lt;=9,OR(H1962="-",AND(H1962=0,D1962&gt;0),AND(H1962=1,E1962&gt;0),AND(H1962=2,F1962&gt;0)),OR(I1962=0,AND(I1962=1,OR(J1962=0,J1962=1,J1962=2),R1962&lt;&gt;"000")),Y1962&lt;=9,MIN(T1962:V1962)&gt;=0),"合法","输入违约")</x:f>
        <x:v>合法</x:v>
      </x:c>
    </x:row>
    <x:row r="1963" ht="23" customHeight="1">
      <x:c r="A1963" s="3" t="str">
        <x:v>CT-1956</x:v>
      </x:c>
      <x:c r="B1963" s="3" t="str">
        <x:v>ST-080</x:v>
      </x:c>
      <x:c r="C1963" s="3" t="str">
        <x:v>R+AR同收同发</x:v>
      </x:c>
      <x:c r="D1963" s="25" t="n">
        <x:v>4</x:v>
      </x:c>
      <x:c r="E1963" s="25" t="n">
        <x:v>1</x:v>
      </x:c>
      <x:c r="F1963" s="25" t="n">
        <x:v>1</x:v>
      </x:c>
      <x:c r="G1963" s="19" t="n">
        <x:f>SUM(D1963:F1963)</x:f>
        <x:v>6</x:v>
      </x:c>
      <x:c r="H1963" s="25" t="n">
        <x:v>1</x:v>
      </x:c>
      <x:c r="I1963" s="25" t="n">
        <x:v>1</x:v>
      </x:c>
      <x:c r="J1963" s="25" t="n">
        <x:v>0</x:v>
      </x:c>
      <x:c r="K1963" s="19" t="n">
        <x:f>D1963-IF(H1963=0,1,0)</x:f>
        <x:v>4</x:v>
      </x:c>
      <x:c r="L1963" s="19" t="n">
        <x:f>E1963-IF(H1963=1,1,0)</x:f>
        <x:v>0</x:v>
      </x:c>
      <x:c r="M1963" s="19" t="n">
        <x:f>F1963-IF(H1963=2,1,0)</x:f>
        <x:v>1</x:v>
      </x:c>
      <x:c r="N1963" s="19" t="n">
        <x:f>MAX(K1963-1,0)+MAX(L1963-1,0)+MAX(M1963-1,0)</x:f>
        <x:v>3</x:v>
      </x:c>
      <x:c r="O1963" s="19" t="n">
        <x:f>IF(AND(SUM(K1963:M1963)&lt;9,OR(M1963=0,N1963&lt;6)),1,0)</x:f>
        <x:v>1</x:v>
      </x:c>
      <x:c r="P1963" s="19" t="n">
        <x:f>IF(AND(SUM(K1963:M1963)&lt;9,OR(L1963=0,N1963&lt;6)),1,0)</x:f>
        <x:v>1</x:v>
      </x:c>
      <x:c r="Q1963" s="19" t="n">
        <x:f>IF(AND(SUM(K1963:M1963)&lt;9,OR(K1963=0,N1963&lt;6)),1,0)</x:f>
        <x:v>1</x:v>
      </x:c>
      <x:c r="R1963" s="22" t="str">
        <x:f>O1963&amp;P1963&amp;Q1963</x:f>
        <x:v>111</x:v>
      </x:c>
      <x:c r="S1963" s="19" t="n">
        <x:f>IF(I1963=1,IF(J1963=0,Q1963,IF(J1963=1,P1963,IF(J1963=2,O1963,0))),0)</x:f>
        <x:v>1</x:v>
      </x:c>
      <x:c r="T1963" s="19" t="n">
        <x:f>K1963+IF(AND(S1963=1,J1963=0),1,0)</x:f>
        <x:v>5</x:v>
      </x:c>
      <x:c r="U1963" s="19" t="n">
        <x:f>L1963+IF(AND(S1963=1,J1963=1),1,0)</x:f>
        <x:v>0</x:v>
      </x:c>
      <x:c r="V1963" s="19" t="n">
        <x:f>M1963+IF(AND(S1963=1,J1963=2),1,0)</x:f>
        <x:v>1</x:v>
      </x:c>
      <x:c r="W1963" s="19" t="n">
        <x:f>SUM(T1963:V1963)</x:f>
        <x:v>6</x:v>
      </x:c>
      <x:c r="X1963" s="19" t="n">
        <x:f>W1963-G1963</x:f>
        <x:v>0</x:v>
      </x:c>
      <x:c r="Y1963" s="19" t="n">
        <x:f>MAX(T1963,1)+MAX(U1963,1)+MAX(V1963,1)</x:f>
        <x:v>7</x:v>
      </x:c>
      <x:c r="Z1963" s="21" t="str">
        <x:f>IF(AND(MIN(D1963:F1963)&gt;=0,MAX(D1963:F1963)&lt;=7,MAX(D1963,1)+MAX(E1963,1)+MAX(F1963,1)&lt;=9,OR(H1963="-",AND(H1963=0,D1963&gt;0),AND(H1963=1,E1963&gt;0),AND(H1963=2,F1963&gt;0)),OR(I1963=0,AND(I1963=1,OR(J1963=0,J1963=1,J1963=2),R1963&lt;&gt;"000")),Y1963&lt;=9,MIN(T1963:V1963)&gt;=0),"合法","输入违约")</x:f>
        <x:v>合法</x:v>
      </x:c>
    </x:row>
    <x:row r="1964" ht="23" customHeight="1">
      <x:c r="A1964" s="3" t="str">
        <x:v>CT-1957</x:v>
      </x:c>
      <x:c r="B1964" s="3" t="str">
        <x:v>ST-080</x:v>
      </x:c>
      <x:c r="C1964" s="3" t="str">
        <x:v>R+AR同收同发</x:v>
      </x:c>
      <x:c r="D1964" s="25" t="n">
        <x:v>4</x:v>
      </x:c>
      <x:c r="E1964" s="25" t="n">
        <x:v>1</x:v>
      </x:c>
      <x:c r="F1964" s="25" t="n">
        <x:v>1</x:v>
      </x:c>
      <x:c r="G1964" s="19" t="n">
        <x:f>SUM(D1964:F1964)</x:f>
        <x:v>6</x:v>
      </x:c>
      <x:c r="H1964" s="25" t="n">
        <x:v>1</x:v>
      </x:c>
      <x:c r="I1964" s="25" t="n">
        <x:v>1</x:v>
      </x:c>
      <x:c r="J1964" s="25" t="n">
        <x:v>1</x:v>
      </x:c>
      <x:c r="K1964" s="19" t="n">
        <x:f>D1964-IF(H1964=0,1,0)</x:f>
        <x:v>4</x:v>
      </x:c>
      <x:c r="L1964" s="19" t="n">
        <x:f>E1964-IF(H1964=1,1,0)</x:f>
        <x:v>0</x:v>
      </x:c>
      <x:c r="M1964" s="19" t="n">
        <x:f>F1964-IF(H1964=2,1,0)</x:f>
        <x:v>1</x:v>
      </x:c>
      <x:c r="N1964" s="19" t="n">
        <x:f>MAX(K1964-1,0)+MAX(L1964-1,0)+MAX(M1964-1,0)</x:f>
        <x:v>3</x:v>
      </x:c>
      <x:c r="O1964" s="19" t="n">
        <x:f>IF(AND(SUM(K1964:M1964)&lt;9,OR(M1964=0,N1964&lt;6)),1,0)</x:f>
        <x:v>1</x:v>
      </x:c>
      <x:c r="P1964" s="19" t="n">
        <x:f>IF(AND(SUM(K1964:M1964)&lt;9,OR(L1964=0,N1964&lt;6)),1,0)</x:f>
        <x:v>1</x:v>
      </x:c>
      <x:c r="Q1964" s="19" t="n">
        <x:f>IF(AND(SUM(K1964:M1964)&lt;9,OR(K1964=0,N1964&lt;6)),1,0)</x:f>
        <x:v>1</x:v>
      </x:c>
      <x:c r="R1964" s="22" t="str">
        <x:f>O1964&amp;P1964&amp;Q1964</x:f>
        <x:v>111</x:v>
      </x:c>
      <x:c r="S1964" s="19" t="n">
        <x:f>IF(I1964=1,IF(J1964=0,Q1964,IF(J1964=1,P1964,IF(J1964=2,O1964,0))),0)</x:f>
        <x:v>1</x:v>
      </x:c>
      <x:c r="T1964" s="19" t="n">
        <x:f>K1964+IF(AND(S1964=1,J1964=0),1,0)</x:f>
        <x:v>4</x:v>
      </x:c>
      <x:c r="U1964" s="19" t="n">
        <x:f>L1964+IF(AND(S1964=1,J1964=1),1,0)</x:f>
        <x:v>1</x:v>
      </x:c>
      <x:c r="V1964" s="19" t="n">
        <x:f>M1964+IF(AND(S1964=1,J1964=2),1,0)</x:f>
        <x:v>1</x:v>
      </x:c>
      <x:c r="W1964" s="19" t="n">
        <x:f>SUM(T1964:V1964)</x:f>
        <x:v>6</x:v>
      </x:c>
      <x:c r="X1964" s="19" t="n">
        <x:f>W1964-G1964</x:f>
        <x:v>0</x:v>
      </x:c>
      <x:c r="Y1964" s="19" t="n">
        <x:f>MAX(T1964,1)+MAX(U1964,1)+MAX(V1964,1)</x:f>
        <x:v>6</x:v>
      </x:c>
      <x:c r="Z1964" s="21" t="str">
        <x:f>IF(AND(MIN(D1964:F1964)&gt;=0,MAX(D1964:F1964)&lt;=7,MAX(D1964,1)+MAX(E1964,1)+MAX(F1964,1)&lt;=9,OR(H1964="-",AND(H1964=0,D1964&gt;0),AND(H1964=1,E1964&gt;0),AND(H1964=2,F1964&gt;0)),OR(I1964=0,AND(I1964=1,OR(J1964=0,J1964=1,J1964=2),R1964&lt;&gt;"000")),Y1964&lt;=9,MIN(T1964:V1964)&gt;=0),"合法","输入违约")</x:f>
        <x:v>合法</x:v>
      </x:c>
    </x:row>
    <x:row r="1965" ht="23" customHeight="1">
      <x:c r="A1965" s="3" t="str">
        <x:v>CT-1958</x:v>
      </x:c>
      <x:c r="B1965" s="3" t="str">
        <x:v>ST-080</x:v>
      </x:c>
      <x:c r="C1965" s="3" t="str">
        <x:v>R+AR同收同发</x:v>
      </x:c>
      <x:c r="D1965" s="25" t="n">
        <x:v>4</x:v>
      </x:c>
      <x:c r="E1965" s="25" t="n">
        <x:v>1</x:v>
      </x:c>
      <x:c r="F1965" s="25" t="n">
        <x:v>1</x:v>
      </x:c>
      <x:c r="G1965" s="19" t="n">
        <x:f>SUM(D1965:F1965)</x:f>
        <x:v>6</x:v>
      </x:c>
      <x:c r="H1965" s="25" t="n">
        <x:v>1</x:v>
      </x:c>
      <x:c r="I1965" s="25" t="n">
        <x:v>1</x:v>
      </x:c>
      <x:c r="J1965" s="25" t="n">
        <x:v>2</x:v>
      </x:c>
      <x:c r="K1965" s="19" t="n">
        <x:f>D1965-IF(H1965=0,1,0)</x:f>
        <x:v>4</x:v>
      </x:c>
      <x:c r="L1965" s="19" t="n">
        <x:f>E1965-IF(H1965=1,1,0)</x:f>
        <x:v>0</x:v>
      </x:c>
      <x:c r="M1965" s="19" t="n">
        <x:f>F1965-IF(H1965=2,1,0)</x:f>
        <x:v>1</x:v>
      </x:c>
      <x:c r="N1965" s="19" t="n">
        <x:f>MAX(K1965-1,0)+MAX(L1965-1,0)+MAX(M1965-1,0)</x:f>
        <x:v>3</x:v>
      </x:c>
      <x:c r="O1965" s="19" t="n">
        <x:f>IF(AND(SUM(K1965:M1965)&lt;9,OR(M1965=0,N1965&lt;6)),1,0)</x:f>
        <x:v>1</x:v>
      </x:c>
      <x:c r="P1965" s="19" t="n">
        <x:f>IF(AND(SUM(K1965:M1965)&lt;9,OR(L1965=0,N1965&lt;6)),1,0)</x:f>
        <x:v>1</x:v>
      </x:c>
      <x:c r="Q1965" s="19" t="n">
        <x:f>IF(AND(SUM(K1965:M1965)&lt;9,OR(K1965=0,N1965&lt;6)),1,0)</x:f>
        <x:v>1</x:v>
      </x:c>
      <x:c r="R1965" s="22" t="str">
        <x:f>O1965&amp;P1965&amp;Q1965</x:f>
        <x:v>111</x:v>
      </x:c>
      <x:c r="S1965" s="19" t="n">
        <x:f>IF(I1965=1,IF(J1965=0,Q1965,IF(J1965=1,P1965,IF(J1965=2,O1965,0))),0)</x:f>
        <x:v>1</x:v>
      </x:c>
      <x:c r="T1965" s="19" t="n">
        <x:f>K1965+IF(AND(S1965=1,J1965=0),1,0)</x:f>
        <x:v>4</x:v>
      </x:c>
      <x:c r="U1965" s="19" t="n">
        <x:f>L1965+IF(AND(S1965=1,J1965=1),1,0)</x:f>
        <x:v>0</x:v>
      </x:c>
      <x:c r="V1965" s="19" t="n">
        <x:f>M1965+IF(AND(S1965=1,J1965=2),1,0)</x:f>
        <x:v>2</x:v>
      </x:c>
      <x:c r="W1965" s="19" t="n">
        <x:f>SUM(T1965:V1965)</x:f>
        <x:v>6</x:v>
      </x:c>
      <x:c r="X1965" s="19" t="n">
        <x:f>W1965-G1965</x:f>
        <x:v>0</x:v>
      </x:c>
      <x:c r="Y1965" s="19" t="n">
        <x:f>MAX(T1965,1)+MAX(U1965,1)+MAX(V1965,1)</x:f>
        <x:v>7</x:v>
      </x:c>
      <x:c r="Z1965" s="21" t="str">
        <x:f>IF(AND(MIN(D1965:F1965)&gt;=0,MAX(D1965:F1965)&lt;=7,MAX(D1965,1)+MAX(E1965,1)+MAX(F1965,1)&lt;=9,OR(H1965="-",AND(H1965=0,D1965&gt;0),AND(H1965=1,E1965&gt;0),AND(H1965=2,F1965&gt;0)),OR(I1965=0,AND(I1965=1,OR(J1965=0,J1965=1,J1965=2),R1965&lt;&gt;"000")),Y1965&lt;=9,MIN(T1965:V1965)&gt;=0),"合法","输入违约")</x:f>
        <x:v>合法</x:v>
      </x:c>
    </x:row>
    <x:row r="1966" ht="23" customHeight="1">
      <x:c r="A1966" s="3" t="str">
        <x:v>CT-1959</x:v>
      </x:c>
      <x:c r="B1966" s="3" t="str">
        <x:v>ST-080</x:v>
      </x:c>
      <x:c r="C1966" s="3" t="str">
        <x:v>仅R回收</x:v>
      </x:c>
      <x:c r="D1966" s="25" t="n">
        <x:v>4</x:v>
      </x:c>
      <x:c r="E1966" s="25" t="n">
        <x:v>1</x:v>
      </x:c>
      <x:c r="F1966" s="25" t="n">
        <x:v>1</x:v>
      </x:c>
      <x:c r="G1966" s="19" t="n">
        <x:f>SUM(D1966:F1966)</x:f>
        <x:v>6</x:v>
      </x:c>
      <x:c r="H1966" s="25" t="n">
        <x:v>2</x:v>
      </x:c>
      <x:c r="I1966" s="25" t="n">
        <x:v>0</x:v>
      </x:c>
      <x:c r="J1966" s="25" t="str">
        <x:v>-</x:v>
      </x:c>
      <x:c r="K1966" s="19" t="n">
        <x:f>D1966-IF(H1966=0,1,0)</x:f>
        <x:v>4</x:v>
      </x:c>
      <x:c r="L1966" s="19" t="n">
        <x:f>E1966-IF(H1966=1,1,0)</x:f>
        <x:v>1</x:v>
      </x:c>
      <x:c r="M1966" s="19" t="n">
        <x:f>F1966-IF(H1966=2,1,0)</x:f>
        <x:v>0</x:v>
      </x:c>
      <x:c r="N1966" s="19" t="n">
        <x:f>MAX(K1966-1,0)+MAX(L1966-1,0)+MAX(M1966-1,0)</x:f>
        <x:v>3</x:v>
      </x:c>
      <x:c r="O1966" s="19" t="n">
        <x:f>IF(AND(SUM(K1966:M1966)&lt;9,OR(M1966=0,N1966&lt;6)),1,0)</x:f>
        <x:v>1</x:v>
      </x:c>
      <x:c r="P1966" s="19" t="n">
        <x:f>IF(AND(SUM(K1966:M1966)&lt;9,OR(L1966=0,N1966&lt;6)),1,0)</x:f>
        <x:v>1</x:v>
      </x:c>
      <x:c r="Q1966" s="19" t="n">
        <x:f>IF(AND(SUM(K1966:M1966)&lt;9,OR(K1966=0,N1966&lt;6)),1,0)</x:f>
        <x:v>1</x:v>
      </x:c>
      <x:c r="R1966" s="22" t="str">
        <x:f>O1966&amp;P1966&amp;Q1966</x:f>
        <x:v>111</x:v>
      </x:c>
      <x:c r="S1966" s="19" t="n">
        <x:f>IF(I1966=1,IF(J1966=0,Q1966,IF(J1966=1,P1966,IF(J1966=2,O1966,0))),0)</x:f>
        <x:v>0</x:v>
      </x:c>
      <x:c r="T1966" s="19" t="n">
        <x:f>K1966+IF(AND(S1966=1,J1966=0),1,0)</x:f>
        <x:v>4</x:v>
      </x:c>
      <x:c r="U1966" s="19" t="n">
        <x:f>L1966+IF(AND(S1966=1,J1966=1),1,0)</x:f>
        <x:v>1</x:v>
      </x:c>
      <x:c r="V1966" s="19" t="n">
        <x:f>M1966+IF(AND(S1966=1,J1966=2),1,0)</x:f>
        <x:v>0</x:v>
      </x:c>
      <x:c r="W1966" s="19" t="n">
        <x:f>SUM(T1966:V1966)</x:f>
        <x:v>5</x:v>
      </x:c>
      <x:c r="X1966" s="19" t="n">
        <x:f>W1966-G1966</x:f>
        <x:v>-1</x:v>
      </x:c>
      <x:c r="Y1966" s="19" t="n">
        <x:f>MAX(T1966,1)+MAX(U1966,1)+MAX(V1966,1)</x:f>
        <x:v>6</x:v>
      </x:c>
      <x:c r="Z1966" s="21" t="str">
        <x:f>IF(AND(MIN(D1966:F1966)&gt;=0,MAX(D1966:F1966)&lt;=7,MAX(D1966,1)+MAX(E1966,1)+MAX(F1966,1)&lt;=9,OR(H1966="-",AND(H1966=0,D1966&gt;0),AND(H1966=1,E1966&gt;0),AND(H1966=2,F1966&gt;0)),OR(I1966=0,AND(I1966=1,OR(J1966=0,J1966=1,J1966=2),R1966&lt;&gt;"000")),Y1966&lt;=9,MIN(T1966:V1966)&gt;=0),"合法","输入违约")</x:f>
        <x:v>合法</x:v>
      </x:c>
    </x:row>
    <x:row r="1967" ht="23" customHeight="1">
      <x:c r="A1967" s="3" t="str">
        <x:v>CT-1960</x:v>
      </x:c>
      <x:c r="B1967" s="3" t="str">
        <x:v>ST-080</x:v>
      </x:c>
      <x:c r="C1967" s="3" t="str">
        <x:v>R+AR同收同发</x:v>
      </x:c>
      <x:c r="D1967" s="25" t="n">
        <x:v>4</x:v>
      </x:c>
      <x:c r="E1967" s="25" t="n">
        <x:v>1</x:v>
      </x:c>
      <x:c r="F1967" s="25" t="n">
        <x:v>1</x:v>
      </x:c>
      <x:c r="G1967" s="19" t="n">
        <x:f>SUM(D1967:F1967)</x:f>
        <x:v>6</x:v>
      </x:c>
      <x:c r="H1967" s="25" t="n">
        <x:v>2</x:v>
      </x:c>
      <x:c r="I1967" s="25" t="n">
        <x:v>1</x:v>
      </x:c>
      <x:c r="J1967" s="25" t="n">
        <x:v>0</x:v>
      </x:c>
      <x:c r="K1967" s="19" t="n">
        <x:f>D1967-IF(H1967=0,1,0)</x:f>
        <x:v>4</x:v>
      </x:c>
      <x:c r="L1967" s="19" t="n">
        <x:f>E1967-IF(H1967=1,1,0)</x:f>
        <x:v>1</x:v>
      </x:c>
      <x:c r="M1967" s="19" t="n">
        <x:f>F1967-IF(H1967=2,1,0)</x:f>
        <x:v>0</x:v>
      </x:c>
      <x:c r="N1967" s="19" t="n">
        <x:f>MAX(K1967-1,0)+MAX(L1967-1,0)+MAX(M1967-1,0)</x:f>
        <x:v>3</x:v>
      </x:c>
      <x:c r="O1967" s="19" t="n">
        <x:f>IF(AND(SUM(K1967:M1967)&lt;9,OR(M1967=0,N1967&lt;6)),1,0)</x:f>
        <x:v>1</x:v>
      </x:c>
      <x:c r="P1967" s="19" t="n">
        <x:f>IF(AND(SUM(K1967:M1967)&lt;9,OR(L1967=0,N1967&lt;6)),1,0)</x:f>
        <x:v>1</x:v>
      </x:c>
      <x:c r="Q1967" s="19" t="n">
        <x:f>IF(AND(SUM(K1967:M1967)&lt;9,OR(K1967=0,N1967&lt;6)),1,0)</x:f>
        <x:v>1</x:v>
      </x:c>
      <x:c r="R1967" s="22" t="str">
        <x:f>O1967&amp;P1967&amp;Q1967</x:f>
        <x:v>111</x:v>
      </x:c>
      <x:c r="S1967" s="19" t="n">
        <x:f>IF(I1967=1,IF(J1967=0,Q1967,IF(J1967=1,P1967,IF(J1967=2,O1967,0))),0)</x:f>
        <x:v>1</x:v>
      </x:c>
      <x:c r="T1967" s="19" t="n">
        <x:f>K1967+IF(AND(S1967=1,J1967=0),1,0)</x:f>
        <x:v>5</x:v>
      </x:c>
      <x:c r="U1967" s="19" t="n">
        <x:f>L1967+IF(AND(S1967=1,J1967=1),1,0)</x:f>
        <x:v>1</x:v>
      </x:c>
      <x:c r="V1967" s="19" t="n">
        <x:f>M1967+IF(AND(S1967=1,J1967=2),1,0)</x:f>
        <x:v>0</x:v>
      </x:c>
      <x:c r="W1967" s="19" t="n">
        <x:f>SUM(T1967:V1967)</x:f>
        <x:v>6</x:v>
      </x:c>
      <x:c r="X1967" s="19" t="n">
        <x:f>W1967-G1967</x:f>
        <x:v>0</x:v>
      </x:c>
      <x:c r="Y1967" s="19" t="n">
        <x:f>MAX(T1967,1)+MAX(U1967,1)+MAX(V1967,1)</x:f>
        <x:v>7</x:v>
      </x:c>
      <x:c r="Z1967" s="21" t="str">
        <x:f>IF(AND(MIN(D1967:F1967)&gt;=0,MAX(D1967:F1967)&lt;=7,MAX(D1967,1)+MAX(E1967,1)+MAX(F1967,1)&lt;=9,OR(H1967="-",AND(H1967=0,D1967&gt;0),AND(H1967=1,E1967&gt;0),AND(H1967=2,F1967&gt;0)),OR(I1967=0,AND(I1967=1,OR(J1967=0,J1967=1,J1967=2),R1967&lt;&gt;"000")),Y1967&lt;=9,MIN(T1967:V1967)&gt;=0),"合法","输入违约")</x:f>
        <x:v>合法</x:v>
      </x:c>
    </x:row>
    <x:row r="1968" ht="23" customHeight="1">
      <x:c r="A1968" s="3" t="str">
        <x:v>CT-1961</x:v>
      </x:c>
      <x:c r="B1968" s="3" t="str">
        <x:v>ST-080</x:v>
      </x:c>
      <x:c r="C1968" s="3" t="str">
        <x:v>R+AR同收同发</x:v>
      </x:c>
      <x:c r="D1968" s="25" t="n">
        <x:v>4</x:v>
      </x:c>
      <x:c r="E1968" s="25" t="n">
        <x:v>1</x:v>
      </x:c>
      <x:c r="F1968" s="25" t="n">
        <x:v>1</x:v>
      </x:c>
      <x:c r="G1968" s="19" t="n">
        <x:f>SUM(D1968:F1968)</x:f>
        <x:v>6</x:v>
      </x:c>
      <x:c r="H1968" s="25" t="n">
        <x:v>2</x:v>
      </x:c>
      <x:c r="I1968" s="25" t="n">
        <x:v>1</x:v>
      </x:c>
      <x:c r="J1968" s="25" t="n">
        <x:v>1</x:v>
      </x:c>
      <x:c r="K1968" s="19" t="n">
        <x:f>D1968-IF(H1968=0,1,0)</x:f>
        <x:v>4</x:v>
      </x:c>
      <x:c r="L1968" s="19" t="n">
        <x:f>E1968-IF(H1968=1,1,0)</x:f>
        <x:v>1</x:v>
      </x:c>
      <x:c r="M1968" s="19" t="n">
        <x:f>F1968-IF(H1968=2,1,0)</x:f>
        <x:v>0</x:v>
      </x:c>
      <x:c r="N1968" s="19" t="n">
        <x:f>MAX(K1968-1,0)+MAX(L1968-1,0)+MAX(M1968-1,0)</x:f>
        <x:v>3</x:v>
      </x:c>
      <x:c r="O1968" s="19" t="n">
        <x:f>IF(AND(SUM(K1968:M1968)&lt;9,OR(M1968=0,N1968&lt;6)),1,0)</x:f>
        <x:v>1</x:v>
      </x:c>
      <x:c r="P1968" s="19" t="n">
        <x:f>IF(AND(SUM(K1968:M1968)&lt;9,OR(L1968=0,N1968&lt;6)),1,0)</x:f>
        <x:v>1</x:v>
      </x:c>
      <x:c r="Q1968" s="19" t="n">
        <x:f>IF(AND(SUM(K1968:M1968)&lt;9,OR(K1968=0,N1968&lt;6)),1,0)</x:f>
        <x:v>1</x:v>
      </x:c>
      <x:c r="R1968" s="22" t="str">
        <x:f>O1968&amp;P1968&amp;Q1968</x:f>
        <x:v>111</x:v>
      </x:c>
      <x:c r="S1968" s="19" t="n">
        <x:f>IF(I1968=1,IF(J1968=0,Q1968,IF(J1968=1,P1968,IF(J1968=2,O1968,0))),0)</x:f>
        <x:v>1</x:v>
      </x:c>
      <x:c r="T1968" s="19" t="n">
        <x:f>K1968+IF(AND(S1968=1,J1968=0),1,0)</x:f>
        <x:v>4</x:v>
      </x:c>
      <x:c r="U1968" s="19" t="n">
        <x:f>L1968+IF(AND(S1968=1,J1968=1),1,0)</x:f>
        <x:v>2</x:v>
      </x:c>
      <x:c r="V1968" s="19" t="n">
        <x:f>M1968+IF(AND(S1968=1,J1968=2),1,0)</x:f>
        <x:v>0</x:v>
      </x:c>
      <x:c r="W1968" s="19" t="n">
        <x:f>SUM(T1968:V1968)</x:f>
        <x:v>6</x:v>
      </x:c>
      <x:c r="X1968" s="19" t="n">
        <x:f>W1968-G1968</x:f>
        <x:v>0</x:v>
      </x:c>
      <x:c r="Y1968" s="19" t="n">
        <x:f>MAX(T1968,1)+MAX(U1968,1)+MAX(V1968,1)</x:f>
        <x:v>7</x:v>
      </x:c>
      <x:c r="Z1968" s="21" t="str">
        <x:f>IF(AND(MIN(D1968:F1968)&gt;=0,MAX(D1968:F1968)&lt;=7,MAX(D1968,1)+MAX(E1968,1)+MAX(F1968,1)&lt;=9,OR(H1968="-",AND(H1968=0,D1968&gt;0),AND(H1968=1,E1968&gt;0),AND(H1968=2,F1968&gt;0)),OR(I1968=0,AND(I1968=1,OR(J1968=0,J1968=1,J1968=2),R1968&lt;&gt;"000")),Y1968&lt;=9,MIN(T1968:V1968)&gt;=0),"合法","输入违约")</x:f>
        <x:v>合法</x:v>
      </x:c>
    </x:row>
    <x:row r="1969" ht="23" customHeight="1">
      <x:c r="A1969" s="3" t="str">
        <x:v>CT-1962</x:v>
      </x:c>
      <x:c r="B1969" s="3" t="str">
        <x:v>ST-080</x:v>
      </x:c>
      <x:c r="C1969" s="3" t="str">
        <x:v>R+AR同收同发</x:v>
      </x:c>
      <x:c r="D1969" s="25" t="n">
        <x:v>4</x:v>
      </x:c>
      <x:c r="E1969" s="25" t="n">
        <x:v>1</x:v>
      </x:c>
      <x:c r="F1969" s="25" t="n">
        <x:v>1</x:v>
      </x:c>
      <x:c r="G1969" s="19" t="n">
        <x:f>SUM(D1969:F1969)</x:f>
        <x:v>6</x:v>
      </x:c>
      <x:c r="H1969" s="25" t="n">
        <x:v>2</x:v>
      </x:c>
      <x:c r="I1969" s="25" t="n">
        <x:v>1</x:v>
      </x:c>
      <x:c r="J1969" s="25" t="n">
        <x:v>2</x:v>
      </x:c>
      <x:c r="K1969" s="19" t="n">
        <x:f>D1969-IF(H1969=0,1,0)</x:f>
        <x:v>4</x:v>
      </x:c>
      <x:c r="L1969" s="19" t="n">
        <x:f>E1969-IF(H1969=1,1,0)</x:f>
        <x:v>1</x:v>
      </x:c>
      <x:c r="M1969" s="19" t="n">
        <x:f>F1969-IF(H1969=2,1,0)</x:f>
        <x:v>0</x:v>
      </x:c>
      <x:c r="N1969" s="19" t="n">
        <x:f>MAX(K1969-1,0)+MAX(L1969-1,0)+MAX(M1969-1,0)</x:f>
        <x:v>3</x:v>
      </x:c>
      <x:c r="O1969" s="19" t="n">
        <x:f>IF(AND(SUM(K1969:M1969)&lt;9,OR(M1969=0,N1969&lt;6)),1,0)</x:f>
        <x:v>1</x:v>
      </x:c>
      <x:c r="P1969" s="19" t="n">
        <x:f>IF(AND(SUM(K1969:M1969)&lt;9,OR(L1969=0,N1969&lt;6)),1,0)</x:f>
        <x:v>1</x:v>
      </x:c>
      <x:c r="Q1969" s="19" t="n">
        <x:f>IF(AND(SUM(K1969:M1969)&lt;9,OR(K1969=0,N1969&lt;6)),1,0)</x:f>
        <x:v>1</x:v>
      </x:c>
      <x:c r="R1969" s="22" t="str">
        <x:f>O1969&amp;P1969&amp;Q1969</x:f>
        <x:v>111</x:v>
      </x:c>
      <x:c r="S1969" s="19" t="n">
        <x:f>IF(I1969=1,IF(J1969=0,Q1969,IF(J1969=1,P1969,IF(J1969=2,O1969,0))),0)</x:f>
        <x:v>1</x:v>
      </x:c>
      <x:c r="T1969" s="19" t="n">
        <x:f>K1969+IF(AND(S1969=1,J1969=0),1,0)</x:f>
        <x:v>4</x:v>
      </x:c>
      <x:c r="U1969" s="19" t="n">
        <x:f>L1969+IF(AND(S1969=1,J1969=1),1,0)</x:f>
        <x:v>1</x:v>
      </x:c>
      <x:c r="V1969" s="19" t="n">
        <x:f>M1969+IF(AND(S1969=1,J1969=2),1,0)</x:f>
        <x:v>1</x:v>
      </x:c>
      <x:c r="W1969" s="19" t="n">
        <x:f>SUM(T1969:V1969)</x:f>
        <x:v>6</x:v>
      </x:c>
      <x:c r="X1969" s="19" t="n">
        <x:f>W1969-G1969</x:f>
        <x:v>0</x:v>
      </x:c>
      <x:c r="Y1969" s="19" t="n">
        <x:f>MAX(T1969,1)+MAX(U1969,1)+MAX(V1969,1)</x:f>
        <x:v>6</x:v>
      </x:c>
      <x:c r="Z1969" s="21" t="str">
        <x:f>IF(AND(MIN(D1969:F1969)&gt;=0,MAX(D1969:F1969)&lt;=7,MAX(D1969,1)+MAX(E1969,1)+MAX(F1969,1)&lt;=9,OR(H1969="-",AND(H1969=0,D1969&gt;0),AND(H1969=1,E1969&gt;0),AND(H1969=2,F1969&gt;0)),OR(I1969=0,AND(I1969=1,OR(J1969=0,J1969=1,J1969=2),R1969&lt;&gt;"000")),Y1969&lt;=9,MIN(T1969:V1969)&gt;=0),"合法","输入违约")</x:f>
        <x:v>合法</x:v>
      </x:c>
    </x:row>
    <x:row r="1970" ht="23" customHeight="1">
      <x:c r="A1970" s="3" t="str">
        <x:v>CT-1963</x:v>
      </x:c>
      <x:c r="B1970" s="3" t="str">
        <x:v>ST-112</x:v>
      </x:c>
      <x:c r="C1970" s="3" t="str">
        <x:v>无AR/R</x:v>
      </x:c>
      <x:c r="D1970" s="25" t="n">
        <x:v>4</x:v>
      </x:c>
      <x:c r="E1970" s="25" t="n">
        <x:v>1</x:v>
      </x:c>
      <x:c r="F1970" s="25" t="n">
        <x:v>2</x:v>
      </x:c>
      <x:c r="G1970" s="19" t="n">
        <x:f>SUM(D1970:F1970)</x:f>
        <x:v>7</x:v>
      </x:c>
      <x:c r="H1970" s="25" t="str">
        <x:v>-</x:v>
      </x:c>
      <x:c r="I1970" s="25" t="n">
        <x:v>0</x:v>
      </x:c>
      <x:c r="J1970" s="25" t="str">
        <x:v>-</x:v>
      </x:c>
      <x:c r="K1970" s="19" t="n">
        <x:f>D1970-IF(H1970=0,1,0)</x:f>
        <x:v>4</x:v>
      </x:c>
      <x:c r="L1970" s="19" t="n">
        <x:f>E1970-IF(H1970=1,1,0)</x:f>
        <x:v>1</x:v>
      </x:c>
      <x:c r="M1970" s="19" t="n">
        <x:f>F1970-IF(H1970=2,1,0)</x:f>
        <x:v>2</x:v>
      </x:c>
      <x:c r="N1970" s="19" t="n">
        <x:f>MAX(K1970-1,0)+MAX(L1970-1,0)+MAX(M1970-1,0)</x:f>
        <x:v>4</x:v>
      </x:c>
      <x:c r="O1970" s="19" t="n">
        <x:f>IF(AND(SUM(K1970:M1970)&lt;9,OR(M1970=0,N1970&lt;6)),1,0)</x:f>
        <x:v>1</x:v>
      </x:c>
      <x:c r="P1970" s="19" t="n">
        <x:f>IF(AND(SUM(K1970:M1970)&lt;9,OR(L1970=0,N1970&lt;6)),1,0)</x:f>
        <x:v>1</x:v>
      </x:c>
      <x:c r="Q1970" s="19" t="n">
        <x:f>IF(AND(SUM(K1970:M1970)&lt;9,OR(K1970=0,N1970&lt;6)),1,0)</x:f>
        <x:v>1</x:v>
      </x:c>
      <x:c r="R1970" s="22" t="str">
        <x:f>O1970&amp;P1970&amp;Q1970</x:f>
        <x:v>111</x:v>
      </x:c>
      <x:c r="S1970" s="19" t="n">
        <x:f>IF(I1970=1,IF(J1970=0,Q1970,IF(J1970=1,P1970,IF(J1970=2,O1970,0))),0)</x:f>
        <x:v>0</x:v>
      </x:c>
      <x:c r="T1970" s="19" t="n">
        <x:f>K1970+IF(AND(S1970=1,J1970=0),1,0)</x:f>
        <x:v>4</x:v>
      </x:c>
      <x:c r="U1970" s="19" t="n">
        <x:f>L1970+IF(AND(S1970=1,J1970=1),1,0)</x:f>
        <x:v>1</x:v>
      </x:c>
      <x:c r="V1970" s="19" t="n">
        <x:f>M1970+IF(AND(S1970=1,J1970=2),1,0)</x:f>
        <x:v>2</x:v>
      </x:c>
      <x:c r="W1970" s="19" t="n">
        <x:f>SUM(T1970:V1970)</x:f>
        <x:v>7</x:v>
      </x:c>
      <x:c r="X1970" s="19" t="n">
        <x:f>W1970-G1970</x:f>
        <x:v>0</x:v>
      </x:c>
      <x:c r="Y1970" s="19" t="n">
        <x:f>MAX(T1970,1)+MAX(U1970,1)+MAX(V1970,1)</x:f>
        <x:v>7</x:v>
      </x:c>
      <x:c r="Z1970" s="21" t="str">
        <x:f>IF(AND(MIN(D1970:F1970)&gt;=0,MAX(D1970:F1970)&lt;=7,MAX(D1970,1)+MAX(E1970,1)+MAX(F1970,1)&lt;=9,OR(H1970="-",AND(H1970=0,D1970&gt;0),AND(H1970=1,E1970&gt;0),AND(H1970=2,F1970&gt;0)),OR(I1970=0,AND(I1970=1,OR(J1970=0,J1970=1,J1970=2),R1970&lt;&gt;"000")),Y1970&lt;=9,MIN(T1970:V1970)&gt;=0),"合法","输入违约")</x:f>
        <x:v>合法</x:v>
      </x:c>
    </x:row>
    <x:row r="1971" ht="23" customHeight="1">
      <x:c r="A1971" s="3" t="str">
        <x:v>CT-1964</x:v>
      </x:c>
      <x:c r="B1971" s="3" t="str">
        <x:v>ST-112</x:v>
      </x:c>
      <x:c r="C1971" s="3" t="str">
        <x:v>仅AR接收</x:v>
      </x:c>
      <x:c r="D1971" s="25" t="n">
        <x:v>4</x:v>
      </x:c>
      <x:c r="E1971" s="25" t="n">
        <x:v>1</x:v>
      </x:c>
      <x:c r="F1971" s="25" t="n">
        <x:v>2</x:v>
      </x:c>
      <x:c r="G1971" s="19" t="n">
        <x:f>SUM(D1971:F1971)</x:f>
        <x:v>7</x:v>
      </x:c>
      <x:c r="H1971" s="25" t="str">
        <x:v>-</x:v>
      </x:c>
      <x:c r="I1971" s="25" t="n">
        <x:v>1</x:v>
      </x:c>
      <x:c r="J1971" s="25" t="n">
        <x:v>0</x:v>
      </x:c>
      <x:c r="K1971" s="19" t="n">
        <x:f>D1971-IF(H1971=0,1,0)</x:f>
        <x:v>4</x:v>
      </x:c>
      <x:c r="L1971" s="19" t="n">
        <x:f>E1971-IF(H1971=1,1,0)</x:f>
        <x:v>1</x:v>
      </x:c>
      <x:c r="M1971" s="19" t="n">
        <x:f>F1971-IF(H1971=2,1,0)</x:f>
        <x:v>2</x:v>
      </x:c>
      <x:c r="N1971" s="19" t="n">
        <x:f>MAX(K1971-1,0)+MAX(L1971-1,0)+MAX(M1971-1,0)</x:f>
        <x:v>4</x:v>
      </x:c>
      <x:c r="O1971" s="19" t="n">
        <x:f>IF(AND(SUM(K1971:M1971)&lt;9,OR(M1971=0,N1971&lt;6)),1,0)</x:f>
        <x:v>1</x:v>
      </x:c>
      <x:c r="P1971" s="19" t="n">
        <x:f>IF(AND(SUM(K1971:M1971)&lt;9,OR(L1971=0,N1971&lt;6)),1,0)</x:f>
        <x:v>1</x:v>
      </x:c>
      <x:c r="Q1971" s="19" t="n">
        <x:f>IF(AND(SUM(K1971:M1971)&lt;9,OR(K1971=0,N1971&lt;6)),1,0)</x:f>
        <x:v>1</x:v>
      </x:c>
      <x:c r="R1971" s="22" t="str">
        <x:f>O1971&amp;P1971&amp;Q1971</x:f>
        <x:v>111</x:v>
      </x:c>
      <x:c r="S1971" s="19" t="n">
        <x:f>IF(I1971=1,IF(J1971=0,Q1971,IF(J1971=1,P1971,IF(J1971=2,O1971,0))),0)</x:f>
        <x:v>1</x:v>
      </x:c>
      <x:c r="T1971" s="19" t="n">
        <x:f>K1971+IF(AND(S1971=1,J1971=0),1,0)</x:f>
        <x:v>5</x:v>
      </x:c>
      <x:c r="U1971" s="19" t="n">
        <x:f>L1971+IF(AND(S1971=1,J1971=1),1,0)</x:f>
        <x:v>1</x:v>
      </x:c>
      <x:c r="V1971" s="19" t="n">
        <x:f>M1971+IF(AND(S1971=1,J1971=2),1,0)</x:f>
        <x:v>2</x:v>
      </x:c>
      <x:c r="W1971" s="19" t="n">
        <x:f>SUM(T1971:V1971)</x:f>
        <x:v>8</x:v>
      </x:c>
      <x:c r="X1971" s="19" t="n">
        <x:f>W1971-G1971</x:f>
        <x:v>1</x:v>
      </x:c>
      <x:c r="Y1971" s="19" t="n">
        <x:f>MAX(T1971,1)+MAX(U1971,1)+MAX(V1971,1)</x:f>
        <x:v>8</x:v>
      </x:c>
      <x:c r="Z1971" s="21" t="str">
        <x:f>IF(AND(MIN(D1971:F1971)&gt;=0,MAX(D1971:F1971)&lt;=7,MAX(D1971,1)+MAX(E1971,1)+MAX(F1971,1)&lt;=9,OR(H1971="-",AND(H1971=0,D1971&gt;0),AND(H1971=1,E1971&gt;0),AND(H1971=2,F1971&gt;0)),OR(I1971=0,AND(I1971=1,OR(J1971=0,J1971=1,J1971=2),R1971&lt;&gt;"000")),Y1971&lt;=9,MIN(T1971:V1971)&gt;=0),"合法","输入违约")</x:f>
        <x:v>合法</x:v>
      </x:c>
    </x:row>
    <x:row r="1972" ht="23" customHeight="1">
      <x:c r="A1972" s="3" t="str">
        <x:v>CT-1965</x:v>
      </x:c>
      <x:c r="B1972" s="3" t="str">
        <x:v>ST-112</x:v>
      </x:c>
      <x:c r="C1972" s="3" t="str">
        <x:v>仅AR接收</x:v>
      </x:c>
      <x:c r="D1972" s="25" t="n">
        <x:v>4</x:v>
      </x:c>
      <x:c r="E1972" s="25" t="n">
        <x:v>1</x:v>
      </x:c>
      <x:c r="F1972" s="25" t="n">
        <x:v>2</x:v>
      </x:c>
      <x:c r="G1972" s="19" t="n">
        <x:f>SUM(D1972:F1972)</x:f>
        <x:v>7</x:v>
      </x:c>
      <x:c r="H1972" s="25" t="str">
        <x:v>-</x:v>
      </x:c>
      <x:c r="I1972" s="25" t="n">
        <x:v>1</x:v>
      </x:c>
      <x:c r="J1972" s="25" t="n">
        <x:v>1</x:v>
      </x:c>
      <x:c r="K1972" s="19" t="n">
        <x:f>D1972-IF(H1972=0,1,0)</x:f>
        <x:v>4</x:v>
      </x:c>
      <x:c r="L1972" s="19" t="n">
        <x:f>E1972-IF(H1972=1,1,0)</x:f>
        <x:v>1</x:v>
      </x:c>
      <x:c r="M1972" s="19" t="n">
        <x:f>F1972-IF(H1972=2,1,0)</x:f>
        <x:v>2</x:v>
      </x:c>
      <x:c r="N1972" s="19" t="n">
        <x:f>MAX(K1972-1,0)+MAX(L1972-1,0)+MAX(M1972-1,0)</x:f>
        <x:v>4</x:v>
      </x:c>
      <x:c r="O1972" s="19" t="n">
        <x:f>IF(AND(SUM(K1972:M1972)&lt;9,OR(M1972=0,N1972&lt;6)),1,0)</x:f>
        <x:v>1</x:v>
      </x:c>
      <x:c r="P1972" s="19" t="n">
        <x:f>IF(AND(SUM(K1972:M1972)&lt;9,OR(L1972=0,N1972&lt;6)),1,0)</x:f>
        <x:v>1</x:v>
      </x:c>
      <x:c r="Q1972" s="19" t="n">
        <x:f>IF(AND(SUM(K1972:M1972)&lt;9,OR(K1972=0,N1972&lt;6)),1,0)</x:f>
        <x:v>1</x:v>
      </x:c>
      <x:c r="R1972" s="22" t="str">
        <x:f>O1972&amp;P1972&amp;Q1972</x:f>
        <x:v>111</x:v>
      </x:c>
      <x:c r="S1972" s="19" t="n">
        <x:f>IF(I1972=1,IF(J1972=0,Q1972,IF(J1972=1,P1972,IF(J1972=2,O1972,0))),0)</x:f>
        <x:v>1</x:v>
      </x:c>
      <x:c r="T1972" s="19" t="n">
        <x:f>K1972+IF(AND(S1972=1,J1972=0),1,0)</x:f>
        <x:v>4</x:v>
      </x:c>
      <x:c r="U1972" s="19" t="n">
        <x:f>L1972+IF(AND(S1972=1,J1972=1),1,0)</x:f>
        <x:v>2</x:v>
      </x:c>
      <x:c r="V1972" s="19" t="n">
        <x:f>M1972+IF(AND(S1972=1,J1972=2),1,0)</x:f>
        <x:v>2</x:v>
      </x:c>
      <x:c r="W1972" s="19" t="n">
        <x:f>SUM(T1972:V1972)</x:f>
        <x:v>8</x:v>
      </x:c>
      <x:c r="X1972" s="19" t="n">
        <x:f>W1972-G1972</x:f>
        <x:v>1</x:v>
      </x:c>
      <x:c r="Y1972" s="19" t="n">
        <x:f>MAX(T1972,1)+MAX(U1972,1)+MAX(V1972,1)</x:f>
        <x:v>8</x:v>
      </x:c>
      <x:c r="Z1972" s="21" t="str">
        <x:f>IF(AND(MIN(D1972:F1972)&gt;=0,MAX(D1972:F1972)&lt;=7,MAX(D1972,1)+MAX(E1972,1)+MAX(F1972,1)&lt;=9,OR(H1972="-",AND(H1972=0,D1972&gt;0),AND(H1972=1,E1972&gt;0),AND(H1972=2,F1972&gt;0)),OR(I1972=0,AND(I1972=1,OR(J1972=0,J1972=1,J1972=2),R1972&lt;&gt;"000")),Y1972&lt;=9,MIN(T1972:V1972)&gt;=0),"合法","输入违约")</x:f>
        <x:v>合法</x:v>
      </x:c>
    </x:row>
    <x:row r="1973" ht="23" customHeight="1">
      <x:c r="A1973" s="3" t="str">
        <x:v>CT-1966</x:v>
      </x:c>
      <x:c r="B1973" s="3" t="str">
        <x:v>ST-112</x:v>
      </x:c>
      <x:c r="C1973" s="3" t="str">
        <x:v>仅AR接收</x:v>
      </x:c>
      <x:c r="D1973" s="25" t="n">
        <x:v>4</x:v>
      </x:c>
      <x:c r="E1973" s="25" t="n">
        <x:v>1</x:v>
      </x:c>
      <x:c r="F1973" s="25" t="n">
        <x:v>2</x:v>
      </x:c>
      <x:c r="G1973" s="19" t="n">
        <x:f>SUM(D1973:F1973)</x:f>
        <x:v>7</x:v>
      </x:c>
      <x:c r="H1973" s="25" t="str">
        <x:v>-</x:v>
      </x:c>
      <x:c r="I1973" s="25" t="n">
        <x:v>1</x:v>
      </x:c>
      <x:c r="J1973" s="25" t="n">
        <x:v>2</x:v>
      </x:c>
      <x:c r="K1973" s="19" t="n">
        <x:f>D1973-IF(H1973=0,1,0)</x:f>
        <x:v>4</x:v>
      </x:c>
      <x:c r="L1973" s="19" t="n">
        <x:f>E1973-IF(H1973=1,1,0)</x:f>
        <x:v>1</x:v>
      </x:c>
      <x:c r="M1973" s="19" t="n">
        <x:f>F1973-IF(H1973=2,1,0)</x:f>
        <x:v>2</x:v>
      </x:c>
      <x:c r="N1973" s="19" t="n">
        <x:f>MAX(K1973-1,0)+MAX(L1973-1,0)+MAX(M1973-1,0)</x:f>
        <x:v>4</x:v>
      </x:c>
      <x:c r="O1973" s="19" t="n">
        <x:f>IF(AND(SUM(K1973:M1973)&lt;9,OR(M1973=0,N1973&lt;6)),1,0)</x:f>
        <x:v>1</x:v>
      </x:c>
      <x:c r="P1973" s="19" t="n">
        <x:f>IF(AND(SUM(K1973:M1973)&lt;9,OR(L1973=0,N1973&lt;6)),1,0)</x:f>
        <x:v>1</x:v>
      </x:c>
      <x:c r="Q1973" s="19" t="n">
        <x:f>IF(AND(SUM(K1973:M1973)&lt;9,OR(K1973=0,N1973&lt;6)),1,0)</x:f>
        <x:v>1</x:v>
      </x:c>
      <x:c r="R1973" s="22" t="str">
        <x:f>O1973&amp;P1973&amp;Q1973</x:f>
        <x:v>111</x:v>
      </x:c>
      <x:c r="S1973" s="19" t="n">
        <x:f>IF(I1973=1,IF(J1973=0,Q1973,IF(J1973=1,P1973,IF(J1973=2,O1973,0))),0)</x:f>
        <x:v>1</x:v>
      </x:c>
      <x:c r="T1973" s="19" t="n">
        <x:f>K1973+IF(AND(S1973=1,J1973=0),1,0)</x:f>
        <x:v>4</x:v>
      </x:c>
      <x:c r="U1973" s="19" t="n">
        <x:f>L1973+IF(AND(S1973=1,J1973=1),1,0)</x:f>
        <x:v>1</x:v>
      </x:c>
      <x:c r="V1973" s="19" t="n">
        <x:f>M1973+IF(AND(S1973=1,J1973=2),1,0)</x:f>
        <x:v>3</x:v>
      </x:c>
      <x:c r="W1973" s="19" t="n">
        <x:f>SUM(T1973:V1973)</x:f>
        <x:v>8</x:v>
      </x:c>
      <x:c r="X1973" s="19" t="n">
        <x:f>W1973-G1973</x:f>
        <x:v>1</x:v>
      </x:c>
      <x:c r="Y1973" s="19" t="n">
        <x:f>MAX(T1973,1)+MAX(U1973,1)+MAX(V1973,1)</x:f>
        <x:v>8</x:v>
      </x:c>
      <x:c r="Z1973" s="21" t="str">
        <x:f>IF(AND(MIN(D1973:F1973)&gt;=0,MAX(D1973:F1973)&lt;=7,MAX(D1973,1)+MAX(E1973,1)+MAX(F1973,1)&lt;=9,OR(H1973="-",AND(H1973=0,D1973&gt;0),AND(H1973=1,E1973&gt;0),AND(H1973=2,F1973&gt;0)),OR(I1973=0,AND(I1973=1,OR(J1973=0,J1973=1,J1973=2),R1973&lt;&gt;"000")),Y1973&lt;=9,MIN(T1973:V1973)&gt;=0),"合法","输入违约")</x:f>
        <x:v>合法</x:v>
      </x:c>
    </x:row>
    <x:row r="1974" ht="23" customHeight="1">
      <x:c r="A1974" s="3" t="str">
        <x:v>CT-1967</x:v>
      </x:c>
      <x:c r="B1974" s="3" t="str">
        <x:v>ST-112</x:v>
      </x:c>
      <x:c r="C1974" s="3" t="str">
        <x:v>仅R回收</x:v>
      </x:c>
      <x:c r="D1974" s="25" t="n">
        <x:v>4</x:v>
      </x:c>
      <x:c r="E1974" s="25" t="n">
        <x:v>1</x:v>
      </x:c>
      <x:c r="F1974" s="25" t="n">
        <x:v>2</x:v>
      </x:c>
      <x:c r="G1974" s="19" t="n">
        <x:f>SUM(D1974:F1974)</x:f>
        <x:v>7</x:v>
      </x:c>
      <x:c r="H1974" s="25" t="n">
        <x:v>0</x:v>
      </x:c>
      <x:c r="I1974" s="25" t="n">
        <x:v>0</x:v>
      </x:c>
      <x:c r="J1974" s="25" t="str">
        <x:v>-</x:v>
      </x:c>
      <x:c r="K1974" s="19" t="n">
        <x:f>D1974-IF(H1974=0,1,0)</x:f>
        <x:v>3</x:v>
      </x:c>
      <x:c r="L1974" s="19" t="n">
        <x:f>E1974-IF(H1974=1,1,0)</x:f>
        <x:v>1</x:v>
      </x:c>
      <x:c r="M1974" s="19" t="n">
        <x:f>F1974-IF(H1974=2,1,0)</x:f>
        <x:v>2</x:v>
      </x:c>
      <x:c r="N1974" s="19" t="n">
        <x:f>MAX(K1974-1,0)+MAX(L1974-1,0)+MAX(M1974-1,0)</x:f>
        <x:v>3</x:v>
      </x:c>
      <x:c r="O1974" s="19" t="n">
        <x:f>IF(AND(SUM(K1974:M1974)&lt;9,OR(M1974=0,N1974&lt;6)),1,0)</x:f>
        <x:v>1</x:v>
      </x:c>
      <x:c r="P1974" s="19" t="n">
        <x:f>IF(AND(SUM(K1974:M1974)&lt;9,OR(L1974=0,N1974&lt;6)),1,0)</x:f>
        <x:v>1</x:v>
      </x:c>
      <x:c r="Q1974" s="19" t="n">
        <x:f>IF(AND(SUM(K1974:M1974)&lt;9,OR(K1974=0,N1974&lt;6)),1,0)</x:f>
        <x:v>1</x:v>
      </x:c>
      <x:c r="R1974" s="22" t="str">
        <x:f>O1974&amp;P1974&amp;Q1974</x:f>
        <x:v>111</x:v>
      </x:c>
      <x:c r="S1974" s="19" t="n">
        <x:f>IF(I1974=1,IF(J1974=0,Q1974,IF(J1974=1,P1974,IF(J1974=2,O1974,0))),0)</x:f>
        <x:v>0</x:v>
      </x:c>
      <x:c r="T1974" s="19" t="n">
        <x:f>K1974+IF(AND(S1974=1,J1974=0),1,0)</x:f>
        <x:v>3</x:v>
      </x:c>
      <x:c r="U1974" s="19" t="n">
        <x:f>L1974+IF(AND(S1974=1,J1974=1),1,0)</x:f>
        <x:v>1</x:v>
      </x:c>
      <x:c r="V1974" s="19" t="n">
        <x:f>M1974+IF(AND(S1974=1,J1974=2),1,0)</x:f>
        <x:v>2</x:v>
      </x:c>
      <x:c r="W1974" s="19" t="n">
        <x:f>SUM(T1974:V1974)</x:f>
        <x:v>6</x:v>
      </x:c>
      <x:c r="X1974" s="19" t="n">
        <x:f>W1974-G1974</x:f>
        <x:v>-1</x:v>
      </x:c>
      <x:c r="Y1974" s="19" t="n">
        <x:f>MAX(T1974,1)+MAX(U1974,1)+MAX(V1974,1)</x:f>
        <x:v>6</x:v>
      </x:c>
      <x:c r="Z1974" s="21" t="str">
        <x:f>IF(AND(MIN(D1974:F1974)&gt;=0,MAX(D1974:F1974)&lt;=7,MAX(D1974,1)+MAX(E1974,1)+MAX(F1974,1)&lt;=9,OR(H1974="-",AND(H1974=0,D1974&gt;0),AND(H1974=1,E1974&gt;0),AND(H1974=2,F1974&gt;0)),OR(I1974=0,AND(I1974=1,OR(J1974=0,J1974=1,J1974=2),R1974&lt;&gt;"000")),Y1974&lt;=9,MIN(T1974:V1974)&gt;=0),"合法","输入违约")</x:f>
        <x:v>合法</x:v>
      </x:c>
    </x:row>
    <x:row r="1975" ht="23" customHeight="1">
      <x:c r="A1975" s="3" t="str">
        <x:v>CT-1968</x:v>
      </x:c>
      <x:c r="B1975" s="3" t="str">
        <x:v>ST-112</x:v>
      </x:c>
      <x:c r="C1975" s="3" t="str">
        <x:v>R+AR同收同发</x:v>
      </x:c>
      <x:c r="D1975" s="25" t="n">
        <x:v>4</x:v>
      </x:c>
      <x:c r="E1975" s="25" t="n">
        <x:v>1</x:v>
      </x:c>
      <x:c r="F1975" s="25" t="n">
        <x:v>2</x:v>
      </x:c>
      <x:c r="G1975" s="19" t="n">
        <x:f>SUM(D1975:F1975)</x:f>
        <x:v>7</x:v>
      </x:c>
      <x:c r="H1975" s="25" t="n">
        <x:v>0</x:v>
      </x:c>
      <x:c r="I1975" s="25" t="n">
        <x:v>1</x:v>
      </x:c>
      <x:c r="J1975" s="25" t="n">
        <x:v>0</x:v>
      </x:c>
      <x:c r="K1975" s="19" t="n">
        <x:f>D1975-IF(H1975=0,1,0)</x:f>
        <x:v>3</x:v>
      </x:c>
      <x:c r="L1975" s="19" t="n">
        <x:f>E1975-IF(H1975=1,1,0)</x:f>
        <x:v>1</x:v>
      </x:c>
      <x:c r="M1975" s="19" t="n">
        <x:f>F1975-IF(H1975=2,1,0)</x:f>
        <x:v>2</x:v>
      </x:c>
      <x:c r="N1975" s="19" t="n">
        <x:f>MAX(K1975-1,0)+MAX(L1975-1,0)+MAX(M1975-1,0)</x:f>
        <x:v>3</x:v>
      </x:c>
      <x:c r="O1975" s="19" t="n">
        <x:f>IF(AND(SUM(K1975:M1975)&lt;9,OR(M1975=0,N1975&lt;6)),1,0)</x:f>
        <x:v>1</x:v>
      </x:c>
      <x:c r="P1975" s="19" t="n">
        <x:f>IF(AND(SUM(K1975:M1975)&lt;9,OR(L1975=0,N1975&lt;6)),1,0)</x:f>
        <x:v>1</x:v>
      </x:c>
      <x:c r="Q1975" s="19" t="n">
        <x:f>IF(AND(SUM(K1975:M1975)&lt;9,OR(K1975=0,N1975&lt;6)),1,0)</x:f>
        <x:v>1</x:v>
      </x:c>
      <x:c r="R1975" s="22" t="str">
        <x:f>O1975&amp;P1975&amp;Q1975</x:f>
        <x:v>111</x:v>
      </x:c>
      <x:c r="S1975" s="19" t="n">
        <x:f>IF(I1975=1,IF(J1975=0,Q1975,IF(J1975=1,P1975,IF(J1975=2,O1975,0))),0)</x:f>
        <x:v>1</x:v>
      </x:c>
      <x:c r="T1975" s="19" t="n">
        <x:f>K1975+IF(AND(S1975=1,J1975=0),1,0)</x:f>
        <x:v>4</x:v>
      </x:c>
      <x:c r="U1975" s="19" t="n">
        <x:f>L1975+IF(AND(S1975=1,J1975=1),1,0)</x:f>
        <x:v>1</x:v>
      </x:c>
      <x:c r="V1975" s="19" t="n">
        <x:f>M1975+IF(AND(S1975=1,J1975=2),1,0)</x:f>
        <x:v>2</x:v>
      </x:c>
      <x:c r="W1975" s="19" t="n">
        <x:f>SUM(T1975:V1975)</x:f>
        <x:v>7</x:v>
      </x:c>
      <x:c r="X1975" s="19" t="n">
        <x:f>W1975-G1975</x:f>
        <x:v>0</x:v>
      </x:c>
      <x:c r="Y1975" s="19" t="n">
        <x:f>MAX(T1975,1)+MAX(U1975,1)+MAX(V1975,1)</x:f>
        <x:v>7</x:v>
      </x:c>
      <x:c r="Z1975" s="21" t="str">
        <x:f>IF(AND(MIN(D1975:F1975)&gt;=0,MAX(D1975:F1975)&lt;=7,MAX(D1975,1)+MAX(E1975,1)+MAX(F1975,1)&lt;=9,OR(H1975="-",AND(H1975=0,D1975&gt;0),AND(H1975=1,E1975&gt;0),AND(H1975=2,F1975&gt;0)),OR(I1975=0,AND(I1975=1,OR(J1975=0,J1975=1,J1975=2),R1975&lt;&gt;"000")),Y1975&lt;=9,MIN(T1975:V1975)&gt;=0),"合法","输入违约")</x:f>
        <x:v>合法</x:v>
      </x:c>
    </x:row>
    <x:row r="1976" ht="23" customHeight="1">
      <x:c r="A1976" s="3" t="str">
        <x:v>CT-1969</x:v>
      </x:c>
      <x:c r="B1976" s="3" t="str">
        <x:v>ST-112</x:v>
      </x:c>
      <x:c r="C1976" s="3" t="str">
        <x:v>R+AR同收同发</x:v>
      </x:c>
      <x:c r="D1976" s="25" t="n">
        <x:v>4</x:v>
      </x:c>
      <x:c r="E1976" s="25" t="n">
        <x:v>1</x:v>
      </x:c>
      <x:c r="F1976" s="25" t="n">
        <x:v>2</x:v>
      </x:c>
      <x:c r="G1976" s="19" t="n">
        <x:f>SUM(D1976:F1976)</x:f>
        <x:v>7</x:v>
      </x:c>
      <x:c r="H1976" s="25" t="n">
        <x:v>0</x:v>
      </x:c>
      <x:c r="I1976" s="25" t="n">
        <x:v>1</x:v>
      </x:c>
      <x:c r="J1976" s="25" t="n">
        <x:v>1</x:v>
      </x:c>
      <x:c r="K1976" s="19" t="n">
        <x:f>D1976-IF(H1976=0,1,0)</x:f>
        <x:v>3</x:v>
      </x:c>
      <x:c r="L1976" s="19" t="n">
        <x:f>E1976-IF(H1976=1,1,0)</x:f>
        <x:v>1</x:v>
      </x:c>
      <x:c r="M1976" s="19" t="n">
        <x:f>F1976-IF(H1976=2,1,0)</x:f>
        <x:v>2</x:v>
      </x:c>
      <x:c r="N1976" s="19" t="n">
        <x:f>MAX(K1976-1,0)+MAX(L1976-1,0)+MAX(M1976-1,0)</x:f>
        <x:v>3</x:v>
      </x:c>
      <x:c r="O1976" s="19" t="n">
        <x:f>IF(AND(SUM(K1976:M1976)&lt;9,OR(M1976=0,N1976&lt;6)),1,0)</x:f>
        <x:v>1</x:v>
      </x:c>
      <x:c r="P1976" s="19" t="n">
        <x:f>IF(AND(SUM(K1976:M1976)&lt;9,OR(L1976=0,N1976&lt;6)),1,0)</x:f>
        <x:v>1</x:v>
      </x:c>
      <x:c r="Q1976" s="19" t="n">
        <x:f>IF(AND(SUM(K1976:M1976)&lt;9,OR(K1976=0,N1976&lt;6)),1,0)</x:f>
        <x:v>1</x:v>
      </x:c>
      <x:c r="R1976" s="22" t="str">
        <x:f>O1976&amp;P1976&amp;Q1976</x:f>
        <x:v>111</x:v>
      </x:c>
      <x:c r="S1976" s="19" t="n">
        <x:f>IF(I1976=1,IF(J1976=0,Q1976,IF(J1976=1,P1976,IF(J1976=2,O1976,0))),0)</x:f>
        <x:v>1</x:v>
      </x:c>
      <x:c r="T1976" s="19" t="n">
        <x:f>K1976+IF(AND(S1976=1,J1976=0),1,0)</x:f>
        <x:v>3</x:v>
      </x:c>
      <x:c r="U1976" s="19" t="n">
        <x:f>L1976+IF(AND(S1976=1,J1976=1),1,0)</x:f>
        <x:v>2</x:v>
      </x:c>
      <x:c r="V1976" s="19" t="n">
        <x:f>M1976+IF(AND(S1976=1,J1976=2),1,0)</x:f>
        <x:v>2</x:v>
      </x:c>
      <x:c r="W1976" s="19" t="n">
        <x:f>SUM(T1976:V1976)</x:f>
        <x:v>7</x:v>
      </x:c>
      <x:c r="X1976" s="19" t="n">
        <x:f>W1976-G1976</x:f>
        <x:v>0</x:v>
      </x:c>
      <x:c r="Y1976" s="19" t="n">
        <x:f>MAX(T1976,1)+MAX(U1976,1)+MAX(V1976,1)</x:f>
        <x:v>7</x:v>
      </x:c>
      <x:c r="Z1976" s="21" t="str">
        <x:f>IF(AND(MIN(D1976:F1976)&gt;=0,MAX(D1976:F1976)&lt;=7,MAX(D1976,1)+MAX(E1976,1)+MAX(F1976,1)&lt;=9,OR(H1976="-",AND(H1976=0,D1976&gt;0),AND(H1976=1,E1976&gt;0),AND(H1976=2,F1976&gt;0)),OR(I1976=0,AND(I1976=1,OR(J1976=0,J1976=1,J1976=2),R1976&lt;&gt;"000")),Y1976&lt;=9,MIN(T1976:V1976)&gt;=0),"合法","输入违约")</x:f>
        <x:v>合法</x:v>
      </x:c>
    </x:row>
    <x:row r="1977" ht="23" customHeight="1">
      <x:c r="A1977" s="3" t="str">
        <x:v>CT-1970</x:v>
      </x:c>
      <x:c r="B1977" s="3" t="str">
        <x:v>ST-112</x:v>
      </x:c>
      <x:c r="C1977" s="3" t="str">
        <x:v>R+AR同收同发</x:v>
      </x:c>
      <x:c r="D1977" s="25" t="n">
        <x:v>4</x:v>
      </x:c>
      <x:c r="E1977" s="25" t="n">
        <x:v>1</x:v>
      </x:c>
      <x:c r="F1977" s="25" t="n">
        <x:v>2</x:v>
      </x:c>
      <x:c r="G1977" s="19" t="n">
        <x:f>SUM(D1977:F1977)</x:f>
        <x:v>7</x:v>
      </x:c>
      <x:c r="H1977" s="25" t="n">
        <x:v>0</x:v>
      </x:c>
      <x:c r="I1977" s="25" t="n">
        <x:v>1</x:v>
      </x:c>
      <x:c r="J1977" s="25" t="n">
        <x:v>2</x:v>
      </x:c>
      <x:c r="K1977" s="19" t="n">
        <x:f>D1977-IF(H1977=0,1,0)</x:f>
        <x:v>3</x:v>
      </x:c>
      <x:c r="L1977" s="19" t="n">
        <x:f>E1977-IF(H1977=1,1,0)</x:f>
        <x:v>1</x:v>
      </x:c>
      <x:c r="M1977" s="19" t="n">
        <x:f>F1977-IF(H1977=2,1,0)</x:f>
        <x:v>2</x:v>
      </x:c>
      <x:c r="N1977" s="19" t="n">
        <x:f>MAX(K1977-1,0)+MAX(L1977-1,0)+MAX(M1977-1,0)</x:f>
        <x:v>3</x:v>
      </x:c>
      <x:c r="O1977" s="19" t="n">
        <x:f>IF(AND(SUM(K1977:M1977)&lt;9,OR(M1977=0,N1977&lt;6)),1,0)</x:f>
        <x:v>1</x:v>
      </x:c>
      <x:c r="P1977" s="19" t="n">
        <x:f>IF(AND(SUM(K1977:M1977)&lt;9,OR(L1977=0,N1977&lt;6)),1,0)</x:f>
        <x:v>1</x:v>
      </x:c>
      <x:c r="Q1977" s="19" t="n">
        <x:f>IF(AND(SUM(K1977:M1977)&lt;9,OR(K1977=0,N1977&lt;6)),1,0)</x:f>
        <x:v>1</x:v>
      </x:c>
      <x:c r="R1977" s="22" t="str">
        <x:f>O1977&amp;P1977&amp;Q1977</x:f>
        <x:v>111</x:v>
      </x:c>
      <x:c r="S1977" s="19" t="n">
        <x:f>IF(I1977=1,IF(J1977=0,Q1977,IF(J1977=1,P1977,IF(J1977=2,O1977,0))),0)</x:f>
        <x:v>1</x:v>
      </x:c>
      <x:c r="T1977" s="19" t="n">
        <x:f>K1977+IF(AND(S1977=1,J1977=0),1,0)</x:f>
        <x:v>3</x:v>
      </x:c>
      <x:c r="U1977" s="19" t="n">
        <x:f>L1977+IF(AND(S1977=1,J1977=1),1,0)</x:f>
        <x:v>1</x:v>
      </x:c>
      <x:c r="V1977" s="19" t="n">
        <x:f>M1977+IF(AND(S1977=1,J1977=2),1,0)</x:f>
        <x:v>3</x:v>
      </x:c>
      <x:c r="W1977" s="19" t="n">
        <x:f>SUM(T1977:V1977)</x:f>
        <x:v>7</x:v>
      </x:c>
      <x:c r="X1977" s="19" t="n">
        <x:f>W1977-G1977</x:f>
        <x:v>0</x:v>
      </x:c>
      <x:c r="Y1977" s="19" t="n">
        <x:f>MAX(T1977,1)+MAX(U1977,1)+MAX(V1977,1)</x:f>
        <x:v>7</x:v>
      </x:c>
      <x:c r="Z1977" s="21" t="str">
        <x:f>IF(AND(MIN(D1977:F1977)&gt;=0,MAX(D1977:F1977)&lt;=7,MAX(D1977,1)+MAX(E1977,1)+MAX(F1977,1)&lt;=9,OR(H1977="-",AND(H1977=0,D1977&gt;0),AND(H1977=1,E1977&gt;0),AND(H1977=2,F1977&gt;0)),OR(I1977=0,AND(I1977=1,OR(J1977=0,J1977=1,J1977=2),R1977&lt;&gt;"000")),Y1977&lt;=9,MIN(T1977:V1977)&gt;=0),"合法","输入违约")</x:f>
        <x:v>合法</x:v>
      </x:c>
    </x:row>
    <x:row r="1978" ht="23" customHeight="1">
      <x:c r="A1978" s="3" t="str">
        <x:v>CT-1971</x:v>
      </x:c>
      <x:c r="B1978" s="3" t="str">
        <x:v>ST-112</x:v>
      </x:c>
      <x:c r="C1978" s="3" t="str">
        <x:v>仅R回收</x:v>
      </x:c>
      <x:c r="D1978" s="25" t="n">
        <x:v>4</x:v>
      </x:c>
      <x:c r="E1978" s="25" t="n">
        <x:v>1</x:v>
      </x:c>
      <x:c r="F1978" s="25" t="n">
        <x:v>2</x:v>
      </x:c>
      <x:c r="G1978" s="19" t="n">
        <x:f>SUM(D1978:F1978)</x:f>
        <x:v>7</x:v>
      </x:c>
      <x:c r="H1978" s="25" t="n">
        <x:v>1</x:v>
      </x:c>
      <x:c r="I1978" s="25" t="n">
        <x:v>0</x:v>
      </x:c>
      <x:c r="J1978" s="25" t="str">
        <x:v>-</x:v>
      </x:c>
      <x:c r="K1978" s="19" t="n">
        <x:f>D1978-IF(H1978=0,1,0)</x:f>
        <x:v>4</x:v>
      </x:c>
      <x:c r="L1978" s="19" t="n">
        <x:f>E1978-IF(H1978=1,1,0)</x:f>
        <x:v>0</x:v>
      </x:c>
      <x:c r="M1978" s="19" t="n">
        <x:f>F1978-IF(H1978=2,1,0)</x:f>
        <x:v>2</x:v>
      </x:c>
      <x:c r="N1978" s="19" t="n">
        <x:f>MAX(K1978-1,0)+MAX(L1978-1,0)+MAX(M1978-1,0)</x:f>
        <x:v>4</x:v>
      </x:c>
      <x:c r="O1978" s="19" t="n">
        <x:f>IF(AND(SUM(K1978:M1978)&lt;9,OR(M1978=0,N1978&lt;6)),1,0)</x:f>
        <x:v>1</x:v>
      </x:c>
      <x:c r="P1978" s="19" t="n">
        <x:f>IF(AND(SUM(K1978:M1978)&lt;9,OR(L1978=0,N1978&lt;6)),1,0)</x:f>
        <x:v>1</x:v>
      </x:c>
      <x:c r="Q1978" s="19" t="n">
        <x:f>IF(AND(SUM(K1978:M1978)&lt;9,OR(K1978=0,N1978&lt;6)),1,0)</x:f>
        <x:v>1</x:v>
      </x:c>
      <x:c r="R1978" s="22" t="str">
        <x:f>O1978&amp;P1978&amp;Q1978</x:f>
        <x:v>111</x:v>
      </x:c>
      <x:c r="S1978" s="19" t="n">
        <x:f>IF(I1978=1,IF(J1978=0,Q1978,IF(J1978=1,P1978,IF(J1978=2,O1978,0))),0)</x:f>
        <x:v>0</x:v>
      </x:c>
      <x:c r="T1978" s="19" t="n">
        <x:f>K1978+IF(AND(S1978=1,J1978=0),1,0)</x:f>
        <x:v>4</x:v>
      </x:c>
      <x:c r="U1978" s="19" t="n">
        <x:f>L1978+IF(AND(S1978=1,J1978=1),1,0)</x:f>
        <x:v>0</x:v>
      </x:c>
      <x:c r="V1978" s="19" t="n">
        <x:f>M1978+IF(AND(S1978=1,J1978=2),1,0)</x:f>
        <x:v>2</x:v>
      </x:c>
      <x:c r="W1978" s="19" t="n">
        <x:f>SUM(T1978:V1978)</x:f>
        <x:v>6</x:v>
      </x:c>
      <x:c r="X1978" s="19" t="n">
        <x:f>W1978-G1978</x:f>
        <x:v>-1</x:v>
      </x:c>
      <x:c r="Y1978" s="19" t="n">
        <x:f>MAX(T1978,1)+MAX(U1978,1)+MAX(V1978,1)</x:f>
        <x:v>7</x:v>
      </x:c>
      <x:c r="Z1978" s="21" t="str">
        <x:f>IF(AND(MIN(D1978:F1978)&gt;=0,MAX(D1978:F1978)&lt;=7,MAX(D1978,1)+MAX(E1978,1)+MAX(F1978,1)&lt;=9,OR(H1978="-",AND(H1978=0,D1978&gt;0),AND(H1978=1,E1978&gt;0),AND(H1978=2,F1978&gt;0)),OR(I1978=0,AND(I1978=1,OR(J1978=0,J1978=1,J1978=2),R1978&lt;&gt;"000")),Y1978&lt;=9,MIN(T1978:V1978)&gt;=0),"合法","输入违约")</x:f>
        <x:v>合法</x:v>
      </x:c>
    </x:row>
    <x:row r="1979" ht="23" customHeight="1">
      <x:c r="A1979" s="3" t="str">
        <x:v>CT-1972</x:v>
      </x:c>
      <x:c r="B1979" s="3" t="str">
        <x:v>ST-112</x:v>
      </x:c>
      <x:c r="C1979" s="3" t="str">
        <x:v>R+AR同收同发</x:v>
      </x:c>
      <x:c r="D1979" s="25" t="n">
        <x:v>4</x:v>
      </x:c>
      <x:c r="E1979" s="25" t="n">
        <x:v>1</x:v>
      </x:c>
      <x:c r="F1979" s="25" t="n">
        <x:v>2</x:v>
      </x:c>
      <x:c r="G1979" s="19" t="n">
        <x:f>SUM(D1979:F1979)</x:f>
        <x:v>7</x:v>
      </x:c>
      <x:c r="H1979" s="25" t="n">
        <x:v>1</x:v>
      </x:c>
      <x:c r="I1979" s="25" t="n">
        <x:v>1</x:v>
      </x:c>
      <x:c r="J1979" s="25" t="n">
        <x:v>0</x:v>
      </x:c>
      <x:c r="K1979" s="19" t="n">
        <x:f>D1979-IF(H1979=0,1,0)</x:f>
        <x:v>4</x:v>
      </x:c>
      <x:c r="L1979" s="19" t="n">
        <x:f>E1979-IF(H1979=1,1,0)</x:f>
        <x:v>0</x:v>
      </x:c>
      <x:c r="M1979" s="19" t="n">
        <x:f>F1979-IF(H1979=2,1,0)</x:f>
        <x:v>2</x:v>
      </x:c>
      <x:c r="N1979" s="19" t="n">
        <x:f>MAX(K1979-1,0)+MAX(L1979-1,0)+MAX(M1979-1,0)</x:f>
        <x:v>4</x:v>
      </x:c>
      <x:c r="O1979" s="19" t="n">
        <x:f>IF(AND(SUM(K1979:M1979)&lt;9,OR(M1979=0,N1979&lt;6)),1,0)</x:f>
        <x:v>1</x:v>
      </x:c>
      <x:c r="P1979" s="19" t="n">
        <x:f>IF(AND(SUM(K1979:M1979)&lt;9,OR(L1979=0,N1979&lt;6)),1,0)</x:f>
        <x:v>1</x:v>
      </x:c>
      <x:c r="Q1979" s="19" t="n">
        <x:f>IF(AND(SUM(K1979:M1979)&lt;9,OR(K1979=0,N1979&lt;6)),1,0)</x:f>
        <x:v>1</x:v>
      </x:c>
      <x:c r="R1979" s="22" t="str">
        <x:f>O1979&amp;P1979&amp;Q1979</x:f>
        <x:v>111</x:v>
      </x:c>
      <x:c r="S1979" s="19" t="n">
        <x:f>IF(I1979=1,IF(J1979=0,Q1979,IF(J1979=1,P1979,IF(J1979=2,O1979,0))),0)</x:f>
        <x:v>1</x:v>
      </x:c>
      <x:c r="T1979" s="19" t="n">
        <x:f>K1979+IF(AND(S1979=1,J1979=0),1,0)</x:f>
        <x:v>5</x:v>
      </x:c>
      <x:c r="U1979" s="19" t="n">
        <x:f>L1979+IF(AND(S1979=1,J1979=1),1,0)</x:f>
        <x:v>0</x:v>
      </x:c>
      <x:c r="V1979" s="19" t="n">
        <x:f>M1979+IF(AND(S1979=1,J1979=2),1,0)</x:f>
        <x:v>2</x:v>
      </x:c>
      <x:c r="W1979" s="19" t="n">
        <x:f>SUM(T1979:V1979)</x:f>
        <x:v>7</x:v>
      </x:c>
      <x:c r="X1979" s="19" t="n">
        <x:f>W1979-G1979</x:f>
        <x:v>0</x:v>
      </x:c>
      <x:c r="Y1979" s="19" t="n">
        <x:f>MAX(T1979,1)+MAX(U1979,1)+MAX(V1979,1)</x:f>
        <x:v>8</x:v>
      </x:c>
      <x:c r="Z1979" s="21" t="str">
        <x:f>IF(AND(MIN(D1979:F1979)&gt;=0,MAX(D1979:F1979)&lt;=7,MAX(D1979,1)+MAX(E1979,1)+MAX(F1979,1)&lt;=9,OR(H1979="-",AND(H1979=0,D1979&gt;0),AND(H1979=1,E1979&gt;0),AND(H1979=2,F1979&gt;0)),OR(I1979=0,AND(I1979=1,OR(J1979=0,J1979=1,J1979=2),R1979&lt;&gt;"000")),Y1979&lt;=9,MIN(T1979:V1979)&gt;=0),"合法","输入违约")</x:f>
        <x:v>合法</x:v>
      </x:c>
    </x:row>
    <x:row r="1980" ht="23" customHeight="1">
      <x:c r="A1980" s="3" t="str">
        <x:v>CT-1973</x:v>
      </x:c>
      <x:c r="B1980" s="3" t="str">
        <x:v>ST-112</x:v>
      </x:c>
      <x:c r="C1980" s="3" t="str">
        <x:v>R+AR同收同发</x:v>
      </x:c>
      <x:c r="D1980" s="25" t="n">
        <x:v>4</x:v>
      </x:c>
      <x:c r="E1980" s="25" t="n">
        <x:v>1</x:v>
      </x:c>
      <x:c r="F1980" s="25" t="n">
        <x:v>2</x:v>
      </x:c>
      <x:c r="G1980" s="19" t="n">
        <x:f>SUM(D1980:F1980)</x:f>
        <x:v>7</x:v>
      </x:c>
      <x:c r="H1980" s="25" t="n">
        <x:v>1</x:v>
      </x:c>
      <x:c r="I1980" s="25" t="n">
        <x:v>1</x:v>
      </x:c>
      <x:c r="J1980" s="25" t="n">
        <x:v>1</x:v>
      </x:c>
      <x:c r="K1980" s="19" t="n">
        <x:f>D1980-IF(H1980=0,1,0)</x:f>
        <x:v>4</x:v>
      </x:c>
      <x:c r="L1980" s="19" t="n">
        <x:f>E1980-IF(H1980=1,1,0)</x:f>
        <x:v>0</x:v>
      </x:c>
      <x:c r="M1980" s="19" t="n">
        <x:f>F1980-IF(H1980=2,1,0)</x:f>
        <x:v>2</x:v>
      </x:c>
      <x:c r="N1980" s="19" t="n">
        <x:f>MAX(K1980-1,0)+MAX(L1980-1,0)+MAX(M1980-1,0)</x:f>
        <x:v>4</x:v>
      </x:c>
      <x:c r="O1980" s="19" t="n">
        <x:f>IF(AND(SUM(K1980:M1980)&lt;9,OR(M1980=0,N1980&lt;6)),1,0)</x:f>
        <x:v>1</x:v>
      </x:c>
      <x:c r="P1980" s="19" t="n">
        <x:f>IF(AND(SUM(K1980:M1980)&lt;9,OR(L1980=0,N1980&lt;6)),1,0)</x:f>
        <x:v>1</x:v>
      </x:c>
      <x:c r="Q1980" s="19" t="n">
        <x:f>IF(AND(SUM(K1980:M1980)&lt;9,OR(K1980=0,N1980&lt;6)),1,0)</x:f>
        <x:v>1</x:v>
      </x:c>
      <x:c r="R1980" s="22" t="str">
        <x:f>O1980&amp;P1980&amp;Q1980</x:f>
        <x:v>111</x:v>
      </x:c>
      <x:c r="S1980" s="19" t="n">
        <x:f>IF(I1980=1,IF(J1980=0,Q1980,IF(J1980=1,P1980,IF(J1980=2,O1980,0))),0)</x:f>
        <x:v>1</x:v>
      </x:c>
      <x:c r="T1980" s="19" t="n">
        <x:f>K1980+IF(AND(S1980=1,J1980=0),1,0)</x:f>
        <x:v>4</x:v>
      </x:c>
      <x:c r="U1980" s="19" t="n">
        <x:f>L1980+IF(AND(S1980=1,J1980=1),1,0)</x:f>
        <x:v>1</x:v>
      </x:c>
      <x:c r="V1980" s="19" t="n">
        <x:f>M1980+IF(AND(S1980=1,J1980=2),1,0)</x:f>
        <x:v>2</x:v>
      </x:c>
      <x:c r="W1980" s="19" t="n">
        <x:f>SUM(T1980:V1980)</x:f>
        <x:v>7</x:v>
      </x:c>
      <x:c r="X1980" s="19" t="n">
        <x:f>W1980-G1980</x:f>
        <x:v>0</x:v>
      </x:c>
      <x:c r="Y1980" s="19" t="n">
        <x:f>MAX(T1980,1)+MAX(U1980,1)+MAX(V1980,1)</x:f>
        <x:v>7</x:v>
      </x:c>
      <x:c r="Z1980" s="21" t="str">
        <x:f>IF(AND(MIN(D1980:F1980)&gt;=0,MAX(D1980:F1980)&lt;=7,MAX(D1980,1)+MAX(E1980,1)+MAX(F1980,1)&lt;=9,OR(H1980="-",AND(H1980=0,D1980&gt;0),AND(H1980=1,E1980&gt;0),AND(H1980=2,F1980&gt;0)),OR(I1980=0,AND(I1980=1,OR(J1980=0,J1980=1,J1980=2),R1980&lt;&gt;"000")),Y1980&lt;=9,MIN(T1980:V1980)&gt;=0),"合法","输入违约")</x:f>
        <x:v>合法</x:v>
      </x:c>
    </x:row>
    <x:row r="1981" ht="23" customHeight="1">
      <x:c r="A1981" s="3" t="str">
        <x:v>CT-1974</x:v>
      </x:c>
      <x:c r="B1981" s="3" t="str">
        <x:v>ST-112</x:v>
      </x:c>
      <x:c r="C1981" s="3" t="str">
        <x:v>R+AR同收同发</x:v>
      </x:c>
      <x:c r="D1981" s="25" t="n">
        <x:v>4</x:v>
      </x:c>
      <x:c r="E1981" s="25" t="n">
        <x:v>1</x:v>
      </x:c>
      <x:c r="F1981" s="25" t="n">
        <x:v>2</x:v>
      </x:c>
      <x:c r="G1981" s="19" t="n">
        <x:f>SUM(D1981:F1981)</x:f>
        <x:v>7</x:v>
      </x:c>
      <x:c r="H1981" s="25" t="n">
        <x:v>1</x:v>
      </x:c>
      <x:c r="I1981" s="25" t="n">
        <x:v>1</x:v>
      </x:c>
      <x:c r="J1981" s="25" t="n">
        <x:v>2</x:v>
      </x:c>
      <x:c r="K1981" s="19" t="n">
        <x:f>D1981-IF(H1981=0,1,0)</x:f>
        <x:v>4</x:v>
      </x:c>
      <x:c r="L1981" s="19" t="n">
        <x:f>E1981-IF(H1981=1,1,0)</x:f>
        <x:v>0</x:v>
      </x:c>
      <x:c r="M1981" s="19" t="n">
        <x:f>F1981-IF(H1981=2,1,0)</x:f>
        <x:v>2</x:v>
      </x:c>
      <x:c r="N1981" s="19" t="n">
        <x:f>MAX(K1981-1,0)+MAX(L1981-1,0)+MAX(M1981-1,0)</x:f>
        <x:v>4</x:v>
      </x:c>
      <x:c r="O1981" s="19" t="n">
        <x:f>IF(AND(SUM(K1981:M1981)&lt;9,OR(M1981=0,N1981&lt;6)),1,0)</x:f>
        <x:v>1</x:v>
      </x:c>
      <x:c r="P1981" s="19" t="n">
        <x:f>IF(AND(SUM(K1981:M1981)&lt;9,OR(L1981=0,N1981&lt;6)),1,0)</x:f>
        <x:v>1</x:v>
      </x:c>
      <x:c r="Q1981" s="19" t="n">
        <x:f>IF(AND(SUM(K1981:M1981)&lt;9,OR(K1981=0,N1981&lt;6)),1,0)</x:f>
        <x:v>1</x:v>
      </x:c>
      <x:c r="R1981" s="22" t="str">
        <x:f>O1981&amp;P1981&amp;Q1981</x:f>
        <x:v>111</x:v>
      </x:c>
      <x:c r="S1981" s="19" t="n">
        <x:f>IF(I1981=1,IF(J1981=0,Q1981,IF(J1981=1,P1981,IF(J1981=2,O1981,0))),0)</x:f>
        <x:v>1</x:v>
      </x:c>
      <x:c r="T1981" s="19" t="n">
        <x:f>K1981+IF(AND(S1981=1,J1981=0),1,0)</x:f>
        <x:v>4</x:v>
      </x:c>
      <x:c r="U1981" s="19" t="n">
        <x:f>L1981+IF(AND(S1981=1,J1981=1),1,0)</x:f>
        <x:v>0</x:v>
      </x:c>
      <x:c r="V1981" s="19" t="n">
        <x:f>M1981+IF(AND(S1981=1,J1981=2),1,0)</x:f>
        <x:v>3</x:v>
      </x:c>
      <x:c r="W1981" s="19" t="n">
        <x:f>SUM(T1981:V1981)</x:f>
        <x:v>7</x:v>
      </x:c>
      <x:c r="X1981" s="19" t="n">
        <x:f>W1981-G1981</x:f>
        <x:v>0</x:v>
      </x:c>
      <x:c r="Y1981" s="19" t="n">
        <x:f>MAX(T1981,1)+MAX(U1981,1)+MAX(V1981,1)</x:f>
        <x:v>8</x:v>
      </x:c>
      <x:c r="Z1981" s="21" t="str">
        <x:f>IF(AND(MIN(D1981:F1981)&gt;=0,MAX(D1981:F1981)&lt;=7,MAX(D1981,1)+MAX(E1981,1)+MAX(F1981,1)&lt;=9,OR(H1981="-",AND(H1981=0,D1981&gt;0),AND(H1981=1,E1981&gt;0),AND(H1981=2,F1981&gt;0)),OR(I1981=0,AND(I1981=1,OR(J1981=0,J1981=1,J1981=2),R1981&lt;&gt;"000")),Y1981&lt;=9,MIN(T1981:V1981)&gt;=0),"合法","输入违约")</x:f>
        <x:v>合法</x:v>
      </x:c>
    </x:row>
    <x:row r="1982" ht="23" customHeight="1">
      <x:c r="A1982" s="3" t="str">
        <x:v>CT-1975</x:v>
      </x:c>
      <x:c r="B1982" s="3" t="str">
        <x:v>ST-112</x:v>
      </x:c>
      <x:c r="C1982" s="3" t="str">
        <x:v>仅R回收</x:v>
      </x:c>
      <x:c r="D1982" s="25" t="n">
        <x:v>4</x:v>
      </x:c>
      <x:c r="E1982" s="25" t="n">
        <x:v>1</x:v>
      </x:c>
      <x:c r="F1982" s="25" t="n">
        <x:v>2</x:v>
      </x:c>
      <x:c r="G1982" s="19" t="n">
        <x:f>SUM(D1982:F1982)</x:f>
        <x:v>7</x:v>
      </x:c>
      <x:c r="H1982" s="25" t="n">
        <x:v>2</x:v>
      </x:c>
      <x:c r="I1982" s="25" t="n">
        <x:v>0</x:v>
      </x:c>
      <x:c r="J1982" s="25" t="str">
        <x:v>-</x:v>
      </x:c>
      <x:c r="K1982" s="19" t="n">
        <x:f>D1982-IF(H1982=0,1,0)</x:f>
        <x:v>4</x:v>
      </x:c>
      <x:c r="L1982" s="19" t="n">
        <x:f>E1982-IF(H1982=1,1,0)</x:f>
        <x:v>1</x:v>
      </x:c>
      <x:c r="M1982" s="19" t="n">
        <x:f>F1982-IF(H1982=2,1,0)</x:f>
        <x:v>1</x:v>
      </x:c>
      <x:c r="N1982" s="19" t="n">
        <x:f>MAX(K1982-1,0)+MAX(L1982-1,0)+MAX(M1982-1,0)</x:f>
        <x:v>3</x:v>
      </x:c>
      <x:c r="O1982" s="19" t="n">
        <x:f>IF(AND(SUM(K1982:M1982)&lt;9,OR(M1982=0,N1982&lt;6)),1,0)</x:f>
        <x:v>1</x:v>
      </x:c>
      <x:c r="P1982" s="19" t="n">
        <x:f>IF(AND(SUM(K1982:M1982)&lt;9,OR(L1982=0,N1982&lt;6)),1,0)</x:f>
        <x:v>1</x:v>
      </x:c>
      <x:c r="Q1982" s="19" t="n">
        <x:f>IF(AND(SUM(K1982:M1982)&lt;9,OR(K1982=0,N1982&lt;6)),1,0)</x:f>
        <x:v>1</x:v>
      </x:c>
      <x:c r="R1982" s="22" t="str">
        <x:f>O1982&amp;P1982&amp;Q1982</x:f>
        <x:v>111</x:v>
      </x:c>
      <x:c r="S1982" s="19" t="n">
        <x:f>IF(I1982=1,IF(J1982=0,Q1982,IF(J1982=1,P1982,IF(J1982=2,O1982,0))),0)</x:f>
        <x:v>0</x:v>
      </x:c>
      <x:c r="T1982" s="19" t="n">
        <x:f>K1982+IF(AND(S1982=1,J1982=0),1,0)</x:f>
        <x:v>4</x:v>
      </x:c>
      <x:c r="U1982" s="19" t="n">
        <x:f>L1982+IF(AND(S1982=1,J1982=1),1,0)</x:f>
        <x:v>1</x:v>
      </x:c>
      <x:c r="V1982" s="19" t="n">
        <x:f>M1982+IF(AND(S1982=1,J1982=2),1,0)</x:f>
        <x:v>1</x:v>
      </x:c>
      <x:c r="W1982" s="19" t="n">
        <x:f>SUM(T1982:V1982)</x:f>
        <x:v>6</x:v>
      </x:c>
      <x:c r="X1982" s="19" t="n">
        <x:f>W1982-G1982</x:f>
        <x:v>-1</x:v>
      </x:c>
      <x:c r="Y1982" s="19" t="n">
        <x:f>MAX(T1982,1)+MAX(U1982,1)+MAX(V1982,1)</x:f>
        <x:v>6</x:v>
      </x:c>
      <x:c r="Z1982" s="21" t="str">
        <x:f>IF(AND(MIN(D1982:F1982)&gt;=0,MAX(D1982:F1982)&lt;=7,MAX(D1982,1)+MAX(E1982,1)+MAX(F1982,1)&lt;=9,OR(H1982="-",AND(H1982=0,D1982&gt;0),AND(H1982=1,E1982&gt;0),AND(H1982=2,F1982&gt;0)),OR(I1982=0,AND(I1982=1,OR(J1982=0,J1982=1,J1982=2),R1982&lt;&gt;"000")),Y1982&lt;=9,MIN(T1982:V1982)&gt;=0),"合法","输入违约")</x:f>
        <x:v>合法</x:v>
      </x:c>
    </x:row>
    <x:row r="1983" ht="23" customHeight="1">
      <x:c r="A1983" s="3" t="str">
        <x:v>CT-1976</x:v>
      </x:c>
      <x:c r="B1983" s="3" t="str">
        <x:v>ST-112</x:v>
      </x:c>
      <x:c r="C1983" s="3" t="str">
        <x:v>R+AR同收同发</x:v>
      </x:c>
      <x:c r="D1983" s="25" t="n">
        <x:v>4</x:v>
      </x:c>
      <x:c r="E1983" s="25" t="n">
        <x:v>1</x:v>
      </x:c>
      <x:c r="F1983" s="25" t="n">
        <x:v>2</x:v>
      </x:c>
      <x:c r="G1983" s="19" t="n">
        <x:f>SUM(D1983:F1983)</x:f>
        <x:v>7</x:v>
      </x:c>
      <x:c r="H1983" s="25" t="n">
        <x:v>2</x:v>
      </x:c>
      <x:c r="I1983" s="25" t="n">
        <x:v>1</x:v>
      </x:c>
      <x:c r="J1983" s="25" t="n">
        <x:v>0</x:v>
      </x:c>
      <x:c r="K1983" s="19" t="n">
        <x:f>D1983-IF(H1983=0,1,0)</x:f>
        <x:v>4</x:v>
      </x:c>
      <x:c r="L1983" s="19" t="n">
        <x:f>E1983-IF(H1983=1,1,0)</x:f>
        <x:v>1</x:v>
      </x:c>
      <x:c r="M1983" s="19" t="n">
        <x:f>F1983-IF(H1983=2,1,0)</x:f>
        <x:v>1</x:v>
      </x:c>
      <x:c r="N1983" s="19" t="n">
        <x:f>MAX(K1983-1,0)+MAX(L1983-1,0)+MAX(M1983-1,0)</x:f>
        <x:v>3</x:v>
      </x:c>
      <x:c r="O1983" s="19" t="n">
        <x:f>IF(AND(SUM(K1983:M1983)&lt;9,OR(M1983=0,N1983&lt;6)),1,0)</x:f>
        <x:v>1</x:v>
      </x:c>
      <x:c r="P1983" s="19" t="n">
        <x:f>IF(AND(SUM(K1983:M1983)&lt;9,OR(L1983=0,N1983&lt;6)),1,0)</x:f>
        <x:v>1</x:v>
      </x:c>
      <x:c r="Q1983" s="19" t="n">
        <x:f>IF(AND(SUM(K1983:M1983)&lt;9,OR(K1983=0,N1983&lt;6)),1,0)</x:f>
        <x:v>1</x:v>
      </x:c>
      <x:c r="R1983" s="22" t="str">
        <x:f>O1983&amp;P1983&amp;Q1983</x:f>
        <x:v>111</x:v>
      </x:c>
      <x:c r="S1983" s="19" t="n">
        <x:f>IF(I1983=1,IF(J1983=0,Q1983,IF(J1983=1,P1983,IF(J1983=2,O1983,0))),0)</x:f>
        <x:v>1</x:v>
      </x:c>
      <x:c r="T1983" s="19" t="n">
        <x:f>K1983+IF(AND(S1983=1,J1983=0),1,0)</x:f>
        <x:v>5</x:v>
      </x:c>
      <x:c r="U1983" s="19" t="n">
        <x:f>L1983+IF(AND(S1983=1,J1983=1),1,0)</x:f>
        <x:v>1</x:v>
      </x:c>
      <x:c r="V1983" s="19" t="n">
        <x:f>M1983+IF(AND(S1983=1,J1983=2),1,0)</x:f>
        <x:v>1</x:v>
      </x:c>
      <x:c r="W1983" s="19" t="n">
        <x:f>SUM(T1983:V1983)</x:f>
        <x:v>7</x:v>
      </x:c>
      <x:c r="X1983" s="19" t="n">
        <x:f>W1983-G1983</x:f>
        <x:v>0</x:v>
      </x:c>
      <x:c r="Y1983" s="19" t="n">
        <x:f>MAX(T1983,1)+MAX(U1983,1)+MAX(V1983,1)</x:f>
        <x:v>7</x:v>
      </x:c>
      <x:c r="Z1983" s="21" t="str">
        <x:f>IF(AND(MIN(D1983:F1983)&gt;=0,MAX(D1983:F1983)&lt;=7,MAX(D1983,1)+MAX(E1983,1)+MAX(F1983,1)&lt;=9,OR(H1983="-",AND(H1983=0,D1983&gt;0),AND(H1983=1,E1983&gt;0),AND(H1983=2,F1983&gt;0)),OR(I1983=0,AND(I1983=1,OR(J1983=0,J1983=1,J1983=2),R1983&lt;&gt;"000")),Y1983&lt;=9,MIN(T1983:V1983)&gt;=0),"合法","输入违约")</x:f>
        <x:v>合法</x:v>
      </x:c>
    </x:row>
    <x:row r="1984" ht="23" customHeight="1">
      <x:c r="A1984" s="3" t="str">
        <x:v>CT-1977</x:v>
      </x:c>
      <x:c r="B1984" s="3" t="str">
        <x:v>ST-112</x:v>
      </x:c>
      <x:c r="C1984" s="3" t="str">
        <x:v>R+AR同收同发</x:v>
      </x:c>
      <x:c r="D1984" s="25" t="n">
        <x:v>4</x:v>
      </x:c>
      <x:c r="E1984" s="25" t="n">
        <x:v>1</x:v>
      </x:c>
      <x:c r="F1984" s="25" t="n">
        <x:v>2</x:v>
      </x:c>
      <x:c r="G1984" s="19" t="n">
        <x:f>SUM(D1984:F1984)</x:f>
        <x:v>7</x:v>
      </x:c>
      <x:c r="H1984" s="25" t="n">
        <x:v>2</x:v>
      </x:c>
      <x:c r="I1984" s="25" t="n">
        <x:v>1</x:v>
      </x:c>
      <x:c r="J1984" s="25" t="n">
        <x:v>1</x:v>
      </x:c>
      <x:c r="K1984" s="19" t="n">
        <x:f>D1984-IF(H1984=0,1,0)</x:f>
        <x:v>4</x:v>
      </x:c>
      <x:c r="L1984" s="19" t="n">
        <x:f>E1984-IF(H1984=1,1,0)</x:f>
        <x:v>1</x:v>
      </x:c>
      <x:c r="M1984" s="19" t="n">
        <x:f>F1984-IF(H1984=2,1,0)</x:f>
        <x:v>1</x:v>
      </x:c>
      <x:c r="N1984" s="19" t="n">
        <x:f>MAX(K1984-1,0)+MAX(L1984-1,0)+MAX(M1984-1,0)</x:f>
        <x:v>3</x:v>
      </x:c>
      <x:c r="O1984" s="19" t="n">
        <x:f>IF(AND(SUM(K1984:M1984)&lt;9,OR(M1984=0,N1984&lt;6)),1,0)</x:f>
        <x:v>1</x:v>
      </x:c>
      <x:c r="P1984" s="19" t="n">
        <x:f>IF(AND(SUM(K1984:M1984)&lt;9,OR(L1984=0,N1984&lt;6)),1,0)</x:f>
        <x:v>1</x:v>
      </x:c>
      <x:c r="Q1984" s="19" t="n">
        <x:f>IF(AND(SUM(K1984:M1984)&lt;9,OR(K1984=0,N1984&lt;6)),1,0)</x:f>
        <x:v>1</x:v>
      </x:c>
      <x:c r="R1984" s="22" t="str">
        <x:f>O1984&amp;P1984&amp;Q1984</x:f>
        <x:v>111</x:v>
      </x:c>
      <x:c r="S1984" s="19" t="n">
        <x:f>IF(I1984=1,IF(J1984=0,Q1984,IF(J1984=1,P1984,IF(J1984=2,O1984,0))),0)</x:f>
        <x:v>1</x:v>
      </x:c>
      <x:c r="T1984" s="19" t="n">
        <x:f>K1984+IF(AND(S1984=1,J1984=0),1,0)</x:f>
        <x:v>4</x:v>
      </x:c>
      <x:c r="U1984" s="19" t="n">
        <x:f>L1984+IF(AND(S1984=1,J1984=1),1,0)</x:f>
        <x:v>2</x:v>
      </x:c>
      <x:c r="V1984" s="19" t="n">
        <x:f>M1984+IF(AND(S1984=1,J1984=2),1,0)</x:f>
        <x:v>1</x:v>
      </x:c>
      <x:c r="W1984" s="19" t="n">
        <x:f>SUM(T1984:V1984)</x:f>
        <x:v>7</x:v>
      </x:c>
      <x:c r="X1984" s="19" t="n">
        <x:f>W1984-G1984</x:f>
        <x:v>0</x:v>
      </x:c>
      <x:c r="Y1984" s="19" t="n">
        <x:f>MAX(T1984,1)+MAX(U1984,1)+MAX(V1984,1)</x:f>
        <x:v>7</x:v>
      </x:c>
      <x:c r="Z1984" s="21" t="str">
        <x:f>IF(AND(MIN(D1984:F1984)&gt;=0,MAX(D1984:F1984)&lt;=7,MAX(D1984,1)+MAX(E1984,1)+MAX(F1984,1)&lt;=9,OR(H1984="-",AND(H1984=0,D1984&gt;0),AND(H1984=1,E1984&gt;0),AND(H1984=2,F1984&gt;0)),OR(I1984=0,AND(I1984=1,OR(J1984=0,J1984=1,J1984=2),R1984&lt;&gt;"000")),Y1984&lt;=9,MIN(T1984:V1984)&gt;=0),"合法","输入违约")</x:f>
        <x:v>合法</x:v>
      </x:c>
    </x:row>
    <x:row r="1985" ht="23" customHeight="1">
      <x:c r="A1985" s="3" t="str">
        <x:v>CT-1978</x:v>
      </x:c>
      <x:c r="B1985" s="3" t="str">
        <x:v>ST-112</x:v>
      </x:c>
      <x:c r="C1985" s="3" t="str">
        <x:v>R+AR同收同发</x:v>
      </x:c>
      <x:c r="D1985" s="25" t="n">
        <x:v>4</x:v>
      </x:c>
      <x:c r="E1985" s="25" t="n">
        <x:v>1</x:v>
      </x:c>
      <x:c r="F1985" s="25" t="n">
        <x:v>2</x:v>
      </x:c>
      <x:c r="G1985" s="19" t="n">
        <x:f>SUM(D1985:F1985)</x:f>
        <x:v>7</x:v>
      </x:c>
      <x:c r="H1985" s="25" t="n">
        <x:v>2</x:v>
      </x:c>
      <x:c r="I1985" s="25" t="n">
        <x:v>1</x:v>
      </x:c>
      <x:c r="J1985" s="25" t="n">
        <x:v>2</x:v>
      </x:c>
      <x:c r="K1985" s="19" t="n">
        <x:f>D1985-IF(H1985=0,1,0)</x:f>
        <x:v>4</x:v>
      </x:c>
      <x:c r="L1985" s="19" t="n">
        <x:f>E1985-IF(H1985=1,1,0)</x:f>
        <x:v>1</x:v>
      </x:c>
      <x:c r="M1985" s="19" t="n">
        <x:f>F1985-IF(H1985=2,1,0)</x:f>
        <x:v>1</x:v>
      </x:c>
      <x:c r="N1985" s="19" t="n">
        <x:f>MAX(K1985-1,0)+MAX(L1985-1,0)+MAX(M1985-1,0)</x:f>
        <x:v>3</x:v>
      </x:c>
      <x:c r="O1985" s="19" t="n">
        <x:f>IF(AND(SUM(K1985:M1985)&lt;9,OR(M1985=0,N1985&lt;6)),1,0)</x:f>
        <x:v>1</x:v>
      </x:c>
      <x:c r="P1985" s="19" t="n">
        <x:f>IF(AND(SUM(K1985:M1985)&lt;9,OR(L1985=0,N1985&lt;6)),1,0)</x:f>
        <x:v>1</x:v>
      </x:c>
      <x:c r="Q1985" s="19" t="n">
        <x:f>IF(AND(SUM(K1985:M1985)&lt;9,OR(K1985=0,N1985&lt;6)),1,0)</x:f>
        <x:v>1</x:v>
      </x:c>
      <x:c r="R1985" s="22" t="str">
        <x:f>O1985&amp;P1985&amp;Q1985</x:f>
        <x:v>111</x:v>
      </x:c>
      <x:c r="S1985" s="19" t="n">
        <x:f>IF(I1985=1,IF(J1985=0,Q1985,IF(J1985=1,P1985,IF(J1985=2,O1985,0))),0)</x:f>
        <x:v>1</x:v>
      </x:c>
      <x:c r="T1985" s="19" t="n">
        <x:f>K1985+IF(AND(S1985=1,J1985=0),1,0)</x:f>
        <x:v>4</x:v>
      </x:c>
      <x:c r="U1985" s="19" t="n">
        <x:f>L1985+IF(AND(S1985=1,J1985=1),1,0)</x:f>
        <x:v>1</x:v>
      </x:c>
      <x:c r="V1985" s="19" t="n">
        <x:f>M1985+IF(AND(S1985=1,J1985=2),1,0)</x:f>
        <x:v>2</x:v>
      </x:c>
      <x:c r="W1985" s="19" t="n">
        <x:f>SUM(T1985:V1985)</x:f>
        <x:v>7</x:v>
      </x:c>
      <x:c r="X1985" s="19" t="n">
        <x:f>W1985-G1985</x:f>
        <x:v>0</x:v>
      </x:c>
      <x:c r="Y1985" s="19" t="n">
        <x:f>MAX(T1985,1)+MAX(U1985,1)+MAX(V1985,1)</x:f>
        <x:v>7</x:v>
      </x:c>
      <x:c r="Z1985" s="21" t="str">
        <x:f>IF(AND(MIN(D1985:F1985)&gt;=0,MAX(D1985:F1985)&lt;=7,MAX(D1985,1)+MAX(E1985,1)+MAX(F1985,1)&lt;=9,OR(H1985="-",AND(H1985=0,D1985&gt;0),AND(H1985=1,E1985&gt;0),AND(H1985=2,F1985&gt;0)),OR(I1985=0,AND(I1985=1,OR(J1985=0,J1985=1,J1985=2),R1985&lt;&gt;"000")),Y1985&lt;=9,MIN(T1985:V1985)&gt;=0),"合法","输入违约")</x:f>
        <x:v>合法</x:v>
      </x:c>
    </x:row>
    <x:row r="1986" ht="23" customHeight="1">
      <x:c r="A1986" s="3" t="str">
        <x:v>CT-1979</x:v>
      </x:c>
      <x:c r="B1986" s="3" t="str">
        <x:v>ST-150</x:v>
      </x:c>
      <x:c r="C1986" s="3" t="str">
        <x:v>无AR/R</x:v>
      </x:c>
      <x:c r="D1986" s="25" t="n">
        <x:v>4</x:v>
      </x:c>
      <x:c r="E1986" s="25" t="n">
        <x:v>1</x:v>
      </x:c>
      <x:c r="F1986" s="25" t="n">
        <x:v>3</x:v>
      </x:c>
      <x:c r="G1986" s="19" t="n">
        <x:f>SUM(D1986:F1986)</x:f>
        <x:v>8</x:v>
      </x:c>
      <x:c r="H1986" s="25" t="str">
        <x:v>-</x:v>
      </x:c>
      <x:c r="I1986" s="25" t="n">
        <x:v>0</x:v>
      </x:c>
      <x:c r="J1986" s="25" t="str">
        <x:v>-</x:v>
      </x:c>
      <x:c r="K1986" s="19" t="n">
        <x:f>D1986-IF(H1986=0,1,0)</x:f>
        <x:v>4</x:v>
      </x:c>
      <x:c r="L1986" s="19" t="n">
        <x:f>E1986-IF(H1986=1,1,0)</x:f>
        <x:v>1</x:v>
      </x:c>
      <x:c r="M1986" s="19" t="n">
        <x:f>F1986-IF(H1986=2,1,0)</x:f>
        <x:v>3</x:v>
      </x:c>
      <x:c r="N1986" s="19" t="n">
        <x:f>MAX(K1986-1,0)+MAX(L1986-1,0)+MAX(M1986-1,0)</x:f>
        <x:v>5</x:v>
      </x:c>
      <x:c r="O1986" s="19" t="n">
        <x:f>IF(AND(SUM(K1986:M1986)&lt;9,OR(M1986=0,N1986&lt;6)),1,0)</x:f>
        <x:v>1</x:v>
      </x:c>
      <x:c r="P1986" s="19" t="n">
        <x:f>IF(AND(SUM(K1986:M1986)&lt;9,OR(L1986=0,N1986&lt;6)),1,0)</x:f>
        <x:v>1</x:v>
      </x:c>
      <x:c r="Q1986" s="19" t="n">
        <x:f>IF(AND(SUM(K1986:M1986)&lt;9,OR(K1986=0,N1986&lt;6)),1,0)</x:f>
        <x:v>1</x:v>
      </x:c>
      <x:c r="R1986" s="22" t="str">
        <x:f>O1986&amp;P1986&amp;Q1986</x:f>
        <x:v>111</x:v>
      </x:c>
      <x:c r="S1986" s="19" t="n">
        <x:f>IF(I1986=1,IF(J1986=0,Q1986,IF(J1986=1,P1986,IF(J1986=2,O1986,0))),0)</x:f>
        <x:v>0</x:v>
      </x:c>
      <x:c r="T1986" s="19" t="n">
        <x:f>K1986+IF(AND(S1986=1,J1986=0),1,0)</x:f>
        <x:v>4</x:v>
      </x:c>
      <x:c r="U1986" s="19" t="n">
        <x:f>L1986+IF(AND(S1986=1,J1986=1),1,0)</x:f>
        <x:v>1</x:v>
      </x:c>
      <x:c r="V1986" s="19" t="n">
        <x:f>M1986+IF(AND(S1986=1,J1986=2),1,0)</x:f>
        <x:v>3</x:v>
      </x:c>
      <x:c r="W1986" s="19" t="n">
        <x:f>SUM(T1986:V1986)</x:f>
        <x:v>8</x:v>
      </x:c>
      <x:c r="X1986" s="19" t="n">
        <x:f>W1986-G1986</x:f>
        <x:v>0</x:v>
      </x:c>
      <x:c r="Y1986" s="19" t="n">
        <x:f>MAX(T1986,1)+MAX(U1986,1)+MAX(V1986,1)</x:f>
        <x:v>8</x:v>
      </x:c>
      <x:c r="Z1986" s="21" t="str">
        <x:f>IF(AND(MIN(D1986:F1986)&gt;=0,MAX(D1986:F1986)&lt;=7,MAX(D1986,1)+MAX(E1986,1)+MAX(F1986,1)&lt;=9,OR(H1986="-",AND(H1986=0,D1986&gt;0),AND(H1986=1,E1986&gt;0),AND(H1986=2,F1986&gt;0)),OR(I1986=0,AND(I1986=1,OR(J1986=0,J1986=1,J1986=2),R1986&lt;&gt;"000")),Y1986&lt;=9,MIN(T1986:V1986)&gt;=0),"合法","输入违约")</x:f>
        <x:v>合法</x:v>
      </x:c>
    </x:row>
    <x:row r="1987" ht="23" customHeight="1">
      <x:c r="A1987" s="3" t="str">
        <x:v>CT-1980</x:v>
      </x:c>
      <x:c r="B1987" s="3" t="str">
        <x:v>ST-150</x:v>
      </x:c>
      <x:c r="C1987" s="3" t="str">
        <x:v>仅AR接收</x:v>
      </x:c>
      <x:c r="D1987" s="25" t="n">
        <x:v>4</x:v>
      </x:c>
      <x:c r="E1987" s="25" t="n">
        <x:v>1</x:v>
      </x:c>
      <x:c r="F1987" s="25" t="n">
        <x:v>3</x:v>
      </x:c>
      <x:c r="G1987" s="19" t="n">
        <x:f>SUM(D1987:F1987)</x:f>
        <x:v>8</x:v>
      </x:c>
      <x:c r="H1987" s="25" t="str">
        <x:v>-</x:v>
      </x:c>
      <x:c r="I1987" s="25" t="n">
        <x:v>1</x:v>
      </x:c>
      <x:c r="J1987" s="25" t="n">
        <x:v>0</x:v>
      </x:c>
      <x:c r="K1987" s="19" t="n">
        <x:f>D1987-IF(H1987=0,1,0)</x:f>
        <x:v>4</x:v>
      </x:c>
      <x:c r="L1987" s="19" t="n">
        <x:f>E1987-IF(H1987=1,1,0)</x:f>
        <x:v>1</x:v>
      </x:c>
      <x:c r="M1987" s="19" t="n">
        <x:f>F1987-IF(H1987=2,1,0)</x:f>
        <x:v>3</x:v>
      </x:c>
      <x:c r="N1987" s="19" t="n">
        <x:f>MAX(K1987-1,0)+MAX(L1987-1,0)+MAX(M1987-1,0)</x:f>
        <x:v>5</x:v>
      </x:c>
      <x:c r="O1987" s="19" t="n">
        <x:f>IF(AND(SUM(K1987:M1987)&lt;9,OR(M1987=0,N1987&lt;6)),1,0)</x:f>
        <x:v>1</x:v>
      </x:c>
      <x:c r="P1987" s="19" t="n">
        <x:f>IF(AND(SUM(K1987:M1987)&lt;9,OR(L1987=0,N1987&lt;6)),1,0)</x:f>
        <x:v>1</x:v>
      </x:c>
      <x:c r="Q1987" s="19" t="n">
        <x:f>IF(AND(SUM(K1987:M1987)&lt;9,OR(K1987=0,N1987&lt;6)),1,0)</x:f>
        <x:v>1</x:v>
      </x:c>
      <x:c r="R1987" s="22" t="str">
        <x:f>O1987&amp;P1987&amp;Q1987</x:f>
        <x:v>111</x:v>
      </x:c>
      <x:c r="S1987" s="19" t="n">
        <x:f>IF(I1987=1,IF(J1987=0,Q1987,IF(J1987=1,P1987,IF(J1987=2,O1987,0))),0)</x:f>
        <x:v>1</x:v>
      </x:c>
      <x:c r="T1987" s="19" t="n">
        <x:f>K1987+IF(AND(S1987=1,J1987=0),1,0)</x:f>
        <x:v>5</x:v>
      </x:c>
      <x:c r="U1987" s="19" t="n">
        <x:f>L1987+IF(AND(S1987=1,J1987=1),1,0)</x:f>
        <x:v>1</x:v>
      </x:c>
      <x:c r="V1987" s="19" t="n">
        <x:f>M1987+IF(AND(S1987=1,J1987=2),1,0)</x:f>
        <x:v>3</x:v>
      </x:c>
      <x:c r="W1987" s="19" t="n">
        <x:f>SUM(T1987:V1987)</x:f>
        <x:v>9</x:v>
      </x:c>
      <x:c r="X1987" s="19" t="n">
        <x:f>W1987-G1987</x:f>
        <x:v>1</x:v>
      </x:c>
      <x:c r="Y1987" s="19" t="n">
        <x:f>MAX(T1987,1)+MAX(U1987,1)+MAX(V1987,1)</x:f>
        <x:v>9</x:v>
      </x:c>
      <x:c r="Z1987" s="21" t="str">
        <x:f>IF(AND(MIN(D1987:F1987)&gt;=0,MAX(D1987:F1987)&lt;=7,MAX(D1987,1)+MAX(E1987,1)+MAX(F1987,1)&lt;=9,OR(H1987="-",AND(H1987=0,D1987&gt;0),AND(H1987=1,E1987&gt;0),AND(H1987=2,F1987&gt;0)),OR(I1987=0,AND(I1987=1,OR(J1987=0,J1987=1,J1987=2),R1987&lt;&gt;"000")),Y1987&lt;=9,MIN(T1987:V1987)&gt;=0),"合法","输入违约")</x:f>
        <x:v>合法</x:v>
      </x:c>
    </x:row>
    <x:row r="1988" ht="23" customHeight="1">
      <x:c r="A1988" s="3" t="str">
        <x:v>CT-1981</x:v>
      </x:c>
      <x:c r="B1988" s="3" t="str">
        <x:v>ST-150</x:v>
      </x:c>
      <x:c r="C1988" s="3" t="str">
        <x:v>仅AR接收</x:v>
      </x:c>
      <x:c r="D1988" s="25" t="n">
        <x:v>4</x:v>
      </x:c>
      <x:c r="E1988" s="25" t="n">
        <x:v>1</x:v>
      </x:c>
      <x:c r="F1988" s="25" t="n">
        <x:v>3</x:v>
      </x:c>
      <x:c r="G1988" s="19" t="n">
        <x:f>SUM(D1988:F1988)</x:f>
        <x:v>8</x:v>
      </x:c>
      <x:c r="H1988" s="25" t="str">
        <x:v>-</x:v>
      </x:c>
      <x:c r="I1988" s="25" t="n">
        <x:v>1</x:v>
      </x:c>
      <x:c r="J1988" s="25" t="n">
        <x:v>1</x:v>
      </x:c>
      <x:c r="K1988" s="19" t="n">
        <x:f>D1988-IF(H1988=0,1,0)</x:f>
        <x:v>4</x:v>
      </x:c>
      <x:c r="L1988" s="19" t="n">
        <x:f>E1988-IF(H1988=1,1,0)</x:f>
        <x:v>1</x:v>
      </x:c>
      <x:c r="M1988" s="19" t="n">
        <x:f>F1988-IF(H1988=2,1,0)</x:f>
        <x:v>3</x:v>
      </x:c>
      <x:c r="N1988" s="19" t="n">
        <x:f>MAX(K1988-1,0)+MAX(L1988-1,0)+MAX(M1988-1,0)</x:f>
        <x:v>5</x:v>
      </x:c>
      <x:c r="O1988" s="19" t="n">
        <x:f>IF(AND(SUM(K1988:M1988)&lt;9,OR(M1988=0,N1988&lt;6)),1,0)</x:f>
        <x:v>1</x:v>
      </x:c>
      <x:c r="P1988" s="19" t="n">
        <x:f>IF(AND(SUM(K1988:M1988)&lt;9,OR(L1988=0,N1988&lt;6)),1,0)</x:f>
        <x:v>1</x:v>
      </x:c>
      <x:c r="Q1988" s="19" t="n">
        <x:f>IF(AND(SUM(K1988:M1988)&lt;9,OR(K1988=0,N1988&lt;6)),1,0)</x:f>
        <x:v>1</x:v>
      </x:c>
      <x:c r="R1988" s="22" t="str">
        <x:f>O1988&amp;P1988&amp;Q1988</x:f>
        <x:v>111</x:v>
      </x:c>
      <x:c r="S1988" s="19" t="n">
        <x:f>IF(I1988=1,IF(J1988=0,Q1988,IF(J1988=1,P1988,IF(J1988=2,O1988,0))),0)</x:f>
        <x:v>1</x:v>
      </x:c>
      <x:c r="T1988" s="19" t="n">
        <x:f>K1988+IF(AND(S1988=1,J1988=0),1,0)</x:f>
        <x:v>4</x:v>
      </x:c>
      <x:c r="U1988" s="19" t="n">
        <x:f>L1988+IF(AND(S1988=1,J1988=1),1,0)</x:f>
        <x:v>2</x:v>
      </x:c>
      <x:c r="V1988" s="19" t="n">
        <x:f>M1988+IF(AND(S1988=1,J1988=2),1,0)</x:f>
        <x:v>3</x:v>
      </x:c>
      <x:c r="W1988" s="19" t="n">
        <x:f>SUM(T1988:V1988)</x:f>
        <x:v>9</x:v>
      </x:c>
      <x:c r="X1988" s="19" t="n">
        <x:f>W1988-G1988</x:f>
        <x:v>1</x:v>
      </x:c>
      <x:c r="Y1988" s="19" t="n">
        <x:f>MAX(T1988,1)+MAX(U1988,1)+MAX(V1988,1)</x:f>
        <x:v>9</x:v>
      </x:c>
      <x:c r="Z1988" s="21" t="str">
        <x:f>IF(AND(MIN(D1988:F1988)&gt;=0,MAX(D1988:F1988)&lt;=7,MAX(D1988,1)+MAX(E1988,1)+MAX(F1988,1)&lt;=9,OR(H1988="-",AND(H1988=0,D1988&gt;0),AND(H1988=1,E1988&gt;0),AND(H1988=2,F1988&gt;0)),OR(I1988=0,AND(I1988=1,OR(J1988=0,J1988=1,J1988=2),R1988&lt;&gt;"000")),Y1988&lt;=9,MIN(T1988:V1988)&gt;=0),"合法","输入违约")</x:f>
        <x:v>合法</x:v>
      </x:c>
    </x:row>
    <x:row r="1989" ht="23" customHeight="1">
      <x:c r="A1989" s="3" t="str">
        <x:v>CT-1982</x:v>
      </x:c>
      <x:c r="B1989" s="3" t="str">
        <x:v>ST-150</x:v>
      </x:c>
      <x:c r="C1989" s="3" t="str">
        <x:v>仅AR接收</x:v>
      </x:c>
      <x:c r="D1989" s="25" t="n">
        <x:v>4</x:v>
      </x:c>
      <x:c r="E1989" s="25" t="n">
        <x:v>1</x:v>
      </x:c>
      <x:c r="F1989" s="25" t="n">
        <x:v>3</x:v>
      </x:c>
      <x:c r="G1989" s="19" t="n">
        <x:f>SUM(D1989:F1989)</x:f>
        <x:v>8</x:v>
      </x:c>
      <x:c r="H1989" s="25" t="str">
        <x:v>-</x:v>
      </x:c>
      <x:c r="I1989" s="25" t="n">
        <x:v>1</x:v>
      </x:c>
      <x:c r="J1989" s="25" t="n">
        <x:v>2</x:v>
      </x:c>
      <x:c r="K1989" s="19" t="n">
        <x:f>D1989-IF(H1989=0,1,0)</x:f>
        <x:v>4</x:v>
      </x:c>
      <x:c r="L1989" s="19" t="n">
        <x:f>E1989-IF(H1989=1,1,0)</x:f>
        <x:v>1</x:v>
      </x:c>
      <x:c r="M1989" s="19" t="n">
        <x:f>F1989-IF(H1989=2,1,0)</x:f>
        <x:v>3</x:v>
      </x:c>
      <x:c r="N1989" s="19" t="n">
        <x:f>MAX(K1989-1,0)+MAX(L1989-1,0)+MAX(M1989-1,0)</x:f>
        <x:v>5</x:v>
      </x:c>
      <x:c r="O1989" s="19" t="n">
        <x:f>IF(AND(SUM(K1989:M1989)&lt;9,OR(M1989=0,N1989&lt;6)),1,0)</x:f>
        <x:v>1</x:v>
      </x:c>
      <x:c r="P1989" s="19" t="n">
        <x:f>IF(AND(SUM(K1989:M1989)&lt;9,OR(L1989=0,N1989&lt;6)),1,0)</x:f>
        <x:v>1</x:v>
      </x:c>
      <x:c r="Q1989" s="19" t="n">
        <x:f>IF(AND(SUM(K1989:M1989)&lt;9,OR(K1989=0,N1989&lt;6)),1,0)</x:f>
        <x:v>1</x:v>
      </x:c>
      <x:c r="R1989" s="22" t="str">
        <x:f>O1989&amp;P1989&amp;Q1989</x:f>
        <x:v>111</x:v>
      </x:c>
      <x:c r="S1989" s="19" t="n">
        <x:f>IF(I1989=1,IF(J1989=0,Q1989,IF(J1989=1,P1989,IF(J1989=2,O1989,0))),0)</x:f>
        <x:v>1</x:v>
      </x:c>
      <x:c r="T1989" s="19" t="n">
        <x:f>K1989+IF(AND(S1989=1,J1989=0),1,0)</x:f>
        <x:v>4</x:v>
      </x:c>
      <x:c r="U1989" s="19" t="n">
        <x:f>L1989+IF(AND(S1989=1,J1989=1),1,0)</x:f>
        <x:v>1</x:v>
      </x:c>
      <x:c r="V1989" s="19" t="n">
        <x:f>M1989+IF(AND(S1989=1,J1989=2),1,0)</x:f>
        <x:v>4</x:v>
      </x:c>
      <x:c r="W1989" s="19" t="n">
        <x:f>SUM(T1989:V1989)</x:f>
        <x:v>9</x:v>
      </x:c>
      <x:c r="X1989" s="19" t="n">
        <x:f>W1989-G1989</x:f>
        <x:v>1</x:v>
      </x:c>
      <x:c r="Y1989" s="19" t="n">
        <x:f>MAX(T1989,1)+MAX(U1989,1)+MAX(V1989,1)</x:f>
        <x:v>9</x:v>
      </x:c>
      <x:c r="Z1989" s="21" t="str">
        <x:f>IF(AND(MIN(D1989:F1989)&gt;=0,MAX(D1989:F1989)&lt;=7,MAX(D1989,1)+MAX(E1989,1)+MAX(F1989,1)&lt;=9,OR(H1989="-",AND(H1989=0,D1989&gt;0),AND(H1989=1,E1989&gt;0),AND(H1989=2,F1989&gt;0)),OR(I1989=0,AND(I1989=1,OR(J1989=0,J1989=1,J1989=2),R1989&lt;&gt;"000")),Y1989&lt;=9,MIN(T1989:V1989)&gt;=0),"合法","输入违约")</x:f>
        <x:v>合法</x:v>
      </x:c>
    </x:row>
    <x:row r="1990" ht="23" customHeight="1">
      <x:c r="A1990" s="3" t="str">
        <x:v>CT-1983</x:v>
      </x:c>
      <x:c r="B1990" s="3" t="str">
        <x:v>ST-150</x:v>
      </x:c>
      <x:c r="C1990" s="3" t="str">
        <x:v>仅R回收</x:v>
      </x:c>
      <x:c r="D1990" s="25" t="n">
        <x:v>4</x:v>
      </x:c>
      <x:c r="E1990" s="25" t="n">
        <x:v>1</x:v>
      </x:c>
      <x:c r="F1990" s="25" t="n">
        <x:v>3</x:v>
      </x:c>
      <x:c r="G1990" s="19" t="n">
        <x:f>SUM(D1990:F1990)</x:f>
        <x:v>8</x:v>
      </x:c>
      <x:c r="H1990" s="25" t="n">
        <x:v>0</x:v>
      </x:c>
      <x:c r="I1990" s="25" t="n">
        <x:v>0</x:v>
      </x:c>
      <x:c r="J1990" s="25" t="str">
        <x:v>-</x:v>
      </x:c>
      <x:c r="K1990" s="19" t="n">
        <x:f>D1990-IF(H1990=0,1,0)</x:f>
        <x:v>3</x:v>
      </x:c>
      <x:c r="L1990" s="19" t="n">
        <x:f>E1990-IF(H1990=1,1,0)</x:f>
        <x:v>1</x:v>
      </x:c>
      <x:c r="M1990" s="19" t="n">
        <x:f>F1990-IF(H1990=2,1,0)</x:f>
        <x:v>3</x:v>
      </x:c>
      <x:c r="N1990" s="19" t="n">
        <x:f>MAX(K1990-1,0)+MAX(L1990-1,0)+MAX(M1990-1,0)</x:f>
        <x:v>4</x:v>
      </x:c>
      <x:c r="O1990" s="19" t="n">
        <x:f>IF(AND(SUM(K1990:M1990)&lt;9,OR(M1990=0,N1990&lt;6)),1,0)</x:f>
        <x:v>1</x:v>
      </x:c>
      <x:c r="P1990" s="19" t="n">
        <x:f>IF(AND(SUM(K1990:M1990)&lt;9,OR(L1990=0,N1990&lt;6)),1,0)</x:f>
        <x:v>1</x:v>
      </x:c>
      <x:c r="Q1990" s="19" t="n">
        <x:f>IF(AND(SUM(K1990:M1990)&lt;9,OR(K1990=0,N1990&lt;6)),1,0)</x:f>
        <x:v>1</x:v>
      </x:c>
      <x:c r="R1990" s="22" t="str">
        <x:f>O1990&amp;P1990&amp;Q1990</x:f>
        <x:v>111</x:v>
      </x:c>
      <x:c r="S1990" s="19" t="n">
        <x:f>IF(I1990=1,IF(J1990=0,Q1990,IF(J1990=1,P1990,IF(J1990=2,O1990,0))),0)</x:f>
        <x:v>0</x:v>
      </x:c>
      <x:c r="T1990" s="19" t="n">
        <x:f>K1990+IF(AND(S1990=1,J1990=0),1,0)</x:f>
        <x:v>3</x:v>
      </x:c>
      <x:c r="U1990" s="19" t="n">
        <x:f>L1990+IF(AND(S1990=1,J1990=1),1,0)</x:f>
        <x:v>1</x:v>
      </x:c>
      <x:c r="V1990" s="19" t="n">
        <x:f>M1990+IF(AND(S1990=1,J1990=2),1,0)</x:f>
        <x:v>3</x:v>
      </x:c>
      <x:c r="W1990" s="19" t="n">
        <x:f>SUM(T1990:V1990)</x:f>
        <x:v>7</x:v>
      </x:c>
      <x:c r="X1990" s="19" t="n">
        <x:f>W1990-G1990</x:f>
        <x:v>-1</x:v>
      </x:c>
      <x:c r="Y1990" s="19" t="n">
        <x:f>MAX(T1990,1)+MAX(U1990,1)+MAX(V1990,1)</x:f>
        <x:v>7</x:v>
      </x:c>
      <x:c r="Z1990" s="21" t="str">
        <x:f>IF(AND(MIN(D1990:F1990)&gt;=0,MAX(D1990:F1990)&lt;=7,MAX(D1990,1)+MAX(E1990,1)+MAX(F1990,1)&lt;=9,OR(H1990="-",AND(H1990=0,D1990&gt;0),AND(H1990=1,E1990&gt;0),AND(H1990=2,F1990&gt;0)),OR(I1990=0,AND(I1990=1,OR(J1990=0,J1990=1,J1990=2),R1990&lt;&gt;"000")),Y1990&lt;=9,MIN(T1990:V1990)&gt;=0),"合法","输入违约")</x:f>
        <x:v>合法</x:v>
      </x:c>
    </x:row>
    <x:row r="1991" ht="23" customHeight="1">
      <x:c r="A1991" s="3" t="str">
        <x:v>CT-1984</x:v>
      </x:c>
      <x:c r="B1991" s="3" t="str">
        <x:v>ST-150</x:v>
      </x:c>
      <x:c r="C1991" s="3" t="str">
        <x:v>R+AR同收同发</x:v>
      </x:c>
      <x:c r="D1991" s="25" t="n">
        <x:v>4</x:v>
      </x:c>
      <x:c r="E1991" s="25" t="n">
        <x:v>1</x:v>
      </x:c>
      <x:c r="F1991" s="25" t="n">
        <x:v>3</x:v>
      </x:c>
      <x:c r="G1991" s="19" t="n">
        <x:f>SUM(D1991:F1991)</x:f>
        <x:v>8</x:v>
      </x:c>
      <x:c r="H1991" s="25" t="n">
        <x:v>0</x:v>
      </x:c>
      <x:c r="I1991" s="25" t="n">
        <x:v>1</x:v>
      </x:c>
      <x:c r="J1991" s="25" t="n">
        <x:v>0</x:v>
      </x:c>
      <x:c r="K1991" s="19" t="n">
        <x:f>D1991-IF(H1991=0,1,0)</x:f>
        <x:v>3</x:v>
      </x:c>
      <x:c r="L1991" s="19" t="n">
        <x:f>E1991-IF(H1991=1,1,0)</x:f>
        <x:v>1</x:v>
      </x:c>
      <x:c r="M1991" s="19" t="n">
        <x:f>F1991-IF(H1991=2,1,0)</x:f>
        <x:v>3</x:v>
      </x:c>
      <x:c r="N1991" s="19" t="n">
        <x:f>MAX(K1991-1,0)+MAX(L1991-1,0)+MAX(M1991-1,0)</x:f>
        <x:v>4</x:v>
      </x:c>
      <x:c r="O1991" s="19" t="n">
        <x:f>IF(AND(SUM(K1991:M1991)&lt;9,OR(M1991=0,N1991&lt;6)),1,0)</x:f>
        <x:v>1</x:v>
      </x:c>
      <x:c r="P1991" s="19" t="n">
        <x:f>IF(AND(SUM(K1991:M1991)&lt;9,OR(L1991=0,N1991&lt;6)),1,0)</x:f>
        <x:v>1</x:v>
      </x:c>
      <x:c r="Q1991" s="19" t="n">
        <x:f>IF(AND(SUM(K1991:M1991)&lt;9,OR(K1991=0,N1991&lt;6)),1,0)</x:f>
        <x:v>1</x:v>
      </x:c>
      <x:c r="R1991" s="22" t="str">
        <x:f>O1991&amp;P1991&amp;Q1991</x:f>
        <x:v>111</x:v>
      </x:c>
      <x:c r="S1991" s="19" t="n">
        <x:f>IF(I1991=1,IF(J1991=0,Q1991,IF(J1991=1,P1991,IF(J1991=2,O1991,0))),0)</x:f>
        <x:v>1</x:v>
      </x:c>
      <x:c r="T1991" s="19" t="n">
        <x:f>K1991+IF(AND(S1991=1,J1991=0),1,0)</x:f>
        <x:v>4</x:v>
      </x:c>
      <x:c r="U1991" s="19" t="n">
        <x:f>L1991+IF(AND(S1991=1,J1991=1),1,0)</x:f>
        <x:v>1</x:v>
      </x:c>
      <x:c r="V1991" s="19" t="n">
        <x:f>M1991+IF(AND(S1991=1,J1991=2),1,0)</x:f>
        <x:v>3</x:v>
      </x:c>
      <x:c r="W1991" s="19" t="n">
        <x:f>SUM(T1991:V1991)</x:f>
        <x:v>8</x:v>
      </x:c>
      <x:c r="X1991" s="19" t="n">
        <x:f>W1991-G1991</x:f>
        <x:v>0</x:v>
      </x:c>
      <x:c r="Y1991" s="19" t="n">
        <x:f>MAX(T1991,1)+MAX(U1991,1)+MAX(V1991,1)</x:f>
        <x:v>8</x:v>
      </x:c>
      <x:c r="Z1991" s="21" t="str">
        <x:f>IF(AND(MIN(D1991:F1991)&gt;=0,MAX(D1991:F1991)&lt;=7,MAX(D1991,1)+MAX(E1991,1)+MAX(F1991,1)&lt;=9,OR(H1991="-",AND(H1991=0,D1991&gt;0),AND(H1991=1,E1991&gt;0),AND(H1991=2,F1991&gt;0)),OR(I1991=0,AND(I1991=1,OR(J1991=0,J1991=1,J1991=2),R1991&lt;&gt;"000")),Y1991&lt;=9,MIN(T1991:V1991)&gt;=0),"合法","输入违约")</x:f>
        <x:v>合法</x:v>
      </x:c>
    </x:row>
    <x:row r="1992" ht="23" customHeight="1">
      <x:c r="A1992" s="3" t="str">
        <x:v>CT-1985</x:v>
      </x:c>
      <x:c r="B1992" s="3" t="str">
        <x:v>ST-150</x:v>
      </x:c>
      <x:c r="C1992" s="3" t="str">
        <x:v>R+AR同收同发</x:v>
      </x:c>
      <x:c r="D1992" s="25" t="n">
        <x:v>4</x:v>
      </x:c>
      <x:c r="E1992" s="25" t="n">
        <x:v>1</x:v>
      </x:c>
      <x:c r="F1992" s="25" t="n">
        <x:v>3</x:v>
      </x:c>
      <x:c r="G1992" s="19" t="n">
        <x:f>SUM(D1992:F1992)</x:f>
        <x:v>8</x:v>
      </x:c>
      <x:c r="H1992" s="25" t="n">
        <x:v>0</x:v>
      </x:c>
      <x:c r="I1992" s="25" t="n">
        <x:v>1</x:v>
      </x:c>
      <x:c r="J1992" s="25" t="n">
        <x:v>1</x:v>
      </x:c>
      <x:c r="K1992" s="19" t="n">
        <x:f>D1992-IF(H1992=0,1,0)</x:f>
        <x:v>3</x:v>
      </x:c>
      <x:c r="L1992" s="19" t="n">
        <x:f>E1992-IF(H1992=1,1,0)</x:f>
        <x:v>1</x:v>
      </x:c>
      <x:c r="M1992" s="19" t="n">
        <x:f>F1992-IF(H1992=2,1,0)</x:f>
        <x:v>3</x:v>
      </x:c>
      <x:c r="N1992" s="19" t="n">
        <x:f>MAX(K1992-1,0)+MAX(L1992-1,0)+MAX(M1992-1,0)</x:f>
        <x:v>4</x:v>
      </x:c>
      <x:c r="O1992" s="19" t="n">
        <x:f>IF(AND(SUM(K1992:M1992)&lt;9,OR(M1992=0,N1992&lt;6)),1,0)</x:f>
        <x:v>1</x:v>
      </x:c>
      <x:c r="P1992" s="19" t="n">
        <x:f>IF(AND(SUM(K1992:M1992)&lt;9,OR(L1992=0,N1992&lt;6)),1,0)</x:f>
        <x:v>1</x:v>
      </x:c>
      <x:c r="Q1992" s="19" t="n">
        <x:f>IF(AND(SUM(K1992:M1992)&lt;9,OR(K1992=0,N1992&lt;6)),1,0)</x:f>
        <x:v>1</x:v>
      </x:c>
      <x:c r="R1992" s="22" t="str">
        <x:f>O1992&amp;P1992&amp;Q1992</x:f>
        <x:v>111</x:v>
      </x:c>
      <x:c r="S1992" s="19" t="n">
        <x:f>IF(I1992=1,IF(J1992=0,Q1992,IF(J1992=1,P1992,IF(J1992=2,O1992,0))),0)</x:f>
        <x:v>1</x:v>
      </x:c>
      <x:c r="T1992" s="19" t="n">
        <x:f>K1992+IF(AND(S1992=1,J1992=0),1,0)</x:f>
        <x:v>3</x:v>
      </x:c>
      <x:c r="U1992" s="19" t="n">
        <x:f>L1992+IF(AND(S1992=1,J1992=1),1,0)</x:f>
        <x:v>2</x:v>
      </x:c>
      <x:c r="V1992" s="19" t="n">
        <x:f>M1992+IF(AND(S1992=1,J1992=2),1,0)</x:f>
        <x:v>3</x:v>
      </x:c>
      <x:c r="W1992" s="19" t="n">
        <x:f>SUM(T1992:V1992)</x:f>
        <x:v>8</x:v>
      </x:c>
      <x:c r="X1992" s="19" t="n">
        <x:f>W1992-G1992</x:f>
        <x:v>0</x:v>
      </x:c>
      <x:c r="Y1992" s="19" t="n">
        <x:f>MAX(T1992,1)+MAX(U1992,1)+MAX(V1992,1)</x:f>
        <x:v>8</x:v>
      </x:c>
      <x:c r="Z1992" s="21" t="str">
        <x:f>IF(AND(MIN(D1992:F1992)&gt;=0,MAX(D1992:F1992)&lt;=7,MAX(D1992,1)+MAX(E1992,1)+MAX(F1992,1)&lt;=9,OR(H1992="-",AND(H1992=0,D1992&gt;0),AND(H1992=1,E1992&gt;0),AND(H1992=2,F1992&gt;0)),OR(I1992=0,AND(I1992=1,OR(J1992=0,J1992=1,J1992=2),R1992&lt;&gt;"000")),Y1992&lt;=9,MIN(T1992:V1992)&gt;=0),"合法","输入违约")</x:f>
        <x:v>合法</x:v>
      </x:c>
    </x:row>
    <x:row r="1993" ht="23" customHeight="1">
      <x:c r="A1993" s="3" t="str">
        <x:v>CT-1986</x:v>
      </x:c>
      <x:c r="B1993" s="3" t="str">
        <x:v>ST-150</x:v>
      </x:c>
      <x:c r="C1993" s="3" t="str">
        <x:v>R+AR同收同发</x:v>
      </x:c>
      <x:c r="D1993" s="25" t="n">
        <x:v>4</x:v>
      </x:c>
      <x:c r="E1993" s="25" t="n">
        <x:v>1</x:v>
      </x:c>
      <x:c r="F1993" s="25" t="n">
        <x:v>3</x:v>
      </x:c>
      <x:c r="G1993" s="19" t="n">
        <x:f>SUM(D1993:F1993)</x:f>
        <x:v>8</x:v>
      </x:c>
      <x:c r="H1993" s="25" t="n">
        <x:v>0</x:v>
      </x:c>
      <x:c r="I1993" s="25" t="n">
        <x:v>1</x:v>
      </x:c>
      <x:c r="J1993" s="25" t="n">
        <x:v>2</x:v>
      </x:c>
      <x:c r="K1993" s="19" t="n">
        <x:f>D1993-IF(H1993=0,1,0)</x:f>
        <x:v>3</x:v>
      </x:c>
      <x:c r="L1993" s="19" t="n">
        <x:f>E1993-IF(H1993=1,1,0)</x:f>
        <x:v>1</x:v>
      </x:c>
      <x:c r="M1993" s="19" t="n">
        <x:f>F1993-IF(H1993=2,1,0)</x:f>
        <x:v>3</x:v>
      </x:c>
      <x:c r="N1993" s="19" t="n">
        <x:f>MAX(K1993-1,0)+MAX(L1993-1,0)+MAX(M1993-1,0)</x:f>
        <x:v>4</x:v>
      </x:c>
      <x:c r="O1993" s="19" t="n">
        <x:f>IF(AND(SUM(K1993:M1993)&lt;9,OR(M1993=0,N1993&lt;6)),1,0)</x:f>
        <x:v>1</x:v>
      </x:c>
      <x:c r="P1993" s="19" t="n">
        <x:f>IF(AND(SUM(K1993:M1993)&lt;9,OR(L1993=0,N1993&lt;6)),1,0)</x:f>
        <x:v>1</x:v>
      </x:c>
      <x:c r="Q1993" s="19" t="n">
        <x:f>IF(AND(SUM(K1993:M1993)&lt;9,OR(K1993=0,N1993&lt;6)),1,0)</x:f>
        <x:v>1</x:v>
      </x:c>
      <x:c r="R1993" s="22" t="str">
        <x:f>O1993&amp;P1993&amp;Q1993</x:f>
        <x:v>111</x:v>
      </x:c>
      <x:c r="S1993" s="19" t="n">
        <x:f>IF(I1993=1,IF(J1993=0,Q1993,IF(J1993=1,P1993,IF(J1993=2,O1993,0))),0)</x:f>
        <x:v>1</x:v>
      </x:c>
      <x:c r="T1993" s="19" t="n">
        <x:f>K1993+IF(AND(S1993=1,J1993=0),1,0)</x:f>
        <x:v>3</x:v>
      </x:c>
      <x:c r="U1993" s="19" t="n">
        <x:f>L1993+IF(AND(S1993=1,J1993=1),1,0)</x:f>
        <x:v>1</x:v>
      </x:c>
      <x:c r="V1993" s="19" t="n">
        <x:f>M1993+IF(AND(S1993=1,J1993=2),1,0)</x:f>
        <x:v>4</x:v>
      </x:c>
      <x:c r="W1993" s="19" t="n">
        <x:f>SUM(T1993:V1993)</x:f>
        <x:v>8</x:v>
      </x:c>
      <x:c r="X1993" s="19" t="n">
        <x:f>W1993-G1993</x:f>
        <x:v>0</x:v>
      </x:c>
      <x:c r="Y1993" s="19" t="n">
        <x:f>MAX(T1993,1)+MAX(U1993,1)+MAX(V1993,1)</x:f>
        <x:v>8</x:v>
      </x:c>
      <x:c r="Z1993" s="21" t="str">
        <x:f>IF(AND(MIN(D1993:F1993)&gt;=0,MAX(D1993:F1993)&lt;=7,MAX(D1993,1)+MAX(E1993,1)+MAX(F1993,1)&lt;=9,OR(H1993="-",AND(H1993=0,D1993&gt;0),AND(H1993=1,E1993&gt;0),AND(H1993=2,F1993&gt;0)),OR(I1993=0,AND(I1993=1,OR(J1993=0,J1993=1,J1993=2),R1993&lt;&gt;"000")),Y1993&lt;=9,MIN(T1993:V1993)&gt;=0),"合法","输入违约")</x:f>
        <x:v>合法</x:v>
      </x:c>
    </x:row>
    <x:row r="1994" ht="23" customHeight="1">
      <x:c r="A1994" s="3" t="str">
        <x:v>CT-1987</x:v>
      </x:c>
      <x:c r="B1994" s="3" t="str">
        <x:v>ST-150</x:v>
      </x:c>
      <x:c r="C1994" s="3" t="str">
        <x:v>仅R回收</x:v>
      </x:c>
      <x:c r="D1994" s="25" t="n">
        <x:v>4</x:v>
      </x:c>
      <x:c r="E1994" s="25" t="n">
        <x:v>1</x:v>
      </x:c>
      <x:c r="F1994" s="25" t="n">
        <x:v>3</x:v>
      </x:c>
      <x:c r="G1994" s="19" t="n">
        <x:f>SUM(D1994:F1994)</x:f>
        <x:v>8</x:v>
      </x:c>
      <x:c r="H1994" s="25" t="n">
        <x:v>1</x:v>
      </x:c>
      <x:c r="I1994" s="25" t="n">
        <x:v>0</x:v>
      </x:c>
      <x:c r="J1994" s="25" t="str">
        <x:v>-</x:v>
      </x:c>
      <x:c r="K1994" s="19" t="n">
        <x:f>D1994-IF(H1994=0,1,0)</x:f>
        <x:v>4</x:v>
      </x:c>
      <x:c r="L1994" s="19" t="n">
        <x:f>E1994-IF(H1994=1,1,0)</x:f>
        <x:v>0</x:v>
      </x:c>
      <x:c r="M1994" s="19" t="n">
        <x:f>F1994-IF(H1994=2,1,0)</x:f>
        <x:v>3</x:v>
      </x:c>
      <x:c r="N1994" s="19" t="n">
        <x:f>MAX(K1994-1,0)+MAX(L1994-1,0)+MAX(M1994-1,0)</x:f>
        <x:v>5</x:v>
      </x:c>
      <x:c r="O1994" s="19" t="n">
        <x:f>IF(AND(SUM(K1994:M1994)&lt;9,OR(M1994=0,N1994&lt;6)),1,0)</x:f>
        <x:v>1</x:v>
      </x:c>
      <x:c r="P1994" s="19" t="n">
        <x:f>IF(AND(SUM(K1994:M1994)&lt;9,OR(L1994=0,N1994&lt;6)),1,0)</x:f>
        <x:v>1</x:v>
      </x:c>
      <x:c r="Q1994" s="19" t="n">
        <x:f>IF(AND(SUM(K1994:M1994)&lt;9,OR(K1994=0,N1994&lt;6)),1,0)</x:f>
        <x:v>1</x:v>
      </x:c>
      <x:c r="R1994" s="22" t="str">
        <x:f>O1994&amp;P1994&amp;Q1994</x:f>
        <x:v>111</x:v>
      </x:c>
      <x:c r="S1994" s="19" t="n">
        <x:f>IF(I1994=1,IF(J1994=0,Q1994,IF(J1994=1,P1994,IF(J1994=2,O1994,0))),0)</x:f>
        <x:v>0</x:v>
      </x:c>
      <x:c r="T1994" s="19" t="n">
        <x:f>K1994+IF(AND(S1994=1,J1994=0),1,0)</x:f>
        <x:v>4</x:v>
      </x:c>
      <x:c r="U1994" s="19" t="n">
        <x:f>L1994+IF(AND(S1994=1,J1994=1),1,0)</x:f>
        <x:v>0</x:v>
      </x:c>
      <x:c r="V1994" s="19" t="n">
        <x:f>M1994+IF(AND(S1994=1,J1994=2),1,0)</x:f>
        <x:v>3</x:v>
      </x:c>
      <x:c r="W1994" s="19" t="n">
        <x:f>SUM(T1994:V1994)</x:f>
        <x:v>7</x:v>
      </x:c>
      <x:c r="X1994" s="19" t="n">
        <x:f>W1994-G1994</x:f>
        <x:v>-1</x:v>
      </x:c>
      <x:c r="Y1994" s="19" t="n">
        <x:f>MAX(T1994,1)+MAX(U1994,1)+MAX(V1994,1)</x:f>
        <x:v>8</x:v>
      </x:c>
      <x:c r="Z1994" s="21" t="str">
        <x:f>IF(AND(MIN(D1994:F1994)&gt;=0,MAX(D1994:F1994)&lt;=7,MAX(D1994,1)+MAX(E1994,1)+MAX(F1994,1)&lt;=9,OR(H1994="-",AND(H1994=0,D1994&gt;0),AND(H1994=1,E1994&gt;0),AND(H1994=2,F1994&gt;0)),OR(I1994=0,AND(I1994=1,OR(J1994=0,J1994=1,J1994=2),R1994&lt;&gt;"000")),Y1994&lt;=9,MIN(T1994:V1994)&gt;=0),"合法","输入违约")</x:f>
        <x:v>合法</x:v>
      </x:c>
    </x:row>
    <x:row r="1995" ht="23" customHeight="1">
      <x:c r="A1995" s="3" t="str">
        <x:v>CT-1988</x:v>
      </x:c>
      <x:c r="B1995" s="3" t="str">
        <x:v>ST-150</x:v>
      </x:c>
      <x:c r="C1995" s="3" t="str">
        <x:v>R+AR同收同发</x:v>
      </x:c>
      <x:c r="D1995" s="25" t="n">
        <x:v>4</x:v>
      </x:c>
      <x:c r="E1995" s="25" t="n">
        <x:v>1</x:v>
      </x:c>
      <x:c r="F1995" s="25" t="n">
        <x:v>3</x:v>
      </x:c>
      <x:c r="G1995" s="19" t="n">
        <x:f>SUM(D1995:F1995)</x:f>
        <x:v>8</x:v>
      </x:c>
      <x:c r="H1995" s="25" t="n">
        <x:v>1</x:v>
      </x:c>
      <x:c r="I1995" s="25" t="n">
        <x:v>1</x:v>
      </x:c>
      <x:c r="J1995" s="25" t="n">
        <x:v>0</x:v>
      </x:c>
      <x:c r="K1995" s="19" t="n">
        <x:f>D1995-IF(H1995=0,1,0)</x:f>
        <x:v>4</x:v>
      </x:c>
      <x:c r="L1995" s="19" t="n">
        <x:f>E1995-IF(H1995=1,1,0)</x:f>
        <x:v>0</x:v>
      </x:c>
      <x:c r="M1995" s="19" t="n">
        <x:f>F1995-IF(H1995=2,1,0)</x:f>
        <x:v>3</x:v>
      </x:c>
      <x:c r="N1995" s="19" t="n">
        <x:f>MAX(K1995-1,0)+MAX(L1995-1,0)+MAX(M1995-1,0)</x:f>
        <x:v>5</x:v>
      </x:c>
      <x:c r="O1995" s="19" t="n">
        <x:f>IF(AND(SUM(K1995:M1995)&lt;9,OR(M1995=0,N1995&lt;6)),1,0)</x:f>
        <x:v>1</x:v>
      </x:c>
      <x:c r="P1995" s="19" t="n">
        <x:f>IF(AND(SUM(K1995:M1995)&lt;9,OR(L1995=0,N1995&lt;6)),1,0)</x:f>
        <x:v>1</x:v>
      </x:c>
      <x:c r="Q1995" s="19" t="n">
        <x:f>IF(AND(SUM(K1995:M1995)&lt;9,OR(K1995=0,N1995&lt;6)),1,0)</x:f>
        <x:v>1</x:v>
      </x:c>
      <x:c r="R1995" s="22" t="str">
        <x:f>O1995&amp;P1995&amp;Q1995</x:f>
        <x:v>111</x:v>
      </x:c>
      <x:c r="S1995" s="19" t="n">
        <x:f>IF(I1995=1,IF(J1995=0,Q1995,IF(J1995=1,P1995,IF(J1995=2,O1995,0))),0)</x:f>
        <x:v>1</x:v>
      </x:c>
      <x:c r="T1995" s="19" t="n">
        <x:f>K1995+IF(AND(S1995=1,J1995=0),1,0)</x:f>
        <x:v>5</x:v>
      </x:c>
      <x:c r="U1995" s="19" t="n">
        <x:f>L1995+IF(AND(S1995=1,J1995=1),1,0)</x:f>
        <x:v>0</x:v>
      </x:c>
      <x:c r="V1995" s="19" t="n">
        <x:f>M1995+IF(AND(S1995=1,J1995=2),1,0)</x:f>
        <x:v>3</x:v>
      </x:c>
      <x:c r="W1995" s="19" t="n">
        <x:f>SUM(T1995:V1995)</x:f>
        <x:v>8</x:v>
      </x:c>
      <x:c r="X1995" s="19" t="n">
        <x:f>W1995-G1995</x:f>
        <x:v>0</x:v>
      </x:c>
      <x:c r="Y1995" s="19" t="n">
        <x:f>MAX(T1995,1)+MAX(U1995,1)+MAX(V1995,1)</x:f>
        <x:v>9</x:v>
      </x:c>
      <x:c r="Z1995" s="21" t="str">
        <x:f>IF(AND(MIN(D1995:F1995)&gt;=0,MAX(D1995:F1995)&lt;=7,MAX(D1995,1)+MAX(E1995,1)+MAX(F1995,1)&lt;=9,OR(H1995="-",AND(H1995=0,D1995&gt;0),AND(H1995=1,E1995&gt;0),AND(H1995=2,F1995&gt;0)),OR(I1995=0,AND(I1995=1,OR(J1995=0,J1995=1,J1995=2),R1995&lt;&gt;"000")),Y1995&lt;=9,MIN(T1995:V1995)&gt;=0),"合法","输入违约")</x:f>
        <x:v>合法</x:v>
      </x:c>
    </x:row>
    <x:row r="1996" ht="23" customHeight="1">
      <x:c r="A1996" s="3" t="str">
        <x:v>CT-1989</x:v>
      </x:c>
      <x:c r="B1996" s="3" t="str">
        <x:v>ST-150</x:v>
      </x:c>
      <x:c r="C1996" s="3" t="str">
        <x:v>R+AR同收同发</x:v>
      </x:c>
      <x:c r="D1996" s="25" t="n">
        <x:v>4</x:v>
      </x:c>
      <x:c r="E1996" s="25" t="n">
        <x:v>1</x:v>
      </x:c>
      <x:c r="F1996" s="25" t="n">
        <x:v>3</x:v>
      </x:c>
      <x:c r="G1996" s="19" t="n">
        <x:f>SUM(D1996:F1996)</x:f>
        <x:v>8</x:v>
      </x:c>
      <x:c r="H1996" s="25" t="n">
        <x:v>1</x:v>
      </x:c>
      <x:c r="I1996" s="25" t="n">
        <x:v>1</x:v>
      </x:c>
      <x:c r="J1996" s="25" t="n">
        <x:v>1</x:v>
      </x:c>
      <x:c r="K1996" s="19" t="n">
        <x:f>D1996-IF(H1996=0,1,0)</x:f>
        <x:v>4</x:v>
      </x:c>
      <x:c r="L1996" s="19" t="n">
        <x:f>E1996-IF(H1996=1,1,0)</x:f>
        <x:v>0</x:v>
      </x:c>
      <x:c r="M1996" s="19" t="n">
        <x:f>F1996-IF(H1996=2,1,0)</x:f>
        <x:v>3</x:v>
      </x:c>
      <x:c r="N1996" s="19" t="n">
        <x:f>MAX(K1996-1,0)+MAX(L1996-1,0)+MAX(M1996-1,0)</x:f>
        <x:v>5</x:v>
      </x:c>
      <x:c r="O1996" s="19" t="n">
        <x:f>IF(AND(SUM(K1996:M1996)&lt;9,OR(M1996=0,N1996&lt;6)),1,0)</x:f>
        <x:v>1</x:v>
      </x:c>
      <x:c r="P1996" s="19" t="n">
        <x:f>IF(AND(SUM(K1996:M1996)&lt;9,OR(L1996=0,N1996&lt;6)),1,0)</x:f>
        <x:v>1</x:v>
      </x:c>
      <x:c r="Q1996" s="19" t="n">
        <x:f>IF(AND(SUM(K1996:M1996)&lt;9,OR(K1996=0,N1996&lt;6)),1,0)</x:f>
        <x:v>1</x:v>
      </x:c>
      <x:c r="R1996" s="22" t="str">
        <x:f>O1996&amp;P1996&amp;Q1996</x:f>
        <x:v>111</x:v>
      </x:c>
      <x:c r="S1996" s="19" t="n">
        <x:f>IF(I1996=1,IF(J1996=0,Q1996,IF(J1996=1,P1996,IF(J1996=2,O1996,0))),0)</x:f>
        <x:v>1</x:v>
      </x:c>
      <x:c r="T1996" s="19" t="n">
        <x:f>K1996+IF(AND(S1996=1,J1996=0),1,0)</x:f>
        <x:v>4</x:v>
      </x:c>
      <x:c r="U1996" s="19" t="n">
        <x:f>L1996+IF(AND(S1996=1,J1996=1),1,0)</x:f>
        <x:v>1</x:v>
      </x:c>
      <x:c r="V1996" s="19" t="n">
        <x:f>M1996+IF(AND(S1996=1,J1996=2),1,0)</x:f>
        <x:v>3</x:v>
      </x:c>
      <x:c r="W1996" s="19" t="n">
        <x:f>SUM(T1996:V1996)</x:f>
        <x:v>8</x:v>
      </x:c>
      <x:c r="X1996" s="19" t="n">
        <x:f>W1996-G1996</x:f>
        <x:v>0</x:v>
      </x:c>
      <x:c r="Y1996" s="19" t="n">
        <x:f>MAX(T1996,1)+MAX(U1996,1)+MAX(V1996,1)</x:f>
        <x:v>8</x:v>
      </x:c>
      <x:c r="Z1996" s="21" t="str">
        <x:f>IF(AND(MIN(D1996:F1996)&gt;=0,MAX(D1996:F1996)&lt;=7,MAX(D1996,1)+MAX(E1996,1)+MAX(F1996,1)&lt;=9,OR(H1996="-",AND(H1996=0,D1996&gt;0),AND(H1996=1,E1996&gt;0),AND(H1996=2,F1996&gt;0)),OR(I1996=0,AND(I1996=1,OR(J1996=0,J1996=1,J1996=2),R1996&lt;&gt;"000")),Y1996&lt;=9,MIN(T1996:V1996)&gt;=0),"合法","输入违约")</x:f>
        <x:v>合法</x:v>
      </x:c>
    </x:row>
    <x:row r="1997" ht="23" customHeight="1">
      <x:c r="A1997" s="3" t="str">
        <x:v>CT-1990</x:v>
      </x:c>
      <x:c r="B1997" s="3" t="str">
        <x:v>ST-150</x:v>
      </x:c>
      <x:c r="C1997" s="3" t="str">
        <x:v>R+AR同收同发</x:v>
      </x:c>
      <x:c r="D1997" s="25" t="n">
        <x:v>4</x:v>
      </x:c>
      <x:c r="E1997" s="25" t="n">
        <x:v>1</x:v>
      </x:c>
      <x:c r="F1997" s="25" t="n">
        <x:v>3</x:v>
      </x:c>
      <x:c r="G1997" s="19" t="n">
        <x:f>SUM(D1997:F1997)</x:f>
        <x:v>8</x:v>
      </x:c>
      <x:c r="H1997" s="25" t="n">
        <x:v>1</x:v>
      </x:c>
      <x:c r="I1997" s="25" t="n">
        <x:v>1</x:v>
      </x:c>
      <x:c r="J1997" s="25" t="n">
        <x:v>2</x:v>
      </x:c>
      <x:c r="K1997" s="19" t="n">
        <x:f>D1997-IF(H1997=0,1,0)</x:f>
        <x:v>4</x:v>
      </x:c>
      <x:c r="L1997" s="19" t="n">
        <x:f>E1997-IF(H1997=1,1,0)</x:f>
        <x:v>0</x:v>
      </x:c>
      <x:c r="M1997" s="19" t="n">
        <x:f>F1997-IF(H1997=2,1,0)</x:f>
        <x:v>3</x:v>
      </x:c>
      <x:c r="N1997" s="19" t="n">
        <x:f>MAX(K1997-1,0)+MAX(L1997-1,0)+MAX(M1997-1,0)</x:f>
        <x:v>5</x:v>
      </x:c>
      <x:c r="O1997" s="19" t="n">
        <x:f>IF(AND(SUM(K1997:M1997)&lt;9,OR(M1997=0,N1997&lt;6)),1,0)</x:f>
        <x:v>1</x:v>
      </x:c>
      <x:c r="P1997" s="19" t="n">
        <x:f>IF(AND(SUM(K1997:M1997)&lt;9,OR(L1997=0,N1997&lt;6)),1,0)</x:f>
        <x:v>1</x:v>
      </x:c>
      <x:c r="Q1997" s="19" t="n">
        <x:f>IF(AND(SUM(K1997:M1997)&lt;9,OR(K1997=0,N1997&lt;6)),1,0)</x:f>
        <x:v>1</x:v>
      </x:c>
      <x:c r="R1997" s="22" t="str">
        <x:f>O1997&amp;P1997&amp;Q1997</x:f>
        <x:v>111</x:v>
      </x:c>
      <x:c r="S1997" s="19" t="n">
        <x:f>IF(I1997=1,IF(J1997=0,Q1997,IF(J1997=1,P1997,IF(J1997=2,O1997,0))),0)</x:f>
        <x:v>1</x:v>
      </x:c>
      <x:c r="T1997" s="19" t="n">
        <x:f>K1997+IF(AND(S1997=1,J1997=0),1,0)</x:f>
        <x:v>4</x:v>
      </x:c>
      <x:c r="U1997" s="19" t="n">
        <x:f>L1997+IF(AND(S1997=1,J1997=1),1,0)</x:f>
        <x:v>0</x:v>
      </x:c>
      <x:c r="V1997" s="19" t="n">
        <x:f>M1997+IF(AND(S1997=1,J1997=2),1,0)</x:f>
        <x:v>4</x:v>
      </x:c>
      <x:c r="W1997" s="19" t="n">
        <x:f>SUM(T1997:V1997)</x:f>
        <x:v>8</x:v>
      </x:c>
      <x:c r="X1997" s="19" t="n">
        <x:f>W1997-G1997</x:f>
        <x:v>0</x:v>
      </x:c>
      <x:c r="Y1997" s="19" t="n">
        <x:f>MAX(T1997,1)+MAX(U1997,1)+MAX(V1997,1)</x:f>
        <x:v>9</x:v>
      </x:c>
      <x:c r="Z1997" s="21" t="str">
        <x:f>IF(AND(MIN(D1997:F1997)&gt;=0,MAX(D1997:F1997)&lt;=7,MAX(D1997,1)+MAX(E1997,1)+MAX(F1997,1)&lt;=9,OR(H1997="-",AND(H1997=0,D1997&gt;0),AND(H1997=1,E1997&gt;0),AND(H1997=2,F1997&gt;0)),OR(I1997=0,AND(I1997=1,OR(J1997=0,J1997=1,J1997=2),R1997&lt;&gt;"000")),Y1997&lt;=9,MIN(T1997:V1997)&gt;=0),"合法","输入违约")</x:f>
        <x:v>合法</x:v>
      </x:c>
    </x:row>
    <x:row r="1998" ht="23" customHeight="1">
      <x:c r="A1998" s="3" t="str">
        <x:v>CT-1991</x:v>
      </x:c>
      <x:c r="B1998" s="3" t="str">
        <x:v>ST-150</x:v>
      </x:c>
      <x:c r="C1998" s="3" t="str">
        <x:v>仅R回收</x:v>
      </x:c>
      <x:c r="D1998" s="25" t="n">
        <x:v>4</x:v>
      </x:c>
      <x:c r="E1998" s="25" t="n">
        <x:v>1</x:v>
      </x:c>
      <x:c r="F1998" s="25" t="n">
        <x:v>3</x:v>
      </x:c>
      <x:c r="G1998" s="19" t="n">
        <x:f>SUM(D1998:F1998)</x:f>
        <x:v>8</x:v>
      </x:c>
      <x:c r="H1998" s="25" t="n">
        <x:v>2</x:v>
      </x:c>
      <x:c r="I1998" s="25" t="n">
        <x:v>0</x:v>
      </x:c>
      <x:c r="J1998" s="25" t="str">
        <x:v>-</x:v>
      </x:c>
      <x:c r="K1998" s="19" t="n">
        <x:f>D1998-IF(H1998=0,1,0)</x:f>
        <x:v>4</x:v>
      </x:c>
      <x:c r="L1998" s="19" t="n">
        <x:f>E1998-IF(H1998=1,1,0)</x:f>
        <x:v>1</x:v>
      </x:c>
      <x:c r="M1998" s="19" t="n">
        <x:f>F1998-IF(H1998=2,1,0)</x:f>
        <x:v>2</x:v>
      </x:c>
      <x:c r="N1998" s="19" t="n">
        <x:f>MAX(K1998-1,0)+MAX(L1998-1,0)+MAX(M1998-1,0)</x:f>
        <x:v>4</x:v>
      </x:c>
      <x:c r="O1998" s="19" t="n">
        <x:f>IF(AND(SUM(K1998:M1998)&lt;9,OR(M1998=0,N1998&lt;6)),1,0)</x:f>
        <x:v>1</x:v>
      </x:c>
      <x:c r="P1998" s="19" t="n">
        <x:f>IF(AND(SUM(K1998:M1998)&lt;9,OR(L1998=0,N1998&lt;6)),1,0)</x:f>
        <x:v>1</x:v>
      </x:c>
      <x:c r="Q1998" s="19" t="n">
        <x:f>IF(AND(SUM(K1998:M1998)&lt;9,OR(K1998=0,N1998&lt;6)),1,0)</x:f>
        <x:v>1</x:v>
      </x:c>
      <x:c r="R1998" s="22" t="str">
        <x:f>O1998&amp;P1998&amp;Q1998</x:f>
        <x:v>111</x:v>
      </x:c>
      <x:c r="S1998" s="19" t="n">
        <x:f>IF(I1998=1,IF(J1998=0,Q1998,IF(J1998=1,P1998,IF(J1998=2,O1998,0))),0)</x:f>
        <x:v>0</x:v>
      </x:c>
      <x:c r="T1998" s="19" t="n">
        <x:f>K1998+IF(AND(S1998=1,J1998=0),1,0)</x:f>
        <x:v>4</x:v>
      </x:c>
      <x:c r="U1998" s="19" t="n">
        <x:f>L1998+IF(AND(S1998=1,J1998=1),1,0)</x:f>
        <x:v>1</x:v>
      </x:c>
      <x:c r="V1998" s="19" t="n">
        <x:f>M1998+IF(AND(S1998=1,J1998=2),1,0)</x:f>
        <x:v>2</x:v>
      </x:c>
      <x:c r="W1998" s="19" t="n">
        <x:f>SUM(T1998:V1998)</x:f>
        <x:v>7</x:v>
      </x:c>
      <x:c r="X1998" s="19" t="n">
        <x:f>W1998-G1998</x:f>
        <x:v>-1</x:v>
      </x:c>
      <x:c r="Y1998" s="19" t="n">
        <x:f>MAX(T1998,1)+MAX(U1998,1)+MAX(V1998,1)</x:f>
        <x:v>7</x:v>
      </x:c>
      <x:c r="Z1998" s="21" t="str">
        <x:f>IF(AND(MIN(D1998:F1998)&gt;=0,MAX(D1998:F1998)&lt;=7,MAX(D1998,1)+MAX(E1998,1)+MAX(F1998,1)&lt;=9,OR(H1998="-",AND(H1998=0,D1998&gt;0),AND(H1998=1,E1998&gt;0),AND(H1998=2,F1998&gt;0)),OR(I1998=0,AND(I1998=1,OR(J1998=0,J1998=1,J1998=2),R1998&lt;&gt;"000")),Y1998&lt;=9,MIN(T1998:V1998)&gt;=0),"合法","输入违约")</x:f>
        <x:v>合法</x:v>
      </x:c>
    </x:row>
    <x:row r="1999" ht="23" customHeight="1">
      <x:c r="A1999" s="3" t="str">
        <x:v>CT-1992</x:v>
      </x:c>
      <x:c r="B1999" s="3" t="str">
        <x:v>ST-150</x:v>
      </x:c>
      <x:c r="C1999" s="3" t="str">
        <x:v>R+AR同收同发</x:v>
      </x:c>
      <x:c r="D1999" s="25" t="n">
        <x:v>4</x:v>
      </x:c>
      <x:c r="E1999" s="25" t="n">
        <x:v>1</x:v>
      </x:c>
      <x:c r="F1999" s="25" t="n">
        <x:v>3</x:v>
      </x:c>
      <x:c r="G1999" s="19" t="n">
        <x:f>SUM(D1999:F1999)</x:f>
        <x:v>8</x:v>
      </x:c>
      <x:c r="H1999" s="25" t="n">
        <x:v>2</x:v>
      </x:c>
      <x:c r="I1999" s="25" t="n">
        <x:v>1</x:v>
      </x:c>
      <x:c r="J1999" s="25" t="n">
        <x:v>0</x:v>
      </x:c>
      <x:c r="K1999" s="19" t="n">
        <x:f>D1999-IF(H1999=0,1,0)</x:f>
        <x:v>4</x:v>
      </x:c>
      <x:c r="L1999" s="19" t="n">
        <x:f>E1999-IF(H1999=1,1,0)</x:f>
        <x:v>1</x:v>
      </x:c>
      <x:c r="M1999" s="19" t="n">
        <x:f>F1999-IF(H1999=2,1,0)</x:f>
        <x:v>2</x:v>
      </x:c>
      <x:c r="N1999" s="19" t="n">
        <x:f>MAX(K1999-1,0)+MAX(L1999-1,0)+MAX(M1999-1,0)</x:f>
        <x:v>4</x:v>
      </x:c>
      <x:c r="O1999" s="19" t="n">
        <x:f>IF(AND(SUM(K1999:M1999)&lt;9,OR(M1999=0,N1999&lt;6)),1,0)</x:f>
        <x:v>1</x:v>
      </x:c>
      <x:c r="P1999" s="19" t="n">
        <x:f>IF(AND(SUM(K1999:M1999)&lt;9,OR(L1999=0,N1999&lt;6)),1,0)</x:f>
        <x:v>1</x:v>
      </x:c>
      <x:c r="Q1999" s="19" t="n">
        <x:f>IF(AND(SUM(K1999:M1999)&lt;9,OR(K1999=0,N1999&lt;6)),1,0)</x:f>
        <x:v>1</x:v>
      </x:c>
      <x:c r="R1999" s="22" t="str">
        <x:f>O1999&amp;P1999&amp;Q1999</x:f>
        <x:v>111</x:v>
      </x:c>
      <x:c r="S1999" s="19" t="n">
        <x:f>IF(I1999=1,IF(J1999=0,Q1999,IF(J1999=1,P1999,IF(J1999=2,O1999,0))),0)</x:f>
        <x:v>1</x:v>
      </x:c>
      <x:c r="T1999" s="19" t="n">
        <x:f>K1999+IF(AND(S1999=1,J1999=0),1,0)</x:f>
        <x:v>5</x:v>
      </x:c>
      <x:c r="U1999" s="19" t="n">
        <x:f>L1999+IF(AND(S1999=1,J1999=1),1,0)</x:f>
        <x:v>1</x:v>
      </x:c>
      <x:c r="V1999" s="19" t="n">
        <x:f>M1999+IF(AND(S1999=1,J1999=2),1,0)</x:f>
        <x:v>2</x:v>
      </x:c>
      <x:c r="W1999" s="19" t="n">
        <x:f>SUM(T1999:V1999)</x:f>
        <x:v>8</x:v>
      </x:c>
      <x:c r="X1999" s="19" t="n">
        <x:f>W1999-G1999</x:f>
        <x:v>0</x:v>
      </x:c>
      <x:c r="Y1999" s="19" t="n">
        <x:f>MAX(T1999,1)+MAX(U1999,1)+MAX(V1999,1)</x:f>
        <x:v>8</x:v>
      </x:c>
      <x:c r="Z1999" s="21" t="str">
        <x:f>IF(AND(MIN(D1999:F1999)&gt;=0,MAX(D1999:F1999)&lt;=7,MAX(D1999,1)+MAX(E1999,1)+MAX(F1999,1)&lt;=9,OR(H1999="-",AND(H1999=0,D1999&gt;0),AND(H1999=1,E1999&gt;0),AND(H1999=2,F1999&gt;0)),OR(I1999=0,AND(I1999=1,OR(J1999=0,J1999=1,J1999=2),R1999&lt;&gt;"000")),Y1999&lt;=9,MIN(T1999:V1999)&gt;=0),"合法","输入违约")</x:f>
        <x:v>合法</x:v>
      </x:c>
    </x:row>
    <x:row r="2000" ht="23" customHeight="1">
      <x:c r="A2000" s="3" t="str">
        <x:v>CT-1993</x:v>
      </x:c>
      <x:c r="B2000" s="3" t="str">
        <x:v>ST-150</x:v>
      </x:c>
      <x:c r="C2000" s="3" t="str">
        <x:v>R+AR同收同发</x:v>
      </x:c>
      <x:c r="D2000" s="25" t="n">
        <x:v>4</x:v>
      </x:c>
      <x:c r="E2000" s="25" t="n">
        <x:v>1</x:v>
      </x:c>
      <x:c r="F2000" s="25" t="n">
        <x:v>3</x:v>
      </x:c>
      <x:c r="G2000" s="19" t="n">
        <x:f>SUM(D2000:F2000)</x:f>
        <x:v>8</x:v>
      </x:c>
      <x:c r="H2000" s="25" t="n">
        <x:v>2</x:v>
      </x:c>
      <x:c r="I2000" s="25" t="n">
        <x:v>1</x:v>
      </x:c>
      <x:c r="J2000" s="25" t="n">
        <x:v>1</x:v>
      </x:c>
      <x:c r="K2000" s="19" t="n">
        <x:f>D2000-IF(H2000=0,1,0)</x:f>
        <x:v>4</x:v>
      </x:c>
      <x:c r="L2000" s="19" t="n">
        <x:f>E2000-IF(H2000=1,1,0)</x:f>
        <x:v>1</x:v>
      </x:c>
      <x:c r="M2000" s="19" t="n">
        <x:f>F2000-IF(H2000=2,1,0)</x:f>
        <x:v>2</x:v>
      </x:c>
      <x:c r="N2000" s="19" t="n">
        <x:f>MAX(K2000-1,0)+MAX(L2000-1,0)+MAX(M2000-1,0)</x:f>
        <x:v>4</x:v>
      </x:c>
      <x:c r="O2000" s="19" t="n">
        <x:f>IF(AND(SUM(K2000:M2000)&lt;9,OR(M2000=0,N2000&lt;6)),1,0)</x:f>
        <x:v>1</x:v>
      </x:c>
      <x:c r="P2000" s="19" t="n">
        <x:f>IF(AND(SUM(K2000:M2000)&lt;9,OR(L2000=0,N2000&lt;6)),1,0)</x:f>
        <x:v>1</x:v>
      </x:c>
      <x:c r="Q2000" s="19" t="n">
        <x:f>IF(AND(SUM(K2000:M2000)&lt;9,OR(K2000=0,N2000&lt;6)),1,0)</x:f>
        <x:v>1</x:v>
      </x:c>
      <x:c r="R2000" s="22" t="str">
        <x:f>O2000&amp;P2000&amp;Q2000</x:f>
        <x:v>111</x:v>
      </x:c>
      <x:c r="S2000" s="19" t="n">
        <x:f>IF(I2000=1,IF(J2000=0,Q2000,IF(J2000=1,P2000,IF(J2000=2,O2000,0))),0)</x:f>
        <x:v>1</x:v>
      </x:c>
      <x:c r="T2000" s="19" t="n">
        <x:f>K2000+IF(AND(S2000=1,J2000=0),1,0)</x:f>
        <x:v>4</x:v>
      </x:c>
      <x:c r="U2000" s="19" t="n">
        <x:f>L2000+IF(AND(S2000=1,J2000=1),1,0)</x:f>
        <x:v>2</x:v>
      </x:c>
      <x:c r="V2000" s="19" t="n">
        <x:f>M2000+IF(AND(S2000=1,J2000=2),1,0)</x:f>
        <x:v>2</x:v>
      </x:c>
      <x:c r="W2000" s="19" t="n">
        <x:f>SUM(T2000:V2000)</x:f>
        <x:v>8</x:v>
      </x:c>
      <x:c r="X2000" s="19" t="n">
        <x:f>W2000-G2000</x:f>
        <x:v>0</x:v>
      </x:c>
      <x:c r="Y2000" s="19" t="n">
        <x:f>MAX(T2000,1)+MAX(U2000,1)+MAX(V2000,1)</x:f>
        <x:v>8</x:v>
      </x:c>
      <x:c r="Z2000" s="21" t="str">
        <x:f>IF(AND(MIN(D2000:F2000)&gt;=0,MAX(D2000:F2000)&lt;=7,MAX(D2000,1)+MAX(E2000,1)+MAX(F2000,1)&lt;=9,OR(H2000="-",AND(H2000=0,D2000&gt;0),AND(H2000=1,E2000&gt;0),AND(H2000=2,F2000&gt;0)),OR(I2000=0,AND(I2000=1,OR(J2000=0,J2000=1,J2000=2),R2000&lt;&gt;"000")),Y2000&lt;=9,MIN(T2000:V2000)&gt;=0),"合法","输入违约")</x:f>
        <x:v>合法</x:v>
      </x:c>
    </x:row>
    <x:row r="2001" ht="23" customHeight="1">
      <x:c r="A2001" s="3" t="str">
        <x:v>CT-1994</x:v>
      </x:c>
      <x:c r="B2001" s="3" t="str">
        <x:v>ST-150</x:v>
      </x:c>
      <x:c r="C2001" s="3" t="str">
        <x:v>R+AR同收同发</x:v>
      </x:c>
      <x:c r="D2001" s="25" t="n">
        <x:v>4</x:v>
      </x:c>
      <x:c r="E2001" s="25" t="n">
        <x:v>1</x:v>
      </x:c>
      <x:c r="F2001" s="25" t="n">
        <x:v>3</x:v>
      </x:c>
      <x:c r="G2001" s="19" t="n">
        <x:f>SUM(D2001:F2001)</x:f>
        <x:v>8</x:v>
      </x:c>
      <x:c r="H2001" s="25" t="n">
        <x:v>2</x:v>
      </x:c>
      <x:c r="I2001" s="25" t="n">
        <x:v>1</x:v>
      </x:c>
      <x:c r="J2001" s="25" t="n">
        <x:v>2</x:v>
      </x:c>
      <x:c r="K2001" s="19" t="n">
        <x:f>D2001-IF(H2001=0,1,0)</x:f>
        <x:v>4</x:v>
      </x:c>
      <x:c r="L2001" s="19" t="n">
        <x:f>E2001-IF(H2001=1,1,0)</x:f>
        <x:v>1</x:v>
      </x:c>
      <x:c r="M2001" s="19" t="n">
        <x:f>F2001-IF(H2001=2,1,0)</x:f>
        <x:v>2</x:v>
      </x:c>
      <x:c r="N2001" s="19" t="n">
        <x:f>MAX(K2001-1,0)+MAX(L2001-1,0)+MAX(M2001-1,0)</x:f>
        <x:v>4</x:v>
      </x:c>
      <x:c r="O2001" s="19" t="n">
        <x:f>IF(AND(SUM(K2001:M2001)&lt;9,OR(M2001=0,N2001&lt;6)),1,0)</x:f>
        <x:v>1</x:v>
      </x:c>
      <x:c r="P2001" s="19" t="n">
        <x:f>IF(AND(SUM(K2001:M2001)&lt;9,OR(L2001=0,N2001&lt;6)),1,0)</x:f>
        <x:v>1</x:v>
      </x:c>
      <x:c r="Q2001" s="19" t="n">
        <x:f>IF(AND(SUM(K2001:M2001)&lt;9,OR(K2001=0,N2001&lt;6)),1,0)</x:f>
        <x:v>1</x:v>
      </x:c>
      <x:c r="R2001" s="22" t="str">
        <x:f>O2001&amp;P2001&amp;Q2001</x:f>
        <x:v>111</x:v>
      </x:c>
      <x:c r="S2001" s="19" t="n">
        <x:f>IF(I2001=1,IF(J2001=0,Q2001,IF(J2001=1,P2001,IF(J2001=2,O2001,0))),0)</x:f>
        <x:v>1</x:v>
      </x:c>
      <x:c r="T2001" s="19" t="n">
        <x:f>K2001+IF(AND(S2001=1,J2001=0),1,0)</x:f>
        <x:v>4</x:v>
      </x:c>
      <x:c r="U2001" s="19" t="n">
        <x:f>L2001+IF(AND(S2001=1,J2001=1),1,0)</x:f>
        <x:v>1</x:v>
      </x:c>
      <x:c r="V2001" s="19" t="n">
        <x:f>M2001+IF(AND(S2001=1,J2001=2),1,0)</x:f>
        <x:v>3</x:v>
      </x:c>
      <x:c r="W2001" s="19" t="n">
        <x:f>SUM(T2001:V2001)</x:f>
        <x:v>8</x:v>
      </x:c>
      <x:c r="X2001" s="19" t="n">
        <x:f>W2001-G2001</x:f>
        <x:v>0</x:v>
      </x:c>
      <x:c r="Y2001" s="19" t="n">
        <x:f>MAX(T2001,1)+MAX(U2001,1)+MAX(V2001,1)</x:f>
        <x:v>8</x:v>
      </x:c>
      <x:c r="Z2001" s="21" t="str">
        <x:f>IF(AND(MIN(D2001:F2001)&gt;=0,MAX(D2001:F2001)&lt;=7,MAX(D2001,1)+MAX(E2001,1)+MAX(F2001,1)&lt;=9,OR(H2001="-",AND(H2001=0,D2001&gt;0),AND(H2001=1,E2001&gt;0),AND(H2001=2,F2001&gt;0)),OR(I2001=0,AND(I2001=1,OR(J2001=0,J2001=1,J2001=2),R2001&lt;&gt;"000")),Y2001&lt;=9,MIN(T2001:V2001)&gt;=0),"合法","输入违约")</x:f>
        <x:v>合法</x:v>
      </x:c>
    </x:row>
    <x:row r="2002" ht="23" customHeight="1">
      <x:c r="A2002" s="3" t="str">
        <x:v>CT-1995</x:v>
      </x:c>
      <x:c r="B2002" s="3" t="str">
        <x:v>ST-181</x:v>
      </x:c>
      <x:c r="C2002" s="3" t="str">
        <x:v>无AR/R</x:v>
      </x:c>
      <x:c r="D2002" s="25" t="n">
        <x:v>4</x:v>
      </x:c>
      <x:c r="E2002" s="25" t="n">
        <x:v>1</x:v>
      </x:c>
      <x:c r="F2002" s="25" t="n">
        <x:v>4</x:v>
      </x:c>
      <x:c r="G2002" s="19" t="n">
        <x:f>SUM(D2002:F2002)</x:f>
        <x:v>9</x:v>
      </x:c>
      <x:c r="H2002" s="25" t="str">
        <x:v>-</x:v>
      </x:c>
      <x:c r="I2002" s="25" t="n">
        <x:v>0</x:v>
      </x:c>
      <x:c r="J2002" s="25" t="str">
        <x:v>-</x:v>
      </x:c>
      <x:c r="K2002" s="19" t="n">
        <x:f>D2002-IF(H2002=0,1,0)</x:f>
        <x:v>4</x:v>
      </x:c>
      <x:c r="L2002" s="19" t="n">
        <x:f>E2002-IF(H2002=1,1,0)</x:f>
        <x:v>1</x:v>
      </x:c>
      <x:c r="M2002" s="19" t="n">
        <x:f>F2002-IF(H2002=2,1,0)</x:f>
        <x:v>4</x:v>
      </x:c>
      <x:c r="N2002" s="19" t="n">
        <x:f>MAX(K2002-1,0)+MAX(L2002-1,0)+MAX(M2002-1,0)</x:f>
        <x:v>6</x:v>
      </x:c>
      <x:c r="O2002" s="19" t="n">
        <x:f>IF(AND(SUM(K2002:M2002)&lt;9,OR(M2002=0,N2002&lt;6)),1,0)</x:f>
        <x:v>0</x:v>
      </x:c>
      <x:c r="P2002" s="19" t="n">
        <x:f>IF(AND(SUM(K2002:M2002)&lt;9,OR(L2002=0,N2002&lt;6)),1,0)</x:f>
        <x:v>0</x:v>
      </x:c>
      <x:c r="Q2002" s="19" t="n">
        <x:f>IF(AND(SUM(K2002:M2002)&lt;9,OR(K2002=0,N2002&lt;6)),1,0)</x:f>
        <x:v>0</x:v>
      </x:c>
      <x:c r="R2002" s="22" t="str">
        <x:f>O2002&amp;P2002&amp;Q2002</x:f>
        <x:v>000</x:v>
      </x:c>
      <x:c r="S2002" s="19" t="n">
        <x:f>IF(I2002=1,IF(J2002=0,Q2002,IF(J2002=1,P2002,IF(J2002=2,O2002,0))),0)</x:f>
        <x:v>0</x:v>
      </x:c>
      <x:c r="T2002" s="19" t="n">
        <x:f>K2002+IF(AND(S2002=1,J2002=0),1,0)</x:f>
        <x:v>4</x:v>
      </x:c>
      <x:c r="U2002" s="19" t="n">
        <x:f>L2002+IF(AND(S2002=1,J2002=1),1,0)</x:f>
        <x:v>1</x:v>
      </x:c>
      <x:c r="V2002" s="19" t="n">
        <x:f>M2002+IF(AND(S2002=1,J2002=2),1,0)</x:f>
        <x:v>4</x:v>
      </x:c>
      <x:c r="W2002" s="19" t="n">
        <x:f>SUM(T2002:V2002)</x:f>
        <x:v>9</x:v>
      </x:c>
      <x:c r="X2002" s="19" t="n">
        <x:f>W2002-G2002</x:f>
        <x:v>0</x:v>
      </x:c>
      <x:c r="Y2002" s="19" t="n">
        <x:f>MAX(T2002,1)+MAX(U2002,1)+MAX(V2002,1)</x:f>
        <x:v>9</x:v>
      </x:c>
      <x:c r="Z2002" s="21" t="str">
        <x:f>IF(AND(MIN(D2002:F2002)&gt;=0,MAX(D2002:F2002)&lt;=7,MAX(D2002,1)+MAX(E2002,1)+MAX(F2002,1)&lt;=9,OR(H2002="-",AND(H2002=0,D2002&gt;0),AND(H2002=1,E2002&gt;0),AND(H2002=2,F2002&gt;0)),OR(I2002=0,AND(I2002=1,OR(J2002=0,J2002=1,J2002=2),R2002&lt;&gt;"000")),Y2002&lt;=9,MIN(T2002:V2002)&gt;=0),"合法","输入违约")</x:f>
        <x:v>合法</x:v>
      </x:c>
    </x:row>
    <x:row r="2003" ht="23" customHeight="1">
      <x:c r="A2003" s="3" t="str">
        <x:v>CT-1996</x:v>
      </x:c>
      <x:c r="B2003" s="3" t="str">
        <x:v>ST-181</x:v>
      </x:c>
      <x:c r="C2003" s="3" t="str">
        <x:v>仅R回收</x:v>
      </x:c>
      <x:c r="D2003" s="25" t="n">
        <x:v>4</x:v>
      </x:c>
      <x:c r="E2003" s="25" t="n">
        <x:v>1</x:v>
      </x:c>
      <x:c r="F2003" s="25" t="n">
        <x:v>4</x:v>
      </x:c>
      <x:c r="G2003" s="19" t="n">
        <x:f>SUM(D2003:F2003)</x:f>
        <x:v>9</x:v>
      </x:c>
      <x:c r="H2003" s="25" t="n">
        <x:v>0</x:v>
      </x:c>
      <x:c r="I2003" s="25" t="n">
        <x:v>0</x:v>
      </x:c>
      <x:c r="J2003" s="25" t="str">
        <x:v>-</x:v>
      </x:c>
      <x:c r="K2003" s="19" t="n">
        <x:f>D2003-IF(H2003=0,1,0)</x:f>
        <x:v>3</x:v>
      </x:c>
      <x:c r="L2003" s="19" t="n">
        <x:f>E2003-IF(H2003=1,1,0)</x:f>
        <x:v>1</x:v>
      </x:c>
      <x:c r="M2003" s="19" t="n">
        <x:f>F2003-IF(H2003=2,1,0)</x:f>
        <x:v>4</x:v>
      </x:c>
      <x:c r="N2003" s="19" t="n">
        <x:f>MAX(K2003-1,0)+MAX(L2003-1,0)+MAX(M2003-1,0)</x:f>
        <x:v>5</x:v>
      </x:c>
      <x:c r="O2003" s="19" t="n">
        <x:f>IF(AND(SUM(K2003:M2003)&lt;9,OR(M2003=0,N2003&lt;6)),1,0)</x:f>
        <x:v>1</x:v>
      </x:c>
      <x:c r="P2003" s="19" t="n">
        <x:f>IF(AND(SUM(K2003:M2003)&lt;9,OR(L2003=0,N2003&lt;6)),1,0)</x:f>
        <x:v>1</x:v>
      </x:c>
      <x:c r="Q2003" s="19" t="n">
        <x:f>IF(AND(SUM(K2003:M2003)&lt;9,OR(K2003=0,N2003&lt;6)),1,0)</x:f>
        <x:v>1</x:v>
      </x:c>
      <x:c r="R2003" s="22" t="str">
        <x:f>O2003&amp;P2003&amp;Q2003</x:f>
        <x:v>111</x:v>
      </x:c>
      <x:c r="S2003" s="19" t="n">
        <x:f>IF(I2003=1,IF(J2003=0,Q2003,IF(J2003=1,P2003,IF(J2003=2,O2003,0))),0)</x:f>
        <x:v>0</x:v>
      </x:c>
      <x:c r="T2003" s="19" t="n">
        <x:f>K2003+IF(AND(S2003=1,J2003=0),1,0)</x:f>
        <x:v>3</x:v>
      </x:c>
      <x:c r="U2003" s="19" t="n">
        <x:f>L2003+IF(AND(S2003=1,J2003=1),1,0)</x:f>
        <x:v>1</x:v>
      </x:c>
      <x:c r="V2003" s="19" t="n">
        <x:f>M2003+IF(AND(S2003=1,J2003=2),1,0)</x:f>
        <x:v>4</x:v>
      </x:c>
      <x:c r="W2003" s="19" t="n">
        <x:f>SUM(T2003:V2003)</x:f>
        <x:v>8</x:v>
      </x:c>
      <x:c r="X2003" s="19" t="n">
        <x:f>W2003-G2003</x:f>
        <x:v>-1</x:v>
      </x:c>
      <x:c r="Y2003" s="19" t="n">
        <x:f>MAX(T2003,1)+MAX(U2003,1)+MAX(V2003,1)</x:f>
        <x:v>8</x:v>
      </x:c>
      <x:c r="Z2003" s="21" t="str">
        <x:f>IF(AND(MIN(D2003:F2003)&gt;=0,MAX(D2003:F2003)&lt;=7,MAX(D2003,1)+MAX(E2003,1)+MAX(F2003,1)&lt;=9,OR(H2003="-",AND(H2003=0,D2003&gt;0),AND(H2003=1,E2003&gt;0),AND(H2003=2,F2003&gt;0)),OR(I2003=0,AND(I2003=1,OR(J2003=0,J2003=1,J2003=2),R2003&lt;&gt;"000")),Y2003&lt;=9,MIN(T2003:V2003)&gt;=0),"合法","输入违约")</x:f>
        <x:v>合法</x:v>
      </x:c>
    </x:row>
    <x:row r="2004" ht="23" customHeight="1">
      <x:c r="A2004" s="3" t="str">
        <x:v>CT-1997</x:v>
      </x:c>
      <x:c r="B2004" s="3" t="str">
        <x:v>ST-181</x:v>
      </x:c>
      <x:c r="C2004" s="3" t="str">
        <x:v>R+AR同收同发</x:v>
      </x:c>
      <x:c r="D2004" s="25" t="n">
        <x:v>4</x:v>
      </x:c>
      <x:c r="E2004" s="25" t="n">
        <x:v>1</x:v>
      </x:c>
      <x:c r="F2004" s="25" t="n">
        <x:v>4</x:v>
      </x:c>
      <x:c r="G2004" s="19" t="n">
        <x:f>SUM(D2004:F2004)</x:f>
        <x:v>9</x:v>
      </x:c>
      <x:c r="H2004" s="25" t="n">
        <x:v>0</x:v>
      </x:c>
      <x:c r="I2004" s="25" t="n">
        <x:v>1</x:v>
      </x:c>
      <x:c r="J2004" s="25" t="n">
        <x:v>0</x:v>
      </x:c>
      <x:c r="K2004" s="19" t="n">
        <x:f>D2004-IF(H2004=0,1,0)</x:f>
        <x:v>3</x:v>
      </x:c>
      <x:c r="L2004" s="19" t="n">
        <x:f>E2004-IF(H2004=1,1,0)</x:f>
        <x:v>1</x:v>
      </x:c>
      <x:c r="M2004" s="19" t="n">
        <x:f>F2004-IF(H2004=2,1,0)</x:f>
        <x:v>4</x:v>
      </x:c>
      <x:c r="N2004" s="19" t="n">
        <x:f>MAX(K2004-1,0)+MAX(L2004-1,0)+MAX(M2004-1,0)</x:f>
        <x:v>5</x:v>
      </x:c>
      <x:c r="O2004" s="19" t="n">
        <x:f>IF(AND(SUM(K2004:M2004)&lt;9,OR(M2004=0,N2004&lt;6)),1,0)</x:f>
        <x:v>1</x:v>
      </x:c>
      <x:c r="P2004" s="19" t="n">
        <x:f>IF(AND(SUM(K2004:M2004)&lt;9,OR(L2004=0,N2004&lt;6)),1,0)</x:f>
        <x:v>1</x:v>
      </x:c>
      <x:c r="Q2004" s="19" t="n">
        <x:f>IF(AND(SUM(K2004:M2004)&lt;9,OR(K2004=0,N2004&lt;6)),1,0)</x:f>
        <x:v>1</x:v>
      </x:c>
      <x:c r="R2004" s="22" t="str">
        <x:f>O2004&amp;P2004&amp;Q2004</x:f>
        <x:v>111</x:v>
      </x:c>
      <x:c r="S2004" s="19" t="n">
        <x:f>IF(I2004=1,IF(J2004=0,Q2004,IF(J2004=1,P2004,IF(J2004=2,O2004,0))),0)</x:f>
        <x:v>1</x:v>
      </x:c>
      <x:c r="T2004" s="19" t="n">
        <x:f>K2004+IF(AND(S2004=1,J2004=0),1,0)</x:f>
        <x:v>4</x:v>
      </x:c>
      <x:c r="U2004" s="19" t="n">
        <x:f>L2004+IF(AND(S2004=1,J2004=1),1,0)</x:f>
        <x:v>1</x:v>
      </x:c>
      <x:c r="V2004" s="19" t="n">
        <x:f>M2004+IF(AND(S2004=1,J2004=2),1,0)</x:f>
        <x:v>4</x:v>
      </x:c>
      <x:c r="W2004" s="19" t="n">
        <x:f>SUM(T2004:V2004)</x:f>
        <x:v>9</x:v>
      </x:c>
      <x:c r="X2004" s="19" t="n">
        <x:f>W2004-G2004</x:f>
        <x:v>0</x:v>
      </x:c>
      <x:c r="Y2004" s="19" t="n">
        <x:f>MAX(T2004,1)+MAX(U2004,1)+MAX(V2004,1)</x:f>
        <x:v>9</x:v>
      </x:c>
      <x:c r="Z2004" s="21" t="str">
        <x:f>IF(AND(MIN(D2004:F2004)&gt;=0,MAX(D2004:F2004)&lt;=7,MAX(D2004,1)+MAX(E2004,1)+MAX(F2004,1)&lt;=9,OR(H2004="-",AND(H2004=0,D2004&gt;0),AND(H2004=1,E2004&gt;0),AND(H2004=2,F2004&gt;0)),OR(I2004=0,AND(I2004=1,OR(J2004=0,J2004=1,J2004=2),R2004&lt;&gt;"000")),Y2004&lt;=9,MIN(T2004:V2004)&gt;=0),"合法","输入违约")</x:f>
        <x:v>合法</x:v>
      </x:c>
    </x:row>
    <x:row r="2005" ht="23" customHeight="1">
      <x:c r="A2005" s="3" t="str">
        <x:v>CT-1998</x:v>
      </x:c>
      <x:c r="B2005" s="3" t="str">
        <x:v>ST-181</x:v>
      </x:c>
      <x:c r="C2005" s="3" t="str">
        <x:v>R+AR同收同发</x:v>
      </x:c>
      <x:c r="D2005" s="25" t="n">
        <x:v>4</x:v>
      </x:c>
      <x:c r="E2005" s="25" t="n">
        <x:v>1</x:v>
      </x:c>
      <x:c r="F2005" s="25" t="n">
        <x:v>4</x:v>
      </x:c>
      <x:c r="G2005" s="19" t="n">
        <x:f>SUM(D2005:F2005)</x:f>
        <x:v>9</x:v>
      </x:c>
      <x:c r="H2005" s="25" t="n">
        <x:v>0</x:v>
      </x:c>
      <x:c r="I2005" s="25" t="n">
        <x:v>1</x:v>
      </x:c>
      <x:c r="J2005" s="25" t="n">
        <x:v>1</x:v>
      </x:c>
      <x:c r="K2005" s="19" t="n">
        <x:f>D2005-IF(H2005=0,1,0)</x:f>
        <x:v>3</x:v>
      </x:c>
      <x:c r="L2005" s="19" t="n">
        <x:f>E2005-IF(H2005=1,1,0)</x:f>
        <x:v>1</x:v>
      </x:c>
      <x:c r="M2005" s="19" t="n">
        <x:f>F2005-IF(H2005=2,1,0)</x:f>
        <x:v>4</x:v>
      </x:c>
      <x:c r="N2005" s="19" t="n">
        <x:f>MAX(K2005-1,0)+MAX(L2005-1,0)+MAX(M2005-1,0)</x:f>
        <x:v>5</x:v>
      </x:c>
      <x:c r="O2005" s="19" t="n">
        <x:f>IF(AND(SUM(K2005:M2005)&lt;9,OR(M2005=0,N2005&lt;6)),1,0)</x:f>
        <x:v>1</x:v>
      </x:c>
      <x:c r="P2005" s="19" t="n">
        <x:f>IF(AND(SUM(K2005:M2005)&lt;9,OR(L2005=0,N2005&lt;6)),1,0)</x:f>
        <x:v>1</x:v>
      </x:c>
      <x:c r="Q2005" s="19" t="n">
        <x:f>IF(AND(SUM(K2005:M2005)&lt;9,OR(K2005=0,N2005&lt;6)),1,0)</x:f>
        <x:v>1</x:v>
      </x:c>
      <x:c r="R2005" s="22" t="str">
        <x:f>O2005&amp;P2005&amp;Q2005</x:f>
        <x:v>111</x:v>
      </x:c>
      <x:c r="S2005" s="19" t="n">
        <x:f>IF(I2005=1,IF(J2005=0,Q2005,IF(J2005=1,P2005,IF(J2005=2,O2005,0))),0)</x:f>
        <x:v>1</x:v>
      </x:c>
      <x:c r="T2005" s="19" t="n">
        <x:f>K2005+IF(AND(S2005=1,J2005=0),1,0)</x:f>
        <x:v>3</x:v>
      </x:c>
      <x:c r="U2005" s="19" t="n">
        <x:f>L2005+IF(AND(S2005=1,J2005=1),1,0)</x:f>
        <x:v>2</x:v>
      </x:c>
      <x:c r="V2005" s="19" t="n">
        <x:f>M2005+IF(AND(S2005=1,J2005=2),1,0)</x:f>
        <x:v>4</x:v>
      </x:c>
      <x:c r="W2005" s="19" t="n">
        <x:f>SUM(T2005:V2005)</x:f>
        <x:v>9</x:v>
      </x:c>
      <x:c r="X2005" s="19" t="n">
        <x:f>W2005-G2005</x:f>
        <x:v>0</x:v>
      </x:c>
      <x:c r="Y2005" s="19" t="n">
        <x:f>MAX(T2005,1)+MAX(U2005,1)+MAX(V2005,1)</x:f>
        <x:v>9</x:v>
      </x:c>
      <x:c r="Z2005" s="21" t="str">
        <x:f>IF(AND(MIN(D2005:F2005)&gt;=0,MAX(D2005:F2005)&lt;=7,MAX(D2005,1)+MAX(E2005,1)+MAX(F2005,1)&lt;=9,OR(H2005="-",AND(H2005=0,D2005&gt;0),AND(H2005=1,E2005&gt;0),AND(H2005=2,F2005&gt;0)),OR(I2005=0,AND(I2005=1,OR(J2005=0,J2005=1,J2005=2),R2005&lt;&gt;"000")),Y2005&lt;=9,MIN(T2005:V2005)&gt;=0),"合法","输入违约")</x:f>
        <x:v>合法</x:v>
      </x:c>
    </x:row>
    <x:row r="2006" ht="23" customHeight="1">
      <x:c r="A2006" s="3" t="str">
        <x:v>CT-1999</x:v>
      </x:c>
      <x:c r="B2006" s="3" t="str">
        <x:v>ST-181</x:v>
      </x:c>
      <x:c r="C2006" s="3" t="str">
        <x:v>R+AR同收同发</x:v>
      </x:c>
      <x:c r="D2006" s="25" t="n">
        <x:v>4</x:v>
      </x:c>
      <x:c r="E2006" s="25" t="n">
        <x:v>1</x:v>
      </x:c>
      <x:c r="F2006" s="25" t="n">
        <x:v>4</x:v>
      </x:c>
      <x:c r="G2006" s="19" t="n">
        <x:f>SUM(D2006:F2006)</x:f>
        <x:v>9</x:v>
      </x:c>
      <x:c r="H2006" s="25" t="n">
        <x:v>0</x:v>
      </x:c>
      <x:c r="I2006" s="25" t="n">
        <x:v>1</x:v>
      </x:c>
      <x:c r="J2006" s="25" t="n">
        <x:v>2</x:v>
      </x:c>
      <x:c r="K2006" s="19" t="n">
        <x:f>D2006-IF(H2006=0,1,0)</x:f>
        <x:v>3</x:v>
      </x:c>
      <x:c r="L2006" s="19" t="n">
        <x:f>E2006-IF(H2006=1,1,0)</x:f>
        <x:v>1</x:v>
      </x:c>
      <x:c r="M2006" s="19" t="n">
        <x:f>F2006-IF(H2006=2,1,0)</x:f>
        <x:v>4</x:v>
      </x:c>
      <x:c r="N2006" s="19" t="n">
        <x:f>MAX(K2006-1,0)+MAX(L2006-1,0)+MAX(M2006-1,0)</x:f>
        <x:v>5</x:v>
      </x:c>
      <x:c r="O2006" s="19" t="n">
        <x:f>IF(AND(SUM(K2006:M2006)&lt;9,OR(M2006=0,N2006&lt;6)),1,0)</x:f>
        <x:v>1</x:v>
      </x:c>
      <x:c r="P2006" s="19" t="n">
        <x:f>IF(AND(SUM(K2006:M2006)&lt;9,OR(L2006=0,N2006&lt;6)),1,0)</x:f>
        <x:v>1</x:v>
      </x:c>
      <x:c r="Q2006" s="19" t="n">
        <x:f>IF(AND(SUM(K2006:M2006)&lt;9,OR(K2006=0,N2006&lt;6)),1,0)</x:f>
        <x:v>1</x:v>
      </x:c>
      <x:c r="R2006" s="22" t="str">
        <x:f>O2006&amp;P2006&amp;Q2006</x:f>
        <x:v>111</x:v>
      </x:c>
      <x:c r="S2006" s="19" t="n">
        <x:f>IF(I2006=1,IF(J2006=0,Q2006,IF(J2006=1,P2006,IF(J2006=2,O2006,0))),0)</x:f>
        <x:v>1</x:v>
      </x:c>
      <x:c r="T2006" s="19" t="n">
        <x:f>K2006+IF(AND(S2006=1,J2006=0),1,0)</x:f>
        <x:v>3</x:v>
      </x:c>
      <x:c r="U2006" s="19" t="n">
        <x:f>L2006+IF(AND(S2006=1,J2006=1),1,0)</x:f>
        <x:v>1</x:v>
      </x:c>
      <x:c r="V2006" s="19" t="n">
        <x:f>M2006+IF(AND(S2006=1,J2006=2),1,0)</x:f>
        <x:v>5</x:v>
      </x:c>
      <x:c r="W2006" s="19" t="n">
        <x:f>SUM(T2006:V2006)</x:f>
        <x:v>9</x:v>
      </x:c>
      <x:c r="X2006" s="19" t="n">
        <x:f>W2006-G2006</x:f>
        <x:v>0</x:v>
      </x:c>
      <x:c r="Y2006" s="19" t="n">
        <x:f>MAX(T2006,1)+MAX(U2006,1)+MAX(V2006,1)</x:f>
        <x:v>9</x:v>
      </x:c>
      <x:c r="Z2006" s="21" t="str">
        <x:f>IF(AND(MIN(D2006:F2006)&gt;=0,MAX(D2006:F2006)&lt;=7,MAX(D2006,1)+MAX(E2006,1)+MAX(F2006,1)&lt;=9,OR(H2006="-",AND(H2006=0,D2006&gt;0),AND(H2006=1,E2006&gt;0),AND(H2006=2,F2006&gt;0)),OR(I2006=0,AND(I2006=1,OR(J2006=0,J2006=1,J2006=2),R2006&lt;&gt;"000")),Y2006&lt;=9,MIN(T2006:V2006)&gt;=0),"合法","输入违约")</x:f>
        <x:v>合法</x:v>
      </x:c>
    </x:row>
    <x:row r="2007" ht="23" customHeight="1">
      <x:c r="A2007" s="3" t="str">
        <x:v>CT-2000</x:v>
      </x:c>
      <x:c r="B2007" s="3" t="str">
        <x:v>ST-181</x:v>
      </x:c>
      <x:c r="C2007" s="3" t="str">
        <x:v>仅R回收</x:v>
      </x:c>
      <x:c r="D2007" s="25" t="n">
        <x:v>4</x:v>
      </x:c>
      <x:c r="E2007" s="25" t="n">
        <x:v>1</x:v>
      </x:c>
      <x:c r="F2007" s="25" t="n">
        <x:v>4</x:v>
      </x:c>
      <x:c r="G2007" s="19" t="n">
        <x:f>SUM(D2007:F2007)</x:f>
        <x:v>9</x:v>
      </x:c>
      <x:c r="H2007" s="25" t="n">
        <x:v>1</x:v>
      </x:c>
      <x:c r="I2007" s="25" t="n">
        <x:v>0</x:v>
      </x:c>
      <x:c r="J2007" s="25" t="str">
        <x:v>-</x:v>
      </x:c>
      <x:c r="K2007" s="19" t="n">
        <x:f>D2007-IF(H2007=0,1,0)</x:f>
        <x:v>4</x:v>
      </x:c>
      <x:c r="L2007" s="19" t="n">
        <x:f>E2007-IF(H2007=1,1,0)</x:f>
        <x:v>0</x:v>
      </x:c>
      <x:c r="M2007" s="19" t="n">
        <x:f>F2007-IF(H2007=2,1,0)</x:f>
        <x:v>4</x:v>
      </x:c>
      <x:c r="N2007" s="19" t="n">
        <x:f>MAX(K2007-1,0)+MAX(L2007-1,0)+MAX(M2007-1,0)</x:f>
        <x:v>6</x:v>
      </x:c>
      <x:c r="O2007" s="19" t="n">
        <x:f>IF(AND(SUM(K2007:M2007)&lt;9,OR(M2007=0,N2007&lt;6)),1,0)</x:f>
        <x:v>0</x:v>
      </x:c>
      <x:c r="P2007" s="19" t="n">
        <x:f>IF(AND(SUM(K2007:M2007)&lt;9,OR(L2007=0,N2007&lt;6)),1,0)</x:f>
        <x:v>1</x:v>
      </x:c>
      <x:c r="Q2007" s="19" t="n">
        <x:f>IF(AND(SUM(K2007:M2007)&lt;9,OR(K2007=0,N2007&lt;6)),1,0)</x:f>
        <x:v>0</x:v>
      </x:c>
      <x:c r="R2007" s="22" t="str">
        <x:f>O2007&amp;P2007&amp;Q2007</x:f>
        <x:v>010</x:v>
      </x:c>
      <x:c r="S2007" s="19" t="n">
        <x:f>IF(I2007=1,IF(J2007=0,Q2007,IF(J2007=1,P2007,IF(J2007=2,O2007,0))),0)</x:f>
        <x:v>0</x:v>
      </x:c>
      <x:c r="T2007" s="19" t="n">
        <x:f>K2007+IF(AND(S2007=1,J2007=0),1,0)</x:f>
        <x:v>4</x:v>
      </x:c>
      <x:c r="U2007" s="19" t="n">
        <x:f>L2007+IF(AND(S2007=1,J2007=1),1,0)</x:f>
        <x:v>0</x:v>
      </x:c>
      <x:c r="V2007" s="19" t="n">
        <x:f>M2007+IF(AND(S2007=1,J2007=2),1,0)</x:f>
        <x:v>4</x:v>
      </x:c>
      <x:c r="W2007" s="19" t="n">
        <x:f>SUM(T2007:V2007)</x:f>
        <x:v>8</x:v>
      </x:c>
      <x:c r="X2007" s="19" t="n">
        <x:f>W2007-G2007</x:f>
        <x:v>-1</x:v>
      </x:c>
      <x:c r="Y2007" s="19" t="n">
        <x:f>MAX(T2007,1)+MAX(U2007,1)+MAX(V2007,1)</x:f>
        <x:v>9</x:v>
      </x:c>
      <x:c r="Z2007" s="21" t="str">
        <x:f>IF(AND(MIN(D2007:F2007)&gt;=0,MAX(D2007:F2007)&lt;=7,MAX(D2007,1)+MAX(E2007,1)+MAX(F2007,1)&lt;=9,OR(H2007="-",AND(H2007=0,D2007&gt;0),AND(H2007=1,E2007&gt;0),AND(H2007=2,F2007&gt;0)),OR(I2007=0,AND(I2007=1,OR(J2007=0,J2007=1,J2007=2),R2007&lt;&gt;"000")),Y2007&lt;=9,MIN(T2007:V2007)&gt;=0),"合法","输入违约")</x:f>
        <x:v>合法</x:v>
      </x:c>
    </x:row>
    <x:row r="2008" ht="23" customHeight="1">
      <x:c r="A2008" s="3" t="str">
        <x:v>CT-2001</x:v>
      </x:c>
      <x:c r="B2008" s="3" t="str">
        <x:v>ST-181</x:v>
      </x:c>
      <x:c r="C2008" s="3" t="str">
        <x:v>仅R回收</x:v>
      </x:c>
      <x:c r="D2008" s="25" t="n">
        <x:v>4</x:v>
      </x:c>
      <x:c r="E2008" s="25" t="n">
        <x:v>1</x:v>
      </x:c>
      <x:c r="F2008" s="25" t="n">
        <x:v>4</x:v>
      </x:c>
      <x:c r="G2008" s="19" t="n">
        <x:f>SUM(D2008:F2008)</x:f>
        <x:v>9</x:v>
      </x:c>
      <x:c r="H2008" s="25" t="n">
        <x:v>1</x:v>
      </x:c>
      <x:c r="I2008" s="25" t="n">
        <x:v>1</x:v>
      </x:c>
      <x:c r="J2008" s="25" t="n">
        <x:v>0</x:v>
      </x:c>
      <x:c r="K2008" s="19" t="n">
        <x:f>D2008-IF(H2008=0,1,0)</x:f>
        <x:v>4</x:v>
      </x:c>
      <x:c r="L2008" s="19" t="n">
        <x:f>E2008-IF(H2008=1,1,0)</x:f>
        <x:v>0</x:v>
      </x:c>
      <x:c r="M2008" s="19" t="n">
        <x:f>F2008-IF(H2008=2,1,0)</x:f>
        <x:v>4</x:v>
      </x:c>
      <x:c r="N2008" s="19" t="n">
        <x:f>MAX(K2008-1,0)+MAX(L2008-1,0)+MAX(M2008-1,0)</x:f>
        <x:v>6</x:v>
      </x:c>
      <x:c r="O2008" s="19" t="n">
        <x:f>IF(AND(SUM(K2008:M2008)&lt;9,OR(M2008=0,N2008&lt;6)),1,0)</x:f>
        <x:v>0</x:v>
      </x:c>
      <x:c r="P2008" s="19" t="n">
        <x:f>IF(AND(SUM(K2008:M2008)&lt;9,OR(L2008=0,N2008&lt;6)),1,0)</x:f>
        <x:v>1</x:v>
      </x:c>
      <x:c r="Q2008" s="19" t="n">
        <x:f>IF(AND(SUM(K2008:M2008)&lt;9,OR(K2008=0,N2008&lt;6)),1,0)</x:f>
        <x:v>0</x:v>
      </x:c>
      <x:c r="R2008" s="22" t="str">
        <x:f>O2008&amp;P2008&amp;Q2008</x:f>
        <x:v>010</x:v>
      </x:c>
      <x:c r="S2008" s="19" t="n">
        <x:f>IF(I2008=1,IF(J2008=0,Q2008,IF(J2008=1,P2008,IF(J2008=2,O2008,0))),0)</x:f>
        <x:v>0</x:v>
      </x:c>
      <x:c r="T2008" s="19" t="n">
        <x:f>K2008+IF(AND(S2008=1,J2008=0),1,0)</x:f>
        <x:v>4</x:v>
      </x:c>
      <x:c r="U2008" s="19" t="n">
        <x:f>L2008+IF(AND(S2008=1,J2008=1),1,0)</x:f>
        <x:v>0</x:v>
      </x:c>
      <x:c r="V2008" s="19" t="n">
        <x:f>M2008+IF(AND(S2008=1,J2008=2),1,0)</x:f>
        <x:v>4</x:v>
      </x:c>
      <x:c r="W2008" s="19" t="n">
        <x:f>SUM(T2008:V2008)</x:f>
        <x:v>8</x:v>
      </x:c>
      <x:c r="X2008" s="19" t="n">
        <x:f>W2008-G2008</x:f>
        <x:v>-1</x:v>
      </x:c>
      <x:c r="Y2008" s="19" t="n">
        <x:f>MAX(T2008,1)+MAX(U2008,1)+MAX(V2008,1)</x:f>
        <x:v>9</x:v>
      </x:c>
      <x:c r="Z2008" s="21" t="str">
        <x:f>IF(AND(MIN(D2008:F2008)&gt;=0,MAX(D2008:F2008)&lt;=7,MAX(D2008,1)+MAX(E2008,1)+MAX(F2008,1)&lt;=9,OR(H2008="-",AND(H2008=0,D2008&gt;0),AND(H2008=1,E2008&gt;0),AND(H2008=2,F2008&gt;0)),OR(I2008=0,AND(I2008=1,OR(J2008=0,J2008=1,J2008=2),R2008&lt;&gt;"000")),Y2008&lt;=9,MIN(T2008:V2008)&gt;=0),"合法","输入违约")</x:f>
        <x:v>合法</x:v>
      </x:c>
    </x:row>
    <x:row r="2009" ht="23" customHeight="1">
      <x:c r="A2009" s="3" t="str">
        <x:v>CT-2002</x:v>
      </x:c>
      <x:c r="B2009" s="3" t="str">
        <x:v>ST-181</x:v>
      </x:c>
      <x:c r="C2009" s="3" t="str">
        <x:v>R+AR同收同发</x:v>
      </x:c>
      <x:c r="D2009" s="25" t="n">
        <x:v>4</x:v>
      </x:c>
      <x:c r="E2009" s="25" t="n">
        <x:v>1</x:v>
      </x:c>
      <x:c r="F2009" s="25" t="n">
        <x:v>4</x:v>
      </x:c>
      <x:c r="G2009" s="19" t="n">
        <x:f>SUM(D2009:F2009)</x:f>
        <x:v>9</x:v>
      </x:c>
      <x:c r="H2009" s="25" t="n">
        <x:v>1</x:v>
      </x:c>
      <x:c r="I2009" s="25" t="n">
        <x:v>1</x:v>
      </x:c>
      <x:c r="J2009" s="25" t="n">
        <x:v>1</x:v>
      </x:c>
      <x:c r="K2009" s="19" t="n">
        <x:f>D2009-IF(H2009=0,1,0)</x:f>
        <x:v>4</x:v>
      </x:c>
      <x:c r="L2009" s="19" t="n">
        <x:f>E2009-IF(H2009=1,1,0)</x:f>
        <x:v>0</x:v>
      </x:c>
      <x:c r="M2009" s="19" t="n">
        <x:f>F2009-IF(H2009=2,1,0)</x:f>
        <x:v>4</x:v>
      </x:c>
      <x:c r="N2009" s="19" t="n">
        <x:f>MAX(K2009-1,0)+MAX(L2009-1,0)+MAX(M2009-1,0)</x:f>
        <x:v>6</x:v>
      </x:c>
      <x:c r="O2009" s="19" t="n">
        <x:f>IF(AND(SUM(K2009:M2009)&lt;9,OR(M2009=0,N2009&lt;6)),1,0)</x:f>
        <x:v>0</x:v>
      </x:c>
      <x:c r="P2009" s="19" t="n">
        <x:f>IF(AND(SUM(K2009:M2009)&lt;9,OR(L2009=0,N2009&lt;6)),1,0)</x:f>
        <x:v>1</x:v>
      </x:c>
      <x:c r="Q2009" s="19" t="n">
        <x:f>IF(AND(SUM(K2009:M2009)&lt;9,OR(K2009=0,N2009&lt;6)),1,0)</x:f>
        <x:v>0</x:v>
      </x:c>
      <x:c r="R2009" s="22" t="str">
        <x:f>O2009&amp;P2009&amp;Q2009</x:f>
        <x:v>010</x:v>
      </x:c>
      <x:c r="S2009" s="19" t="n">
        <x:f>IF(I2009=1,IF(J2009=0,Q2009,IF(J2009=1,P2009,IF(J2009=2,O2009,0))),0)</x:f>
        <x:v>1</x:v>
      </x:c>
      <x:c r="T2009" s="19" t="n">
        <x:f>K2009+IF(AND(S2009=1,J2009=0),1,0)</x:f>
        <x:v>4</x:v>
      </x:c>
      <x:c r="U2009" s="19" t="n">
        <x:f>L2009+IF(AND(S2009=1,J2009=1),1,0)</x:f>
        <x:v>1</x:v>
      </x:c>
      <x:c r="V2009" s="19" t="n">
        <x:f>M2009+IF(AND(S2009=1,J2009=2),1,0)</x:f>
        <x:v>4</x:v>
      </x:c>
      <x:c r="W2009" s="19" t="n">
        <x:f>SUM(T2009:V2009)</x:f>
        <x:v>9</x:v>
      </x:c>
      <x:c r="X2009" s="19" t="n">
        <x:f>W2009-G2009</x:f>
        <x:v>0</x:v>
      </x:c>
      <x:c r="Y2009" s="19" t="n">
        <x:f>MAX(T2009,1)+MAX(U2009,1)+MAX(V2009,1)</x:f>
        <x:v>9</x:v>
      </x:c>
      <x:c r="Z2009" s="21" t="str">
        <x:f>IF(AND(MIN(D2009:F2009)&gt;=0,MAX(D2009:F2009)&lt;=7,MAX(D2009,1)+MAX(E2009,1)+MAX(F2009,1)&lt;=9,OR(H2009="-",AND(H2009=0,D2009&gt;0),AND(H2009=1,E2009&gt;0),AND(H2009=2,F2009&gt;0)),OR(I2009=0,AND(I2009=1,OR(J2009=0,J2009=1,J2009=2),R2009&lt;&gt;"000")),Y2009&lt;=9,MIN(T2009:V2009)&gt;=0),"合法","输入违约")</x:f>
        <x:v>合法</x:v>
      </x:c>
    </x:row>
    <x:row r="2010" ht="23" customHeight="1">
      <x:c r="A2010" s="3" t="str">
        <x:v>CT-2003</x:v>
      </x:c>
      <x:c r="B2010" s="3" t="str">
        <x:v>ST-181</x:v>
      </x:c>
      <x:c r="C2010" s="3" t="str">
        <x:v>仅R回收</x:v>
      </x:c>
      <x:c r="D2010" s="25" t="n">
        <x:v>4</x:v>
      </x:c>
      <x:c r="E2010" s="25" t="n">
        <x:v>1</x:v>
      </x:c>
      <x:c r="F2010" s="25" t="n">
        <x:v>4</x:v>
      </x:c>
      <x:c r="G2010" s="19" t="n">
        <x:f>SUM(D2010:F2010)</x:f>
        <x:v>9</x:v>
      </x:c>
      <x:c r="H2010" s="25" t="n">
        <x:v>1</x:v>
      </x:c>
      <x:c r="I2010" s="25" t="n">
        <x:v>1</x:v>
      </x:c>
      <x:c r="J2010" s="25" t="n">
        <x:v>2</x:v>
      </x:c>
      <x:c r="K2010" s="19" t="n">
        <x:f>D2010-IF(H2010=0,1,0)</x:f>
        <x:v>4</x:v>
      </x:c>
      <x:c r="L2010" s="19" t="n">
        <x:f>E2010-IF(H2010=1,1,0)</x:f>
        <x:v>0</x:v>
      </x:c>
      <x:c r="M2010" s="19" t="n">
        <x:f>F2010-IF(H2010=2,1,0)</x:f>
        <x:v>4</x:v>
      </x:c>
      <x:c r="N2010" s="19" t="n">
        <x:f>MAX(K2010-1,0)+MAX(L2010-1,0)+MAX(M2010-1,0)</x:f>
        <x:v>6</x:v>
      </x:c>
      <x:c r="O2010" s="19" t="n">
        <x:f>IF(AND(SUM(K2010:M2010)&lt;9,OR(M2010=0,N2010&lt;6)),1,0)</x:f>
        <x:v>0</x:v>
      </x:c>
      <x:c r="P2010" s="19" t="n">
        <x:f>IF(AND(SUM(K2010:M2010)&lt;9,OR(L2010=0,N2010&lt;6)),1,0)</x:f>
        <x:v>1</x:v>
      </x:c>
      <x:c r="Q2010" s="19" t="n">
        <x:f>IF(AND(SUM(K2010:M2010)&lt;9,OR(K2010=0,N2010&lt;6)),1,0)</x:f>
        <x:v>0</x:v>
      </x:c>
      <x:c r="R2010" s="22" t="str">
        <x:f>O2010&amp;P2010&amp;Q2010</x:f>
        <x:v>010</x:v>
      </x:c>
      <x:c r="S2010" s="19" t="n">
        <x:f>IF(I2010=1,IF(J2010=0,Q2010,IF(J2010=1,P2010,IF(J2010=2,O2010,0))),0)</x:f>
        <x:v>0</x:v>
      </x:c>
      <x:c r="T2010" s="19" t="n">
        <x:f>K2010+IF(AND(S2010=1,J2010=0),1,0)</x:f>
        <x:v>4</x:v>
      </x:c>
      <x:c r="U2010" s="19" t="n">
        <x:f>L2010+IF(AND(S2010=1,J2010=1),1,0)</x:f>
        <x:v>0</x:v>
      </x:c>
      <x:c r="V2010" s="19" t="n">
        <x:f>M2010+IF(AND(S2010=1,J2010=2),1,0)</x:f>
        <x:v>4</x:v>
      </x:c>
      <x:c r="W2010" s="19" t="n">
        <x:f>SUM(T2010:V2010)</x:f>
        <x:v>8</x:v>
      </x:c>
      <x:c r="X2010" s="19" t="n">
        <x:f>W2010-G2010</x:f>
        <x:v>-1</x:v>
      </x:c>
      <x:c r="Y2010" s="19" t="n">
        <x:f>MAX(T2010,1)+MAX(U2010,1)+MAX(V2010,1)</x:f>
        <x:v>9</x:v>
      </x:c>
      <x:c r="Z2010" s="21" t="str">
        <x:f>IF(AND(MIN(D2010:F2010)&gt;=0,MAX(D2010:F2010)&lt;=7,MAX(D2010,1)+MAX(E2010,1)+MAX(F2010,1)&lt;=9,OR(H2010="-",AND(H2010=0,D2010&gt;0),AND(H2010=1,E2010&gt;0),AND(H2010=2,F2010&gt;0)),OR(I2010=0,AND(I2010=1,OR(J2010=0,J2010=1,J2010=2),R2010&lt;&gt;"000")),Y2010&lt;=9,MIN(T2010:V2010)&gt;=0),"合法","输入违约")</x:f>
        <x:v>合法</x:v>
      </x:c>
    </x:row>
    <x:row r="2011" ht="23" customHeight="1">
      <x:c r="A2011" s="3" t="str">
        <x:v>CT-2004</x:v>
      </x:c>
      <x:c r="B2011" s="3" t="str">
        <x:v>ST-181</x:v>
      </x:c>
      <x:c r="C2011" s="3" t="str">
        <x:v>仅R回收</x:v>
      </x:c>
      <x:c r="D2011" s="25" t="n">
        <x:v>4</x:v>
      </x:c>
      <x:c r="E2011" s="25" t="n">
        <x:v>1</x:v>
      </x:c>
      <x:c r="F2011" s="25" t="n">
        <x:v>4</x:v>
      </x:c>
      <x:c r="G2011" s="19" t="n">
        <x:f>SUM(D2011:F2011)</x:f>
        <x:v>9</x:v>
      </x:c>
      <x:c r="H2011" s="25" t="n">
        <x:v>2</x:v>
      </x:c>
      <x:c r="I2011" s="25" t="n">
        <x:v>0</x:v>
      </x:c>
      <x:c r="J2011" s="25" t="str">
        <x:v>-</x:v>
      </x:c>
      <x:c r="K2011" s="19" t="n">
        <x:f>D2011-IF(H2011=0,1,0)</x:f>
        <x:v>4</x:v>
      </x:c>
      <x:c r="L2011" s="19" t="n">
        <x:f>E2011-IF(H2011=1,1,0)</x:f>
        <x:v>1</x:v>
      </x:c>
      <x:c r="M2011" s="19" t="n">
        <x:f>F2011-IF(H2011=2,1,0)</x:f>
        <x:v>3</x:v>
      </x:c>
      <x:c r="N2011" s="19" t="n">
        <x:f>MAX(K2011-1,0)+MAX(L2011-1,0)+MAX(M2011-1,0)</x:f>
        <x:v>5</x:v>
      </x:c>
      <x:c r="O2011" s="19" t="n">
        <x:f>IF(AND(SUM(K2011:M2011)&lt;9,OR(M2011=0,N2011&lt;6)),1,0)</x:f>
        <x:v>1</x:v>
      </x:c>
      <x:c r="P2011" s="19" t="n">
        <x:f>IF(AND(SUM(K2011:M2011)&lt;9,OR(L2011=0,N2011&lt;6)),1,0)</x:f>
        <x:v>1</x:v>
      </x:c>
      <x:c r="Q2011" s="19" t="n">
        <x:f>IF(AND(SUM(K2011:M2011)&lt;9,OR(K2011=0,N2011&lt;6)),1,0)</x:f>
        <x:v>1</x:v>
      </x:c>
      <x:c r="R2011" s="22" t="str">
        <x:f>O2011&amp;P2011&amp;Q2011</x:f>
        <x:v>111</x:v>
      </x:c>
      <x:c r="S2011" s="19" t="n">
        <x:f>IF(I2011=1,IF(J2011=0,Q2011,IF(J2011=1,P2011,IF(J2011=2,O2011,0))),0)</x:f>
        <x:v>0</x:v>
      </x:c>
      <x:c r="T2011" s="19" t="n">
        <x:f>K2011+IF(AND(S2011=1,J2011=0),1,0)</x:f>
        <x:v>4</x:v>
      </x:c>
      <x:c r="U2011" s="19" t="n">
        <x:f>L2011+IF(AND(S2011=1,J2011=1),1,0)</x:f>
        <x:v>1</x:v>
      </x:c>
      <x:c r="V2011" s="19" t="n">
        <x:f>M2011+IF(AND(S2011=1,J2011=2),1,0)</x:f>
        <x:v>3</x:v>
      </x:c>
      <x:c r="W2011" s="19" t="n">
        <x:f>SUM(T2011:V2011)</x:f>
        <x:v>8</x:v>
      </x:c>
      <x:c r="X2011" s="19" t="n">
        <x:f>W2011-G2011</x:f>
        <x:v>-1</x:v>
      </x:c>
      <x:c r="Y2011" s="19" t="n">
        <x:f>MAX(T2011,1)+MAX(U2011,1)+MAX(V2011,1)</x:f>
        <x:v>8</x:v>
      </x:c>
      <x:c r="Z2011" s="21" t="str">
        <x:f>IF(AND(MIN(D2011:F2011)&gt;=0,MAX(D2011:F2011)&lt;=7,MAX(D2011,1)+MAX(E2011,1)+MAX(F2011,1)&lt;=9,OR(H2011="-",AND(H2011=0,D2011&gt;0),AND(H2011=1,E2011&gt;0),AND(H2011=2,F2011&gt;0)),OR(I2011=0,AND(I2011=1,OR(J2011=0,J2011=1,J2011=2),R2011&lt;&gt;"000")),Y2011&lt;=9,MIN(T2011:V2011)&gt;=0),"合法","输入违约")</x:f>
        <x:v>合法</x:v>
      </x:c>
    </x:row>
    <x:row r="2012" ht="23" customHeight="1">
      <x:c r="A2012" s="3" t="str">
        <x:v>CT-2005</x:v>
      </x:c>
      <x:c r="B2012" s="3" t="str">
        <x:v>ST-181</x:v>
      </x:c>
      <x:c r="C2012" s="3" t="str">
        <x:v>R+AR同收同发</x:v>
      </x:c>
      <x:c r="D2012" s="25" t="n">
        <x:v>4</x:v>
      </x:c>
      <x:c r="E2012" s="25" t="n">
        <x:v>1</x:v>
      </x:c>
      <x:c r="F2012" s="25" t="n">
        <x:v>4</x:v>
      </x:c>
      <x:c r="G2012" s="19" t="n">
        <x:f>SUM(D2012:F2012)</x:f>
        <x:v>9</x:v>
      </x:c>
      <x:c r="H2012" s="25" t="n">
        <x:v>2</x:v>
      </x:c>
      <x:c r="I2012" s="25" t="n">
        <x:v>1</x:v>
      </x:c>
      <x:c r="J2012" s="25" t="n">
        <x:v>0</x:v>
      </x:c>
      <x:c r="K2012" s="19" t="n">
        <x:f>D2012-IF(H2012=0,1,0)</x:f>
        <x:v>4</x:v>
      </x:c>
      <x:c r="L2012" s="19" t="n">
        <x:f>E2012-IF(H2012=1,1,0)</x:f>
        <x:v>1</x:v>
      </x:c>
      <x:c r="M2012" s="19" t="n">
        <x:f>F2012-IF(H2012=2,1,0)</x:f>
        <x:v>3</x:v>
      </x:c>
      <x:c r="N2012" s="19" t="n">
        <x:f>MAX(K2012-1,0)+MAX(L2012-1,0)+MAX(M2012-1,0)</x:f>
        <x:v>5</x:v>
      </x:c>
      <x:c r="O2012" s="19" t="n">
        <x:f>IF(AND(SUM(K2012:M2012)&lt;9,OR(M2012=0,N2012&lt;6)),1,0)</x:f>
        <x:v>1</x:v>
      </x:c>
      <x:c r="P2012" s="19" t="n">
        <x:f>IF(AND(SUM(K2012:M2012)&lt;9,OR(L2012=0,N2012&lt;6)),1,0)</x:f>
        <x:v>1</x:v>
      </x:c>
      <x:c r="Q2012" s="19" t="n">
        <x:f>IF(AND(SUM(K2012:M2012)&lt;9,OR(K2012=0,N2012&lt;6)),1,0)</x:f>
        <x:v>1</x:v>
      </x:c>
      <x:c r="R2012" s="22" t="str">
        <x:f>O2012&amp;P2012&amp;Q2012</x:f>
        <x:v>111</x:v>
      </x:c>
      <x:c r="S2012" s="19" t="n">
        <x:f>IF(I2012=1,IF(J2012=0,Q2012,IF(J2012=1,P2012,IF(J2012=2,O2012,0))),0)</x:f>
        <x:v>1</x:v>
      </x:c>
      <x:c r="T2012" s="19" t="n">
        <x:f>K2012+IF(AND(S2012=1,J2012=0),1,0)</x:f>
        <x:v>5</x:v>
      </x:c>
      <x:c r="U2012" s="19" t="n">
        <x:f>L2012+IF(AND(S2012=1,J2012=1),1,0)</x:f>
        <x:v>1</x:v>
      </x:c>
      <x:c r="V2012" s="19" t="n">
        <x:f>M2012+IF(AND(S2012=1,J2012=2),1,0)</x:f>
        <x:v>3</x:v>
      </x:c>
      <x:c r="W2012" s="19" t="n">
        <x:f>SUM(T2012:V2012)</x:f>
        <x:v>9</x:v>
      </x:c>
      <x:c r="X2012" s="19" t="n">
        <x:f>W2012-G2012</x:f>
        <x:v>0</x:v>
      </x:c>
      <x:c r="Y2012" s="19" t="n">
        <x:f>MAX(T2012,1)+MAX(U2012,1)+MAX(V2012,1)</x:f>
        <x:v>9</x:v>
      </x:c>
      <x:c r="Z2012" s="21" t="str">
        <x:f>IF(AND(MIN(D2012:F2012)&gt;=0,MAX(D2012:F2012)&lt;=7,MAX(D2012,1)+MAX(E2012,1)+MAX(F2012,1)&lt;=9,OR(H2012="-",AND(H2012=0,D2012&gt;0),AND(H2012=1,E2012&gt;0),AND(H2012=2,F2012&gt;0)),OR(I2012=0,AND(I2012=1,OR(J2012=0,J2012=1,J2012=2),R2012&lt;&gt;"000")),Y2012&lt;=9,MIN(T2012:V2012)&gt;=0),"合法","输入违约")</x:f>
        <x:v>合法</x:v>
      </x:c>
    </x:row>
    <x:row r="2013" ht="23" customHeight="1">
      <x:c r="A2013" s="3" t="str">
        <x:v>CT-2006</x:v>
      </x:c>
      <x:c r="B2013" s="3" t="str">
        <x:v>ST-181</x:v>
      </x:c>
      <x:c r="C2013" s="3" t="str">
        <x:v>R+AR同收同发</x:v>
      </x:c>
      <x:c r="D2013" s="25" t="n">
        <x:v>4</x:v>
      </x:c>
      <x:c r="E2013" s="25" t="n">
        <x:v>1</x:v>
      </x:c>
      <x:c r="F2013" s="25" t="n">
        <x:v>4</x:v>
      </x:c>
      <x:c r="G2013" s="19" t="n">
        <x:f>SUM(D2013:F2013)</x:f>
        <x:v>9</x:v>
      </x:c>
      <x:c r="H2013" s="25" t="n">
        <x:v>2</x:v>
      </x:c>
      <x:c r="I2013" s="25" t="n">
        <x:v>1</x:v>
      </x:c>
      <x:c r="J2013" s="25" t="n">
        <x:v>1</x:v>
      </x:c>
      <x:c r="K2013" s="19" t="n">
        <x:f>D2013-IF(H2013=0,1,0)</x:f>
        <x:v>4</x:v>
      </x:c>
      <x:c r="L2013" s="19" t="n">
        <x:f>E2013-IF(H2013=1,1,0)</x:f>
        <x:v>1</x:v>
      </x:c>
      <x:c r="M2013" s="19" t="n">
        <x:f>F2013-IF(H2013=2,1,0)</x:f>
        <x:v>3</x:v>
      </x:c>
      <x:c r="N2013" s="19" t="n">
        <x:f>MAX(K2013-1,0)+MAX(L2013-1,0)+MAX(M2013-1,0)</x:f>
        <x:v>5</x:v>
      </x:c>
      <x:c r="O2013" s="19" t="n">
        <x:f>IF(AND(SUM(K2013:M2013)&lt;9,OR(M2013=0,N2013&lt;6)),1,0)</x:f>
        <x:v>1</x:v>
      </x:c>
      <x:c r="P2013" s="19" t="n">
        <x:f>IF(AND(SUM(K2013:M2013)&lt;9,OR(L2013=0,N2013&lt;6)),1,0)</x:f>
        <x:v>1</x:v>
      </x:c>
      <x:c r="Q2013" s="19" t="n">
        <x:f>IF(AND(SUM(K2013:M2013)&lt;9,OR(K2013=0,N2013&lt;6)),1,0)</x:f>
        <x:v>1</x:v>
      </x:c>
      <x:c r="R2013" s="22" t="str">
        <x:f>O2013&amp;P2013&amp;Q2013</x:f>
        <x:v>111</x:v>
      </x:c>
      <x:c r="S2013" s="19" t="n">
        <x:f>IF(I2013=1,IF(J2013=0,Q2013,IF(J2013=1,P2013,IF(J2013=2,O2013,0))),0)</x:f>
        <x:v>1</x:v>
      </x:c>
      <x:c r="T2013" s="19" t="n">
        <x:f>K2013+IF(AND(S2013=1,J2013=0),1,0)</x:f>
        <x:v>4</x:v>
      </x:c>
      <x:c r="U2013" s="19" t="n">
        <x:f>L2013+IF(AND(S2013=1,J2013=1),1,0)</x:f>
        <x:v>2</x:v>
      </x:c>
      <x:c r="V2013" s="19" t="n">
        <x:f>M2013+IF(AND(S2013=1,J2013=2),1,0)</x:f>
        <x:v>3</x:v>
      </x:c>
      <x:c r="W2013" s="19" t="n">
        <x:f>SUM(T2013:V2013)</x:f>
        <x:v>9</x:v>
      </x:c>
      <x:c r="X2013" s="19" t="n">
        <x:f>W2013-G2013</x:f>
        <x:v>0</x:v>
      </x:c>
      <x:c r="Y2013" s="19" t="n">
        <x:f>MAX(T2013,1)+MAX(U2013,1)+MAX(V2013,1)</x:f>
        <x:v>9</x:v>
      </x:c>
      <x:c r="Z2013" s="21" t="str">
        <x:f>IF(AND(MIN(D2013:F2013)&gt;=0,MAX(D2013:F2013)&lt;=7,MAX(D2013,1)+MAX(E2013,1)+MAX(F2013,1)&lt;=9,OR(H2013="-",AND(H2013=0,D2013&gt;0),AND(H2013=1,E2013&gt;0),AND(H2013=2,F2013&gt;0)),OR(I2013=0,AND(I2013=1,OR(J2013=0,J2013=1,J2013=2),R2013&lt;&gt;"000")),Y2013&lt;=9,MIN(T2013:V2013)&gt;=0),"合法","输入违约")</x:f>
        <x:v>合法</x:v>
      </x:c>
    </x:row>
    <x:row r="2014" ht="23" customHeight="1">
      <x:c r="A2014" s="3" t="str">
        <x:v>CT-2007</x:v>
      </x:c>
      <x:c r="B2014" s="3" t="str">
        <x:v>ST-181</x:v>
      </x:c>
      <x:c r="C2014" s="3" t="str">
        <x:v>R+AR同收同发</x:v>
      </x:c>
      <x:c r="D2014" s="25" t="n">
        <x:v>4</x:v>
      </x:c>
      <x:c r="E2014" s="25" t="n">
        <x:v>1</x:v>
      </x:c>
      <x:c r="F2014" s="25" t="n">
        <x:v>4</x:v>
      </x:c>
      <x:c r="G2014" s="19" t="n">
        <x:f>SUM(D2014:F2014)</x:f>
        <x:v>9</x:v>
      </x:c>
      <x:c r="H2014" s="25" t="n">
        <x:v>2</x:v>
      </x:c>
      <x:c r="I2014" s="25" t="n">
        <x:v>1</x:v>
      </x:c>
      <x:c r="J2014" s="25" t="n">
        <x:v>2</x:v>
      </x:c>
      <x:c r="K2014" s="19" t="n">
        <x:f>D2014-IF(H2014=0,1,0)</x:f>
        <x:v>4</x:v>
      </x:c>
      <x:c r="L2014" s="19" t="n">
        <x:f>E2014-IF(H2014=1,1,0)</x:f>
        <x:v>1</x:v>
      </x:c>
      <x:c r="M2014" s="19" t="n">
        <x:f>F2014-IF(H2014=2,1,0)</x:f>
        <x:v>3</x:v>
      </x:c>
      <x:c r="N2014" s="19" t="n">
        <x:f>MAX(K2014-1,0)+MAX(L2014-1,0)+MAX(M2014-1,0)</x:f>
        <x:v>5</x:v>
      </x:c>
      <x:c r="O2014" s="19" t="n">
        <x:f>IF(AND(SUM(K2014:M2014)&lt;9,OR(M2014=0,N2014&lt;6)),1,0)</x:f>
        <x:v>1</x:v>
      </x:c>
      <x:c r="P2014" s="19" t="n">
        <x:f>IF(AND(SUM(K2014:M2014)&lt;9,OR(L2014=0,N2014&lt;6)),1,0)</x:f>
        <x:v>1</x:v>
      </x:c>
      <x:c r="Q2014" s="19" t="n">
        <x:f>IF(AND(SUM(K2014:M2014)&lt;9,OR(K2014=0,N2014&lt;6)),1,0)</x:f>
        <x:v>1</x:v>
      </x:c>
      <x:c r="R2014" s="22" t="str">
        <x:f>O2014&amp;P2014&amp;Q2014</x:f>
        <x:v>111</x:v>
      </x:c>
      <x:c r="S2014" s="19" t="n">
        <x:f>IF(I2014=1,IF(J2014=0,Q2014,IF(J2014=1,P2014,IF(J2014=2,O2014,0))),0)</x:f>
        <x:v>1</x:v>
      </x:c>
      <x:c r="T2014" s="19" t="n">
        <x:f>K2014+IF(AND(S2014=1,J2014=0),1,0)</x:f>
        <x:v>4</x:v>
      </x:c>
      <x:c r="U2014" s="19" t="n">
        <x:f>L2014+IF(AND(S2014=1,J2014=1),1,0)</x:f>
        <x:v>1</x:v>
      </x:c>
      <x:c r="V2014" s="19" t="n">
        <x:f>M2014+IF(AND(S2014=1,J2014=2),1,0)</x:f>
        <x:v>4</x:v>
      </x:c>
      <x:c r="W2014" s="19" t="n">
        <x:f>SUM(T2014:V2014)</x:f>
        <x:v>9</x:v>
      </x:c>
      <x:c r="X2014" s="19" t="n">
        <x:f>W2014-G2014</x:f>
        <x:v>0</x:v>
      </x:c>
      <x:c r="Y2014" s="19" t="n">
        <x:f>MAX(T2014,1)+MAX(U2014,1)+MAX(V2014,1)</x:f>
        <x:v>9</x:v>
      </x:c>
      <x:c r="Z2014" s="21" t="str">
        <x:f>IF(AND(MIN(D2014:F2014)&gt;=0,MAX(D2014:F2014)&lt;=7,MAX(D2014,1)+MAX(E2014,1)+MAX(F2014,1)&lt;=9,OR(H2014="-",AND(H2014=0,D2014&gt;0),AND(H2014=1,E2014&gt;0),AND(H2014=2,F2014&gt;0)),OR(I2014=0,AND(I2014=1,OR(J2014=0,J2014=1,J2014=2),R2014&lt;&gt;"000")),Y2014&lt;=9,MIN(T2014:V2014)&gt;=0),"合法","输入违约")</x:f>
        <x:v>合法</x:v>
      </x:c>
    </x:row>
    <x:row r="2015" ht="23" customHeight="1">
      <x:c r="A2015" s="3" t="str">
        <x:v>CT-2008</x:v>
      </x:c>
      <x:c r="B2015" s="3" t="str">
        <x:v>ST-081</x:v>
      </x:c>
      <x:c r="C2015" s="3" t="str">
        <x:v>无AR/R</x:v>
      </x:c>
      <x:c r="D2015" s="25" t="n">
        <x:v>4</x:v>
      </x:c>
      <x:c r="E2015" s="25" t="n">
        <x:v>2</x:v>
      </x:c>
      <x:c r="F2015" s="25" t="n">
        <x:v>0</x:v>
      </x:c>
      <x:c r="G2015" s="19" t="n">
        <x:f>SUM(D2015:F2015)</x:f>
        <x:v>6</x:v>
      </x:c>
      <x:c r="H2015" s="25" t="str">
        <x:v>-</x:v>
      </x:c>
      <x:c r="I2015" s="25" t="n">
        <x:v>0</x:v>
      </x:c>
      <x:c r="J2015" s="25" t="str">
        <x:v>-</x:v>
      </x:c>
      <x:c r="K2015" s="19" t="n">
        <x:f>D2015-IF(H2015=0,1,0)</x:f>
        <x:v>4</x:v>
      </x:c>
      <x:c r="L2015" s="19" t="n">
        <x:f>E2015-IF(H2015=1,1,0)</x:f>
        <x:v>2</x:v>
      </x:c>
      <x:c r="M2015" s="19" t="n">
        <x:f>F2015-IF(H2015=2,1,0)</x:f>
        <x:v>0</x:v>
      </x:c>
      <x:c r="N2015" s="19" t="n">
        <x:f>MAX(K2015-1,0)+MAX(L2015-1,0)+MAX(M2015-1,0)</x:f>
        <x:v>4</x:v>
      </x:c>
      <x:c r="O2015" s="19" t="n">
        <x:f>IF(AND(SUM(K2015:M2015)&lt;9,OR(M2015=0,N2015&lt;6)),1,0)</x:f>
        <x:v>1</x:v>
      </x:c>
      <x:c r="P2015" s="19" t="n">
        <x:f>IF(AND(SUM(K2015:M2015)&lt;9,OR(L2015=0,N2015&lt;6)),1,0)</x:f>
        <x:v>1</x:v>
      </x:c>
      <x:c r="Q2015" s="19" t="n">
        <x:f>IF(AND(SUM(K2015:M2015)&lt;9,OR(K2015=0,N2015&lt;6)),1,0)</x:f>
        <x:v>1</x:v>
      </x:c>
      <x:c r="R2015" s="22" t="str">
        <x:f>O2015&amp;P2015&amp;Q2015</x:f>
        <x:v>111</x:v>
      </x:c>
      <x:c r="S2015" s="19" t="n">
        <x:f>IF(I2015=1,IF(J2015=0,Q2015,IF(J2015=1,P2015,IF(J2015=2,O2015,0))),0)</x:f>
        <x:v>0</x:v>
      </x:c>
      <x:c r="T2015" s="19" t="n">
        <x:f>K2015+IF(AND(S2015=1,J2015=0),1,0)</x:f>
        <x:v>4</x:v>
      </x:c>
      <x:c r="U2015" s="19" t="n">
        <x:f>L2015+IF(AND(S2015=1,J2015=1),1,0)</x:f>
        <x:v>2</x:v>
      </x:c>
      <x:c r="V2015" s="19" t="n">
        <x:f>M2015+IF(AND(S2015=1,J2015=2),1,0)</x:f>
        <x:v>0</x:v>
      </x:c>
      <x:c r="W2015" s="19" t="n">
        <x:f>SUM(T2015:V2015)</x:f>
        <x:v>6</x:v>
      </x:c>
      <x:c r="X2015" s="19" t="n">
        <x:f>W2015-G2015</x:f>
        <x:v>0</x:v>
      </x:c>
      <x:c r="Y2015" s="19" t="n">
        <x:f>MAX(T2015,1)+MAX(U2015,1)+MAX(V2015,1)</x:f>
        <x:v>7</x:v>
      </x:c>
      <x:c r="Z2015" s="21" t="str">
        <x:f>IF(AND(MIN(D2015:F2015)&gt;=0,MAX(D2015:F2015)&lt;=7,MAX(D2015,1)+MAX(E2015,1)+MAX(F2015,1)&lt;=9,OR(H2015="-",AND(H2015=0,D2015&gt;0),AND(H2015=1,E2015&gt;0),AND(H2015=2,F2015&gt;0)),OR(I2015=0,AND(I2015=1,OR(J2015=0,J2015=1,J2015=2),R2015&lt;&gt;"000")),Y2015&lt;=9,MIN(T2015:V2015)&gt;=0),"合法","输入违约")</x:f>
        <x:v>合法</x:v>
      </x:c>
    </x:row>
    <x:row r="2016" ht="23" customHeight="1">
      <x:c r="A2016" s="3" t="str">
        <x:v>CT-2009</x:v>
      </x:c>
      <x:c r="B2016" s="3" t="str">
        <x:v>ST-081</x:v>
      </x:c>
      <x:c r="C2016" s="3" t="str">
        <x:v>仅AR接收</x:v>
      </x:c>
      <x:c r="D2016" s="25" t="n">
        <x:v>4</x:v>
      </x:c>
      <x:c r="E2016" s="25" t="n">
        <x:v>2</x:v>
      </x:c>
      <x:c r="F2016" s="25" t="n">
        <x:v>0</x:v>
      </x:c>
      <x:c r="G2016" s="19" t="n">
        <x:f>SUM(D2016:F2016)</x:f>
        <x:v>6</x:v>
      </x:c>
      <x:c r="H2016" s="25" t="str">
        <x:v>-</x:v>
      </x:c>
      <x:c r="I2016" s="25" t="n">
        <x:v>1</x:v>
      </x:c>
      <x:c r="J2016" s="25" t="n">
        <x:v>0</x:v>
      </x:c>
      <x:c r="K2016" s="19" t="n">
        <x:f>D2016-IF(H2016=0,1,0)</x:f>
        <x:v>4</x:v>
      </x:c>
      <x:c r="L2016" s="19" t="n">
        <x:f>E2016-IF(H2016=1,1,0)</x:f>
        <x:v>2</x:v>
      </x:c>
      <x:c r="M2016" s="19" t="n">
        <x:f>F2016-IF(H2016=2,1,0)</x:f>
        <x:v>0</x:v>
      </x:c>
      <x:c r="N2016" s="19" t="n">
        <x:f>MAX(K2016-1,0)+MAX(L2016-1,0)+MAX(M2016-1,0)</x:f>
        <x:v>4</x:v>
      </x:c>
      <x:c r="O2016" s="19" t="n">
        <x:f>IF(AND(SUM(K2016:M2016)&lt;9,OR(M2016=0,N2016&lt;6)),1,0)</x:f>
        <x:v>1</x:v>
      </x:c>
      <x:c r="P2016" s="19" t="n">
        <x:f>IF(AND(SUM(K2016:M2016)&lt;9,OR(L2016=0,N2016&lt;6)),1,0)</x:f>
        <x:v>1</x:v>
      </x:c>
      <x:c r="Q2016" s="19" t="n">
        <x:f>IF(AND(SUM(K2016:M2016)&lt;9,OR(K2016=0,N2016&lt;6)),1,0)</x:f>
        <x:v>1</x:v>
      </x:c>
      <x:c r="R2016" s="22" t="str">
        <x:f>O2016&amp;P2016&amp;Q2016</x:f>
        <x:v>111</x:v>
      </x:c>
      <x:c r="S2016" s="19" t="n">
        <x:f>IF(I2016=1,IF(J2016=0,Q2016,IF(J2016=1,P2016,IF(J2016=2,O2016,0))),0)</x:f>
        <x:v>1</x:v>
      </x:c>
      <x:c r="T2016" s="19" t="n">
        <x:f>K2016+IF(AND(S2016=1,J2016=0),1,0)</x:f>
        <x:v>5</x:v>
      </x:c>
      <x:c r="U2016" s="19" t="n">
        <x:f>L2016+IF(AND(S2016=1,J2016=1),1,0)</x:f>
        <x:v>2</x:v>
      </x:c>
      <x:c r="V2016" s="19" t="n">
        <x:f>M2016+IF(AND(S2016=1,J2016=2),1,0)</x:f>
        <x:v>0</x:v>
      </x:c>
      <x:c r="W2016" s="19" t="n">
        <x:f>SUM(T2016:V2016)</x:f>
        <x:v>7</x:v>
      </x:c>
      <x:c r="X2016" s="19" t="n">
        <x:f>W2016-G2016</x:f>
        <x:v>1</x:v>
      </x:c>
      <x:c r="Y2016" s="19" t="n">
        <x:f>MAX(T2016,1)+MAX(U2016,1)+MAX(V2016,1)</x:f>
        <x:v>8</x:v>
      </x:c>
      <x:c r="Z2016" s="21" t="str">
        <x:f>IF(AND(MIN(D2016:F2016)&gt;=0,MAX(D2016:F2016)&lt;=7,MAX(D2016,1)+MAX(E2016,1)+MAX(F2016,1)&lt;=9,OR(H2016="-",AND(H2016=0,D2016&gt;0),AND(H2016=1,E2016&gt;0),AND(H2016=2,F2016&gt;0)),OR(I2016=0,AND(I2016=1,OR(J2016=0,J2016=1,J2016=2),R2016&lt;&gt;"000")),Y2016&lt;=9,MIN(T2016:V2016)&gt;=0),"合法","输入违约")</x:f>
        <x:v>合法</x:v>
      </x:c>
    </x:row>
    <x:row r="2017" ht="23" customHeight="1">
      <x:c r="A2017" s="3" t="str">
        <x:v>CT-2010</x:v>
      </x:c>
      <x:c r="B2017" s="3" t="str">
        <x:v>ST-081</x:v>
      </x:c>
      <x:c r="C2017" s="3" t="str">
        <x:v>仅AR接收</x:v>
      </x:c>
      <x:c r="D2017" s="25" t="n">
        <x:v>4</x:v>
      </x:c>
      <x:c r="E2017" s="25" t="n">
        <x:v>2</x:v>
      </x:c>
      <x:c r="F2017" s="25" t="n">
        <x:v>0</x:v>
      </x:c>
      <x:c r="G2017" s="19" t="n">
        <x:f>SUM(D2017:F2017)</x:f>
        <x:v>6</x:v>
      </x:c>
      <x:c r="H2017" s="25" t="str">
        <x:v>-</x:v>
      </x:c>
      <x:c r="I2017" s="25" t="n">
        <x:v>1</x:v>
      </x:c>
      <x:c r="J2017" s="25" t="n">
        <x:v>1</x:v>
      </x:c>
      <x:c r="K2017" s="19" t="n">
        <x:f>D2017-IF(H2017=0,1,0)</x:f>
        <x:v>4</x:v>
      </x:c>
      <x:c r="L2017" s="19" t="n">
        <x:f>E2017-IF(H2017=1,1,0)</x:f>
        <x:v>2</x:v>
      </x:c>
      <x:c r="M2017" s="19" t="n">
        <x:f>F2017-IF(H2017=2,1,0)</x:f>
        <x:v>0</x:v>
      </x:c>
      <x:c r="N2017" s="19" t="n">
        <x:f>MAX(K2017-1,0)+MAX(L2017-1,0)+MAX(M2017-1,0)</x:f>
        <x:v>4</x:v>
      </x:c>
      <x:c r="O2017" s="19" t="n">
        <x:f>IF(AND(SUM(K2017:M2017)&lt;9,OR(M2017=0,N2017&lt;6)),1,0)</x:f>
        <x:v>1</x:v>
      </x:c>
      <x:c r="P2017" s="19" t="n">
        <x:f>IF(AND(SUM(K2017:M2017)&lt;9,OR(L2017=0,N2017&lt;6)),1,0)</x:f>
        <x:v>1</x:v>
      </x:c>
      <x:c r="Q2017" s="19" t="n">
        <x:f>IF(AND(SUM(K2017:M2017)&lt;9,OR(K2017=0,N2017&lt;6)),1,0)</x:f>
        <x:v>1</x:v>
      </x:c>
      <x:c r="R2017" s="22" t="str">
        <x:f>O2017&amp;P2017&amp;Q2017</x:f>
        <x:v>111</x:v>
      </x:c>
      <x:c r="S2017" s="19" t="n">
        <x:f>IF(I2017=1,IF(J2017=0,Q2017,IF(J2017=1,P2017,IF(J2017=2,O2017,0))),0)</x:f>
        <x:v>1</x:v>
      </x:c>
      <x:c r="T2017" s="19" t="n">
        <x:f>K2017+IF(AND(S2017=1,J2017=0),1,0)</x:f>
        <x:v>4</x:v>
      </x:c>
      <x:c r="U2017" s="19" t="n">
        <x:f>L2017+IF(AND(S2017=1,J2017=1),1,0)</x:f>
        <x:v>3</x:v>
      </x:c>
      <x:c r="V2017" s="19" t="n">
        <x:f>M2017+IF(AND(S2017=1,J2017=2),1,0)</x:f>
        <x:v>0</x:v>
      </x:c>
      <x:c r="W2017" s="19" t="n">
        <x:f>SUM(T2017:V2017)</x:f>
        <x:v>7</x:v>
      </x:c>
      <x:c r="X2017" s="19" t="n">
        <x:f>W2017-G2017</x:f>
        <x:v>1</x:v>
      </x:c>
      <x:c r="Y2017" s="19" t="n">
        <x:f>MAX(T2017,1)+MAX(U2017,1)+MAX(V2017,1)</x:f>
        <x:v>8</x:v>
      </x:c>
      <x:c r="Z2017" s="21" t="str">
        <x:f>IF(AND(MIN(D2017:F2017)&gt;=0,MAX(D2017:F2017)&lt;=7,MAX(D2017,1)+MAX(E2017,1)+MAX(F2017,1)&lt;=9,OR(H2017="-",AND(H2017=0,D2017&gt;0),AND(H2017=1,E2017&gt;0),AND(H2017=2,F2017&gt;0)),OR(I2017=0,AND(I2017=1,OR(J2017=0,J2017=1,J2017=2),R2017&lt;&gt;"000")),Y2017&lt;=9,MIN(T2017:V2017)&gt;=0),"合法","输入违约")</x:f>
        <x:v>合法</x:v>
      </x:c>
    </x:row>
    <x:row r="2018" ht="23" customHeight="1">
      <x:c r="A2018" s="3" t="str">
        <x:v>CT-2011</x:v>
      </x:c>
      <x:c r="B2018" s="3" t="str">
        <x:v>ST-081</x:v>
      </x:c>
      <x:c r="C2018" s="3" t="str">
        <x:v>仅AR接收</x:v>
      </x:c>
      <x:c r="D2018" s="25" t="n">
        <x:v>4</x:v>
      </x:c>
      <x:c r="E2018" s="25" t="n">
        <x:v>2</x:v>
      </x:c>
      <x:c r="F2018" s="25" t="n">
        <x:v>0</x:v>
      </x:c>
      <x:c r="G2018" s="19" t="n">
        <x:f>SUM(D2018:F2018)</x:f>
        <x:v>6</x:v>
      </x:c>
      <x:c r="H2018" s="25" t="str">
        <x:v>-</x:v>
      </x:c>
      <x:c r="I2018" s="25" t="n">
        <x:v>1</x:v>
      </x:c>
      <x:c r="J2018" s="25" t="n">
        <x:v>2</x:v>
      </x:c>
      <x:c r="K2018" s="19" t="n">
        <x:f>D2018-IF(H2018=0,1,0)</x:f>
        <x:v>4</x:v>
      </x:c>
      <x:c r="L2018" s="19" t="n">
        <x:f>E2018-IF(H2018=1,1,0)</x:f>
        <x:v>2</x:v>
      </x:c>
      <x:c r="M2018" s="19" t="n">
        <x:f>F2018-IF(H2018=2,1,0)</x:f>
        <x:v>0</x:v>
      </x:c>
      <x:c r="N2018" s="19" t="n">
        <x:f>MAX(K2018-1,0)+MAX(L2018-1,0)+MAX(M2018-1,0)</x:f>
        <x:v>4</x:v>
      </x:c>
      <x:c r="O2018" s="19" t="n">
        <x:f>IF(AND(SUM(K2018:M2018)&lt;9,OR(M2018=0,N2018&lt;6)),1,0)</x:f>
        <x:v>1</x:v>
      </x:c>
      <x:c r="P2018" s="19" t="n">
        <x:f>IF(AND(SUM(K2018:M2018)&lt;9,OR(L2018=0,N2018&lt;6)),1,0)</x:f>
        <x:v>1</x:v>
      </x:c>
      <x:c r="Q2018" s="19" t="n">
        <x:f>IF(AND(SUM(K2018:M2018)&lt;9,OR(K2018=0,N2018&lt;6)),1,0)</x:f>
        <x:v>1</x:v>
      </x:c>
      <x:c r="R2018" s="22" t="str">
        <x:f>O2018&amp;P2018&amp;Q2018</x:f>
        <x:v>111</x:v>
      </x:c>
      <x:c r="S2018" s="19" t="n">
        <x:f>IF(I2018=1,IF(J2018=0,Q2018,IF(J2018=1,P2018,IF(J2018=2,O2018,0))),0)</x:f>
        <x:v>1</x:v>
      </x:c>
      <x:c r="T2018" s="19" t="n">
        <x:f>K2018+IF(AND(S2018=1,J2018=0),1,0)</x:f>
        <x:v>4</x:v>
      </x:c>
      <x:c r="U2018" s="19" t="n">
        <x:f>L2018+IF(AND(S2018=1,J2018=1),1,0)</x:f>
        <x:v>2</x:v>
      </x:c>
      <x:c r="V2018" s="19" t="n">
        <x:f>M2018+IF(AND(S2018=1,J2018=2),1,0)</x:f>
        <x:v>1</x:v>
      </x:c>
      <x:c r="W2018" s="19" t="n">
        <x:f>SUM(T2018:V2018)</x:f>
        <x:v>7</x:v>
      </x:c>
      <x:c r="X2018" s="19" t="n">
        <x:f>W2018-G2018</x:f>
        <x:v>1</x:v>
      </x:c>
      <x:c r="Y2018" s="19" t="n">
        <x:f>MAX(T2018,1)+MAX(U2018,1)+MAX(V2018,1)</x:f>
        <x:v>7</x:v>
      </x:c>
      <x:c r="Z2018" s="21" t="str">
        <x:f>IF(AND(MIN(D2018:F2018)&gt;=0,MAX(D2018:F2018)&lt;=7,MAX(D2018,1)+MAX(E2018,1)+MAX(F2018,1)&lt;=9,OR(H2018="-",AND(H2018=0,D2018&gt;0),AND(H2018=1,E2018&gt;0),AND(H2018=2,F2018&gt;0)),OR(I2018=0,AND(I2018=1,OR(J2018=0,J2018=1,J2018=2),R2018&lt;&gt;"000")),Y2018&lt;=9,MIN(T2018:V2018)&gt;=0),"合法","输入违约")</x:f>
        <x:v>合法</x:v>
      </x:c>
    </x:row>
    <x:row r="2019" ht="23" customHeight="1">
      <x:c r="A2019" s="3" t="str">
        <x:v>CT-2012</x:v>
      </x:c>
      <x:c r="B2019" s="3" t="str">
        <x:v>ST-081</x:v>
      </x:c>
      <x:c r="C2019" s="3" t="str">
        <x:v>仅R回收</x:v>
      </x:c>
      <x:c r="D2019" s="25" t="n">
        <x:v>4</x:v>
      </x:c>
      <x:c r="E2019" s="25" t="n">
        <x:v>2</x:v>
      </x:c>
      <x:c r="F2019" s="25" t="n">
        <x:v>0</x:v>
      </x:c>
      <x:c r="G2019" s="19" t="n">
        <x:f>SUM(D2019:F2019)</x:f>
        <x:v>6</x:v>
      </x:c>
      <x:c r="H2019" s="25" t="n">
        <x:v>0</x:v>
      </x:c>
      <x:c r="I2019" s="25" t="n">
        <x:v>0</x:v>
      </x:c>
      <x:c r="J2019" s="25" t="str">
        <x:v>-</x:v>
      </x:c>
      <x:c r="K2019" s="19" t="n">
        <x:f>D2019-IF(H2019=0,1,0)</x:f>
        <x:v>3</x:v>
      </x:c>
      <x:c r="L2019" s="19" t="n">
        <x:f>E2019-IF(H2019=1,1,0)</x:f>
        <x:v>2</x:v>
      </x:c>
      <x:c r="M2019" s="19" t="n">
        <x:f>F2019-IF(H2019=2,1,0)</x:f>
        <x:v>0</x:v>
      </x:c>
      <x:c r="N2019" s="19" t="n">
        <x:f>MAX(K2019-1,0)+MAX(L2019-1,0)+MAX(M2019-1,0)</x:f>
        <x:v>3</x:v>
      </x:c>
      <x:c r="O2019" s="19" t="n">
        <x:f>IF(AND(SUM(K2019:M2019)&lt;9,OR(M2019=0,N2019&lt;6)),1,0)</x:f>
        <x:v>1</x:v>
      </x:c>
      <x:c r="P2019" s="19" t="n">
        <x:f>IF(AND(SUM(K2019:M2019)&lt;9,OR(L2019=0,N2019&lt;6)),1,0)</x:f>
        <x:v>1</x:v>
      </x:c>
      <x:c r="Q2019" s="19" t="n">
        <x:f>IF(AND(SUM(K2019:M2019)&lt;9,OR(K2019=0,N2019&lt;6)),1,0)</x:f>
        <x:v>1</x:v>
      </x:c>
      <x:c r="R2019" s="22" t="str">
        <x:f>O2019&amp;P2019&amp;Q2019</x:f>
        <x:v>111</x:v>
      </x:c>
      <x:c r="S2019" s="19" t="n">
        <x:f>IF(I2019=1,IF(J2019=0,Q2019,IF(J2019=1,P2019,IF(J2019=2,O2019,0))),0)</x:f>
        <x:v>0</x:v>
      </x:c>
      <x:c r="T2019" s="19" t="n">
        <x:f>K2019+IF(AND(S2019=1,J2019=0),1,0)</x:f>
        <x:v>3</x:v>
      </x:c>
      <x:c r="U2019" s="19" t="n">
        <x:f>L2019+IF(AND(S2019=1,J2019=1),1,0)</x:f>
        <x:v>2</x:v>
      </x:c>
      <x:c r="V2019" s="19" t="n">
        <x:f>M2019+IF(AND(S2019=1,J2019=2),1,0)</x:f>
        <x:v>0</x:v>
      </x:c>
      <x:c r="W2019" s="19" t="n">
        <x:f>SUM(T2019:V2019)</x:f>
        <x:v>5</x:v>
      </x:c>
      <x:c r="X2019" s="19" t="n">
        <x:f>W2019-G2019</x:f>
        <x:v>-1</x:v>
      </x:c>
      <x:c r="Y2019" s="19" t="n">
        <x:f>MAX(T2019,1)+MAX(U2019,1)+MAX(V2019,1)</x:f>
        <x:v>6</x:v>
      </x:c>
      <x:c r="Z2019" s="21" t="str">
        <x:f>IF(AND(MIN(D2019:F2019)&gt;=0,MAX(D2019:F2019)&lt;=7,MAX(D2019,1)+MAX(E2019,1)+MAX(F2019,1)&lt;=9,OR(H2019="-",AND(H2019=0,D2019&gt;0),AND(H2019=1,E2019&gt;0),AND(H2019=2,F2019&gt;0)),OR(I2019=0,AND(I2019=1,OR(J2019=0,J2019=1,J2019=2),R2019&lt;&gt;"000")),Y2019&lt;=9,MIN(T2019:V2019)&gt;=0),"合法","输入违约")</x:f>
        <x:v>合法</x:v>
      </x:c>
    </x:row>
    <x:row r="2020" ht="23" customHeight="1">
      <x:c r="A2020" s="3" t="str">
        <x:v>CT-2013</x:v>
      </x:c>
      <x:c r="B2020" s="3" t="str">
        <x:v>ST-081</x:v>
      </x:c>
      <x:c r="C2020" s="3" t="str">
        <x:v>R+AR同收同发</x:v>
      </x:c>
      <x:c r="D2020" s="25" t="n">
        <x:v>4</x:v>
      </x:c>
      <x:c r="E2020" s="25" t="n">
        <x:v>2</x:v>
      </x:c>
      <x:c r="F2020" s="25" t="n">
        <x:v>0</x:v>
      </x:c>
      <x:c r="G2020" s="19" t="n">
        <x:f>SUM(D2020:F2020)</x:f>
        <x:v>6</x:v>
      </x:c>
      <x:c r="H2020" s="25" t="n">
        <x:v>0</x:v>
      </x:c>
      <x:c r="I2020" s="25" t="n">
        <x:v>1</x:v>
      </x:c>
      <x:c r="J2020" s="25" t="n">
        <x:v>0</x:v>
      </x:c>
      <x:c r="K2020" s="19" t="n">
        <x:f>D2020-IF(H2020=0,1,0)</x:f>
        <x:v>3</x:v>
      </x:c>
      <x:c r="L2020" s="19" t="n">
        <x:f>E2020-IF(H2020=1,1,0)</x:f>
        <x:v>2</x:v>
      </x:c>
      <x:c r="M2020" s="19" t="n">
        <x:f>F2020-IF(H2020=2,1,0)</x:f>
        <x:v>0</x:v>
      </x:c>
      <x:c r="N2020" s="19" t="n">
        <x:f>MAX(K2020-1,0)+MAX(L2020-1,0)+MAX(M2020-1,0)</x:f>
        <x:v>3</x:v>
      </x:c>
      <x:c r="O2020" s="19" t="n">
        <x:f>IF(AND(SUM(K2020:M2020)&lt;9,OR(M2020=0,N2020&lt;6)),1,0)</x:f>
        <x:v>1</x:v>
      </x:c>
      <x:c r="P2020" s="19" t="n">
        <x:f>IF(AND(SUM(K2020:M2020)&lt;9,OR(L2020=0,N2020&lt;6)),1,0)</x:f>
        <x:v>1</x:v>
      </x:c>
      <x:c r="Q2020" s="19" t="n">
        <x:f>IF(AND(SUM(K2020:M2020)&lt;9,OR(K2020=0,N2020&lt;6)),1,0)</x:f>
        <x:v>1</x:v>
      </x:c>
      <x:c r="R2020" s="22" t="str">
        <x:f>O2020&amp;P2020&amp;Q2020</x:f>
        <x:v>111</x:v>
      </x:c>
      <x:c r="S2020" s="19" t="n">
        <x:f>IF(I2020=1,IF(J2020=0,Q2020,IF(J2020=1,P2020,IF(J2020=2,O2020,0))),0)</x:f>
        <x:v>1</x:v>
      </x:c>
      <x:c r="T2020" s="19" t="n">
        <x:f>K2020+IF(AND(S2020=1,J2020=0),1,0)</x:f>
        <x:v>4</x:v>
      </x:c>
      <x:c r="U2020" s="19" t="n">
        <x:f>L2020+IF(AND(S2020=1,J2020=1),1,0)</x:f>
        <x:v>2</x:v>
      </x:c>
      <x:c r="V2020" s="19" t="n">
        <x:f>M2020+IF(AND(S2020=1,J2020=2),1,0)</x:f>
        <x:v>0</x:v>
      </x:c>
      <x:c r="W2020" s="19" t="n">
        <x:f>SUM(T2020:V2020)</x:f>
        <x:v>6</x:v>
      </x:c>
      <x:c r="X2020" s="19" t="n">
        <x:f>W2020-G2020</x:f>
        <x:v>0</x:v>
      </x:c>
      <x:c r="Y2020" s="19" t="n">
        <x:f>MAX(T2020,1)+MAX(U2020,1)+MAX(V2020,1)</x:f>
        <x:v>7</x:v>
      </x:c>
      <x:c r="Z2020" s="21" t="str">
        <x:f>IF(AND(MIN(D2020:F2020)&gt;=0,MAX(D2020:F2020)&lt;=7,MAX(D2020,1)+MAX(E2020,1)+MAX(F2020,1)&lt;=9,OR(H2020="-",AND(H2020=0,D2020&gt;0),AND(H2020=1,E2020&gt;0),AND(H2020=2,F2020&gt;0)),OR(I2020=0,AND(I2020=1,OR(J2020=0,J2020=1,J2020=2),R2020&lt;&gt;"000")),Y2020&lt;=9,MIN(T2020:V2020)&gt;=0),"合法","输入违约")</x:f>
        <x:v>合法</x:v>
      </x:c>
    </x:row>
    <x:row r="2021" ht="23" customHeight="1">
      <x:c r="A2021" s="3" t="str">
        <x:v>CT-2014</x:v>
      </x:c>
      <x:c r="B2021" s="3" t="str">
        <x:v>ST-081</x:v>
      </x:c>
      <x:c r="C2021" s="3" t="str">
        <x:v>R+AR同收同发</x:v>
      </x:c>
      <x:c r="D2021" s="25" t="n">
        <x:v>4</x:v>
      </x:c>
      <x:c r="E2021" s="25" t="n">
        <x:v>2</x:v>
      </x:c>
      <x:c r="F2021" s="25" t="n">
        <x:v>0</x:v>
      </x:c>
      <x:c r="G2021" s="19" t="n">
        <x:f>SUM(D2021:F2021)</x:f>
        <x:v>6</x:v>
      </x:c>
      <x:c r="H2021" s="25" t="n">
        <x:v>0</x:v>
      </x:c>
      <x:c r="I2021" s="25" t="n">
        <x:v>1</x:v>
      </x:c>
      <x:c r="J2021" s="25" t="n">
        <x:v>1</x:v>
      </x:c>
      <x:c r="K2021" s="19" t="n">
        <x:f>D2021-IF(H2021=0,1,0)</x:f>
        <x:v>3</x:v>
      </x:c>
      <x:c r="L2021" s="19" t="n">
        <x:f>E2021-IF(H2021=1,1,0)</x:f>
        <x:v>2</x:v>
      </x:c>
      <x:c r="M2021" s="19" t="n">
        <x:f>F2021-IF(H2021=2,1,0)</x:f>
        <x:v>0</x:v>
      </x:c>
      <x:c r="N2021" s="19" t="n">
        <x:f>MAX(K2021-1,0)+MAX(L2021-1,0)+MAX(M2021-1,0)</x:f>
        <x:v>3</x:v>
      </x:c>
      <x:c r="O2021" s="19" t="n">
        <x:f>IF(AND(SUM(K2021:M2021)&lt;9,OR(M2021=0,N2021&lt;6)),1,0)</x:f>
        <x:v>1</x:v>
      </x:c>
      <x:c r="P2021" s="19" t="n">
        <x:f>IF(AND(SUM(K2021:M2021)&lt;9,OR(L2021=0,N2021&lt;6)),1,0)</x:f>
        <x:v>1</x:v>
      </x:c>
      <x:c r="Q2021" s="19" t="n">
        <x:f>IF(AND(SUM(K2021:M2021)&lt;9,OR(K2021=0,N2021&lt;6)),1,0)</x:f>
        <x:v>1</x:v>
      </x:c>
      <x:c r="R2021" s="22" t="str">
        <x:f>O2021&amp;P2021&amp;Q2021</x:f>
        <x:v>111</x:v>
      </x:c>
      <x:c r="S2021" s="19" t="n">
        <x:f>IF(I2021=1,IF(J2021=0,Q2021,IF(J2021=1,P2021,IF(J2021=2,O2021,0))),0)</x:f>
        <x:v>1</x:v>
      </x:c>
      <x:c r="T2021" s="19" t="n">
        <x:f>K2021+IF(AND(S2021=1,J2021=0),1,0)</x:f>
        <x:v>3</x:v>
      </x:c>
      <x:c r="U2021" s="19" t="n">
        <x:f>L2021+IF(AND(S2021=1,J2021=1),1,0)</x:f>
        <x:v>3</x:v>
      </x:c>
      <x:c r="V2021" s="19" t="n">
        <x:f>M2021+IF(AND(S2021=1,J2021=2),1,0)</x:f>
        <x:v>0</x:v>
      </x:c>
      <x:c r="W2021" s="19" t="n">
        <x:f>SUM(T2021:V2021)</x:f>
        <x:v>6</x:v>
      </x:c>
      <x:c r="X2021" s="19" t="n">
        <x:f>W2021-G2021</x:f>
        <x:v>0</x:v>
      </x:c>
      <x:c r="Y2021" s="19" t="n">
        <x:f>MAX(T2021,1)+MAX(U2021,1)+MAX(V2021,1)</x:f>
        <x:v>7</x:v>
      </x:c>
      <x:c r="Z2021" s="21" t="str">
        <x:f>IF(AND(MIN(D2021:F2021)&gt;=0,MAX(D2021:F2021)&lt;=7,MAX(D2021,1)+MAX(E2021,1)+MAX(F2021,1)&lt;=9,OR(H2021="-",AND(H2021=0,D2021&gt;0),AND(H2021=1,E2021&gt;0),AND(H2021=2,F2021&gt;0)),OR(I2021=0,AND(I2021=1,OR(J2021=0,J2021=1,J2021=2),R2021&lt;&gt;"000")),Y2021&lt;=9,MIN(T2021:V2021)&gt;=0),"合法","输入违约")</x:f>
        <x:v>合法</x:v>
      </x:c>
    </x:row>
    <x:row r="2022" ht="23" customHeight="1">
      <x:c r="A2022" s="3" t="str">
        <x:v>CT-2015</x:v>
      </x:c>
      <x:c r="B2022" s="3" t="str">
        <x:v>ST-081</x:v>
      </x:c>
      <x:c r="C2022" s="3" t="str">
        <x:v>R+AR同收同发</x:v>
      </x:c>
      <x:c r="D2022" s="25" t="n">
        <x:v>4</x:v>
      </x:c>
      <x:c r="E2022" s="25" t="n">
        <x:v>2</x:v>
      </x:c>
      <x:c r="F2022" s="25" t="n">
        <x:v>0</x:v>
      </x:c>
      <x:c r="G2022" s="19" t="n">
        <x:f>SUM(D2022:F2022)</x:f>
        <x:v>6</x:v>
      </x:c>
      <x:c r="H2022" s="25" t="n">
        <x:v>0</x:v>
      </x:c>
      <x:c r="I2022" s="25" t="n">
        <x:v>1</x:v>
      </x:c>
      <x:c r="J2022" s="25" t="n">
        <x:v>2</x:v>
      </x:c>
      <x:c r="K2022" s="19" t="n">
        <x:f>D2022-IF(H2022=0,1,0)</x:f>
        <x:v>3</x:v>
      </x:c>
      <x:c r="L2022" s="19" t="n">
        <x:f>E2022-IF(H2022=1,1,0)</x:f>
        <x:v>2</x:v>
      </x:c>
      <x:c r="M2022" s="19" t="n">
        <x:f>F2022-IF(H2022=2,1,0)</x:f>
        <x:v>0</x:v>
      </x:c>
      <x:c r="N2022" s="19" t="n">
        <x:f>MAX(K2022-1,0)+MAX(L2022-1,0)+MAX(M2022-1,0)</x:f>
        <x:v>3</x:v>
      </x:c>
      <x:c r="O2022" s="19" t="n">
        <x:f>IF(AND(SUM(K2022:M2022)&lt;9,OR(M2022=0,N2022&lt;6)),1,0)</x:f>
        <x:v>1</x:v>
      </x:c>
      <x:c r="P2022" s="19" t="n">
        <x:f>IF(AND(SUM(K2022:M2022)&lt;9,OR(L2022=0,N2022&lt;6)),1,0)</x:f>
        <x:v>1</x:v>
      </x:c>
      <x:c r="Q2022" s="19" t="n">
        <x:f>IF(AND(SUM(K2022:M2022)&lt;9,OR(K2022=0,N2022&lt;6)),1,0)</x:f>
        <x:v>1</x:v>
      </x:c>
      <x:c r="R2022" s="22" t="str">
        <x:f>O2022&amp;P2022&amp;Q2022</x:f>
        <x:v>111</x:v>
      </x:c>
      <x:c r="S2022" s="19" t="n">
        <x:f>IF(I2022=1,IF(J2022=0,Q2022,IF(J2022=1,P2022,IF(J2022=2,O2022,0))),0)</x:f>
        <x:v>1</x:v>
      </x:c>
      <x:c r="T2022" s="19" t="n">
        <x:f>K2022+IF(AND(S2022=1,J2022=0),1,0)</x:f>
        <x:v>3</x:v>
      </x:c>
      <x:c r="U2022" s="19" t="n">
        <x:f>L2022+IF(AND(S2022=1,J2022=1),1,0)</x:f>
        <x:v>2</x:v>
      </x:c>
      <x:c r="V2022" s="19" t="n">
        <x:f>M2022+IF(AND(S2022=1,J2022=2),1,0)</x:f>
        <x:v>1</x:v>
      </x:c>
      <x:c r="W2022" s="19" t="n">
        <x:f>SUM(T2022:V2022)</x:f>
        <x:v>6</x:v>
      </x:c>
      <x:c r="X2022" s="19" t="n">
        <x:f>W2022-G2022</x:f>
        <x:v>0</x:v>
      </x:c>
      <x:c r="Y2022" s="19" t="n">
        <x:f>MAX(T2022,1)+MAX(U2022,1)+MAX(V2022,1)</x:f>
        <x:v>6</x:v>
      </x:c>
      <x:c r="Z2022" s="21" t="str">
        <x:f>IF(AND(MIN(D2022:F2022)&gt;=0,MAX(D2022:F2022)&lt;=7,MAX(D2022,1)+MAX(E2022,1)+MAX(F2022,1)&lt;=9,OR(H2022="-",AND(H2022=0,D2022&gt;0),AND(H2022=1,E2022&gt;0),AND(H2022=2,F2022&gt;0)),OR(I2022=0,AND(I2022=1,OR(J2022=0,J2022=1,J2022=2),R2022&lt;&gt;"000")),Y2022&lt;=9,MIN(T2022:V2022)&gt;=0),"合法","输入违约")</x:f>
        <x:v>合法</x:v>
      </x:c>
    </x:row>
    <x:row r="2023" ht="23" customHeight="1">
      <x:c r="A2023" s="3" t="str">
        <x:v>CT-2016</x:v>
      </x:c>
      <x:c r="B2023" s="3" t="str">
        <x:v>ST-081</x:v>
      </x:c>
      <x:c r="C2023" s="3" t="str">
        <x:v>仅R回收</x:v>
      </x:c>
      <x:c r="D2023" s="25" t="n">
        <x:v>4</x:v>
      </x:c>
      <x:c r="E2023" s="25" t="n">
        <x:v>2</x:v>
      </x:c>
      <x:c r="F2023" s="25" t="n">
        <x:v>0</x:v>
      </x:c>
      <x:c r="G2023" s="19" t="n">
        <x:f>SUM(D2023:F2023)</x:f>
        <x:v>6</x:v>
      </x:c>
      <x:c r="H2023" s="25" t="n">
        <x:v>1</x:v>
      </x:c>
      <x:c r="I2023" s="25" t="n">
        <x:v>0</x:v>
      </x:c>
      <x:c r="J2023" s="25" t="str">
        <x:v>-</x:v>
      </x:c>
      <x:c r="K2023" s="19" t="n">
        <x:f>D2023-IF(H2023=0,1,0)</x:f>
        <x:v>4</x:v>
      </x:c>
      <x:c r="L2023" s="19" t="n">
        <x:f>E2023-IF(H2023=1,1,0)</x:f>
        <x:v>1</x:v>
      </x:c>
      <x:c r="M2023" s="19" t="n">
        <x:f>F2023-IF(H2023=2,1,0)</x:f>
        <x:v>0</x:v>
      </x:c>
      <x:c r="N2023" s="19" t="n">
        <x:f>MAX(K2023-1,0)+MAX(L2023-1,0)+MAX(M2023-1,0)</x:f>
        <x:v>3</x:v>
      </x:c>
      <x:c r="O2023" s="19" t="n">
        <x:f>IF(AND(SUM(K2023:M2023)&lt;9,OR(M2023=0,N2023&lt;6)),1,0)</x:f>
        <x:v>1</x:v>
      </x:c>
      <x:c r="P2023" s="19" t="n">
        <x:f>IF(AND(SUM(K2023:M2023)&lt;9,OR(L2023=0,N2023&lt;6)),1,0)</x:f>
        <x:v>1</x:v>
      </x:c>
      <x:c r="Q2023" s="19" t="n">
        <x:f>IF(AND(SUM(K2023:M2023)&lt;9,OR(K2023=0,N2023&lt;6)),1,0)</x:f>
        <x:v>1</x:v>
      </x:c>
      <x:c r="R2023" s="22" t="str">
        <x:f>O2023&amp;P2023&amp;Q2023</x:f>
        <x:v>111</x:v>
      </x:c>
      <x:c r="S2023" s="19" t="n">
        <x:f>IF(I2023=1,IF(J2023=0,Q2023,IF(J2023=1,P2023,IF(J2023=2,O2023,0))),0)</x:f>
        <x:v>0</x:v>
      </x:c>
      <x:c r="T2023" s="19" t="n">
        <x:f>K2023+IF(AND(S2023=1,J2023=0),1,0)</x:f>
        <x:v>4</x:v>
      </x:c>
      <x:c r="U2023" s="19" t="n">
        <x:f>L2023+IF(AND(S2023=1,J2023=1),1,0)</x:f>
        <x:v>1</x:v>
      </x:c>
      <x:c r="V2023" s="19" t="n">
        <x:f>M2023+IF(AND(S2023=1,J2023=2),1,0)</x:f>
        <x:v>0</x:v>
      </x:c>
      <x:c r="W2023" s="19" t="n">
        <x:f>SUM(T2023:V2023)</x:f>
        <x:v>5</x:v>
      </x:c>
      <x:c r="X2023" s="19" t="n">
        <x:f>W2023-G2023</x:f>
        <x:v>-1</x:v>
      </x:c>
      <x:c r="Y2023" s="19" t="n">
        <x:f>MAX(T2023,1)+MAX(U2023,1)+MAX(V2023,1)</x:f>
        <x:v>6</x:v>
      </x:c>
      <x:c r="Z2023" s="21" t="str">
        <x:f>IF(AND(MIN(D2023:F2023)&gt;=0,MAX(D2023:F2023)&lt;=7,MAX(D2023,1)+MAX(E2023,1)+MAX(F2023,1)&lt;=9,OR(H2023="-",AND(H2023=0,D2023&gt;0),AND(H2023=1,E2023&gt;0),AND(H2023=2,F2023&gt;0)),OR(I2023=0,AND(I2023=1,OR(J2023=0,J2023=1,J2023=2),R2023&lt;&gt;"000")),Y2023&lt;=9,MIN(T2023:V2023)&gt;=0),"合法","输入违约")</x:f>
        <x:v>合法</x:v>
      </x:c>
    </x:row>
    <x:row r="2024" ht="23" customHeight="1">
      <x:c r="A2024" s="3" t="str">
        <x:v>CT-2017</x:v>
      </x:c>
      <x:c r="B2024" s="3" t="str">
        <x:v>ST-081</x:v>
      </x:c>
      <x:c r="C2024" s="3" t="str">
        <x:v>R+AR同收同发</x:v>
      </x:c>
      <x:c r="D2024" s="25" t="n">
        <x:v>4</x:v>
      </x:c>
      <x:c r="E2024" s="25" t="n">
        <x:v>2</x:v>
      </x:c>
      <x:c r="F2024" s="25" t="n">
        <x:v>0</x:v>
      </x:c>
      <x:c r="G2024" s="19" t="n">
        <x:f>SUM(D2024:F2024)</x:f>
        <x:v>6</x:v>
      </x:c>
      <x:c r="H2024" s="25" t="n">
        <x:v>1</x:v>
      </x:c>
      <x:c r="I2024" s="25" t="n">
        <x:v>1</x:v>
      </x:c>
      <x:c r="J2024" s="25" t="n">
        <x:v>0</x:v>
      </x:c>
      <x:c r="K2024" s="19" t="n">
        <x:f>D2024-IF(H2024=0,1,0)</x:f>
        <x:v>4</x:v>
      </x:c>
      <x:c r="L2024" s="19" t="n">
        <x:f>E2024-IF(H2024=1,1,0)</x:f>
        <x:v>1</x:v>
      </x:c>
      <x:c r="M2024" s="19" t="n">
        <x:f>F2024-IF(H2024=2,1,0)</x:f>
        <x:v>0</x:v>
      </x:c>
      <x:c r="N2024" s="19" t="n">
        <x:f>MAX(K2024-1,0)+MAX(L2024-1,0)+MAX(M2024-1,0)</x:f>
        <x:v>3</x:v>
      </x:c>
      <x:c r="O2024" s="19" t="n">
        <x:f>IF(AND(SUM(K2024:M2024)&lt;9,OR(M2024=0,N2024&lt;6)),1,0)</x:f>
        <x:v>1</x:v>
      </x:c>
      <x:c r="P2024" s="19" t="n">
        <x:f>IF(AND(SUM(K2024:M2024)&lt;9,OR(L2024=0,N2024&lt;6)),1,0)</x:f>
        <x:v>1</x:v>
      </x:c>
      <x:c r="Q2024" s="19" t="n">
        <x:f>IF(AND(SUM(K2024:M2024)&lt;9,OR(K2024=0,N2024&lt;6)),1,0)</x:f>
        <x:v>1</x:v>
      </x:c>
      <x:c r="R2024" s="22" t="str">
        <x:f>O2024&amp;P2024&amp;Q2024</x:f>
        <x:v>111</x:v>
      </x:c>
      <x:c r="S2024" s="19" t="n">
        <x:f>IF(I2024=1,IF(J2024=0,Q2024,IF(J2024=1,P2024,IF(J2024=2,O2024,0))),0)</x:f>
        <x:v>1</x:v>
      </x:c>
      <x:c r="T2024" s="19" t="n">
        <x:f>K2024+IF(AND(S2024=1,J2024=0),1,0)</x:f>
        <x:v>5</x:v>
      </x:c>
      <x:c r="U2024" s="19" t="n">
        <x:f>L2024+IF(AND(S2024=1,J2024=1),1,0)</x:f>
        <x:v>1</x:v>
      </x:c>
      <x:c r="V2024" s="19" t="n">
        <x:f>M2024+IF(AND(S2024=1,J2024=2),1,0)</x:f>
        <x:v>0</x:v>
      </x:c>
      <x:c r="W2024" s="19" t="n">
        <x:f>SUM(T2024:V2024)</x:f>
        <x:v>6</x:v>
      </x:c>
      <x:c r="X2024" s="19" t="n">
        <x:f>W2024-G2024</x:f>
        <x:v>0</x:v>
      </x:c>
      <x:c r="Y2024" s="19" t="n">
        <x:f>MAX(T2024,1)+MAX(U2024,1)+MAX(V2024,1)</x:f>
        <x:v>7</x:v>
      </x:c>
      <x:c r="Z2024" s="21" t="str">
        <x:f>IF(AND(MIN(D2024:F2024)&gt;=0,MAX(D2024:F2024)&lt;=7,MAX(D2024,1)+MAX(E2024,1)+MAX(F2024,1)&lt;=9,OR(H2024="-",AND(H2024=0,D2024&gt;0),AND(H2024=1,E2024&gt;0),AND(H2024=2,F2024&gt;0)),OR(I2024=0,AND(I2024=1,OR(J2024=0,J2024=1,J2024=2),R2024&lt;&gt;"000")),Y2024&lt;=9,MIN(T2024:V2024)&gt;=0),"合法","输入违约")</x:f>
        <x:v>合法</x:v>
      </x:c>
    </x:row>
    <x:row r="2025" ht="23" customHeight="1">
      <x:c r="A2025" s="3" t="str">
        <x:v>CT-2018</x:v>
      </x:c>
      <x:c r="B2025" s="3" t="str">
        <x:v>ST-081</x:v>
      </x:c>
      <x:c r="C2025" s="3" t="str">
        <x:v>R+AR同收同发</x:v>
      </x:c>
      <x:c r="D2025" s="25" t="n">
        <x:v>4</x:v>
      </x:c>
      <x:c r="E2025" s="25" t="n">
        <x:v>2</x:v>
      </x:c>
      <x:c r="F2025" s="25" t="n">
        <x:v>0</x:v>
      </x:c>
      <x:c r="G2025" s="19" t="n">
        <x:f>SUM(D2025:F2025)</x:f>
        <x:v>6</x:v>
      </x:c>
      <x:c r="H2025" s="25" t="n">
        <x:v>1</x:v>
      </x:c>
      <x:c r="I2025" s="25" t="n">
        <x:v>1</x:v>
      </x:c>
      <x:c r="J2025" s="25" t="n">
        <x:v>1</x:v>
      </x:c>
      <x:c r="K2025" s="19" t="n">
        <x:f>D2025-IF(H2025=0,1,0)</x:f>
        <x:v>4</x:v>
      </x:c>
      <x:c r="L2025" s="19" t="n">
        <x:f>E2025-IF(H2025=1,1,0)</x:f>
        <x:v>1</x:v>
      </x:c>
      <x:c r="M2025" s="19" t="n">
        <x:f>F2025-IF(H2025=2,1,0)</x:f>
        <x:v>0</x:v>
      </x:c>
      <x:c r="N2025" s="19" t="n">
        <x:f>MAX(K2025-1,0)+MAX(L2025-1,0)+MAX(M2025-1,0)</x:f>
        <x:v>3</x:v>
      </x:c>
      <x:c r="O2025" s="19" t="n">
        <x:f>IF(AND(SUM(K2025:M2025)&lt;9,OR(M2025=0,N2025&lt;6)),1,0)</x:f>
        <x:v>1</x:v>
      </x:c>
      <x:c r="P2025" s="19" t="n">
        <x:f>IF(AND(SUM(K2025:M2025)&lt;9,OR(L2025=0,N2025&lt;6)),1,0)</x:f>
        <x:v>1</x:v>
      </x:c>
      <x:c r="Q2025" s="19" t="n">
        <x:f>IF(AND(SUM(K2025:M2025)&lt;9,OR(K2025=0,N2025&lt;6)),1,0)</x:f>
        <x:v>1</x:v>
      </x:c>
      <x:c r="R2025" s="22" t="str">
        <x:f>O2025&amp;P2025&amp;Q2025</x:f>
        <x:v>111</x:v>
      </x:c>
      <x:c r="S2025" s="19" t="n">
        <x:f>IF(I2025=1,IF(J2025=0,Q2025,IF(J2025=1,P2025,IF(J2025=2,O2025,0))),0)</x:f>
        <x:v>1</x:v>
      </x:c>
      <x:c r="T2025" s="19" t="n">
        <x:f>K2025+IF(AND(S2025=1,J2025=0),1,0)</x:f>
        <x:v>4</x:v>
      </x:c>
      <x:c r="U2025" s="19" t="n">
        <x:f>L2025+IF(AND(S2025=1,J2025=1),1,0)</x:f>
        <x:v>2</x:v>
      </x:c>
      <x:c r="V2025" s="19" t="n">
        <x:f>M2025+IF(AND(S2025=1,J2025=2),1,0)</x:f>
        <x:v>0</x:v>
      </x:c>
      <x:c r="W2025" s="19" t="n">
        <x:f>SUM(T2025:V2025)</x:f>
        <x:v>6</x:v>
      </x:c>
      <x:c r="X2025" s="19" t="n">
        <x:f>W2025-G2025</x:f>
        <x:v>0</x:v>
      </x:c>
      <x:c r="Y2025" s="19" t="n">
        <x:f>MAX(T2025,1)+MAX(U2025,1)+MAX(V2025,1)</x:f>
        <x:v>7</x:v>
      </x:c>
      <x:c r="Z2025" s="21" t="str">
        <x:f>IF(AND(MIN(D2025:F2025)&gt;=0,MAX(D2025:F2025)&lt;=7,MAX(D2025,1)+MAX(E2025,1)+MAX(F2025,1)&lt;=9,OR(H2025="-",AND(H2025=0,D2025&gt;0),AND(H2025=1,E2025&gt;0),AND(H2025=2,F2025&gt;0)),OR(I2025=0,AND(I2025=1,OR(J2025=0,J2025=1,J2025=2),R2025&lt;&gt;"000")),Y2025&lt;=9,MIN(T2025:V2025)&gt;=0),"合法","输入违约")</x:f>
        <x:v>合法</x:v>
      </x:c>
    </x:row>
    <x:row r="2026" ht="23" customHeight="1">
      <x:c r="A2026" s="3" t="str">
        <x:v>CT-2019</x:v>
      </x:c>
      <x:c r="B2026" s="3" t="str">
        <x:v>ST-081</x:v>
      </x:c>
      <x:c r="C2026" s="3" t="str">
        <x:v>R+AR同收同发</x:v>
      </x:c>
      <x:c r="D2026" s="25" t="n">
        <x:v>4</x:v>
      </x:c>
      <x:c r="E2026" s="25" t="n">
        <x:v>2</x:v>
      </x:c>
      <x:c r="F2026" s="25" t="n">
        <x:v>0</x:v>
      </x:c>
      <x:c r="G2026" s="19" t="n">
        <x:f>SUM(D2026:F2026)</x:f>
        <x:v>6</x:v>
      </x:c>
      <x:c r="H2026" s="25" t="n">
        <x:v>1</x:v>
      </x:c>
      <x:c r="I2026" s="25" t="n">
        <x:v>1</x:v>
      </x:c>
      <x:c r="J2026" s="25" t="n">
        <x:v>2</x:v>
      </x:c>
      <x:c r="K2026" s="19" t="n">
        <x:f>D2026-IF(H2026=0,1,0)</x:f>
        <x:v>4</x:v>
      </x:c>
      <x:c r="L2026" s="19" t="n">
        <x:f>E2026-IF(H2026=1,1,0)</x:f>
        <x:v>1</x:v>
      </x:c>
      <x:c r="M2026" s="19" t="n">
        <x:f>F2026-IF(H2026=2,1,0)</x:f>
        <x:v>0</x:v>
      </x:c>
      <x:c r="N2026" s="19" t="n">
        <x:f>MAX(K2026-1,0)+MAX(L2026-1,0)+MAX(M2026-1,0)</x:f>
        <x:v>3</x:v>
      </x:c>
      <x:c r="O2026" s="19" t="n">
        <x:f>IF(AND(SUM(K2026:M2026)&lt;9,OR(M2026=0,N2026&lt;6)),1,0)</x:f>
        <x:v>1</x:v>
      </x:c>
      <x:c r="P2026" s="19" t="n">
        <x:f>IF(AND(SUM(K2026:M2026)&lt;9,OR(L2026=0,N2026&lt;6)),1,0)</x:f>
        <x:v>1</x:v>
      </x:c>
      <x:c r="Q2026" s="19" t="n">
        <x:f>IF(AND(SUM(K2026:M2026)&lt;9,OR(K2026=0,N2026&lt;6)),1,0)</x:f>
        <x:v>1</x:v>
      </x:c>
      <x:c r="R2026" s="22" t="str">
        <x:f>O2026&amp;P2026&amp;Q2026</x:f>
        <x:v>111</x:v>
      </x:c>
      <x:c r="S2026" s="19" t="n">
        <x:f>IF(I2026=1,IF(J2026=0,Q2026,IF(J2026=1,P2026,IF(J2026=2,O2026,0))),0)</x:f>
        <x:v>1</x:v>
      </x:c>
      <x:c r="T2026" s="19" t="n">
        <x:f>K2026+IF(AND(S2026=1,J2026=0),1,0)</x:f>
        <x:v>4</x:v>
      </x:c>
      <x:c r="U2026" s="19" t="n">
        <x:f>L2026+IF(AND(S2026=1,J2026=1),1,0)</x:f>
        <x:v>1</x:v>
      </x:c>
      <x:c r="V2026" s="19" t="n">
        <x:f>M2026+IF(AND(S2026=1,J2026=2),1,0)</x:f>
        <x:v>1</x:v>
      </x:c>
      <x:c r="W2026" s="19" t="n">
        <x:f>SUM(T2026:V2026)</x:f>
        <x:v>6</x:v>
      </x:c>
      <x:c r="X2026" s="19" t="n">
        <x:f>W2026-G2026</x:f>
        <x:v>0</x:v>
      </x:c>
      <x:c r="Y2026" s="19" t="n">
        <x:f>MAX(T2026,1)+MAX(U2026,1)+MAX(V2026,1)</x:f>
        <x:v>6</x:v>
      </x:c>
      <x:c r="Z2026" s="21" t="str">
        <x:f>IF(AND(MIN(D2026:F2026)&gt;=0,MAX(D2026:F2026)&lt;=7,MAX(D2026,1)+MAX(E2026,1)+MAX(F2026,1)&lt;=9,OR(H2026="-",AND(H2026=0,D2026&gt;0),AND(H2026=1,E2026&gt;0),AND(H2026=2,F2026&gt;0)),OR(I2026=0,AND(I2026=1,OR(J2026=0,J2026=1,J2026=2),R2026&lt;&gt;"000")),Y2026&lt;=9,MIN(T2026:V2026)&gt;=0),"合法","输入违约")</x:f>
        <x:v>合法</x:v>
      </x:c>
    </x:row>
    <x:row r="2027" ht="23" customHeight="1">
      <x:c r="A2027" s="3" t="str">
        <x:v>CT-2020</x:v>
      </x:c>
      <x:c r="B2027" s="3" t="str">
        <x:v>ST-113</x:v>
      </x:c>
      <x:c r="C2027" s="3" t="str">
        <x:v>无AR/R</x:v>
      </x:c>
      <x:c r="D2027" s="25" t="n">
        <x:v>4</x:v>
      </x:c>
      <x:c r="E2027" s="25" t="n">
        <x:v>2</x:v>
      </x:c>
      <x:c r="F2027" s="25" t="n">
        <x:v>1</x:v>
      </x:c>
      <x:c r="G2027" s="19" t="n">
        <x:f>SUM(D2027:F2027)</x:f>
        <x:v>7</x:v>
      </x:c>
      <x:c r="H2027" s="25" t="str">
        <x:v>-</x:v>
      </x:c>
      <x:c r="I2027" s="25" t="n">
        <x:v>0</x:v>
      </x:c>
      <x:c r="J2027" s="25" t="str">
        <x:v>-</x:v>
      </x:c>
      <x:c r="K2027" s="19" t="n">
        <x:f>D2027-IF(H2027=0,1,0)</x:f>
        <x:v>4</x:v>
      </x:c>
      <x:c r="L2027" s="19" t="n">
        <x:f>E2027-IF(H2027=1,1,0)</x:f>
        <x:v>2</x:v>
      </x:c>
      <x:c r="M2027" s="19" t="n">
        <x:f>F2027-IF(H2027=2,1,0)</x:f>
        <x:v>1</x:v>
      </x:c>
      <x:c r="N2027" s="19" t="n">
        <x:f>MAX(K2027-1,0)+MAX(L2027-1,0)+MAX(M2027-1,0)</x:f>
        <x:v>4</x:v>
      </x:c>
      <x:c r="O2027" s="19" t="n">
        <x:f>IF(AND(SUM(K2027:M2027)&lt;9,OR(M2027=0,N2027&lt;6)),1,0)</x:f>
        <x:v>1</x:v>
      </x:c>
      <x:c r="P2027" s="19" t="n">
        <x:f>IF(AND(SUM(K2027:M2027)&lt;9,OR(L2027=0,N2027&lt;6)),1,0)</x:f>
        <x:v>1</x:v>
      </x:c>
      <x:c r="Q2027" s="19" t="n">
        <x:f>IF(AND(SUM(K2027:M2027)&lt;9,OR(K2027=0,N2027&lt;6)),1,0)</x:f>
        <x:v>1</x:v>
      </x:c>
      <x:c r="R2027" s="22" t="str">
        <x:f>O2027&amp;P2027&amp;Q2027</x:f>
        <x:v>111</x:v>
      </x:c>
      <x:c r="S2027" s="19" t="n">
        <x:f>IF(I2027=1,IF(J2027=0,Q2027,IF(J2027=1,P2027,IF(J2027=2,O2027,0))),0)</x:f>
        <x:v>0</x:v>
      </x:c>
      <x:c r="T2027" s="19" t="n">
        <x:f>K2027+IF(AND(S2027=1,J2027=0),1,0)</x:f>
        <x:v>4</x:v>
      </x:c>
      <x:c r="U2027" s="19" t="n">
        <x:f>L2027+IF(AND(S2027=1,J2027=1),1,0)</x:f>
        <x:v>2</x:v>
      </x:c>
      <x:c r="V2027" s="19" t="n">
        <x:f>M2027+IF(AND(S2027=1,J2027=2),1,0)</x:f>
        <x:v>1</x:v>
      </x:c>
      <x:c r="W2027" s="19" t="n">
        <x:f>SUM(T2027:V2027)</x:f>
        <x:v>7</x:v>
      </x:c>
      <x:c r="X2027" s="19" t="n">
        <x:f>W2027-G2027</x:f>
        <x:v>0</x:v>
      </x:c>
      <x:c r="Y2027" s="19" t="n">
        <x:f>MAX(T2027,1)+MAX(U2027,1)+MAX(V2027,1)</x:f>
        <x:v>7</x:v>
      </x:c>
      <x:c r="Z2027" s="21" t="str">
        <x:f>IF(AND(MIN(D2027:F2027)&gt;=0,MAX(D2027:F2027)&lt;=7,MAX(D2027,1)+MAX(E2027,1)+MAX(F2027,1)&lt;=9,OR(H2027="-",AND(H2027=0,D2027&gt;0),AND(H2027=1,E2027&gt;0),AND(H2027=2,F2027&gt;0)),OR(I2027=0,AND(I2027=1,OR(J2027=0,J2027=1,J2027=2),R2027&lt;&gt;"000")),Y2027&lt;=9,MIN(T2027:V2027)&gt;=0),"合法","输入违约")</x:f>
        <x:v>合法</x:v>
      </x:c>
    </x:row>
    <x:row r="2028" ht="23" customHeight="1">
      <x:c r="A2028" s="3" t="str">
        <x:v>CT-2021</x:v>
      </x:c>
      <x:c r="B2028" s="3" t="str">
        <x:v>ST-113</x:v>
      </x:c>
      <x:c r="C2028" s="3" t="str">
        <x:v>仅AR接收</x:v>
      </x:c>
      <x:c r="D2028" s="25" t="n">
        <x:v>4</x:v>
      </x:c>
      <x:c r="E2028" s="25" t="n">
        <x:v>2</x:v>
      </x:c>
      <x:c r="F2028" s="25" t="n">
        <x:v>1</x:v>
      </x:c>
      <x:c r="G2028" s="19" t="n">
        <x:f>SUM(D2028:F2028)</x:f>
        <x:v>7</x:v>
      </x:c>
      <x:c r="H2028" s="25" t="str">
        <x:v>-</x:v>
      </x:c>
      <x:c r="I2028" s="25" t="n">
        <x:v>1</x:v>
      </x:c>
      <x:c r="J2028" s="25" t="n">
        <x:v>0</x:v>
      </x:c>
      <x:c r="K2028" s="19" t="n">
        <x:f>D2028-IF(H2028=0,1,0)</x:f>
        <x:v>4</x:v>
      </x:c>
      <x:c r="L2028" s="19" t="n">
        <x:f>E2028-IF(H2028=1,1,0)</x:f>
        <x:v>2</x:v>
      </x:c>
      <x:c r="M2028" s="19" t="n">
        <x:f>F2028-IF(H2028=2,1,0)</x:f>
        <x:v>1</x:v>
      </x:c>
      <x:c r="N2028" s="19" t="n">
        <x:f>MAX(K2028-1,0)+MAX(L2028-1,0)+MAX(M2028-1,0)</x:f>
        <x:v>4</x:v>
      </x:c>
      <x:c r="O2028" s="19" t="n">
        <x:f>IF(AND(SUM(K2028:M2028)&lt;9,OR(M2028=0,N2028&lt;6)),1,0)</x:f>
        <x:v>1</x:v>
      </x:c>
      <x:c r="P2028" s="19" t="n">
        <x:f>IF(AND(SUM(K2028:M2028)&lt;9,OR(L2028=0,N2028&lt;6)),1,0)</x:f>
        <x:v>1</x:v>
      </x:c>
      <x:c r="Q2028" s="19" t="n">
        <x:f>IF(AND(SUM(K2028:M2028)&lt;9,OR(K2028=0,N2028&lt;6)),1,0)</x:f>
        <x:v>1</x:v>
      </x:c>
      <x:c r="R2028" s="22" t="str">
        <x:f>O2028&amp;P2028&amp;Q2028</x:f>
        <x:v>111</x:v>
      </x:c>
      <x:c r="S2028" s="19" t="n">
        <x:f>IF(I2028=1,IF(J2028=0,Q2028,IF(J2028=1,P2028,IF(J2028=2,O2028,0))),0)</x:f>
        <x:v>1</x:v>
      </x:c>
      <x:c r="T2028" s="19" t="n">
        <x:f>K2028+IF(AND(S2028=1,J2028=0),1,0)</x:f>
        <x:v>5</x:v>
      </x:c>
      <x:c r="U2028" s="19" t="n">
        <x:f>L2028+IF(AND(S2028=1,J2028=1),1,0)</x:f>
        <x:v>2</x:v>
      </x:c>
      <x:c r="V2028" s="19" t="n">
        <x:f>M2028+IF(AND(S2028=1,J2028=2),1,0)</x:f>
        <x:v>1</x:v>
      </x:c>
      <x:c r="W2028" s="19" t="n">
        <x:f>SUM(T2028:V2028)</x:f>
        <x:v>8</x:v>
      </x:c>
      <x:c r="X2028" s="19" t="n">
        <x:f>W2028-G2028</x:f>
        <x:v>1</x:v>
      </x:c>
      <x:c r="Y2028" s="19" t="n">
        <x:f>MAX(T2028,1)+MAX(U2028,1)+MAX(V2028,1)</x:f>
        <x:v>8</x:v>
      </x:c>
      <x:c r="Z2028" s="21" t="str">
        <x:f>IF(AND(MIN(D2028:F2028)&gt;=0,MAX(D2028:F2028)&lt;=7,MAX(D2028,1)+MAX(E2028,1)+MAX(F2028,1)&lt;=9,OR(H2028="-",AND(H2028=0,D2028&gt;0),AND(H2028=1,E2028&gt;0),AND(H2028=2,F2028&gt;0)),OR(I2028=0,AND(I2028=1,OR(J2028=0,J2028=1,J2028=2),R2028&lt;&gt;"000")),Y2028&lt;=9,MIN(T2028:V2028)&gt;=0),"合法","输入违约")</x:f>
        <x:v>合法</x:v>
      </x:c>
    </x:row>
    <x:row r="2029" ht="23" customHeight="1">
      <x:c r="A2029" s="3" t="str">
        <x:v>CT-2022</x:v>
      </x:c>
      <x:c r="B2029" s="3" t="str">
        <x:v>ST-113</x:v>
      </x:c>
      <x:c r="C2029" s="3" t="str">
        <x:v>仅AR接收</x:v>
      </x:c>
      <x:c r="D2029" s="25" t="n">
        <x:v>4</x:v>
      </x:c>
      <x:c r="E2029" s="25" t="n">
        <x:v>2</x:v>
      </x:c>
      <x:c r="F2029" s="25" t="n">
        <x:v>1</x:v>
      </x:c>
      <x:c r="G2029" s="19" t="n">
        <x:f>SUM(D2029:F2029)</x:f>
        <x:v>7</x:v>
      </x:c>
      <x:c r="H2029" s="25" t="str">
        <x:v>-</x:v>
      </x:c>
      <x:c r="I2029" s="25" t="n">
        <x:v>1</x:v>
      </x:c>
      <x:c r="J2029" s="25" t="n">
        <x:v>1</x:v>
      </x:c>
      <x:c r="K2029" s="19" t="n">
        <x:f>D2029-IF(H2029=0,1,0)</x:f>
        <x:v>4</x:v>
      </x:c>
      <x:c r="L2029" s="19" t="n">
        <x:f>E2029-IF(H2029=1,1,0)</x:f>
        <x:v>2</x:v>
      </x:c>
      <x:c r="M2029" s="19" t="n">
        <x:f>F2029-IF(H2029=2,1,0)</x:f>
        <x:v>1</x:v>
      </x:c>
      <x:c r="N2029" s="19" t="n">
        <x:f>MAX(K2029-1,0)+MAX(L2029-1,0)+MAX(M2029-1,0)</x:f>
        <x:v>4</x:v>
      </x:c>
      <x:c r="O2029" s="19" t="n">
        <x:f>IF(AND(SUM(K2029:M2029)&lt;9,OR(M2029=0,N2029&lt;6)),1,0)</x:f>
        <x:v>1</x:v>
      </x:c>
      <x:c r="P2029" s="19" t="n">
        <x:f>IF(AND(SUM(K2029:M2029)&lt;9,OR(L2029=0,N2029&lt;6)),1,0)</x:f>
        <x:v>1</x:v>
      </x:c>
      <x:c r="Q2029" s="19" t="n">
        <x:f>IF(AND(SUM(K2029:M2029)&lt;9,OR(K2029=0,N2029&lt;6)),1,0)</x:f>
        <x:v>1</x:v>
      </x:c>
      <x:c r="R2029" s="22" t="str">
        <x:f>O2029&amp;P2029&amp;Q2029</x:f>
        <x:v>111</x:v>
      </x:c>
      <x:c r="S2029" s="19" t="n">
        <x:f>IF(I2029=1,IF(J2029=0,Q2029,IF(J2029=1,P2029,IF(J2029=2,O2029,0))),0)</x:f>
        <x:v>1</x:v>
      </x:c>
      <x:c r="T2029" s="19" t="n">
        <x:f>K2029+IF(AND(S2029=1,J2029=0),1,0)</x:f>
        <x:v>4</x:v>
      </x:c>
      <x:c r="U2029" s="19" t="n">
        <x:f>L2029+IF(AND(S2029=1,J2029=1),1,0)</x:f>
        <x:v>3</x:v>
      </x:c>
      <x:c r="V2029" s="19" t="n">
        <x:f>M2029+IF(AND(S2029=1,J2029=2),1,0)</x:f>
        <x:v>1</x:v>
      </x:c>
      <x:c r="W2029" s="19" t="n">
        <x:f>SUM(T2029:V2029)</x:f>
        <x:v>8</x:v>
      </x:c>
      <x:c r="X2029" s="19" t="n">
        <x:f>W2029-G2029</x:f>
        <x:v>1</x:v>
      </x:c>
      <x:c r="Y2029" s="19" t="n">
        <x:f>MAX(T2029,1)+MAX(U2029,1)+MAX(V2029,1)</x:f>
        <x:v>8</x:v>
      </x:c>
      <x:c r="Z2029" s="21" t="str">
        <x:f>IF(AND(MIN(D2029:F2029)&gt;=0,MAX(D2029:F2029)&lt;=7,MAX(D2029,1)+MAX(E2029,1)+MAX(F2029,1)&lt;=9,OR(H2029="-",AND(H2029=0,D2029&gt;0),AND(H2029=1,E2029&gt;0),AND(H2029=2,F2029&gt;0)),OR(I2029=0,AND(I2029=1,OR(J2029=0,J2029=1,J2029=2),R2029&lt;&gt;"000")),Y2029&lt;=9,MIN(T2029:V2029)&gt;=0),"合法","输入违约")</x:f>
        <x:v>合法</x:v>
      </x:c>
    </x:row>
    <x:row r="2030" ht="23" customHeight="1">
      <x:c r="A2030" s="3" t="str">
        <x:v>CT-2023</x:v>
      </x:c>
      <x:c r="B2030" s="3" t="str">
        <x:v>ST-113</x:v>
      </x:c>
      <x:c r="C2030" s="3" t="str">
        <x:v>仅AR接收</x:v>
      </x:c>
      <x:c r="D2030" s="25" t="n">
        <x:v>4</x:v>
      </x:c>
      <x:c r="E2030" s="25" t="n">
        <x:v>2</x:v>
      </x:c>
      <x:c r="F2030" s="25" t="n">
        <x:v>1</x:v>
      </x:c>
      <x:c r="G2030" s="19" t="n">
        <x:f>SUM(D2030:F2030)</x:f>
        <x:v>7</x:v>
      </x:c>
      <x:c r="H2030" s="25" t="str">
        <x:v>-</x:v>
      </x:c>
      <x:c r="I2030" s="25" t="n">
        <x:v>1</x:v>
      </x:c>
      <x:c r="J2030" s="25" t="n">
        <x:v>2</x:v>
      </x:c>
      <x:c r="K2030" s="19" t="n">
        <x:f>D2030-IF(H2030=0,1,0)</x:f>
        <x:v>4</x:v>
      </x:c>
      <x:c r="L2030" s="19" t="n">
        <x:f>E2030-IF(H2030=1,1,0)</x:f>
        <x:v>2</x:v>
      </x:c>
      <x:c r="M2030" s="19" t="n">
        <x:f>F2030-IF(H2030=2,1,0)</x:f>
        <x:v>1</x:v>
      </x:c>
      <x:c r="N2030" s="19" t="n">
        <x:f>MAX(K2030-1,0)+MAX(L2030-1,0)+MAX(M2030-1,0)</x:f>
        <x:v>4</x:v>
      </x:c>
      <x:c r="O2030" s="19" t="n">
        <x:f>IF(AND(SUM(K2030:M2030)&lt;9,OR(M2030=0,N2030&lt;6)),1,0)</x:f>
        <x:v>1</x:v>
      </x:c>
      <x:c r="P2030" s="19" t="n">
        <x:f>IF(AND(SUM(K2030:M2030)&lt;9,OR(L2030=0,N2030&lt;6)),1,0)</x:f>
        <x:v>1</x:v>
      </x:c>
      <x:c r="Q2030" s="19" t="n">
        <x:f>IF(AND(SUM(K2030:M2030)&lt;9,OR(K2030=0,N2030&lt;6)),1,0)</x:f>
        <x:v>1</x:v>
      </x:c>
      <x:c r="R2030" s="22" t="str">
        <x:f>O2030&amp;P2030&amp;Q2030</x:f>
        <x:v>111</x:v>
      </x:c>
      <x:c r="S2030" s="19" t="n">
        <x:f>IF(I2030=1,IF(J2030=0,Q2030,IF(J2030=1,P2030,IF(J2030=2,O2030,0))),0)</x:f>
        <x:v>1</x:v>
      </x:c>
      <x:c r="T2030" s="19" t="n">
        <x:f>K2030+IF(AND(S2030=1,J2030=0),1,0)</x:f>
        <x:v>4</x:v>
      </x:c>
      <x:c r="U2030" s="19" t="n">
        <x:f>L2030+IF(AND(S2030=1,J2030=1),1,0)</x:f>
        <x:v>2</x:v>
      </x:c>
      <x:c r="V2030" s="19" t="n">
        <x:f>M2030+IF(AND(S2030=1,J2030=2),1,0)</x:f>
        <x:v>2</x:v>
      </x:c>
      <x:c r="W2030" s="19" t="n">
        <x:f>SUM(T2030:V2030)</x:f>
        <x:v>8</x:v>
      </x:c>
      <x:c r="X2030" s="19" t="n">
        <x:f>W2030-G2030</x:f>
        <x:v>1</x:v>
      </x:c>
      <x:c r="Y2030" s="19" t="n">
        <x:f>MAX(T2030,1)+MAX(U2030,1)+MAX(V2030,1)</x:f>
        <x:v>8</x:v>
      </x:c>
      <x:c r="Z2030" s="21" t="str">
        <x:f>IF(AND(MIN(D2030:F2030)&gt;=0,MAX(D2030:F2030)&lt;=7,MAX(D2030,1)+MAX(E2030,1)+MAX(F2030,1)&lt;=9,OR(H2030="-",AND(H2030=0,D2030&gt;0),AND(H2030=1,E2030&gt;0),AND(H2030=2,F2030&gt;0)),OR(I2030=0,AND(I2030=1,OR(J2030=0,J2030=1,J2030=2),R2030&lt;&gt;"000")),Y2030&lt;=9,MIN(T2030:V2030)&gt;=0),"合法","输入违约")</x:f>
        <x:v>合法</x:v>
      </x:c>
    </x:row>
    <x:row r="2031" ht="23" customHeight="1">
      <x:c r="A2031" s="3" t="str">
        <x:v>CT-2024</x:v>
      </x:c>
      <x:c r="B2031" s="3" t="str">
        <x:v>ST-113</x:v>
      </x:c>
      <x:c r="C2031" s="3" t="str">
        <x:v>仅R回收</x:v>
      </x:c>
      <x:c r="D2031" s="25" t="n">
        <x:v>4</x:v>
      </x:c>
      <x:c r="E2031" s="25" t="n">
        <x:v>2</x:v>
      </x:c>
      <x:c r="F2031" s="25" t="n">
        <x:v>1</x:v>
      </x:c>
      <x:c r="G2031" s="19" t="n">
        <x:f>SUM(D2031:F2031)</x:f>
        <x:v>7</x:v>
      </x:c>
      <x:c r="H2031" s="25" t="n">
        <x:v>0</x:v>
      </x:c>
      <x:c r="I2031" s="25" t="n">
        <x:v>0</x:v>
      </x:c>
      <x:c r="J2031" s="25" t="str">
        <x:v>-</x:v>
      </x:c>
      <x:c r="K2031" s="19" t="n">
        <x:f>D2031-IF(H2031=0,1,0)</x:f>
        <x:v>3</x:v>
      </x:c>
      <x:c r="L2031" s="19" t="n">
        <x:f>E2031-IF(H2031=1,1,0)</x:f>
        <x:v>2</x:v>
      </x:c>
      <x:c r="M2031" s="19" t="n">
        <x:f>F2031-IF(H2031=2,1,0)</x:f>
        <x:v>1</x:v>
      </x:c>
      <x:c r="N2031" s="19" t="n">
        <x:f>MAX(K2031-1,0)+MAX(L2031-1,0)+MAX(M2031-1,0)</x:f>
        <x:v>3</x:v>
      </x:c>
      <x:c r="O2031" s="19" t="n">
        <x:f>IF(AND(SUM(K2031:M2031)&lt;9,OR(M2031=0,N2031&lt;6)),1,0)</x:f>
        <x:v>1</x:v>
      </x:c>
      <x:c r="P2031" s="19" t="n">
        <x:f>IF(AND(SUM(K2031:M2031)&lt;9,OR(L2031=0,N2031&lt;6)),1,0)</x:f>
        <x:v>1</x:v>
      </x:c>
      <x:c r="Q2031" s="19" t="n">
        <x:f>IF(AND(SUM(K2031:M2031)&lt;9,OR(K2031=0,N2031&lt;6)),1,0)</x:f>
        <x:v>1</x:v>
      </x:c>
      <x:c r="R2031" s="22" t="str">
        <x:f>O2031&amp;P2031&amp;Q2031</x:f>
        <x:v>111</x:v>
      </x:c>
      <x:c r="S2031" s="19" t="n">
        <x:f>IF(I2031=1,IF(J2031=0,Q2031,IF(J2031=1,P2031,IF(J2031=2,O2031,0))),0)</x:f>
        <x:v>0</x:v>
      </x:c>
      <x:c r="T2031" s="19" t="n">
        <x:f>K2031+IF(AND(S2031=1,J2031=0),1,0)</x:f>
        <x:v>3</x:v>
      </x:c>
      <x:c r="U2031" s="19" t="n">
        <x:f>L2031+IF(AND(S2031=1,J2031=1),1,0)</x:f>
        <x:v>2</x:v>
      </x:c>
      <x:c r="V2031" s="19" t="n">
        <x:f>M2031+IF(AND(S2031=1,J2031=2),1,0)</x:f>
        <x:v>1</x:v>
      </x:c>
      <x:c r="W2031" s="19" t="n">
        <x:f>SUM(T2031:V2031)</x:f>
        <x:v>6</x:v>
      </x:c>
      <x:c r="X2031" s="19" t="n">
        <x:f>W2031-G2031</x:f>
        <x:v>-1</x:v>
      </x:c>
      <x:c r="Y2031" s="19" t="n">
        <x:f>MAX(T2031,1)+MAX(U2031,1)+MAX(V2031,1)</x:f>
        <x:v>6</x:v>
      </x:c>
      <x:c r="Z2031" s="21" t="str">
        <x:f>IF(AND(MIN(D2031:F2031)&gt;=0,MAX(D2031:F2031)&lt;=7,MAX(D2031,1)+MAX(E2031,1)+MAX(F2031,1)&lt;=9,OR(H2031="-",AND(H2031=0,D2031&gt;0),AND(H2031=1,E2031&gt;0),AND(H2031=2,F2031&gt;0)),OR(I2031=0,AND(I2031=1,OR(J2031=0,J2031=1,J2031=2),R2031&lt;&gt;"000")),Y2031&lt;=9,MIN(T2031:V2031)&gt;=0),"合法","输入违约")</x:f>
        <x:v>合法</x:v>
      </x:c>
    </x:row>
    <x:row r="2032" ht="23" customHeight="1">
      <x:c r="A2032" s="3" t="str">
        <x:v>CT-2025</x:v>
      </x:c>
      <x:c r="B2032" s="3" t="str">
        <x:v>ST-113</x:v>
      </x:c>
      <x:c r="C2032" s="3" t="str">
        <x:v>R+AR同收同发</x:v>
      </x:c>
      <x:c r="D2032" s="25" t="n">
        <x:v>4</x:v>
      </x:c>
      <x:c r="E2032" s="25" t="n">
        <x:v>2</x:v>
      </x:c>
      <x:c r="F2032" s="25" t="n">
        <x:v>1</x:v>
      </x:c>
      <x:c r="G2032" s="19" t="n">
        <x:f>SUM(D2032:F2032)</x:f>
        <x:v>7</x:v>
      </x:c>
      <x:c r="H2032" s="25" t="n">
        <x:v>0</x:v>
      </x:c>
      <x:c r="I2032" s="25" t="n">
        <x:v>1</x:v>
      </x:c>
      <x:c r="J2032" s="25" t="n">
        <x:v>0</x:v>
      </x:c>
      <x:c r="K2032" s="19" t="n">
        <x:f>D2032-IF(H2032=0,1,0)</x:f>
        <x:v>3</x:v>
      </x:c>
      <x:c r="L2032" s="19" t="n">
        <x:f>E2032-IF(H2032=1,1,0)</x:f>
        <x:v>2</x:v>
      </x:c>
      <x:c r="M2032" s="19" t="n">
        <x:f>F2032-IF(H2032=2,1,0)</x:f>
        <x:v>1</x:v>
      </x:c>
      <x:c r="N2032" s="19" t="n">
        <x:f>MAX(K2032-1,0)+MAX(L2032-1,0)+MAX(M2032-1,0)</x:f>
        <x:v>3</x:v>
      </x:c>
      <x:c r="O2032" s="19" t="n">
        <x:f>IF(AND(SUM(K2032:M2032)&lt;9,OR(M2032=0,N2032&lt;6)),1,0)</x:f>
        <x:v>1</x:v>
      </x:c>
      <x:c r="P2032" s="19" t="n">
        <x:f>IF(AND(SUM(K2032:M2032)&lt;9,OR(L2032=0,N2032&lt;6)),1,0)</x:f>
        <x:v>1</x:v>
      </x:c>
      <x:c r="Q2032" s="19" t="n">
        <x:f>IF(AND(SUM(K2032:M2032)&lt;9,OR(K2032=0,N2032&lt;6)),1,0)</x:f>
        <x:v>1</x:v>
      </x:c>
      <x:c r="R2032" s="22" t="str">
        <x:f>O2032&amp;P2032&amp;Q2032</x:f>
        <x:v>111</x:v>
      </x:c>
      <x:c r="S2032" s="19" t="n">
        <x:f>IF(I2032=1,IF(J2032=0,Q2032,IF(J2032=1,P2032,IF(J2032=2,O2032,0))),0)</x:f>
        <x:v>1</x:v>
      </x:c>
      <x:c r="T2032" s="19" t="n">
        <x:f>K2032+IF(AND(S2032=1,J2032=0),1,0)</x:f>
        <x:v>4</x:v>
      </x:c>
      <x:c r="U2032" s="19" t="n">
        <x:f>L2032+IF(AND(S2032=1,J2032=1),1,0)</x:f>
        <x:v>2</x:v>
      </x:c>
      <x:c r="V2032" s="19" t="n">
        <x:f>M2032+IF(AND(S2032=1,J2032=2),1,0)</x:f>
        <x:v>1</x:v>
      </x:c>
      <x:c r="W2032" s="19" t="n">
        <x:f>SUM(T2032:V2032)</x:f>
        <x:v>7</x:v>
      </x:c>
      <x:c r="X2032" s="19" t="n">
        <x:f>W2032-G2032</x:f>
        <x:v>0</x:v>
      </x:c>
      <x:c r="Y2032" s="19" t="n">
        <x:f>MAX(T2032,1)+MAX(U2032,1)+MAX(V2032,1)</x:f>
        <x:v>7</x:v>
      </x:c>
      <x:c r="Z2032" s="21" t="str">
        <x:f>IF(AND(MIN(D2032:F2032)&gt;=0,MAX(D2032:F2032)&lt;=7,MAX(D2032,1)+MAX(E2032,1)+MAX(F2032,1)&lt;=9,OR(H2032="-",AND(H2032=0,D2032&gt;0),AND(H2032=1,E2032&gt;0),AND(H2032=2,F2032&gt;0)),OR(I2032=0,AND(I2032=1,OR(J2032=0,J2032=1,J2032=2),R2032&lt;&gt;"000")),Y2032&lt;=9,MIN(T2032:V2032)&gt;=0),"合法","输入违约")</x:f>
        <x:v>合法</x:v>
      </x:c>
    </x:row>
    <x:row r="2033" ht="23" customHeight="1">
      <x:c r="A2033" s="3" t="str">
        <x:v>CT-2026</x:v>
      </x:c>
      <x:c r="B2033" s="3" t="str">
        <x:v>ST-113</x:v>
      </x:c>
      <x:c r="C2033" s="3" t="str">
        <x:v>R+AR同收同发</x:v>
      </x:c>
      <x:c r="D2033" s="25" t="n">
        <x:v>4</x:v>
      </x:c>
      <x:c r="E2033" s="25" t="n">
        <x:v>2</x:v>
      </x:c>
      <x:c r="F2033" s="25" t="n">
        <x:v>1</x:v>
      </x:c>
      <x:c r="G2033" s="19" t="n">
        <x:f>SUM(D2033:F2033)</x:f>
        <x:v>7</x:v>
      </x:c>
      <x:c r="H2033" s="25" t="n">
        <x:v>0</x:v>
      </x:c>
      <x:c r="I2033" s="25" t="n">
        <x:v>1</x:v>
      </x:c>
      <x:c r="J2033" s="25" t="n">
        <x:v>1</x:v>
      </x:c>
      <x:c r="K2033" s="19" t="n">
        <x:f>D2033-IF(H2033=0,1,0)</x:f>
        <x:v>3</x:v>
      </x:c>
      <x:c r="L2033" s="19" t="n">
        <x:f>E2033-IF(H2033=1,1,0)</x:f>
        <x:v>2</x:v>
      </x:c>
      <x:c r="M2033" s="19" t="n">
        <x:f>F2033-IF(H2033=2,1,0)</x:f>
        <x:v>1</x:v>
      </x:c>
      <x:c r="N2033" s="19" t="n">
        <x:f>MAX(K2033-1,0)+MAX(L2033-1,0)+MAX(M2033-1,0)</x:f>
        <x:v>3</x:v>
      </x:c>
      <x:c r="O2033" s="19" t="n">
        <x:f>IF(AND(SUM(K2033:M2033)&lt;9,OR(M2033=0,N2033&lt;6)),1,0)</x:f>
        <x:v>1</x:v>
      </x:c>
      <x:c r="P2033" s="19" t="n">
        <x:f>IF(AND(SUM(K2033:M2033)&lt;9,OR(L2033=0,N2033&lt;6)),1,0)</x:f>
        <x:v>1</x:v>
      </x:c>
      <x:c r="Q2033" s="19" t="n">
        <x:f>IF(AND(SUM(K2033:M2033)&lt;9,OR(K2033=0,N2033&lt;6)),1,0)</x:f>
        <x:v>1</x:v>
      </x:c>
      <x:c r="R2033" s="22" t="str">
        <x:f>O2033&amp;P2033&amp;Q2033</x:f>
        <x:v>111</x:v>
      </x:c>
      <x:c r="S2033" s="19" t="n">
        <x:f>IF(I2033=1,IF(J2033=0,Q2033,IF(J2033=1,P2033,IF(J2033=2,O2033,0))),0)</x:f>
        <x:v>1</x:v>
      </x:c>
      <x:c r="T2033" s="19" t="n">
        <x:f>K2033+IF(AND(S2033=1,J2033=0),1,0)</x:f>
        <x:v>3</x:v>
      </x:c>
      <x:c r="U2033" s="19" t="n">
        <x:f>L2033+IF(AND(S2033=1,J2033=1),1,0)</x:f>
        <x:v>3</x:v>
      </x:c>
      <x:c r="V2033" s="19" t="n">
        <x:f>M2033+IF(AND(S2033=1,J2033=2),1,0)</x:f>
        <x:v>1</x:v>
      </x:c>
      <x:c r="W2033" s="19" t="n">
        <x:f>SUM(T2033:V2033)</x:f>
        <x:v>7</x:v>
      </x:c>
      <x:c r="X2033" s="19" t="n">
        <x:f>W2033-G2033</x:f>
        <x:v>0</x:v>
      </x:c>
      <x:c r="Y2033" s="19" t="n">
        <x:f>MAX(T2033,1)+MAX(U2033,1)+MAX(V2033,1)</x:f>
        <x:v>7</x:v>
      </x:c>
      <x:c r="Z2033" s="21" t="str">
        <x:f>IF(AND(MIN(D2033:F2033)&gt;=0,MAX(D2033:F2033)&lt;=7,MAX(D2033,1)+MAX(E2033,1)+MAX(F2033,1)&lt;=9,OR(H2033="-",AND(H2033=0,D2033&gt;0),AND(H2033=1,E2033&gt;0),AND(H2033=2,F2033&gt;0)),OR(I2033=0,AND(I2033=1,OR(J2033=0,J2033=1,J2033=2),R2033&lt;&gt;"000")),Y2033&lt;=9,MIN(T2033:V2033)&gt;=0),"合法","输入违约")</x:f>
        <x:v>合法</x:v>
      </x:c>
    </x:row>
    <x:row r="2034" ht="23" customHeight="1">
      <x:c r="A2034" s="3" t="str">
        <x:v>CT-2027</x:v>
      </x:c>
      <x:c r="B2034" s="3" t="str">
        <x:v>ST-113</x:v>
      </x:c>
      <x:c r="C2034" s="3" t="str">
        <x:v>R+AR同收同发</x:v>
      </x:c>
      <x:c r="D2034" s="25" t="n">
        <x:v>4</x:v>
      </x:c>
      <x:c r="E2034" s="25" t="n">
        <x:v>2</x:v>
      </x:c>
      <x:c r="F2034" s="25" t="n">
        <x:v>1</x:v>
      </x:c>
      <x:c r="G2034" s="19" t="n">
        <x:f>SUM(D2034:F2034)</x:f>
        <x:v>7</x:v>
      </x:c>
      <x:c r="H2034" s="25" t="n">
        <x:v>0</x:v>
      </x:c>
      <x:c r="I2034" s="25" t="n">
        <x:v>1</x:v>
      </x:c>
      <x:c r="J2034" s="25" t="n">
        <x:v>2</x:v>
      </x:c>
      <x:c r="K2034" s="19" t="n">
        <x:f>D2034-IF(H2034=0,1,0)</x:f>
        <x:v>3</x:v>
      </x:c>
      <x:c r="L2034" s="19" t="n">
        <x:f>E2034-IF(H2034=1,1,0)</x:f>
        <x:v>2</x:v>
      </x:c>
      <x:c r="M2034" s="19" t="n">
        <x:f>F2034-IF(H2034=2,1,0)</x:f>
        <x:v>1</x:v>
      </x:c>
      <x:c r="N2034" s="19" t="n">
        <x:f>MAX(K2034-1,0)+MAX(L2034-1,0)+MAX(M2034-1,0)</x:f>
        <x:v>3</x:v>
      </x:c>
      <x:c r="O2034" s="19" t="n">
        <x:f>IF(AND(SUM(K2034:M2034)&lt;9,OR(M2034=0,N2034&lt;6)),1,0)</x:f>
        <x:v>1</x:v>
      </x:c>
      <x:c r="P2034" s="19" t="n">
        <x:f>IF(AND(SUM(K2034:M2034)&lt;9,OR(L2034=0,N2034&lt;6)),1,0)</x:f>
        <x:v>1</x:v>
      </x:c>
      <x:c r="Q2034" s="19" t="n">
        <x:f>IF(AND(SUM(K2034:M2034)&lt;9,OR(K2034=0,N2034&lt;6)),1,0)</x:f>
        <x:v>1</x:v>
      </x:c>
      <x:c r="R2034" s="22" t="str">
        <x:f>O2034&amp;P2034&amp;Q2034</x:f>
        <x:v>111</x:v>
      </x:c>
      <x:c r="S2034" s="19" t="n">
        <x:f>IF(I2034=1,IF(J2034=0,Q2034,IF(J2034=1,P2034,IF(J2034=2,O2034,0))),0)</x:f>
        <x:v>1</x:v>
      </x:c>
      <x:c r="T2034" s="19" t="n">
        <x:f>K2034+IF(AND(S2034=1,J2034=0),1,0)</x:f>
        <x:v>3</x:v>
      </x:c>
      <x:c r="U2034" s="19" t="n">
        <x:f>L2034+IF(AND(S2034=1,J2034=1),1,0)</x:f>
        <x:v>2</x:v>
      </x:c>
      <x:c r="V2034" s="19" t="n">
        <x:f>M2034+IF(AND(S2034=1,J2034=2),1,0)</x:f>
        <x:v>2</x:v>
      </x:c>
      <x:c r="W2034" s="19" t="n">
        <x:f>SUM(T2034:V2034)</x:f>
        <x:v>7</x:v>
      </x:c>
      <x:c r="X2034" s="19" t="n">
        <x:f>W2034-G2034</x:f>
        <x:v>0</x:v>
      </x:c>
      <x:c r="Y2034" s="19" t="n">
        <x:f>MAX(T2034,1)+MAX(U2034,1)+MAX(V2034,1)</x:f>
        <x:v>7</x:v>
      </x:c>
      <x:c r="Z2034" s="21" t="str">
        <x:f>IF(AND(MIN(D2034:F2034)&gt;=0,MAX(D2034:F2034)&lt;=7,MAX(D2034,1)+MAX(E2034,1)+MAX(F2034,1)&lt;=9,OR(H2034="-",AND(H2034=0,D2034&gt;0),AND(H2034=1,E2034&gt;0),AND(H2034=2,F2034&gt;0)),OR(I2034=0,AND(I2034=1,OR(J2034=0,J2034=1,J2034=2),R2034&lt;&gt;"000")),Y2034&lt;=9,MIN(T2034:V2034)&gt;=0),"合法","输入违约")</x:f>
        <x:v>合法</x:v>
      </x:c>
    </x:row>
    <x:row r="2035" ht="23" customHeight="1">
      <x:c r="A2035" s="3" t="str">
        <x:v>CT-2028</x:v>
      </x:c>
      <x:c r="B2035" s="3" t="str">
        <x:v>ST-113</x:v>
      </x:c>
      <x:c r="C2035" s="3" t="str">
        <x:v>仅R回收</x:v>
      </x:c>
      <x:c r="D2035" s="25" t="n">
        <x:v>4</x:v>
      </x:c>
      <x:c r="E2035" s="25" t="n">
        <x:v>2</x:v>
      </x:c>
      <x:c r="F2035" s="25" t="n">
        <x:v>1</x:v>
      </x:c>
      <x:c r="G2035" s="19" t="n">
        <x:f>SUM(D2035:F2035)</x:f>
        <x:v>7</x:v>
      </x:c>
      <x:c r="H2035" s="25" t="n">
        <x:v>1</x:v>
      </x:c>
      <x:c r="I2035" s="25" t="n">
        <x:v>0</x:v>
      </x:c>
      <x:c r="J2035" s="25" t="str">
        <x:v>-</x:v>
      </x:c>
      <x:c r="K2035" s="19" t="n">
        <x:f>D2035-IF(H2035=0,1,0)</x:f>
        <x:v>4</x:v>
      </x:c>
      <x:c r="L2035" s="19" t="n">
        <x:f>E2035-IF(H2035=1,1,0)</x:f>
        <x:v>1</x:v>
      </x:c>
      <x:c r="M2035" s="19" t="n">
        <x:f>F2035-IF(H2035=2,1,0)</x:f>
        <x:v>1</x:v>
      </x:c>
      <x:c r="N2035" s="19" t="n">
        <x:f>MAX(K2035-1,0)+MAX(L2035-1,0)+MAX(M2035-1,0)</x:f>
        <x:v>3</x:v>
      </x:c>
      <x:c r="O2035" s="19" t="n">
        <x:f>IF(AND(SUM(K2035:M2035)&lt;9,OR(M2035=0,N2035&lt;6)),1,0)</x:f>
        <x:v>1</x:v>
      </x:c>
      <x:c r="P2035" s="19" t="n">
        <x:f>IF(AND(SUM(K2035:M2035)&lt;9,OR(L2035=0,N2035&lt;6)),1,0)</x:f>
        <x:v>1</x:v>
      </x:c>
      <x:c r="Q2035" s="19" t="n">
        <x:f>IF(AND(SUM(K2035:M2035)&lt;9,OR(K2035=0,N2035&lt;6)),1,0)</x:f>
        <x:v>1</x:v>
      </x:c>
      <x:c r="R2035" s="22" t="str">
        <x:f>O2035&amp;P2035&amp;Q2035</x:f>
        <x:v>111</x:v>
      </x:c>
      <x:c r="S2035" s="19" t="n">
        <x:f>IF(I2035=1,IF(J2035=0,Q2035,IF(J2035=1,P2035,IF(J2035=2,O2035,0))),0)</x:f>
        <x:v>0</x:v>
      </x:c>
      <x:c r="T2035" s="19" t="n">
        <x:f>K2035+IF(AND(S2035=1,J2035=0),1,0)</x:f>
        <x:v>4</x:v>
      </x:c>
      <x:c r="U2035" s="19" t="n">
        <x:f>L2035+IF(AND(S2035=1,J2035=1),1,0)</x:f>
        <x:v>1</x:v>
      </x:c>
      <x:c r="V2035" s="19" t="n">
        <x:f>M2035+IF(AND(S2035=1,J2035=2),1,0)</x:f>
        <x:v>1</x:v>
      </x:c>
      <x:c r="W2035" s="19" t="n">
        <x:f>SUM(T2035:V2035)</x:f>
        <x:v>6</x:v>
      </x:c>
      <x:c r="X2035" s="19" t="n">
        <x:f>W2035-G2035</x:f>
        <x:v>-1</x:v>
      </x:c>
      <x:c r="Y2035" s="19" t="n">
        <x:f>MAX(T2035,1)+MAX(U2035,1)+MAX(V2035,1)</x:f>
        <x:v>6</x:v>
      </x:c>
      <x:c r="Z2035" s="21" t="str">
        <x:f>IF(AND(MIN(D2035:F2035)&gt;=0,MAX(D2035:F2035)&lt;=7,MAX(D2035,1)+MAX(E2035,1)+MAX(F2035,1)&lt;=9,OR(H2035="-",AND(H2035=0,D2035&gt;0),AND(H2035=1,E2035&gt;0),AND(H2035=2,F2035&gt;0)),OR(I2035=0,AND(I2035=1,OR(J2035=0,J2035=1,J2035=2),R2035&lt;&gt;"000")),Y2035&lt;=9,MIN(T2035:V2035)&gt;=0),"合法","输入违约")</x:f>
        <x:v>合法</x:v>
      </x:c>
    </x:row>
    <x:row r="2036" ht="23" customHeight="1">
      <x:c r="A2036" s="3" t="str">
        <x:v>CT-2029</x:v>
      </x:c>
      <x:c r="B2036" s="3" t="str">
        <x:v>ST-113</x:v>
      </x:c>
      <x:c r="C2036" s="3" t="str">
        <x:v>R+AR同收同发</x:v>
      </x:c>
      <x:c r="D2036" s="25" t="n">
        <x:v>4</x:v>
      </x:c>
      <x:c r="E2036" s="25" t="n">
        <x:v>2</x:v>
      </x:c>
      <x:c r="F2036" s="25" t="n">
        <x:v>1</x:v>
      </x:c>
      <x:c r="G2036" s="19" t="n">
        <x:f>SUM(D2036:F2036)</x:f>
        <x:v>7</x:v>
      </x:c>
      <x:c r="H2036" s="25" t="n">
        <x:v>1</x:v>
      </x:c>
      <x:c r="I2036" s="25" t="n">
        <x:v>1</x:v>
      </x:c>
      <x:c r="J2036" s="25" t="n">
        <x:v>0</x:v>
      </x:c>
      <x:c r="K2036" s="19" t="n">
        <x:f>D2036-IF(H2036=0,1,0)</x:f>
        <x:v>4</x:v>
      </x:c>
      <x:c r="L2036" s="19" t="n">
        <x:f>E2036-IF(H2036=1,1,0)</x:f>
        <x:v>1</x:v>
      </x:c>
      <x:c r="M2036" s="19" t="n">
        <x:f>F2036-IF(H2036=2,1,0)</x:f>
        <x:v>1</x:v>
      </x:c>
      <x:c r="N2036" s="19" t="n">
        <x:f>MAX(K2036-1,0)+MAX(L2036-1,0)+MAX(M2036-1,0)</x:f>
        <x:v>3</x:v>
      </x:c>
      <x:c r="O2036" s="19" t="n">
        <x:f>IF(AND(SUM(K2036:M2036)&lt;9,OR(M2036=0,N2036&lt;6)),1,0)</x:f>
        <x:v>1</x:v>
      </x:c>
      <x:c r="P2036" s="19" t="n">
        <x:f>IF(AND(SUM(K2036:M2036)&lt;9,OR(L2036=0,N2036&lt;6)),1,0)</x:f>
        <x:v>1</x:v>
      </x:c>
      <x:c r="Q2036" s="19" t="n">
        <x:f>IF(AND(SUM(K2036:M2036)&lt;9,OR(K2036=0,N2036&lt;6)),1,0)</x:f>
        <x:v>1</x:v>
      </x:c>
      <x:c r="R2036" s="22" t="str">
        <x:f>O2036&amp;P2036&amp;Q2036</x:f>
        <x:v>111</x:v>
      </x:c>
      <x:c r="S2036" s="19" t="n">
        <x:f>IF(I2036=1,IF(J2036=0,Q2036,IF(J2036=1,P2036,IF(J2036=2,O2036,0))),0)</x:f>
        <x:v>1</x:v>
      </x:c>
      <x:c r="T2036" s="19" t="n">
        <x:f>K2036+IF(AND(S2036=1,J2036=0),1,0)</x:f>
        <x:v>5</x:v>
      </x:c>
      <x:c r="U2036" s="19" t="n">
        <x:f>L2036+IF(AND(S2036=1,J2036=1),1,0)</x:f>
        <x:v>1</x:v>
      </x:c>
      <x:c r="V2036" s="19" t="n">
        <x:f>M2036+IF(AND(S2036=1,J2036=2),1,0)</x:f>
        <x:v>1</x:v>
      </x:c>
      <x:c r="W2036" s="19" t="n">
        <x:f>SUM(T2036:V2036)</x:f>
        <x:v>7</x:v>
      </x:c>
      <x:c r="X2036" s="19" t="n">
        <x:f>W2036-G2036</x:f>
        <x:v>0</x:v>
      </x:c>
      <x:c r="Y2036" s="19" t="n">
        <x:f>MAX(T2036,1)+MAX(U2036,1)+MAX(V2036,1)</x:f>
        <x:v>7</x:v>
      </x:c>
      <x:c r="Z2036" s="21" t="str">
        <x:f>IF(AND(MIN(D2036:F2036)&gt;=0,MAX(D2036:F2036)&lt;=7,MAX(D2036,1)+MAX(E2036,1)+MAX(F2036,1)&lt;=9,OR(H2036="-",AND(H2036=0,D2036&gt;0),AND(H2036=1,E2036&gt;0),AND(H2036=2,F2036&gt;0)),OR(I2036=0,AND(I2036=1,OR(J2036=0,J2036=1,J2036=2),R2036&lt;&gt;"000")),Y2036&lt;=9,MIN(T2036:V2036)&gt;=0),"合法","输入违约")</x:f>
        <x:v>合法</x:v>
      </x:c>
    </x:row>
    <x:row r="2037" ht="23" customHeight="1">
      <x:c r="A2037" s="3" t="str">
        <x:v>CT-2030</x:v>
      </x:c>
      <x:c r="B2037" s="3" t="str">
        <x:v>ST-113</x:v>
      </x:c>
      <x:c r="C2037" s="3" t="str">
        <x:v>R+AR同收同发</x:v>
      </x:c>
      <x:c r="D2037" s="25" t="n">
        <x:v>4</x:v>
      </x:c>
      <x:c r="E2037" s="25" t="n">
        <x:v>2</x:v>
      </x:c>
      <x:c r="F2037" s="25" t="n">
        <x:v>1</x:v>
      </x:c>
      <x:c r="G2037" s="19" t="n">
        <x:f>SUM(D2037:F2037)</x:f>
        <x:v>7</x:v>
      </x:c>
      <x:c r="H2037" s="25" t="n">
        <x:v>1</x:v>
      </x:c>
      <x:c r="I2037" s="25" t="n">
        <x:v>1</x:v>
      </x:c>
      <x:c r="J2037" s="25" t="n">
        <x:v>1</x:v>
      </x:c>
      <x:c r="K2037" s="19" t="n">
        <x:f>D2037-IF(H2037=0,1,0)</x:f>
        <x:v>4</x:v>
      </x:c>
      <x:c r="L2037" s="19" t="n">
        <x:f>E2037-IF(H2037=1,1,0)</x:f>
        <x:v>1</x:v>
      </x:c>
      <x:c r="M2037" s="19" t="n">
        <x:f>F2037-IF(H2037=2,1,0)</x:f>
        <x:v>1</x:v>
      </x:c>
      <x:c r="N2037" s="19" t="n">
        <x:f>MAX(K2037-1,0)+MAX(L2037-1,0)+MAX(M2037-1,0)</x:f>
        <x:v>3</x:v>
      </x:c>
      <x:c r="O2037" s="19" t="n">
        <x:f>IF(AND(SUM(K2037:M2037)&lt;9,OR(M2037=0,N2037&lt;6)),1,0)</x:f>
        <x:v>1</x:v>
      </x:c>
      <x:c r="P2037" s="19" t="n">
        <x:f>IF(AND(SUM(K2037:M2037)&lt;9,OR(L2037=0,N2037&lt;6)),1,0)</x:f>
        <x:v>1</x:v>
      </x:c>
      <x:c r="Q2037" s="19" t="n">
        <x:f>IF(AND(SUM(K2037:M2037)&lt;9,OR(K2037=0,N2037&lt;6)),1,0)</x:f>
        <x:v>1</x:v>
      </x:c>
      <x:c r="R2037" s="22" t="str">
        <x:f>O2037&amp;P2037&amp;Q2037</x:f>
        <x:v>111</x:v>
      </x:c>
      <x:c r="S2037" s="19" t="n">
        <x:f>IF(I2037=1,IF(J2037=0,Q2037,IF(J2037=1,P2037,IF(J2037=2,O2037,0))),0)</x:f>
        <x:v>1</x:v>
      </x:c>
      <x:c r="T2037" s="19" t="n">
        <x:f>K2037+IF(AND(S2037=1,J2037=0),1,0)</x:f>
        <x:v>4</x:v>
      </x:c>
      <x:c r="U2037" s="19" t="n">
        <x:f>L2037+IF(AND(S2037=1,J2037=1),1,0)</x:f>
        <x:v>2</x:v>
      </x:c>
      <x:c r="V2037" s="19" t="n">
        <x:f>M2037+IF(AND(S2037=1,J2037=2),1,0)</x:f>
        <x:v>1</x:v>
      </x:c>
      <x:c r="W2037" s="19" t="n">
        <x:f>SUM(T2037:V2037)</x:f>
        <x:v>7</x:v>
      </x:c>
      <x:c r="X2037" s="19" t="n">
        <x:f>W2037-G2037</x:f>
        <x:v>0</x:v>
      </x:c>
      <x:c r="Y2037" s="19" t="n">
        <x:f>MAX(T2037,1)+MAX(U2037,1)+MAX(V2037,1)</x:f>
        <x:v>7</x:v>
      </x:c>
      <x:c r="Z2037" s="21" t="str">
        <x:f>IF(AND(MIN(D2037:F2037)&gt;=0,MAX(D2037:F2037)&lt;=7,MAX(D2037,1)+MAX(E2037,1)+MAX(F2037,1)&lt;=9,OR(H2037="-",AND(H2037=0,D2037&gt;0),AND(H2037=1,E2037&gt;0),AND(H2037=2,F2037&gt;0)),OR(I2037=0,AND(I2037=1,OR(J2037=0,J2037=1,J2037=2),R2037&lt;&gt;"000")),Y2037&lt;=9,MIN(T2037:V2037)&gt;=0),"合法","输入违约")</x:f>
        <x:v>合法</x:v>
      </x:c>
    </x:row>
    <x:row r="2038" ht="23" customHeight="1">
      <x:c r="A2038" s="3" t="str">
        <x:v>CT-2031</x:v>
      </x:c>
      <x:c r="B2038" s="3" t="str">
        <x:v>ST-113</x:v>
      </x:c>
      <x:c r="C2038" s="3" t="str">
        <x:v>R+AR同收同发</x:v>
      </x:c>
      <x:c r="D2038" s="25" t="n">
        <x:v>4</x:v>
      </x:c>
      <x:c r="E2038" s="25" t="n">
        <x:v>2</x:v>
      </x:c>
      <x:c r="F2038" s="25" t="n">
        <x:v>1</x:v>
      </x:c>
      <x:c r="G2038" s="19" t="n">
        <x:f>SUM(D2038:F2038)</x:f>
        <x:v>7</x:v>
      </x:c>
      <x:c r="H2038" s="25" t="n">
        <x:v>1</x:v>
      </x:c>
      <x:c r="I2038" s="25" t="n">
        <x:v>1</x:v>
      </x:c>
      <x:c r="J2038" s="25" t="n">
        <x:v>2</x:v>
      </x:c>
      <x:c r="K2038" s="19" t="n">
        <x:f>D2038-IF(H2038=0,1,0)</x:f>
        <x:v>4</x:v>
      </x:c>
      <x:c r="L2038" s="19" t="n">
        <x:f>E2038-IF(H2038=1,1,0)</x:f>
        <x:v>1</x:v>
      </x:c>
      <x:c r="M2038" s="19" t="n">
        <x:f>F2038-IF(H2038=2,1,0)</x:f>
        <x:v>1</x:v>
      </x:c>
      <x:c r="N2038" s="19" t="n">
        <x:f>MAX(K2038-1,0)+MAX(L2038-1,0)+MAX(M2038-1,0)</x:f>
        <x:v>3</x:v>
      </x:c>
      <x:c r="O2038" s="19" t="n">
        <x:f>IF(AND(SUM(K2038:M2038)&lt;9,OR(M2038=0,N2038&lt;6)),1,0)</x:f>
        <x:v>1</x:v>
      </x:c>
      <x:c r="P2038" s="19" t="n">
        <x:f>IF(AND(SUM(K2038:M2038)&lt;9,OR(L2038=0,N2038&lt;6)),1,0)</x:f>
        <x:v>1</x:v>
      </x:c>
      <x:c r="Q2038" s="19" t="n">
        <x:f>IF(AND(SUM(K2038:M2038)&lt;9,OR(K2038=0,N2038&lt;6)),1,0)</x:f>
        <x:v>1</x:v>
      </x:c>
      <x:c r="R2038" s="22" t="str">
        <x:f>O2038&amp;P2038&amp;Q2038</x:f>
        <x:v>111</x:v>
      </x:c>
      <x:c r="S2038" s="19" t="n">
        <x:f>IF(I2038=1,IF(J2038=0,Q2038,IF(J2038=1,P2038,IF(J2038=2,O2038,0))),0)</x:f>
        <x:v>1</x:v>
      </x:c>
      <x:c r="T2038" s="19" t="n">
        <x:f>K2038+IF(AND(S2038=1,J2038=0),1,0)</x:f>
        <x:v>4</x:v>
      </x:c>
      <x:c r="U2038" s="19" t="n">
        <x:f>L2038+IF(AND(S2038=1,J2038=1),1,0)</x:f>
        <x:v>1</x:v>
      </x:c>
      <x:c r="V2038" s="19" t="n">
        <x:f>M2038+IF(AND(S2038=1,J2038=2),1,0)</x:f>
        <x:v>2</x:v>
      </x:c>
      <x:c r="W2038" s="19" t="n">
        <x:f>SUM(T2038:V2038)</x:f>
        <x:v>7</x:v>
      </x:c>
      <x:c r="X2038" s="19" t="n">
        <x:f>W2038-G2038</x:f>
        <x:v>0</x:v>
      </x:c>
      <x:c r="Y2038" s="19" t="n">
        <x:f>MAX(T2038,1)+MAX(U2038,1)+MAX(V2038,1)</x:f>
        <x:v>7</x:v>
      </x:c>
      <x:c r="Z2038" s="21" t="str">
        <x:f>IF(AND(MIN(D2038:F2038)&gt;=0,MAX(D2038:F2038)&lt;=7,MAX(D2038,1)+MAX(E2038,1)+MAX(F2038,1)&lt;=9,OR(H2038="-",AND(H2038=0,D2038&gt;0),AND(H2038=1,E2038&gt;0),AND(H2038=2,F2038&gt;0)),OR(I2038=0,AND(I2038=1,OR(J2038=0,J2038=1,J2038=2),R2038&lt;&gt;"000")),Y2038&lt;=9,MIN(T2038:V2038)&gt;=0),"合法","输入违约")</x:f>
        <x:v>合法</x:v>
      </x:c>
    </x:row>
    <x:row r="2039" ht="23" customHeight="1">
      <x:c r="A2039" s="3" t="str">
        <x:v>CT-2032</x:v>
      </x:c>
      <x:c r="B2039" s="3" t="str">
        <x:v>ST-113</x:v>
      </x:c>
      <x:c r="C2039" s="3" t="str">
        <x:v>仅R回收</x:v>
      </x:c>
      <x:c r="D2039" s="25" t="n">
        <x:v>4</x:v>
      </x:c>
      <x:c r="E2039" s="25" t="n">
        <x:v>2</x:v>
      </x:c>
      <x:c r="F2039" s="25" t="n">
        <x:v>1</x:v>
      </x:c>
      <x:c r="G2039" s="19" t="n">
        <x:f>SUM(D2039:F2039)</x:f>
        <x:v>7</x:v>
      </x:c>
      <x:c r="H2039" s="25" t="n">
        <x:v>2</x:v>
      </x:c>
      <x:c r="I2039" s="25" t="n">
        <x:v>0</x:v>
      </x:c>
      <x:c r="J2039" s="25" t="str">
        <x:v>-</x:v>
      </x:c>
      <x:c r="K2039" s="19" t="n">
        <x:f>D2039-IF(H2039=0,1,0)</x:f>
        <x:v>4</x:v>
      </x:c>
      <x:c r="L2039" s="19" t="n">
        <x:f>E2039-IF(H2039=1,1,0)</x:f>
        <x:v>2</x:v>
      </x:c>
      <x:c r="M2039" s="19" t="n">
        <x:f>F2039-IF(H2039=2,1,0)</x:f>
        <x:v>0</x:v>
      </x:c>
      <x:c r="N2039" s="19" t="n">
        <x:f>MAX(K2039-1,0)+MAX(L2039-1,0)+MAX(M2039-1,0)</x:f>
        <x:v>4</x:v>
      </x:c>
      <x:c r="O2039" s="19" t="n">
        <x:f>IF(AND(SUM(K2039:M2039)&lt;9,OR(M2039=0,N2039&lt;6)),1,0)</x:f>
        <x:v>1</x:v>
      </x:c>
      <x:c r="P2039" s="19" t="n">
        <x:f>IF(AND(SUM(K2039:M2039)&lt;9,OR(L2039=0,N2039&lt;6)),1,0)</x:f>
        <x:v>1</x:v>
      </x:c>
      <x:c r="Q2039" s="19" t="n">
        <x:f>IF(AND(SUM(K2039:M2039)&lt;9,OR(K2039=0,N2039&lt;6)),1,0)</x:f>
        <x:v>1</x:v>
      </x:c>
      <x:c r="R2039" s="22" t="str">
        <x:f>O2039&amp;P2039&amp;Q2039</x:f>
        <x:v>111</x:v>
      </x:c>
      <x:c r="S2039" s="19" t="n">
        <x:f>IF(I2039=1,IF(J2039=0,Q2039,IF(J2039=1,P2039,IF(J2039=2,O2039,0))),0)</x:f>
        <x:v>0</x:v>
      </x:c>
      <x:c r="T2039" s="19" t="n">
        <x:f>K2039+IF(AND(S2039=1,J2039=0),1,0)</x:f>
        <x:v>4</x:v>
      </x:c>
      <x:c r="U2039" s="19" t="n">
        <x:f>L2039+IF(AND(S2039=1,J2039=1),1,0)</x:f>
        <x:v>2</x:v>
      </x:c>
      <x:c r="V2039" s="19" t="n">
        <x:f>M2039+IF(AND(S2039=1,J2039=2),1,0)</x:f>
        <x:v>0</x:v>
      </x:c>
      <x:c r="W2039" s="19" t="n">
        <x:f>SUM(T2039:V2039)</x:f>
        <x:v>6</x:v>
      </x:c>
      <x:c r="X2039" s="19" t="n">
        <x:f>W2039-G2039</x:f>
        <x:v>-1</x:v>
      </x:c>
      <x:c r="Y2039" s="19" t="n">
        <x:f>MAX(T2039,1)+MAX(U2039,1)+MAX(V2039,1)</x:f>
        <x:v>7</x:v>
      </x:c>
      <x:c r="Z2039" s="21" t="str">
        <x:f>IF(AND(MIN(D2039:F2039)&gt;=0,MAX(D2039:F2039)&lt;=7,MAX(D2039,1)+MAX(E2039,1)+MAX(F2039,1)&lt;=9,OR(H2039="-",AND(H2039=0,D2039&gt;0),AND(H2039=1,E2039&gt;0),AND(H2039=2,F2039&gt;0)),OR(I2039=0,AND(I2039=1,OR(J2039=0,J2039=1,J2039=2),R2039&lt;&gt;"000")),Y2039&lt;=9,MIN(T2039:V2039)&gt;=0),"合法","输入违约")</x:f>
        <x:v>合法</x:v>
      </x:c>
    </x:row>
    <x:row r="2040" ht="23" customHeight="1">
      <x:c r="A2040" s="3" t="str">
        <x:v>CT-2033</x:v>
      </x:c>
      <x:c r="B2040" s="3" t="str">
        <x:v>ST-113</x:v>
      </x:c>
      <x:c r="C2040" s="3" t="str">
        <x:v>R+AR同收同发</x:v>
      </x:c>
      <x:c r="D2040" s="25" t="n">
        <x:v>4</x:v>
      </x:c>
      <x:c r="E2040" s="25" t="n">
        <x:v>2</x:v>
      </x:c>
      <x:c r="F2040" s="25" t="n">
        <x:v>1</x:v>
      </x:c>
      <x:c r="G2040" s="19" t="n">
        <x:f>SUM(D2040:F2040)</x:f>
        <x:v>7</x:v>
      </x:c>
      <x:c r="H2040" s="25" t="n">
        <x:v>2</x:v>
      </x:c>
      <x:c r="I2040" s="25" t="n">
        <x:v>1</x:v>
      </x:c>
      <x:c r="J2040" s="25" t="n">
        <x:v>0</x:v>
      </x:c>
      <x:c r="K2040" s="19" t="n">
        <x:f>D2040-IF(H2040=0,1,0)</x:f>
        <x:v>4</x:v>
      </x:c>
      <x:c r="L2040" s="19" t="n">
        <x:f>E2040-IF(H2040=1,1,0)</x:f>
        <x:v>2</x:v>
      </x:c>
      <x:c r="M2040" s="19" t="n">
        <x:f>F2040-IF(H2040=2,1,0)</x:f>
        <x:v>0</x:v>
      </x:c>
      <x:c r="N2040" s="19" t="n">
        <x:f>MAX(K2040-1,0)+MAX(L2040-1,0)+MAX(M2040-1,0)</x:f>
        <x:v>4</x:v>
      </x:c>
      <x:c r="O2040" s="19" t="n">
        <x:f>IF(AND(SUM(K2040:M2040)&lt;9,OR(M2040=0,N2040&lt;6)),1,0)</x:f>
        <x:v>1</x:v>
      </x:c>
      <x:c r="P2040" s="19" t="n">
        <x:f>IF(AND(SUM(K2040:M2040)&lt;9,OR(L2040=0,N2040&lt;6)),1,0)</x:f>
        <x:v>1</x:v>
      </x:c>
      <x:c r="Q2040" s="19" t="n">
        <x:f>IF(AND(SUM(K2040:M2040)&lt;9,OR(K2040=0,N2040&lt;6)),1,0)</x:f>
        <x:v>1</x:v>
      </x:c>
      <x:c r="R2040" s="22" t="str">
        <x:f>O2040&amp;P2040&amp;Q2040</x:f>
        <x:v>111</x:v>
      </x:c>
      <x:c r="S2040" s="19" t="n">
        <x:f>IF(I2040=1,IF(J2040=0,Q2040,IF(J2040=1,P2040,IF(J2040=2,O2040,0))),0)</x:f>
        <x:v>1</x:v>
      </x:c>
      <x:c r="T2040" s="19" t="n">
        <x:f>K2040+IF(AND(S2040=1,J2040=0),1,0)</x:f>
        <x:v>5</x:v>
      </x:c>
      <x:c r="U2040" s="19" t="n">
        <x:f>L2040+IF(AND(S2040=1,J2040=1),1,0)</x:f>
        <x:v>2</x:v>
      </x:c>
      <x:c r="V2040" s="19" t="n">
        <x:f>M2040+IF(AND(S2040=1,J2040=2),1,0)</x:f>
        <x:v>0</x:v>
      </x:c>
      <x:c r="W2040" s="19" t="n">
        <x:f>SUM(T2040:V2040)</x:f>
        <x:v>7</x:v>
      </x:c>
      <x:c r="X2040" s="19" t="n">
        <x:f>W2040-G2040</x:f>
        <x:v>0</x:v>
      </x:c>
      <x:c r="Y2040" s="19" t="n">
        <x:f>MAX(T2040,1)+MAX(U2040,1)+MAX(V2040,1)</x:f>
        <x:v>8</x:v>
      </x:c>
      <x:c r="Z2040" s="21" t="str">
        <x:f>IF(AND(MIN(D2040:F2040)&gt;=0,MAX(D2040:F2040)&lt;=7,MAX(D2040,1)+MAX(E2040,1)+MAX(F2040,1)&lt;=9,OR(H2040="-",AND(H2040=0,D2040&gt;0),AND(H2040=1,E2040&gt;0),AND(H2040=2,F2040&gt;0)),OR(I2040=0,AND(I2040=1,OR(J2040=0,J2040=1,J2040=2),R2040&lt;&gt;"000")),Y2040&lt;=9,MIN(T2040:V2040)&gt;=0),"合法","输入违约")</x:f>
        <x:v>合法</x:v>
      </x:c>
    </x:row>
    <x:row r="2041" ht="23" customHeight="1">
      <x:c r="A2041" s="3" t="str">
        <x:v>CT-2034</x:v>
      </x:c>
      <x:c r="B2041" s="3" t="str">
        <x:v>ST-113</x:v>
      </x:c>
      <x:c r="C2041" s="3" t="str">
        <x:v>R+AR同收同发</x:v>
      </x:c>
      <x:c r="D2041" s="25" t="n">
        <x:v>4</x:v>
      </x:c>
      <x:c r="E2041" s="25" t="n">
        <x:v>2</x:v>
      </x:c>
      <x:c r="F2041" s="25" t="n">
        <x:v>1</x:v>
      </x:c>
      <x:c r="G2041" s="19" t="n">
        <x:f>SUM(D2041:F2041)</x:f>
        <x:v>7</x:v>
      </x:c>
      <x:c r="H2041" s="25" t="n">
        <x:v>2</x:v>
      </x:c>
      <x:c r="I2041" s="25" t="n">
        <x:v>1</x:v>
      </x:c>
      <x:c r="J2041" s="25" t="n">
        <x:v>1</x:v>
      </x:c>
      <x:c r="K2041" s="19" t="n">
        <x:f>D2041-IF(H2041=0,1,0)</x:f>
        <x:v>4</x:v>
      </x:c>
      <x:c r="L2041" s="19" t="n">
        <x:f>E2041-IF(H2041=1,1,0)</x:f>
        <x:v>2</x:v>
      </x:c>
      <x:c r="M2041" s="19" t="n">
        <x:f>F2041-IF(H2041=2,1,0)</x:f>
        <x:v>0</x:v>
      </x:c>
      <x:c r="N2041" s="19" t="n">
        <x:f>MAX(K2041-1,0)+MAX(L2041-1,0)+MAX(M2041-1,0)</x:f>
        <x:v>4</x:v>
      </x:c>
      <x:c r="O2041" s="19" t="n">
        <x:f>IF(AND(SUM(K2041:M2041)&lt;9,OR(M2041=0,N2041&lt;6)),1,0)</x:f>
        <x:v>1</x:v>
      </x:c>
      <x:c r="P2041" s="19" t="n">
        <x:f>IF(AND(SUM(K2041:M2041)&lt;9,OR(L2041=0,N2041&lt;6)),1,0)</x:f>
        <x:v>1</x:v>
      </x:c>
      <x:c r="Q2041" s="19" t="n">
        <x:f>IF(AND(SUM(K2041:M2041)&lt;9,OR(K2041=0,N2041&lt;6)),1,0)</x:f>
        <x:v>1</x:v>
      </x:c>
      <x:c r="R2041" s="22" t="str">
        <x:f>O2041&amp;P2041&amp;Q2041</x:f>
        <x:v>111</x:v>
      </x:c>
      <x:c r="S2041" s="19" t="n">
        <x:f>IF(I2041=1,IF(J2041=0,Q2041,IF(J2041=1,P2041,IF(J2041=2,O2041,0))),0)</x:f>
        <x:v>1</x:v>
      </x:c>
      <x:c r="T2041" s="19" t="n">
        <x:f>K2041+IF(AND(S2041=1,J2041=0),1,0)</x:f>
        <x:v>4</x:v>
      </x:c>
      <x:c r="U2041" s="19" t="n">
        <x:f>L2041+IF(AND(S2041=1,J2041=1),1,0)</x:f>
        <x:v>3</x:v>
      </x:c>
      <x:c r="V2041" s="19" t="n">
        <x:f>M2041+IF(AND(S2041=1,J2041=2),1,0)</x:f>
        <x:v>0</x:v>
      </x:c>
      <x:c r="W2041" s="19" t="n">
        <x:f>SUM(T2041:V2041)</x:f>
        <x:v>7</x:v>
      </x:c>
      <x:c r="X2041" s="19" t="n">
        <x:f>W2041-G2041</x:f>
        <x:v>0</x:v>
      </x:c>
      <x:c r="Y2041" s="19" t="n">
        <x:f>MAX(T2041,1)+MAX(U2041,1)+MAX(V2041,1)</x:f>
        <x:v>8</x:v>
      </x:c>
      <x:c r="Z2041" s="21" t="str">
        <x:f>IF(AND(MIN(D2041:F2041)&gt;=0,MAX(D2041:F2041)&lt;=7,MAX(D2041,1)+MAX(E2041,1)+MAX(F2041,1)&lt;=9,OR(H2041="-",AND(H2041=0,D2041&gt;0),AND(H2041=1,E2041&gt;0),AND(H2041=2,F2041&gt;0)),OR(I2041=0,AND(I2041=1,OR(J2041=0,J2041=1,J2041=2),R2041&lt;&gt;"000")),Y2041&lt;=9,MIN(T2041:V2041)&gt;=0),"合法","输入违约")</x:f>
        <x:v>合法</x:v>
      </x:c>
    </x:row>
    <x:row r="2042" ht="23" customHeight="1">
      <x:c r="A2042" s="3" t="str">
        <x:v>CT-2035</x:v>
      </x:c>
      <x:c r="B2042" s="3" t="str">
        <x:v>ST-113</x:v>
      </x:c>
      <x:c r="C2042" s="3" t="str">
        <x:v>R+AR同收同发</x:v>
      </x:c>
      <x:c r="D2042" s="25" t="n">
        <x:v>4</x:v>
      </x:c>
      <x:c r="E2042" s="25" t="n">
        <x:v>2</x:v>
      </x:c>
      <x:c r="F2042" s="25" t="n">
        <x:v>1</x:v>
      </x:c>
      <x:c r="G2042" s="19" t="n">
        <x:f>SUM(D2042:F2042)</x:f>
        <x:v>7</x:v>
      </x:c>
      <x:c r="H2042" s="25" t="n">
        <x:v>2</x:v>
      </x:c>
      <x:c r="I2042" s="25" t="n">
        <x:v>1</x:v>
      </x:c>
      <x:c r="J2042" s="25" t="n">
        <x:v>2</x:v>
      </x:c>
      <x:c r="K2042" s="19" t="n">
        <x:f>D2042-IF(H2042=0,1,0)</x:f>
        <x:v>4</x:v>
      </x:c>
      <x:c r="L2042" s="19" t="n">
        <x:f>E2042-IF(H2042=1,1,0)</x:f>
        <x:v>2</x:v>
      </x:c>
      <x:c r="M2042" s="19" t="n">
        <x:f>F2042-IF(H2042=2,1,0)</x:f>
        <x:v>0</x:v>
      </x:c>
      <x:c r="N2042" s="19" t="n">
        <x:f>MAX(K2042-1,0)+MAX(L2042-1,0)+MAX(M2042-1,0)</x:f>
        <x:v>4</x:v>
      </x:c>
      <x:c r="O2042" s="19" t="n">
        <x:f>IF(AND(SUM(K2042:M2042)&lt;9,OR(M2042=0,N2042&lt;6)),1,0)</x:f>
        <x:v>1</x:v>
      </x:c>
      <x:c r="P2042" s="19" t="n">
        <x:f>IF(AND(SUM(K2042:M2042)&lt;9,OR(L2042=0,N2042&lt;6)),1,0)</x:f>
        <x:v>1</x:v>
      </x:c>
      <x:c r="Q2042" s="19" t="n">
        <x:f>IF(AND(SUM(K2042:M2042)&lt;9,OR(K2042=0,N2042&lt;6)),1,0)</x:f>
        <x:v>1</x:v>
      </x:c>
      <x:c r="R2042" s="22" t="str">
        <x:f>O2042&amp;P2042&amp;Q2042</x:f>
        <x:v>111</x:v>
      </x:c>
      <x:c r="S2042" s="19" t="n">
        <x:f>IF(I2042=1,IF(J2042=0,Q2042,IF(J2042=1,P2042,IF(J2042=2,O2042,0))),0)</x:f>
        <x:v>1</x:v>
      </x:c>
      <x:c r="T2042" s="19" t="n">
        <x:f>K2042+IF(AND(S2042=1,J2042=0),1,0)</x:f>
        <x:v>4</x:v>
      </x:c>
      <x:c r="U2042" s="19" t="n">
        <x:f>L2042+IF(AND(S2042=1,J2042=1),1,0)</x:f>
        <x:v>2</x:v>
      </x:c>
      <x:c r="V2042" s="19" t="n">
        <x:f>M2042+IF(AND(S2042=1,J2042=2),1,0)</x:f>
        <x:v>1</x:v>
      </x:c>
      <x:c r="W2042" s="19" t="n">
        <x:f>SUM(T2042:V2042)</x:f>
        <x:v>7</x:v>
      </x:c>
      <x:c r="X2042" s="19" t="n">
        <x:f>W2042-G2042</x:f>
        <x:v>0</x:v>
      </x:c>
      <x:c r="Y2042" s="19" t="n">
        <x:f>MAX(T2042,1)+MAX(U2042,1)+MAX(V2042,1)</x:f>
        <x:v>7</x:v>
      </x:c>
      <x:c r="Z2042" s="21" t="str">
        <x:f>IF(AND(MIN(D2042:F2042)&gt;=0,MAX(D2042:F2042)&lt;=7,MAX(D2042,1)+MAX(E2042,1)+MAX(F2042,1)&lt;=9,OR(H2042="-",AND(H2042=0,D2042&gt;0),AND(H2042=1,E2042&gt;0),AND(H2042=2,F2042&gt;0)),OR(I2042=0,AND(I2042=1,OR(J2042=0,J2042=1,J2042=2),R2042&lt;&gt;"000")),Y2042&lt;=9,MIN(T2042:V2042)&gt;=0),"合法","输入违约")</x:f>
        <x:v>合法</x:v>
      </x:c>
    </x:row>
    <x:row r="2043" ht="23" customHeight="1">
      <x:c r="A2043" s="3" t="str">
        <x:v>CT-2036</x:v>
      </x:c>
      <x:c r="B2043" s="3" t="str">
        <x:v>ST-151</x:v>
      </x:c>
      <x:c r="C2043" s="3" t="str">
        <x:v>无AR/R</x:v>
      </x:c>
      <x:c r="D2043" s="25" t="n">
        <x:v>4</x:v>
      </x:c>
      <x:c r="E2043" s="25" t="n">
        <x:v>2</x:v>
      </x:c>
      <x:c r="F2043" s="25" t="n">
        <x:v>2</x:v>
      </x:c>
      <x:c r="G2043" s="19" t="n">
        <x:f>SUM(D2043:F2043)</x:f>
        <x:v>8</x:v>
      </x:c>
      <x:c r="H2043" s="25" t="str">
        <x:v>-</x:v>
      </x:c>
      <x:c r="I2043" s="25" t="n">
        <x:v>0</x:v>
      </x:c>
      <x:c r="J2043" s="25" t="str">
        <x:v>-</x:v>
      </x:c>
      <x:c r="K2043" s="19" t="n">
        <x:f>D2043-IF(H2043=0,1,0)</x:f>
        <x:v>4</x:v>
      </x:c>
      <x:c r="L2043" s="19" t="n">
        <x:f>E2043-IF(H2043=1,1,0)</x:f>
        <x:v>2</x:v>
      </x:c>
      <x:c r="M2043" s="19" t="n">
        <x:f>F2043-IF(H2043=2,1,0)</x:f>
        <x:v>2</x:v>
      </x:c>
      <x:c r="N2043" s="19" t="n">
        <x:f>MAX(K2043-1,0)+MAX(L2043-1,0)+MAX(M2043-1,0)</x:f>
        <x:v>5</x:v>
      </x:c>
      <x:c r="O2043" s="19" t="n">
        <x:f>IF(AND(SUM(K2043:M2043)&lt;9,OR(M2043=0,N2043&lt;6)),1,0)</x:f>
        <x:v>1</x:v>
      </x:c>
      <x:c r="P2043" s="19" t="n">
        <x:f>IF(AND(SUM(K2043:M2043)&lt;9,OR(L2043=0,N2043&lt;6)),1,0)</x:f>
        <x:v>1</x:v>
      </x:c>
      <x:c r="Q2043" s="19" t="n">
        <x:f>IF(AND(SUM(K2043:M2043)&lt;9,OR(K2043=0,N2043&lt;6)),1,0)</x:f>
        <x:v>1</x:v>
      </x:c>
      <x:c r="R2043" s="22" t="str">
        <x:f>O2043&amp;P2043&amp;Q2043</x:f>
        <x:v>111</x:v>
      </x:c>
      <x:c r="S2043" s="19" t="n">
        <x:f>IF(I2043=1,IF(J2043=0,Q2043,IF(J2043=1,P2043,IF(J2043=2,O2043,0))),0)</x:f>
        <x:v>0</x:v>
      </x:c>
      <x:c r="T2043" s="19" t="n">
        <x:f>K2043+IF(AND(S2043=1,J2043=0),1,0)</x:f>
        <x:v>4</x:v>
      </x:c>
      <x:c r="U2043" s="19" t="n">
        <x:f>L2043+IF(AND(S2043=1,J2043=1),1,0)</x:f>
        <x:v>2</x:v>
      </x:c>
      <x:c r="V2043" s="19" t="n">
        <x:f>M2043+IF(AND(S2043=1,J2043=2),1,0)</x:f>
        <x:v>2</x:v>
      </x:c>
      <x:c r="W2043" s="19" t="n">
        <x:f>SUM(T2043:V2043)</x:f>
        <x:v>8</x:v>
      </x:c>
      <x:c r="X2043" s="19" t="n">
        <x:f>W2043-G2043</x:f>
        <x:v>0</x:v>
      </x:c>
      <x:c r="Y2043" s="19" t="n">
        <x:f>MAX(T2043,1)+MAX(U2043,1)+MAX(V2043,1)</x:f>
        <x:v>8</x:v>
      </x:c>
      <x:c r="Z2043" s="21" t="str">
        <x:f>IF(AND(MIN(D2043:F2043)&gt;=0,MAX(D2043:F2043)&lt;=7,MAX(D2043,1)+MAX(E2043,1)+MAX(F2043,1)&lt;=9,OR(H2043="-",AND(H2043=0,D2043&gt;0),AND(H2043=1,E2043&gt;0),AND(H2043=2,F2043&gt;0)),OR(I2043=0,AND(I2043=1,OR(J2043=0,J2043=1,J2043=2),R2043&lt;&gt;"000")),Y2043&lt;=9,MIN(T2043:V2043)&gt;=0),"合法","输入违约")</x:f>
        <x:v>合法</x:v>
      </x:c>
    </x:row>
    <x:row r="2044" ht="23" customHeight="1">
      <x:c r="A2044" s="3" t="str">
        <x:v>CT-2037</x:v>
      </x:c>
      <x:c r="B2044" s="3" t="str">
        <x:v>ST-151</x:v>
      </x:c>
      <x:c r="C2044" s="3" t="str">
        <x:v>仅AR接收</x:v>
      </x:c>
      <x:c r="D2044" s="25" t="n">
        <x:v>4</x:v>
      </x:c>
      <x:c r="E2044" s="25" t="n">
        <x:v>2</x:v>
      </x:c>
      <x:c r="F2044" s="25" t="n">
        <x:v>2</x:v>
      </x:c>
      <x:c r="G2044" s="19" t="n">
        <x:f>SUM(D2044:F2044)</x:f>
        <x:v>8</x:v>
      </x:c>
      <x:c r="H2044" s="25" t="str">
        <x:v>-</x:v>
      </x:c>
      <x:c r="I2044" s="25" t="n">
        <x:v>1</x:v>
      </x:c>
      <x:c r="J2044" s="25" t="n">
        <x:v>0</x:v>
      </x:c>
      <x:c r="K2044" s="19" t="n">
        <x:f>D2044-IF(H2044=0,1,0)</x:f>
        <x:v>4</x:v>
      </x:c>
      <x:c r="L2044" s="19" t="n">
        <x:f>E2044-IF(H2044=1,1,0)</x:f>
        <x:v>2</x:v>
      </x:c>
      <x:c r="M2044" s="19" t="n">
        <x:f>F2044-IF(H2044=2,1,0)</x:f>
        <x:v>2</x:v>
      </x:c>
      <x:c r="N2044" s="19" t="n">
        <x:f>MAX(K2044-1,0)+MAX(L2044-1,0)+MAX(M2044-1,0)</x:f>
        <x:v>5</x:v>
      </x:c>
      <x:c r="O2044" s="19" t="n">
        <x:f>IF(AND(SUM(K2044:M2044)&lt;9,OR(M2044=0,N2044&lt;6)),1,0)</x:f>
        <x:v>1</x:v>
      </x:c>
      <x:c r="P2044" s="19" t="n">
        <x:f>IF(AND(SUM(K2044:M2044)&lt;9,OR(L2044=0,N2044&lt;6)),1,0)</x:f>
        <x:v>1</x:v>
      </x:c>
      <x:c r="Q2044" s="19" t="n">
        <x:f>IF(AND(SUM(K2044:M2044)&lt;9,OR(K2044=0,N2044&lt;6)),1,0)</x:f>
        <x:v>1</x:v>
      </x:c>
      <x:c r="R2044" s="22" t="str">
        <x:f>O2044&amp;P2044&amp;Q2044</x:f>
        <x:v>111</x:v>
      </x:c>
      <x:c r="S2044" s="19" t="n">
        <x:f>IF(I2044=1,IF(J2044=0,Q2044,IF(J2044=1,P2044,IF(J2044=2,O2044,0))),0)</x:f>
        <x:v>1</x:v>
      </x:c>
      <x:c r="T2044" s="19" t="n">
        <x:f>K2044+IF(AND(S2044=1,J2044=0),1,0)</x:f>
        <x:v>5</x:v>
      </x:c>
      <x:c r="U2044" s="19" t="n">
        <x:f>L2044+IF(AND(S2044=1,J2044=1),1,0)</x:f>
        <x:v>2</x:v>
      </x:c>
      <x:c r="V2044" s="19" t="n">
        <x:f>M2044+IF(AND(S2044=1,J2044=2),1,0)</x:f>
        <x:v>2</x:v>
      </x:c>
      <x:c r="W2044" s="19" t="n">
        <x:f>SUM(T2044:V2044)</x:f>
        <x:v>9</x:v>
      </x:c>
      <x:c r="X2044" s="19" t="n">
        <x:f>W2044-G2044</x:f>
        <x:v>1</x:v>
      </x:c>
      <x:c r="Y2044" s="19" t="n">
        <x:f>MAX(T2044,1)+MAX(U2044,1)+MAX(V2044,1)</x:f>
        <x:v>9</x:v>
      </x:c>
      <x:c r="Z2044" s="21" t="str">
        <x:f>IF(AND(MIN(D2044:F2044)&gt;=0,MAX(D2044:F2044)&lt;=7,MAX(D2044,1)+MAX(E2044,1)+MAX(F2044,1)&lt;=9,OR(H2044="-",AND(H2044=0,D2044&gt;0),AND(H2044=1,E2044&gt;0),AND(H2044=2,F2044&gt;0)),OR(I2044=0,AND(I2044=1,OR(J2044=0,J2044=1,J2044=2),R2044&lt;&gt;"000")),Y2044&lt;=9,MIN(T2044:V2044)&gt;=0),"合法","输入违约")</x:f>
        <x:v>合法</x:v>
      </x:c>
    </x:row>
    <x:row r="2045" ht="23" customHeight="1">
      <x:c r="A2045" s="3" t="str">
        <x:v>CT-2038</x:v>
      </x:c>
      <x:c r="B2045" s="3" t="str">
        <x:v>ST-151</x:v>
      </x:c>
      <x:c r="C2045" s="3" t="str">
        <x:v>仅AR接收</x:v>
      </x:c>
      <x:c r="D2045" s="25" t="n">
        <x:v>4</x:v>
      </x:c>
      <x:c r="E2045" s="25" t="n">
        <x:v>2</x:v>
      </x:c>
      <x:c r="F2045" s="25" t="n">
        <x:v>2</x:v>
      </x:c>
      <x:c r="G2045" s="19" t="n">
        <x:f>SUM(D2045:F2045)</x:f>
        <x:v>8</x:v>
      </x:c>
      <x:c r="H2045" s="25" t="str">
        <x:v>-</x:v>
      </x:c>
      <x:c r="I2045" s="25" t="n">
        <x:v>1</x:v>
      </x:c>
      <x:c r="J2045" s="25" t="n">
        <x:v>1</x:v>
      </x:c>
      <x:c r="K2045" s="19" t="n">
        <x:f>D2045-IF(H2045=0,1,0)</x:f>
        <x:v>4</x:v>
      </x:c>
      <x:c r="L2045" s="19" t="n">
        <x:f>E2045-IF(H2045=1,1,0)</x:f>
        <x:v>2</x:v>
      </x:c>
      <x:c r="M2045" s="19" t="n">
        <x:f>F2045-IF(H2045=2,1,0)</x:f>
        <x:v>2</x:v>
      </x:c>
      <x:c r="N2045" s="19" t="n">
        <x:f>MAX(K2045-1,0)+MAX(L2045-1,0)+MAX(M2045-1,0)</x:f>
        <x:v>5</x:v>
      </x:c>
      <x:c r="O2045" s="19" t="n">
        <x:f>IF(AND(SUM(K2045:M2045)&lt;9,OR(M2045=0,N2045&lt;6)),1,0)</x:f>
        <x:v>1</x:v>
      </x:c>
      <x:c r="P2045" s="19" t="n">
        <x:f>IF(AND(SUM(K2045:M2045)&lt;9,OR(L2045=0,N2045&lt;6)),1,0)</x:f>
        <x:v>1</x:v>
      </x:c>
      <x:c r="Q2045" s="19" t="n">
        <x:f>IF(AND(SUM(K2045:M2045)&lt;9,OR(K2045=0,N2045&lt;6)),1,0)</x:f>
        <x:v>1</x:v>
      </x:c>
      <x:c r="R2045" s="22" t="str">
        <x:f>O2045&amp;P2045&amp;Q2045</x:f>
        <x:v>111</x:v>
      </x:c>
      <x:c r="S2045" s="19" t="n">
        <x:f>IF(I2045=1,IF(J2045=0,Q2045,IF(J2045=1,P2045,IF(J2045=2,O2045,0))),0)</x:f>
        <x:v>1</x:v>
      </x:c>
      <x:c r="T2045" s="19" t="n">
        <x:f>K2045+IF(AND(S2045=1,J2045=0),1,0)</x:f>
        <x:v>4</x:v>
      </x:c>
      <x:c r="U2045" s="19" t="n">
        <x:f>L2045+IF(AND(S2045=1,J2045=1),1,0)</x:f>
        <x:v>3</x:v>
      </x:c>
      <x:c r="V2045" s="19" t="n">
        <x:f>M2045+IF(AND(S2045=1,J2045=2),1,0)</x:f>
        <x:v>2</x:v>
      </x:c>
      <x:c r="W2045" s="19" t="n">
        <x:f>SUM(T2045:V2045)</x:f>
        <x:v>9</x:v>
      </x:c>
      <x:c r="X2045" s="19" t="n">
        <x:f>W2045-G2045</x:f>
        <x:v>1</x:v>
      </x:c>
      <x:c r="Y2045" s="19" t="n">
        <x:f>MAX(T2045,1)+MAX(U2045,1)+MAX(V2045,1)</x:f>
        <x:v>9</x:v>
      </x:c>
      <x:c r="Z2045" s="21" t="str">
        <x:f>IF(AND(MIN(D2045:F2045)&gt;=0,MAX(D2045:F2045)&lt;=7,MAX(D2045,1)+MAX(E2045,1)+MAX(F2045,1)&lt;=9,OR(H2045="-",AND(H2045=0,D2045&gt;0),AND(H2045=1,E2045&gt;0),AND(H2045=2,F2045&gt;0)),OR(I2045=0,AND(I2045=1,OR(J2045=0,J2045=1,J2045=2),R2045&lt;&gt;"000")),Y2045&lt;=9,MIN(T2045:V2045)&gt;=0),"合法","输入违约")</x:f>
        <x:v>合法</x:v>
      </x:c>
    </x:row>
    <x:row r="2046" ht="23" customHeight="1">
      <x:c r="A2046" s="3" t="str">
        <x:v>CT-2039</x:v>
      </x:c>
      <x:c r="B2046" s="3" t="str">
        <x:v>ST-151</x:v>
      </x:c>
      <x:c r="C2046" s="3" t="str">
        <x:v>仅AR接收</x:v>
      </x:c>
      <x:c r="D2046" s="25" t="n">
        <x:v>4</x:v>
      </x:c>
      <x:c r="E2046" s="25" t="n">
        <x:v>2</x:v>
      </x:c>
      <x:c r="F2046" s="25" t="n">
        <x:v>2</x:v>
      </x:c>
      <x:c r="G2046" s="19" t="n">
        <x:f>SUM(D2046:F2046)</x:f>
        <x:v>8</x:v>
      </x:c>
      <x:c r="H2046" s="25" t="str">
        <x:v>-</x:v>
      </x:c>
      <x:c r="I2046" s="25" t="n">
        <x:v>1</x:v>
      </x:c>
      <x:c r="J2046" s="25" t="n">
        <x:v>2</x:v>
      </x:c>
      <x:c r="K2046" s="19" t="n">
        <x:f>D2046-IF(H2046=0,1,0)</x:f>
        <x:v>4</x:v>
      </x:c>
      <x:c r="L2046" s="19" t="n">
        <x:f>E2046-IF(H2046=1,1,0)</x:f>
        <x:v>2</x:v>
      </x:c>
      <x:c r="M2046" s="19" t="n">
        <x:f>F2046-IF(H2046=2,1,0)</x:f>
        <x:v>2</x:v>
      </x:c>
      <x:c r="N2046" s="19" t="n">
        <x:f>MAX(K2046-1,0)+MAX(L2046-1,0)+MAX(M2046-1,0)</x:f>
        <x:v>5</x:v>
      </x:c>
      <x:c r="O2046" s="19" t="n">
        <x:f>IF(AND(SUM(K2046:M2046)&lt;9,OR(M2046=0,N2046&lt;6)),1,0)</x:f>
        <x:v>1</x:v>
      </x:c>
      <x:c r="P2046" s="19" t="n">
        <x:f>IF(AND(SUM(K2046:M2046)&lt;9,OR(L2046=0,N2046&lt;6)),1,0)</x:f>
        <x:v>1</x:v>
      </x:c>
      <x:c r="Q2046" s="19" t="n">
        <x:f>IF(AND(SUM(K2046:M2046)&lt;9,OR(K2046=0,N2046&lt;6)),1,0)</x:f>
        <x:v>1</x:v>
      </x:c>
      <x:c r="R2046" s="22" t="str">
        <x:f>O2046&amp;P2046&amp;Q2046</x:f>
        <x:v>111</x:v>
      </x:c>
      <x:c r="S2046" s="19" t="n">
        <x:f>IF(I2046=1,IF(J2046=0,Q2046,IF(J2046=1,P2046,IF(J2046=2,O2046,0))),0)</x:f>
        <x:v>1</x:v>
      </x:c>
      <x:c r="T2046" s="19" t="n">
        <x:f>K2046+IF(AND(S2046=1,J2046=0),1,0)</x:f>
        <x:v>4</x:v>
      </x:c>
      <x:c r="U2046" s="19" t="n">
        <x:f>L2046+IF(AND(S2046=1,J2046=1),1,0)</x:f>
        <x:v>2</x:v>
      </x:c>
      <x:c r="V2046" s="19" t="n">
        <x:f>M2046+IF(AND(S2046=1,J2046=2),1,0)</x:f>
        <x:v>3</x:v>
      </x:c>
      <x:c r="W2046" s="19" t="n">
        <x:f>SUM(T2046:V2046)</x:f>
        <x:v>9</x:v>
      </x:c>
      <x:c r="X2046" s="19" t="n">
        <x:f>W2046-G2046</x:f>
        <x:v>1</x:v>
      </x:c>
      <x:c r="Y2046" s="19" t="n">
        <x:f>MAX(T2046,1)+MAX(U2046,1)+MAX(V2046,1)</x:f>
        <x:v>9</x:v>
      </x:c>
      <x:c r="Z2046" s="21" t="str">
        <x:f>IF(AND(MIN(D2046:F2046)&gt;=0,MAX(D2046:F2046)&lt;=7,MAX(D2046,1)+MAX(E2046,1)+MAX(F2046,1)&lt;=9,OR(H2046="-",AND(H2046=0,D2046&gt;0),AND(H2046=1,E2046&gt;0),AND(H2046=2,F2046&gt;0)),OR(I2046=0,AND(I2046=1,OR(J2046=0,J2046=1,J2046=2),R2046&lt;&gt;"000")),Y2046&lt;=9,MIN(T2046:V2046)&gt;=0),"合法","输入违约")</x:f>
        <x:v>合法</x:v>
      </x:c>
    </x:row>
    <x:row r="2047" ht="23" customHeight="1">
      <x:c r="A2047" s="3" t="str">
        <x:v>CT-2040</x:v>
      </x:c>
      <x:c r="B2047" s="3" t="str">
        <x:v>ST-151</x:v>
      </x:c>
      <x:c r="C2047" s="3" t="str">
        <x:v>仅R回收</x:v>
      </x:c>
      <x:c r="D2047" s="25" t="n">
        <x:v>4</x:v>
      </x:c>
      <x:c r="E2047" s="25" t="n">
        <x:v>2</x:v>
      </x:c>
      <x:c r="F2047" s="25" t="n">
        <x:v>2</x:v>
      </x:c>
      <x:c r="G2047" s="19" t="n">
        <x:f>SUM(D2047:F2047)</x:f>
        <x:v>8</x:v>
      </x:c>
      <x:c r="H2047" s="25" t="n">
        <x:v>0</x:v>
      </x:c>
      <x:c r="I2047" s="25" t="n">
        <x:v>0</x:v>
      </x:c>
      <x:c r="J2047" s="25" t="str">
        <x:v>-</x:v>
      </x:c>
      <x:c r="K2047" s="19" t="n">
        <x:f>D2047-IF(H2047=0,1,0)</x:f>
        <x:v>3</x:v>
      </x:c>
      <x:c r="L2047" s="19" t="n">
        <x:f>E2047-IF(H2047=1,1,0)</x:f>
        <x:v>2</x:v>
      </x:c>
      <x:c r="M2047" s="19" t="n">
        <x:f>F2047-IF(H2047=2,1,0)</x:f>
        <x:v>2</x:v>
      </x:c>
      <x:c r="N2047" s="19" t="n">
        <x:f>MAX(K2047-1,0)+MAX(L2047-1,0)+MAX(M2047-1,0)</x:f>
        <x:v>4</x:v>
      </x:c>
      <x:c r="O2047" s="19" t="n">
        <x:f>IF(AND(SUM(K2047:M2047)&lt;9,OR(M2047=0,N2047&lt;6)),1,0)</x:f>
        <x:v>1</x:v>
      </x:c>
      <x:c r="P2047" s="19" t="n">
        <x:f>IF(AND(SUM(K2047:M2047)&lt;9,OR(L2047=0,N2047&lt;6)),1,0)</x:f>
        <x:v>1</x:v>
      </x:c>
      <x:c r="Q2047" s="19" t="n">
        <x:f>IF(AND(SUM(K2047:M2047)&lt;9,OR(K2047=0,N2047&lt;6)),1,0)</x:f>
        <x:v>1</x:v>
      </x:c>
      <x:c r="R2047" s="22" t="str">
        <x:f>O2047&amp;P2047&amp;Q2047</x:f>
        <x:v>111</x:v>
      </x:c>
      <x:c r="S2047" s="19" t="n">
        <x:f>IF(I2047=1,IF(J2047=0,Q2047,IF(J2047=1,P2047,IF(J2047=2,O2047,0))),0)</x:f>
        <x:v>0</x:v>
      </x:c>
      <x:c r="T2047" s="19" t="n">
        <x:f>K2047+IF(AND(S2047=1,J2047=0),1,0)</x:f>
        <x:v>3</x:v>
      </x:c>
      <x:c r="U2047" s="19" t="n">
        <x:f>L2047+IF(AND(S2047=1,J2047=1),1,0)</x:f>
        <x:v>2</x:v>
      </x:c>
      <x:c r="V2047" s="19" t="n">
        <x:f>M2047+IF(AND(S2047=1,J2047=2),1,0)</x:f>
        <x:v>2</x:v>
      </x:c>
      <x:c r="W2047" s="19" t="n">
        <x:f>SUM(T2047:V2047)</x:f>
        <x:v>7</x:v>
      </x:c>
      <x:c r="X2047" s="19" t="n">
        <x:f>W2047-G2047</x:f>
        <x:v>-1</x:v>
      </x:c>
      <x:c r="Y2047" s="19" t="n">
        <x:f>MAX(T2047,1)+MAX(U2047,1)+MAX(V2047,1)</x:f>
        <x:v>7</x:v>
      </x:c>
      <x:c r="Z2047" s="21" t="str">
        <x:f>IF(AND(MIN(D2047:F2047)&gt;=0,MAX(D2047:F2047)&lt;=7,MAX(D2047,1)+MAX(E2047,1)+MAX(F2047,1)&lt;=9,OR(H2047="-",AND(H2047=0,D2047&gt;0),AND(H2047=1,E2047&gt;0),AND(H2047=2,F2047&gt;0)),OR(I2047=0,AND(I2047=1,OR(J2047=0,J2047=1,J2047=2),R2047&lt;&gt;"000")),Y2047&lt;=9,MIN(T2047:V2047)&gt;=0),"合法","输入违约")</x:f>
        <x:v>合法</x:v>
      </x:c>
    </x:row>
    <x:row r="2048" ht="23" customHeight="1">
      <x:c r="A2048" s="3" t="str">
        <x:v>CT-2041</x:v>
      </x:c>
      <x:c r="B2048" s="3" t="str">
        <x:v>ST-151</x:v>
      </x:c>
      <x:c r="C2048" s="3" t="str">
        <x:v>R+AR同收同发</x:v>
      </x:c>
      <x:c r="D2048" s="25" t="n">
        <x:v>4</x:v>
      </x:c>
      <x:c r="E2048" s="25" t="n">
        <x:v>2</x:v>
      </x:c>
      <x:c r="F2048" s="25" t="n">
        <x:v>2</x:v>
      </x:c>
      <x:c r="G2048" s="19" t="n">
        <x:f>SUM(D2048:F2048)</x:f>
        <x:v>8</x:v>
      </x:c>
      <x:c r="H2048" s="25" t="n">
        <x:v>0</x:v>
      </x:c>
      <x:c r="I2048" s="25" t="n">
        <x:v>1</x:v>
      </x:c>
      <x:c r="J2048" s="25" t="n">
        <x:v>0</x:v>
      </x:c>
      <x:c r="K2048" s="19" t="n">
        <x:f>D2048-IF(H2048=0,1,0)</x:f>
        <x:v>3</x:v>
      </x:c>
      <x:c r="L2048" s="19" t="n">
        <x:f>E2048-IF(H2048=1,1,0)</x:f>
        <x:v>2</x:v>
      </x:c>
      <x:c r="M2048" s="19" t="n">
        <x:f>F2048-IF(H2048=2,1,0)</x:f>
        <x:v>2</x:v>
      </x:c>
      <x:c r="N2048" s="19" t="n">
        <x:f>MAX(K2048-1,0)+MAX(L2048-1,0)+MAX(M2048-1,0)</x:f>
        <x:v>4</x:v>
      </x:c>
      <x:c r="O2048" s="19" t="n">
        <x:f>IF(AND(SUM(K2048:M2048)&lt;9,OR(M2048=0,N2048&lt;6)),1,0)</x:f>
        <x:v>1</x:v>
      </x:c>
      <x:c r="P2048" s="19" t="n">
        <x:f>IF(AND(SUM(K2048:M2048)&lt;9,OR(L2048=0,N2048&lt;6)),1,0)</x:f>
        <x:v>1</x:v>
      </x:c>
      <x:c r="Q2048" s="19" t="n">
        <x:f>IF(AND(SUM(K2048:M2048)&lt;9,OR(K2048=0,N2048&lt;6)),1,0)</x:f>
        <x:v>1</x:v>
      </x:c>
      <x:c r="R2048" s="22" t="str">
        <x:f>O2048&amp;P2048&amp;Q2048</x:f>
        <x:v>111</x:v>
      </x:c>
      <x:c r="S2048" s="19" t="n">
        <x:f>IF(I2048=1,IF(J2048=0,Q2048,IF(J2048=1,P2048,IF(J2048=2,O2048,0))),0)</x:f>
        <x:v>1</x:v>
      </x:c>
      <x:c r="T2048" s="19" t="n">
        <x:f>K2048+IF(AND(S2048=1,J2048=0),1,0)</x:f>
        <x:v>4</x:v>
      </x:c>
      <x:c r="U2048" s="19" t="n">
        <x:f>L2048+IF(AND(S2048=1,J2048=1),1,0)</x:f>
        <x:v>2</x:v>
      </x:c>
      <x:c r="V2048" s="19" t="n">
        <x:f>M2048+IF(AND(S2048=1,J2048=2),1,0)</x:f>
        <x:v>2</x:v>
      </x:c>
      <x:c r="W2048" s="19" t="n">
        <x:f>SUM(T2048:V2048)</x:f>
        <x:v>8</x:v>
      </x:c>
      <x:c r="X2048" s="19" t="n">
        <x:f>W2048-G2048</x:f>
        <x:v>0</x:v>
      </x:c>
      <x:c r="Y2048" s="19" t="n">
        <x:f>MAX(T2048,1)+MAX(U2048,1)+MAX(V2048,1)</x:f>
        <x:v>8</x:v>
      </x:c>
      <x:c r="Z2048" s="21" t="str">
        <x:f>IF(AND(MIN(D2048:F2048)&gt;=0,MAX(D2048:F2048)&lt;=7,MAX(D2048,1)+MAX(E2048,1)+MAX(F2048,1)&lt;=9,OR(H2048="-",AND(H2048=0,D2048&gt;0),AND(H2048=1,E2048&gt;0),AND(H2048=2,F2048&gt;0)),OR(I2048=0,AND(I2048=1,OR(J2048=0,J2048=1,J2048=2),R2048&lt;&gt;"000")),Y2048&lt;=9,MIN(T2048:V2048)&gt;=0),"合法","输入违约")</x:f>
        <x:v>合法</x:v>
      </x:c>
    </x:row>
    <x:row r="2049" ht="23" customHeight="1">
      <x:c r="A2049" s="3" t="str">
        <x:v>CT-2042</x:v>
      </x:c>
      <x:c r="B2049" s="3" t="str">
        <x:v>ST-151</x:v>
      </x:c>
      <x:c r="C2049" s="3" t="str">
        <x:v>R+AR同收同发</x:v>
      </x:c>
      <x:c r="D2049" s="25" t="n">
        <x:v>4</x:v>
      </x:c>
      <x:c r="E2049" s="25" t="n">
        <x:v>2</x:v>
      </x:c>
      <x:c r="F2049" s="25" t="n">
        <x:v>2</x:v>
      </x:c>
      <x:c r="G2049" s="19" t="n">
        <x:f>SUM(D2049:F2049)</x:f>
        <x:v>8</x:v>
      </x:c>
      <x:c r="H2049" s="25" t="n">
        <x:v>0</x:v>
      </x:c>
      <x:c r="I2049" s="25" t="n">
        <x:v>1</x:v>
      </x:c>
      <x:c r="J2049" s="25" t="n">
        <x:v>1</x:v>
      </x:c>
      <x:c r="K2049" s="19" t="n">
        <x:f>D2049-IF(H2049=0,1,0)</x:f>
        <x:v>3</x:v>
      </x:c>
      <x:c r="L2049" s="19" t="n">
        <x:f>E2049-IF(H2049=1,1,0)</x:f>
        <x:v>2</x:v>
      </x:c>
      <x:c r="M2049" s="19" t="n">
        <x:f>F2049-IF(H2049=2,1,0)</x:f>
        <x:v>2</x:v>
      </x:c>
      <x:c r="N2049" s="19" t="n">
        <x:f>MAX(K2049-1,0)+MAX(L2049-1,0)+MAX(M2049-1,0)</x:f>
        <x:v>4</x:v>
      </x:c>
      <x:c r="O2049" s="19" t="n">
        <x:f>IF(AND(SUM(K2049:M2049)&lt;9,OR(M2049=0,N2049&lt;6)),1,0)</x:f>
        <x:v>1</x:v>
      </x:c>
      <x:c r="P2049" s="19" t="n">
        <x:f>IF(AND(SUM(K2049:M2049)&lt;9,OR(L2049=0,N2049&lt;6)),1,0)</x:f>
        <x:v>1</x:v>
      </x:c>
      <x:c r="Q2049" s="19" t="n">
        <x:f>IF(AND(SUM(K2049:M2049)&lt;9,OR(K2049=0,N2049&lt;6)),1,0)</x:f>
        <x:v>1</x:v>
      </x:c>
      <x:c r="R2049" s="22" t="str">
        <x:f>O2049&amp;P2049&amp;Q2049</x:f>
        <x:v>111</x:v>
      </x:c>
      <x:c r="S2049" s="19" t="n">
        <x:f>IF(I2049=1,IF(J2049=0,Q2049,IF(J2049=1,P2049,IF(J2049=2,O2049,0))),0)</x:f>
        <x:v>1</x:v>
      </x:c>
      <x:c r="T2049" s="19" t="n">
        <x:f>K2049+IF(AND(S2049=1,J2049=0),1,0)</x:f>
        <x:v>3</x:v>
      </x:c>
      <x:c r="U2049" s="19" t="n">
        <x:f>L2049+IF(AND(S2049=1,J2049=1),1,0)</x:f>
        <x:v>3</x:v>
      </x:c>
      <x:c r="V2049" s="19" t="n">
        <x:f>M2049+IF(AND(S2049=1,J2049=2),1,0)</x:f>
        <x:v>2</x:v>
      </x:c>
      <x:c r="W2049" s="19" t="n">
        <x:f>SUM(T2049:V2049)</x:f>
        <x:v>8</x:v>
      </x:c>
      <x:c r="X2049" s="19" t="n">
        <x:f>W2049-G2049</x:f>
        <x:v>0</x:v>
      </x:c>
      <x:c r="Y2049" s="19" t="n">
        <x:f>MAX(T2049,1)+MAX(U2049,1)+MAX(V2049,1)</x:f>
        <x:v>8</x:v>
      </x:c>
      <x:c r="Z2049" s="21" t="str">
        <x:f>IF(AND(MIN(D2049:F2049)&gt;=0,MAX(D2049:F2049)&lt;=7,MAX(D2049,1)+MAX(E2049,1)+MAX(F2049,1)&lt;=9,OR(H2049="-",AND(H2049=0,D2049&gt;0),AND(H2049=1,E2049&gt;0),AND(H2049=2,F2049&gt;0)),OR(I2049=0,AND(I2049=1,OR(J2049=0,J2049=1,J2049=2),R2049&lt;&gt;"000")),Y2049&lt;=9,MIN(T2049:V2049)&gt;=0),"合法","输入违约")</x:f>
        <x:v>合法</x:v>
      </x:c>
    </x:row>
    <x:row r="2050" ht="23" customHeight="1">
      <x:c r="A2050" s="3" t="str">
        <x:v>CT-2043</x:v>
      </x:c>
      <x:c r="B2050" s="3" t="str">
        <x:v>ST-151</x:v>
      </x:c>
      <x:c r="C2050" s="3" t="str">
        <x:v>R+AR同收同发</x:v>
      </x:c>
      <x:c r="D2050" s="25" t="n">
        <x:v>4</x:v>
      </x:c>
      <x:c r="E2050" s="25" t="n">
        <x:v>2</x:v>
      </x:c>
      <x:c r="F2050" s="25" t="n">
        <x:v>2</x:v>
      </x:c>
      <x:c r="G2050" s="19" t="n">
        <x:f>SUM(D2050:F2050)</x:f>
        <x:v>8</x:v>
      </x:c>
      <x:c r="H2050" s="25" t="n">
        <x:v>0</x:v>
      </x:c>
      <x:c r="I2050" s="25" t="n">
        <x:v>1</x:v>
      </x:c>
      <x:c r="J2050" s="25" t="n">
        <x:v>2</x:v>
      </x:c>
      <x:c r="K2050" s="19" t="n">
        <x:f>D2050-IF(H2050=0,1,0)</x:f>
        <x:v>3</x:v>
      </x:c>
      <x:c r="L2050" s="19" t="n">
        <x:f>E2050-IF(H2050=1,1,0)</x:f>
        <x:v>2</x:v>
      </x:c>
      <x:c r="M2050" s="19" t="n">
        <x:f>F2050-IF(H2050=2,1,0)</x:f>
        <x:v>2</x:v>
      </x:c>
      <x:c r="N2050" s="19" t="n">
        <x:f>MAX(K2050-1,0)+MAX(L2050-1,0)+MAX(M2050-1,0)</x:f>
        <x:v>4</x:v>
      </x:c>
      <x:c r="O2050" s="19" t="n">
        <x:f>IF(AND(SUM(K2050:M2050)&lt;9,OR(M2050=0,N2050&lt;6)),1,0)</x:f>
        <x:v>1</x:v>
      </x:c>
      <x:c r="P2050" s="19" t="n">
        <x:f>IF(AND(SUM(K2050:M2050)&lt;9,OR(L2050=0,N2050&lt;6)),1,0)</x:f>
        <x:v>1</x:v>
      </x:c>
      <x:c r="Q2050" s="19" t="n">
        <x:f>IF(AND(SUM(K2050:M2050)&lt;9,OR(K2050=0,N2050&lt;6)),1,0)</x:f>
        <x:v>1</x:v>
      </x:c>
      <x:c r="R2050" s="22" t="str">
        <x:f>O2050&amp;P2050&amp;Q2050</x:f>
        <x:v>111</x:v>
      </x:c>
      <x:c r="S2050" s="19" t="n">
        <x:f>IF(I2050=1,IF(J2050=0,Q2050,IF(J2050=1,P2050,IF(J2050=2,O2050,0))),0)</x:f>
        <x:v>1</x:v>
      </x:c>
      <x:c r="T2050" s="19" t="n">
        <x:f>K2050+IF(AND(S2050=1,J2050=0),1,0)</x:f>
        <x:v>3</x:v>
      </x:c>
      <x:c r="U2050" s="19" t="n">
        <x:f>L2050+IF(AND(S2050=1,J2050=1),1,0)</x:f>
        <x:v>2</x:v>
      </x:c>
      <x:c r="V2050" s="19" t="n">
        <x:f>M2050+IF(AND(S2050=1,J2050=2),1,0)</x:f>
        <x:v>3</x:v>
      </x:c>
      <x:c r="W2050" s="19" t="n">
        <x:f>SUM(T2050:V2050)</x:f>
        <x:v>8</x:v>
      </x:c>
      <x:c r="X2050" s="19" t="n">
        <x:f>W2050-G2050</x:f>
        <x:v>0</x:v>
      </x:c>
      <x:c r="Y2050" s="19" t="n">
        <x:f>MAX(T2050,1)+MAX(U2050,1)+MAX(V2050,1)</x:f>
        <x:v>8</x:v>
      </x:c>
      <x:c r="Z2050" s="21" t="str">
        <x:f>IF(AND(MIN(D2050:F2050)&gt;=0,MAX(D2050:F2050)&lt;=7,MAX(D2050,1)+MAX(E2050,1)+MAX(F2050,1)&lt;=9,OR(H2050="-",AND(H2050=0,D2050&gt;0),AND(H2050=1,E2050&gt;0),AND(H2050=2,F2050&gt;0)),OR(I2050=0,AND(I2050=1,OR(J2050=0,J2050=1,J2050=2),R2050&lt;&gt;"000")),Y2050&lt;=9,MIN(T2050:V2050)&gt;=0),"合法","输入违约")</x:f>
        <x:v>合法</x:v>
      </x:c>
    </x:row>
    <x:row r="2051" ht="23" customHeight="1">
      <x:c r="A2051" s="3" t="str">
        <x:v>CT-2044</x:v>
      </x:c>
      <x:c r="B2051" s="3" t="str">
        <x:v>ST-151</x:v>
      </x:c>
      <x:c r="C2051" s="3" t="str">
        <x:v>仅R回收</x:v>
      </x:c>
      <x:c r="D2051" s="25" t="n">
        <x:v>4</x:v>
      </x:c>
      <x:c r="E2051" s="25" t="n">
        <x:v>2</x:v>
      </x:c>
      <x:c r="F2051" s="25" t="n">
        <x:v>2</x:v>
      </x:c>
      <x:c r="G2051" s="19" t="n">
        <x:f>SUM(D2051:F2051)</x:f>
        <x:v>8</x:v>
      </x:c>
      <x:c r="H2051" s="25" t="n">
        <x:v>1</x:v>
      </x:c>
      <x:c r="I2051" s="25" t="n">
        <x:v>0</x:v>
      </x:c>
      <x:c r="J2051" s="25" t="str">
        <x:v>-</x:v>
      </x:c>
      <x:c r="K2051" s="19" t="n">
        <x:f>D2051-IF(H2051=0,1,0)</x:f>
        <x:v>4</x:v>
      </x:c>
      <x:c r="L2051" s="19" t="n">
        <x:f>E2051-IF(H2051=1,1,0)</x:f>
        <x:v>1</x:v>
      </x:c>
      <x:c r="M2051" s="19" t="n">
        <x:f>F2051-IF(H2051=2,1,0)</x:f>
        <x:v>2</x:v>
      </x:c>
      <x:c r="N2051" s="19" t="n">
        <x:f>MAX(K2051-1,0)+MAX(L2051-1,0)+MAX(M2051-1,0)</x:f>
        <x:v>4</x:v>
      </x:c>
      <x:c r="O2051" s="19" t="n">
        <x:f>IF(AND(SUM(K2051:M2051)&lt;9,OR(M2051=0,N2051&lt;6)),1,0)</x:f>
        <x:v>1</x:v>
      </x:c>
      <x:c r="P2051" s="19" t="n">
        <x:f>IF(AND(SUM(K2051:M2051)&lt;9,OR(L2051=0,N2051&lt;6)),1,0)</x:f>
        <x:v>1</x:v>
      </x:c>
      <x:c r="Q2051" s="19" t="n">
        <x:f>IF(AND(SUM(K2051:M2051)&lt;9,OR(K2051=0,N2051&lt;6)),1,0)</x:f>
        <x:v>1</x:v>
      </x:c>
      <x:c r="R2051" s="22" t="str">
        <x:f>O2051&amp;P2051&amp;Q2051</x:f>
        <x:v>111</x:v>
      </x:c>
      <x:c r="S2051" s="19" t="n">
        <x:f>IF(I2051=1,IF(J2051=0,Q2051,IF(J2051=1,P2051,IF(J2051=2,O2051,0))),0)</x:f>
        <x:v>0</x:v>
      </x:c>
      <x:c r="T2051" s="19" t="n">
        <x:f>K2051+IF(AND(S2051=1,J2051=0),1,0)</x:f>
        <x:v>4</x:v>
      </x:c>
      <x:c r="U2051" s="19" t="n">
        <x:f>L2051+IF(AND(S2051=1,J2051=1),1,0)</x:f>
        <x:v>1</x:v>
      </x:c>
      <x:c r="V2051" s="19" t="n">
        <x:f>M2051+IF(AND(S2051=1,J2051=2),1,0)</x:f>
        <x:v>2</x:v>
      </x:c>
      <x:c r="W2051" s="19" t="n">
        <x:f>SUM(T2051:V2051)</x:f>
        <x:v>7</x:v>
      </x:c>
      <x:c r="X2051" s="19" t="n">
        <x:f>W2051-G2051</x:f>
        <x:v>-1</x:v>
      </x:c>
      <x:c r="Y2051" s="19" t="n">
        <x:f>MAX(T2051,1)+MAX(U2051,1)+MAX(V2051,1)</x:f>
        <x:v>7</x:v>
      </x:c>
      <x:c r="Z2051" s="21" t="str">
        <x:f>IF(AND(MIN(D2051:F2051)&gt;=0,MAX(D2051:F2051)&lt;=7,MAX(D2051,1)+MAX(E2051,1)+MAX(F2051,1)&lt;=9,OR(H2051="-",AND(H2051=0,D2051&gt;0),AND(H2051=1,E2051&gt;0),AND(H2051=2,F2051&gt;0)),OR(I2051=0,AND(I2051=1,OR(J2051=0,J2051=1,J2051=2),R2051&lt;&gt;"000")),Y2051&lt;=9,MIN(T2051:V2051)&gt;=0),"合法","输入违约")</x:f>
        <x:v>合法</x:v>
      </x:c>
    </x:row>
    <x:row r="2052" ht="23" customHeight="1">
      <x:c r="A2052" s="3" t="str">
        <x:v>CT-2045</x:v>
      </x:c>
      <x:c r="B2052" s="3" t="str">
        <x:v>ST-151</x:v>
      </x:c>
      <x:c r="C2052" s="3" t="str">
        <x:v>R+AR同收同发</x:v>
      </x:c>
      <x:c r="D2052" s="25" t="n">
        <x:v>4</x:v>
      </x:c>
      <x:c r="E2052" s="25" t="n">
        <x:v>2</x:v>
      </x:c>
      <x:c r="F2052" s="25" t="n">
        <x:v>2</x:v>
      </x:c>
      <x:c r="G2052" s="19" t="n">
        <x:f>SUM(D2052:F2052)</x:f>
        <x:v>8</x:v>
      </x:c>
      <x:c r="H2052" s="25" t="n">
        <x:v>1</x:v>
      </x:c>
      <x:c r="I2052" s="25" t="n">
        <x:v>1</x:v>
      </x:c>
      <x:c r="J2052" s="25" t="n">
        <x:v>0</x:v>
      </x:c>
      <x:c r="K2052" s="19" t="n">
        <x:f>D2052-IF(H2052=0,1,0)</x:f>
        <x:v>4</x:v>
      </x:c>
      <x:c r="L2052" s="19" t="n">
        <x:f>E2052-IF(H2052=1,1,0)</x:f>
        <x:v>1</x:v>
      </x:c>
      <x:c r="M2052" s="19" t="n">
        <x:f>F2052-IF(H2052=2,1,0)</x:f>
        <x:v>2</x:v>
      </x:c>
      <x:c r="N2052" s="19" t="n">
        <x:f>MAX(K2052-1,0)+MAX(L2052-1,0)+MAX(M2052-1,0)</x:f>
        <x:v>4</x:v>
      </x:c>
      <x:c r="O2052" s="19" t="n">
        <x:f>IF(AND(SUM(K2052:M2052)&lt;9,OR(M2052=0,N2052&lt;6)),1,0)</x:f>
        <x:v>1</x:v>
      </x:c>
      <x:c r="P2052" s="19" t="n">
        <x:f>IF(AND(SUM(K2052:M2052)&lt;9,OR(L2052=0,N2052&lt;6)),1,0)</x:f>
        <x:v>1</x:v>
      </x:c>
      <x:c r="Q2052" s="19" t="n">
        <x:f>IF(AND(SUM(K2052:M2052)&lt;9,OR(K2052=0,N2052&lt;6)),1,0)</x:f>
        <x:v>1</x:v>
      </x:c>
      <x:c r="R2052" s="22" t="str">
        <x:f>O2052&amp;P2052&amp;Q2052</x:f>
        <x:v>111</x:v>
      </x:c>
      <x:c r="S2052" s="19" t="n">
        <x:f>IF(I2052=1,IF(J2052=0,Q2052,IF(J2052=1,P2052,IF(J2052=2,O2052,0))),0)</x:f>
        <x:v>1</x:v>
      </x:c>
      <x:c r="T2052" s="19" t="n">
        <x:f>K2052+IF(AND(S2052=1,J2052=0),1,0)</x:f>
        <x:v>5</x:v>
      </x:c>
      <x:c r="U2052" s="19" t="n">
        <x:f>L2052+IF(AND(S2052=1,J2052=1),1,0)</x:f>
        <x:v>1</x:v>
      </x:c>
      <x:c r="V2052" s="19" t="n">
        <x:f>M2052+IF(AND(S2052=1,J2052=2),1,0)</x:f>
        <x:v>2</x:v>
      </x:c>
      <x:c r="W2052" s="19" t="n">
        <x:f>SUM(T2052:V2052)</x:f>
        <x:v>8</x:v>
      </x:c>
      <x:c r="X2052" s="19" t="n">
        <x:f>W2052-G2052</x:f>
        <x:v>0</x:v>
      </x:c>
      <x:c r="Y2052" s="19" t="n">
        <x:f>MAX(T2052,1)+MAX(U2052,1)+MAX(V2052,1)</x:f>
        <x:v>8</x:v>
      </x:c>
      <x:c r="Z2052" s="21" t="str">
        <x:f>IF(AND(MIN(D2052:F2052)&gt;=0,MAX(D2052:F2052)&lt;=7,MAX(D2052,1)+MAX(E2052,1)+MAX(F2052,1)&lt;=9,OR(H2052="-",AND(H2052=0,D2052&gt;0),AND(H2052=1,E2052&gt;0),AND(H2052=2,F2052&gt;0)),OR(I2052=0,AND(I2052=1,OR(J2052=0,J2052=1,J2052=2),R2052&lt;&gt;"000")),Y2052&lt;=9,MIN(T2052:V2052)&gt;=0),"合法","输入违约")</x:f>
        <x:v>合法</x:v>
      </x:c>
    </x:row>
    <x:row r="2053" ht="23" customHeight="1">
      <x:c r="A2053" s="3" t="str">
        <x:v>CT-2046</x:v>
      </x:c>
      <x:c r="B2053" s="3" t="str">
        <x:v>ST-151</x:v>
      </x:c>
      <x:c r="C2053" s="3" t="str">
        <x:v>R+AR同收同发</x:v>
      </x:c>
      <x:c r="D2053" s="25" t="n">
        <x:v>4</x:v>
      </x:c>
      <x:c r="E2053" s="25" t="n">
        <x:v>2</x:v>
      </x:c>
      <x:c r="F2053" s="25" t="n">
        <x:v>2</x:v>
      </x:c>
      <x:c r="G2053" s="19" t="n">
        <x:f>SUM(D2053:F2053)</x:f>
        <x:v>8</x:v>
      </x:c>
      <x:c r="H2053" s="25" t="n">
        <x:v>1</x:v>
      </x:c>
      <x:c r="I2053" s="25" t="n">
        <x:v>1</x:v>
      </x:c>
      <x:c r="J2053" s="25" t="n">
        <x:v>1</x:v>
      </x:c>
      <x:c r="K2053" s="19" t="n">
        <x:f>D2053-IF(H2053=0,1,0)</x:f>
        <x:v>4</x:v>
      </x:c>
      <x:c r="L2053" s="19" t="n">
        <x:f>E2053-IF(H2053=1,1,0)</x:f>
        <x:v>1</x:v>
      </x:c>
      <x:c r="M2053" s="19" t="n">
        <x:f>F2053-IF(H2053=2,1,0)</x:f>
        <x:v>2</x:v>
      </x:c>
      <x:c r="N2053" s="19" t="n">
        <x:f>MAX(K2053-1,0)+MAX(L2053-1,0)+MAX(M2053-1,0)</x:f>
        <x:v>4</x:v>
      </x:c>
      <x:c r="O2053" s="19" t="n">
        <x:f>IF(AND(SUM(K2053:M2053)&lt;9,OR(M2053=0,N2053&lt;6)),1,0)</x:f>
        <x:v>1</x:v>
      </x:c>
      <x:c r="P2053" s="19" t="n">
        <x:f>IF(AND(SUM(K2053:M2053)&lt;9,OR(L2053=0,N2053&lt;6)),1,0)</x:f>
        <x:v>1</x:v>
      </x:c>
      <x:c r="Q2053" s="19" t="n">
        <x:f>IF(AND(SUM(K2053:M2053)&lt;9,OR(K2053=0,N2053&lt;6)),1,0)</x:f>
        <x:v>1</x:v>
      </x:c>
      <x:c r="R2053" s="22" t="str">
        <x:f>O2053&amp;P2053&amp;Q2053</x:f>
        <x:v>111</x:v>
      </x:c>
      <x:c r="S2053" s="19" t="n">
        <x:f>IF(I2053=1,IF(J2053=0,Q2053,IF(J2053=1,P2053,IF(J2053=2,O2053,0))),0)</x:f>
        <x:v>1</x:v>
      </x:c>
      <x:c r="T2053" s="19" t="n">
        <x:f>K2053+IF(AND(S2053=1,J2053=0),1,0)</x:f>
        <x:v>4</x:v>
      </x:c>
      <x:c r="U2053" s="19" t="n">
        <x:f>L2053+IF(AND(S2053=1,J2053=1),1,0)</x:f>
        <x:v>2</x:v>
      </x:c>
      <x:c r="V2053" s="19" t="n">
        <x:f>M2053+IF(AND(S2053=1,J2053=2),1,0)</x:f>
        <x:v>2</x:v>
      </x:c>
      <x:c r="W2053" s="19" t="n">
        <x:f>SUM(T2053:V2053)</x:f>
        <x:v>8</x:v>
      </x:c>
      <x:c r="X2053" s="19" t="n">
        <x:f>W2053-G2053</x:f>
        <x:v>0</x:v>
      </x:c>
      <x:c r="Y2053" s="19" t="n">
        <x:f>MAX(T2053,1)+MAX(U2053,1)+MAX(V2053,1)</x:f>
        <x:v>8</x:v>
      </x:c>
      <x:c r="Z2053" s="21" t="str">
        <x:f>IF(AND(MIN(D2053:F2053)&gt;=0,MAX(D2053:F2053)&lt;=7,MAX(D2053,1)+MAX(E2053,1)+MAX(F2053,1)&lt;=9,OR(H2053="-",AND(H2053=0,D2053&gt;0),AND(H2053=1,E2053&gt;0),AND(H2053=2,F2053&gt;0)),OR(I2053=0,AND(I2053=1,OR(J2053=0,J2053=1,J2053=2),R2053&lt;&gt;"000")),Y2053&lt;=9,MIN(T2053:V2053)&gt;=0),"合法","输入违约")</x:f>
        <x:v>合法</x:v>
      </x:c>
    </x:row>
    <x:row r="2054" ht="23" customHeight="1">
      <x:c r="A2054" s="3" t="str">
        <x:v>CT-2047</x:v>
      </x:c>
      <x:c r="B2054" s="3" t="str">
        <x:v>ST-151</x:v>
      </x:c>
      <x:c r="C2054" s="3" t="str">
        <x:v>R+AR同收同发</x:v>
      </x:c>
      <x:c r="D2054" s="25" t="n">
        <x:v>4</x:v>
      </x:c>
      <x:c r="E2054" s="25" t="n">
        <x:v>2</x:v>
      </x:c>
      <x:c r="F2054" s="25" t="n">
        <x:v>2</x:v>
      </x:c>
      <x:c r="G2054" s="19" t="n">
        <x:f>SUM(D2054:F2054)</x:f>
        <x:v>8</x:v>
      </x:c>
      <x:c r="H2054" s="25" t="n">
        <x:v>1</x:v>
      </x:c>
      <x:c r="I2054" s="25" t="n">
        <x:v>1</x:v>
      </x:c>
      <x:c r="J2054" s="25" t="n">
        <x:v>2</x:v>
      </x:c>
      <x:c r="K2054" s="19" t="n">
        <x:f>D2054-IF(H2054=0,1,0)</x:f>
        <x:v>4</x:v>
      </x:c>
      <x:c r="L2054" s="19" t="n">
        <x:f>E2054-IF(H2054=1,1,0)</x:f>
        <x:v>1</x:v>
      </x:c>
      <x:c r="M2054" s="19" t="n">
        <x:f>F2054-IF(H2054=2,1,0)</x:f>
        <x:v>2</x:v>
      </x:c>
      <x:c r="N2054" s="19" t="n">
        <x:f>MAX(K2054-1,0)+MAX(L2054-1,0)+MAX(M2054-1,0)</x:f>
        <x:v>4</x:v>
      </x:c>
      <x:c r="O2054" s="19" t="n">
        <x:f>IF(AND(SUM(K2054:M2054)&lt;9,OR(M2054=0,N2054&lt;6)),1,0)</x:f>
        <x:v>1</x:v>
      </x:c>
      <x:c r="P2054" s="19" t="n">
        <x:f>IF(AND(SUM(K2054:M2054)&lt;9,OR(L2054=0,N2054&lt;6)),1,0)</x:f>
        <x:v>1</x:v>
      </x:c>
      <x:c r="Q2054" s="19" t="n">
        <x:f>IF(AND(SUM(K2054:M2054)&lt;9,OR(K2054=0,N2054&lt;6)),1,0)</x:f>
        <x:v>1</x:v>
      </x:c>
      <x:c r="R2054" s="22" t="str">
        <x:f>O2054&amp;P2054&amp;Q2054</x:f>
        <x:v>111</x:v>
      </x:c>
      <x:c r="S2054" s="19" t="n">
        <x:f>IF(I2054=1,IF(J2054=0,Q2054,IF(J2054=1,P2054,IF(J2054=2,O2054,0))),0)</x:f>
        <x:v>1</x:v>
      </x:c>
      <x:c r="T2054" s="19" t="n">
        <x:f>K2054+IF(AND(S2054=1,J2054=0),1,0)</x:f>
        <x:v>4</x:v>
      </x:c>
      <x:c r="U2054" s="19" t="n">
        <x:f>L2054+IF(AND(S2054=1,J2054=1),1,0)</x:f>
        <x:v>1</x:v>
      </x:c>
      <x:c r="V2054" s="19" t="n">
        <x:f>M2054+IF(AND(S2054=1,J2054=2),1,0)</x:f>
        <x:v>3</x:v>
      </x:c>
      <x:c r="W2054" s="19" t="n">
        <x:f>SUM(T2054:V2054)</x:f>
        <x:v>8</x:v>
      </x:c>
      <x:c r="X2054" s="19" t="n">
        <x:f>W2054-G2054</x:f>
        <x:v>0</x:v>
      </x:c>
      <x:c r="Y2054" s="19" t="n">
        <x:f>MAX(T2054,1)+MAX(U2054,1)+MAX(V2054,1)</x:f>
        <x:v>8</x:v>
      </x:c>
      <x:c r="Z2054" s="21" t="str">
        <x:f>IF(AND(MIN(D2054:F2054)&gt;=0,MAX(D2054:F2054)&lt;=7,MAX(D2054,1)+MAX(E2054,1)+MAX(F2054,1)&lt;=9,OR(H2054="-",AND(H2054=0,D2054&gt;0),AND(H2054=1,E2054&gt;0),AND(H2054=2,F2054&gt;0)),OR(I2054=0,AND(I2054=1,OR(J2054=0,J2054=1,J2054=2),R2054&lt;&gt;"000")),Y2054&lt;=9,MIN(T2054:V2054)&gt;=0),"合法","输入违约")</x:f>
        <x:v>合法</x:v>
      </x:c>
    </x:row>
    <x:row r="2055" ht="23" customHeight="1">
      <x:c r="A2055" s="3" t="str">
        <x:v>CT-2048</x:v>
      </x:c>
      <x:c r="B2055" s="3" t="str">
        <x:v>ST-151</x:v>
      </x:c>
      <x:c r="C2055" s="3" t="str">
        <x:v>仅R回收</x:v>
      </x:c>
      <x:c r="D2055" s="25" t="n">
        <x:v>4</x:v>
      </x:c>
      <x:c r="E2055" s="25" t="n">
        <x:v>2</x:v>
      </x:c>
      <x:c r="F2055" s="25" t="n">
        <x:v>2</x:v>
      </x:c>
      <x:c r="G2055" s="19" t="n">
        <x:f>SUM(D2055:F2055)</x:f>
        <x:v>8</x:v>
      </x:c>
      <x:c r="H2055" s="25" t="n">
        <x:v>2</x:v>
      </x:c>
      <x:c r="I2055" s="25" t="n">
        <x:v>0</x:v>
      </x:c>
      <x:c r="J2055" s="25" t="str">
        <x:v>-</x:v>
      </x:c>
      <x:c r="K2055" s="19" t="n">
        <x:f>D2055-IF(H2055=0,1,0)</x:f>
        <x:v>4</x:v>
      </x:c>
      <x:c r="L2055" s="19" t="n">
        <x:f>E2055-IF(H2055=1,1,0)</x:f>
        <x:v>2</x:v>
      </x:c>
      <x:c r="M2055" s="19" t="n">
        <x:f>F2055-IF(H2055=2,1,0)</x:f>
        <x:v>1</x:v>
      </x:c>
      <x:c r="N2055" s="19" t="n">
        <x:f>MAX(K2055-1,0)+MAX(L2055-1,0)+MAX(M2055-1,0)</x:f>
        <x:v>4</x:v>
      </x:c>
      <x:c r="O2055" s="19" t="n">
        <x:f>IF(AND(SUM(K2055:M2055)&lt;9,OR(M2055=0,N2055&lt;6)),1,0)</x:f>
        <x:v>1</x:v>
      </x:c>
      <x:c r="P2055" s="19" t="n">
        <x:f>IF(AND(SUM(K2055:M2055)&lt;9,OR(L2055=0,N2055&lt;6)),1,0)</x:f>
        <x:v>1</x:v>
      </x:c>
      <x:c r="Q2055" s="19" t="n">
        <x:f>IF(AND(SUM(K2055:M2055)&lt;9,OR(K2055=0,N2055&lt;6)),1,0)</x:f>
        <x:v>1</x:v>
      </x:c>
      <x:c r="R2055" s="22" t="str">
        <x:f>O2055&amp;P2055&amp;Q2055</x:f>
        <x:v>111</x:v>
      </x:c>
      <x:c r="S2055" s="19" t="n">
        <x:f>IF(I2055=1,IF(J2055=0,Q2055,IF(J2055=1,P2055,IF(J2055=2,O2055,0))),0)</x:f>
        <x:v>0</x:v>
      </x:c>
      <x:c r="T2055" s="19" t="n">
        <x:f>K2055+IF(AND(S2055=1,J2055=0),1,0)</x:f>
        <x:v>4</x:v>
      </x:c>
      <x:c r="U2055" s="19" t="n">
        <x:f>L2055+IF(AND(S2055=1,J2055=1),1,0)</x:f>
        <x:v>2</x:v>
      </x:c>
      <x:c r="V2055" s="19" t="n">
        <x:f>M2055+IF(AND(S2055=1,J2055=2),1,0)</x:f>
        <x:v>1</x:v>
      </x:c>
      <x:c r="W2055" s="19" t="n">
        <x:f>SUM(T2055:V2055)</x:f>
        <x:v>7</x:v>
      </x:c>
      <x:c r="X2055" s="19" t="n">
        <x:f>W2055-G2055</x:f>
        <x:v>-1</x:v>
      </x:c>
      <x:c r="Y2055" s="19" t="n">
        <x:f>MAX(T2055,1)+MAX(U2055,1)+MAX(V2055,1)</x:f>
        <x:v>7</x:v>
      </x:c>
      <x:c r="Z2055" s="21" t="str">
        <x:f>IF(AND(MIN(D2055:F2055)&gt;=0,MAX(D2055:F2055)&lt;=7,MAX(D2055,1)+MAX(E2055,1)+MAX(F2055,1)&lt;=9,OR(H2055="-",AND(H2055=0,D2055&gt;0),AND(H2055=1,E2055&gt;0),AND(H2055=2,F2055&gt;0)),OR(I2055=0,AND(I2055=1,OR(J2055=0,J2055=1,J2055=2),R2055&lt;&gt;"000")),Y2055&lt;=9,MIN(T2055:V2055)&gt;=0),"合法","输入违约")</x:f>
        <x:v>合法</x:v>
      </x:c>
    </x:row>
    <x:row r="2056" ht="23" customHeight="1">
      <x:c r="A2056" s="3" t="str">
        <x:v>CT-2049</x:v>
      </x:c>
      <x:c r="B2056" s="3" t="str">
        <x:v>ST-151</x:v>
      </x:c>
      <x:c r="C2056" s="3" t="str">
        <x:v>R+AR同收同发</x:v>
      </x:c>
      <x:c r="D2056" s="25" t="n">
        <x:v>4</x:v>
      </x:c>
      <x:c r="E2056" s="25" t="n">
        <x:v>2</x:v>
      </x:c>
      <x:c r="F2056" s="25" t="n">
        <x:v>2</x:v>
      </x:c>
      <x:c r="G2056" s="19" t="n">
        <x:f>SUM(D2056:F2056)</x:f>
        <x:v>8</x:v>
      </x:c>
      <x:c r="H2056" s="25" t="n">
        <x:v>2</x:v>
      </x:c>
      <x:c r="I2056" s="25" t="n">
        <x:v>1</x:v>
      </x:c>
      <x:c r="J2056" s="25" t="n">
        <x:v>0</x:v>
      </x:c>
      <x:c r="K2056" s="19" t="n">
        <x:f>D2056-IF(H2056=0,1,0)</x:f>
        <x:v>4</x:v>
      </x:c>
      <x:c r="L2056" s="19" t="n">
        <x:f>E2056-IF(H2056=1,1,0)</x:f>
        <x:v>2</x:v>
      </x:c>
      <x:c r="M2056" s="19" t="n">
        <x:f>F2056-IF(H2056=2,1,0)</x:f>
        <x:v>1</x:v>
      </x:c>
      <x:c r="N2056" s="19" t="n">
        <x:f>MAX(K2056-1,0)+MAX(L2056-1,0)+MAX(M2056-1,0)</x:f>
        <x:v>4</x:v>
      </x:c>
      <x:c r="O2056" s="19" t="n">
        <x:f>IF(AND(SUM(K2056:M2056)&lt;9,OR(M2056=0,N2056&lt;6)),1,0)</x:f>
        <x:v>1</x:v>
      </x:c>
      <x:c r="P2056" s="19" t="n">
        <x:f>IF(AND(SUM(K2056:M2056)&lt;9,OR(L2056=0,N2056&lt;6)),1,0)</x:f>
        <x:v>1</x:v>
      </x:c>
      <x:c r="Q2056" s="19" t="n">
        <x:f>IF(AND(SUM(K2056:M2056)&lt;9,OR(K2056=0,N2056&lt;6)),1,0)</x:f>
        <x:v>1</x:v>
      </x:c>
      <x:c r="R2056" s="22" t="str">
        <x:f>O2056&amp;P2056&amp;Q2056</x:f>
        <x:v>111</x:v>
      </x:c>
      <x:c r="S2056" s="19" t="n">
        <x:f>IF(I2056=1,IF(J2056=0,Q2056,IF(J2056=1,P2056,IF(J2056=2,O2056,0))),0)</x:f>
        <x:v>1</x:v>
      </x:c>
      <x:c r="T2056" s="19" t="n">
        <x:f>K2056+IF(AND(S2056=1,J2056=0),1,0)</x:f>
        <x:v>5</x:v>
      </x:c>
      <x:c r="U2056" s="19" t="n">
        <x:f>L2056+IF(AND(S2056=1,J2056=1),1,0)</x:f>
        <x:v>2</x:v>
      </x:c>
      <x:c r="V2056" s="19" t="n">
        <x:f>M2056+IF(AND(S2056=1,J2056=2),1,0)</x:f>
        <x:v>1</x:v>
      </x:c>
      <x:c r="W2056" s="19" t="n">
        <x:f>SUM(T2056:V2056)</x:f>
        <x:v>8</x:v>
      </x:c>
      <x:c r="X2056" s="19" t="n">
        <x:f>W2056-G2056</x:f>
        <x:v>0</x:v>
      </x:c>
      <x:c r="Y2056" s="19" t="n">
        <x:f>MAX(T2056,1)+MAX(U2056,1)+MAX(V2056,1)</x:f>
        <x:v>8</x:v>
      </x:c>
      <x:c r="Z2056" s="21" t="str">
        <x:f>IF(AND(MIN(D2056:F2056)&gt;=0,MAX(D2056:F2056)&lt;=7,MAX(D2056,1)+MAX(E2056,1)+MAX(F2056,1)&lt;=9,OR(H2056="-",AND(H2056=0,D2056&gt;0),AND(H2056=1,E2056&gt;0),AND(H2056=2,F2056&gt;0)),OR(I2056=0,AND(I2056=1,OR(J2056=0,J2056=1,J2056=2),R2056&lt;&gt;"000")),Y2056&lt;=9,MIN(T2056:V2056)&gt;=0),"合法","输入违约")</x:f>
        <x:v>合法</x:v>
      </x:c>
    </x:row>
    <x:row r="2057" ht="23" customHeight="1">
      <x:c r="A2057" s="3" t="str">
        <x:v>CT-2050</x:v>
      </x:c>
      <x:c r="B2057" s="3" t="str">
        <x:v>ST-151</x:v>
      </x:c>
      <x:c r="C2057" s="3" t="str">
        <x:v>R+AR同收同发</x:v>
      </x:c>
      <x:c r="D2057" s="25" t="n">
        <x:v>4</x:v>
      </x:c>
      <x:c r="E2057" s="25" t="n">
        <x:v>2</x:v>
      </x:c>
      <x:c r="F2057" s="25" t="n">
        <x:v>2</x:v>
      </x:c>
      <x:c r="G2057" s="19" t="n">
        <x:f>SUM(D2057:F2057)</x:f>
        <x:v>8</x:v>
      </x:c>
      <x:c r="H2057" s="25" t="n">
        <x:v>2</x:v>
      </x:c>
      <x:c r="I2057" s="25" t="n">
        <x:v>1</x:v>
      </x:c>
      <x:c r="J2057" s="25" t="n">
        <x:v>1</x:v>
      </x:c>
      <x:c r="K2057" s="19" t="n">
        <x:f>D2057-IF(H2057=0,1,0)</x:f>
        <x:v>4</x:v>
      </x:c>
      <x:c r="L2057" s="19" t="n">
        <x:f>E2057-IF(H2057=1,1,0)</x:f>
        <x:v>2</x:v>
      </x:c>
      <x:c r="M2057" s="19" t="n">
        <x:f>F2057-IF(H2057=2,1,0)</x:f>
        <x:v>1</x:v>
      </x:c>
      <x:c r="N2057" s="19" t="n">
        <x:f>MAX(K2057-1,0)+MAX(L2057-1,0)+MAX(M2057-1,0)</x:f>
        <x:v>4</x:v>
      </x:c>
      <x:c r="O2057" s="19" t="n">
        <x:f>IF(AND(SUM(K2057:M2057)&lt;9,OR(M2057=0,N2057&lt;6)),1,0)</x:f>
        <x:v>1</x:v>
      </x:c>
      <x:c r="P2057" s="19" t="n">
        <x:f>IF(AND(SUM(K2057:M2057)&lt;9,OR(L2057=0,N2057&lt;6)),1,0)</x:f>
        <x:v>1</x:v>
      </x:c>
      <x:c r="Q2057" s="19" t="n">
        <x:f>IF(AND(SUM(K2057:M2057)&lt;9,OR(K2057=0,N2057&lt;6)),1,0)</x:f>
        <x:v>1</x:v>
      </x:c>
      <x:c r="R2057" s="22" t="str">
        <x:f>O2057&amp;P2057&amp;Q2057</x:f>
        <x:v>111</x:v>
      </x:c>
      <x:c r="S2057" s="19" t="n">
        <x:f>IF(I2057=1,IF(J2057=0,Q2057,IF(J2057=1,P2057,IF(J2057=2,O2057,0))),0)</x:f>
        <x:v>1</x:v>
      </x:c>
      <x:c r="T2057" s="19" t="n">
        <x:f>K2057+IF(AND(S2057=1,J2057=0),1,0)</x:f>
        <x:v>4</x:v>
      </x:c>
      <x:c r="U2057" s="19" t="n">
        <x:f>L2057+IF(AND(S2057=1,J2057=1),1,0)</x:f>
        <x:v>3</x:v>
      </x:c>
      <x:c r="V2057" s="19" t="n">
        <x:f>M2057+IF(AND(S2057=1,J2057=2),1,0)</x:f>
        <x:v>1</x:v>
      </x:c>
      <x:c r="W2057" s="19" t="n">
        <x:f>SUM(T2057:V2057)</x:f>
        <x:v>8</x:v>
      </x:c>
      <x:c r="X2057" s="19" t="n">
        <x:f>W2057-G2057</x:f>
        <x:v>0</x:v>
      </x:c>
      <x:c r="Y2057" s="19" t="n">
        <x:f>MAX(T2057,1)+MAX(U2057,1)+MAX(V2057,1)</x:f>
        <x:v>8</x:v>
      </x:c>
      <x:c r="Z2057" s="21" t="str">
        <x:f>IF(AND(MIN(D2057:F2057)&gt;=0,MAX(D2057:F2057)&lt;=7,MAX(D2057,1)+MAX(E2057,1)+MAX(F2057,1)&lt;=9,OR(H2057="-",AND(H2057=0,D2057&gt;0),AND(H2057=1,E2057&gt;0),AND(H2057=2,F2057&gt;0)),OR(I2057=0,AND(I2057=1,OR(J2057=0,J2057=1,J2057=2),R2057&lt;&gt;"000")),Y2057&lt;=9,MIN(T2057:V2057)&gt;=0),"合法","输入违约")</x:f>
        <x:v>合法</x:v>
      </x:c>
    </x:row>
    <x:row r="2058" ht="23" customHeight="1">
      <x:c r="A2058" s="3" t="str">
        <x:v>CT-2051</x:v>
      </x:c>
      <x:c r="B2058" s="3" t="str">
        <x:v>ST-151</x:v>
      </x:c>
      <x:c r="C2058" s="3" t="str">
        <x:v>R+AR同收同发</x:v>
      </x:c>
      <x:c r="D2058" s="25" t="n">
        <x:v>4</x:v>
      </x:c>
      <x:c r="E2058" s="25" t="n">
        <x:v>2</x:v>
      </x:c>
      <x:c r="F2058" s="25" t="n">
        <x:v>2</x:v>
      </x:c>
      <x:c r="G2058" s="19" t="n">
        <x:f>SUM(D2058:F2058)</x:f>
        <x:v>8</x:v>
      </x:c>
      <x:c r="H2058" s="25" t="n">
        <x:v>2</x:v>
      </x:c>
      <x:c r="I2058" s="25" t="n">
        <x:v>1</x:v>
      </x:c>
      <x:c r="J2058" s="25" t="n">
        <x:v>2</x:v>
      </x:c>
      <x:c r="K2058" s="19" t="n">
        <x:f>D2058-IF(H2058=0,1,0)</x:f>
        <x:v>4</x:v>
      </x:c>
      <x:c r="L2058" s="19" t="n">
        <x:f>E2058-IF(H2058=1,1,0)</x:f>
        <x:v>2</x:v>
      </x:c>
      <x:c r="M2058" s="19" t="n">
        <x:f>F2058-IF(H2058=2,1,0)</x:f>
        <x:v>1</x:v>
      </x:c>
      <x:c r="N2058" s="19" t="n">
        <x:f>MAX(K2058-1,0)+MAX(L2058-1,0)+MAX(M2058-1,0)</x:f>
        <x:v>4</x:v>
      </x:c>
      <x:c r="O2058" s="19" t="n">
        <x:f>IF(AND(SUM(K2058:M2058)&lt;9,OR(M2058=0,N2058&lt;6)),1,0)</x:f>
        <x:v>1</x:v>
      </x:c>
      <x:c r="P2058" s="19" t="n">
        <x:f>IF(AND(SUM(K2058:M2058)&lt;9,OR(L2058=0,N2058&lt;6)),1,0)</x:f>
        <x:v>1</x:v>
      </x:c>
      <x:c r="Q2058" s="19" t="n">
        <x:f>IF(AND(SUM(K2058:M2058)&lt;9,OR(K2058=0,N2058&lt;6)),1,0)</x:f>
        <x:v>1</x:v>
      </x:c>
      <x:c r="R2058" s="22" t="str">
        <x:f>O2058&amp;P2058&amp;Q2058</x:f>
        <x:v>111</x:v>
      </x:c>
      <x:c r="S2058" s="19" t="n">
        <x:f>IF(I2058=1,IF(J2058=0,Q2058,IF(J2058=1,P2058,IF(J2058=2,O2058,0))),0)</x:f>
        <x:v>1</x:v>
      </x:c>
      <x:c r="T2058" s="19" t="n">
        <x:f>K2058+IF(AND(S2058=1,J2058=0),1,0)</x:f>
        <x:v>4</x:v>
      </x:c>
      <x:c r="U2058" s="19" t="n">
        <x:f>L2058+IF(AND(S2058=1,J2058=1),1,0)</x:f>
        <x:v>2</x:v>
      </x:c>
      <x:c r="V2058" s="19" t="n">
        <x:f>M2058+IF(AND(S2058=1,J2058=2),1,0)</x:f>
        <x:v>2</x:v>
      </x:c>
      <x:c r="W2058" s="19" t="n">
        <x:f>SUM(T2058:V2058)</x:f>
        <x:v>8</x:v>
      </x:c>
      <x:c r="X2058" s="19" t="n">
        <x:f>W2058-G2058</x:f>
        <x:v>0</x:v>
      </x:c>
      <x:c r="Y2058" s="19" t="n">
        <x:f>MAX(T2058,1)+MAX(U2058,1)+MAX(V2058,1)</x:f>
        <x:v>8</x:v>
      </x:c>
      <x:c r="Z2058" s="21" t="str">
        <x:f>IF(AND(MIN(D2058:F2058)&gt;=0,MAX(D2058:F2058)&lt;=7,MAX(D2058,1)+MAX(E2058,1)+MAX(F2058,1)&lt;=9,OR(H2058="-",AND(H2058=0,D2058&gt;0),AND(H2058=1,E2058&gt;0),AND(H2058=2,F2058&gt;0)),OR(I2058=0,AND(I2058=1,OR(J2058=0,J2058=1,J2058=2),R2058&lt;&gt;"000")),Y2058&lt;=9,MIN(T2058:V2058)&gt;=0),"合法","输入违约")</x:f>
        <x:v>合法</x:v>
      </x:c>
    </x:row>
    <x:row r="2059" ht="23" customHeight="1">
      <x:c r="A2059" s="3" t="str">
        <x:v>CT-2052</x:v>
      </x:c>
      <x:c r="B2059" s="3" t="str">
        <x:v>ST-182</x:v>
      </x:c>
      <x:c r="C2059" s="3" t="str">
        <x:v>无AR/R</x:v>
      </x:c>
      <x:c r="D2059" s="25" t="n">
        <x:v>4</x:v>
      </x:c>
      <x:c r="E2059" s="25" t="n">
        <x:v>2</x:v>
      </x:c>
      <x:c r="F2059" s="25" t="n">
        <x:v>3</x:v>
      </x:c>
      <x:c r="G2059" s="19" t="n">
        <x:f>SUM(D2059:F2059)</x:f>
        <x:v>9</x:v>
      </x:c>
      <x:c r="H2059" s="25" t="str">
        <x:v>-</x:v>
      </x:c>
      <x:c r="I2059" s="25" t="n">
        <x:v>0</x:v>
      </x:c>
      <x:c r="J2059" s="25" t="str">
        <x:v>-</x:v>
      </x:c>
      <x:c r="K2059" s="19" t="n">
        <x:f>D2059-IF(H2059=0,1,0)</x:f>
        <x:v>4</x:v>
      </x:c>
      <x:c r="L2059" s="19" t="n">
        <x:f>E2059-IF(H2059=1,1,0)</x:f>
        <x:v>2</x:v>
      </x:c>
      <x:c r="M2059" s="19" t="n">
        <x:f>F2059-IF(H2059=2,1,0)</x:f>
        <x:v>3</x:v>
      </x:c>
      <x:c r="N2059" s="19" t="n">
        <x:f>MAX(K2059-1,0)+MAX(L2059-1,0)+MAX(M2059-1,0)</x:f>
        <x:v>6</x:v>
      </x:c>
      <x:c r="O2059" s="19" t="n">
        <x:f>IF(AND(SUM(K2059:M2059)&lt;9,OR(M2059=0,N2059&lt;6)),1,0)</x:f>
        <x:v>0</x:v>
      </x:c>
      <x:c r="P2059" s="19" t="n">
        <x:f>IF(AND(SUM(K2059:M2059)&lt;9,OR(L2059=0,N2059&lt;6)),1,0)</x:f>
        <x:v>0</x:v>
      </x:c>
      <x:c r="Q2059" s="19" t="n">
        <x:f>IF(AND(SUM(K2059:M2059)&lt;9,OR(K2059=0,N2059&lt;6)),1,0)</x:f>
        <x:v>0</x:v>
      </x:c>
      <x:c r="R2059" s="22" t="str">
        <x:f>O2059&amp;P2059&amp;Q2059</x:f>
        <x:v>000</x:v>
      </x:c>
      <x:c r="S2059" s="19" t="n">
        <x:f>IF(I2059=1,IF(J2059=0,Q2059,IF(J2059=1,P2059,IF(J2059=2,O2059,0))),0)</x:f>
        <x:v>0</x:v>
      </x:c>
      <x:c r="T2059" s="19" t="n">
        <x:f>K2059+IF(AND(S2059=1,J2059=0),1,0)</x:f>
        <x:v>4</x:v>
      </x:c>
      <x:c r="U2059" s="19" t="n">
        <x:f>L2059+IF(AND(S2059=1,J2059=1),1,0)</x:f>
        <x:v>2</x:v>
      </x:c>
      <x:c r="V2059" s="19" t="n">
        <x:f>M2059+IF(AND(S2059=1,J2059=2),1,0)</x:f>
        <x:v>3</x:v>
      </x:c>
      <x:c r="W2059" s="19" t="n">
        <x:f>SUM(T2059:V2059)</x:f>
        <x:v>9</x:v>
      </x:c>
      <x:c r="X2059" s="19" t="n">
        <x:f>W2059-G2059</x:f>
        <x:v>0</x:v>
      </x:c>
      <x:c r="Y2059" s="19" t="n">
        <x:f>MAX(T2059,1)+MAX(U2059,1)+MAX(V2059,1)</x:f>
        <x:v>9</x:v>
      </x:c>
      <x:c r="Z2059" s="21" t="str">
        <x:f>IF(AND(MIN(D2059:F2059)&gt;=0,MAX(D2059:F2059)&lt;=7,MAX(D2059,1)+MAX(E2059,1)+MAX(F2059,1)&lt;=9,OR(H2059="-",AND(H2059=0,D2059&gt;0),AND(H2059=1,E2059&gt;0),AND(H2059=2,F2059&gt;0)),OR(I2059=0,AND(I2059=1,OR(J2059=0,J2059=1,J2059=2),R2059&lt;&gt;"000")),Y2059&lt;=9,MIN(T2059:V2059)&gt;=0),"合法","输入违约")</x:f>
        <x:v>合法</x:v>
      </x:c>
    </x:row>
    <x:row r="2060" ht="23" customHeight="1">
      <x:c r="A2060" s="3" t="str">
        <x:v>CT-2053</x:v>
      </x:c>
      <x:c r="B2060" s="3" t="str">
        <x:v>ST-182</x:v>
      </x:c>
      <x:c r="C2060" s="3" t="str">
        <x:v>仅R回收</x:v>
      </x:c>
      <x:c r="D2060" s="25" t="n">
        <x:v>4</x:v>
      </x:c>
      <x:c r="E2060" s="25" t="n">
        <x:v>2</x:v>
      </x:c>
      <x:c r="F2060" s="25" t="n">
        <x:v>3</x:v>
      </x:c>
      <x:c r="G2060" s="19" t="n">
        <x:f>SUM(D2060:F2060)</x:f>
        <x:v>9</x:v>
      </x:c>
      <x:c r="H2060" s="25" t="n">
        <x:v>0</x:v>
      </x:c>
      <x:c r="I2060" s="25" t="n">
        <x:v>0</x:v>
      </x:c>
      <x:c r="J2060" s="25" t="str">
        <x:v>-</x:v>
      </x:c>
      <x:c r="K2060" s="19" t="n">
        <x:f>D2060-IF(H2060=0,1,0)</x:f>
        <x:v>3</x:v>
      </x:c>
      <x:c r="L2060" s="19" t="n">
        <x:f>E2060-IF(H2060=1,1,0)</x:f>
        <x:v>2</x:v>
      </x:c>
      <x:c r="M2060" s="19" t="n">
        <x:f>F2060-IF(H2060=2,1,0)</x:f>
        <x:v>3</x:v>
      </x:c>
      <x:c r="N2060" s="19" t="n">
        <x:f>MAX(K2060-1,0)+MAX(L2060-1,0)+MAX(M2060-1,0)</x:f>
        <x:v>5</x:v>
      </x:c>
      <x:c r="O2060" s="19" t="n">
        <x:f>IF(AND(SUM(K2060:M2060)&lt;9,OR(M2060=0,N2060&lt;6)),1,0)</x:f>
        <x:v>1</x:v>
      </x:c>
      <x:c r="P2060" s="19" t="n">
        <x:f>IF(AND(SUM(K2060:M2060)&lt;9,OR(L2060=0,N2060&lt;6)),1,0)</x:f>
        <x:v>1</x:v>
      </x:c>
      <x:c r="Q2060" s="19" t="n">
        <x:f>IF(AND(SUM(K2060:M2060)&lt;9,OR(K2060=0,N2060&lt;6)),1,0)</x:f>
        <x:v>1</x:v>
      </x:c>
      <x:c r="R2060" s="22" t="str">
        <x:f>O2060&amp;P2060&amp;Q2060</x:f>
        <x:v>111</x:v>
      </x:c>
      <x:c r="S2060" s="19" t="n">
        <x:f>IF(I2060=1,IF(J2060=0,Q2060,IF(J2060=1,P2060,IF(J2060=2,O2060,0))),0)</x:f>
        <x:v>0</x:v>
      </x:c>
      <x:c r="T2060" s="19" t="n">
        <x:f>K2060+IF(AND(S2060=1,J2060=0),1,0)</x:f>
        <x:v>3</x:v>
      </x:c>
      <x:c r="U2060" s="19" t="n">
        <x:f>L2060+IF(AND(S2060=1,J2060=1),1,0)</x:f>
        <x:v>2</x:v>
      </x:c>
      <x:c r="V2060" s="19" t="n">
        <x:f>M2060+IF(AND(S2060=1,J2060=2),1,0)</x:f>
        <x:v>3</x:v>
      </x:c>
      <x:c r="W2060" s="19" t="n">
        <x:f>SUM(T2060:V2060)</x:f>
        <x:v>8</x:v>
      </x:c>
      <x:c r="X2060" s="19" t="n">
        <x:f>W2060-G2060</x:f>
        <x:v>-1</x:v>
      </x:c>
      <x:c r="Y2060" s="19" t="n">
        <x:f>MAX(T2060,1)+MAX(U2060,1)+MAX(V2060,1)</x:f>
        <x:v>8</x:v>
      </x:c>
      <x:c r="Z2060" s="21" t="str">
        <x:f>IF(AND(MIN(D2060:F2060)&gt;=0,MAX(D2060:F2060)&lt;=7,MAX(D2060,1)+MAX(E2060,1)+MAX(F2060,1)&lt;=9,OR(H2060="-",AND(H2060=0,D2060&gt;0),AND(H2060=1,E2060&gt;0),AND(H2060=2,F2060&gt;0)),OR(I2060=0,AND(I2060=1,OR(J2060=0,J2060=1,J2060=2),R2060&lt;&gt;"000")),Y2060&lt;=9,MIN(T2060:V2060)&gt;=0),"合法","输入违约")</x:f>
        <x:v>合法</x:v>
      </x:c>
    </x:row>
    <x:row r="2061" ht="23" customHeight="1">
      <x:c r="A2061" s="3" t="str">
        <x:v>CT-2054</x:v>
      </x:c>
      <x:c r="B2061" s="3" t="str">
        <x:v>ST-182</x:v>
      </x:c>
      <x:c r="C2061" s="3" t="str">
        <x:v>R+AR同收同发</x:v>
      </x:c>
      <x:c r="D2061" s="25" t="n">
        <x:v>4</x:v>
      </x:c>
      <x:c r="E2061" s="25" t="n">
        <x:v>2</x:v>
      </x:c>
      <x:c r="F2061" s="25" t="n">
        <x:v>3</x:v>
      </x:c>
      <x:c r="G2061" s="19" t="n">
        <x:f>SUM(D2061:F2061)</x:f>
        <x:v>9</x:v>
      </x:c>
      <x:c r="H2061" s="25" t="n">
        <x:v>0</x:v>
      </x:c>
      <x:c r="I2061" s="25" t="n">
        <x:v>1</x:v>
      </x:c>
      <x:c r="J2061" s="25" t="n">
        <x:v>0</x:v>
      </x:c>
      <x:c r="K2061" s="19" t="n">
        <x:f>D2061-IF(H2061=0,1,0)</x:f>
        <x:v>3</x:v>
      </x:c>
      <x:c r="L2061" s="19" t="n">
        <x:f>E2061-IF(H2061=1,1,0)</x:f>
        <x:v>2</x:v>
      </x:c>
      <x:c r="M2061" s="19" t="n">
        <x:f>F2061-IF(H2061=2,1,0)</x:f>
        <x:v>3</x:v>
      </x:c>
      <x:c r="N2061" s="19" t="n">
        <x:f>MAX(K2061-1,0)+MAX(L2061-1,0)+MAX(M2061-1,0)</x:f>
        <x:v>5</x:v>
      </x:c>
      <x:c r="O2061" s="19" t="n">
        <x:f>IF(AND(SUM(K2061:M2061)&lt;9,OR(M2061=0,N2061&lt;6)),1,0)</x:f>
        <x:v>1</x:v>
      </x:c>
      <x:c r="P2061" s="19" t="n">
        <x:f>IF(AND(SUM(K2061:M2061)&lt;9,OR(L2061=0,N2061&lt;6)),1,0)</x:f>
        <x:v>1</x:v>
      </x:c>
      <x:c r="Q2061" s="19" t="n">
        <x:f>IF(AND(SUM(K2061:M2061)&lt;9,OR(K2061=0,N2061&lt;6)),1,0)</x:f>
        <x:v>1</x:v>
      </x:c>
      <x:c r="R2061" s="22" t="str">
        <x:f>O2061&amp;P2061&amp;Q2061</x:f>
        <x:v>111</x:v>
      </x:c>
      <x:c r="S2061" s="19" t="n">
        <x:f>IF(I2061=1,IF(J2061=0,Q2061,IF(J2061=1,P2061,IF(J2061=2,O2061,0))),0)</x:f>
        <x:v>1</x:v>
      </x:c>
      <x:c r="T2061" s="19" t="n">
        <x:f>K2061+IF(AND(S2061=1,J2061=0),1,0)</x:f>
        <x:v>4</x:v>
      </x:c>
      <x:c r="U2061" s="19" t="n">
        <x:f>L2061+IF(AND(S2061=1,J2061=1),1,0)</x:f>
        <x:v>2</x:v>
      </x:c>
      <x:c r="V2061" s="19" t="n">
        <x:f>M2061+IF(AND(S2061=1,J2061=2),1,0)</x:f>
        <x:v>3</x:v>
      </x:c>
      <x:c r="W2061" s="19" t="n">
        <x:f>SUM(T2061:V2061)</x:f>
        <x:v>9</x:v>
      </x:c>
      <x:c r="X2061" s="19" t="n">
        <x:f>W2061-G2061</x:f>
        <x:v>0</x:v>
      </x:c>
      <x:c r="Y2061" s="19" t="n">
        <x:f>MAX(T2061,1)+MAX(U2061,1)+MAX(V2061,1)</x:f>
        <x:v>9</x:v>
      </x:c>
      <x:c r="Z2061" s="21" t="str">
        <x:f>IF(AND(MIN(D2061:F2061)&gt;=0,MAX(D2061:F2061)&lt;=7,MAX(D2061,1)+MAX(E2061,1)+MAX(F2061,1)&lt;=9,OR(H2061="-",AND(H2061=0,D2061&gt;0),AND(H2061=1,E2061&gt;0),AND(H2061=2,F2061&gt;0)),OR(I2061=0,AND(I2061=1,OR(J2061=0,J2061=1,J2061=2),R2061&lt;&gt;"000")),Y2061&lt;=9,MIN(T2061:V2061)&gt;=0),"合法","输入违约")</x:f>
        <x:v>合法</x:v>
      </x:c>
    </x:row>
    <x:row r="2062" ht="23" customHeight="1">
      <x:c r="A2062" s="3" t="str">
        <x:v>CT-2055</x:v>
      </x:c>
      <x:c r="B2062" s="3" t="str">
        <x:v>ST-182</x:v>
      </x:c>
      <x:c r="C2062" s="3" t="str">
        <x:v>R+AR同收同发</x:v>
      </x:c>
      <x:c r="D2062" s="25" t="n">
        <x:v>4</x:v>
      </x:c>
      <x:c r="E2062" s="25" t="n">
        <x:v>2</x:v>
      </x:c>
      <x:c r="F2062" s="25" t="n">
        <x:v>3</x:v>
      </x:c>
      <x:c r="G2062" s="19" t="n">
        <x:f>SUM(D2062:F2062)</x:f>
        <x:v>9</x:v>
      </x:c>
      <x:c r="H2062" s="25" t="n">
        <x:v>0</x:v>
      </x:c>
      <x:c r="I2062" s="25" t="n">
        <x:v>1</x:v>
      </x:c>
      <x:c r="J2062" s="25" t="n">
        <x:v>1</x:v>
      </x:c>
      <x:c r="K2062" s="19" t="n">
        <x:f>D2062-IF(H2062=0,1,0)</x:f>
        <x:v>3</x:v>
      </x:c>
      <x:c r="L2062" s="19" t="n">
        <x:f>E2062-IF(H2062=1,1,0)</x:f>
        <x:v>2</x:v>
      </x:c>
      <x:c r="M2062" s="19" t="n">
        <x:f>F2062-IF(H2062=2,1,0)</x:f>
        <x:v>3</x:v>
      </x:c>
      <x:c r="N2062" s="19" t="n">
        <x:f>MAX(K2062-1,0)+MAX(L2062-1,0)+MAX(M2062-1,0)</x:f>
        <x:v>5</x:v>
      </x:c>
      <x:c r="O2062" s="19" t="n">
        <x:f>IF(AND(SUM(K2062:M2062)&lt;9,OR(M2062=0,N2062&lt;6)),1,0)</x:f>
        <x:v>1</x:v>
      </x:c>
      <x:c r="P2062" s="19" t="n">
        <x:f>IF(AND(SUM(K2062:M2062)&lt;9,OR(L2062=0,N2062&lt;6)),1,0)</x:f>
        <x:v>1</x:v>
      </x:c>
      <x:c r="Q2062" s="19" t="n">
        <x:f>IF(AND(SUM(K2062:M2062)&lt;9,OR(K2062=0,N2062&lt;6)),1,0)</x:f>
        <x:v>1</x:v>
      </x:c>
      <x:c r="R2062" s="22" t="str">
        <x:f>O2062&amp;P2062&amp;Q2062</x:f>
        <x:v>111</x:v>
      </x:c>
      <x:c r="S2062" s="19" t="n">
        <x:f>IF(I2062=1,IF(J2062=0,Q2062,IF(J2062=1,P2062,IF(J2062=2,O2062,0))),0)</x:f>
        <x:v>1</x:v>
      </x:c>
      <x:c r="T2062" s="19" t="n">
        <x:f>K2062+IF(AND(S2062=1,J2062=0),1,0)</x:f>
        <x:v>3</x:v>
      </x:c>
      <x:c r="U2062" s="19" t="n">
        <x:f>L2062+IF(AND(S2062=1,J2062=1),1,0)</x:f>
        <x:v>3</x:v>
      </x:c>
      <x:c r="V2062" s="19" t="n">
        <x:f>M2062+IF(AND(S2062=1,J2062=2),1,0)</x:f>
        <x:v>3</x:v>
      </x:c>
      <x:c r="W2062" s="19" t="n">
        <x:f>SUM(T2062:V2062)</x:f>
        <x:v>9</x:v>
      </x:c>
      <x:c r="X2062" s="19" t="n">
        <x:f>W2062-G2062</x:f>
        <x:v>0</x:v>
      </x:c>
      <x:c r="Y2062" s="19" t="n">
        <x:f>MAX(T2062,1)+MAX(U2062,1)+MAX(V2062,1)</x:f>
        <x:v>9</x:v>
      </x:c>
      <x:c r="Z2062" s="21" t="str">
        <x:f>IF(AND(MIN(D2062:F2062)&gt;=0,MAX(D2062:F2062)&lt;=7,MAX(D2062,1)+MAX(E2062,1)+MAX(F2062,1)&lt;=9,OR(H2062="-",AND(H2062=0,D2062&gt;0),AND(H2062=1,E2062&gt;0),AND(H2062=2,F2062&gt;0)),OR(I2062=0,AND(I2062=1,OR(J2062=0,J2062=1,J2062=2),R2062&lt;&gt;"000")),Y2062&lt;=9,MIN(T2062:V2062)&gt;=0),"合法","输入违约")</x:f>
        <x:v>合法</x:v>
      </x:c>
    </x:row>
    <x:row r="2063" ht="23" customHeight="1">
      <x:c r="A2063" s="3" t="str">
        <x:v>CT-2056</x:v>
      </x:c>
      <x:c r="B2063" s="3" t="str">
        <x:v>ST-182</x:v>
      </x:c>
      <x:c r="C2063" s="3" t="str">
        <x:v>R+AR同收同发</x:v>
      </x:c>
      <x:c r="D2063" s="25" t="n">
        <x:v>4</x:v>
      </x:c>
      <x:c r="E2063" s="25" t="n">
        <x:v>2</x:v>
      </x:c>
      <x:c r="F2063" s="25" t="n">
        <x:v>3</x:v>
      </x:c>
      <x:c r="G2063" s="19" t="n">
        <x:f>SUM(D2063:F2063)</x:f>
        <x:v>9</x:v>
      </x:c>
      <x:c r="H2063" s="25" t="n">
        <x:v>0</x:v>
      </x:c>
      <x:c r="I2063" s="25" t="n">
        <x:v>1</x:v>
      </x:c>
      <x:c r="J2063" s="25" t="n">
        <x:v>2</x:v>
      </x:c>
      <x:c r="K2063" s="19" t="n">
        <x:f>D2063-IF(H2063=0,1,0)</x:f>
        <x:v>3</x:v>
      </x:c>
      <x:c r="L2063" s="19" t="n">
        <x:f>E2063-IF(H2063=1,1,0)</x:f>
        <x:v>2</x:v>
      </x:c>
      <x:c r="M2063" s="19" t="n">
        <x:f>F2063-IF(H2063=2,1,0)</x:f>
        <x:v>3</x:v>
      </x:c>
      <x:c r="N2063" s="19" t="n">
        <x:f>MAX(K2063-1,0)+MAX(L2063-1,0)+MAX(M2063-1,0)</x:f>
        <x:v>5</x:v>
      </x:c>
      <x:c r="O2063" s="19" t="n">
        <x:f>IF(AND(SUM(K2063:M2063)&lt;9,OR(M2063=0,N2063&lt;6)),1,0)</x:f>
        <x:v>1</x:v>
      </x:c>
      <x:c r="P2063" s="19" t="n">
        <x:f>IF(AND(SUM(K2063:M2063)&lt;9,OR(L2063=0,N2063&lt;6)),1,0)</x:f>
        <x:v>1</x:v>
      </x:c>
      <x:c r="Q2063" s="19" t="n">
        <x:f>IF(AND(SUM(K2063:M2063)&lt;9,OR(K2063=0,N2063&lt;6)),1,0)</x:f>
        <x:v>1</x:v>
      </x:c>
      <x:c r="R2063" s="22" t="str">
        <x:f>O2063&amp;P2063&amp;Q2063</x:f>
        <x:v>111</x:v>
      </x:c>
      <x:c r="S2063" s="19" t="n">
        <x:f>IF(I2063=1,IF(J2063=0,Q2063,IF(J2063=1,P2063,IF(J2063=2,O2063,0))),0)</x:f>
        <x:v>1</x:v>
      </x:c>
      <x:c r="T2063" s="19" t="n">
        <x:f>K2063+IF(AND(S2063=1,J2063=0),1,0)</x:f>
        <x:v>3</x:v>
      </x:c>
      <x:c r="U2063" s="19" t="n">
        <x:f>L2063+IF(AND(S2063=1,J2063=1),1,0)</x:f>
        <x:v>2</x:v>
      </x:c>
      <x:c r="V2063" s="19" t="n">
        <x:f>M2063+IF(AND(S2063=1,J2063=2),1,0)</x:f>
        <x:v>4</x:v>
      </x:c>
      <x:c r="W2063" s="19" t="n">
        <x:f>SUM(T2063:V2063)</x:f>
        <x:v>9</x:v>
      </x:c>
      <x:c r="X2063" s="19" t="n">
        <x:f>W2063-G2063</x:f>
        <x:v>0</x:v>
      </x:c>
      <x:c r="Y2063" s="19" t="n">
        <x:f>MAX(T2063,1)+MAX(U2063,1)+MAX(V2063,1)</x:f>
        <x:v>9</x:v>
      </x:c>
      <x:c r="Z2063" s="21" t="str">
        <x:f>IF(AND(MIN(D2063:F2063)&gt;=0,MAX(D2063:F2063)&lt;=7,MAX(D2063,1)+MAX(E2063,1)+MAX(F2063,1)&lt;=9,OR(H2063="-",AND(H2063=0,D2063&gt;0),AND(H2063=1,E2063&gt;0),AND(H2063=2,F2063&gt;0)),OR(I2063=0,AND(I2063=1,OR(J2063=0,J2063=1,J2063=2),R2063&lt;&gt;"000")),Y2063&lt;=9,MIN(T2063:V2063)&gt;=0),"合法","输入违约")</x:f>
        <x:v>合法</x:v>
      </x:c>
    </x:row>
    <x:row r="2064" ht="23" customHeight="1">
      <x:c r="A2064" s="3" t="str">
        <x:v>CT-2057</x:v>
      </x:c>
      <x:c r="B2064" s="3" t="str">
        <x:v>ST-182</x:v>
      </x:c>
      <x:c r="C2064" s="3" t="str">
        <x:v>仅R回收</x:v>
      </x:c>
      <x:c r="D2064" s="25" t="n">
        <x:v>4</x:v>
      </x:c>
      <x:c r="E2064" s="25" t="n">
        <x:v>2</x:v>
      </x:c>
      <x:c r="F2064" s="25" t="n">
        <x:v>3</x:v>
      </x:c>
      <x:c r="G2064" s="19" t="n">
        <x:f>SUM(D2064:F2064)</x:f>
        <x:v>9</x:v>
      </x:c>
      <x:c r="H2064" s="25" t="n">
        <x:v>1</x:v>
      </x:c>
      <x:c r="I2064" s="25" t="n">
        <x:v>0</x:v>
      </x:c>
      <x:c r="J2064" s="25" t="str">
        <x:v>-</x:v>
      </x:c>
      <x:c r="K2064" s="19" t="n">
        <x:f>D2064-IF(H2064=0,1,0)</x:f>
        <x:v>4</x:v>
      </x:c>
      <x:c r="L2064" s="19" t="n">
        <x:f>E2064-IF(H2064=1,1,0)</x:f>
        <x:v>1</x:v>
      </x:c>
      <x:c r="M2064" s="19" t="n">
        <x:f>F2064-IF(H2064=2,1,0)</x:f>
        <x:v>3</x:v>
      </x:c>
      <x:c r="N2064" s="19" t="n">
        <x:f>MAX(K2064-1,0)+MAX(L2064-1,0)+MAX(M2064-1,0)</x:f>
        <x:v>5</x:v>
      </x:c>
      <x:c r="O2064" s="19" t="n">
        <x:f>IF(AND(SUM(K2064:M2064)&lt;9,OR(M2064=0,N2064&lt;6)),1,0)</x:f>
        <x:v>1</x:v>
      </x:c>
      <x:c r="P2064" s="19" t="n">
        <x:f>IF(AND(SUM(K2064:M2064)&lt;9,OR(L2064=0,N2064&lt;6)),1,0)</x:f>
        <x:v>1</x:v>
      </x:c>
      <x:c r="Q2064" s="19" t="n">
        <x:f>IF(AND(SUM(K2064:M2064)&lt;9,OR(K2064=0,N2064&lt;6)),1,0)</x:f>
        <x:v>1</x:v>
      </x:c>
      <x:c r="R2064" s="22" t="str">
        <x:f>O2064&amp;P2064&amp;Q2064</x:f>
        <x:v>111</x:v>
      </x:c>
      <x:c r="S2064" s="19" t="n">
        <x:f>IF(I2064=1,IF(J2064=0,Q2064,IF(J2064=1,P2064,IF(J2064=2,O2064,0))),0)</x:f>
        <x:v>0</x:v>
      </x:c>
      <x:c r="T2064" s="19" t="n">
        <x:f>K2064+IF(AND(S2064=1,J2064=0),1,0)</x:f>
        <x:v>4</x:v>
      </x:c>
      <x:c r="U2064" s="19" t="n">
        <x:f>L2064+IF(AND(S2064=1,J2064=1),1,0)</x:f>
        <x:v>1</x:v>
      </x:c>
      <x:c r="V2064" s="19" t="n">
        <x:f>M2064+IF(AND(S2064=1,J2064=2),1,0)</x:f>
        <x:v>3</x:v>
      </x:c>
      <x:c r="W2064" s="19" t="n">
        <x:f>SUM(T2064:V2064)</x:f>
        <x:v>8</x:v>
      </x:c>
      <x:c r="X2064" s="19" t="n">
        <x:f>W2064-G2064</x:f>
        <x:v>-1</x:v>
      </x:c>
      <x:c r="Y2064" s="19" t="n">
        <x:f>MAX(T2064,1)+MAX(U2064,1)+MAX(V2064,1)</x:f>
        <x:v>8</x:v>
      </x:c>
      <x:c r="Z2064" s="21" t="str">
        <x:f>IF(AND(MIN(D2064:F2064)&gt;=0,MAX(D2064:F2064)&lt;=7,MAX(D2064,1)+MAX(E2064,1)+MAX(F2064,1)&lt;=9,OR(H2064="-",AND(H2064=0,D2064&gt;0),AND(H2064=1,E2064&gt;0),AND(H2064=2,F2064&gt;0)),OR(I2064=0,AND(I2064=1,OR(J2064=0,J2064=1,J2064=2),R2064&lt;&gt;"000")),Y2064&lt;=9,MIN(T2064:V2064)&gt;=0),"合法","输入违约")</x:f>
        <x:v>合法</x:v>
      </x:c>
    </x:row>
    <x:row r="2065" ht="23" customHeight="1">
      <x:c r="A2065" s="3" t="str">
        <x:v>CT-2058</x:v>
      </x:c>
      <x:c r="B2065" s="3" t="str">
        <x:v>ST-182</x:v>
      </x:c>
      <x:c r="C2065" s="3" t="str">
        <x:v>R+AR同收同发</x:v>
      </x:c>
      <x:c r="D2065" s="25" t="n">
        <x:v>4</x:v>
      </x:c>
      <x:c r="E2065" s="25" t="n">
        <x:v>2</x:v>
      </x:c>
      <x:c r="F2065" s="25" t="n">
        <x:v>3</x:v>
      </x:c>
      <x:c r="G2065" s="19" t="n">
        <x:f>SUM(D2065:F2065)</x:f>
        <x:v>9</x:v>
      </x:c>
      <x:c r="H2065" s="25" t="n">
        <x:v>1</x:v>
      </x:c>
      <x:c r="I2065" s="25" t="n">
        <x:v>1</x:v>
      </x:c>
      <x:c r="J2065" s="25" t="n">
        <x:v>0</x:v>
      </x:c>
      <x:c r="K2065" s="19" t="n">
        <x:f>D2065-IF(H2065=0,1,0)</x:f>
        <x:v>4</x:v>
      </x:c>
      <x:c r="L2065" s="19" t="n">
        <x:f>E2065-IF(H2065=1,1,0)</x:f>
        <x:v>1</x:v>
      </x:c>
      <x:c r="M2065" s="19" t="n">
        <x:f>F2065-IF(H2065=2,1,0)</x:f>
        <x:v>3</x:v>
      </x:c>
      <x:c r="N2065" s="19" t="n">
        <x:f>MAX(K2065-1,0)+MAX(L2065-1,0)+MAX(M2065-1,0)</x:f>
        <x:v>5</x:v>
      </x:c>
      <x:c r="O2065" s="19" t="n">
        <x:f>IF(AND(SUM(K2065:M2065)&lt;9,OR(M2065=0,N2065&lt;6)),1,0)</x:f>
        <x:v>1</x:v>
      </x:c>
      <x:c r="P2065" s="19" t="n">
        <x:f>IF(AND(SUM(K2065:M2065)&lt;9,OR(L2065=0,N2065&lt;6)),1,0)</x:f>
        <x:v>1</x:v>
      </x:c>
      <x:c r="Q2065" s="19" t="n">
        <x:f>IF(AND(SUM(K2065:M2065)&lt;9,OR(K2065=0,N2065&lt;6)),1,0)</x:f>
        <x:v>1</x:v>
      </x:c>
      <x:c r="R2065" s="22" t="str">
        <x:f>O2065&amp;P2065&amp;Q2065</x:f>
        <x:v>111</x:v>
      </x:c>
      <x:c r="S2065" s="19" t="n">
        <x:f>IF(I2065=1,IF(J2065=0,Q2065,IF(J2065=1,P2065,IF(J2065=2,O2065,0))),0)</x:f>
        <x:v>1</x:v>
      </x:c>
      <x:c r="T2065" s="19" t="n">
        <x:f>K2065+IF(AND(S2065=1,J2065=0),1,0)</x:f>
        <x:v>5</x:v>
      </x:c>
      <x:c r="U2065" s="19" t="n">
        <x:f>L2065+IF(AND(S2065=1,J2065=1),1,0)</x:f>
        <x:v>1</x:v>
      </x:c>
      <x:c r="V2065" s="19" t="n">
        <x:f>M2065+IF(AND(S2065=1,J2065=2),1,0)</x:f>
        <x:v>3</x:v>
      </x:c>
      <x:c r="W2065" s="19" t="n">
        <x:f>SUM(T2065:V2065)</x:f>
        <x:v>9</x:v>
      </x:c>
      <x:c r="X2065" s="19" t="n">
        <x:f>W2065-G2065</x:f>
        <x:v>0</x:v>
      </x:c>
      <x:c r="Y2065" s="19" t="n">
        <x:f>MAX(T2065,1)+MAX(U2065,1)+MAX(V2065,1)</x:f>
        <x:v>9</x:v>
      </x:c>
      <x:c r="Z2065" s="21" t="str">
        <x:f>IF(AND(MIN(D2065:F2065)&gt;=0,MAX(D2065:F2065)&lt;=7,MAX(D2065,1)+MAX(E2065,1)+MAX(F2065,1)&lt;=9,OR(H2065="-",AND(H2065=0,D2065&gt;0),AND(H2065=1,E2065&gt;0),AND(H2065=2,F2065&gt;0)),OR(I2065=0,AND(I2065=1,OR(J2065=0,J2065=1,J2065=2),R2065&lt;&gt;"000")),Y2065&lt;=9,MIN(T2065:V2065)&gt;=0),"合法","输入违约")</x:f>
        <x:v>合法</x:v>
      </x:c>
    </x:row>
    <x:row r="2066" ht="23" customHeight="1">
      <x:c r="A2066" s="3" t="str">
        <x:v>CT-2059</x:v>
      </x:c>
      <x:c r="B2066" s="3" t="str">
        <x:v>ST-182</x:v>
      </x:c>
      <x:c r="C2066" s="3" t="str">
        <x:v>R+AR同收同发</x:v>
      </x:c>
      <x:c r="D2066" s="25" t="n">
        <x:v>4</x:v>
      </x:c>
      <x:c r="E2066" s="25" t="n">
        <x:v>2</x:v>
      </x:c>
      <x:c r="F2066" s="25" t="n">
        <x:v>3</x:v>
      </x:c>
      <x:c r="G2066" s="19" t="n">
        <x:f>SUM(D2066:F2066)</x:f>
        <x:v>9</x:v>
      </x:c>
      <x:c r="H2066" s="25" t="n">
        <x:v>1</x:v>
      </x:c>
      <x:c r="I2066" s="25" t="n">
        <x:v>1</x:v>
      </x:c>
      <x:c r="J2066" s="25" t="n">
        <x:v>1</x:v>
      </x:c>
      <x:c r="K2066" s="19" t="n">
        <x:f>D2066-IF(H2066=0,1,0)</x:f>
        <x:v>4</x:v>
      </x:c>
      <x:c r="L2066" s="19" t="n">
        <x:f>E2066-IF(H2066=1,1,0)</x:f>
        <x:v>1</x:v>
      </x:c>
      <x:c r="M2066" s="19" t="n">
        <x:f>F2066-IF(H2066=2,1,0)</x:f>
        <x:v>3</x:v>
      </x:c>
      <x:c r="N2066" s="19" t="n">
        <x:f>MAX(K2066-1,0)+MAX(L2066-1,0)+MAX(M2066-1,0)</x:f>
        <x:v>5</x:v>
      </x:c>
      <x:c r="O2066" s="19" t="n">
        <x:f>IF(AND(SUM(K2066:M2066)&lt;9,OR(M2066=0,N2066&lt;6)),1,0)</x:f>
        <x:v>1</x:v>
      </x:c>
      <x:c r="P2066" s="19" t="n">
        <x:f>IF(AND(SUM(K2066:M2066)&lt;9,OR(L2066=0,N2066&lt;6)),1,0)</x:f>
        <x:v>1</x:v>
      </x:c>
      <x:c r="Q2066" s="19" t="n">
        <x:f>IF(AND(SUM(K2066:M2066)&lt;9,OR(K2066=0,N2066&lt;6)),1,0)</x:f>
        <x:v>1</x:v>
      </x:c>
      <x:c r="R2066" s="22" t="str">
        <x:f>O2066&amp;P2066&amp;Q2066</x:f>
        <x:v>111</x:v>
      </x:c>
      <x:c r="S2066" s="19" t="n">
        <x:f>IF(I2066=1,IF(J2066=0,Q2066,IF(J2066=1,P2066,IF(J2066=2,O2066,0))),0)</x:f>
        <x:v>1</x:v>
      </x:c>
      <x:c r="T2066" s="19" t="n">
        <x:f>K2066+IF(AND(S2066=1,J2066=0),1,0)</x:f>
        <x:v>4</x:v>
      </x:c>
      <x:c r="U2066" s="19" t="n">
        <x:f>L2066+IF(AND(S2066=1,J2066=1),1,0)</x:f>
        <x:v>2</x:v>
      </x:c>
      <x:c r="V2066" s="19" t="n">
        <x:f>M2066+IF(AND(S2066=1,J2066=2),1,0)</x:f>
        <x:v>3</x:v>
      </x:c>
      <x:c r="W2066" s="19" t="n">
        <x:f>SUM(T2066:V2066)</x:f>
        <x:v>9</x:v>
      </x:c>
      <x:c r="X2066" s="19" t="n">
        <x:f>W2066-G2066</x:f>
        <x:v>0</x:v>
      </x:c>
      <x:c r="Y2066" s="19" t="n">
        <x:f>MAX(T2066,1)+MAX(U2066,1)+MAX(V2066,1)</x:f>
        <x:v>9</x:v>
      </x:c>
      <x:c r="Z2066" s="21" t="str">
        <x:f>IF(AND(MIN(D2066:F2066)&gt;=0,MAX(D2066:F2066)&lt;=7,MAX(D2066,1)+MAX(E2066,1)+MAX(F2066,1)&lt;=9,OR(H2066="-",AND(H2066=0,D2066&gt;0),AND(H2066=1,E2066&gt;0),AND(H2066=2,F2066&gt;0)),OR(I2066=0,AND(I2066=1,OR(J2066=0,J2066=1,J2066=2),R2066&lt;&gt;"000")),Y2066&lt;=9,MIN(T2066:V2066)&gt;=0),"合法","输入违约")</x:f>
        <x:v>合法</x:v>
      </x:c>
    </x:row>
    <x:row r="2067" ht="23" customHeight="1">
      <x:c r="A2067" s="3" t="str">
        <x:v>CT-2060</x:v>
      </x:c>
      <x:c r="B2067" s="3" t="str">
        <x:v>ST-182</x:v>
      </x:c>
      <x:c r="C2067" s="3" t="str">
        <x:v>R+AR同收同发</x:v>
      </x:c>
      <x:c r="D2067" s="25" t="n">
        <x:v>4</x:v>
      </x:c>
      <x:c r="E2067" s="25" t="n">
        <x:v>2</x:v>
      </x:c>
      <x:c r="F2067" s="25" t="n">
        <x:v>3</x:v>
      </x:c>
      <x:c r="G2067" s="19" t="n">
        <x:f>SUM(D2067:F2067)</x:f>
        <x:v>9</x:v>
      </x:c>
      <x:c r="H2067" s="25" t="n">
        <x:v>1</x:v>
      </x:c>
      <x:c r="I2067" s="25" t="n">
        <x:v>1</x:v>
      </x:c>
      <x:c r="J2067" s="25" t="n">
        <x:v>2</x:v>
      </x:c>
      <x:c r="K2067" s="19" t="n">
        <x:f>D2067-IF(H2067=0,1,0)</x:f>
        <x:v>4</x:v>
      </x:c>
      <x:c r="L2067" s="19" t="n">
        <x:f>E2067-IF(H2067=1,1,0)</x:f>
        <x:v>1</x:v>
      </x:c>
      <x:c r="M2067" s="19" t="n">
        <x:f>F2067-IF(H2067=2,1,0)</x:f>
        <x:v>3</x:v>
      </x:c>
      <x:c r="N2067" s="19" t="n">
        <x:f>MAX(K2067-1,0)+MAX(L2067-1,0)+MAX(M2067-1,0)</x:f>
        <x:v>5</x:v>
      </x:c>
      <x:c r="O2067" s="19" t="n">
        <x:f>IF(AND(SUM(K2067:M2067)&lt;9,OR(M2067=0,N2067&lt;6)),1,0)</x:f>
        <x:v>1</x:v>
      </x:c>
      <x:c r="P2067" s="19" t="n">
        <x:f>IF(AND(SUM(K2067:M2067)&lt;9,OR(L2067=0,N2067&lt;6)),1,0)</x:f>
        <x:v>1</x:v>
      </x:c>
      <x:c r="Q2067" s="19" t="n">
        <x:f>IF(AND(SUM(K2067:M2067)&lt;9,OR(K2067=0,N2067&lt;6)),1,0)</x:f>
        <x:v>1</x:v>
      </x:c>
      <x:c r="R2067" s="22" t="str">
        <x:f>O2067&amp;P2067&amp;Q2067</x:f>
        <x:v>111</x:v>
      </x:c>
      <x:c r="S2067" s="19" t="n">
        <x:f>IF(I2067=1,IF(J2067=0,Q2067,IF(J2067=1,P2067,IF(J2067=2,O2067,0))),0)</x:f>
        <x:v>1</x:v>
      </x:c>
      <x:c r="T2067" s="19" t="n">
        <x:f>K2067+IF(AND(S2067=1,J2067=0),1,0)</x:f>
        <x:v>4</x:v>
      </x:c>
      <x:c r="U2067" s="19" t="n">
        <x:f>L2067+IF(AND(S2067=1,J2067=1),1,0)</x:f>
        <x:v>1</x:v>
      </x:c>
      <x:c r="V2067" s="19" t="n">
        <x:f>M2067+IF(AND(S2067=1,J2067=2),1,0)</x:f>
        <x:v>4</x:v>
      </x:c>
      <x:c r="W2067" s="19" t="n">
        <x:f>SUM(T2067:V2067)</x:f>
        <x:v>9</x:v>
      </x:c>
      <x:c r="X2067" s="19" t="n">
        <x:f>W2067-G2067</x:f>
        <x:v>0</x:v>
      </x:c>
      <x:c r="Y2067" s="19" t="n">
        <x:f>MAX(T2067,1)+MAX(U2067,1)+MAX(V2067,1)</x:f>
        <x:v>9</x:v>
      </x:c>
      <x:c r="Z2067" s="21" t="str">
        <x:f>IF(AND(MIN(D2067:F2067)&gt;=0,MAX(D2067:F2067)&lt;=7,MAX(D2067,1)+MAX(E2067,1)+MAX(F2067,1)&lt;=9,OR(H2067="-",AND(H2067=0,D2067&gt;0),AND(H2067=1,E2067&gt;0),AND(H2067=2,F2067&gt;0)),OR(I2067=0,AND(I2067=1,OR(J2067=0,J2067=1,J2067=2),R2067&lt;&gt;"000")),Y2067&lt;=9,MIN(T2067:V2067)&gt;=0),"合法","输入违约")</x:f>
        <x:v>合法</x:v>
      </x:c>
    </x:row>
    <x:row r="2068" ht="23" customHeight="1">
      <x:c r="A2068" s="3" t="str">
        <x:v>CT-2061</x:v>
      </x:c>
      <x:c r="B2068" s="3" t="str">
        <x:v>ST-182</x:v>
      </x:c>
      <x:c r="C2068" s="3" t="str">
        <x:v>仅R回收</x:v>
      </x:c>
      <x:c r="D2068" s="25" t="n">
        <x:v>4</x:v>
      </x:c>
      <x:c r="E2068" s="25" t="n">
        <x:v>2</x:v>
      </x:c>
      <x:c r="F2068" s="25" t="n">
        <x:v>3</x:v>
      </x:c>
      <x:c r="G2068" s="19" t="n">
        <x:f>SUM(D2068:F2068)</x:f>
        <x:v>9</x:v>
      </x:c>
      <x:c r="H2068" s="25" t="n">
        <x:v>2</x:v>
      </x:c>
      <x:c r="I2068" s="25" t="n">
        <x:v>0</x:v>
      </x:c>
      <x:c r="J2068" s="25" t="str">
        <x:v>-</x:v>
      </x:c>
      <x:c r="K2068" s="19" t="n">
        <x:f>D2068-IF(H2068=0,1,0)</x:f>
        <x:v>4</x:v>
      </x:c>
      <x:c r="L2068" s="19" t="n">
        <x:f>E2068-IF(H2068=1,1,0)</x:f>
        <x:v>2</x:v>
      </x:c>
      <x:c r="M2068" s="19" t="n">
        <x:f>F2068-IF(H2068=2,1,0)</x:f>
        <x:v>2</x:v>
      </x:c>
      <x:c r="N2068" s="19" t="n">
        <x:f>MAX(K2068-1,0)+MAX(L2068-1,0)+MAX(M2068-1,0)</x:f>
        <x:v>5</x:v>
      </x:c>
      <x:c r="O2068" s="19" t="n">
        <x:f>IF(AND(SUM(K2068:M2068)&lt;9,OR(M2068=0,N2068&lt;6)),1,0)</x:f>
        <x:v>1</x:v>
      </x:c>
      <x:c r="P2068" s="19" t="n">
        <x:f>IF(AND(SUM(K2068:M2068)&lt;9,OR(L2068=0,N2068&lt;6)),1,0)</x:f>
        <x:v>1</x:v>
      </x:c>
      <x:c r="Q2068" s="19" t="n">
        <x:f>IF(AND(SUM(K2068:M2068)&lt;9,OR(K2068=0,N2068&lt;6)),1,0)</x:f>
        <x:v>1</x:v>
      </x:c>
      <x:c r="R2068" s="22" t="str">
        <x:f>O2068&amp;P2068&amp;Q2068</x:f>
        <x:v>111</x:v>
      </x:c>
      <x:c r="S2068" s="19" t="n">
        <x:f>IF(I2068=1,IF(J2068=0,Q2068,IF(J2068=1,P2068,IF(J2068=2,O2068,0))),0)</x:f>
        <x:v>0</x:v>
      </x:c>
      <x:c r="T2068" s="19" t="n">
        <x:f>K2068+IF(AND(S2068=1,J2068=0),1,0)</x:f>
        <x:v>4</x:v>
      </x:c>
      <x:c r="U2068" s="19" t="n">
        <x:f>L2068+IF(AND(S2068=1,J2068=1),1,0)</x:f>
        <x:v>2</x:v>
      </x:c>
      <x:c r="V2068" s="19" t="n">
        <x:f>M2068+IF(AND(S2068=1,J2068=2),1,0)</x:f>
        <x:v>2</x:v>
      </x:c>
      <x:c r="W2068" s="19" t="n">
        <x:f>SUM(T2068:V2068)</x:f>
        <x:v>8</x:v>
      </x:c>
      <x:c r="X2068" s="19" t="n">
        <x:f>W2068-G2068</x:f>
        <x:v>-1</x:v>
      </x:c>
      <x:c r="Y2068" s="19" t="n">
        <x:f>MAX(T2068,1)+MAX(U2068,1)+MAX(V2068,1)</x:f>
        <x:v>8</x:v>
      </x:c>
      <x:c r="Z2068" s="21" t="str">
        <x:f>IF(AND(MIN(D2068:F2068)&gt;=0,MAX(D2068:F2068)&lt;=7,MAX(D2068,1)+MAX(E2068,1)+MAX(F2068,1)&lt;=9,OR(H2068="-",AND(H2068=0,D2068&gt;0),AND(H2068=1,E2068&gt;0),AND(H2068=2,F2068&gt;0)),OR(I2068=0,AND(I2068=1,OR(J2068=0,J2068=1,J2068=2),R2068&lt;&gt;"000")),Y2068&lt;=9,MIN(T2068:V2068)&gt;=0),"合法","输入违约")</x:f>
        <x:v>合法</x:v>
      </x:c>
    </x:row>
    <x:row r="2069" ht="23" customHeight="1">
      <x:c r="A2069" s="3" t="str">
        <x:v>CT-2062</x:v>
      </x:c>
      <x:c r="B2069" s="3" t="str">
        <x:v>ST-182</x:v>
      </x:c>
      <x:c r="C2069" s="3" t="str">
        <x:v>R+AR同收同发</x:v>
      </x:c>
      <x:c r="D2069" s="25" t="n">
        <x:v>4</x:v>
      </x:c>
      <x:c r="E2069" s="25" t="n">
        <x:v>2</x:v>
      </x:c>
      <x:c r="F2069" s="25" t="n">
        <x:v>3</x:v>
      </x:c>
      <x:c r="G2069" s="19" t="n">
        <x:f>SUM(D2069:F2069)</x:f>
        <x:v>9</x:v>
      </x:c>
      <x:c r="H2069" s="25" t="n">
        <x:v>2</x:v>
      </x:c>
      <x:c r="I2069" s="25" t="n">
        <x:v>1</x:v>
      </x:c>
      <x:c r="J2069" s="25" t="n">
        <x:v>0</x:v>
      </x:c>
      <x:c r="K2069" s="19" t="n">
        <x:f>D2069-IF(H2069=0,1,0)</x:f>
        <x:v>4</x:v>
      </x:c>
      <x:c r="L2069" s="19" t="n">
        <x:f>E2069-IF(H2069=1,1,0)</x:f>
        <x:v>2</x:v>
      </x:c>
      <x:c r="M2069" s="19" t="n">
        <x:f>F2069-IF(H2069=2,1,0)</x:f>
        <x:v>2</x:v>
      </x:c>
      <x:c r="N2069" s="19" t="n">
        <x:f>MAX(K2069-1,0)+MAX(L2069-1,0)+MAX(M2069-1,0)</x:f>
        <x:v>5</x:v>
      </x:c>
      <x:c r="O2069" s="19" t="n">
        <x:f>IF(AND(SUM(K2069:M2069)&lt;9,OR(M2069=0,N2069&lt;6)),1,0)</x:f>
        <x:v>1</x:v>
      </x:c>
      <x:c r="P2069" s="19" t="n">
        <x:f>IF(AND(SUM(K2069:M2069)&lt;9,OR(L2069=0,N2069&lt;6)),1,0)</x:f>
        <x:v>1</x:v>
      </x:c>
      <x:c r="Q2069" s="19" t="n">
        <x:f>IF(AND(SUM(K2069:M2069)&lt;9,OR(K2069=0,N2069&lt;6)),1,0)</x:f>
        <x:v>1</x:v>
      </x:c>
      <x:c r="R2069" s="22" t="str">
        <x:f>O2069&amp;P2069&amp;Q2069</x:f>
        <x:v>111</x:v>
      </x:c>
      <x:c r="S2069" s="19" t="n">
        <x:f>IF(I2069=1,IF(J2069=0,Q2069,IF(J2069=1,P2069,IF(J2069=2,O2069,0))),0)</x:f>
        <x:v>1</x:v>
      </x:c>
      <x:c r="T2069" s="19" t="n">
        <x:f>K2069+IF(AND(S2069=1,J2069=0),1,0)</x:f>
        <x:v>5</x:v>
      </x:c>
      <x:c r="U2069" s="19" t="n">
        <x:f>L2069+IF(AND(S2069=1,J2069=1),1,0)</x:f>
        <x:v>2</x:v>
      </x:c>
      <x:c r="V2069" s="19" t="n">
        <x:f>M2069+IF(AND(S2069=1,J2069=2),1,0)</x:f>
        <x:v>2</x:v>
      </x:c>
      <x:c r="W2069" s="19" t="n">
        <x:f>SUM(T2069:V2069)</x:f>
        <x:v>9</x:v>
      </x:c>
      <x:c r="X2069" s="19" t="n">
        <x:f>W2069-G2069</x:f>
        <x:v>0</x:v>
      </x:c>
      <x:c r="Y2069" s="19" t="n">
        <x:f>MAX(T2069,1)+MAX(U2069,1)+MAX(V2069,1)</x:f>
        <x:v>9</x:v>
      </x:c>
      <x:c r="Z2069" s="21" t="str">
        <x:f>IF(AND(MIN(D2069:F2069)&gt;=0,MAX(D2069:F2069)&lt;=7,MAX(D2069,1)+MAX(E2069,1)+MAX(F2069,1)&lt;=9,OR(H2069="-",AND(H2069=0,D2069&gt;0),AND(H2069=1,E2069&gt;0),AND(H2069=2,F2069&gt;0)),OR(I2069=0,AND(I2069=1,OR(J2069=0,J2069=1,J2069=2),R2069&lt;&gt;"000")),Y2069&lt;=9,MIN(T2069:V2069)&gt;=0),"合法","输入违约")</x:f>
        <x:v>合法</x:v>
      </x:c>
    </x:row>
    <x:row r="2070" ht="23" customHeight="1">
      <x:c r="A2070" s="3" t="str">
        <x:v>CT-2063</x:v>
      </x:c>
      <x:c r="B2070" s="3" t="str">
        <x:v>ST-182</x:v>
      </x:c>
      <x:c r="C2070" s="3" t="str">
        <x:v>R+AR同收同发</x:v>
      </x:c>
      <x:c r="D2070" s="25" t="n">
        <x:v>4</x:v>
      </x:c>
      <x:c r="E2070" s="25" t="n">
        <x:v>2</x:v>
      </x:c>
      <x:c r="F2070" s="25" t="n">
        <x:v>3</x:v>
      </x:c>
      <x:c r="G2070" s="19" t="n">
        <x:f>SUM(D2070:F2070)</x:f>
        <x:v>9</x:v>
      </x:c>
      <x:c r="H2070" s="25" t="n">
        <x:v>2</x:v>
      </x:c>
      <x:c r="I2070" s="25" t="n">
        <x:v>1</x:v>
      </x:c>
      <x:c r="J2070" s="25" t="n">
        <x:v>1</x:v>
      </x:c>
      <x:c r="K2070" s="19" t="n">
        <x:f>D2070-IF(H2070=0,1,0)</x:f>
        <x:v>4</x:v>
      </x:c>
      <x:c r="L2070" s="19" t="n">
        <x:f>E2070-IF(H2070=1,1,0)</x:f>
        <x:v>2</x:v>
      </x:c>
      <x:c r="M2070" s="19" t="n">
        <x:f>F2070-IF(H2070=2,1,0)</x:f>
        <x:v>2</x:v>
      </x:c>
      <x:c r="N2070" s="19" t="n">
        <x:f>MAX(K2070-1,0)+MAX(L2070-1,0)+MAX(M2070-1,0)</x:f>
        <x:v>5</x:v>
      </x:c>
      <x:c r="O2070" s="19" t="n">
        <x:f>IF(AND(SUM(K2070:M2070)&lt;9,OR(M2070=0,N2070&lt;6)),1,0)</x:f>
        <x:v>1</x:v>
      </x:c>
      <x:c r="P2070" s="19" t="n">
        <x:f>IF(AND(SUM(K2070:M2070)&lt;9,OR(L2070=0,N2070&lt;6)),1,0)</x:f>
        <x:v>1</x:v>
      </x:c>
      <x:c r="Q2070" s="19" t="n">
        <x:f>IF(AND(SUM(K2070:M2070)&lt;9,OR(K2070=0,N2070&lt;6)),1,0)</x:f>
        <x:v>1</x:v>
      </x:c>
      <x:c r="R2070" s="22" t="str">
        <x:f>O2070&amp;P2070&amp;Q2070</x:f>
        <x:v>111</x:v>
      </x:c>
      <x:c r="S2070" s="19" t="n">
        <x:f>IF(I2070=1,IF(J2070=0,Q2070,IF(J2070=1,P2070,IF(J2070=2,O2070,0))),0)</x:f>
        <x:v>1</x:v>
      </x:c>
      <x:c r="T2070" s="19" t="n">
        <x:f>K2070+IF(AND(S2070=1,J2070=0),1,0)</x:f>
        <x:v>4</x:v>
      </x:c>
      <x:c r="U2070" s="19" t="n">
        <x:f>L2070+IF(AND(S2070=1,J2070=1),1,0)</x:f>
        <x:v>3</x:v>
      </x:c>
      <x:c r="V2070" s="19" t="n">
        <x:f>M2070+IF(AND(S2070=1,J2070=2),1,0)</x:f>
        <x:v>2</x:v>
      </x:c>
      <x:c r="W2070" s="19" t="n">
        <x:f>SUM(T2070:V2070)</x:f>
        <x:v>9</x:v>
      </x:c>
      <x:c r="X2070" s="19" t="n">
        <x:f>W2070-G2070</x:f>
        <x:v>0</x:v>
      </x:c>
      <x:c r="Y2070" s="19" t="n">
        <x:f>MAX(T2070,1)+MAX(U2070,1)+MAX(V2070,1)</x:f>
        <x:v>9</x:v>
      </x:c>
      <x:c r="Z2070" s="21" t="str">
        <x:f>IF(AND(MIN(D2070:F2070)&gt;=0,MAX(D2070:F2070)&lt;=7,MAX(D2070,1)+MAX(E2070,1)+MAX(F2070,1)&lt;=9,OR(H2070="-",AND(H2070=0,D2070&gt;0),AND(H2070=1,E2070&gt;0),AND(H2070=2,F2070&gt;0)),OR(I2070=0,AND(I2070=1,OR(J2070=0,J2070=1,J2070=2),R2070&lt;&gt;"000")),Y2070&lt;=9,MIN(T2070:V2070)&gt;=0),"合法","输入违约")</x:f>
        <x:v>合法</x:v>
      </x:c>
    </x:row>
    <x:row r="2071" ht="23" customHeight="1">
      <x:c r="A2071" s="3" t="str">
        <x:v>CT-2064</x:v>
      </x:c>
      <x:c r="B2071" s="3" t="str">
        <x:v>ST-182</x:v>
      </x:c>
      <x:c r="C2071" s="3" t="str">
        <x:v>R+AR同收同发</x:v>
      </x:c>
      <x:c r="D2071" s="25" t="n">
        <x:v>4</x:v>
      </x:c>
      <x:c r="E2071" s="25" t="n">
        <x:v>2</x:v>
      </x:c>
      <x:c r="F2071" s="25" t="n">
        <x:v>3</x:v>
      </x:c>
      <x:c r="G2071" s="19" t="n">
        <x:f>SUM(D2071:F2071)</x:f>
        <x:v>9</x:v>
      </x:c>
      <x:c r="H2071" s="25" t="n">
        <x:v>2</x:v>
      </x:c>
      <x:c r="I2071" s="25" t="n">
        <x:v>1</x:v>
      </x:c>
      <x:c r="J2071" s="25" t="n">
        <x:v>2</x:v>
      </x:c>
      <x:c r="K2071" s="19" t="n">
        <x:f>D2071-IF(H2071=0,1,0)</x:f>
        <x:v>4</x:v>
      </x:c>
      <x:c r="L2071" s="19" t="n">
        <x:f>E2071-IF(H2071=1,1,0)</x:f>
        <x:v>2</x:v>
      </x:c>
      <x:c r="M2071" s="19" t="n">
        <x:f>F2071-IF(H2071=2,1,0)</x:f>
        <x:v>2</x:v>
      </x:c>
      <x:c r="N2071" s="19" t="n">
        <x:f>MAX(K2071-1,0)+MAX(L2071-1,0)+MAX(M2071-1,0)</x:f>
        <x:v>5</x:v>
      </x:c>
      <x:c r="O2071" s="19" t="n">
        <x:f>IF(AND(SUM(K2071:M2071)&lt;9,OR(M2071=0,N2071&lt;6)),1,0)</x:f>
        <x:v>1</x:v>
      </x:c>
      <x:c r="P2071" s="19" t="n">
        <x:f>IF(AND(SUM(K2071:M2071)&lt;9,OR(L2071=0,N2071&lt;6)),1,0)</x:f>
        <x:v>1</x:v>
      </x:c>
      <x:c r="Q2071" s="19" t="n">
        <x:f>IF(AND(SUM(K2071:M2071)&lt;9,OR(K2071=0,N2071&lt;6)),1,0)</x:f>
        <x:v>1</x:v>
      </x:c>
      <x:c r="R2071" s="22" t="str">
        <x:f>O2071&amp;P2071&amp;Q2071</x:f>
        <x:v>111</x:v>
      </x:c>
      <x:c r="S2071" s="19" t="n">
        <x:f>IF(I2071=1,IF(J2071=0,Q2071,IF(J2071=1,P2071,IF(J2071=2,O2071,0))),0)</x:f>
        <x:v>1</x:v>
      </x:c>
      <x:c r="T2071" s="19" t="n">
        <x:f>K2071+IF(AND(S2071=1,J2071=0),1,0)</x:f>
        <x:v>4</x:v>
      </x:c>
      <x:c r="U2071" s="19" t="n">
        <x:f>L2071+IF(AND(S2071=1,J2071=1),1,0)</x:f>
        <x:v>2</x:v>
      </x:c>
      <x:c r="V2071" s="19" t="n">
        <x:f>M2071+IF(AND(S2071=1,J2071=2),1,0)</x:f>
        <x:v>3</x:v>
      </x:c>
      <x:c r="W2071" s="19" t="n">
        <x:f>SUM(T2071:V2071)</x:f>
        <x:v>9</x:v>
      </x:c>
      <x:c r="X2071" s="19" t="n">
        <x:f>W2071-G2071</x:f>
        <x:v>0</x:v>
      </x:c>
      <x:c r="Y2071" s="19" t="n">
        <x:f>MAX(T2071,1)+MAX(U2071,1)+MAX(V2071,1)</x:f>
        <x:v>9</x:v>
      </x:c>
      <x:c r="Z2071" s="21" t="str">
        <x:f>IF(AND(MIN(D2071:F2071)&gt;=0,MAX(D2071:F2071)&lt;=7,MAX(D2071,1)+MAX(E2071,1)+MAX(F2071,1)&lt;=9,OR(H2071="-",AND(H2071=0,D2071&gt;0),AND(H2071=1,E2071&gt;0),AND(H2071=2,F2071&gt;0)),OR(I2071=0,AND(I2071=1,OR(J2071=0,J2071=1,J2071=2),R2071&lt;&gt;"000")),Y2071&lt;=9,MIN(T2071:V2071)&gt;=0),"合法","输入违约")</x:f>
        <x:v>合法</x:v>
      </x:c>
    </x:row>
    <x:row r="2072" ht="23" customHeight="1">
      <x:c r="A2072" s="3" t="str">
        <x:v>CT-2065</x:v>
      </x:c>
      <x:c r="B2072" s="3" t="str">
        <x:v>ST-114</x:v>
      </x:c>
      <x:c r="C2072" s="3" t="str">
        <x:v>无AR/R</x:v>
      </x:c>
      <x:c r="D2072" s="25" t="n">
        <x:v>4</x:v>
      </x:c>
      <x:c r="E2072" s="25" t="n">
        <x:v>3</x:v>
      </x:c>
      <x:c r="F2072" s="25" t="n">
        <x:v>0</x:v>
      </x:c>
      <x:c r="G2072" s="19" t="n">
        <x:f>SUM(D2072:F2072)</x:f>
        <x:v>7</x:v>
      </x:c>
      <x:c r="H2072" s="25" t="str">
        <x:v>-</x:v>
      </x:c>
      <x:c r="I2072" s="25" t="n">
        <x:v>0</x:v>
      </x:c>
      <x:c r="J2072" s="25" t="str">
        <x:v>-</x:v>
      </x:c>
      <x:c r="K2072" s="19" t="n">
        <x:f>D2072-IF(H2072=0,1,0)</x:f>
        <x:v>4</x:v>
      </x:c>
      <x:c r="L2072" s="19" t="n">
        <x:f>E2072-IF(H2072=1,1,0)</x:f>
        <x:v>3</x:v>
      </x:c>
      <x:c r="M2072" s="19" t="n">
        <x:f>F2072-IF(H2072=2,1,0)</x:f>
        <x:v>0</x:v>
      </x:c>
      <x:c r="N2072" s="19" t="n">
        <x:f>MAX(K2072-1,0)+MAX(L2072-1,0)+MAX(M2072-1,0)</x:f>
        <x:v>5</x:v>
      </x:c>
      <x:c r="O2072" s="19" t="n">
        <x:f>IF(AND(SUM(K2072:M2072)&lt;9,OR(M2072=0,N2072&lt;6)),1,0)</x:f>
        <x:v>1</x:v>
      </x:c>
      <x:c r="P2072" s="19" t="n">
        <x:f>IF(AND(SUM(K2072:M2072)&lt;9,OR(L2072=0,N2072&lt;6)),1,0)</x:f>
        <x:v>1</x:v>
      </x:c>
      <x:c r="Q2072" s="19" t="n">
        <x:f>IF(AND(SUM(K2072:M2072)&lt;9,OR(K2072=0,N2072&lt;6)),1,0)</x:f>
        <x:v>1</x:v>
      </x:c>
      <x:c r="R2072" s="22" t="str">
        <x:f>O2072&amp;P2072&amp;Q2072</x:f>
        <x:v>111</x:v>
      </x:c>
      <x:c r="S2072" s="19" t="n">
        <x:f>IF(I2072=1,IF(J2072=0,Q2072,IF(J2072=1,P2072,IF(J2072=2,O2072,0))),0)</x:f>
        <x:v>0</x:v>
      </x:c>
      <x:c r="T2072" s="19" t="n">
        <x:f>K2072+IF(AND(S2072=1,J2072=0),1,0)</x:f>
        <x:v>4</x:v>
      </x:c>
      <x:c r="U2072" s="19" t="n">
        <x:f>L2072+IF(AND(S2072=1,J2072=1),1,0)</x:f>
        <x:v>3</x:v>
      </x:c>
      <x:c r="V2072" s="19" t="n">
        <x:f>M2072+IF(AND(S2072=1,J2072=2),1,0)</x:f>
        <x:v>0</x:v>
      </x:c>
      <x:c r="W2072" s="19" t="n">
        <x:f>SUM(T2072:V2072)</x:f>
        <x:v>7</x:v>
      </x:c>
      <x:c r="X2072" s="19" t="n">
        <x:f>W2072-G2072</x:f>
        <x:v>0</x:v>
      </x:c>
      <x:c r="Y2072" s="19" t="n">
        <x:f>MAX(T2072,1)+MAX(U2072,1)+MAX(V2072,1)</x:f>
        <x:v>8</x:v>
      </x:c>
      <x:c r="Z2072" s="21" t="str">
        <x:f>IF(AND(MIN(D2072:F2072)&gt;=0,MAX(D2072:F2072)&lt;=7,MAX(D2072,1)+MAX(E2072,1)+MAX(F2072,1)&lt;=9,OR(H2072="-",AND(H2072=0,D2072&gt;0),AND(H2072=1,E2072&gt;0),AND(H2072=2,F2072&gt;0)),OR(I2072=0,AND(I2072=1,OR(J2072=0,J2072=1,J2072=2),R2072&lt;&gt;"000")),Y2072&lt;=9,MIN(T2072:V2072)&gt;=0),"合法","输入违约")</x:f>
        <x:v>合法</x:v>
      </x:c>
    </x:row>
    <x:row r="2073" ht="23" customHeight="1">
      <x:c r="A2073" s="3" t="str">
        <x:v>CT-2066</x:v>
      </x:c>
      <x:c r="B2073" s="3" t="str">
        <x:v>ST-114</x:v>
      </x:c>
      <x:c r="C2073" s="3" t="str">
        <x:v>仅AR接收</x:v>
      </x:c>
      <x:c r="D2073" s="25" t="n">
        <x:v>4</x:v>
      </x:c>
      <x:c r="E2073" s="25" t="n">
        <x:v>3</x:v>
      </x:c>
      <x:c r="F2073" s="25" t="n">
        <x:v>0</x:v>
      </x:c>
      <x:c r="G2073" s="19" t="n">
        <x:f>SUM(D2073:F2073)</x:f>
        <x:v>7</x:v>
      </x:c>
      <x:c r="H2073" s="25" t="str">
        <x:v>-</x:v>
      </x:c>
      <x:c r="I2073" s="25" t="n">
        <x:v>1</x:v>
      </x:c>
      <x:c r="J2073" s="25" t="n">
        <x:v>0</x:v>
      </x:c>
      <x:c r="K2073" s="19" t="n">
        <x:f>D2073-IF(H2073=0,1,0)</x:f>
        <x:v>4</x:v>
      </x:c>
      <x:c r="L2073" s="19" t="n">
        <x:f>E2073-IF(H2073=1,1,0)</x:f>
        <x:v>3</x:v>
      </x:c>
      <x:c r="M2073" s="19" t="n">
        <x:f>F2073-IF(H2073=2,1,0)</x:f>
        <x:v>0</x:v>
      </x:c>
      <x:c r="N2073" s="19" t="n">
        <x:f>MAX(K2073-1,0)+MAX(L2073-1,0)+MAX(M2073-1,0)</x:f>
        <x:v>5</x:v>
      </x:c>
      <x:c r="O2073" s="19" t="n">
        <x:f>IF(AND(SUM(K2073:M2073)&lt;9,OR(M2073=0,N2073&lt;6)),1,0)</x:f>
        <x:v>1</x:v>
      </x:c>
      <x:c r="P2073" s="19" t="n">
        <x:f>IF(AND(SUM(K2073:M2073)&lt;9,OR(L2073=0,N2073&lt;6)),1,0)</x:f>
        <x:v>1</x:v>
      </x:c>
      <x:c r="Q2073" s="19" t="n">
        <x:f>IF(AND(SUM(K2073:M2073)&lt;9,OR(K2073=0,N2073&lt;6)),1,0)</x:f>
        <x:v>1</x:v>
      </x:c>
      <x:c r="R2073" s="22" t="str">
        <x:f>O2073&amp;P2073&amp;Q2073</x:f>
        <x:v>111</x:v>
      </x:c>
      <x:c r="S2073" s="19" t="n">
        <x:f>IF(I2073=1,IF(J2073=0,Q2073,IF(J2073=1,P2073,IF(J2073=2,O2073,0))),0)</x:f>
        <x:v>1</x:v>
      </x:c>
      <x:c r="T2073" s="19" t="n">
        <x:f>K2073+IF(AND(S2073=1,J2073=0),1,0)</x:f>
        <x:v>5</x:v>
      </x:c>
      <x:c r="U2073" s="19" t="n">
        <x:f>L2073+IF(AND(S2073=1,J2073=1),1,0)</x:f>
        <x:v>3</x:v>
      </x:c>
      <x:c r="V2073" s="19" t="n">
        <x:f>M2073+IF(AND(S2073=1,J2073=2),1,0)</x:f>
        <x:v>0</x:v>
      </x:c>
      <x:c r="W2073" s="19" t="n">
        <x:f>SUM(T2073:V2073)</x:f>
        <x:v>8</x:v>
      </x:c>
      <x:c r="X2073" s="19" t="n">
        <x:f>W2073-G2073</x:f>
        <x:v>1</x:v>
      </x:c>
      <x:c r="Y2073" s="19" t="n">
        <x:f>MAX(T2073,1)+MAX(U2073,1)+MAX(V2073,1)</x:f>
        <x:v>9</x:v>
      </x:c>
      <x:c r="Z2073" s="21" t="str">
        <x:f>IF(AND(MIN(D2073:F2073)&gt;=0,MAX(D2073:F2073)&lt;=7,MAX(D2073,1)+MAX(E2073,1)+MAX(F2073,1)&lt;=9,OR(H2073="-",AND(H2073=0,D2073&gt;0),AND(H2073=1,E2073&gt;0),AND(H2073=2,F2073&gt;0)),OR(I2073=0,AND(I2073=1,OR(J2073=0,J2073=1,J2073=2),R2073&lt;&gt;"000")),Y2073&lt;=9,MIN(T2073:V2073)&gt;=0),"合法","输入违约")</x:f>
        <x:v>合法</x:v>
      </x:c>
    </x:row>
    <x:row r="2074" ht="23" customHeight="1">
      <x:c r="A2074" s="3" t="str">
        <x:v>CT-2067</x:v>
      </x:c>
      <x:c r="B2074" s="3" t="str">
        <x:v>ST-114</x:v>
      </x:c>
      <x:c r="C2074" s="3" t="str">
        <x:v>仅AR接收</x:v>
      </x:c>
      <x:c r="D2074" s="25" t="n">
        <x:v>4</x:v>
      </x:c>
      <x:c r="E2074" s="25" t="n">
        <x:v>3</x:v>
      </x:c>
      <x:c r="F2074" s="25" t="n">
        <x:v>0</x:v>
      </x:c>
      <x:c r="G2074" s="19" t="n">
        <x:f>SUM(D2074:F2074)</x:f>
        <x:v>7</x:v>
      </x:c>
      <x:c r="H2074" s="25" t="str">
        <x:v>-</x:v>
      </x:c>
      <x:c r="I2074" s="25" t="n">
        <x:v>1</x:v>
      </x:c>
      <x:c r="J2074" s="25" t="n">
        <x:v>1</x:v>
      </x:c>
      <x:c r="K2074" s="19" t="n">
        <x:f>D2074-IF(H2074=0,1,0)</x:f>
        <x:v>4</x:v>
      </x:c>
      <x:c r="L2074" s="19" t="n">
        <x:f>E2074-IF(H2074=1,1,0)</x:f>
        <x:v>3</x:v>
      </x:c>
      <x:c r="M2074" s="19" t="n">
        <x:f>F2074-IF(H2074=2,1,0)</x:f>
        <x:v>0</x:v>
      </x:c>
      <x:c r="N2074" s="19" t="n">
        <x:f>MAX(K2074-1,0)+MAX(L2074-1,0)+MAX(M2074-1,0)</x:f>
        <x:v>5</x:v>
      </x:c>
      <x:c r="O2074" s="19" t="n">
        <x:f>IF(AND(SUM(K2074:M2074)&lt;9,OR(M2074=0,N2074&lt;6)),1,0)</x:f>
        <x:v>1</x:v>
      </x:c>
      <x:c r="P2074" s="19" t="n">
        <x:f>IF(AND(SUM(K2074:M2074)&lt;9,OR(L2074=0,N2074&lt;6)),1,0)</x:f>
        <x:v>1</x:v>
      </x:c>
      <x:c r="Q2074" s="19" t="n">
        <x:f>IF(AND(SUM(K2074:M2074)&lt;9,OR(K2074=0,N2074&lt;6)),1,0)</x:f>
        <x:v>1</x:v>
      </x:c>
      <x:c r="R2074" s="22" t="str">
        <x:f>O2074&amp;P2074&amp;Q2074</x:f>
        <x:v>111</x:v>
      </x:c>
      <x:c r="S2074" s="19" t="n">
        <x:f>IF(I2074=1,IF(J2074=0,Q2074,IF(J2074=1,P2074,IF(J2074=2,O2074,0))),0)</x:f>
        <x:v>1</x:v>
      </x:c>
      <x:c r="T2074" s="19" t="n">
        <x:f>K2074+IF(AND(S2074=1,J2074=0),1,0)</x:f>
        <x:v>4</x:v>
      </x:c>
      <x:c r="U2074" s="19" t="n">
        <x:f>L2074+IF(AND(S2074=1,J2074=1),1,0)</x:f>
        <x:v>4</x:v>
      </x:c>
      <x:c r="V2074" s="19" t="n">
        <x:f>M2074+IF(AND(S2074=1,J2074=2),1,0)</x:f>
        <x:v>0</x:v>
      </x:c>
      <x:c r="W2074" s="19" t="n">
        <x:f>SUM(T2074:V2074)</x:f>
        <x:v>8</x:v>
      </x:c>
      <x:c r="X2074" s="19" t="n">
        <x:f>W2074-G2074</x:f>
        <x:v>1</x:v>
      </x:c>
      <x:c r="Y2074" s="19" t="n">
        <x:f>MAX(T2074,1)+MAX(U2074,1)+MAX(V2074,1)</x:f>
        <x:v>9</x:v>
      </x:c>
      <x:c r="Z2074" s="21" t="str">
        <x:f>IF(AND(MIN(D2074:F2074)&gt;=0,MAX(D2074:F2074)&lt;=7,MAX(D2074,1)+MAX(E2074,1)+MAX(F2074,1)&lt;=9,OR(H2074="-",AND(H2074=0,D2074&gt;0),AND(H2074=1,E2074&gt;0),AND(H2074=2,F2074&gt;0)),OR(I2074=0,AND(I2074=1,OR(J2074=0,J2074=1,J2074=2),R2074&lt;&gt;"000")),Y2074&lt;=9,MIN(T2074:V2074)&gt;=0),"合法","输入违约")</x:f>
        <x:v>合法</x:v>
      </x:c>
    </x:row>
    <x:row r="2075" ht="23" customHeight="1">
      <x:c r="A2075" s="3" t="str">
        <x:v>CT-2068</x:v>
      </x:c>
      <x:c r="B2075" s="3" t="str">
        <x:v>ST-114</x:v>
      </x:c>
      <x:c r="C2075" s="3" t="str">
        <x:v>仅AR接收</x:v>
      </x:c>
      <x:c r="D2075" s="25" t="n">
        <x:v>4</x:v>
      </x:c>
      <x:c r="E2075" s="25" t="n">
        <x:v>3</x:v>
      </x:c>
      <x:c r="F2075" s="25" t="n">
        <x:v>0</x:v>
      </x:c>
      <x:c r="G2075" s="19" t="n">
        <x:f>SUM(D2075:F2075)</x:f>
        <x:v>7</x:v>
      </x:c>
      <x:c r="H2075" s="25" t="str">
        <x:v>-</x:v>
      </x:c>
      <x:c r="I2075" s="25" t="n">
        <x:v>1</x:v>
      </x:c>
      <x:c r="J2075" s="25" t="n">
        <x:v>2</x:v>
      </x:c>
      <x:c r="K2075" s="19" t="n">
        <x:f>D2075-IF(H2075=0,1,0)</x:f>
        <x:v>4</x:v>
      </x:c>
      <x:c r="L2075" s="19" t="n">
        <x:f>E2075-IF(H2075=1,1,0)</x:f>
        <x:v>3</x:v>
      </x:c>
      <x:c r="M2075" s="19" t="n">
        <x:f>F2075-IF(H2075=2,1,0)</x:f>
        <x:v>0</x:v>
      </x:c>
      <x:c r="N2075" s="19" t="n">
        <x:f>MAX(K2075-1,0)+MAX(L2075-1,0)+MAX(M2075-1,0)</x:f>
        <x:v>5</x:v>
      </x:c>
      <x:c r="O2075" s="19" t="n">
        <x:f>IF(AND(SUM(K2075:M2075)&lt;9,OR(M2075=0,N2075&lt;6)),1,0)</x:f>
        <x:v>1</x:v>
      </x:c>
      <x:c r="P2075" s="19" t="n">
        <x:f>IF(AND(SUM(K2075:M2075)&lt;9,OR(L2075=0,N2075&lt;6)),1,0)</x:f>
        <x:v>1</x:v>
      </x:c>
      <x:c r="Q2075" s="19" t="n">
        <x:f>IF(AND(SUM(K2075:M2075)&lt;9,OR(K2075=0,N2075&lt;6)),1,0)</x:f>
        <x:v>1</x:v>
      </x:c>
      <x:c r="R2075" s="22" t="str">
        <x:f>O2075&amp;P2075&amp;Q2075</x:f>
        <x:v>111</x:v>
      </x:c>
      <x:c r="S2075" s="19" t="n">
        <x:f>IF(I2075=1,IF(J2075=0,Q2075,IF(J2075=1,P2075,IF(J2075=2,O2075,0))),0)</x:f>
        <x:v>1</x:v>
      </x:c>
      <x:c r="T2075" s="19" t="n">
        <x:f>K2075+IF(AND(S2075=1,J2075=0),1,0)</x:f>
        <x:v>4</x:v>
      </x:c>
      <x:c r="U2075" s="19" t="n">
        <x:f>L2075+IF(AND(S2075=1,J2075=1),1,0)</x:f>
        <x:v>3</x:v>
      </x:c>
      <x:c r="V2075" s="19" t="n">
        <x:f>M2075+IF(AND(S2075=1,J2075=2),1,0)</x:f>
        <x:v>1</x:v>
      </x:c>
      <x:c r="W2075" s="19" t="n">
        <x:f>SUM(T2075:V2075)</x:f>
        <x:v>8</x:v>
      </x:c>
      <x:c r="X2075" s="19" t="n">
        <x:f>W2075-G2075</x:f>
        <x:v>1</x:v>
      </x:c>
      <x:c r="Y2075" s="19" t="n">
        <x:f>MAX(T2075,1)+MAX(U2075,1)+MAX(V2075,1)</x:f>
        <x:v>8</x:v>
      </x:c>
      <x:c r="Z2075" s="21" t="str">
        <x:f>IF(AND(MIN(D2075:F2075)&gt;=0,MAX(D2075:F2075)&lt;=7,MAX(D2075,1)+MAX(E2075,1)+MAX(F2075,1)&lt;=9,OR(H2075="-",AND(H2075=0,D2075&gt;0),AND(H2075=1,E2075&gt;0),AND(H2075=2,F2075&gt;0)),OR(I2075=0,AND(I2075=1,OR(J2075=0,J2075=1,J2075=2),R2075&lt;&gt;"000")),Y2075&lt;=9,MIN(T2075:V2075)&gt;=0),"合法","输入违约")</x:f>
        <x:v>合法</x:v>
      </x:c>
    </x:row>
    <x:row r="2076" ht="23" customHeight="1">
      <x:c r="A2076" s="3" t="str">
        <x:v>CT-2069</x:v>
      </x:c>
      <x:c r="B2076" s="3" t="str">
        <x:v>ST-114</x:v>
      </x:c>
      <x:c r="C2076" s="3" t="str">
        <x:v>仅R回收</x:v>
      </x:c>
      <x:c r="D2076" s="25" t="n">
        <x:v>4</x:v>
      </x:c>
      <x:c r="E2076" s="25" t="n">
        <x:v>3</x:v>
      </x:c>
      <x:c r="F2076" s="25" t="n">
        <x:v>0</x:v>
      </x:c>
      <x:c r="G2076" s="19" t="n">
        <x:f>SUM(D2076:F2076)</x:f>
        <x:v>7</x:v>
      </x:c>
      <x:c r="H2076" s="25" t="n">
        <x:v>0</x:v>
      </x:c>
      <x:c r="I2076" s="25" t="n">
        <x:v>0</x:v>
      </x:c>
      <x:c r="J2076" s="25" t="str">
        <x:v>-</x:v>
      </x:c>
      <x:c r="K2076" s="19" t="n">
        <x:f>D2076-IF(H2076=0,1,0)</x:f>
        <x:v>3</x:v>
      </x:c>
      <x:c r="L2076" s="19" t="n">
        <x:f>E2076-IF(H2076=1,1,0)</x:f>
        <x:v>3</x:v>
      </x:c>
      <x:c r="M2076" s="19" t="n">
        <x:f>F2076-IF(H2076=2,1,0)</x:f>
        <x:v>0</x:v>
      </x:c>
      <x:c r="N2076" s="19" t="n">
        <x:f>MAX(K2076-1,0)+MAX(L2076-1,0)+MAX(M2076-1,0)</x:f>
        <x:v>4</x:v>
      </x:c>
      <x:c r="O2076" s="19" t="n">
        <x:f>IF(AND(SUM(K2076:M2076)&lt;9,OR(M2076=0,N2076&lt;6)),1,0)</x:f>
        <x:v>1</x:v>
      </x:c>
      <x:c r="P2076" s="19" t="n">
        <x:f>IF(AND(SUM(K2076:M2076)&lt;9,OR(L2076=0,N2076&lt;6)),1,0)</x:f>
        <x:v>1</x:v>
      </x:c>
      <x:c r="Q2076" s="19" t="n">
        <x:f>IF(AND(SUM(K2076:M2076)&lt;9,OR(K2076=0,N2076&lt;6)),1,0)</x:f>
        <x:v>1</x:v>
      </x:c>
      <x:c r="R2076" s="22" t="str">
        <x:f>O2076&amp;P2076&amp;Q2076</x:f>
        <x:v>111</x:v>
      </x:c>
      <x:c r="S2076" s="19" t="n">
        <x:f>IF(I2076=1,IF(J2076=0,Q2076,IF(J2076=1,P2076,IF(J2076=2,O2076,0))),0)</x:f>
        <x:v>0</x:v>
      </x:c>
      <x:c r="T2076" s="19" t="n">
        <x:f>K2076+IF(AND(S2076=1,J2076=0),1,0)</x:f>
        <x:v>3</x:v>
      </x:c>
      <x:c r="U2076" s="19" t="n">
        <x:f>L2076+IF(AND(S2076=1,J2076=1),1,0)</x:f>
        <x:v>3</x:v>
      </x:c>
      <x:c r="V2076" s="19" t="n">
        <x:f>M2076+IF(AND(S2076=1,J2076=2),1,0)</x:f>
        <x:v>0</x:v>
      </x:c>
      <x:c r="W2076" s="19" t="n">
        <x:f>SUM(T2076:V2076)</x:f>
        <x:v>6</x:v>
      </x:c>
      <x:c r="X2076" s="19" t="n">
        <x:f>W2076-G2076</x:f>
        <x:v>-1</x:v>
      </x:c>
      <x:c r="Y2076" s="19" t="n">
        <x:f>MAX(T2076,1)+MAX(U2076,1)+MAX(V2076,1)</x:f>
        <x:v>7</x:v>
      </x:c>
      <x:c r="Z2076" s="21" t="str">
        <x:f>IF(AND(MIN(D2076:F2076)&gt;=0,MAX(D2076:F2076)&lt;=7,MAX(D2076,1)+MAX(E2076,1)+MAX(F2076,1)&lt;=9,OR(H2076="-",AND(H2076=0,D2076&gt;0),AND(H2076=1,E2076&gt;0),AND(H2076=2,F2076&gt;0)),OR(I2076=0,AND(I2076=1,OR(J2076=0,J2076=1,J2076=2),R2076&lt;&gt;"000")),Y2076&lt;=9,MIN(T2076:V2076)&gt;=0),"合法","输入违约")</x:f>
        <x:v>合法</x:v>
      </x:c>
    </x:row>
    <x:row r="2077" ht="23" customHeight="1">
      <x:c r="A2077" s="3" t="str">
        <x:v>CT-2070</x:v>
      </x:c>
      <x:c r="B2077" s="3" t="str">
        <x:v>ST-114</x:v>
      </x:c>
      <x:c r="C2077" s="3" t="str">
        <x:v>R+AR同收同发</x:v>
      </x:c>
      <x:c r="D2077" s="25" t="n">
        <x:v>4</x:v>
      </x:c>
      <x:c r="E2077" s="25" t="n">
        <x:v>3</x:v>
      </x:c>
      <x:c r="F2077" s="25" t="n">
        <x:v>0</x:v>
      </x:c>
      <x:c r="G2077" s="19" t="n">
        <x:f>SUM(D2077:F2077)</x:f>
        <x:v>7</x:v>
      </x:c>
      <x:c r="H2077" s="25" t="n">
        <x:v>0</x:v>
      </x:c>
      <x:c r="I2077" s="25" t="n">
        <x:v>1</x:v>
      </x:c>
      <x:c r="J2077" s="25" t="n">
        <x:v>0</x:v>
      </x:c>
      <x:c r="K2077" s="19" t="n">
        <x:f>D2077-IF(H2077=0,1,0)</x:f>
        <x:v>3</x:v>
      </x:c>
      <x:c r="L2077" s="19" t="n">
        <x:f>E2077-IF(H2077=1,1,0)</x:f>
        <x:v>3</x:v>
      </x:c>
      <x:c r="M2077" s="19" t="n">
        <x:f>F2077-IF(H2077=2,1,0)</x:f>
        <x:v>0</x:v>
      </x:c>
      <x:c r="N2077" s="19" t="n">
        <x:f>MAX(K2077-1,0)+MAX(L2077-1,0)+MAX(M2077-1,0)</x:f>
        <x:v>4</x:v>
      </x:c>
      <x:c r="O2077" s="19" t="n">
        <x:f>IF(AND(SUM(K2077:M2077)&lt;9,OR(M2077=0,N2077&lt;6)),1,0)</x:f>
        <x:v>1</x:v>
      </x:c>
      <x:c r="P2077" s="19" t="n">
        <x:f>IF(AND(SUM(K2077:M2077)&lt;9,OR(L2077=0,N2077&lt;6)),1,0)</x:f>
        <x:v>1</x:v>
      </x:c>
      <x:c r="Q2077" s="19" t="n">
        <x:f>IF(AND(SUM(K2077:M2077)&lt;9,OR(K2077=0,N2077&lt;6)),1,0)</x:f>
        <x:v>1</x:v>
      </x:c>
      <x:c r="R2077" s="22" t="str">
        <x:f>O2077&amp;P2077&amp;Q2077</x:f>
        <x:v>111</x:v>
      </x:c>
      <x:c r="S2077" s="19" t="n">
        <x:f>IF(I2077=1,IF(J2077=0,Q2077,IF(J2077=1,P2077,IF(J2077=2,O2077,0))),0)</x:f>
        <x:v>1</x:v>
      </x:c>
      <x:c r="T2077" s="19" t="n">
        <x:f>K2077+IF(AND(S2077=1,J2077=0),1,0)</x:f>
        <x:v>4</x:v>
      </x:c>
      <x:c r="U2077" s="19" t="n">
        <x:f>L2077+IF(AND(S2077=1,J2077=1),1,0)</x:f>
        <x:v>3</x:v>
      </x:c>
      <x:c r="V2077" s="19" t="n">
        <x:f>M2077+IF(AND(S2077=1,J2077=2),1,0)</x:f>
        <x:v>0</x:v>
      </x:c>
      <x:c r="W2077" s="19" t="n">
        <x:f>SUM(T2077:V2077)</x:f>
        <x:v>7</x:v>
      </x:c>
      <x:c r="X2077" s="19" t="n">
        <x:f>W2077-G2077</x:f>
        <x:v>0</x:v>
      </x:c>
      <x:c r="Y2077" s="19" t="n">
        <x:f>MAX(T2077,1)+MAX(U2077,1)+MAX(V2077,1)</x:f>
        <x:v>8</x:v>
      </x:c>
      <x:c r="Z2077" s="21" t="str">
        <x:f>IF(AND(MIN(D2077:F2077)&gt;=0,MAX(D2077:F2077)&lt;=7,MAX(D2077,1)+MAX(E2077,1)+MAX(F2077,1)&lt;=9,OR(H2077="-",AND(H2077=0,D2077&gt;0),AND(H2077=1,E2077&gt;0),AND(H2077=2,F2077&gt;0)),OR(I2077=0,AND(I2077=1,OR(J2077=0,J2077=1,J2077=2),R2077&lt;&gt;"000")),Y2077&lt;=9,MIN(T2077:V2077)&gt;=0),"合法","输入违约")</x:f>
        <x:v>合法</x:v>
      </x:c>
    </x:row>
    <x:row r="2078" ht="23" customHeight="1">
      <x:c r="A2078" s="3" t="str">
        <x:v>CT-2071</x:v>
      </x:c>
      <x:c r="B2078" s="3" t="str">
        <x:v>ST-114</x:v>
      </x:c>
      <x:c r="C2078" s="3" t="str">
        <x:v>R+AR同收同发</x:v>
      </x:c>
      <x:c r="D2078" s="25" t="n">
        <x:v>4</x:v>
      </x:c>
      <x:c r="E2078" s="25" t="n">
        <x:v>3</x:v>
      </x:c>
      <x:c r="F2078" s="25" t="n">
        <x:v>0</x:v>
      </x:c>
      <x:c r="G2078" s="19" t="n">
        <x:f>SUM(D2078:F2078)</x:f>
        <x:v>7</x:v>
      </x:c>
      <x:c r="H2078" s="25" t="n">
        <x:v>0</x:v>
      </x:c>
      <x:c r="I2078" s="25" t="n">
        <x:v>1</x:v>
      </x:c>
      <x:c r="J2078" s="25" t="n">
        <x:v>1</x:v>
      </x:c>
      <x:c r="K2078" s="19" t="n">
        <x:f>D2078-IF(H2078=0,1,0)</x:f>
        <x:v>3</x:v>
      </x:c>
      <x:c r="L2078" s="19" t="n">
        <x:f>E2078-IF(H2078=1,1,0)</x:f>
        <x:v>3</x:v>
      </x:c>
      <x:c r="M2078" s="19" t="n">
        <x:f>F2078-IF(H2078=2,1,0)</x:f>
        <x:v>0</x:v>
      </x:c>
      <x:c r="N2078" s="19" t="n">
        <x:f>MAX(K2078-1,0)+MAX(L2078-1,0)+MAX(M2078-1,0)</x:f>
        <x:v>4</x:v>
      </x:c>
      <x:c r="O2078" s="19" t="n">
        <x:f>IF(AND(SUM(K2078:M2078)&lt;9,OR(M2078=0,N2078&lt;6)),1,0)</x:f>
        <x:v>1</x:v>
      </x:c>
      <x:c r="P2078" s="19" t="n">
        <x:f>IF(AND(SUM(K2078:M2078)&lt;9,OR(L2078=0,N2078&lt;6)),1,0)</x:f>
        <x:v>1</x:v>
      </x:c>
      <x:c r="Q2078" s="19" t="n">
        <x:f>IF(AND(SUM(K2078:M2078)&lt;9,OR(K2078=0,N2078&lt;6)),1,0)</x:f>
        <x:v>1</x:v>
      </x:c>
      <x:c r="R2078" s="22" t="str">
        <x:f>O2078&amp;P2078&amp;Q2078</x:f>
        <x:v>111</x:v>
      </x:c>
      <x:c r="S2078" s="19" t="n">
        <x:f>IF(I2078=1,IF(J2078=0,Q2078,IF(J2078=1,P2078,IF(J2078=2,O2078,0))),0)</x:f>
        <x:v>1</x:v>
      </x:c>
      <x:c r="T2078" s="19" t="n">
        <x:f>K2078+IF(AND(S2078=1,J2078=0),1,0)</x:f>
        <x:v>3</x:v>
      </x:c>
      <x:c r="U2078" s="19" t="n">
        <x:f>L2078+IF(AND(S2078=1,J2078=1),1,0)</x:f>
        <x:v>4</x:v>
      </x:c>
      <x:c r="V2078" s="19" t="n">
        <x:f>M2078+IF(AND(S2078=1,J2078=2),1,0)</x:f>
        <x:v>0</x:v>
      </x:c>
      <x:c r="W2078" s="19" t="n">
        <x:f>SUM(T2078:V2078)</x:f>
        <x:v>7</x:v>
      </x:c>
      <x:c r="X2078" s="19" t="n">
        <x:f>W2078-G2078</x:f>
        <x:v>0</x:v>
      </x:c>
      <x:c r="Y2078" s="19" t="n">
        <x:f>MAX(T2078,1)+MAX(U2078,1)+MAX(V2078,1)</x:f>
        <x:v>8</x:v>
      </x:c>
      <x:c r="Z2078" s="21" t="str">
        <x:f>IF(AND(MIN(D2078:F2078)&gt;=0,MAX(D2078:F2078)&lt;=7,MAX(D2078,1)+MAX(E2078,1)+MAX(F2078,1)&lt;=9,OR(H2078="-",AND(H2078=0,D2078&gt;0),AND(H2078=1,E2078&gt;0),AND(H2078=2,F2078&gt;0)),OR(I2078=0,AND(I2078=1,OR(J2078=0,J2078=1,J2078=2),R2078&lt;&gt;"000")),Y2078&lt;=9,MIN(T2078:V2078)&gt;=0),"合法","输入违约")</x:f>
        <x:v>合法</x:v>
      </x:c>
    </x:row>
    <x:row r="2079" ht="23" customHeight="1">
      <x:c r="A2079" s="3" t="str">
        <x:v>CT-2072</x:v>
      </x:c>
      <x:c r="B2079" s="3" t="str">
        <x:v>ST-114</x:v>
      </x:c>
      <x:c r="C2079" s="3" t="str">
        <x:v>R+AR同收同发</x:v>
      </x:c>
      <x:c r="D2079" s="25" t="n">
        <x:v>4</x:v>
      </x:c>
      <x:c r="E2079" s="25" t="n">
        <x:v>3</x:v>
      </x:c>
      <x:c r="F2079" s="25" t="n">
        <x:v>0</x:v>
      </x:c>
      <x:c r="G2079" s="19" t="n">
        <x:f>SUM(D2079:F2079)</x:f>
        <x:v>7</x:v>
      </x:c>
      <x:c r="H2079" s="25" t="n">
        <x:v>0</x:v>
      </x:c>
      <x:c r="I2079" s="25" t="n">
        <x:v>1</x:v>
      </x:c>
      <x:c r="J2079" s="25" t="n">
        <x:v>2</x:v>
      </x:c>
      <x:c r="K2079" s="19" t="n">
        <x:f>D2079-IF(H2079=0,1,0)</x:f>
        <x:v>3</x:v>
      </x:c>
      <x:c r="L2079" s="19" t="n">
        <x:f>E2079-IF(H2079=1,1,0)</x:f>
        <x:v>3</x:v>
      </x:c>
      <x:c r="M2079" s="19" t="n">
        <x:f>F2079-IF(H2079=2,1,0)</x:f>
        <x:v>0</x:v>
      </x:c>
      <x:c r="N2079" s="19" t="n">
        <x:f>MAX(K2079-1,0)+MAX(L2079-1,0)+MAX(M2079-1,0)</x:f>
        <x:v>4</x:v>
      </x:c>
      <x:c r="O2079" s="19" t="n">
        <x:f>IF(AND(SUM(K2079:M2079)&lt;9,OR(M2079=0,N2079&lt;6)),1,0)</x:f>
        <x:v>1</x:v>
      </x:c>
      <x:c r="P2079" s="19" t="n">
        <x:f>IF(AND(SUM(K2079:M2079)&lt;9,OR(L2079=0,N2079&lt;6)),1,0)</x:f>
        <x:v>1</x:v>
      </x:c>
      <x:c r="Q2079" s="19" t="n">
        <x:f>IF(AND(SUM(K2079:M2079)&lt;9,OR(K2079=0,N2079&lt;6)),1,0)</x:f>
        <x:v>1</x:v>
      </x:c>
      <x:c r="R2079" s="22" t="str">
        <x:f>O2079&amp;P2079&amp;Q2079</x:f>
        <x:v>111</x:v>
      </x:c>
      <x:c r="S2079" s="19" t="n">
        <x:f>IF(I2079=1,IF(J2079=0,Q2079,IF(J2079=1,P2079,IF(J2079=2,O2079,0))),0)</x:f>
        <x:v>1</x:v>
      </x:c>
      <x:c r="T2079" s="19" t="n">
        <x:f>K2079+IF(AND(S2079=1,J2079=0),1,0)</x:f>
        <x:v>3</x:v>
      </x:c>
      <x:c r="U2079" s="19" t="n">
        <x:f>L2079+IF(AND(S2079=1,J2079=1),1,0)</x:f>
        <x:v>3</x:v>
      </x:c>
      <x:c r="V2079" s="19" t="n">
        <x:f>M2079+IF(AND(S2079=1,J2079=2),1,0)</x:f>
        <x:v>1</x:v>
      </x:c>
      <x:c r="W2079" s="19" t="n">
        <x:f>SUM(T2079:V2079)</x:f>
        <x:v>7</x:v>
      </x:c>
      <x:c r="X2079" s="19" t="n">
        <x:f>W2079-G2079</x:f>
        <x:v>0</x:v>
      </x:c>
      <x:c r="Y2079" s="19" t="n">
        <x:f>MAX(T2079,1)+MAX(U2079,1)+MAX(V2079,1)</x:f>
        <x:v>7</x:v>
      </x:c>
      <x:c r="Z2079" s="21" t="str">
        <x:f>IF(AND(MIN(D2079:F2079)&gt;=0,MAX(D2079:F2079)&lt;=7,MAX(D2079,1)+MAX(E2079,1)+MAX(F2079,1)&lt;=9,OR(H2079="-",AND(H2079=0,D2079&gt;0),AND(H2079=1,E2079&gt;0),AND(H2079=2,F2079&gt;0)),OR(I2079=0,AND(I2079=1,OR(J2079=0,J2079=1,J2079=2),R2079&lt;&gt;"000")),Y2079&lt;=9,MIN(T2079:V2079)&gt;=0),"合法","输入违约")</x:f>
        <x:v>合法</x:v>
      </x:c>
    </x:row>
    <x:row r="2080" ht="23" customHeight="1">
      <x:c r="A2080" s="3" t="str">
        <x:v>CT-2073</x:v>
      </x:c>
      <x:c r="B2080" s="3" t="str">
        <x:v>ST-114</x:v>
      </x:c>
      <x:c r="C2080" s="3" t="str">
        <x:v>仅R回收</x:v>
      </x:c>
      <x:c r="D2080" s="25" t="n">
        <x:v>4</x:v>
      </x:c>
      <x:c r="E2080" s="25" t="n">
        <x:v>3</x:v>
      </x:c>
      <x:c r="F2080" s="25" t="n">
        <x:v>0</x:v>
      </x:c>
      <x:c r="G2080" s="19" t="n">
        <x:f>SUM(D2080:F2080)</x:f>
        <x:v>7</x:v>
      </x:c>
      <x:c r="H2080" s="25" t="n">
        <x:v>1</x:v>
      </x:c>
      <x:c r="I2080" s="25" t="n">
        <x:v>0</x:v>
      </x:c>
      <x:c r="J2080" s="25" t="str">
        <x:v>-</x:v>
      </x:c>
      <x:c r="K2080" s="19" t="n">
        <x:f>D2080-IF(H2080=0,1,0)</x:f>
        <x:v>4</x:v>
      </x:c>
      <x:c r="L2080" s="19" t="n">
        <x:f>E2080-IF(H2080=1,1,0)</x:f>
        <x:v>2</x:v>
      </x:c>
      <x:c r="M2080" s="19" t="n">
        <x:f>F2080-IF(H2080=2,1,0)</x:f>
        <x:v>0</x:v>
      </x:c>
      <x:c r="N2080" s="19" t="n">
        <x:f>MAX(K2080-1,0)+MAX(L2080-1,0)+MAX(M2080-1,0)</x:f>
        <x:v>4</x:v>
      </x:c>
      <x:c r="O2080" s="19" t="n">
        <x:f>IF(AND(SUM(K2080:M2080)&lt;9,OR(M2080=0,N2080&lt;6)),1,0)</x:f>
        <x:v>1</x:v>
      </x:c>
      <x:c r="P2080" s="19" t="n">
        <x:f>IF(AND(SUM(K2080:M2080)&lt;9,OR(L2080=0,N2080&lt;6)),1,0)</x:f>
        <x:v>1</x:v>
      </x:c>
      <x:c r="Q2080" s="19" t="n">
        <x:f>IF(AND(SUM(K2080:M2080)&lt;9,OR(K2080=0,N2080&lt;6)),1,0)</x:f>
        <x:v>1</x:v>
      </x:c>
      <x:c r="R2080" s="22" t="str">
        <x:f>O2080&amp;P2080&amp;Q2080</x:f>
        <x:v>111</x:v>
      </x:c>
      <x:c r="S2080" s="19" t="n">
        <x:f>IF(I2080=1,IF(J2080=0,Q2080,IF(J2080=1,P2080,IF(J2080=2,O2080,0))),0)</x:f>
        <x:v>0</x:v>
      </x:c>
      <x:c r="T2080" s="19" t="n">
        <x:f>K2080+IF(AND(S2080=1,J2080=0),1,0)</x:f>
        <x:v>4</x:v>
      </x:c>
      <x:c r="U2080" s="19" t="n">
        <x:f>L2080+IF(AND(S2080=1,J2080=1),1,0)</x:f>
        <x:v>2</x:v>
      </x:c>
      <x:c r="V2080" s="19" t="n">
        <x:f>M2080+IF(AND(S2080=1,J2080=2),1,0)</x:f>
        <x:v>0</x:v>
      </x:c>
      <x:c r="W2080" s="19" t="n">
        <x:f>SUM(T2080:V2080)</x:f>
        <x:v>6</x:v>
      </x:c>
      <x:c r="X2080" s="19" t="n">
        <x:f>W2080-G2080</x:f>
        <x:v>-1</x:v>
      </x:c>
      <x:c r="Y2080" s="19" t="n">
        <x:f>MAX(T2080,1)+MAX(U2080,1)+MAX(V2080,1)</x:f>
        <x:v>7</x:v>
      </x:c>
      <x:c r="Z2080" s="21" t="str">
        <x:f>IF(AND(MIN(D2080:F2080)&gt;=0,MAX(D2080:F2080)&lt;=7,MAX(D2080,1)+MAX(E2080,1)+MAX(F2080,1)&lt;=9,OR(H2080="-",AND(H2080=0,D2080&gt;0),AND(H2080=1,E2080&gt;0),AND(H2080=2,F2080&gt;0)),OR(I2080=0,AND(I2080=1,OR(J2080=0,J2080=1,J2080=2),R2080&lt;&gt;"000")),Y2080&lt;=9,MIN(T2080:V2080)&gt;=0),"合法","输入违约")</x:f>
        <x:v>合法</x:v>
      </x:c>
    </x:row>
    <x:row r="2081" ht="23" customHeight="1">
      <x:c r="A2081" s="3" t="str">
        <x:v>CT-2074</x:v>
      </x:c>
      <x:c r="B2081" s="3" t="str">
        <x:v>ST-114</x:v>
      </x:c>
      <x:c r="C2081" s="3" t="str">
        <x:v>R+AR同收同发</x:v>
      </x:c>
      <x:c r="D2081" s="25" t="n">
        <x:v>4</x:v>
      </x:c>
      <x:c r="E2081" s="25" t="n">
        <x:v>3</x:v>
      </x:c>
      <x:c r="F2081" s="25" t="n">
        <x:v>0</x:v>
      </x:c>
      <x:c r="G2081" s="19" t="n">
        <x:f>SUM(D2081:F2081)</x:f>
        <x:v>7</x:v>
      </x:c>
      <x:c r="H2081" s="25" t="n">
        <x:v>1</x:v>
      </x:c>
      <x:c r="I2081" s="25" t="n">
        <x:v>1</x:v>
      </x:c>
      <x:c r="J2081" s="25" t="n">
        <x:v>0</x:v>
      </x:c>
      <x:c r="K2081" s="19" t="n">
        <x:f>D2081-IF(H2081=0,1,0)</x:f>
        <x:v>4</x:v>
      </x:c>
      <x:c r="L2081" s="19" t="n">
        <x:f>E2081-IF(H2081=1,1,0)</x:f>
        <x:v>2</x:v>
      </x:c>
      <x:c r="M2081" s="19" t="n">
        <x:f>F2081-IF(H2081=2,1,0)</x:f>
        <x:v>0</x:v>
      </x:c>
      <x:c r="N2081" s="19" t="n">
        <x:f>MAX(K2081-1,0)+MAX(L2081-1,0)+MAX(M2081-1,0)</x:f>
        <x:v>4</x:v>
      </x:c>
      <x:c r="O2081" s="19" t="n">
        <x:f>IF(AND(SUM(K2081:M2081)&lt;9,OR(M2081=0,N2081&lt;6)),1,0)</x:f>
        <x:v>1</x:v>
      </x:c>
      <x:c r="P2081" s="19" t="n">
        <x:f>IF(AND(SUM(K2081:M2081)&lt;9,OR(L2081=0,N2081&lt;6)),1,0)</x:f>
        <x:v>1</x:v>
      </x:c>
      <x:c r="Q2081" s="19" t="n">
        <x:f>IF(AND(SUM(K2081:M2081)&lt;9,OR(K2081=0,N2081&lt;6)),1,0)</x:f>
        <x:v>1</x:v>
      </x:c>
      <x:c r="R2081" s="22" t="str">
        <x:f>O2081&amp;P2081&amp;Q2081</x:f>
        <x:v>111</x:v>
      </x:c>
      <x:c r="S2081" s="19" t="n">
        <x:f>IF(I2081=1,IF(J2081=0,Q2081,IF(J2081=1,P2081,IF(J2081=2,O2081,0))),0)</x:f>
        <x:v>1</x:v>
      </x:c>
      <x:c r="T2081" s="19" t="n">
        <x:f>K2081+IF(AND(S2081=1,J2081=0),1,0)</x:f>
        <x:v>5</x:v>
      </x:c>
      <x:c r="U2081" s="19" t="n">
        <x:f>L2081+IF(AND(S2081=1,J2081=1),1,0)</x:f>
        <x:v>2</x:v>
      </x:c>
      <x:c r="V2081" s="19" t="n">
        <x:f>M2081+IF(AND(S2081=1,J2081=2),1,0)</x:f>
        <x:v>0</x:v>
      </x:c>
      <x:c r="W2081" s="19" t="n">
        <x:f>SUM(T2081:V2081)</x:f>
        <x:v>7</x:v>
      </x:c>
      <x:c r="X2081" s="19" t="n">
        <x:f>W2081-G2081</x:f>
        <x:v>0</x:v>
      </x:c>
      <x:c r="Y2081" s="19" t="n">
        <x:f>MAX(T2081,1)+MAX(U2081,1)+MAX(V2081,1)</x:f>
        <x:v>8</x:v>
      </x:c>
      <x:c r="Z2081" s="21" t="str">
        <x:f>IF(AND(MIN(D2081:F2081)&gt;=0,MAX(D2081:F2081)&lt;=7,MAX(D2081,1)+MAX(E2081,1)+MAX(F2081,1)&lt;=9,OR(H2081="-",AND(H2081=0,D2081&gt;0),AND(H2081=1,E2081&gt;0),AND(H2081=2,F2081&gt;0)),OR(I2081=0,AND(I2081=1,OR(J2081=0,J2081=1,J2081=2),R2081&lt;&gt;"000")),Y2081&lt;=9,MIN(T2081:V2081)&gt;=0),"合法","输入违约")</x:f>
        <x:v>合法</x:v>
      </x:c>
    </x:row>
    <x:row r="2082" ht="23" customHeight="1">
      <x:c r="A2082" s="3" t="str">
        <x:v>CT-2075</x:v>
      </x:c>
      <x:c r="B2082" s="3" t="str">
        <x:v>ST-114</x:v>
      </x:c>
      <x:c r="C2082" s="3" t="str">
        <x:v>R+AR同收同发</x:v>
      </x:c>
      <x:c r="D2082" s="25" t="n">
        <x:v>4</x:v>
      </x:c>
      <x:c r="E2082" s="25" t="n">
        <x:v>3</x:v>
      </x:c>
      <x:c r="F2082" s="25" t="n">
        <x:v>0</x:v>
      </x:c>
      <x:c r="G2082" s="19" t="n">
        <x:f>SUM(D2082:F2082)</x:f>
        <x:v>7</x:v>
      </x:c>
      <x:c r="H2082" s="25" t="n">
        <x:v>1</x:v>
      </x:c>
      <x:c r="I2082" s="25" t="n">
        <x:v>1</x:v>
      </x:c>
      <x:c r="J2082" s="25" t="n">
        <x:v>1</x:v>
      </x:c>
      <x:c r="K2082" s="19" t="n">
        <x:f>D2082-IF(H2082=0,1,0)</x:f>
        <x:v>4</x:v>
      </x:c>
      <x:c r="L2082" s="19" t="n">
        <x:f>E2082-IF(H2082=1,1,0)</x:f>
        <x:v>2</x:v>
      </x:c>
      <x:c r="M2082" s="19" t="n">
        <x:f>F2082-IF(H2082=2,1,0)</x:f>
        <x:v>0</x:v>
      </x:c>
      <x:c r="N2082" s="19" t="n">
        <x:f>MAX(K2082-1,0)+MAX(L2082-1,0)+MAX(M2082-1,0)</x:f>
        <x:v>4</x:v>
      </x:c>
      <x:c r="O2082" s="19" t="n">
        <x:f>IF(AND(SUM(K2082:M2082)&lt;9,OR(M2082=0,N2082&lt;6)),1,0)</x:f>
        <x:v>1</x:v>
      </x:c>
      <x:c r="P2082" s="19" t="n">
        <x:f>IF(AND(SUM(K2082:M2082)&lt;9,OR(L2082=0,N2082&lt;6)),1,0)</x:f>
        <x:v>1</x:v>
      </x:c>
      <x:c r="Q2082" s="19" t="n">
        <x:f>IF(AND(SUM(K2082:M2082)&lt;9,OR(K2082=0,N2082&lt;6)),1,0)</x:f>
        <x:v>1</x:v>
      </x:c>
      <x:c r="R2082" s="22" t="str">
        <x:f>O2082&amp;P2082&amp;Q2082</x:f>
        <x:v>111</x:v>
      </x:c>
      <x:c r="S2082" s="19" t="n">
        <x:f>IF(I2082=1,IF(J2082=0,Q2082,IF(J2082=1,P2082,IF(J2082=2,O2082,0))),0)</x:f>
        <x:v>1</x:v>
      </x:c>
      <x:c r="T2082" s="19" t="n">
        <x:f>K2082+IF(AND(S2082=1,J2082=0),1,0)</x:f>
        <x:v>4</x:v>
      </x:c>
      <x:c r="U2082" s="19" t="n">
        <x:f>L2082+IF(AND(S2082=1,J2082=1),1,0)</x:f>
        <x:v>3</x:v>
      </x:c>
      <x:c r="V2082" s="19" t="n">
        <x:f>M2082+IF(AND(S2082=1,J2082=2),1,0)</x:f>
        <x:v>0</x:v>
      </x:c>
      <x:c r="W2082" s="19" t="n">
        <x:f>SUM(T2082:V2082)</x:f>
        <x:v>7</x:v>
      </x:c>
      <x:c r="X2082" s="19" t="n">
        <x:f>W2082-G2082</x:f>
        <x:v>0</x:v>
      </x:c>
      <x:c r="Y2082" s="19" t="n">
        <x:f>MAX(T2082,1)+MAX(U2082,1)+MAX(V2082,1)</x:f>
        <x:v>8</x:v>
      </x:c>
      <x:c r="Z2082" s="21" t="str">
        <x:f>IF(AND(MIN(D2082:F2082)&gt;=0,MAX(D2082:F2082)&lt;=7,MAX(D2082,1)+MAX(E2082,1)+MAX(F2082,1)&lt;=9,OR(H2082="-",AND(H2082=0,D2082&gt;0),AND(H2082=1,E2082&gt;0),AND(H2082=2,F2082&gt;0)),OR(I2082=0,AND(I2082=1,OR(J2082=0,J2082=1,J2082=2),R2082&lt;&gt;"000")),Y2082&lt;=9,MIN(T2082:V2082)&gt;=0),"合法","输入违约")</x:f>
        <x:v>合法</x:v>
      </x:c>
    </x:row>
    <x:row r="2083" ht="23" customHeight="1">
      <x:c r="A2083" s="3" t="str">
        <x:v>CT-2076</x:v>
      </x:c>
      <x:c r="B2083" s="3" t="str">
        <x:v>ST-114</x:v>
      </x:c>
      <x:c r="C2083" s="3" t="str">
        <x:v>R+AR同收同发</x:v>
      </x:c>
      <x:c r="D2083" s="25" t="n">
        <x:v>4</x:v>
      </x:c>
      <x:c r="E2083" s="25" t="n">
        <x:v>3</x:v>
      </x:c>
      <x:c r="F2083" s="25" t="n">
        <x:v>0</x:v>
      </x:c>
      <x:c r="G2083" s="19" t="n">
        <x:f>SUM(D2083:F2083)</x:f>
        <x:v>7</x:v>
      </x:c>
      <x:c r="H2083" s="25" t="n">
        <x:v>1</x:v>
      </x:c>
      <x:c r="I2083" s="25" t="n">
        <x:v>1</x:v>
      </x:c>
      <x:c r="J2083" s="25" t="n">
        <x:v>2</x:v>
      </x:c>
      <x:c r="K2083" s="19" t="n">
        <x:f>D2083-IF(H2083=0,1,0)</x:f>
        <x:v>4</x:v>
      </x:c>
      <x:c r="L2083" s="19" t="n">
        <x:f>E2083-IF(H2083=1,1,0)</x:f>
        <x:v>2</x:v>
      </x:c>
      <x:c r="M2083" s="19" t="n">
        <x:f>F2083-IF(H2083=2,1,0)</x:f>
        <x:v>0</x:v>
      </x:c>
      <x:c r="N2083" s="19" t="n">
        <x:f>MAX(K2083-1,0)+MAX(L2083-1,0)+MAX(M2083-1,0)</x:f>
        <x:v>4</x:v>
      </x:c>
      <x:c r="O2083" s="19" t="n">
        <x:f>IF(AND(SUM(K2083:M2083)&lt;9,OR(M2083=0,N2083&lt;6)),1,0)</x:f>
        <x:v>1</x:v>
      </x:c>
      <x:c r="P2083" s="19" t="n">
        <x:f>IF(AND(SUM(K2083:M2083)&lt;9,OR(L2083=0,N2083&lt;6)),1,0)</x:f>
        <x:v>1</x:v>
      </x:c>
      <x:c r="Q2083" s="19" t="n">
        <x:f>IF(AND(SUM(K2083:M2083)&lt;9,OR(K2083=0,N2083&lt;6)),1,0)</x:f>
        <x:v>1</x:v>
      </x:c>
      <x:c r="R2083" s="22" t="str">
        <x:f>O2083&amp;P2083&amp;Q2083</x:f>
        <x:v>111</x:v>
      </x:c>
      <x:c r="S2083" s="19" t="n">
        <x:f>IF(I2083=1,IF(J2083=0,Q2083,IF(J2083=1,P2083,IF(J2083=2,O2083,0))),0)</x:f>
        <x:v>1</x:v>
      </x:c>
      <x:c r="T2083" s="19" t="n">
        <x:f>K2083+IF(AND(S2083=1,J2083=0),1,0)</x:f>
        <x:v>4</x:v>
      </x:c>
      <x:c r="U2083" s="19" t="n">
        <x:f>L2083+IF(AND(S2083=1,J2083=1),1,0)</x:f>
        <x:v>2</x:v>
      </x:c>
      <x:c r="V2083" s="19" t="n">
        <x:f>M2083+IF(AND(S2083=1,J2083=2),1,0)</x:f>
        <x:v>1</x:v>
      </x:c>
      <x:c r="W2083" s="19" t="n">
        <x:f>SUM(T2083:V2083)</x:f>
        <x:v>7</x:v>
      </x:c>
      <x:c r="X2083" s="19" t="n">
        <x:f>W2083-G2083</x:f>
        <x:v>0</x:v>
      </x:c>
      <x:c r="Y2083" s="19" t="n">
        <x:f>MAX(T2083,1)+MAX(U2083,1)+MAX(V2083,1)</x:f>
        <x:v>7</x:v>
      </x:c>
      <x:c r="Z2083" s="21" t="str">
        <x:f>IF(AND(MIN(D2083:F2083)&gt;=0,MAX(D2083:F2083)&lt;=7,MAX(D2083,1)+MAX(E2083,1)+MAX(F2083,1)&lt;=9,OR(H2083="-",AND(H2083=0,D2083&gt;0),AND(H2083=1,E2083&gt;0),AND(H2083=2,F2083&gt;0)),OR(I2083=0,AND(I2083=1,OR(J2083=0,J2083=1,J2083=2),R2083&lt;&gt;"000")),Y2083&lt;=9,MIN(T2083:V2083)&gt;=0),"合法","输入违约")</x:f>
        <x:v>合法</x:v>
      </x:c>
    </x:row>
    <x:row r="2084" ht="23" customHeight="1">
      <x:c r="A2084" s="3" t="str">
        <x:v>CT-2077</x:v>
      </x:c>
      <x:c r="B2084" s="3" t="str">
        <x:v>ST-152</x:v>
      </x:c>
      <x:c r="C2084" s="3" t="str">
        <x:v>无AR/R</x:v>
      </x:c>
      <x:c r="D2084" s="25" t="n">
        <x:v>4</x:v>
      </x:c>
      <x:c r="E2084" s="25" t="n">
        <x:v>3</x:v>
      </x:c>
      <x:c r="F2084" s="25" t="n">
        <x:v>1</x:v>
      </x:c>
      <x:c r="G2084" s="19" t="n">
        <x:f>SUM(D2084:F2084)</x:f>
        <x:v>8</x:v>
      </x:c>
      <x:c r="H2084" s="25" t="str">
        <x:v>-</x:v>
      </x:c>
      <x:c r="I2084" s="25" t="n">
        <x:v>0</x:v>
      </x:c>
      <x:c r="J2084" s="25" t="str">
        <x:v>-</x:v>
      </x:c>
      <x:c r="K2084" s="19" t="n">
        <x:f>D2084-IF(H2084=0,1,0)</x:f>
        <x:v>4</x:v>
      </x:c>
      <x:c r="L2084" s="19" t="n">
        <x:f>E2084-IF(H2084=1,1,0)</x:f>
        <x:v>3</x:v>
      </x:c>
      <x:c r="M2084" s="19" t="n">
        <x:f>F2084-IF(H2084=2,1,0)</x:f>
        <x:v>1</x:v>
      </x:c>
      <x:c r="N2084" s="19" t="n">
        <x:f>MAX(K2084-1,0)+MAX(L2084-1,0)+MAX(M2084-1,0)</x:f>
        <x:v>5</x:v>
      </x:c>
      <x:c r="O2084" s="19" t="n">
        <x:f>IF(AND(SUM(K2084:M2084)&lt;9,OR(M2084=0,N2084&lt;6)),1,0)</x:f>
        <x:v>1</x:v>
      </x:c>
      <x:c r="P2084" s="19" t="n">
        <x:f>IF(AND(SUM(K2084:M2084)&lt;9,OR(L2084=0,N2084&lt;6)),1,0)</x:f>
        <x:v>1</x:v>
      </x:c>
      <x:c r="Q2084" s="19" t="n">
        <x:f>IF(AND(SUM(K2084:M2084)&lt;9,OR(K2084=0,N2084&lt;6)),1,0)</x:f>
        <x:v>1</x:v>
      </x:c>
      <x:c r="R2084" s="22" t="str">
        <x:f>O2084&amp;P2084&amp;Q2084</x:f>
        <x:v>111</x:v>
      </x:c>
      <x:c r="S2084" s="19" t="n">
        <x:f>IF(I2084=1,IF(J2084=0,Q2084,IF(J2084=1,P2084,IF(J2084=2,O2084,0))),0)</x:f>
        <x:v>0</x:v>
      </x:c>
      <x:c r="T2084" s="19" t="n">
        <x:f>K2084+IF(AND(S2084=1,J2084=0),1,0)</x:f>
        <x:v>4</x:v>
      </x:c>
      <x:c r="U2084" s="19" t="n">
        <x:f>L2084+IF(AND(S2084=1,J2084=1),1,0)</x:f>
        <x:v>3</x:v>
      </x:c>
      <x:c r="V2084" s="19" t="n">
        <x:f>M2084+IF(AND(S2084=1,J2084=2),1,0)</x:f>
        <x:v>1</x:v>
      </x:c>
      <x:c r="W2084" s="19" t="n">
        <x:f>SUM(T2084:V2084)</x:f>
        <x:v>8</x:v>
      </x:c>
      <x:c r="X2084" s="19" t="n">
        <x:f>W2084-G2084</x:f>
        <x:v>0</x:v>
      </x:c>
      <x:c r="Y2084" s="19" t="n">
        <x:f>MAX(T2084,1)+MAX(U2084,1)+MAX(V2084,1)</x:f>
        <x:v>8</x:v>
      </x:c>
      <x:c r="Z2084" s="21" t="str">
        <x:f>IF(AND(MIN(D2084:F2084)&gt;=0,MAX(D2084:F2084)&lt;=7,MAX(D2084,1)+MAX(E2084,1)+MAX(F2084,1)&lt;=9,OR(H2084="-",AND(H2084=0,D2084&gt;0),AND(H2084=1,E2084&gt;0),AND(H2084=2,F2084&gt;0)),OR(I2084=0,AND(I2084=1,OR(J2084=0,J2084=1,J2084=2),R2084&lt;&gt;"000")),Y2084&lt;=9,MIN(T2084:V2084)&gt;=0),"合法","输入违约")</x:f>
        <x:v>合法</x:v>
      </x:c>
    </x:row>
    <x:row r="2085" ht="23" customHeight="1">
      <x:c r="A2085" s="3" t="str">
        <x:v>CT-2078</x:v>
      </x:c>
      <x:c r="B2085" s="3" t="str">
        <x:v>ST-152</x:v>
      </x:c>
      <x:c r="C2085" s="3" t="str">
        <x:v>仅AR接收</x:v>
      </x:c>
      <x:c r="D2085" s="25" t="n">
        <x:v>4</x:v>
      </x:c>
      <x:c r="E2085" s="25" t="n">
        <x:v>3</x:v>
      </x:c>
      <x:c r="F2085" s="25" t="n">
        <x:v>1</x:v>
      </x:c>
      <x:c r="G2085" s="19" t="n">
        <x:f>SUM(D2085:F2085)</x:f>
        <x:v>8</x:v>
      </x:c>
      <x:c r="H2085" s="25" t="str">
        <x:v>-</x:v>
      </x:c>
      <x:c r="I2085" s="25" t="n">
        <x:v>1</x:v>
      </x:c>
      <x:c r="J2085" s="25" t="n">
        <x:v>0</x:v>
      </x:c>
      <x:c r="K2085" s="19" t="n">
        <x:f>D2085-IF(H2085=0,1,0)</x:f>
        <x:v>4</x:v>
      </x:c>
      <x:c r="L2085" s="19" t="n">
        <x:f>E2085-IF(H2085=1,1,0)</x:f>
        <x:v>3</x:v>
      </x:c>
      <x:c r="M2085" s="19" t="n">
        <x:f>F2085-IF(H2085=2,1,0)</x:f>
        <x:v>1</x:v>
      </x:c>
      <x:c r="N2085" s="19" t="n">
        <x:f>MAX(K2085-1,0)+MAX(L2085-1,0)+MAX(M2085-1,0)</x:f>
        <x:v>5</x:v>
      </x:c>
      <x:c r="O2085" s="19" t="n">
        <x:f>IF(AND(SUM(K2085:M2085)&lt;9,OR(M2085=0,N2085&lt;6)),1,0)</x:f>
        <x:v>1</x:v>
      </x:c>
      <x:c r="P2085" s="19" t="n">
        <x:f>IF(AND(SUM(K2085:M2085)&lt;9,OR(L2085=0,N2085&lt;6)),1,0)</x:f>
        <x:v>1</x:v>
      </x:c>
      <x:c r="Q2085" s="19" t="n">
        <x:f>IF(AND(SUM(K2085:M2085)&lt;9,OR(K2085=0,N2085&lt;6)),1,0)</x:f>
        <x:v>1</x:v>
      </x:c>
      <x:c r="R2085" s="22" t="str">
        <x:f>O2085&amp;P2085&amp;Q2085</x:f>
        <x:v>111</x:v>
      </x:c>
      <x:c r="S2085" s="19" t="n">
        <x:f>IF(I2085=1,IF(J2085=0,Q2085,IF(J2085=1,P2085,IF(J2085=2,O2085,0))),0)</x:f>
        <x:v>1</x:v>
      </x:c>
      <x:c r="T2085" s="19" t="n">
        <x:f>K2085+IF(AND(S2085=1,J2085=0),1,0)</x:f>
        <x:v>5</x:v>
      </x:c>
      <x:c r="U2085" s="19" t="n">
        <x:f>L2085+IF(AND(S2085=1,J2085=1),1,0)</x:f>
        <x:v>3</x:v>
      </x:c>
      <x:c r="V2085" s="19" t="n">
        <x:f>M2085+IF(AND(S2085=1,J2085=2),1,0)</x:f>
        <x:v>1</x:v>
      </x:c>
      <x:c r="W2085" s="19" t="n">
        <x:f>SUM(T2085:V2085)</x:f>
        <x:v>9</x:v>
      </x:c>
      <x:c r="X2085" s="19" t="n">
        <x:f>W2085-G2085</x:f>
        <x:v>1</x:v>
      </x:c>
      <x:c r="Y2085" s="19" t="n">
        <x:f>MAX(T2085,1)+MAX(U2085,1)+MAX(V2085,1)</x:f>
        <x:v>9</x:v>
      </x:c>
      <x:c r="Z2085" s="21" t="str">
        <x:f>IF(AND(MIN(D2085:F2085)&gt;=0,MAX(D2085:F2085)&lt;=7,MAX(D2085,1)+MAX(E2085,1)+MAX(F2085,1)&lt;=9,OR(H2085="-",AND(H2085=0,D2085&gt;0),AND(H2085=1,E2085&gt;0),AND(H2085=2,F2085&gt;0)),OR(I2085=0,AND(I2085=1,OR(J2085=0,J2085=1,J2085=2),R2085&lt;&gt;"000")),Y2085&lt;=9,MIN(T2085:V2085)&gt;=0),"合法","输入违约")</x:f>
        <x:v>合法</x:v>
      </x:c>
    </x:row>
    <x:row r="2086" ht="23" customHeight="1">
      <x:c r="A2086" s="3" t="str">
        <x:v>CT-2079</x:v>
      </x:c>
      <x:c r="B2086" s="3" t="str">
        <x:v>ST-152</x:v>
      </x:c>
      <x:c r="C2086" s="3" t="str">
        <x:v>仅AR接收</x:v>
      </x:c>
      <x:c r="D2086" s="25" t="n">
        <x:v>4</x:v>
      </x:c>
      <x:c r="E2086" s="25" t="n">
        <x:v>3</x:v>
      </x:c>
      <x:c r="F2086" s="25" t="n">
        <x:v>1</x:v>
      </x:c>
      <x:c r="G2086" s="19" t="n">
        <x:f>SUM(D2086:F2086)</x:f>
        <x:v>8</x:v>
      </x:c>
      <x:c r="H2086" s="25" t="str">
        <x:v>-</x:v>
      </x:c>
      <x:c r="I2086" s="25" t="n">
        <x:v>1</x:v>
      </x:c>
      <x:c r="J2086" s="25" t="n">
        <x:v>1</x:v>
      </x:c>
      <x:c r="K2086" s="19" t="n">
        <x:f>D2086-IF(H2086=0,1,0)</x:f>
        <x:v>4</x:v>
      </x:c>
      <x:c r="L2086" s="19" t="n">
        <x:f>E2086-IF(H2086=1,1,0)</x:f>
        <x:v>3</x:v>
      </x:c>
      <x:c r="M2086" s="19" t="n">
        <x:f>F2086-IF(H2086=2,1,0)</x:f>
        <x:v>1</x:v>
      </x:c>
      <x:c r="N2086" s="19" t="n">
        <x:f>MAX(K2086-1,0)+MAX(L2086-1,0)+MAX(M2086-1,0)</x:f>
        <x:v>5</x:v>
      </x:c>
      <x:c r="O2086" s="19" t="n">
        <x:f>IF(AND(SUM(K2086:M2086)&lt;9,OR(M2086=0,N2086&lt;6)),1,0)</x:f>
        <x:v>1</x:v>
      </x:c>
      <x:c r="P2086" s="19" t="n">
        <x:f>IF(AND(SUM(K2086:M2086)&lt;9,OR(L2086=0,N2086&lt;6)),1,0)</x:f>
        <x:v>1</x:v>
      </x:c>
      <x:c r="Q2086" s="19" t="n">
        <x:f>IF(AND(SUM(K2086:M2086)&lt;9,OR(K2086=0,N2086&lt;6)),1,0)</x:f>
        <x:v>1</x:v>
      </x:c>
      <x:c r="R2086" s="22" t="str">
        <x:f>O2086&amp;P2086&amp;Q2086</x:f>
        <x:v>111</x:v>
      </x:c>
      <x:c r="S2086" s="19" t="n">
        <x:f>IF(I2086=1,IF(J2086=0,Q2086,IF(J2086=1,P2086,IF(J2086=2,O2086,0))),0)</x:f>
        <x:v>1</x:v>
      </x:c>
      <x:c r="T2086" s="19" t="n">
        <x:f>K2086+IF(AND(S2086=1,J2086=0),1,0)</x:f>
        <x:v>4</x:v>
      </x:c>
      <x:c r="U2086" s="19" t="n">
        <x:f>L2086+IF(AND(S2086=1,J2086=1),1,0)</x:f>
        <x:v>4</x:v>
      </x:c>
      <x:c r="V2086" s="19" t="n">
        <x:f>M2086+IF(AND(S2086=1,J2086=2),1,0)</x:f>
        <x:v>1</x:v>
      </x:c>
      <x:c r="W2086" s="19" t="n">
        <x:f>SUM(T2086:V2086)</x:f>
        <x:v>9</x:v>
      </x:c>
      <x:c r="X2086" s="19" t="n">
        <x:f>W2086-G2086</x:f>
        <x:v>1</x:v>
      </x:c>
      <x:c r="Y2086" s="19" t="n">
        <x:f>MAX(T2086,1)+MAX(U2086,1)+MAX(V2086,1)</x:f>
        <x:v>9</x:v>
      </x:c>
      <x:c r="Z2086" s="21" t="str">
        <x:f>IF(AND(MIN(D2086:F2086)&gt;=0,MAX(D2086:F2086)&lt;=7,MAX(D2086,1)+MAX(E2086,1)+MAX(F2086,1)&lt;=9,OR(H2086="-",AND(H2086=0,D2086&gt;0),AND(H2086=1,E2086&gt;0),AND(H2086=2,F2086&gt;0)),OR(I2086=0,AND(I2086=1,OR(J2086=0,J2086=1,J2086=2),R2086&lt;&gt;"000")),Y2086&lt;=9,MIN(T2086:V2086)&gt;=0),"合法","输入违约")</x:f>
        <x:v>合法</x:v>
      </x:c>
    </x:row>
    <x:row r="2087" ht="23" customHeight="1">
      <x:c r="A2087" s="3" t="str">
        <x:v>CT-2080</x:v>
      </x:c>
      <x:c r="B2087" s="3" t="str">
        <x:v>ST-152</x:v>
      </x:c>
      <x:c r="C2087" s="3" t="str">
        <x:v>仅AR接收</x:v>
      </x:c>
      <x:c r="D2087" s="25" t="n">
        <x:v>4</x:v>
      </x:c>
      <x:c r="E2087" s="25" t="n">
        <x:v>3</x:v>
      </x:c>
      <x:c r="F2087" s="25" t="n">
        <x:v>1</x:v>
      </x:c>
      <x:c r="G2087" s="19" t="n">
        <x:f>SUM(D2087:F2087)</x:f>
        <x:v>8</x:v>
      </x:c>
      <x:c r="H2087" s="25" t="str">
        <x:v>-</x:v>
      </x:c>
      <x:c r="I2087" s="25" t="n">
        <x:v>1</x:v>
      </x:c>
      <x:c r="J2087" s="25" t="n">
        <x:v>2</x:v>
      </x:c>
      <x:c r="K2087" s="19" t="n">
        <x:f>D2087-IF(H2087=0,1,0)</x:f>
        <x:v>4</x:v>
      </x:c>
      <x:c r="L2087" s="19" t="n">
        <x:f>E2087-IF(H2087=1,1,0)</x:f>
        <x:v>3</x:v>
      </x:c>
      <x:c r="M2087" s="19" t="n">
        <x:f>F2087-IF(H2087=2,1,0)</x:f>
        <x:v>1</x:v>
      </x:c>
      <x:c r="N2087" s="19" t="n">
        <x:f>MAX(K2087-1,0)+MAX(L2087-1,0)+MAX(M2087-1,0)</x:f>
        <x:v>5</x:v>
      </x:c>
      <x:c r="O2087" s="19" t="n">
        <x:f>IF(AND(SUM(K2087:M2087)&lt;9,OR(M2087=0,N2087&lt;6)),1,0)</x:f>
        <x:v>1</x:v>
      </x:c>
      <x:c r="P2087" s="19" t="n">
        <x:f>IF(AND(SUM(K2087:M2087)&lt;9,OR(L2087=0,N2087&lt;6)),1,0)</x:f>
        <x:v>1</x:v>
      </x:c>
      <x:c r="Q2087" s="19" t="n">
        <x:f>IF(AND(SUM(K2087:M2087)&lt;9,OR(K2087=0,N2087&lt;6)),1,0)</x:f>
        <x:v>1</x:v>
      </x:c>
      <x:c r="R2087" s="22" t="str">
        <x:f>O2087&amp;P2087&amp;Q2087</x:f>
        <x:v>111</x:v>
      </x:c>
      <x:c r="S2087" s="19" t="n">
        <x:f>IF(I2087=1,IF(J2087=0,Q2087,IF(J2087=1,P2087,IF(J2087=2,O2087,0))),0)</x:f>
        <x:v>1</x:v>
      </x:c>
      <x:c r="T2087" s="19" t="n">
        <x:f>K2087+IF(AND(S2087=1,J2087=0),1,0)</x:f>
        <x:v>4</x:v>
      </x:c>
      <x:c r="U2087" s="19" t="n">
        <x:f>L2087+IF(AND(S2087=1,J2087=1),1,0)</x:f>
        <x:v>3</x:v>
      </x:c>
      <x:c r="V2087" s="19" t="n">
        <x:f>M2087+IF(AND(S2087=1,J2087=2),1,0)</x:f>
        <x:v>2</x:v>
      </x:c>
      <x:c r="W2087" s="19" t="n">
        <x:f>SUM(T2087:V2087)</x:f>
        <x:v>9</x:v>
      </x:c>
      <x:c r="X2087" s="19" t="n">
        <x:f>W2087-G2087</x:f>
        <x:v>1</x:v>
      </x:c>
      <x:c r="Y2087" s="19" t="n">
        <x:f>MAX(T2087,1)+MAX(U2087,1)+MAX(V2087,1)</x:f>
        <x:v>9</x:v>
      </x:c>
      <x:c r="Z2087" s="21" t="str">
        <x:f>IF(AND(MIN(D2087:F2087)&gt;=0,MAX(D2087:F2087)&lt;=7,MAX(D2087,1)+MAX(E2087,1)+MAX(F2087,1)&lt;=9,OR(H2087="-",AND(H2087=0,D2087&gt;0),AND(H2087=1,E2087&gt;0),AND(H2087=2,F2087&gt;0)),OR(I2087=0,AND(I2087=1,OR(J2087=0,J2087=1,J2087=2),R2087&lt;&gt;"000")),Y2087&lt;=9,MIN(T2087:V2087)&gt;=0),"合法","输入违约")</x:f>
        <x:v>合法</x:v>
      </x:c>
    </x:row>
    <x:row r="2088" ht="23" customHeight="1">
      <x:c r="A2088" s="3" t="str">
        <x:v>CT-2081</x:v>
      </x:c>
      <x:c r="B2088" s="3" t="str">
        <x:v>ST-152</x:v>
      </x:c>
      <x:c r="C2088" s="3" t="str">
        <x:v>仅R回收</x:v>
      </x:c>
      <x:c r="D2088" s="25" t="n">
        <x:v>4</x:v>
      </x:c>
      <x:c r="E2088" s="25" t="n">
        <x:v>3</x:v>
      </x:c>
      <x:c r="F2088" s="25" t="n">
        <x:v>1</x:v>
      </x:c>
      <x:c r="G2088" s="19" t="n">
        <x:f>SUM(D2088:F2088)</x:f>
        <x:v>8</x:v>
      </x:c>
      <x:c r="H2088" s="25" t="n">
        <x:v>0</x:v>
      </x:c>
      <x:c r="I2088" s="25" t="n">
        <x:v>0</x:v>
      </x:c>
      <x:c r="J2088" s="25" t="str">
        <x:v>-</x:v>
      </x:c>
      <x:c r="K2088" s="19" t="n">
        <x:f>D2088-IF(H2088=0,1,0)</x:f>
        <x:v>3</x:v>
      </x:c>
      <x:c r="L2088" s="19" t="n">
        <x:f>E2088-IF(H2088=1,1,0)</x:f>
        <x:v>3</x:v>
      </x:c>
      <x:c r="M2088" s="19" t="n">
        <x:f>F2088-IF(H2088=2,1,0)</x:f>
        <x:v>1</x:v>
      </x:c>
      <x:c r="N2088" s="19" t="n">
        <x:f>MAX(K2088-1,0)+MAX(L2088-1,0)+MAX(M2088-1,0)</x:f>
        <x:v>4</x:v>
      </x:c>
      <x:c r="O2088" s="19" t="n">
        <x:f>IF(AND(SUM(K2088:M2088)&lt;9,OR(M2088=0,N2088&lt;6)),1,0)</x:f>
        <x:v>1</x:v>
      </x:c>
      <x:c r="P2088" s="19" t="n">
        <x:f>IF(AND(SUM(K2088:M2088)&lt;9,OR(L2088=0,N2088&lt;6)),1,0)</x:f>
        <x:v>1</x:v>
      </x:c>
      <x:c r="Q2088" s="19" t="n">
        <x:f>IF(AND(SUM(K2088:M2088)&lt;9,OR(K2088=0,N2088&lt;6)),1,0)</x:f>
        <x:v>1</x:v>
      </x:c>
      <x:c r="R2088" s="22" t="str">
        <x:f>O2088&amp;P2088&amp;Q2088</x:f>
        <x:v>111</x:v>
      </x:c>
      <x:c r="S2088" s="19" t="n">
        <x:f>IF(I2088=1,IF(J2088=0,Q2088,IF(J2088=1,P2088,IF(J2088=2,O2088,0))),0)</x:f>
        <x:v>0</x:v>
      </x:c>
      <x:c r="T2088" s="19" t="n">
        <x:f>K2088+IF(AND(S2088=1,J2088=0),1,0)</x:f>
        <x:v>3</x:v>
      </x:c>
      <x:c r="U2088" s="19" t="n">
        <x:f>L2088+IF(AND(S2088=1,J2088=1),1,0)</x:f>
        <x:v>3</x:v>
      </x:c>
      <x:c r="V2088" s="19" t="n">
        <x:f>M2088+IF(AND(S2088=1,J2088=2),1,0)</x:f>
        <x:v>1</x:v>
      </x:c>
      <x:c r="W2088" s="19" t="n">
        <x:f>SUM(T2088:V2088)</x:f>
        <x:v>7</x:v>
      </x:c>
      <x:c r="X2088" s="19" t="n">
        <x:f>W2088-G2088</x:f>
        <x:v>-1</x:v>
      </x:c>
      <x:c r="Y2088" s="19" t="n">
        <x:f>MAX(T2088,1)+MAX(U2088,1)+MAX(V2088,1)</x:f>
        <x:v>7</x:v>
      </x:c>
      <x:c r="Z2088" s="21" t="str">
        <x:f>IF(AND(MIN(D2088:F2088)&gt;=0,MAX(D2088:F2088)&lt;=7,MAX(D2088,1)+MAX(E2088,1)+MAX(F2088,1)&lt;=9,OR(H2088="-",AND(H2088=0,D2088&gt;0),AND(H2088=1,E2088&gt;0),AND(H2088=2,F2088&gt;0)),OR(I2088=0,AND(I2088=1,OR(J2088=0,J2088=1,J2088=2),R2088&lt;&gt;"000")),Y2088&lt;=9,MIN(T2088:V2088)&gt;=0),"合法","输入违约")</x:f>
        <x:v>合法</x:v>
      </x:c>
    </x:row>
    <x:row r="2089" ht="23" customHeight="1">
      <x:c r="A2089" s="3" t="str">
        <x:v>CT-2082</x:v>
      </x:c>
      <x:c r="B2089" s="3" t="str">
        <x:v>ST-152</x:v>
      </x:c>
      <x:c r="C2089" s="3" t="str">
        <x:v>R+AR同收同发</x:v>
      </x:c>
      <x:c r="D2089" s="25" t="n">
        <x:v>4</x:v>
      </x:c>
      <x:c r="E2089" s="25" t="n">
        <x:v>3</x:v>
      </x:c>
      <x:c r="F2089" s="25" t="n">
        <x:v>1</x:v>
      </x:c>
      <x:c r="G2089" s="19" t="n">
        <x:f>SUM(D2089:F2089)</x:f>
        <x:v>8</x:v>
      </x:c>
      <x:c r="H2089" s="25" t="n">
        <x:v>0</x:v>
      </x:c>
      <x:c r="I2089" s="25" t="n">
        <x:v>1</x:v>
      </x:c>
      <x:c r="J2089" s="25" t="n">
        <x:v>0</x:v>
      </x:c>
      <x:c r="K2089" s="19" t="n">
        <x:f>D2089-IF(H2089=0,1,0)</x:f>
        <x:v>3</x:v>
      </x:c>
      <x:c r="L2089" s="19" t="n">
        <x:f>E2089-IF(H2089=1,1,0)</x:f>
        <x:v>3</x:v>
      </x:c>
      <x:c r="M2089" s="19" t="n">
        <x:f>F2089-IF(H2089=2,1,0)</x:f>
        <x:v>1</x:v>
      </x:c>
      <x:c r="N2089" s="19" t="n">
        <x:f>MAX(K2089-1,0)+MAX(L2089-1,0)+MAX(M2089-1,0)</x:f>
        <x:v>4</x:v>
      </x:c>
      <x:c r="O2089" s="19" t="n">
        <x:f>IF(AND(SUM(K2089:M2089)&lt;9,OR(M2089=0,N2089&lt;6)),1,0)</x:f>
        <x:v>1</x:v>
      </x:c>
      <x:c r="P2089" s="19" t="n">
        <x:f>IF(AND(SUM(K2089:M2089)&lt;9,OR(L2089=0,N2089&lt;6)),1,0)</x:f>
        <x:v>1</x:v>
      </x:c>
      <x:c r="Q2089" s="19" t="n">
        <x:f>IF(AND(SUM(K2089:M2089)&lt;9,OR(K2089=0,N2089&lt;6)),1,0)</x:f>
        <x:v>1</x:v>
      </x:c>
      <x:c r="R2089" s="22" t="str">
        <x:f>O2089&amp;P2089&amp;Q2089</x:f>
        <x:v>111</x:v>
      </x:c>
      <x:c r="S2089" s="19" t="n">
        <x:f>IF(I2089=1,IF(J2089=0,Q2089,IF(J2089=1,P2089,IF(J2089=2,O2089,0))),0)</x:f>
        <x:v>1</x:v>
      </x:c>
      <x:c r="T2089" s="19" t="n">
        <x:f>K2089+IF(AND(S2089=1,J2089=0),1,0)</x:f>
        <x:v>4</x:v>
      </x:c>
      <x:c r="U2089" s="19" t="n">
        <x:f>L2089+IF(AND(S2089=1,J2089=1),1,0)</x:f>
        <x:v>3</x:v>
      </x:c>
      <x:c r="V2089" s="19" t="n">
        <x:f>M2089+IF(AND(S2089=1,J2089=2),1,0)</x:f>
        <x:v>1</x:v>
      </x:c>
      <x:c r="W2089" s="19" t="n">
        <x:f>SUM(T2089:V2089)</x:f>
        <x:v>8</x:v>
      </x:c>
      <x:c r="X2089" s="19" t="n">
        <x:f>W2089-G2089</x:f>
        <x:v>0</x:v>
      </x:c>
      <x:c r="Y2089" s="19" t="n">
        <x:f>MAX(T2089,1)+MAX(U2089,1)+MAX(V2089,1)</x:f>
        <x:v>8</x:v>
      </x:c>
      <x:c r="Z2089" s="21" t="str">
        <x:f>IF(AND(MIN(D2089:F2089)&gt;=0,MAX(D2089:F2089)&lt;=7,MAX(D2089,1)+MAX(E2089,1)+MAX(F2089,1)&lt;=9,OR(H2089="-",AND(H2089=0,D2089&gt;0),AND(H2089=1,E2089&gt;0),AND(H2089=2,F2089&gt;0)),OR(I2089=0,AND(I2089=1,OR(J2089=0,J2089=1,J2089=2),R2089&lt;&gt;"000")),Y2089&lt;=9,MIN(T2089:V2089)&gt;=0),"合法","输入违约")</x:f>
        <x:v>合法</x:v>
      </x:c>
    </x:row>
    <x:row r="2090" ht="23" customHeight="1">
      <x:c r="A2090" s="3" t="str">
        <x:v>CT-2083</x:v>
      </x:c>
      <x:c r="B2090" s="3" t="str">
        <x:v>ST-152</x:v>
      </x:c>
      <x:c r="C2090" s="3" t="str">
        <x:v>R+AR同收同发</x:v>
      </x:c>
      <x:c r="D2090" s="25" t="n">
        <x:v>4</x:v>
      </x:c>
      <x:c r="E2090" s="25" t="n">
        <x:v>3</x:v>
      </x:c>
      <x:c r="F2090" s="25" t="n">
        <x:v>1</x:v>
      </x:c>
      <x:c r="G2090" s="19" t="n">
        <x:f>SUM(D2090:F2090)</x:f>
        <x:v>8</x:v>
      </x:c>
      <x:c r="H2090" s="25" t="n">
        <x:v>0</x:v>
      </x:c>
      <x:c r="I2090" s="25" t="n">
        <x:v>1</x:v>
      </x:c>
      <x:c r="J2090" s="25" t="n">
        <x:v>1</x:v>
      </x:c>
      <x:c r="K2090" s="19" t="n">
        <x:f>D2090-IF(H2090=0,1,0)</x:f>
        <x:v>3</x:v>
      </x:c>
      <x:c r="L2090" s="19" t="n">
        <x:f>E2090-IF(H2090=1,1,0)</x:f>
        <x:v>3</x:v>
      </x:c>
      <x:c r="M2090" s="19" t="n">
        <x:f>F2090-IF(H2090=2,1,0)</x:f>
        <x:v>1</x:v>
      </x:c>
      <x:c r="N2090" s="19" t="n">
        <x:f>MAX(K2090-1,0)+MAX(L2090-1,0)+MAX(M2090-1,0)</x:f>
        <x:v>4</x:v>
      </x:c>
      <x:c r="O2090" s="19" t="n">
        <x:f>IF(AND(SUM(K2090:M2090)&lt;9,OR(M2090=0,N2090&lt;6)),1,0)</x:f>
        <x:v>1</x:v>
      </x:c>
      <x:c r="P2090" s="19" t="n">
        <x:f>IF(AND(SUM(K2090:M2090)&lt;9,OR(L2090=0,N2090&lt;6)),1,0)</x:f>
        <x:v>1</x:v>
      </x:c>
      <x:c r="Q2090" s="19" t="n">
        <x:f>IF(AND(SUM(K2090:M2090)&lt;9,OR(K2090=0,N2090&lt;6)),1,0)</x:f>
        <x:v>1</x:v>
      </x:c>
      <x:c r="R2090" s="22" t="str">
        <x:f>O2090&amp;P2090&amp;Q2090</x:f>
        <x:v>111</x:v>
      </x:c>
      <x:c r="S2090" s="19" t="n">
        <x:f>IF(I2090=1,IF(J2090=0,Q2090,IF(J2090=1,P2090,IF(J2090=2,O2090,0))),0)</x:f>
        <x:v>1</x:v>
      </x:c>
      <x:c r="T2090" s="19" t="n">
        <x:f>K2090+IF(AND(S2090=1,J2090=0),1,0)</x:f>
        <x:v>3</x:v>
      </x:c>
      <x:c r="U2090" s="19" t="n">
        <x:f>L2090+IF(AND(S2090=1,J2090=1),1,0)</x:f>
        <x:v>4</x:v>
      </x:c>
      <x:c r="V2090" s="19" t="n">
        <x:f>M2090+IF(AND(S2090=1,J2090=2),1,0)</x:f>
        <x:v>1</x:v>
      </x:c>
      <x:c r="W2090" s="19" t="n">
        <x:f>SUM(T2090:V2090)</x:f>
        <x:v>8</x:v>
      </x:c>
      <x:c r="X2090" s="19" t="n">
        <x:f>W2090-G2090</x:f>
        <x:v>0</x:v>
      </x:c>
      <x:c r="Y2090" s="19" t="n">
        <x:f>MAX(T2090,1)+MAX(U2090,1)+MAX(V2090,1)</x:f>
        <x:v>8</x:v>
      </x:c>
      <x:c r="Z2090" s="21" t="str">
        <x:f>IF(AND(MIN(D2090:F2090)&gt;=0,MAX(D2090:F2090)&lt;=7,MAX(D2090,1)+MAX(E2090,1)+MAX(F2090,1)&lt;=9,OR(H2090="-",AND(H2090=0,D2090&gt;0),AND(H2090=1,E2090&gt;0),AND(H2090=2,F2090&gt;0)),OR(I2090=0,AND(I2090=1,OR(J2090=0,J2090=1,J2090=2),R2090&lt;&gt;"000")),Y2090&lt;=9,MIN(T2090:V2090)&gt;=0),"合法","输入违约")</x:f>
        <x:v>合法</x:v>
      </x:c>
    </x:row>
    <x:row r="2091" ht="23" customHeight="1">
      <x:c r="A2091" s="3" t="str">
        <x:v>CT-2084</x:v>
      </x:c>
      <x:c r="B2091" s="3" t="str">
        <x:v>ST-152</x:v>
      </x:c>
      <x:c r="C2091" s="3" t="str">
        <x:v>R+AR同收同发</x:v>
      </x:c>
      <x:c r="D2091" s="25" t="n">
        <x:v>4</x:v>
      </x:c>
      <x:c r="E2091" s="25" t="n">
        <x:v>3</x:v>
      </x:c>
      <x:c r="F2091" s="25" t="n">
        <x:v>1</x:v>
      </x:c>
      <x:c r="G2091" s="19" t="n">
        <x:f>SUM(D2091:F2091)</x:f>
        <x:v>8</x:v>
      </x:c>
      <x:c r="H2091" s="25" t="n">
        <x:v>0</x:v>
      </x:c>
      <x:c r="I2091" s="25" t="n">
        <x:v>1</x:v>
      </x:c>
      <x:c r="J2091" s="25" t="n">
        <x:v>2</x:v>
      </x:c>
      <x:c r="K2091" s="19" t="n">
        <x:f>D2091-IF(H2091=0,1,0)</x:f>
        <x:v>3</x:v>
      </x:c>
      <x:c r="L2091" s="19" t="n">
        <x:f>E2091-IF(H2091=1,1,0)</x:f>
        <x:v>3</x:v>
      </x:c>
      <x:c r="M2091" s="19" t="n">
        <x:f>F2091-IF(H2091=2,1,0)</x:f>
        <x:v>1</x:v>
      </x:c>
      <x:c r="N2091" s="19" t="n">
        <x:f>MAX(K2091-1,0)+MAX(L2091-1,0)+MAX(M2091-1,0)</x:f>
        <x:v>4</x:v>
      </x:c>
      <x:c r="O2091" s="19" t="n">
        <x:f>IF(AND(SUM(K2091:M2091)&lt;9,OR(M2091=0,N2091&lt;6)),1,0)</x:f>
        <x:v>1</x:v>
      </x:c>
      <x:c r="P2091" s="19" t="n">
        <x:f>IF(AND(SUM(K2091:M2091)&lt;9,OR(L2091=0,N2091&lt;6)),1,0)</x:f>
        <x:v>1</x:v>
      </x:c>
      <x:c r="Q2091" s="19" t="n">
        <x:f>IF(AND(SUM(K2091:M2091)&lt;9,OR(K2091=0,N2091&lt;6)),1,0)</x:f>
        <x:v>1</x:v>
      </x:c>
      <x:c r="R2091" s="22" t="str">
        <x:f>O2091&amp;P2091&amp;Q2091</x:f>
        <x:v>111</x:v>
      </x:c>
      <x:c r="S2091" s="19" t="n">
        <x:f>IF(I2091=1,IF(J2091=0,Q2091,IF(J2091=1,P2091,IF(J2091=2,O2091,0))),0)</x:f>
        <x:v>1</x:v>
      </x:c>
      <x:c r="T2091" s="19" t="n">
        <x:f>K2091+IF(AND(S2091=1,J2091=0),1,0)</x:f>
        <x:v>3</x:v>
      </x:c>
      <x:c r="U2091" s="19" t="n">
        <x:f>L2091+IF(AND(S2091=1,J2091=1),1,0)</x:f>
        <x:v>3</x:v>
      </x:c>
      <x:c r="V2091" s="19" t="n">
        <x:f>M2091+IF(AND(S2091=1,J2091=2),1,0)</x:f>
        <x:v>2</x:v>
      </x:c>
      <x:c r="W2091" s="19" t="n">
        <x:f>SUM(T2091:V2091)</x:f>
        <x:v>8</x:v>
      </x:c>
      <x:c r="X2091" s="19" t="n">
        <x:f>W2091-G2091</x:f>
        <x:v>0</x:v>
      </x:c>
      <x:c r="Y2091" s="19" t="n">
        <x:f>MAX(T2091,1)+MAX(U2091,1)+MAX(V2091,1)</x:f>
        <x:v>8</x:v>
      </x:c>
      <x:c r="Z2091" s="21" t="str">
        <x:f>IF(AND(MIN(D2091:F2091)&gt;=0,MAX(D2091:F2091)&lt;=7,MAX(D2091,1)+MAX(E2091,1)+MAX(F2091,1)&lt;=9,OR(H2091="-",AND(H2091=0,D2091&gt;0),AND(H2091=1,E2091&gt;0),AND(H2091=2,F2091&gt;0)),OR(I2091=0,AND(I2091=1,OR(J2091=0,J2091=1,J2091=2),R2091&lt;&gt;"000")),Y2091&lt;=9,MIN(T2091:V2091)&gt;=0),"合法","输入违约")</x:f>
        <x:v>合法</x:v>
      </x:c>
    </x:row>
    <x:row r="2092" ht="23" customHeight="1">
      <x:c r="A2092" s="3" t="str">
        <x:v>CT-2085</x:v>
      </x:c>
      <x:c r="B2092" s="3" t="str">
        <x:v>ST-152</x:v>
      </x:c>
      <x:c r="C2092" s="3" t="str">
        <x:v>仅R回收</x:v>
      </x:c>
      <x:c r="D2092" s="25" t="n">
        <x:v>4</x:v>
      </x:c>
      <x:c r="E2092" s="25" t="n">
        <x:v>3</x:v>
      </x:c>
      <x:c r="F2092" s="25" t="n">
        <x:v>1</x:v>
      </x:c>
      <x:c r="G2092" s="19" t="n">
        <x:f>SUM(D2092:F2092)</x:f>
        <x:v>8</x:v>
      </x:c>
      <x:c r="H2092" s="25" t="n">
        <x:v>1</x:v>
      </x:c>
      <x:c r="I2092" s="25" t="n">
        <x:v>0</x:v>
      </x:c>
      <x:c r="J2092" s="25" t="str">
        <x:v>-</x:v>
      </x:c>
      <x:c r="K2092" s="19" t="n">
        <x:f>D2092-IF(H2092=0,1,0)</x:f>
        <x:v>4</x:v>
      </x:c>
      <x:c r="L2092" s="19" t="n">
        <x:f>E2092-IF(H2092=1,1,0)</x:f>
        <x:v>2</x:v>
      </x:c>
      <x:c r="M2092" s="19" t="n">
        <x:f>F2092-IF(H2092=2,1,0)</x:f>
        <x:v>1</x:v>
      </x:c>
      <x:c r="N2092" s="19" t="n">
        <x:f>MAX(K2092-1,0)+MAX(L2092-1,0)+MAX(M2092-1,0)</x:f>
        <x:v>4</x:v>
      </x:c>
      <x:c r="O2092" s="19" t="n">
        <x:f>IF(AND(SUM(K2092:M2092)&lt;9,OR(M2092=0,N2092&lt;6)),1,0)</x:f>
        <x:v>1</x:v>
      </x:c>
      <x:c r="P2092" s="19" t="n">
        <x:f>IF(AND(SUM(K2092:M2092)&lt;9,OR(L2092=0,N2092&lt;6)),1,0)</x:f>
        <x:v>1</x:v>
      </x:c>
      <x:c r="Q2092" s="19" t="n">
        <x:f>IF(AND(SUM(K2092:M2092)&lt;9,OR(K2092=0,N2092&lt;6)),1,0)</x:f>
        <x:v>1</x:v>
      </x:c>
      <x:c r="R2092" s="22" t="str">
        <x:f>O2092&amp;P2092&amp;Q2092</x:f>
        <x:v>111</x:v>
      </x:c>
      <x:c r="S2092" s="19" t="n">
        <x:f>IF(I2092=1,IF(J2092=0,Q2092,IF(J2092=1,P2092,IF(J2092=2,O2092,0))),0)</x:f>
        <x:v>0</x:v>
      </x:c>
      <x:c r="T2092" s="19" t="n">
        <x:f>K2092+IF(AND(S2092=1,J2092=0),1,0)</x:f>
        <x:v>4</x:v>
      </x:c>
      <x:c r="U2092" s="19" t="n">
        <x:f>L2092+IF(AND(S2092=1,J2092=1),1,0)</x:f>
        <x:v>2</x:v>
      </x:c>
      <x:c r="V2092" s="19" t="n">
        <x:f>M2092+IF(AND(S2092=1,J2092=2),1,0)</x:f>
        <x:v>1</x:v>
      </x:c>
      <x:c r="W2092" s="19" t="n">
        <x:f>SUM(T2092:V2092)</x:f>
        <x:v>7</x:v>
      </x:c>
      <x:c r="X2092" s="19" t="n">
        <x:f>W2092-G2092</x:f>
        <x:v>-1</x:v>
      </x:c>
      <x:c r="Y2092" s="19" t="n">
        <x:f>MAX(T2092,1)+MAX(U2092,1)+MAX(V2092,1)</x:f>
        <x:v>7</x:v>
      </x:c>
      <x:c r="Z2092" s="21" t="str">
        <x:f>IF(AND(MIN(D2092:F2092)&gt;=0,MAX(D2092:F2092)&lt;=7,MAX(D2092,1)+MAX(E2092,1)+MAX(F2092,1)&lt;=9,OR(H2092="-",AND(H2092=0,D2092&gt;0),AND(H2092=1,E2092&gt;0),AND(H2092=2,F2092&gt;0)),OR(I2092=0,AND(I2092=1,OR(J2092=0,J2092=1,J2092=2),R2092&lt;&gt;"000")),Y2092&lt;=9,MIN(T2092:V2092)&gt;=0),"合法","输入违约")</x:f>
        <x:v>合法</x:v>
      </x:c>
    </x:row>
    <x:row r="2093" ht="23" customHeight="1">
      <x:c r="A2093" s="3" t="str">
        <x:v>CT-2086</x:v>
      </x:c>
      <x:c r="B2093" s="3" t="str">
        <x:v>ST-152</x:v>
      </x:c>
      <x:c r="C2093" s="3" t="str">
        <x:v>R+AR同收同发</x:v>
      </x:c>
      <x:c r="D2093" s="25" t="n">
        <x:v>4</x:v>
      </x:c>
      <x:c r="E2093" s="25" t="n">
        <x:v>3</x:v>
      </x:c>
      <x:c r="F2093" s="25" t="n">
        <x:v>1</x:v>
      </x:c>
      <x:c r="G2093" s="19" t="n">
        <x:f>SUM(D2093:F2093)</x:f>
        <x:v>8</x:v>
      </x:c>
      <x:c r="H2093" s="25" t="n">
        <x:v>1</x:v>
      </x:c>
      <x:c r="I2093" s="25" t="n">
        <x:v>1</x:v>
      </x:c>
      <x:c r="J2093" s="25" t="n">
        <x:v>0</x:v>
      </x:c>
      <x:c r="K2093" s="19" t="n">
        <x:f>D2093-IF(H2093=0,1,0)</x:f>
        <x:v>4</x:v>
      </x:c>
      <x:c r="L2093" s="19" t="n">
        <x:f>E2093-IF(H2093=1,1,0)</x:f>
        <x:v>2</x:v>
      </x:c>
      <x:c r="M2093" s="19" t="n">
        <x:f>F2093-IF(H2093=2,1,0)</x:f>
        <x:v>1</x:v>
      </x:c>
      <x:c r="N2093" s="19" t="n">
        <x:f>MAX(K2093-1,0)+MAX(L2093-1,0)+MAX(M2093-1,0)</x:f>
        <x:v>4</x:v>
      </x:c>
      <x:c r="O2093" s="19" t="n">
        <x:f>IF(AND(SUM(K2093:M2093)&lt;9,OR(M2093=0,N2093&lt;6)),1,0)</x:f>
        <x:v>1</x:v>
      </x:c>
      <x:c r="P2093" s="19" t="n">
        <x:f>IF(AND(SUM(K2093:M2093)&lt;9,OR(L2093=0,N2093&lt;6)),1,0)</x:f>
        <x:v>1</x:v>
      </x:c>
      <x:c r="Q2093" s="19" t="n">
        <x:f>IF(AND(SUM(K2093:M2093)&lt;9,OR(K2093=0,N2093&lt;6)),1,0)</x:f>
        <x:v>1</x:v>
      </x:c>
      <x:c r="R2093" s="22" t="str">
        <x:f>O2093&amp;P2093&amp;Q2093</x:f>
        <x:v>111</x:v>
      </x:c>
      <x:c r="S2093" s="19" t="n">
        <x:f>IF(I2093=1,IF(J2093=0,Q2093,IF(J2093=1,P2093,IF(J2093=2,O2093,0))),0)</x:f>
        <x:v>1</x:v>
      </x:c>
      <x:c r="T2093" s="19" t="n">
        <x:f>K2093+IF(AND(S2093=1,J2093=0),1,0)</x:f>
        <x:v>5</x:v>
      </x:c>
      <x:c r="U2093" s="19" t="n">
        <x:f>L2093+IF(AND(S2093=1,J2093=1),1,0)</x:f>
        <x:v>2</x:v>
      </x:c>
      <x:c r="V2093" s="19" t="n">
        <x:f>M2093+IF(AND(S2093=1,J2093=2),1,0)</x:f>
        <x:v>1</x:v>
      </x:c>
      <x:c r="W2093" s="19" t="n">
        <x:f>SUM(T2093:V2093)</x:f>
        <x:v>8</x:v>
      </x:c>
      <x:c r="X2093" s="19" t="n">
        <x:f>W2093-G2093</x:f>
        <x:v>0</x:v>
      </x:c>
      <x:c r="Y2093" s="19" t="n">
        <x:f>MAX(T2093,1)+MAX(U2093,1)+MAX(V2093,1)</x:f>
        <x:v>8</x:v>
      </x:c>
      <x:c r="Z2093" s="21" t="str">
        <x:f>IF(AND(MIN(D2093:F2093)&gt;=0,MAX(D2093:F2093)&lt;=7,MAX(D2093,1)+MAX(E2093,1)+MAX(F2093,1)&lt;=9,OR(H2093="-",AND(H2093=0,D2093&gt;0),AND(H2093=1,E2093&gt;0),AND(H2093=2,F2093&gt;0)),OR(I2093=0,AND(I2093=1,OR(J2093=0,J2093=1,J2093=2),R2093&lt;&gt;"000")),Y2093&lt;=9,MIN(T2093:V2093)&gt;=0),"合法","输入违约")</x:f>
        <x:v>合法</x:v>
      </x:c>
    </x:row>
    <x:row r="2094" ht="23" customHeight="1">
      <x:c r="A2094" s="3" t="str">
        <x:v>CT-2087</x:v>
      </x:c>
      <x:c r="B2094" s="3" t="str">
        <x:v>ST-152</x:v>
      </x:c>
      <x:c r="C2094" s="3" t="str">
        <x:v>R+AR同收同发</x:v>
      </x:c>
      <x:c r="D2094" s="25" t="n">
        <x:v>4</x:v>
      </x:c>
      <x:c r="E2094" s="25" t="n">
        <x:v>3</x:v>
      </x:c>
      <x:c r="F2094" s="25" t="n">
        <x:v>1</x:v>
      </x:c>
      <x:c r="G2094" s="19" t="n">
        <x:f>SUM(D2094:F2094)</x:f>
        <x:v>8</x:v>
      </x:c>
      <x:c r="H2094" s="25" t="n">
        <x:v>1</x:v>
      </x:c>
      <x:c r="I2094" s="25" t="n">
        <x:v>1</x:v>
      </x:c>
      <x:c r="J2094" s="25" t="n">
        <x:v>1</x:v>
      </x:c>
      <x:c r="K2094" s="19" t="n">
        <x:f>D2094-IF(H2094=0,1,0)</x:f>
        <x:v>4</x:v>
      </x:c>
      <x:c r="L2094" s="19" t="n">
        <x:f>E2094-IF(H2094=1,1,0)</x:f>
        <x:v>2</x:v>
      </x:c>
      <x:c r="M2094" s="19" t="n">
        <x:f>F2094-IF(H2094=2,1,0)</x:f>
        <x:v>1</x:v>
      </x:c>
      <x:c r="N2094" s="19" t="n">
        <x:f>MAX(K2094-1,0)+MAX(L2094-1,0)+MAX(M2094-1,0)</x:f>
        <x:v>4</x:v>
      </x:c>
      <x:c r="O2094" s="19" t="n">
        <x:f>IF(AND(SUM(K2094:M2094)&lt;9,OR(M2094=0,N2094&lt;6)),1,0)</x:f>
        <x:v>1</x:v>
      </x:c>
      <x:c r="P2094" s="19" t="n">
        <x:f>IF(AND(SUM(K2094:M2094)&lt;9,OR(L2094=0,N2094&lt;6)),1,0)</x:f>
        <x:v>1</x:v>
      </x:c>
      <x:c r="Q2094" s="19" t="n">
        <x:f>IF(AND(SUM(K2094:M2094)&lt;9,OR(K2094=0,N2094&lt;6)),1,0)</x:f>
        <x:v>1</x:v>
      </x:c>
      <x:c r="R2094" s="22" t="str">
        <x:f>O2094&amp;P2094&amp;Q2094</x:f>
        <x:v>111</x:v>
      </x:c>
      <x:c r="S2094" s="19" t="n">
        <x:f>IF(I2094=1,IF(J2094=0,Q2094,IF(J2094=1,P2094,IF(J2094=2,O2094,0))),0)</x:f>
        <x:v>1</x:v>
      </x:c>
      <x:c r="T2094" s="19" t="n">
        <x:f>K2094+IF(AND(S2094=1,J2094=0),1,0)</x:f>
        <x:v>4</x:v>
      </x:c>
      <x:c r="U2094" s="19" t="n">
        <x:f>L2094+IF(AND(S2094=1,J2094=1),1,0)</x:f>
        <x:v>3</x:v>
      </x:c>
      <x:c r="V2094" s="19" t="n">
        <x:f>M2094+IF(AND(S2094=1,J2094=2),1,0)</x:f>
        <x:v>1</x:v>
      </x:c>
      <x:c r="W2094" s="19" t="n">
        <x:f>SUM(T2094:V2094)</x:f>
        <x:v>8</x:v>
      </x:c>
      <x:c r="X2094" s="19" t="n">
        <x:f>W2094-G2094</x:f>
        <x:v>0</x:v>
      </x:c>
      <x:c r="Y2094" s="19" t="n">
        <x:f>MAX(T2094,1)+MAX(U2094,1)+MAX(V2094,1)</x:f>
        <x:v>8</x:v>
      </x:c>
      <x:c r="Z2094" s="21" t="str">
        <x:f>IF(AND(MIN(D2094:F2094)&gt;=0,MAX(D2094:F2094)&lt;=7,MAX(D2094,1)+MAX(E2094,1)+MAX(F2094,1)&lt;=9,OR(H2094="-",AND(H2094=0,D2094&gt;0),AND(H2094=1,E2094&gt;0),AND(H2094=2,F2094&gt;0)),OR(I2094=0,AND(I2094=1,OR(J2094=0,J2094=1,J2094=2),R2094&lt;&gt;"000")),Y2094&lt;=9,MIN(T2094:V2094)&gt;=0),"合法","输入违约")</x:f>
        <x:v>合法</x:v>
      </x:c>
    </x:row>
    <x:row r="2095" ht="23" customHeight="1">
      <x:c r="A2095" s="3" t="str">
        <x:v>CT-2088</x:v>
      </x:c>
      <x:c r="B2095" s="3" t="str">
        <x:v>ST-152</x:v>
      </x:c>
      <x:c r="C2095" s="3" t="str">
        <x:v>R+AR同收同发</x:v>
      </x:c>
      <x:c r="D2095" s="25" t="n">
        <x:v>4</x:v>
      </x:c>
      <x:c r="E2095" s="25" t="n">
        <x:v>3</x:v>
      </x:c>
      <x:c r="F2095" s="25" t="n">
        <x:v>1</x:v>
      </x:c>
      <x:c r="G2095" s="19" t="n">
        <x:f>SUM(D2095:F2095)</x:f>
        <x:v>8</x:v>
      </x:c>
      <x:c r="H2095" s="25" t="n">
        <x:v>1</x:v>
      </x:c>
      <x:c r="I2095" s="25" t="n">
        <x:v>1</x:v>
      </x:c>
      <x:c r="J2095" s="25" t="n">
        <x:v>2</x:v>
      </x:c>
      <x:c r="K2095" s="19" t="n">
        <x:f>D2095-IF(H2095=0,1,0)</x:f>
        <x:v>4</x:v>
      </x:c>
      <x:c r="L2095" s="19" t="n">
        <x:f>E2095-IF(H2095=1,1,0)</x:f>
        <x:v>2</x:v>
      </x:c>
      <x:c r="M2095" s="19" t="n">
        <x:f>F2095-IF(H2095=2,1,0)</x:f>
        <x:v>1</x:v>
      </x:c>
      <x:c r="N2095" s="19" t="n">
        <x:f>MAX(K2095-1,0)+MAX(L2095-1,0)+MAX(M2095-1,0)</x:f>
        <x:v>4</x:v>
      </x:c>
      <x:c r="O2095" s="19" t="n">
        <x:f>IF(AND(SUM(K2095:M2095)&lt;9,OR(M2095=0,N2095&lt;6)),1,0)</x:f>
        <x:v>1</x:v>
      </x:c>
      <x:c r="P2095" s="19" t="n">
        <x:f>IF(AND(SUM(K2095:M2095)&lt;9,OR(L2095=0,N2095&lt;6)),1,0)</x:f>
        <x:v>1</x:v>
      </x:c>
      <x:c r="Q2095" s="19" t="n">
        <x:f>IF(AND(SUM(K2095:M2095)&lt;9,OR(K2095=0,N2095&lt;6)),1,0)</x:f>
        <x:v>1</x:v>
      </x:c>
      <x:c r="R2095" s="22" t="str">
        <x:f>O2095&amp;P2095&amp;Q2095</x:f>
        <x:v>111</x:v>
      </x:c>
      <x:c r="S2095" s="19" t="n">
        <x:f>IF(I2095=1,IF(J2095=0,Q2095,IF(J2095=1,P2095,IF(J2095=2,O2095,0))),0)</x:f>
        <x:v>1</x:v>
      </x:c>
      <x:c r="T2095" s="19" t="n">
        <x:f>K2095+IF(AND(S2095=1,J2095=0),1,0)</x:f>
        <x:v>4</x:v>
      </x:c>
      <x:c r="U2095" s="19" t="n">
        <x:f>L2095+IF(AND(S2095=1,J2095=1),1,0)</x:f>
        <x:v>2</x:v>
      </x:c>
      <x:c r="V2095" s="19" t="n">
        <x:f>M2095+IF(AND(S2095=1,J2095=2),1,0)</x:f>
        <x:v>2</x:v>
      </x:c>
      <x:c r="W2095" s="19" t="n">
        <x:f>SUM(T2095:V2095)</x:f>
        <x:v>8</x:v>
      </x:c>
      <x:c r="X2095" s="19" t="n">
        <x:f>W2095-G2095</x:f>
        <x:v>0</x:v>
      </x:c>
      <x:c r="Y2095" s="19" t="n">
        <x:f>MAX(T2095,1)+MAX(U2095,1)+MAX(V2095,1)</x:f>
        <x:v>8</x:v>
      </x:c>
      <x:c r="Z2095" s="21" t="str">
        <x:f>IF(AND(MIN(D2095:F2095)&gt;=0,MAX(D2095:F2095)&lt;=7,MAX(D2095,1)+MAX(E2095,1)+MAX(F2095,1)&lt;=9,OR(H2095="-",AND(H2095=0,D2095&gt;0),AND(H2095=1,E2095&gt;0),AND(H2095=2,F2095&gt;0)),OR(I2095=0,AND(I2095=1,OR(J2095=0,J2095=1,J2095=2),R2095&lt;&gt;"000")),Y2095&lt;=9,MIN(T2095:V2095)&gt;=0),"合法","输入违约")</x:f>
        <x:v>合法</x:v>
      </x:c>
    </x:row>
    <x:row r="2096" ht="23" customHeight="1">
      <x:c r="A2096" s="3" t="str">
        <x:v>CT-2089</x:v>
      </x:c>
      <x:c r="B2096" s="3" t="str">
        <x:v>ST-152</x:v>
      </x:c>
      <x:c r="C2096" s="3" t="str">
        <x:v>仅R回收</x:v>
      </x:c>
      <x:c r="D2096" s="25" t="n">
        <x:v>4</x:v>
      </x:c>
      <x:c r="E2096" s="25" t="n">
        <x:v>3</x:v>
      </x:c>
      <x:c r="F2096" s="25" t="n">
        <x:v>1</x:v>
      </x:c>
      <x:c r="G2096" s="19" t="n">
        <x:f>SUM(D2096:F2096)</x:f>
        <x:v>8</x:v>
      </x:c>
      <x:c r="H2096" s="25" t="n">
        <x:v>2</x:v>
      </x:c>
      <x:c r="I2096" s="25" t="n">
        <x:v>0</x:v>
      </x:c>
      <x:c r="J2096" s="25" t="str">
        <x:v>-</x:v>
      </x:c>
      <x:c r="K2096" s="19" t="n">
        <x:f>D2096-IF(H2096=0,1,0)</x:f>
        <x:v>4</x:v>
      </x:c>
      <x:c r="L2096" s="19" t="n">
        <x:f>E2096-IF(H2096=1,1,0)</x:f>
        <x:v>3</x:v>
      </x:c>
      <x:c r="M2096" s="19" t="n">
        <x:f>F2096-IF(H2096=2,1,0)</x:f>
        <x:v>0</x:v>
      </x:c>
      <x:c r="N2096" s="19" t="n">
        <x:f>MAX(K2096-1,0)+MAX(L2096-1,0)+MAX(M2096-1,0)</x:f>
        <x:v>5</x:v>
      </x:c>
      <x:c r="O2096" s="19" t="n">
        <x:f>IF(AND(SUM(K2096:M2096)&lt;9,OR(M2096=0,N2096&lt;6)),1,0)</x:f>
        <x:v>1</x:v>
      </x:c>
      <x:c r="P2096" s="19" t="n">
        <x:f>IF(AND(SUM(K2096:M2096)&lt;9,OR(L2096=0,N2096&lt;6)),1,0)</x:f>
        <x:v>1</x:v>
      </x:c>
      <x:c r="Q2096" s="19" t="n">
        <x:f>IF(AND(SUM(K2096:M2096)&lt;9,OR(K2096=0,N2096&lt;6)),1,0)</x:f>
        <x:v>1</x:v>
      </x:c>
      <x:c r="R2096" s="22" t="str">
        <x:f>O2096&amp;P2096&amp;Q2096</x:f>
        <x:v>111</x:v>
      </x:c>
      <x:c r="S2096" s="19" t="n">
        <x:f>IF(I2096=1,IF(J2096=0,Q2096,IF(J2096=1,P2096,IF(J2096=2,O2096,0))),0)</x:f>
        <x:v>0</x:v>
      </x:c>
      <x:c r="T2096" s="19" t="n">
        <x:f>K2096+IF(AND(S2096=1,J2096=0),1,0)</x:f>
        <x:v>4</x:v>
      </x:c>
      <x:c r="U2096" s="19" t="n">
        <x:f>L2096+IF(AND(S2096=1,J2096=1),1,0)</x:f>
        <x:v>3</x:v>
      </x:c>
      <x:c r="V2096" s="19" t="n">
        <x:f>M2096+IF(AND(S2096=1,J2096=2),1,0)</x:f>
        <x:v>0</x:v>
      </x:c>
      <x:c r="W2096" s="19" t="n">
        <x:f>SUM(T2096:V2096)</x:f>
        <x:v>7</x:v>
      </x:c>
      <x:c r="X2096" s="19" t="n">
        <x:f>W2096-G2096</x:f>
        <x:v>-1</x:v>
      </x:c>
      <x:c r="Y2096" s="19" t="n">
        <x:f>MAX(T2096,1)+MAX(U2096,1)+MAX(V2096,1)</x:f>
        <x:v>8</x:v>
      </x:c>
      <x:c r="Z2096" s="21" t="str">
        <x:f>IF(AND(MIN(D2096:F2096)&gt;=0,MAX(D2096:F2096)&lt;=7,MAX(D2096,1)+MAX(E2096,1)+MAX(F2096,1)&lt;=9,OR(H2096="-",AND(H2096=0,D2096&gt;0),AND(H2096=1,E2096&gt;0),AND(H2096=2,F2096&gt;0)),OR(I2096=0,AND(I2096=1,OR(J2096=0,J2096=1,J2096=2),R2096&lt;&gt;"000")),Y2096&lt;=9,MIN(T2096:V2096)&gt;=0),"合法","输入违约")</x:f>
        <x:v>合法</x:v>
      </x:c>
    </x:row>
    <x:row r="2097" ht="23" customHeight="1">
      <x:c r="A2097" s="3" t="str">
        <x:v>CT-2090</x:v>
      </x:c>
      <x:c r="B2097" s="3" t="str">
        <x:v>ST-152</x:v>
      </x:c>
      <x:c r="C2097" s="3" t="str">
        <x:v>R+AR同收同发</x:v>
      </x:c>
      <x:c r="D2097" s="25" t="n">
        <x:v>4</x:v>
      </x:c>
      <x:c r="E2097" s="25" t="n">
        <x:v>3</x:v>
      </x:c>
      <x:c r="F2097" s="25" t="n">
        <x:v>1</x:v>
      </x:c>
      <x:c r="G2097" s="19" t="n">
        <x:f>SUM(D2097:F2097)</x:f>
        <x:v>8</x:v>
      </x:c>
      <x:c r="H2097" s="25" t="n">
        <x:v>2</x:v>
      </x:c>
      <x:c r="I2097" s="25" t="n">
        <x:v>1</x:v>
      </x:c>
      <x:c r="J2097" s="25" t="n">
        <x:v>0</x:v>
      </x:c>
      <x:c r="K2097" s="19" t="n">
        <x:f>D2097-IF(H2097=0,1,0)</x:f>
        <x:v>4</x:v>
      </x:c>
      <x:c r="L2097" s="19" t="n">
        <x:f>E2097-IF(H2097=1,1,0)</x:f>
        <x:v>3</x:v>
      </x:c>
      <x:c r="M2097" s="19" t="n">
        <x:f>F2097-IF(H2097=2,1,0)</x:f>
        <x:v>0</x:v>
      </x:c>
      <x:c r="N2097" s="19" t="n">
        <x:f>MAX(K2097-1,0)+MAX(L2097-1,0)+MAX(M2097-1,0)</x:f>
        <x:v>5</x:v>
      </x:c>
      <x:c r="O2097" s="19" t="n">
        <x:f>IF(AND(SUM(K2097:M2097)&lt;9,OR(M2097=0,N2097&lt;6)),1,0)</x:f>
        <x:v>1</x:v>
      </x:c>
      <x:c r="P2097" s="19" t="n">
        <x:f>IF(AND(SUM(K2097:M2097)&lt;9,OR(L2097=0,N2097&lt;6)),1,0)</x:f>
        <x:v>1</x:v>
      </x:c>
      <x:c r="Q2097" s="19" t="n">
        <x:f>IF(AND(SUM(K2097:M2097)&lt;9,OR(K2097=0,N2097&lt;6)),1,0)</x:f>
        <x:v>1</x:v>
      </x:c>
      <x:c r="R2097" s="22" t="str">
        <x:f>O2097&amp;P2097&amp;Q2097</x:f>
        <x:v>111</x:v>
      </x:c>
      <x:c r="S2097" s="19" t="n">
        <x:f>IF(I2097=1,IF(J2097=0,Q2097,IF(J2097=1,P2097,IF(J2097=2,O2097,0))),0)</x:f>
        <x:v>1</x:v>
      </x:c>
      <x:c r="T2097" s="19" t="n">
        <x:f>K2097+IF(AND(S2097=1,J2097=0),1,0)</x:f>
        <x:v>5</x:v>
      </x:c>
      <x:c r="U2097" s="19" t="n">
        <x:f>L2097+IF(AND(S2097=1,J2097=1),1,0)</x:f>
        <x:v>3</x:v>
      </x:c>
      <x:c r="V2097" s="19" t="n">
        <x:f>M2097+IF(AND(S2097=1,J2097=2),1,0)</x:f>
        <x:v>0</x:v>
      </x:c>
      <x:c r="W2097" s="19" t="n">
        <x:f>SUM(T2097:V2097)</x:f>
        <x:v>8</x:v>
      </x:c>
      <x:c r="X2097" s="19" t="n">
        <x:f>W2097-G2097</x:f>
        <x:v>0</x:v>
      </x:c>
      <x:c r="Y2097" s="19" t="n">
        <x:f>MAX(T2097,1)+MAX(U2097,1)+MAX(V2097,1)</x:f>
        <x:v>9</x:v>
      </x:c>
      <x:c r="Z2097" s="21" t="str">
        <x:f>IF(AND(MIN(D2097:F2097)&gt;=0,MAX(D2097:F2097)&lt;=7,MAX(D2097,1)+MAX(E2097,1)+MAX(F2097,1)&lt;=9,OR(H2097="-",AND(H2097=0,D2097&gt;0),AND(H2097=1,E2097&gt;0),AND(H2097=2,F2097&gt;0)),OR(I2097=0,AND(I2097=1,OR(J2097=0,J2097=1,J2097=2),R2097&lt;&gt;"000")),Y2097&lt;=9,MIN(T2097:V2097)&gt;=0),"合法","输入违约")</x:f>
        <x:v>合法</x:v>
      </x:c>
    </x:row>
    <x:row r="2098" ht="23" customHeight="1">
      <x:c r="A2098" s="3" t="str">
        <x:v>CT-2091</x:v>
      </x:c>
      <x:c r="B2098" s="3" t="str">
        <x:v>ST-152</x:v>
      </x:c>
      <x:c r="C2098" s="3" t="str">
        <x:v>R+AR同收同发</x:v>
      </x:c>
      <x:c r="D2098" s="25" t="n">
        <x:v>4</x:v>
      </x:c>
      <x:c r="E2098" s="25" t="n">
        <x:v>3</x:v>
      </x:c>
      <x:c r="F2098" s="25" t="n">
        <x:v>1</x:v>
      </x:c>
      <x:c r="G2098" s="19" t="n">
        <x:f>SUM(D2098:F2098)</x:f>
        <x:v>8</x:v>
      </x:c>
      <x:c r="H2098" s="25" t="n">
        <x:v>2</x:v>
      </x:c>
      <x:c r="I2098" s="25" t="n">
        <x:v>1</x:v>
      </x:c>
      <x:c r="J2098" s="25" t="n">
        <x:v>1</x:v>
      </x:c>
      <x:c r="K2098" s="19" t="n">
        <x:f>D2098-IF(H2098=0,1,0)</x:f>
        <x:v>4</x:v>
      </x:c>
      <x:c r="L2098" s="19" t="n">
        <x:f>E2098-IF(H2098=1,1,0)</x:f>
        <x:v>3</x:v>
      </x:c>
      <x:c r="M2098" s="19" t="n">
        <x:f>F2098-IF(H2098=2,1,0)</x:f>
        <x:v>0</x:v>
      </x:c>
      <x:c r="N2098" s="19" t="n">
        <x:f>MAX(K2098-1,0)+MAX(L2098-1,0)+MAX(M2098-1,0)</x:f>
        <x:v>5</x:v>
      </x:c>
      <x:c r="O2098" s="19" t="n">
        <x:f>IF(AND(SUM(K2098:M2098)&lt;9,OR(M2098=0,N2098&lt;6)),1,0)</x:f>
        <x:v>1</x:v>
      </x:c>
      <x:c r="P2098" s="19" t="n">
        <x:f>IF(AND(SUM(K2098:M2098)&lt;9,OR(L2098=0,N2098&lt;6)),1,0)</x:f>
        <x:v>1</x:v>
      </x:c>
      <x:c r="Q2098" s="19" t="n">
        <x:f>IF(AND(SUM(K2098:M2098)&lt;9,OR(K2098=0,N2098&lt;6)),1,0)</x:f>
        <x:v>1</x:v>
      </x:c>
      <x:c r="R2098" s="22" t="str">
        <x:f>O2098&amp;P2098&amp;Q2098</x:f>
        <x:v>111</x:v>
      </x:c>
      <x:c r="S2098" s="19" t="n">
        <x:f>IF(I2098=1,IF(J2098=0,Q2098,IF(J2098=1,P2098,IF(J2098=2,O2098,0))),0)</x:f>
        <x:v>1</x:v>
      </x:c>
      <x:c r="T2098" s="19" t="n">
        <x:f>K2098+IF(AND(S2098=1,J2098=0),1,0)</x:f>
        <x:v>4</x:v>
      </x:c>
      <x:c r="U2098" s="19" t="n">
        <x:f>L2098+IF(AND(S2098=1,J2098=1),1,0)</x:f>
        <x:v>4</x:v>
      </x:c>
      <x:c r="V2098" s="19" t="n">
        <x:f>M2098+IF(AND(S2098=1,J2098=2),1,0)</x:f>
        <x:v>0</x:v>
      </x:c>
      <x:c r="W2098" s="19" t="n">
        <x:f>SUM(T2098:V2098)</x:f>
        <x:v>8</x:v>
      </x:c>
      <x:c r="X2098" s="19" t="n">
        <x:f>W2098-G2098</x:f>
        <x:v>0</x:v>
      </x:c>
      <x:c r="Y2098" s="19" t="n">
        <x:f>MAX(T2098,1)+MAX(U2098,1)+MAX(V2098,1)</x:f>
        <x:v>9</x:v>
      </x:c>
      <x:c r="Z2098" s="21" t="str">
        <x:f>IF(AND(MIN(D2098:F2098)&gt;=0,MAX(D2098:F2098)&lt;=7,MAX(D2098,1)+MAX(E2098,1)+MAX(F2098,1)&lt;=9,OR(H2098="-",AND(H2098=0,D2098&gt;0),AND(H2098=1,E2098&gt;0),AND(H2098=2,F2098&gt;0)),OR(I2098=0,AND(I2098=1,OR(J2098=0,J2098=1,J2098=2),R2098&lt;&gt;"000")),Y2098&lt;=9,MIN(T2098:V2098)&gt;=0),"合法","输入违约")</x:f>
        <x:v>合法</x:v>
      </x:c>
    </x:row>
    <x:row r="2099" ht="23" customHeight="1">
      <x:c r="A2099" s="3" t="str">
        <x:v>CT-2092</x:v>
      </x:c>
      <x:c r="B2099" s="3" t="str">
        <x:v>ST-152</x:v>
      </x:c>
      <x:c r="C2099" s="3" t="str">
        <x:v>R+AR同收同发</x:v>
      </x:c>
      <x:c r="D2099" s="25" t="n">
        <x:v>4</x:v>
      </x:c>
      <x:c r="E2099" s="25" t="n">
        <x:v>3</x:v>
      </x:c>
      <x:c r="F2099" s="25" t="n">
        <x:v>1</x:v>
      </x:c>
      <x:c r="G2099" s="19" t="n">
        <x:f>SUM(D2099:F2099)</x:f>
        <x:v>8</x:v>
      </x:c>
      <x:c r="H2099" s="25" t="n">
        <x:v>2</x:v>
      </x:c>
      <x:c r="I2099" s="25" t="n">
        <x:v>1</x:v>
      </x:c>
      <x:c r="J2099" s="25" t="n">
        <x:v>2</x:v>
      </x:c>
      <x:c r="K2099" s="19" t="n">
        <x:f>D2099-IF(H2099=0,1,0)</x:f>
        <x:v>4</x:v>
      </x:c>
      <x:c r="L2099" s="19" t="n">
        <x:f>E2099-IF(H2099=1,1,0)</x:f>
        <x:v>3</x:v>
      </x:c>
      <x:c r="M2099" s="19" t="n">
        <x:f>F2099-IF(H2099=2,1,0)</x:f>
        <x:v>0</x:v>
      </x:c>
      <x:c r="N2099" s="19" t="n">
        <x:f>MAX(K2099-1,0)+MAX(L2099-1,0)+MAX(M2099-1,0)</x:f>
        <x:v>5</x:v>
      </x:c>
      <x:c r="O2099" s="19" t="n">
        <x:f>IF(AND(SUM(K2099:M2099)&lt;9,OR(M2099=0,N2099&lt;6)),1,0)</x:f>
        <x:v>1</x:v>
      </x:c>
      <x:c r="P2099" s="19" t="n">
        <x:f>IF(AND(SUM(K2099:M2099)&lt;9,OR(L2099=0,N2099&lt;6)),1,0)</x:f>
        <x:v>1</x:v>
      </x:c>
      <x:c r="Q2099" s="19" t="n">
        <x:f>IF(AND(SUM(K2099:M2099)&lt;9,OR(K2099=0,N2099&lt;6)),1,0)</x:f>
        <x:v>1</x:v>
      </x:c>
      <x:c r="R2099" s="22" t="str">
        <x:f>O2099&amp;P2099&amp;Q2099</x:f>
        <x:v>111</x:v>
      </x:c>
      <x:c r="S2099" s="19" t="n">
        <x:f>IF(I2099=1,IF(J2099=0,Q2099,IF(J2099=1,P2099,IF(J2099=2,O2099,0))),0)</x:f>
        <x:v>1</x:v>
      </x:c>
      <x:c r="T2099" s="19" t="n">
        <x:f>K2099+IF(AND(S2099=1,J2099=0),1,0)</x:f>
        <x:v>4</x:v>
      </x:c>
      <x:c r="U2099" s="19" t="n">
        <x:f>L2099+IF(AND(S2099=1,J2099=1),1,0)</x:f>
        <x:v>3</x:v>
      </x:c>
      <x:c r="V2099" s="19" t="n">
        <x:f>M2099+IF(AND(S2099=1,J2099=2),1,0)</x:f>
        <x:v>1</x:v>
      </x:c>
      <x:c r="W2099" s="19" t="n">
        <x:f>SUM(T2099:V2099)</x:f>
        <x:v>8</x:v>
      </x:c>
      <x:c r="X2099" s="19" t="n">
        <x:f>W2099-G2099</x:f>
        <x:v>0</x:v>
      </x:c>
      <x:c r="Y2099" s="19" t="n">
        <x:f>MAX(T2099,1)+MAX(U2099,1)+MAX(V2099,1)</x:f>
        <x:v>8</x:v>
      </x:c>
      <x:c r="Z2099" s="21" t="str">
        <x:f>IF(AND(MIN(D2099:F2099)&gt;=0,MAX(D2099:F2099)&lt;=7,MAX(D2099,1)+MAX(E2099,1)+MAX(F2099,1)&lt;=9,OR(H2099="-",AND(H2099=0,D2099&gt;0),AND(H2099=1,E2099&gt;0),AND(H2099=2,F2099&gt;0)),OR(I2099=0,AND(I2099=1,OR(J2099=0,J2099=1,J2099=2),R2099&lt;&gt;"000")),Y2099&lt;=9,MIN(T2099:V2099)&gt;=0),"合法","输入违约")</x:f>
        <x:v>合法</x:v>
      </x:c>
    </x:row>
    <x:row r="2100" ht="23" customHeight="1">
      <x:c r="A2100" s="3" t="str">
        <x:v>CT-2093</x:v>
      </x:c>
      <x:c r="B2100" s="3" t="str">
        <x:v>ST-183</x:v>
      </x:c>
      <x:c r="C2100" s="3" t="str">
        <x:v>无AR/R</x:v>
      </x:c>
      <x:c r="D2100" s="25" t="n">
        <x:v>4</x:v>
      </x:c>
      <x:c r="E2100" s="25" t="n">
        <x:v>3</x:v>
      </x:c>
      <x:c r="F2100" s="25" t="n">
        <x:v>2</x:v>
      </x:c>
      <x:c r="G2100" s="19" t="n">
        <x:f>SUM(D2100:F2100)</x:f>
        <x:v>9</x:v>
      </x:c>
      <x:c r="H2100" s="25" t="str">
        <x:v>-</x:v>
      </x:c>
      <x:c r="I2100" s="25" t="n">
        <x:v>0</x:v>
      </x:c>
      <x:c r="J2100" s="25" t="str">
        <x:v>-</x:v>
      </x:c>
      <x:c r="K2100" s="19" t="n">
        <x:f>D2100-IF(H2100=0,1,0)</x:f>
        <x:v>4</x:v>
      </x:c>
      <x:c r="L2100" s="19" t="n">
        <x:f>E2100-IF(H2100=1,1,0)</x:f>
        <x:v>3</x:v>
      </x:c>
      <x:c r="M2100" s="19" t="n">
        <x:f>F2100-IF(H2100=2,1,0)</x:f>
        <x:v>2</x:v>
      </x:c>
      <x:c r="N2100" s="19" t="n">
        <x:f>MAX(K2100-1,0)+MAX(L2100-1,0)+MAX(M2100-1,0)</x:f>
        <x:v>6</x:v>
      </x:c>
      <x:c r="O2100" s="19" t="n">
        <x:f>IF(AND(SUM(K2100:M2100)&lt;9,OR(M2100=0,N2100&lt;6)),1,0)</x:f>
        <x:v>0</x:v>
      </x:c>
      <x:c r="P2100" s="19" t="n">
        <x:f>IF(AND(SUM(K2100:M2100)&lt;9,OR(L2100=0,N2100&lt;6)),1,0)</x:f>
        <x:v>0</x:v>
      </x:c>
      <x:c r="Q2100" s="19" t="n">
        <x:f>IF(AND(SUM(K2100:M2100)&lt;9,OR(K2100=0,N2100&lt;6)),1,0)</x:f>
        <x:v>0</x:v>
      </x:c>
      <x:c r="R2100" s="22" t="str">
        <x:f>O2100&amp;P2100&amp;Q2100</x:f>
        <x:v>000</x:v>
      </x:c>
      <x:c r="S2100" s="19" t="n">
        <x:f>IF(I2100=1,IF(J2100=0,Q2100,IF(J2100=1,P2100,IF(J2100=2,O2100,0))),0)</x:f>
        <x:v>0</x:v>
      </x:c>
      <x:c r="T2100" s="19" t="n">
        <x:f>K2100+IF(AND(S2100=1,J2100=0),1,0)</x:f>
        <x:v>4</x:v>
      </x:c>
      <x:c r="U2100" s="19" t="n">
        <x:f>L2100+IF(AND(S2100=1,J2100=1),1,0)</x:f>
        <x:v>3</x:v>
      </x:c>
      <x:c r="V2100" s="19" t="n">
        <x:f>M2100+IF(AND(S2100=1,J2100=2),1,0)</x:f>
        <x:v>2</x:v>
      </x:c>
      <x:c r="W2100" s="19" t="n">
        <x:f>SUM(T2100:V2100)</x:f>
        <x:v>9</x:v>
      </x:c>
      <x:c r="X2100" s="19" t="n">
        <x:f>W2100-G2100</x:f>
        <x:v>0</x:v>
      </x:c>
      <x:c r="Y2100" s="19" t="n">
        <x:f>MAX(T2100,1)+MAX(U2100,1)+MAX(V2100,1)</x:f>
        <x:v>9</x:v>
      </x:c>
      <x:c r="Z2100" s="21" t="str">
        <x:f>IF(AND(MIN(D2100:F2100)&gt;=0,MAX(D2100:F2100)&lt;=7,MAX(D2100,1)+MAX(E2100,1)+MAX(F2100,1)&lt;=9,OR(H2100="-",AND(H2100=0,D2100&gt;0),AND(H2100=1,E2100&gt;0),AND(H2100=2,F2100&gt;0)),OR(I2100=0,AND(I2100=1,OR(J2100=0,J2100=1,J2100=2),R2100&lt;&gt;"000")),Y2100&lt;=9,MIN(T2100:V2100)&gt;=0),"合法","输入违约")</x:f>
        <x:v>合法</x:v>
      </x:c>
    </x:row>
    <x:row r="2101" ht="23" customHeight="1">
      <x:c r="A2101" s="3" t="str">
        <x:v>CT-2094</x:v>
      </x:c>
      <x:c r="B2101" s="3" t="str">
        <x:v>ST-183</x:v>
      </x:c>
      <x:c r="C2101" s="3" t="str">
        <x:v>仅R回收</x:v>
      </x:c>
      <x:c r="D2101" s="25" t="n">
        <x:v>4</x:v>
      </x:c>
      <x:c r="E2101" s="25" t="n">
        <x:v>3</x:v>
      </x:c>
      <x:c r="F2101" s="25" t="n">
        <x:v>2</x:v>
      </x:c>
      <x:c r="G2101" s="19" t="n">
        <x:f>SUM(D2101:F2101)</x:f>
        <x:v>9</x:v>
      </x:c>
      <x:c r="H2101" s="25" t="n">
        <x:v>0</x:v>
      </x:c>
      <x:c r="I2101" s="25" t="n">
        <x:v>0</x:v>
      </x:c>
      <x:c r="J2101" s="25" t="str">
        <x:v>-</x:v>
      </x:c>
      <x:c r="K2101" s="19" t="n">
        <x:f>D2101-IF(H2101=0,1,0)</x:f>
        <x:v>3</x:v>
      </x:c>
      <x:c r="L2101" s="19" t="n">
        <x:f>E2101-IF(H2101=1,1,0)</x:f>
        <x:v>3</x:v>
      </x:c>
      <x:c r="M2101" s="19" t="n">
        <x:f>F2101-IF(H2101=2,1,0)</x:f>
        <x:v>2</x:v>
      </x:c>
      <x:c r="N2101" s="19" t="n">
        <x:f>MAX(K2101-1,0)+MAX(L2101-1,0)+MAX(M2101-1,0)</x:f>
        <x:v>5</x:v>
      </x:c>
      <x:c r="O2101" s="19" t="n">
        <x:f>IF(AND(SUM(K2101:M2101)&lt;9,OR(M2101=0,N2101&lt;6)),1,0)</x:f>
        <x:v>1</x:v>
      </x:c>
      <x:c r="P2101" s="19" t="n">
        <x:f>IF(AND(SUM(K2101:M2101)&lt;9,OR(L2101=0,N2101&lt;6)),1,0)</x:f>
        <x:v>1</x:v>
      </x:c>
      <x:c r="Q2101" s="19" t="n">
        <x:f>IF(AND(SUM(K2101:M2101)&lt;9,OR(K2101=0,N2101&lt;6)),1,0)</x:f>
        <x:v>1</x:v>
      </x:c>
      <x:c r="R2101" s="22" t="str">
        <x:f>O2101&amp;P2101&amp;Q2101</x:f>
        <x:v>111</x:v>
      </x:c>
      <x:c r="S2101" s="19" t="n">
        <x:f>IF(I2101=1,IF(J2101=0,Q2101,IF(J2101=1,P2101,IF(J2101=2,O2101,0))),0)</x:f>
        <x:v>0</x:v>
      </x:c>
      <x:c r="T2101" s="19" t="n">
        <x:f>K2101+IF(AND(S2101=1,J2101=0),1,0)</x:f>
        <x:v>3</x:v>
      </x:c>
      <x:c r="U2101" s="19" t="n">
        <x:f>L2101+IF(AND(S2101=1,J2101=1),1,0)</x:f>
        <x:v>3</x:v>
      </x:c>
      <x:c r="V2101" s="19" t="n">
        <x:f>M2101+IF(AND(S2101=1,J2101=2),1,0)</x:f>
        <x:v>2</x:v>
      </x:c>
      <x:c r="W2101" s="19" t="n">
        <x:f>SUM(T2101:V2101)</x:f>
        <x:v>8</x:v>
      </x:c>
      <x:c r="X2101" s="19" t="n">
        <x:f>W2101-G2101</x:f>
        <x:v>-1</x:v>
      </x:c>
      <x:c r="Y2101" s="19" t="n">
        <x:f>MAX(T2101,1)+MAX(U2101,1)+MAX(V2101,1)</x:f>
        <x:v>8</x:v>
      </x:c>
      <x:c r="Z2101" s="21" t="str">
        <x:f>IF(AND(MIN(D2101:F2101)&gt;=0,MAX(D2101:F2101)&lt;=7,MAX(D2101,1)+MAX(E2101,1)+MAX(F2101,1)&lt;=9,OR(H2101="-",AND(H2101=0,D2101&gt;0),AND(H2101=1,E2101&gt;0),AND(H2101=2,F2101&gt;0)),OR(I2101=0,AND(I2101=1,OR(J2101=0,J2101=1,J2101=2),R2101&lt;&gt;"000")),Y2101&lt;=9,MIN(T2101:V2101)&gt;=0),"合法","输入违约")</x:f>
        <x:v>合法</x:v>
      </x:c>
    </x:row>
    <x:row r="2102" ht="23" customHeight="1">
      <x:c r="A2102" s="3" t="str">
        <x:v>CT-2095</x:v>
      </x:c>
      <x:c r="B2102" s="3" t="str">
        <x:v>ST-183</x:v>
      </x:c>
      <x:c r="C2102" s="3" t="str">
        <x:v>R+AR同收同发</x:v>
      </x:c>
      <x:c r="D2102" s="25" t="n">
        <x:v>4</x:v>
      </x:c>
      <x:c r="E2102" s="25" t="n">
        <x:v>3</x:v>
      </x:c>
      <x:c r="F2102" s="25" t="n">
        <x:v>2</x:v>
      </x:c>
      <x:c r="G2102" s="19" t="n">
        <x:f>SUM(D2102:F2102)</x:f>
        <x:v>9</x:v>
      </x:c>
      <x:c r="H2102" s="25" t="n">
        <x:v>0</x:v>
      </x:c>
      <x:c r="I2102" s="25" t="n">
        <x:v>1</x:v>
      </x:c>
      <x:c r="J2102" s="25" t="n">
        <x:v>0</x:v>
      </x:c>
      <x:c r="K2102" s="19" t="n">
        <x:f>D2102-IF(H2102=0,1,0)</x:f>
        <x:v>3</x:v>
      </x:c>
      <x:c r="L2102" s="19" t="n">
        <x:f>E2102-IF(H2102=1,1,0)</x:f>
        <x:v>3</x:v>
      </x:c>
      <x:c r="M2102" s="19" t="n">
        <x:f>F2102-IF(H2102=2,1,0)</x:f>
        <x:v>2</x:v>
      </x:c>
      <x:c r="N2102" s="19" t="n">
        <x:f>MAX(K2102-1,0)+MAX(L2102-1,0)+MAX(M2102-1,0)</x:f>
        <x:v>5</x:v>
      </x:c>
      <x:c r="O2102" s="19" t="n">
        <x:f>IF(AND(SUM(K2102:M2102)&lt;9,OR(M2102=0,N2102&lt;6)),1,0)</x:f>
        <x:v>1</x:v>
      </x:c>
      <x:c r="P2102" s="19" t="n">
        <x:f>IF(AND(SUM(K2102:M2102)&lt;9,OR(L2102=0,N2102&lt;6)),1,0)</x:f>
        <x:v>1</x:v>
      </x:c>
      <x:c r="Q2102" s="19" t="n">
        <x:f>IF(AND(SUM(K2102:M2102)&lt;9,OR(K2102=0,N2102&lt;6)),1,0)</x:f>
        <x:v>1</x:v>
      </x:c>
      <x:c r="R2102" s="22" t="str">
        <x:f>O2102&amp;P2102&amp;Q2102</x:f>
        <x:v>111</x:v>
      </x:c>
      <x:c r="S2102" s="19" t="n">
        <x:f>IF(I2102=1,IF(J2102=0,Q2102,IF(J2102=1,P2102,IF(J2102=2,O2102,0))),0)</x:f>
        <x:v>1</x:v>
      </x:c>
      <x:c r="T2102" s="19" t="n">
        <x:f>K2102+IF(AND(S2102=1,J2102=0),1,0)</x:f>
        <x:v>4</x:v>
      </x:c>
      <x:c r="U2102" s="19" t="n">
        <x:f>L2102+IF(AND(S2102=1,J2102=1),1,0)</x:f>
        <x:v>3</x:v>
      </x:c>
      <x:c r="V2102" s="19" t="n">
        <x:f>M2102+IF(AND(S2102=1,J2102=2),1,0)</x:f>
        <x:v>2</x:v>
      </x:c>
      <x:c r="W2102" s="19" t="n">
        <x:f>SUM(T2102:V2102)</x:f>
        <x:v>9</x:v>
      </x:c>
      <x:c r="X2102" s="19" t="n">
        <x:f>W2102-G2102</x:f>
        <x:v>0</x:v>
      </x:c>
      <x:c r="Y2102" s="19" t="n">
        <x:f>MAX(T2102,1)+MAX(U2102,1)+MAX(V2102,1)</x:f>
        <x:v>9</x:v>
      </x:c>
      <x:c r="Z2102" s="21" t="str">
        <x:f>IF(AND(MIN(D2102:F2102)&gt;=0,MAX(D2102:F2102)&lt;=7,MAX(D2102,1)+MAX(E2102,1)+MAX(F2102,1)&lt;=9,OR(H2102="-",AND(H2102=0,D2102&gt;0),AND(H2102=1,E2102&gt;0),AND(H2102=2,F2102&gt;0)),OR(I2102=0,AND(I2102=1,OR(J2102=0,J2102=1,J2102=2),R2102&lt;&gt;"000")),Y2102&lt;=9,MIN(T2102:V2102)&gt;=0),"合法","输入违约")</x:f>
        <x:v>合法</x:v>
      </x:c>
    </x:row>
    <x:row r="2103" ht="23" customHeight="1">
      <x:c r="A2103" s="3" t="str">
        <x:v>CT-2096</x:v>
      </x:c>
      <x:c r="B2103" s="3" t="str">
        <x:v>ST-183</x:v>
      </x:c>
      <x:c r="C2103" s="3" t="str">
        <x:v>R+AR同收同发</x:v>
      </x:c>
      <x:c r="D2103" s="25" t="n">
        <x:v>4</x:v>
      </x:c>
      <x:c r="E2103" s="25" t="n">
        <x:v>3</x:v>
      </x:c>
      <x:c r="F2103" s="25" t="n">
        <x:v>2</x:v>
      </x:c>
      <x:c r="G2103" s="19" t="n">
        <x:f>SUM(D2103:F2103)</x:f>
        <x:v>9</x:v>
      </x:c>
      <x:c r="H2103" s="25" t="n">
        <x:v>0</x:v>
      </x:c>
      <x:c r="I2103" s="25" t="n">
        <x:v>1</x:v>
      </x:c>
      <x:c r="J2103" s="25" t="n">
        <x:v>1</x:v>
      </x:c>
      <x:c r="K2103" s="19" t="n">
        <x:f>D2103-IF(H2103=0,1,0)</x:f>
        <x:v>3</x:v>
      </x:c>
      <x:c r="L2103" s="19" t="n">
        <x:f>E2103-IF(H2103=1,1,0)</x:f>
        <x:v>3</x:v>
      </x:c>
      <x:c r="M2103" s="19" t="n">
        <x:f>F2103-IF(H2103=2,1,0)</x:f>
        <x:v>2</x:v>
      </x:c>
      <x:c r="N2103" s="19" t="n">
        <x:f>MAX(K2103-1,0)+MAX(L2103-1,0)+MAX(M2103-1,0)</x:f>
        <x:v>5</x:v>
      </x:c>
      <x:c r="O2103" s="19" t="n">
        <x:f>IF(AND(SUM(K2103:M2103)&lt;9,OR(M2103=0,N2103&lt;6)),1,0)</x:f>
        <x:v>1</x:v>
      </x:c>
      <x:c r="P2103" s="19" t="n">
        <x:f>IF(AND(SUM(K2103:M2103)&lt;9,OR(L2103=0,N2103&lt;6)),1,0)</x:f>
        <x:v>1</x:v>
      </x:c>
      <x:c r="Q2103" s="19" t="n">
        <x:f>IF(AND(SUM(K2103:M2103)&lt;9,OR(K2103=0,N2103&lt;6)),1,0)</x:f>
        <x:v>1</x:v>
      </x:c>
      <x:c r="R2103" s="22" t="str">
        <x:f>O2103&amp;P2103&amp;Q2103</x:f>
        <x:v>111</x:v>
      </x:c>
      <x:c r="S2103" s="19" t="n">
        <x:f>IF(I2103=1,IF(J2103=0,Q2103,IF(J2103=1,P2103,IF(J2103=2,O2103,0))),0)</x:f>
        <x:v>1</x:v>
      </x:c>
      <x:c r="T2103" s="19" t="n">
        <x:f>K2103+IF(AND(S2103=1,J2103=0),1,0)</x:f>
        <x:v>3</x:v>
      </x:c>
      <x:c r="U2103" s="19" t="n">
        <x:f>L2103+IF(AND(S2103=1,J2103=1),1,0)</x:f>
        <x:v>4</x:v>
      </x:c>
      <x:c r="V2103" s="19" t="n">
        <x:f>M2103+IF(AND(S2103=1,J2103=2),1,0)</x:f>
        <x:v>2</x:v>
      </x:c>
      <x:c r="W2103" s="19" t="n">
        <x:f>SUM(T2103:V2103)</x:f>
        <x:v>9</x:v>
      </x:c>
      <x:c r="X2103" s="19" t="n">
        <x:f>W2103-G2103</x:f>
        <x:v>0</x:v>
      </x:c>
      <x:c r="Y2103" s="19" t="n">
        <x:f>MAX(T2103,1)+MAX(U2103,1)+MAX(V2103,1)</x:f>
        <x:v>9</x:v>
      </x:c>
      <x:c r="Z2103" s="21" t="str">
        <x:f>IF(AND(MIN(D2103:F2103)&gt;=0,MAX(D2103:F2103)&lt;=7,MAX(D2103,1)+MAX(E2103,1)+MAX(F2103,1)&lt;=9,OR(H2103="-",AND(H2103=0,D2103&gt;0),AND(H2103=1,E2103&gt;0),AND(H2103=2,F2103&gt;0)),OR(I2103=0,AND(I2103=1,OR(J2103=0,J2103=1,J2103=2),R2103&lt;&gt;"000")),Y2103&lt;=9,MIN(T2103:V2103)&gt;=0),"合法","输入违约")</x:f>
        <x:v>合法</x:v>
      </x:c>
    </x:row>
    <x:row r="2104" ht="23" customHeight="1">
      <x:c r="A2104" s="3" t="str">
        <x:v>CT-2097</x:v>
      </x:c>
      <x:c r="B2104" s="3" t="str">
        <x:v>ST-183</x:v>
      </x:c>
      <x:c r="C2104" s="3" t="str">
        <x:v>R+AR同收同发</x:v>
      </x:c>
      <x:c r="D2104" s="25" t="n">
        <x:v>4</x:v>
      </x:c>
      <x:c r="E2104" s="25" t="n">
        <x:v>3</x:v>
      </x:c>
      <x:c r="F2104" s="25" t="n">
        <x:v>2</x:v>
      </x:c>
      <x:c r="G2104" s="19" t="n">
        <x:f>SUM(D2104:F2104)</x:f>
        <x:v>9</x:v>
      </x:c>
      <x:c r="H2104" s="25" t="n">
        <x:v>0</x:v>
      </x:c>
      <x:c r="I2104" s="25" t="n">
        <x:v>1</x:v>
      </x:c>
      <x:c r="J2104" s="25" t="n">
        <x:v>2</x:v>
      </x:c>
      <x:c r="K2104" s="19" t="n">
        <x:f>D2104-IF(H2104=0,1,0)</x:f>
        <x:v>3</x:v>
      </x:c>
      <x:c r="L2104" s="19" t="n">
        <x:f>E2104-IF(H2104=1,1,0)</x:f>
        <x:v>3</x:v>
      </x:c>
      <x:c r="M2104" s="19" t="n">
        <x:f>F2104-IF(H2104=2,1,0)</x:f>
        <x:v>2</x:v>
      </x:c>
      <x:c r="N2104" s="19" t="n">
        <x:f>MAX(K2104-1,0)+MAX(L2104-1,0)+MAX(M2104-1,0)</x:f>
        <x:v>5</x:v>
      </x:c>
      <x:c r="O2104" s="19" t="n">
        <x:f>IF(AND(SUM(K2104:M2104)&lt;9,OR(M2104=0,N2104&lt;6)),1,0)</x:f>
        <x:v>1</x:v>
      </x:c>
      <x:c r="P2104" s="19" t="n">
        <x:f>IF(AND(SUM(K2104:M2104)&lt;9,OR(L2104=0,N2104&lt;6)),1,0)</x:f>
        <x:v>1</x:v>
      </x:c>
      <x:c r="Q2104" s="19" t="n">
        <x:f>IF(AND(SUM(K2104:M2104)&lt;9,OR(K2104=0,N2104&lt;6)),1,0)</x:f>
        <x:v>1</x:v>
      </x:c>
      <x:c r="R2104" s="22" t="str">
        <x:f>O2104&amp;P2104&amp;Q2104</x:f>
        <x:v>111</x:v>
      </x:c>
      <x:c r="S2104" s="19" t="n">
        <x:f>IF(I2104=1,IF(J2104=0,Q2104,IF(J2104=1,P2104,IF(J2104=2,O2104,0))),0)</x:f>
        <x:v>1</x:v>
      </x:c>
      <x:c r="T2104" s="19" t="n">
        <x:f>K2104+IF(AND(S2104=1,J2104=0),1,0)</x:f>
        <x:v>3</x:v>
      </x:c>
      <x:c r="U2104" s="19" t="n">
        <x:f>L2104+IF(AND(S2104=1,J2104=1),1,0)</x:f>
        <x:v>3</x:v>
      </x:c>
      <x:c r="V2104" s="19" t="n">
        <x:f>M2104+IF(AND(S2104=1,J2104=2),1,0)</x:f>
        <x:v>3</x:v>
      </x:c>
      <x:c r="W2104" s="19" t="n">
        <x:f>SUM(T2104:V2104)</x:f>
        <x:v>9</x:v>
      </x:c>
      <x:c r="X2104" s="19" t="n">
        <x:f>W2104-G2104</x:f>
        <x:v>0</x:v>
      </x:c>
      <x:c r="Y2104" s="19" t="n">
        <x:f>MAX(T2104,1)+MAX(U2104,1)+MAX(V2104,1)</x:f>
        <x:v>9</x:v>
      </x:c>
      <x:c r="Z2104" s="21" t="str">
        <x:f>IF(AND(MIN(D2104:F2104)&gt;=0,MAX(D2104:F2104)&lt;=7,MAX(D2104,1)+MAX(E2104,1)+MAX(F2104,1)&lt;=9,OR(H2104="-",AND(H2104=0,D2104&gt;0),AND(H2104=1,E2104&gt;0),AND(H2104=2,F2104&gt;0)),OR(I2104=0,AND(I2104=1,OR(J2104=0,J2104=1,J2104=2),R2104&lt;&gt;"000")),Y2104&lt;=9,MIN(T2104:V2104)&gt;=0),"合法","输入违约")</x:f>
        <x:v>合法</x:v>
      </x:c>
    </x:row>
    <x:row r="2105" ht="23" customHeight="1">
      <x:c r="A2105" s="3" t="str">
        <x:v>CT-2098</x:v>
      </x:c>
      <x:c r="B2105" s="3" t="str">
        <x:v>ST-183</x:v>
      </x:c>
      <x:c r="C2105" s="3" t="str">
        <x:v>仅R回收</x:v>
      </x:c>
      <x:c r="D2105" s="25" t="n">
        <x:v>4</x:v>
      </x:c>
      <x:c r="E2105" s="25" t="n">
        <x:v>3</x:v>
      </x:c>
      <x:c r="F2105" s="25" t="n">
        <x:v>2</x:v>
      </x:c>
      <x:c r="G2105" s="19" t="n">
        <x:f>SUM(D2105:F2105)</x:f>
        <x:v>9</x:v>
      </x:c>
      <x:c r="H2105" s="25" t="n">
        <x:v>1</x:v>
      </x:c>
      <x:c r="I2105" s="25" t="n">
        <x:v>0</x:v>
      </x:c>
      <x:c r="J2105" s="25" t="str">
        <x:v>-</x:v>
      </x:c>
      <x:c r="K2105" s="19" t="n">
        <x:f>D2105-IF(H2105=0,1,0)</x:f>
        <x:v>4</x:v>
      </x:c>
      <x:c r="L2105" s="19" t="n">
        <x:f>E2105-IF(H2105=1,1,0)</x:f>
        <x:v>2</x:v>
      </x:c>
      <x:c r="M2105" s="19" t="n">
        <x:f>F2105-IF(H2105=2,1,0)</x:f>
        <x:v>2</x:v>
      </x:c>
      <x:c r="N2105" s="19" t="n">
        <x:f>MAX(K2105-1,0)+MAX(L2105-1,0)+MAX(M2105-1,0)</x:f>
        <x:v>5</x:v>
      </x:c>
      <x:c r="O2105" s="19" t="n">
        <x:f>IF(AND(SUM(K2105:M2105)&lt;9,OR(M2105=0,N2105&lt;6)),1,0)</x:f>
        <x:v>1</x:v>
      </x:c>
      <x:c r="P2105" s="19" t="n">
        <x:f>IF(AND(SUM(K2105:M2105)&lt;9,OR(L2105=0,N2105&lt;6)),1,0)</x:f>
        <x:v>1</x:v>
      </x:c>
      <x:c r="Q2105" s="19" t="n">
        <x:f>IF(AND(SUM(K2105:M2105)&lt;9,OR(K2105=0,N2105&lt;6)),1,0)</x:f>
        <x:v>1</x:v>
      </x:c>
      <x:c r="R2105" s="22" t="str">
        <x:f>O2105&amp;P2105&amp;Q2105</x:f>
        <x:v>111</x:v>
      </x:c>
      <x:c r="S2105" s="19" t="n">
        <x:f>IF(I2105=1,IF(J2105=0,Q2105,IF(J2105=1,P2105,IF(J2105=2,O2105,0))),0)</x:f>
        <x:v>0</x:v>
      </x:c>
      <x:c r="T2105" s="19" t="n">
        <x:f>K2105+IF(AND(S2105=1,J2105=0),1,0)</x:f>
        <x:v>4</x:v>
      </x:c>
      <x:c r="U2105" s="19" t="n">
        <x:f>L2105+IF(AND(S2105=1,J2105=1),1,0)</x:f>
        <x:v>2</x:v>
      </x:c>
      <x:c r="V2105" s="19" t="n">
        <x:f>M2105+IF(AND(S2105=1,J2105=2),1,0)</x:f>
        <x:v>2</x:v>
      </x:c>
      <x:c r="W2105" s="19" t="n">
        <x:f>SUM(T2105:V2105)</x:f>
        <x:v>8</x:v>
      </x:c>
      <x:c r="X2105" s="19" t="n">
        <x:f>W2105-G2105</x:f>
        <x:v>-1</x:v>
      </x:c>
      <x:c r="Y2105" s="19" t="n">
        <x:f>MAX(T2105,1)+MAX(U2105,1)+MAX(V2105,1)</x:f>
        <x:v>8</x:v>
      </x:c>
      <x:c r="Z2105" s="21" t="str">
        <x:f>IF(AND(MIN(D2105:F2105)&gt;=0,MAX(D2105:F2105)&lt;=7,MAX(D2105,1)+MAX(E2105,1)+MAX(F2105,1)&lt;=9,OR(H2105="-",AND(H2105=0,D2105&gt;0),AND(H2105=1,E2105&gt;0),AND(H2105=2,F2105&gt;0)),OR(I2105=0,AND(I2105=1,OR(J2105=0,J2105=1,J2105=2),R2105&lt;&gt;"000")),Y2105&lt;=9,MIN(T2105:V2105)&gt;=0),"合法","输入违约")</x:f>
        <x:v>合法</x:v>
      </x:c>
    </x:row>
    <x:row r="2106" ht="23" customHeight="1">
      <x:c r="A2106" s="3" t="str">
        <x:v>CT-2099</x:v>
      </x:c>
      <x:c r="B2106" s="3" t="str">
        <x:v>ST-183</x:v>
      </x:c>
      <x:c r="C2106" s="3" t="str">
        <x:v>R+AR同收同发</x:v>
      </x:c>
      <x:c r="D2106" s="25" t="n">
        <x:v>4</x:v>
      </x:c>
      <x:c r="E2106" s="25" t="n">
        <x:v>3</x:v>
      </x:c>
      <x:c r="F2106" s="25" t="n">
        <x:v>2</x:v>
      </x:c>
      <x:c r="G2106" s="19" t="n">
        <x:f>SUM(D2106:F2106)</x:f>
        <x:v>9</x:v>
      </x:c>
      <x:c r="H2106" s="25" t="n">
        <x:v>1</x:v>
      </x:c>
      <x:c r="I2106" s="25" t="n">
        <x:v>1</x:v>
      </x:c>
      <x:c r="J2106" s="25" t="n">
        <x:v>0</x:v>
      </x:c>
      <x:c r="K2106" s="19" t="n">
        <x:f>D2106-IF(H2106=0,1,0)</x:f>
        <x:v>4</x:v>
      </x:c>
      <x:c r="L2106" s="19" t="n">
        <x:f>E2106-IF(H2106=1,1,0)</x:f>
        <x:v>2</x:v>
      </x:c>
      <x:c r="M2106" s="19" t="n">
        <x:f>F2106-IF(H2106=2,1,0)</x:f>
        <x:v>2</x:v>
      </x:c>
      <x:c r="N2106" s="19" t="n">
        <x:f>MAX(K2106-1,0)+MAX(L2106-1,0)+MAX(M2106-1,0)</x:f>
        <x:v>5</x:v>
      </x:c>
      <x:c r="O2106" s="19" t="n">
        <x:f>IF(AND(SUM(K2106:M2106)&lt;9,OR(M2106=0,N2106&lt;6)),1,0)</x:f>
        <x:v>1</x:v>
      </x:c>
      <x:c r="P2106" s="19" t="n">
        <x:f>IF(AND(SUM(K2106:M2106)&lt;9,OR(L2106=0,N2106&lt;6)),1,0)</x:f>
        <x:v>1</x:v>
      </x:c>
      <x:c r="Q2106" s="19" t="n">
        <x:f>IF(AND(SUM(K2106:M2106)&lt;9,OR(K2106=0,N2106&lt;6)),1,0)</x:f>
        <x:v>1</x:v>
      </x:c>
      <x:c r="R2106" s="22" t="str">
        <x:f>O2106&amp;P2106&amp;Q2106</x:f>
        <x:v>111</x:v>
      </x:c>
      <x:c r="S2106" s="19" t="n">
        <x:f>IF(I2106=1,IF(J2106=0,Q2106,IF(J2106=1,P2106,IF(J2106=2,O2106,0))),0)</x:f>
        <x:v>1</x:v>
      </x:c>
      <x:c r="T2106" s="19" t="n">
        <x:f>K2106+IF(AND(S2106=1,J2106=0),1,0)</x:f>
        <x:v>5</x:v>
      </x:c>
      <x:c r="U2106" s="19" t="n">
        <x:f>L2106+IF(AND(S2106=1,J2106=1),1,0)</x:f>
        <x:v>2</x:v>
      </x:c>
      <x:c r="V2106" s="19" t="n">
        <x:f>M2106+IF(AND(S2106=1,J2106=2),1,0)</x:f>
        <x:v>2</x:v>
      </x:c>
      <x:c r="W2106" s="19" t="n">
        <x:f>SUM(T2106:V2106)</x:f>
        <x:v>9</x:v>
      </x:c>
      <x:c r="X2106" s="19" t="n">
        <x:f>W2106-G2106</x:f>
        <x:v>0</x:v>
      </x:c>
      <x:c r="Y2106" s="19" t="n">
        <x:f>MAX(T2106,1)+MAX(U2106,1)+MAX(V2106,1)</x:f>
        <x:v>9</x:v>
      </x:c>
      <x:c r="Z2106" s="21" t="str">
        <x:f>IF(AND(MIN(D2106:F2106)&gt;=0,MAX(D2106:F2106)&lt;=7,MAX(D2106,1)+MAX(E2106,1)+MAX(F2106,1)&lt;=9,OR(H2106="-",AND(H2106=0,D2106&gt;0),AND(H2106=1,E2106&gt;0),AND(H2106=2,F2106&gt;0)),OR(I2106=0,AND(I2106=1,OR(J2106=0,J2106=1,J2106=2),R2106&lt;&gt;"000")),Y2106&lt;=9,MIN(T2106:V2106)&gt;=0),"合法","输入违约")</x:f>
        <x:v>合法</x:v>
      </x:c>
    </x:row>
    <x:row r="2107" ht="23" customHeight="1">
      <x:c r="A2107" s="3" t="str">
        <x:v>CT-2100</x:v>
      </x:c>
      <x:c r="B2107" s="3" t="str">
        <x:v>ST-183</x:v>
      </x:c>
      <x:c r="C2107" s="3" t="str">
        <x:v>R+AR同收同发</x:v>
      </x:c>
      <x:c r="D2107" s="25" t="n">
        <x:v>4</x:v>
      </x:c>
      <x:c r="E2107" s="25" t="n">
        <x:v>3</x:v>
      </x:c>
      <x:c r="F2107" s="25" t="n">
        <x:v>2</x:v>
      </x:c>
      <x:c r="G2107" s="19" t="n">
        <x:f>SUM(D2107:F2107)</x:f>
        <x:v>9</x:v>
      </x:c>
      <x:c r="H2107" s="25" t="n">
        <x:v>1</x:v>
      </x:c>
      <x:c r="I2107" s="25" t="n">
        <x:v>1</x:v>
      </x:c>
      <x:c r="J2107" s="25" t="n">
        <x:v>1</x:v>
      </x:c>
      <x:c r="K2107" s="19" t="n">
        <x:f>D2107-IF(H2107=0,1,0)</x:f>
        <x:v>4</x:v>
      </x:c>
      <x:c r="L2107" s="19" t="n">
        <x:f>E2107-IF(H2107=1,1,0)</x:f>
        <x:v>2</x:v>
      </x:c>
      <x:c r="M2107" s="19" t="n">
        <x:f>F2107-IF(H2107=2,1,0)</x:f>
        <x:v>2</x:v>
      </x:c>
      <x:c r="N2107" s="19" t="n">
        <x:f>MAX(K2107-1,0)+MAX(L2107-1,0)+MAX(M2107-1,0)</x:f>
        <x:v>5</x:v>
      </x:c>
      <x:c r="O2107" s="19" t="n">
        <x:f>IF(AND(SUM(K2107:M2107)&lt;9,OR(M2107=0,N2107&lt;6)),1,0)</x:f>
        <x:v>1</x:v>
      </x:c>
      <x:c r="P2107" s="19" t="n">
        <x:f>IF(AND(SUM(K2107:M2107)&lt;9,OR(L2107=0,N2107&lt;6)),1,0)</x:f>
        <x:v>1</x:v>
      </x:c>
      <x:c r="Q2107" s="19" t="n">
        <x:f>IF(AND(SUM(K2107:M2107)&lt;9,OR(K2107=0,N2107&lt;6)),1,0)</x:f>
        <x:v>1</x:v>
      </x:c>
      <x:c r="R2107" s="22" t="str">
        <x:f>O2107&amp;P2107&amp;Q2107</x:f>
        <x:v>111</x:v>
      </x:c>
      <x:c r="S2107" s="19" t="n">
        <x:f>IF(I2107=1,IF(J2107=0,Q2107,IF(J2107=1,P2107,IF(J2107=2,O2107,0))),0)</x:f>
        <x:v>1</x:v>
      </x:c>
      <x:c r="T2107" s="19" t="n">
        <x:f>K2107+IF(AND(S2107=1,J2107=0),1,0)</x:f>
        <x:v>4</x:v>
      </x:c>
      <x:c r="U2107" s="19" t="n">
        <x:f>L2107+IF(AND(S2107=1,J2107=1),1,0)</x:f>
        <x:v>3</x:v>
      </x:c>
      <x:c r="V2107" s="19" t="n">
        <x:f>M2107+IF(AND(S2107=1,J2107=2),1,0)</x:f>
        <x:v>2</x:v>
      </x:c>
      <x:c r="W2107" s="19" t="n">
        <x:f>SUM(T2107:V2107)</x:f>
        <x:v>9</x:v>
      </x:c>
      <x:c r="X2107" s="19" t="n">
        <x:f>W2107-G2107</x:f>
        <x:v>0</x:v>
      </x:c>
      <x:c r="Y2107" s="19" t="n">
        <x:f>MAX(T2107,1)+MAX(U2107,1)+MAX(V2107,1)</x:f>
        <x:v>9</x:v>
      </x:c>
      <x:c r="Z2107" s="21" t="str">
        <x:f>IF(AND(MIN(D2107:F2107)&gt;=0,MAX(D2107:F2107)&lt;=7,MAX(D2107,1)+MAX(E2107,1)+MAX(F2107,1)&lt;=9,OR(H2107="-",AND(H2107=0,D2107&gt;0),AND(H2107=1,E2107&gt;0),AND(H2107=2,F2107&gt;0)),OR(I2107=0,AND(I2107=1,OR(J2107=0,J2107=1,J2107=2),R2107&lt;&gt;"000")),Y2107&lt;=9,MIN(T2107:V2107)&gt;=0),"合法","输入违约")</x:f>
        <x:v>合法</x:v>
      </x:c>
    </x:row>
    <x:row r="2108" ht="23" customHeight="1">
      <x:c r="A2108" s="3" t="str">
        <x:v>CT-2101</x:v>
      </x:c>
      <x:c r="B2108" s="3" t="str">
        <x:v>ST-183</x:v>
      </x:c>
      <x:c r="C2108" s="3" t="str">
        <x:v>R+AR同收同发</x:v>
      </x:c>
      <x:c r="D2108" s="25" t="n">
        <x:v>4</x:v>
      </x:c>
      <x:c r="E2108" s="25" t="n">
        <x:v>3</x:v>
      </x:c>
      <x:c r="F2108" s="25" t="n">
        <x:v>2</x:v>
      </x:c>
      <x:c r="G2108" s="19" t="n">
        <x:f>SUM(D2108:F2108)</x:f>
        <x:v>9</x:v>
      </x:c>
      <x:c r="H2108" s="25" t="n">
        <x:v>1</x:v>
      </x:c>
      <x:c r="I2108" s="25" t="n">
        <x:v>1</x:v>
      </x:c>
      <x:c r="J2108" s="25" t="n">
        <x:v>2</x:v>
      </x:c>
      <x:c r="K2108" s="19" t="n">
        <x:f>D2108-IF(H2108=0,1,0)</x:f>
        <x:v>4</x:v>
      </x:c>
      <x:c r="L2108" s="19" t="n">
        <x:f>E2108-IF(H2108=1,1,0)</x:f>
        <x:v>2</x:v>
      </x:c>
      <x:c r="M2108" s="19" t="n">
        <x:f>F2108-IF(H2108=2,1,0)</x:f>
        <x:v>2</x:v>
      </x:c>
      <x:c r="N2108" s="19" t="n">
        <x:f>MAX(K2108-1,0)+MAX(L2108-1,0)+MAX(M2108-1,0)</x:f>
        <x:v>5</x:v>
      </x:c>
      <x:c r="O2108" s="19" t="n">
        <x:f>IF(AND(SUM(K2108:M2108)&lt;9,OR(M2108=0,N2108&lt;6)),1,0)</x:f>
        <x:v>1</x:v>
      </x:c>
      <x:c r="P2108" s="19" t="n">
        <x:f>IF(AND(SUM(K2108:M2108)&lt;9,OR(L2108=0,N2108&lt;6)),1,0)</x:f>
        <x:v>1</x:v>
      </x:c>
      <x:c r="Q2108" s="19" t="n">
        <x:f>IF(AND(SUM(K2108:M2108)&lt;9,OR(K2108=0,N2108&lt;6)),1,0)</x:f>
        <x:v>1</x:v>
      </x:c>
      <x:c r="R2108" s="22" t="str">
        <x:f>O2108&amp;P2108&amp;Q2108</x:f>
        <x:v>111</x:v>
      </x:c>
      <x:c r="S2108" s="19" t="n">
        <x:f>IF(I2108=1,IF(J2108=0,Q2108,IF(J2108=1,P2108,IF(J2108=2,O2108,0))),0)</x:f>
        <x:v>1</x:v>
      </x:c>
      <x:c r="T2108" s="19" t="n">
        <x:f>K2108+IF(AND(S2108=1,J2108=0),1,0)</x:f>
        <x:v>4</x:v>
      </x:c>
      <x:c r="U2108" s="19" t="n">
        <x:f>L2108+IF(AND(S2108=1,J2108=1),1,0)</x:f>
        <x:v>2</x:v>
      </x:c>
      <x:c r="V2108" s="19" t="n">
        <x:f>M2108+IF(AND(S2108=1,J2108=2),1,0)</x:f>
        <x:v>3</x:v>
      </x:c>
      <x:c r="W2108" s="19" t="n">
        <x:f>SUM(T2108:V2108)</x:f>
        <x:v>9</x:v>
      </x:c>
      <x:c r="X2108" s="19" t="n">
        <x:f>W2108-G2108</x:f>
        <x:v>0</x:v>
      </x:c>
      <x:c r="Y2108" s="19" t="n">
        <x:f>MAX(T2108,1)+MAX(U2108,1)+MAX(V2108,1)</x:f>
        <x:v>9</x:v>
      </x:c>
      <x:c r="Z2108" s="21" t="str">
        <x:f>IF(AND(MIN(D2108:F2108)&gt;=0,MAX(D2108:F2108)&lt;=7,MAX(D2108,1)+MAX(E2108,1)+MAX(F2108,1)&lt;=9,OR(H2108="-",AND(H2108=0,D2108&gt;0),AND(H2108=1,E2108&gt;0),AND(H2108=2,F2108&gt;0)),OR(I2108=0,AND(I2108=1,OR(J2108=0,J2108=1,J2108=2),R2108&lt;&gt;"000")),Y2108&lt;=9,MIN(T2108:V2108)&gt;=0),"合法","输入违约")</x:f>
        <x:v>合法</x:v>
      </x:c>
    </x:row>
    <x:row r="2109" ht="23" customHeight="1">
      <x:c r="A2109" s="3" t="str">
        <x:v>CT-2102</x:v>
      </x:c>
      <x:c r="B2109" s="3" t="str">
        <x:v>ST-183</x:v>
      </x:c>
      <x:c r="C2109" s="3" t="str">
        <x:v>仅R回收</x:v>
      </x:c>
      <x:c r="D2109" s="25" t="n">
        <x:v>4</x:v>
      </x:c>
      <x:c r="E2109" s="25" t="n">
        <x:v>3</x:v>
      </x:c>
      <x:c r="F2109" s="25" t="n">
        <x:v>2</x:v>
      </x:c>
      <x:c r="G2109" s="19" t="n">
        <x:f>SUM(D2109:F2109)</x:f>
        <x:v>9</x:v>
      </x:c>
      <x:c r="H2109" s="25" t="n">
        <x:v>2</x:v>
      </x:c>
      <x:c r="I2109" s="25" t="n">
        <x:v>0</x:v>
      </x:c>
      <x:c r="J2109" s="25" t="str">
        <x:v>-</x:v>
      </x:c>
      <x:c r="K2109" s="19" t="n">
        <x:f>D2109-IF(H2109=0,1,0)</x:f>
        <x:v>4</x:v>
      </x:c>
      <x:c r="L2109" s="19" t="n">
        <x:f>E2109-IF(H2109=1,1,0)</x:f>
        <x:v>3</x:v>
      </x:c>
      <x:c r="M2109" s="19" t="n">
        <x:f>F2109-IF(H2109=2,1,0)</x:f>
        <x:v>1</x:v>
      </x:c>
      <x:c r="N2109" s="19" t="n">
        <x:f>MAX(K2109-1,0)+MAX(L2109-1,0)+MAX(M2109-1,0)</x:f>
        <x:v>5</x:v>
      </x:c>
      <x:c r="O2109" s="19" t="n">
        <x:f>IF(AND(SUM(K2109:M2109)&lt;9,OR(M2109=0,N2109&lt;6)),1,0)</x:f>
        <x:v>1</x:v>
      </x:c>
      <x:c r="P2109" s="19" t="n">
        <x:f>IF(AND(SUM(K2109:M2109)&lt;9,OR(L2109=0,N2109&lt;6)),1,0)</x:f>
        <x:v>1</x:v>
      </x:c>
      <x:c r="Q2109" s="19" t="n">
        <x:f>IF(AND(SUM(K2109:M2109)&lt;9,OR(K2109=0,N2109&lt;6)),1,0)</x:f>
        <x:v>1</x:v>
      </x:c>
      <x:c r="R2109" s="22" t="str">
        <x:f>O2109&amp;P2109&amp;Q2109</x:f>
        <x:v>111</x:v>
      </x:c>
      <x:c r="S2109" s="19" t="n">
        <x:f>IF(I2109=1,IF(J2109=0,Q2109,IF(J2109=1,P2109,IF(J2109=2,O2109,0))),0)</x:f>
        <x:v>0</x:v>
      </x:c>
      <x:c r="T2109" s="19" t="n">
        <x:f>K2109+IF(AND(S2109=1,J2109=0),1,0)</x:f>
        <x:v>4</x:v>
      </x:c>
      <x:c r="U2109" s="19" t="n">
        <x:f>L2109+IF(AND(S2109=1,J2109=1),1,0)</x:f>
        <x:v>3</x:v>
      </x:c>
      <x:c r="V2109" s="19" t="n">
        <x:f>M2109+IF(AND(S2109=1,J2109=2),1,0)</x:f>
        <x:v>1</x:v>
      </x:c>
      <x:c r="W2109" s="19" t="n">
        <x:f>SUM(T2109:V2109)</x:f>
        <x:v>8</x:v>
      </x:c>
      <x:c r="X2109" s="19" t="n">
        <x:f>W2109-G2109</x:f>
        <x:v>-1</x:v>
      </x:c>
      <x:c r="Y2109" s="19" t="n">
        <x:f>MAX(T2109,1)+MAX(U2109,1)+MAX(V2109,1)</x:f>
        <x:v>8</x:v>
      </x:c>
      <x:c r="Z2109" s="21" t="str">
        <x:f>IF(AND(MIN(D2109:F2109)&gt;=0,MAX(D2109:F2109)&lt;=7,MAX(D2109,1)+MAX(E2109,1)+MAX(F2109,1)&lt;=9,OR(H2109="-",AND(H2109=0,D2109&gt;0),AND(H2109=1,E2109&gt;0),AND(H2109=2,F2109&gt;0)),OR(I2109=0,AND(I2109=1,OR(J2109=0,J2109=1,J2109=2),R2109&lt;&gt;"000")),Y2109&lt;=9,MIN(T2109:V2109)&gt;=0),"合法","输入违约")</x:f>
        <x:v>合法</x:v>
      </x:c>
    </x:row>
    <x:row r="2110" ht="23" customHeight="1">
      <x:c r="A2110" s="3" t="str">
        <x:v>CT-2103</x:v>
      </x:c>
      <x:c r="B2110" s="3" t="str">
        <x:v>ST-183</x:v>
      </x:c>
      <x:c r="C2110" s="3" t="str">
        <x:v>R+AR同收同发</x:v>
      </x:c>
      <x:c r="D2110" s="25" t="n">
        <x:v>4</x:v>
      </x:c>
      <x:c r="E2110" s="25" t="n">
        <x:v>3</x:v>
      </x:c>
      <x:c r="F2110" s="25" t="n">
        <x:v>2</x:v>
      </x:c>
      <x:c r="G2110" s="19" t="n">
        <x:f>SUM(D2110:F2110)</x:f>
        <x:v>9</x:v>
      </x:c>
      <x:c r="H2110" s="25" t="n">
        <x:v>2</x:v>
      </x:c>
      <x:c r="I2110" s="25" t="n">
        <x:v>1</x:v>
      </x:c>
      <x:c r="J2110" s="25" t="n">
        <x:v>0</x:v>
      </x:c>
      <x:c r="K2110" s="19" t="n">
        <x:f>D2110-IF(H2110=0,1,0)</x:f>
        <x:v>4</x:v>
      </x:c>
      <x:c r="L2110" s="19" t="n">
        <x:f>E2110-IF(H2110=1,1,0)</x:f>
        <x:v>3</x:v>
      </x:c>
      <x:c r="M2110" s="19" t="n">
        <x:f>F2110-IF(H2110=2,1,0)</x:f>
        <x:v>1</x:v>
      </x:c>
      <x:c r="N2110" s="19" t="n">
        <x:f>MAX(K2110-1,0)+MAX(L2110-1,0)+MAX(M2110-1,0)</x:f>
        <x:v>5</x:v>
      </x:c>
      <x:c r="O2110" s="19" t="n">
        <x:f>IF(AND(SUM(K2110:M2110)&lt;9,OR(M2110=0,N2110&lt;6)),1,0)</x:f>
        <x:v>1</x:v>
      </x:c>
      <x:c r="P2110" s="19" t="n">
        <x:f>IF(AND(SUM(K2110:M2110)&lt;9,OR(L2110=0,N2110&lt;6)),1,0)</x:f>
        <x:v>1</x:v>
      </x:c>
      <x:c r="Q2110" s="19" t="n">
        <x:f>IF(AND(SUM(K2110:M2110)&lt;9,OR(K2110=0,N2110&lt;6)),1,0)</x:f>
        <x:v>1</x:v>
      </x:c>
      <x:c r="R2110" s="22" t="str">
        <x:f>O2110&amp;P2110&amp;Q2110</x:f>
        <x:v>111</x:v>
      </x:c>
      <x:c r="S2110" s="19" t="n">
        <x:f>IF(I2110=1,IF(J2110=0,Q2110,IF(J2110=1,P2110,IF(J2110=2,O2110,0))),0)</x:f>
        <x:v>1</x:v>
      </x:c>
      <x:c r="T2110" s="19" t="n">
        <x:f>K2110+IF(AND(S2110=1,J2110=0),1,0)</x:f>
        <x:v>5</x:v>
      </x:c>
      <x:c r="U2110" s="19" t="n">
        <x:f>L2110+IF(AND(S2110=1,J2110=1),1,0)</x:f>
        <x:v>3</x:v>
      </x:c>
      <x:c r="V2110" s="19" t="n">
        <x:f>M2110+IF(AND(S2110=1,J2110=2),1,0)</x:f>
        <x:v>1</x:v>
      </x:c>
      <x:c r="W2110" s="19" t="n">
        <x:f>SUM(T2110:V2110)</x:f>
        <x:v>9</x:v>
      </x:c>
      <x:c r="X2110" s="19" t="n">
        <x:f>W2110-G2110</x:f>
        <x:v>0</x:v>
      </x:c>
      <x:c r="Y2110" s="19" t="n">
        <x:f>MAX(T2110,1)+MAX(U2110,1)+MAX(V2110,1)</x:f>
        <x:v>9</x:v>
      </x:c>
      <x:c r="Z2110" s="21" t="str">
        <x:f>IF(AND(MIN(D2110:F2110)&gt;=0,MAX(D2110:F2110)&lt;=7,MAX(D2110,1)+MAX(E2110,1)+MAX(F2110,1)&lt;=9,OR(H2110="-",AND(H2110=0,D2110&gt;0),AND(H2110=1,E2110&gt;0),AND(H2110=2,F2110&gt;0)),OR(I2110=0,AND(I2110=1,OR(J2110=0,J2110=1,J2110=2),R2110&lt;&gt;"000")),Y2110&lt;=9,MIN(T2110:V2110)&gt;=0),"合法","输入违约")</x:f>
        <x:v>合法</x:v>
      </x:c>
    </x:row>
    <x:row r="2111" ht="23" customHeight="1">
      <x:c r="A2111" s="3" t="str">
        <x:v>CT-2104</x:v>
      </x:c>
      <x:c r="B2111" s="3" t="str">
        <x:v>ST-183</x:v>
      </x:c>
      <x:c r="C2111" s="3" t="str">
        <x:v>R+AR同收同发</x:v>
      </x:c>
      <x:c r="D2111" s="25" t="n">
        <x:v>4</x:v>
      </x:c>
      <x:c r="E2111" s="25" t="n">
        <x:v>3</x:v>
      </x:c>
      <x:c r="F2111" s="25" t="n">
        <x:v>2</x:v>
      </x:c>
      <x:c r="G2111" s="19" t="n">
        <x:f>SUM(D2111:F2111)</x:f>
        <x:v>9</x:v>
      </x:c>
      <x:c r="H2111" s="25" t="n">
        <x:v>2</x:v>
      </x:c>
      <x:c r="I2111" s="25" t="n">
        <x:v>1</x:v>
      </x:c>
      <x:c r="J2111" s="25" t="n">
        <x:v>1</x:v>
      </x:c>
      <x:c r="K2111" s="19" t="n">
        <x:f>D2111-IF(H2111=0,1,0)</x:f>
        <x:v>4</x:v>
      </x:c>
      <x:c r="L2111" s="19" t="n">
        <x:f>E2111-IF(H2111=1,1,0)</x:f>
        <x:v>3</x:v>
      </x:c>
      <x:c r="M2111" s="19" t="n">
        <x:f>F2111-IF(H2111=2,1,0)</x:f>
        <x:v>1</x:v>
      </x:c>
      <x:c r="N2111" s="19" t="n">
        <x:f>MAX(K2111-1,0)+MAX(L2111-1,0)+MAX(M2111-1,0)</x:f>
        <x:v>5</x:v>
      </x:c>
      <x:c r="O2111" s="19" t="n">
        <x:f>IF(AND(SUM(K2111:M2111)&lt;9,OR(M2111=0,N2111&lt;6)),1,0)</x:f>
        <x:v>1</x:v>
      </x:c>
      <x:c r="P2111" s="19" t="n">
        <x:f>IF(AND(SUM(K2111:M2111)&lt;9,OR(L2111=0,N2111&lt;6)),1,0)</x:f>
        <x:v>1</x:v>
      </x:c>
      <x:c r="Q2111" s="19" t="n">
        <x:f>IF(AND(SUM(K2111:M2111)&lt;9,OR(K2111=0,N2111&lt;6)),1,0)</x:f>
        <x:v>1</x:v>
      </x:c>
      <x:c r="R2111" s="22" t="str">
        <x:f>O2111&amp;P2111&amp;Q2111</x:f>
        <x:v>111</x:v>
      </x:c>
      <x:c r="S2111" s="19" t="n">
        <x:f>IF(I2111=1,IF(J2111=0,Q2111,IF(J2111=1,P2111,IF(J2111=2,O2111,0))),0)</x:f>
        <x:v>1</x:v>
      </x:c>
      <x:c r="T2111" s="19" t="n">
        <x:f>K2111+IF(AND(S2111=1,J2111=0),1,0)</x:f>
        <x:v>4</x:v>
      </x:c>
      <x:c r="U2111" s="19" t="n">
        <x:f>L2111+IF(AND(S2111=1,J2111=1),1,0)</x:f>
        <x:v>4</x:v>
      </x:c>
      <x:c r="V2111" s="19" t="n">
        <x:f>M2111+IF(AND(S2111=1,J2111=2),1,0)</x:f>
        <x:v>1</x:v>
      </x:c>
      <x:c r="W2111" s="19" t="n">
        <x:f>SUM(T2111:V2111)</x:f>
        <x:v>9</x:v>
      </x:c>
      <x:c r="X2111" s="19" t="n">
        <x:f>W2111-G2111</x:f>
        <x:v>0</x:v>
      </x:c>
      <x:c r="Y2111" s="19" t="n">
        <x:f>MAX(T2111,1)+MAX(U2111,1)+MAX(V2111,1)</x:f>
        <x:v>9</x:v>
      </x:c>
      <x:c r="Z2111" s="21" t="str">
        <x:f>IF(AND(MIN(D2111:F2111)&gt;=0,MAX(D2111:F2111)&lt;=7,MAX(D2111,1)+MAX(E2111,1)+MAX(F2111,1)&lt;=9,OR(H2111="-",AND(H2111=0,D2111&gt;0),AND(H2111=1,E2111&gt;0),AND(H2111=2,F2111&gt;0)),OR(I2111=0,AND(I2111=1,OR(J2111=0,J2111=1,J2111=2),R2111&lt;&gt;"000")),Y2111&lt;=9,MIN(T2111:V2111)&gt;=0),"合法","输入违约")</x:f>
        <x:v>合法</x:v>
      </x:c>
    </x:row>
    <x:row r="2112" ht="23" customHeight="1">
      <x:c r="A2112" s="3" t="str">
        <x:v>CT-2105</x:v>
      </x:c>
      <x:c r="B2112" s="3" t="str">
        <x:v>ST-183</x:v>
      </x:c>
      <x:c r="C2112" s="3" t="str">
        <x:v>R+AR同收同发</x:v>
      </x:c>
      <x:c r="D2112" s="25" t="n">
        <x:v>4</x:v>
      </x:c>
      <x:c r="E2112" s="25" t="n">
        <x:v>3</x:v>
      </x:c>
      <x:c r="F2112" s="25" t="n">
        <x:v>2</x:v>
      </x:c>
      <x:c r="G2112" s="19" t="n">
        <x:f>SUM(D2112:F2112)</x:f>
        <x:v>9</x:v>
      </x:c>
      <x:c r="H2112" s="25" t="n">
        <x:v>2</x:v>
      </x:c>
      <x:c r="I2112" s="25" t="n">
        <x:v>1</x:v>
      </x:c>
      <x:c r="J2112" s="25" t="n">
        <x:v>2</x:v>
      </x:c>
      <x:c r="K2112" s="19" t="n">
        <x:f>D2112-IF(H2112=0,1,0)</x:f>
        <x:v>4</x:v>
      </x:c>
      <x:c r="L2112" s="19" t="n">
        <x:f>E2112-IF(H2112=1,1,0)</x:f>
        <x:v>3</x:v>
      </x:c>
      <x:c r="M2112" s="19" t="n">
        <x:f>F2112-IF(H2112=2,1,0)</x:f>
        <x:v>1</x:v>
      </x:c>
      <x:c r="N2112" s="19" t="n">
        <x:f>MAX(K2112-1,0)+MAX(L2112-1,0)+MAX(M2112-1,0)</x:f>
        <x:v>5</x:v>
      </x:c>
      <x:c r="O2112" s="19" t="n">
        <x:f>IF(AND(SUM(K2112:M2112)&lt;9,OR(M2112=0,N2112&lt;6)),1,0)</x:f>
        <x:v>1</x:v>
      </x:c>
      <x:c r="P2112" s="19" t="n">
        <x:f>IF(AND(SUM(K2112:M2112)&lt;9,OR(L2112=0,N2112&lt;6)),1,0)</x:f>
        <x:v>1</x:v>
      </x:c>
      <x:c r="Q2112" s="19" t="n">
        <x:f>IF(AND(SUM(K2112:M2112)&lt;9,OR(K2112=0,N2112&lt;6)),1,0)</x:f>
        <x:v>1</x:v>
      </x:c>
      <x:c r="R2112" s="22" t="str">
        <x:f>O2112&amp;P2112&amp;Q2112</x:f>
        <x:v>111</x:v>
      </x:c>
      <x:c r="S2112" s="19" t="n">
        <x:f>IF(I2112=1,IF(J2112=0,Q2112,IF(J2112=1,P2112,IF(J2112=2,O2112,0))),0)</x:f>
        <x:v>1</x:v>
      </x:c>
      <x:c r="T2112" s="19" t="n">
        <x:f>K2112+IF(AND(S2112=1,J2112=0),1,0)</x:f>
        <x:v>4</x:v>
      </x:c>
      <x:c r="U2112" s="19" t="n">
        <x:f>L2112+IF(AND(S2112=1,J2112=1),1,0)</x:f>
        <x:v>3</x:v>
      </x:c>
      <x:c r="V2112" s="19" t="n">
        <x:f>M2112+IF(AND(S2112=1,J2112=2),1,0)</x:f>
        <x:v>2</x:v>
      </x:c>
      <x:c r="W2112" s="19" t="n">
        <x:f>SUM(T2112:V2112)</x:f>
        <x:v>9</x:v>
      </x:c>
      <x:c r="X2112" s="19" t="n">
        <x:f>W2112-G2112</x:f>
        <x:v>0</x:v>
      </x:c>
      <x:c r="Y2112" s="19" t="n">
        <x:f>MAX(T2112,1)+MAX(U2112,1)+MAX(V2112,1)</x:f>
        <x:v>9</x:v>
      </x:c>
      <x:c r="Z2112" s="21" t="str">
        <x:f>IF(AND(MIN(D2112:F2112)&gt;=0,MAX(D2112:F2112)&lt;=7,MAX(D2112,1)+MAX(E2112,1)+MAX(F2112,1)&lt;=9,OR(H2112="-",AND(H2112=0,D2112&gt;0),AND(H2112=1,E2112&gt;0),AND(H2112=2,F2112&gt;0)),OR(I2112=0,AND(I2112=1,OR(J2112=0,J2112=1,J2112=2),R2112&lt;&gt;"000")),Y2112&lt;=9,MIN(T2112:V2112)&gt;=0),"合法","输入违约")</x:f>
        <x:v>合法</x:v>
      </x:c>
    </x:row>
    <x:row r="2113" ht="23" customHeight="1">
      <x:c r="A2113" s="3" t="str">
        <x:v>CT-2106</x:v>
      </x:c>
      <x:c r="B2113" s="3" t="str">
        <x:v>ST-153</x:v>
      </x:c>
      <x:c r="C2113" s="3" t="str">
        <x:v>无AR/R</x:v>
      </x:c>
      <x:c r="D2113" s="25" t="n">
        <x:v>4</x:v>
      </x:c>
      <x:c r="E2113" s="25" t="n">
        <x:v>4</x:v>
      </x:c>
      <x:c r="F2113" s="25" t="n">
        <x:v>0</x:v>
      </x:c>
      <x:c r="G2113" s="19" t="n">
        <x:f>SUM(D2113:F2113)</x:f>
        <x:v>8</x:v>
      </x:c>
      <x:c r="H2113" s="25" t="str">
        <x:v>-</x:v>
      </x:c>
      <x:c r="I2113" s="25" t="n">
        <x:v>0</x:v>
      </x:c>
      <x:c r="J2113" s="25" t="str">
        <x:v>-</x:v>
      </x:c>
      <x:c r="K2113" s="19" t="n">
        <x:f>D2113-IF(H2113=0,1,0)</x:f>
        <x:v>4</x:v>
      </x:c>
      <x:c r="L2113" s="19" t="n">
        <x:f>E2113-IF(H2113=1,1,0)</x:f>
        <x:v>4</x:v>
      </x:c>
      <x:c r="M2113" s="19" t="n">
        <x:f>F2113-IF(H2113=2,1,0)</x:f>
        <x:v>0</x:v>
      </x:c>
      <x:c r="N2113" s="19" t="n">
        <x:f>MAX(K2113-1,0)+MAX(L2113-1,0)+MAX(M2113-1,0)</x:f>
        <x:v>6</x:v>
      </x:c>
      <x:c r="O2113" s="19" t="n">
        <x:f>IF(AND(SUM(K2113:M2113)&lt;9,OR(M2113=0,N2113&lt;6)),1,0)</x:f>
        <x:v>1</x:v>
      </x:c>
      <x:c r="P2113" s="19" t="n">
        <x:f>IF(AND(SUM(K2113:M2113)&lt;9,OR(L2113=0,N2113&lt;6)),1,0)</x:f>
        <x:v>0</x:v>
      </x:c>
      <x:c r="Q2113" s="19" t="n">
        <x:f>IF(AND(SUM(K2113:M2113)&lt;9,OR(K2113=0,N2113&lt;6)),1,0)</x:f>
        <x:v>0</x:v>
      </x:c>
      <x:c r="R2113" s="22" t="str">
        <x:f>O2113&amp;P2113&amp;Q2113</x:f>
        <x:v>100</x:v>
      </x:c>
      <x:c r="S2113" s="19" t="n">
        <x:f>IF(I2113=1,IF(J2113=0,Q2113,IF(J2113=1,P2113,IF(J2113=2,O2113,0))),0)</x:f>
        <x:v>0</x:v>
      </x:c>
      <x:c r="T2113" s="19" t="n">
        <x:f>K2113+IF(AND(S2113=1,J2113=0),1,0)</x:f>
        <x:v>4</x:v>
      </x:c>
      <x:c r="U2113" s="19" t="n">
        <x:f>L2113+IF(AND(S2113=1,J2113=1),1,0)</x:f>
        <x:v>4</x:v>
      </x:c>
      <x:c r="V2113" s="19" t="n">
        <x:f>M2113+IF(AND(S2113=1,J2113=2),1,0)</x:f>
        <x:v>0</x:v>
      </x:c>
      <x:c r="W2113" s="19" t="n">
        <x:f>SUM(T2113:V2113)</x:f>
        <x:v>8</x:v>
      </x:c>
      <x:c r="X2113" s="19" t="n">
        <x:f>W2113-G2113</x:f>
        <x:v>0</x:v>
      </x:c>
      <x:c r="Y2113" s="19" t="n">
        <x:f>MAX(T2113,1)+MAX(U2113,1)+MAX(V2113,1)</x:f>
        <x:v>9</x:v>
      </x:c>
      <x:c r="Z2113" s="21" t="str">
        <x:f>IF(AND(MIN(D2113:F2113)&gt;=0,MAX(D2113:F2113)&lt;=7,MAX(D2113,1)+MAX(E2113,1)+MAX(F2113,1)&lt;=9,OR(H2113="-",AND(H2113=0,D2113&gt;0),AND(H2113=1,E2113&gt;0),AND(H2113=2,F2113&gt;0)),OR(I2113=0,AND(I2113=1,OR(J2113=0,J2113=1,J2113=2),R2113&lt;&gt;"000")),Y2113&lt;=9,MIN(T2113:V2113)&gt;=0),"合法","输入违约")</x:f>
        <x:v>合法</x:v>
      </x:c>
    </x:row>
    <x:row r="2114" ht="23" customHeight="1">
      <x:c r="A2114" s="3" t="str">
        <x:v>CT-2107</x:v>
      </x:c>
      <x:c r="B2114" s="3" t="str">
        <x:v>ST-153</x:v>
      </x:c>
      <x:c r="C2114" s="3" t="str">
        <x:v>所选源被阻塞</x:v>
      </x:c>
      <x:c r="D2114" s="25" t="n">
        <x:v>4</x:v>
      </x:c>
      <x:c r="E2114" s="25" t="n">
        <x:v>4</x:v>
      </x:c>
      <x:c r="F2114" s="25" t="n">
        <x:v>0</x:v>
      </x:c>
      <x:c r="G2114" s="19" t="n">
        <x:f>SUM(D2114:F2114)</x:f>
        <x:v>8</x:v>
      </x:c>
      <x:c r="H2114" s="25" t="str">
        <x:v>-</x:v>
      </x:c>
      <x:c r="I2114" s="25" t="n">
        <x:v>1</x:v>
      </x:c>
      <x:c r="J2114" s="25" t="n">
        <x:v>0</x:v>
      </x:c>
      <x:c r="K2114" s="19" t="n">
        <x:f>D2114-IF(H2114=0,1,0)</x:f>
        <x:v>4</x:v>
      </x:c>
      <x:c r="L2114" s="19" t="n">
        <x:f>E2114-IF(H2114=1,1,0)</x:f>
        <x:v>4</x:v>
      </x:c>
      <x:c r="M2114" s="19" t="n">
        <x:f>F2114-IF(H2114=2,1,0)</x:f>
        <x:v>0</x:v>
      </x:c>
      <x:c r="N2114" s="19" t="n">
        <x:f>MAX(K2114-1,0)+MAX(L2114-1,0)+MAX(M2114-1,0)</x:f>
        <x:v>6</x:v>
      </x:c>
      <x:c r="O2114" s="19" t="n">
        <x:f>IF(AND(SUM(K2114:M2114)&lt;9,OR(M2114=0,N2114&lt;6)),1,0)</x:f>
        <x:v>1</x:v>
      </x:c>
      <x:c r="P2114" s="19" t="n">
        <x:f>IF(AND(SUM(K2114:M2114)&lt;9,OR(L2114=0,N2114&lt;6)),1,0)</x:f>
        <x:v>0</x:v>
      </x:c>
      <x:c r="Q2114" s="19" t="n">
        <x:f>IF(AND(SUM(K2114:M2114)&lt;9,OR(K2114=0,N2114&lt;6)),1,0)</x:f>
        <x:v>0</x:v>
      </x:c>
      <x:c r="R2114" s="22" t="str">
        <x:f>O2114&amp;P2114&amp;Q2114</x:f>
        <x:v>100</x:v>
      </x:c>
      <x:c r="S2114" s="19" t="n">
        <x:f>IF(I2114=1,IF(J2114=0,Q2114,IF(J2114=1,P2114,IF(J2114=2,O2114,0))),0)</x:f>
        <x:v>0</x:v>
      </x:c>
      <x:c r="T2114" s="19" t="n">
        <x:f>K2114+IF(AND(S2114=1,J2114=0),1,0)</x:f>
        <x:v>4</x:v>
      </x:c>
      <x:c r="U2114" s="19" t="n">
        <x:f>L2114+IF(AND(S2114=1,J2114=1),1,0)</x:f>
        <x:v>4</x:v>
      </x:c>
      <x:c r="V2114" s="19" t="n">
        <x:f>M2114+IF(AND(S2114=1,J2114=2),1,0)</x:f>
        <x:v>0</x:v>
      </x:c>
      <x:c r="W2114" s="19" t="n">
        <x:f>SUM(T2114:V2114)</x:f>
        <x:v>8</x:v>
      </x:c>
      <x:c r="X2114" s="19" t="n">
        <x:f>W2114-G2114</x:f>
        <x:v>0</x:v>
      </x:c>
      <x:c r="Y2114" s="19" t="n">
        <x:f>MAX(T2114,1)+MAX(U2114,1)+MAX(V2114,1)</x:f>
        <x:v>9</x:v>
      </x:c>
      <x:c r="Z2114" s="21" t="str">
        <x:f>IF(AND(MIN(D2114:F2114)&gt;=0,MAX(D2114:F2114)&lt;=7,MAX(D2114,1)+MAX(E2114,1)+MAX(F2114,1)&lt;=9,OR(H2114="-",AND(H2114=0,D2114&gt;0),AND(H2114=1,E2114&gt;0),AND(H2114=2,F2114&gt;0)),OR(I2114=0,AND(I2114=1,OR(J2114=0,J2114=1,J2114=2),R2114&lt;&gt;"000")),Y2114&lt;=9,MIN(T2114:V2114)&gt;=0),"合法","输入违约")</x:f>
        <x:v>合法</x:v>
      </x:c>
    </x:row>
    <x:row r="2115" ht="23" customHeight="1">
      <x:c r="A2115" s="3" t="str">
        <x:v>CT-2108</x:v>
      </x:c>
      <x:c r="B2115" s="3" t="str">
        <x:v>ST-153</x:v>
      </x:c>
      <x:c r="C2115" s="3" t="str">
        <x:v>所选源被阻塞</x:v>
      </x:c>
      <x:c r="D2115" s="25" t="n">
        <x:v>4</x:v>
      </x:c>
      <x:c r="E2115" s="25" t="n">
        <x:v>4</x:v>
      </x:c>
      <x:c r="F2115" s="25" t="n">
        <x:v>0</x:v>
      </x:c>
      <x:c r="G2115" s="19" t="n">
        <x:f>SUM(D2115:F2115)</x:f>
        <x:v>8</x:v>
      </x:c>
      <x:c r="H2115" s="25" t="str">
        <x:v>-</x:v>
      </x:c>
      <x:c r="I2115" s="25" t="n">
        <x:v>1</x:v>
      </x:c>
      <x:c r="J2115" s="25" t="n">
        <x:v>1</x:v>
      </x:c>
      <x:c r="K2115" s="19" t="n">
        <x:f>D2115-IF(H2115=0,1,0)</x:f>
        <x:v>4</x:v>
      </x:c>
      <x:c r="L2115" s="19" t="n">
        <x:f>E2115-IF(H2115=1,1,0)</x:f>
        <x:v>4</x:v>
      </x:c>
      <x:c r="M2115" s="19" t="n">
        <x:f>F2115-IF(H2115=2,1,0)</x:f>
        <x:v>0</x:v>
      </x:c>
      <x:c r="N2115" s="19" t="n">
        <x:f>MAX(K2115-1,0)+MAX(L2115-1,0)+MAX(M2115-1,0)</x:f>
        <x:v>6</x:v>
      </x:c>
      <x:c r="O2115" s="19" t="n">
        <x:f>IF(AND(SUM(K2115:M2115)&lt;9,OR(M2115=0,N2115&lt;6)),1,0)</x:f>
        <x:v>1</x:v>
      </x:c>
      <x:c r="P2115" s="19" t="n">
        <x:f>IF(AND(SUM(K2115:M2115)&lt;9,OR(L2115=0,N2115&lt;6)),1,0)</x:f>
        <x:v>0</x:v>
      </x:c>
      <x:c r="Q2115" s="19" t="n">
        <x:f>IF(AND(SUM(K2115:M2115)&lt;9,OR(K2115=0,N2115&lt;6)),1,0)</x:f>
        <x:v>0</x:v>
      </x:c>
      <x:c r="R2115" s="22" t="str">
        <x:f>O2115&amp;P2115&amp;Q2115</x:f>
        <x:v>100</x:v>
      </x:c>
      <x:c r="S2115" s="19" t="n">
        <x:f>IF(I2115=1,IF(J2115=0,Q2115,IF(J2115=1,P2115,IF(J2115=2,O2115,0))),0)</x:f>
        <x:v>0</x:v>
      </x:c>
      <x:c r="T2115" s="19" t="n">
        <x:f>K2115+IF(AND(S2115=1,J2115=0),1,0)</x:f>
        <x:v>4</x:v>
      </x:c>
      <x:c r="U2115" s="19" t="n">
        <x:f>L2115+IF(AND(S2115=1,J2115=1),1,0)</x:f>
        <x:v>4</x:v>
      </x:c>
      <x:c r="V2115" s="19" t="n">
        <x:f>M2115+IF(AND(S2115=1,J2115=2),1,0)</x:f>
        <x:v>0</x:v>
      </x:c>
      <x:c r="W2115" s="19" t="n">
        <x:f>SUM(T2115:V2115)</x:f>
        <x:v>8</x:v>
      </x:c>
      <x:c r="X2115" s="19" t="n">
        <x:f>W2115-G2115</x:f>
        <x:v>0</x:v>
      </x:c>
      <x:c r="Y2115" s="19" t="n">
        <x:f>MAX(T2115,1)+MAX(U2115,1)+MAX(V2115,1)</x:f>
        <x:v>9</x:v>
      </x:c>
      <x:c r="Z2115" s="21" t="str">
        <x:f>IF(AND(MIN(D2115:F2115)&gt;=0,MAX(D2115:F2115)&lt;=7,MAX(D2115,1)+MAX(E2115,1)+MAX(F2115,1)&lt;=9,OR(H2115="-",AND(H2115=0,D2115&gt;0),AND(H2115=1,E2115&gt;0),AND(H2115=2,F2115&gt;0)),OR(I2115=0,AND(I2115=1,OR(J2115=0,J2115=1,J2115=2),R2115&lt;&gt;"000")),Y2115&lt;=9,MIN(T2115:V2115)&gt;=0),"合法","输入违约")</x:f>
        <x:v>合法</x:v>
      </x:c>
    </x:row>
    <x:row r="2116" ht="23" customHeight="1">
      <x:c r="A2116" s="3" t="str">
        <x:v>CT-2109</x:v>
      </x:c>
      <x:c r="B2116" s="3" t="str">
        <x:v>ST-153</x:v>
      </x:c>
      <x:c r="C2116" s="3" t="str">
        <x:v>仅AR接收</x:v>
      </x:c>
      <x:c r="D2116" s="25" t="n">
        <x:v>4</x:v>
      </x:c>
      <x:c r="E2116" s="25" t="n">
        <x:v>4</x:v>
      </x:c>
      <x:c r="F2116" s="25" t="n">
        <x:v>0</x:v>
      </x:c>
      <x:c r="G2116" s="19" t="n">
        <x:f>SUM(D2116:F2116)</x:f>
        <x:v>8</x:v>
      </x:c>
      <x:c r="H2116" s="25" t="str">
        <x:v>-</x:v>
      </x:c>
      <x:c r="I2116" s="25" t="n">
        <x:v>1</x:v>
      </x:c>
      <x:c r="J2116" s="25" t="n">
        <x:v>2</x:v>
      </x:c>
      <x:c r="K2116" s="19" t="n">
        <x:f>D2116-IF(H2116=0,1,0)</x:f>
        <x:v>4</x:v>
      </x:c>
      <x:c r="L2116" s="19" t="n">
        <x:f>E2116-IF(H2116=1,1,0)</x:f>
        <x:v>4</x:v>
      </x:c>
      <x:c r="M2116" s="19" t="n">
        <x:f>F2116-IF(H2116=2,1,0)</x:f>
        <x:v>0</x:v>
      </x:c>
      <x:c r="N2116" s="19" t="n">
        <x:f>MAX(K2116-1,0)+MAX(L2116-1,0)+MAX(M2116-1,0)</x:f>
        <x:v>6</x:v>
      </x:c>
      <x:c r="O2116" s="19" t="n">
        <x:f>IF(AND(SUM(K2116:M2116)&lt;9,OR(M2116=0,N2116&lt;6)),1,0)</x:f>
        <x:v>1</x:v>
      </x:c>
      <x:c r="P2116" s="19" t="n">
        <x:f>IF(AND(SUM(K2116:M2116)&lt;9,OR(L2116=0,N2116&lt;6)),1,0)</x:f>
        <x:v>0</x:v>
      </x:c>
      <x:c r="Q2116" s="19" t="n">
        <x:f>IF(AND(SUM(K2116:M2116)&lt;9,OR(K2116=0,N2116&lt;6)),1,0)</x:f>
        <x:v>0</x:v>
      </x:c>
      <x:c r="R2116" s="22" t="str">
        <x:f>O2116&amp;P2116&amp;Q2116</x:f>
        <x:v>100</x:v>
      </x:c>
      <x:c r="S2116" s="19" t="n">
        <x:f>IF(I2116=1,IF(J2116=0,Q2116,IF(J2116=1,P2116,IF(J2116=2,O2116,0))),0)</x:f>
        <x:v>1</x:v>
      </x:c>
      <x:c r="T2116" s="19" t="n">
        <x:f>K2116+IF(AND(S2116=1,J2116=0),1,0)</x:f>
        <x:v>4</x:v>
      </x:c>
      <x:c r="U2116" s="19" t="n">
        <x:f>L2116+IF(AND(S2116=1,J2116=1),1,0)</x:f>
        <x:v>4</x:v>
      </x:c>
      <x:c r="V2116" s="19" t="n">
        <x:f>M2116+IF(AND(S2116=1,J2116=2),1,0)</x:f>
        <x:v>1</x:v>
      </x:c>
      <x:c r="W2116" s="19" t="n">
        <x:f>SUM(T2116:V2116)</x:f>
        <x:v>9</x:v>
      </x:c>
      <x:c r="X2116" s="19" t="n">
        <x:f>W2116-G2116</x:f>
        <x:v>1</x:v>
      </x:c>
      <x:c r="Y2116" s="19" t="n">
        <x:f>MAX(T2116,1)+MAX(U2116,1)+MAX(V2116,1)</x:f>
        <x:v>9</x:v>
      </x:c>
      <x:c r="Z2116" s="21" t="str">
        <x:f>IF(AND(MIN(D2116:F2116)&gt;=0,MAX(D2116:F2116)&lt;=7,MAX(D2116,1)+MAX(E2116,1)+MAX(F2116,1)&lt;=9,OR(H2116="-",AND(H2116=0,D2116&gt;0),AND(H2116=1,E2116&gt;0),AND(H2116=2,F2116&gt;0)),OR(I2116=0,AND(I2116=1,OR(J2116=0,J2116=1,J2116=2),R2116&lt;&gt;"000")),Y2116&lt;=9,MIN(T2116:V2116)&gt;=0),"合法","输入违约")</x:f>
        <x:v>合法</x:v>
      </x:c>
    </x:row>
    <x:row r="2117" ht="23" customHeight="1">
      <x:c r="A2117" s="3" t="str">
        <x:v>CT-2110</x:v>
      </x:c>
      <x:c r="B2117" s="3" t="str">
        <x:v>ST-153</x:v>
      </x:c>
      <x:c r="C2117" s="3" t="str">
        <x:v>仅R回收</x:v>
      </x:c>
      <x:c r="D2117" s="25" t="n">
        <x:v>4</x:v>
      </x:c>
      <x:c r="E2117" s="25" t="n">
        <x:v>4</x:v>
      </x:c>
      <x:c r="F2117" s="25" t="n">
        <x:v>0</x:v>
      </x:c>
      <x:c r="G2117" s="19" t="n">
        <x:f>SUM(D2117:F2117)</x:f>
        <x:v>8</x:v>
      </x:c>
      <x:c r="H2117" s="25" t="n">
        <x:v>0</x:v>
      </x:c>
      <x:c r="I2117" s="25" t="n">
        <x:v>0</x:v>
      </x:c>
      <x:c r="J2117" s="25" t="str">
        <x:v>-</x:v>
      </x:c>
      <x:c r="K2117" s="19" t="n">
        <x:f>D2117-IF(H2117=0,1,0)</x:f>
        <x:v>3</x:v>
      </x:c>
      <x:c r="L2117" s="19" t="n">
        <x:f>E2117-IF(H2117=1,1,0)</x:f>
        <x:v>4</x:v>
      </x:c>
      <x:c r="M2117" s="19" t="n">
        <x:f>F2117-IF(H2117=2,1,0)</x:f>
        <x:v>0</x:v>
      </x:c>
      <x:c r="N2117" s="19" t="n">
        <x:f>MAX(K2117-1,0)+MAX(L2117-1,0)+MAX(M2117-1,0)</x:f>
        <x:v>5</x:v>
      </x:c>
      <x:c r="O2117" s="19" t="n">
        <x:f>IF(AND(SUM(K2117:M2117)&lt;9,OR(M2117=0,N2117&lt;6)),1,0)</x:f>
        <x:v>1</x:v>
      </x:c>
      <x:c r="P2117" s="19" t="n">
        <x:f>IF(AND(SUM(K2117:M2117)&lt;9,OR(L2117=0,N2117&lt;6)),1,0)</x:f>
        <x:v>1</x:v>
      </x:c>
      <x:c r="Q2117" s="19" t="n">
        <x:f>IF(AND(SUM(K2117:M2117)&lt;9,OR(K2117=0,N2117&lt;6)),1,0)</x:f>
        <x:v>1</x:v>
      </x:c>
      <x:c r="R2117" s="22" t="str">
        <x:f>O2117&amp;P2117&amp;Q2117</x:f>
        <x:v>111</x:v>
      </x:c>
      <x:c r="S2117" s="19" t="n">
        <x:f>IF(I2117=1,IF(J2117=0,Q2117,IF(J2117=1,P2117,IF(J2117=2,O2117,0))),0)</x:f>
        <x:v>0</x:v>
      </x:c>
      <x:c r="T2117" s="19" t="n">
        <x:f>K2117+IF(AND(S2117=1,J2117=0),1,0)</x:f>
        <x:v>3</x:v>
      </x:c>
      <x:c r="U2117" s="19" t="n">
        <x:f>L2117+IF(AND(S2117=1,J2117=1),1,0)</x:f>
        <x:v>4</x:v>
      </x:c>
      <x:c r="V2117" s="19" t="n">
        <x:f>M2117+IF(AND(S2117=1,J2117=2),1,0)</x:f>
        <x:v>0</x:v>
      </x:c>
      <x:c r="W2117" s="19" t="n">
        <x:f>SUM(T2117:V2117)</x:f>
        <x:v>7</x:v>
      </x:c>
      <x:c r="X2117" s="19" t="n">
        <x:f>W2117-G2117</x:f>
        <x:v>-1</x:v>
      </x:c>
      <x:c r="Y2117" s="19" t="n">
        <x:f>MAX(T2117,1)+MAX(U2117,1)+MAX(V2117,1)</x:f>
        <x:v>8</x:v>
      </x:c>
      <x:c r="Z2117" s="21" t="str">
        <x:f>IF(AND(MIN(D2117:F2117)&gt;=0,MAX(D2117:F2117)&lt;=7,MAX(D2117,1)+MAX(E2117,1)+MAX(F2117,1)&lt;=9,OR(H2117="-",AND(H2117=0,D2117&gt;0),AND(H2117=1,E2117&gt;0),AND(H2117=2,F2117&gt;0)),OR(I2117=0,AND(I2117=1,OR(J2117=0,J2117=1,J2117=2),R2117&lt;&gt;"000")),Y2117&lt;=9,MIN(T2117:V2117)&gt;=0),"合法","输入违约")</x:f>
        <x:v>合法</x:v>
      </x:c>
    </x:row>
    <x:row r="2118" ht="23" customHeight="1">
      <x:c r="A2118" s="3" t="str">
        <x:v>CT-2111</x:v>
      </x:c>
      <x:c r="B2118" s="3" t="str">
        <x:v>ST-153</x:v>
      </x:c>
      <x:c r="C2118" s="3" t="str">
        <x:v>R+AR同收同发</x:v>
      </x:c>
      <x:c r="D2118" s="25" t="n">
        <x:v>4</x:v>
      </x:c>
      <x:c r="E2118" s="25" t="n">
        <x:v>4</x:v>
      </x:c>
      <x:c r="F2118" s="25" t="n">
        <x:v>0</x:v>
      </x:c>
      <x:c r="G2118" s="19" t="n">
        <x:f>SUM(D2118:F2118)</x:f>
        <x:v>8</x:v>
      </x:c>
      <x:c r="H2118" s="25" t="n">
        <x:v>0</x:v>
      </x:c>
      <x:c r="I2118" s="25" t="n">
        <x:v>1</x:v>
      </x:c>
      <x:c r="J2118" s="25" t="n">
        <x:v>0</x:v>
      </x:c>
      <x:c r="K2118" s="19" t="n">
        <x:f>D2118-IF(H2118=0,1,0)</x:f>
        <x:v>3</x:v>
      </x:c>
      <x:c r="L2118" s="19" t="n">
        <x:f>E2118-IF(H2118=1,1,0)</x:f>
        <x:v>4</x:v>
      </x:c>
      <x:c r="M2118" s="19" t="n">
        <x:f>F2118-IF(H2118=2,1,0)</x:f>
        <x:v>0</x:v>
      </x:c>
      <x:c r="N2118" s="19" t="n">
        <x:f>MAX(K2118-1,0)+MAX(L2118-1,0)+MAX(M2118-1,0)</x:f>
        <x:v>5</x:v>
      </x:c>
      <x:c r="O2118" s="19" t="n">
        <x:f>IF(AND(SUM(K2118:M2118)&lt;9,OR(M2118=0,N2118&lt;6)),1,0)</x:f>
        <x:v>1</x:v>
      </x:c>
      <x:c r="P2118" s="19" t="n">
        <x:f>IF(AND(SUM(K2118:M2118)&lt;9,OR(L2118=0,N2118&lt;6)),1,0)</x:f>
        <x:v>1</x:v>
      </x:c>
      <x:c r="Q2118" s="19" t="n">
        <x:f>IF(AND(SUM(K2118:M2118)&lt;9,OR(K2118=0,N2118&lt;6)),1,0)</x:f>
        <x:v>1</x:v>
      </x:c>
      <x:c r="R2118" s="22" t="str">
        <x:f>O2118&amp;P2118&amp;Q2118</x:f>
        <x:v>111</x:v>
      </x:c>
      <x:c r="S2118" s="19" t="n">
        <x:f>IF(I2118=1,IF(J2118=0,Q2118,IF(J2118=1,P2118,IF(J2118=2,O2118,0))),0)</x:f>
        <x:v>1</x:v>
      </x:c>
      <x:c r="T2118" s="19" t="n">
        <x:f>K2118+IF(AND(S2118=1,J2118=0),1,0)</x:f>
        <x:v>4</x:v>
      </x:c>
      <x:c r="U2118" s="19" t="n">
        <x:f>L2118+IF(AND(S2118=1,J2118=1),1,0)</x:f>
        <x:v>4</x:v>
      </x:c>
      <x:c r="V2118" s="19" t="n">
        <x:f>M2118+IF(AND(S2118=1,J2118=2),1,0)</x:f>
        <x:v>0</x:v>
      </x:c>
      <x:c r="W2118" s="19" t="n">
        <x:f>SUM(T2118:V2118)</x:f>
        <x:v>8</x:v>
      </x:c>
      <x:c r="X2118" s="19" t="n">
        <x:f>W2118-G2118</x:f>
        <x:v>0</x:v>
      </x:c>
      <x:c r="Y2118" s="19" t="n">
        <x:f>MAX(T2118,1)+MAX(U2118,1)+MAX(V2118,1)</x:f>
        <x:v>9</x:v>
      </x:c>
      <x:c r="Z2118" s="21" t="str">
        <x:f>IF(AND(MIN(D2118:F2118)&gt;=0,MAX(D2118:F2118)&lt;=7,MAX(D2118,1)+MAX(E2118,1)+MAX(F2118,1)&lt;=9,OR(H2118="-",AND(H2118=0,D2118&gt;0),AND(H2118=1,E2118&gt;0),AND(H2118=2,F2118&gt;0)),OR(I2118=0,AND(I2118=1,OR(J2118=0,J2118=1,J2118=2),R2118&lt;&gt;"000")),Y2118&lt;=9,MIN(T2118:V2118)&gt;=0),"合法","输入违约")</x:f>
        <x:v>合法</x:v>
      </x:c>
    </x:row>
    <x:row r="2119" ht="23" customHeight="1">
      <x:c r="A2119" s="3" t="str">
        <x:v>CT-2112</x:v>
      </x:c>
      <x:c r="B2119" s="3" t="str">
        <x:v>ST-153</x:v>
      </x:c>
      <x:c r="C2119" s="3" t="str">
        <x:v>R+AR同收同发</x:v>
      </x:c>
      <x:c r="D2119" s="25" t="n">
        <x:v>4</x:v>
      </x:c>
      <x:c r="E2119" s="25" t="n">
        <x:v>4</x:v>
      </x:c>
      <x:c r="F2119" s="25" t="n">
        <x:v>0</x:v>
      </x:c>
      <x:c r="G2119" s="19" t="n">
        <x:f>SUM(D2119:F2119)</x:f>
        <x:v>8</x:v>
      </x:c>
      <x:c r="H2119" s="25" t="n">
        <x:v>0</x:v>
      </x:c>
      <x:c r="I2119" s="25" t="n">
        <x:v>1</x:v>
      </x:c>
      <x:c r="J2119" s="25" t="n">
        <x:v>1</x:v>
      </x:c>
      <x:c r="K2119" s="19" t="n">
        <x:f>D2119-IF(H2119=0,1,0)</x:f>
        <x:v>3</x:v>
      </x:c>
      <x:c r="L2119" s="19" t="n">
        <x:f>E2119-IF(H2119=1,1,0)</x:f>
        <x:v>4</x:v>
      </x:c>
      <x:c r="M2119" s="19" t="n">
        <x:f>F2119-IF(H2119=2,1,0)</x:f>
        <x:v>0</x:v>
      </x:c>
      <x:c r="N2119" s="19" t="n">
        <x:f>MAX(K2119-1,0)+MAX(L2119-1,0)+MAX(M2119-1,0)</x:f>
        <x:v>5</x:v>
      </x:c>
      <x:c r="O2119" s="19" t="n">
        <x:f>IF(AND(SUM(K2119:M2119)&lt;9,OR(M2119=0,N2119&lt;6)),1,0)</x:f>
        <x:v>1</x:v>
      </x:c>
      <x:c r="P2119" s="19" t="n">
        <x:f>IF(AND(SUM(K2119:M2119)&lt;9,OR(L2119=0,N2119&lt;6)),1,0)</x:f>
        <x:v>1</x:v>
      </x:c>
      <x:c r="Q2119" s="19" t="n">
        <x:f>IF(AND(SUM(K2119:M2119)&lt;9,OR(K2119=0,N2119&lt;6)),1,0)</x:f>
        <x:v>1</x:v>
      </x:c>
      <x:c r="R2119" s="22" t="str">
        <x:f>O2119&amp;P2119&amp;Q2119</x:f>
        <x:v>111</x:v>
      </x:c>
      <x:c r="S2119" s="19" t="n">
        <x:f>IF(I2119=1,IF(J2119=0,Q2119,IF(J2119=1,P2119,IF(J2119=2,O2119,0))),0)</x:f>
        <x:v>1</x:v>
      </x:c>
      <x:c r="T2119" s="19" t="n">
        <x:f>K2119+IF(AND(S2119=1,J2119=0),1,0)</x:f>
        <x:v>3</x:v>
      </x:c>
      <x:c r="U2119" s="19" t="n">
        <x:f>L2119+IF(AND(S2119=1,J2119=1),1,0)</x:f>
        <x:v>5</x:v>
      </x:c>
      <x:c r="V2119" s="19" t="n">
        <x:f>M2119+IF(AND(S2119=1,J2119=2),1,0)</x:f>
        <x:v>0</x:v>
      </x:c>
      <x:c r="W2119" s="19" t="n">
        <x:f>SUM(T2119:V2119)</x:f>
        <x:v>8</x:v>
      </x:c>
      <x:c r="X2119" s="19" t="n">
        <x:f>W2119-G2119</x:f>
        <x:v>0</x:v>
      </x:c>
      <x:c r="Y2119" s="19" t="n">
        <x:f>MAX(T2119,1)+MAX(U2119,1)+MAX(V2119,1)</x:f>
        <x:v>9</x:v>
      </x:c>
      <x:c r="Z2119" s="21" t="str">
        <x:f>IF(AND(MIN(D2119:F2119)&gt;=0,MAX(D2119:F2119)&lt;=7,MAX(D2119,1)+MAX(E2119,1)+MAX(F2119,1)&lt;=9,OR(H2119="-",AND(H2119=0,D2119&gt;0),AND(H2119=1,E2119&gt;0),AND(H2119=2,F2119&gt;0)),OR(I2119=0,AND(I2119=1,OR(J2119=0,J2119=1,J2119=2),R2119&lt;&gt;"000")),Y2119&lt;=9,MIN(T2119:V2119)&gt;=0),"合法","输入违约")</x:f>
        <x:v>合法</x:v>
      </x:c>
    </x:row>
    <x:row r="2120" ht="23" customHeight="1">
      <x:c r="A2120" s="3" t="str">
        <x:v>CT-2113</x:v>
      </x:c>
      <x:c r="B2120" s="3" t="str">
        <x:v>ST-153</x:v>
      </x:c>
      <x:c r="C2120" s="3" t="str">
        <x:v>R+AR同收同发</x:v>
      </x:c>
      <x:c r="D2120" s="25" t="n">
        <x:v>4</x:v>
      </x:c>
      <x:c r="E2120" s="25" t="n">
        <x:v>4</x:v>
      </x:c>
      <x:c r="F2120" s="25" t="n">
        <x:v>0</x:v>
      </x:c>
      <x:c r="G2120" s="19" t="n">
        <x:f>SUM(D2120:F2120)</x:f>
        <x:v>8</x:v>
      </x:c>
      <x:c r="H2120" s="25" t="n">
        <x:v>0</x:v>
      </x:c>
      <x:c r="I2120" s="25" t="n">
        <x:v>1</x:v>
      </x:c>
      <x:c r="J2120" s="25" t="n">
        <x:v>2</x:v>
      </x:c>
      <x:c r="K2120" s="19" t="n">
        <x:f>D2120-IF(H2120=0,1,0)</x:f>
        <x:v>3</x:v>
      </x:c>
      <x:c r="L2120" s="19" t="n">
        <x:f>E2120-IF(H2120=1,1,0)</x:f>
        <x:v>4</x:v>
      </x:c>
      <x:c r="M2120" s="19" t="n">
        <x:f>F2120-IF(H2120=2,1,0)</x:f>
        <x:v>0</x:v>
      </x:c>
      <x:c r="N2120" s="19" t="n">
        <x:f>MAX(K2120-1,0)+MAX(L2120-1,0)+MAX(M2120-1,0)</x:f>
        <x:v>5</x:v>
      </x:c>
      <x:c r="O2120" s="19" t="n">
        <x:f>IF(AND(SUM(K2120:M2120)&lt;9,OR(M2120=0,N2120&lt;6)),1,0)</x:f>
        <x:v>1</x:v>
      </x:c>
      <x:c r="P2120" s="19" t="n">
        <x:f>IF(AND(SUM(K2120:M2120)&lt;9,OR(L2120=0,N2120&lt;6)),1,0)</x:f>
        <x:v>1</x:v>
      </x:c>
      <x:c r="Q2120" s="19" t="n">
        <x:f>IF(AND(SUM(K2120:M2120)&lt;9,OR(K2120=0,N2120&lt;6)),1,0)</x:f>
        <x:v>1</x:v>
      </x:c>
      <x:c r="R2120" s="22" t="str">
        <x:f>O2120&amp;P2120&amp;Q2120</x:f>
        <x:v>111</x:v>
      </x:c>
      <x:c r="S2120" s="19" t="n">
        <x:f>IF(I2120=1,IF(J2120=0,Q2120,IF(J2120=1,P2120,IF(J2120=2,O2120,0))),0)</x:f>
        <x:v>1</x:v>
      </x:c>
      <x:c r="T2120" s="19" t="n">
        <x:f>K2120+IF(AND(S2120=1,J2120=0),1,0)</x:f>
        <x:v>3</x:v>
      </x:c>
      <x:c r="U2120" s="19" t="n">
        <x:f>L2120+IF(AND(S2120=1,J2120=1),1,0)</x:f>
        <x:v>4</x:v>
      </x:c>
      <x:c r="V2120" s="19" t="n">
        <x:f>M2120+IF(AND(S2120=1,J2120=2),1,0)</x:f>
        <x:v>1</x:v>
      </x:c>
      <x:c r="W2120" s="19" t="n">
        <x:f>SUM(T2120:V2120)</x:f>
        <x:v>8</x:v>
      </x:c>
      <x:c r="X2120" s="19" t="n">
        <x:f>W2120-G2120</x:f>
        <x:v>0</x:v>
      </x:c>
      <x:c r="Y2120" s="19" t="n">
        <x:f>MAX(T2120,1)+MAX(U2120,1)+MAX(V2120,1)</x:f>
        <x:v>8</x:v>
      </x:c>
      <x:c r="Z2120" s="21" t="str">
        <x:f>IF(AND(MIN(D2120:F2120)&gt;=0,MAX(D2120:F2120)&lt;=7,MAX(D2120,1)+MAX(E2120,1)+MAX(F2120,1)&lt;=9,OR(H2120="-",AND(H2120=0,D2120&gt;0),AND(H2120=1,E2120&gt;0),AND(H2120=2,F2120&gt;0)),OR(I2120=0,AND(I2120=1,OR(J2120=0,J2120=1,J2120=2),R2120&lt;&gt;"000")),Y2120&lt;=9,MIN(T2120:V2120)&gt;=0),"合法","输入违约")</x:f>
        <x:v>合法</x:v>
      </x:c>
    </x:row>
    <x:row r="2121" ht="23" customHeight="1">
      <x:c r="A2121" s="3" t="str">
        <x:v>CT-2114</x:v>
      </x:c>
      <x:c r="B2121" s="3" t="str">
        <x:v>ST-153</x:v>
      </x:c>
      <x:c r="C2121" s="3" t="str">
        <x:v>仅R回收</x:v>
      </x:c>
      <x:c r="D2121" s="25" t="n">
        <x:v>4</x:v>
      </x:c>
      <x:c r="E2121" s="25" t="n">
        <x:v>4</x:v>
      </x:c>
      <x:c r="F2121" s="25" t="n">
        <x:v>0</x:v>
      </x:c>
      <x:c r="G2121" s="19" t="n">
        <x:f>SUM(D2121:F2121)</x:f>
        <x:v>8</x:v>
      </x:c>
      <x:c r="H2121" s="25" t="n">
        <x:v>1</x:v>
      </x:c>
      <x:c r="I2121" s="25" t="n">
        <x:v>0</x:v>
      </x:c>
      <x:c r="J2121" s="25" t="str">
        <x:v>-</x:v>
      </x:c>
      <x:c r="K2121" s="19" t="n">
        <x:f>D2121-IF(H2121=0,1,0)</x:f>
        <x:v>4</x:v>
      </x:c>
      <x:c r="L2121" s="19" t="n">
        <x:f>E2121-IF(H2121=1,1,0)</x:f>
        <x:v>3</x:v>
      </x:c>
      <x:c r="M2121" s="19" t="n">
        <x:f>F2121-IF(H2121=2,1,0)</x:f>
        <x:v>0</x:v>
      </x:c>
      <x:c r="N2121" s="19" t="n">
        <x:f>MAX(K2121-1,0)+MAX(L2121-1,0)+MAX(M2121-1,0)</x:f>
        <x:v>5</x:v>
      </x:c>
      <x:c r="O2121" s="19" t="n">
        <x:f>IF(AND(SUM(K2121:M2121)&lt;9,OR(M2121=0,N2121&lt;6)),1,0)</x:f>
        <x:v>1</x:v>
      </x:c>
      <x:c r="P2121" s="19" t="n">
        <x:f>IF(AND(SUM(K2121:M2121)&lt;9,OR(L2121=0,N2121&lt;6)),1,0)</x:f>
        <x:v>1</x:v>
      </x:c>
      <x:c r="Q2121" s="19" t="n">
        <x:f>IF(AND(SUM(K2121:M2121)&lt;9,OR(K2121=0,N2121&lt;6)),1,0)</x:f>
        <x:v>1</x:v>
      </x:c>
      <x:c r="R2121" s="22" t="str">
        <x:f>O2121&amp;P2121&amp;Q2121</x:f>
        <x:v>111</x:v>
      </x:c>
      <x:c r="S2121" s="19" t="n">
        <x:f>IF(I2121=1,IF(J2121=0,Q2121,IF(J2121=1,P2121,IF(J2121=2,O2121,0))),0)</x:f>
        <x:v>0</x:v>
      </x:c>
      <x:c r="T2121" s="19" t="n">
        <x:f>K2121+IF(AND(S2121=1,J2121=0),1,0)</x:f>
        <x:v>4</x:v>
      </x:c>
      <x:c r="U2121" s="19" t="n">
        <x:f>L2121+IF(AND(S2121=1,J2121=1),1,0)</x:f>
        <x:v>3</x:v>
      </x:c>
      <x:c r="V2121" s="19" t="n">
        <x:f>M2121+IF(AND(S2121=1,J2121=2),1,0)</x:f>
        <x:v>0</x:v>
      </x:c>
      <x:c r="W2121" s="19" t="n">
        <x:f>SUM(T2121:V2121)</x:f>
        <x:v>7</x:v>
      </x:c>
      <x:c r="X2121" s="19" t="n">
        <x:f>W2121-G2121</x:f>
        <x:v>-1</x:v>
      </x:c>
      <x:c r="Y2121" s="19" t="n">
        <x:f>MAX(T2121,1)+MAX(U2121,1)+MAX(V2121,1)</x:f>
        <x:v>8</x:v>
      </x:c>
      <x:c r="Z2121" s="21" t="str">
        <x:f>IF(AND(MIN(D2121:F2121)&gt;=0,MAX(D2121:F2121)&lt;=7,MAX(D2121,1)+MAX(E2121,1)+MAX(F2121,1)&lt;=9,OR(H2121="-",AND(H2121=0,D2121&gt;0),AND(H2121=1,E2121&gt;0),AND(H2121=2,F2121&gt;0)),OR(I2121=0,AND(I2121=1,OR(J2121=0,J2121=1,J2121=2),R2121&lt;&gt;"000")),Y2121&lt;=9,MIN(T2121:V2121)&gt;=0),"合法","输入违约")</x:f>
        <x:v>合法</x:v>
      </x:c>
    </x:row>
    <x:row r="2122" ht="23" customHeight="1">
      <x:c r="A2122" s="3" t="str">
        <x:v>CT-2115</x:v>
      </x:c>
      <x:c r="B2122" s="3" t="str">
        <x:v>ST-153</x:v>
      </x:c>
      <x:c r="C2122" s="3" t="str">
        <x:v>R+AR同收同发</x:v>
      </x:c>
      <x:c r="D2122" s="25" t="n">
        <x:v>4</x:v>
      </x:c>
      <x:c r="E2122" s="25" t="n">
        <x:v>4</x:v>
      </x:c>
      <x:c r="F2122" s="25" t="n">
        <x:v>0</x:v>
      </x:c>
      <x:c r="G2122" s="19" t="n">
        <x:f>SUM(D2122:F2122)</x:f>
        <x:v>8</x:v>
      </x:c>
      <x:c r="H2122" s="25" t="n">
        <x:v>1</x:v>
      </x:c>
      <x:c r="I2122" s="25" t="n">
        <x:v>1</x:v>
      </x:c>
      <x:c r="J2122" s="25" t="n">
        <x:v>0</x:v>
      </x:c>
      <x:c r="K2122" s="19" t="n">
        <x:f>D2122-IF(H2122=0,1,0)</x:f>
        <x:v>4</x:v>
      </x:c>
      <x:c r="L2122" s="19" t="n">
        <x:f>E2122-IF(H2122=1,1,0)</x:f>
        <x:v>3</x:v>
      </x:c>
      <x:c r="M2122" s="19" t="n">
        <x:f>F2122-IF(H2122=2,1,0)</x:f>
        <x:v>0</x:v>
      </x:c>
      <x:c r="N2122" s="19" t="n">
        <x:f>MAX(K2122-1,0)+MAX(L2122-1,0)+MAX(M2122-1,0)</x:f>
        <x:v>5</x:v>
      </x:c>
      <x:c r="O2122" s="19" t="n">
        <x:f>IF(AND(SUM(K2122:M2122)&lt;9,OR(M2122=0,N2122&lt;6)),1,0)</x:f>
        <x:v>1</x:v>
      </x:c>
      <x:c r="P2122" s="19" t="n">
        <x:f>IF(AND(SUM(K2122:M2122)&lt;9,OR(L2122=0,N2122&lt;6)),1,0)</x:f>
        <x:v>1</x:v>
      </x:c>
      <x:c r="Q2122" s="19" t="n">
        <x:f>IF(AND(SUM(K2122:M2122)&lt;9,OR(K2122=0,N2122&lt;6)),1,0)</x:f>
        <x:v>1</x:v>
      </x:c>
      <x:c r="R2122" s="22" t="str">
        <x:f>O2122&amp;P2122&amp;Q2122</x:f>
        <x:v>111</x:v>
      </x:c>
      <x:c r="S2122" s="19" t="n">
        <x:f>IF(I2122=1,IF(J2122=0,Q2122,IF(J2122=1,P2122,IF(J2122=2,O2122,0))),0)</x:f>
        <x:v>1</x:v>
      </x:c>
      <x:c r="T2122" s="19" t="n">
        <x:f>K2122+IF(AND(S2122=1,J2122=0),1,0)</x:f>
        <x:v>5</x:v>
      </x:c>
      <x:c r="U2122" s="19" t="n">
        <x:f>L2122+IF(AND(S2122=1,J2122=1),1,0)</x:f>
        <x:v>3</x:v>
      </x:c>
      <x:c r="V2122" s="19" t="n">
        <x:f>M2122+IF(AND(S2122=1,J2122=2),1,0)</x:f>
        <x:v>0</x:v>
      </x:c>
      <x:c r="W2122" s="19" t="n">
        <x:f>SUM(T2122:V2122)</x:f>
        <x:v>8</x:v>
      </x:c>
      <x:c r="X2122" s="19" t="n">
        <x:f>W2122-G2122</x:f>
        <x:v>0</x:v>
      </x:c>
      <x:c r="Y2122" s="19" t="n">
        <x:f>MAX(T2122,1)+MAX(U2122,1)+MAX(V2122,1)</x:f>
        <x:v>9</x:v>
      </x:c>
      <x:c r="Z2122" s="21" t="str">
        <x:f>IF(AND(MIN(D2122:F2122)&gt;=0,MAX(D2122:F2122)&lt;=7,MAX(D2122,1)+MAX(E2122,1)+MAX(F2122,1)&lt;=9,OR(H2122="-",AND(H2122=0,D2122&gt;0),AND(H2122=1,E2122&gt;0),AND(H2122=2,F2122&gt;0)),OR(I2122=0,AND(I2122=1,OR(J2122=0,J2122=1,J2122=2),R2122&lt;&gt;"000")),Y2122&lt;=9,MIN(T2122:V2122)&gt;=0),"合法","输入违约")</x:f>
        <x:v>合法</x:v>
      </x:c>
    </x:row>
    <x:row r="2123" ht="23" customHeight="1">
      <x:c r="A2123" s="3" t="str">
        <x:v>CT-2116</x:v>
      </x:c>
      <x:c r="B2123" s="3" t="str">
        <x:v>ST-153</x:v>
      </x:c>
      <x:c r="C2123" s="3" t="str">
        <x:v>R+AR同收同发</x:v>
      </x:c>
      <x:c r="D2123" s="25" t="n">
        <x:v>4</x:v>
      </x:c>
      <x:c r="E2123" s="25" t="n">
        <x:v>4</x:v>
      </x:c>
      <x:c r="F2123" s="25" t="n">
        <x:v>0</x:v>
      </x:c>
      <x:c r="G2123" s="19" t="n">
        <x:f>SUM(D2123:F2123)</x:f>
        <x:v>8</x:v>
      </x:c>
      <x:c r="H2123" s="25" t="n">
        <x:v>1</x:v>
      </x:c>
      <x:c r="I2123" s="25" t="n">
        <x:v>1</x:v>
      </x:c>
      <x:c r="J2123" s="25" t="n">
        <x:v>1</x:v>
      </x:c>
      <x:c r="K2123" s="19" t="n">
        <x:f>D2123-IF(H2123=0,1,0)</x:f>
        <x:v>4</x:v>
      </x:c>
      <x:c r="L2123" s="19" t="n">
        <x:f>E2123-IF(H2123=1,1,0)</x:f>
        <x:v>3</x:v>
      </x:c>
      <x:c r="M2123" s="19" t="n">
        <x:f>F2123-IF(H2123=2,1,0)</x:f>
        <x:v>0</x:v>
      </x:c>
      <x:c r="N2123" s="19" t="n">
        <x:f>MAX(K2123-1,0)+MAX(L2123-1,0)+MAX(M2123-1,0)</x:f>
        <x:v>5</x:v>
      </x:c>
      <x:c r="O2123" s="19" t="n">
        <x:f>IF(AND(SUM(K2123:M2123)&lt;9,OR(M2123=0,N2123&lt;6)),1,0)</x:f>
        <x:v>1</x:v>
      </x:c>
      <x:c r="P2123" s="19" t="n">
        <x:f>IF(AND(SUM(K2123:M2123)&lt;9,OR(L2123=0,N2123&lt;6)),1,0)</x:f>
        <x:v>1</x:v>
      </x:c>
      <x:c r="Q2123" s="19" t="n">
        <x:f>IF(AND(SUM(K2123:M2123)&lt;9,OR(K2123=0,N2123&lt;6)),1,0)</x:f>
        <x:v>1</x:v>
      </x:c>
      <x:c r="R2123" s="22" t="str">
        <x:f>O2123&amp;P2123&amp;Q2123</x:f>
        <x:v>111</x:v>
      </x:c>
      <x:c r="S2123" s="19" t="n">
        <x:f>IF(I2123=1,IF(J2123=0,Q2123,IF(J2123=1,P2123,IF(J2123=2,O2123,0))),0)</x:f>
        <x:v>1</x:v>
      </x:c>
      <x:c r="T2123" s="19" t="n">
        <x:f>K2123+IF(AND(S2123=1,J2123=0),1,0)</x:f>
        <x:v>4</x:v>
      </x:c>
      <x:c r="U2123" s="19" t="n">
        <x:f>L2123+IF(AND(S2123=1,J2123=1),1,0)</x:f>
        <x:v>4</x:v>
      </x:c>
      <x:c r="V2123" s="19" t="n">
        <x:f>M2123+IF(AND(S2123=1,J2123=2),1,0)</x:f>
        <x:v>0</x:v>
      </x:c>
      <x:c r="W2123" s="19" t="n">
        <x:f>SUM(T2123:V2123)</x:f>
        <x:v>8</x:v>
      </x:c>
      <x:c r="X2123" s="19" t="n">
        <x:f>W2123-G2123</x:f>
        <x:v>0</x:v>
      </x:c>
      <x:c r="Y2123" s="19" t="n">
        <x:f>MAX(T2123,1)+MAX(U2123,1)+MAX(V2123,1)</x:f>
        <x:v>9</x:v>
      </x:c>
      <x:c r="Z2123" s="21" t="str">
        <x:f>IF(AND(MIN(D2123:F2123)&gt;=0,MAX(D2123:F2123)&lt;=7,MAX(D2123,1)+MAX(E2123,1)+MAX(F2123,1)&lt;=9,OR(H2123="-",AND(H2123=0,D2123&gt;0),AND(H2123=1,E2123&gt;0),AND(H2123=2,F2123&gt;0)),OR(I2123=0,AND(I2123=1,OR(J2123=0,J2123=1,J2123=2),R2123&lt;&gt;"000")),Y2123&lt;=9,MIN(T2123:V2123)&gt;=0),"合法","输入违约")</x:f>
        <x:v>合法</x:v>
      </x:c>
    </x:row>
    <x:row r="2124" ht="23" customHeight="1">
      <x:c r="A2124" s="3" t="str">
        <x:v>CT-2117</x:v>
      </x:c>
      <x:c r="B2124" s="3" t="str">
        <x:v>ST-153</x:v>
      </x:c>
      <x:c r="C2124" s="3" t="str">
        <x:v>R+AR同收同发</x:v>
      </x:c>
      <x:c r="D2124" s="25" t="n">
        <x:v>4</x:v>
      </x:c>
      <x:c r="E2124" s="25" t="n">
        <x:v>4</x:v>
      </x:c>
      <x:c r="F2124" s="25" t="n">
        <x:v>0</x:v>
      </x:c>
      <x:c r="G2124" s="19" t="n">
        <x:f>SUM(D2124:F2124)</x:f>
        <x:v>8</x:v>
      </x:c>
      <x:c r="H2124" s="25" t="n">
        <x:v>1</x:v>
      </x:c>
      <x:c r="I2124" s="25" t="n">
        <x:v>1</x:v>
      </x:c>
      <x:c r="J2124" s="25" t="n">
        <x:v>2</x:v>
      </x:c>
      <x:c r="K2124" s="19" t="n">
        <x:f>D2124-IF(H2124=0,1,0)</x:f>
        <x:v>4</x:v>
      </x:c>
      <x:c r="L2124" s="19" t="n">
        <x:f>E2124-IF(H2124=1,1,0)</x:f>
        <x:v>3</x:v>
      </x:c>
      <x:c r="M2124" s="19" t="n">
        <x:f>F2124-IF(H2124=2,1,0)</x:f>
        <x:v>0</x:v>
      </x:c>
      <x:c r="N2124" s="19" t="n">
        <x:f>MAX(K2124-1,0)+MAX(L2124-1,0)+MAX(M2124-1,0)</x:f>
        <x:v>5</x:v>
      </x:c>
      <x:c r="O2124" s="19" t="n">
        <x:f>IF(AND(SUM(K2124:M2124)&lt;9,OR(M2124=0,N2124&lt;6)),1,0)</x:f>
        <x:v>1</x:v>
      </x:c>
      <x:c r="P2124" s="19" t="n">
        <x:f>IF(AND(SUM(K2124:M2124)&lt;9,OR(L2124=0,N2124&lt;6)),1,0)</x:f>
        <x:v>1</x:v>
      </x:c>
      <x:c r="Q2124" s="19" t="n">
        <x:f>IF(AND(SUM(K2124:M2124)&lt;9,OR(K2124=0,N2124&lt;6)),1,0)</x:f>
        <x:v>1</x:v>
      </x:c>
      <x:c r="R2124" s="22" t="str">
        <x:f>O2124&amp;P2124&amp;Q2124</x:f>
        <x:v>111</x:v>
      </x:c>
      <x:c r="S2124" s="19" t="n">
        <x:f>IF(I2124=1,IF(J2124=0,Q2124,IF(J2124=1,P2124,IF(J2124=2,O2124,0))),0)</x:f>
        <x:v>1</x:v>
      </x:c>
      <x:c r="T2124" s="19" t="n">
        <x:f>K2124+IF(AND(S2124=1,J2124=0),1,0)</x:f>
        <x:v>4</x:v>
      </x:c>
      <x:c r="U2124" s="19" t="n">
        <x:f>L2124+IF(AND(S2124=1,J2124=1),1,0)</x:f>
        <x:v>3</x:v>
      </x:c>
      <x:c r="V2124" s="19" t="n">
        <x:f>M2124+IF(AND(S2124=1,J2124=2),1,0)</x:f>
        <x:v>1</x:v>
      </x:c>
      <x:c r="W2124" s="19" t="n">
        <x:f>SUM(T2124:V2124)</x:f>
        <x:v>8</x:v>
      </x:c>
      <x:c r="X2124" s="19" t="n">
        <x:f>W2124-G2124</x:f>
        <x:v>0</x:v>
      </x:c>
      <x:c r="Y2124" s="19" t="n">
        <x:f>MAX(T2124,1)+MAX(U2124,1)+MAX(V2124,1)</x:f>
        <x:v>8</x:v>
      </x:c>
      <x:c r="Z2124" s="21" t="str">
        <x:f>IF(AND(MIN(D2124:F2124)&gt;=0,MAX(D2124:F2124)&lt;=7,MAX(D2124,1)+MAX(E2124,1)+MAX(F2124,1)&lt;=9,OR(H2124="-",AND(H2124=0,D2124&gt;0),AND(H2124=1,E2124&gt;0),AND(H2124=2,F2124&gt;0)),OR(I2124=0,AND(I2124=1,OR(J2124=0,J2124=1,J2124=2),R2124&lt;&gt;"000")),Y2124&lt;=9,MIN(T2124:V2124)&gt;=0),"合法","输入违约")</x:f>
        <x:v>合法</x:v>
      </x:c>
    </x:row>
    <x:row r="2125" ht="23" customHeight="1">
      <x:c r="A2125" s="3" t="str">
        <x:v>CT-2118</x:v>
      </x:c>
      <x:c r="B2125" s="3" t="str">
        <x:v>ST-184</x:v>
      </x:c>
      <x:c r="C2125" s="3" t="str">
        <x:v>无AR/R</x:v>
      </x:c>
      <x:c r="D2125" s="25" t="n">
        <x:v>4</x:v>
      </x:c>
      <x:c r="E2125" s="25" t="n">
        <x:v>4</x:v>
      </x:c>
      <x:c r="F2125" s="25" t="n">
        <x:v>1</x:v>
      </x:c>
      <x:c r="G2125" s="19" t="n">
        <x:f>SUM(D2125:F2125)</x:f>
        <x:v>9</x:v>
      </x:c>
      <x:c r="H2125" s="25" t="str">
        <x:v>-</x:v>
      </x:c>
      <x:c r="I2125" s="25" t="n">
        <x:v>0</x:v>
      </x:c>
      <x:c r="J2125" s="25" t="str">
        <x:v>-</x:v>
      </x:c>
      <x:c r="K2125" s="19" t="n">
        <x:f>D2125-IF(H2125=0,1,0)</x:f>
        <x:v>4</x:v>
      </x:c>
      <x:c r="L2125" s="19" t="n">
        <x:f>E2125-IF(H2125=1,1,0)</x:f>
        <x:v>4</x:v>
      </x:c>
      <x:c r="M2125" s="19" t="n">
        <x:f>F2125-IF(H2125=2,1,0)</x:f>
        <x:v>1</x:v>
      </x:c>
      <x:c r="N2125" s="19" t="n">
        <x:f>MAX(K2125-1,0)+MAX(L2125-1,0)+MAX(M2125-1,0)</x:f>
        <x:v>6</x:v>
      </x:c>
      <x:c r="O2125" s="19" t="n">
        <x:f>IF(AND(SUM(K2125:M2125)&lt;9,OR(M2125=0,N2125&lt;6)),1,0)</x:f>
        <x:v>0</x:v>
      </x:c>
      <x:c r="P2125" s="19" t="n">
        <x:f>IF(AND(SUM(K2125:M2125)&lt;9,OR(L2125=0,N2125&lt;6)),1,0)</x:f>
        <x:v>0</x:v>
      </x:c>
      <x:c r="Q2125" s="19" t="n">
        <x:f>IF(AND(SUM(K2125:M2125)&lt;9,OR(K2125=0,N2125&lt;6)),1,0)</x:f>
        <x:v>0</x:v>
      </x:c>
      <x:c r="R2125" s="22" t="str">
        <x:f>O2125&amp;P2125&amp;Q2125</x:f>
        <x:v>000</x:v>
      </x:c>
      <x:c r="S2125" s="19" t="n">
        <x:f>IF(I2125=1,IF(J2125=0,Q2125,IF(J2125=1,P2125,IF(J2125=2,O2125,0))),0)</x:f>
        <x:v>0</x:v>
      </x:c>
      <x:c r="T2125" s="19" t="n">
        <x:f>K2125+IF(AND(S2125=1,J2125=0),1,0)</x:f>
        <x:v>4</x:v>
      </x:c>
      <x:c r="U2125" s="19" t="n">
        <x:f>L2125+IF(AND(S2125=1,J2125=1),1,0)</x:f>
        <x:v>4</x:v>
      </x:c>
      <x:c r="V2125" s="19" t="n">
        <x:f>M2125+IF(AND(S2125=1,J2125=2),1,0)</x:f>
        <x:v>1</x:v>
      </x:c>
      <x:c r="W2125" s="19" t="n">
        <x:f>SUM(T2125:V2125)</x:f>
        <x:v>9</x:v>
      </x:c>
      <x:c r="X2125" s="19" t="n">
        <x:f>W2125-G2125</x:f>
        <x:v>0</x:v>
      </x:c>
      <x:c r="Y2125" s="19" t="n">
        <x:f>MAX(T2125,1)+MAX(U2125,1)+MAX(V2125,1)</x:f>
        <x:v>9</x:v>
      </x:c>
      <x:c r="Z2125" s="21" t="str">
        <x:f>IF(AND(MIN(D2125:F2125)&gt;=0,MAX(D2125:F2125)&lt;=7,MAX(D2125,1)+MAX(E2125,1)+MAX(F2125,1)&lt;=9,OR(H2125="-",AND(H2125=0,D2125&gt;0),AND(H2125=1,E2125&gt;0),AND(H2125=2,F2125&gt;0)),OR(I2125=0,AND(I2125=1,OR(J2125=0,J2125=1,J2125=2),R2125&lt;&gt;"000")),Y2125&lt;=9,MIN(T2125:V2125)&gt;=0),"合法","输入违约")</x:f>
        <x:v>合法</x:v>
      </x:c>
    </x:row>
    <x:row r="2126" ht="23" customHeight="1">
      <x:c r="A2126" s="3" t="str">
        <x:v>CT-2119</x:v>
      </x:c>
      <x:c r="B2126" s="3" t="str">
        <x:v>ST-184</x:v>
      </x:c>
      <x:c r="C2126" s="3" t="str">
        <x:v>仅R回收</x:v>
      </x:c>
      <x:c r="D2126" s="25" t="n">
        <x:v>4</x:v>
      </x:c>
      <x:c r="E2126" s="25" t="n">
        <x:v>4</x:v>
      </x:c>
      <x:c r="F2126" s="25" t="n">
        <x:v>1</x:v>
      </x:c>
      <x:c r="G2126" s="19" t="n">
        <x:f>SUM(D2126:F2126)</x:f>
        <x:v>9</x:v>
      </x:c>
      <x:c r="H2126" s="25" t="n">
        <x:v>0</x:v>
      </x:c>
      <x:c r="I2126" s="25" t="n">
        <x:v>0</x:v>
      </x:c>
      <x:c r="J2126" s="25" t="str">
        <x:v>-</x:v>
      </x:c>
      <x:c r="K2126" s="19" t="n">
        <x:f>D2126-IF(H2126=0,1,0)</x:f>
        <x:v>3</x:v>
      </x:c>
      <x:c r="L2126" s="19" t="n">
        <x:f>E2126-IF(H2126=1,1,0)</x:f>
        <x:v>4</x:v>
      </x:c>
      <x:c r="M2126" s="19" t="n">
        <x:f>F2126-IF(H2126=2,1,0)</x:f>
        <x:v>1</x:v>
      </x:c>
      <x:c r="N2126" s="19" t="n">
        <x:f>MAX(K2126-1,0)+MAX(L2126-1,0)+MAX(M2126-1,0)</x:f>
        <x:v>5</x:v>
      </x:c>
      <x:c r="O2126" s="19" t="n">
        <x:f>IF(AND(SUM(K2126:M2126)&lt;9,OR(M2126=0,N2126&lt;6)),1,0)</x:f>
        <x:v>1</x:v>
      </x:c>
      <x:c r="P2126" s="19" t="n">
        <x:f>IF(AND(SUM(K2126:M2126)&lt;9,OR(L2126=0,N2126&lt;6)),1,0)</x:f>
        <x:v>1</x:v>
      </x:c>
      <x:c r="Q2126" s="19" t="n">
        <x:f>IF(AND(SUM(K2126:M2126)&lt;9,OR(K2126=0,N2126&lt;6)),1,0)</x:f>
        <x:v>1</x:v>
      </x:c>
      <x:c r="R2126" s="22" t="str">
        <x:f>O2126&amp;P2126&amp;Q2126</x:f>
        <x:v>111</x:v>
      </x:c>
      <x:c r="S2126" s="19" t="n">
        <x:f>IF(I2126=1,IF(J2126=0,Q2126,IF(J2126=1,P2126,IF(J2126=2,O2126,0))),0)</x:f>
        <x:v>0</x:v>
      </x:c>
      <x:c r="T2126" s="19" t="n">
        <x:f>K2126+IF(AND(S2126=1,J2126=0),1,0)</x:f>
        <x:v>3</x:v>
      </x:c>
      <x:c r="U2126" s="19" t="n">
        <x:f>L2126+IF(AND(S2126=1,J2126=1),1,0)</x:f>
        <x:v>4</x:v>
      </x:c>
      <x:c r="V2126" s="19" t="n">
        <x:f>M2126+IF(AND(S2126=1,J2126=2),1,0)</x:f>
        <x:v>1</x:v>
      </x:c>
      <x:c r="W2126" s="19" t="n">
        <x:f>SUM(T2126:V2126)</x:f>
        <x:v>8</x:v>
      </x:c>
      <x:c r="X2126" s="19" t="n">
        <x:f>W2126-G2126</x:f>
        <x:v>-1</x:v>
      </x:c>
      <x:c r="Y2126" s="19" t="n">
        <x:f>MAX(T2126,1)+MAX(U2126,1)+MAX(V2126,1)</x:f>
        <x:v>8</x:v>
      </x:c>
      <x:c r="Z2126" s="21" t="str">
        <x:f>IF(AND(MIN(D2126:F2126)&gt;=0,MAX(D2126:F2126)&lt;=7,MAX(D2126,1)+MAX(E2126,1)+MAX(F2126,1)&lt;=9,OR(H2126="-",AND(H2126=0,D2126&gt;0),AND(H2126=1,E2126&gt;0),AND(H2126=2,F2126&gt;0)),OR(I2126=0,AND(I2126=1,OR(J2126=0,J2126=1,J2126=2),R2126&lt;&gt;"000")),Y2126&lt;=9,MIN(T2126:V2126)&gt;=0),"合法","输入违约")</x:f>
        <x:v>合法</x:v>
      </x:c>
    </x:row>
    <x:row r="2127" ht="23" customHeight="1">
      <x:c r="A2127" s="3" t="str">
        <x:v>CT-2120</x:v>
      </x:c>
      <x:c r="B2127" s="3" t="str">
        <x:v>ST-184</x:v>
      </x:c>
      <x:c r="C2127" s="3" t="str">
        <x:v>R+AR同收同发</x:v>
      </x:c>
      <x:c r="D2127" s="25" t="n">
        <x:v>4</x:v>
      </x:c>
      <x:c r="E2127" s="25" t="n">
        <x:v>4</x:v>
      </x:c>
      <x:c r="F2127" s="25" t="n">
        <x:v>1</x:v>
      </x:c>
      <x:c r="G2127" s="19" t="n">
        <x:f>SUM(D2127:F2127)</x:f>
        <x:v>9</x:v>
      </x:c>
      <x:c r="H2127" s="25" t="n">
        <x:v>0</x:v>
      </x:c>
      <x:c r="I2127" s="25" t="n">
        <x:v>1</x:v>
      </x:c>
      <x:c r="J2127" s="25" t="n">
        <x:v>0</x:v>
      </x:c>
      <x:c r="K2127" s="19" t="n">
        <x:f>D2127-IF(H2127=0,1,0)</x:f>
        <x:v>3</x:v>
      </x:c>
      <x:c r="L2127" s="19" t="n">
        <x:f>E2127-IF(H2127=1,1,0)</x:f>
        <x:v>4</x:v>
      </x:c>
      <x:c r="M2127" s="19" t="n">
        <x:f>F2127-IF(H2127=2,1,0)</x:f>
        <x:v>1</x:v>
      </x:c>
      <x:c r="N2127" s="19" t="n">
        <x:f>MAX(K2127-1,0)+MAX(L2127-1,0)+MAX(M2127-1,0)</x:f>
        <x:v>5</x:v>
      </x:c>
      <x:c r="O2127" s="19" t="n">
        <x:f>IF(AND(SUM(K2127:M2127)&lt;9,OR(M2127=0,N2127&lt;6)),1,0)</x:f>
        <x:v>1</x:v>
      </x:c>
      <x:c r="P2127" s="19" t="n">
        <x:f>IF(AND(SUM(K2127:M2127)&lt;9,OR(L2127=0,N2127&lt;6)),1,0)</x:f>
        <x:v>1</x:v>
      </x:c>
      <x:c r="Q2127" s="19" t="n">
        <x:f>IF(AND(SUM(K2127:M2127)&lt;9,OR(K2127=0,N2127&lt;6)),1,0)</x:f>
        <x:v>1</x:v>
      </x:c>
      <x:c r="R2127" s="22" t="str">
        <x:f>O2127&amp;P2127&amp;Q2127</x:f>
        <x:v>111</x:v>
      </x:c>
      <x:c r="S2127" s="19" t="n">
        <x:f>IF(I2127=1,IF(J2127=0,Q2127,IF(J2127=1,P2127,IF(J2127=2,O2127,0))),0)</x:f>
        <x:v>1</x:v>
      </x:c>
      <x:c r="T2127" s="19" t="n">
        <x:f>K2127+IF(AND(S2127=1,J2127=0),1,0)</x:f>
        <x:v>4</x:v>
      </x:c>
      <x:c r="U2127" s="19" t="n">
        <x:f>L2127+IF(AND(S2127=1,J2127=1),1,0)</x:f>
        <x:v>4</x:v>
      </x:c>
      <x:c r="V2127" s="19" t="n">
        <x:f>M2127+IF(AND(S2127=1,J2127=2),1,0)</x:f>
        <x:v>1</x:v>
      </x:c>
      <x:c r="W2127" s="19" t="n">
        <x:f>SUM(T2127:V2127)</x:f>
        <x:v>9</x:v>
      </x:c>
      <x:c r="X2127" s="19" t="n">
        <x:f>W2127-G2127</x:f>
        <x:v>0</x:v>
      </x:c>
      <x:c r="Y2127" s="19" t="n">
        <x:f>MAX(T2127,1)+MAX(U2127,1)+MAX(V2127,1)</x:f>
        <x:v>9</x:v>
      </x:c>
      <x:c r="Z2127" s="21" t="str">
        <x:f>IF(AND(MIN(D2127:F2127)&gt;=0,MAX(D2127:F2127)&lt;=7,MAX(D2127,1)+MAX(E2127,1)+MAX(F2127,1)&lt;=9,OR(H2127="-",AND(H2127=0,D2127&gt;0),AND(H2127=1,E2127&gt;0),AND(H2127=2,F2127&gt;0)),OR(I2127=0,AND(I2127=1,OR(J2127=0,J2127=1,J2127=2),R2127&lt;&gt;"000")),Y2127&lt;=9,MIN(T2127:V2127)&gt;=0),"合法","输入违约")</x:f>
        <x:v>合法</x:v>
      </x:c>
    </x:row>
    <x:row r="2128" ht="23" customHeight="1">
      <x:c r="A2128" s="3" t="str">
        <x:v>CT-2121</x:v>
      </x:c>
      <x:c r="B2128" s="3" t="str">
        <x:v>ST-184</x:v>
      </x:c>
      <x:c r="C2128" s="3" t="str">
        <x:v>R+AR同收同发</x:v>
      </x:c>
      <x:c r="D2128" s="25" t="n">
        <x:v>4</x:v>
      </x:c>
      <x:c r="E2128" s="25" t="n">
        <x:v>4</x:v>
      </x:c>
      <x:c r="F2128" s="25" t="n">
        <x:v>1</x:v>
      </x:c>
      <x:c r="G2128" s="19" t="n">
        <x:f>SUM(D2128:F2128)</x:f>
        <x:v>9</x:v>
      </x:c>
      <x:c r="H2128" s="25" t="n">
        <x:v>0</x:v>
      </x:c>
      <x:c r="I2128" s="25" t="n">
        <x:v>1</x:v>
      </x:c>
      <x:c r="J2128" s="25" t="n">
        <x:v>1</x:v>
      </x:c>
      <x:c r="K2128" s="19" t="n">
        <x:f>D2128-IF(H2128=0,1,0)</x:f>
        <x:v>3</x:v>
      </x:c>
      <x:c r="L2128" s="19" t="n">
        <x:f>E2128-IF(H2128=1,1,0)</x:f>
        <x:v>4</x:v>
      </x:c>
      <x:c r="M2128" s="19" t="n">
        <x:f>F2128-IF(H2128=2,1,0)</x:f>
        <x:v>1</x:v>
      </x:c>
      <x:c r="N2128" s="19" t="n">
        <x:f>MAX(K2128-1,0)+MAX(L2128-1,0)+MAX(M2128-1,0)</x:f>
        <x:v>5</x:v>
      </x:c>
      <x:c r="O2128" s="19" t="n">
        <x:f>IF(AND(SUM(K2128:M2128)&lt;9,OR(M2128=0,N2128&lt;6)),1,0)</x:f>
        <x:v>1</x:v>
      </x:c>
      <x:c r="P2128" s="19" t="n">
        <x:f>IF(AND(SUM(K2128:M2128)&lt;9,OR(L2128=0,N2128&lt;6)),1,0)</x:f>
        <x:v>1</x:v>
      </x:c>
      <x:c r="Q2128" s="19" t="n">
        <x:f>IF(AND(SUM(K2128:M2128)&lt;9,OR(K2128=0,N2128&lt;6)),1,0)</x:f>
        <x:v>1</x:v>
      </x:c>
      <x:c r="R2128" s="22" t="str">
        <x:f>O2128&amp;P2128&amp;Q2128</x:f>
        <x:v>111</x:v>
      </x:c>
      <x:c r="S2128" s="19" t="n">
        <x:f>IF(I2128=1,IF(J2128=0,Q2128,IF(J2128=1,P2128,IF(J2128=2,O2128,0))),0)</x:f>
        <x:v>1</x:v>
      </x:c>
      <x:c r="T2128" s="19" t="n">
        <x:f>K2128+IF(AND(S2128=1,J2128=0),1,0)</x:f>
        <x:v>3</x:v>
      </x:c>
      <x:c r="U2128" s="19" t="n">
        <x:f>L2128+IF(AND(S2128=1,J2128=1),1,0)</x:f>
        <x:v>5</x:v>
      </x:c>
      <x:c r="V2128" s="19" t="n">
        <x:f>M2128+IF(AND(S2128=1,J2128=2),1,0)</x:f>
        <x:v>1</x:v>
      </x:c>
      <x:c r="W2128" s="19" t="n">
        <x:f>SUM(T2128:V2128)</x:f>
        <x:v>9</x:v>
      </x:c>
      <x:c r="X2128" s="19" t="n">
        <x:f>W2128-G2128</x:f>
        <x:v>0</x:v>
      </x:c>
      <x:c r="Y2128" s="19" t="n">
        <x:f>MAX(T2128,1)+MAX(U2128,1)+MAX(V2128,1)</x:f>
        <x:v>9</x:v>
      </x:c>
      <x:c r="Z2128" s="21" t="str">
        <x:f>IF(AND(MIN(D2128:F2128)&gt;=0,MAX(D2128:F2128)&lt;=7,MAX(D2128,1)+MAX(E2128,1)+MAX(F2128,1)&lt;=9,OR(H2128="-",AND(H2128=0,D2128&gt;0),AND(H2128=1,E2128&gt;0),AND(H2128=2,F2128&gt;0)),OR(I2128=0,AND(I2128=1,OR(J2128=0,J2128=1,J2128=2),R2128&lt;&gt;"000")),Y2128&lt;=9,MIN(T2128:V2128)&gt;=0),"合法","输入违约")</x:f>
        <x:v>合法</x:v>
      </x:c>
    </x:row>
    <x:row r="2129" ht="23" customHeight="1">
      <x:c r="A2129" s="3" t="str">
        <x:v>CT-2122</x:v>
      </x:c>
      <x:c r="B2129" s="3" t="str">
        <x:v>ST-184</x:v>
      </x:c>
      <x:c r="C2129" s="3" t="str">
        <x:v>R+AR同收同发</x:v>
      </x:c>
      <x:c r="D2129" s="25" t="n">
        <x:v>4</x:v>
      </x:c>
      <x:c r="E2129" s="25" t="n">
        <x:v>4</x:v>
      </x:c>
      <x:c r="F2129" s="25" t="n">
        <x:v>1</x:v>
      </x:c>
      <x:c r="G2129" s="19" t="n">
        <x:f>SUM(D2129:F2129)</x:f>
        <x:v>9</x:v>
      </x:c>
      <x:c r="H2129" s="25" t="n">
        <x:v>0</x:v>
      </x:c>
      <x:c r="I2129" s="25" t="n">
        <x:v>1</x:v>
      </x:c>
      <x:c r="J2129" s="25" t="n">
        <x:v>2</x:v>
      </x:c>
      <x:c r="K2129" s="19" t="n">
        <x:f>D2129-IF(H2129=0,1,0)</x:f>
        <x:v>3</x:v>
      </x:c>
      <x:c r="L2129" s="19" t="n">
        <x:f>E2129-IF(H2129=1,1,0)</x:f>
        <x:v>4</x:v>
      </x:c>
      <x:c r="M2129" s="19" t="n">
        <x:f>F2129-IF(H2129=2,1,0)</x:f>
        <x:v>1</x:v>
      </x:c>
      <x:c r="N2129" s="19" t="n">
        <x:f>MAX(K2129-1,0)+MAX(L2129-1,0)+MAX(M2129-1,0)</x:f>
        <x:v>5</x:v>
      </x:c>
      <x:c r="O2129" s="19" t="n">
        <x:f>IF(AND(SUM(K2129:M2129)&lt;9,OR(M2129=0,N2129&lt;6)),1,0)</x:f>
        <x:v>1</x:v>
      </x:c>
      <x:c r="P2129" s="19" t="n">
        <x:f>IF(AND(SUM(K2129:M2129)&lt;9,OR(L2129=0,N2129&lt;6)),1,0)</x:f>
        <x:v>1</x:v>
      </x:c>
      <x:c r="Q2129" s="19" t="n">
        <x:f>IF(AND(SUM(K2129:M2129)&lt;9,OR(K2129=0,N2129&lt;6)),1,0)</x:f>
        <x:v>1</x:v>
      </x:c>
      <x:c r="R2129" s="22" t="str">
        <x:f>O2129&amp;P2129&amp;Q2129</x:f>
        <x:v>111</x:v>
      </x:c>
      <x:c r="S2129" s="19" t="n">
        <x:f>IF(I2129=1,IF(J2129=0,Q2129,IF(J2129=1,P2129,IF(J2129=2,O2129,0))),0)</x:f>
        <x:v>1</x:v>
      </x:c>
      <x:c r="T2129" s="19" t="n">
        <x:f>K2129+IF(AND(S2129=1,J2129=0),1,0)</x:f>
        <x:v>3</x:v>
      </x:c>
      <x:c r="U2129" s="19" t="n">
        <x:f>L2129+IF(AND(S2129=1,J2129=1),1,0)</x:f>
        <x:v>4</x:v>
      </x:c>
      <x:c r="V2129" s="19" t="n">
        <x:f>M2129+IF(AND(S2129=1,J2129=2),1,0)</x:f>
        <x:v>2</x:v>
      </x:c>
      <x:c r="W2129" s="19" t="n">
        <x:f>SUM(T2129:V2129)</x:f>
        <x:v>9</x:v>
      </x:c>
      <x:c r="X2129" s="19" t="n">
        <x:f>W2129-G2129</x:f>
        <x:v>0</x:v>
      </x:c>
      <x:c r="Y2129" s="19" t="n">
        <x:f>MAX(T2129,1)+MAX(U2129,1)+MAX(V2129,1)</x:f>
        <x:v>9</x:v>
      </x:c>
      <x:c r="Z2129" s="21" t="str">
        <x:f>IF(AND(MIN(D2129:F2129)&gt;=0,MAX(D2129:F2129)&lt;=7,MAX(D2129,1)+MAX(E2129,1)+MAX(F2129,1)&lt;=9,OR(H2129="-",AND(H2129=0,D2129&gt;0),AND(H2129=1,E2129&gt;0),AND(H2129=2,F2129&gt;0)),OR(I2129=0,AND(I2129=1,OR(J2129=0,J2129=1,J2129=2),R2129&lt;&gt;"000")),Y2129&lt;=9,MIN(T2129:V2129)&gt;=0),"合法","输入违约")</x:f>
        <x:v>合法</x:v>
      </x:c>
    </x:row>
    <x:row r="2130" ht="23" customHeight="1">
      <x:c r="A2130" s="3" t="str">
        <x:v>CT-2123</x:v>
      </x:c>
      <x:c r="B2130" s="3" t="str">
        <x:v>ST-184</x:v>
      </x:c>
      <x:c r="C2130" s="3" t="str">
        <x:v>仅R回收</x:v>
      </x:c>
      <x:c r="D2130" s="25" t="n">
        <x:v>4</x:v>
      </x:c>
      <x:c r="E2130" s="25" t="n">
        <x:v>4</x:v>
      </x:c>
      <x:c r="F2130" s="25" t="n">
        <x:v>1</x:v>
      </x:c>
      <x:c r="G2130" s="19" t="n">
        <x:f>SUM(D2130:F2130)</x:f>
        <x:v>9</x:v>
      </x:c>
      <x:c r="H2130" s="25" t="n">
        <x:v>1</x:v>
      </x:c>
      <x:c r="I2130" s="25" t="n">
        <x:v>0</x:v>
      </x:c>
      <x:c r="J2130" s="25" t="str">
        <x:v>-</x:v>
      </x:c>
      <x:c r="K2130" s="19" t="n">
        <x:f>D2130-IF(H2130=0,1,0)</x:f>
        <x:v>4</x:v>
      </x:c>
      <x:c r="L2130" s="19" t="n">
        <x:f>E2130-IF(H2130=1,1,0)</x:f>
        <x:v>3</x:v>
      </x:c>
      <x:c r="M2130" s="19" t="n">
        <x:f>F2130-IF(H2130=2,1,0)</x:f>
        <x:v>1</x:v>
      </x:c>
      <x:c r="N2130" s="19" t="n">
        <x:f>MAX(K2130-1,0)+MAX(L2130-1,0)+MAX(M2130-1,0)</x:f>
        <x:v>5</x:v>
      </x:c>
      <x:c r="O2130" s="19" t="n">
        <x:f>IF(AND(SUM(K2130:M2130)&lt;9,OR(M2130=0,N2130&lt;6)),1,0)</x:f>
        <x:v>1</x:v>
      </x:c>
      <x:c r="P2130" s="19" t="n">
        <x:f>IF(AND(SUM(K2130:M2130)&lt;9,OR(L2130=0,N2130&lt;6)),1,0)</x:f>
        <x:v>1</x:v>
      </x:c>
      <x:c r="Q2130" s="19" t="n">
        <x:f>IF(AND(SUM(K2130:M2130)&lt;9,OR(K2130=0,N2130&lt;6)),1,0)</x:f>
        <x:v>1</x:v>
      </x:c>
      <x:c r="R2130" s="22" t="str">
        <x:f>O2130&amp;P2130&amp;Q2130</x:f>
        <x:v>111</x:v>
      </x:c>
      <x:c r="S2130" s="19" t="n">
        <x:f>IF(I2130=1,IF(J2130=0,Q2130,IF(J2130=1,P2130,IF(J2130=2,O2130,0))),0)</x:f>
        <x:v>0</x:v>
      </x:c>
      <x:c r="T2130" s="19" t="n">
        <x:f>K2130+IF(AND(S2130=1,J2130=0),1,0)</x:f>
        <x:v>4</x:v>
      </x:c>
      <x:c r="U2130" s="19" t="n">
        <x:f>L2130+IF(AND(S2130=1,J2130=1),1,0)</x:f>
        <x:v>3</x:v>
      </x:c>
      <x:c r="V2130" s="19" t="n">
        <x:f>M2130+IF(AND(S2130=1,J2130=2),1,0)</x:f>
        <x:v>1</x:v>
      </x:c>
      <x:c r="W2130" s="19" t="n">
        <x:f>SUM(T2130:V2130)</x:f>
        <x:v>8</x:v>
      </x:c>
      <x:c r="X2130" s="19" t="n">
        <x:f>W2130-G2130</x:f>
        <x:v>-1</x:v>
      </x:c>
      <x:c r="Y2130" s="19" t="n">
        <x:f>MAX(T2130,1)+MAX(U2130,1)+MAX(V2130,1)</x:f>
        <x:v>8</x:v>
      </x:c>
      <x:c r="Z2130" s="21" t="str">
        <x:f>IF(AND(MIN(D2130:F2130)&gt;=0,MAX(D2130:F2130)&lt;=7,MAX(D2130,1)+MAX(E2130,1)+MAX(F2130,1)&lt;=9,OR(H2130="-",AND(H2130=0,D2130&gt;0),AND(H2130=1,E2130&gt;0),AND(H2130=2,F2130&gt;0)),OR(I2130=0,AND(I2130=1,OR(J2130=0,J2130=1,J2130=2),R2130&lt;&gt;"000")),Y2130&lt;=9,MIN(T2130:V2130)&gt;=0),"合法","输入违约")</x:f>
        <x:v>合法</x:v>
      </x:c>
    </x:row>
    <x:row r="2131" ht="23" customHeight="1">
      <x:c r="A2131" s="3" t="str">
        <x:v>CT-2124</x:v>
      </x:c>
      <x:c r="B2131" s="3" t="str">
        <x:v>ST-184</x:v>
      </x:c>
      <x:c r="C2131" s="3" t="str">
        <x:v>R+AR同收同发</x:v>
      </x:c>
      <x:c r="D2131" s="25" t="n">
        <x:v>4</x:v>
      </x:c>
      <x:c r="E2131" s="25" t="n">
        <x:v>4</x:v>
      </x:c>
      <x:c r="F2131" s="25" t="n">
        <x:v>1</x:v>
      </x:c>
      <x:c r="G2131" s="19" t="n">
        <x:f>SUM(D2131:F2131)</x:f>
        <x:v>9</x:v>
      </x:c>
      <x:c r="H2131" s="25" t="n">
        <x:v>1</x:v>
      </x:c>
      <x:c r="I2131" s="25" t="n">
        <x:v>1</x:v>
      </x:c>
      <x:c r="J2131" s="25" t="n">
        <x:v>0</x:v>
      </x:c>
      <x:c r="K2131" s="19" t="n">
        <x:f>D2131-IF(H2131=0,1,0)</x:f>
        <x:v>4</x:v>
      </x:c>
      <x:c r="L2131" s="19" t="n">
        <x:f>E2131-IF(H2131=1,1,0)</x:f>
        <x:v>3</x:v>
      </x:c>
      <x:c r="M2131" s="19" t="n">
        <x:f>F2131-IF(H2131=2,1,0)</x:f>
        <x:v>1</x:v>
      </x:c>
      <x:c r="N2131" s="19" t="n">
        <x:f>MAX(K2131-1,0)+MAX(L2131-1,0)+MAX(M2131-1,0)</x:f>
        <x:v>5</x:v>
      </x:c>
      <x:c r="O2131" s="19" t="n">
        <x:f>IF(AND(SUM(K2131:M2131)&lt;9,OR(M2131=0,N2131&lt;6)),1,0)</x:f>
        <x:v>1</x:v>
      </x:c>
      <x:c r="P2131" s="19" t="n">
        <x:f>IF(AND(SUM(K2131:M2131)&lt;9,OR(L2131=0,N2131&lt;6)),1,0)</x:f>
        <x:v>1</x:v>
      </x:c>
      <x:c r="Q2131" s="19" t="n">
        <x:f>IF(AND(SUM(K2131:M2131)&lt;9,OR(K2131=0,N2131&lt;6)),1,0)</x:f>
        <x:v>1</x:v>
      </x:c>
      <x:c r="R2131" s="22" t="str">
        <x:f>O2131&amp;P2131&amp;Q2131</x:f>
        <x:v>111</x:v>
      </x:c>
      <x:c r="S2131" s="19" t="n">
        <x:f>IF(I2131=1,IF(J2131=0,Q2131,IF(J2131=1,P2131,IF(J2131=2,O2131,0))),0)</x:f>
        <x:v>1</x:v>
      </x:c>
      <x:c r="T2131" s="19" t="n">
        <x:f>K2131+IF(AND(S2131=1,J2131=0),1,0)</x:f>
        <x:v>5</x:v>
      </x:c>
      <x:c r="U2131" s="19" t="n">
        <x:f>L2131+IF(AND(S2131=1,J2131=1),1,0)</x:f>
        <x:v>3</x:v>
      </x:c>
      <x:c r="V2131" s="19" t="n">
        <x:f>M2131+IF(AND(S2131=1,J2131=2),1,0)</x:f>
        <x:v>1</x:v>
      </x:c>
      <x:c r="W2131" s="19" t="n">
        <x:f>SUM(T2131:V2131)</x:f>
        <x:v>9</x:v>
      </x:c>
      <x:c r="X2131" s="19" t="n">
        <x:f>W2131-G2131</x:f>
        <x:v>0</x:v>
      </x:c>
      <x:c r="Y2131" s="19" t="n">
        <x:f>MAX(T2131,1)+MAX(U2131,1)+MAX(V2131,1)</x:f>
        <x:v>9</x:v>
      </x:c>
      <x:c r="Z2131" s="21" t="str">
        <x:f>IF(AND(MIN(D2131:F2131)&gt;=0,MAX(D2131:F2131)&lt;=7,MAX(D2131,1)+MAX(E2131,1)+MAX(F2131,1)&lt;=9,OR(H2131="-",AND(H2131=0,D2131&gt;0),AND(H2131=1,E2131&gt;0),AND(H2131=2,F2131&gt;0)),OR(I2131=0,AND(I2131=1,OR(J2131=0,J2131=1,J2131=2),R2131&lt;&gt;"000")),Y2131&lt;=9,MIN(T2131:V2131)&gt;=0),"合法","输入违约")</x:f>
        <x:v>合法</x:v>
      </x:c>
    </x:row>
    <x:row r="2132" ht="23" customHeight="1">
      <x:c r="A2132" s="3" t="str">
        <x:v>CT-2125</x:v>
      </x:c>
      <x:c r="B2132" s="3" t="str">
        <x:v>ST-184</x:v>
      </x:c>
      <x:c r="C2132" s="3" t="str">
        <x:v>R+AR同收同发</x:v>
      </x:c>
      <x:c r="D2132" s="25" t="n">
        <x:v>4</x:v>
      </x:c>
      <x:c r="E2132" s="25" t="n">
        <x:v>4</x:v>
      </x:c>
      <x:c r="F2132" s="25" t="n">
        <x:v>1</x:v>
      </x:c>
      <x:c r="G2132" s="19" t="n">
        <x:f>SUM(D2132:F2132)</x:f>
        <x:v>9</x:v>
      </x:c>
      <x:c r="H2132" s="25" t="n">
        <x:v>1</x:v>
      </x:c>
      <x:c r="I2132" s="25" t="n">
        <x:v>1</x:v>
      </x:c>
      <x:c r="J2132" s="25" t="n">
        <x:v>1</x:v>
      </x:c>
      <x:c r="K2132" s="19" t="n">
        <x:f>D2132-IF(H2132=0,1,0)</x:f>
        <x:v>4</x:v>
      </x:c>
      <x:c r="L2132" s="19" t="n">
        <x:f>E2132-IF(H2132=1,1,0)</x:f>
        <x:v>3</x:v>
      </x:c>
      <x:c r="M2132" s="19" t="n">
        <x:f>F2132-IF(H2132=2,1,0)</x:f>
        <x:v>1</x:v>
      </x:c>
      <x:c r="N2132" s="19" t="n">
        <x:f>MAX(K2132-1,0)+MAX(L2132-1,0)+MAX(M2132-1,0)</x:f>
        <x:v>5</x:v>
      </x:c>
      <x:c r="O2132" s="19" t="n">
        <x:f>IF(AND(SUM(K2132:M2132)&lt;9,OR(M2132=0,N2132&lt;6)),1,0)</x:f>
        <x:v>1</x:v>
      </x:c>
      <x:c r="P2132" s="19" t="n">
        <x:f>IF(AND(SUM(K2132:M2132)&lt;9,OR(L2132=0,N2132&lt;6)),1,0)</x:f>
        <x:v>1</x:v>
      </x:c>
      <x:c r="Q2132" s="19" t="n">
        <x:f>IF(AND(SUM(K2132:M2132)&lt;9,OR(K2132=0,N2132&lt;6)),1,0)</x:f>
        <x:v>1</x:v>
      </x:c>
      <x:c r="R2132" s="22" t="str">
        <x:f>O2132&amp;P2132&amp;Q2132</x:f>
        <x:v>111</x:v>
      </x:c>
      <x:c r="S2132" s="19" t="n">
        <x:f>IF(I2132=1,IF(J2132=0,Q2132,IF(J2132=1,P2132,IF(J2132=2,O2132,0))),0)</x:f>
        <x:v>1</x:v>
      </x:c>
      <x:c r="T2132" s="19" t="n">
        <x:f>K2132+IF(AND(S2132=1,J2132=0),1,0)</x:f>
        <x:v>4</x:v>
      </x:c>
      <x:c r="U2132" s="19" t="n">
        <x:f>L2132+IF(AND(S2132=1,J2132=1),1,0)</x:f>
        <x:v>4</x:v>
      </x:c>
      <x:c r="V2132" s="19" t="n">
        <x:f>M2132+IF(AND(S2132=1,J2132=2),1,0)</x:f>
        <x:v>1</x:v>
      </x:c>
      <x:c r="W2132" s="19" t="n">
        <x:f>SUM(T2132:V2132)</x:f>
        <x:v>9</x:v>
      </x:c>
      <x:c r="X2132" s="19" t="n">
        <x:f>W2132-G2132</x:f>
        <x:v>0</x:v>
      </x:c>
      <x:c r="Y2132" s="19" t="n">
        <x:f>MAX(T2132,1)+MAX(U2132,1)+MAX(V2132,1)</x:f>
        <x:v>9</x:v>
      </x:c>
      <x:c r="Z2132" s="21" t="str">
        <x:f>IF(AND(MIN(D2132:F2132)&gt;=0,MAX(D2132:F2132)&lt;=7,MAX(D2132,1)+MAX(E2132,1)+MAX(F2132,1)&lt;=9,OR(H2132="-",AND(H2132=0,D2132&gt;0),AND(H2132=1,E2132&gt;0),AND(H2132=2,F2132&gt;0)),OR(I2132=0,AND(I2132=1,OR(J2132=0,J2132=1,J2132=2),R2132&lt;&gt;"000")),Y2132&lt;=9,MIN(T2132:V2132)&gt;=0),"合法","输入违约")</x:f>
        <x:v>合法</x:v>
      </x:c>
    </x:row>
    <x:row r="2133" ht="23" customHeight="1">
      <x:c r="A2133" s="3" t="str">
        <x:v>CT-2126</x:v>
      </x:c>
      <x:c r="B2133" s="3" t="str">
        <x:v>ST-184</x:v>
      </x:c>
      <x:c r="C2133" s="3" t="str">
        <x:v>R+AR同收同发</x:v>
      </x:c>
      <x:c r="D2133" s="25" t="n">
        <x:v>4</x:v>
      </x:c>
      <x:c r="E2133" s="25" t="n">
        <x:v>4</x:v>
      </x:c>
      <x:c r="F2133" s="25" t="n">
        <x:v>1</x:v>
      </x:c>
      <x:c r="G2133" s="19" t="n">
        <x:f>SUM(D2133:F2133)</x:f>
        <x:v>9</x:v>
      </x:c>
      <x:c r="H2133" s="25" t="n">
        <x:v>1</x:v>
      </x:c>
      <x:c r="I2133" s="25" t="n">
        <x:v>1</x:v>
      </x:c>
      <x:c r="J2133" s="25" t="n">
        <x:v>2</x:v>
      </x:c>
      <x:c r="K2133" s="19" t="n">
        <x:f>D2133-IF(H2133=0,1,0)</x:f>
        <x:v>4</x:v>
      </x:c>
      <x:c r="L2133" s="19" t="n">
        <x:f>E2133-IF(H2133=1,1,0)</x:f>
        <x:v>3</x:v>
      </x:c>
      <x:c r="M2133" s="19" t="n">
        <x:f>F2133-IF(H2133=2,1,0)</x:f>
        <x:v>1</x:v>
      </x:c>
      <x:c r="N2133" s="19" t="n">
        <x:f>MAX(K2133-1,0)+MAX(L2133-1,0)+MAX(M2133-1,0)</x:f>
        <x:v>5</x:v>
      </x:c>
      <x:c r="O2133" s="19" t="n">
        <x:f>IF(AND(SUM(K2133:M2133)&lt;9,OR(M2133=0,N2133&lt;6)),1,0)</x:f>
        <x:v>1</x:v>
      </x:c>
      <x:c r="P2133" s="19" t="n">
        <x:f>IF(AND(SUM(K2133:M2133)&lt;9,OR(L2133=0,N2133&lt;6)),1,0)</x:f>
        <x:v>1</x:v>
      </x:c>
      <x:c r="Q2133" s="19" t="n">
        <x:f>IF(AND(SUM(K2133:M2133)&lt;9,OR(K2133=0,N2133&lt;6)),1,0)</x:f>
        <x:v>1</x:v>
      </x:c>
      <x:c r="R2133" s="22" t="str">
        <x:f>O2133&amp;P2133&amp;Q2133</x:f>
        <x:v>111</x:v>
      </x:c>
      <x:c r="S2133" s="19" t="n">
        <x:f>IF(I2133=1,IF(J2133=0,Q2133,IF(J2133=1,P2133,IF(J2133=2,O2133,0))),0)</x:f>
        <x:v>1</x:v>
      </x:c>
      <x:c r="T2133" s="19" t="n">
        <x:f>K2133+IF(AND(S2133=1,J2133=0),1,0)</x:f>
        <x:v>4</x:v>
      </x:c>
      <x:c r="U2133" s="19" t="n">
        <x:f>L2133+IF(AND(S2133=1,J2133=1),1,0)</x:f>
        <x:v>3</x:v>
      </x:c>
      <x:c r="V2133" s="19" t="n">
        <x:f>M2133+IF(AND(S2133=1,J2133=2),1,0)</x:f>
        <x:v>2</x:v>
      </x:c>
      <x:c r="W2133" s="19" t="n">
        <x:f>SUM(T2133:V2133)</x:f>
        <x:v>9</x:v>
      </x:c>
      <x:c r="X2133" s="19" t="n">
        <x:f>W2133-G2133</x:f>
        <x:v>0</x:v>
      </x:c>
      <x:c r="Y2133" s="19" t="n">
        <x:f>MAX(T2133,1)+MAX(U2133,1)+MAX(V2133,1)</x:f>
        <x:v>9</x:v>
      </x:c>
      <x:c r="Z2133" s="21" t="str">
        <x:f>IF(AND(MIN(D2133:F2133)&gt;=0,MAX(D2133:F2133)&lt;=7,MAX(D2133,1)+MAX(E2133,1)+MAX(F2133,1)&lt;=9,OR(H2133="-",AND(H2133=0,D2133&gt;0),AND(H2133=1,E2133&gt;0),AND(H2133=2,F2133&gt;0)),OR(I2133=0,AND(I2133=1,OR(J2133=0,J2133=1,J2133=2),R2133&lt;&gt;"000")),Y2133&lt;=9,MIN(T2133:V2133)&gt;=0),"合法","输入违约")</x:f>
        <x:v>合法</x:v>
      </x:c>
    </x:row>
    <x:row r="2134" ht="23" customHeight="1">
      <x:c r="A2134" s="3" t="str">
        <x:v>CT-2127</x:v>
      </x:c>
      <x:c r="B2134" s="3" t="str">
        <x:v>ST-184</x:v>
      </x:c>
      <x:c r="C2134" s="3" t="str">
        <x:v>仅R回收</x:v>
      </x:c>
      <x:c r="D2134" s="25" t="n">
        <x:v>4</x:v>
      </x:c>
      <x:c r="E2134" s="25" t="n">
        <x:v>4</x:v>
      </x:c>
      <x:c r="F2134" s="25" t="n">
        <x:v>1</x:v>
      </x:c>
      <x:c r="G2134" s="19" t="n">
        <x:f>SUM(D2134:F2134)</x:f>
        <x:v>9</x:v>
      </x:c>
      <x:c r="H2134" s="25" t="n">
        <x:v>2</x:v>
      </x:c>
      <x:c r="I2134" s="25" t="n">
        <x:v>0</x:v>
      </x:c>
      <x:c r="J2134" s="25" t="str">
        <x:v>-</x:v>
      </x:c>
      <x:c r="K2134" s="19" t="n">
        <x:f>D2134-IF(H2134=0,1,0)</x:f>
        <x:v>4</x:v>
      </x:c>
      <x:c r="L2134" s="19" t="n">
        <x:f>E2134-IF(H2134=1,1,0)</x:f>
        <x:v>4</x:v>
      </x:c>
      <x:c r="M2134" s="19" t="n">
        <x:f>F2134-IF(H2134=2,1,0)</x:f>
        <x:v>0</x:v>
      </x:c>
      <x:c r="N2134" s="19" t="n">
        <x:f>MAX(K2134-1,0)+MAX(L2134-1,0)+MAX(M2134-1,0)</x:f>
        <x:v>6</x:v>
      </x:c>
      <x:c r="O2134" s="19" t="n">
        <x:f>IF(AND(SUM(K2134:M2134)&lt;9,OR(M2134=0,N2134&lt;6)),1,0)</x:f>
        <x:v>1</x:v>
      </x:c>
      <x:c r="P2134" s="19" t="n">
        <x:f>IF(AND(SUM(K2134:M2134)&lt;9,OR(L2134=0,N2134&lt;6)),1,0)</x:f>
        <x:v>0</x:v>
      </x:c>
      <x:c r="Q2134" s="19" t="n">
        <x:f>IF(AND(SUM(K2134:M2134)&lt;9,OR(K2134=0,N2134&lt;6)),1,0)</x:f>
        <x:v>0</x:v>
      </x:c>
      <x:c r="R2134" s="22" t="str">
        <x:f>O2134&amp;P2134&amp;Q2134</x:f>
        <x:v>100</x:v>
      </x:c>
      <x:c r="S2134" s="19" t="n">
        <x:f>IF(I2134=1,IF(J2134=0,Q2134,IF(J2134=1,P2134,IF(J2134=2,O2134,0))),0)</x:f>
        <x:v>0</x:v>
      </x:c>
      <x:c r="T2134" s="19" t="n">
        <x:f>K2134+IF(AND(S2134=1,J2134=0),1,0)</x:f>
        <x:v>4</x:v>
      </x:c>
      <x:c r="U2134" s="19" t="n">
        <x:f>L2134+IF(AND(S2134=1,J2134=1),1,0)</x:f>
        <x:v>4</x:v>
      </x:c>
      <x:c r="V2134" s="19" t="n">
        <x:f>M2134+IF(AND(S2134=1,J2134=2),1,0)</x:f>
        <x:v>0</x:v>
      </x:c>
      <x:c r="W2134" s="19" t="n">
        <x:f>SUM(T2134:V2134)</x:f>
        <x:v>8</x:v>
      </x:c>
      <x:c r="X2134" s="19" t="n">
        <x:f>W2134-G2134</x:f>
        <x:v>-1</x:v>
      </x:c>
      <x:c r="Y2134" s="19" t="n">
        <x:f>MAX(T2134,1)+MAX(U2134,1)+MAX(V2134,1)</x:f>
        <x:v>9</x:v>
      </x:c>
      <x:c r="Z2134" s="21" t="str">
        <x:f>IF(AND(MIN(D2134:F2134)&gt;=0,MAX(D2134:F2134)&lt;=7,MAX(D2134,1)+MAX(E2134,1)+MAX(F2134,1)&lt;=9,OR(H2134="-",AND(H2134=0,D2134&gt;0),AND(H2134=1,E2134&gt;0),AND(H2134=2,F2134&gt;0)),OR(I2134=0,AND(I2134=1,OR(J2134=0,J2134=1,J2134=2),R2134&lt;&gt;"000")),Y2134&lt;=9,MIN(T2134:V2134)&gt;=0),"合法","输入违约")</x:f>
        <x:v>合法</x:v>
      </x:c>
    </x:row>
    <x:row r="2135" ht="23" customHeight="1">
      <x:c r="A2135" s="3" t="str">
        <x:v>CT-2128</x:v>
      </x:c>
      <x:c r="B2135" s="3" t="str">
        <x:v>ST-184</x:v>
      </x:c>
      <x:c r="C2135" s="3" t="str">
        <x:v>仅R回收</x:v>
      </x:c>
      <x:c r="D2135" s="25" t="n">
        <x:v>4</x:v>
      </x:c>
      <x:c r="E2135" s="25" t="n">
        <x:v>4</x:v>
      </x:c>
      <x:c r="F2135" s="25" t="n">
        <x:v>1</x:v>
      </x:c>
      <x:c r="G2135" s="19" t="n">
        <x:f>SUM(D2135:F2135)</x:f>
        <x:v>9</x:v>
      </x:c>
      <x:c r="H2135" s="25" t="n">
        <x:v>2</x:v>
      </x:c>
      <x:c r="I2135" s="25" t="n">
        <x:v>1</x:v>
      </x:c>
      <x:c r="J2135" s="25" t="n">
        <x:v>0</x:v>
      </x:c>
      <x:c r="K2135" s="19" t="n">
        <x:f>D2135-IF(H2135=0,1,0)</x:f>
        <x:v>4</x:v>
      </x:c>
      <x:c r="L2135" s="19" t="n">
        <x:f>E2135-IF(H2135=1,1,0)</x:f>
        <x:v>4</x:v>
      </x:c>
      <x:c r="M2135" s="19" t="n">
        <x:f>F2135-IF(H2135=2,1,0)</x:f>
        <x:v>0</x:v>
      </x:c>
      <x:c r="N2135" s="19" t="n">
        <x:f>MAX(K2135-1,0)+MAX(L2135-1,0)+MAX(M2135-1,0)</x:f>
        <x:v>6</x:v>
      </x:c>
      <x:c r="O2135" s="19" t="n">
        <x:f>IF(AND(SUM(K2135:M2135)&lt;9,OR(M2135=0,N2135&lt;6)),1,0)</x:f>
        <x:v>1</x:v>
      </x:c>
      <x:c r="P2135" s="19" t="n">
        <x:f>IF(AND(SUM(K2135:M2135)&lt;9,OR(L2135=0,N2135&lt;6)),1,0)</x:f>
        <x:v>0</x:v>
      </x:c>
      <x:c r="Q2135" s="19" t="n">
        <x:f>IF(AND(SUM(K2135:M2135)&lt;9,OR(K2135=0,N2135&lt;6)),1,0)</x:f>
        <x:v>0</x:v>
      </x:c>
      <x:c r="R2135" s="22" t="str">
        <x:f>O2135&amp;P2135&amp;Q2135</x:f>
        <x:v>100</x:v>
      </x:c>
      <x:c r="S2135" s="19" t="n">
        <x:f>IF(I2135=1,IF(J2135=0,Q2135,IF(J2135=1,P2135,IF(J2135=2,O2135,0))),0)</x:f>
        <x:v>0</x:v>
      </x:c>
      <x:c r="T2135" s="19" t="n">
        <x:f>K2135+IF(AND(S2135=1,J2135=0),1,0)</x:f>
        <x:v>4</x:v>
      </x:c>
      <x:c r="U2135" s="19" t="n">
        <x:f>L2135+IF(AND(S2135=1,J2135=1),1,0)</x:f>
        <x:v>4</x:v>
      </x:c>
      <x:c r="V2135" s="19" t="n">
        <x:f>M2135+IF(AND(S2135=1,J2135=2),1,0)</x:f>
        <x:v>0</x:v>
      </x:c>
      <x:c r="W2135" s="19" t="n">
        <x:f>SUM(T2135:V2135)</x:f>
        <x:v>8</x:v>
      </x:c>
      <x:c r="X2135" s="19" t="n">
        <x:f>W2135-G2135</x:f>
        <x:v>-1</x:v>
      </x:c>
      <x:c r="Y2135" s="19" t="n">
        <x:f>MAX(T2135,1)+MAX(U2135,1)+MAX(V2135,1)</x:f>
        <x:v>9</x:v>
      </x:c>
      <x:c r="Z2135" s="21" t="str">
        <x:f>IF(AND(MIN(D2135:F2135)&gt;=0,MAX(D2135:F2135)&lt;=7,MAX(D2135,1)+MAX(E2135,1)+MAX(F2135,1)&lt;=9,OR(H2135="-",AND(H2135=0,D2135&gt;0),AND(H2135=1,E2135&gt;0),AND(H2135=2,F2135&gt;0)),OR(I2135=0,AND(I2135=1,OR(J2135=0,J2135=1,J2135=2),R2135&lt;&gt;"000")),Y2135&lt;=9,MIN(T2135:V2135)&gt;=0),"合法","输入违约")</x:f>
        <x:v>合法</x:v>
      </x:c>
    </x:row>
    <x:row r="2136" ht="23" customHeight="1">
      <x:c r="A2136" s="3" t="str">
        <x:v>CT-2129</x:v>
      </x:c>
      <x:c r="B2136" s="3" t="str">
        <x:v>ST-184</x:v>
      </x:c>
      <x:c r="C2136" s="3" t="str">
        <x:v>仅R回收</x:v>
      </x:c>
      <x:c r="D2136" s="25" t="n">
        <x:v>4</x:v>
      </x:c>
      <x:c r="E2136" s="25" t="n">
        <x:v>4</x:v>
      </x:c>
      <x:c r="F2136" s="25" t="n">
        <x:v>1</x:v>
      </x:c>
      <x:c r="G2136" s="19" t="n">
        <x:f>SUM(D2136:F2136)</x:f>
        <x:v>9</x:v>
      </x:c>
      <x:c r="H2136" s="25" t="n">
        <x:v>2</x:v>
      </x:c>
      <x:c r="I2136" s="25" t="n">
        <x:v>1</x:v>
      </x:c>
      <x:c r="J2136" s="25" t="n">
        <x:v>1</x:v>
      </x:c>
      <x:c r="K2136" s="19" t="n">
        <x:f>D2136-IF(H2136=0,1,0)</x:f>
        <x:v>4</x:v>
      </x:c>
      <x:c r="L2136" s="19" t="n">
        <x:f>E2136-IF(H2136=1,1,0)</x:f>
        <x:v>4</x:v>
      </x:c>
      <x:c r="M2136" s="19" t="n">
        <x:f>F2136-IF(H2136=2,1,0)</x:f>
        <x:v>0</x:v>
      </x:c>
      <x:c r="N2136" s="19" t="n">
        <x:f>MAX(K2136-1,0)+MAX(L2136-1,0)+MAX(M2136-1,0)</x:f>
        <x:v>6</x:v>
      </x:c>
      <x:c r="O2136" s="19" t="n">
        <x:f>IF(AND(SUM(K2136:M2136)&lt;9,OR(M2136=0,N2136&lt;6)),1,0)</x:f>
        <x:v>1</x:v>
      </x:c>
      <x:c r="P2136" s="19" t="n">
        <x:f>IF(AND(SUM(K2136:M2136)&lt;9,OR(L2136=0,N2136&lt;6)),1,0)</x:f>
        <x:v>0</x:v>
      </x:c>
      <x:c r="Q2136" s="19" t="n">
        <x:f>IF(AND(SUM(K2136:M2136)&lt;9,OR(K2136=0,N2136&lt;6)),1,0)</x:f>
        <x:v>0</x:v>
      </x:c>
      <x:c r="R2136" s="22" t="str">
        <x:f>O2136&amp;P2136&amp;Q2136</x:f>
        <x:v>100</x:v>
      </x:c>
      <x:c r="S2136" s="19" t="n">
        <x:f>IF(I2136=1,IF(J2136=0,Q2136,IF(J2136=1,P2136,IF(J2136=2,O2136,0))),0)</x:f>
        <x:v>0</x:v>
      </x:c>
      <x:c r="T2136" s="19" t="n">
        <x:f>K2136+IF(AND(S2136=1,J2136=0),1,0)</x:f>
        <x:v>4</x:v>
      </x:c>
      <x:c r="U2136" s="19" t="n">
        <x:f>L2136+IF(AND(S2136=1,J2136=1),1,0)</x:f>
        <x:v>4</x:v>
      </x:c>
      <x:c r="V2136" s="19" t="n">
        <x:f>M2136+IF(AND(S2136=1,J2136=2),1,0)</x:f>
        <x:v>0</x:v>
      </x:c>
      <x:c r="W2136" s="19" t="n">
        <x:f>SUM(T2136:V2136)</x:f>
        <x:v>8</x:v>
      </x:c>
      <x:c r="X2136" s="19" t="n">
        <x:f>W2136-G2136</x:f>
        <x:v>-1</x:v>
      </x:c>
      <x:c r="Y2136" s="19" t="n">
        <x:f>MAX(T2136,1)+MAX(U2136,1)+MAX(V2136,1)</x:f>
        <x:v>9</x:v>
      </x:c>
      <x:c r="Z2136" s="21" t="str">
        <x:f>IF(AND(MIN(D2136:F2136)&gt;=0,MAX(D2136:F2136)&lt;=7,MAX(D2136,1)+MAX(E2136,1)+MAX(F2136,1)&lt;=9,OR(H2136="-",AND(H2136=0,D2136&gt;0),AND(H2136=1,E2136&gt;0),AND(H2136=2,F2136&gt;0)),OR(I2136=0,AND(I2136=1,OR(J2136=0,J2136=1,J2136=2),R2136&lt;&gt;"000")),Y2136&lt;=9,MIN(T2136:V2136)&gt;=0),"合法","输入违约")</x:f>
        <x:v>合法</x:v>
      </x:c>
    </x:row>
    <x:row r="2137" ht="23" customHeight="1">
      <x:c r="A2137" s="3" t="str">
        <x:v>CT-2130</x:v>
      </x:c>
      <x:c r="B2137" s="3" t="str">
        <x:v>ST-184</x:v>
      </x:c>
      <x:c r="C2137" s="3" t="str">
        <x:v>R+AR同收同发</x:v>
      </x:c>
      <x:c r="D2137" s="25" t="n">
        <x:v>4</x:v>
      </x:c>
      <x:c r="E2137" s="25" t="n">
        <x:v>4</x:v>
      </x:c>
      <x:c r="F2137" s="25" t="n">
        <x:v>1</x:v>
      </x:c>
      <x:c r="G2137" s="19" t="n">
        <x:f>SUM(D2137:F2137)</x:f>
        <x:v>9</x:v>
      </x:c>
      <x:c r="H2137" s="25" t="n">
        <x:v>2</x:v>
      </x:c>
      <x:c r="I2137" s="25" t="n">
        <x:v>1</x:v>
      </x:c>
      <x:c r="J2137" s="25" t="n">
        <x:v>2</x:v>
      </x:c>
      <x:c r="K2137" s="19" t="n">
        <x:f>D2137-IF(H2137=0,1,0)</x:f>
        <x:v>4</x:v>
      </x:c>
      <x:c r="L2137" s="19" t="n">
        <x:f>E2137-IF(H2137=1,1,0)</x:f>
        <x:v>4</x:v>
      </x:c>
      <x:c r="M2137" s="19" t="n">
        <x:f>F2137-IF(H2137=2,1,0)</x:f>
        <x:v>0</x:v>
      </x:c>
      <x:c r="N2137" s="19" t="n">
        <x:f>MAX(K2137-1,0)+MAX(L2137-1,0)+MAX(M2137-1,0)</x:f>
        <x:v>6</x:v>
      </x:c>
      <x:c r="O2137" s="19" t="n">
        <x:f>IF(AND(SUM(K2137:M2137)&lt;9,OR(M2137=0,N2137&lt;6)),1,0)</x:f>
        <x:v>1</x:v>
      </x:c>
      <x:c r="P2137" s="19" t="n">
        <x:f>IF(AND(SUM(K2137:M2137)&lt;9,OR(L2137=0,N2137&lt;6)),1,0)</x:f>
        <x:v>0</x:v>
      </x:c>
      <x:c r="Q2137" s="19" t="n">
        <x:f>IF(AND(SUM(K2137:M2137)&lt;9,OR(K2137=0,N2137&lt;6)),1,0)</x:f>
        <x:v>0</x:v>
      </x:c>
      <x:c r="R2137" s="22" t="str">
        <x:f>O2137&amp;P2137&amp;Q2137</x:f>
        <x:v>100</x:v>
      </x:c>
      <x:c r="S2137" s="19" t="n">
        <x:f>IF(I2137=1,IF(J2137=0,Q2137,IF(J2137=1,P2137,IF(J2137=2,O2137,0))),0)</x:f>
        <x:v>1</x:v>
      </x:c>
      <x:c r="T2137" s="19" t="n">
        <x:f>K2137+IF(AND(S2137=1,J2137=0),1,0)</x:f>
        <x:v>4</x:v>
      </x:c>
      <x:c r="U2137" s="19" t="n">
        <x:f>L2137+IF(AND(S2137=1,J2137=1),1,0)</x:f>
        <x:v>4</x:v>
      </x:c>
      <x:c r="V2137" s="19" t="n">
        <x:f>M2137+IF(AND(S2137=1,J2137=2),1,0)</x:f>
        <x:v>1</x:v>
      </x:c>
      <x:c r="W2137" s="19" t="n">
        <x:f>SUM(T2137:V2137)</x:f>
        <x:v>9</x:v>
      </x:c>
      <x:c r="X2137" s="19" t="n">
        <x:f>W2137-G2137</x:f>
        <x:v>0</x:v>
      </x:c>
      <x:c r="Y2137" s="19" t="n">
        <x:f>MAX(T2137,1)+MAX(U2137,1)+MAX(V2137,1)</x:f>
        <x:v>9</x:v>
      </x:c>
      <x:c r="Z2137" s="21" t="str">
        <x:f>IF(AND(MIN(D2137:F2137)&gt;=0,MAX(D2137:F2137)&lt;=7,MAX(D2137,1)+MAX(E2137,1)+MAX(F2137,1)&lt;=9,OR(H2137="-",AND(H2137=0,D2137&gt;0),AND(H2137=1,E2137&gt;0),AND(H2137=2,F2137&gt;0)),OR(I2137=0,AND(I2137=1,OR(J2137=0,J2137=1,J2137=2),R2137&lt;&gt;"000")),Y2137&lt;=9,MIN(T2137:V2137)&gt;=0),"合法","输入违约")</x:f>
        <x:v>合法</x:v>
      </x:c>
    </x:row>
    <x:row r="2138" ht="23" customHeight="1">
      <x:c r="A2138" s="3" t="str">
        <x:v>CT-2131</x:v>
      </x:c>
      <x:c r="B2138" s="3" t="str">
        <x:v>ST-056</x:v>
      </x:c>
      <x:c r="C2138" s="3" t="str">
        <x:v>无AR/R</x:v>
      </x:c>
      <x:c r="D2138" s="25" t="n">
        <x:v>5</x:v>
      </x:c>
      <x:c r="E2138" s="25" t="n">
        <x:v>0</x:v>
      </x:c>
      <x:c r="F2138" s="25" t="n">
        <x:v>0</x:v>
      </x:c>
      <x:c r="G2138" s="19" t="n">
        <x:f>SUM(D2138:F2138)</x:f>
        <x:v>5</x:v>
      </x:c>
      <x:c r="H2138" s="25" t="str">
        <x:v>-</x:v>
      </x:c>
      <x:c r="I2138" s="25" t="n">
        <x:v>0</x:v>
      </x:c>
      <x:c r="J2138" s="25" t="str">
        <x:v>-</x:v>
      </x:c>
      <x:c r="K2138" s="19" t="n">
        <x:f>D2138-IF(H2138=0,1,0)</x:f>
        <x:v>5</x:v>
      </x:c>
      <x:c r="L2138" s="19" t="n">
        <x:f>E2138-IF(H2138=1,1,0)</x:f>
        <x:v>0</x:v>
      </x:c>
      <x:c r="M2138" s="19" t="n">
        <x:f>F2138-IF(H2138=2,1,0)</x:f>
        <x:v>0</x:v>
      </x:c>
      <x:c r="N2138" s="19" t="n">
        <x:f>MAX(K2138-1,0)+MAX(L2138-1,0)+MAX(M2138-1,0)</x:f>
        <x:v>4</x:v>
      </x:c>
      <x:c r="O2138" s="19" t="n">
        <x:f>IF(AND(SUM(K2138:M2138)&lt;9,OR(M2138=0,N2138&lt;6)),1,0)</x:f>
        <x:v>1</x:v>
      </x:c>
      <x:c r="P2138" s="19" t="n">
        <x:f>IF(AND(SUM(K2138:M2138)&lt;9,OR(L2138=0,N2138&lt;6)),1,0)</x:f>
        <x:v>1</x:v>
      </x:c>
      <x:c r="Q2138" s="19" t="n">
        <x:f>IF(AND(SUM(K2138:M2138)&lt;9,OR(K2138=0,N2138&lt;6)),1,0)</x:f>
        <x:v>1</x:v>
      </x:c>
      <x:c r="R2138" s="22" t="str">
        <x:f>O2138&amp;P2138&amp;Q2138</x:f>
        <x:v>111</x:v>
      </x:c>
      <x:c r="S2138" s="19" t="n">
        <x:f>IF(I2138=1,IF(J2138=0,Q2138,IF(J2138=1,P2138,IF(J2138=2,O2138,0))),0)</x:f>
        <x:v>0</x:v>
      </x:c>
      <x:c r="T2138" s="19" t="n">
        <x:f>K2138+IF(AND(S2138=1,J2138=0),1,0)</x:f>
        <x:v>5</x:v>
      </x:c>
      <x:c r="U2138" s="19" t="n">
        <x:f>L2138+IF(AND(S2138=1,J2138=1),1,0)</x:f>
        <x:v>0</x:v>
      </x:c>
      <x:c r="V2138" s="19" t="n">
        <x:f>M2138+IF(AND(S2138=1,J2138=2),1,0)</x:f>
        <x:v>0</x:v>
      </x:c>
      <x:c r="W2138" s="19" t="n">
        <x:f>SUM(T2138:V2138)</x:f>
        <x:v>5</x:v>
      </x:c>
      <x:c r="X2138" s="19" t="n">
        <x:f>W2138-G2138</x:f>
        <x:v>0</x:v>
      </x:c>
      <x:c r="Y2138" s="19" t="n">
        <x:f>MAX(T2138,1)+MAX(U2138,1)+MAX(V2138,1)</x:f>
        <x:v>7</x:v>
      </x:c>
      <x:c r="Z2138" s="21" t="str">
        <x:f>IF(AND(MIN(D2138:F2138)&gt;=0,MAX(D2138:F2138)&lt;=7,MAX(D2138,1)+MAX(E2138,1)+MAX(F2138,1)&lt;=9,OR(H2138="-",AND(H2138=0,D2138&gt;0),AND(H2138=1,E2138&gt;0),AND(H2138=2,F2138&gt;0)),OR(I2138=0,AND(I2138=1,OR(J2138=0,J2138=1,J2138=2),R2138&lt;&gt;"000")),Y2138&lt;=9,MIN(T2138:V2138)&gt;=0),"合法","输入违约")</x:f>
        <x:v>合法</x:v>
      </x:c>
    </x:row>
    <x:row r="2139" ht="23" customHeight="1">
      <x:c r="A2139" s="3" t="str">
        <x:v>CT-2132</x:v>
      </x:c>
      <x:c r="B2139" s="3" t="str">
        <x:v>ST-056</x:v>
      </x:c>
      <x:c r="C2139" s="3" t="str">
        <x:v>仅AR接收</x:v>
      </x:c>
      <x:c r="D2139" s="25" t="n">
        <x:v>5</x:v>
      </x:c>
      <x:c r="E2139" s="25" t="n">
        <x:v>0</x:v>
      </x:c>
      <x:c r="F2139" s="25" t="n">
        <x:v>0</x:v>
      </x:c>
      <x:c r="G2139" s="19" t="n">
        <x:f>SUM(D2139:F2139)</x:f>
        <x:v>5</x:v>
      </x:c>
      <x:c r="H2139" s="25" t="str">
        <x:v>-</x:v>
      </x:c>
      <x:c r="I2139" s="25" t="n">
        <x:v>1</x:v>
      </x:c>
      <x:c r="J2139" s="25" t="n">
        <x:v>0</x:v>
      </x:c>
      <x:c r="K2139" s="19" t="n">
        <x:f>D2139-IF(H2139=0,1,0)</x:f>
        <x:v>5</x:v>
      </x:c>
      <x:c r="L2139" s="19" t="n">
        <x:f>E2139-IF(H2139=1,1,0)</x:f>
        <x:v>0</x:v>
      </x:c>
      <x:c r="M2139" s="19" t="n">
        <x:f>F2139-IF(H2139=2,1,0)</x:f>
        <x:v>0</x:v>
      </x:c>
      <x:c r="N2139" s="19" t="n">
        <x:f>MAX(K2139-1,0)+MAX(L2139-1,0)+MAX(M2139-1,0)</x:f>
        <x:v>4</x:v>
      </x:c>
      <x:c r="O2139" s="19" t="n">
        <x:f>IF(AND(SUM(K2139:M2139)&lt;9,OR(M2139=0,N2139&lt;6)),1,0)</x:f>
        <x:v>1</x:v>
      </x:c>
      <x:c r="P2139" s="19" t="n">
        <x:f>IF(AND(SUM(K2139:M2139)&lt;9,OR(L2139=0,N2139&lt;6)),1,0)</x:f>
        <x:v>1</x:v>
      </x:c>
      <x:c r="Q2139" s="19" t="n">
        <x:f>IF(AND(SUM(K2139:M2139)&lt;9,OR(K2139=0,N2139&lt;6)),1,0)</x:f>
        <x:v>1</x:v>
      </x:c>
      <x:c r="R2139" s="22" t="str">
        <x:f>O2139&amp;P2139&amp;Q2139</x:f>
        <x:v>111</x:v>
      </x:c>
      <x:c r="S2139" s="19" t="n">
        <x:f>IF(I2139=1,IF(J2139=0,Q2139,IF(J2139=1,P2139,IF(J2139=2,O2139,0))),0)</x:f>
        <x:v>1</x:v>
      </x:c>
      <x:c r="T2139" s="19" t="n">
        <x:f>K2139+IF(AND(S2139=1,J2139=0),1,0)</x:f>
        <x:v>6</x:v>
      </x:c>
      <x:c r="U2139" s="19" t="n">
        <x:f>L2139+IF(AND(S2139=1,J2139=1),1,0)</x:f>
        <x:v>0</x:v>
      </x:c>
      <x:c r="V2139" s="19" t="n">
        <x:f>M2139+IF(AND(S2139=1,J2139=2),1,0)</x:f>
        <x:v>0</x:v>
      </x:c>
      <x:c r="W2139" s="19" t="n">
        <x:f>SUM(T2139:V2139)</x:f>
        <x:v>6</x:v>
      </x:c>
      <x:c r="X2139" s="19" t="n">
        <x:f>W2139-G2139</x:f>
        <x:v>1</x:v>
      </x:c>
      <x:c r="Y2139" s="19" t="n">
        <x:f>MAX(T2139,1)+MAX(U2139,1)+MAX(V2139,1)</x:f>
        <x:v>8</x:v>
      </x:c>
      <x:c r="Z2139" s="21" t="str">
        <x:f>IF(AND(MIN(D2139:F2139)&gt;=0,MAX(D2139:F2139)&lt;=7,MAX(D2139,1)+MAX(E2139,1)+MAX(F2139,1)&lt;=9,OR(H2139="-",AND(H2139=0,D2139&gt;0),AND(H2139=1,E2139&gt;0),AND(H2139=2,F2139&gt;0)),OR(I2139=0,AND(I2139=1,OR(J2139=0,J2139=1,J2139=2),R2139&lt;&gt;"000")),Y2139&lt;=9,MIN(T2139:V2139)&gt;=0),"合法","输入违约")</x:f>
        <x:v>合法</x:v>
      </x:c>
    </x:row>
    <x:row r="2140" ht="23" customHeight="1">
      <x:c r="A2140" s="3" t="str">
        <x:v>CT-2133</x:v>
      </x:c>
      <x:c r="B2140" s="3" t="str">
        <x:v>ST-056</x:v>
      </x:c>
      <x:c r="C2140" s="3" t="str">
        <x:v>仅AR接收</x:v>
      </x:c>
      <x:c r="D2140" s="25" t="n">
        <x:v>5</x:v>
      </x:c>
      <x:c r="E2140" s="25" t="n">
        <x:v>0</x:v>
      </x:c>
      <x:c r="F2140" s="25" t="n">
        <x:v>0</x:v>
      </x:c>
      <x:c r="G2140" s="19" t="n">
        <x:f>SUM(D2140:F2140)</x:f>
        <x:v>5</x:v>
      </x:c>
      <x:c r="H2140" s="25" t="str">
        <x:v>-</x:v>
      </x:c>
      <x:c r="I2140" s="25" t="n">
        <x:v>1</x:v>
      </x:c>
      <x:c r="J2140" s="25" t="n">
        <x:v>1</x:v>
      </x:c>
      <x:c r="K2140" s="19" t="n">
        <x:f>D2140-IF(H2140=0,1,0)</x:f>
        <x:v>5</x:v>
      </x:c>
      <x:c r="L2140" s="19" t="n">
        <x:f>E2140-IF(H2140=1,1,0)</x:f>
        <x:v>0</x:v>
      </x:c>
      <x:c r="M2140" s="19" t="n">
        <x:f>F2140-IF(H2140=2,1,0)</x:f>
        <x:v>0</x:v>
      </x:c>
      <x:c r="N2140" s="19" t="n">
        <x:f>MAX(K2140-1,0)+MAX(L2140-1,0)+MAX(M2140-1,0)</x:f>
        <x:v>4</x:v>
      </x:c>
      <x:c r="O2140" s="19" t="n">
        <x:f>IF(AND(SUM(K2140:M2140)&lt;9,OR(M2140=0,N2140&lt;6)),1,0)</x:f>
        <x:v>1</x:v>
      </x:c>
      <x:c r="P2140" s="19" t="n">
        <x:f>IF(AND(SUM(K2140:M2140)&lt;9,OR(L2140=0,N2140&lt;6)),1,0)</x:f>
        <x:v>1</x:v>
      </x:c>
      <x:c r="Q2140" s="19" t="n">
        <x:f>IF(AND(SUM(K2140:M2140)&lt;9,OR(K2140=0,N2140&lt;6)),1,0)</x:f>
        <x:v>1</x:v>
      </x:c>
      <x:c r="R2140" s="22" t="str">
        <x:f>O2140&amp;P2140&amp;Q2140</x:f>
        <x:v>111</x:v>
      </x:c>
      <x:c r="S2140" s="19" t="n">
        <x:f>IF(I2140=1,IF(J2140=0,Q2140,IF(J2140=1,P2140,IF(J2140=2,O2140,0))),0)</x:f>
        <x:v>1</x:v>
      </x:c>
      <x:c r="T2140" s="19" t="n">
        <x:f>K2140+IF(AND(S2140=1,J2140=0),1,0)</x:f>
        <x:v>5</x:v>
      </x:c>
      <x:c r="U2140" s="19" t="n">
        <x:f>L2140+IF(AND(S2140=1,J2140=1),1,0)</x:f>
        <x:v>1</x:v>
      </x:c>
      <x:c r="V2140" s="19" t="n">
        <x:f>M2140+IF(AND(S2140=1,J2140=2),1,0)</x:f>
        <x:v>0</x:v>
      </x:c>
      <x:c r="W2140" s="19" t="n">
        <x:f>SUM(T2140:V2140)</x:f>
        <x:v>6</x:v>
      </x:c>
      <x:c r="X2140" s="19" t="n">
        <x:f>W2140-G2140</x:f>
        <x:v>1</x:v>
      </x:c>
      <x:c r="Y2140" s="19" t="n">
        <x:f>MAX(T2140,1)+MAX(U2140,1)+MAX(V2140,1)</x:f>
        <x:v>7</x:v>
      </x:c>
      <x:c r="Z2140" s="21" t="str">
        <x:f>IF(AND(MIN(D2140:F2140)&gt;=0,MAX(D2140:F2140)&lt;=7,MAX(D2140,1)+MAX(E2140,1)+MAX(F2140,1)&lt;=9,OR(H2140="-",AND(H2140=0,D2140&gt;0),AND(H2140=1,E2140&gt;0),AND(H2140=2,F2140&gt;0)),OR(I2140=0,AND(I2140=1,OR(J2140=0,J2140=1,J2140=2),R2140&lt;&gt;"000")),Y2140&lt;=9,MIN(T2140:V2140)&gt;=0),"合法","输入违约")</x:f>
        <x:v>合法</x:v>
      </x:c>
    </x:row>
    <x:row r="2141" ht="23" customHeight="1">
      <x:c r="A2141" s="3" t="str">
        <x:v>CT-2134</x:v>
      </x:c>
      <x:c r="B2141" s="3" t="str">
        <x:v>ST-056</x:v>
      </x:c>
      <x:c r="C2141" s="3" t="str">
        <x:v>仅AR接收</x:v>
      </x:c>
      <x:c r="D2141" s="25" t="n">
        <x:v>5</x:v>
      </x:c>
      <x:c r="E2141" s="25" t="n">
        <x:v>0</x:v>
      </x:c>
      <x:c r="F2141" s="25" t="n">
        <x:v>0</x:v>
      </x:c>
      <x:c r="G2141" s="19" t="n">
        <x:f>SUM(D2141:F2141)</x:f>
        <x:v>5</x:v>
      </x:c>
      <x:c r="H2141" s="25" t="str">
        <x:v>-</x:v>
      </x:c>
      <x:c r="I2141" s="25" t="n">
        <x:v>1</x:v>
      </x:c>
      <x:c r="J2141" s="25" t="n">
        <x:v>2</x:v>
      </x:c>
      <x:c r="K2141" s="19" t="n">
        <x:f>D2141-IF(H2141=0,1,0)</x:f>
        <x:v>5</x:v>
      </x:c>
      <x:c r="L2141" s="19" t="n">
        <x:f>E2141-IF(H2141=1,1,0)</x:f>
        <x:v>0</x:v>
      </x:c>
      <x:c r="M2141" s="19" t="n">
        <x:f>F2141-IF(H2141=2,1,0)</x:f>
        <x:v>0</x:v>
      </x:c>
      <x:c r="N2141" s="19" t="n">
        <x:f>MAX(K2141-1,0)+MAX(L2141-1,0)+MAX(M2141-1,0)</x:f>
        <x:v>4</x:v>
      </x:c>
      <x:c r="O2141" s="19" t="n">
        <x:f>IF(AND(SUM(K2141:M2141)&lt;9,OR(M2141=0,N2141&lt;6)),1,0)</x:f>
        <x:v>1</x:v>
      </x:c>
      <x:c r="P2141" s="19" t="n">
        <x:f>IF(AND(SUM(K2141:M2141)&lt;9,OR(L2141=0,N2141&lt;6)),1,0)</x:f>
        <x:v>1</x:v>
      </x:c>
      <x:c r="Q2141" s="19" t="n">
        <x:f>IF(AND(SUM(K2141:M2141)&lt;9,OR(K2141=0,N2141&lt;6)),1,0)</x:f>
        <x:v>1</x:v>
      </x:c>
      <x:c r="R2141" s="22" t="str">
        <x:f>O2141&amp;P2141&amp;Q2141</x:f>
        <x:v>111</x:v>
      </x:c>
      <x:c r="S2141" s="19" t="n">
        <x:f>IF(I2141=1,IF(J2141=0,Q2141,IF(J2141=1,P2141,IF(J2141=2,O2141,0))),0)</x:f>
        <x:v>1</x:v>
      </x:c>
      <x:c r="T2141" s="19" t="n">
        <x:f>K2141+IF(AND(S2141=1,J2141=0),1,0)</x:f>
        <x:v>5</x:v>
      </x:c>
      <x:c r="U2141" s="19" t="n">
        <x:f>L2141+IF(AND(S2141=1,J2141=1),1,0)</x:f>
        <x:v>0</x:v>
      </x:c>
      <x:c r="V2141" s="19" t="n">
        <x:f>M2141+IF(AND(S2141=1,J2141=2),1,0)</x:f>
        <x:v>1</x:v>
      </x:c>
      <x:c r="W2141" s="19" t="n">
        <x:f>SUM(T2141:V2141)</x:f>
        <x:v>6</x:v>
      </x:c>
      <x:c r="X2141" s="19" t="n">
        <x:f>W2141-G2141</x:f>
        <x:v>1</x:v>
      </x:c>
      <x:c r="Y2141" s="19" t="n">
        <x:f>MAX(T2141,1)+MAX(U2141,1)+MAX(V2141,1)</x:f>
        <x:v>7</x:v>
      </x:c>
      <x:c r="Z2141" s="21" t="str">
        <x:f>IF(AND(MIN(D2141:F2141)&gt;=0,MAX(D2141:F2141)&lt;=7,MAX(D2141,1)+MAX(E2141,1)+MAX(F2141,1)&lt;=9,OR(H2141="-",AND(H2141=0,D2141&gt;0),AND(H2141=1,E2141&gt;0),AND(H2141=2,F2141&gt;0)),OR(I2141=0,AND(I2141=1,OR(J2141=0,J2141=1,J2141=2),R2141&lt;&gt;"000")),Y2141&lt;=9,MIN(T2141:V2141)&gt;=0),"合法","输入违约")</x:f>
        <x:v>合法</x:v>
      </x:c>
    </x:row>
    <x:row r="2142" ht="23" customHeight="1">
      <x:c r="A2142" s="3" t="str">
        <x:v>CT-2135</x:v>
      </x:c>
      <x:c r="B2142" s="3" t="str">
        <x:v>ST-056</x:v>
      </x:c>
      <x:c r="C2142" s="3" t="str">
        <x:v>仅R回收</x:v>
      </x:c>
      <x:c r="D2142" s="25" t="n">
        <x:v>5</x:v>
      </x:c>
      <x:c r="E2142" s="25" t="n">
        <x:v>0</x:v>
      </x:c>
      <x:c r="F2142" s="25" t="n">
        <x:v>0</x:v>
      </x:c>
      <x:c r="G2142" s="19" t="n">
        <x:f>SUM(D2142:F2142)</x:f>
        <x:v>5</x:v>
      </x:c>
      <x:c r="H2142" s="25" t="n">
        <x:v>0</x:v>
      </x:c>
      <x:c r="I2142" s="25" t="n">
        <x:v>0</x:v>
      </x:c>
      <x:c r="J2142" s="25" t="str">
        <x:v>-</x:v>
      </x:c>
      <x:c r="K2142" s="19" t="n">
        <x:f>D2142-IF(H2142=0,1,0)</x:f>
        <x:v>4</x:v>
      </x:c>
      <x:c r="L2142" s="19" t="n">
        <x:f>E2142-IF(H2142=1,1,0)</x:f>
        <x:v>0</x:v>
      </x:c>
      <x:c r="M2142" s="19" t="n">
        <x:f>F2142-IF(H2142=2,1,0)</x:f>
        <x:v>0</x:v>
      </x:c>
      <x:c r="N2142" s="19" t="n">
        <x:f>MAX(K2142-1,0)+MAX(L2142-1,0)+MAX(M2142-1,0)</x:f>
        <x:v>3</x:v>
      </x:c>
      <x:c r="O2142" s="19" t="n">
        <x:f>IF(AND(SUM(K2142:M2142)&lt;9,OR(M2142=0,N2142&lt;6)),1,0)</x:f>
        <x:v>1</x:v>
      </x:c>
      <x:c r="P2142" s="19" t="n">
        <x:f>IF(AND(SUM(K2142:M2142)&lt;9,OR(L2142=0,N2142&lt;6)),1,0)</x:f>
        <x:v>1</x:v>
      </x:c>
      <x:c r="Q2142" s="19" t="n">
        <x:f>IF(AND(SUM(K2142:M2142)&lt;9,OR(K2142=0,N2142&lt;6)),1,0)</x:f>
        <x:v>1</x:v>
      </x:c>
      <x:c r="R2142" s="22" t="str">
        <x:f>O2142&amp;P2142&amp;Q2142</x:f>
        <x:v>111</x:v>
      </x:c>
      <x:c r="S2142" s="19" t="n">
        <x:f>IF(I2142=1,IF(J2142=0,Q2142,IF(J2142=1,P2142,IF(J2142=2,O2142,0))),0)</x:f>
        <x:v>0</x:v>
      </x:c>
      <x:c r="T2142" s="19" t="n">
        <x:f>K2142+IF(AND(S2142=1,J2142=0),1,0)</x:f>
        <x:v>4</x:v>
      </x:c>
      <x:c r="U2142" s="19" t="n">
        <x:f>L2142+IF(AND(S2142=1,J2142=1),1,0)</x:f>
        <x:v>0</x:v>
      </x:c>
      <x:c r="V2142" s="19" t="n">
        <x:f>M2142+IF(AND(S2142=1,J2142=2),1,0)</x:f>
        <x:v>0</x:v>
      </x:c>
      <x:c r="W2142" s="19" t="n">
        <x:f>SUM(T2142:V2142)</x:f>
        <x:v>4</x:v>
      </x:c>
      <x:c r="X2142" s="19" t="n">
        <x:f>W2142-G2142</x:f>
        <x:v>-1</x:v>
      </x:c>
      <x:c r="Y2142" s="19" t="n">
        <x:f>MAX(T2142,1)+MAX(U2142,1)+MAX(V2142,1)</x:f>
        <x:v>6</x:v>
      </x:c>
      <x:c r="Z2142" s="21" t="str">
        <x:f>IF(AND(MIN(D2142:F2142)&gt;=0,MAX(D2142:F2142)&lt;=7,MAX(D2142,1)+MAX(E2142,1)+MAX(F2142,1)&lt;=9,OR(H2142="-",AND(H2142=0,D2142&gt;0),AND(H2142=1,E2142&gt;0),AND(H2142=2,F2142&gt;0)),OR(I2142=0,AND(I2142=1,OR(J2142=0,J2142=1,J2142=2),R2142&lt;&gt;"000")),Y2142&lt;=9,MIN(T2142:V2142)&gt;=0),"合法","输入违约")</x:f>
        <x:v>合法</x:v>
      </x:c>
    </x:row>
    <x:row r="2143" ht="23" customHeight="1">
      <x:c r="A2143" s="3" t="str">
        <x:v>CT-2136</x:v>
      </x:c>
      <x:c r="B2143" s="3" t="str">
        <x:v>ST-056</x:v>
      </x:c>
      <x:c r="C2143" s="3" t="str">
        <x:v>R+AR同收同发</x:v>
      </x:c>
      <x:c r="D2143" s="25" t="n">
        <x:v>5</x:v>
      </x:c>
      <x:c r="E2143" s="25" t="n">
        <x:v>0</x:v>
      </x:c>
      <x:c r="F2143" s="25" t="n">
        <x:v>0</x:v>
      </x:c>
      <x:c r="G2143" s="19" t="n">
        <x:f>SUM(D2143:F2143)</x:f>
        <x:v>5</x:v>
      </x:c>
      <x:c r="H2143" s="25" t="n">
        <x:v>0</x:v>
      </x:c>
      <x:c r="I2143" s="25" t="n">
        <x:v>1</x:v>
      </x:c>
      <x:c r="J2143" s="25" t="n">
        <x:v>0</x:v>
      </x:c>
      <x:c r="K2143" s="19" t="n">
        <x:f>D2143-IF(H2143=0,1,0)</x:f>
        <x:v>4</x:v>
      </x:c>
      <x:c r="L2143" s="19" t="n">
        <x:f>E2143-IF(H2143=1,1,0)</x:f>
        <x:v>0</x:v>
      </x:c>
      <x:c r="M2143" s="19" t="n">
        <x:f>F2143-IF(H2143=2,1,0)</x:f>
        <x:v>0</x:v>
      </x:c>
      <x:c r="N2143" s="19" t="n">
        <x:f>MAX(K2143-1,0)+MAX(L2143-1,0)+MAX(M2143-1,0)</x:f>
        <x:v>3</x:v>
      </x:c>
      <x:c r="O2143" s="19" t="n">
        <x:f>IF(AND(SUM(K2143:M2143)&lt;9,OR(M2143=0,N2143&lt;6)),1,0)</x:f>
        <x:v>1</x:v>
      </x:c>
      <x:c r="P2143" s="19" t="n">
        <x:f>IF(AND(SUM(K2143:M2143)&lt;9,OR(L2143=0,N2143&lt;6)),1,0)</x:f>
        <x:v>1</x:v>
      </x:c>
      <x:c r="Q2143" s="19" t="n">
        <x:f>IF(AND(SUM(K2143:M2143)&lt;9,OR(K2143=0,N2143&lt;6)),1,0)</x:f>
        <x:v>1</x:v>
      </x:c>
      <x:c r="R2143" s="22" t="str">
        <x:f>O2143&amp;P2143&amp;Q2143</x:f>
        <x:v>111</x:v>
      </x:c>
      <x:c r="S2143" s="19" t="n">
        <x:f>IF(I2143=1,IF(J2143=0,Q2143,IF(J2143=1,P2143,IF(J2143=2,O2143,0))),0)</x:f>
        <x:v>1</x:v>
      </x:c>
      <x:c r="T2143" s="19" t="n">
        <x:f>K2143+IF(AND(S2143=1,J2143=0),1,0)</x:f>
        <x:v>5</x:v>
      </x:c>
      <x:c r="U2143" s="19" t="n">
        <x:f>L2143+IF(AND(S2143=1,J2143=1),1,0)</x:f>
        <x:v>0</x:v>
      </x:c>
      <x:c r="V2143" s="19" t="n">
        <x:f>M2143+IF(AND(S2143=1,J2143=2),1,0)</x:f>
        <x:v>0</x:v>
      </x:c>
      <x:c r="W2143" s="19" t="n">
        <x:f>SUM(T2143:V2143)</x:f>
        <x:v>5</x:v>
      </x:c>
      <x:c r="X2143" s="19" t="n">
        <x:f>W2143-G2143</x:f>
        <x:v>0</x:v>
      </x:c>
      <x:c r="Y2143" s="19" t="n">
        <x:f>MAX(T2143,1)+MAX(U2143,1)+MAX(V2143,1)</x:f>
        <x:v>7</x:v>
      </x:c>
      <x:c r="Z2143" s="21" t="str">
        <x:f>IF(AND(MIN(D2143:F2143)&gt;=0,MAX(D2143:F2143)&lt;=7,MAX(D2143,1)+MAX(E2143,1)+MAX(F2143,1)&lt;=9,OR(H2143="-",AND(H2143=0,D2143&gt;0),AND(H2143=1,E2143&gt;0),AND(H2143=2,F2143&gt;0)),OR(I2143=0,AND(I2143=1,OR(J2143=0,J2143=1,J2143=2),R2143&lt;&gt;"000")),Y2143&lt;=9,MIN(T2143:V2143)&gt;=0),"合法","输入违约")</x:f>
        <x:v>合法</x:v>
      </x:c>
    </x:row>
    <x:row r="2144" ht="23" customHeight="1">
      <x:c r="A2144" s="3" t="str">
        <x:v>CT-2137</x:v>
      </x:c>
      <x:c r="B2144" s="3" t="str">
        <x:v>ST-056</x:v>
      </x:c>
      <x:c r="C2144" s="3" t="str">
        <x:v>R+AR同收同发</x:v>
      </x:c>
      <x:c r="D2144" s="25" t="n">
        <x:v>5</x:v>
      </x:c>
      <x:c r="E2144" s="25" t="n">
        <x:v>0</x:v>
      </x:c>
      <x:c r="F2144" s="25" t="n">
        <x:v>0</x:v>
      </x:c>
      <x:c r="G2144" s="19" t="n">
        <x:f>SUM(D2144:F2144)</x:f>
        <x:v>5</x:v>
      </x:c>
      <x:c r="H2144" s="25" t="n">
        <x:v>0</x:v>
      </x:c>
      <x:c r="I2144" s="25" t="n">
        <x:v>1</x:v>
      </x:c>
      <x:c r="J2144" s="25" t="n">
        <x:v>1</x:v>
      </x:c>
      <x:c r="K2144" s="19" t="n">
        <x:f>D2144-IF(H2144=0,1,0)</x:f>
        <x:v>4</x:v>
      </x:c>
      <x:c r="L2144" s="19" t="n">
        <x:f>E2144-IF(H2144=1,1,0)</x:f>
        <x:v>0</x:v>
      </x:c>
      <x:c r="M2144" s="19" t="n">
        <x:f>F2144-IF(H2144=2,1,0)</x:f>
        <x:v>0</x:v>
      </x:c>
      <x:c r="N2144" s="19" t="n">
        <x:f>MAX(K2144-1,0)+MAX(L2144-1,0)+MAX(M2144-1,0)</x:f>
        <x:v>3</x:v>
      </x:c>
      <x:c r="O2144" s="19" t="n">
        <x:f>IF(AND(SUM(K2144:M2144)&lt;9,OR(M2144=0,N2144&lt;6)),1,0)</x:f>
        <x:v>1</x:v>
      </x:c>
      <x:c r="P2144" s="19" t="n">
        <x:f>IF(AND(SUM(K2144:M2144)&lt;9,OR(L2144=0,N2144&lt;6)),1,0)</x:f>
        <x:v>1</x:v>
      </x:c>
      <x:c r="Q2144" s="19" t="n">
        <x:f>IF(AND(SUM(K2144:M2144)&lt;9,OR(K2144=0,N2144&lt;6)),1,0)</x:f>
        <x:v>1</x:v>
      </x:c>
      <x:c r="R2144" s="22" t="str">
        <x:f>O2144&amp;P2144&amp;Q2144</x:f>
        <x:v>111</x:v>
      </x:c>
      <x:c r="S2144" s="19" t="n">
        <x:f>IF(I2144=1,IF(J2144=0,Q2144,IF(J2144=1,P2144,IF(J2144=2,O2144,0))),0)</x:f>
        <x:v>1</x:v>
      </x:c>
      <x:c r="T2144" s="19" t="n">
        <x:f>K2144+IF(AND(S2144=1,J2144=0),1,0)</x:f>
        <x:v>4</x:v>
      </x:c>
      <x:c r="U2144" s="19" t="n">
        <x:f>L2144+IF(AND(S2144=1,J2144=1),1,0)</x:f>
        <x:v>1</x:v>
      </x:c>
      <x:c r="V2144" s="19" t="n">
        <x:f>M2144+IF(AND(S2144=1,J2144=2),1,0)</x:f>
        <x:v>0</x:v>
      </x:c>
      <x:c r="W2144" s="19" t="n">
        <x:f>SUM(T2144:V2144)</x:f>
        <x:v>5</x:v>
      </x:c>
      <x:c r="X2144" s="19" t="n">
        <x:f>W2144-G2144</x:f>
        <x:v>0</x:v>
      </x:c>
      <x:c r="Y2144" s="19" t="n">
        <x:f>MAX(T2144,1)+MAX(U2144,1)+MAX(V2144,1)</x:f>
        <x:v>6</x:v>
      </x:c>
      <x:c r="Z2144" s="21" t="str">
        <x:f>IF(AND(MIN(D2144:F2144)&gt;=0,MAX(D2144:F2144)&lt;=7,MAX(D2144,1)+MAX(E2144,1)+MAX(F2144,1)&lt;=9,OR(H2144="-",AND(H2144=0,D2144&gt;0),AND(H2144=1,E2144&gt;0),AND(H2144=2,F2144&gt;0)),OR(I2144=0,AND(I2144=1,OR(J2144=0,J2144=1,J2144=2),R2144&lt;&gt;"000")),Y2144&lt;=9,MIN(T2144:V2144)&gt;=0),"合法","输入违约")</x:f>
        <x:v>合法</x:v>
      </x:c>
    </x:row>
    <x:row r="2145" ht="23" customHeight="1">
      <x:c r="A2145" s="3" t="str">
        <x:v>CT-2138</x:v>
      </x:c>
      <x:c r="B2145" s="3" t="str">
        <x:v>ST-056</x:v>
      </x:c>
      <x:c r="C2145" s="3" t="str">
        <x:v>R+AR同收同发</x:v>
      </x:c>
      <x:c r="D2145" s="25" t="n">
        <x:v>5</x:v>
      </x:c>
      <x:c r="E2145" s="25" t="n">
        <x:v>0</x:v>
      </x:c>
      <x:c r="F2145" s="25" t="n">
        <x:v>0</x:v>
      </x:c>
      <x:c r="G2145" s="19" t="n">
        <x:f>SUM(D2145:F2145)</x:f>
        <x:v>5</x:v>
      </x:c>
      <x:c r="H2145" s="25" t="n">
        <x:v>0</x:v>
      </x:c>
      <x:c r="I2145" s="25" t="n">
        <x:v>1</x:v>
      </x:c>
      <x:c r="J2145" s="25" t="n">
        <x:v>2</x:v>
      </x:c>
      <x:c r="K2145" s="19" t="n">
        <x:f>D2145-IF(H2145=0,1,0)</x:f>
        <x:v>4</x:v>
      </x:c>
      <x:c r="L2145" s="19" t="n">
        <x:f>E2145-IF(H2145=1,1,0)</x:f>
        <x:v>0</x:v>
      </x:c>
      <x:c r="M2145" s="19" t="n">
        <x:f>F2145-IF(H2145=2,1,0)</x:f>
        <x:v>0</x:v>
      </x:c>
      <x:c r="N2145" s="19" t="n">
        <x:f>MAX(K2145-1,0)+MAX(L2145-1,0)+MAX(M2145-1,0)</x:f>
        <x:v>3</x:v>
      </x:c>
      <x:c r="O2145" s="19" t="n">
        <x:f>IF(AND(SUM(K2145:M2145)&lt;9,OR(M2145=0,N2145&lt;6)),1,0)</x:f>
        <x:v>1</x:v>
      </x:c>
      <x:c r="P2145" s="19" t="n">
        <x:f>IF(AND(SUM(K2145:M2145)&lt;9,OR(L2145=0,N2145&lt;6)),1,0)</x:f>
        <x:v>1</x:v>
      </x:c>
      <x:c r="Q2145" s="19" t="n">
        <x:f>IF(AND(SUM(K2145:M2145)&lt;9,OR(K2145=0,N2145&lt;6)),1,0)</x:f>
        <x:v>1</x:v>
      </x:c>
      <x:c r="R2145" s="22" t="str">
        <x:f>O2145&amp;P2145&amp;Q2145</x:f>
        <x:v>111</x:v>
      </x:c>
      <x:c r="S2145" s="19" t="n">
        <x:f>IF(I2145=1,IF(J2145=0,Q2145,IF(J2145=1,P2145,IF(J2145=2,O2145,0))),0)</x:f>
        <x:v>1</x:v>
      </x:c>
      <x:c r="T2145" s="19" t="n">
        <x:f>K2145+IF(AND(S2145=1,J2145=0),1,0)</x:f>
        <x:v>4</x:v>
      </x:c>
      <x:c r="U2145" s="19" t="n">
        <x:f>L2145+IF(AND(S2145=1,J2145=1),1,0)</x:f>
        <x:v>0</x:v>
      </x:c>
      <x:c r="V2145" s="19" t="n">
        <x:f>M2145+IF(AND(S2145=1,J2145=2),1,0)</x:f>
        <x:v>1</x:v>
      </x:c>
      <x:c r="W2145" s="19" t="n">
        <x:f>SUM(T2145:V2145)</x:f>
        <x:v>5</x:v>
      </x:c>
      <x:c r="X2145" s="19" t="n">
        <x:f>W2145-G2145</x:f>
        <x:v>0</x:v>
      </x:c>
      <x:c r="Y2145" s="19" t="n">
        <x:f>MAX(T2145,1)+MAX(U2145,1)+MAX(V2145,1)</x:f>
        <x:v>6</x:v>
      </x:c>
      <x:c r="Z2145" s="21" t="str">
        <x:f>IF(AND(MIN(D2145:F2145)&gt;=0,MAX(D2145:F2145)&lt;=7,MAX(D2145,1)+MAX(E2145,1)+MAX(F2145,1)&lt;=9,OR(H2145="-",AND(H2145=0,D2145&gt;0),AND(H2145=1,E2145&gt;0),AND(H2145=2,F2145&gt;0)),OR(I2145=0,AND(I2145=1,OR(J2145=0,J2145=1,J2145=2),R2145&lt;&gt;"000")),Y2145&lt;=9,MIN(T2145:V2145)&gt;=0),"合法","输入违约")</x:f>
        <x:v>合法</x:v>
      </x:c>
    </x:row>
    <x:row r="2146" ht="23" customHeight="1">
      <x:c r="A2146" s="3" t="str">
        <x:v>CT-2139</x:v>
      </x:c>
      <x:c r="B2146" s="3" t="str">
        <x:v>ST-082</x:v>
      </x:c>
      <x:c r="C2146" s="3" t="str">
        <x:v>无AR/R</x:v>
      </x:c>
      <x:c r="D2146" s="25" t="n">
        <x:v>5</x:v>
      </x:c>
      <x:c r="E2146" s="25" t="n">
        <x:v>0</x:v>
      </x:c>
      <x:c r="F2146" s="25" t="n">
        <x:v>1</x:v>
      </x:c>
      <x:c r="G2146" s="19" t="n">
        <x:f>SUM(D2146:F2146)</x:f>
        <x:v>6</x:v>
      </x:c>
      <x:c r="H2146" s="25" t="str">
        <x:v>-</x:v>
      </x:c>
      <x:c r="I2146" s="25" t="n">
        <x:v>0</x:v>
      </x:c>
      <x:c r="J2146" s="25" t="str">
        <x:v>-</x:v>
      </x:c>
      <x:c r="K2146" s="19" t="n">
        <x:f>D2146-IF(H2146=0,1,0)</x:f>
        <x:v>5</x:v>
      </x:c>
      <x:c r="L2146" s="19" t="n">
        <x:f>E2146-IF(H2146=1,1,0)</x:f>
        <x:v>0</x:v>
      </x:c>
      <x:c r="M2146" s="19" t="n">
        <x:f>F2146-IF(H2146=2,1,0)</x:f>
        <x:v>1</x:v>
      </x:c>
      <x:c r="N2146" s="19" t="n">
        <x:f>MAX(K2146-1,0)+MAX(L2146-1,0)+MAX(M2146-1,0)</x:f>
        <x:v>4</x:v>
      </x:c>
      <x:c r="O2146" s="19" t="n">
        <x:f>IF(AND(SUM(K2146:M2146)&lt;9,OR(M2146=0,N2146&lt;6)),1,0)</x:f>
        <x:v>1</x:v>
      </x:c>
      <x:c r="P2146" s="19" t="n">
        <x:f>IF(AND(SUM(K2146:M2146)&lt;9,OR(L2146=0,N2146&lt;6)),1,0)</x:f>
        <x:v>1</x:v>
      </x:c>
      <x:c r="Q2146" s="19" t="n">
        <x:f>IF(AND(SUM(K2146:M2146)&lt;9,OR(K2146=0,N2146&lt;6)),1,0)</x:f>
        <x:v>1</x:v>
      </x:c>
      <x:c r="R2146" s="22" t="str">
        <x:f>O2146&amp;P2146&amp;Q2146</x:f>
        <x:v>111</x:v>
      </x:c>
      <x:c r="S2146" s="19" t="n">
        <x:f>IF(I2146=1,IF(J2146=0,Q2146,IF(J2146=1,P2146,IF(J2146=2,O2146,0))),0)</x:f>
        <x:v>0</x:v>
      </x:c>
      <x:c r="T2146" s="19" t="n">
        <x:f>K2146+IF(AND(S2146=1,J2146=0),1,0)</x:f>
        <x:v>5</x:v>
      </x:c>
      <x:c r="U2146" s="19" t="n">
        <x:f>L2146+IF(AND(S2146=1,J2146=1),1,0)</x:f>
        <x:v>0</x:v>
      </x:c>
      <x:c r="V2146" s="19" t="n">
        <x:f>M2146+IF(AND(S2146=1,J2146=2),1,0)</x:f>
        <x:v>1</x:v>
      </x:c>
      <x:c r="W2146" s="19" t="n">
        <x:f>SUM(T2146:V2146)</x:f>
        <x:v>6</x:v>
      </x:c>
      <x:c r="X2146" s="19" t="n">
        <x:f>W2146-G2146</x:f>
        <x:v>0</x:v>
      </x:c>
      <x:c r="Y2146" s="19" t="n">
        <x:f>MAX(T2146,1)+MAX(U2146,1)+MAX(V2146,1)</x:f>
        <x:v>7</x:v>
      </x:c>
      <x:c r="Z2146" s="21" t="str">
        <x:f>IF(AND(MIN(D2146:F2146)&gt;=0,MAX(D2146:F2146)&lt;=7,MAX(D2146,1)+MAX(E2146,1)+MAX(F2146,1)&lt;=9,OR(H2146="-",AND(H2146=0,D2146&gt;0),AND(H2146=1,E2146&gt;0),AND(H2146=2,F2146&gt;0)),OR(I2146=0,AND(I2146=1,OR(J2146=0,J2146=1,J2146=2),R2146&lt;&gt;"000")),Y2146&lt;=9,MIN(T2146:V2146)&gt;=0),"合法","输入违约")</x:f>
        <x:v>合法</x:v>
      </x:c>
    </x:row>
    <x:row r="2147" ht="23" customHeight="1">
      <x:c r="A2147" s="3" t="str">
        <x:v>CT-2140</x:v>
      </x:c>
      <x:c r="B2147" s="3" t="str">
        <x:v>ST-082</x:v>
      </x:c>
      <x:c r="C2147" s="3" t="str">
        <x:v>仅AR接收</x:v>
      </x:c>
      <x:c r="D2147" s="25" t="n">
        <x:v>5</x:v>
      </x:c>
      <x:c r="E2147" s="25" t="n">
        <x:v>0</x:v>
      </x:c>
      <x:c r="F2147" s="25" t="n">
        <x:v>1</x:v>
      </x:c>
      <x:c r="G2147" s="19" t="n">
        <x:f>SUM(D2147:F2147)</x:f>
        <x:v>6</x:v>
      </x:c>
      <x:c r="H2147" s="25" t="str">
        <x:v>-</x:v>
      </x:c>
      <x:c r="I2147" s="25" t="n">
        <x:v>1</x:v>
      </x:c>
      <x:c r="J2147" s="25" t="n">
        <x:v>0</x:v>
      </x:c>
      <x:c r="K2147" s="19" t="n">
        <x:f>D2147-IF(H2147=0,1,0)</x:f>
        <x:v>5</x:v>
      </x:c>
      <x:c r="L2147" s="19" t="n">
        <x:f>E2147-IF(H2147=1,1,0)</x:f>
        <x:v>0</x:v>
      </x:c>
      <x:c r="M2147" s="19" t="n">
        <x:f>F2147-IF(H2147=2,1,0)</x:f>
        <x:v>1</x:v>
      </x:c>
      <x:c r="N2147" s="19" t="n">
        <x:f>MAX(K2147-1,0)+MAX(L2147-1,0)+MAX(M2147-1,0)</x:f>
        <x:v>4</x:v>
      </x:c>
      <x:c r="O2147" s="19" t="n">
        <x:f>IF(AND(SUM(K2147:M2147)&lt;9,OR(M2147=0,N2147&lt;6)),1,0)</x:f>
        <x:v>1</x:v>
      </x:c>
      <x:c r="P2147" s="19" t="n">
        <x:f>IF(AND(SUM(K2147:M2147)&lt;9,OR(L2147=0,N2147&lt;6)),1,0)</x:f>
        <x:v>1</x:v>
      </x:c>
      <x:c r="Q2147" s="19" t="n">
        <x:f>IF(AND(SUM(K2147:M2147)&lt;9,OR(K2147=0,N2147&lt;6)),1,0)</x:f>
        <x:v>1</x:v>
      </x:c>
      <x:c r="R2147" s="22" t="str">
        <x:f>O2147&amp;P2147&amp;Q2147</x:f>
        <x:v>111</x:v>
      </x:c>
      <x:c r="S2147" s="19" t="n">
        <x:f>IF(I2147=1,IF(J2147=0,Q2147,IF(J2147=1,P2147,IF(J2147=2,O2147,0))),0)</x:f>
        <x:v>1</x:v>
      </x:c>
      <x:c r="T2147" s="19" t="n">
        <x:f>K2147+IF(AND(S2147=1,J2147=0),1,0)</x:f>
        <x:v>6</x:v>
      </x:c>
      <x:c r="U2147" s="19" t="n">
        <x:f>L2147+IF(AND(S2147=1,J2147=1),1,0)</x:f>
        <x:v>0</x:v>
      </x:c>
      <x:c r="V2147" s="19" t="n">
        <x:f>M2147+IF(AND(S2147=1,J2147=2),1,0)</x:f>
        <x:v>1</x:v>
      </x:c>
      <x:c r="W2147" s="19" t="n">
        <x:f>SUM(T2147:V2147)</x:f>
        <x:v>7</x:v>
      </x:c>
      <x:c r="X2147" s="19" t="n">
        <x:f>W2147-G2147</x:f>
        <x:v>1</x:v>
      </x:c>
      <x:c r="Y2147" s="19" t="n">
        <x:f>MAX(T2147,1)+MAX(U2147,1)+MAX(V2147,1)</x:f>
        <x:v>8</x:v>
      </x:c>
      <x:c r="Z2147" s="21" t="str">
        <x:f>IF(AND(MIN(D2147:F2147)&gt;=0,MAX(D2147:F2147)&lt;=7,MAX(D2147,1)+MAX(E2147,1)+MAX(F2147,1)&lt;=9,OR(H2147="-",AND(H2147=0,D2147&gt;0),AND(H2147=1,E2147&gt;0),AND(H2147=2,F2147&gt;0)),OR(I2147=0,AND(I2147=1,OR(J2147=0,J2147=1,J2147=2),R2147&lt;&gt;"000")),Y2147&lt;=9,MIN(T2147:V2147)&gt;=0),"合法","输入违约")</x:f>
        <x:v>合法</x:v>
      </x:c>
    </x:row>
    <x:row r="2148" ht="23" customHeight="1">
      <x:c r="A2148" s="3" t="str">
        <x:v>CT-2141</x:v>
      </x:c>
      <x:c r="B2148" s="3" t="str">
        <x:v>ST-082</x:v>
      </x:c>
      <x:c r="C2148" s="3" t="str">
        <x:v>仅AR接收</x:v>
      </x:c>
      <x:c r="D2148" s="25" t="n">
        <x:v>5</x:v>
      </x:c>
      <x:c r="E2148" s="25" t="n">
        <x:v>0</x:v>
      </x:c>
      <x:c r="F2148" s="25" t="n">
        <x:v>1</x:v>
      </x:c>
      <x:c r="G2148" s="19" t="n">
        <x:f>SUM(D2148:F2148)</x:f>
        <x:v>6</x:v>
      </x:c>
      <x:c r="H2148" s="25" t="str">
        <x:v>-</x:v>
      </x:c>
      <x:c r="I2148" s="25" t="n">
        <x:v>1</x:v>
      </x:c>
      <x:c r="J2148" s="25" t="n">
        <x:v>1</x:v>
      </x:c>
      <x:c r="K2148" s="19" t="n">
        <x:f>D2148-IF(H2148=0,1,0)</x:f>
        <x:v>5</x:v>
      </x:c>
      <x:c r="L2148" s="19" t="n">
        <x:f>E2148-IF(H2148=1,1,0)</x:f>
        <x:v>0</x:v>
      </x:c>
      <x:c r="M2148" s="19" t="n">
        <x:f>F2148-IF(H2148=2,1,0)</x:f>
        <x:v>1</x:v>
      </x:c>
      <x:c r="N2148" s="19" t="n">
        <x:f>MAX(K2148-1,0)+MAX(L2148-1,0)+MAX(M2148-1,0)</x:f>
        <x:v>4</x:v>
      </x:c>
      <x:c r="O2148" s="19" t="n">
        <x:f>IF(AND(SUM(K2148:M2148)&lt;9,OR(M2148=0,N2148&lt;6)),1,0)</x:f>
        <x:v>1</x:v>
      </x:c>
      <x:c r="P2148" s="19" t="n">
        <x:f>IF(AND(SUM(K2148:M2148)&lt;9,OR(L2148=0,N2148&lt;6)),1,0)</x:f>
        <x:v>1</x:v>
      </x:c>
      <x:c r="Q2148" s="19" t="n">
        <x:f>IF(AND(SUM(K2148:M2148)&lt;9,OR(K2148=0,N2148&lt;6)),1,0)</x:f>
        <x:v>1</x:v>
      </x:c>
      <x:c r="R2148" s="22" t="str">
        <x:f>O2148&amp;P2148&amp;Q2148</x:f>
        <x:v>111</x:v>
      </x:c>
      <x:c r="S2148" s="19" t="n">
        <x:f>IF(I2148=1,IF(J2148=0,Q2148,IF(J2148=1,P2148,IF(J2148=2,O2148,0))),0)</x:f>
        <x:v>1</x:v>
      </x:c>
      <x:c r="T2148" s="19" t="n">
        <x:f>K2148+IF(AND(S2148=1,J2148=0),1,0)</x:f>
        <x:v>5</x:v>
      </x:c>
      <x:c r="U2148" s="19" t="n">
        <x:f>L2148+IF(AND(S2148=1,J2148=1),1,0)</x:f>
        <x:v>1</x:v>
      </x:c>
      <x:c r="V2148" s="19" t="n">
        <x:f>M2148+IF(AND(S2148=1,J2148=2),1,0)</x:f>
        <x:v>1</x:v>
      </x:c>
      <x:c r="W2148" s="19" t="n">
        <x:f>SUM(T2148:V2148)</x:f>
        <x:v>7</x:v>
      </x:c>
      <x:c r="X2148" s="19" t="n">
        <x:f>W2148-G2148</x:f>
        <x:v>1</x:v>
      </x:c>
      <x:c r="Y2148" s="19" t="n">
        <x:f>MAX(T2148,1)+MAX(U2148,1)+MAX(V2148,1)</x:f>
        <x:v>7</x:v>
      </x:c>
      <x:c r="Z2148" s="21" t="str">
        <x:f>IF(AND(MIN(D2148:F2148)&gt;=0,MAX(D2148:F2148)&lt;=7,MAX(D2148,1)+MAX(E2148,1)+MAX(F2148,1)&lt;=9,OR(H2148="-",AND(H2148=0,D2148&gt;0),AND(H2148=1,E2148&gt;0),AND(H2148=2,F2148&gt;0)),OR(I2148=0,AND(I2148=1,OR(J2148=0,J2148=1,J2148=2),R2148&lt;&gt;"000")),Y2148&lt;=9,MIN(T2148:V2148)&gt;=0),"合法","输入违约")</x:f>
        <x:v>合法</x:v>
      </x:c>
    </x:row>
    <x:row r="2149" ht="23" customHeight="1">
      <x:c r="A2149" s="3" t="str">
        <x:v>CT-2142</x:v>
      </x:c>
      <x:c r="B2149" s="3" t="str">
        <x:v>ST-082</x:v>
      </x:c>
      <x:c r="C2149" s="3" t="str">
        <x:v>仅AR接收</x:v>
      </x:c>
      <x:c r="D2149" s="25" t="n">
        <x:v>5</x:v>
      </x:c>
      <x:c r="E2149" s="25" t="n">
        <x:v>0</x:v>
      </x:c>
      <x:c r="F2149" s="25" t="n">
        <x:v>1</x:v>
      </x:c>
      <x:c r="G2149" s="19" t="n">
        <x:f>SUM(D2149:F2149)</x:f>
        <x:v>6</x:v>
      </x:c>
      <x:c r="H2149" s="25" t="str">
        <x:v>-</x:v>
      </x:c>
      <x:c r="I2149" s="25" t="n">
        <x:v>1</x:v>
      </x:c>
      <x:c r="J2149" s="25" t="n">
        <x:v>2</x:v>
      </x:c>
      <x:c r="K2149" s="19" t="n">
        <x:f>D2149-IF(H2149=0,1,0)</x:f>
        <x:v>5</x:v>
      </x:c>
      <x:c r="L2149" s="19" t="n">
        <x:f>E2149-IF(H2149=1,1,0)</x:f>
        <x:v>0</x:v>
      </x:c>
      <x:c r="M2149" s="19" t="n">
        <x:f>F2149-IF(H2149=2,1,0)</x:f>
        <x:v>1</x:v>
      </x:c>
      <x:c r="N2149" s="19" t="n">
        <x:f>MAX(K2149-1,0)+MAX(L2149-1,0)+MAX(M2149-1,0)</x:f>
        <x:v>4</x:v>
      </x:c>
      <x:c r="O2149" s="19" t="n">
        <x:f>IF(AND(SUM(K2149:M2149)&lt;9,OR(M2149=0,N2149&lt;6)),1,0)</x:f>
        <x:v>1</x:v>
      </x:c>
      <x:c r="P2149" s="19" t="n">
        <x:f>IF(AND(SUM(K2149:M2149)&lt;9,OR(L2149=0,N2149&lt;6)),1,0)</x:f>
        <x:v>1</x:v>
      </x:c>
      <x:c r="Q2149" s="19" t="n">
        <x:f>IF(AND(SUM(K2149:M2149)&lt;9,OR(K2149=0,N2149&lt;6)),1,0)</x:f>
        <x:v>1</x:v>
      </x:c>
      <x:c r="R2149" s="22" t="str">
        <x:f>O2149&amp;P2149&amp;Q2149</x:f>
        <x:v>111</x:v>
      </x:c>
      <x:c r="S2149" s="19" t="n">
        <x:f>IF(I2149=1,IF(J2149=0,Q2149,IF(J2149=1,P2149,IF(J2149=2,O2149,0))),0)</x:f>
        <x:v>1</x:v>
      </x:c>
      <x:c r="T2149" s="19" t="n">
        <x:f>K2149+IF(AND(S2149=1,J2149=0),1,0)</x:f>
        <x:v>5</x:v>
      </x:c>
      <x:c r="U2149" s="19" t="n">
        <x:f>L2149+IF(AND(S2149=1,J2149=1),1,0)</x:f>
        <x:v>0</x:v>
      </x:c>
      <x:c r="V2149" s="19" t="n">
        <x:f>M2149+IF(AND(S2149=1,J2149=2),1,0)</x:f>
        <x:v>2</x:v>
      </x:c>
      <x:c r="W2149" s="19" t="n">
        <x:f>SUM(T2149:V2149)</x:f>
        <x:v>7</x:v>
      </x:c>
      <x:c r="X2149" s="19" t="n">
        <x:f>W2149-G2149</x:f>
        <x:v>1</x:v>
      </x:c>
      <x:c r="Y2149" s="19" t="n">
        <x:f>MAX(T2149,1)+MAX(U2149,1)+MAX(V2149,1)</x:f>
        <x:v>8</x:v>
      </x:c>
      <x:c r="Z2149" s="21" t="str">
        <x:f>IF(AND(MIN(D2149:F2149)&gt;=0,MAX(D2149:F2149)&lt;=7,MAX(D2149,1)+MAX(E2149,1)+MAX(F2149,1)&lt;=9,OR(H2149="-",AND(H2149=0,D2149&gt;0),AND(H2149=1,E2149&gt;0),AND(H2149=2,F2149&gt;0)),OR(I2149=0,AND(I2149=1,OR(J2149=0,J2149=1,J2149=2),R2149&lt;&gt;"000")),Y2149&lt;=9,MIN(T2149:V2149)&gt;=0),"合法","输入违约")</x:f>
        <x:v>合法</x:v>
      </x:c>
    </x:row>
    <x:row r="2150" ht="23" customHeight="1">
      <x:c r="A2150" s="3" t="str">
        <x:v>CT-2143</x:v>
      </x:c>
      <x:c r="B2150" s="3" t="str">
        <x:v>ST-082</x:v>
      </x:c>
      <x:c r="C2150" s="3" t="str">
        <x:v>仅R回收</x:v>
      </x:c>
      <x:c r="D2150" s="25" t="n">
        <x:v>5</x:v>
      </x:c>
      <x:c r="E2150" s="25" t="n">
        <x:v>0</x:v>
      </x:c>
      <x:c r="F2150" s="25" t="n">
        <x:v>1</x:v>
      </x:c>
      <x:c r="G2150" s="19" t="n">
        <x:f>SUM(D2150:F2150)</x:f>
        <x:v>6</x:v>
      </x:c>
      <x:c r="H2150" s="25" t="n">
        <x:v>0</x:v>
      </x:c>
      <x:c r="I2150" s="25" t="n">
        <x:v>0</x:v>
      </x:c>
      <x:c r="J2150" s="25" t="str">
        <x:v>-</x:v>
      </x:c>
      <x:c r="K2150" s="19" t="n">
        <x:f>D2150-IF(H2150=0,1,0)</x:f>
        <x:v>4</x:v>
      </x:c>
      <x:c r="L2150" s="19" t="n">
        <x:f>E2150-IF(H2150=1,1,0)</x:f>
        <x:v>0</x:v>
      </x:c>
      <x:c r="M2150" s="19" t="n">
        <x:f>F2150-IF(H2150=2,1,0)</x:f>
        <x:v>1</x:v>
      </x:c>
      <x:c r="N2150" s="19" t="n">
        <x:f>MAX(K2150-1,0)+MAX(L2150-1,0)+MAX(M2150-1,0)</x:f>
        <x:v>3</x:v>
      </x:c>
      <x:c r="O2150" s="19" t="n">
        <x:f>IF(AND(SUM(K2150:M2150)&lt;9,OR(M2150=0,N2150&lt;6)),1,0)</x:f>
        <x:v>1</x:v>
      </x:c>
      <x:c r="P2150" s="19" t="n">
        <x:f>IF(AND(SUM(K2150:M2150)&lt;9,OR(L2150=0,N2150&lt;6)),1,0)</x:f>
        <x:v>1</x:v>
      </x:c>
      <x:c r="Q2150" s="19" t="n">
        <x:f>IF(AND(SUM(K2150:M2150)&lt;9,OR(K2150=0,N2150&lt;6)),1,0)</x:f>
        <x:v>1</x:v>
      </x:c>
      <x:c r="R2150" s="22" t="str">
        <x:f>O2150&amp;P2150&amp;Q2150</x:f>
        <x:v>111</x:v>
      </x:c>
      <x:c r="S2150" s="19" t="n">
        <x:f>IF(I2150=1,IF(J2150=0,Q2150,IF(J2150=1,P2150,IF(J2150=2,O2150,0))),0)</x:f>
        <x:v>0</x:v>
      </x:c>
      <x:c r="T2150" s="19" t="n">
        <x:f>K2150+IF(AND(S2150=1,J2150=0),1,0)</x:f>
        <x:v>4</x:v>
      </x:c>
      <x:c r="U2150" s="19" t="n">
        <x:f>L2150+IF(AND(S2150=1,J2150=1),1,0)</x:f>
        <x:v>0</x:v>
      </x:c>
      <x:c r="V2150" s="19" t="n">
        <x:f>M2150+IF(AND(S2150=1,J2150=2),1,0)</x:f>
        <x:v>1</x:v>
      </x:c>
      <x:c r="W2150" s="19" t="n">
        <x:f>SUM(T2150:V2150)</x:f>
        <x:v>5</x:v>
      </x:c>
      <x:c r="X2150" s="19" t="n">
        <x:f>W2150-G2150</x:f>
        <x:v>-1</x:v>
      </x:c>
      <x:c r="Y2150" s="19" t="n">
        <x:f>MAX(T2150,1)+MAX(U2150,1)+MAX(V2150,1)</x:f>
        <x:v>6</x:v>
      </x:c>
      <x:c r="Z2150" s="21" t="str">
        <x:f>IF(AND(MIN(D2150:F2150)&gt;=0,MAX(D2150:F2150)&lt;=7,MAX(D2150,1)+MAX(E2150,1)+MAX(F2150,1)&lt;=9,OR(H2150="-",AND(H2150=0,D2150&gt;0),AND(H2150=1,E2150&gt;0),AND(H2150=2,F2150&gt;0)),OR(I2150=0,AND(I2150=1,OR(J2150=0,J2150=1,J2150=2),R2150&lt;&gt;"000")),Y2150&lt;=9,MIN(T2150:V2150)&gt;=0),"合法","输入违约")</x:f>
        <x:v>合法</x:v>
      </x:c>
    </x:row>
    <x:row r="2151" ht="23" customHeight="1">
      <x:c r="A2151" s="3" t="str">
        <x:v>CT-2144</x:v>
      </x:c>
      <x:c r="B2151" s="3" t="str">
        <x:v>ST-082</x:v>
      </x:c>
      <x:c r="C2151" s="3" t="str">
        <x:v>R+AR同收同发</x:v>
      </x:c>
      <x:c r="D2151" s="25" t="n">
        <x:v>5</x:v>
      </x:c>
      <x:c r="E2151" s="25" t="n">
        <x:v>0</x:v>
      </x:c>
      <x:c r="F2151" s="25" t="n">
        <x:v>1</x:v>
      </x:c>
      <x:c r="G2151" s="19" t="n">
        <x:f>SUM(D2151:F2151)</x:f>
        <x:v>6</x:v>
      </x:c>
      <x:c r="H2151" s="25" t="n">
        <x:v>0</x:v>
      </x:c>
      <x:c r="I2151" s="25" t="n">
        <x:v>1</x:v>
      </x:c>
      <x:c r="J2151" s="25" t="n">
        <x:v>0</x:v>
      </x:c>
      <x:c r="K2151" s="19" t="n">
        <x:f>D2151-IF(H2151=0,1,0)</x:f>
        <x:v>4</x:v>
      </x:c>
      <x:c r="L2151" s="19" t="n">
        <x:f>E2151-IF(H2151=1,1,0)</x:f>
        <x:v>0</x:v>
      </x:c>
      <x:c r="M2151" s="19" t="n">
        <x:f>F2151-IF(H2151=2,1,0)</x:f>
        <x:v>1</x:v>
      </x:c>
      <x:c r="N2151" s="19" t="n">
        <x:f>MAX(K2151-1,0)+MAX(L2151-1,0)+MAX(M2151-1,0)</x:f>
        <x:v>3</x:v>
      </x:c>
      <x:c r="O2151" s="19" t="n">
        <x:f>IF(AND(SUM(K2151:M2151)&lt;9,OR(M2151=0,N2151&lt;6)),1,0)</x:f>
        <x:v>1</x:v>
      </x:c>
      <x:c r="P2151" s="19" t="n">
        <x:f>IF(AND(SUM(K2151:M2151)&lt;9,OR(L2151=0,N2151&lt;6)),1,0)</x:f>
        <x:v>1</x:v>
      </x:c>
      <x:c r="Q2151" s="19" t="n">
        <x:f>IF(AND(SUM(K2151:M2151)&lt;9,OR(K2151=0,N2151&lt;6)),1,0)</x:f>
        <x:v>1</x:v>
      </x:c>
      <x:c r="R2151" s="22" t="str">
        <x:f>O2151&amp;P2151&amp;Q2151</x:f>
        <x:v>111</x:v>
      </x:c>
      <x:c r="S2151" s="19" t="n">
        <x:f>IF(I2151=1,IF(J2151=0,Q2151,IF(J2151=1,P2151,IF(J2151=2,O2151,0))),0)</x:f>
        <x:v>1</x:v>
      </x:c>
      <x:c r="T2151" s="19" t="n">
        <x:f>K2151+IF(AND(S2151=1,J2151=0),1,0)</x:f>
        <x:v>5</x:v>
      </x:c>
      <x:c r="U2151" s="19" t="n">
        <x:f>L2151+IF(AND(S2151=1,J2151=1),1,0)</x:f>
        <x:v>0</x:v>
      </x:c>
      <x:c r="V2151" s="19" t="n">
        <x:f>M2151+IF(AND(S2151=1,J2151=2),1,0)</x:f>
        <x:v>1</x:v>
      </x:c>
      <x:c r="W2151" s="19" t="n">
        <x:f>SUM(T2151:V2151)</x:f>
        <x:v>6</x:v>
      </x:c>
      <x:c r="X2151" s="19" t="n">
        <x:f>W2151-G2151</x:f>
        <x:v>0</x:v>
      </x:c>
      <x:c r="Y2151" s="19" t="n">
        <x:f>MAX(T2151,1)+MAX(U2151,1)+MAX(V2151,1)</x:f>
        <x:v>7</x:v>
      </x:c>
      <x:c r="Z2151" s="21" t="str">
        <x:f>IF(AND(MIN(D2151:F2151)&gt;=0,MAX(D2151:F2151)&lt;=7,MAX(D2151,1)+MAX(E2151,1)+MAX(F2151,1)&lt;=9,OR(H2151="-",AND(H2151=0,D2151&gt;0),AND(H2151=1,E2151&gt;0),AND(H2151=2,F2151&gt;0)),OR(I2151=0,AND(I2151=1,OR(J2151=0,J2151=1,J2151=2),R2151&lt;&gt;"000")),Y2151&lt;=9,MIN(T2151:V2151)&gt;=0),"合法","输入违约")</x:f>
        <x:v>合法</x:v>
      </x:c>
    </x:row>
    <x:row r="2152" ht="23" customHeight="1">
      <x:c r="A2152" s="3" t="str">
        <x:v>CT-2145</x:v>
      </x:c>
      <x:c r="B2152" s="3" t="str">
        <x:v>ST-082</x:v>
      </x:c>
      <x:c r="C2152" s="3" t="str">
        <x:v>R+AR同收同发</x:v>
      </x:c>
      <x:c r="D2152" s="25" t="n">
        <x:v>5</x:v>
      </x:c>
      <x:c r="E2152" s="25" t="n">
        <x:v>0</x:v>
      </x:c>
      <x:c r="F2152" s="25" t="n">
        <x:v>1</x:v>
      </x:c>
      <x:c r="G2152" s="19" t="n">
        <x:f>SUM(D2152:F2152)</x:f>
        <x:v>6</x:v>
      </x:c>
      <x:c r="H2152" s="25" t="n">
        <x:v>0</x:v>
      </x:c>
      <x:c r="I2152" s="25" t="n">
        <x:v>1</x:v>
      </x:c>
      <x:c r="J2152" s="25" t="n">
        <x:v>1</x:v>
      </x:c>
      <x:c r="K2152" s="19" t="n">
        <x:f>D2152-IF(H2152=0,1,0)</x:f>
        <x:v>4</x:v>
      </x:c>
      <x:c r="L2152" s="19" t="n">
        <x:f>E2152-IF(H2152=1,1,0)</x:f>
        <x:v>0</x:v>
      </x:c>
      <x:c r="M2152" s="19" t="n">
        <x:f>F2152-IF(H2152=2,1,0)</x:f>
        <x:v>1</x:v>
      </x:c>
      <x:c r="N2152" s="19" t="n">
        <x:f>MAX(K2152-1,0)+MAX(L2152-1,0)+MAX(M2152-1,0)</x:f>
        <x:v>3</x:v>
      </x:c>
      <x:c r="O2152" s="19" t="n">
        <x:f>IF(AND(SUM(K2152:M2152)&lt;9,OR(M2152=0,N2152&lt;6)),1,0)</x:f>
        <x:v>1</x:v>
      </x:c>
      <x:c r="P2152" s="19" t="n">
        <x:f>IF(AND(SUM(K2152:M2152)&lt;9,OR(L2152=0,N2152&lt;6)),1,0)</x:f>
        <x:v>1</x:v>
      </x:c>
      <x:c r="Q2152" s="19" t="n">
        <x:f>IF(AND(SUM(K2152:M2152)&lt;9,OR(K2152=0,N2152&lt;6)),1,0)</x:f>
        <x:v>1</x:v>
      </x:c>
      <x:c r="R2152" s="22" t="str">
        <x:f>O2152&amp;P2152&amp;Q2152</x:f>
        <x:v>111</x:v>
      </x:c>
      <x:c r="S2152" s="19" t="n">
        <x:f>IF(I2152=1,IF(J2152=0,Q2152,IF(J2152=1,P2152,IF(J2152=2,O2152,0))),0)</x:f>
        <x:v>1</x:v>
      </x:c>
      <x:c r="T2152" s="19" t="n">
        <x:f>K2152+IF(AND(S2152=1,J2152=0),1,0)</x:f>
        <x:v>4</x:v>
      </x:c>
      <x:c r="U2152" s="19" t="n">
        <x:f>L2152+IF(AND(S2152=1,J2152=1),1,0)</x:f>
        <x:v>1</x:v>
      </x:c>
      <x:c r="V2152" s="19" t="n">
        <x:f>M2152+IF(AND(S2152=1,J2152=2),1,0)</x:f>
        <x:v>1</x:v>
      </x:c>
      <x:c r="W2152" s="19" t="n">
        <x:f>SUM(T2152:V2152)</x:f>
        <x:v>6</x:v>
      </x:c>
      <x:c r="X2152" s="19" t="n">
        <x:f>W2152-G2152</x:f>
        <x:v>0</x:v>
      </x:c>
      <x:c r="Y2152" s="19" t="n">
        <x:f>MAX(T2152,1)+MAX(U2152,1)+MAX(V2152,1)</x:f>
        <x:v>6</x:v>
      </x:c>
      <x:c r="Z2152" s="21" t="str">
        <x:f>IF(AND(MIN(D2152:F2152)&gt;=0,MAX(D2152:F2152)&lt;=7,MAX(D2152,1)+MAX(E2152,1)+MAX(F2152,1)&lt;=9,OR(H2152="-",AND(H2152=0,D2152&gt;0),AND(H2152=1,E2152&gt;0),AND(H2152=2,F2152&gt;0)),OR(I2152=0,AND(I2152=1,OR(J2152=0,J2152=1,J2152=2),R2152&lt;&gt;"000")),Y2152&lt;=9,MIN(T2152:V2152)&gt;=0),"合法","输入违约")</x:f>
        <x:v>合法</x:v>
      </x:c>
    </x:row>
    <x:row r="2153" ht="23" customHeight="1">
      <x:c r="A2153" s="3" t="str">
        <x:v>CT-2146</x:v>
      </x:c>
      <x:c r="B2153" s="3" t="str">
        <x:v>ST-082</x:v>
      </x:c>
      <x:c r="C2153" s="3" t="str">
        <x:v>R+AR同收同发</x:v>
      </x:c>
      <x:c r="D2153" s="25" t="n">
        <x:v>5</x:v>
      </x:c>
      <x:c r="E2153" s="25" t="n">
        <x:v>0</x:v>
      </x:c>
      <x:c r="F2153" s="25" t="n">
        <x:v>1</x:v>
      </x:c>
      <x:c r="G2153" s="19" t="n">
        <x:f>SUM(D2153:F2153)</x:f>
        <x:v>6</x:v>
      </x:c>
      <x:c r="H2153" s="25" t="n">
        <x:v>0</x:v>
      </x:c>
      <x:c r="I2153" s="25" t="n">
        <x:v>1</x:v>
      </x:c>
      <x:c r="J2153" s="25" t="n">
        <x:v>2</x:v>
      </x:c>
      <x:c r="K2153" s="19" t="n">
        <x:f>D2153-IF(H2153=0,1,0)</x:f>
        <x:v>4</x:v>
      </x:c>
      <x:c r="L2153" s="19" t="n">
        <x:f>E2153-IF(H2153=1,1,0)</x:f>
        <x:v>0</x:v>
      </x:c>
      <x:c r="M2153" s="19" t="n">
        <x:f>F2153-IF(H2153=2,1,0)</x:f>
        <x:v>1</x:v>
      </x:c>
      <x:c r="N2153" s="19" t="n">
        <x:f>MAX(K2153-1,0)+MAX(L2153-1,0)+MAX(M2153-1,0)</x:f>
        <x:v>3</x:v>
      </x:c>
      <x:c r="O2153" s="19" t="n">
        <x:f>IF(AND(SUM(K2153:M2153)&lt;9,OR(M2153=0,N2153&lt;6)),1,0)</x:f>
        <x:v>1</x:v>
      </x:c>
      <x:c r="P2153" s="19" t="n">
        <x:f>IF(AND(SUM(K2153:M2153)&lt;9,OR(L2153=0,N2153&lt;6)),1,0)</x:f>
        <x:v>1</x:v>
      </x:c>
      <x:c r="Q2153" s="19" t="n">
        <x:f>IF(AND(SUM(K2153:M2153)&lt;9,OR(K2153=0,N2153&lt;6)),1,0)</x:f>
        <x:v>1</x:v>
      </x:c>
      <x:c r="R2153" s="22" t="str">
        <x:f>O2153&amp;P2153&amp;Q2153</x:f>
        <x:v>111</x:v>
      </x:c>
      <x:c r="S2153" s="19" t="n">
        <x:f>IF(I2153=1,IF(J2153=0,Q2153,IF(J2153=1,P2153,IF(J2153=2,O2153,0))),0)</x:f>
        <x:v>1</x:v>
      </x:c>
      <x:c r="T2153" s="19" t="n">
        <x:f>K2153+IF(AND(S2153=1,J2153=0),1,0)</x:f>
        <x:v>4</x:v>
      </x:c>
      <x:c r="U2153" s="19" t="n">
        <x:f>L2153+IF(AND(S2153=1,J2153=1),1,0)</x:f>
        <x:v>0</x:v>
      </x:c>
      <x:c r="V2153" s="19" t="n">
        <x:f>M2153+IF(AND(S2153=1,J2153=2),1,0)</x:f>
        <x:v>2</x:v>
      </x:c>
      <x:c r="W2153" s="19" t="n">
        <x:f>SUM(T2153:V2153)</x:f>
        <x:v>6</x:v>
      </x:c>
      <x:c r="X2153" s="19" t="n">
        <x:f>W2153-G2153</x:f>
        <x:v>0</x:v>
      </x:c>
      <x:c r="Y2153" s="19" t="n">
        <x:f>MAX(T2153,1)+MAX(U2153,1)+MAX(V2153,1)</x:f>
        <x:v>7</x:v>
      </x:c>
      <x:c r="Z2153" s="21" t="str">
        <x:f>IF(AND(MIN(D2153:F2153)&gt;=0,MAX(D2153:F2153)&lt;=7,MAX(D2153,1)+MAX(E2153,1)+MAX(F2153,1)&lt;=9,OR(H2153="-",AND(H2153=0,D2153&gt;0),AND(H2153=1,E2153&gt;0),AND(H2153=2,F2153&gt;0)),OR(I2153=0,AND(I2153=1,OR(J2153=0,J2153=1,J2153=2),R2153&lt;&gt;"000")),Y2153&lt;=9,MIN(T2153:V2153)&gt;=0),"合法","输入违约")</x:f>
        <x:v>合法</x:v>
      </x:c>
    </x:row>
    <x:row r="2154" ht="23" customHeight="1">
      <x:c r="A2154" s="3" t="str">
        <x:v>CT-2147</x:v>
      </x:c>
      <x:c r="B2154" s="3" t="str">
        <x:v>ST-082</x:v>
      </x:c>
      <x:c r="C2154" s="3" t="str">
        <x:v>仅R回收</x:v>
      </x:c>
      <x:c r="D2154" s="25" t="n">
        <x:v>5</x:v>
      </x:c>
      <x:c r="E2154" s="25" t="n">
        <x:v>0</x:v>
      </x:c>
      <x:c r="F2154" s="25" t="n">
        <x:v>1</x:v>
      </x:c>
      <x:c r="G2154" s="19" t="n">
        <x:f>SUM(D2154:F2154)</x:f>
        <x:v>6</x:v>
      </x:c>
      <x:c r="H2154" s="25" t="n">
        <x:v>2</x:v>
      </x:c>
      <x:c r="I2154" s="25" t="n">
        <x:v>0</x:v>
      </x:c>
      <x:c r="J2154" s="25" t="str">
        <x:v>-</x:v>
      </x:c>
      <x:c r="K2154" s="19" t="n">
        <x:f>D2154-IF(H2154=0,1,0)</x:f>
        <x:v>5</x:v>
      </x:c>
      <x:c r="L2154" s="19" t="n">
        <x:f>E2154-IF(H2154=1,1,0)</x:f>
        <x:v>0</x:v>
      </x:c>
      <x:c r="M2154" s="19" t="n">
        <x:f>F2154-IF(H2154=2,1,0)</x:f>
        <x:v>0</x:v>
      </x:c>
      <x:c r="N2154" s="19" t="n">
        <x:f>MAX(K2154-1,0)+MAX(L2154-1,0)+MAX(M2154-1,0)</x:f>
        <x:v>4</x:v>
      </x:c>
      <x:c r="O2154" s="19" t="n">
        <x:f>IF(AND(SUM(K2154:M2154)&lt;9,OR(M2154=0,N2154&lt;6)),1,0)</x:f>
        <x:v>1</x:v>
      </x:c>
      <x:c r="P2154" s="19" t="n">
        <x:f>IF(AND(SUM(K2154:M2154)&lt;9,OR(L2154=0,N2154&lt;6)),1,0)</x:f>
        <x:v>1</x:v>
      </x:c>
      <x:c r="Q2154" s="19" t="n">
        <x:f>IF(AND(SUM(K2154:M2154)&lt;9,OR(K2154=0,N2154&lt;6)),1,0)</x:f>
        <x:v>1</x:v>
      </x:c>
      <x:c r="R2154" s="22" t="str">
        <x:f>O2154&amp;P2154&amp;Q2154</x:f>
        <x:v>111</x:v>
      </x:c>
      <x:c r="S2154" s="19" t="n">
        <x:f>IF(I2154=1,IF(J2154=0,Q2154,IF(J2154=1,P2154,IF(J2154=2,O2154,0))),0)</x:f>
        <x:v>0</x:v>
      </x:c>
      <x:c r="T2154" s="19" t="n">
        <x:f>K2154+IF(AND(S2154=1,J2154=0),1,0)</x:f>
        <x:v>5</x:v>
      </x:c>
      <x:c r="U2154" s="19" t="n">
        <x:f>L2154+IF(AND(S2154=1,J2154=1),1,0)</x:f>
        <x:v>0</x:v>
      </x:c>
      <x:c r="V2154" s="19" t="n">
        <x:f>M2154+IF(AND(S2154=1,J2154=2),1,0)</x:f>
        <x:v>0</x:v>
      </x:c>
      <x:c r="W2154" s="19" t="n">
        <x:f>SUM(T2154:V2154)</x:f>
        <x:v>5</x:v>
      </x:c>
      <x:c r="X2154" s="19" t="n">
        <x:f>W2154-G2154</x:f>
        <x:v>-1</x:v>
      </x:c>
      <x:c r="Y2154" s="19" t="n">
        <x:f>MAX(T2154,1)+MAX(U2154,1)+MAX(V2154,1)</x:f>
        <x:v>7</x:v>
      </x:c>
      <x:c r="Z2154" s="21" t="str">
        <x:f>IF(AND(MIN(D2154:F2154)&gt;=0,MAX(D2154:F2154)&lt;=7,MAX(D2154,1)+MAX(E2154,1)+MAX(F2154,1)&lt;=9,OR(H2154="-",AND(H2154=0,D2154&gt;0),AND(H2154=1,E2154&gt;0),AND(H2154=2,F2154&gt;0)),OR(I2154=0,AND(I2154=1,OR(J2154=0,J2154=1,J2154=2),R2154&lt;&gt;"000")),Y2154&lt;=9,MIN(T2154:V2154)&gt;=0),"合法","输入违约")</x:f>
        <x:v>合法</x:v>
      </x:c>
    </x:row>
    <x:row r="2155" ht="23" customHeight="1">
      <x:c r="A2155" s="3" t="str">
        <x:v>CT-2148</x:v>
      </x:c>
      <x:c r="B2155" s="3" t="str">
        <x:v>ST-082</x:v>
      </x:c>
      <x:c r="C2155" s="3" t="str">
        <x:v>R+AR同收同发</x:v>
      </x:c>
      <x:c r="D2155" s="25" t="n">
        <x:v>5</x:v>
      </x:c>
      <x:c r="E2155" s="25" t="n">
        <x:v>0</x:v>
      </x:c>
      <x:c r="F2155" s="25" t="n">
        <x:v>1</x:v>
      </x:c>
      <x:c r="G2155" s="19" t="n">
        <x:f>SUM(D2155:F2155)</x:f>
        <x:v>6</x:v>
      </x:c>
      <x:c r="H2155" s="25" t="n">
        <x:v>2</x:v>
      </x:c>
      <x:c r="I2155" s="25" t="n">
        <x:v>1</x:v>
      </x:c>
      <x:c r="J2155" s="25" t="n">
        <x:v>0</x:v>
      </x:c>
      <x:c r="K2155" s="19" t="n">
        <x:f>D2155-IF(H2155=0,1,0)</x:f>
        <x:v>5</x:v>
      </x:c>
      <x:c r="L2155" s="19" t="n">
        <x:f>E2155-IF(H2155=1,1,0)</x:f>
        <x:v>0</x:v>
      </x:c>
      <x:c r="M2155" s="19" t="n">
        <x:f>F2155-IF(H2155=2,1,0)</x:f>
        <x:v>0</x:v>
      </x:c>
      <x:c r="N2155" s="19" t="n">
        <x:f>MAX(K2155-1,0)+MAX(L2155-1,0)+MAX(M2155-1,0)</x:f>
        <x:v>4</x:v>
      </x:c>
      <x:c r="O2155" s="19" t="n">
        <x:f>IF(AND(SUM(K2155:M2155)&lt;9,OR(M2155=0,N2155&lt;6)),1,0)</x:f>
        <x:v>1</x:v>
      </x:c>
      <x:c r="P2155" s="19" t="n">
        <x:f>IF(AND(SUM(K2155:M2155)&lt;9,OR(L2155=0,N2155&lt;6)),1,0)</x:f>
        <x:v>1</x:v>
      </x:c>
      <x:c r="Q2155" s="19" t="n">
        <x:f>IF(AND(SUM(K2155:M2155)&lt;9,OR(K2155=0,N2155&lt;6)),1,0)</x:f>
        <x:v>1</x:v>
      </x:c>
      <x:c r="R2155" s="22" t="str">
        <x:f>O2155&amp;P2155&amp;Q2155</x:f>
        <x:v>111</x:v>
      </x:c>
      <x:c r="S2155" s="19" t="n">
        <x:f>IF(I2155=1,IF(J2155=0,Q2155,IF(J2155=1,P2155,IF(J2155=2,O2155,0))),0)</x:f>
        <x:v>1</x:v>
      </x:c>
      <x:c r="T2155" s="19" t="n">
        <x:f>K2155+IF(AND(S2155=1,J2155=0),1,0)</x:f>
        <x:v>6</x:v>
      </x:c>
      <x:c r="U2155" s="19" t="n">
        <x:f>L2155+IF(AND(S2155=1,J2155=1),1,0)</x:f>
        <x:v>0</x:v>
      </x:c>
      <x:c r="V2155" s="19" t="n">
        <x:f>M2155+IF(AND(S2155=1,J2155=2),1,0)</x:f>
        <x:v>0</x:v>
      </x:c>
      <x:c r="W2155" s="19" t="n">
        <x:f>SUM(T2155:V2155)</x:f>
        <x:v>6</x:v>
      </x:c>
      <x:c r="X2155" s="19" t="n">
        <x:f>W2155-G2155</x:f>
        <x:v>0</x:v>
      </x:c>
      <x:c r="Y2155" s="19" t="n">
        <x:f>MAX(T2155,1)+MAX(U2155,1)+MAX(V2155,1)</x:f>
        <x:v>8</x:v>
      </x:c>
      <x:c r="Z2155" s="21" t="str">
        <x:f>IF(AND(MIN(D2155:F2155)&gt;=0,MAX(D2155:F2155)&lt;=7,MAX(D2155,1)+MAX(E2155,1)+MAX(F2155,1)&lt;=9,OR(H2155="-",AND(H2155=0,D2155&gt;0),AND(H2155=1,E2155&gt;0),AND(H2155=2,F2155&gt;0)),OR(I2155=0,AND(I2155=1,OR(J2155=0,J2155=1,J2155=2),R2155&lt;&gt;"000")),Y2155&lt;=9,MIN(T2155:V2155)&gt;=0),"合法","输入违约")</x:f>
        <x:v>合法</x:v>
      </x:c>
    </x:row>
    <x:row r="2156" ht="23" customHeight="1">
      <x:c r="A2156" s="3" t="str">
        <x:v>CT-2149</x:v>
      </x:c>
      <x:c r="B2156" s="3" t="str">
        <x:v>ST-082</x:v>
      </x:c>
      <x:c r="C2156" s="3" t="str">
        <x:v>R+AR同收同发</x:v>
      </x:c>
      <x:c r="D2156" s="25" t="n">
        <x:v>5</x:v>
      </x:c>
      <x:c r="E2156" s="25" t="n">
        <x:v>0</x:v>
      </x:c>
      <x:c r="F2156" s="25" t="n">
        <x:v>1</x:v>
      </x:c>
      <x:c r="G2156" s="19" t="n">
        <x:f>SUM(D2156:F2156)</x:f>
        <x:v>6</x:v>
      </x:c>
      <x:c r="H2156" s="25" t="n">
        <x:v>2</x:v>
      </x:c>
      <x:c r="I2156" s="25" t="n">
        <x:v>1</x:v>
      </x:c>
      <x:c r="J2156" s="25" t="n">
        <x:v>1</x:v>
      </x:c>
      <x:c r="K2156" s="19" t="n">
        <x:f>D2156-IF(H2156=0,1,0)</x:f>
        <x:v>5</x:v>
      </x:c>
      <x:c r="L2156" s="19" t="n">
        <x:f>E2156-IF(H2156=1,1,0)</x:f>
        <x:v>0</x:v>
      </x:c>
      <x:c r="M2156" s="19" t="n">
        <x:f>F2156-IF(H2156=2,1,0)</x:f>
        <x:v>0</x:v>
      </x:c>
      <x:c r="N2156" s="19" t="n">
        <x:f>MAX(K2156-1,0)+MAX(L2156-1,0)+MAX(M2156-1,0)</x:f>
        <x:v>4</x:v>
      </x:c>
      <x:c r="O2156" s="19" t="n">
        <x:f>IF(AND(SUM(K2156:M2156)&lt;9,OR(M2156=0,N2156&lt;6)),1,0)</x:f>
        <x:v>1</x:v>
      </x:c>
      <x:c r="P2156" s="19" t="n">
        <x:f>IF(AND(SUM(K2156:M2156)&lt;9,OR(L2156=0,N2156&lt;6)),1,0)</x:f>
        <x:v>1</x:v>
      </x:c>
      <x:c r="Q2156" s="19" t="n">
        <x:f>IF(AND(SUM(K2156:M2156)&lt;9,OR(K2156=0,N2156&lt;6)),1,0)</x:f>
        <x:v>1</x:v>
      </x:c>
      <x:c r="R2156" s="22" t="str">
        <x:f>O2156&amp;P2156&amp;Q2156</x:f>
        <x:v>111</x:v>
      </x:c>
      <x:c r="S2156" s="19" t="n">
        <x:f>IF(I2156=1,IF(J2156=0,Q2156,IF(J2156=1,P2156,IF(J2156=2,O2156,0))),0)</x:f>
        <x:v>1</x:v>
      </x:c>
      <x:c r="T2156" s="19" t="n">
        <x:f>K2156+IF(AND(S2156=1,J2156=0),1,0)</x:f>
        <x:v>5</x:v>
      </x:c>
      <x:c r="U2156" s="19" t="n">
        <x:f>L2156+IF(AND(S2156=1,J2156=1),1,0)</x:f>
        <x:v>1</x:v>
      </x:c>
      <x:c r="V2156" s="19" t="n">
        <x:f>M2156+IF(AND(S2156=1,J2156=2),1,0)</x:f>
        <x:v>0</x:v>
      </x:c>
      <x:c r="W2156" s="19" t="n">
        <x:f>SUM(T2156:V2156)</x:f>
        <x:v>6</x:v>
      </x:c>
      <x:c r="X2156" s="19" t="n">
        <x:f>W2156-G2156</x:f>
        <x:v>0</x:v>
      </x:c>
      <x:c r="Y2156" s="19" t="n">
        <x:f>MAX(T2156,1)+MAX(U2156,1)+MAX(V2156,1)</x:f>
        <x:v>7</x:v>
      </x:c>
      <x:c r="Z2156" s="21" t="str">
        <x:f>IF(AND(MIN(D2156:F2156)&gt;=0,MAX(D2156:F2156)&lt;=7,MAX(D2156,1)+MAX(E2156,1)+MAX(F2156,1)&lt;=9,OR(H2156="-",AND(H2156=0,D2156&gt;0),AND(H2156=1,E2156&gt;0),AND(H2156=2,F2156&gt;0)),OR(I2156=0,AND(I2156=1,OR(J2156=0,J2156=1,J2156=2),R2156&lt;&gt;"000")),Y2156&lt;=9,MIN(T2156:V2156)&gt;=0),"合法","输入违约")</x:f>
        <x:v>合法</x:v>
      </x:c>
    </x:row>
    <x:row r="2157" ht="23" customHeight="1">
      <x:c r="A2157" s="3" t="str">
        <x:v>CT-2150</x:v>
      </x:c>
      <x:c r="B2157" s="3" t="str">
        <x:v>ST-082</x:v>
      </x:c>
      <x:c r="C2157" s="3" t="str">
        <x:v>R+AR同收同发</x:v>
      </x:c>
      <x:c r="D2157" s="25" t="n">
        <x:v>5</x:v>
      </x:c>
      <x:c r="E2157" s="25" t="n">
        <x:v>0</x:v>
      </x:c>
      <x:c r="F2157" s="25" t="n">
        <x:v>1</x:v>
      </x:c>
      <x:c r="G2157" s="19" t="n">
        <x:f>SUM(D2157:F2157)</x:f>
        <x:v>6</x:v>
      </x:c>
      <x:c r="H2157" s="25" t="n">
        <x:v>2</x:v>
      </x:c>
      <x:c r="I2157" s="25" t="n">
        <x:v>1</x:v>
      </x:c>
      <x:c r="J2157" s="25" t="n">
        <x:v>2</x:v>
      </x:c>
      <x:c r="K2157" s="19" t="n">
        <x:f>D2157-IF(H2157=0,1,0)</x:f>
        <x:v>5</x:v>
      </x:c>
      <x:c r="L2157" s="19" t="n">
        <x:f>E2157-IF(H2157=1,1,0)</x:f>
        <x:v>0</x:v>
      </x:c>
      <x:c r="M2157" s="19" t="n">
        <x:f>F2157-IF(H2157=2,1,0)</x:f>
        <x:v>0</x:v>
      </x:c>
      <x:c r="N2157" s="19" t="n">
        <x:f>MAX(K2157-1,0)+MAX(L2157-1,0)+MAX(M2157-1,0)</x:f>
        <x:v>4</x:v>
      </x:c>
      <x:c r="O2157" s="19" t="n">
        <x:f>IF(AND(SUM(K2157:M2157)&lt;9,OR(M2157=0,N2157&lt;6)),1,0)</x:f>
        <x:v>1</x:v>
      </x:c>
      <x:c r="P2157" s="19" t="n">
        <x:f>IF(AND(SUM(K2157:M2157)&lt;9,OR(L2157=0,N2157&lt;6)),1,0)</x:f>
        <x:v>1</x:v>
      </x:c>
      <x:c r="Q2157" s="19" t="n">
        <x:f>IF(AND(SUM(K2157:M2157)&lt;9,OR(K2157=0,N2157&lt;6)),1,0)</x:f>
        <x:v>1</x:v>
      </x:c>
      <x:c r="R2157" s="22" t="str">
        <x:f>O2157&amp;P2157&amp;Q2157</x:f>
        <x:v>111</x:v>
      </x:c>
      <x:c r="S2157" s="19" t="n">
        <x:f>IF(I2157=1,IF(J2157=0,Q2157,IF(J2157=1,P2157,IF(J2157=2,O2157,0))),0)</x:f>
        <x:v>1</x:v>
      </x:c>
      <x:c r="T2157" s="19" t="n">
        <x:f>K2157+IF(AND(S2157=1,J2157=0),1,0)</x:f>
        <x:v>5</x:v>
      </x:c>
      <x:c r="U2157" s="19" t="n">
        <x:f>L2157+IF(AND(S2157=1,J2157=1),1,0)</x:f>
        <x:v>0</x:v>
      </x:c>
      <x:c r="V2157" s="19" t="n">
        <x:f>M2157+IF(AND(S2157=1,J2157=2),1,0)</x:f>
        <x:v>1</x:v>
      </x:c>
      <x:c r="W2157" s="19" t="n">
        <x:f>SUM(T2157:V2157)</x:f>
        <x:v>6</x:v>
      </x:c>
      <x:c r="X2157" s="19" t="n">
        <x:f>W2157-G2157</x:f>
        <x:v>0</x:v>
      </x:c>
      <x:c r="Y2157" s="19" t="n">
        <x:f>MAX(T2157,1)+MAX(U2157,1)+MAX(V2157,1)</x:f>
        <x:v>7</x:v>
      </x:c>
      <x:c r="Z2157" s="21" t="str">
        <x:f>IF(AND(MIN(D2157:F2157)&gt;=0,MAX(D2157:F2157)&lt;=7,MAX(D2157,1)+MAX(E2157,1)+MAX(F2157,1)&lt;=9,OR(H2157="-",AND(H2157=0,D2157&gt;0),AND(H2157=1,E2157&gt;0),AND(H2157=2,F2157&gt;0)),OR(I2157=0,AND(I2157=1,OR(J2157=0,J2157=1,J2157=2),R2157&lt;&gt;"000")),Y2157&lt;=9,MIN(T2157:V2157)&gt;=0),"合法","输入违约")</x:f>
        <x:v>合法</x:v>
      </x:c>
    </x:row>
    <x:row r="2158" ht="23" customHeight="1">
      <x:c r="A2158" s="3" t="str">
        <x:v>CT-2151</x:v>
      </x:c>
      <x:c r="B2158" s="3" t="str">
        <x:v>ST-115</x:v>
      </x:c>
      <x:c r="C2158" s="3" t="str">
        <x:v>无AR/R</x:v>
      </x:c>
      <x:c r="D2158" s="25" t="n">
        <x:v>5</x:v>
      </x:c>
      <x:c r="E2158" s="25" t="n">
        <x:v>0</x:v>
      </x:c>
      <x:c r="F2158" s="25" t="n">
        <x:v>2</x:v>
      </x:c>
      <x:c r="G2158" s="19" t="n">
        <x:f>SUM(D2158:F2158)</x:f>
        <x:v>7</x:v>
      </x:c>
      <x:c r="H2158" s="25" t="str">
        <x:v>-</x:v>
      </x:c>
      <x:c r="I2158" s="25" t="n">
        <x:v>0</x:v>
      </x:c>
      <x:c r="J2158" s="25" t="str">
        <x:v>-</x:v>
      </x:c>
      <x:c r="K2158" s="19" t="n">
        <x:f>D2158-IF(H2158=0,1,0)</x:f>
        <x:v>5</x:v>
      </x:c>
      <x:c r="L2158" s="19" t="n">
        <x:f>E2158-IF(H2158=1,1,0)</x:f>
        <x:v>0</x:v>
      </x:c>
      <x:c r="M2158" s="19" t="n">
        <x:f>F2158-IF(H2158=2,1,0)</x:f>
        <x:v>2</x:v>
      </x:c>
      <x:c r="N2158" s="19" t="n">
        <x:f>MAX(K2158-1,0)+MAX(L2158-1,0)+MAX(M2158-1,0)</x:f>
        <x:v>5</x:v>
      </x:c>
      <x:c r="O2158" s="19" t="n">
        <x:f>IF(AND(SUM(K2158:M2158)&lt;9,OR(M2158=0,N2158&lt;6)),1,0)</x:f>
        <x:v>1</x:v>
      </x:c>
      <x:c r="P2158" s="19" t="n">
        <x:f>IF(AND(SUM(K2158:M2158)&lt;9,OR(L2158=0,N2158&lt;6)),1,0)</x:f>
        <x:v>1</x:v>
      </x:c>
      <x:c r="Q2158" s="19" t="n">
        <x:f>IF(AND(SUM(K2158:M2158)&lt;9,OR(K2158=0,N2158&lt;6)),1,0)</x:f>
        <x:v>1</x:v>
      </x:c>
      <x:c r="R2158" s="22" t="str">
        <x:f>O2158&amp;P2158&amp;Q2158</x:f>
        <x:v>111</x:v>
      </x:c>
      <x:c r="S2158" s="19" t="n">
        <x:f>IF(I2158=1,IF(J2158=0,Q2158,IF(J2158=1,P2158,IF(J2158=2,O2158,0))),0)</x:f>
        <x:v>0</x:v>
      </x:c>
      <x:c r="T2158" s="19" t="n">
        <x:f>K2158+IF(AND(S2158=1,J2158=0),1,0)</x:f>
        <x:v>5</x:v>
      </x:c>
      <x:c r="U2158" s="19" t="n">
        <x:f>L2158+IF(AND(S2158=1,J2158=1),1,0)</x:f>
        <x:v>0</x:v>
      </x:c>
      <x:c r="V2158" s="19" t="n">
        <x:f>M2158+IF(AND(S2158=1,J2158=2),1,0)</x:f>
        <x:v>2</x:v>
      </x:c>
      <x:c r="W2158" s="19" t="n">
        <x:f>SUM(T2158:V2158)</x:f>
        <x:v>7</x:v>
      </x:c>
      <x:c r="X2158" s="19" t="n">
        <x:f>W2158-G2158</x:f>
        <x:v>0</x:v>
      </x:c>
      <x:c r="Y2158" s="19" t="n">
        <x:f>MAX(T2158,1)+MAX(U2158,1)+MAX(V2158,1)</x:f>
        <x:v>8</x:v>
      </x:c>
      <x:c r="Z2158" s="21" t="str">
        <x:f>IF(AND(MIN(D2158:F2158)&gt;=0,MAX(D2158:F2158)&lt;=7,MAX(D2158,1)+MAX(E2158,1)+MAX(F2158,1)&lt;=9,OR(H2158="-",AND(H2158=0,D2158&gt;0),AND(H2158=1,E2158&gt;0),AND(H2158=2,F2158&gt;0)),OR(I2158=0,AND(I2158=1,OR(J2158=0,J2158=1,J2158=2),R2158&lt;&gt;"000")),Y2158&lt;=9,MIN(T2158:V2158)&gt;=0),"合法","输入违约")</x:f>
        <x:v>合法</x:v>
      </x:c>
    </x:row>
    <x:row r="2159" ht="23" customHeight="1">
      <x:c r="A2159" s="3" t="str">
        <x:v>CT-2152</x:v>
      </x:c>
      <x:c r="B2159" s="3" t="str">
        <x:v>ST-115</x:v>
      </x:c>
      <x:c r="C2159" s="3" t="str">
        <x:v>仅AR接收</x:v>
      </x:c>
      <x:c r="D2159" s="25" t="n">
        <x:v>5</x:v>
      </x:c>
      <x:c r="E2159" s="25" t="n">
        <x:v>0</x:v>
      </x:c>
      <x:c r="F2159" s="25" t="n">
        <x:v>2</x:v>
      </x:c>
      <x:c r="G2159" s="19" t="n">
        <x:f>SUM(D2159:F2159)</x:f>
        <x:v>7</x:v>
      </x:c>
      <x:c r="H2159" s="25" t="str">
        <x:v>-</x:v>
      </x:c>
      <x:c r="I2159" s="25" t="n">
        <x:v>1</x:v>
      </x:c>
      <x:c r="J2159" s="25" t="n">
        <x:v>0</x:v>
      </x:c>
      <x:c r="K2159" s="19" t="n">
        <x:f>D2159-IF(H2159=0,1,0)</x:f>
        <x:v>5</x:v>
      </x:c>
      <x:c r="L2159" s="19" t="n">
        <x:f>E2159-IF(H2159=1,1,0)</x:f>
        <x:v>0</x:v>
      </x:c>
      <x:c r="M2159" s="19" t="n">
        <x:f>F2159-IF(H2159=2,1,0)</x:f>
        <x:v>2</x:v>
      </x:c>
      <x:c r="N2159" s="19" t="n">
        <x:f>MAX(K2159-1,0)+MAX(L2159-1,0)+MAX(M2159-1,0)</x:f>
        <x:v>5</x:v>
      </x:c>
      <x:c r="O2159" s="19" t="n">
        <x:f>IF(AND(SUM(K2159:M2159)&lt;9,OR(M2159=0,N2159&lt;6)),1,0)</x:f>
        <x:v>1</x:v>
      </x:c>
      <x:c r="P2159" s="19" t="n">
        <x:f>IF(AND(SUM(K2159:M2159)&lt;9,OR(L2159=0,N2159&lt;6)),1,0)</x:f>
        <x:v>1</x:v>
      </x:c>
      <x:c r="Q2159" s="19" t="n">
        <x:f>IF(AND(SUM(K2159:M2159)&lt;9,OR(K2159=0,N2159&lt;6)),1,0)</x:f>
        <x:v>1</x:v>
      </x:c>
      <x:c r="R2159" s="22" t="str">
        <x:f>O2159&amp;P2159&amp;Q2159</x:f>
        <x:v>111</x:v>
      </x:c>
      <x:c r="S2159" s="19" t="n">
        <x:f>IF(I2159=1,IF(J2159=0,Q2159,IF(J2159=1,P2159,IF(J2159=2,O2159,0))),0)</x:f>
        <x:v>1</x:v>
      </x:c>
      <x:c r="T2159" s="19" t="n">
        <x:f>K2159+IF(AND(S2159=1,J2159=0),1,0)</x:f>
        <x:v>6</x:v>
      </x:c>
      <x:c r="U2159" s="19" t="n">
        <x:f>L2159+IF(AND(S2159=1,J2159=1),1,0)</x:f>
        <x:v>0</x:v>
      </x:c>
      <x:c r="V2159" s="19" t="n">
        <x:f>M2159+IF(AND(S2159=1,J2159=2),1,0)</x:f>
        <x:v>2</x:v>
      </x:c>
      <x:c r="W2159" s="19" t="n">
        <x:f>SUM(T2159:V2159)</x:f>
        <x:v>8</x:v>
      </x:c>
      <x:c r="X2159" s="19" t="n">
        <x:f>W2159-G2159</x:f>
        <x:v>1</x:v>
      </x:c>
      <x:c r="Y2159" s="19" t="n">
        <x:f>MAX(T2159,1)+MAX(U2159,1)+MAX(V2159,1)</x:f>
        <x:v>9</x:v>
      </x:c>
      <x:c r="Z2159" s="21" t="str">
        <x:f>IF(AND(MIN(D2159:F2159)&gt;=0,MAX(D2159:F2159)&lt;=7,MAX(D2159,1)+MAX(E2159,1)+MAX(F2159,1)&lt;=9,OR(H2159="-",AND(H2159=0,D2159&gt;0),AND(H2159=1,E2159&gt;0),AND(H2159=2,F2159&gt;0)),OR(I2159=0,AND(I2159=1,OR(J2159=0,J2159=1,J2159=2),R2159&lt;&gt;"000")),Y2159&lt;=9,MIN(T2159:V2159)&gt;=0),"合法","输入违约")</x:f>
        <x:v>合法</x:v>
      </x:c>
    </x:row>
    <x:row r="2160" ht="23" customHeight="1">
      <x:c r="A2160" s="3" t="str">
        <x:v>CT-2153</x:v>
      </x:c>
      <x:c r="B2160" s="3" t="str">
        <x:v>ST-115</x:v>
      </x:c>
      <x:c r="C2160" s="3" t="str">
        <x:v>仅AR接收</x:v>
      </x:c>
      <x:c r="D2160" s="25" t="n">
        <x:v>5</x:v>
      </x:c>
      <x:c r="E2160" s="25" t="n">
        <x:v>0</x:v>
      </x:c>
      <x:c r="F2160" s="25" t="n">
        <x:v>2</x:v>
      </x:c>
      <x:c r="G2160" s="19" t="n">
        <x:f>SUM(D2160:F2160)</x:f>
        <x:v>7</x:v>
      </x:c>
      <x:c r="H2160" s="25" t="str">
        <x:v>-</x:v>
      </x:c>
      <x:c r="I2160" s="25" t="n">
        <x:v>1</x:v>
      </x:c>
      <x:c r="J2160" s="25" t="n">
        <x:v>1</x:v>
      </x:c>
      <x:c r="K2160" s="19" t="n">
        <x:f>D2160-IF(H2160=0,1,0)</x:f>
        <x:v>5</x:v>
      </x:c>
      <x:c r="L2160" s="19" t="n">
        <x:f>E2160-IF(H2160=1,1,0)</x:f>
        <x:v>0</x:v>
      </x:c>
      <x:c r="M2160" s="19" t="n">
        <x:f>F2160-IF(H2160=2,1,0)</x:f>
        <x:v>2</x:v>
      </x:c>
      <x:c r="N2160" s="19" t="n">
        <x:f>MAX(K2160-1,0)+MAX(L2160-1,0)+MAX(M2160-1,0)</x:f>
        <x:v>5</x:v>
      </x:c>
      <x:c r="O2160" s="19" t="n">
        <x:f>IF(AND(SUM(K2160:M2160)&lt;9,OR(M2160=0,N2160&lt;6)),1,0)</x:f>
        <x:v>1</x:v>
      </x:c>
      <x:c r="P2160" s="19" t="n">
        <x:f>IF(AND(SUM(K2160:M2160)&lt;9,OR(L2160=0,N2160&lt;6)),1,0)</x:f>
        <x:v>1</x:v>
      </x:c>
      <x:c r="Q2160" s="19" t="n">
        <x:f>IF(AND(SUM(K2160:M2160)&lt;9,OR(K2160=0,N2160&lt;6)),1,0)</x:f>
        <x:v>1</x:v>
      </x:c>
      <x:c r="R2160" s="22" t="str">
        <x:f>O2160&amp;P2160&amp;Q2160</x:f>
        <x:v>111</x:v>
      </x:c>
      <x:c r="S2160" s="19" t="n">
        <x:f>IF(I2160=1,IF(J2160=0,Q2160,IF(J2160=1,P2160,IF(J2160=2,O2160,0))),0)</x:f>
        <x:v>1</x:v>
      </x:c>
      <x:c r="T2160" s="19" t="n">
        <x:f>K2160+IF(AND(S2160=1,J2160=0),1,0)</x:f>
        <x:v>5</x:v>
      </x:c>
      <x:c r="U2160" s="19" t="n">
        <x:f>L2160+IF(AND(S2160=1,J2160=1),1,0)</x:f>
        <x:v>1</x:v>
      </x:c>
      <x:c r="V2160" s="19" t="n">
        <x:f>M2160+IF(AND(S2160=1,J2160=2),1,0)</x:f>
        <x:v>2</x:v>
      </x:c>
      <x:c r="W2160" s="19" t="n">
        <x:f>SUM(T2160:V2160)</x:f>
        <x:v>8</x:v>
      </x:c>
      <x:c r="X2160" s="19" t="n">
        <x:f>W2160-G2160</x:f>
        <x:v>1</x:v>
      </x:c>
      <x:c r="Y2160" s="19" t="n">
        <x:f>MAX(T2160,1)+MAX(U2160,1)+MAX(V2160,1)</x:f>
        <x:v>8</x:v>
      </x:c>
      <x:c r="Z2160" s="21" t="str">
        <x:f>IF(AND(MIN(D2160:F2160)&gt;=0,MAX(D2160:F2160)&lt;=7,MAX(D2160,1)+MAX(E2160,1)+MAX(F2160,1)&lt;=9,OR(H2160="-",AND(H2160=0,D2160&gt;0),AND(H2160=1,E2160&gt;0),AND(H2160=2,F2160&gt;0)),OR(I2160=0,AND(I2160=1,OR(J2160=0,J2160=1,J2160=2),R2160&lt;&gt;"000")),Y2160&lt;=9,MIN(T2160:V2160)&gt;=0),"合法","输入违约")</x:f>
        <x:v>合法</x:v>
      </x:c>
    </x:row>
    <x:row r="2161" ht="23" customHeight="1">
      <x:c r="A2161" s="3" t="str">
        <x:v>CT-2154</x:v>
      </x:c>
      <x:c r="B2161" s="3" t="str">
        <x:v>ST-115</x:v>
      </x:c>
      <x:c r="C2161" s="3" t="str">
        <x:v>仅AR接收</x:v>
      </x:c>
      <x:c r="D2161" s="25" t="n">
        <x:v>5</x:v>
      </x:c>
      <x:c r="E2161" s="25" t="n">
        <x:v>0</x:v>
      </x:c>
      <x:c r="F2161" s="25" t="n">
        <x:v>2</x:v>
      </x:c>
      <x:c r="G2161" s="19" t="n">
        <x:f>SUM(D2161:F2161)</x:f>
        <x:v>7</x:v>
      </x:c>
      <x:c r="H2161" s="25" t="str">
        <x:v>-</x:v>
      </x:c>
      <x:c r="I2161" s="25" t="n">
        <x:v>1</x:v>
      </x:c>
      <x:c r="J2161" s="25" t="n">
        <x:v>2</x:v>
      </x:c>
      <x:c r="K2161" s="19" t="n">
        <x:f>D2161-IF(H2161=0,1,0)</x:f>
        <x:v>5</x:v>
      </x:c>
      <x:c r="L2161" s="19" t="n">
        <x:f>E2161-IF(H2161=1,1,0)</x:f>
        <x:v>0</x:v>
      </x:c>
      <x:c r="M2161" s="19" t="n">
        <x:f>F2161-IF(H2161=2,1,0)</x:f>
        <x:v>2</x:v>
      </x:c>
      <x:c r="N2161" s="19" t="n">
        <x:f>MAX(K2161-1,0)+MAX(L2161-1,0)+MAX(M2161-1,0)</x:f>
        <x:v>5</x:v>
      </x:c>
      <x:c r="O2161" s="19" t="n">
        <x:f>IF(AND(SUM(K2161:M2161)&lt;9,OR(M2161=0,N2161&lt;6)),1,0)</x:f>
        <x:v>1</x:v>
      </x:c>
      <x:c r="P2161" s="19" t="n">
        <x:f>IF(AND(SUM(K2161:M2161)&lt;9,OR(L2161=0,N2161&lt;6)),1,0)</x:f>
        <x:v>1</x:v>
      </x:c>
      <x:c r="Q2161" s="19" t="n">
        <x:f>IF(AND(SUM(K2161:M2161)&lt;9,OR(K2161=0,N2161&lt;6)),1,0)</x:f>
        <x:v>1</x:v>
      </x:c>
      <x:c r="R2161" s="22" t="str">
        <x:f>O2161&amp;P2161&amp;Q2161</x:f>
        <x:v>111</x:v>
      </x:c>
      <x:c r="S2161" s="19" t="n">
        <x:f>IF(I2161=1,IF(J2161=0,Q2161,IF(J2161=1,P2161,IF(J2161=2,O2161,0))),0)</x:f>
        <x:v>1</x:v>
      </x:c>
      <x:c r="T2161" s="19" t="n">
        <x:f>K2161+IF(AND(S2161=1,J2161=0),1,0)</x:f>
        <x:v>5</x:v>
      </x:c>
      <x:c r="U2161" s="19" t="n">
        <x:f>L2161+IF(AND(S2161=1,J2161=1),1,0)</x:f>
        <x:v>0</x:v>
      </x:c>
      <x:c r="V2161" s="19" t="n">
        <x:f>M2161+IF(AND(S2161=1,J2161=2),1,0)</x:f>
        <x:v>3</x:v>
      </x:c>
      <x:c r="W2161" s="19" t="n">
        <x:f>SUM(T2161:V2161)</x:f>
        <x:v>8</x:v>
      </x:c>
      <x:c r="X2161" s="19" t="n">
        <x:f>W2161-G2161</x:f>
        <x:v>1</x:v>
      </x:c>
      <x:c r="Y2161" s="19" t="n">
        <x:f>MAX(T2161,1)+MAX(U2161,1)+MAX(V2161,1)</x:f>
        <x:v>9</x:v>
      </x:c>
      <x:c r="Z2161" s="21" t="str">
        <x:f>IF(AND(MIN(D2161:F2161)&gt;=0,MAX(D2161:F2161)&lt;=7,MAX(D2161,1)+MAX(E2161,1)+MAX(F2161,1)&lt;=9,OR(H2161="-",AND(H2161=0,D2161&gt;0),AND(H2161=1,E2161&gt;0),AND(H2161=2,F2161&gt;0)),OR(I2161=0,AND(I2161=1,OR(J2161=0,J2161=1,J2161=2),R2161&lt;&gt;"000")),Y2161&lt;=9,MIN(T2161:V2161)&gt;=0),"合法","输入违约")</x:f>
        <x:v>合法</x:v>
      </x:c>
    </x:row>
    <x:row r="2162" ht="23" customHeight="1">
      <x:c r="A2162" s="3" t="str">
        <x:v>CT-2155</x:v>
      </x:c>
      <x:c r="B2162" s="3" t="str">
        <x:v>ST-115</x:v>
      </x:c>
      <x:c r="C2162" s="3" t="str">
        <x:v>仅R回收</x:v>
      </x:c>
      <x:c r="D2162" s="25" t="n">
        <x:v>5</x:v>
      </x:c>
      <x:c r="E2162" s="25" t="n">
        <x:v>0</x:v>
      </x:c>
      <x:c r="F2162" s="25" t="n">
        <x:v>2</x:v>
      </x:c>
      <x:c r="G2162" s="19" t="n">
        <x:f>SUM(D2162:F2162)</x:f>
        <x:v>7</x:v>
      </x:c>
      <x:c r="H2162" s="25" t="n">
        <x:v>0</x:v>
      </x:c>
      <x:c r="I2162" s="25" t="n">
        <x:v>0</x:v>
      </x:c>
      <x:c r="J2162" s="25" t="str">
        <x:v>-</x:v>
      </x:c>
      <x:c r="K2162" s="19" t="n">
        <x:f>D2162-IF(H2162=0,1,0)</x:f>
        <x:v>4</x:v>
      </x:c>
      <x:c r="L2162" s="19" t="n">
        <x:f>E2162-IF(H2162=1,1,0)</x:f>
        <x:v>0</x:v>
      </x:c>
      <x:c r="M2162" s="19" t="n">
        <x:f>F2162-IF(H2162=2,1,0)</x:f>
        <x:v>2</x:v>
      </x:c>
      <x:c r="N2162" s="19" t="n">
        <x:f>MAX(K2162-1,0)+MAX(L2162-1,0)+MAX(M2162-1,0)</x:f>
        <x:v>4</x:v>
      </x:c>
      <x:c r="O2162" s="19" t="n">
        <x:f>IF(AND(SUM(K2162:M2162)&lt;9,OR(M2162=0,N2162&lt;6)),1,0)</x:f>
        <x:v>1</x:v>
      </x:c>
      <x:c r="P2162" s="19" t="n">
        <x:f>IF(AND(SUM(K2162:M2162)&lt;9,OR(L2162=0,N2162&lt;6)),1,0)</x:f>
        <x:v>1</x:v>
      </x:c>
      <x:c r="Q2162" s="19" t="n">
        <x:f>IF(AND(SUM(K2162:M2162)&lt;9,OR(K2162=0,N2162&lt;6)),1,0)</x:f>
        <x:v>1</x:v>
      </x:c>
      <x:c r="R2162" s="22" t="str">
        <x:f>O2162&amp;P2162&amp;Q2162</x:f>
        <x:v>111</x:v>
      </x:c>
      <x:c r="S2162" s="19" t="n">
        <x:f>IF(I2162=1,IF(J2162=0,Q2162,IF(J2162=1,P2162,IF(J2162=2,O2162,0))),0)</x:f>
        <x:v>0</x:v>
      </x:c>
      <x:c r="T2162" s="19" t="n">
        <x:f>K2162+IF(AND(S2162=1,J2162=0),1,0)</x:f>
        <x:v>4</x:v>
      </x:c>
      <x:c r="U2162" s="19" t="n">
        <x:f>L2162+IF(AND(S2162=1,J2162=1),1,0)</x:f>
        <x:v>0</x:v>
      </x:c>
      <x:c r="V2162" s="19" t="n">
        <x:f>M2162+IF(AND(S2162=1,J2162=2),1,0)</x:f>
        <x:v>2</x:v>
      </x:c>
      <x:c r="W2162" s="19" t="n">
        <x:f>SUM(T2162:V2162)</x:f>
        <x:v>6</x:v>
      </x:c>
      <x:c r="X2162" s="19" t="n">
        <x:f>W2162-G2162</x:f>
        <x:v>-1</x:v>
      </x:c>
      <x:c r="Y2162" s="19" t="n">
        <x:f>MAX(T2162,1)+MAX(U2162,1)+MAX(V2162,1)</x:f>
        <x:v>7</x:v>
      </x:c>
      <x:c r="Z2162" s="21" t="str">
        <x:f>IF(AND(MIN(D2162:F2162)&gt;=0,MAX(D2162:F2162)&lt;=7,MAX(D2162,1)+MAX(E2162,1)+MAX(F2162,1)&lt;=9,OR(H2162="-",AND(H2162=0,D2162&gt;0),AND(H2162=1,E2162&gt;0),AND(H2162=2,F2162&gt;0)),OR(I2162=0,AND(I2162=1,OR(J2162=0,J2162=1,J2162=2),R2162&lt;&gt;"000")),Y2162&lt;=9,MIN(T2162:V2162)&gt;=0),"合法","输入违约")</x:f>
        <x:v>合法</x:v>
      </x:c>
    </x:row>
    <x:row r="2163" ht="23" customHeight="1">
      <x:c r="A2163" s="3" t="str">
        <x:v>CT-2156</x:v>
      </x:c>
      <x:c r="B2163" s="3" t="str">
        <x:v>ST-115</x:v>
      </x:c>
      <x:c r="C2163" s="3" t="str">
        <x:v>R+AR同收同发</x:v>
      </x:c>
      <x:c r="D2163" s="25" t="n">
        <x:v>5</x:v>
      </x:c>
      <x:c r="E2163" s="25" t="n">
        <x:v>0</x:v>
      </x:c>
      <x:c r="F2163" s="25" t="n">
        <x:v>2</x:v>
      </x:c>
      <x:c r="G2163" s="19" t="n">
        <x:f>SUM(D2163:F2163)</x:f>
        <x:v>7</x:v>
      </x:c>
      <x:c r="H2163" s="25" t="n">
        <x:v>0</x:v>
      </x:c>
      <x:c r="I2163" s="25" t="n">
        <x:v>1</x:v>
      </x:c>
      <x:c r="J2163" s="25" t="n">
        <x:v>0</x:v>
      </x:c>
      <x:c r="K2163" s="19" t="n">
        <x:f>D2163-IF(H2163=0,1,0)</x:f>
        <x:v>4</x:v>
      </x:c>
      <x:c r="L2163" s="19" t="n">
        <x:f>E2163-IF(H2163=1,1,0)</x:f>
        <x:v>0</x:v>
      </x:c>
      <x:c r="M2163" s="19" t="n">
        <x:f>F2163-IF(H2163=2,1,0)</x:f>
        <x:v>2</x:v>
      </x:c>
      <x:c r="N2163" s="19" t="n">
        <x:f>MAX(K2163-1,0)+MAX(L2163-1,0)+MAX(M2163-1,0)</x:f>
        <x:v>4</x:v>
      </x:c>
      <x:c r="O2163" s="19" t="n">
        <x:f>IF(AND(SUM(K2163:M2163)&lt;9,OR(M2163=0,N2163&lt;6)),1,0)</x:f>
        <x:v>1</x:v>
      </x:c>
      <x:c r="P2163" s="19" t="n">
        <x:f>IF(AND(SUM(K2163:M2163)&lt;9,OR(L2163=0,N2163&lt;6)),1,0)</x:f>
        <x:v>1</x:v>
      </x:c>
      <x:c r="Q2163" s="19" t="n">
        <x:f>IF(AND(SUM(K2163:M2163)&lt;9,OR(K2163=0,N2163&lt;6)),1,0)</x:f>
        <x:v>1</x:v>
      </x:c>
      <x:c r="R2163" s="22" t="str">
        <x:f>O2163&amp;P2163&amp;Q2163</x:f>
        <x:v>111</x:v>
      </x:c>
      <x:c r="S2163" s="19" t="n">
        <x:f>IF(I2163=1,IF(J2163=0,Q2163,IF(J2163=1,P2163,IF(J2163=2,O2163,0))),0)</x:f>
        <x:v>1</x:v>
      </x:c>
      <x:c r="T2163" s="19" t="n">
        <x:f>K2163+IF(AND(S2163=1,J2163=0),1,0)</x:f>
        <x:v>5</x:v>
      </x:c>
      <x:c r="U2163" s="19" t="n">
        <x:f>L2163+IF(AND(S2163=1,J2163=1),1,0)</x:f>
        <x:v>0</x:v>
      </x:c>
      <x:c r="V2163" s="19" t="n">
        <x:f>M2163+IF(AND(S2163=1,J2163=2),1,0)</x:f>
        <x:v>2</x:v>
      </x:c>
      <x:c r="W2163" s="19" t="n">
        <x:f>SUM(T2163:V2163)</x:f>
        <x:v>7</x:v>
      </x:c>
      <x:c r="X2163" s="19" t="n">
        <x:f>W2163-G2163</x:f>
        <x:v>0</x:v>
      </x:c>
      <x:c r="Y2163" s="19" t="n">
        <x:f>MAX(T2163,1)+MAX(U2163,1)+MAX(V2163,1)</x:f>
        <x:v>8</x:v>
      </x:c>
      <x:c r="Z2163" s="21" t="str">
        <x:f>IF(AND(MIN(D2163:F2163)&gt;=0,MAX(D2163:F2163)&lt;=7,MAX(D2163,1)+MAX(E2163,1)+MAX(F2163,1)&lt;=9,OR(H2163="-",AND(H2163=0,D2163&gt;0),AND(H2163=1,E2163&gt;0),AND(H2163=2,F2163&gt;0)),OR(I2163=0,AND(I2163=1,OR(J2163=0,J2163=1,J2163=2),R2163&lt;&gt;"000")),Y2163&lt;=9,MIN(T2163:V2163)&gt;=0),"合法","输入违约")</x:f>
        <x:v>合法</x:v>
      </x:c>
    </x:row>
    <x:row r="2164" ht="23" customHeight="1">
      <x:c r="A2164" s="3" t="str">
        <x:v>CT-2157</x:v>
      </x:c>
      <x:c r="B2164" s="3" t="str">
        <x:v>ST-115</x:v>
      </x:c>
      <x:c r="C2164" s="3" t="str">
        <x:v>R+AR同收同发</x:v>
      </x:c>
      <x:c r="D2164" s="25" t="n">
        <x:v>5</x:v>
      </x:c>
      <x:c r="E2164" s="25" t="n">
        <x:v>0</x:v>
      </x:c>
      <x:c r="F2164" s="25" t="n">
        <x:v>2</x:v>
      </x:c>
      <x:c r="G2164" s="19" t="n">
        <x:f>SUM(D2164:F2164)</x:f>
        <x:v>7</x:v>
      </x:c>
      <x:c r="H2164" s="25" t="n">
        <x:v>0</x:v>
      </x:c>
      <x:c r="I2164" s="25" t="n">
        <x:v>1</x:v>
      </x:c>
      <x:c r="J2164" s="25" t="n">
        <x:v>1</x:v>
      </x:c>
      <x:c r="K2164" s="19" t="n">
        <x:f>D2164-IF(H2164=0,1,0)</x:f>
        <x:v>4</x:v>
      </x:c>
      <x:c r="L2164" s="19" t="n">
        <x:f>E2164-IF(H2164=1,1,0)</x:f>
        <x:v>0</x:v>
      </x:c>
      <x:c r="M2164" s="19" t="n">
        <x:f>F2164-IF(H2164=2,1,0)</x:f>
        <x:v>2</x:v>
      </x:c>
      <x:c r="N2164" s="19" t="n">
        <x:f>MAX(K2164-1,0)+MAX(L2164-1,0)+MAX(M2164-1,0)</x:f>
        <x:v>4</x:v>
      </x:c>
      <x:c r="O2164" s="19" t="n">
        <x:f>IF(AND(SUM(K2164:M2164)&lt;9,OR(M2164=0,N2164&lt;6)),1,0)</x:f>
        <x:v>1</x:v>
      </x:c>
      <x:c r="P2164" s="19" t="n">
        <x:f>IF(AND(SUM(K2164:M2164)&lt;9,OR(L2164=0,N2164&lt;6)),1,0)</x:f>
        <x:v>1</x:v>
      </x:c>
      <x:c r="Q2164" s="19" t="n">
        <x:f>IF(AND(SUM(K2164:M2164)&lt;9,OR(K2164=0,N2164&lt;6)),1,0)</x:f>
        <x:v>1</x:v>
      </x:c>
      <x:c r="R2164" s="22" t="str">
        <x:f>O2164&amp;P2164&amp;Q2164</x:f>
        <x:v>111</x:v>
      </x:c>
      <x:c r="S2164" s="19" t="n">
        <x:f>IF(I2164=1,IF(J2164=0,Q2164,IF(J2164=1,P2164,IF(J2164=2,O2164,0))),0)</x:f>
        <x:v>1</x:v>
      </x:c>
      <x:c r="T2164" s="19" t="n">
        <x:f>K2164+IF(AND(S2164=1,J2164=0),1,0)</x:f>
        <x:v>4</x:v>
      </x:c>
      <x:c r="U2164" s="19" t="n">
        <x:f>L2164+IF(AND(S2164=1,J2164=1),1,0)</x:f>
        <x:v>1</x:v>
      </x:c>
      <x:c r="V2164" s="19" t="n">
        <x:f>M2164+IF(AND(S2164=1,J2164=2),1,0)</x:f>
        <x:v>2</x:v>
      </x:c>
      <x:c r="W2164" s="19" t="n">
        <x:f>SUM(T2164:V2164)</x:f>
        <x:v>7</x:v>
      </x:c>
      <x:c r="X2164" s="19" t="n">
        <x:f>W2164-G2164</x:f>
        <x:v>0</x:v>
      </x:c>
      <x:c r="Y2164" s="19" t="n">
        <x:f>MAX(T2164,1)+MAX(U2164,1)+MAX(V2164,1)</x:f>
        <x:v>7</x:v>
      </x:c>
      <x:c r="Z2164" s="21" t="str">
        <x:f>IF(AND(MIN(D2164:F2164)&gt;=0,MAX(D2164:F2164)&lt;=7,MAX(D2164,1)+MAX(E2164,1)+MAX(F2164,1)&lt;=9,OR(H2164="-",AND(H2164=0,D2164&gt;0),AND(H2164=1,E2164&gt;0),AND(H2164=2,F2164&gt;0)),OR(I2164=0,AND(I2164=1,OR(J2164=0,J2164=1,J2164=2),R2164&lt;&gt;"000")),Y2164&lt;=9,MIN(T2164:V2164)&gt;=0),"合法","输入违约")</x:f>
        <x:v>合法</x:v>
      </x:c>
    </x:row>
    <x:row r="2165" ht="23" customHeight="1">
      <x:c r="A2165" s="3" t="str">
        <x:v>CT-2158</x:v>
      </x:c>
      <x:c r="B2165" s="3" t="str">
        <x:v>ST-115</x:v>
      </x:c>
      <x:c r="C2165" s="3" t="str">
        <x:v>R+AR同收同发</x:v>
      </x:c>
      <x:c r="D2165" s="25" t="n">
        <x:v>5</x:v>
      </x:c>
      <x:c r="E2165" s="25" t="n">
        <x:v>0</x:v>
      </x:c>
      <x:c r="F2165" s="25" t="n">
        <x:v>2</x:v>
      </x:c>
      <x:c r="G2165" s="19" t="n">
        <x:f>SUM(D2165:F2165)</x:f>
        <x:v>7</x:v>
      </x:c>
      <x:c r="H2165" s="25" t="n">
        <x:v>0</x:v>
      </x:c>
      <x:c r="I2165" s="25" t="n">
        <x:v>1</x:v>
      </x:c>
      <x:c r="J2165" s="25" t="n">
        <x:v>2</x:v>
      </x:c>
      <x:c r="K2165" s="19" t="n">
        <x:f>D2165-IF(H2165=0,1,0)</x:f>
        <x:v>4</x:v>
      </x:c>
      <x:c r="L2165" s="19" t="n">
        <x:f>E2165-IF(H2165=1,1,0)</x:f>
        <x:v>0</x:v>
      </x:c>
      <x:c r="M2165" s="19" t="n">
        <x:f>F2165-IF(H2165=2,1,0)</x:f>
        <x:v>2</x:v>
      </x:c>
      <x:c r="N2165" s="19" t="n">
        <x:f>MAX(K2165-1,0)+MAX(L2165-1,0)+MAX(M2165-1,0)</x:f>
        <x:v>4</x:v>
      </x:c>
      <x:c r="O2165" s="19" t="n">
        <x:f>IF(AND(SUM(K2165:M2165)&lt;9,OR(M2165=0,N2165&lt;6)),1,0)</x:f>
        <x:v>1</x:v>
      </x:c>
      <x:c r="P2165" s="19" t="n">
        <x:f>IF(AND(SUM(K2165:M2165)&lt;9,OR(L2165=0,N2165&lt;6)),1,0)</x:f>
        <x:v>1</x:v>
      </x:c>
      <x:c r="Q2165" s="19" t="n">
        <x:f>IF(AND(SUM(K2165:M2165)&lt;9,OR(K2165=0,N2165&lt;6)),1,0)</x:f>
        <x:v>1</x:v>
      </x:c>
      <x:c r="R2165" s="22" t="str">
        <x:f>O2165&amp;P2165&amp;Q2165</x:f>
        <x:v>111</x:v>
      </x:c>
      <x:c r="S2165" s="19" t="n">
        <x:f>IF(I2165=1,IF(J2165=0,Q2165,IF(J2165=1,P2165,IF(J2165=2,O2165,0))),0)</x:f>
        <x:v>1</x:v>
      </x:c>
      <x:c r="T2165" s="19" t="n">
        <x:f>K2165+IF(AND(S2165=1,J2165=0),1,0)</x:f>
        <x:v>4</x:v>
      </x:c>
      <x:c r="U2165" s="19" t="n">
        <x:f>L2165+IF(AND(S2165=1,J2165=1),1,0)</x:f>
        <x:v>0</x:v>
      </x:c>
      <x:c r="V2165" s="19" t="n">
        <x:f>M2165+IF(AND(S2165=1,J2165=2),1,0)</x:f>
        <x:v>3</x:v>
      </x:c>
      <x:c r="W2165" s="19" t="n">
        <x:f>SUM(T2165:V2165)</x:f>
        <x:v>7</x:v>
      </x:c>
      <x:c r="X2165" s="19" t="n">
        <x:f>W2165-G2165</x:f>
        <x:v>0</x:v>
      </x:c>
      <x:c r="Y2165" s="19" t="n">
        <x:f>MAX(T2165,1)+MAX(U2165,1)+MAX(V2165,1)</x:f>
        <x:v>8</x:v>
      </x:c>
      <x:c r="Z2165" s="21" t="str">
        <x:f>IF(AND(MIN(D2165:F2165)&gt;=0,MAX(D2165:F2165)&lt;=7,MAX(D2165,1)+MAX(E2165,1)+MAX(F2165,1)&lt;=9,OR(H2165="-",AND(H2165=0,D2165&gt;0),AND(H2165=1,E2165&gt;0),AND(H2165=2,F2165&gt;0)),OR(I2165=0,AND(I2165=1,OR(J2165=0,J2165=1,J2165=2),R2165&lt;&gt;"000")),Y2165&lt;=9,MIN(T2165:V2165)&gt;=0),"合法","输入违约")</x:f>
        <x:v>合法</x:v>
      </x:c>
    </x:row>
    <x:row r="2166" ht="23" customHeight="1">
      <x:c r="A2166" s="3" t="str">
        <x:v>CT-2159</x:v>
      </x:c>
      <x:c r="B2166" s="3" t="str">
        <x:v>ST-115</x:v>
      </x:c>
      <x:c r="C2166" s="3" t="str">
        <x:v>仅R回收</x:v>
      </x:c>
      <x:c r="D2166" s="25" t="n">
        <x:v>5</x:v>
      </x:c>
      <x:c r="E2166" s="25" t="n">
        <x:v>0</x:v>
      </x:c>
      <x:c r="F2166" s="25" t="n">
        <x:v>2</x:v>
      </x:c>
      <x:c r="G2166" s="19" t="n">
        <x:f>SUM(D2166:F2166)</x:f>
        <x:v>7</x:v>
      </x:c>
      <x:c r="H2166" s="25" t="n">
        <x:v>2</x:v>
      </x:c>
      <x:c r="I2166" s="25" t="n">
        <x:v>0</x:v>
      </x:c>
      <x:c r="J2166" s="25" t="str">
        <x:v>-</x:v>
      </x:c>
      <x:c r="K2166" s="19" t="n">
        <x:f>D2166-IF(H2166=0,1,0)</x:f>
        <x:v>5</x:v>
      </x:c>
      <x:c r="L2166" s="19" t="n">
        <x:f>E2166-IF(H2166=1,1,0)</x:f>
        <x:v>0</x:v>
      </x:c>
      <x:c r="M2166" s="19" t="n">
        <x:f>F2166-IF(H2166=2,1,0)</x:f>
        <x:v>1</x:v>
      </x:c>
      <x:c r="N2166" s="19" t="n">
        <x:f>MAX(K2166-1,0)+MAX(L2166-1,0)+MAX(M2166-1,0)</x:f>
        <x:v>4</x:v>
      </x:c>
      <x:c r="O2166" s="19" t="n">
        <x:f>IF(AND(SUM(K2166:M2166)&lt;9,OR(M2166=0,N2166&lt;6)),1,0)</x:f>
        <x:v>1</x:v>
      </x:c>
      <x:c r="P2166" s="19" t="n">
        <x:f>IF(AND(SUM(K2166:M2166)&lt;9,OR(L2166=0,N2166&lt;6)),1,0)</x:f>
        <x:v>1</x:v>
      </x:c>
      <x:c r="Q2166" s="19" t="n">
        <x:f>IF(AND(SUM(K2166:M2166)&lt;9,OR(K2166=0,N2166&lt;6)),1,0)</x:f>
        <x:v>1</x:v>
      </x:c>
      <x:c r="R2166" s="22" t="str">
        <x:f>O2166&amp;P2166&amp;Q2166</x:f>
        <x:v>111</x:v>
      </x:c>
      <x:c r="S2166" s="19" t="n">
        <x:f>IF(I2166=1,IF(J2166=0,Q2166,IF(J2166=1,P2166,IF(J2166=2,O2166,0))),0)</x:f>
        <x:v>0</x:v>
      </x:c>
      <x:c r="T2166" s="19" t="n">
        <x:f>K2166+IF(AND(S2166=1,J2166=0),1,0)</x:f>
        <x:v>5</x:v>
      </x:c>
      <x:c r="U2166" s="19" t="n">
        <x:f>L2166+IF(AND(S2166=1,J2166=1),1,0)</x:f>
        <x:v>0</x:v>
      </x:c>
      <x:c r="V2166" s="19" t="n">
        <x:f>M2166+IF(AND(S2166=1,J2166=2),1,0)</x:f>
        <x:v>1</x:v>
      </x:c>
      <x:c r="W2166" s="19" t="n">
        <x:f>SUM(T2166:V2166)</x:f>
        <x:v>6</x:v>
      </x:c>
      <x:c r="X2166" s="19" t="n">
        <x:f>W2166-G2166</x:f>
        <x:v>-1</x:v>
      </x:c>
      <x:c r="Y2166" s="19" t="n">
        <x:f>MAX(T2166,1)+MAX(U2166,1)+MAX(V2166,1)</x:f>
        <x:v>7</x:v>
      </x:c>
      <x:c r="Z2166" s="21" t="str">
        <x:f>IF(AND(MIN(D2166:F2166)&gt;=0,MAX(D2166:F2166)&lt;=7,MAX(D2166,1)+MAX(E2166,1)+MAX(F2166,1)&lt;=9,OR(H2166="-",AND(H2166=0,D2166&gt;0),AND(H2166=1,E2166&gt;0),AND(H2166=2,F2166&gt;0)),OR(I2166=0,AND(I2166=1,OR(J2166=0,J2166=1,J2166=2),R2166&lt;&gt;"000")),Y2166&lt;=9,MIN(T2166:V2166)&gt;=0),"合法","输入违约")</x:f>
        <x:v>合法</x:v>
      </x:c>
    </x:row>
    <x:row r="2167" ht="23" customHeight="1">
      <x:c r="A2167" s="3" t="str">
        <x:v>CT-2160</x:v>
      </x:c>
      <x:c r="B2167" s="3" t="str">
        <x:v>ST-115</x:v>
      </x:c>
      <x:c r="C2167" s="3" t="str">
        <x:v>R+AR同收同发</x:v>
      </x:c>
      <x:c r="D2167" s="25" t="n">
        <x:v>5</x:v>
      </x:c>
      <x:c r="E2167" s="25" t="n">
        <x:v>0</x:v>
      </x:c>
      <x:c r="F2167" s="25" t="n">
        <x:v>2</x:v>
      </x:c>
      <x:c r="G2167" s="19" t="n">
        <x:f>SUM(D2167:F2167)</x:f>
        <x:v>7</x:v>
      </x:c>
      <x:c r="H2167" s="25" t="n">
        <x:v>2</x:v>
      </x:c>
      <x:c r="I2167" s="25" t="n">
        <x:v>1</x:v>
      </x:c>
      <x:c r="J2167" s="25" t="n">
        <x:v>0</x:v>
      </x:c>
      <x:c r="K2167" s="19" t="n">
        <x:f>D2167-IF(H2167=0,1,0)</x:f>
        <x:v>5</x:v>
      </x:c>
      <x:c r="L2167" s="19" t="n">
        <x:f>E2167-IF(H2167=1,1,0)</x:f>
        <x:v>0</x:v>
      </x:c>
      <x:c r="M2167" s="19" t="n">
        <x:f>F2167-IF(H2167=2,1,0)</x:f>
        <x:v>1</x:v>
      </x:c>
      <x:c r="N2167" s="19" t="n">
        <x:f>MAX(K2167-1,0)+MAX(L2167-1,0)+MAX(M2167-1,0)</x:f>
        <x:v>4</x:v>
      </x:c>
      <x:c r="O2167" s="19" t="n">
        <x:f>IF(AND(SUM(K2167:M2167)&lt;9,OR(M2167=0,N2167&lt;6)),1,0)</x:f>
        <x:v>1</x:v>
      </x:c>
      <x:c r="P2167" s="19" t="n">
        <x:f>IF(AND(SUM(K2167:M2167)&lt;9,OR(L2167=0,N2167&lt;6)),1,0)</x:f>
        <x:v>1</x:v>
      </x:c>
      <x:c r="Q2167" s="19" t="n">
        <x:f>IF(AND(SUM(K2167:M2167)&lt;9,OR(K2167=0,N2167&lt;6)),1,0)</x:f>
        <x:v>1</x:v>
      </x:c>
      <x:c r="R2167" s="22" t="str">
        <x:f>O2167&amp;P2167&amp;Q2167</x:f>
        <x:v>111</x:v>
      </x:c>
      <x:c r="S2167" s="19" t="n">
        <x:f>IF(I2167=1,IF(J2167=0,Q2167,IF(J2167=1,P2167,IF(J2167=2,O2167,0))),0)</x:f>
        <x:v>1</x:v>
      </x:c>
      <x:c r="T2167" s="19" t="n">
        <x:f>K2167+IF(AND(S2167=1,J2167=0),1,0)</x:f>
        <x:v>6</x:v>
      </x:c>
      <x:c r="U2167" s="19" t="n">
        <x:f>L2167+IF(AND(S2167=1,J2167=1),1,0)</x:f>
        <x:v>0</x:v>
      </x:c>
      <x:c r="V2167" s="19" t="n">
        <x:f>M2167+IF(AND(S2167=1,J2167=2),1,0)</x:f>
        <x:v>1</x:v>
      </x:c>
      <x:c r="W2167" s="19" t="n">
        <x:f>SUM(T2167:V2167)</x:f>
        <x:v>7</x:v>
      </x:c>
      <x:c r="X2167" s="19" t="n">
        <x:f>W2167-G2167</x:f>
        <x:v>0</x:v>
      </x:c>
      <x:c r="Y2167" s="19" t="n">
        <x:f>MAX(T2167,1)+MAX(U2167,1)+MAX(V2167,1)</x:f>
        <x:v>8</x:v>
      </x:c>
      <x:c r="Z2167" s="21" t="str">
        <x:f>IF(AND(MIN(D2167:F2167)&gt;=0,MAX(D2167:F2167)&lt;=7,MAX(D2167,1)+MAX(E2167,1)+MAX(F2167,1)&lt;=9,OR(H2167="-",AND(H2167=0,D2167&gt;0),AND(H2167=1,E2167&gt;0),AND(H2167=2,F2167&gt;0)),OR(I2167=0,AND(I2167=1,OR(J2167=0,J2167=1,J2167=2),R2167&lt;&gt;"000")),Y2167&lt;=9,MIN(T2167:V2167)&gt;=0),"合法","输入违约")</x:f>
        <x:v>合法</x:v>
      </x:c>
    </x:row>
    <x:row r="2168" ht="23" customHeight="1">
      <x:c r="A2168" s="3" t="str">
        <x:v>CT-2161</x:v>
      </x:c>
      <x:c r="B2168" s="3" t="str">
        <x:v>ST-115</x:v>
      </x:c>
      <x:c r="C2168" s="3" t="str">
        <x:v>R+AR同收同发</x:v>
      </x:c>
      <x:c r="D2168" s="25" t="n">
        <x:v>5</x:v>
      </x:c>
      <x:c r="E2168" s="25" t="n">
        <x:v>0</x:v>
      </x:c>
      <x:c r="F2168" s="25" t="n">
        <x:v>2</x:v>
      </x:c>
      <x:c r="G2168" s="19" t="n">
        <x:f>SUM(D2168:F2168)</x:f>
        <x:v>7</x:v>
      </x:c>
      <x:c r="H2168" s="25" t="n">
        <x:v>2</x:v>
      </x:c>
      <x:c r="I2168" s="25" t="n">
        <x:v>1</x:v>
      </x:c>
      <x:c r="J2168" s="25" t="n">
        <x:v>1</x:v>
      </x:c>
      <x:c r="K2168" s="19" t="n">
        <x:f>D2168-IF(H2168=0,1,0)</x:f>
        <x:v>5</x:v>
      </x:c>
      <x:c r="L2168" s="19" t="n">
        <x:f>E2168-IF(H2168=1,1,0)</x:f>
        <x:v>0</x:v>
      </x:c>
      <x:c r="M2168" s="19" t="n">
        <x:f>F2168-IF(H2168=2,1,0)</x:f>
        <x:v>1</x:v>
      </x:c>
      <x:c r="N2168" s="19" t="n">
        <x:f>MAX(K2168-1,0)+MAX(L2168-1,0)+MAX(M2168-1,0)</x:f>
        <x:v>4</x:v>
      </x:c>
      <x:c r="O2168" s="19" t="n">
        <x:f>IF(AND(SUM(K2168:M2168)&lt;9,OR(M2168=0,N2168&lt;6)),1,0)</x:f>
        <x:v>1</x:v>
      </x:c>
      <x:c r="P2168" s="19" t="n">
        <x:f>IF(AND(SUM(K2168:M2168)&lt;9,OR(L2168=0,N2168&lt;6)),1,0)</x:f>
        <x:v>1</x:v>
      </x:c>
      <x:c r="Q2168" s="19" t="n">
        <x:f>IF(AND(SUM(K2168:M2168)&lt;9,OR(K2168=0,N2168&lt;6)),1,0)</x:f>
        <x:v>1</x:v>
      </x:c>
      <x:c r="R2168" s="22" t="str">
        <x:f>O2168&amp;P2168&amp;Q2168</x:f>
        <x:v>111</x:v>
      </x:c>
      <x:c r="S2168" s="19" t="n">
        <x:f>IF(I2168=1,IF(J2168=0,Q2168,IF(J2168=1,P2168,IF(J2168=2,O2168,0))),0)</x:f>
        <x:v>1</x:v>
      </x:c>
      <x:c r="T2168" s="19" t="n">
        <x:f>K2168+IF(AND(S2168=1,J2168=0),1,0)</x:f>
        <x:v>5</x:v>
      </x:c>
      <x:c r="U2168" s="19" t="n">
        <x:f>L2168+IF(AND(S2168=1,J2168=1),1,0)</x:f>
        <x:v>1</x:v>
      </x:c>
      <x:c r="V2168" s="19" t="n">
        <x:f>M2168+IF(AND(S2168=1,J2168=2),1,0)</x:f>
        <x:v>1</x:v>
      </x:c>
      <x:c r="W2168" s="19" t="n">
        <x:f>SUM(T2168:V2168)</x:f>
        <x:v>7</x:v>
      </x:c>
      <x:c r="X2168" s="19" t="n">
        <x:f>W2168-G2168</x:f>
        <x:v>0</x:v>
      </x:c>
      <x:c r="Y2168" s="19" t="n">
        <x:f>MAX(T2168,1)+MAX(U2168,1)+MAX(V2168,1)</x:f>
        <x:v>7</x:v>
      </x:c>
      <x:c r="Z2168" s="21" t="str">
        <x:f>IF(AND(MIN(D2168:F2168)&gt;=0,MAX(D2168:F2168)&lt;=7,MAX(D2168,1)+MAX(E2168,1)+MAX(F2168,1)&lt;=9,OR(H2168="-",AND(H2168=0,D2168&gt;0),AND(H2168=1,E2168&gt;0),AND(H2168=2,F2168&gt;0)),OR(I2168=0,AND(I2168=1,OR(J2168=0,J2168=1,J2168=2),R2168&lt;&gt;"000")),Y2168&lt;=9,MIN(T2168:V2168)&gt;=0),"合法","输入违约")</x:f>
        <x:v>合法</x:v>
      </x:c>
    </x:row>
    <x:row r="2169" ht="23" customHeight="1">
      <x:c r="A2169" s="3" t="str">
        <x:v>CT-2162</x:v>
      </x:c>
      <x:c r="B2169" s="3" t="str">
        <x:v>ST-115</x:v>
      </x:c>
      <x:c r="C2169" s="3" t="str">
        <x:v>R+AR同收同发</x:v>
      </x:c>
      <x:c r="D2169" s="25" t="n">
        <x:v>5</x:v>
      </x:c>
      <x:c r="E2169" s="25" t="n">
        <x:v>0</x:v>
      </x:c>
      <x:c r="F2169" s="25" t="n">
        <x:v>2</x:v>
      </x:c>
      <x:c r="G2169" s="19" t="n">
        <x:f>SUM(D2169:F2169)</x:f>
        <x:v>7</x:v>
      </x:c>
      <x:c r="H2169" s="25" t="n">
        <x:v>2</x:v>
      </x:c>
      <x:c r="I2169" s="25" t="n">
        <x:v>1</x:v>
      </x:c>
      <x:c r="J2169" s="25" t="n">
        <x:v>2</x:v>
      </x:c>
      <x:c r="K2169" s="19" t="n">
        <x:f>D2169-IF(H2169=0,1,0)</x:f>
        <x:v>5</x:v>
      </x:c>
      <x:c r="L2169" s="19" t="n">
        <x:f>E2169-IF(H2169=1,1,0)</x:f>
        <x:v>0</x:v>
      </x:c>
      <x:c r="M2169" s="19" t="n">
        <x:f>F2169-IF(H2169=2,1,0)</x:f>
        <x:v>1</x:v>
      </x:c>
      <x:c r="N2169" s="19" t="n">
        <x:f>MAX(K2169-1,0)+MAX(L2169-1,0)+MAX(M2169-1,0)</x:f>
        <x:v>4</x:v>
      </x:c>
      <x:c r="O2169" s="19" t="n">
        <x:f>IF(AND(SUM(K2169:M2169)&lt;9,OR(M2169=0,N2169&lt;6)),1,0)</x:f>
        <x:v>1</x:v>
      </x:c>
      <x:c r="P2169" s="19" t="n">
        <x:f>IF(AND(SUM(K2169:M2169)&lt;9,OR(L2169=0,N2169&lt;6)),1,0)</x:f>
        <x:v>1</x:v>
      </x:c>
      <x:c r="Q2169" s="19" t="n">
        <x:f>IF(AND(SUM(K2169:M2169)&lt;9,OR(K2169=0,N2169&lt;6)),1,0)</x:f>
        <x:v>1</x:v>
      </x:c>
      <x:c r="R2169" s="22" t="str">
        <x:f>O2169&amp;P2169&amp;Q2169</x:f>
        <x:v>111</x:v>
      </x:c>
      <x:c r="S2169" s="19" t="n">
        <x:f>IF(I2169=1,IF(J2169=0,Q2169,IF(J2169=1,P2169,IF(J2169=2,O2169,0))),0)</x:f>
        <x:v>1</x:v>
      </x:c>
      <x:c r="T2169" s="19" t="n">
        <x:f>K2169+IF(AND(S2169=1,J2169=0),1,0)</x:f>
        <x:v>5</x:v>
      </x:c>
      <x:c r="U2169" s="19" t="n">
        <x:f>L2169+IF(AND(S2169=1,J2169=1),1,0)</x:f>
        <x:v>0</x:v>
      </x:c>
      <x:c r="V2169" s="19" t="n">
        <x:f>M2169+IF(AND(S2169=1,J2169=2),1,0)</x:f>
        <x:v>2</x:v>
      </x:c>
      <x:c r="W2169" s="19" t="n">
        <x:f>SUM(T2169:V2169)</x:f>
        <x:v>7</x:v>
      </x:c>
      <x:c r="X2169" s="19" t="n">
        <x:f>W2169-G2169</x:f>
        <x:v>0</x:v>
      </x:c>
      <x:c r="Y2169" s="19" t="n">
        <x:f>MAX(T2169,1)+MAX(U2169,1)+MAX(V2169,1)</x:f>
        <x:v>8</x:v>
      </x:c>
      <x:c r="Z2169" s="21" t="str">
        <x:f>IF(AND(MIN(D2169:F2169)&gt;=0,MAX(D2169:F2169)&lt;=7,MAX(D2169,1)+MAX(E2169,1)+MAX(F2169,1)&lt;=9,OR(H2169="-",AND(H2169=0,D2169&gt;0),AND(H2169=1,E2169&gt;0),AND(H2169=2,F2169&gt;0)),OR(I2169=0,AND(I2169=1,OR(J2169=0,J2169=1,J2169=2),R2169&lt;&gt;"000")),Y2169&lt;=9,MIN(T2169:V2169)&gt;=0),"合法","输入违约")</x:f>
        <x:v>合法</x:v>
      </x:c>
    </x:row>
    <x:row r="2170" ht="23" customHeight="1">
      <x:c r="A2170" s="3" t="str">
        <x:v>CT-2163</x:v>
      </x:c>
      <x:c r="B2170" s="3" t="str">
        <x:v>ST-154</x:v>
      </x:c>
      <x:c r="C2170" s="3" t="str">
        <x:v>无AR/R</x:v>
      </x:c>
      <x:c r="D2170" s="25" t="n">
        <x:v>5</x:v>
      </x:c>
      <x:c r="E2170" s="25" t="n">
        <x:v>0</x:v>
      </x:c>
      <x:c r="F2170" s="25" t="n">
        <x:v>3</x:v>
      </x:c>
      <x:c r="G2170" s="19" t="n">
        <x:f>SUM(D2170:F2170)</x:f>
        <x:v>8</x:v>
      </x:c>
      <x:c r="H2170" s="25" t="str">
        <x:v>-</x:v>
      </x:c>
      <x:c r="I2170" s="25" t="n">
        <x:v>0</x:v>
      </x:c>
      <x:c r="J2170" s="25" t="str">
        <x:v>-</x:v>
      </x:c>
      <x:c r="K2170" s="19" t="n">
        <x:f>D2170-IF(H2170=0,1,0)</x:f>
        <x:v>5</x:v>
      </x:c>
      <x:c r="L2170" s="19" t="n">
        <x:f>E2170-IF(H2170=1,1,0)</x:f>
        <x:v>0</x:v>
      </x:c>
      <x:c r="M2170" s="19" t="n">
        <x:f>F2170-IF(H2170=2,1,0)</x:f>
        <x:v>3</x:v>
      </x:c>
      <x:c r="N2170" s="19" t="n">
        <x:f>MAX(K2170-1,0)+MAX(L2170-1,0)+MAX(M2170-1,0)</x:f>
        <x:v>6</x:v>
      </x:c>
      <x:c r="O2170" s="19" t="n">
        <x:f>IF(AND(SUM(K2170:M2170)&lt;9,OR(M2170=0,N2170&lt;6)),1,0)</x:f>
        <x:v>0</x:v>
      </x:c>
      <x:c r="P2170" s="19" t="n">
        <x:f>IF(AND(SUM(K2170:M2170)&lt;9,OR(L2170=0,N2170&lt;6)),1,0)</x:f>
        <x:v>1</x:v>
      </x:c>
      <x:c r="Q2170" s="19" t="n">
        <x:f>IF(AND(SUM(K2170:M2170)&lt;9,OR(K2170=0,N2170&lt;6)),1,0)</x:f>
        <x:v>0</x:v>
      </x:c>
      <x:c r="R2170" s="22" t="str">
        <x:f>O2170&amp;P2170&amp;Q2170</x:f>
        <x:v>010</x:v>
      </x:c>
      <x:c r="S2170" s="19" t="n">
        <x:f>IF(I2170=1,IF(J2170=0,Q2170,IF(J2170=1,P2170,IF(J2170=2,O2170,0))),0)</x:f>
        <x:v>0</x:v>
      </x:c>
      <x:c r="T2170" s="19" t="n">
        <x:f>K2170+IF(AND(S2170=1,J2170=0),1,0)</x:f>
        <x:v>5</x:v>
      </x:c>
      <x:c r="U2170" s="19" t="n">
        <x:f>L2170+IF(AND(S2170=1,J2170=1),1,0)</x:f>
        <x:v>0</x:v>
      </x:c>
      <x:c r="V2170" s="19" t="n">
        <x:f>M2170+IF(AND(S2170=1,J2170=2),1,0)</x:f>
        <x:v>3</x:v>
      </x:c>
      <x:c r="W2170" s="19" t="n">
        <x:f>SUM(T2170:V2170)</x:f>
        <x:v>8</x:v>
      </x:c>
      <x:c r="X2170" s="19" t="n">
        <x:f>W2170-G2170</x:f>
        <x:v>0</x:v>
      </x:c>
      <x:c r="Y2170" s="19" t="n">
        <x:f>MAX(T2170,1)+MAX(U2170,1)+MAX(V2170,1)</x:f>
        <x:v>9</x:v>
      </x:c>
      <x:c r="Z2170" s="21" t="str">
        <x:f>IF(AND(MIN(D2170:F2170)&gt;=0,MAX(D2170:F2170)&lt;=7,MAX(D2170,1)+MAX(E2170,1)+MAX(F2170,1)&lt;=9,OR(H2170="-",AND(H2170=0,D2170&gt;0),AND(H2170=1,E2170&gt;0),AND(H2170=2,F2170&gt;0)),OR(I2170=0,AND(I2170=1,OR(J2170=0,J2170=1,J2170=2),R2170&lt;&gt;"000")),Y2170&lt;=9,MIN(T2170:V2170)&gt;=0),"合法","输入违约")</x:f>
        <x:v>合法</x:v>
      </x:c>
    </x:row>
    <x:row r="2171" ht="23" customHeight="1">
      <x:c r="A2171" s="3" t="str">
        <x:v>CT-2164</x:v>
      </x:c>
      <x:c r="B2171" s="3" t="str">
        <x:v>ST-154</x:v>
      </x:c>
      <x:c r="C2171" s="3" t="str">
        <x:v>所选源被阻塞</x:v>
      </x:c>
      <x:c r="D2171" s="25" t="n">
        <x:v>5</x:v>
      </x:c>
      <x:c r="E2171" s="25" t="n">
        <x:v>0</x:v>
      </x:c>
      <x:c r="F2171" s="25" t="n">
        <x:v>3</x:v>
      </x:c>
      <x:c r="G2171" s="19" t="n">
        <x:f>SUM(D2171:F2171)</x:f>
        <x:v>8</x:v>
      </x:c>
      <x:c r="H2171" s="25" t="str">
        <x:v>-</x:v>
      </x:c>
      <x:c r="I2171" s="25" t="n">
        <x:v>1</x:v>
      </x:c>
      <x:c r="J2171" s="25" t="n">
        <x:v>0</x:v>
      </x:c>
      <x:c r="K2171" s="19" t="n">
        <x:f>D2171-IF(H2171=0,1,0)</x:f>
        <x:v>5</x:v>
      </x:c>
      <x:c r="L2171" s="19" t="n">
        <x:f>E2171-IF(H2171=1,1,0)</x:f>
        <x:v>0</x:v>
      </x:c>
      <x:c r="M2171" s="19" t="n">
        <x:f>F2171-IF(H2171=2,1,0)</x:f>
        <x:v>3</x:v>
      </x:c>
      <x:c r="N2171" s="19" t="n">
        <x:f>MAX(K2171-1,0)+MAX(L2171-1,0)+MAX(M2171-1,0)</x:f>
        <x:v>6</x:v>
      </x:c>
      <x:c r="O2171" s="19" t="n">
        <x:f>IF(AND(SUM(K2171:M2171)&lt;9,OR(M2171=0,N2171&lt;6)),1,0)</x:f>
        <x:v>0</x:v>
      </x:c>
      <x:c r="P2171" s="19" t="n">
        <x:f>IF(AND(SUM(K2171:M2171)&lt;9,OR(L2171=0,N2171&lt;6)),1,0)</x:f>
        <x:v>1</x:v>
      </x:c>
      <x:c r="Q2171" s="19" t="n">
        <x:f>IF(AND(SUM(K2171:M2171)&lt;9,OR(K2171=0,N2171&lt;6)),1,0)</x:f>
        <x:v>0</x:v>
      </x:c>
      <x:c r="R2171" s="22" t="str">
        <x:f>O2171&amp;P2171&amp;Q2171</x:f>
        <x:v>010</x:v>
      </x:c>
      <x:c r="S2171" s="19" t="n">
        <x:f>IF(I2171=1,IF(J2171=0,Q2171,IF(J2171=1,P2171,IF(J2171=2,O2171,0))),0)</x:f>
        <x:v>0</x:v>
      </x:c>
      <x:c r="T2171" s="19" t="n">
        <x:f>K2171+IF(AND(S2171=1,J2171=0),1,0)</x:f>
        <x:v>5</x:v>
      </x:c>
      <x:c r="U2171" s="19" t="n">
        <x:f>L2171+IF(AND(S2171=1,J2171=1),1,0)</x:f>
        <x:v>0</x:v>
      </x:c>
      <x:c r="V2171" s="19" t="n">
        <x:f>M2171+IF(AND(S2171=1,J2171=2),1,0)</x:f>
        <x:v>3</x:v>
      </x:c>
      <x:c r="W2171" s="19" t="n">
        <x:f>SUM(T2171:V2171)</x:f>
        <x:v>8</x:v>
      </x:c>
      <x:c r="X2171" s="19" t="n">
        <x:f>W2171-G2171</x:f>
        <x:v>0</x:v>
      </x:c>
      <x:c r="Y2171" s="19" t="n">
        <x:f>MAX(T2171,1)+MAX(U2171,1)+MAX(V2171,1)</x:f>
        <x:v>9</x:v>
      </x:c>
      <x:c r="Z2171" s="21" t="str">
        <x:f>IF(AND(MIN(D2171:F2171)&gt;=0,MAX(D2171:F2171)&lt;=7,MAX(D2171,1)+MAX(E2171,1)+MAX(F2171,1)&lt;=9,OR(H2171="-",AND(H2171=0,D2171&gt;0),AND(H2171=1,E2171&gt;0),AND(H2171=2,F2171&gt;0)),OR(I2171=0,AND(I2171=1,OR(J2171=0,J2171=1,J2171=2),R2171&lt;&gt;"000")),Y2171&lt;=9,MIN(T2171:V2171)&gt;=0),"合法","输入违约")</x:f>
        <x:v>合法</x:v>
      </x:c>
    </x:row>
    <x:row r="2172" ht="23" customHeight="1">
      <x:c r="A2172" s="3" t="str">
        <x:v>CT-2165</x:v>
      </x:c>
      <x:c r="B2172" s="3" t="str">
        <x:v>ST-154</x:v>
      </x:c>
      <x:c r="C2172" s="3" t="str">
        <x:v>仅AR接收</x:v>
      </x:c>
      <x:c r="D2172" s="25" t="n">
        <x:v>5</x:v>
      </x:c>
      <x:c r="E2172" s="25" t="n">
        <x:v>0</x:v>
      </x:c>
      <x:c r="F2172" s="25" t="n">
        <x:v>3</x:v>
      </x:c>
      <x:c r="G2172" s="19" t="n">
        <x:f>SUM(D2172:F2172)</x:f>
        <x:v>8</x:v>
      </x:c>
      <x:c r="H2172" s="25" t="str">
        <x:v>-</x:v>
      </x:c>
      <x:c r="I2172" s="25" t="n">
        <x:v>1</x:v>
      </x:c>
      <x:c r="J2172" s="25" t="n">
        <x:v>1</x:v>
      </x:c>
      <x:c r="K2172" s="19" t="n">
        <x:f>D2172-IF(H2172=0,1,0)</x:f>
        <x:v>5</x:v>
      </x:c>
      <x:c r="L2172" s="19" t="n">
        <x:f>E2172-IF(H2172=1,1,0)</x:f>
        <x:v>0</x:v>
      </x:c>
      <x:c r="M2172" s="19" t="n">
        <x:f>F2172-IF(H2172=2,1,0)</x:f>
        <x:v>3</x:v>
      </x:c>
      <x:c r="N2172" s="19" t="n">
        <x:f>MAX(K2172-1,0)+MAX(L2172-1,0)+MAX(M2172-1,0)</x:f>
        <x:v>6</x:v>
      </x:c>
      <x:c r="O2172" s="19" t="n">
        <x:f>IF(AND(SUM(K2172:M2172)&lt;9,OR(M2172=0,N2172&lt;6)),1,0)</x:f>
        <x:v>0</x:v>
      </x:c>
      <x:c r="P2172" s="19" t="n">
        <x:f>IF(AND(SUM(K2172:M2172)&lt;9,OR(L2172=0,N2172&lt;6)),1,0)</x:f>
        <x:v>1</x:v>
      </x:c>
      <x:c r="Q2172" s="19" t="n">
        <x:f>IF(AND(SUM(K2172:M2172)&lt;9,OR(K2172=0,N2172&lt;6)),1,0)</x:f>
        <x:v>0</x:v>
      </x:c>
      <x:c r="R2172" s="22" t="str">
        <x:f>O2172&amp;P2172&amp;Q2172</x:f>
        <x:v>010</x:v>
      </x:c>
      <x:c r="S2172" s="19" t="n">
        <x:f>IF(I2172=1,IF(J2172=0,Q2172,IF(J2172=1,P2172,IF(J2172=2,O2172,0))),0)</x:f>
        <x:v>1</x:v>
      </x:c>
      <x:c r="T2172" s="19" t="n">
        <x:f>K2172+IF(AND(S2172=1,J2172=0),1,0)</x:f>
        <x:v>5</x:v>
      </x:c>
      <x:c r="U2172" s="19" t="n">
        <x:f>L2172+IF(AND(S2172=1,J2172=1),1,0)</x:f>
        <x:v>1</x:v>
      </x:c>
      <x:c r="V2172" s="19" t="n">
        <x:f>M2172+IF(AND(S2172=1,J2172=2),1,0)</x:f>
        <x:v>3</x:v>
      </x:c>
      <x:c r="W2172" s="19" t="n">
        <x:f>SUM(T2172:V2172)</x:f>
        <x:v>9</x:v>
      </x:c>
      <x:c r="X2172" s="19" t="n">
        <x:f>W2172-G2172</x:f>
        <x:v>1</x:v>
      </x:c>
      <x:c r="Y2172" s="19" t="n">
        <x:f>MAX(T2172,1)+MAX(U2172,1)+MAX(V2172,1)</x:f>
        <x:v>9</x:v>
      </x:c>
      <x:c r="Z2172" s="21" t="str">
        <x:f>IF(AND(MIN(D2172:F2172)&gt;=0,MAX(D2172:F2172)&lt;=7,MAX(D2172,1)+MAX(E2172,1)+MAX(F2172,1)&lt;=9,OR(H2172="-",AND(H2172=0,D2172&gt;0),AND(H2172=1,E2172&gt;0),AND(H2172=2,F2172&gt;0)),OR(I2172=0,AND(I2172=1,OR(J2172=0,J2172=1,J2172=2),R2172&lt;&gt;"000")),Y2172&lt;=9,MIN(T2172:V2172)&gt;=0),"合法","输入违约")</x:f>
        <x:v>合法</x:v>
      </x:c>
    </x:row>
    <x:row r="2173" ht="23" customHeight="1">
      <x:c r="A2173" s="3" t="str">
        <x:v>CT-2166</x:v>
      </x:c>
      <x:c r="B2173" s="3" t="str">
        <x:v>ST-154</x:v>
      </x:c>
      <x:c r="C2173" s="3" t="str">
        <x:v>所选源被阻塞</x:v>
      </x:c>
      <x:c r="D2173" s="25" t="n">
        <x:v>5</x:v>
      </x:c>
      <x:c r="E2173" s="25" t="n">
        <x:v>0</x:v>
      </x:c>
      <x:c r="F2173" s="25" t="n">
        <x:v>3</x:v>
      </x:c>
      <x:c r="G2173" s="19" t="n">
        <x:f>SUM(D2173:F2173)</x:f>
        <x:v>8</x:v>
      </x:c>
      <x:c r="H2173" s="25" t="str">
        <x:v>-</x:v>
      </x:c>
      <x:c r="I2173" s="25" t="n">
        <x:v>1</x:v>
      </x:c>
      <x:c r="J2173" s="25" t="n">
        <x:v>2</x:v>
      </x:c>
      <x:c r="K2173" s="19" t="n">
        <x:f>D2173-IF(H2173=0,1,0)</x:f>
        <x:v>5</x:v>
      </x:c>
      <x:c r="L2173" s="19" t="n">
        <x:f>E2173-IF(H2173=1,1,0)</x:f>
        <x:v>0</x:v>
      </x:c>
      <x:c r="M2173" s="19" t="n">
        <x:f>F2173-IF(H2173=2,1,0)</x:f>
        <x:v>3</x:v>
      </x:c>
      <x:c r="N2173" s="19" t="n">
        <x:f>MAX(K2173-1,0)+MAX(L2173-1,0)+MAX(M2173-1,0)</x:f>
        <x:v>6</x:v>
      </x:c>
      <x:c r="O2173" s="19" t="n">
        <x:f>IF(AND(SUM(K2173:M2173)&lt;9,OR(M2173=0,N2173&lt;6)),1,0)</x:f>
        <x:v>0</x:v>
      </x:c>
      <x:c r="P2173" s="19" t="n">
        <x:f>IF(AND(SUM(K2173:M2173)&lt;9,OR(L2173=0,N2173&lt;6)),1,0)</x:f>
        <x:v>1</x:v>
      </x:c>
      <x:c r="Q2173" s="19" t="n">
        <x:f>IF(AND(SUM(K2173:M2173)&lt;9,OR(K2173=0,N2173&lt;6)),1,0)</x:f>
        <x:v>0</x:v>
      </x:c>
      <x:c r="R2173" s="22" t="str">
        <x:f>O2173&amp;P2173&amp;Q2173</x:f>
        <x:v>010</x:v>
      </x:c>
      <x:c r="S2173" s="19" t="n">
        <x:f>IF(I2173=1,IF(J2173=0,Q2173,IF(J2173=1,P2173,IF(J2173=2,O2173,0))),0)</x:f>
        <x:v>0</x:v>
      </x:c>
      <x:c r="T2173" s="19" t="n">
        <x:f>K2173+IF(AND(S2173=1,J2173=0),1,0)</x:f>
        <x:v>5</x:v>
      </x:c>
      <x:c r="U2173" s="19" t="n">
        <x:f>L2173+IF(AND(S2173=1,J2173=1),1,0)</x:f>
        <x:v>0</x:v>
      </x:c>
      <x:c r="V2173" s="19" t="n">
        <x:f>M2173+IF(AND(S2173=1,J2173=2),1,0)</x:f>
        <x:v>3</x:v>
      </x:c>
      <x:c r="W2173" s="19" t="n">
        <x:f>SUM(T2173:V2173)</x:f>
        <x:v>8</x:v>
      </x:c>
      <x:c r="X2173" s="19" t="n">
        <x:f>W2173-G2173</x:f>
        <x:v>0</x:v>
      </x:c>
      <x:c r="Y2173" s="19" t="n">
        <x:f>MAX(T2173,1)+MAX(U2173,1)+MAX(V2173,1)</x:f>
        <x:v>9</x:v>
      </x:c>
      <x:c r="Z2173" s="21" t="str">
        <x:f>IF(AND(MIN(D2173:F2173)&gt;=0,MAX(D2173:F2173)&lt;=7,MAX(D2173,1)+MAX(E2173,1)+MAX(F2173,1)&lt;=9,OR(H2173="-",AND(H2173=0,D2173&gt;0),AND(H2173=1,E2173&gt;0),AND(H2173=2,F2173&gt;0)),OR(I2173=0,AND(I2173=1,OR(J2173=0,J2173=1,J2173=2),R2173&lt;&gt;"000")),Y2173&lt;=9,MIN(T2173:V2173)&gt;=0),"合法","输入违约")</x:f>
        <x:v>合法</x:v>
      </x:c>
    </x:row>
    <x:row r="2174" ht="23" customHeight="1">
      <x:c r="A2174" s="3" t="str">
        <x:v>CT-2167</x:v>
      </x:c>
      <x:c r="B2174" s="3" t="str">
        <x:v>ST-154</x:v>
      </x:c>
      <x:c r="C2174" s="3" t="str">
        <x:v>仅R回收</x:v>
      </x:c>
      <x:c r="D2174" s="25" t="n">
        <x:v>5</x:v>
      </x:c>
      <x:c r="E2174" s="25" t="n">
        <x:v>0</x:v>
      </x:c>
      <x:c r="F2174" s="25" t="n">
        <x:v>3</x:v>
      </x:c>
      <x:c r="G2174" s="19" t="n">
        <x:f>SUM(D2174:F2174)</x:f>
        <x:v>8</x:v>
      </x:c>
      <x:c r="H2174" s="25" t="n">
        <x:v>0</x:v>
      </x:c>
      <x:c r="I2174" s="25" t="n">
        <x:v>0</x:v>
      </x:c>
      <x:c r="J2174" s="25" t="str">
        <x:v>-</x:v>
      </x:c>
      <x:c r="K2174" s="19" t="n">
        <x:f>D2174-IF(H2174=0,1,0)</x:f>
        <x:v>4</x:v>
      </x:c>
      <x:c r="L2174" s="19" t="n">
        <x:f>E2174-IF(H2174=1,1,0)</x:f>
        <x:v>0</x:v>
      </x:c>
      <x:c r="M2174" s="19" t="n">
        <x:f>F2174-IF(H2174=2,1,0)</x:f>
        <x:v>3</x:v>
      </x:c>
      <x:c r="N2174" s="19" t="n">
        <x:f>MAX(K2174-1,0)+MAX(L2174-1,0)+MAX(M2174-1,0)</x:f>
        <x:v>5</x:v>
      </x:c>
      <x:c r="O2174" s="19" t="n">
        <x:f>IF(AND(SUM(K2174:M2174)&lt;9,OR(M2174=0,N2174&lt;6)),1,0)</x:f>
        <x:v>1</x:v>
      </x:c>
      <x:c r="P2174" s="19" t="n">
        <x:f>IF(AND(SUM(K2174:M2174)&lt;9,OR(L2174=0,N2174&lt;6)),1,0)</x:f>
        <x:v>1</x:v>
      </x:c>
      <x:c r="Q2174" s="19" t="n">
        <x:f>IF(AND(SUM(K2174:M2174)&lt;9,OR(K2174=0,N2174&lt;6)),1,0)</x:f>
        <x:v>1</x:v>
      </x:c>
      <x:c r="R2174" s="22" t="str">
        <x:f>O2174&amp;P2174&amp;Q2174</x:f>
        <x:v>111</x:v>
      </x:c>
      <x:c r="S2174" s="19" t="n">
        <x:f>IF(I2174=1,IF(J2174=0,Q2174,IF(J2174=1,P2174,IF(J2174=2,O2174,0))),0)</x:f>
        <x:v>0</x:v>
      </x:c>
      <x:c r="T2174" s="19" t="n">
        <x:f>K2174+IF(AND(S2174=1,J2174=0),1,0)</x:f>
        <x:v>4</x:v>
      </x:c>
      <x:c r="U2174" s="19" t="n">
        <x:f>L2174+IF(AND(S2174=1,J2174=1),1,0)</x:f>
        <x:v>0</x:v>
      </x:c>
      <x:c r="V2174" s="19" t="n">
        <x:f>M2174+IF(AND(S2174=1,J2174=2),1,0)</x:f>
        <x:v>3</x:v>
      </x:c>
      <x:c r="W2174" s="19" t="n">
        <x:f>SUM(T2174:V2174)</x:f>
        <x:v>7</x:v>
      </x:c>
      <x:c r="X2174" s="19" t="n">
        <x:f>W2174-G2174</x:f>
        <x:v>-1</x:v>
      </x:c>
      <x:c r="Y2174" s="19" t="n">
        <x:f>MAX(T2174,1)+MAX(U2174,1)+MAX(V2174,1)</x:f>
        <x:v>8</x:v>
      </x:c>
      <x:c r="Z2174" s="21" t="str">
        <x:f>IF(AND(MIN(D2174:F2174)&gt;=0,MAX(D2174:F2174)&lt;=7,MAX(D2174,1)+MAX(E2174,1)+MAX(F2174,1)&lt;=9,OR(H2174="-",AND(H2174=0,D2174&gt;0),AND(H2174=1,E2174&gt;0),AND(H2174=2,F2174&gt;0)),OR(I2174=0,AND(I2174=1,OR(J2174=0,J2174=1,J2174=2),R2174&lt;&gt;"000")),Y2174&lt;=9,MIN(T2174:V2174)&gt;=0),"合法","输入违约")</x:f>
        <x:v>合法</x:v>
      </x:c>
    </x:row>
    <x:row r="2175" ht="23" customHeight="1">
      <x:c r="A2175" s="3" t="str">
        <x:v>CT-2168</x:v>
      </x:c>
      <x:c r="B2175" s="3" t="str">
        <x:v>ST-154</x:v>
      </x:c>
      <x:c r="C2175" s="3" t="str">
        <x:v>R+AR同收同发</x:v>
      </x:c>
      <x:c r="D2175" s="25" t="n">
        <x:v>5</x:v>
      </x:c>
      <x:c r="E2175" s="25" t="n">
        <x:v>0</x:v>
      </x:c>
      <x:c r="F2175" s="25" t="n">
        <x:v>3</x:v>
      </x:c>
      <x:c r="G2175" s="19" t="n">
        <x:f>SUM(D2175:F2175)</x:f>
        <x:v>8</x:v>
      </x:c>
      <x:c r="H2175" s="25" t="n">
        <x:v>0</x:v>
      </x:c>
      <x:c r="I2175" s="25" t="n">
        <x:v>1</x:v>
      </x:c>
      <x:c r="J2175" s="25" t="n">
        <x:v>0</x:v>
      </x:c>
      <x:c r="K2175" s="19" t="n">
        <x:f>D2175-IF(H2175=0,1,0)</x:f>
        <x:v>4</x:v>
      </x:c>
      <x:c r="L2175" s="19" t="n">
        <x:f>E2175-IF(H2175=1,1,0)</x:f>
        <x:v>0</x:v>
      </x:c>
      <x:c r="M2175" s="19" t="n">
        <x:f>F2175-IF(H2175=2,1,0)</x:f>
        <x:v>3</x:v>
      </x:c>
      <x:c r="N2175" s="19" t="n">
        <x:f>MAX(K2175-1,0)+MAX(L2175-1,0)+MAX(M2175-1,0)</x:f>
        <x:v>5</x:v>
      </x:c>
      <x:c r="O2175" s="19" t="n">
        <x:f>IF(AND(SUM(K2175:M2175)&lt;9,OR(M2175=0,N2175&lt;6)),1,0)</x:f>
        <x:v>1</x:v>
      </x:c>
      <x:c r="P2175" s="19" t="n">
        <x:f>IF(AND(SUM(K2175:M2175)&lt;9,OR(L2175=0,N2175&lt;6)),1,0)</x:f>
        <x:v>1</x:v>
      </x:c>
      <x:c r="Q2175" s="19" t="n">
        <x:f>IF(AND(SUM(K2175:M2175)&lt;9,OR(K2175=0,N2175&lt;6)),1,0)</x:f>
        <x:v>1</x:v>
      </x:c>
      <x:c r="R2175" s="22" t="str">
        <x:f>O2175&amp;P2175&amp;Q2175</x:f>
        <x:v>111</x:v>
      </x:c>
      <x:c r="S2175" s="19" t="n">
        <x:f>IF(I2175=1,IF(J2175=0,Q2175,IF(J2175=1,P2175,IF(J2175=2,O2175,0))),0)</x:f>
        <x:v>1</x:v>
      </x:c>
      <x:c r="T2175" s="19" t="n">
        <x:f>K2175+IF(AND(S2175=1,J2175=0),1,0)</x:f>
        <x:v>5</x:v>
      </x:c>
      <x:c r="U2175" s="19" t="n">
        <x:f>L2175+IF(AND(S2175=1,J2175=1),1,0)</x:f>
        <x:v>0</x:v>
      </x:c>
      <x:c r="V2175" s="19" t="n">
        <x:f>M2175+IF(AND(S2175=1,J2175=2),1,0)</x:f>
        <x:v>3</x:v>
      </x:c>
      <x:c r="W2175" s="19" t="n">
        <x:f>SUM(T2175:V2175)</x:f>
        <x:v>8</x:v>
      </x:c>
      <x:c r="X2175" s="19" t="n">
        <x:f>W2175-G2175</x:f>
        <x:v>0</x:v>
      </x:c>
      <x:c r="Y2175" s="19" t="n">
        <x:f>MAX(T2175,1)+MAX(U2175,1)+MAX(V2175,1)</x:f>
        <x:v>9</x:v>
      </x:c>
      <x:c r="Z2175" s="21" t="str">
        <x:f>IF(AND(MIN(D2175:F2175)&gt;=0,MAX(D2175:F2175)&lt;=7,MAX(D2175,1)+MAX(E2175,1)+MAX(F2175,1)&lt;=9,OR(H2175="-",AND(H2175=0,D2175&gt;0),AND(H2175=1,E2175&gt;0),AND(H2175=2,F2175&gt;0)),OR(I2175=0,AND(I2175=1,OR(J2175=0,J2175=1,J2175=2),R2175&lt;&gt;"000")),Y2175&lt;=9,MIN(T2175:V2175)&gt;=0),"合法","输入违约")</x:f>
        <x:v>合法</x:v>
      </x:c>
    </x:row>
    <x:row r="2176" ht="23" customHeight="1">
      <x:c r="A2176" s="3" t="str">
        <x:v>CT-2169</x:v>
      </x:c>
      <x:c r="B2176" s="3" t="str">
        <x:v>ST-154</x:v>
      </x:c>
      <x:c r="C2176" s="3" t="str">
        <x:v>R+AR同收同发</x:v>
      </x:c>
      <x:c r="D2176" s="25" t="n">
        <x:v>5</x:v>
      </x:c>
      <x:c r="E2176" s="25" t="n">
        <x:v>0</x:v>
      </x:c>
      <x:c r="F2176" s="25" t="n">
        <x:v>3</x:v>
      </x:c>
      <x:c r="G2176" s="19" t="n">
        <x:f>SUM(D2176:F2176)</x:f>
        <x:v>8</x:v>
      </x:c>
      <x:c r="H2176" s="25" t="n">
        <x:v>0</x:v>
      </x:c>
      <x:c r="I2176" s="25" t="n">
        <x:v>1</x:v>
      </x:c>
      <x:c r="J2176" s="25" t="n">
        <x:v>1</x:v>
      </x:c>
      <x:c r="K2176" s="19" t="n">
        <x:f>D2176-IF(H2176=0,1,0)</x:f>
        <x:v>4</x:v>
      </x:c>
      <x:c r="L2176" s="19" t="n">
        <x:f>E2176-IF(H2176=1,1,0)</x:f>
        <x:v>0</x:v>
      </x:c>
      <x:c r="M2176" s="19" t="n">
        <x:f>F2176-IF(H2176=2,1,0)</x:f>
        <x:v>3</x:v>
      </x:c>
      <x:c r="N2176" s="19" t="n">
        <x:f>MAX(K2176-1,0)+MAX(L2176-1,0)+MAX(M2176-1,0)</x:f>
        <x:v>5</x:v>
      </x:c>
      <x:c r="O2176" s="19" t="n">
        <x:f>IF(AND(SUM(K2176:M2176)&lt;9,OR(M2176=0,N2176&lt;6)),1,0)</x:f>
        <x:v>1</x:v>
      </x:c>
      <x:c r="P2176" s="19" t="n">
        <x:f>IF(AND(SUM(K2176:M2176)&lt;9,OR(L2176=0,N2176&lt;6)),1,0)</x:f>
        <x:v>1</x:v>
      </x:c>
      <x:c r="Q2176" s="19" t="n">
        <x:f>IF(AND(SUM(K2176:M2176)&lt;9,OR(K2176=0,N2176&lt;6)),1,0)</x:f>
        <x:v>1</x:v>
      </x:c>
      <x:c r="R2176" s="22" t="str">
        <x:f>O2176&amp;P2176&amp;Q2176</x:f>
        <x:v>111</x:v>
      </x:c>
      <x:c r="S2176" s="19" t="n">
        <x:f>IF(I2176=1,IF(J2176=0,Q2176,IF(J2176=1,P2176,IF(J2176=2,O2176,0))),0)</x:f>
        <x:v>1</x:v>
      </x:c>
      <x:c r="T2176" s="19" t="n">
        <x:f>K2176+IF(AND(S2176=1,J2176=0),1,0)</x:f>
        <x:v>4</x:v>
      </x:c>
      <x:c r="U2176" s="19" t="n">
        <x:f>L2176+IF(AND(S2176=1,J2176=1),1,0)</x:f>
        <x:v>1</x:v>
      </x:c>
      <x:c r="V2176" s="19" t="n">
        <x:f>M2176+IF(AND(S2176=1,J2176=2),1,0)</x:f>
        <x:v>3</x:v>
      </x:c>
      <x:c r="W2176" s="19" t="n">
        <x:f>SUM(T2176:V2176)</x:f>
        <x:v>8</x:v>
      </x:c>
      <x:c r="X2176" s="19" t="n">
        <x:f>W2176-G2176</x:f>
        <x:v>0</x:v>
      </x:c>
      <x:c r="Y2176" s="19" t="n">
        <x:f>MAX(T2176,1)+MAX(U2176,1)+MAX(V2176,1)</x:f>
        <x:v>8</x:v>
      </x:c>
      <x:c r="Z2176" s="21" t="str">
        <x:f>IF(AND(MIN(D2176:F2176)&gt;=0,MAX(D2176:F2176)&lt;=7,MAX(D2176,1)+MAX(E2176,1)+MAX(F2176,1)&lt;=9,OR(H2176="-",AND(H2176=0,D2176&gt;0),AND(H2176=1,E2176&gt;0),AND(H2176=2,F2176&gt;0)),OR(I2176=0,AND(I2176=1,OR(J2176=0,J2176=1,J2176=2),R2176&lt;&gt;"000")),Y2176&lt;=9,MIN(T2176:V2176)&gt;=0),"合法","输入违约")</x:f>
        <x:v>合法</x:v>
      </x:c>
    </x:row>
    <x:row r="2177" ht="23" customHeight="1">
      <x:c r="A2177" s="3" t="str">
        <x:v>CT-2170</x:v>
      </x:c>
      <x:c r="B2177" s="3" t="str">
        <x:v>ST-154</x:v>
      </x:c>
      <x:c r="C2177" s="3" t="str">
        <x:v>R+AR同收同发</x:v>
      </x:c>
      <x:c r="D2177" s="25" t="n">
        <x:v>5</x:v>
      </x:c>
      <x:c r="E2177" s="25" t="n">
        <x:v>0</x:v>
      </x:c>
      <x:c r="F2177" s="25" t="n">
        <x:v>3</x:v>
      </x:c>
      <x:c r="G2177" s="19" t="n">
        <x:f>SUM(D2177:F2177)</x:f>
        <x:v>8</x:v>
      </x:c>
      <x:c r="H2177" s="25" t="n">
        <x:v>0</x:v>
      </x:c>
      <x:c r="I2177" s="25" t="n">
        <x:v>1</x:v>
      </x:c>
      <x:c r="J2177" s="25" t="n">
        <x:v>2</x:v>
      </x:c>
      <x:c r="K2177" s="19" t="n">
        <x:f>D2177-IF(H2177=0,1,0)</x:f>
        <x:v>4</x:v>
      </x:c>
      <x:c r="L2177" s="19" t="n">
        <x:f>E2177-IF(H2177=1,1,0)</x:f>
        <x:v>0</x:v>
      </x:c>
      <x:c r="M2177" s="19" t="n">
        <x:f>F2177-IF(H2177=2,1,0)</x:f>
        <x:v>3</x:v>
      </x:c>
      <x:c r="N2177" s="19" t="n">
        <x:f>MAX(K2177-1,0)+MAX(L2177-1,0)+MAX(M2177-1,0)</x:f>
        <x:v>5</x:v>
      </x:c>
      <x:c r="O2177" s="19" t="n">
        <x:f>IF(AND(SUM(K2177:M2177)&lt;9,OR(M2177=0,N2177&lt;6)),1,0)</x:f>
        <x:v>1</x:v>
      </x:c>
      <x:c r="P2177" s="19" t="n">
        <x:f>IF(AND(SUM(K2177:M2177)&lt;9,OR(L2177=0,N2177&lt;6)),1,0)</x:f>
        <x:v>1</x:v>
      </x:c>
      <x:c r="Q2177" s="19" t="n">
        <x:f>IF(AND(SUM(K2177:M2177)&lt;9,OR(K2177=0,N2177&lt;6)),1,0)</x:f>
        <x:v>1</x:v>
      </x:c>
      <x:c r="R2177" s="22" t="str">
        <x:f>O2177&amp;P2177&amp;Q2177</x:f>
        <x:v>111</x:v>
      </x:c>
      <x:c r="S2177" s="19" t="n">
        <x:f>IF(I2177=1,IF(J2177=0,Q2177,IF(J2177=1,P2177,IF(J2177=2,O2177,0))),0)</x:f>
        <x:v>1</x:v>
      </x:c>
      <x:c r="T2177" s="19" t="n">
        <x:f>K2177+IF(AND(S2177=1,J2177=0),1,0)</x:f>
        <x:v>4</x:v>
      </x:c>
      <x:c r="U2177" s="19" t="n">
        <x:f>L2177+IF(AND(S2177=1,J2177=1),1,0)</x:f>
        <x:v>0</x:v>
      </x:c>
      <x:c r="V2177" s="19" t="n">
        <x:f>M2177+IF(AND(S2177=1,J2177=2),1,0)</x:f>
        <x:v>4</x:v>
      </x:c>
      <x:c r="W2177" s="19" t="n">
        <x:f>SUM(T2177:V2177)</x:f>
        <x:v>8</x:v>
      </x:c>
      <x:c r="X2177" s="19" t="n">
        <x:f>W2177-G2177</x:f>
        <x:v>0</x:v>
      </x:c>
      <x:c r="Y2177" s="19" t="n">
        <x:f>MAX(T2177,1)+MAX(U2177,1)+MAX(V2177,1)</x:f>
        <x:v>9</x:v>
      </x:c>
      <x:c r="Z2177" s="21" t="str">
        <x:f>IF(AND(MIN(D2177:F2177)&gt;=0,MAX(D2177:F2177)&lt;=7,MAX(D2177,1)+MAX(E2177,1)+MAX(F2177,1)&lt;=9,OR(H2177="-",AND(H2177=0,D2177&gt;0),AND(H2177=1,E2177&gt;0),AND(H2177=2,F2177&gt;0)),OR(I2177=0,AND(I2177=1,OR(J2177=0,J2177=1,J2177=2),R2177&lt;&gt;"000")),Y2177&lt;=9,MIN(T2177:V2177)&gt;=0),"合法","输入违约")</x:f>
        <x:v>合法</x:v>
      </x:c>
    </x:row>
    <x:row r="2178" ht="23" customHeight="1">
      <x:c r="A2178" s="3" t="str">
        <x:v>CT-2171</x:v>
      </x:c>
      <x:c r="B2178" s="3" t="str">
        <x:v>ST-154</x:v>
      </x:c>
      <x:c r="C2178" s="3" t="str">
        <x:v>仅R回收</x:v>
      </x:c>
      <x:c r="D2178" s="25" t="n">
        <x:v>5</x:v>
      </x:c>
      <x:c r="E2178" s="25" t="n">
        <x:v>0</x:v>
      </x:c>
      <x:c r="F2178" s="25" t="n">
        <x:v>3</x:v>
      </x:c>
      <x:c r="G2178" s="19" t="n">
        <x:f>SUM(D2178:F2178)</x:f>
        <x:v>8</x:v>
      </x:c>
      <x:c r="H2178" s="25" t="n">
        <x:v>2</x:v>
      </x:c>
      <x:c r="I2178" s="25" t="n">
        <x:v>0</x:v>
      </x:c>
      <x:c r="J2178" s="25" t="str">
        <x:v>-</x:v>
      </x:c>
      <x:c r="K2178" s="19" t="n">
        <x:f>D2178-IF(H2178=0,1,0)</x:f>
        <x:v>5</x:v>
      </x:c>
      <x:c r="L2178" s="19" t="n">
        <x:f>E2178-IF(H2178=1,1,0)</x:f>
        <x:v>0</x:v>
      </x:c>
      <x:c r="M2178" s="19" t="n">
        <x:f>F2178-IF(H2178=2,1,0)</x:f>
        <x:v>2</x:v>
      </x:c>
      <x:c r="N2178" s="19" t="n">
        <x:f>MAX(K2178-1,0)+MAX(L2178-1,0)+MAX(M2178-1,0)</x:f>
        <x:v>5</x:v>
      </x:c>
      <x:c r="O2178" s="19" t="n">
        <x:f>IF(AND(SUM(K2178:M2178)&lt;9,OR(M2178=0,N2178&lt;6)),1,0)</x:f>
        <x:v>1</x:v>
      </x:c>
      <x:c r="P2178" s="19" t="n">
        <x:f>IF(AND(SUM(K2178:M2178)&lt;9,OR(L2178=0,N2178&lt;6)),1,0)</x:f>
        <x:v>1</x:v>
      </x:c>
      <x:c r="Q2178" s="19" t="n">
        <x:f>IF(AND(SUM(K2178:M2178)&lt;9,OR(K2178=0,N2178&lt;6)),1,0)</x:f>
        <x:v>1</x:v>
      </x:c>
      <x:c r="R2178" s="22" t="str">
        <x:f>O2178&amp;P2178&amp;Q2178</x:f>
        <x:v>111</x:v>
      </x:c>
      <x:c r="S2178" s="19" t="n">
        <x:f>IF(I2178=1,IF(J2178=0,Q2178,IF(J2178=1,P2178,IF(J2178=2,O2178,0))),0)</x:f>
        <x:v>0</x:v>
      </x:c>
      <x:c r="T2178" s="19" t="n">
        <x:f>K2178+IF(AND(S2178=1,J2178=0),1,0)</x:f>
        <x:v>5</x:v>
      </x:c>
      <x:c r="U2178" s="19" t="n">
        <x:f>L2178+IF(AND(S2178=1,J2178=1),1,0)</x:f>
        <x:v>0</x:v>
      </x:c>
      <x:c r="V2178" s="19" t="n">
        <x:f>M2178+IF(AND(S2178=1,J2178=2),1,0)</x:f>
        <x:v>2</x:v>
      </x:c>
      <x:c r="W2178" s="19" t="n">
        <x:f>SUM(T2178:V2178)</x:f>
        <x:v>7</x:v>
      </x:c>
      <x:c r="X2178" s="19" t="n">
        <x:f>W2178-G2178</x:f>
        <x:v>-1</x:v>
      </x:c>
      <x:c r="Y2178" s="19" t="n">
        <x:f>MAX(T2178,1)+MAX(U2178,1)+MAX(V2178,1)</x:f>
        <x:v>8</x:v>
      </x:c>
      <x:c r="Z2178" s="21" t="str">
        <x:f>IF(AND(MIN(D2178:F2178)&gt;=0,MAX(D2178:F2178)&lt;=7,MAX(D2178,1)+MAX(E2178,1)+MAX(F2178,1)&lt;=9,OR(H2178="-",AND(H2178=0,D2178&gt;0),AND(H2178=1,E2178&gt;0),AND(H2178=2,F2178&gt;0)),OR(I2178=0,AND(I2178=1,OR(J2178=0,J2178=1,J2178=2),R2178&lt;&gt;"000")),Y2178&lt;=9,MIN(T2178:V2178)&gt;=0),"合法","输入违约")</x:f>
        <x:v>合法</x:v>
      </x:c>
    </x:row>
    <x:row r="2179" ht="23" customHeight="1">
      <x:c r="A2179" s="3" t="str">
        <x:v>CT-2172</x:v>
      </x:c>
      <x:c r="B2179" s="3" t="str">
        <x:v>ST-154</x:v>
      </x:c>
      <x:c r="C2179" s="3" t="str">
        <x:v>R+AR同收同发</x:v>
      </x:c>
      <x:c r="D2179" s="25" t="n">
        <x:v>5</x:v>
      </x:c>
      <x:c r="E2179" s="25" t="n">
        <x:v>0</x:v>
      </x:c>
      <x:c r="F2179" s="25" t="n">
        <x:v>3</x:v>
      </x:c>
      <x:c r="G2179" s="19" t="n">
        <x:f>SUM(D2179:F2179)</x:f>
        <x:v>8</x:v>
      </x:c>
      <x:c r="H2179" s="25" t="n">
        <x:v>2</x:v>
      </x:c>
      <x:c r="I2179" s="25" t="n">
        <x:v>1</x:v>
      </x:c>
      <x:c r="J2179" s="25" t="n">
        <x:v>0</x:v>
      </x:c>
      <x:c r="K2179" s="19" t="n">
        <x:f>D2179-IF(H2179=0,1,0)</x:f>
        <x:v>5</x:v>
      </x:c>
      <x:c r="L2179" s="19" t="n">
        <x:f>E2179-IF(H2179=1,1,0)</x:f>
        <x:v>0</x:v>
      </x:c>
      <x:c r="M2179" s="19" t="n">
        <x:f>F2179-IF(H2179=2,1,0)</x:f>
        <x:v>2</x:v>
      </x:c>
      <x:c r="N2179" s="19" t="n">
        <x:f>MAX(K2179-1,0)+MAX(L2179-1,0)+MAX(M2179-1,0)</x:f>
        <x:v>5</x:v>
      </x:c>
      <x:c r="O2179" s="19" t="n">
        <x:f>IF(AND(SUM(K2179:M2179)&lt;9,OR(M2179=0,N2179&lt;6)),1,0)</x:f>
        <x:v>1</x:v>
      </x:c>
      <x:c r="P2179" s="19" t="n">
        <x:f>IF(AND(SUM(K2179:M2179)&lt;9,OR(L2179=0,N2179&lt;6)),1,0)</x:f>
        <x:v>1</x:v>
      </x:c>
      <x:c r="Q2179" s="19" t="n">
        <x:f>IF(AND(SUM(K2179:M2179)&lt;9,OR(K2179=0,N2179&lt;6)),1,0)</x:f>
        <x:v>1</x:v>
      </x:c>
      <x:c r="R2179" s="22" t="str">
        <x:f>O2179&amp;P2179&amp;Q2179</x:f>
        <x:v>111</x:v>
      </x:c>
      <x:c r="S2179" s="19" t="n">
        <x:f>IF(I2179=1,IF(J2179=0,Q2179,IF(J2179=1,P2179,IF(J2179=2,O2179,0))),0)</x:f>
        <x:v>1</x:v>
      </x:c>
      <x:c r="T2179" s="19" t="n">
        <x:f>K2179+IF(AND(S2179=1,J2179=0),1,0)</x:f>
        <x:v>6</x:v>
      </x:c>
      <x:c r="U2179" s="19" t="n">
        <x:f>L2179+IF(AND(S2179=1,J2179=1),1,0)</x:f>
        <x:v>0</x:v>
      </x:c>
      <x:c r="V2179" s="19" t="n">
        <x:f>M2179+IF(AND(S2179=1,J2179=2),1,0)</x:f>
        <x:v>2</x:v>
      </x:c>
      <x:c r="W2179" s="19" t="n">
        <x:f>SUM(T2179:V2179)</x:f>
        <x:v>8</x:v>
      </x:c>
      <x:c r="X2179" s="19" t="n">
        <x:f>W2179-G2179</x:f>
        <x:v>0</x:v>
      </x:c>
      <x:c r="Y2179" s="19" t="n">
        <x:f>MAX(T2179,1)+MAX(U2179,1)+MAX(V2179,1)</x:f>
        <x:v>9</x:v>
      </x:c>
      <x:c r="Z2179" s="21" t="str">
        <x:f>IF(AND(MIN(D2179:F2179)&gt;=0,MAX(D2179:F2179)&lt;=7,MAX(D2179,1)+MAX(E2179,1)+MAX(F2179,1)&lt;=9,OR(H2179="-",AND(H2179=0,D2179&gt;0),AND(H2179=1,E2179&gt;0),AND(H2179=2,F2179&gt;0)),OR(I2179=0,AND(I2179=1,OR(J2179=0,J2179=1,J2179=2),R2179&lt;&gt;"000")),Y2179&lt;=9,MIN(T2179:V2179)&gt;=0),"合法","输入违约")</x:f>
        <x:v>合法</x:v>
      </x:c>
    </x:row>
    <x:row r="2180" ht="23" customHeight="1">
      <x:c r="A2180" s="3" t="str">
        <x:v>CT-2173</x:v>
      </x:c>
      <x:c r="B2180" s="3" t="str">
        <x:v>ST-154</x:v>
      </x:c>
      <x:c r="C2180" s="3" t="str">
        <x:v>R+AR同收同发</x:v>
      </x:c>
      <x:c r="D2180" s="25" t="n">
        <x:v>5</x:v>
      </x:c>
      <x:c r="E2180" s="25" t="n">
        <x:v>0</x:v>
      </x:c>
      <x:c r="F2180" s="25" t="n">
        <x:v>3</x:v>
      </x:c>
      <x:c r="G2180" s="19" t="n">
        <x:f>SUM(D2180:F2180)</x:f>
        <x:v>8</x:v>
      </x:c>
      <x:c r="H2180" s="25" t="n">
        <x:v>2</x:v>
      </x:c>
      <x:c r="I2180" s="25" t="n">
        <x:v>1</x:v>
      </x:c>
      <x:c r="J2180" s="25" t="n">
        <x:v>1</x:v>
      </x:c>
      <x:c r="K2180" s="19" t="n">
        <x:f>D2180-IF(H2180=0,1,0)</x:f>
        <x:v>5</x:v>
      </x:c>
      <x:c r="L2180" s="19" t="n">
        <x:f>E2180-IF(H2180=1,1,0)</x:f>
        <x:v>0</x:v>
      </x:c>
      <x:c r="M2180" s="19" t="n">
        <x:f>F2180-IF(H2180=2,1,0)</x:f>
        <x:v>2</x:v>
      </x:c>
      <x:c r="N2180" s="19" t="n">
        <x:f>MAX(K2180-1,0)+MAX(L2180-1,0)+MAX(M2180-1,0)</x:f>
        <x:v>5</x:v>
      </x:c>
      <x:c r="O2180" s="19" t="n">
        <x:f>IF(AND(SUM(K2180:M2180)&lt;9,OR(M2180=0,N2180&lt;6)),1,0)</x:f>
        <x:v>1</x:v>
      </x:c>
      <x:c r="P2180" s="19" t="n">
        <x:f>IF(AND(SUM(K2180:M2180)&lt;9,OR(L2180=0,N2180&lt;6)),1,0)</x:f>
        <x:v>1</x:v>
      </x:c>
      <x:c r="Q2180" s="19" t="n">
        <x:f>IF(AND(SUM(K2180:M2180)&lt;9,OR(K2180=0,N2180&lt;6)),1,0)</x:f>
        <x:v>1</x:v>
      </x:c>
      <x:c r="R2180" s="22" t="str">
        <x:f>O2180&amp;P2180&amp;Q2180</x:f>
        <x:v>111</x:v>
      </x:c>
      <x:c r="S2180" s="19" t="n">
        <x:f>IF(I2180=1,IF(J2180=0,Q2180,IF(J2180=1,P2180,IF(J2180=2,O2180,0))),0)</x:f>
        <x:v>1</x:v>
      </x:c>
      <x:c r="T2180" s="19" t="n">
        <x:f>K2180+IF(AND(S2180=1,J2180=0),1,0)</x:f>
        <x:v>5</x:v>
      </x:c>
      <x:c r="U2180" s="19" t="n">
        <x:f>L2180+IF(AND(S2180=1,J2180=1),1,0)</x:f>
        <x:v>1</x:v>
      </x:c>
      <x:c r="V2180" s="19" t="n">
        <x:f>M2180+IF(AND(S2180=1,J2180=2),1,0)</x:f>
        <x:v>2</x:v>
      </x:c>
      <x:c r="W2180" s="19" t="n">
        <x:f>SUM(T2180:V2180)</x:f>
        <x:v>8</x:v>
      </x:c>
      <x:c r="X2180" s="19" t="n">
        <x:f>W2180-G2180</x:f>
        <x:v>0</x:v>
      </x:c>
      <x:c r="Y2180" s="19" t="n">
        <x:f>MAX(T2180,1)+MAX(U2180,1)+MAX(V2180,1)</x:f>
        <x:v>8</x:v>
      </x:c>
      <x:c r="Z2180" s="21" t="str">
        <x:f>IF(AND(MIN(D2180:F2180)&gt;=0,MAX(D2180:F2180)&lt;=7,MAX(D2180,1)+MAX(E2180,1)+MAX(F2180,1)&lt;=9,OR(H2180="-",AND(H2180=0,D2180&gt;0),AND(H2180=1,E2180&gt;0),AND(H2180=2,F2180&gt;0)),OR(I2180=0,AND(I2180=1,OR(J2180=0,J2180=1,J2180=2),R2180&lt;&gt;"000")),Y2180&lt;=9,MIN(T2180:V2180)&gt;=0),"合法","输入违约")</x:f>
        <x:v>合法</x:v>
      </x:c>
    </x:row>
    <x:row r="2181" ht="23" customHeight="1">
      <x:c r="A2181" s="3" t="str">
        <x:v>CT-2174</x:v>
      </x:c>
      <x:c r="B2181" s="3" t="str">
        <x:v>ST-154</x:v>
      </x:c>
      <x:c r="C2181" s="3" t="str">
        <x:v>R+AR同收同发</x:v>
      </x:c>
      <x:c r="D2181" s="25" t="n">
        <x:v>5</x:v>
      </x:c>
      <x:c r="E2181" s="25" t="n">
        <x:v>0</x:v>
      </x:c>
      <x:c r="F2181" s="25" t="n">
        <x:v>3</x:v>
      </x:c>
      <x:c r="G2181" s="19" t="n">
        <x:f>SUM(D2181:F2181)</x:f>
        <x:v>8</x:v>
      </x:c>
      <x:c r="H2181" s="25" t="n">
        <x:v>2</x:v>
      </x:c>
      <x:c r="I2181" s="25" t="n">
        <x:v>1</x:v>
      </x:c>
      <x:c r="J2181" s="25" t="n">
        <x:v>2</x:v>
      </x:c>
      <x:c r="K2181" s="19" t="n">
        <x:f>D2181-IF(H2181=0,1,0)</x:f>
        <x:v>5</x:v>
      </x:c>
      <x:c r="L2181" s="19" t="n">
        <x:f>E2181-IF(H2181=1,1,0)</x:f>
        <x:v>0</x:v>
      </x:c>
      <x:c r="M2181" s="19" t="n">
        <x:f>F2181-IF(H2181=2,1,0)</x:f>
        <x:v>2</x:v>
      </x:c>
      <x:c r="N2181" s="19" t="n">
        <x:f>MAX(K2181-1,0)+MAX(L2181-1,0)+MAX(M2181-1,0)</x:f>
        <x:v>5</x:v>
      </x:c>
      <x:c r="O2181" s="19" t="n">
        <x:f>IF(AND(SUM(K2181:M2181)&lt;9,OR(M2181=0,N2181&lt;6)),1,0)</x:f>
        <x:v>1</x:v>
      </x:c>
      <x:c r="P2181" s="19" t="n">
        <x:f>IF(AND(SUM(K2181:M2181)&lt;9,OR(L2181=0,N2181&lt;6)),1,0)</x:f>
        <x:v>1</x:v>
      </x:c>
      <x:c r="Q2181" s="19" t="n">
        <x:f>IF(AND(SUM(K2181:M2181)&lt;9,OR(K2181=0,N2181&lt;6)),1,0)</x:f>
        <x:v>1</x:v>
      </x:c>
      <x:c r="R2181" s="22" t="str">
        <x:f>O2181&amp;P2181&amp;Q2181</x:f>
        <x:v>111</x:v>
      </x:c>
      <x:c r="S2181" s="19" t="n">
        <x:f>IF(I2181=1,IF(J2181=0,Q2181,IF(J2181=1,P2181,IF(J2181=2,O2181,0))),0)</x:f>
        <x:v>1</x:v>
      </x:c>
      <x:c r="T2181" s="19" t="n">
        <x:f>K2181+IF(AND(S2181=1,J2181=0),1,0)</x:f>
        <x:v>5</x:v>
      </x:c>
      <x:c r="U2181" s="19" t="n">
        <x:f>L2181+IF(AND(S2181=1,J2181=1),1,0)</x:f>
        <x:v>0</x:v>
      </x:c>
      <x:c r="V2181" s="19" t="n">
        <x:f>M2181+IF(AND(S2181=1,J2181=2),1,0)</x:f>
        <x:v>3</x:v>
      </x:c>
      <x:c r="W2181" s="19" t="n">
        <x:f>SUM(T2181:V2181)</x:f>
        <x:v>8</x:v>
      </x:c>
      <x:c r="X2181" s="19" t="n">
        <x:f>W2181-G2181</x:f>
        <x:v>0</x:v>
      </x:c>
      <x:c r="Y2181" s="19" t="n">
        <x:f>MAX(T2181,1)+MAX(U2181,1)+MAX(V2181,1)</x:f>
        <x:v>9</x:v>
      </x:c>
      <x:c r="Z2181" s="21" t="str">
        <x:f>IF(AND(MIN(D2181:F2181)&gt;=0,MAX(D2181:F2181)&lt;=7,MAX(D2181,1)+MAX(E2181,1)+MAX(F2181,1)&lt;=9,OR(H2181="-",AND(H2181=0,D2181&gt;0),AND(H2181=1,E2181&gt;0),AND(H2181=2,F2181&gt;0)),OR(I2181=0,AND(I2181=1,OR(J2181=0,J2181=1,J2181=2),R2181&lt;&gt;"000")),Y2181&lt;=9,MIN(T2181:V2181)&gt;=0),"合法","输入违约")</x:f>
        <x:v>合法</x:v>
      </x:c>
    </x:row>
    <x:row r="2182" ht="23" customHeight="1">
      <x:c r="A2182" s="3" t="str">
        <x:v>CT-2175</x:v>
      </x:c>
      <x:c r="B2182" s="3" t="str">
        <x:v>ST-083</x:v>
      </x:c>
      <x:c r="C2182" s="3" t="str">
        <x:v>无AR/R</x:v>
      </x:c>
      <x:c r="D2182" s="25" t="n">
        <x:v>5</x:v>
      </x:c>
      <x:c r="E2182" s="25" t="n">
        <x:v>1</x:v>
      </x:c>
      <x:c r="F2182" s="25" t="n">
        <x:v>0</x:v>
      </x:c>
      <x:c r="G2182" s="19" t="n">
        <x:f>SUM(D2182:F2182)</x:f>
        <x:v>6</x:v>
      </x:c>
      <x:c r="H2182" s="25" t="str">
        <x:v>-</x:v>
      </x:c>
      <x:c r="I2182" s="25" t="n">
        <x:v>0</x:v>
      </x:c>
      <x:c r="J2182" s="25" t="str">
        <x:v>-</x:v>
      </x:c>
      <x:c r="K2182" s="19" t="n">
        <x:f>D2182-IF(H2182=0,1,0)</x:f>
        <x:v>5</x:v>
      </x:c>
      <x:c r="L2182" s="19" t="n">
        <x:f>E2182-IF(H2182=1,1,0)</x:f>
        <x:v>1</x:v>
      </x:c>
      <x:c r="M2182" s="19" t="n">
        <x:f>F2182-IF(H2182=2,1,0)</x:f>
        <x:v>0</x:v>
      </x:c>
      <x:c r="N2182" s="19" t="n">
        <x:f>MAX(K2182-1,0)+MAX(L2182-1,0)+MAX(M2182-1,0)</x:f>
        <x:v>4</x:v>
      </x:c>
      <x:c r="O2182" s="19" t="n">
        <x:f>IF(AND(SUM(K2182:M2182)&lt;9,OR(M2182=0,N2182&lt;6)),1,0)</x:f>
        <x:v>1</x:v>
      </x:c>
      <x:c r="P2182" s="19" t="n">
        <x:f>IF(AND(SUM(K2182:M2182)&lt;9,OR(L2182=0,N2182&lt;6)),1,0)</x:f>
        <x:v>1</x:v>
      </x:c>
      <x:c r="Q2182" s="19" t="n">
        <x:f>IF(AND(SUM(K2182:M2182)&lt;9,OR(K2182=0,N2182&lt;6)),1,0)</x:f>
        <x:v>1</x:v>
      </x:c>
      <x:c r="R2182" s="22" t="str">
        <x:f>O2182&amp;P2182&amp;Q2182</x:f>
        <x:v>111</x:v>
      </x:c>
      <x:c r="S2182" s="19" t="n">
        <x:f>IF(I2182=1,IF(J2182=0,Q2182,IF(J2182=1,P2182,IF(J2182=2,O2182,0))),0)</x:f>
        <x:v>0</x:v>
      </x:c>
      <x:c r="T2182" s="19" t="n">
        <x:f>K2182+IF(AND(S2182=1,J2182=0),1,0)</x:f>
        <x:v>5</x:v>
      </x:c>
      <x:c r="U2182" s="19" t="n">
        <x:f>L2182+IF(AND(S2182=1,J2182=1),1,0)</x:f>
        <x:v>1</x:v>
      </x:c>
      <x:c r="V2182" s="19" t="n">
        <x:f>M2182+IF(AND(S2182=1,J2182=2),1,0)</x:f>
        <x:v>0</x:v>
      </x:c>
      <x:c r="W2182" s="19" t="n">
        <x:f>SUM(T2182:V2182)</x:f>
        <x:v>6</x:v>
      </x:c>
      <x:c r="X2182" s="19" t="n">
        <x:f>W2182-G2182</x:f>
        <x:v>0</x:v>
      </x:c>
      <x:c r="Y2182" s="19" t="n">
        <x:f>MAX(T2182,1)+MAX(U2182,1)+MAX(V2182,1)</x:f>
        <x:v>7</x:v>
      </x:c>
      <x:c r="Z2182" s="21" t="str">
        <x:f>IF(AND(MIN(D2182:F2182)&gt;=0,MAX(D2182:F2182)&lt;=7,MAX(D2182,1)+MAX(E2182,1)+MAX(F2182,1)&lt;=9,OR(H2182="-",AND(H2182=0,D2182&gt;0),AND(H2182=1,E2182&gt;0),AND(H2182=2,F2182&gt;0)),OR(I2182=0,AND(I2182=1,OR(J2182=0,J2182=1,J2182=2),R2182&lt;&gt;"000")),Y2182&lt;=9,MIN(T2182:V2182)&gt;=0),"合法","输入违约")</x:f>
        <x:v>合法</x:v>
      </x:c>
    </x:row>
    <x:row r="2183" ht="23" customHeight="1">
      <x:c r="A2183" s="3" t="str">
        <x:v>CT-2176</x:v>
      </x:c>
      <x:c r="B2183" s="3" t="str">
        <x:v>ST-083</x:v>
      </x:c>
      <x:c r="C2183" s="3" t="str">
        <x:v>仅AR接收</x:v>
      </x:c>
      <x:c r="D2183" s="25" t="n">
        <x:v>5</x:v>
      </x:c>
      <x:c r="E2183" s="25" t="n">
        <x:v>1</x:v>
      </x:c>
      <x:c r="F2183" s="25" t="n">
        <x:v>0</x:v>
      </x:c>
      <x:c r="G2183" s="19" t="n">
        <x:f>SUM(D2183:F2183)</x:f>
        <x:v>6</x:v>
      </x:c>
      <x:c r="H2183" s="25" t="str">
        <x:v>-</x:v>
      </x:c>
      <x:c r="I2183" s="25" t="n">
        <x:v>1</x:v>
      </x:c>
      <x:c r="J2183" s="25" t="n">
        <x:v>0</x:v>
      </x:c>
      <x:c r="K2183" s="19" t="n">
        <x:f>D2183-IF(H2183=0,1,0)</x:f>
        <x:v>5</x:v>
      </x:c>
      <x:c r="L2183" s="19" t="n">
        <x:f>E2183-IF(H2183=1,1,0)</x:f>
        <x:v>1</x:v>
      </x:c>
      <x:c r="M2183" s="19" t="n">
        <x:f>F2183-IF(H2183=2,1,0)</x:f>
        <x:v>0</x:v>
      </x:c>
      <x:c r="N2183" s="19" t="n">
        <x:f>MAX(K2183-1,0)+MAX(L2183-1,0)+MAX(M2183-1,0)</x:f>
        <x:v>4</x:v>
      </x:c>
      <x:c r="O2183" s="19" t="n">
        <x:f>IF(AND(SUM(K2183:M2183)&lt;9,OR(M2183=0,N2183&lt;6)),1,0)</x:f>
        <x:v>1</x:v>
      </x:c>
      <x:c r="P2183" s="19" t="n">
        <x:f>IF(AND(SUM(K2183:M2183)&lt;9,OR(L2183=0,N2183&lt;6)),1,0)</x:f>
        <x:v>1</x:v>
      </x:c>
      <x:c r="Q2183" s="19" t="n">
        <x:f>IF(AND(SUM(K2183:M2183)&lt;9,OR(K2183=0,N2183&lt;6)),1,0)</x:f>
        <x:v>1</x:v>
      </x:c>
      <x:c r="R2183" s="22" t="str">
        <x:f>O2183&amp;P2183&amp;Q2183</x:f>
        <x:v>111</x:v>
      </x:c>
      <x:c r="S2183" s="19" t="n">
        <x:f>IF(I2183=1,IF(J2183=0,Q2183,IF(J2183=1,P2183,IF(J2183=2,O2183,0))),0)</x:f>
        <x:v>1</x:v>
      </x:c>
      <x:c r="T2183" s="19" t="n">
        <x:f>K2183+IF(AND(S2183=1,J2183=0),1,0)</x:f>
        <x:v>6</x:v>
      </x:c>
      <x:c r="U2183" s="19" t="n">
        <x:f>L2183+IF(AND(S2183=1,J2183=1),1,0)</x:f>
        <x:v>1</x:v>
      </x:c>
      <x:c r="V2183" s="19" t="n">
        <x:f>M2183+IF(AND(S2183=1,J2183=2),1,0)</x:f>
        <x:v>0</x:v>
      </x:c>
      <x:c r="W2183" s="19" t="n">
        <x:f>SUM(T2183:V2183)</x:f>
        <x:v>7</x:v>
      </x:c>
      <x:c r="X2183" s="19" t="n">
        <x:f>W2183-G2183</x:f>
        <x:v>1</x:v>
      </x:c>
      <x:c r="Y2183" s="19" t="n">
        <x:f>MAX(T2183,1)+MAX(U2183,1)+MAX(V2183,1)</x:f>
        <x:v>8</x:v>
      </x:c>
      <x:c r="Z2183" s="21" t="str">
        <x:f>IF(AND(MIN(D2183:F2183)&gt;=0,MAX(D2183:F2183)&lt;=7,MAX(D2183,1)+MAX(E2183,1)+MAX(F2183,1)&lt;=9,OR(H2183="-",AND(H2183=0,D2183&gt;0),AND(H2183=1,E2183&gt;0),AND(H2183=2,F2183&gt;0)),OR(I2183=0,AND(I2183=1,OR(J2183=0,J2183=1,J2183=2),R2183&lt;&gt;"000")),Y2183&lt;=9,MIN(T2183:V2183)&gt;=0),"合法","输入违约")</x:f>
        <x:v>合法</x:v>
      </x:c>
    </x:row>
    <x:row r="2184" ht="23" customHeight="1">
      <x:c r="A2184" s="3" t="str">
        <x:v>CT-2177</x:v>
      </x:c>
      <x:c r="B2184" s="3" t="str">
        <x:v>ST-083</x:v>
      </x:c>
      <x:c r="C2184" s="3" t="str">
        <x:v>仅AR接收</x:v>
      </x:c>
      <x:c r="D2184" s="25" t="n">
        <x:v>5</x:v>
      </x:c>
      <x:c r="E2184" s="25" t="n">
        <x:v>1</x:v>
      </x:c>
      <x:c r="F2184" s="25" t="n">
        <x:v>0</x:v>
      </x:c>
      <x:c r="G2184" s="19" t="n">
        <x:f>SUM(D2184:F2184)</x:f>
        <x:v>6</x:v>
      </x:c>
      <x:c r="H2184" s="25" t="str">
        <x:v>-</x:v>
      </x:c>
      <x:c r="I2184" s="25" t="n">
        <x:v>1</x:v>
      </x:c>
      <x:c r="J2184" s="25" t="n">
        <x:v>1</x:v>
      </x:c>
      <x:c r="K2184" s="19" t="n">
        <x:f>D2184-IF(H2184=0,1,0)</x:f>
        <x:v>5</x:v>
      </x:c>
      <x:c r="L2184" s="19" t="n">
        <x:f>E2184-IF(H2184=1,1,0)</x:f>
        <x:v>1</x:v>
      </x:c>
      <x:c r="M2184" s="19" t="n">
        <x:f>F2184-IF(H2184=2,1,0)</x:f>
        <x:v>0</x:v>
      </x:c>
      <x:c r="N2184" s="19" t="n">
        <x:f>MAX(K2184-1,0)+MAX(L2184-1,0)+MAX(M2184-1,0)</x:f>
        <x:v>4</x:v>
      </x:c>
      <x:c r="O2184" s="19" t="n">
        <x:f>IF(AND(SUM(K2184:M2184)&lt;9,OR(M2184=0,N2184&lt;6)),1,0)</x:f>
        <x:v>1</x:v>
      </x:c>
      <x:c r="P2184" s="19" t="n">
        <x:f>IF(AND(SUM(K2184:M2184)&lt;9,OR(L2184=0,N2184&lt;6)),1,0)</x:f>
        <x:v>1</x:v>
      </x:c>
      <x:c r="Q2184" s="19" t="n">
        <x:f>IF(AND(SUM(K2184:M2184)&lt;9,OR(K2184=0,N2184&lt;6)),1,0)</x:f>
        <x:v>1</x:v>
      </x:c>
      <x:c r="R2184" s="22" t="str">
        <x:f>O2184&amp;P2184&amp;Q2184</x:f>
        <x:v>111</x:v>
      </x:c>
      <x:c r="S2184" s="19" t="n">
        <x:f>IF(I2184=1,IF(J2184=0,Q2184,IF(J2184=1,P2184,IF(J2184=2,O2184,0))),0)</x:f>
        <x:v>1</x:v>
      </x:c>
      <x:c r="T2184" s="19" t="n">
        <x:f>K2184+IF(AND(S2184=1,J2184=0),1,0)</x:f>
        <x:v>5</x:v>
      </x:c>
      <x:c r="U2184" s="19" t="n">
        <x:f>L2184+IF(AND(S2184=1,J2184=1),1,0)</x:f>
        <x:v>2</x:v>
      </x:c>
      <x:c r="V2184" s="19" t="n">
        <x:f>M2184+IF(AND(S2184=1,J2184=2),1,0)</x:f>
        <x:v>0</x:v>
      </x:c>
      <x:c r="W2184" s="19" t="n">
        <x:f>SUM(T2184:V2184)</x:f>
        <x:v>7</x:v>
      </x:c>
      <x:c r="X2184" s="19" t="n">
        <x:f>W2184-G2184</x:f>
        <x:v>1</x:v>
      </x:c>
      <x:c r="Y2184" s="19" t="n">
        <x:f>MAX(T2184,1)+MAX(U2184,1)+MAX(V2184,1)</x:f>
        <x:v>8</x:v>
      </x:c>
      <x:c r="Z2184" s="21" t="str">
        <x:f>IF(AND(MIN(D2184:F2184)&gt;=0,MAX(D2184:F2184)&lt;=7,MAX(D2184,1)+MAX(E2184,1)+MAX(F2184,1)&lt;=9,OR(H2184="-",AND(H2184=0,D2184&gt;0),AND(H2184=1,E2184&gt;0),AND(H2184=2,F2184&gt;0)),OR(I2184=0,AND(I2184=1,OR(J2184=0,J2184=1,J2184=2),R2184&lt;&gt;"000")),Y2184&lt;=9,MIN(T2184:V2184)&gt;=0),"合法","输入违约")</x:f>
        <x:v>合法</x:v>
      </x:c>
    </x:row>
    <x:row r="2185" ht="23" customHeight="1">
      <x:c r="A2185" s="3" t="str">
        <x:v>CT-2178</x:v>
      </x:c>
      <x:c r="B2185" s="3" t="str">
        <x:v>ST-083</x:v>
      </x:c>
      <x:c r="C2185" s="3" t="str">
        <x:v>仅AR接收</x:v>
      </x:c>
      <x:c r="D2185" s="25" t="n">
        <x:v>5</x:v>
      </x:c>
      <x:c r="E2185" s="25" t="n">
        <x:v>1</x:v>
      </x:c>
      <x:c r="F2185" s="25" t="n">
        <x:v>0</x:v>
      </x:c>
      <x:c r="G2185" s="19" t="n">
        <x:f>SUM(D2185:F2185)</x:f>
        <x:v>6</x:v>
      </x:c>
      <x:c r="H2185" s="25" t="str">
        <x:v>-</x:v>
      </x:c>
      <x:c r="I2185" s="25" t="n">
        <x:v>1</x:v>
      </x:c>
      <x:c r="J2185" s="25" t="n">
        <x:v>2</x:v>
      </x:c>
      <x:c r="K2185" s="19" t="n">
        <x:f>D2185-IF(H2185=0,1,0)</x:f>
        <x:v>5</x:v>
      </x:c>
      <x:c r="L2185" s="19" t="n">
        <x:f>E2185-IF(H2185=1,1,0)</x:f>
        <x:v>1</x:v>
      </x:c>
      <x:c r="M2185" s="19" t="n">
        <x:f>F2185-IF(H2185=2,1,0)</x:f>
        <x:v>0</x:v>
      </x:c>
      <x:c r="N2185" s="19" t="n">
        <x:f>MAX(K2185-1,0)+MAX(L2185-1,0)+MAX(M2185-1,0)</x:f>
        <x:v>4</x:v>
      </x:c>
      <x:c r="O2185" s="19" t="n">
        <x:f>IF(AND(SUM(K2185:M2185)&lt;9,OR(M2185=0,N2185&lt;6)),1,0)</x:f>
        <x:v>1</x:v>
      </x:c>
      <x:c r="P2185" s="19" t="n">
        <x:f>IF(AND(SUM(K2185:M2185)&lt;9,OR(L2185=0,N2185&lt;6)),1,0)</x:f>
        <x:v>1</x:v>
      </x:c>
      <x:c r="Q2185" s="19" t="n">
        <x:f>IF(AND(SUM(K2185:M2185)&lt;9,OR(K2185=0,N2185&lt;6)),1,0)</x:f>
        <x:v>1</x:v>
      </x:c>
      <x:c r="R2185" s="22" t="str">
        <x:f>O2185&amp;P2185&amp;Q2185</x:f>
        <x:v>111</x:v>
      </x:c>
      <x:c r="S2185" s="19" t="n">
        <x:f>IF(I2185=1,IF(J2185=0,Q2185,IF(J2185=1,P2185,IF(J2185=2,O2185,0))),0)</x:f>
        <x:v>1</x:v>
      </x:c>
      <x:c r="T2185" s="19" t="n">
        <x:f>K2185+IF(AND(S2185=1,J2185=0),1,0)</x:f>
        <x:v>5</x:v>
      </x:c>
      <x:c r="U2185" s="19" t="n">
        <x:f>L2185+IF(AND(S2185=1,J2185=1),1,0)</x:f>
        <x:v>1</x:v>
      </x:c>
      <x:c r="V2185" s="19" t="n">
        <x:f>M2185+IF(AND(S2185=1,J2185=2),1,0)</x:f>
        <x:v>1</x:v>
      </x:c>
      <x:c r="W2185" s="19" t="n">
        <x:f>SUM(T2185:V2185)</x:f>
        <x:v>7</x:v>
      </x:c>
      <x:c r="X2185" s="19" t="n">
        <x:f>W2185-G2185</x:f>
        <x:v>1</x:v>
      </x:c>
      <x:c r="Y2185" s="19" t="n">
        <x:f>MAX(T2185,1)+MAX(U2185,1)+MAX(V2185,1)</x:f>
        <x:v>7</x:v>
      </x:c>
      <x:c r="Z2185" s="21" t="str">
        <x:f>IF(AND(MIN(D2185:F2185)&gt;=0,MAX(D2185:F2185)&lt;=7,MAX(D2185,1)+MAX(E2185,1)+MAX(F2185,1)&lt;=9,OR(H2185="-",AND(H2185=0,D2185&gt;0),AND(H2185=1,E2185&gt;0),AND(H2185=2,F2185&gt;0)),OR(I2185=0,AND(I2185=1,OR(J2185=0,J2185=1,J2185=2),R2185&lt;&gt;"000")),Y2185&lt;=9,MIN(T2185:V2185)&gt;=0),"合法","输入违约")</x:f>
        <x:v>合法</x:v>
      </x:c>
    </x:row>
    <x:row r="2186" ht="23" customHeight="1">
      <x:c r="A2186" s="3" t="str">
        <x:v>CT-2179</x:v>
      </x:c>
      <x:c r="B2186" s="3" t="str">
        <x:v>ST-083</x:v>
      </x:c>
      <x:c r="C2186" s="3" t="str">
        <x:v>仅R回收</x:v>
      </x:c>
      <x:c r="D2186" s="25" t="n">
        <x:v>5</x:v>
      </x:c>
      <x:c r="E2186" s="25" t="n">
        <x:v>1</x:v>
      </x:c>
      <x:c r="F2186" s="25" t="n">
        <x:v>0</x:v>
      </x:c>
      <x:c r="G2186" s="19" t="n">
        <x:f>SUM(D2186:F2186)</x:f>
        <x:v>6</x:v>
      </x:c>
      <x:c r="H2186" s="25" t="n">
        <x:v>0</x:v>
      </x:c>
      <x:c r="I2186" s="25" t="n">
        <x:v>0</x:v>
      </x:c>
      <x:c r="J2186" s="25" t="str">
        <x:v>-</x:v>
      </x:c>
      <x:c r="K2186" s="19" t="n">
        <x:f>D2186-IF(H2186=0,1,0)</x:f>
        <x:v>4</x:v>
      </x:c>
      <x:c r="L2186" s="19" t="n">
        <x:f>E2186-IF(H2186=1,1,0)</x:f>
        <x:v>1</x:v>
      </x:c>
      <x:c r="M2186" s="19" t="n">
        <x:f>F2186-IF(H2186=2,1,0)</x:f>
        <x:v>0</x:v>
      </x:c>
      <x:c r="N2186" s="19" t="n">
        <x:f>MAX(K2186-1,0)+MAX(L2186-1,0)+MAX(M2186-1,0)</x:f>
        <x:v>3</x:v>
      </x:c>
      <x:c r="O2186" s="19" t="n">
        <x:f>IF(AND(SUM(K2186:M2186)&lt;9,OR(M2186=0,N2186&lt;6)),1,0)</x:f>
        <x:v>1</x:v>
      </x:c>
      <x:c r="P2186" s="19" t="n">
        <x:f>IF(AND(SUM(K2186:M2186)&lt;9,OR(L2186=0,N2186&lt;6)),1,0)</x:f>
        <x:v>1</x:v>
      </x:c>
      <x:c r="Q2186" s="19" t="n">
        <x:f>IF(AND(SUM(K2186:M2186)&lt;9,OR(K2186=0,N2186&lt;6)),1,0)</x:f>
        <x:v>1</x:v>
      </x:c>
      <x:c r="R2186" s="22" t="str">
        <x:f>O2186&amp;P2186&amp;Q2186</x:f>
        <x:v>111</x:v>
      </x:c>
      <x:c r="S2186" s="19" t="n">
        <x:f>IF(I2186=1,IF(J2186=0,Q2186,IF(J2186=1,P2186,IF(J2186=2,O2186,0))),0)</x:f>
        <x:v>0</x:v>
      </x:c>
      <x:c r="T2186" s="19" t="n">
        <x:f>K2186+IF(AND(S2186=1,J2186=0),1,0)</x:f>
        <x:v>4</x:v>
      </x:c>
      <x:c r="U2186" s="19" t="n">
        <x:f>L2186+IF(AND(S2186=1,J2186=1),1,0)</x:f>
        <x:v>1</x:v>
      </x:c>
      <x:c r="V2186" s="19" t="n">
        <x:f>M2186+IF(AND(S2186=1,J2186=2),1,0)</x:f>
        <x:v>0</x:v>
      </x:c>
      <x:c r="W2186" s="19" t="n">
        <x:f>SUM(T2186:V2186)</x:f>
        <x:v>5</x:v>
      </x:c>
      <x:c r="X2186" s="19" t="n">
        <x:f>W2186-G2186</x:f>
        <x:v>-1</x:v>
      </x:c>
      <x:c r="Y2186" s="19" t="n">
        <x:f>MAX(T2186,1)+MAX(U2186,1)+MAX(V2186,1)</x:f>
        <x:v>6</x:v>
      </x:c>
      <x:c r="Z2186" s="21" t="str">
        <x:f>IF(AND(MIN(D2186:F2186)&gt;=0,MAX(D2186:F2186)&lt;=7,MAX(D2186,1)+MAX(E2186,1)+MAX(F2186,1)&lt;=9,OR(H2186="-",AND(H2186=0,D2186&gt;0),AND(H2186=1,E2186&gt;0),AND(H2186=2,F2186&gt;0)),OR(I2186=0,AND(I2186=1,OR(J2186=0,J2186=1,J2186=2),R2186&lt;&gt;"000")),Y2186&lt;=9,MIN(T2186:V2186)&gt;=0),"合法","输入违约")</x:f>
        <x:v>合法</x:v>
      </x:c>
    </x:row>
    <x:row r="2187" ht="23" customHeight="1">
      <x:c r="A2187" s="3" t="str">
        <x:v>CT-2180</x:v>
      </x:c>
      <x:c r="B2187" s="3" t="str">
        <x:v>ST-083</x:v>
      </x:c>
      <x:c r="C2187" s="3" t="str">
        <x:v>R+AR同收同发</x:v>
      </x:c>
      <x:c r="D2187" s="25" t="n">
        <x:v>5</x:v>
      </x:c>
      <x:c r="E2187" s="25" t="n">
        <x:v>1</x:v>
      </x:c>
      <x:c r="F2187" s="25" t="n">
        <x:v>0</x:v>
      </x:c>
      <x:c r="G2187" s="19" t="n">
        <x:f>SUM(D2187:F2187)</x:f>
        <x:v>6</x:v>
      </x:c>
      <x:c r="H2187" s="25" t="n">
        <x:v>0</x:v>
      </x:c>
      <x:c r="I2187" s="25" t="n">
        <x:v>1</x:v>
      </x:c>
      <x:c r="J2187" s="25" t="n">
        <x:v>0</x:v>
      </x:c>
      <x:c r="K2187" s="19" t="n">
        <x:f>D2187-IF(H2187=0,1,0)</x:f>
        <x:v>4</x:v>
      </x:c>
      <x:c r="L2187" s="19" t="n">
        <x:f>E2187-IF(H2187=1,1,0)</x:f>
        <x:v>1</x:v>
      </x:c>
      <x:c r="M2187" s="19" t="n">
        <x:f>F2187-IF(H2187=2,1,0)</x:f>
        <x:v>0</x:v>
      </x:c>
      <x:c r="N2187" s="19" t="n">
        <x:f>MAX(K2187-1,0)+MAX(L2187-1,0)+MAX(M2187-1,0)</x:f>
        <x:v>3</x:v>
      </x:c>
      <x:c r="O2187" s="19" t="n">
        <x:f>IF(AND(SUM(K2187:M2187)&lt;9,OR(M2187=0,N2187&lt;6)),1,0)</x:f>
        <x:v>1</x:v>
      </x:c>
      <x:c r="P2187" s="19" t="n">
        <x:f>IF(AND(SUM(K2187:M2187)&lt;9,OR(L2187=0,N2187&lt;6)),1,0)</x:f>
        <x:v>1</x:v>
      </x:c>
      <x:c r="Q2187" s="19" t="n">
        <x:f>IF(AND(SUM(K2187:M2187)&lt;9,OR(K2187=0,N2187&lt;6)),1,0)</x:f>
        <x:v>1</x:v>
      </x:c>
      <x:c r="R2187" s="22" t="str">
        <x:f>O2187&amp;P2187&amp;Q2187</x:f>
        <x:v>111</x:v>
      </x:c>
      <x:c r="S2187" s="19" t="n">
        <x:f>IF(I2187=1,IF(J2187=0,Q2187,IF(J2187=1,P2187,IF(J2187=2,O2187,0))),0)</x:f>
        <x:v>1</x:v>
      </x:c>
      <x:c r="T2187" s="19" t="n">
        <x:f>K2187+IF(AND(S2187=1,J2187=0),1,0)</x:f>
        <x:v>5</x:v>
      </x:c>
      <x:c r="U2187" s="19" t="n">
        <x:f>L2187+IF(AND(S2187=1,J2187=1),1,0)</x:f>
        <x:v>1</x:v>
      </x:c>
      <x:c r="V2187" s="19" t="n">
        <x:f>M2187+IF(AND(S2187=1,J2187=2),1,0)</x:f>
        <x:v>0</x:v>
      </x:c>
      <x:c r="W2187" s="19" t="n">
        <x:f>SUM(T2187:V2187)</x:f>
        <x:v>6</x:v>
      </x:c>
      <x:c r="X2187" s="19" t="n">
        <x:f>W2187-G2187</x:f>
        <x:v>0</x:v>
      </x:c>
      <x:c r="Y2187" s="19" t="n">
        <x:f>MAX(T2187,1)+MAX(U2187,1)+MAX(V2187,1)</x:f>
        <x:v>7</x:v>
      </x:c>
      <x:c r="Z2187" s="21" t="str">
        <x:f>IF(AND(MIN(D2187:F2187)&gt;=0,MAX(D2187:F2187)&lt;=7,MAX(D2187,1)+MAX(E2187,1)+MAX(F2187,1)&lt;=9,OR(H2187="-",AND(H2187=0,D2187&gt;0),AND(H2187=1,E2187&gt;0),AND(H2187=2,F2187&gt;0)),OR(I2187=0,AND(I2187=1,OR(J2187=0,J2187=1,J2187=2),R2187&lt;&gt;"000")),Y2187&lt;=9,MIN(T2187:V2187)&gt;=0),"合法","输入违约")</x:f>
        <x:v>合法</x:v>
      </x:c>
    </x:row>
    <x:row r="2188" ht="23" customHeight="1">
      <x:c r="A2188" s="3" t="str">
        <x:v>CT-2181</x:v>
      </x:c>
      <x:c r="B2188" s="3" t="str">
        <x:v>ST-083</x:v>
      </x:c>
      <x:c r="C2188" s="3" t="str">
        <x:v>R+AR同收同发</x:v>
      </x:c>
      <x:c r="D2188" s="25" t="n">
        <x:v>5</x:v>
      </x:c>
      <x:c r="E2188" s="25" t="n">
        <x:v>1</x:v>
      </x:c>
      <x:c r="F2188" s="25" t="n">
        <x:v>0</x:v>
      </x:c>
      <x:c r="G2188" s="19" t="n">
        <x:f>SUM(D2188:F2188)</x:f>
        <x:v>6</x:v>
      </x:c>
      <x:c r="H2188" s="25" t="n">
        <x:v>0</x:v>
      </x:c>
      <x:c r="I2188" s="25" t="n">
        <x:v>1</x:v>
      </x:c>
      <x:c r="J2188" s="25" t="n">
        <x:v>1</x:v>
      </x:c>
      <x:c r="K2188" s="19" t="n">
        <x:f>D2188-IF(H2188=0,1,0)</x:f>
        <x:v>4</x:v>
      </x:c>
      <x:c r="L2188" s="19" t="n">
        <x:f>E2188-IF(H2188=1,1,0)</x:f>
        <x:v>1</x:v>
      </x:c>
      <x:c r="M2188" s="19" t="n">
        <x:f>F2188-IF(H2188=2,1,0)</x:f>
        <x:v>0</x:v>
      </x:c>
      <x:c r="N2188" s="19" t="n">
        <x:f>MAX(K2188-1,0)+MAX(L2188-1,0)+MAX(M2188-1,0)</x:f>
        <x:v>3</x:v>
      </x:c>
      <x:c r="O2188" s="19" t="n">
        <x:f>IF(AND(SUM(K2188:M2188)&lt;9,OR(M2188=0,N2188&lt;6)),1,0)</x:f>
        <x:v>1</x:v>
      </x:c>
      <x:c r="P2188" s="19" t="n">
        <x:f>IF(AND(SUM(K2188:M2188)&lt;9,OR(L2188=0,N2188&lt;6)),1,0)</x:f>
        <x:v>1</x:v>
      </x:c>
      <x:c r="Q2188" s="19" t="n">
        <x:f>IF(AND(SUM(K2188:M2188)&lt;9,OR(K2188=0,N2188&lt;6)),1,0)</x:f>
        <x:v>1</x:v>
      </x:c>
      <x:c r="R2188" s="22" t="str">
        <x:f>O2188&amp;P2188&amp;Q2188</x:f>
        <x:v>111</x:v>
      </x:c>
      <x:c r="S2188" s="19" t="n">
        <x:f>IF(I2188=1,IF(J2188=0,Q2188,IF(J2188=1,P2188,IF(J2188=2,O2188,0))),0)</x:f>
        <x:v>1</x:v>
      </x:c>
      <x:c r="T2188" s="19" t="n">
        <x:f>K2188+IF(AND(S2188=1,J2188=0),1,0)</x:f>
        <x:v>4</x:v>
      </x:c>
      <x:c r="U2188" s="19" t="n">
        <x:f>L2188+IF(AND(S2188=1,J2188=1),1,0)</x:f>
        <x:v>2</x:v>
      </x:c>
      <x:c r="V2188" s="19" t="n">
        <x:f>M2188+IF(AND(S2188=1,J2188=2),1,0)</x:f>
        <x:v>0</x:v>
      </x:c>
      <x:c r="W2188" s="19" t="n">
        <x:f>SUM(T2188:V2188)</x:f>
        <x:v>6</x:v>
      </x:c>
      <x:c r="X2188" s="19" t="n">
        <x:f>W2188-G2188</x:f>
        <x:v>0</x:v>
      </x:c>
      <x:c r="Y2188" s="19" t="n">
        <x:f>MAX(T2188,1)+MAX(U2188,1)+MAX(V2188,1)</x:f>
        <x:v>7</x:v>
      </x:c>
      <x:c r="Z2188" s="21" t="str">
        <x:f>IF(AND(MIN(D2188:F2188)&gt;=0,MAX(D2188:F2188)&lt;=7,MAX(D2188,1)+MAX(E2188,1)+MAX(F2188,1)&lt;=9,OR(H2188="-",AND(H2188=0,D2188&gt;0),AND(H2188=1,E2188&gt;0),AND(H2188=2,F2188&gt;0)),OR(I2188=0,AND(I2188=1,OR(J2188=0,J2188=1,J2188=2),R2188&lt;&gt;"000")),Y2188&lt;=9,MIN(T2188:V2188)&gt;=0),"合法","输入违约")</x:f>
        <x:v>合法</x:v>
      </x:c>
    </x:row>
    <x:row r="2189" ht="23" customHeight="1">
      <x:c r="A2189" s="3" t="str">
        <x:v>CT-2182</x:v>
      </x:c>
      <x:c r="B2189" s="3" t="str">
        <x:v>ST-083</x:v>
      </x:c>
      <x:c r="C2189" s="3" t="str">
        <x:v>R+AR同收同发</x:v>
      </x:c>
      <x:c r="D2189" s="25" t="n">
        <x:v>5</x:v>
      </x:c>
      <x:c r="E2189" s="25" t="n">
        <x:v>1</x:v>
      </x:c>
      <x:c r="F2189" s="25" t="n">
        <x:v>0</x:v>
      </x:c>
      <x:c r="G2189" s="19" t="n">
        <x:f>SUM(D2189:F2189)</x:f>
        <x:v>6</x:v>
      </x:c>
      <x:c r="H2189" s="25" t="n">
        <x:v>0</x:v>
      </x:c>
      <x:c r="I2189" s="25" t="n">
        <x:v>1</x:v>
      </x:c>
      <x:c r="J2189" s="25" t="n">
        <x:v>2</x:v>
      </x:c>
      <x:c r="K2189" s="19" t="n">
        <x:f>D2189-IF(H2189=0,1,0)</x:f>
        <x:v>4</x:v>
      </x:c>
      <x:c r="L2189" s="19" t="n">
        <x:f>E2189-IF(H2189=1,1,0)</x:f>
        <x:v>1</x:v>
      </x:c>
      <x:c r="M2189" s="19" t="n">
        <x:f>F2189-IF(H2189=2,1,0)</x:f>
        <x:v>0</x:v>
      </x:c>
      <x:c r="N2189" s="19" t="n">
        <x:f>MAX(K2189-1,0)+MAX(L2189-1,0)+MAX(M2189-1,0)</x:f>
        <x:v>3</x:v>
      </x:c>
      <x:c r="O2189" s="19" t="n">
        <x:f>IF(AND(SUM(K2189:M2189)&lt;9,OR(M2189=0,N2189&lt;6)),1,0)</x:f>
        <x:v>1</x:v>
      </x:c>
      <x:c r="P2189" s="19" t="n">
        <x:f>IF(AND(SUM(K2189:M2189)&lt;9,OR(L2189=0,N2189&lt;6)),1,0)</x:f>
        <x:v>1</x:v>
      </x:c>
      <x:c r="Q2189" s="19" t="n">
        <x:f>IF(AND(SUM(K2189:M2189)&lt;9,OR(K2189=0,N2189&lt;6)),1,0)</x:f>
        <x:v>1</x:v>
      </x:c>
      <x:c r="R2189" s="22" t="str">
        <x:f>O2189&amp;P2189&amp;Q2189</x:f>
        <x:v>111</x:v>
      </x:c>
      <x:c r="S2189" s="19" t="n">
        <x:f>IF(I2189=1,IF(J2189=0,Q2189,IF(J2189=1,P2189,IF(J2189=2,O2189,0))),0)</x:f>
        <x:v>1</x:v>
      </x:c>
      <x:c r="T2189" s="19" t="n">
        <x:f>K2189+IF(AND(S2189=1,J2189=0),1,0)</x:f>
        <x:v>4</x:v>
      </x:c>
      <x:c r="U2189" s="19" t="n">
        <x:f>L2189+IF(AND(S2189=1,J2189=1),1,0)</x:f>
        <x:v>1</x:v>
      </x:c>
      <x:c r="V2189" s="19" t="n">
        <x:f>M2189+IF(AND(S2189=1,J2189=2),1,0)</x:f>
        <x:v>1</x:v>
      </x:c>
      <x:c r="W2189" s="19" t="n">
        <x:f>SUM(T2189:V2189)</x:f>
        <x:v>6</x:v>
      </x:c>
      <x:c r="X2189" s="19" t="n">
        <x:f>W2189-G2189</x:f>
        <x:v>0</x:v>
      </x:c>
      <x:c r="Y2189" s="19" t="n">
        <x:f>MAX(T2189,1)+MAX(U2189,1)+MAX(V2189,1)</x:f>
        <x:v>6</x:v>
      </x:c>
      <x:c r="Z2189" s="21" t="str">
        <x:f>IF(AND(MIN(D2189:F2189)&gt;=0,MAX(D2189:F2189)&lt;=7,MAX(D2189,1)+MAX(E2189,1)+MAX(F2189,1)&lt;=9,OR(H2189="-",AND(H2189=0,D2189&gt;0),AND(H2189=1,E2189&gt;0),AND(H2189=2,F2189&gt;0)),OR(I2189=0,AND(I2189=1,OR(J2189=0,J2189=1,J2189=2),R2189&lt;&gt;"000")),Y2189&lt;=9,MIN(T2189:V2189)&gt;=0),"合法","输入违约")</x:f>
        <x:v>合法</x:v>
      </x:c>
    </x:row>
    <x:row r="2190" ht="23" customHeight="1">
      <x:c r="A2190" s="3" t="str">
        <x:v>CT-2183</x:v>
      </x:c>
      <x:c r="B2190" s="3" t="str">
        <x:v>ST-083</x:v>
      </x:c>
      <x:c r="C2190" s="3" t="str">
        <x:v>仅R回收</x:v>
      </x:c>
      <x:c r="D2190" s="25" t="n">
        <x:v>5</x:v>
      </x:c>
      <x:c r="E2190" s="25" t="n">
        <x:v>1</x:v>
      </x:c>
      <x:c r="F2190" s="25" t="n">
        <x:v>0</x:v>
      </x:c>
      <x:c r="G2190" s="19" t="n">
        <x:f>SUM(D2190:F2190)</x:f>
        <x:v>6</x:v>
      </x:c>
      <x:c r="H2190" s="25" t="n">
        <x:v>1</x:v>
      </x:c>
      <x:c r="I2190" s="25" t="n">
        <x:v>0</x:v>
      </x:c>
      <x:c r="J2190" s="25" t="str">
        <x:v>-</x:v>
      </x:c>
      <x:c r="K2190" s="19" t="n">
        <x:f>D2190-IF(H2190=0,1,0)</x:f>
        <x:v>5</x:v>
      </x:c>
      <x:c r="L2190" s="19" t="n">
        <x:f>E2190-IF(H2190=1,1,0)</x:f>
        <x:v>0</x:v>
      </x:c>
      <x:c r="M2190" s="19" t="n">
        <x:f>F2190-IF(H2190=2,1,0)</x:f>
        <x:v>0</x:v>
      </x:c>
      <x:c r="N2190" s="19" t="n">
        <x:f>MAX(K2190-1,0)+MAX(L2190-1,0)+MAX(M2190-1,0)</x:f>
        <x:v>4</x:v>
      </x:c>
      <x:c r="O2190" s="19" t="n">
        <x:f>IF(AND(SUM(K2190:M2190)&lt;9,OR(M2190=0,N2190&lt;6)),1,0)</x:f>
        <x:v>1</x:v>
      </x:c>
      <x:c r="P2190" s="19" t="n">
        <x:f>IF(AND(SUM(K2190:M2190)&lt;9,OR(L2190=0,N2190&lt;6)),1,0)</x:f>
        <x:v>1</x:v>
      </x:c>
      <x:c r="Q2190" s="19" t="n">
        <x:f>IF(AND(SUM(K2190:M2190)&lt;9,OR(K2190=0,N2190&lt;6)),1,0)</x:f>
        <x:v>1</x:v>
      </x:c>
      <x:c r="R2190" s="22" t="str">
        <x:f>O2190&amp;P2190&amp;Q2190</x:f>
        <x:v>111</x:v>
      </x:c>
      <x:c r="S2190" s="19" t="n">
        <x:f>IF(I2190=1,IF(J2190=0,Q2190,IF(J2190=1,P2190,IF(J2190=2,O2190,0))),0)</x:f>
        <x:v>0</x:v>
      </x:c>
      <x:c r="T2190" s="19" t="n">
        <x:f>K2190+IF(AND(S2190=1,J2190=0),1,0)</x:f>
        <x:v>5</x:v>
      </x:c>
      <x:c r="U2190" s="19" t="n">
        <x:f>L2190+IF(AND(S2190=1,J2190=1),1,0)</x:f>
        <x:v>0</x:v>
      </x:c>
      <x:c r="V2190" s="19" t="n">
        <x:f>M2190+IF(AND(S2190=1,J2190=2),1,0)</x:f>
        <x:v>0</x:v>
      </x:c>
      <x:c r="W2190" s="19" t="n">
        <x:f>SUM(T2190:V2190)</x:f>
        <x:v>5</x:v>
      </x:c>
      <x:c r="X2190" s="19" t="n">
        <x:f>W2190-G2190</x:f>
        <x:v>-1</x:v>
      </x:c>
      <x:c r="Y2190" s="19" t="n">
        <x:f>MAX(T2190,1)+MAX(U2190,1)+MAX(V2190,1)</x:f>
        <x:v>7</x:v>
      </x:c>
      <x:c r="Z2190" s="21" t="str">
        <x:f>IF(AND(MIN(D2190:F2190)&gt;=0,MAX(D2190:F2190)&lt;=7,MAX(D2190,1)+MAX(E2190,1)+MAX(F2190,1)&lt;=9,OR(H2190="-",AND(H2190=0,D2190&gt;0),AND(H2190=1,E2190&gt;0),AND(H2190=2,F2190&gt;0)),OR(I2190=0,AND(I2190=1,OR(J2190=0,J2190=1,J2190=2),R2190&lt;&gt;"000")),Y2190&lt;=9,MIN(T2190:V2190)&gt;=0),"合法","输入违约")</x:f>
        <x:v>合法</x:v>
      </x:c>
    </x:row>
    <x:row r="2191" ht="23" customHeight="1">
      <x:c r="A2191" s="3" t="str">
        <x:v>CT-2184</x:v>
      </x:c>
      <x:c r="B2191" s="3" t="str">
        <x:v>ST-083</x:v>
      </x:c>
      <x:c r="C2191" s="3" t="str">
        <x:v>R+AR同收同发</x:v>
      </x:c>
      <x:c r="D2191" s="25" t="n">
        <x:v>5</x:v>
      </x:c>
      <x:c r="E2191" s="25" t="n">
        <x:v>1</x:v>
      </x:c>
      <x:c r="F2191" s="25" t="n">
        <x:v>0</x:v>
      </x:c>
      <x:c r="G2191" s="19" t="n">
        <x:f>SUM(D2191:F2191)</x:f>
        <x:v>6</x:v>
      </x:c>
      <x:c r="H2191" s="25" t="n">
        <x:v>1</x:v>
      </x:c>
      <x:c r="I2191" s="25" t="n">
        <x:v>1</x:v>
      </x:c>
      <x:c r="J2191" s="25" t="n">
        <x:v>0</x:v>
      </x:c>
      <x:c r="K2191" s="19" t="n">
        <x:f>D2191-IF(H2191=0,1,0)</x:f>
        <x:v>5</x:v>
      </x:c>
      <x:c r="L2191" s="19" t="n">
        <x:f>E2191-IF(H2191=1,1,0)</x:f>
        <x:v>0</x:v>
      </x:c>
      <x:c r="M2191" s="19" t="n">
        <x:f>F2191-IF(H2191=2,1,0)</x:f>
        <x:v>0</x:v>
      </x:c>
      <x:c r="N2191" s="19" t="n">
        <x:f>MAX(K2191-1,0)+MAX(L2191-1,0)+MAX(M2191-1,0)</x:f>
        <x:v>4</x:v>
      </x:c>
      <x:c r="O2191" s="19" t="n">
        <x:f>IF(AND(SUM(K2191:M2191)&lt;9,OR(M2191=0,N2191&lt;6)),1,0)</x:f>
        <x:v>1</x:v>
      </x:c>
      <x:c r="P2191" s="19" t="n">
        <x:f>IF(AND(SUM(K2191:M2191)&lt;9,OR(L2191=0,N2191&lt;6)),1,0)</x:f>
        <x:v>1</x:v>
      </x:c>
      <x:c r="Q2191" s="19" t="n">
        <x:f>IF(AND(SUM(K2191:M2191)&lt;9,OR(K2191=0,N2191&lt;6)),1,0)</x:f>
        <x:v>1</x:v>
      </x:c>
      <x:c r="R2191" s="22" t="str">
        <x:f>O2191&amp;P2191&amp;Q2191</x:f>
        <x:v>111</x:v>
      </x:c>
      <x:c r="S2191" s="19" t="n">
        <x:f>IF(I2191=1,IF(J2191=0,Q2191,IF(J2191=1,P2191,IF(J2191=2,O2191,0))),0)</x:f>
        <x:v>1</x:v>
      </x:c>
      <x:c r="T2191" s="19" t="n">
        <x:f>K2191+IF(AND(S2191=1,J2191=0),1,0)</x:f>
        <x:v>6</x:v>
      </x:c>
      <x:c r="U2191" s="19" t="n">
        <x:f>L2191+IF(AND(S2191=1,J2191=1),1,0)</x:f>
        <x:v>0</x:v>
      </x:c>
      <x:c r="V2191" s="19" t="n">
        <x:f>M2191+IF(AND(S2191=1,J2191=2),1,0)</x:f>
        <x:v>0</x:v>
      </x:c>
      <x:c r="W2191" s="19" t="n">
        <x:f>SUM(T2191:V2191)</x:f>
        <x:v>6</x:v>
      </x:c>
      <x:c r="X2191" s="19" t="n">
        <x:f>W2191-G2191</x:f>
        <x:v>0</x:v>
      </x:c>
      <x:c r="Y2191" s="19" t="n">
        <x:f>MAX(T2191,1)+MAX(U2191,1)+MAX(V2191,1)</x:f>
        <x:v>8</x:v>
      </x:c>
      <x:c r="Z2191" s="21" t="str">
        <x:f>IF(AND(MIN(D2191:F2191)&gt;=0,MAX(D2191:F2191)&lt;=7,MAX(D2191,1)+MAX(E2191,1)+MAX(F2191,1)&lt;=9,OR(H2191="-",AND(H2191=0,D2191&gt;0),AND(H2191=1,E2191&gt;0),AND(H2191=2,F2191&gt;0)),OR(I2191=0,AND(I2191=1,OR(J2191=0,J2191=1,J2191=2),R2191&lt;&gt;"000")),Y2191&lt;=9,MIN(T2191:V2191)&gt;=0),"合法","输入违约")</x:f>
        <x:v>合法</x:v>
      </x:c>
    </x:row>
    <x:row r="2192" ht="23" customHeight="1">
      <x:c r="A2192" s="3" t="str">
        <x:v>CT-2185</x:v>
      </x:c>
      <x:c r="B2192" s="3" t="str">
        <x:v>ST-083</x:v>
      </x:c>
      <x:c r="C2192" s="3" t="str">
        <x:v>R+AR同收同发</x:v>
      </x:c>
      <x:c r="D2192" s="25" t="n">
        <x:v>5</x:v>
      </x:c>
      <x:c r="E2192" s="25" t="n">
        <x:v>1</x:v>
      </x:c>
      <x:c r="F2192" s="25" t="n">
        <x:v>0</x:v>
      </x:c>
      <x:c r="G2192" s="19" t="n">
        <x:f>SUM(D2192:F2192)</x:f>
        <x:v>6</x:v>
      </x:c>
      <x:c r="H2192" s="25" t="n">
        <x:v>1</x:v>
      </x:c>
      <x:c r="I2192" s="25" t="n">
        <x:v>1</x:v>
      </x:c>
      <x:c r="J2192" s="25" t="n">
        <x:v>1</x:v>
      </x:c>
      <x:c r="K2192" s="19" t="n">
        <x:f>D2192-IF(H2192=0,1,0)</x:f>
        <x:v>5</x:v>
      </x:c>
      <x:c r="L2192" s="19" t="n">
        <x:f>E2192-IF(H2192=1,1,0)</x:f>
        <x:v>0</x:v>
      </x:c>
      <x:c r="M2192" s="19" t="n">
        <x:f>F2192-IF(H2192=2,1,0)</x:f>
        <x:v>0</x:v>
      </x:c>
      <x:c r="N2192" s="19" t="n">
        <x:f>MAX(K2192-1,0)+MAX(L2192-1,0)+MAX(M2192-1,0)</x:f>
        <x:v>4</x:v>
      </x:c>
      <x:c r="O2192" s="19" t="n">
        <x:f>IF(AND(SUM(K2192:M2192)&lt;9,OR(M2192=0,N2192&lt;6)),1,0)</x:f>
        <x:v>1</x:v>
      </x:c>
      <x:c r="P2192" s="19" t="n">
        <x:f>IF(AND(SUM(K2192:M2192)&lt;9,OR(L2192=0,N2192&lt;6)),1,0)</x:f>
        <x:v>1</x:v>
      </x:c>
      <x:c r="Q2192" s="19" t="n">
        <x:f>IF(AND(SUM(K2192:M2192)&lt;9,OR(K2192=0,N2192&lt;6)),1,0)</x:f>
        <x:v>1</x:v>
      </x:c>
      <x:c r="R2192" s="22" t="str">
        <x:f>O2192&amp;P2192&amp;Q2192</x:f>
        <x:v>111</x:v>
      </x:c>
      <x:c r="S2192" s="19" t="n">
        <x:f>IF(I2192=1,IF(J2192=0,Q2192,IF(J2192=1,P2192,IF(J2192=2,O2192,0))),0)</x:f>
        <x:v>1</x:v>
      </x:c>
      <x:c r="T2192" s="19" t="n">
        <x:f>K2192+IF(AND(S2192=1,J2192=0),1,0)</x:f>
        <x:v>5</x:v>
      </x:c>
      <x:c r="U2192" s="19" t="n">
        <x:f>L2192+IF(AND(S2192=1,J2192=1),1,0)</x:f>
        <x:v>1</x:v>
      </x:c>
      <x:c r="V2192" s="19" t="n">
        <x:f>M2192+IF(AND(S2192=1,J2192=2),1,0)</x:f>
        <x:v>0</x:v>
      </x:c>
      <x:c r="W2192" s="19" t="n">
        <x:f>SUM(T2192:V2192)</x:f>
        <x:v>6</x:v>
      </x:c>
      <x:c r="X2192" s="19" t="n">
        <x:f>W2192-G2192</x:f>
        <x:v>0</x:v>
      </x:c>
      <x:c r="Y2192" s="19" t="n">
        <x:f>MAX(T2192,1)+MAX(U2192,1)+MAX(V2192,1)</x:f>
        <x:v>7</x:v>
      </x:c>
      <x:c r="Z2192" s="21" t="str">
        <x:f>IF(AND(MIN(D2192:F2192)&gt;=0,MAX(D2192:F2192)&lt;=7,MAX(D2192,1)+MAX(E2192,1)+MAX(F2192,1)&lt;=9,OR(H2192="-",AND(H2192=0,D2192&gt;0),AND(H2192=1,E2192&gt;0),AND(H2192=2,F2192&gt;0)),OR(I2192=0,AND(I2192=1,OR(J2192=0,J2192=1,J2192=2),R2192&lt;&gt;"000")),Y2192&lt;=9,MIN(T2192:V2192)&gt;=0),"合法","输入违约")</x:f>
        <x:v>合法</x:v>
      </x:c>
    </x:row>
    <x:row r="2193" ht="23" customHeight="1">
      <x:c r="A2193" s="3" t="str">
        <x:v>CT-2186</x:v>
      </x:c>
      <x:c r="B2193" s="3" t="str">
        <x:v>ST-083</x:v>
      </x:c>
      <x:c r="C2193" s="3" t="str">
        <x:v>R+AR同收同发</x:v>
      </x:c>
      <x:c r="D2193" s="25" t="n">
        <x:v>5</x:v>
      </x:c>
      <x:c r="E2193" s="25" t="n">
        <x:v>1</x:v>
      </x:c>
      <x:c r="F2193" s="25" t="n">
        <x:v>0</x:v>
      </x:c>
      <x:c r="G2193" s="19" t="n">
        <x:f>SUM(D2193:F2193)</x:f>
        <x:v>6</x:v>
      </x:c>
      <x:c r="H2193" s="25" t="n">
        <x:v>1</x:v>
      </x:c>
      <x:c r="I2193" s="25" t="n">
        <x:v>1</x:v>
      </x:c>
      <x:c r="J2193" s="25" t="n">
        <x:v>2</x:v>
      </x:c>
      <x:c r="K2193" s="19" t="n">
        <x:f>D2193-IF(H2193=0,1,0)</x:f>
        <x:v>5</x:v>
      </x:c>
      <x:c r="L2193" s="19" t="n">
        <x:f>E2193-IF(H2193=1,1,0)</x:f>
        <x:v>0</x:v>
      </x:c>
      <x:c r="M2193" s="19" t="n">
        <x:f>F2193-IF(H2193=2,1,0)</x:f>
        <x:v>0</x:v>
      </x:c>
      <x:c r="N2193" s="19" t="n">
        <x:f>MAX(K2193-1,0)+MAX(L2193-1,0)+MAX(M2193-1,0)</x:f>
        <x:v>4</x:v>
      </x:c>
      <x:c r="O2193" s="19" t="n">
        <x:f>IF(AND(SUM(K2193:M2193)&lt;9,OR(M2193=0,N2193&lt;6)),1,0)</x:f>
        <x:v>1</x:v>
      </x:c>
      <x:c r="P2193" s="19" t="n">
        <x:f>IF(AND(SUM(K2193:M2193)&lt;9,OR(L2193=0,N2193&lt;6)),1,0)</x:f>
        <x:v>1</x:v>
      </x:c>
      <x:c r="Q2193" s="19" t="n">
        <x:f>IF(AND(SUM(K2193:M2193)&lt;9,OR(K2193=0,N2193&lt;6)),1,0)</x:f>
        <x:v>1</x:v>
      </x:c>
      <x:c r="R2193" s="22" t="str">
        <x:f>O2193&amp;P2193&amp;Q2193</x:f>
        <x:v>111</x:v>
      </x:c>
      <x:c r="S2193" s="19" t="n">
        <x:f>IF(I2193=1,IF(J2193=0,Q2193,IF(J2193=1,P2193,IF(J2193=2,O2193,0))),0)</x:f>
        <x:v>1</x:v>
      </x:c>
      <x:c r="T2193" s="19" t="n">
        <x:f>K2193+IF(AND(S2193=1,J2193=0),1,0)</x:f>
        <x:v>5</x:v>
      </x:c>
      <x:c r="U2193" s="19" t="n">
        <x:f>L2193+IF(AND(S2193=1,J2193=1),1,0)</x:f>
        <x:v>0</x:v>
      </x:c>
      <x:c r="V2193" s="19" t="n">
        <x:f>M2193+IF(AND(S2193=1,J2193=2),1,0)</x:f>
        <x:v>1</x:v>
      </x:c>
      <x:c r="W2193" s="19" t="n">
        <x:f>SUM(T2193:V2193)</x:f>
        <x:v>6</x:v>
      </x:c>
      <x:c r="X2193" s="19" t="n">
        <x:f>W2193-G2193</x:f>
        <x:v>0</x:v>
      </x:c>
      <x:c r="Y2193" s="19" t="n">
        <x:f>MAX(T2193,1)+MAX(U2193,1)+MAX(V2193,1)</x:f>
        <x:v>7</x:v>
      </x:c>
      <x:c r="Z2193" s="21" t="str">
        <x:f>IF(AND(MIN(D2193:F2193)&gt;=0,MAX(D2193:F2193)&lt;=7,MAX(D2193,1)+MAX(E2193,1)+MAX(F2193,1)&lt;=9,OR(H2193="-",AND(H2193=0,D2193&gt;0),AND(H2193=1,E2193&gt;0),AND(H2193=2,F2193&gt;0)),OR(I2193=0,AND(I2193=1,OR(J2193=0,J2193=1,J2193=2),R2193&lt;&gt;"000")),Y2193&lt;=9,MIN(T2193:V2193)&gt;=0),"合法","输入违约")</x:f>
        <x:v>合法</x:v>
      </x:c>
    </x:row>
    <x:row r="2194" ht="23" customHeight="1">
      <x:c r="A2194" s="3" t="str">
        <x:v>CT-2187</x:v>
      </x:c>
      <x:c r="B2194" s="3" t="str">
        <x:v>ST-116</x:v>
      </x:c>
      <x:c r="C2194" s="3" t="str">
        <x:v>无AR/R</x:v>
      </x:c>
      <x:c r="D2194" s="25" t="n">
        <x:v>5</x:v>
      </x:c>
      <x:c r="E2194" s="25" t="n">
        <x:v>1</x:v>
      </x:c>
      <x:c r="F2194" s="25" t="n">
        <x:v>1</x:v>
      </x:c>
      <x:c r="G2194" s="19" t="n">
        <x:f>SUM(D2194:F2194)</x:f>
        <x:v>7</x:v>
      </x:c>
      <x:c r="H2194" s="25" t="str">
        <x:v>-</x:v>
      </x:c>
      <x:c r="I2194" s="25" t="n">
        <x:v>0</x:v>
      </x:c>
      <x:c r="J2194" s="25" t="str">
        <x:v>-</x:v>
      </x:c>
      <x:c r="K2194" s="19" t="n">
        <x:f>D2194-IF(H2194=0,1,0)</x:f>
        <x:v>5</x:v>
      </x:c>
      <x:c r="L2194" s="19" t="n">
        <x:f>E2194-IF(H2194=1,1,0)</x:f>
        <x:v>1</x:v>
      </x:c>
      <x:c r="M2194" s="19" t="n">
        <x:f>F2194-IF(H2194=2,1,0)</x:f>
        <x:v>1</x:v>
      </x:c>
      <x:c r="N2194" s="19" t="n">
        <x:f>MAX(K2194-1,0)+MAX(L2194-1,0)+MAX(M2194-1,0)</x:f>
        <x:v>4</x:v>
      </x:c>
      <x:c r="O2194" s="19" t="n">
        <x:f>IF(AND(SUM(K2194:M2194)&lt;9,OR(M2194=0,N2194&lt;6)),1,0)</x:f>
        <x:v>1</x:v>
      </x:c>
      <x:c r="P2194" s="19" t="n">
        <x:f>IF(AND(SUM(K2194:M2194)&lt;9,OR(L2194=0,N2194&lt;6)),1,0)</x:f>
        <x:v>1</x:v>
      </x:c>
      <x:c r="Q2194" s="19" t="n">
        <x:f>IF(AND(SUM(K2194:M2194)&lt;9,OR(K2194=0,N2194&lt;6)),1,0)</x:f>
        <x:v>1</x:v>
      </x:c>
      <x:c r="R2194" s="22" t="str">
        <x:f>O2194&amp;P2194&amp;Q2194</x:f>
        <x:v>111</x:v>
      </x:c>
      <x:c r="S2194" s="19" t="n">
        <x:f>IF(I2194=1,IF(J2194=0,Q2194,IF(J2194=1,P2194,IF(J2194=2,O2194,0))),0)</x:f>
        <x:v>0</x:v>
      </x:c>
      <x:c r="T2194" s="19" t="n">
        <x:f>K2194+IF(AND(S2194=1,J2194=0),1,0)</x:f>
        <x:v>5</x:v>
      </x:c>
      <x:c r="U2194" s="19" t="n">
        <x:f>L2194+IF(AND(S2194=1,J2194=1),1,0)</x:f>
        <x:v>1</x:v>
      </x:c>
      <x:c r="V2194" s="19" t="n">
        <x:f>M2194+IF(AND(S2194=1,J2194=2),1,0)</x:f>
        <x:v>1</x:v>
      </x:c>
      <x:c r="W2194" s="19" t="n">
        <x:f>SUM(T2194:V2194)</x:f>
        <x:v>7</x:v>
      </x:c>
      <x:c r="X2194" s="19" t="n">
        <x:f>W2194-G2194</x:f>
        <x:v>0</x:v>
      </x:c>
      <x:c r="Y2194" s="19" t="n">
        <x:f>MAX(T2194,1)+MAX(U2194,1)+MAX(V2194,1)</x:f>
        <x:v>7</x:v>
      </x:c>
      <x:c r="Z2194" s="21" t="str">
        <x:f>IF(AND(MIN(D2194:F2194)&gt;=0,MAX(D2194:F2194)&lt;=7,MAX(D2194,1)+MAX(E2194,1)+MAX(F2194,1)&lt;=9,OR(H2194="-",AND(H2194=0,D2194&gt;0),AND(H2194=1,E2194&gt;0),AND(H2194=2,F2194&gt;0)),OR(I2194=0,AND(I2194=1,OR(J2194=0,J2194=1,J2194=2),R2194&lt;&gt;"000")),Y2194&lt;=9,MIN(T2194:V2194)&gt;=0),"合法","输入违约")</x:f>
        <x:v>合法</x:v>
      </x:c>
    </x:row>
    <x:row r="2195" ht="23" customHeight="1">
      <x:c r="A2195" s="3" t="str">
        <x:v>CT-2188</x:v>
      </x:c>
      <x:c r="B2195" s="3" t="str">
        <x:v>ST-116</x:v>
      </x:c>
      <x:c r="C2195" s="3" t="str">
        <x:v>仅AR接收</x:v>
      </x:c>
      <x:c r="D2195" s="25" t="n">
        <x:v>5</x:v>
      </x:c>
      <x:c r="E2195" s="25" t="n">
        <x:v>1</x:v>
      </x:c>
      <x:c r="F2195" s="25" t="n">
        <x:v>1</x:v>
      </x:c>
      <x:c r="G2195" s="19" t="n">
        <x:f>SUM(D2195:F2195)</x:f>
        <x:v>7</x:v>
      </x:c>
      <x:c r="H2195" s="25" t="str">
        <x:v>-</x:v>
      </x:c>
      <x:c r="I2195" s="25" t="n">
        <x:v>1</x:v>
      </x:c>
      <x:c r="J2195" s="25" t="n">
        <x:v>0</x:v>
      </x:c>
      <x:c r="K2195" s="19" t="n">
        <x:f>D2195-IF(H2195=0,1,0)</x:f>
        <x:v>5</x:v>
      </x:c>
      <x:c r="L2195" s="19" t="n">
        <x:f>E2195-IF(H2195=1,1,0)</x:f>
        <x:v>1</x:v>
      </x:c>
      <x:c r="M2195" s="19" t="n">
        <x:f>F2195-IF(H2195=2,1,0)</x:f>
        <x:v>1</x:v>
      </x:c>
      <x:c r="N2195" s="19" t="n">
        <x:f>MAX(K2195-1,0)+MAX(L2195-1,0)+MAX(M2195-1,0)</x:f>
        <x:v>4</x:v>
      </x:c>
      <x:c r="O2195" s="19" t="n">
        <x:f>IF(AND(SUM(K2195:M2195)&lt;9,OR(M2195=0,N2195&lt;6)),1,0)</x:f>
        <x:v>1</x:v>
      </x:c>
      <x:c r="P2195" s="19" t="n">
        <x:f>IF(AND(SUM(K2195:M2195)&lt;9,OR(L2195=0,N2195&lt;6)),1,0)</x:f>
        <x:v>1</x:v>
      </x:c>
      <x:c r="Q2195" s="19" t="n">
        <x:f>IF(AND(SUM(K2195:M2195)&lt;9,OR(K2195=0,N2195&lt;6)),1,0)</x:f>
        <x:v>1</x:v>
      </x:c>
      <x:c r="R2195" s="22" t="str">
        <x:f>O2195&amp;P2195&amp;Q2195</x:f>
        <x:v>111</x:v>
      </x:c>
      <x:c r="S2195" s="19" t="n">
        <x:f>IF(I2195=1,IF(J2195=0,Q2195,IF(J2195=1,P2195,IF(J2195=2,O2195,0))),0)</x:f>
        <x:v>1</x:v>
      </x:c>
      <x:c r="T2195" s="19" t="n">
        <x:f>K2195+IF(AND(S2195=1,J2195=0),1,0)</x:f>
        <x:v>6</x:v>
      </x:c>
      <x:c r="U2195" s="19" t="n">
        <x:f>L2195+IF(AND(S2195=1,J2195=1),1,0)</x:f>
        <x:v>1</x:v>
      </x:c>
      <x:c r="V2195" s="19" t="n">
        <x:f>M2195+IF(AND(S2195=1,J2195=2),1,0)</x:f>
        <x:v>1</x:v>
      </x:c>
      <x:c r="W2195" s="19" t="n">
        <x:f>SUM(T2195:V2195)</x:f>
        <x:v>8</x:v>
      </x:c>
      <x:c r="X2195" s="19" t="n">
        <x:f>W2195-G2195</x:f>
        <x:v>1</x:v>
      </x:c>
      <x:c r="Y2195" s="19" t="n">
        <x:f>MAX(T2195,1)+MAX(U2195,1)+MAX(V2195,1)</x:f>
        <x:v>8</x:v>
      </x:c>
      <x:c r="Z2195" s="21" t="str">
        <x:f>IF(AND(MIN(D2195:F2195)&gt;=0,MAX(D2195:F2195)&lt;=7,MAX(D2195,1)+MAX(E2195,1)+MAX(F2195,1)&lt;=9,OR(H2195="-",AND(H2195=0,D2195&gt;0),AND(H2195=1,E2195&gt;0),AND(H2195=2,F2195&gt;0)),OR(I2195=0,AND(I2195=1,OR(J2195=0,J2195=1,J2195=2),R2195&lt;&gt;"000")),Y2195&lt;=9,MIN(T2195:V2195)&gt;=0),"合法","输入违约")</x:f>
        <x:v>合法</x:v>
      </x:c>
    </x:row>
    <x:row r="2196" ht="23" customHeight="1">
      <x:c r="A2196" s="3" t="str">
        <x:v>CT-2189</x:v>
      </x:c>
      <x:c r="B2196" s="3" t="str">
        <x:v>ST-116</x:v>
      </x:c>
      <x:c r="C2196" s="3" t="str">
        <x:v>仅AR接收</x:v>
      </x:c>
      <x:c r="D2196" s="25" t="n">
        <x:v>5</x:v>
      </x:c>
      <x:c r="E2196" s="25" t="n">
        <x:v>1</x:v>
      </x:c>
      <x:c r="F2196" s="25" t="n">
        <x:v>1</x:v>
      </x:c>
      <x:c r="G2196" s="19" t="n">
        <x:f>SUM(D2196:F2196)</x:f>
        <x:v>7</x:v>
      </x:c>
      <x:c r="H2196" s="25" t="str">
        <x:v>-</x:v>
      </x:c>
      <x:c r="I2196" s="25" t="n">
        <x:v>1</x:v>
      </x:c>
      <x:c r="J2196" s="25" t="n">
        <x:v>1</x:v>
      </x:c>
      <x:c r="K2196" s="19" t="n">
        <x:f>D2196-IF(H2196=0,1,0)</x:f>
        <x:v>5</x:v>
      </x:c>
      <x:c r="L2196" s="19" t="n">
        <x:f>E2196-IF(H2196=1,1,0)</x:f>
        <x:v>1</x:v>
      </x:c>
      <x:c r="M2196" s="19" t="n">
        <x:f>F2196-IF(H2196=2,1,0)</x:f>
        <x:v>1</x:v>
      </x:c>
      <x:c r="N2196" s="19" t="n">
        <x:f>MAX(K2196-1,0)+MAX(L2196-1,0)+MAX(M2196-1,0)</x:f>
        <x:v>4</x:v>
      </x:c>
      <x:c r="O2196" s="19" t="n">
        <x:f>IF(AND(SUM(K2196:M2196)&lt;9,OR(M2196=0,N2196&lt;6)),1,0)</x:f>
        <x:v>1</x:v>
      </x:c>
      <x:c r="P2196" s="19" t="n">
        <x:f>IF(AND(SUM(K2196:M2196)&lt;9,OR(L2196=0,N2196&lt;6)),1,0)</x:f>
        <x:v>1</x:v>
      </x:c>
      <x:c r="Q2196" s="19" t="n">
        <x:f>IF(AND(SUM(K2196:M2196)&lt;9,OR(K2196=0,N2196&lt;6)),1,0)</x:f>
        <x:v>1</x:v>
      </x:c>
      <x:c r="R2196" s="22" t="str">
        <x:f>O2196&amp;P2196&amp;Q2196</x:f>
        <x:v>111</x:v>
      </x:c>
      <x:c r="S2196" s="19" t="n">
        <x:f>IF(I2196=1,IF(J2196=0,Q2196,IF(J2196=1,P2196,IF(J2196=2,O2196,0))),0)</x:f>
        <x:v>1</x:v>
      </x:c>
      <x:c r="T2196" s="19" t="n">
        <x:f>K2196+IF(AND(S2196=1,J2196=0),1,0)</x:f>
        <x:v>5</x:v>
      </x:c>
      <x:c r="U2196" s="19" t="n">
        <x:f>L2196+IF(AND(S2196=1,J2196=1),1,0)</x:f>
        <x:v>2</x:v>
      </x:c>
      <x:c r="V2196" s="19" t="n">
        <x:f>M2196+IF(AND(S2196=1,J2196=2),1,0)</x:f>
        <x:v>1</x:v>
      </x:c>
      <x:c r="W2196" s="19" t="n">
        <x:f>SUM(T2196:V2196)</x:f>
        <x:v>8</x:v>
      </x:c>
      <x:c r="X2196" s="19" t="n">
        <x:f>W2196-G2196</x:f>
        <x:v>1</x:v>
      </x:c>
      <x:c r="Y2196" s="19" t="n">
        <x:f>MAX(T2196,1)+MAX(U2196,1)+MAX(V2196,1)</x:f>
        <x:v>8</x:v>
      </x:c>
      <x:c r="Z2196" s="21" t="str">
        <x:f>IF(AND(MIN(D2196:F2196)&gt;=0,MAX(D2196:F2196)&lt;=7,MAX(D2196,1)+MAX(E2196,1)+MAX(F2196,1)&lt;=9,OR(H2196="-",AND(H2196=0,D2196&gt;0),AND(H2196=1,E2196&gt;0),AND(H2196=2,F2196&gt;0)),OR(I2196=0,AND(I2196=1,OR(J2196=0,J2196=1,J2196=2),R2196&lt;&gt;"000")),Y2196&lt;=9,MIN(T2196:V2196)&gt;=0),"合法","输入违约")</x:f>
        <x:v>合法</x:v>
      </x:c>
    </x:row>
    <x:row r="2197" ht="23" customHeight="1">
      <x:c r="A2197" s="3" t="str">
        <x:v>CT-2190</x:v>
      </x:c>
      <x:c r="B2197" s="3" t="str">
        <x:v>ST-116</x:v>
      </x:c>
      <x:c r="C2197" s="3" t="str">
        <x:v>仅AR接收</x:v>
      </x:c>
      <x:c r="D2197" s="25" t="n">
        <x:v>5</x:v>
      </x:c>
      <x:c r="E2197" s="25" t="n">
        <x:v>1</x:v>
      </x:c>
      <x:c r="F2197" s="25" t="n">
        <x:v>1</x:v>
      </x:c>
      <x:c r="G2197" s="19" t="n">
        <x:f>SUM(D2197:F2197)</x:f>
        <x:v>7</x:v>
      </x:c>
      <x:c r="H2197" s="25" t="str">
        <x:v>-</x:v>
      </x:c>
      <x:c r="I2197" s="25" t="n">
        <x:v>1</x:v>
      </x:c>
      <x:c r="J2197" s="25" t="n">
        <x:v>2</x:v>
      </x:c>
      <x:c r="K2197" s="19" t="n">
        <x:f>D2197-IF(H2197=0,1,0)</x:f>
        <x:v>5</x:v>
      </x:c>
      <x:c r="L2197" s="19" t="n">
        <x:f>E2197-IF(H2197=1,1,0)</x:f>
        <x:v>1</x:v>
      </x:c>
      <x:c r="M2197" s="19" t="n">
        <x:f>F2197-IF(H2197=2,1,0)</x:f>
        <x:v>1</x:v>
      </x:c>
      <x:c r="N2197" s="19" t="n">
        <x:f>MAX(K2197-1,0)+MAX(L2197-1,0)+MAX(M2197-1,0)</x:f>
        <x:v>4</x:v>
      </x:c>
      <x:c r="O2197" s="19" t="n">
        <x:f>IF(AND(SUM(K2197:M2197)&lt;9,OR(M2197=0,N2197&lt;6)),1,0)</x:f>
        <x:v>1</x:v>
      </x:c>
      <x:c r="P2197" s="19" t="n">
        <x:f>IF(AND(SUM(K2197:M2197)&lt;9,OR(L2197=0,N2197&lt;6)),1,0)</x:f>
        <x:v>1</x:v>
      </x:c>
      <x:c r="Q2197" s="19" t="n">
        <x:f>IF(AND(SUM(K2197:M2197)&lt;9,OR(K2197=0,N2197&lt;6)),1,0)</x:f>
        <x:v>1</x:v>
      </x:c>
      <x:c r="R2197" s="22" t="str">
        <x:f>O2197&amp;P2197&amp;Q2197</x:f>
        <x:v>111</x:v>
      </x:c>
      <x:c r="S2197" s="19" t="n">
        <x:f>IF(I2197=1,IF(J2197=0,Q2197,IF(J2197=1,P2197,IF(J2197=2,O2197,0))),0)</x:f>
        <x:v>1</x:v>
      </x:c>
      <x:c r="T2197" s="19" t="n">
        <x:f>K2197+IF(AND(S2197=1,J2197=0),1,0)</x:f>
        <x:v>5</x:v>
      </x:c>
      <x:c r="U2197" s="19" t="n">
        <x:f>L2197+IF(AND(S2197=1,J2197=1),1,0)</x:f>
        <x:v>1</x:v>
      </x:c>
      <x:c r="V2197" s="19" t="n">
        <x:f>M2197+IF(AND(S2197=1,J2197=2),1,0)</x:f>
        <x:v>2</x:v>
      </x:c>
      <x:c r="W2197" s="19" t="n">
        <x:f>SUM(T2197:V2197)</x:f>
        <x:v>8</x:v>
      </x:c>
      <x:c r="X2197" s="19" t="n">
        <x:f>W2197-G2197</x:f>
        <x:v>1</x:v>
      </x:c>
      <x:c r="Y2197" s="19" t="n">
        <x:f>MAX(T2197,1)+MAX(U2197,1)+MAX(V2197,1)</x:f>
        <x:v>8</x:v>
      </x:c>
      <x:c r="Z2197" s="21" t="str">
        <x:f>IF(AND(MIN(D2197:F2197)&gt;=0,MAX(D2197:F2197)&lt;=7,MAX(D2197,1)+MAX(E2197,1)+MAX(F2197,1)&lt;=9,OR(H2197="-",AND(H2197=0,D2197&gt;0),AND(H2197=1,E2197&gt;0),AND(H2197=2,F2197&gt;0)),OR(I2197=0,AND(I2197=1,OR(J2197=0,J2197=1,J2197=2),R2197&lt;&gt;"000")),Y2197&lt;=9,MIN(T2197:V2197)&gt;=0),"合法","输入违约")</x:f>
        <x:v>合法</x:v>
      </x:c>
    </x:row>
    <x:row r="2198" ht="23" customHeight="1">
      <x:c r="A2198" s="3" t="str">
        <x:v>CT-2191</x:v>
      </x:c>
      <x:c r="B2198" s="3" t="str">
        <x:v>ST-116</x:v>
      </x:c>
      <x:c r="C2198" s="3" t="str">
        <x:v>仅R回收</x:v>
      </x:c>
      <x:c r="D2198" s="25" t="n">
        <x:v>5</x:v>
      </x:c>
      <x:c r="E2198" s="25" t="n">
        <x:v>1</x:v>
      </x:c>
      <x:c r="F2198" s="25" t="n">
        <x:v>1</x:v>
      </x:c>
      <x:c r="G2198" s="19" t="n">
        <x:f>SUM(D2198:F2198)</x:f>
        <x:v>7</x:v>
      </x:c>
      <x:c r="H2198" s="25" t="n">
        <x:v>0</x:v>
      </x:c>
      <x:c r="I2198" s="25" t="n">
        <x:v>0</x:v>
      </x:c>
      <x:c r="J2198" s="25" t="str">
        <x:v>-</x:v>
      </x:c>
      <x:c r="K2198" s="19" t="n">
        <x:f>D2198-IF(H2198=0,1,0)</x:f>
        <x:v>4</x:v>
      </x:c>
      <x:c r="L2198" s="19" t="n">
        <x:f>E2198-IF(H2198=1,1,0)</x:f>
        <x:v>1</x:v>
      </x:c>
      <x:c r="M2198" s="19" t="n">
        <x:f>F2198-IF(H2198=2,1,0)</x:f>
        <x:v>1</x:v>
      </x:c>
      <x:c r="N2198" s="19" t="n">
        <x:f>MAX(K2198-1,0)+MAX(L2198-1,0)+MAX(M2198-1,0)</x:f>
        <x:v>3</x:v>
      </x:c>
      <x:c r="O2198" s="19" t="n">
        <x:f>IF(AND(SUM(K2198:M2198)&lt;9,OR(M2198=0,N2198&lt;6)),1,0)</x:f>
        <x:v>1</x:v>
      </x:c>
      <x:c r="P2198" s="19" t="n">
        <x:f>IF(AND(SUM(K2198:M2198)&lt;9,OR(L2198=0,N2198&lt;6)),1,0)</x:f>
        <x:v>1</x:v>
      </x:c>
      <x:c r="Q2198" s="19" t="n">
        <x:f>IF(AND(SUM(K2198:M2198)&lt;9,OR(K2198=0,N2198&lt;6)),1,0)</x:f>
        <x:v>1</x:v>
      </x:c>
      <x:c r="R2198" s="22" t="str">
        <x:f>O2198&amp;P2198&amp;Q2198</x:f>
        <x:v>111</x:v>
      </x:c>
      <x:c r="S2198" s="19" t="n">
        <x:f>IF(I2198=1,IF(J2198=0,Q2198,IF(J2198=1,P2198,IF(J2198=2,O2198,0))),0)</x:f>
        <x:v>0</x:v>
      </x:c>
      <x:c r="T2198" s="19" t="n">
        <x:f>K2198+IF(AND(S2198=1,J2198=0),1,0)</x:f>
        <x:v>4</x:v>
      </x:c>
      <x:c r="U2198" s="19" t="n">
        <x:f>L2198+IF(AND(S2198=1,J2198=1),1,0)</x:f>
        <x:v>1</x:v>
      </x:c>
      <x:c r="V2198" s="19" t="n">
        <x:f>M2198+IF(AND(S2198=1,J2198=2),1,0)</x:f>
        <x:v>1</x:v>
      </x:c>
      <x:c r="W2198" s="19" t="n">
        <x:f>SUM(T2198:V2198)</x:f>
        <x:v>6</x:v>
      </x:c>
      <x:c r="X2198" s="19" t="n">
        <x:f>W2198-G2198</x:f>
        <x:v>-1</x:v>
      </x:c>
      <x:c r="Y2198" s="19" t="n">
        <x:f>MAX(T2198,1)+MAX(U2198,1)+MAX(V2198,1)</x:f>
        <x:v>6</x:v>
      </x:c>
      <x:c r="Z2198" s="21" t="str">
        <x:f>IF(AND(MIN(D2198:F2198)&gt;=0,MAX(D2198:F2198)&lt;=7,MAX(D2198,1)+MAX(E2198,1)+MAX(F2198,1)&lt;=9,OR(H2198="-",AND(H2198=0,D2198&gt;0),AND(H2198=1,E2198&gt;0),AND(H2198=2,F2198&gt;0)),OR(I2198=0,AND(I2198=1,OR(J2198=0,J2198=1,J2198=2),R2198&lt;&gt;"000")),Y2198&lt;=9,MIN(T2198:V2198)&gt;=0),"合法","输入违约")</x:f>
        <x:v>合法</x:v>
      </x:c>
    </x:row>
    <x:row r="2199" ht="23" customHeight="1">
      <x:c r="A2199" s="3" t="str">
        <x:v>CT-2192</x:v>
      </x:c>
      <x:c r="B2199" s="3" t="str">
        <x:v>ST-116</x:v>
      </x:c>
      <x:c r="C2199" s="3" t="str">
        <x:v>R+AR同收同发</x:v>
      </x:c>
      <x:c r="D2199" s="25" t="n">
        <x:v>5</x:v>
      </x:c>
      <x:c r="E2199" s="25" t="n">
        <x:v>1</x:v>
      </x:c>
      <x:c r="F2199" s="25" t="n">
        <x:v>1</x:v>
      </x:c>
      <x:c r="G2199" s="19" t="n">
        <x:f>SUM(D2199:F2199)</x:f>
        <x:v>7</x:v>
      </x:c>
      <x:c r="H2199" s="25" t="n">
        <x:v>0</x:v>
      </x:c>
      <x:c r="I2199" s="25" t="n">
        <x:v>1</x:v>
      </x:c>
      <x:c r="J2199" s="25" t="n">
        <x:v>0</x:v>
      </x:c>
      <x:c r="K2199" s="19" t="n">
        <x:f>D2199-IF(H2199=0,1,0)</x:f>
        <x:v>4</x:v>
      </x:c>
      <x:c r="L2199" s="19" t="n">
        <x:f>E2199-IF(H2199=1,1,0)</x:f>
        <x:v>1</x:v>
      </x:c>
      <x:c r="M2199" s="19" t="n">
        <x:f>F2199-IF(H2199=2,1,0)</x:f>
        <x:v>1</x:v>
      </x:c>
      <x:c r="N2199" s="19" t="n">
        <x:f>MAX(K2199-1,0)+MAX(L2199-1,0)+MAX(M2199-1,0)</x:f>
        <x:v>3</x:v>
      </x:c>
      <x:c r="O2199" s="19" t="n">
        <x:f>IF(AND(SUM(K2199:M2199)&lt;9,OR(M2199=0,N2199&lt;6)),1,0)</x:f>
        <x:v>1</x:v>
      </x:c>
      <x:c r="P2199" s="19" t="n">
        <x:f>IF(AND(SUM(K2199:M2199)&lt;9,OR(L2199=0,N2199&lt;6)),1,0)</x:f>
        <x:v>1</x:v>
      </x:c>
      <x:c r="Q2199" s="19" t="n">
        <x:f>IF(AND(SUM(K2199:M2199)&lt;9,OR(K2199=0,N2199&lt;6)),1,0)</x:f>
        <x:v>1</x:v>
      </x:c>
      <x:c r="R2199" s="22" t="str">
        <x:f>O2199&amp;P2199&amp;Q2199</x:f>
        <x:v>111</x:v>
      </x:c>
      <x:c r="S2199" s="19" t="n">
        <x:f>IF(I2199=1,IF(J2199=0,Q2199,IF(J2199=1,P2199,IF(J2199=2,O2199,0))),0)</x:f>
        <x:v>1</x:v>
      </x:c>
      <x:c r="T2199" s="19" t="n">
        <x:f>K2199+IF(AND(S2199=1,J2199=0),1,0)</x:f>
        <x:v>5</x:v>
      </x:c>
      <x:c r="U2199" s="19" t="n">
        <x:f>L2199+IF(AND(S2199=1,J2199=1),1,0)</x:f>
        <x:v>1</x:v>
      </x:c>
      <x:c r="V2199" s="19" t="n">
        <x:f>M2199+IF(AND(S2199=1,J2199=2),1,0)</x:f>
        <x:v>1</x:v>
      </x:c>
      <x:c r="W2199" s="19" t="n">
        <x:f>SUM(T2199:V2199)</x:f>
        <x:v>7</x:v>
      </x:c>
      <x:c r="X2199" s="19" t="n">
        <x:f>W2199-G2199</x:f>
        <x:v>0</x:v>
      </x:c>
      <x:c r="Y2199" s="19" t="n">
        <x:f>MAX(T2199,1)+MAX(U2199,1)+MAX(V2199,1)</x:f>
        <x:v>7</x:v>
      </x:c>
      <x:c r="Z2199" s="21" t="str">
        <x:f>IF(AND(MIN(D2199:F2199)&gt;=0,MAX(D2199:F2199)&lt;=7,MAX(D2199,1)+MAX(E2199,1)+MAX(F2199,1)&lt;=9,OR(H2199="-",AND(H2199=0,D2199&gt;0),AND(H2199=1,E2199&gt;0),AND(H2199=2,F2199&gt;0)),OR(I2199=0,AND(I2199=1,OR(J2199=0,J2199=1,J2199=2),R2199&lt;&gt;"000")),Y2199&lt;=9,MIN(T2199:V2199)&gt;=0),"合法","输入违约")</x:f>
        <x:v>合法</x:v>
      </x:c>
    </x:row>
    <x:row r="2200" ht="23" customHeight="1">
      <x:c r="A2200" s="3" t="str">
        <x:v>CT-2193</x:v>
      </x:c>
      <x:c r="B2200" s="3" t="str">
        <x:v>ST-116</x:v>
      </x:c>
      <x:c r="C2200" s="3" t="str">
        <x:v>R+AR同收同发</x:v>
      </x:c>
      <x:c r="D2200" s="25" t="n">
        <x:v>5</x:v>
      </x:c>
      <x:c r="E2200" s="25" t="n">
        <x:v>1</x:v>
      </x:c>
      <x:c r="F2200" s="25" t="n">
        <x:v>1</x:v>
      </x:c>
      <x:c r="G2200" s="19" t="n">
        <x:f>SUM(D2200:F2200)</x:f>
        <x:v>7</x:v>
      </x:c>
      <x:c r="H2200" s="25" t="n">
        <x:v>0</x:v>
      </x:c>
      <x:c r="I2200" s="25" t="n">
        <x:v>1</x:v>
      </x:c>
      <x:c r="J2200" s="25" t="n">
        <x:v>1</x:v>
      </x:c>
      <x:c r="K2200" s="19" t="n">
        <x:f>D2200-IF(H2200=0,1,0)</x:f>
        <x:v>4</x:v>
      </x:c>
      <x:c r="L2200" s="19" t="n">
        <x:f>E2200-IF(H2200=1,1,0)</x:f>
        <x:v>1</x:v>
      </x:c>
      <x:c r="M2200" s="19" t="n">
        <x:f>F2200-IF(H2200=2,1,0)</x:f>
        <x:v>1</x:v>
      </x:c>
      <x:c r="N2200" s="19" t="n">
        <x:f>MAX(K2200-1,0)+MAX(L2200-1,0)+MAX(M2200-1,0)</x:f>
        <x:v>3</x:v>
      </x:c>
      <x:c r="O2200" s="19" t="n">
        <x:f>IF(AND(SUM(K2200:M2200)&lt;9,OR(M2200=0,N2200&lt;6)),1,0)</x:f>
        <x:v>1</x:v>
      </x:c>
      <x:c r="P2200" s="19" t="n">
        <x:f>IF(AND(SUM(K2200:M2200)&lt;9,OR(L2200=0,N2200&lt;6)),1,0)</x:f>
        <x:v>1</x:v>
      </x:c>
      <x:c r="Q2200" s="19" t="n">
        <x:f>IF(AND(SUM(K2200:M2200)&lt;9,OR(K2200=0,N2200&lt;6)),1,0)</x:f>
        <x:v>1</x:v>
      </x:c>
      <x:c r="R2200" s="22" t="str">
        <x:f>O2200&amp;P2200&amp;Q2200</x:f>
        <x:v>111</x:v>
      </x:c>
      <x:c r="S2200" s="19" t="n">
        <x:f>IF(I2200=1,IF(J2200=0,Q2200,IF(J2200=1,P2200,IF(J2200=2,O2200,0))),0)</x:f>
        <x:v>1</x:v>
      </x:c>
      <x:c r="T2200" s="19" t="n">
        <x:f>K2200+IF(AND(S2200=1,J2200=0),1,0)</x:f>
        <x:v>4</x:v>
      </x:c>
      <x:c r="U2200" s="19" t="n">
        <x:f>L2200+IF(AND(S2200=1,J2200=1),1,0)</x:f>
        <x:v>2</x:v>
      </x:c>
      <x:c r="V2200" s="19" t="n">
        <x:f>M2200+IF(AND(S2200=1,J2200=2),1,0)</x:f>
        <x:v>1</x:v>
      </x:c>
      <x:c r="W2200" s="19" t="n">
        <x:f>SUM(T2200:V2200)</x:f>
        <x:v>7</x:v>
      </x:c>
      <x:c r="X2200" s="19" t="n">
        <x:f>W2200-G2200</x:f>
        <x:v>0</x:v>
      </x:c>
      <x:c r="Y2200" s="19" t="n">
        <x:f>MAX(T2200,1)+MAX(U2200,1)+MAX(V2200,1)</x:f>
        <x:v>7</x:v>
      </x:c>
      <x:c r="Z2200" s="21" t="str">
        <x:f>IF(AND(MIN(D2200:F2200)&gt;=0,MAX(D2200:F2200)&lt;=7,MAX(D2200,1)+MAX(E2200,1)+MAX(F2200,1)&lt;=9,OR(H2200="-",AND(H2200=0,D2200&gt;0),AND(H2200=1,E2200&gt;0),AND(H2200=2,F2200&gt;0)),OR(I2200=0,AND(I2200=1,OR(J2200=0,J2200=1,J2200=2),R2200&lt;&gt;"000")),Y2200&lt;=9,MIN(T2200:V2200)&gt;=0),"合法","输入违约")</x:f>
        <x:v>合法</x:v>
      </x:c>
    </x:row>
    <x:row r="2201" ht="23" customHeight="1">
      <x:c r="A2201" s="3" t="str">
        <x:v>CT-2194</x:v>
      </x:c>
      <x:c r="B2201" s="3" t="str">
        <x:v>ST-116</x:v>
      </x:c>
      <x:c r="C2201" s="3" t="str">
        <x:v>R+AR同收同发</x:v>
      </x:c>
      <x:c r="D2201" s="25" t="n">
        <x:v>5</x:v>
      </x:c>
      <x:c r="E2201" s="25" t="n">
        <x:v>1</x:v>
      </x:c>
      <x:c r="F2201" s="25" t="n">
        <x:v>1</x:v>
      </x:c>
      <x:c r="G2201" s="19" t="n">
        <x:f>SUM(D2201:F2201)</x:f>
        <x:v>7</x:v>
      </x:c>
      <x:c r="H2201" s="25" t="n">
        <x:v>0</x:v>
      </x:c>
      <x:c r="I2201" s="25" t="n">
        <x:v>1</x:v>
      </x:c>
      <x:c r="J2201" s="25" t="n">
        <x:v>2</x:v>
      </x:c>
      <x:c r="K2201" s="19" t="n">
        <x:f>D2201-IF(H2201=0,1,0)</x:f>
        <x:v>4</x:v>
      </x:c>
      <x:c r="L2201" s="19" t="n">
        <x:f>E2201-IF(H2201=1,1,0)</x:f>
        <x:v>1</x:v>
      </x:c>
      <x:c r="M2201" s="19" t="n">
        <x:f>F2201-IF(H2201=2,1,0)</x:f>
        <x:v>1</x:v>
      </x:c>
      <x:c r="N2201" s="19" t="n">
        <x:f>MAX(K2201-1,0)+MAX(L2201-1,0)+MAX(M2201-1,0)</x:f>
        <x:v>3</x:v>
      </x:c>
      <x:c r="O2201" s="19" t="n">
        <x:f>IF(AND(SUM(K2201:M2201)&lt;9,OR(M2201=0,N2201&lt;6)),1,0)</x:f>
        <x:v>1</x:v>
      </x:c>
      <x:c r="P2201" s="19" t="n">
        <x:f>IF(AND(SUM(K2201:M2201)&lt;9,OR(L2201=0,N2201&lt;6)),1,0)</x:f>
        <x:v>1</x:v>
      </x:c>
      <x:c r="Q2201" s="19" t="n">
        <x:f>IF(AND(SUM(K2201:M2201)&lt;9,OR(K2201=0,N2201&lt;6)),1,0)</x:f>
        <x:v>1</x:v>
      </x:c>
      <x:c r="R2201" s="22" t="str">
        <x:f>O2201&amp;P2201&amp;Q2201</x:f>
        <x:v>111</x:v>
      </x:c>
      <x:c r="S2201" s="19" t="n">
        <x:f>IF(I2201=1,IF(J2201=0,Q2201,IF(J2201=1,P2201,IF(J2201=2,O2201,0))),0)</x:f>
        <x:v>1</x:v>
      </x:c>
      <x:c r="T2201" s="19" t="n">
        <x:f>K2201+IF(AND(S2201=1,J2201=0),1,0)</x:f>
        <x:v>4</x:v>
      </x:c>
      <x:c r="U2201" s="19" t="n">
        <x:f>L2201+IF(AND(S2201=1,J2201=1),1,0)</x:f>
        <x:v>1</x:v>
      </x:c>
      <x:c r="V2201" s="19" t="n">
        <x:f>M2201+IF(AND(S2201=1,J2201=2),1,0)</x:f>
        <x:v>2</x:v>
      </x:c>
      <x:c r="W2201" s="19" t="n">
        <x:f>SUM(T2201:V2201)</x:f>
        <x:v>7</x:v>
      </x:c>
      <x:c r="X2201" s="19" t="n">
        <x:f>W2201-G2201</x:f>
        <x:v>0</x:v>
      </x:c>
      <x:c r="Y2201" s="19" t="n">
        <x:f>MAX(T2201,1)+MAX(U2201,1)+MAX(V2201,1)</x:f>
        <x:v>7</x:v>
      </x:c>
      <x:c r="Z2201" s="21" t="str">
        <x:f>IF(AND(MIN(D2201:F2201)&gt;=0,MAX(D2201:F2201)&lt;=7,MAX(D2201,1)+MAX(E2201,1)+MAX(F2201,1)&lt;=9,OR(H2201="-",AND(H2201=0,D2201&gt;0),AND(H2201=1,E2201&gt;0),AND(H2201=2,F2201&gt;0)),OR(I2201=0,AND(I2201=1,OR(J2201=0,J2201=1,J2201=2),R2201&lt;&gt;"000")),Y2201&lt;=9,MIN(T2201:V2201)&gt;=0),"合法","输入违约")</x:f>
        <x:v>合法</x:v>
      </x:c>
    </x:row>
    <x:row r="2202" ht="23" customHeight="1">
      <x:c r="A2202" s="3" t="str">
        <x:v>CT-2195</x:v>
      </x:c>
      <x:c r="B2202" s="3" t="str">
        <x:v>ST-116</x:v>
      </x:c>
      <x:c r="C2202" s="3" t="str">
        <x:v>仅R回收</x:v>
      </x:c>
      <x:c r="D2202" s="25" t="n">
        <x:v>5</x:v>
      </x:c>
      <x:c r="E2202" s="25" t="n">
        <x:v>1</x:v>
      </x:c>
      <x:c r="F2202" s="25" t="n">
        <x:v>1</x:v>
      </x:c>
      <x:c r="G2202" s="19" t="n">
        <x:f>SUM(D2202:F2202)</x:f>
        <x:v>7</x:v>
      </x:c>
      <x:c r="H2202" s="25" t="n">
        <x:v>1</x:v>
      </x:c>
      <x:c r="I2202" s="25" t="n">
        <x:v>0</x:v>
      </x:c>
      <x:c r="J2202" s="25" t="str">
        <x:v>-</x:v>
      </x:c>
      <x:c r="K2202" s="19" t="n">
        <x:f>D2202-IF(H2202=0,1,0)</x:f>
        <x:v>5</x:v>
      </x:c>
      <x:c r="L2202" s="19" t="n">
        <x:f>E2202-IF(H2202=1,1,0)</x:f>
        <x:v>0</x:v>
      </x:c>
      <x:c r="M2202" s="19" t="n">
        <x:f>F2202-IF(H2202=2,1,0)</x:f>
        <x:v>1</x:v>
      </x:c>
      <x:c r="N2202" s="19" t="n">
        <x:f>MAX(K2202-1,0)+MAX(L2202-1,0)+MAX(M2202-1,0)</x:f>
        <x:v>4</x:v>
      </x:c>
      <x:c r="O2202" s="19" t="n">
        <x:f>IF(AND(SUM(K2202:M2202)&lt;9,OR(M2202=0,N2202&lt;6)),1,0)</x:f>
        <x:v>1</x:v>
      </x:c>
      <x:c r="P2202" s="19" t="n">
        <x:f>IF(AND(SUM(K2202:M2202)&lt;9,OR(L2202=0,N2202&lt;6)),1,0)</x:f>
        <x:v>1</x:v>
      </x:c>
      <x:c r="Q2202" s="19" t="n">
        <x:f>IF(AND(SUM(K2202:M2202)&lt;9,OR(K2202=0,N2202&lt;6)),1,0)</x:f>
        <x:v>1</x:v>
      </x:c>
      <x:c r="R2202" s="22" t="str">
        <x:f>O2202&amp;P2202&amp;Q2202</x:f>
        <x:v>111</x:v>
      </x:c>
      <x:c r="S2202" s="19" t="n">
        <x:f>IF(I2202=1,IF(J2202=0,Q2202,IF(J2202=1,P2202,IF(J2202=2,O2202,0))),0)</x:f>
        <x:v>0</x:v>
      </x:c>
      <x:c r="T2202" s="19" t="n">
        <x:f>K2202+IF(AND(S2202=1,J2202=0),1,0)</x:f>
        <x:v>5</x:v>
      </x:c>
      <x:c r="U2202" s="19" t="n">
        <x:f>L2202+IF(AND(S2202=1,J2202=1),1,0)</x:f>
        <x:v>0</x:v>
      </x:c>
      <x:c r="V2202" s="19" t="n">
        <x:f>M2202+IF(AND(S2202=1,J2202=2),1,0)</x:f>
        <x:v>1</x:v>
      </x:c>
      <x:c r="W2202" s="19" t="n">
        <x:f>SUM(T2202:V2202)</x:f>
        <x:v>6</x:v>
      </x:c>
      <x:c r="X2202" s="19" t="n">
        <x:f>W2202-G2202</x:f>
        <x:v>-1</x:v>
      </x:c>
      <x:c r="Y2202" s="19" t="n">
        <x:f>MAX(T2202,1)+MAX(U2202,1)+MAX(V2202,1)</x:f>
        <x:v>7</x:v>
      </x:c>
      <x:c r="Z2202" s="21" t="str">
        <x:f>IF(AND(MIN(D2202:F2202)&gt;=0,MAX(D2202:F2202)&lt;=7,MAX(D2202,1)+MAX(E2202,1)+MAX(F2202,1)&lt;=9,OR(H2202="-",AND(H2202=0,D2202&gt;0),AND(H2202=1,E2202&gt;0),AND(H2202=2,F2202&gt;0)),OR(I2202=0,AND(I2202=1,OR(J2202=0,J2202=1,J2202=2),R2202&lt;&gt;"000")),Y2202&lt;=9,MIN(T2202:V2202)&gt;=0),"合法","输入违约")</x:f>
        <x:v>合法</x:v>
      </x:c>
    </x:row>
    <x:row r="2203" ht="23" customHeight="1">
      <x:c r="A2203" s="3" t="str">
        <x:v>CT-2196</x:v>
      </x:c>
      <x:c r="B2203" s="3" t="str">
        <x:v>ST-116</x:v>
      </x:c>
      <x:c r="C2203" s="3" t="str">
        <x:v>R+AR同收同发</x:v>
      </x:c>
      <x:c r="D2203" s="25" t="n">
        <x:v>5</x:v>
      </x:c>
      <x:c r="E2203" s="25" t="n">
        <x:v>1</x:v>
      </x:c>
      <x:c r="F2203" s="25" t="n">
        <x:v>1</x:v>
      </x:c>
      <x:c r="G2203" s="19" t="n">
        <x:f>SUM(D2203:F2203)</x:f>
        <x:v>7</x:v>
      </x:c>
      <x:c r="H2203" s="25" t="n">
        <x:v>1</x:v>
      </x:c>
      <x:c r="I2203" s="25" t="n">
        <x:v>1</x:v>
      </x:c>
      <x:c r="J2203" s="25" t="n">
        <x:v>0</x:v>
      </x:c>
      <x:c r="K2203" s="19" t="n">
        <x:f>D2203-IF(H2203=0,1,0)</x:f>
        <x:v>5</x:v>
      </x:c>
      <x:c r="L2203" s="19" t="n">
        <x:f>E2203-IF(H2203=1,1,0)</x:f>
        <x:v>0</x:v>
      </x:c>
      <x:c r="M2203" s="19" t="n">
        <x:f>F2203-IF(H2203=2,1,0)</x:f>
        <x:v>1</x:v>
      </x:c>
      <x:c r="N2203" s="19" t="n">
        <x:f>MAX(K2203-1,0)+MAX(L2203-1,0)+MAX(M2203-1,0)</x:f>
        <x:v>4</x:v>
      </x:c>
      <x:c r="O2203" s="19" t="n">
        <x:f>IF(AND(SUM(K2203:M2203)&lt;9,OR(M2203=0,N2203&lt;6)),1,0)</x:f>
        <x:v>1</x:v>
      </x:c>
      <x:c r="P2203" s="19" t="n">
        <x:f>IF(AND(SUM(K2203:M2203)&lt;9,OR(L2203=0,N2203&lt;6)),1,0)</x:f>
        <x:v>1</x:v>
      </x:c>
      <x:c r="Q2203" s="19" t="n">
        <x:f>IF(AND(SUM(K2203:M2203)&lt;9,OR(K2203=0,N2203&lt;6)),1,0)</x:f>
        <x:v>1</x:v>
      </x:c>
      <x:c r="R2203" s="22" t="str">
        <x:f>O2203&amp;P2203&amp;Q2203</x:f>
        <x:v>111</x:v>
      </x:c>
      <x:c r="S2203" s="19" t="n">
        <x:f>IF(I2203=1,IF(J2203=0,Q2203,IF(J2203=1,P2203,IF(J2203=2,O2203,0))),0)</x:f>
        <x:v>1</x:v>
      </x:c>
      <x:c r="T2203" s="19" t="n">
        <x:f>K2203+IF(AND(S2203=1,J2203=0),1,0)</x:f>
        <x:v>6</x:v>
      </x:c>
      <x:c r="U2203" s="19" t="n">
        <x:f>L2203+IF(AND(S2203=1,J2203=1),1,0)</x:f>
        <x:v>0</x:v>
      </x:c>
      <x:c r="V2203" s="19" t="n">
        <x:f>M2203+IF(AND(S2203=1,J2203=2),1,0)</x:f>
        <x:v>1</x:v>
      </x:c>
      <x:c r="W2203" s="19" t="n">
        <x:f>SUM(T2203:V2203)</x:f>
        <x:v>7</x:v>
      </x:c>
      <x:c r="X2203" s="19" t="n">
        <x:f>W2203-G2203</x:f>
        <x:v>0</x:v>
      </x:c>
      <x:c r="Y2203" s="19" t="n">
        <x:f>MAX(T2203,1)+MAX(U2203,1)+MAX(V2203,1)</x:f>
        <x:v>8</x:v>
      </x:c>
      <x:c r="Z2203" s="21" t="str">
        <x:f>IF(AND(MIN(D2203:F2203)&gt;=0,MAX(D2203:F2203)&lt;=7,MAX(D2203,1)+MAX(E2203,1)+MAX(F2203,1)&lt;=9,OR(H2203="-",AND(H2203=0,D2203&gt;0),AND(H2203=1,E2203&gt;0),AND(H2203=2,F2203&gt;0)),OR(I2203=0,AND(I2203=1,OR(J2203=0,J2203=1,J2203=2),R2203&lt;&gt;"000")),Y2203&lt;=9,MIN(T2203:V2203)&gt;=0),"合法","输入违约")</x:f>
        <x:v>合法</x:v>
      </x:c>
    </x:row>
    <x:row r="2204" ht="23" customHeight="1">
      <x:c r="A2204" s="3" t="str">
        <x:v>CT-2197</x:v>
      </x:c>
      <x:c r="B2204" s="3" t="str">
        <x:v>ST-116</x:v>
      </x:c>
      <x:c r="C2204" s="3" t="str">
        <x:v>R+AR同收同发</x:v>
      </x:c>
      <x:c r="D2204" s="25" t="n">
        <x:v>5</x:v>
      </x:c>
      <x:c r="E2204" s="25" t="n">
        <x:v>1</x:v>
      </x:c>
      <x:c r="F2204" s="25" t="n">
        <x:v>1</x:v>
      </x:c>
      <x:c r="G2204" s="19" t="n">
        <x:f>SUM(D2204:F2204)</x:f>
        <x:v>7</x:v>
      </x:c>
      <x:c r="H2204" s="25" t="n">
        <x:v>1</x:v>
      </x:c>
      <x:c r="I2204" s="25" t="n">
        <x:v>1</x:v>
      </x:c>
      <x:c r="J2204" s="25" t="n">
        <x:v>1</x:v>
      </x:c>
      <x:c r="K2204" s="19" t="n">
        <x:f>D2204-IF(H2204=0,1,0)</x:f>
        <x:v>5</x:v>
      </x:c>
      <x:c r="L2204" s="19" t="n">
        <x:f>E2204-IF(H2204=1,1,0)</x:f>
        <x:v>0</x:v>
      </x:c>
      <x:c r="M2204" s="19" t="n">
        <x:f>F2204-IF(H2204=2,1,0)</x:f>
        <x:v>1</x:v>
      </x:c>
      <x:c r="N2204" s="19" t="n">
        <x:f>MAX(K2204-1,0)+MAX(L2204-1,0)+MAX(M2204-1,0)</x:f>
        <x:v>4</x:v>
      </x:c>
      <x:c r="O2204" s="19" t="n">
        <x:f>IF(AND(SUM(K2204:M2204)&lt;9,OR(M2204=0,N2204&lt;6)),1,0)</x:f>
        <x:v>1</x:v>
      </x:c>
      <x:c r="P2204" s="19" t="n">
        <x:f>IF(AND(SUM(K2204:M2204)&lt;9,OR(L2204=0,N2204&lt;6)),1,0)</x:f>
        <x:v>1</x:v>
      </x:c>
      <x:c r="Q2204" s="19" t="n">
        <x:f>IF(AND(SUM(K2204:M2204)&lt;9,OR(K2204=0,N2204&lt;6)),1,0)</x:f>
        <x:v>1</x:v>
      </x:c>
      <x:c r="R2204" s="22" t="str">
        <x:f>O2204&amp;P2204&amp;Q2204</x:f>
        <x:v>111</x:v>
      </x:c>
      <x:c r="S2204" s="19" t="n">
        <x:f>IF(I2204=1,IF(J2204=0,Q2204,IF(J2204=1,P2204,IF(J2204=2,O2204,0))),0)</x:f>
        <x:v>1</x:v>
      </x:c>
      <x:c r="T2204" s="19" t="n">
        <x:f>K2204+IF(AND(S2204=1,J2204=0),1,0)</x:f>
        <x:v>5</x:v>
      </x:c>
      <x:c r="U2204" s="19" t="n">
        <x:f>L2204+IF(AND(S2204=1,J2204=1),1,0)</x:f>
        <x:v>1</x:v>
      </x:c>
      <x:c r="V2204" s="19" t="n">
        <x:f>M2204+IF(AND(S2204=1,J2204=2),1,0)</x:f>
        <x:v>1</x:v>
      </x:c>
      <x:c r="W2204" s="19" t="n">
        <x:f>SUM(T2204:V2204)</x:f>
        <x:v>7</x:v>
      </x:c>
      <x:c r="X2204" s="19" t="n">
        <x:f>W2204-G2204</x:f>
        <x:v>0</x:v>
      </x:c>
      <x:c r="Y2204" s="19" t="n">
        <x:f>MAX(T2204,1)+MAX(U2204,1)+MAX(V2204,1)</x:f>
        <x:v>7</x:v>
      </x:c>
      <x:c r="Z2204" s="21" t="str">
        <x:f>IF(AND(MIN(D2204:F2204)&gt;=0,MAX(D2204:F2204)&lt;=7,MAX(D2204,1)+MAX(E2204,1)+MAX(F2204,1)&lt;=9,OR(H2204="-",AND(H2204=0,D2204&gt;0),AND(H2204=1,E2204&gt;0),AND(H2204=2,F2204&gt;0)),OR(I2204=0,AND(I2204=1,OR(J2204=0,J2204=1,J2204=2),R2204&lt;&gt;"000")),Y2204&lt;=9,MIN(T2204:V2204)&gt;=0),"合法","输入违约")</x:f>
        <x:v>合法</x:v>
      </x:c>
    </x:row>
    <x:row r="2205" ht="23" customHeight="1">
      <x:c r="A2205" s="3" t="str">
        <x:v>CT-2198</x:v>
      </x:c>
      <x:c r="B2205" s="3" t="str">
        <x:v>ST-116</x:v>
      </x:c>
      <x:c r="C2205" s="3" t="str">
        <x:v>R+AR同收同发</x:v>
      </x:c>
      <x:c r="D2205" s="25" t="n">
        <x:v>5</x:v>
      </x:c>
      <x:c r="E2205" s="25" t="n">
        <x:v>1</x:v>
      </x:c>
      <x:c r="F2205" s="25" t="n">
        <x:v>1</x:v>
      </x:c>
      <x:c r="G2205" s="19" t="n">
        <x:f>SUM(D2205:F2205)</x:f>
        <x:v>7</x:v>
      </x:c>
      <x:c r="H2205" s="25" t="n">
        <x:v>1</x:v>
      </x:c>
      <x:c r="I2205" s="25" t="n">
        <x:v>1</x:v>
      </x:c>
      <x:c r="J2205" s="25" t="n">
        <x:v>2</x:v>
      </x:c>
      <x:c r="K2205" s="19" t="n">
        <x:f>D2205-IF(H2205=0,1,0)</x:f>
        <x:v>5</x:v>
      </x:c>
      <x:c r="L2205" s="19" t="n">
        <x:f>E2205-IF(H2205=1,1,0)</x:f>
        <x:v>0</x:v>
      </x:c>
      <x:c r="M2205" s="19" t="n">
        <x:f>F2205-IF(H2205=2,1,0)</x:f>
        <x:v>1</x:v>
      </x:c>
      <x:c r="N2205" s="19" t="n">
        <x:f>MAX(K2205-1,0)+MAX(L2205-1,0)+MAX(M2205-1,0)</x:f>
        <x:v>4</x:v>
      </x:c>
      <x:c r="O2205" s="19" t="n">
        <x:f>IF(AND(SUM(K2205:M2205)&lt;9,OR(M2205=0,N2205&lt;6)),1,0)</x:f>
        <x:v>1</x:v>
      </x:c>
      <x:c r="P2205" s="19" t="n">
        <x:f>IF(AND(SUM(K2205:M2205)&lt;9,OR(L2205=0,N2205&lt;6)),1,0)</x:f>
        <x:v>1</x:v>
      </x:c>
      <x:c r="Q2205" s="19" t="n">
        <x:f>IF(AND(SUM(K2205:M2205)&lt;9,OR(K2205=0,N2205&lt;6)),1,0)</x:f>
        <x:v>1</x:v>
      </x:c>
      <x:c r="R2205" s="22" t="str">
        <x:f>O2205&amp;P2205&amp;Q2205</x:f>
        <x:v>111</x:v>
      </x:c>
      <x:c r="S2205" s="19" t="n">
        <x:f>IF(I2205=1,IF(J2205=0,Q2205,IF(J2205=1,P2205,IF(J2205=2,O2205,0))),0)</x:f>
        <x:v>1</x:v>
      </x:c>
      <x:c r="T2205" s="19" t="n">
        <x:f>K2205+IF(AND(S2205=1,J2205=0),1,0)</x:f>
        <x:v>5</x:v>
      </x:c>
      <x:c r="U2205" s="19" t="n">
        <x:f>L2205+IF(AND(S2205=1,J2205=1),1,0)</x:f>
        <x:v>0</x:v>
      </x:c>
      <x:c r="V2205" s="19" t="n">
        <x:f>M2205+IF(AND(S2205=1,J2205=2),1,0)</x:f>
        <x:v>2</x:v>
      </x:c>
      <x:c r="W2205" s="19" t="n">
        <x:f>SUM(T2205:V2205)</x:f>
        <x:v>7</x:v>
      </x:c>
      <x:c r="X2205" s="19" t="n">
        <x:f>W2205-G2205</x:f>
        <x:v>0</x:v>
      </x:c>
      <x:c r="Y2205" s="19" t="n">
        <x:f>MAX(T2205,1)+MAX(U2205,1)+MAX(V2205,1)</x:f>
        <x:v>8</x:v>
      </x:c>
      <x:c r="Z2205" s="21" t="str">
        <x:f>IF(AND(MIN(D2205:F2205)&gt;=0,MAX(D2205:F2205)&lt;=7,MAX(D2205,1)+MAX(E2205,1)+MAX(F2205,1)&lt;=9,OR(H2205="-",AND(H2205=0,D2205&gt;0),AND(H2205=1,E2205&gt;0),AND(H2205=2,F2205&gt;0)),OR(I2205=0,AND(I2205=1,OR(J2205=0,J2205=1,J2205=2),R2205&lt;&gt;"000")),Y2205&lt;=9,MIN(T2205:V2205)&gt;=0),"合法","输入违约")</x:f>
        <x:v>合法</x:v>
      </x:c>
    </x:row>
    <x:row r="2206" ht="23" customHeight="1">
      <x:c r="A2206" s="3" t="str">
        <x:v>CT-2199</x:v>
      </x:c>
      <x:c r="B2206" s="3" t="str">
        <x:v>ST-116</x:v>
      </x:c>
      <x:c r="C2206" s="3" t="str">
        <x:v>仅R回收</x:v>
      </x:c>
      <x:c r="D2206" s="25" t="n">
        <x:v>5</x:v>
      </x:c>
      <x:c r="E2206" s="25" t="n">
        <x:v>1</x:v>
      </x:c>
      <x:c r="F2206" s="25" t="n">
        <x:v>1</x:v>
      </x:c>
      <x:c r="G2206" s="19" t="n">
        <x:f>SUM(D2206:F2206)</x:f>
        <x:v>7</x:v>
      </x:c>
      <x:c r="H2206" s="25" t="n">
        <x:v>2</x:v>
      </x:c>
      <x:c r="I2206" s="25" t="n">
        <x:v>0</x:v>
      </x:c>
      <x:c r="J2206" s="25" t="str">
        <x:v>-</x:v>
      </x:c>
      <x:c r="K2206" s="19" t="n">
        <x:f>D2206-IF(H2206=0,1,0)</x:f>
        <x:v>5</x:v>
      </x:c>
      <x:c r="L2206" s="19" t="n">
        <x:f>E2206-IF(H2206=1,1,0)</x:f>
        <x:v>1</x:v>
      </x:c>
      <x:c r="M2206" s="19" t="n">
        <x:f>F2206-IF(H2206=2,1,0)</x:f>
        <x:v>0</x:v>
      </x:c>
      <x:c r="N2206" s="19" t="n">
        <x:f>MAX(K2206-1,0)+MAX(L2206-1,0)+MAX(M2206-1,0)</x:f>
        <x:v>4</x:v>
      </x:c>
      <x:c r="O2206" s="19" t="n">
        <x:f>IF(AND(SUM(K2206:M2206)&lt;9,OR(M2206=0,N2206&lt;6)),1,0)</x:f>
        <x:v>1</x:v>
      </x:c>
      <x:c r="P2206" s="19" t="n">
        <x:f>IF(AND(SUM(K2206:M2206)&lt;9,OR(L2206=0,N2206&lt;6)),1,0)</x:f>
        <x:v>1</x:v>
      </x:c>
      <x:c r="Q2206" s="19" t="n">
        <x:f>IF(AND(SUM(K2206:M2206)&lt;9,OR(K2206=0,N2206&lt;6)),1,0)</x:f>
        <x:v>1</x:v>
      </x:c>
      <x:c r="R2206" s="22" t="str">
        <x:f>O2206&amp;P2206&amp;Q2206</x:f>
        <x:v>111</x:v>
      </x:c>
      <x:c r="S2206" s="19" t="n">
        <x:f>IF(I2206=1,IF(J2206=0,Q2206,IF(J2206=1,P2206,IF(J2206=2,O2206,0))),0)</x:f>
        <x:v>0</x:v>
      </x:c>
      <x:c r="T2206" s="19" t="n">
        <x:f>K2206+IF(AND(S2206=1,J2206=0),1,0)</x:f>
        <x:v>5</x:v>
      </x:c>
      <x:c r="U2206" s="19" t="n">
        <x:f>L2206+IF(AND(S2206=1,J2206=1),1,0)</x:f>
        <x:v>1</x:v>
      </x:c>
      <x:c r="V2206" s="19" t="n">
        <x:f>M2206+IF(AND(S2206=1,J2206=2),1,0)</x:f>
        <x:v>0</x:v>
      </x:c>
      <x:c r="W2206" s="19" t="n">
        <x:f>SUM(T2206:V2206)</x:f>
        <x:v>6</x:v>
      </x:c>
      <x:c r="X2206" s="19" t="n">
        <x:f>W2206-G2206</x:f>
        <x:v>-1</x:v>
      </x:c>
      <x:c r="Y2206" s="19" t="n">
        <x:f>MAX(T2206,1)+MAX(U2206,1)+MAX(V2206,1)</x:f>
        <x:v>7</x:v>
      </x:c>
      <x:c r="Z2206" s="21" t="str">
        <x:f>IF(AND(MIN(D2206:F2206)&gt;=0,MAX(D2206:F2206)&lt;=7,MAX(D2206,1)+MAX(E2206,1)+MAX(F2206,1)&lt;=9,OR(H2206="-",AND(H2206=0,D2206&gt;0),AND(H2206=1,E2206&gt;0),AND(H2206=2,F2206&gt;0)),OR(I2206=0,AND(I2206=1,OR(J2206=0,J2206=1,J2206=2),R2206&lt;&gt;"000")),Y2206&lt;=9,MIN(T2206:V2206)&gt;=0),"合法","输入违约")</x:f>
        <x:v>合法</x:v>
      </x:c>
    </x:row>
    <x:row r="2207" ht="23" customHeight="1">
      <x:c r="A2207" s="3" t="str">
        <x:v>CT-2200</x:v>
      </x:c>
      <x:c r="B2207" s="3" t="str">
        <x:v>ST-116</x:v>
      </x:c>
      <x:c r="C2207" s="3" t="str">
        <x:v>R+AR同收同发</x:v>
      </x:c>
      <x:c r="D2207" s="25" t="n">
        <x:v>5</x:v>
      </x:c>
      <x:c r="E2207" s="25" t="n">
        <x:v>1</x:v>
      </x:c>
      <x:c r="F2207" s="25" t="n">
        <x:v>1</x:v>
      </x:c>
      <x:c r="G2207" s="19" t="n">
        <x:f>SUM(D2207:F2207)</x:f>
        <x:v>7</x:v>
      </x:c>
      <x:c r="H2207" s="25" t="n">
        <x:v>2</x:v>
      </x:c>
      <x:c r="I2207" s="25" t="n">
        <x:v>1</x:v>
      </x:c>
      <x:c r="J2207" s="25" t="n">
        <x:v>0</x:v>
      </x:c>
      <x:c r="K2207" s="19" t="n">
        <x:f>D2207-IF(H2207=0,1,0)</x:f>
        <x:v>5</x:v>
      </x:c>
      <x:c r="L2207" s="19" t="n">
        <x:f>E2207-IF(H2207=1,1,0)</x:f>
        <x:v>1</x:v>
      </x:c>
      <x:c r="M2207" s="19" t="n">
        <x:f>F2207-IF(H2207=2,1,0)</x:f>
        <x:v>0</x:v>
      </x:c>
      <x:c r="N2207" s="19" t="n">
        <x:f>MAX(K2207-1,0)+MAX(L2207-1,0)+MAX(M2207-1,0)</x:f>
        <x:v>4</x:v>
      </x:c>
      <x:c r="O2207" s="19" t="n">
        <x:f>IF(AND(SUM(K2207:M2207)&lt;9,OR(M2207=0,N2207&lt;6)),1,0)</x:f>
        <x:v>1</x:v>
      </x:c>
      <x:c r="P2207" s="19" t="n">
        <x:f>IF(AND(SUM(K2207:M2207)&lt;9,OR(L2207=0,N2207&lt;6)),1,0)</x:f>
        <x:v>1</x:v>
      </x:c>
      <x:c r="Q2207" s="19" t="n">
        <x:f>IF(AND(SUM(K2207:M2207)&lt;9,OR(K2207=0,N2207&lt;6)),1,0)</x:f>
        <x:v>1</x:v>
      </x:c>
      <x:c r="R2207" s="22" t="str">
        <x:f>O2207&amp;P2207&amp;Q2207</x:f>
        <x:v>111</x:v>
      </x:c>
      <x:c r="S2207" s="19" t="n">
        <x:f>IF(I2207=1,IF(J2207=0,Q2207,IF(J2207=1,P2207,IF(J2207=2,O2207,0))),0)</x:f>
        <x:v>1</x:v>
      </x:c>
      <x:c r="T2207" s="19" t="n">
        <x:f>K2207+IF(AND(S2207=1,J2207=0),1,0)</x:f>
        <x:v>6</x:v>
      </x:c>
      <x:c r="U2207" s="19" t="n">
        <x:f>L2207+IF(AND(S2207=1,J2207=1),1,0)</x:f>
        <x:v>1</x:v>
      </x:c>
      <x:c r="V2207" s="19" t="n">
        <x:f>M2207+IF(AND(S2207=1,J2207=2),1,0)</x:f>
        <x:v>0</x:v>
      </x:c>
      <x:c r="W2207" s="19" t="n">
        <x:f>SUM(T2207:V2207)</x:f>
        <x:v>7</x:v>
      </x:c>
      <x:c r="X2207" s="19" t="n">
        <x:f>W2207-G2207</x:f>
        <x:v>0</x:v>
      </x:c>
      <x:c r="Y2207" s="19" t="n">
        <x:f>MAX(T2207,1)+MAX(U2207,1)+MAX(V2207,1)</x:f>
        <x:v>8</x:v>
      </x:c>
      <x:c r="Z2207" s="21" t="str">
        <x:f>IF(AND(MIN(D2207:F2207)&gt;=0,MAX(D2207:F2207)&lt;=7,MAX(D2207,1)+MAX(E2207,1)+MAX(F2207,1)&lt;=9,OR(H2207="-",AND(H2207=0,D2207&gt;0),AND(H2207=1,E2207&gt;0),AND(H2207=2,F2207&gt;0)),OR(I2207=0,AND(I2207=1,OR(J2207=0,J2207=1,J2207=2),R2207&lt;&gt;"000")),Y2207&lt;=9,MIN(T2207:V2207)&gt;=0),"合法","输入违约")</x:f>
        <x:v>合法</x:v>
      </x:c>
    </x:row>
    <x:row r="2208" ht="23" customHeight="1">
      <x:c r="A2208" s="3" t="str">
        <x:v>CT-2201</x:v>
      </x:c>
      <x:c r="B2208" s="3" t="str">
        <x:v>ST-116</x:v>
      </x:c>
      <x:c r="C2208" s="3" t="str">
        <x:v>R+AR同收同发</x:v>
      </x:c>
      <x:c r="D2208" s="25" t="n">
        <x:v>5</x:v>
      </x:c>
      <x:c r="E2208" s="25" t="n">
        <x:v>1</x:v>
      </x:c>
      <x:c r="F2208" s="25" t="n">
        <x:v>1</x:v>
      </x:c>
      <x:c r="G2208" s="19" t="n">
        <x:f>SUM(D2208:F2208)</x:f>
        <x:v>7</x:v>
      </x:c>
      <x:c r="H2208" s="25" t="n">
        <x:v>2</x:v>
      </x:c>
      <x:c r="I2208" s="25" t="n">
        <x:v>1</x:v>
      </x:c>
      <x:c r="J2208" s="25" t="n">
        <x:v>1</x:v>
      </x:c>
      <x:c r="K2208" s="19" t="n">
        <x:f>D2208-IF(H2208=0,1,0)</x:f>
        <x:v>5</x:v>
      </x:c>
      <x:c r="L2208" s="19" t="n">
        <x:f>E2208-IF(H2208=1,1,0)</x:f>
        <x:v>1</x:v>
      </x:c>
      <x:c r="M2208" s="19" t="n">
        <x:f>F2208-IF(H2208=2,1,0)</x:f>
        <x:v>0</x:v>
      </x:c>
      <x:c r="N2208" s="19" t="n">
        <x:f>MAX(K2208-1,0)+MAX(L2208-1,0)+MAX(M2208-1,0)</x:f>
        <x:v>4</x:v>
      </x:c>
      <x:c r="O2208" s="19" t="n">
        <x:f>IF(AND(SUM(K2208:M2208)&lt;9,OR(M2208=0,N2208&lt;6)),1,0)</x:f>
        <x:v>1</x:v>
      </x:c>
      <x:c r="P2208" s="19" t="n">
        <x:f>IF(AND(SUM(K2208:M2208)&lt;9,OR(L2208=0,N2208&lt;6)),1,0)</x:f>
        <x:v>1</x:v>
      </x:c>
      <x:c r="Q2208" s="19" t="n">
        <x:f>IF(AND(SUM(K2208:M2208)&lt;9,OR(K2208=0,N2208&lt;6)),1,0)</x:f>
        <x:v>1</x:v>
      </x:c>
      <x:c r="R2208" s="22" t="str">
        <x:f>O2208&amp;P2208&amp;Q2208</x:f>
        <x:v>111</x:v>
      </x:c>
      <x:c r="S2208" s="19" t="n">
        <x:f>IF(I2208=1,IF(J2208=0,Q2208,IF(J2208=1,P2208,IF(J2208=2,O2208,0))),0)</x:f>
        <x:v>1</x:v>
      </x:c>
      <x:c r="T2208" s="19" t="n">
        <x:f>K2208+IF(AND(S2208=1,J2208=0),1,0)</x:f>
        <x:v>5</x:v>
      </x:c>
      <x:c r="U2208" s="19" t="n">
        <x:f>L2208+IF(AND(S2208=1,J2208=1),1,0)</x:f>
        <x:v>2</x:v>
      </x:c>
      <x:c r="V2208" s="19" t="n">
        <x:f>M2208+IF(AND(S2208=1,J2208=2),1,0)</x:f>
        <x:v>0</x:v>
      </x:c>
      <x:c r="W2208" s="19" t="n">
        <x:f>SUM(T2208:V2208)</x:f>
        <x:v>7</x:v>
      </x:c>
      <x:c r="X2208" s="19" t="n">
        <x:f>W2208-G2208</x:f>
        <x:v>0</x:v>
      </x:c>
      <x:c r="Y2208" s="19" t="n">
        <x:f>MAX(T2208,1)+MAX(U2208,1)+MAX(V2208,1)</x:f>
        <x:v>8</x:v>
      </x:c>
      <x:c r="Z2208" s="21" t="str">
        <x:f>IF(AND(MIN(D2208:F2208)&gt;=0,MAX(D2208:F2208)&lt;=7,MAX(D2208,1)+MAX(E2208,1)+MAX(F2208,1)&lt;=9,OR(H2208="-",AND(H2208=0,D2208&gt;0),AND(H2208=1,E2208&gt;0),AND(H2208=2,F2208&gt;0)),OR(I2208=0,AND(I2208=1,OR(J2208=0,J2208=1,J2208=2),R2208&lt;&gt;"000")),Y2208&lt;=9,MIN(T2208:V2208)&gt;=0),"合法","输入违约")</x:f>
        <x:v>合法</x:v>
      </x:c>
    </x:row>
    <x:row r="2209" ht="23" customHeight="1">
      <x:c r="A2209" s="3" t="str">
        <x:v>CT-2202</x:v>
      </x:c>
      <x:c r="B2209" s="3" t="str">
        <x:v>ST-116</x:v>
      </x:c>
      <x:c r="C2209" s="3" t="str">
        <x:v>R+AR同收同发</x:v>
      </x:c>
      <x:c r="D2209" s="25" t="n">
        <x:v>5</x:v>
      </x:c>
      <x:c r="E2209" s="25" t="n">
        <x:v>1</x:v>
      </x:c>
      <x:c r="F2209" s="25" t="n">
        <x:v>1</x:v>
      </x:c>
      <x:c r="G2209" s="19" t="n">
        <x:f>SUM(D2209:F2209)</x:f>
        <x:v>7</x:v>
      </x:c>
      <x:c r="H2209" s="25" t="n">
        <x:v>2</x:v>
      </x:c>
      <x:c r="I2209" s="25" t="n">
        <x:v>1</x:v>
      </x:c>
      <x:c r="J2209" s="25" t="n">
        <x:v>2</x:v>
      </x:c>
      <x:c r="K2209" s="19" t="n">
        <x:f>D2209-IF(H2209=0,1,0)</x:f>
        <x:v>5</x:v>
      </x:c>
      <x:c r="L2209" s="19" t="n">
        <x:f>E2209-IF(H2209=1,1,0)</x:f>
        <x:v>1</x:v>
      </x:c>
      <x:c r="M2209" s="19" t="n">
        <x:f>F2209-IF(H2209=2,1,0)</x:f>
        <x:v>0</x:v>
      </x:c>
      <x:c r="N2209" s="19" t="n">
        <x:f>MAX(K2209-1,0)+MAX(L2209-1,0)+MAX(M2209-1,0)</x:f>
        <x:v>4</x:v>
      </x:c>
      <x:c r="O2209" s="19" t="n">
        <x:f>IF(AND(SUM(K2209:M2209)&lt;9,OR(M2209=0,N2209&lt;6)),1,0)</x:f>
        <x:v>1</x:v>
      </x:c>
      <x:c r="P2209" s="19" t="n">
        <x:f>IF(AND(SUM(K2209:M2209)&lt;9,OR(L2209=0,N2209&lt;6)),1,0)</x:f>
        <x:v>1</x:v>
      </x:c>
      <x:c r="Q2209" s="19" t="n">
        <x:f>IF(AND(SUM(K2209:M2209)&lt;9,OR(K2209=0,N2209&lt;6)),1,0)</x:f>
        <x:v>1</x:v>
      </x:c>
      <x:c r="R2209" s="22" t="str">
        <x:f>O2209&amp;P2209&amp;Q2209</x:f>
        <x:v>111</x:v>
      </x:c>
      <x:c r="S2209" s="19" t="n">
        <x:f>IF(I2209=1,IF(J2209=0,Q2209,IF(J2209=1,P2209,IF(J2209=2,O2209,0))),0)</x:f>
        <x:v>1</x:v>
      </x:c>
      <x:c r="T2209" s="19" t="n">
        <x:f>K2209+IF(AND(S2209=1,J2209=0),1,0)</x:f>
        <x:v>5</x:v>
      </x:c>
      <x:c r="U2209" s="19" t="n">
        <x:f>L2209+IF(AND(S2209=1,J2209=1),1,0)</x:f>
        <x:v>1</x:v>
      </x:c>
      <x:c r="V2209" s="19" t="n">
        <x:f>M2209+IF(AND(S2209=1,J2209=2),1,0)</x:f>
        <x:v>1</x:v>
      </x:c>
      <x:c r="W2209" s="19" t="n">
        <x:f>SUM(T2209:V2209)</x:f>
        <x:v>7</x:v>
      </x:c>
      <x:c r="X2209" s="19" t="n">
        <x:f>W2209-G2209</x:f>
        <x:v>0</x:v>
      </x:c>
      <x:c r="Y2209" s="19" t="n">
        <x:f>MAX(T2209,1)+MAX(U2209,1)+MAX(V2209,1)</x:f>
        <x:v>7</x:v>
      </x:c>
      <x:c r="Z2209" s="21" t="str">
        <x:f>IF(AND(MIN(D2209:F2209)&gt;=0,MAX(D2209:F2209)&lt;=7,MAX(D2209,1)+MAX(E2209,1)+MAX(F2209,1)&lt;=9,OR(H2209="-",AND(H2209=0,D2209&gt;0),AND(H2209=1,E2209&gt;0),AND(H2209=2,F2209&gt;0)),OR(I2209=0,AND(I2209=1,OR(J2209=0,J2209=1,J2209=2),R2209&lt;&gt;"000")),Y2209&lt;=9,MIN(T2209:V2209)&gt;=0),"合法","输入违约")</x:f>
        <x:v>合法</x:v>
      </x:c>
    </x:row>
    <x:row r="2210" ht="23" customHeight="1">
      <x:c r="A2210" s="3" t="str">
        <x:v>CT-2203</x:v>
      </x:c>
      <x:c r="B2210" s="3" t="str">
        <x:v>ST-155</x:v>
      </x:c>
      <x:c r="C2210" s="3" t="str">
        <x:v>无AR/R</x:v>
      </x:c>
      <x:c r="D2210" s="25" t="n">
        <x:v>5</x:v>
      </x:c>
      <x:c r="E2210" s="25" t="n">
        <x:v>1</x:v>
      </x:c>
      <x:c r="F2210" s="25" t="n">
        <x:v>2</x:v>
      </x:c>
      <x:c r="G2210" s="19" t="n">
        <x:f>SUM(D2210:F2210)</x:f>
        <x:v>8</x:v>
      </x:c>
      <x:c r="H2210" s="25" t="str">
        <x:v>-</x:v>
      </x:c>
      <x:c r="I2210" s="25" t="n">
        <x:v>0</x:v>
      </x:c>
      <x:c r="J2210" s="25" t="str">
        <x:v>-</x:v>
      </x:c>
      <x:c r="K2210" s="19" t="n">
        <x:f>D2210-IF(H2210=0,1,0)</x:f>
        <x:v>5</x:v>
      </x:c>
      <x:c r="L2210" s="19" t="n">
        <x:f>E2210-IF(H2210=1,1,0)</x:f>
        <x:v>1</x:v>
      </x:c>
      <x:c r="M2210" s="19" t="n">
        <x:f>F2210-IF(H2210=2,1,0)</x:f>
        <x:v>2</x:v>
      </x:c>
      <x:c r="N2210" s="19" t="n">
        <x:f>MAX(K2210-1,0)+MAX(L2210-1,0)+MAX(M2210-1,0)</x:f>
        <x:v>5</x:v>
      </x:c>
      <x:c r="O2210" s="19" t="n">
        <x:f>IF(AND(SUM(K2210:M2210)&lt;9,OR(M2210=0,N2210&lt;6)),1,0)</x:f>
        <x:v>1</x:v>
      </x:c>
      <x:c r="P2210" s="19" t="n">
        <x:f>IF(AND(SUM(K2210:M2210)&lt;9,OR(L2210=0,N2210&lt;6)),1,0)</x:f>
        <x:v>1</x:v>
      </x:c>
      <x:c r="Q2210" s="19" t="n">
        <x:f>IF(AND(SUM(K2210:M2210)&lt;9,OR(K2210=0,N2210&lt;6)),1,0)</x:f>
        <x:v>1</x:v>
      </x:c>
      <x:c r="R2210" s="22" t="str">
        <x:f>O2210&amp;P2210&amp;Q2210</x:f>
        <x:v>111</x:v>
      </x:c>
      <x:c r="S2210" s="19" t="n">
        <x:f>IF(I2210=1,IF(J2210=0,Q2210,IF(J2210=1,P2210,IF(J2210=2,O2210,0))),0)</x:f>
        <x:v>0</x:v>
      </x:c>
      <x:c r="T2210" s="19" t="n">
        <x:f>K2210+IF(AND(S2210=1,J2210=0),1,0)</x:f>
        <x:v>5</x:v>
      </x:c>
      <x:c r="U2210" s="19" t="n">
        <x:f>L2210+IF(AND(S2210=1,J2210=1),1,0)</x:f>
        <x:v>1</x:v>
      </x:c>
      <x:c r="V2210" s="19" t="n">
        <x:f>M2210+IF(AND(S2210=1,J2210=2),1,0)</x:f>
        <x:v>2</x:v>
      </x:c>
      <x:c r="W2210" s="19" t="n">
        <x:f>SUM(T2210:V2210)</x:f>
        <x:v>8</x:v>
      </x:c>
      <x:c r="X2210" s="19" t="n">
        <x:f>W2210-G2210</x:f>
        <x:v>0</x:v>
      </x:c>
      <x:c r="Y2210" s="19" t="n">
        <x:f>MAX(T2210,1)+MAX(U2210,1)+MAX(V2210,1)</x:f>
        <x:v>8</x:v>
      </x:c>
      <x:c r="Z2210" s="21" t="str">
        <x:f>IF(AND(MIN(D2210:F2210)&gt;=0,MAX(D2210:F2210)&lt;=7,MAX(D2210,1)+MAX(E2210,1)+MAX(F2210,1)&lt;=9,OR(H2210="-",AND(H2210=0,D2210&gt;0),AND(H2210=1,E2210&gt;0),AND(H2210=2,F2210&gt;0)),OR(I2210=0,AND(I2210=1,OR(J2210=0,J2210=1,J2210=2),R2210&lt;&gt;"000")),Y2210&lt;=9,MIN(T2210:V2210)&gt;=0),"合法","输入违约")</x:f>
        <x:v>合法</x:v>
      </x:c>
    </x:row>
    <x:row r="2211" ht="23" customHeight="1">
      <x:c r="A2211" s="3" t="str">
        <x:v>CT-2204</x:v>
      </x:c>
      <x:c r="B2211" s="3" t="str">
        <x:v>ST-155</x:v>
      </x:c>
      <x:c r="C2211" s="3" t="str">
        <x:v>仅AR接收</x:v>
      </x:c>
      <x:c r="D2211" s="25" t="n">
        <x:v>5</x:v>
      </x:c>
      <x:c r="E2211" s="25" t="n">
        <x:v>1</x:v>
      </x:c>
      <x:c r="F2211" s="25" t="n">
        <x:v>2</x:v>
      </x:c>
      <x:c r="G2211" s="19" t="n">
        <x:f>SUM(D2211:F2211)</x:f>
        <x:v>8</x:v>
      </x:c>
      <x:c r="H2211" s="25" t="str">
        <x:v>-</x:v>
      </x:c>
      <x:c r="I2211" s="25" t="n">
        <x:v>1</x:v>
      </x:c>
      <x:c r="J2211" s="25" t="n">
        <x:v>0</x:v>
      </x:c>
      <x:c r="K2211" s="19" t="n">
        <x:f>D2211-IF(H2211=0,1,0)</x:f>
        <x:v>5</x:v>
      </x:c>
      <x:c r="L2211" s="19" t="n">
        <x:f>E2211-IF(H2211=1,1,0)</x:f>
        <x:v>1</x:v>
      </x:c>
      <x:c r="M2211" s="19" t="n">
        <x:f>F2211-IF(H2211=2,1,0)</x:f>
        <x:v>2</x:v>
      </x:c>
      <x:c r="N2211" s="19" t="n">
        <x:f>MAX(K2211-1,0)+MAX(L2211-1,0)+MAX(M2211-1,0)</x:f>
        <x:v>5</x:v>
      </x:c>
      <x:c r="O2211" s="19" t="n">
        <x:f>IF(AND(SUM(K2211:M2211)&lt;9,OR(M2211=0,N2211&lt;6)),1,0)</x:f>
        <x:v>1</x:v>
      </x:c>
      <x:c r="P2211" s="19" t="n">
        <x:f>IF(AND(SUM(K2211:M2211)&lt;9,OR(L2211=0,N2211&lt;6)),1,0)</x:f>
        <x:v>1</x:v>
      </x:c>
      <x:c r="Q2211" s="19" t="n">
        <x:f>IF(AND(SUM(K2211:M2211)&lt;9,OR(K2211=0,N2211&lt;6)),1,0)</x:f>
        <x:v>1</x:v>
      </x:c>
      <x:c r="R2211" s="22" t="str">
        <x:f>O2211&amp;P2211&amp;Q2211</x:f>
        <x:v>111</x:v>
      </x:c>
      <x:c r="S2211" s="19" t="n">
        <x:f>IF(I2211=1,IF(J2211=0,Q2211,IF(J2211=1,P2211,IF(J2211=2,O2211,0))),0)</x:f>
        <x:v>1</x:v>
      </x:c>
      <x:c r="T2211" s="19" t="n">
        <x:f>K2211+IF(AND(S2211=1,J2211=0),1,0)</x:f>
        <x:v>6</x:v>
      </x:c>
      <x:c r="U2211" s="19" t="n">
        <x:f>L2211+IF(AND(S2211=1,J2211=1),1,0)</x:f>
        <x:v>1</x:v>
      </x:c>
      <x:c r="V2211" s="19" t="n">
        <x:f>M2211+IF(AND(S2211=1,J2211=2),1,0)</x:f>
        <x:v>2</x:v>
      </x:c>
      <x:c r="W2211" s="19" t="n">
        <x:f>SUM(T2211:V2211)</x:f>
        <x:v>9</x:v>
      </x:c>
      <x:c r="X2211" s="19" t="n">
        <x:f>W2211-G2211</x:f>
        <x:v>1</x:v>
      </x:c>
      <x:c r="Y2211" s="19" t="n">
        <x:f>MAX(T2211,1)+MAX(U2211,1)+MAX(V2211,1)</x:f>
        <x:v>9</x:v>
      </x:c>
      <x:c r="Z2211" s="21" t="str">
        <x:f>IF(AND(MIN(D2211:F2211)&gt;=0,MAX(D2211:F2211)&lt;=7,MAX(D2211,1)+MAX(E2211,1)+MAX(F2211,1)&lt;=9,OR(H2211="-",AND(H2211=0,D2211&gt;0),AND(H2211=1,E2211&gt;0),AND(H2211=2,F2211&gt;0)),OR(I2211=0,AND(I2211=1,OR(J2211=0,J2211=1,J2211=2),R2211&lt;&gt;"000")),Y2211&lt;=9,MIN(T2211:V2211)&gt;=0),"合法","输入违约")</x:f>
        <x:v>合法</x:v>
      </x:c>
    </x:row>
    <x:row r="2212" ht="23" customHeight="1">
      <x:c r="A2212" s="3" t="str">
        <x:v>CT-2205</x:v>
      </x:c>
      <x:c r="B2212" s="3" t="str">
        <x:v>ST-155</x:v>
      </x:c>
      <x:c r="C2212" s="3" t="str">
        <x:v>仅AR接收</x:v>
      </x:c>
      <x:c r="D2212" s="25" t="n">
        <x:v>5</x:v>
      </x:c>
      <x:c r="E2212" s="25" t="n">
        <x:v>1</x:v>
      </x:c>
      <x:c r="F2212" s="25" t="n">
        <x:v>2</x:v>
      </x:c>
      <x:c r="G2212" s="19" t="n">
        <x:f>SUM(D2212:F2212)</x:f>
        <x:v>8</x:v>
      </x:c>
      <x:c r="H2212" s="25" t="str">
        <x:v>-</x:v>
      </x:c>
      <x:c r="I2212" s="25" t="n">
        <x:v>1</x:v>
      </x:c>
      <x:c r="J2212" s="25" t="n">
        <x:v>1</x:v>
      </x:c>
      <x:c r="K2212" s="19" t="n">
        <x:f>D2212-IF(H2212=0,1,0)</x:f>
        <x:v>5</x:v>
      </x:c>
      <x:c r="L2212" s="19" t="n">
        <x:f>E2212-IF(H2212=1,1,0)</x:f>
        <x:v>1</x:v>
      </x:c>
      <x:c r="M2212" s="19" t="n">
        <x:f>F2212-IF(H2212=2,1,0)</x:f>
        <x:v>2</x:v>
      </x:c>
      <x:c r="N2212" s="19" t="n">
        <x:f>MAX(K2212-1,0)+MAX(L2212-1,0)+MAX(M2212-1,0)</x:f>
        <x:v>5</x:v>
      </x:c>
      <x:c r="O2212" s="19" t="n">
        <x:f>IF(AND(SUM(K2212:M2212)&lt;9,OR(M2212=0,N2212&lt;6)),1,0)</x:f>
        <x:v>1</x:v>
      </x:c>
      <x:c r="P2212" s="19" t="n">
        <x:f>IF(AND(SUM(K2212:M2212)&lt;9,OR(L2212=0,N2212&lt;6)),1,0)</x:f>
        <x:v>1</x:v>
      </x:c>
      <x:c r="Q2212" s="19" t="n">
        <x:f>IF(AND(SUM(K2212:M2212)&lt;9,OR(K2212=0,N2212&lt;6)),1,0)</x:f>
        <x:v>1</x:v>
      </x:c>
      <x:c r="R2212" s="22" t="str">
        <x:f>O2212&amp;P2212&amp;Q2212</x:f>
        <x:v>111</x:v>
      </x:c>
      <x:c r="S2212" s="19" t="n">
        <x:f>IF(I2212=1,IF(J2212=0,Q2212,IF(J2212=1,P2212,IF(J2212=2,O2212,0))),0)</x:f>
        <x:v>1</x:v>
      </x:c>
      <x:c r="T2212" s="19" t="n">
        <x:f>K2212+IF(AND(S2212=1,J2212=0),1,0)</x:f>
        <x:v>5</x:v>
      </x:c>
      <x:c r="U2212" s="19" t="n">
        <x:f>L2212+IF(AND(S2212=1,J2212=1),1,0)</x:f>
        <x:v>2</x:v>
      </x:c>
      <x:c r="V2212" s="19" t="n">
        <x:f>M2212+IF(AND(S2212=1,J2212=2),1,0)</x:f>
        <x:v>2</x:v>
      </x:c>
      <x:c r="W2212" s="19" t="n">
        <x:f>SUM(T2212:V2212)</x:f>
        <x:v>9</x:v>
      </x:c>
      <x:c r="X2212" s="19" t="n">
        <x:f>W2212-G2212</x:f>
        <x:v>1</x:v>
      </x:c>
      <x:c r="Y2212" s="19" t="n">
        <x:f>MAX(T2212,1)+MAX(U2212,1)+MAX(V2212,1)</x:f>
        <x:v>9</x:v>
      </x:c>
      <x:c r="Z2212" s="21" t="str">
        <x:f>IF(AND(MIN(D2212:F2212)&gt;=0,MAX(D2212:F2212)&lt;=7,MAX(D2212,1)+MAX(E2212,1)+MAX(F2212,1)&lt;=9,OR(H2212="-",AND(H2212=0,D2212&gt;0),AND(H2212=1,E2212&gt;0),AND(H2212=2,F2212&gt;0)),OR(I2212=0,AND(I2212=1,OR(J2212=0,J2212=1,J2212=2),R2212&lt;&gt;"000")),Y2212&lt;=9,MIN(T2212:V2212)&gt;=0),"合法","输入违约")</x:f>
        <x:v>合法</x:v>
      </x:c>
    </x:row>
    <x:row r="2213" ht="23" customHeight="1">
      <x:c r="A2213" s="3" t="str">
        <x:v>CT-2206</x:v>
      </x:c>
      <x:c r="B2213" s="3" t="str">
        <x:v>ST-155</x:v>
      </x:c>
      <x:c r="C2213" s="3" t="str">
        <x:v>仅AR接收</x:v>
      </x:c>
      <x:c r="D2213" s="25" t="n">
        <x:v>5</x:v>
      </x:c>
      <x:c r="E2213" s="25" t="n">
        <x:v>1</x:v>
      </x:c>
      <x:c r="F2213" s="25" t="n">
        <x:v>2</x:v>
      </x:c>
      <x:c r="G2213" s="19" t="n">
        <x:f>SUM(D2213:F2213)</x:f>
        <x:v>8</x:v>
      </x:c>
      <x:c r="H2213" s="25" t="str">
        <x:v>-</x:v>
      </x:c>
      <x:c r="I2213" s="25" t="n">
        <x:v>1</x:v>
      </x:c>
      <x:c r="J2213" s="25" t="n">
        <x:v>2</x:v>
      </x:c>
      <x:c r="K2213" s="19" t="n">
        <x:f>D2213-IF(H2213=0,1,0)</x:f>
        <x:v>5</x:v>
      </x:c>
      <x:c r="L2213" s="19" t="n">
        <x:f>E2213-IF(H2213=1,1,0)</x:f>
        <x:v>1</x:v>
      </x:c>
      <x:c r="M2213" s="19" t="n">
        <x:f>F2213-IF(H2213=2,1,0)</x:f>
        <x:v>2</x:v>
      </x:c>
      <x:c r="N2213" s="19" t="n">
        <x:f>MAX(K2213-1,0)+MAX(L2213-1,0)+MAX(M2213-1,0)</x:f>
        <x:v>5</x:v>
      </x:c>
      <x:c r="O2213" s="19" t="n">
        <x:f>IF(AND(SUM(K2213:M2213)&lt;9,OR(M2213=0,N2213&lt;6)),1,0)</x:f>
        <x:v>1</x:v>
      </x:c>
      <x:c r="P2213" s="19" t="n">
        <x:f>IF(AND(SUM(K2213:M2213)&lt;9,OR(L2213=0,N2213&lt;6)),1,0)</x:f>
        <x:v>1</x:v>
      </x:c>
      <x:c r="Q2213" s="19" t="n">
        <x:f>IF(AND(SUM(K2213:M2213)&lt;9,OR(K2213=0,N2213&lt;6)),1,0)</x:f>
        <x:v>1</x:v>
      </x:c>
      <x:c r="R2213" s="22" t="str">
        <x:f>O2213&amp;P2213&amp;Q2213</x:f>
        <x:v>111</x:v>
      </x:c>
      <x:c r="S2213" s="19" t="n">
        <x:f>IF(I2213=1,IF(J2213=0,Q2213,IF(J2213=1,P2213,IF(J2213=2,O2213,0))),0)</x:f>
        <x:v>1</x:v>
      </x:c>
      <x:c r="T2213" s="19" t="n">
        <x:f>K2213+IF(AND(S2213=1,J2213=0),1,0)</x:f>
        <x:v>5</x:v>
      </x:c>
      <x:c r="U2213" s="19" t="n">
        <x:f>L2213+IF(AND(S2213=1,J2213=1),1,0)</x:f>
        <x:v>1</x:v>
      </x:c>
      <x:c r="V2213" s="19" t="n">
        <x:f>M2213+IF(AND(S2213=1,J2213=2),1,0)</x:f>
        <x:v>3</x:v>
      </x:c>
      <x:c r="W2213" s="19" t="n">
        <x:f>SUM(T2213:V2213)</x:f>
        <x:v>9</x:v>
      </x:c>
      <x:c r="X2213" s="19" t="n">
        <x:f>W2213-G2213</x:f>
        <x:v>1</x:v>
      </x:c>
      <x:c r="Y2213" s="19" t="n">
        <x:f>MAX(T2213,1)+MAX(U2213,1)+MAX(V2213,1)</x:f>
        <x:v>9</x:v>
      </x:c>
      <x:c r="Z2213" s="21" t="str">
        <x:f>IF(AND(MIN(D2213:F2213)&gt;=0,MAX(D2213:F2213)&lt;=7,MAX(D2213,1)+MAX(E2213,1)+MAX(F2213,1)&lt;=9,OR(H2213="-",AND(H2213=0,D2213&gt;0),AND(H2213=1,E2213&gt;0),AND(H2213=2,F2213&gt;0)),OR(I2213=0,AND(I2213=1,OR(J2213=0,J2213=1,J2213=2),R2213&lt;&gt;"000")),Y2213&lt;=9,MIN(T2213:V2213)&gt;=0),"合法","输入违约")</x:f>
        <x:v>合法</x:v>
      </x:c>
    </x:row>
    <x:row r="2214" ht="23" customHeight="1">
      <x:c r="A2214" s="3" t="str">
        <x:v>CT-2207</x:v>
      </x:c>
      <x:c r="B2214" s="3" t="str">
        <x:v>ST-155</x:v>
      </x:c>
      <x:c r="C2214" s="3" t="str">
        <x:v>仅R回收</x:v>
      </x:c>
      <x:c r="D2214" s="25" t="n">
        <x:v>5</x:v>
      </x:c>
      <x:c r="E2214" s="25" t="n">
        <x:v>1</x:v>
      </x:c>
      <x:c r="F2214" s="25" t="n">
        <x:v>2</x:v>
      </x:c>
      <x:c r="G2214" s="19" t="n">
        <x:f>SUM(D2214:F2214)</x:f>
        <x:v>8</x:v>
      </x:c>
      <x:c r="H2214" s="25" t="n">
        <x:v>0</x:v>
      </x:c>
      <x:c r="I2214" s="25" t="n">
        <x:v>0</x:v>
      </x:c>
      <x:c r="J2214" s="25" t="str">
        <x:v>-</x:v>
      </x:c>
      <x:c r="K2214" s="19" t="n">
        <x:f>D2214-IF(H2214=0,1,0)</x:f>
        <x:v>4</x:v>
      </x:c>
      <x:c r="L2214" s="19" t="n">
        <x:f>E2214-IF(H2214=1,1,0)</x:f>
        <x:v>1</x:v>
      </x:c>
      <x:c r="M2214" s="19" t="n">
        <x:f>F2214-IF(H2214=2,1,0)</x:f>
        <x:v>2</x:v>
      </x:c>
      <x:c r="N2214" s="19" t="n">
        <x:f>MAX(K2214-1,0)+MAX(L2214-1,0)+MAX(M2214-1,0)</x:f>
        <x:v>4</x:v>
      </x:c>
      <x:c r="O2214" s="19" t="n">
        <x:f>IF(AND(SUM(K2214:M2214)&lt;9,OR(M2214=0,N2214&lt;6)),1,0)</x:f>
        <x:v>1</x:v>
      </x:c>
      <x:c r="P2214" s="19" t="n">
        <x:f>IF(AND(SUM(K2214:M2214)&lt;9,OR(L2214=0,N2214&lt;6)),1,0)</x:f>
        <x:v>1</x:v>
      </x:c>
      <x:c r="Q2214" s="19" t="n">
        <x:f>IF(AND(SUM(K2214:M2214)&lt;9,OR(K2214=0,N2214&lt;6)),1,0)</x:f>
        <x:v>1</x:v>
      </x:c>
      <x:c r="R2214" s="22" t="str">
        <x:f>O2214&amp;P2214&amp;Q2214</x:f>
        <x:v>111</x:v>
      </x:c>
      <x:c r="S2214" s="19" t="n">
        <x:f>IF(I2214=1,IF(J2214=0,Q2214,IF(J2214=1,P2214,IF(J2214=2,O2214,0))),0)</x:f>
        <x:v>0</x:v>
      </x:c>
      <x:c r="T2214" s="19" t="n">
        <x:f>K2214+IF(AND(S2214=1,J2214=0),1,0)</x:f>
        <x:v>4</x:v>
      </x:c>
      <x:c r="U2214" s="19" t="n">
        <x:f>L2214+IF(AND(S2214=1,J2214=1),1,0)</x:f>
        <x:v>1</x:v>
      </x:c>
      <x:c r="V2214" s="19" t="n">
        <x:f>M2214+IF(AND(S2214=1,J2214=2),1,0)</x:f>
        <x:v>2</x:v>
      </x:c>
      <x:c r="W2214" s="19" t="n">
        <x:f>SUM(T2214:V2214)</x:f>
        <x:v>7</x:v>
      </x:c>
      <x:c r="X2214" s="19" t="n">
        <x:f>W2214-G2214</x:f>
        <x:v>-1</x:v>
      </x:c>
      <x:c r="Y2214" s="19" t="n">
        <x:f>MAX(T2214,1)+MAX(U2214,1)+MAX(V2214,1)</x:f>
        <x:v>7</x:v>
      </x:c>
      <x:c r="Z2214" s="21" t="str">
        <x:f>IF(AND(MIN(D2214:F2214)&gt;=0,MAX(D2214:F2214)&lt;=7,MAX(D2214,1)+MAX(E2214,1)+MAX(F2214,1)&lt;=9,OR(H2214="-",AND(H2214=0,D2214&gt;0),AND(H2214=1,E2214&gt;0),AND(H2214=2,F2214&gt;0)),OR(I2214=0,AND(I2214=1,OR(J2214=0,J2214=1,J2214=2),R2214&lt;&gt;"000")),Y2214&lt;=9,MIN(T2214:V2214)&gt;=0),"合法","输入违约")</x:f>
        <x:v>合法</x:v>
      </x:c>
    </x:row>
    <x:row r="2215" ht="23" customHeight="1">
      <x:c r="A2215" s="3" t="str">
        <x:v>CT-2208</x:v>
      </x:c>
      <x:c r="B2215" s="3" t="str">
        <x:v>ST-155</x:v>
      </x:c>
      <x:c r="C2215" s="3" t="str">
        <x:v>R+AR同收同发</x:v>
      </x:c>
      <x:c r="D2215" s="25" t="n">
        <x:v>5</x:v>
      </x:c>
      <x:c r="E2215" s="25" t="n">
        <x:v>1</x:v>
      </x:c>
      <x:c r="F2215" s="25" t="n">
        <x:v>2</x:v>
      </x:c>
      <x:c r="G2215" s="19" t="n">
        <x:f>SUM(D2215:F2215)</x:f>
        <x:v>8</x:v>
      </x:c>
      <x:c r="H2215" s="25" t="n">
        <x:v>0</x:v>
      </x:c>
      <x:c r="I2215" s="25" t="n">
        <x:v>1</x:v>
      </x:c>
      <x:c r="J2215" s="25" t="n">
        <x:v>0</x:v>
      </x:c>
      <x:c r="K2215" s="19" t="n">
        <x:f>D2215-IF(H2215=0,1,0)</x:f>
        <x:v>4</x:v>
      </x:c>
      <x:c r="L2215" s="19" t="n">
        <x:f>E2215-IF(H2215=1,1,0)</x:f>
        <x:v>1</x:v>
      </x:c>
      <x:c r="M2215" s="19" t="n">
        <x:f>F2215-IF(H2215=2,1,0)</x:f>
        <x:v>2</x:v>
      </x:c>
      <x:c r="N2215" s="19" t="n">
        <x:f>MAX(K2215-1,0)+MAX(L2215-1,0)+MAX(M2215-1,0)</x:f>
        <x:v>4</x:v>
      </x:c>
      <x:c r="O2215" s="19" t="n">
        <x:f>IF(AND(SUM(K2215:M2215)&lt;9,OR(M2215=0,N2215&lt;6)),1,0)</x:f>
        <x:v>1</x:v>
      </x:c>
      <x:c r="P2215" s="19" t="n">
        <x:f>IF(AND(SUM(K2215:M2215)&lt;9,OR(L2215=0,N2215&lt;6)),1,0)</x:f>
        <x:v>1</x:v>
      </x:c>
      <x:c r="Q2215" s="19" t="n">
        <x:f>IF(AND(SUM(K2215:M2215)&lt;9,OR(K2215=0,N2215&lt;6)),1,0)</x:f>
        <x:v>1</x:v>
      </x:c>
      <x:c r="R2215" s="22" t="str">
        <x:f>O2215&amp;P2215&amp;Q2215</x:f>
        <x:v>111</x:v>
      </x:c>
      <x:c r="S2215" s="19" t="n">
        <x:f>IF(I2215=1,IF(J2215=0,Q2215,IF(J2215=1,P2215,IF(J2215=2,O2215,0))),0)</x:f>
        <x:v>1</x:v>
      </x:c>
      <x:c r="T2215" s="19" t="n">
        <x:f>K2215+IF(AND(S2215=1,J2215=0),1,0)</x:f>
        <x:v>5</x:v>
      </x:c>
      <x:c r="U2215" s="19" t="n">
        <x:f>L2215+IF(AND(S2215=1,J2215=1),1,0)</x:f>
        <x:v>1</x:v>
      </x:c>
      <x:c r="V2215" s="19" t="n">
        <x:f>M2215+IF(AND(S2215=1,J2215=2),1,0)</x:f>
        <x:v>2</x:v>
      </x:c>
      <x:c r="W2215" s="19" t="n">
        <x:f>SUM(T2215:V2215)</x:f>
        <x:v>8</x:v>
      </x:c>
      <x:c r="X2215" s="19" t="n">
        <x:f>W2215-G2215</x:f>
        <x:v>0</x:v>
      </x:c>
      <x:c r="Y2215" s="19" t="n">
        <x:f>MAX(T2215,1)+MAX(U2215,1)+MAX(V2215,1)</x:f>
        <x:v>8</x:v>
      </x:c>
      <x:c r="Z2215" s="21" t="str">
        <x:f>IF(AND(MIN(D2215:F2215)&gt;=0,MAX(D2215:F2215)&lt;=7,MAX(D2215,1)+MAX(E2215,1)+MAX(F2215,1)&lt;=9,OR(H2215="-",AND(H2215=0,D2215&gt;0),AND(H2215=1,E2215&gt;0),AND(H2215=2,F2215&gt;0)),OR(I2215=0,AND(I2215=1,OR(J2215=0,J2215=1,J2215=2),R2215&lt;&gt;"000")),Y2215&lt;=9,MIN(T2215:V2215)&gt;=0),"合法","输入违约")</x:f>
        <x:v>合法</x:v>
      </x:c>
    </x:row>
    <x:row r="2216" ht="23" customHeight="1">
      <x:c r="A2216" s="3" t="str">
        <x:v>CT-2209</x:v>
      </x:c>
      <x:c r="B2216" s="3" t="str">
        <x:v>ST-155</x:v>
      </x:c>
      <x:c r="C2216" s="3" t="str">
        <x:v>R+AR同收同发</x:v>
      </x:c>
      <x:c r="D2216" s="25" t="n">
        <x:v>5</x:v>
      </x:c>
      <x:c r="E2216" s="25" t="n">
        <x:v>1</x:v>
      </x:c>
      <x:c r="F2216" s="25" t="n">
        <x:v>2</x:v>
      </x:c>
      <x:c r="G2216" s="19" t="n">
        <x:f>SUM(D2216:F2216)</x:f>
        <x:v>8</x:v>
      </x:c>
      <x:c r="H2216" s="25" t="n">
        <x:v>0</x:v>
      </x:c>
      <x:c r="I2216" s="25" t="n">
        <x:v>1</x:v>
      </x:c>
      <x:c r="J2216" s="25" t="n">
        <x:v>1</x:v>
      </x:c>
      <x:c r="K2216" s="19" t="n">
        <x:f>D2216-IF(H2216=0,1,0)</x:f>
        <x:v>4</x:v>
      </x:c>
      <x:c r="L2216" s="19" t="n">
        <x:f>E2216-IF(H2216=1,1,0)</x:f>
        <x:v>1</x:v>
      </x:c>
      <x:c r="M2216" s="19" t="n">
        <x:f>F2216-IF(H2216=2,1,0)</x:f>
        <x:v>2</x:v>
      </x:c>
      <x:c r="N2216" s="19" t="n">
        <x:f>MAX(K2216-1,0)+MAX(L2216-1,0)+MAX(M2216-1,0)</x:f>
        <x:v>4</x:v>
      </x:c>
      <x:c r="O2216" s="19" t="n">
        <x:f>IF(AND(SUM(K2216:M2216)&lt;9,OR(M2216=0,N2216&lt;6)),1,0)</x:f>
        <x:v>1</x:v>
      </x:c>
      <x:c r="P2216" s="19" t="n">
        <x:f>IF(AND(SUM(K2216:M2216)&lt;9,OR(L2216=0,N2216&lt;6)),1,0)</x:f>
        <x:v>1</x:v>
      </x:c>
      <x:c r="Q2216" s="19" t="n">
        <x:f>IF(AND(SUM(K2216:M2216)&lt;9,OR(K2216=0,N2216&lt;6)),1,0)</x:f>
        <x:v>1</x:v>
      </x:c>
      <x:c r="R2216" s="22" t="str">
        <x:f>O2216&amp;P2216&amp;Q2216</x:f>
        <x:v>111</x:v>
      </x:c>
      <x:c r="S2216" s="19" t="n">
        <x:f>IF(I2216=1,IF(J2216=0,Q2216,IF(J2216=1,P2216,IF(J2216=2,O2216,0))),0)</x:f>
        <x:v>1</x:v>
      </x:c>
      <x:c r="T2216" s="19" t="n">
        <x:f>K2216+IF(AND(S2216=1,J2216=0),1,0)</x:f>
        <x:v>4</x:v>
      </x:c>
      <x:c r="U2216" s="19" t="n">
        <x:f>L2216+IF(AND(S2216=1,J2216=1),1,0)</x:f>
        <x:v>2</x:v>
      </x:c>
      <x:c r="V2216" s="19" t="n">
        <x:f>M2216+IF(AND(S2216=1,J2216=2),1,0)</x:f>
        <x:v>2</x:v>
      </x:c>
      <x:c r="W2216" s="19" t="n">
        <x:f>SUM(T2216:V2216)</x:f>
        <x:v>8</x:v>
      </x:c>
      <x:c r="X2216" s="19" t="n">
        <x:f>W2216-G2216</x:f>
        <x:v>0</x:v>
      </x:c>
      <x:c r="Y2216" s="19" t="n">
        <x:f>MAX(T2216,1)+MAX(U2216,1)+MAX(V2216,1)</x:f>
        <x:v>8</x:v>
      </x:c>
      <x:c r="Z2216" s="21" t="str">
        <x:f>IF(AND(MIN(D2216:F2216)&gt;=0,MAX(D2216:F2216)&lt;=7,MAX(D2216,1)+MAX(E2216,1)+MAX(F2216,1)&lt;=9,OR(H2216="-",AND(H2216=0,D2216&gt;0),AND(H2216=1,E2216&gt;0),AND(H2216=2,F2216&gt;0)),OR(I2216=0,AND(I2216=1,OR(J2216=0,J2216=1,J2216=2),R2216&lt;&gt;"000")),Y2216&lt;=9,MIN(T2216:V2216)&gt;=0),"合法","输入违约")</x:f>
        <x:v>合法</x:v>
      </x:c>
    </x:row>
    <x:row r="2217" ht="23" customHeight="1">
      <x:c r="A2217" s="3" t="str">
        <x:v>CT-2210</x:v>
      </x:c>
      <x:c r="B2217" s="3" t="str">
        <x:v>ST-155</x:v>
      </x:c>
      <x:c r="C2217" s="3" t="str">
        <x:v>R+AR同收同发</x:v>
      </x:c>
      <x:c r="D2217" s="25" t="n">
        <x:v>5</x:v>
      </x:c>
      <x:c r="E2217" s="25" t="n">
        <x:v>1</x:v>
      </x:c>
      <x:c r="F2217" s="25" t="n">
        <x:v>2</x:v>
      </x:c>
      <x:c r="G2217" s="19" t="n">
        <x:f>SUM(D2217:F2217)</x:f>
        <x:v>8</x:v>
      </x:c>
      <x:c r="H2217" s="25" t="n">
        <x:v>0</x:v>
      </x:c>
      <x:c r="I2217" s="25" t="n">
        <x:v>1</x:v>
      </x:c>
      <x:c r="J2217" s="25" t="n">
        <x:v>2</x:v>
      </x:c>
      <x:c r="K2217" s="19" t="n">
        <x:f>D2217-IF(H2217=0,1,0)</x:f>
        <x:v>4</x:v>
      </x:c>
      <x:c r="L2217" s="19" t="n">
        <x:f>E2217-IF(H2217=1,1,0)</x:f>
        <x:v>1</x:v>
      </x:c>
      <x:c r="M2217" s="19" t="n">
        <x:f>F2217-IF(H2217=2,1,0)</x:f>
        <x:v>2</x:v>
      </x:c>
      <x:c r="N2217" s="19" t="n">
        <x:f>MAX(K2217-1,0)+MAX(L2217-1,0)+MAX(M2217-1,0)</x:f>
        <x:v>4</x:v>
      </x:c>
      <x:c r="O2217" s="19" t="n">
        <x:f>IF(AND(SUM(K2217:M2217)&lt;9,OR(M2217=0,N2217&lt;6)),1,0)</x:f>
        <x:v>1</x:v>
      </x:c>
      <x:c r="P2217" s="19" t="n">
        <x:f>IF(AND(SUM(K2217:M2217)&lt;9,OR(L2217=0,N2217&lt;6)),1,0)</x:f>
        <x:v>1</x:v>
      </x:c>
      <x:c r="Q2217" s="19" t="n">
        <x:f>IF(AND(SUM(K2217:M2217)&lt;9,OR(K2217=0,N2217&lt;6)),1,0)</x:f>
        <x:v>1</x:v>
      </x:c>
      <x:c r="R2217" s="22" t="str">
        <x:f>O2217&amp;P2217&amp;Q2217</x:f>
        <x:v>111</x:v>
      </x:c>
      <x:c r="S2217" s="19" t="n">
        <x:f>IF(I2217=1,IF(J2217=0,Q2217,IF(J2217=1,P2217,IF(J2217=2,O2217,0))),0)</x:f>
        <x:v>1</x:v>
      </x:c>
      <x:c r="T2217" s="19" t="n">
        <x:f>K2217+IF(AND(S2217=1,J2217=0),1,0)</x:f>
        <x:v>4</x:v>
      </x:c>
      <x:c r="U2217" s="19" t="n">
        <x:f>L2217+IF(AND(S2217=1,J2217=1),1,0)</x:f>
        <x:v>1</x:v>
      </x:c>
      <x:c r="V2217" s="19" t="n">
        <x:f>M2217+IF(AND(S2217=1,J2217=2),1,0)</x:f>
        <x:v>3</x:v>
      </x:c>
      <x:c r="W2217" s="19" t="n">
        <x:f>SUM(T2217:V2217)</x:f>
        <x:v>8</x:v>
      </x:c>
      <x:c r="X2217" s="19" t="n">
        <x:f>W2217-G2217</x:f>
        <x:v>0</x:v>
      </x:c>
      <x:c r="Y2217" s="19" t="n">
        <x:f>MAX(T2217,1)+MAX(U2217,1)+MAX(V2217,1)</x:f>
        <x:v>8</x:v>
      </x:c>
      <x:c r="Z2217" s="21" t="str">
        <x:f>IF(AND(MIN(D2217:F2217)&gt;=0,MAX(D2217:F2217)&lt;=7,MAX(D2217,1)+MAX(E2217,1)+MAX(F2217,1)&lt;=9,OR(H2217="-",AND(H2217=0,D2217&gt;0),AND(H2217=1,E2217&gt;0),AND(H2217=2,F2217&gt;0)),OR(I2217=0,AND(I2217=1,OR(J2217=0,J2217=1,J2217=2),R2217&lt;&gt;"000")),Y2217&lt;=9,MIN(T2217:V2217)&gt;=0),"合法","输入违约")</x:f>
        <x:v>合法</x:v>
      </x:c>
    </x:row>
    <x:row r="2218" ht="23" customHeight="1">
      <x:c r="A2218" s="3" t="str">
        <x:v>CT-2211</x:v>
      </x:c>
      <x:c r="B2218" s="3" t="str">
        <x:v>ST-155</x:v>
      </x:c>
      <x:c r="C2218" s="3" t="str">
        <x:v>仅R回收</x:v>
      </x:c>
      <x:c r="D2218" s="25" t="n">
        <x:v>5</x:v>
      </x:c>
      <x:c r="E2218" s="25" t="n">
        <x:v>1</x:v>
      </x:c>
      <x:c r="F2218" s="25" t="n">
        <x:v>2</x:v>
      </x:c>
      <x:c r="G2218" s="19" t="n">
        <x:f>SUM(D2218:F2218)</x:f>
        <x:v>8</x:v>
      </x:c>
      <x:c r="H2218" s="25" t="n">
        <x:v>1</x:v>
      </x:c>
      <x:c r="I2218" s="25" t="n">
        <x:v>0</x:v>
      </x:c>
      <x:c r="J2218" s="25" t="str">
        <x:v>-</x:v>
      </x:c>
      <x:c r="K2218" s="19" t="n">
        <x:f>D2218-IF(H2218=0,1,0)</x:f>
        <x:v>5</x:v>
      </x:c>
      <x:c r="L2218" s="19" t="n">
        <x:f>E2218-IF(H2218=1,1,0)</x:f>
        <x:v>0</x:v>
      </x:c>
      <x:c r="M2218" s="19" t="n">
        <x:f>F2218-IF(H2218=2,1,0)</x:f>
        <x:v>2</x:v>
      </x:c>
      <x:c r="N2218" s="19" t="n">
        <x:f>MAX(K2218-1,0)+MAX(L2218-1,0)+MAX(M2218-1,0)</x:f>
        <x:v>5</x:v>
      </x:c>
      <x:c r="O2218" s="19" t="n">
        <x:f>IF(AND(SUM(K2218:M2218)&lt;9,OR(M2218=0,N2218&lt;6)),1,0)</x:f>
        <x:v>1</x:v>
      </x:c>
      <x:c r="P2218" s="19" t="n">
        <x:f>IF(AND(SUM(K2218:M2218)&lt;9,OR(L2218=0,N2218&lt;6)),1,0)</x:f>
        <x:v>1</x:v>
      </x:c>
      <x:c r="Q2218" s="19" t="n">
        <x:f>IF(AND(SUM(K2218:M2218)&lt;9,OR(K2218=0,N2218&lt;6)),1,0)</x:f>
        <x:v>1</x:v>
      </x:c>
      <x:c r="R2218" s="22" t="str">
        <x:f>O2218&amp;P2218&amp;Q2218</x:f>
        <x:v>111</x:v>
      </x:c>
      <x:c r="S2218" s="19" t="n">
        <x:f>IF(I2218=1,IF(J2218=0,Q2218,IF(J2218=1,P2218,IF(J2218=2,O2218,0))),0)</x:f>
        <x:v>0</x:v>
      </x:c>
      <x:c r="T2218" s="19" t="n">
        <x:f>K2218+IF(AND(S2218=1,J2218=0),1,0)</x:f>
        <x:v>5</x:v>
      </x:c>
      <x:c r="U2218" s="19" t="n">
        <x:f>L2218+IF(AND(S2218=1,J2218=1),1,0)</x:f>
        <x:v>0</x:v>
      </x:c>
      <x:c r="V2218" s="19" t="n">
        <x:f>M2218+IF(AND(S2218=1,J2218=2),1,0)</x:f>
        <x:v>2</x:v>
      </x:c>
      <x:c r="W2218" s="19" t="n">
        <x:f>SUM(T2218:V2218)</x:f>
        <x:v>7</x:v>
      </x:c>
      <x:c r="X2218" s="19" t="n">
        <x:f>W2218-G2218</x:f>
        <x:v>-1</x:v>
      </x:c>
      <x:c r="Y2218" s="19" t="n">
        <x:f>MAX(T2218,1)+MAX(U2218,1)+MAX(V2218,1)</x:f>
        <x:v>8</x:v>
      </x:c>
      <x:c r="Z2218" s="21" t="str">
        <x:f>IF(AND(MIN(D2218:F2218)&gt;=0,MAX(D2218:F2218)&lt;=7,MAX(D2218,1)+MAX(E2218,1)+MAX(F2218,1)&lt;=9,OR(H2218="-",AND(H2218=0,D2218&gt;0),AND(H2218=1,E2218&gt;0),AND(H2218=2,F2218&gt;0)),OR(I2218=0,AND(I2218=1,OR(J2218=0,J2218=1,J2218=2),R2218&lt;&gt;"000")),Y2218&lt;=9,MIN(T2218:V2218)&gt;=0),"合法","输入违约")</x:f>
        <x:v>合法</x:v>
      </x:c>
    </x:row>
    <x:row r="2219" ht="23" customHeight="1">
      <x:c r="A2219" s="3" t="str">
        <x:v>CT-2212</x:v>
      </x:c>
      <x:c r="B2219" s="3" t="str">
        <x:v>ST-155</x:v>
      </x:c>
      <x:c r="C2219" s="3" t="str">
        <x:v>R+AR同收同发</x:v>
      </x:c>
      <x:c r="D2219" s="25" t="n">
        <x:v>5</x:v>
      </x:c>
      <x:c r="E2219" s="25" t="n">
        <x:v>1</x:v>
      </x:c>
      <x:c r="F2219" s="25" t="n">
        <x:v>2</x:v>
      </x:c>
      <x:c r="G2219" s="19" t="n">
        <x:f>SUM(D2219:F2219)</x:f>
        <x:v>8</x:v>
      </x:c>
      <x:c r="H2219" s="25" t="n">
        <x:v>1</x:v>
      </x:c>
      <x:c r="I2219" s="25" t="n">
        <x:v>1</x:v>
      </x:c>
      <x:c r="J2219" s="25" t="n">
        <x:v>0</x:v>
      </x:c>
      <x:c r="K2219" s="19" t="n">
        <x:f>D2219-IF(H2219=0,1,0)</x:f>
        <x:v>5</x:v>
      </x:c>
      <x:c r="L2219" s="19" t="n">
        <x:f>E2219-IF(H2219=1,1,0)</x:f>
        <x:v>0</x:v>
      </x:c>
      <x:c r="M2219" s="19" t="n">
        <x:f>F2219-IF(H2219=2,1,0)</x:f>
        <x:v>2</x:v>
      </x:c>
      <x:c r="N2219" s="19" t="n">
        <x:f>MAX(K2219-1,0)+MAX(L2219-1,0)+MAX(M2219-1,0)</x:f>
        <x:v>5</x:v>
      </x:c>
      <x:c r="O2219" s="19" t="n">
        <x:f>IF(AND(SUM(K2219:M2219)&lt;9,OR(M2219=0,N2219&lt;6)),1,0)</x:f>
        <x:v>1</x:v>
      </x:c>
      <x:c r="P2219" s="19" t="n">
        <x:f>IF(AND(SUM(K2219:M2219)&lt;9,OR(L2219=0,N2219&lt;6)),1,0)</x:f>
        <x:v>1</x:v>
      </x:c>
      <x:c r="Q2219" s="19" t="n">
        <x:f>IF(AND(SUM(K2219:M2219)&lt;9,OR(K2219=0,N2219&lt;6)),1,0)</x:f>
        <x:v>1</x:v>
      </x:c>
      <x:c r="R2219" s="22" t="str">
        <x:f>O2219&amp;P2219&amp;Q2219</x:f>
        <x:v>111</x:v>
      </x:c>
      <x:c r="S2219" s="19" t="n">
        <x:f>IF(I2219=1,IF(J2219=0,Q2219,IF(J2219=1,P2219,IF(J2219=2,O2219,0))),0)</x:f>
        <x:v>1</x:v>
      </x:c>
      <x:c r="T2219" s="19" t="n">
        <x:f>K2219+IF(AND(S2219=1,J2219=0),1,0)</x:f>
        <x:v>6</x:v>
      </x:c>
      <x:c r="U2219" s="19" t="n">
        <x:f>L2219+IF(AND(S2219=1,J2219=1),1,0)</x:f>
        <x:v>0</x:v>
      </x:c>
      <x:c r="V2219" s="19" t="n">
        <x:f>M2219+IF(AND(S2219=1,J2219=2),1,0)</x:f>
        <x:v>2</x:v>
      </x:c>
      <x:c r="W2219" s="19" t="n">
        <x:f>SUM(T2219:V2219)</x:f>
        <x:v>8</x:v>
      </x:c>
      <x:c r="X2219" s="19" t="n">
        <x:f>W2219-G2219</x:f>
        <x:v>0</x:v>
      </x:c>
      <x:c r="Y2219" s="19" t="n">
        <x:f>MAX(T2219,1)+MAX(U2219,1)+MAX(V2219,1)</x:f>
        <x:v>9</x:v>
      </x:c>
      <x:c r="Z2219" s="21" t="str">
        <x:f>IF(AND(MIN(D2219:F2219)&gt;=0,MAX(D2219:F2219)&lt;=7,MAX(D2219,1)+MAX(E2219,1)+MAX(F2219,1)&lt;=9,OR(H2219="-",AND(H2219=0,D2219&gt;0),AND(H2219=1,E2219&gt;0),AND(H2219=2,F2219&gt;0)),OR(I2219=0,AND(I2219=1,OR(J2219=0,J2219=1,J2219=2),R2219&lt;&gt;"000")),Y2219&lt;=9,MIN(T2219:V2219)&gt;=0),"合法","输入违约")</x:f>
        <x:v>合法</x:v>
      </x:c>
    </x:row>
    <x:row r="2220" ht="23" customHeight="1">
      <x:c r="A2220" s="3" t="str">
        <x:v>CT-2213</x:v>
      </x:c>
      <x:c r="B2220" s="3" t="str">
        <x:v>ST-155</x:v>
      </x:c>
      <x:c r="C2220" s="3" t="str">
        <x:v>R+AR同收同发</x:v>
      </x:c>
      <x:c r="D2220" s="25" t="n">
        <x:v>5</x:v>
      </x:c>
      <x:c r="E2220" s="25" t="n">
        <x:v>1</x:v>
      </x:c>
      <x:c r="F2220" s="25" t="n">
        <x:v>2</x:v>
      </x:c>
      <x:c r="G2220" s="19" t="n">
        <x:f>SUM(D2220:F2220)</x:f>
        <x:v>8</x:v>
      </x:c>
      <x:c r="H2220" s="25" t="n">
        <x:v>1</x:v>
      </x:c>
      <x:c r="I2220" s="25" t="n">
        <x:v>1</x:v>
      </x:c>
      <x:c r="J2220" s="25" t="n">
        <x:v>1</x:v>
      </x:c>
      <x:c r="K2220" s="19" t="n">
        <x:f>D2220-IF(H2220=0,1,0)</x:f>
        <x:v>5</x:v>
      </x:c>
      <x:c r="L2220" s="19" t="n">
        <x:f>E2220-IF(H2220=1,1,0)</x:f>
        <x:v>0</x:v>
      </x:c>
      <x:c r="M2220" s="19" t="n">
        <x:f>F2220-IF(H2220=2,1,0)</x:f>
        <x:v>2</x:v>
      </x:c>
      <x:c r="N2220" s="19" t="n">
        <x:f>MAX(K2220-1,0)+MAX(L2220-1,0)+MAX(M2220-1,0)</x:f>
        <x:v>5</x:v>
      </x:c>
      <x:c r="O2220" s="19" t="n">
        <x:f>IF(AND(SUM(K2220:M2220)&lt;9,OR(M2220=0,N2220&lt;6)),1,0)</x:f>
        <x:v>1</x:v>
      </x:c>
      <x:c r="P2220" s="19" t="n">
        <x:f>IF(AND(SUM(K2220:M2220)&lt;9,OR(L2220=0,N2220&lt;6)),1,0)</x:f>
        <x:v>1</x:v>
      </x:c>
      <x:c r="Q2220" s="19" t="n">
        <x:f>IF(AND(SUM(K2220:M2220)&lt;9,OR(K2220=0,N2220&lt;6)),1,0)</x:f>
        <x:v>1</x:v>
      </x:c>
      <x:c r="R2220" s="22" t="str">
        <x:f>O2220&amp;P2220&amp;Q2220</x:f>
        <x:v>111</x:v>
      </x:c>
      <x:c r="S2220" s="19" t="n">
        <x:f>IF(I2220=1,IF(J2220=0,Q2220,IF(J2220=1,P2220,IF(J2220=2,O2220,0))),0)</x:f>
        <x:v>1</x:v>
      </x:c>
      <x:c r="T2220" s="19" t="n">
        <x:f>K2220+IF(AND(S2220=1,J2220=0),1,0)</x:f>
        <x:v>5</x:v>
      </x:c>
      <x:c r="U2220" s="19" t="n">
        <x:f>L2220+IF(AND(S2220=1,J2220=1),1,0)</x:f>
        <x:v>1</x:v>
      </x:c>
      <x:c r="V2220" s="19" t="n">
        <x:f>M2220+IF(AND(S2220=1,J2220=2),1,0)</x:f>
        <x:v>2</x:v>
      </x:c>
      <x:c r="W2220" s="19" t="n">
        <x:f>SUM(T2220:V2220)</x:f>
        <x:v>8</x:v>
      </x:c>
      <x:c r="X2220" s="19" t="n">
        <x:f>W2220-G2220</x:f>
        <x:v>0</x:v>
      </x:c>
      <x:c r="Y2220" s="19" t="n">
        <x:f>MAX(T2220,1)+MAX(U2220,1)+MAX(V2220,1)</x:f>
        <x:v>8</x:v>
      </x:c>
      <x:c r="Z2220" s="21" t="str">
        <x:f>IF(AND(MIN(D2220:F2220)&gt;=0,MAX(D2220:F2220)&lt;=7,MAX(D2220,1)+MAX(E2220,1)+MAX(F2220,1)&lt;=9,OR(H2220="-",AND(H2220=0,D2220&gt;0),AND(H2220=1,E2220&gt;0),AND(H2220=2,F2220&gt;0)),OR(I2220=0,AND(I2220=1,OR(J2220=0,J2220=1,J2220=2),R2220&lt;&gt;"000")),Y2220&lt;=9,MIN(T2220:V2220)&gt;=0),"合法","输入违约")</x:f>
        <x:v>合法</x:v>
      </x:c>
    </x:row>
    <x:row r="2221" ht="23" customHeight="1">
      <x:c r="A2221" s="3" t="str">
        <x:v>CT-2214</x:v>
      </x:c>
      <x:c r="B2221" s="3" t="str">
        <x:v>ST-155</x:v>
      </x:c>
      <x:c r="C2221" s="3" t="str">
        <x:v>R+AR同收同发</x:v>
      </x:c>
      <x:c r="D2221" s="25" t="n">
        <x:v>5</x:v>
      </x:c>
      <x:c r="E2221" s="25" t="n">
        <x:v>1</x:v>
      </x:c>
      <x:c r="F2221" s="25" t="n">
        <x:v>2</x:v>
      </x:c>
      <x:c r="G2221" s="19" t="n">
        <x:f>SUM(D2221:F2221)</x:f>
        <x:v>8</x:v>
      </x:c>
      <x:c r="H2221" s="25" t="n">
        <x:v>1</x:v>
      </x:c>
      <x:c r="I2221" s="25" t="n">
        <x:v>1</x:v>
      </x:c>
      <x:c r="J2221" s="25" t="n">
        <x:v>2</x:v>
      </x:c>
      <x:c r="K2221" s="19" t="n">
        <x:f>D2221-IF(H2221=0,1,0)</x:f>
        <x:v>5</x:v>
      </x:c>
      <x:c r="L2221" s="19" t="n">
        <x:f>E2221-IF(H2221=1,1,0)</x:f>
        <x:v>0</x:v>
      </x:c>
      <x:c r="M2221" s="19" t="n">
        <x:f>F2221-IF(H2221=2,1,0)</x:f>
        <x:v>2</x:v>
      </x:c>
      <x:c r="N2221" s="19" t="n">
        <x:f>MAX(K2221-1,0)+MAX(L2221-1,0)+MAX(M2221-1,0)</x:f>
        <x:v>5</x:v>
      </x:c>
      <x:c r="O2221" s="19" t="n">
        <x:f>IF(AND(SUM(K2221:M2221)&lt;9,OR(M2221=0,N2221&lt;6)),1,0)</x:f>
        <x:v>1</x:v>
      </x:c>
      <x:c r="P2221" s="19" t="n">
        <x:f>IF(AND(SUM(K2221:M2221)&lt;9,OR(L2221=0,N2221&lt;6)),1,0)</x:f>
        <x:v>1</x:v>
      </x:c>
      <x:c r="Q2221" s="19" t="n">
        <x:f>IF(AND(SUM(K2221:M2221)&lt;9,OR(K2221=0,N2221&lt;6)),1,0)</x:f>
        <x:v>1</x:v>
      </x:c>
      <x:c r="R2221" s="22" t="str">
        <x:f>O2221&amp;P2221&amp;Q2221</x:f>
        <x:v>111</x:v>
      </x:c>
      <x:c r="S2221" s="19" t="n">
        <x:f>IF(I2221=1,IF(J2221=0,Q2221,IF(J2221=1,P2221,IF(J2221=2,O2221,0))),0)</x:f>
        <x:v>1</x:v>
      </x:c>
      <x:c r="T2221" s="19" t="n">
        <x:f>K2221+IF(AND(S2221=1,J2221=0),1,0)</x:f>
        <x:v>5</x:v>
      </x:c>
      <x:c r="U2221" s="19" t="n">
        <x:f>L2221+IF(AND(S2221=1,J2221=1),1,0)</x:f>
        <x:v>0</x:v>
      </x:c>
      <x:c r="V2221" s="19" t="n">
        <x:f>M2221+IF(AND(S2221=1,J2221=2),1,0)</x:f>
        <x:v>3</x:v>
      </x:c>
      <x:c r="W2221" s="19" t="n">
        <x:f>SUM(T2221:V2221)</x:f>
        <x:v>8</x:v>
      </x:c>
      <x:c r="X2221" s="19" t="n">
        <x:f>W2221-G2221</x:f>
        <x:v>0</x:v>
      </x:c>
      <x:c r="Y2221" s="19" t="n">
        <x:f>MAX(T2221,1)+MAX(U2221,1)+MAX(V2221,1)</x:f>
        <x:v>9</x:v>
      </x:c>
      <x:c r="Z2221" s="21" t="str">
        <x:f>IF(AND(MIN(D2221:F2221)&gt;=0,MAX(D2221:F2221)&lt;=7,MAX(D2221,1)+MAX(E2221,1)+MAX(F2221,1)&lt;=9,OR(H2221="-",AND(H2221=0,D2221&gt;0),AND(H2221=1,E2221&gt;0),AND(H2221=2,F2221&gt;0)),OR(I2221=0,AND(I2221=1,OR(J2221=0,J2221=1,J2221=2),R2221&lt;&gt;"000")),Y2221&lt;=9,MIN(T2221:V2221)&gt;=0),"合法","输入违约")</x:f>
        <x:v>合法</x:v>
      </x:c>
    </x:row>
    <x:row r="2222" ht="23" customHeight="1">
      <x:c r="A2222" s="3" t="str">
        <x:v>CT-2215</x:v>
      </x:c>
      <x:c r="B2222" s="3" t="str">
        <x:v>ST-155</x:v>
      </x:c>
      <x:c r="C2222" s="3" t="str">
        <x:v>仅R回收</x:v>
      </x:c>
      <x:c r="D2222" s="25" t="n">
        <x:v>5</x:v>
      </x:c>
      <x:c r="E2222" s="25" t="n">
        <x:v>1</x:v>
      </x:c>
      <x:c r="F2222" s="25" t="n">
        <x:v>2</x:v>
      </x:c>
      <x:c r="G2222" s="19" t="n">
        <x:f>SUM(D2222:F2222)</x:f>
        <x:v>8</x:v>
      </x:c>
      <x:c r="H2222" s="25" t="n">
        <x:v>2</x:v>
      </x:c>
      <x:c r="I2222" s="25" t="n">
        <x:v>0</x:v>
      </x:c>
      <x:c r="J2222" s="25" t="str">
        <x:v>-</x:v>
      </x:c>
      <x:c r="K2222" s="19" t="n">
        <x:f>D2222-IF(H2222=0,1,0)</x:f>
        <x:v>5</x:v>
      </x:c>
      <x:c r="L2222" s="19" t="n">
        <x:f>E2222-IF(H2222=1,1,0)</x:f>
        <x:v>1</x:v>
      </x:c>
      <x:c r="M2222" s="19" t="n">
        <x:f>F2222-IF(H2222=2,1,0)</x:f>
        <x:v>1</x:v>
      </x:c>
      <x:c r="N2222" s="19" t="n">
        <x:f>MAX(K2222-1,0)+MAX(L2222-1,0)+MAX(M2222-1,0)</x:f>
        <x:v>4</x:v>
      </x:c>
      <x:c r="O2222" s="19" t="n">
        <x:f>IF(AND(SUM(K2222:M2222)&lt;9,OR(M2222=0,N2222&lt;6)),1,0)</x:f>
        <x:v>1</x:v>
      </x:c>
      <x:c r="P2222" s="19" t="n">
        <x:f>IF(AND(SUM(K2222:M2222)&lt;9,OR(L2222=0,N2222&lt;6)),1,0)</x:f>
        <x:v>1</x:v>
      </x:c>
      <x:c r="Q2222" s="19" t="n">
        <x:f>IF(AND(SUM(K2222:M2222)&lt;9,OR(K2222=0,N2222&lt;6)),1,0)</x:f>
        <x:v>1</x:v>
      </x:c>
      <x:c r="R2222" s="22" t="str">
        <x:f>O2222&amp;P2222&amp;Q2222</x:f>
        <x:v>111</x:v>
      </x:c>
      <x:c r="S2222" s="19" t="n">
        <x:f>IF(I2222=1,IF(J2222=0,Q2222,IF(J2222=1,P2222,IF(J2222=2,O2222,0))),0)</x:f>
        <x:v>0</x:v>
      </x:c>
      <x:c r="T2222" s="19" t="n">
        <x:f>K2222+IF(AND(S2222=1,J2222=0),1,0)</x:f>
        <x:v>5</x:v>
      </x:c>
      <x:c r="U2222" s="19" t="n">
        <x:f>L2222+IF(AND(S2222=1,J2222=1),1,0)</x:f>
        <x:v>1</x:v>
      </x:c>
      <x:c r="V2222" s="19" t="n">
        <x:f>M2222+IF(AND(S2222=1,J2222=2),1,0)</x:f>
        <x:v>1</x:v>
      </x:c>
      <x:c r="W2222" s="19" t="n">
        <x:f>SUM(T2222:V2222)</x:f>
        <x:v>7</x:v>
      </x:c>
      <x:c r="X2222" s="19" t="n">
        <x:f>W2222-G2222</x:f>
        <x:v>-1</x:v>
      </x:c>
      <x:c r="Y2222" s="19" t="n">
        <x:f>MAX(T2222,1)+MAX(U2222,1)+MAX(V2222,1)</x:f>
        <x:v>7</x:v>
      </x:c>
      <x:c r="Z2222" s="21" t="str">
        <x:f>IF(AND(MIN(D2222:F2222)&gt;=0,MAX(D2222:F2222)&lt;=7,MAX(D2222,1)+MAX(E2222,1)+MAX(F2222,1)&lt;=9,OR(H2222="-",AND(H2222=0,D2222&gt;0),AND(H2222=1,E2222&gt;0),AND(H2222=2,F2222&gt;0)),OR(I2222=0,AND(I2222=1,OR(J2222=0,J2222=1,J2222=2),R2222&lt;&gt;"000")),Y2222&lt;=9,MIN(T2222:V2222)&gt;=0),"合法","输入违约")</x:f>
        <x:v>合法</x:v>
      </x:c>
    </x:row>
    <x:row r="2223" ht="23" customHeight="1">
      <x:c r="A2223" s="3" t="str">
        <x:v>CT-2216</x:v>
      </x:c>
      <x:c r="B2223" s="3" t="str">
        <x:v>ST-155</x:v>
      </x:c>
      <x:c r="C2223" s="3" t="str">
        <x:v>R+AR同收同发</x:v>
      </x:c>
      <x:c r="D2223" s="25" t="n">
        <x:v>5</x:v>
      </x:c>
      <x:c r="E2223" s="25" t="n">
        <x:v>1</x:v>
      </x:c>
      <x:c r="F2223" s="25" t="n">
        <x:v>2</x:v>
      </x:c>
      <x:c r="G2223" s="19" t="n">
        <x:f>SUM(D2223:F2223)</x:f>
        <x:v>8</x:v>
      </x:c>
      <x:c r="H2223" s="25" t="n">
        <x:v>2</x:v>
      </x:c>
      <x:c r="I2223" s="25" t="n">
        <x:v>1</x:v>
      </x:c>
      <x:c r="J2223" s="25" t="n">
        <x:v>0</x:v>
      </x:c>
      <x:c r="K2223" s="19" t="n">
        <x:f>D2223-IF(H2223=0,1,0)</x:f>
        <x:v>5</x:v>
      </x:c>
      <x:c r="L2223" s="19" t="n">
        <x:f>E2223-IF(H2223=1,1,0)</x:f>
        <x:v>1</x:v>
      </x:c>
      <x:c r="M2223" s="19" t="n">
        <x:f>F2223-IF(H2223=2,1,0)</x:f>
        <x:v>1</x:v>
      </x:c>
      <x:c r="N2223" s="19" t="n">
        <x:f>MAX(K2223-1,0)+MAX(L2223-1,0)+MAX(M2223-1,0)</x:f>
        <x:v>4</x:v>
      </x:c>
      <x:c r="O2223" s="19" t="n">
        <x:f>IF(AND(SUM(K2223:M2223)&lt;9,OR(M2223=0,N2223&lt;6)),1,0)</x:f>
        <x:v>1</x:v>
      </x:c>
      <x:c r="P2223" s="19" t="n">
        <x:f>IF(AND(SUM(K2223:M2223)&lt;9,OR(L2223=0,N2223&lt;6)),1,0)</x:f>
        <x:v>1</x:v>
      </x:c>
      <x:c r="Q2223" s="19" t="n">
        <x:f>IF(AND(SUM(K2223:M2223)&lt;9,OR(K2223=0,N2223&lt;6)),1,0)</x:f>
        <x:v>1</x:v>
      </x:c>
      <x:c r="R2223" s="22" t="str">
        <x:f>O2223&amp;P2223&amp;Q2223</x:f>
        <x:v>111</x:v>
      </x:c>
      <x:c r="S2223" s="19" t="n">
        <x:f>IF(I2223=1,IF(J2223=0,Q2223,IF(J2223=1,P2223,IF(J2223=2,O2223,0))),0)</x:f>
        <x:v>1</x:v>
      </x:c>
      <x:c r="T2223" s="19" t="n">
        <x:f>K2223+IF(AND(S2223=1,J2223=0),1,0)</x:f>
        <x:v>6</x:v>
      </x:c>
      <x:c r="U2223" s="19" t="n">
        <x:f>L2223+IF(AND(S2223=1,J2223=1),1,0)</x:f>
        <x:v>1</x:v>
      </x:c>
      <x:c r="V2223" s="19" t="n">
        <x:f>M2223+IF(AND(S2223=1,J2223=2),1,0)</x:f>
        <x:v>1</x:v>
      </x:c>
      <x:c r="W2223" s="19" t="n">
        <x:f>SUM(T2223:V2223)</x:f>
        <x:v>8</x:v>
      </x:c>
      <x:c r="X2223" s="19" t="n">
        <x:f>W2223-G2223</x:f>
        <x:v>0</x:v>
      </x:c>
      <x:c r="Y2223" s="19" t="n">
        <x:f>MAX(T2223,1)+MAX(U2223,1)+MAX(V2223,1)</x:f>
        <x:v>8</x:v>
      </x:c>
      <x:c r="Z2223" s="21" t="str">
        <x:f>IF(AND(MIN(D2223:F2223)&gt;=0,MAX(D2223:F2223)&lt;=7,MAX(D2223,1)+MAX(E2223,1)+MAX(F2223,1)&lt;=9,OR(H2223="-",AND(H2223=0,D2223&gt;0),AND(H2223=1,E2223&gt;0),AND(H2223=2,F2223&gt;0)),OR(I2223=0,AND(I2223=1,OR(J2223=0,J2223=1,J2223=2),R2223&lt;&gt;"000")),Y2223&lt;=9,MIN(T2223:V2223)&gt;=0),"合法","输入违约")</x:f>
        <x:v>合法</x:v>
      </x:c>
    </x:row>
    <x:row r="2224" ht="23" customHeight="1">
      <x:c r="A2224" s="3" t="str">
        <x:v>CT-2217</x:v>
      </x:c>
      <x:c r="B2224" s="3" t="str">
        <x:v>ST-155</x:v>
      </x:c>
      <x:c r="C2224" s="3" t="str">
        <x:v>R+AR同收同发</x:v>
      </x:c>
      <x:c r="D2224" s="25" t="n">
        <x:v>5</x:v>
      </x:c>
      <x:c r="E2224" s="25" t="n">
        <x:v>1</x:v>
      </x:c>
      <x:c r="F2224" s="25" t="n">
        <x:v>2</x:v>
      </x:c>
      <x:c r="G2224" s="19" t="n">
        <x:f>SUM(D2224:F2224)</x:f>
        <x:v>8</x:v>
      </x:c>
      <x:c r="H2224" s="25" t="n">
        <x:v>2</x:v>
      </x:c>
      <x:c r="I2224" s="25" t="n">
        <x:v>1</x:v>
      </x:c>
      <x:c r="J2224" s="25" t="n">
        <x:v>1</x:v>
      </x:c>
      <x:c r="K2224" s="19" t="n">
        <x:f>D2224-IF(H2224=0,1,0)</x:f>
        <x:v>5</x:v>
      </x:c>
      <x:c r="L2224" s="19" t="n">
        <x:f>E2224-IF(H2224=1,1,0)</x:f>
        <x:v>1</x:v>
      </x:c>
      <x:c r="M2224" s="19" t="n">
        <x:f>F2224-IF(H2224=2,1,0)</x:f>
        <x:v>1</x:v>
      </x:c>
      <x:c r="N2224" s="19" t="n">
        <x:f>MAX(K2224-1,0)+MAX(L2224-1,0)+MAX(M2224-1,0)</x:f>
        <x:v>4</x:v>
      </x:c>
      <x:c r="O2224" s="19" t="n">
        <x:f>IF(AND(SUM(K2224:M2224)&lt;9,OR(M2224=0,N2224&lt;6)),1,0)</x:f>
        <x:v>1</x:v>
      </x:c>
      <x:c r="P2224" s="19" t="n">
        <x:f>IF(AND(SUM(K2224:M2224)&lt;9,OR(L2224=0,N2224&lt;6)),1,0)</x:f>
        <x:v>1</x:v>
      </x:c>
      <x:c r="Q2224" s="19" t="n">
        <x:f>IF(AND(SUM(K2224:M2224)&lt;9,OR(K2224=0,N2224&lt;6)),1,0)</x:f>
        <x:v>1</x:v>
      </x:c>
      <x:c r="R2224" s="22" t="str">
        <x:f>O2224&amp;P2224&amp;Q2224</x:f>
        <x:v>111</x:v>
      </x:c>
      <x:c r="S2224" s="19" t="n">
        <x:f>IF(I2224=1,IF(J2224=0,Q2224,IF(J2224=1,P2224,IF(J2224=2,O2224,0))),0)</x:f>
        <x:v>1</x:v>
      </x:c>
      <x:c r="T2224" s="19" t="n">
        <x:f>K2224+IF(AND(S2224=1,J2224=0),1,0)</x:f>
        <x:v>5</x:v>
      </x:c>
      <x:c r="U2224" s="19" t="n">
        <x:f>L2224+IF(AND(S2224=1,J2224=1),1,0)</x:f>
        <x:v>2</x:v>
      </x:c>
      <x:c r="V2224" s="19" t="n">
        <x:f>M2224+IF(AND(S2224=1,J2224=2),1,0)</x:f>
        <x:v>1</x:v>
      </x:c>
      <x:c r="W2224" s="19" t="n">
        <x:f>SUM(T2224:V2224)</x:f>
        <x:v>8</x:v>
      </x:c>
      <x:c r="X2224" s="19" t="n">
        <x:f>W2224-G2224</x:f>
        <x:v>0</x:v>
      </x:c>
      <x:c r="Y2224" s="19" t="n">
        <x:f>MAX(T2224,1)+MAX(U2224,1)+MAX(V2224,1)</x:f>
        <x:v>8</x:v>
      </x:c>
      <x:c r="Z2224" s="21" t="str">
        <x:f>IF(AND(MIN(D2224:F2224)&gt;=0,MAX(D2224:F2224)&lt;=7,MAX(D2224,1)+MAX(E2224,1)+MAX(F2224,1)&lt;=9,OR(H2224="-",AND(H2224=0,D2224&gt;0),AND(H2224=1,E2224&gt;0),AND(H2224=2,F2224&gt;0)),OR(I2224=0,AND(I2224=1,OR(J2224=0,J2224=1,J2224=2),R2224&lt;&gt;"000")),Y2224&lt;=9,MIN(T2224:V2224)&gt;=0),"合法","输入违约")</x:f>
        <x:v>合法</x:v>
      </x:c>
    </x:row>
    <x:row r="2225" ht="23" customHeight="1">
      <x:c r="A2225" s="3" t="str">
        <x:v>CT-2218</x:v>
      </x:c>
      <x:c r="B2225" s="3" t="str">
        <x:v>ST-155</x:v>
      </x:c>
      <x:c r="C2225" s="3" t="str">
        <x:v>R+AR同收同发</x:v>
      </x:c>
      <x:c r="D2225" s="25" t="n">
        <x:v>5</x:v>
      </x:c>
      <x:c r="E2225" s="25" t="n">
        <x:v>1</x:v>
      </x:c>
      <x:c r="F2225" s="25" t="n">
        <x:v>2</x:v>
      </x:c>
      <x:c r="G2225" s="19" t="n">
        <x:f>SUM(D2225:F2225)</x:f>
        <x:v>8</x:v>
      </x:c>
      <x:c r="H2225" s="25" t="n">
        <x:v>2</x:v>
      </x:c>
      <x:c r="I2225" s="25" t="n">
        <x:v>1</x:v>
      </x:c>
      <x:c r="J2225" s="25" t="n">
        <x:v>2</x:v>
      </x:c>
      <x:c r="K2225" s="19" t="n">
        <x:f>D2225-IF(H2225=0,1,0)</x:f>
        <x:v>5</x:v>
      </x:c>
      <x:c r="L2225" s="19" t="n">
        <x:f>E2225-IF(H2225=1,1,0)</x:f>
        <x:v>1</x:v>
      </x:c>
      <x:c r="M2225" s="19" t="n">
        <x:f>F2225-IF(H2225=2,1,0)</x:f>
        <x:v>1</x:v>
      </x:c>
      <x:c r="N2225" s="19" t="n">
        <x:f>MAX(K2225-1,0)+MAX(L2225-1,0)+MAX(M2225-1,0)</x:f>
        <x:v>4</x:v>
      </x:c>
      <x:c r="O2225" s="19" t="n">
        <x:f>IF(AND(SUM(K2225:M2225)&lt;9,OR(M2225=0,N2225&lt;6)),1,0)</x:f>
        <x:v>1</x:v>
      </x:c>
      <x:c r="P2225" s="19" t="n">
        <x:f>IF(AND(SUM(K2225:M2225)&lt;9,OR(L2225=0,N2225&lt;6)),1,0)</x:f>
        <x:v>1</x:v>
      </x:c>
      <x:c r="Q2225" s="19" t="n">
        <x:f>IF(AND(SUM(K2225:M2225)&lt;9,OR(K2225=0,N2225&lt;6)),1,0)</x:f>
        <x:v>1</x:v>
      </x:c>
      <x:c r="R2225" s="22" t="str">
        <x:f>O2225&amp;P2225&amp;Q2225</x:f>
        <x:v>111</x:v>
      </x:c>
      <x:c r="S2225" s="19" t="n">
        <x:f>IF(I2225=1,IF(J2225=0,Q2225,IF(J2225=1,P2225,IF(J2225=2,O2225,0))),0)</x:f>
        <x:v>1</x:v>
      </x:c>
      <x:c r="T2225" s="19" t="n">
        <x:f>K2225+IF(AND(S2225=1,J2225=0),1,0)</x:f>
        <x:v>5</x:v>
      </x:c>
      <x:c r="U2225" s="19" t="n">
        <x:f>L2225+IF(AND(S2225=1,J2225=1),1,0)</x:f>
        <x:v>1</x:v>
      </x:c>
      <x:c r="V2225" s="19" t="n">
        <x:f>M2225+IF(AND(S2225=1,J2225=2),1,0)</x:f>
        <x:v>2</x:v>
      </x:c>
      <x:c r="W2225" s="19" t="n">
        <x:f>SUM(T2225:V2225)</x:f>
        <x:v>8</x:v>
      </x:c>
      <x:c r="X2225" s="19" t="n">
        <x:f>W2225-G2225</x:f>
        <x:v>0</x:v>
      </x:c>
      <x:c r="Y2225" s="19" t="n">
        <x:f>MAX(T2225,1)+MAX(U2225,1)+MAX(V2225,1)</x:f>
        <x:v>8</x:v>
      </x:c>
      <x:c r="Z2225" s="21" t="str">
        <x:f>IF(AND(MIN(D2225:F2225)&gt;=0,MAX(D2225:F2225)&lt;=7,MAX(D2225,1)+MAX(E2225,1)+MAX(F2225,1)&lt;=9,OR(H2225="-",AND(H2225=0,D2225&gt;0),AND(H2225=1,E2225&gt;0),AND(H2225=2,F2225&gt;0)),OR(I2225=0,AND(I2225=1,OR(J2225=0,J2225=1,J2225=2),R2225&lt;&gt;"000")),Y2225&lt;=9,MIN(T2225:V2225)&gt;=0),"合法","输入违约")</x:f>
        <x:v>合法</x:v>
      </x:c>
    </x:row>
    <x:row r="2226" ht="23" customHeight="1">
      <x:c r="A2226" s="3" t="str">
        <x:v>CT-2219</x:v>
      </x:c>
      <x:c r="B2226" s="3" t="str">
        <x:v>ST-185</x:v>
      </x:c>
      <x:c r="C2226" s="3" t="str">
        <x:v>无AR/R</x:v>
      </x:c>
      <x:c r="D2226" s="25" t="n">
        <x:v>5</x:v>
      </x:c>
      <x:c r="E2226" s="25" t="n">
        <x:v>1</x:v>
      </x:c>
      <x:c r="F2226" s="25" t="n">
        <x:v>3</x:v>
      </x:c>
      <x:c r="G2226" s="19" t="n">
        <x:f>SUM(D2226:F2226)</x:f>
        <x:v>9</x:v>
      </x:c>
      <x:c r="H2226" s="25" t="str">
        <x:v>-</x:v>
      </x:c>
      <x:c r="I2226" s="25" t="n">
        <x:v>0</x:v>
      </x:c>
      <x:c r="J2226" s="25" t="str">
        <x:v>-</x:v>
      </x:c>
      <x:c r="K2226" s="19" t="n">
        <x:f>D2226-IF(H2226=0,1,0)</x:f>
        <x:v>5</x:v>
      </x:c>
      <x:c r="L2226" s="19" t="n">
        <x:f>E2226-IF(H2226=1,1,0)</x:f>
        <x:v>1</x:v>
      </x:c>
      <x:c r="M2226" s="19" t="n">
        <x:f>F2226-IF(H2226=2,1,0)</x:f>
        <x:v>3</x:v>
      </x:c>
      <x:c r="N2226" s="19" t="n">
        <x:f>MAX(K2226-1,0)+MAX(L2226-1,0)+MAX(M2226-1,0)</x:f>
        <x:v>6</x:v>
      </x:c>
      <x:c r="O2226" s="19" t="n">
        <x:f>IF(AND(SUM(K2226:M2226)&lt;9,OR(M2226=0,N2226&lt;6)),1,0)</x:f>
        <x:v>0</x:v>
      </x:c>
      <x:c r="P2226" s="19" t="n">
        <x:f>IF(AND(SUM(K2226:M2226)&lt;9,OR(L2226=0,N2226&lt;6)),1,0)</x:f>
        <x:v>0</x:v>
      </x:c>
      <x:c r="Q2226" s="19" t="n">
        <x:f>IF(AND(SUM(K2226:M2226)&lt;9,OR(K2226=0,N2226&lt;6)),1,0)</x:f>
        <x:v>0</x:v>
      </x:c>
      <x:c r="R2226" s="22" t="str">
        <x:f>O2226&amp;P2226&amp;Q2226</x:f>
        <x:v>000</x:v>
      </x:c>
      <x:c r="S2226" s="19" t="n">
        <x:f>IF(I2226=1,IF(J2226=0,Q2226,IF(J2226=1,P2226,IF(J2226=2,O2226,0))),0)</x:f>
        <x:v>0</x:v>
      </x:c>
      <x:c r="T2226" s="19" t="n">
        <x:f>K2226+IF(AND(S2226=1,J2226=0),1,0)</x:f>
        <x:v>5</x:v>
      </x:c>
      <x:c r="U2226" s="19" t="n">
        <x:f>L2226+IF(AND(S2226=1,J2226=1),1,0)</x:f>
        <x:v>1</x:v>
      </x:c>
      <x:c r="V2226" s="19" t="n">
        <x:f>M2226+IF(AND(S2226=1,J2226=2),1,0)</x:f>
        <x:v>3</x:v>
      </x:c>
      <x:c r="W2226" s="19" t="n">
        <x:f>SUM(T2226:V2226)</x:f>
        <x:v>9</x:v>
      </x:c>
      <x:c r="X2226" s="19" t="n">
        <x:f>W2226-G2226</x:f>
        <x:v>0</x:v>
      </x:c>
      <x:c r="Y2226" s="19" t="n">
        <x:f>MAX(T2226,1)+MAX(U2226,1)+MAX(V2226,1)</x:f>
        <x:v>9</x:v>
      </x:c>
      <x:c r="Z2226" s="21" t="str">
        <x:f>IF(AND(MIN(D2226:F2226)&gt;=0,MAX(D2226:F2226)&lt;=7,MAX(D2226,1)+MAX(E2226,1)+MAX(F2226,1)&lt;=9,OR(H2226="-",AND(H2226=0,D2226&gt;0),AND(H2226=1,E2226&gt;0),AND(H2226=2,F2226&gt;0)),OR(I2226=0,AND(I2226=1,OR(J2226=0,J2226=1,J2226=2),R2226&lt;&gt;"000")),Y2226&lt;=9,MIN(T2226:V2226)&gt;=0),"合法","输入违约")</x:f>
        <x:v>合法</x:v>
      </x:c>
    </x:row>
    <x:row r="2227" ht="23" customHeight="1">
      <x:c r="A2227" s="3" t="str">
        <x:v>CT-2220</x:v>
      </x:c>
      <x:c r="B2227" s="3" t="str">
        <x:v>ST-185</x:v>
      </x:c>
      <x:c r="C2227" s="3" t="str">
        <x:v>仅R回收</x:v>
      </x:c>
      <x:c r="D2227" s="25" t="n">
        <x:v>5</x:v>
      </x:c>
      <x:c r="E2227" s="25" t="n">
        <x:v>1</x:v>
      </x:c>
      <x:c r="F2227" s="25" t="n">
        <x:v>3</x:v>
      </x:c>
      <x:c r="G2227" s="19" t="n">
        <x:f>SUM(D2227:F2227)</x:f>
        <x:v>9</x:v>
      </x:c>
      <x:c r="H2227" s="25" t="n">
        <x:v>0</x:v>
      </x:c>
      <x:c r="I2227" s="25" t="n">
        <x:v>0</x:v>
      </x:c>
      <x:c r="J2227" s="25" t="str">
        <x:v>-</x:v>
      </x:c>
      <x:c r="K2227" s="19" t="n">
        <x:f>D2227-IF(H2227=0,1,0)</x:f>
        <x:v>4</x:v>
      </x:c>
      <x:c r="L2227" s="19" t="n">
        <x:f>E2227-IF(H2227=1,1,0)</x:f>
        <x:v>1</x:v>
      </x:c>
      <x:c r="M2227" s="19" t="n">
        <x:f>F2227-IF(H2227=2,1,0)</x:f>
        <x:v>3</x:v>
      </x:c>
      <x:c r="N2227" s="19" t="n">
        <x:f>MAX(K2227-1,0)+MAX(L2227-1,0)+MAX(M2227-1,0)</x:f>
        <x:v>5</x:v>
      </x:c>
      <x:c r="O2227" s="19" t="n">
        <x:f>IF(AND(SUM(K2227:M2227)&lt;9,OR(M2227=0,N2227&lt;6)),1,0)</x:f>
        <x:v>1</x:v>
      </x:c>
      <x:c r="P2227" s="19" t="n">
        <x:f>IF(AND(SUM(K2227:M2227)&lt;9,OR(L2227=0,N2227&lt;6)),1,0)</x:f>
        <x:v>1</x:v>
      </x:c>
      <x:c r="Q2227" s="19" t="n">
        <x:f>IF(AND(SUM(K2227:M2227)&lt;9,OR(K2227=0,N2227&lt;6)),1,0)</x:f>
        <x:v>1</x:v>
      </x:c>
      <x:c r="R2227" s="22" t="str">
        <x:f>O2227&amp;P2227&amp;Q2227</x:f>
        <x:v>111</x:v>
      </x:c>
      <x:c r="S2227" s="19" t="n">
        <x:f>IF(I2227=1,IF(J2227=0,Q2227,IF(J2227=1,P2227,IF(J2227=2,O2227,0))),0)</x:f>
        <x:v>0</x:v>
      </x:c>
      <x:c r="T2227" s="19" t="n">
        <x:f>K2227+IF(AND(S2227=1,J2227=0),1,0)</x:f>
        <x:v>4</x:v>
      </x:c>
      <x:c r="U2227" s="19" t="n">
        <x:f>L2227+IF(AND(S2227=1,J2227=1),1,0)</x:f>
        <x:v>1</x:v>
      </x:c>
      <x:c r="V2227" s="19" t="n">
        <x:f>M2227+IF(AND(S2227=1,J2227=2),1,0)</x:f>
        <x:v>3</x:v>
      </x:c>
      <x:c r="W2227" s="19" t="n">
        <x:f>SUM(T2227:V2227)</x:f>
        <x:v>8</x:v>
      </x:c>
      <x:c r="X2227" s="19" t="n">
        <x:f>W2227-G2227</x:f>
        <x:v>-1</x:v>
      </x:c>
      <x:c r="Y2227" s="19" t="n">
        <x:f>MAX(T2227,1)+MAX(U2227,1)+MAX(V2227,1)</x:f>
        <x:v>8</x:v>
      </x:c>
      <x:c r="Z2227" s="21" t="str">
        <x:f>IF(AND(MIN(D2227:F2227)&gt;=0,MAX(D2227:F2227)&lt;=7,MAX(D2227,1)+MAX(E2227,1)+MAX(F2227,1)&lt;=9,OR(H2227="-",AND(H2227=0,D2227&gt;0),AND(H2227=1,E2227&gt;0),AND(H2227=2,F2227&gt;0)),OR(I2227=0,AND(I2227=1,OR(J2227=0,J2227=1,J2227=2),R2227&lt;&gt;"000")),Y2227&lt;=9,MIN(T2227:V2227)&gt;=0),"合法","输入违约")</x:f>
        <x:v>合法</x:v>
      </x:c>
    </x:row>
    <x:row r="2228" ht="23" customHeight="1">
      <x:c r="A2228" s="3" t="str">
        <x:v>CT-2221</x:v>
      </x:c>
      <x:c r="B2228" s="3" t="str">
        <x:v>ST-185</x:v>
      </x:c>
      <x:c r="C2228" s="3" t="str">
        <x:v>R+AR同收同发</x:v>
      </x:c>
      <x:c r="D2228" s="25" t="n">
        <x:v>5</x:v>
      </x:c>
      <x:c r="E2228" s="25" t="n">
        <x:v>1</x:v>
      </x:c>
      <x:c r="F2228" s="25" t="n">
        <x:v>3</x:v>
      </x:c>
      <x:c r="G2228" s="19" t="n">
        <x:f>SUM(D2228:F2228)</x:f>
        <x:v>9</x:v>
      </x:c>
      <x:c r="H2228" s="25" t="n">
        <x:v>0</x:v>
      </x:c>
      <x:c r="I2228" s="25" t="n">
        <x:v>1</x:v>
      </x:c>
      <x:c r="J2228" s="25" t="n">
        <x:v>0</x:v>
      </x:c>
      <x:c r="K2228" s="19" t="n">
        <x:f>D2228-IF(H2228=0,1,0)</x:f>
        <x:v>4</x:v>
      </x:c>
      <x:c r="L2228" s="19" t="n">
        <x:f>E2228-IF(H2228=1,1,0)</x:f>
        <x:v>1</x:v>
      </x:c>
      <x:c r="M2228" s="19" t="n">
        <x:f>F2228-IF(H2228=2,1,0)</x:f>
        <x:v>3</x:v>
      </x:c>
      <x:c r="N2228" s="19" t="n">
        <x:f>MAX(K2228-1,0)+MAX(L2228-1,0)+MAX(M2228-1,0)</x:f>
        <x:v>5</x:v>
      </x:c>
      <x:c r="O2228" s="19" t="n">
        <x:f>IF(AND(SUM(K2228:M2228)&lt;9,OR(M2228=0,N2228&lt;6)),1,0)</x:f>
        <x:v>1</x:v>
      </x:c>
      <x:c r="P2228" s="19" t="n">
        <x:f>IF(AND(SUM(K2228:M2228)&lt;9,OR(L2228=0,N2228&lt;6)),1,0)</x:f>
        <x:v>1</x:v>
      </x:c>
      <x:c r="Q2228" s="19" t="n">
        <x:f>IF(AND(SUM(K2228:M2228)&lt;9,OR(K2228=0,N2228&lt;6)),1,0)</x:f>
        <x:v>1</x:v>
      </x:c>
      <x:c r="R2228" s="22" t="str">
        <x:f>O2228&amp;P2228&amp;Q2228</x:f>
        <x:v>111</x:v>
      </x:c>
      <x:c r="S2228" s="19" t="n">
        <x:f>IF(I2228=1,IF(J2228=0,Q2228,IF(J2228=1,P2228,IF(J2228=2,O2228,0))),0)</x:f>
        <x:v>1</x:v>
      </x:c>
      <x:c r="T2228" s="19" t="n">
        <x:f>K2228+IF(AND(S2228=1,J2228=0),1,0)</x:f>
        <x:v>5</x:v>
      </x:c>
      <x:c r="U2228" s="19" t="n">
        <x:f>L2228+IF(AND(S2228=1,J2228=1),1,0)</x:f>
        <x:v>1</x:v>
      </x:c>
      <x:c r="V2228" s="19" t="n">
        <x:f>M2228+IF(AND(S2228=1,J2228=2),1,0)</x:f>
        <x:v>3</x:v>
      </x:c>
      <x:c r="W2228" s="19" t="n">
        <x:f>SUM(T2228:V2228)</x:f>
        <x:v>9</x:v>
      </x:c>
      <x:c r="X2228" s="19" t="n">
        <x:f>W2228-G2228</x:f>
        <x:v>0</x:v>
      </x:c>
      <x:c r="Y2228" s="19" t="n">
        <x:f>MAX(T2228,1)+MAX(U2228,1)+MAX(V2228,1)</x:f>
        <x:v>9</x:v>
      </x:c>
      <x:c r="Z2228" s="21" t="str">
        <x:f>IF(AND(MIN(D2228:F2228)&gt;=0,MAX(D2228:F2228)&lt;=7,MAX(D2228,1)+MAX(E2228,1)+MAX(F2228,1)&lt;=9,OR(H2228="-",AND(H2228=0,D2228&gt;0),AND(H2228=1,E2228&gt;0),AND(H2228=2,F2228&gt;0)),OR(I2228=0,AND(I2228=1,OR(J2228=0,J2228=1,J2228=2),R2228&lt;&gt;"000")),Y2228&lt;=9,MIN(T2228:V2228)&gt;=0),"合法","输入违约")</x:f>
        <x:v>合法</x:v>
      </x:c>
    </x:row>
    <x:row r="2229" ht="23" customHeight="1">
      <x:c r="A2229" s="3" t="str">
        <x:v>CT-2222</x:v>
      </x:c>
      <x:c r="B2229" s="3" t="str">
        <x:v>ST-185</x:v>
      </x:c>
      <x:c r="C2229" s="3" t="str">
        <x:v>R+AR同收同发</x:v>
      </x:c>
      <x:c r="D2229" s="25" t="n">
        <x:v>5</x:v>
      </x:c>
      <x:c r="E2229" s="25" t="n">
        <x:v>1</x:v>
      </x:c>
      <x:c r="F2229" s="25" t="n">
        <x:v>3</x:v>
      </x:c>
      <x:c r="G2229" s="19" t="n">
        <x:f>SUM(D2229:F2229)</x:f>
        <x:v>9</x:v>
      </x:c>
      <x:c r="H2229" s="25" t="n">
        <x:v>0</x:v>
      </x:c>
      <x:c r="I2229" s="25" t="n">
        <x:v>1</x:v>
      </x:c>
      <x:c r="J2229" s="25" t="n">
        <x:v>1</x:v>
      </x:c>
      <x:c r="K2229" s="19" t="n">
        <x:f>D2229-IF(H2229=0,1,0)</x:f>
        <x:v>4</x:v>
      </x:c>
      <x:c r="L2229" s="19" t="n">
        <x:f>E2229-IF(H2229=1,1,0)</x:f>
        <x:v>1</x:v>
      </x:c>
      <x:c r="M2229" s="19" t="n">
        <x:f>F2229-IF(H2229=2,1,0)</x:f>
        <x:v>3</x:v>
      </x:c>
      <x:c r="N2229" s="19" t="n">
        <x:f>MAX(K2229-1,0)+MAX(L2229-1,0)+MAX(M2229-1,0)</x:f>
        <x:v>5</x:v>
      </x:c>
      <x:c r="O2229" s="19" t="n">
        <x:f>IF(AND(SUM(K2229:M2229)&lt;9,OR(M2229=0,N2229&lt;6)),1,0)</x:f>
        <x:v>1</x:v>
      </x:c>
      <x:c r="P2229" s="19" t="n">
        <x:f>IF(AND(SUM(K2229:M2229)&lt;9,OR(L2229=0,N2229&lt;6)),1,0)</x:f>
        <x:v>1</x:v>
      </x:c>
      <x:c r="Q2229" s="19" t="n">
        <x:f>IF(AND(SUM(K2229:M2229)&lt;9,OR(K2229=0,N2229&lt;6)),1,0)</x:f>
        <x:v>1</x:v>
      </x:c>
      <x:c r="R2229" s="22" t="str">
        <x:f>O2229&amp;P2229&amp;Q2229</x:f>
        <x:v>111</x:v>
      </x:c>
      <x:c r="S2229" s="19" t="n">
        <x:f>IF(I2229=1,IF(J2229=0,Q2229,IF(J2229=1,P2229,IF(J2229=2,O2229,0))),0)</x:f>
        <x:v>1</x:v>
      </x:c>
      <x:c r="T2229" s="19" t="n">
        <x:f>K2229+IF(AND(S2229=1,J2229=0),1,0)</x:f>
        <x:v>4</x:v>
      </x:c>
      <x:c r="U2229" s="19" t="n">
        <x:f>L2229+IF(AND(S2229=1,J2229=1),1,0)</x:f>
        <x:v>2</x:v>
      </x:c>
      <x:c r="V2229" s="19" t="n">
        <x:f>M2229+IF(AND(S2229=1,J2229=2),1,0)</x:f>
        <x:v>3</x:v>
      </x:c>
      <x:c r="W2229" s="19" t="n">
        <x:f>SUM(T2229:V2229)</x:f>
        <x:v>9</x:v>
      </x:c>
      <x:c r="X2229" s="19" t="n">
        <x:f>W2229-G2229</x:f>
        <x:v>0</x:v>
      </x:c>
      <x:c r="Y2229" s="19" t="n">
        <x:f>MAX(T2229,1)+MAX(U2229,1)+MAX(V2229,1)</x:f>
        <x:v>9</x:v>
      </x:c>
      <x:c r="Z2229" s="21" t="str">
        <x:f>IF(AND(MIN(D2229:F2229)&gt;=0,MAX(D2229:F2229)&lt;=7,MAX(D2229,1)+MAX(E2229,1)+MAX(F2229,1)&lt;=9,OR(H2229="-",AND(H2229=0,D2229&gt;0),AND(H2229=1,E2229&gt;0),AND(H2229=2,F2229&gt;0)),OR(I2229=0,AND(I2229=1,OR(J2229=0,J2229=1,J2229=2),R2229&lt;&gt;"000")),Y2229&lt;=9,MIN(T2229:V2229)&gt;=0),"合法","输入违约")</x:f>
        <x:v>合法</x:v>
      </x:c>
    </x:row>
    <x:row r="2230" ht="23" customHeight="1">
      <x:c r="A2230" s="3" t="str">
        <x:v>CT-2223</x:v>
      </x:c>
      <x:c r="B2230" s="3" t="str">
        <x:v>ST-185</x:v>
      </x:c>
      <x:c r="C2230" s="3" t="str">
        <x:v>R+AR同收同发</x:v>
      </x:c>
      <x:c r="D2230" s="25" t="n">
        <x:v>5</x:v>
      </x:c>
      <x:c r="E2230" s="25" t="n">
        <x:v>1</x:v>
      </x:c>
      <x:c r="F2230" s="25" t="n">
        <x:v>3</x:v>
      </x:c>
      <x:c r="G2230" s="19" t="n">
        <x:f>SUM(D2230:F2230)</x:f>
        <x:v>9</x:v>
      </x:c>
      <x:c r="H2230" s="25" t="n">
        <x:v>0</x:v>
      </x:c>
      <x:c r="I2230" s="25" t="n">
        <x:v>1</x:v>
      </x:c>
      <x:c r="J2230" s="25" t="n">
        <x:v>2</x:v>
      </x:c>
      <x:c r="K2230" s="19" t="n">
        <x:f>D2230-IF(H2230=0,1,0)</x:f>
        <x:v>4</x:v>
      </x:c>
      <x:c r="L2230" s="19" t="n">
        <x:f>E2230-IF(H2230=1,1,0)</x:f>
        <x:v>1</x:v>
      </x:c>
      <x:c r="M2230" s="19" t="n">
        <x:f>F2230-IF(H2230=2,1,0)</x:f>
        <x:v>3</x:v>
      </x:c>
      <x:c r="N2230" s="19" t="n">
        <x:f>MAX(K2230-1,0)+MAX(L2230-1,0)+MAX(M2230-1,0)</x:f>
        <x:v>5</x:v>
      </x:c>
      <x:c r="O2230" s="19" t="n">
        <x:f>IF(AND(SUM(K2230:M2230)&lt;9,OR(M2230=0,N2230&lt;6)),1,0)</x:f>
        <x:v>1</x:v>
      </x:c>
      <x:c r="P2230" s="19" t="n">
        <x:f>IF(AND(SUM(K2230:M2230)&lt;9,OR(L2230=0,N2230&lt;6)),1,0)</x:f>
        <x:v>1</x:v>
      </x:c>
      <x:c r="Q2230" s="19" t="n">
        <x:f>IF(AND(SUM(K2230:M2230)&lt;9,OR(K2230=0,N2230&lt;6)),1,0)</x:f>
        <x:v>1</x:v>
      </x:c>
      <x:c r="R2230" s="22" t="str">
        <x:f>O2230&amp;P2230&amp;Q2230</x:f>
        <x:v>111</x:v>
      </x:c>
      <x:c r="S2230" s="19" t="n">
        <x:f>IF(I2230=1,IF(J2230=0,Q2230,IF(J2230=1,P2230,IF(J2230=2,O2230,0))),0)</x:f>
        <x:v>1</x:v>
      </x:c>
      <x:c r="T2230" s="19" t="n">
        <x:f>K2230+IF(AND(S2230=1,J2230=0),1,0)</x:f>
        <x:v>4</x:v>
      </x:c>
      <x:c r="U2230" s="19" t="n">
        <x:f>L2230+IF(AND(S2230=1,J2230=1),1,0)</x:f>
        <x:v>1</x:v>
      </x:c>
      <x:c r="V2230" s="19" t="n">
        <x:f>M2230+IF(AND(S2230=1,J2230=2),1,0)</x:f>
        <x:v>4</x:v>
      </x:c>
      <x:c r="W2230" s="19" t="n">
        <x:f>SUM(T2230:V2230)</x:f>
        <x:v>9</x:v>
      </x:c>
      <x:c r="X2230" s="19" t="n">
        <x:f>W2230-G2230</x:f>
        <x:v>0</x:v>
      </x:c>
      <x:c r="Y2230" s="19" t="n">
        <x:f>MAX(T2230,1)+MAX(U2230,1)+MAX(V2230,1)</x:f>
        <x:v>9</x:v>
      </x:c>
      <x:c r="Z2230" s="21" t="str">
        <x:f>IF(AND(MIN(D2230:F2230)&gt;=0,MAX(D2230:F2230)&lt;=7,MAX(D2230,1)+MAX(E2230,1)+MAX(F2230,1)&lt;=9,OR(H2230="-",AND(H2230=0,D2230&gt;0),AND(H2230=1,E2230&gt;0),AND(H2230=2,F2230&gt;0)),OR(I2230=0,AND(I2230=1,OR(J2230=0,J2230=1,J2230=2),R2230&lt;&gt;"000")),Y2230&lt;=9,MIN(T2230:V2230)&gt;=0),"合法","输入违约")</x:f>
        <x:v>合法</x:v>
      </x:c>
    </x:row>
    <x:row r="2231" ht="23" customHeight="1">
      <x:c r="A2231" s="3" t="str">
        <x:v>CT-2224</x:v>
      </x:c>
      <x:c r="B2231" s="3" t="str">
        <x:v>ST-185</x:v>
      </x:c>
      <x:c r="C2231" s="3" t="str">
        <x:v>仅R回收</x:v>
      </x:c>
      <x:c r="D2231" s="25" t="n">
        <x:v>5</x:v>
      </x:c>
      <x:c r="E2231" s="25" t="n">
        <x:v>1</x:v>
      </x:c>
      <x:c r="F2231" s="25" t="n">
        <x:v>3</x:v>
      </x:c>
      <x:c r="G2231" s="19" t="n">
        <x:f>SUM(D2231:F2231)</x:f>
        <x:v>9</x:v>
      </x:c>
      <x:c r="H2231" s="25" t="n">
        <x:v>1</x:v>
      </x:c>
      <x:c r="I2231" s="25" t="n">
        <x:v>0</x:v>
      </x:c>
      <x:c r="J2231" s="25" t="str">
        <x:v>-</x:v>
      </x:c>
      <x:c r="K2231" s="19" t="n">
        <x:f>D2231-IF(H2231=0,1,0)</x:f>
        <x:v>5</x:v>
      </x:c>
      <x:c r="L2231" s="19" t="n">
        <x:f>E2231-IF(H2231=1,1,0)</x:f>
        <x:v>0</x:v>
      </x:c>
      <x:c r="M2231" s="19" t="n">
        <x:f>F2231-IF(H2231=2,1,0)</x:f>
        <x:v>3</x:v>
      </x:c>
      <x:c r="N2231" s="19" t="n">
        <x:f>MAX(K2231-1,0)+MAX(L2231-1,0)+MAX(M2231-1,0)</x:f>
        <x:v>6</x:v>
      </x:c>
      <x:c r="O2231" s="19" t="n">
        <x:f>IF(AND(SUM(K2231:M2231)&lt;9,OR(M2231=0,N2231&lt;6)),1,0)</x:f>
        <x:v>0</x:v>
      </x:c>
      <x:c r="P2231" s="19" t="n">
        <x:f>IF(AND(SUM(K2231:M2231)&lt;9,OR(L2231=0,N2231&lt;6)),1,0)</x:f>
        <x:v>1</x:v>
      </x:c>
      <x:c r="Q2231" s="19" t="n">
        <x:f>IF(AND(SUM(K2231:M2231)&lt;9,OR(K2231=0,N2231&lt;6)),1,0)</x:f>
        <x:v>0</x:v>
      </x:c>
      <x:c r="R2231" s="22" t="str">
        <x:f>O2231&amp;P2231&amp;Q2231</x:f>
        <x:v>010</x:v>
      </x:c>
      <x:c r="S2231" s="19" t="n">
        <x:f>IF(I2231=1,IF(J2231=0,Q2231,IF(J2231=1,P2231,IF(J2231=2,O2231,0))),0)</x:f>
        <x:v>0</x:v>
      </x:c>
      <x:c r="T2231" s="19" t="n">
        <x:f>K2231+IF(AND(S2231=1,J2231=0),1,0)</x:f>
        <x:v>5</x:v>
      </x:c>
      <x:c r="U2231" s="19" t="n">
        <x:f>L2231+IF(AND(S2231=1,J2231=1),1,0)</x:f>
        <x:v>0</x:v>
      </x:c>
      <x:c r="V2231" s="19" t="n">
        <x:f>M2231+IF(AND(S2231=1,J2231=2),1,0)</x:f>
        <x:v>3</x:v>
      </x:c>
      <x:c r="W2231" s="19" t="n">
        <x:f>SUM(T2231:V2231)</x:f>
        <x:v>8</x:v>
      </x:c>
      <x:c r="X2231" s="19" t="n">
        <x:f>W2231-G2231</x:f>
        <x:v>-1</x:v>
      </x:c>
      <x:c r="Y2231" s="19" t="n">
        <x:f>MAX(T2231,1)+MAX(U2231,1)+MAX(V2231,1)</x:f>
        <x:v>9</x:v>
      </x:c>
      <x:c r="Z2231" s="21" t="str">
        <x:f>IF(AND(MIN(D2231:F2231)&gt;=0,MAX(D2231:F2231)&lt;=7,MAX(D2231,1)+MAX(E2231,1)+MAX(F2231,1)&lt;=9,OR(H2231="-",AND(H2231=0,D2231&gt;0),AND(H2231=1,E2231&gt;0),AND(H2231=2,F2231&gt;0)),OR(I2231=0,AND(I2231=1,OR(J2231=0,J2231=1,J2231=2),R2231&lt;&gt;"000")),Y2231&lt;=9,MIN(T2231:V2231)&gt;=0),"合法","输入违约")</x:f>
        <x:v>合法</x:v>
      </x:c>
    </x:row>
    <x:row r="2232" ht="23" customHeight="1">
      <x:c r="A2232" s="3" t="str">
        <x:v>CT-2225</x:v>
      </x:c>
      <x:c r="B2232" s="3" t="str">
        <x:v>ST-185</x:v>
      </x:c>
      <x:c r="C2232" s="3" t="str">
        <x:v>仅R回收</x:v>
      </x:c>
      <x:c r="D2232" s="25" t="n">
        <x:v>5</x:v>
      </x:c>
      <x:c r="E2232" s="25" t="n">
        <x:v>1</x:v>
      </x:c>
      <x:c r="F2232" s="25" t="n">
        <x:v>3</x:v>
      </x:c>
      <x:c r="G2232" s="19" t="n">
        <x:f>SUM(D2232:F2232)</x:f>
        <x:v>9</x:v>
      </x:c>
      <x:c r="H2232" s="25" t="n">
        <x:v>1</x:v>
      </x:c>
      <x:c r="I2232" s="25" t="n">
        <x:v>1</x:v>
      </x:c>
      <x:c r="J2232" s="25" t="n">
        <x:v>0</x:v>
      </x:c>
      <x:c r="K2232" s="19" t="n">
        <x:f>D2232-IF(H2232=0,1,0)</x:f>
        <x:v>5</x:v>
      </x:c>
      <x:c r="L2232" s="19" t="n">
        <x:f>E2232-IF(H2232=1,1,0)</x:f>
        <x:v>0</x:v>
      </x:c>
      <x:c r="M2232" s="19" t="n">
        <x:f>F2232-IF(H2232=2,1,0)</x:f>
        <x:v>3</x:v>
      </x:c>
      <x:c r="N2232" s="19" t="n">
        <x:f>MAX(K2232-1,0)+MAX(L2232-1,0)+MAX(M2232-1,0)</x:f>
        <x:v>6</x:v>
      </x:c>
      <x:c r="O2232" s="19" t="n">
        <x:f>IF(AND(SUM(K2232:M2232)&lt;9,OR(M2232=0,N2232&lt;6)),1,0)</x:f>
        <x:v>0</x:v>
      </x:c>
      <x:c r="P2232" s="19" t="n">
        <x:f>IF(AND(SUM(K2232:M2232)&lt;9,OR(L2232=0,N2232&lt;6)),1,0)</x:f>
        <x:v>1</x:v>
      </x:c>
      <x:c r="Q2232" s="19" t="n">
        <x:f>IF(AND(SUM(K2232:M2232)&lt;9,OR(K2232=0,N2232&lt;6)),1,0)</x:f>
        <x:v>0</x:v>
      </x:c>
      <x:c r="R2232" s="22" t="str">
        <x:f>O2232&amp;P2232&amp;Q2232</x:f>
        <x:v>010</x:v>
      </x:c>
      <x:c r="S2232" s="19" t="n">
        <x:f>IF(I2232=1,IF(J2232=0,Q2232,IF(J2232=1,P2232,IF(J2232=2,O2232,0))),0)</x:f>
        <x:v>0</x:v>
      </x:c>
      <x:c r="T2232" s="19" t="n">
        <x:f>K2232+IF(AND(S2232=1,J2232=0),1,0)</x:f>
        <x:v>5</x:v>
      </x:c>
      <x:c r="U2232" s="19" t="n">
        <x:f>L2232+IF(AND(S2232=1,J2232=1),1,0)</x:f>
        <x:v>0</x:v>
      </x:c>
      <x:c r="V2232" s="19" t="n">
        <x:f>M2232+IF(AND(S2232=1,J2232=2),1,0)</x:f>
        <x:v>3</x:v>
      </x:c>
      <x:c r="W2232" s="19" t="n">
        <x:f>SUM(T2232:V2232)</x:f>
        <x:v>8</x:v>
      </x:c>
      <x:c r="X2232" s="19" t="n">
        <x:f>W2232-G2232</x:f>
        <x:v>-1</x:v>
      </x:c>
      <x:c r="Y2232" s="19" t="n">
        <x:f>MAX(T2232,1)+MAX(U2232,1)+MAX(V2232,1)</x:f>
        <x:v>9</x:v>
      </x:c>
      <x:c r="Z2232" s="21" t="str">
        <x:f>IF(AND(MIN(D2232:F2232)&gt;=0,MAX(D2232:F2232)&lt;=7,MAX(D2232,1)+MAX(E2232,1)+MAX(F2232,1)&lt;=9,OR(H2232="-",AND(H2232=0,D2232&gt;0),AND(H2232=1,E2232&gt;0),AND(H2232=2,F2232&gt;0)),OR(I2232=0,AND(I2232=1,OR(J2232=0,J2232=1,J2232=2),R2232&lt;&gt;"000")),Y2232&lt;=9,MIN(T2232:V2232)&gt;=0),"合法","输入违约")</x:f>
        <x:v>合法</x:v>
      </x:c>
    </x:row>
    <x:row r="2233" ht="23" customHeight="1">
      <x:c r="A2233" s="3" t="str">
        <x:v>CT-2226</x:v>
      </x:c>
      <x:c r="B2233" s="3" t="str">
        <x:v>ST-185</x:v>
      </x:c>
      <x:c r="C2233" s="3" t="str">
        <x:v>R+AR同收同发</x:v>
      </x:c>
      <x:c r="D2233" s="25" t="n">
        <x:v>5</x:v>
      </x:c>
      <x:c r="E2233" s="25" t="n">
        <x:v>1</x:v>
      </x:c>
      <x:c r="F2233" s="25" t="n">
        <x:v>3</x:v>
      </x:c>
      <x:c r="G2233" s="19" t="n">
        <x:f>SUM(D2233:F2233)</x:f>
        <x:v>9</x:v>
      </x:c>
      <x:c r="H2233" s="25" t="n">
        <x:v>1</x:v>
      </x:c>
      <x:c r="I2233" s="25" t="n">
        <x:v>1</x:v>
      </x:c>
      <x:c r="J2233" s="25" t="n">
        <x:v>1</x:v>
      </x:c>
      <x:c r="K2233" s="19" t="n">
        <x:f>D2233-IF(H2233=0,1,0)</x:f>
        <x:v>5</x:v>
      </x:c>
      <x:c r="L2233" s="19" t="n">
        <x:f>E2233-IF(H2233=1,1,0)</x:f>
        <x:v>0</x:v>
      </x:c>
      <x:c r="M2233" s="19" t="n">
        <x:f>F2233-IF(H2233=2,1,0)</x:f>
        <x:v>3</x:v>
      </x:c>
      <x:c r="N2233" s="19" t="n">
        <x:f>MAX(K2233-1,0)+MAX(L2233-1,0)+MAX(M2233-1,0)</x:f>
        <x:v>6</x:v>
      </x:c>
      <x:c r="O2233" s="19" t="n">
        <x:f>IF(AND(SUM(K2233:M2233)&lt;9,OR(M2233=0,N2233&lt;6)),1,0)</x:f>
        <x:v>0</x:v>
      </x:c>
      <x:c r="P2233" s="19" t="n">
        <x:f>IF(AND(SUM(K2233:M2233)&lt;9,OR(L2233=0,N2233&lt;6)),1,0)</x:f>
        <x:v>1</x:v>
      </x:c>
      <x:c r="Q2233" s="19" t="n">
        <x:f>IF(AND(SUM(K2233:M2233)&lt;9,OR(K2233=0,N2233&lt;6)),1,0)</x:f>
        <x:v>0</x:v>
      </x:c>
      <x:c r="R2233" s="22" t="str">
        <x:f>O2233&amp;P2233&amp;Q2233</x:f>
        <x:v>010</x:v>
      </x:c>
      <x:c r="S2233" s="19" t="n">
        <x:f>IF(I2233=1,IF(J2233=0,Q2233,IF(J2233=1,P2233,IF(J2233=2,O2233,0))),0)</x:f>
        <x:v>1</x:v>
      </x:c>
      <x:c r="T2233" s="19" t="n">
        <x:f>K2233+IF(AND(S2233=1,J2233=0),1,0)</x:f>
        <x:v>5</x:v>
      </x:c>
      <x:c r="U2233" s="19" t="n">
        <x:f>L2233+IF(AND(S2233=1,J2233=1),1,0)</x:f>
        <x:v>1</x:v>
      </x:c>
      <x:c r="V2233" s="19" t="n">
        <x:f>M2233+IF(AND(S2233=1,J2233=2),1,0)</x:f>
        <x:v>3</x:v>
      </x:c>
      <x:c r="W2233" s="19" t="n">
        <x:f>SUM(T2233:V2233)</x:f>
        <x:v>9</x:v>
      </x:c>
      <x:c r="X2233" s="19" t="n">
        <x:f>W2233-G2233</x:f>
        <x:v>0</x:v>
      </x:c>
      <x:c r="Y2233" s="19" t="n">
        <x:f>MAX(T2233,1)+MAX(U2233,1)+MAX(V2233,1)</x:f>
        <x:v>9</x:v>
      </x:c>
      <x:c r="Z2233" s="21" t="str">
        <x:f>IF(AND(MIN(D2233:F2233)&gt;=0,MAX(D2233:F2233)&lt;=7,MAX(D2233,1)+MAX(E2233,1)+MAX(F2233,1)&lt;=9,OR(H2233="-",AND(H2233=0,D2233&gt;0),AND(H2233=1,E2233&gt;0),AND(H2233=2,F2233&gt;0)),OR(I2233=0,AND(I2233=1,OR(J2233=0,J2233=1,J2233=2),R2233&lt;&gt;"000")),Y2233&lt;=9,MIN(T2233:V2233)&gt;=0),"合法","输入违约")</x:f>
        <x:v>合法</x:v>
      </x:c>
    </x:row>
    <x:row r="2234" ht="23" customHeight="1">
      <x:c r="A2234" s="3" t="str">
        <x:v>CT-2227</x:v>
      </x:c>
      <x:c r="B2234" s="3" t="str">
        <x:v>ST-185</x:v>
      </x:c>
      <x:c r="C2234" s="3" t="str">
        <x:v>仅R回收</x:v>
      </x:c>
      <x:c r="D2234" s="25" t="n">
        <x:v>5</x:v>
      </x:c>
      <x:c r="E2234" s="25" t="n">
        <x:v>1</x:v>
      </x:c>
      <x:c r="F2234" s="25" t="n">
        <x:v>3</x:v>
      </x:c>
      <x:c r="G2234" s="19" t="n">
        <x:f>SUM(D2234:F2234)</x:f>
        <x:v>9</x:v>
      </x:c>
      <x:c r="H2234" s="25" t="n">
        <x:v>1</x:v>
      </x:c>
      <x:c r="I2234" s="25" t="n">
        <x:v>1</x:v>
      </x:c>
      <x:c r="J2234" s="25" t="n">
        <x:v>2</x:v>
      </x:c>
      <x:c r="K2234" s="19" t="n">
        <x:f>D2234-IF(H2234=0,1,0)</x:f>
        <x:v>5</x:v>
      </x:c>
      <x:c r="L2234" s="19" t="n">
        <x:f>E2234-IF(H2234=1,1,0)</x:f>
        <x:v>0</x:v>
      </x:c>
      <x:c r="M2234" s="19" t="n">
        <x:f>F2234-IF(H2234=2,1,0)</x:f>
        <x:v>3</x:v>
      </x:c>
      <x:c r="N2234" s="19" t="n">
        <x:f>MAX(K2234-1,0)+MAX(L2234-1,0)+MAX(M2234-1,0)</x:f>
        <x:v>6</x:v>
      </x:c>
      <x:c r="O2234" s="19" t="n">
        <x:f>IF(AND(SUM(K2234:M2234)&lt;9,OR(M2234=0,N2234&lt;6)),1,0)</x:f>
        <x:v>0</x:v>
      </x:c>
      <x:c r="P2234" s="19" t="n">
        <x:f>IF(AND(SUM(K2234:M2234)&lt;9,OR(L2234=0,N2234&lt;6)),1,0)</x:f>
        <x:v>1</x:v>
      </x:c>
      <x:c r="Q2234" s="19" t="n">
        <x:f>IF(AND(SUM(K2234:M2234)&lt;9,OR(K2234=0,N2234&lt;6)),1,0)</x:f>
        <x:v>0</x:v>
      </x:c>
      <x:c r="R2234" s="22" t="str">
        <x:f>O2234&amp;P2234&amp;Q2234</x:f>
        <x:v>010</x:v>
      </x:c>
      <x:c r="S2234" s="19" t="n">
        <x:f>IF(I2234=1,IF(J2234=0,Q2234,IF(J2234=1,P2234,IF(J2234=2,O2234,0))),0)</x:f>
        <x:v>0</x:v>
      </x:c>
      <x:c r="T2234" s="19" t="n">
        <x:f>K2234+IF(AND(S2234=1,J2234=0),1,0)</x:f>
        <x:v>5</x:v>
      </x:c>
      <x:c r="U2234" s="19" t="n">
        <x:f>L2234+IF(AND(S2234=1,J2234=1),1,0)</x:f>
        <x:v>0</x:v>
      </x:c>
      <x:c r="V2234" s="19" t="n">
        <x:f>M2234+IF(AND(S2234=1,J2234=2),1,0)</x:f>
        <x:v>3</x:v>
      </x:c>
      <x:c r="W2234" s="19" t="n">
        <x:f>SUM(T2234:V2234)</x:f>
        <x:v>8</x:v>
      </x:c>
      <x:c r="X2234" s="19" t="n">
        <x:f>W2234-G2234</x:f>
        <x:v>-1</x:v>
      </x:c>
      <x:c r="Y2234" s="19" t="n">
        <x:f>MAX(T2234,1)+MAX(U2234,1)+MAX(V2234,1)</x:f>
        <x:v>9</x:v>
      </x:c>
      <x:c r="Z2234" s="21" t="str">
        <x:f>IF(AND(MIN(D2234:F2234)&gt;=0,MAX(D2234:F2234)&lt;=7,MAX(D2234,1)+MAX(E2234,1)+MAX(F2234,1)&lt;=9,OR(H2234="-",AND(H2234=0,D2234&gt;0),AND(H2234=1,E2234&gt;0),AND(H2234=2,F2234&gt;0)),OR(I2234=0,AND(I2234=1,OR(J2234=0,J2234=1,J2234=2),R2234&lt;&gt;"000")),Y2234&lt;=9,MIN(T2234:V2234)&gt;=0),"合法","输入违约")</x:f>
        <x:v>合法</x:v>
      </x:c>
    </x:row>
    <x:row r="2235" ht="23" customHeight="1">
      <x:c r="A2235" s="3" t="str">
        <x:v>CT-2228</x:v>
      </x:c>
      <x:c r="B2235" s="3" t="str">
        <x:v>ST-185</x:v>
      </x:c>
      <x:c r="C2235" s="3" t="str">
        <x:v>仅R回收</x:v>
      </x:c>
      <x:c r="D2235" s="25" t="n">
        <x:v>5</x:v>
      </x:c>
      <x:c r="E2235" s="25" t="n">
        <x:v>1</x:v>
      </x:c>
      <x:c r="F2235" s="25" t="n">
        <x:v>3</x:v>
      </x:c>
      <x:c r="G2235" s="19" t="n">
        <x:f>SUM(D2235:F2235)</x:f>
        <x:v>9</x:v>
      </x:c>
      <x:c r="H2235" s="25" t="n">
        <x:v>2</x:v>
      </x:c>
      <x:c r="I2235" s="25" t="n">
        <x:v>0</x:v>
      </x:c>
      <x:c r="J2235" s="25" t="str">
        <x:v>-</x:v>
      </x:c>
      <x:c r="K2235" s="19" t="n">
        <x:f>D2235-IF(H2235=0,1,0)</x:f>
        <x:v>5</x:v>
      </x:c>
      <x:c r="L2235" s="19" t="n">
        <x:f>E2235-IF(H2235=1,1,0)</x:f>
        <x:v>1</x:v>
      </x:c>
      <x:c r="M2235" s="19" t="n">
        <x:f>F2235-IF(H2235=2,1,0)</x:f>
        <x:v>2</x:v>
      </x:c>
      <x:c r="N2235" s="19" t="n">
        <x:f>MAX(K2235-1,0)+MAX(L2235-1,0)+MAX(M2235-1,0)</x:f>
        <x:v>5</x:v>
      </x:c>
      <x:c r="O2235" s="19" t="n">
        <x:f>IF(AND(SUM(K2235:M2235)&lt;9,OR(M2235=0,N2235&lt;6)),1,0)</x:f>
        <x:v>1</x:v>
      </x:c>
      <x:c r="P2235" s="19" t="n">
        <x:f>IF(AND(SUM(K2235:M2235)&lt;9,OR(L2235=0,N2235&lt;6)),1,0)</x:f>
        <x:v>1</x:v>
      </x:c>
      <x:c r="Q2235" s="19" t="n">
        <x:f>IF(AND(SUM(K2235:M2235)&lt;9,OR(K2235=0,N2235&lt;6)),1,0)</x:f>
        <x:v>1</x:v>
      </x:c>
      <x:c r="R2235" s="22" t="str">
        <x:f>O2235&amp;P2235&amp;Q2235</x:f>
        <x:v>111</x:v>
      </x:c>
      <x:c r="S2235" s="19" t="n">
        <x:f>IF(I2235=1,IF(J2235=0,Q2235,IF(J2235=1,P2235,IF(J2235=2,O2235,0))),0)</x:f>
        <x:v>0</x:v>
      </x:c>
      <x:c r="T2235" s="19" t="n">
        <x:f>K2235+IF(AND(S2235=1,J2235=0),1,0)</x:f>
        <x:v>5</x:v>
      </x:c>
      <x:c r="U2235" s="19" t="n">
        <x:f>L2235+IF(AND(S2235=1,J2235=1),1,0)</x:f>
        <x:v>1</x:v>
      </x:c>
      <x:c r="V2235" s="19" t="n">
        <x:f>M2235+IF(AND(S2235=1,J2235=2),1,0)</x:f>
        <x:v>2</x:v>
      </x:c>
      <x:c r="W2235" s="19" t="n">
        <x:f>SUM(T2235:V2235)</x:f>
        <x:v>8</x:v>
      </x:c>
      <x:c r="X2235" s="19" t="n">
        <x:f>W2235-G2235</x:f>
        <x:v>-1</x:v>
      </x:c>
      <x:c r="Y2235" s="19" t="n">
        <x:f>MAX(T2235,1)+MAX(U2235,1)+MAX(V2235,1)</x:f>
        <x:v>8</x:v>
      </x:c>
      <x:c r="Z2235" s="21" t="str">
        <x:f>IF(AND(MIN(D2235:F2235)&gt;=0,MAX(D2235:F2235)&lt;=7,MAX(D2235,1)+MAX(E2235,1)+MAX(F2235,1)&lt;=9,OR(H2235="-",AND(H2235=0,D2235&gt;0),AND(H2235=1,E2235&gt;0),AND(H2235=2,F2235&gt;0)),OR(I2235=0,AND(I2235=1,OR(J2235=0,J2235=1,J2235=2),R2235&lt;&gt;"000")),Y2235&lt;=9,MIN(T2235:V2235)&gt;=0),"合法","输入违约")</x:f>
        <x:v>合法</x:v>
      </x:c>
    </x:row>
    <x:row r="2236" ht="23" customHeight="1">
      <x:c r="A2236" s="3" t="str">
        <x:v>CT-2229</x:v>
      </x:c>
      <x:c r="B2236" s="3" t="str">
        <x:v>ST-185</x:v>
      </x:c>
      <x:c r="C2236" s="3" t="str">
        <x:v>R+AR同收同发</x:v>
      </x:c>
      <x:c r="D2236" s="25" t="n">
        <x:v>5</x:v>
      </x:c>
      <x:c r="E2236" s="25" t="n">
        <x:v>1</x:v>
      </x:c>
      <x:c r="F2236" s="25" t="n">
        <x:v>3</x:v>
      </x:c>
      <x:c r="G2236" s="19" t="n">
        <x:f>SUM(D2236:F2236)</x:f>
        <x:v>9</x:v>
      </x:c>
      <x:c r="H2236" s="25" t="n">
        <x:v>2</x:v>
      </x:c>
      <x:c r="I2236" s="25" t="n">
        <x:v>1</x:v>
      </x:c>
      <x:c r="J2236" s="25" t="n">
        <x:v>0</x:v>
      </x:c>
      <x:c r="K2236" s="19" t="n">
        <x:f>D2236-IF(H2236=0,1,0)</x:f>
        <x:v>5</x:v>
      </x:c>
      <x:c r="L2236" s="19" t="n">
        <x:f>E2236-IF(H2236=1,1,0)</x:f>
        <x:v>1</x:v>
      </x:c>
      <x:c r="M2236" s="19" t="n">
        <x:f>F2236-IF(H2236=2,1,0)</x:f>
        <x:v>2</x:v>
      </x:c>
      <x:c r="N2236" s="19" t="n">
        <x:f>MAX(K2236-1,0)+MAX(L2236-1,0)+MAX(M2236-1,0)</x:f>
        <x:v>5</x:v>
      </x:c>
      <x:c r="O2236" s="19" t="n">
        <x:f>IF(AND(SUM(K2236:M2236)&lt;9,OR(M2236=0,N2236&lt;6)),1,0)</x:f>
        <x:v>1</x:v>
      </x:c>
      <x:c r="P2236" s="19" t="n">
        <x:f>IF(AND(SUM(K2236:M2236)&lt;9,OR(L2236=0,N2236&lt;6)),1,0)</x:f>
        <x:v>1</x:v>
      </x:c>
      <x:c r="Q2236" s="19" t="n">
        <x:f>IF(AND(SUM(K2236:M2236)&lt;9,OR(K2236=0,N2236&lt;6)),1,0)</x:f>
        <x:v>1</x:v>
      </x:c>
      <x:c r="R2236" s="22" t="str">
        <x:f>O2236&amp;P2236&amp;Q2236</x:f>
        <x:v>111</x:v>
      </x:c>
      <x:c r="S2236" s="19" t="n">
        <x:f>IF(I2236=1,IF(J2236=0,Q2236,IF(J2236=1,P2236,IF(J2236=2,O2236,0))),0)</x:f>
        <x:v>1</x:v>
      </x:c>
      <x:c r="T2236" s="19" t="n">
        <x:f>K2236+IF(AND(S2236=1,J2236=0),1,0)</x:f>
        <x:v>6</x:v>
      </x:c>
      <x:c r="U2236" s="19" t="n">
        <x:f>L2236+IF(AND(S2236=1,J2236=1),1,0)</x:f>
        <x:v>1</x:v>
      </x:c>
      <x:c r="V2236" s="19" t="n">
        <x:f>M2236+IF(AND(S2236=1,J2236=2),1,0)</x:f>
        <x:v>2</x:v>
      </x:c>
      <x:c r="W2236" s="19" t="n">
        <x:f>SUM(T2236:V2236)</x:f>
        <x:v>9</x:v>
      </x:c>
      <x:c r="X2236" s="19" t="n">
        <x:f>W2236-G2236</x:f>
        <x:v>0</x:v>
      </x:c>
      <x:c r="Y2236" s="19" t="n">
        <x:f>MAX(T2236,1)+MAX(U2236,1)+MAX(V2236,1)</x:f>
        <x:v>9</x:v>
      </x:c>
      <x:c r="Z2236" s="21" t="str">
        <x:f>IF(AND(MIN(D2236:F2236)&gt;=0,MAX(D2236:F2236)&lt;=7,MAX(D2236,1)+MAX(E2236,1)+MAX(F2236,1)&lt;=9,OR(H2236="-",AND(H2236=0,D2236&gt;0),AND(H2236=1,E2236&gt;0),AND(H2236=2,F2236&gt;0)),OR(I2236=0,AND(I2236=1,OR(J2236=0,J2236=1,J2236=2),R2236&lt;&gt;"000")),Y2236&lt;=9,MIN(T2236:V2236)&gt;=0),"合法","输入违约")</x:f>
        <x:v>合法</x:v>
      </x:c>
    </x:row>
    <x:row r="2237" ht="23" customHeight="1">
      <x:c r="A2237" s="3" t="str">
        <x:v>CT-2230</x:v>
      </x:c>
      <x:c r="B2237" s="3" t="str">
        <x:v>ST-185</x:v>
      </x:c>
      <x:c r="C2237" s="3" t="str">
        <x:v>R+AR同收同发</x:v>
      </x:c>
      <x:c r="D2237" s="25" t="n">
        <x:v>5</x:v>
      </x:c>
      <x:c r="E2237" s="25" t="n">
        <x:v>1</x:v>
      </x:c>
      <x:c r="F2237" s="25" t="n">
        <x:v>3</x:v>
      </x:c>
      <x:c r="G2237" s="19" t="n">
        <x:f>SUM(D2237:F2237)</x:f>
        <x:v>9</x:v>
      </x:c>
      <x:c r="H2237" s="25" t="n">
        <x:v>2</x:v>
      </x:c>
      <x:c r="I2237" s="25" t="n">
        <x:v>1</x:v>
      </x:c>
      <x:c r="J2237" s="25" t="n">
        <x:v>1</x:v>
      </x:c>
      <x:c r="K2237" s="19" t="n">
        <x:f>D2237-IF(H2237=0,1,0)</x:f>
        <x:v>5</x:v>
      </x:c>
      <x:c r="L2237" s="19" t="n">
        <x:f>E2237-IF(H2237=1,1,0)</x:f>
        <x:v>1</x:v>
      </x:c>
      <x:c r="M2237" s="19" t="n">
        <x:f>F2237-IF(H2237=2,1,0)</x:f>
        <x:v>2</x:v>
      </x:c>
      <x:c r="N2237" s="19" t="n">
        <x:f>MAX(K2237-1,0)+MAX(L2237-1,0)+MAX(M2237-1,0)</x:f>
        <x:v>5</x:v>
      </x:c>
      <x:c r="O2237" s="19" t="n">
        <x:f>IF(AND(SUM(K2237:M2237)&lt;9,OR(M2237=0,N2237&lt;6)),1,0)</x:f>
        <x:v>1</x:v>
      </x:c>
      <x:c r="P2237" s="19" t="n">
        <x:f>IF(AND(SUM(K2237:M2237)&lt;9,OR(L2237=0,N2237&lt;6)),1,0)</x:f>
        <x:v>1</x:v>
      </x:c>
      <x:c r="Q2237" s="19" t="n">
        <x:f>IF(AND(SUM(K2237:M2237)&lt;9,OR(K2237=0,N2237&lt;6)),1,0)</x:f>
        <x:v>1</x:v>
      </x:c>
      <x:c r="R2237" s="22" t="str">
        <x:f>O2237&amp;P2237&amp;Q2237</x:f>
        <x:v>111</x:v>
      </x:c>
      <x:c r="S2237" s="19" t="n">
        <x:f>IF(I2237=1,IF(J2237=0,Q2237,IF(J2237=1,P2237,IF(J2237=2,O2237,0))),0)</x:f>
        <x:v>1</x:v>
      </x:c>
      <x:c r="T2237" s="19" t="n">
        <x:f>K2237+IF(AND(S2237=1,J2237=0),1,0)</x:f>
        <x:v>5</x:v>
      </x:c>
      <x:c r="U2237" s="19" t="n">
        <x:f>L2237+IF(AND(S2237=1,J2237=1),1,0)</x:f>
        <x:v>2</x:v>
      </x:c>
      <x:c r="V2237" s="19" t="n">
        <x:f>M2237+IF(AND(S2237=1,J2237=2),1,0)</x:f>
        <x:v>2</x:v>
      </x:c>
      <x:c r="W2237" s="19" t="n">
        <x:f>SUM(T2237:V2237)</x:f>
        <x:v>9</x:v>
      </x:c>
      <x:c r="X2237" s="19" t="n">
        <x:f>W2237-G2237</x:f>
        <x:v>0</x:v>
      </x:c>
      <x:c r="Y2237" s="19" t="n">
        <x:f>MAX(T2237,1)+MAX(U2237,1)+MAX(V2237,1)</x:f>
        <x:v>9</x:v>
      </x:c>
      <x:c r="Z2237" s="21" t="str">
        <x:f>IF(AND(MIN(D2237:F2237)&gt;=0,MAX(D2237:F2237)&lt;=7,MAX(D2237,1)+MAX(E2237,1)+MAX(F2237,1)&lt;=9,OR(H2237="-",AND(H2237=0,D2237&gt;0),AND(H2237=1,E2237&gt;0),AND(H2237=2,F2237&gt;0)),OR(I2237=0,AND(I2237=1,OR(J2237=0,J2237=1,J2237=2),R2237&lt;&gt;"000")),Y2237&lt;=9,MIN(T2237:V2237)&gt;=0),"合法","输入违约")</x:f>
        <x:v>合法</x:v>
      </x:c>
    </x:row>
    <x:row r="2238" ht="23" customHeight="1">
      <x:c r="A2238" s="3" t="str">
        <x:v>CT-2231</x:v>
      </x:c>
      <x:c r="B2238" s="3" t="str">
        <x:v>ST-185</x:v>
      </x:c>
      <x:c r="C2238" s="3" t="str">
        <x:v>R+AR同收同发</x:v>
      </x:c>
      <x:c r="D2238" s="25" t="n">
        <x:v>5</x:v>
      </x:c>
      <x:c r="E2238" s="25" t="n">
        <x:v>1</x:v>
      </x:c>
      <x:c r="F2238" s="25" t="n">
        <x:v>3</x:v>
      </x:c>
      <x:c r="G2238" s="19" t="n">
        <x:f>SUM(D2238:F2238)</x:f>
        <x:v>9</x:v>
      </x:c>
      <x:c r="H2238" s="25" t="n">
        <x:v>2</x:v>
      </x:c>
      <x:c r="I2238" s="25" t="n">
        <x:v>1</x:v>
      </x:c>
      <x:c r="J2238" s="25" t="n">
        <x:v>2</x:v>
      </x:c>
      <x:c r="K2238" s="19" t="n">
        <x:f>D2238-IF(H2238=0,1,0)</x:f>
        <x:v>5</x:v>
      </x:c>
      <x:c r="L2238" s="19" t="n">
        <x:f>E2238-IF(H2238=1,1,0)</x:f>
        <x:v>1</x:v>
      </x:c>
      <x:c r="M2238" s="19" t="n">
        <x:f>F2238-IF(H2238=2,1,0)</x:f>
        <x:v>2</x:v>
      </x:c>
      <x:c r="N2238" s="19" t="n">
        <x:f>MAX(K2238-1,0)+MAX(L2238-1,0)+MAX(M2238-1,0)</x:f>
        <x:v>5</x:v>
      </x:c>
      <x:c r="O2238" s="19" t="n">
        <x:f>IF(AND(SUM(K2238:M2238)&lt;9,OR(M2238=0,N2238&lt;6)),1,0)</x:f>
        <x:v>1</x:v>
      </x:c>
      <x:c r="P2238" s="19" t="n">
        <x:f>IF(AND(SUM(K2238:M2238)&lt;9,OR(L2238=0,N2238&lt;6)),1,0)</x:f>
        <x:v>1</x:v>
      </x:c>
      <x:c r="Q2238" s="19" t="n">
        <x:f>IF(AND(SUM(K2238:M2238)&lt;9,OR(K2238=0,N2238&lt;6)),1,0)</x:f>
        <x:v>1</x:v>
      </x:c>
      <x:c r="R2238" s="22" t="str">
        <x:f>O2238&amp;P2238&amp;Q2238</x:f>
        <x:v>111</x:v>
      </x:c>
      <x:c r="S2238" s="19" t="n">
        <x:f>IF(I2238=1,IF(J2238=0,Q2238,IF(J2238=1,P2238,IF(J2238=2,O2238,0))),0)</x:f>
        <x:v>1</x:v>
      </x:c>
      <x:c r="T2238" s="19" t="n">
        <x:f>K2238+IF(AND(S2238=1,J2238=0),1,0)</x:f>
        <x:v>5</x:v>
      </x:c>
      <x:c r="U2238" s="19" t="n">
        <x:f>L2238+IF(AND(S2238=1,J2238=1),1,0)</x:f>
        <x:v>1</x:v>
      </x:c>
      <x:c r="V2238" s="19" t="n">
        <x:f>M2238+IF(AND(S2238=1,J2238=2),1,0)</x:f>
        <x:v>3</x:v>
      </x:c>
      <x:c r="W2238" s="19" t="n">
        <x:f>SUM(T2238:V2238)</x:f>
        <x:v>9</x:v>
      </x:c>
      <x:c r="X2238" s="19" t="n">
        <x:f>W2238-G2238</x:f>
        <x:v>0</x:v>
      </x:c>
      <x:c r="Y2238" s="19" t="n">
        <x:f>MAX(T2238,1)+MAX(U2238,1)+MAX(V2238,1)</x:f>
        <x:v>9</x:v>
      </x:c>
      <x:c r="Z2238" s="21" t="str">
        <x:f>IF(AND(MIN(D2238:F2238)&gt;=0,MAX(D2238:F2238)&lt;=7,MAX(D2238,1)+MAX(E2238,1)+MAX(F2238,1)&lt;=9,OR(H2238="-",AND(H2238=0,D2238&gt;0),AND(H2238=1,E2238&gt;0),AND(H2238=2,F2238&gt;0)),OR(I2238=0,AND(I2238=1,OR(J2238=0,J2238=1,J2238=2),R2238&lt;&gt;"000")),Y2238&lt;=9,MIN(T2238:V2238)&gt;=0),"合法","输入违约")</x:f>
        <x:v>合法</x:v>
      </x:c>
    </x:row>
    <x:row r="2239" ht="23" customHeight="1">
      <x:c r="A2239" s="3" t="str">
        <x:v>CT-2232</x:v>
      </x:c>
      <x:c r="B2239" s="3" t="str">
        <x:v>ST-117</x:v>
      </x:c>
      <x:c r="C2239" s="3" t="str">
        <x:v>无AR/R</x:v>
      </x:c>
      <x:c r="D2239" s="25" t="n">
        <x:v>5</x:v>
      </x:c>
      <x:c r="E2239" s="25" t="n">
        <x:v>2</x:v>
      </x:c>
      <x:c r="F2239" s="25" t="n">
        <x:v>0</x:v>
      </x:c>
      <x:c r="G2239" s="19" t="n">
        <x:f>SUM(D2239:F2239)</x:f>
        <x:v>7</x:v>
      </x:c>
      <x:c r="H2239" s="25" t="str">
        <x:v>-</x:v>
      </x:c>
      <x:c r="I2239" s="25" t="n">
        <x:v>0</x:v>
      </x:c>
      <x:c r="J2239" s="25" t="str">
        <x:v>-</x:v>
      </x:c>
      <x:c r="K2239" s="19" t="n">
        <x:f>D2239-IF(H2239=0,1,0)</x:f>
        <x:v>5</x:v>
      </x:c>
      <x:c r="L2239" s="19" t="n">
        <x:f>E2239-IF(H2239=1,1,0)</x:f>
        <x:v>2</x:v>
      </x:c>
      <x:c r="M2239" s="19" t="n">
        <x:f>F2239-IF(H2239=2,1,0)</x:f>
        <x:v>0</x:v>
      </x:c>
      <x:c r="N2239" s="19" t="n">
        <x:f>MAX(K2239-1,0)+MAX(L2239-1,0)+MAX(M2239-1,0)</x:f>
        <x:v>5</x:v>
      </x:c>
      <x:c r="O2239" s="19" t="n">
        <x:f>IF(AND(SUM(K2239:M2239)&lt;9,OR(M2239=0,N2239&lt;6)),1,0)</x:f>
        <x:v>1</x:v>
      </x:c>
      <x:c r="P2239" s="19" t="n">
        <x:f>IF(AND(SUM(K2239:M2239)&lt;9,OR(L2239=0,N2239&lt;6)),1,0)</x:f>
        <x:v>1</x:v>
      </x:c>
      <x:c r="Q2239" s="19" t="n">
        <x:f>IF(AND(SUM(K2239:M2239)&lt;9,OR(K2239=0,N2239&lt;6)),1,0)</x:f>
        <x:v>1</x:v>
      </x:c>
      <x:c r="R2239" s="22" t="str">
        <x:f>O2239&amp;P2239&amp;Q2239</x:f>
        <x:v>111</x:v>
      </x:c>
      <x:c r="S2239" s="19" t="n">
        <x:f>IF(I2239=1,IF(J2239=0,Q2239,IF(J2239=1,P2239,IF(J2239=2,O2239,0))),0)</x:f>
        <x:v>0</x:v>
      </x:c>
      <x:c r="T2239" s="19" t="n">
        <x:f>K2239+IF(AND(S2239=1,J2239=0),1,0)</x:f>
        <x:v>5</x:v>
      </x:c>
      <x:c r="U2239" s="19" t="n">
        <x:f>L2239+IF(AND(S2239=1,J2239=1),1,0)</x:f>
        <x:v>2</x:v>
      </x:c>
      <x:c r="V2239" s="19" t="n">
        <x:f>M2239+IF(AND(S2239=1,J2239=2),1,0)</x:f>
        <x:v>0</x:v>
      </x:c>
      <x:c r="W2239" s="19" t="n">
        <x:f>SUM(T2239:V2239)</x:f>
        <x:v>7</x:v>
      </x:c>
      <x:c r="X2239" s="19" t="n">
        <x:f>W2239-G2239</x:f>
        <x:v>0</x:v>
      </x:c>
      <x:c r="Y2239" s="19" t="n">
        <x:f>MAX(T2239,1)+MAX(U2239,1)+MAX(V2239,1)</x:f>
        <x:v>8</x:v>
      </x:c>
      <x:c r="Z2239" s="21" t="str">
        <x:f>IF(AND(MIN(D2239:F2239)&gt;=0,MAX(D2239:F2239)&lt;=7,MAX(D2239,1)+MAX(E2239,1)+MAX(F2239,1)&lt;=9,OR(H2239="-",AND(H2239=0,D2239&gt;0),AND(H2239=1,E2239&gt;0),AND(H2239=2,F2239&gt;0)),OR(I2239=0,AND(I2239=1,OR(J2239=0,J2239=1,J2239=2),R2239&lt;&gt;"000")),Y2239&lt;=9,MIN(T2239:V2239)&gt;=0),"合法","输入违约")</x:f>
        <x:v>合法</x:v>
      </x:c>
    </x:row>
    <x:row r="2240" ht="23" customHeight="1">
      <x:c r="A2240" s="3" t="str">
        <x:v>CT-2233</x:v>
      </x:c>
      <x:c r="B2240" s="3" t="str">
        <x:v>ST-117</x:v>
      </x:c>
      <x:c r="C2240" s="3" t="str">
        <x:v>仅AR接收</x:v>
      </x:c>
      <x:c r="D2240" s="25" t="n">
        <x:v>5</x:v>
      </x:c>
      <x:c r="E2240" s="25" t="n">
        <x:v>2</x:v>
      </x:c>
      <x:c r="F2240" s="25" t="n">
        <x:v>0</x:v>
      </x:c>
      <x:c r="G2240" s="19" t="n">
        <x:f>SUM(D2240:F2240)</x:f>
        <x:v>7</x:v>
      </x:c>
      <x:c r="H2240" s="25" t="str">
        <x:v>-</x:v>
      </x:c>
      <x:c r="I2240" s="25" t="n">
        <x:v>1</x:v>
      </x:c>
      <x:c r="J2240" s="25" t="n">
        <x:v>0</x:v>
      </x:c>
      <x:c r="K2240" s="19" t="n">
        <x:f>D2240-IF(H2240=0,1,0)</x:f>
        <x:v>5</x:v>
      </x:c>
      <x:c r="L2240" s="19" t="n">
        <x:f>E2240-IF(H2240=1,1,0)</x:f>
        <x:v>2</x:v>
      </x:c>
      <x:c r="M2240" s="19" t="n">
        <x:f>F2240-IF(H2240=2,1,0)</x:f>
        <x:v>0</x:v>
      </x:c>
      <x:c r="N2240" s="19" t="n">
        <x:f>MAX(K2240-1,0)+MAX(L2240-1,0)+MAX(M2240-1,0)</x:f>
        <x:v>5</x:v>
      </x:c>
      <x:c r="O2240" s="19" t="n">
        <x:f>IF(AND(SUM(K2240:M2240)&lt;9,OR(M2240=0,N2240&lt;6)),1,0)</x:f>
        <x:v>1</x:v>
      </x:c>
      <x:c r="P2240" s="19" t="n">
        <x:f>IF(AND(SUM(K2240:M2240)&lt;9,OR(L2240=0,N2240&lt;6)),1,0)</x:f>
        <x:v>1</x:v>
      </x:c>
      <x:c r="Q2240" s="19" t="n">
        <x:f>IF(AND(SUM(K2240:M2240)&lt;9,OR(K2240=0,N2240&lt;6)),1,0)</x:f>
        <x:v>1</x:v>
      </x:c>
      <x:c r="R2240" s="22" t="str">
        <x:f>O2240&amp;P2240&amp;Q2240</x:f>
        <x:v>111</x:v>
      </x:c>
      <x:c r="S2240" s="19" t="n">
        <x:f>IF(I2240=1,IF(J2240=0,Q2240,IF(J2240=1,P2240,IF(J2240=2,O2240,0))),0)</x:f>
        <x:v>1</x:v>
      </x:c>
      <x:c r="T2240" s="19" t="n">
        <x:f>K2240+IF(AND(S2240=1,J2240=0),1,0)</x:f>
        <x:v>6</x:v>
      </x:c>
      <x:c r="U2240" s="19" t="n">
        <x:f>L2240+IF(AND(S2240=1,J2240=1),1,0)</x:f>
        <x:v>2</x:v>
      </x:c>
      <x:c r="V2240" s="19" t="n">
        <x:f>M2240+IF(AND(S2240=1,J2240=2),1,0)</x:f>
        <x:v>0</x:v>
      </x:c>
      <x:c r="W2240" s="19" t="n">
        <x:f>SUM(T2240:V2240)</x:f>
        <x:v>8</x:v>
      </x:c>
      <x:c r="X2240" s="19" t="n">
        <x:f>W2240-G2240</x:f>
        <x:v>1</x:v>
      </x:c>
      <x:c r="Y2240" s="19" t="n">
        <x:f>MAX(T2240,1)+MAX(U2240,1)+MAX(V2240,1)</x:f>
        <x:v>9</x:v>
      </x:c>
      <x:c r="Z2240" s="21" t="str">
        <x:f>IF(AND(MIN(D2240:F2240)&gt;=0,MAX(D2240:F2240)&lt;=7,MAX(D2240,1)+MAX(E2240,1)+MAX(F2240,1)&lt;=9,OR(H2240="-",AND(H2240=0,D2240&gt;0),AND(H2240=1,E2240&gt;0),AND(H2240=2,F2240&gt;0)),OR(I2240=0,AND(I2240=1,OR(J2240=0,J2240=1,J2240=2),R2240&lt;&gt;"000")),Y2240&lt;=9,MIN(T2240:V2240)&gt;=0),"合法","输入违约")</x:f>
        <x:v>合法</x:v>
      </x:c>
    </x:row>
    <x:row r="2241" ht="23" customHeight="1">
      <x:c r="A2241" s="3" t="str">
        <x:v>CT-2234</x:v>
      </x:c>
      <x:c r="B2241" s="3" t="str">
        <x:v>ST-117</x:v>
      </x:c>
      <x:c r="C2241" s="3" t="str">
        <x:v>仅AR接收</x:v>
      </x:c>
      <x:c r="D2241" s="25" t="n">
        <x:v>5</x:v>
      </x:c>
      <x:c r="E2241" s="25" t="n">
        <x:v>2</x:v>
      </x:c>
      <x:c r="F2241" s="25" t="n">
        <x:v>0</x:v>
      </x:c>
      <x:c r="G2241" s="19" t="n">
        <x:f>SUM(D2241:F2241)</x:f>
        <x:v>7</x:v>
      </x:c>
      <x:c r="H2241" s="25" t="str">
        <x:v>-</x:v>
      </x:c>
      <x:c r="I2241" s="25" t="n">
        <x:v>1</x:v>
      </x:c>
      <x:c r="J2241" s="25" t="n">
        <x:v>1</x:v>
      </x:c>
      <x:c r="K2241" s="19" t="n">
        <x:f>D2241-IF(H2241=0,1,0)</x:f>
        <x:v>5</x:v>
      </x:c>
      <x:c r="L2241" s="19" t="n">
        <x:f>E2241-IF(H2241=1,1,0)</x:f>
        <x:v>2</x:v>
      </x:c>
      <x:c r="M2241" s="19" t="n">
        <x:f>F2241-IF(H2241=2,1,0)</x:f>
        <x:v>0</x:v>
      </x:c>
      <x:c r="N2241" s="19" t="n">
        <x:f>MAX(K2241-1,0)+MAX(L2241-1,0)+MAX(M2241-1,0)</x:f>
        <x:v>5</x:v>
      </x:c>
      <x:c r="O2241" s="19" t="n">
        <x:f>IF(AND(SUM(K2241:M2241)&lt;9,OR(M2241=0,N2241&lt;6)),1,0)</x:f>
        <x:v>1</x:v>
      </x:c>
      <x:c r="P2241" s="19" t="n">
        <x:f>IF(AND(SUM(K2241:M2241)&lt;9,OR(L2241=0,N2241&lt;6)),1,0)</x:f>
        <x:v>1</x:v>
      </x:c>
      <x:c r="Q2241" s="19" t="n">
        <x:f>IF(AND(SUM(K2241:M2241)&lt;9,OR(K2241=0,N2241&lt;6)),1,0)</x:f>
        <x:v>1</x:v>
      </x:c>
      <x:c r="R2241" s="22" t="str">
        <x:f>O2241&amp;P2241&amp;Q2241</x:f>
        <x:v>111</x:v>
      </x:c>
      <x:c r="S2241" s="19" t="n">
        <x:f>IF(I2241=1,IF(J2241=0,Q2241,IF(J2241=1,P2241,IF(J2241=2,O2241,0))),0)</x:f>
        <x:v>1</x:v>
      </x:c>
      <x:c r="T2241" s="19" t="n">
        <x:f>K2241+IF(AND(S2241=1,J2241=0),1,0)</x:f>
        <x:v>5</x:v>
      </x:c>
      <x:c r="U2241" s="19" t="n">
        <x:f>L2241+IF(AND(S2241=1,J2241=1),1,0)</x:f>
        <x:v>3</x:v>
      </x:c>
      <x:c r="V2241" s="19" t="n">
        <x:f>M2241+IF(AND(S2241=1,J2241=2),1,0)</x:f>
        <x:v>0</x:v>
      </x:c>
      <x:c r="W2241" s="19" t="n">
        <x:f>SUM(T2241:V2241)</x:f>
        <x:v>8</x:v>
      </x:c>
      <x:c r="X2241" s="19" t="n">
        <x:f>W2241-G2241</x:f>
        <x:v>1</x:v>
      </x:c>
      <x:c r="Y2241" s="19" t="n">
        <x:f>MAX(T2241,1)+MAX(U2241,1)+MAX(V2241,1)</x:f>
        <x:v>9</x:v>
      </x:c>
      <x:c r="Z2241" s="21" t="str">
        <x:f>IF(AND(MIN(D2241:F2241)&gt;=0,MAX(D2241:F2241)&lt;=7,MAX(D2241,1)+MAX(E2241,1)+MAX(F2241,1)&lt;=9,OR(H2241="-",AND(H2241=0,D2241&gt;0),AND(H2241=1,E2241&gt;0),AND(H2241=2,F2241&gt;0)),OR(I2241=0,AND(I2241=1,OR(J2241=0,J2241=1,J2241=2),R2241&lt;&gt;"000")),Y2241&lt;=9,MIN(T2241:V2241)&gt;=0),"合法","输入违约")</x:f>
        <x:v>合法</x:v>
      </x:c>
    </x:row>
    <x:row r="2242" ht="23" customHeight="1">
      <x:c r="A2242" s="3" t="str">
        <x:v>CT-2235</x:v>
      </x:c>
      <x:c r="B2242" s="3" t="str">
        <x:v>ST-117</x:v>
      </x:c>
      <x:c r="C2242" s="3" t="str">
        <x:v>仅AR接收</x:v>
      </x:c>
      <x:c r="D2242" s="25" t="n">
        <x:v>5</x:v>
      </x:c>
      <x:c r="E2242" s="25" t="n">
        <x:v>2</x:v>
      </x:c>
      <x:c r="F2242" s="25" t="n">
        <x:v>0</x:v>
      </x:c>
      <x:c r="G2242" s="19" t="n">
        <x:f>SUM(D2242:F2242)</x:f>
        <x:v>7</x:v>
      </x:c>
      <x:c r="H2242" s="25" t="str">
        <x:v>-</x:v>
      </x:c>
      <x:c r="I2242" s="25" t="n">
        <x:v>1</x:v>
      </x:c>
      <x:c r="J2242" s="25" t="n">
        <x:v>2</x:v>
      </x:c>
      <x:c r="K2242" s="19" t="n">
        <x:f>D2242-IF(H2242=0,1,0)</x:f>
        <x:v>5</x:v>
      </x:c>
      <x:c r="L2242" s="19" t="n">
        <x:f>E2242-IF(H2242=1,1,0)</x:f>
        <x:v>2</x:v>
      </x:c>
      <x:c r="M2242" s="19" t="n">
        <x:f>F2242-IF(H2242=2,1,0)</x:f>
        <x:v>0</x:v>
      </x:c>
      <x:c r="N2242" s="19" t="n">
        <x:f>MAX(K2242-1,0)+MAX(L2242-1,0)+MAX(M2242-1,0)</x:f>
        <x:v>5</x:v>
      </x:c>
      <x:c r="O2242" s="19" t="n">
        <x:f>IF(AND(SUM(K2242:M2242)&lt;9,OR(M2242=0,N2242&lt;6)),1,0)</x:f>
        <x:v>1</x:v>
      </x:c>
      <x:c r="P2242" s="19" t="n">
        <x:f>IF(AND(SUM(K2242:M2242)&lt;9,OR(L2242=0,N2242&lt;6)),1,0)</x:f>
        <x:v>1</x:v>
      </x:c>
      <x:c r="Q2242" s="19" t="n">
        <x:f>IF(AND(SUM(K2242:M2242)&lt;9,OR(K2242=0,N2242&lt;6)),1,0)</x:f>
        <x:v>1</x:v>
      </x:c>
      <x:c r="R2242" s="22" t="str">
        <x:f>O2242&amp;P2242&amp;Q2242</x:f>
        <x:v>111</x:v>
      </x:c>
      <x:c r="S2242" s="19" t="n">
        <x:f>IF(I2242=1,IF(J2242=0,Q2242,IF(J2242=1,P2242,IF(J2242=2,O2242,0))),0)</x:f>
        <x:v>1</x:v>
      </x:c>
      <x:c r="T2242" s="19" t="n">
        <x:f>K2242+IF(AND(S2242=1,J2242=0),1,0)</x:f>
        <x:v>5</x:v>
      </x:c>
      <x:c r="U2242" s="19" t="n">
        <x:f>L2242+IF(AND(S2242=1,J2242=1),1,0)</x:f>
        <x:v>2</x:v>
      </x:c>
      <x:c r="V2242" s="19" t="n">
        <x:f>M2242+IF(AND(S2242=1,J2242=2),1,0)</x:f>
        <x:v>1</x:v>
      </x:c>
      <x:c r="W2242" s="19" t="n">
        <x:f>SUM(T2242:V2242)</x:f>
        <x:v>8</x:v>
      </x:c>
      <x:c r="X2242" s="19" t="n">
        <x:f>W2242-G2242</x:f>
        <x:v>1</x:v>
      </x:c>
      <x:c r="Y2242" s="19" t="n">
        <x:f>MAX(T2242,1)+MAX(U2242,1)+MAX(V2242,1)</x:f>
        <x:v>8</x:v>
      </x:c>
      <x:c r="Z2242" s="21" t="str">
        <x:f>IF(AND(MIN(D2242:F2242)&gt;=0,MAX(D2242:F2242)&lt;=7,MAX(D2242,1)+MAX(E2242,1)+MAX(F2242,1)&lt;=9,OR(H2242="-",AND(H2242=0,D2242&gt;0),AND(H2242=1,E2242&gt;0),AND(H2242=2,F2242&gt;0)),OR(I2242=0,AND(I2242=1,OR(J2242=0,J2242=1,J2242=2),R2242&lt;&gt;"000")),Y2242&lt;=9,MIN(T2242:V2242)&gt;=0),"合法","输入违约")</x:f>
        <x:v>合法</x:v>
      </x:c>
    </x:row>
    <x:row r="2243" ht="23" customHeight="1">
      <x:c r="A2243" s="3" t="str">
        <x:v>CT-2236</x:v>
      </x:c>
      <x:c r="B2243" s="3" t="str">
        <x:v>ST-117</x:v>
      </x:c>
      <x:c r="C2243" s="3" t="str">
        <x:v>仅R回收</x:v>
      </x:c>
      <x:c r="D2243" s="25" t="n">
        <x:v>5</x:v>
      </x:c>
      <x:c r="E2243" s="25" t="n">
        <x:v>2</x:v>
      </x:c>
      <x:c r="F2243" s="25" t="n">
        <x:v>0</x:v>
      </x:c>
      <x:c r="G2243" s="19" t="n">
        <x:f>SUM(D2243:F2243)</x:f>
        <x:v>7</x:v>
      </x:c>
      <x:c r="H2243" s="25" t="n">
        <x:v>0</x:v>
      </x:c>
      <x:c r="I2243" s="25" t="n">
        <x:v>0</x:v>
      </x:c>
      <x:c r="J2243" s="25" t="str">
        <x:v>-</x:v>
      </x:c>
      <x:c r="K2243" s="19" t="n">
        <x:f>D2243-IF(H2243=0,1,0)</x:f>
        <x:v>4</x:v>
      </x:c>
      <x:c r="L2243" s="19" t="n">
        <x:f>E2243-IF(H2243=1,1,0)</x:f>
        <x:v>2</x:v>
      </x:c>
      <x:c r="M2243" s="19" t="n">
        <x:f>F2243-IF(H2243=2,1,0)</x:f>
        <x:v>0</x:v>
      </x:c>
      <x:c r="N2243" s="19" t="n">
        <x:f>MAX(K2243-1,0)+MAX(L2243-1,0)+MAX(M2243-1,0)</x:f>
        <x:v>4</x:v>
      </x:c>
      <x:c r="O2243" s="19" t="n">
        <x:f>IF(AND(SUM(K2243:M2243)&lt;9,OR(M2243=0,N2243&lt;6)),1,0)</x:f>
        <x:v>1</x:v>
      </x:c>
      <x:c r="P2243" s="19" t="n">
        <x:f>IF(AND(SUM(K2243:M2243)&lt;9,OR(L2243=0,N2243&lt;6)),1,0)</x:f>
        <x:v>1</x:v>
      </x:c>
      <x:c r="Q2243" s="19" t="n">
        <x:f>IF(AND(SUM(K2243:M2243)&lt;9,OR(K2243=0,N2243&lt;6)),1,0)</x:f>
        <x:v>1</x:v>
      </x:c>
      <x:c r="R2243" s="22" t="str">
        <x:f>O2243&amp;P2243&amp;Q2243</x:f>
        <x:v>111</x:v>
      </x:c>
      <x:c r="S2243" s="19" t="n">
        <x:f>IF(I2243=1,IF(J2243=0,Q2243,IF(J2243=1,P2243,IF(J2243=2,O2243,0))),0)</x:f>
        <x:v>0</x:v>
      </x:c>
      <x:c r="T2243" s="19" t="n">
        <x:f>K2243+IF(AND(S2243=1,J2243=0),1,0)</x:f>
        <x:v>4</x:v>
      </x:c>
      <x:c r="U2243" s="19" t="n">
        <x:f>L2243+IF(AND(S2243=1,J2243=1),1,0)</x:f>
        <x:v>2</x:v>
      </x:c>
      <x:c r="V2243" s="19" t="n">
        <x:f>M2243+IF(AND(S2243=1,J2243=2),1,0)</x:f>
        <x:v>0</x:v>
      </x:c>
      <x:c r="W2243" s="19" t="n">
        <x:f>SUM(T2243:V2243)</x:f>
        <x:v>6</x:v>
      </x:c>
      <x:c r="X2243" s="19" t="n">
        <x:f>W2243-G2243</x:f>
        <x:v>-1</x:v>
      </x:c>
      <x:c r="Y2243" s="19" t="n">
        <x:f>MAX(T2243,1)+MAX(U2243,1)+MAX(V2243,1)</x:f>
        <x:v>7</x:v>
      </x:c>
      <x:c r="Z2243" s="21" t="str">
        <x:f>IF(AND(MIN(D2243:F2243)&gt;=0,MAX(D2243:F2243)&lt;=7,MAX(D2243,1)+MAX(E2243,1)+MAX(F2243,1)&lt;=9,OR(H2243="-",AND(H2243=0,D2243&gt;0),AND(H2243=1,E2243&gt;0),AND(H2243=2,F2243&gt;0)),OR(I2243=0,AND(I2243=1,OR(J2243=0,J2243=1,J2243=2),R2243&lt;&gt;"000")),Y2243&lt;=9,MIN(T2243:V2243)&gt;=0),"合法","输入违约")</x:f>
        <x:v>合法</x:v>
      </x:c>
    </x:row>
    <x:row r="2244" ht="23" customHeight="1">
      <x:c r="A2244" s="3" t="str">
        <x:v>CT-2237</x:v>
      </x:c>
      <x:c r="B2244" s="3" t="str">
        <x:v>ST-117</x:v>
      </x:c>
      <x:c r="C2244" s="3" t="str">
        <x:v>R+AR同收同发</x:v>
      </x:c>
      <x:c r="D2244" s="25" t="n">
        <x:v>5</x:v>
      </x:c>
      <x:c r="E2244" s="25" t="n">
        <x:v>2</x:v>
      </x:c>
      <x:c r="F2244" s="25" t="n">
        <x:v>0</x:v>
      </x:c>
      <x:c r="G2244" s="19" t="n">
        <x:f>SUM(D2244:F2244)</x:f>
        <x:v>7</x:v>
      </x:c>
      <x:c r="H2244" s="25" t="n">
        <x:v>0</x:v>
      </x:c>
      <x:c r="I2244" s="25" t="n">
        <x:v>1</x:v>
      </x:c>
      <x:c r="J2244" s="25" t="n">
        <x:v>0</x:v>
      </x:c>
      <x:c r="K2244" s="19" t="n">
        <x:f>D2244-IF(H2244=0,1,0)</x:f>
        <x:v>4</x:v>
      </x:c>
      <x:c r="L2244" s="19" t="n">
        <x:f>E2244-IF(H2244=1,1,0)</x:f>
        <x:v>2</x:v>
      </x:c>
      <x:c r="M2244" s="19" t="n">
        <x:f>F2244-IF(H2244=2,1,0)</x:f>
        <x:v>0</x:v>
      </x:c>
      <x:c r="N2244" s="19" t="n">
        <x:f>MAX(K2244-1,0)+MAX(L2244-1,0)+MAX(M2244-1,0)</x:f>
        <x:v>4</x:v>
      </x:c>
      <x:c r="O2244" s="19" t="n">
        <x:f>IF(AND(SUM(K2244:M2244)&lt;9,OR(M2244=0,N2244&lt;6)),1,0)</x:f>
        <x:v>1</x:v>
      </x:c>
      <x:c r="P2244" s="19" t="n">
        <x:f>IF(AND(SUM(K2244:M2244)&lt;9,OR(L2244=0,N2244&lt;6)),1,0)</x:f>
        <x:v>1</x:v>
      </x:c>
      <x:c r="Q2244" s="19" t="n">
        <x:f>IF(AND(SUM(K2244:M2244)&lt;9,OR(K2244=0,N2244&lt;6)),1,0)</x:f>
        <x:v>1</x:v>
      </x:c>
      <x:c r="R2244" s="22" t="str">
        <x:f>O2244&amp;P2244&amp;Q2244</x:f>
        <x:v>111</x:v>
      </x:c>
      <x:c r="S2244" s="19" t="n">
        <x:f>IF(I2244=1,IF(J2244=0,Q2244,IF(J2244=1,P2244,IF(J2244=2,O2244,0))),0)</x:f>
        <x:v>1</x:v>
      </x:c>
      <x:c r="T2244" s="19" t="n">
        <x:f>K2244+IF(AND(S2244=1,J2244=0),1,0)</x:f>
        <x:v>5</x:v>
      </x:c>
      <x:c r="U2244" s="19" t="n">
        <x:f>L2244+IF(AND(S2244=1,J2244=1),1,0)</x:f>
        <x:v>2</x:v>
      </x:c>
      <x:c r="V2244" s="19" t="n">
        <x:f>M2244+IF(AND(S2244=1,J2244=2),1,0)</x:f>
        <x:v>0</x:v>
      </x:c>
      <x:c r="W2244" s="19" t="n">
        <x:f>SUM(T2244:V2244)</x:f>
        <x:v>7</x:v>
      </x:c>
      <x:c r="X2244" s="19" t="n">
        <x:f>W2244-G2244</x:f>
        <x:v>0</x:v>
      </x:c>
      <x:c r="Y2244" s="19" t="n">
        <x:f>MAX(T2244,1)+MAX(U2244,1)+MAX(V2244,1)</x:f>
        <x:v>8</x:v>
      </x:c>
      <x:c r="Z2244" s="21" t="str">
        <x:f>IF(AND(MIN(D2244:F2244)&gt;=0,MAX(D2244:F2244)&lt;=7,MAX(D2244,1)+MAX(E2244,1)+MAX(F2244,1)&lt;=9,OR(H2244="-",AND(H2244=0,D2244&gt;0),AND(H2244=1,E2244&gt;0),AND(H2244=2,F2244&gt;0)),OR(I2244=0,AND(I2244=1,OR(J2244=0,J2244=1,J2244=2),R2244&lt;&gt;"000")),Y2244&lt;=9,MIN(T2244:V2244)&gt;=0),"合法","输入违约")</x:f>
        <x:v>合法</x:v>
      </x:c>
    </x:row>
    <x:row r="2245" ht="23" customHeight="1">
      <x:c r="A2245" s="3" t="str">
        <x:v>CT-2238</x:v>
      </x:c>
      <x:c r="B2245" s="3" t="str">
        <x:v>ST-117</x:v>
      </x:c>
      <x:c r="C2245" s="3" t="str">
        <x:v>R+AR同收同发</x:v>
      </x:c>
      <x:c r="D2245" s="25" t="n">
        <x:v>5</x:v>
      </x:c>
      <x:c r="E2245" s="25" t="n">
        <x:v>2</x:v>
      </x:c>
      <x:c r="F2245" s="25" t="n">
        <x:v>0</x:v>
      </x:c>
      <x:c r="G2245" s="19" t="n">
        <x:f>SUM(D2245:F2245)</x:f>
        <x:v>7</x:v>
      </x:c>
      <x:c r="H2245" s="25" t="n">
        <x:v>0</x:v>
      </x:c>
      <x:c r="I2245" s="25" t="n">
        <x:v>1</x:v>
      </x:c>
      <x:c r="J2245" s="25" t="n">
        <x:v>1</x:v>
      </x:c>
      <x:c r="K2245" s="19" t="n">
        <x:f>D2245-IF(H2245=0,1,0)</x:f>
        <x:v>4</x:v>
      </x:c>
      <x:c r="L2245" s="19" t="n">
        <x:f>E2245-IF(H2245=1,1,0)</x:f>
        <x:v>2</x:v>
      </x:c>
      <x:c r="M2245" s="19" t="n">
        <x:f>F2245-IF(H2245=2,1,0)</x:f>
        <x:v>0</x:v>
      </x:c>
      <x:c r="N2245" s="19" t="n">
        <x:f>MAX(K2245-1,0)+MAX(L2245-1,0)+MAX(M2245-1,0)</x:f>
        <x:v>4</x:v>
      </x:c>
      <x:c r="O2245" s="19" t="n">
        <x:f>IF(AND(SUM(K2245:M2245)&lt;9,OR(M2245=0,N2245&lt;6)),1,0)</x:f>
        <x:v>1</x:v>
      </x:c>
      <x:c r="P2245" s="19" t="n">
        <x:f>IF(AND(SUM(K2245:M2245)&lt;9,OR(L2245=0,N2245&lt;6)),1,0)</x:f>
        <x:v>1</x:v>
      </x:c>
      <x:c r="Q2245" s="19" t="n">
        <x:f>IF(AND(SUM(K2245:M2245)&lt;9,OR(K2245=0,N2245&lt;6)),1,0)</x:f>
        <x:v>1</x:v>
      </x:c>
      <x:c r="R2245" s="22" t="str">
        <x:f>O2245&amp;P2245&amp;Q2245</x:f>
        <x:v>111</x:v>
      </x:c>
      <x:c r="S2245" s="19" t="n">
        <x:f>IF(I2245=1,IF(J2245=0,Q2245,IF(J2245=1,P2245,IF(J2245=2,O2245,0))),0)</x:f>
        <x:v>1</x:v>
      </x:c>
      <x:c r="T2245" s="19" t="n">
        <x:f>K2245+IF(AND(S2245=1,J2245=0),1,0)</x:f>
        <x:v>4</x:v>
      </x:c>
      <x:c r="U2245" s="19" t="n">
        <x:f>L2245+IF(AND(S2245=1,J2245=1),1,0)</x:f>
        <x:v>3</x:v>
      </x:c>
      <x:c r="V2245" s="19" t="n">
        <x:f>M2245+IF(AND(S2245=1,J2245=2),1,0)</x:f>
        <x:v>0</x:v>
      </x:c>
      <x:c r="W2245" s="19" t="n">
        <x:f>SUM(T2245:V2245)</x:f>
        <x:v>7</x:v>
      </x:c>
      <x:c r="X2245" s="19" t="n">
        <x:f>W2245-G2245</x:f>
        <x:v>0</x:v>
      </x:c>
      <x:c r="Y2245" s="19" t="n">
        <x:f>MAX(T2245,1)+MAX(U2245,1)+MAX(V2245,1)</x:f>
        <x:v>8</x:v>
      </x:c>
      <x:c r="Z2245" s="21" t="str">
        <x:f>IF(AND(MIN(D2245:F2245)&gt;=0,MAX(D2245:F2245)&lt;=7,MAX(D2245,1)+MAX(E2245,1)+MAX(F2245,1)&lt;=9,OR(H2245="-",AND(H2245=0,D2245&gt;0),AND(H2245=1,E2245&gt;0),AND(H2245=2,F2245&gt;0)),OR(I2245=0,AND(I2245=1,OR(J2245=0,J2245=1,J2245=2),R2245&lt;&gt;"000")),Y2245&lt;=9,MIN(T2245:V2245)&gt;=0),"合法","输入违约")</x:f>
        <x:v>合法</x:v>
      </x:c>
    </x:row>
    <x:row r="2246" ht="23" customHeight="1">
      <x:c r="A2246" s="3" t="str">
        <x:v>CT-2239</x:v>
      </x:c>
      <x:c r="B2246" s="3" t="str">
        <x:v>ST-117</x:v>
      </x:c>
      <x:c r="C2246" s="3" t="str">
        <x:v>R+AR同收同发</x:v>
      </x:c>
      <x:c r="D2246" s="25" t="n">
        <x:v>5</x:v>
      </x:c>
      <x:c r="E2246" s="25" t="n">
        <x:v>2</x:v>
      </x:c>
      <x:c r="F2246" s="25" t="n">
        <x:v>0</x:v>
      </x:c>
      <x:c r="G2246" s="19" t="n">
        <x:f>SUM(D2246:F2246)</x:f>
        <x:v>7</x:v>
      </x:c>
      <x:c r="H2246" s="25" t="n">
        <x:v>0</x:v>
      </x:c>
      <x:c r="I2246" s="25" t="n">
        <x:v>1</x:v>
      </x:c>
      <x:c r="J2246" s="25" t="n">
        <x:v>2</x:v>
      </x:c>
      <x:c r="K2246" s="19" t="n">
        <x:f>D2246-IF(H2246=0,1,0)</x:f>
        <x:v>4</x:v>
      </x:c>
      <x:c r="L2246" s="19" t="n">
        <x:f>E2246-IF(H2246=1,1,0)</x:f>
        <x:v>2</x:v>
      </x:c>
      <x:c r="M2246" s="19" t="n">
        <x:f>F2246-IF(H2246=2,1,0)</x:f>
        <x:v>0</x:v>
      </x:c>
      <x:c r="N2246" s="19" t="n">
        <x:f>MAX(K2246-1,0)+MAX(L2246-1,0)+MAX(M2246-1,0)</x:f>
        <x:v>4</x:v>
      </x:c>
      <x:c r="O2246" s="19" t="n">
        <x:f>IF(AND(SUM(K2246:M2246)&lt;9,OR(M2246=0,N2246&lt;6)),1,0)</x:f>
        <x:v>1</x:v>
      </x:c>
      <x:c r="P2246" s="19" t="n">
        <x:f>IF(AND(SUM(K2246:M2246)&lt;9,OR(L2246=0,N2246&lt;6)),1,0)</x:f>
        <x:v>1</x:v>
      </x:c>
      <x:c r="Q2246" s="19" t="n">
        <x:f>IF(AND(SUM(K2246:M2246)&lt;9,OR(K2246=0,N2246&lt;6)),1,0)</x:f>
        <x:v>1</x:v>
      </x:c>
      <x:c r="R2246" s="22" t="str">
        <x:f>O2246&amp;P2246&amp;Q2246</x:f>
        <x:v>111</x:v>
      </x:c>
      <x:c r="S2246" s="19" t="n">
        <x:f>IF(I2246=1,IF(J2246=0,Q2246,IF(J2246=1,P2246,IF(J2246=2,O2246,0))),0)</x:f>
        <x:v>1</x:v>
      </x:c>
      <x:c r="T2246" s="19" t="n">
        <x:f>K2246+IF(AND(S2246=1,J2246=0),1,0)</x:f>
        <x:v>4</x:v>
      </x:c>
      <x:c r="U2246" s="19" t="n">
        <x:f>L2246+IF(AND(S2246=1,J2246=1),1,0)</x:f>
        <x:v>2</x:v>
      </x:c>
      <x:c r="V2246" s="19" t="n">
        <x:f>M2246+IF(AND(S2246=1,J2246=2),1,0)</x:f>
        <x:v>1</x:v>
      </x:c>
      <x:c r="W2246" s="19" t="n">
        <x:f>SUM(T2246:V2246)</x:f>
        <x:v>7</x:v>
      </x:c>
      <x:c r="X2246" s="19" t="n">
        <x:f>W2246-G2246</x:f>
        <x:v>0</x:v>
      </x:c>
      <x:c r="Y2246" s="19" t="n">
        <x:f>MAX(T2246,1)+MAX(U2246,1)+MAX(V2246,1)</x:f>
        <x:v>7</x:v>
      </x:c>
      <x:c r="Z2246" s="21" t="str">
        <x:f>IF(AND(MIN(D2246:F2246)&gt;=0,MAX(D2246:F2246)&lt;=7,MAX(D2246,1)+MAX(E2246,1)+MAX(F2246,1)&lt;=9,OR(H2246="-",AND(H2246=0,D2246&gt;0),AND(H2246=1,E2246&gt;0),AND(H2246=2,F2246&gt;0)),OR(I2246=0,AND(I2246=1,OR(J2246=0,J2246=1,J2246=2),R2246&lt;&gt;"000")),Y2246&lt;=9,MIN(T2246:V2246)&gt;=0),"合法","输入违约")</x:f>
        <x:v>合法</x:v>
      </x:c>
    </x:row>
    <x:row r="2247" ht="23" customHeight="1">
      <x:c r="A2247" s="3" t="str">
        <x:v>CT-2240</x:v>
      </x:c>
      <x:c r="B2247" s="3" t="str">
        <x:v>ST-117</x:v>
      </x:c>
      <x:c r="C2247" s="3" t="str">
        <x:v>仅R回收</x:v>
      </x:c>
      <x:c r="D2247" s="25" t="n">
        <x:v>5</x:v>
      </x:c>
      <x:c r="E2247" s="25" t="n">
        <x:v>2</x:v>
      </x:c>
      <x:c r="F2247" s="25" t="n">
        <x:v>0</x:v>
      </x:c>
      <x:c r="G2247" s="19" t="n">
        <x:f>SUM(D2247:F2247)</x:f>
        <x:v>7</x:v>
      </x:c>
      <x:c r="H2247" s="25" t="n">
        <x:v>1</x:v>
      </x:c>
      <x:c r="I2247" s="25" t="n">
        <x:v>0</x:v>
      </x:c>
      <x:c r="J2247" s="25" t="str">
        <x:v>-</x:v>
      </x:c>
      <x:c r="K2247" s="19" t="n">
        <x:f>D2247-IF(H2247=0,1,0)</x:f>
        <x:v>5</x:v>
      </x:c>
      <x:c r="L2247" s="19" t="n">
        <x:f>E2247-IF(H2247=1,1,0)</x:f>
        <x:v>1</x:v>
      </x:c>
      <x:c r="M2247" s="19" t="n">
        <x:f>F2247-IF(H2247=2,1,0)</x:f>
        <x:v>0</x:v>
      </x:c>
      <x:c r="N2247" s="19" t="n">
        <x:f>MAX(K2247-1,0)+MAX(L2247-1,0)+MAX(M2247-1,0)</x:f>
        <x:v>4</x:v>
      </x:c>
      <x:c r="O2247" s="19" t="n">
        <x:f>IF(AND(SUM(K2247:M2247)&lt;9,OR(M2247=0,N2247&lt;6)),1,0)</x:f>
        <x:v>1</x:v>
      </x:c>
      <x:c r="P2247" s="19" t="n">
        <x:f>IF(AND(SUM(K2247:M2247)&lt;9,OR(L2247=0,N2247&lt;6)),1,0)</x:f>
        <x:v>1</x:v>
      </x:c>
      <x:c r="Q2247" s="19" t="n">
        <x:f>IF(AND(SUM(K2247:M2247)&lt;9,OR(K2247=0,N2247&lt;6)),1,0)</x:f>
        <x:v>1</x:v>
      </x:c>
      <x:c r="R2247" s="22" t="str">
        <x:f>O2247&amp;P2247&amp;Q2247</x:f>
        <x:v>111</x:v>
      </x:c>
      <x:c r="S2247" s="19" t="n">
        <x:f>IF(I2247=1,IF(J2247=0,Q2247,IF(J2247=1,P2247,IF(J2247=2,O2247,0))),0)</x:f>
        <x:v>0</x:v>
      </x:c>
      <x:c r="T2247" s="19" t="n">
        <x:f>K2247+IF(AND(S2247=1,J2247=0),1,0)</x:f>
        <x:v>5</x:v>
      </x:c>
      <x:c r="U2247" s="19" t="n">
        <x:f>L2247+IF(AND(S2247=1,J2247=1),1,0)</x:f>
        <x:v>1</x:v>
      </x:c>
      <x:c r="V2247" s="19" t="n">
        <x:f>M2247+IF(AND(S2247=1,J2247=2),1,0)</x:f>
        <x:v>0</x:v>
      </x:c>
      <x:c r="W2247" s="19" t="n">
        <x:f>SUM(T2247:V2247)</x:f>
        <x:v>6</x:v>
      </x:c>
      <x:c r="X2247" s="19" t="n">
        <x:f>W2247-G2247</x:f>
        <x:v>-1</x:v>
      </x:c>
      <x:c r="Y2247" s="19" t="n">
        <x:f>MAX(T2247,1)+MAX(U2247,1)+MAX(V2247,1)</x:f>
        <x:v>7</x:v>
      </x:c>
      <x:c r="Z2247" s="21" t="str">
        <x:f>IF(AND(MIN(D2247:F2247)&gt;=0,MAX(D2247:F2247)&lt;=7,MAX(D2247,1)+MAX(E2247,1)+MAX(F2247,1)&lt;=9,OR(H2247="-",AND(H2247=0,D2247&gt;0),AND(H2247=1,E2247&gt;0),AND(H2247=2,F2247&gt;0)),OR(I2247=0,AND(I2247=1,OR(J2247=0,J2247=1,J2247=2),R2247&lt;&gt;"000")),Y2247&lt;=9,MIN(T2247:V2247)&gt;=0),"合法","输入违约")</x:f>
        <x:v>合法</x:v>
      </x:c>
    </x:row>
    <x:row r="2248" ht="23" customHeight="1">
      <x:c r="A2248" s="3" t="str">
        <x:v>CT-2241</x:v>
      </x:c>
      <x:c r="B2248" s="3" t="str">
        <x:v>ST-117</x:v>
      </x:c>
      <x:c r="C2248" s="3" t="str">
        <x:v>R+AR同收同发</x:v>
      </x:c>
      <x:c r="D2248" s="25" t="n">
        <x:v>5</x:v>
      </x:c>
      <x:c r="E2248" s="25" t="n">
        <x:v>2</x:v>
      </x:c>
      <x:c r="F2248" s="25" t="n">
        <x:v>0</x:v>
      </x:c>
      <x:c r="G2248" s="19" t="n">
        <x:f>SUM(D2248:F2248)</x:f>
        <x:v>7</x:v>
      </x:c>
      <x:c r="H2248" s="25" t="n">
        <x:v>1</x:v>
      </x:c>
      <x:c r="I2248" s="25" t="n">
        <x:v>1</x:v>
      </x:c>
      <x:c r="J2248" s="25" t="n">
        <x:v>0</x:v>
      </x:c>
      <x:c r="K2248" s="19" t="n">
        <x:f>D2248-IF(H2248=0,1,0)</x:f>
        <x:v>5</x:v>
      </x:c>
      <x:c r="L2248" s="19" t="n">
        <x:f>E2248-IF(H2248=1,1,0)</x:f>
        <x:v>1</x:v>
      </x:c>
      <x:c r="M2248" s="19" t="n">
        <x:f>F2248-IF(H2248=2,1,0)</x:f>
        <x:v>0</x:v>
      </x:c>
      <x:c r="N2248" s="19" t="n">
        <x:f>MAX(K2248-1,0)+MAX(L2248-1,0)+MAX(M2248-1,0)</x:f>
        <x:v>4</x:v>
      </x:c>
      <x:c r="O2248" s="19" t="n">
        <x:f>IF(AND(SUM(K2248:M2248)&lt;9,OR(M2248=0,N2248&lt;6)),1,0)</x:f>
        <x:v>1</x:v>
      </x:c>
      <x:c r="P2248" s="19" t="n">
        <x:f>IF(AND(SUM(K2248:M2248)&lt;9,OR(L2248=0,N2248&lt;6)),1,0)</x:f>
        <x:v>1</x:v>
      </x:c>
      <x:c r="Q2248" s="19" t="n">
        <x:f>IF(AND(SUM(K2248:M2248)&lt;9,OR(K2248=0,N2248&lt;6)),1,0)</x:f>
        <x:v>1</x:v>
      </x:c>
      <x:c r="R2248" s="22" t="str">
        <x:f>O2248&amp;P2248&amp;Q2248</x:f>
        <x:v>111</x:v>
      </x:c>
      <x:c r="S2248" s="19" t="n">
        <x:f>IF(I2248=1,IF(J2248=0,Q2248,IF(J2248=1,P2248,IF(J2248=2,O2248,0))),0)</x:f>
        <x:v>1</x:v>
      </x:c>
      <x:c r="T2248" s="19" t="n">
        <x:f>K2248+IF(AND(S2248=1,J2248=0),1,0)</x:f>
        <x:v>6</x:v>
      </x:c>
      <x:c r="U2248" s="19" t="n">
        <x:f>L2248+IF(AND(S2248=1,J2248=1),1,0)</x:f>
        <x:v>1</x:v>
      </x:c>
      <x:c r="V2248" s="19" t="n">
        <x:f>M2248+IF(AND(S2248=1,J2248=2),1,0)</x:f>
        <x:v>0</x:v>
      </x:c>
      <x:c r="W2248" s="19" t="n">
        <x:f>SUM(T2248:V2248)</x:f>
        <x:v>7</x:v>
      </x:c>
      <x:c r="X2248" s="19" t="n">
        <x:f>W2248-G2248</x:f>
        <x:v>0</x:v>
      </x:c>
      <x:c r="Y2248" s="19" t="n">
        <x:f>MAX(T2248,1)+MAX(U2248,1)+MAX(V2248,1)</x:f>
        <x:v>8</x:v>
      </x:c>
      <x:c r="Z2248" s="21" t="str">
        <x:f>IF(AND(MIN(D2248:F2248)&gt;=0,MAX(D2248:F2248)&lt;=7,MAX(D2248,1)+MAX(E2248,1)+MAX(F2248,1)&lt;=9,OR(H2248="-",AND(H2248=0,D2248&gt;0),AND(H2248=1,E2248&gt;0),AND(H2248=2,F2248&gt;0)),OR(I2248=0,AND(I2248=1,OR(J2248=0,J2248=1,J2248=2),R2248&lt;&gt;"000")),Y2248&lt;=9,MIN(T2248:V2248)&gt;=0),"合法","输入违约")</x:f>
        <x:v>合法</x:v>
      </x:c>
    </x:row>
    <x:row r="2249" ht="23" customHeight="1">
      <x:c r="A2249" s="3" t="str">
        <x:v>CT-2242</x:v>
      </x:c>
      <x:c r="B2249" s="3" t="str">
        <x:v>ST-117</x:v>
      </x:c>
      <x:c r="C2249" s="3" t="str">
        <x:v>R+AR同收同发</x:v>
      </x:c>
      <x:c r="D2249" s="25" t="n">
        <x:v>5</x:v>
      </x:c>
      <x:c r="E2249" s="25" t="n">
        <x:v>2</x:v>
      </x:c>
      <x:c r="F2249" s="25" t="n">
        <x:v>0</x:v>
      </x:c>
      <x:c r="G2249" s="19" t="n">
        <x:f>SUM(D2249:F2249)</x:f>
        <x:v>7</x:v>
      </x:c>
      <x:c r="H2249" s="25" t="n">
        <x:v>1</x:v>
      </x:c>
      <x:c r="I2249" s="25" t="n">
        <x:v>1</x:v>
      </x:c>
      <x:c r="J2249" s="25" t="n">
        <x:v>1</x:v>
      </x:c>
      <x:c r="K2249" s="19" t="n">
        <x:f>D2249-IF(H2249=0,1,0)</x:f>
        <x:v>5</x:v>
      </x:c>
      <x:c r="L2249" s="19" t="n">
        <x:f>E2249-IF(H2249=1,1,0)</x:f>
        <x:v>1</x:v>
      </x:c>
      <x:c r="M2249" s="19" t="n">
        <x:f>F2249-IF(H2249=2,1,0)</x:f>
        <x:v>0</x:v>
      </x:c>
      <x:c r="N2249" s="19" t="n">
        <x:f>MAX(K2249-1,0)+MAX(L2249-1,0)+MAX(M2249-1,0)</x:f>
        <x:v>4</x:v>
      </x:c>
      <x:c r="O2249" s="19" t="n">
        <x:f>IF(AND(SUM(K2249:M2249)&lt;9,OR(M2249=0,N2249&lt;6)),1,0)</x:f>
        <x:v>1</x:v>
      </x:c>
      <x:c r="P2249" s="19" t="n">
        <x:f>IF(AND(SUM(K2249:M2249)&lt;9,OR(L2249=0,N2249&lt;6)),1,0)</x:f>
        <x:v>1</x:v>
      </x:c>
      <x:c r="Q2249" s="19" t="n">
        <x:f>IF(AND(SUM(K2249:M2249)&lt;9,OR(K2249=0,N2249&lt;6)),1,0)</x:f>
        <x:v>1</x:v>
      </x:c>
      <x:c r="R2249" s="22" t="str">
        <x:f>O2249&amp;P2249&amp;Q2249</x:f>
        <x:v>111</x:v>
      </x:c>
      <x:c r="S2249" s="19" t="n">
        <x:f>IF(I2249=1,IF(J2249=0,Q2249,IF(J2249=1,P2249,IF(J2249=2,O2249,0))),0)</x:f>
        <x:v>1</x:v>
      </x:c>
      <x:c r="T2249" s="19" t="n">
        <x:f>K2249+IF(AND(S2249=1,J2249=0),1,0)</x:f>
        <x:v>5</x:v>
      </x:c>
      <x:c r="U2249" s="19" t="n">
        <x:f>L2249+IF(AND(S2249=1,J2249=1),1,0)</x:f>
        <x:v>2</x:v>
      </x:c>
      <x:c r="V2249" s="19" t="n">
        <x:f>M2249+IF(AND(S2249=1,J2249=2),1,0)</x:f>
        <x:v>0</x:v>
      </x:c>
      <x:c r="W2249" s="19" t="n">
        <x:f>SUM(T2249:V2249)</x:f>
        <x:v>7</x:v>
      </x:c>
      <x:c r="X2249" s="19" t="n">
        <x:f>W2249-G2249</x:f>
        <x:v>0</x:v>
      </x:c>
      <x:c r="Y2249" s="19" t="n">
        <x:f>MAX(T2249,1)+MAX(U2249,1)+MAX(V2249,1)</x:f>
        <x:v>8</x:v>
      </x:c>
      <x:c r="Z2249" s="21" t="str">
        <x:f>IF(AND(MIN(D2249:F2249)&gt;=0,MAX(D2249:F2249)&lt;=7,MAX(D2249,1)+MAX(E2249,1)+MAX(F2249,1)&lt;=9,OR(H2249="-",AND(H2249=0,D2249&gt;0),AND(H2249=1,E2249&gt;0),AND(H2249=2,F2249&gt;0)),OR(I2249=0,AND(I2249=1,OR(J2249=0,J2249=1,J2249=2),R2249&lt;&gt;"000")),Y2249&lt;=9,MIN(T2249:V2249)&gt;=0),"合法","输入违约")</x:f>
        <x:v>合法</x:v>
      </x:c>
    </x:row>
    <x:row r="2250" ht="23" customHeight="1">
      <x:c r="A2250" s="3" t="str">
        <x:v>CT-2243</x:v>
      </x:c>
      <x:c r="B2250" s="3" t="str">
        <x:v>ST-117</x:v>
      </x:c>
      <x:c r="C2250" s="3" t="str">
        <x:v>R+AR同收同发</x:v>
      </x:c>
      <x:c r="D2250" s="25" t="n">
        <x:v>5</x:v>
      </x:c>
      <x:c r="E2250" s="25" t="n">
        <x:v>2</x:v>
      </x:c>
      <x:c r="F2250" s="25" t="n">
        <x:v>0</x:v>
      </x:c>
      <x:c r="G2250" s="19" t="n">
        <x:f>SUM(D2250:F2250)</x:f>
        <x:v>7</x:v>
      </x:c>
      <x:c r="H2250" s="25" t="n">
        <x:v>1</x:v>
      </x:c>
      <x:c r="I2250" s="25" t="n">
        <x:v>1</x:v>
      </x:c>
      <x:c r="J2250" s="25" t="n">
        <x:v>2</x:v>
      </x:c>
      <x:c r="K2250" s="19" t="n">
        <x:f>D2250-IF(H2250=0,1,0)</x:f>
        <x:v>5</x:v>
      </x:c>
      <x:c r="L2250" s="19" t="n">
        <x:f>E2250-IF(H2250=1,1,0)</x:f>
        <x:v>1</x:v>
      </x:c>
      <x:c r="M2250" s="19" t="n">
        <x:f>F2250-IF(H2250=2,1,0)</x:f>
        <x:v>0</x:v>
      </x:c>
      <x:c r="N2250" s="19" t="n">
        <x:f>MAX(K2250-1,0)+MAX(L2250-1,0)+MAX(M2250-1,0)</x:f>
        <x:v>4</x:v>
      </x:c>
      <x:c r="O2250" s="19" t="n">
        <x:f>IF(AND(SUM(K2250:M2250)&lt;9,OR(M2250=0,N2250&lt;6)),1,0)</x:f>
        <x:v>1</x:v>
      </x:c>
      <x:c r="P2250" s="19" t="n">
        <x:f>IF(AND(SUM(K2250:M2250)&lt;9,OR(L2250=0,N2250&lt;6)),1,0)</x:f>
        <x:v>1</x:v>
      </x:c>
      <x:c r="Q2250" s="19" t="n">
        <x:f>IF(AND(SUM(K2250:M2250)&lt;9,OR(K2250=0,N2250&lt;6)),1,0)</x:f>
        <x:v>1</x:v>
      </x:c>
      <x:c r="R2250" s="22" t="str">
        <x:f>O2250&amp;P2250&amp;Q2250</x:f>
        <x:v>111</x:v>
      </x:c>
      <x:c r="S2250" s="19" t="n">
        <x:f>IF(I2250=1,IF(J2250=0,Q2250,IF(J2250=1,P2250,IF(J2250=2,O2250,0))),0)</x:f>
        <x:v>1</x:v>
      </x:c>
      <x:c r="T2250" s="19" t="n">
        <x:f>K2250+IF(AND(S2250=1,J2250=0),1,0)</x:f>
        <x:v>5</x:v>
      </x:c>
      <x:c r="U2250" s="19" t="n">
        <x:f>L2250+IF(AND(S2250=1,J2250=1),1,0)</x:f>
        <x:v>1</x:v>
      </x:c>
      <x:c r="V2250" s="19" t="n">
        <x:f>M2250+IF(AND(S2250=1,J2250=2),1,0)</x:f>
        <x:v>1</x:v>
      </x:c>
      <x:c r="W2250" s="19" t="n">
        <x:f>SUM(T2250:V2250)</x:f>
        <x:v>7</x:v>
      </x:c>
      <x:c r="X2250" s="19" t="n">
        <x:f>W2250-G2250</x:f>
        <x:v>0</x:v>
      </x:c>
      <x:c r="Y2250" s="19" t="n">
        <x:f>MAX(T2250,1)+MAX(U2250,1)+MAX(V2250,1)</x:f>
        <x:v>7</x:v>
      </x:c>
      <x:c r="Z2250" s="21" t="str">
        <x:f>IF(AND(MIN(D2250:F2250)&gt;=0,MAX(D2250:F2250)&lt;=7,MAX(D2250,1)+MAX(E2250,1)+MAX(F2250,1)&lt;=9,OR(H2250="-",AND(H2250=0,D2250&gt;0),AND(H2250=1,E2250&gt;0),AND(H2250=2,F2250&gt;0)),OR(I2250=0,AND(I2250=1,OR(J2250=0,J2250=1,J2250=2),R2250&lt;&gt;"000")),Y2250&lt;=9,MIN(T2250:V2250)&gt;=0),"合法","输入违约")</x:f>
        <x:v>合法</x:v>
      </x:c>
    </x:row>
    <x:row r="2251" ht="23" customHeight="1">
      <x:c r="A2251" s="3" t="str">
        <x:v>CT-2244</x:v>
      </x:c>
      <x:c r="B2251" s="3" t="str">
        <x:v>ST-156</x:v>
      </x:c>
      <x:c r="C2251" s="3" t="str">
        <x:v>无AR/R</x:v>
      </x:c>
      <x:c r="D2251" s="25" t="n">
        <x:v>5</x:v>
      </x:c>
      <x:c r="E2251" s="25" t="n">
        <x:v>2</x:v>
      </x:c>
      <x:c r="F2251" s="25" t="n">
        <x:v>1</x:v>
      </x:c>
      <x:c r="G2251" s="19" t="n">
        <x:f>SUM(D2251:F2251)</x:f>
        <x:v>8</x:v>
      </x:c>
      <x:c r="H2251" s="25" t="str">
        <x:v>-</x:v>
      </x:c>
      <x:c r="I2251" s="25" t="n">
        <x:v>0</x:v>
      </x:c>
      <x:c r="J2251" s="25" t="str">
        <x:v>-</x:v>
      </x:c>
      <x:c r="K2251" s="19" t="n">
        <x:f>D2251-IF(H2251=0,1,0)</x:f>
        <x:v>5</x:v>
      </x:c>
      <x:c r="L2251" s="19" t="n">
        <x:f>E2251-IF(H2251=1,1,0)</x:f>
        <x:v>2</x:v>
      </x:c>
      <x:c r="M2251" s="19" t="n">
        <x:f>F2251-IF(H2251=2,1,0)</x:f>
        <x:v>1</x:v>
      </x:c>
      <x:c r="N2251" s="19" t="n">
        <x:f>MAX(K2251-1,0)+MAX(L2251-1,0)+MAX(M2251-1,0)</x:f>
        <x:v>5</x:v>
      </x:c>
      <x:c r="O2251" s="19" t="n">
        <x:f>IF(AND(SUM(K2251:M2251)&lt;9,OR(M2251=0,N2251&lt;6)),1,0)</x:f>
        <x:v>1</x:v>
      </x:c>
      <x:c r="P2251" s="19" t="n">
        <x:f>IF(AND(SUM(K2251:M2251)&lt;9,OR(L2251=0,N2251&lt;6)),1,0)</x:f>
        <x:v>1</x:v>
      </x:c>
      <x:c r="Q2251" s="19" t="n">
        <x:f>IF(AND(SUM(K2251:M2251)&lt;9,OR(K2251=0,N2251&lt;6)),1,0)</x:f>
        <x:v>1</x:v>
      </x:c>
      <x:c r="R2251" s="22" t="str">
        <x:f>O2251&amp;P2251&amp;Q2251</x:f>
        <x:v>111</x:v>
      </x:c>
      <x:c r="S2251" s="19" t="n">
        <x:f>IF(I2251=1,IF(J2251=0,Q2251,IF(J2251=1,P2251,IF(J2251=2,O2251,0))),0)</x:f>
        <x:v>0</x:v>
      </x:c>
      <x:c r="T2251" s="19" t="n">
        <x:f>K2251+IF(AND(S2251=1,J2251=0),1,0)</x:f>
        <x:v>5</x:v>
      </x:c>
      <x:c r="U2251" s="19" t="n">
        <x:f>L2251+IF(AND(S2251=1,J2251=1),1,0)</x:f>
        <x:v>2</x:v>
      </x:c>
      <x:c r="V2251" s="19" t="n">
        <x:f>M2251+IF(AND(S2251=1,J2251=2),1,0)</x:f>
        <x:v>1</x:v>
      </x:c>
      <x:c r="W2251" s="19" t="n">
        <x:f>SUM(T2251:V2251)</x:f>
        <x:v>8</x:v>
      </x:c>
      <x:c r="X2251" s="19" t="n">
        <x:f>W2251-G2251</x:f>
        <x:v>0</x:v>
      </x:c>
      <x:c r="Y2251" s="19" t="n">
        <x:f>MAX(T2251,1)+MAX(U2251,1)+MAX(V2251,1)</x:f>
        <x:v>8</x:v>
      </x:c>
      <x:c r="Z2251" s="21" t="str">
        <x:f>IF(AND(MIN(D2251:F2251)&gt;=0,MAX(D2251:F2251)&lt;=7,MAX(D2251,1)+MAX(E2251,1)+MAX(F2251,1)&lt;=9,OR(H2251="-",AND(H2251=0,D2251&gt;0),AND(H2251=1,E2251&gt;0),AND(H2251=2,F2251&gt;0)),OR(I2251=0,AND(I2251=1,OR(J2251=0,J2251=1,J2251=2),R2251&lt;&gt;"000")),Y2251&lt;=9,MIN(T2251:V2251)&gt;=0),"合法","输入违约")</x:f>
        <x:v>合法</x:v>
      </x:c>
    </x:row>
    <x:row r="2252" ht="23" customHeight="1">
      <x:c r="A2252" s="3" t="str">
        <x:v>CT-2245</x:v>
      </x:c>
      <x:c r="B2252" s="3" t="str">
        <x:v>ST-156</x:v>
      </x:c>
      <x:c r="C2252" s="3" t="str">
        <x:v>仅AR接收</x:v>
      </x:c>
      <x:c r="D2252" s="25" t="n">
        <x:v>5</x:v>
      </x:c>
      <x:c r="E2252" s="25" t="n">
        <x:v>2</x:v>
      </x:c>
      <x:c r="F2252" s="25" t="n">
        <x:v>1</x:v>
      </x:c>
      <x:c r="G2252" s="19" t="n">
        <x:f>SUM(D2252:F2252)</x:f>
        <x:v>8</x:v>
      </x:c>
      <x:c r="H2252" s="25" t="str">
        <x:v>-</x:v>
      </x:c>
      <x:c r="I2252" s="25" t="n">
        <x:v>1</x:v>
      </x:c>
      <x:c r="J2252" s="25" t="n">
        <x:v>0</x:v>
      </x:c>
      <x:c r="K2252" s="19" t="n">
        <x:f>D2252-IF(H2252=0,1,0)</x:f>
        <x:v>5</x:v>
      </x:c>
      <x:c r="L2252" s="19" t="n">
        <x:f>E2252-IF(H2252=1,1,0)</x:f>
        <x:v>2</x:v>
      </x:c>
      <x:c r="M2252" s="19" t="n">
        <x:f>F2252-IF(H2252=2,1,0)</x:f>
        <x:v>1</x:v>
      </x:c>
      <x:c r="N2252" s="19" t="n">
        <x:f>MAX(K2252-1,0)+MAX(L2252-1,0)+MAX(M2252-1,0)</x:f>
        <x:v>5</x:v>
      </x:c>
      <x:c r="O2252" s="19" t="n">
        <x:f>IF(AND(SUM(K2252:M2252)&lt;9,OR(M2252=0,N2252&lt;6)),1,0)</x:f>
        <x:v>1</x:v>
      </x:c>
      <x:c r="P2252" s="19" t="n">
        <x:f>IF(AND(SUM(K2252:M2252)&lt;9,OR(L2252=0,N2252&lt;6)),1,0)</x:f>
        <x:v>1</x:v>
      </x:c>
      <x:c r="Q2252" s="19" t="n">
        <x:f>IF(AND(SUM(K2252:M2252)&lt;9,OR(K2252=0,N2252&lt;6)),1,0)</x:f>
        <x:v>1</x:v>
      </x:c>
      <x:c r="R2252" s="22" t="str">
        <x:f>O2252&amp;P2252&amp;Q2252</x:f>
        <x:v>111</x:v>
      </x:c>
      <x:c r="S2252" s="19" t="n">
        <x:f>IF(I2252=1,IF(J2252=0,Q2252,IF(J2252=1,P2252,IF(J2252=2,O2252,0))),0)</x:f>
        <x:v>1</x:v>
      </x:c>
      <x:c r="T2252" s="19" t="n">
        <x:f>K2252+IF(AND(S2252=1,J2252=0),1,0)</x:f>
        <x:v>6</x:v>
      </x:c>
      <x:c r="U2252" s="19" t="n">
        <x:f>L2252+IF(AND(S2252=1,J2252=1),1,0)</x:f>
        <x:v>2</x:v>
      </x:c>
      <x:c r="V2252" s="19" t="n">
        <x:f>M2252+IF(AND(S2252=1,J2252=2),1,0)</x:f>
        <x:v>1</x:v>
      </x:c>
      <x:c r="W2252" s="19" t="n">
        <x:f>SUM(T2252:V2252)</x:f>
        <x:v>9</x:v>
      </x:c>
      <x:c r="X2252" s="19" t="n">
        <x:f>W2252-G2252</x:f>
        <x:v>1</x:v>
      </x:c>
      <x:c r="Y2252" s="19" t="n">
        <x:f>MAX(T2252,1)+MAX(U2252,1)+MAX(V2252,1)</x:f>
        <x:v>9</x:v>
      </x:c>
      <x:c r="Z2252" s="21" t="str">
        <x:f>IF(AND(MIN(D2252:F2252)&gt;=0,MAX(D2252:F2252)&lt;=7,MAX(D2252,1)+MAX(E2252,1)+MAX(F2252,1)&lt;=9,OR(H2252="-",AND(H2252=0,D2252&gt;0),AND(H2252=1,E2252&gt;0),AND(H2252=2,F2252&gt;0)),OR(I2252=0,AND(I2252=1,OR(J2252=0,J2252=1,J2252=2),R2252&lt;&gt;"000")),Y2252&lt;=9,MIN(T2252:V2252)&gt;=0),"合法","输入违约")</x:f>
        <x:v>合法</x:v>
      </x:c>
    </x:row>
    <x:row r="2253" ht="23" customHeight="1">
      <x:c r="A2253" s="3" t="str">
        <x:v>CT-2246</x:v>
      </x:c>
      <x:c r="B2253" s="3" t="str">
        <x:v>ST-156</x:v>
      </x:c>
      <x:c r="C2253" s="3" t="str">
        <x:v>仅AR接收</x:v>
      </x:c>
      <x:c r="D2253" s="25" t="n">
        <x:v>5</x:v>
      </x:c>
      <x:c r="E2253" s="25" t="n">
        <x:v>2</x:v>
      </x:c>
      <x:c r="F2253" s="25" t="n">
        <x:v>1</x:v>
      </x:c>
      <x:c r="G2253" s="19" t="n">
        <x:f>SUM(D2253:F2253)</x:f>
        <x:v>8</x:v>
      </x:c>
      <x:c r="H2253" s="25" t="str">
        <x:v>-</x:v>
      </x:c>
      <x:c r="I2253" s="25" t="n">
        <x:v>1</x:v>
      </x:c>
      <x:c r="J2253" s="25" t="n">
        <x:v>1</x:v>
      </x:c>
      <x:c r="K2253" s="19" t="n">
        <x:f>D2253-IF(H2253=0,1,0)</x:f>
        <x:v>5</x:v>
      </x:c>
      <x:c r="L2253" s="19" t="n">
        <x:f>E2253-IF(H2253=1,1,0)</x:f>
        <x:v>2</x:v>
      </x:c>
      <x:c r="M2253" s="19" t="n">
        <x:f>F2253-IF(H2253=2,1,0)</x:f>
        <x:v>1</x:v>
      </x:c>
      <x:c r="N2253" s="19" t="n">
        <x:f>MAX(K2253-1,0)+MAX(L2253-1,0)+MAX(M2253-1,0)</x:f>
        <x:v>5</x:v>
      </x:c>
      <x:c r="O2253" s="19" t="n">
        <x:f>IF(AND(SUM(K2253:M2253)&lt;9,OR(M2253=0,N2253&lt;6)),1,0)</x:f>
        <x:v>1</x:v>
      </x:c>
      <x:c r="P2253" s="19" t="n">
        <x:f>IF(AND(SUM(K2253:M2253)&lt;9,OR(L2253=0,N2253&lt;6)),1,0)</x:f>
        <x:v>1</x:v>
      </x:c>
      <x:c r="Q2253" s="19" t="n">
        <x:f>IF(AND(SUM(K2253:M2253)&lt;9,OR(K2253=0,N2253&lt;6)),1,0)</x:f>
        <x:v>1</x:v>
      </x:c>
      <x:c r="R2253" s="22" t="str">
        <x:f>O2253&amp;P2253&amp;Q2253</x:f>
        <x:v>111</x:v>
      </x:c>
      <x:c r="S2253" s="19" t="n">
        <x:f>IF(I2253=1,IF(J2253=0,Q2253,IF(J2253=1,P2253,IF(J2253=2,O2253,0))),0)</x:f>
        <x:v>1</x:v>
      </x:c>
      <x:c r="T2253" s="19" t="n">
        <x:f>K2253+IF(AND(S2253=1,J2253=0),1,0)</x:f>
        <x:v>5</x:v>
      </x:c>
      <x:c r="U2253" s="19" t="n">
        <x:f>L2253+IF(AND(S2253=1,J2253=1),1,0)</x:f>
        <x:v>3</x:v>
      </x:c>
      <x:c r="V2253" s="19" t="n">
        <x:f>M2253+IF(AND(S2253=1,J2253=2),1,0)</x:f>
        <x:v>1</x:v>
      </x:c>
      <x:c r="W2253" s="19" t="n">
        <x:f>SUM(T2253:V2253)</x:f>
        <x:v>9</x:v>
      </x:c>
      <x:c r="X2253" s="19" t="n">
        <x:f>W2253-G2253</x:f>
        <x:v>1</x:v>
      </x:c>
      <x:c r="Y2253" s="19" t="n">
        <x:f>MAX(T2253,1)+MAX(U2253,1)+MAX(V2253,1)</x:f>
        <x:v>9</x:v>
      </x:c>
      <x:c r="Z2253" s="21" t="str">
        <x:f>IF(AND(MIN(D2253:F2253)&gt;=0,MAX(D2253:F2253)&lt;=7,MAX(D2253,1)+MAX(E2253,1)+MAX(F2253,1)&lt;=9,OR(H2253="-",AND(H2253=0,D2253&gt;0),AND(H2253=1,E2253&gt;0),AND(H2253=2,F2253&gt;0)),OR(I2253=0,AND(I2253=1,OR(J2253=0,J2253=1,J2253=2),R2253&lt;&gt;"000")),Y2253&lt;=9,MIN(T2253:V2253)&gt;=0),"合法","输入违约")</x:f>
        <x:v>合法</x:v>
      </x:c>
    </x:row>
    <x:row r="2254" ht="23" customHeight="1">
      <x:c r="A2254" s="3" t="str">
        <x:v>CT-2247</x:v>
      </x:c>
      <x:c r="B2254" s="3" t="str">
        <x:v>ST-156</x:v>
      </x:c>
      <x:c r="C2254" s="3" t="str">
        <x:v>仅AR接收</x:v>
      </x:c>
      <x:c r="D2254" s="25" t="n">
        <x:v>5</x:v>
      </x:c>
      <x:c r="E2254" s="25" t="n">
        <x:v>2</x:v>
      </x:c>
      <x:c r="F2254" s="25" t="n">
        <x:v>1</x:v>
      </x:c>
      <x:c r="G2254" s="19" t="n">
        <x:f>SUM(D2254:F2254)</x:f>
        <x:v>8</x:v>
      </x:c>
      <x:c r="H2254" s="25" t="str">
        <x:v>-</x:v>
      </x:c>
      <x:c r="I2254" s="25" t="n">
        <x:v>1</x:v>
      </x:c>
      <x:c r="J2254" s="25" t="n">
        <x:v>2</x:v>
      </x:c>
      <x:c r="K2254" s="19" t="n">
        <x:f>D2254-IF(H2254=0,1,0)</x:f>
        <x:v>5</x:v>
      </x:c>
      <x:c r="L2254" s="19" t="n">
        <x:f>E2254-IF(H2254=1,1,0)</x:f>
        <x:v>2</x:v>
      </x:c>
      <x:c r="M2254" s="19" t="n">
        <x:f>F2254-IF(H2254=2,1,0)</x:f>
        <x:v>1</x:v>
      </x:c>
      <x:c r="N2254" s="19" t="n">
        <x:f>MAX(K2254-1,0)+MAX(L2254-1,0)+MAX(M2254-1,0)</x:f>
        <x:v>5</x:v>
      </x:c>
      <x:c r="O2254" s="19" t="n">
        <x:f>IF(AND(SUM(K2254:M2254)&lt;9,OR(M2254=0,N2254&lt;6)),1,0)</x:f>
        <x:v>1</x:v>
      </x:c>
      <x:c r="P2254" s="19" t="n">
        <x:f>IF(AND(SUM(K2254:M2254)&lt;9,OR(L2254=0,N2254&lt;6)),1,0)</x:f>
        <x:v>1</x:v>
      </x:c>
      <x:c r="Q2254" s="19" t="n">
        <x:f>IF(AND(SUM(K2254:M2254)&lt;9,OR(K2254=0,N2254&lt;6)),1,0)</x:f>
        <x:v>1</x:v>
      </x:c>
      <x:c r="R2254" s="22" t="str">
        <x:f>O2254&amp;P2254&amp;Q2254</x:f>
        <x:v>111</x:v>
      </x:c>
      <x:c r="S2254" s="19" t="n">
        <x:f>IF(I2254=1,IF(J2254=0,Q2254,IF(J2254=1,P2254,IF(J2254=2,O2254,0))),0)</x:f>
        <x:v>1</x:v>
      </x:c>
      <x:c r="T2254" s="19" t="n">
        <x:f>K2254+IF(AND(S2254=1,J2254=0),1,0)</x:f>
        <x:v>5</x:v>
      </x:c>
      <x:c r="U2254" s="19" t="n">
        <x:f>L2254+IF(AND(S2254=1,J2254=1),1,0)</x:f>
        <x:v>2</x:v>
      </x:c>
      <x:c r="V2254" s="19" t="n">
        <x:f>M2254+IF(AND(S2254=1,J2254=2),1,0)</x:f>
        <x:v>2</x:v>
      </x:c>
      <x:c r="W2254" s="19" t="n">
        <x:f>SUM(T2254:V2254)</x:f>
        <x:v>9</x:v>
      </x:c>
      <x:c r="X2254" s="19" t="n">
        <x:f>W2254-G2254</x:f>
        <x:v>1</x:v>
      </x:c>
      <x:c r="Y2254" s="19" t="n">
        <x:f>MAX(T2254,1)+MAX(U2254,1)+MAX(V2254,1)</x:f>
        <x:v>9</x:v>
      </x:c>
      <x:c r="Z2254" s="21" t="str">
        <x:f>IF(AND(MIN(D2254:F2254)&gt;=0,MAX(D2254:F2254)&lt;=7,MAX(D2254,1)+MAX(E2254,1)+MAX(F2254,1)&lt;=9,OR(H2254="-",AND(H2254=0,D2254&gt;0),AND(H2254=1,E2254&gt;0),AND(H2254=2,F2254&gt;0)),OR(I2254=0,AND(I2254=1,OR(J2254=0,J2254=1,J2254=2),R2254&lt;&gt;"000")),Y2254&lt;=9,MIN(T2254:V2254)&gt;=0),"合法","输入违约")</x:f>
        <x:v>合法</x:v>
      </x:c>
    </x:row>
    <x:row r="2255" ht="23" customHeight="1">
      <x:c r="A2255" s="3" t="str">
        <x:v>CT-2248</x:v>
      </x:c>
      <x:c r="B2255" s="3" t="str">
        <x:v>ST-156</x:v>
      </x:c>
      <x:c r="C2255" s="3" t="str">
        <x:v>仅R回收</x:v>
      </x:c>
      <x:c r="D2255" s="25" t="n">
        <x:v>5</x:v>
      </x:c>
      <x:c r="E2255" s="25" t="n">
        <x:v>2</x:v>
      </x:c>
      <x:c r="F2255" s="25" t="n">
        <x:v>1</x:v>
      </x:c>
      <x:c r="G2255" s="19" t="n">
        <x:f>SUM(D2255:F2255)</x:f>
        <x:v>8</x:v>
      </x:c>
      <x:c r="H2255" s="25" t="n">
        <x:v>0</x:v>
      </x:c>
      <x:c r="I2255" s="25" t="n">
        <x:v>0</x:v>
      </x:c>
      <x:c r="J2255" s="25" t="str">
        <x:v>-</x:v>
      </x:c>
      <x:c r="K2255" s="19" t="n">
        <x:f>D2255-IF(H2255=0,1,0)</x:f>
        <x:v>4</x:v>
      </x:c>
      <x:c r="L2255" s="19" t="n">
        <x:f>E2255-IF(H2255=1,1,0)</x:f>
        <x:v>2</x:v>
      </x:c>
      <x:c r="M2255" s="19" t="n">
        <x:f>F2255-IF(H2255=2,1,0)</x:f>
        <x:v>1</x:v>
      </x:c>
      <x:c r="N2255" s="19" t="n">
        <x:f>MAX(K2255-1,0)+MAX(L2255-1,0)+MAX(M2255-1,0)</x:f>
        <x:v>4</x:v>
      </x:c>
      <x:c r="O2255" s="19" t="n">
        <x:f>IF(AND(SUM(K2255:M2255)&lt;9,OR(M2255=0,N2255&lt;6)),1,0)</x:f>
        <x:v>1</x:v>
      </x:c>
      <x:c r="P2255" s="19" t="n">
        <x:f>IF(AND(SUM(K2255:M2255)&lt;9,OR(L2255=0,N2255&lt;6)),1,0)</x:f>
        <x:v>1</x:v>
      </x:c>
      <x:c r="Q2255" s="19" t="n">
        <x:f>IF(AND(SUM(K2255:M2255)&lt;9,OR(K2255=0,N2255&lt;6)),1,0)</x:f>
        <x:v>1</x:v>
      </x:c>
      <x:c r="R2255" s="22" t="str">
        <x:f>O2255&amp;P2255&amp;Q2255</x:f>
        <x:v>111</x:v>
      </x:c>
      <x:c r="S2255" s="19" t="n">
        <x:f>IF(I2255=1,IF(J2255=0,Q2255,IF(J2255=1,P2255,IF(J2255=2,O2255,0))),0)</x:f>
        <x:v>0</x:v>
      </x:c>
      <x:c r="T2255" s="19" t="n">
        <x:f>K2255+IF(AND(S2255=1,J2255=0),1,0)</x:f>
        <x:v>4</x:v>
      </x:c>
      <x:c r="U2255" s="19" t="n">
        <x:f>L2255+IF(AND(S2255=1,J2255=1),1,0)</x:f>
        <x:v>2</x:v>
      </x:c>
      <x:c r="V2255" s="19" t="n">
        <x:f>M2255+IF(AND(S2255=1,J2255=2),1,0)</x:f>
        <x:v>1</x:v>
      </x:c>
      <x:c r="W2255" s="19" t="n">
        <x:f>SUM(T2255:V2255)</x:f>
        <x:v>7</x:v>
      </x:c>
      <x:c r="X2255" s="19" t="n">
        <x:f>W2255-G2255</x:f>
        <x:v>-1</x:v>
      </x:c>
      <x:c r="Y2255" s="19" t="n">
        <x:f>MAX(T2255,1)+MAX(U2255,1)+MAX(V2255,1)</x:f>
        <x:v>7</x:v>
      </x:c>
      <x:c r="Z2255" s="21" t="str">
        <x:f>IF(AND(MIN(D2255:F2255)&gt;=0,MAX(D2255:F2255)&lt;=7,MAX(D2255,1)+MAX(E2255,1)+MAX(F2255,1)&lt;=9,OR(H2255="-",AND(H2255=0,D2255&gt;0),AND(H2255=1,E2255&gt;0),AND(H2255=2,F2255&gt;0)),OR(I2255=0,AND(I2255=1,OR(J2255=0,J2255=1,J2255=2),R2255&lt;&gt;"000")),Y2255&lt;=9,MIN(T2255:V2255)&gt;=0),"合法","输入违约")</x:f>
        <x:v>合法</x:v>
      </x:c>
    </x:row>
    <x:row r="2256" ht="23" customHeight="1">
      <x:c r="A2256" s="3" t="str">
        <x:v>CT-2249</x:v>
      </x:c>
      <x:c r="B2256" s="3" t="str">
        <x:v>ST-156</x:v>
      </x:c>
      <x:c r="C2256" s="3" t="str">
        <x:v>R+AR同收同发</x:v>
      </x:c>
      <x:c r="D2256" s="25" t="n">
        <x:v>5</x:v>
      </x:c>
      <x:c r="E2256" s="25" t="n">
        <x:v>2</x:v>
      </x:c>
      <x:c r="F2256" s="25" t="n">
        <x:v>1</x:v>
      </x:c>
      <x:c r="G2256" s="19" t="n">
        <x:f>SUM(D2256:F2256)</x:f>
        <x:v>8</x:v>
      </x:c>
      <x:c r="H2256" s="25" t="n">
        <x:v>0</x:v>
      </x:c>
      <x:c r="I2256" s="25" t="n">
        <x:v>1</x:v>
      </x:c>
      <x:c r="J2256" s="25" t="n">
        <x:v>0</x:v>
      </x:c>
      <x:c r="K2256" s="19" t="n">
        <x:f>D2256-IF(H2256=0,1,0)</x:f>
        <x:v>4</x:v>
      </x:c>
      <x:c r="L2256" s="19" t="n">
        <x:f>E2256-IF(H2256=1,1,0)</x:f>
        <x:v>2</x:v>
      </x:c>
      <x:c r="M2256" s="19" t="n">
        <x:f>F2256-IF(H2256=2,1,0)</x:f>
        <x:v>1</x:v>
      </x:c>
      <x:c r="N2256" s="19" t="n">
        <x:f>MAX(K2256-1,0)+MAX(L2256-1,0)+MAX(M2256-1,0)</x:f>
        <x:v>4</x:v>
      </x:c>
      <x:c r="O2256" s="19" t="n">
        <x:f>IF(AND(SUM(K2256:M2256)&lt;9,OR(M2256=0,N2256&lt;6)),1,0)</x:f>
        <x:v>1</x:v>
      </x:c>
      <x:c r="P2256" s="19" t="n">
        <x:f>IF(AND(SUM(K2256:M2256)&lt;9,OR(L2256=0,N2256&lt;6)),1,0)</x:f>
        <x:v>1</x:v>
      </x:c>
      <x:c r="Q2256" s="19" t="n">
        <x:f>IF(AND(SUM(K2256:M2256)&lt;9,OR(K2256=0,N2256&lt;6)),1,0)</x:f>
        <x:v>1</x:v>
      </x:c>
      <x:c r="R2256" s="22" t="str">
        <x:f>O2256&amp;P2256&amp;Q2256</x:f>
        <x:v>111</x:v>
      </x:c>
      <x:c r="S2256" s="19" t="n">
        <x:f>IF(I2256=1,IF(J2256=0,Q2256,IF(J2256=1,P2256,IF(J2256=2,O2256,0))),0)</x:f>
        <x:v>1</x:v>
      </x:c>
      <x:c r="T2256" s="19" t="n">
        <x:f>K2256+IF(AND(S2256=1,J2256=0),1,0)</x:f>
        <x:v>5</x:v>
      </x:c>
      <x:c r="U2256" s="19" t="n">
        <x:f>L2256+IF(AND(S2256=1,J2256=1),1,0)</x:f>
        <x:v>2</x:v>
      </x:c>
      <x:c r="V2256" s="19" t="n">
        <x:f>M2256+IF(AND(S2256=1,J2256=2),1,0)</x:f>
        <x:v>1</x:v>
      </x:c>
      <x:c r="W2256" s="19" t="n">
        <x:f>SUM(T2256:V2256)</x:f>
        <x:v>8</x:v>
      </x:c>
      <x:c r="X2256" s="19" t="n">
        <x:f>W2256-G2256</x:f>
        <x:v>0</x:v>
      </x:c>
      <x:c r="Y2256" s="19" t="n">
        <x:f>MAX(T2256,1)+MAX(U2256,1)+MAX(V2256,1)</x:f>
        <x:v>8</x:v>
      </x:c>
      <x:c r="Z2256" s="21" t="str">
        <x:f>IF(AND(MIN(D2256:F2256)&gt;=0,MAX(D2256:F2256)&lt;=7,MAX(D2256,1)+MAX(E2256,1)+MAX(F2256,1)&lt;=9,OR(H2256="-",AND(H2256=0,D2256&gt;0),AND(H2256=1,E2256&gt;0),AND(H2256=2,F2256&gt;0)),OR(I2256=0,AND(I2256=1,OR(J2256=0,J2256=1,J2256=2),R2256&lt;&gt;"000")),Y2256&lt;=9,MIN(T2256:V2256)&gt;=0),"合法","输入违约")</x:f>
        <x:v>合法</x:v>
      </x:c>
    </x:row>
    <x:row r="2257" ht="23" customHeight="1">
      <x:c r="A2257" s="3" t="str">
        <x:v>CT-2250</x:v>
      </x:c>
      <x:c r="B2257" s="3" t="str">
        <x:v>ST-156</x:v>
      </x:c>
      <x:c r="C2257" s="3" t="str">
        <x:v>R+AR同收同发</x:v>
      </x:c>
      <x:c r="D2257" s="25" t="n">
        <x:v>5</x:v>
      </x:c>
      <x:c r="E2257" s="25" t="n">
        <x:v>2</x:v>
      </x:c>
      <x:c r="F2257" s="25" t="n">
        <x:v>1</x:v>
      </x:c>
      <x:c r="G2257" s="19" t="n">
        <x:f>SUM(D2257:F2257)</x:f>
        <x:v>8</x:v>
      </x:c>
      <x:c r="H2257" s="25" t="n">
        <x:v>0</x:v>
      </x:c>
      <x:c r="I2257" s="25" t="n">
        <x:v>1</x:v>
      </x:c>
      <x:c r="J2257" s="25" t="n">
        <x:v>1</x:v>
      </x:c>
      <x:c r="K2257" s="19" t="n">
        <x:f>D2257-IF(H2257=0,1,0)</x:f>
        <x:v>4</x:v>
      </x:c>
      <x:c r="L2257" s="19" t="n">
        <x:f>E2257-IF(H2257=1,1,0)</x:f>
        <x:v>2</x:v>
      </x:c>
      <x:c r="M2257" s="19" t="n">
        <x:f>F2257-IF(H2257=2,1,0)</x:f>
        <x:v>1</x:v>
      </x:c>
      <x:c r="N2257" s="19" t="n">
        <x:f>MAX(K2257-1,0)+MAX(L2257-1,0)+MAX(M2257-1,0)</x:f>
        <x:v>4</x:v>
      </x:c>
      <x:c r="O2257" s="19" t="n">
        <x:f>IF(AND(SUM(K2257:M2257)&lt;9,OR(M2257=0,N2257&lt;6)),1,0)</x:f>
        <x:v>1</x:v>
      </x:c>
      <x:c r="P2257" s="19" t="n">
        <x:f>IF(AND(SUM(K2257:M2257)&lt;9,OR(L2257=0,N2257&lt;6)),1,0)</x:f>
        <x:v>1</x:v>
      </x:c>
      <x:c r="Q2257" s="19" t="n">
        <x:f>IF(AND(SUM(K2257:M2257)&lt;9,OR(K2257=0,N2257&lt;6)),1,0)</x:f>
        <x:v>1</x:v>
      </x:c>
      <x:c r="R2257" s="22" t="str">
        <x:f>O2257&amp;P2257&amp;Q2257</x:f>
        <x:v>111</x:v>
      </x:c>
      <x:c r="S2257" s="19" t="n">
        <x:f>IF(I2257=1,IF(J2257=0,Q2257,IF(J2257=1,P2257,IF(J2257=2,O2257,0))),0)</x:f>
        <x:v>1</x:v>
      </x:c>
      <x:c r="T2257" s="19" t="n">
        <x:f>K2257+IF(AND(S2257=1,J2257=0),1,0)</x:f>
        <x:v>4</x:v>
      </x:c>
      <x:c r="U2257" s="19" t="n">
        <x:f>L2257+IF(AND(S2257=1,J2257=1),1,0)</x:f>
        <x:v>3</x:v>
      </x:c>
      <x:c r="V2257" s="19" t="n">
        <x:f>M2257+IF(AND(S2257=1,J2257=2),1,0)</x:f>
        <x:v>1</x:v>
      </x:c>
      <x:c r="W2257" s="19" t="n">
        <x:f>SUM(T2257:V2257)</x:f>
        <x:v>8</x:v>
      </x:c>
      <x:c r="X2257" s="19" t="n">
        <x:f>W2257-G2257</x:f>
        <x:v>0</x:v>
      </x:c>
      <x:c r="Y2257" s="19" t="n">
        <x:f>MAX(T2257,1)+MAX(U2257,1)+MAX(V2257,1)</x:f>
        <x:v>8</x:v>
      </x:c>
      <x:c r="Z2257" s="21" t="str">
        <x:f>IF(AND(MIN(D2257:F2257)&gt;=0,MAX(D2257:F2257)&lt;=7,MAX(D2257,1)+MAX(E2257,1)+MAX(F2257,1)&lt;=9,OR(H2257="-",AND(H2257=0,D2257&gt;0),AND(H2257=1,E2257&gt;0),AND(H2257=2,F2257&gt;0)),OR(I2257=0,AND(I2257=1,OR(J2257=0,J2257=1,J2257=2),R2257&lt;&gt;"000")),Y2257&lt;=9,MIN(T2257:V2257)&gt;=0),"合法","输入违约")</x:f>
        <x:v>合法</x:v>
      </x:c>
    </x:row>
    <x:row r="2258" ht="23" customHeight="1">
      <x:c r="A2258" s="3" t="str">
        <x:v>CT-2251</x:v>
      </x:c>
      <x:c r="B2258" s="3" t="str">
        <x:v>ST-156</x:v>
      </x:c>
      <x:c r="C2258" s="3" t="str">
        <x:v>R+AR同收同发</x:v>
      </x:c>
      <x:c r="D2258" s="25" t="n">
        <x:v>5</x:v>
      </x:c>
      <x:c r="E2258" s="25" t="n">
        <x:v>2</x:v>
      </x:c>
      <x:c r="F2258" s="25" t="n">
        <x:v>1</x:v>
      </x:c>
      <x:c r="G2258" s="19" t="n">
        <x:f>SUM(D2258:F2258)</x:f>
        <x:v>8</x:v>
      </x:c>
      <x:c r="H2258" s="25" t="n">
        <x:v>0</x:v>
      </x:c>
      <x:c r="I2258" s="25" t="n">
        <x:v>1</x:v>
      </x:c>
      <x:c r="J2258" s="25" t="n">
        <x:v>2</x:v>
      </x:c>
      <x:c r="K2258" s="19" t="n">
        <x:f>D2258-IF(H2258=0,1,0)</x:f>
        <x:v>4</x:v>
      </x:c>
      <x:c r="L2258" s="19" t="n">
        <x:f>E2258-IF(H2258=1,1,0)</x:f>
        <x:v>2</x:v>
      </x:c>
      <x:c r="M2258" s="19" t="n">
        <x:f>F2258-IF(H2258=2,1,0)</x:f>
        <x:v>1</x:v>
      </x:c>
      <x:c r="N2258" s="19" t="n">
        <x:f>MAX(K2258-1,0)+MAX(L2258-1,0)+MAX(M2258-1,0)</x:f>
        <x:v>4</x:v>
      </x:c>
      <x:c r="O2258" s="19" t="n">
        <x:f>IF(AND(SUM(K2258:M2258)&lt;9,OR(M2258=0,N2258&lt;6)),1,0)</x:f>
        <x:v>1</x:v>
      </x:c>
      <x:c r="P2258" s="19" t="n">
        <x:f>IF(AND(SUM(K2258:M2258)&lt;9,OR(L2258=0,N2258&lt;6)),1,0)</x:f>
        <x:v>1</x:v>
      </x:c>
      <x:c r="Q2258" s="19" t="n">
        <x:f>IF(AND(SUM(K2258:M2258)&lt;9,OR(K2258=0,N2258&lt;6)),1,0)</x:f>
        <x:v>1</x:v>
      </x:c>
      <x:c r="R2258" s="22" t="str">
        <x:f>O2258&amp;P2258&amp;Q2258</x:f>
        <x:v>111</x:v>
      </x:c>
      <x:c r="S2258" s="19" t="n">
        <x:f>IF(I2258=1,IF(J2258=0,Q2258,IF(J2258=1,P2258,IF(J2258=2,O2258,0))),0)</x:f>
        <x:v>1</x:v>
      </x:c>
      <x:c r="T2258" s="19" t="n">
        <x:f>K2258+IF(AND(S2258=1,J2258=0),1,0)</x:f>
        <x:v>4</x:v>
      </x:c>
      <x:c r="U2258" s="19" t="n">
        <x:f>L2258+IF(AND(S2258=1,J2258=1),1,0)</x:f>
        <x:v>2</x:v>
      </x:c>
      <x:c r="V2258" s="19" t="n">
        <x:f>M2258+IF(AND(S2258=1,J2258=2),1,0)</x:f>
        <x:v>2</x:v>
      </x:c>
      <x:c r="W2258" s="19" t="n">
        <x:f>SUM(T2258:V2258)</x:f>
        <x:v>8</x:v>
      </x:c>
      <x:c r="X2258" s="19" t="n">
        <x:f>W2258-G2258</x:f>
        <x:v>0</x:v>
      </x:c>
      <x:c r="Y2258" s="19" t="n">
        <x:f>MAX(T2258,1)+MAX(U2258,1)+MAX(V2258,1)</x:f>
        <x:v>8</x:v>
      </x:c>
      <x:c r="Z2258" s="21" t="str">
        <x:f>IF(AND(MIN(D2258:F2258)&gt;=0,MAX(D2258:F2258)&lt;=7,MAX(D2258,1)+MAX(E2258,1)+MAX(F2258,1)&lt;=9,OR(H2258="-",AND(H2258=0,D2258&gt;0),AND(H2258=1,E2258&gt;0),AND(H2258=2,F2258&gt;0)),OR(I2258=0,AND(I2258=1,OR(J2258=0,J2258=1,J2258=2),R2258&lt;&gt;"000")),Y2258&lt;=9,MIN(T2258:V2258)&gt;=0),"合法","输入违约")</x:f>
        <x:v>合法</x:v>
      </x:c>
    </x:row>
    <x:row r="2259" ht="23" customHeight="1">
      <x:c r="A2259" s="3" t="str">
        <x:v>CT-2252</x:v>
      </x:c>
      <x:c r="B2259" s="3" t="str">
        <x:v>ST-156</x:v>
      </x:c>
      <x:c r="C2259" s="3" t="str">
        <x:v>仅R回收</x:v>
      </x:c>
      <x:c r="D2259" s="25" t="n">
        <x:v>5</x:v>
      </x:c>
      <x:c r="E2259" s="25" t="n">
        <x:v>2</x:v>
      </x:c>
      <x:c r="F2259" s="25" t="n">
        <x:v>1</x:v>
      </x:c>
      <x:c r="G2259" s="19" t="n">
        <x:f>SUM(D2259:F2259)</x:f>
        <x:v>8</x:v>
      </x:c>
      <x:c r="H2259" s="25" t="n">
        <x:v>1</x:v>
      </x:c>
      <x:c r="I2259" s="25" t="n">
        <x:v>0</x:v>
      </x:c>
      <x:c r="J2259" s="25" t="str">
        <x:v>-</x:v>
      </x:c>
      <x:c r="K2259" s="19" t="n">
        <x:f>D2259-IF(H2259=0,1,0)</x:f>
        <x:v>5</x:v>
      </x:c>
      <x:c r="L2259" s="19" t="n">
        <x:f>E2259-IF(H2259=1,1,0)</x:f>
        <x:v>1</x:v>
      </x:c>
      <x:c r="M2259" s="19" t="n">
        <x:f>F2259-IF(H2259=2,1,0)</x:f>
        <x:v>1</x:v>
      </x:c>
      <x:c r="N2259" s="19" t="n">
        <x:f>MAX(K2259-1,0)+MAX(L2259-1,0)+MAX(M2259-1,0)</x:f>
        <x:v>4</x:v>
      </x:c>
      <x:c r="O2259" s="19" t="n">
        <x:f>IF(AND(SUM(K2259:M2259)&lt;9,OR(M2259=0,N2259&lt;6)),1,0)</x:f>
        <x:v>1</x:v>
      </x:c>
      <x:c r="P2259" s="19" t="n">
        <x:f>IF(AND(SUM(K2259:M2259)&lt;9,OR(L2259=0,N2259&lt;6)),1,0)</x:f>
        <x:v>1</x:v>
      </x:c>
      <x:c r="Q2259" s="19" t="n">
        <x:f>IF(AND(SUM(K2259:M2259)&lt;9,OR(K2259=0,N2259&lt;6)),1,0)</x:f>
        <x:v>1</x:v>
      </x:c>
      <x:c r="R2259" s="22" t="str">
        <x:f>O2259&amp;P2259&amp;Q2259</x:f>
        <x:v>111</x:v>
      </x:c>
      <x:c r="S2259" s="19" t="n">
        <x:f>IF(I2259=1,IF(J2259=0,Q2259,IF(J2259=1,P2259,IF(J2259=2,O2259,0))),0)</x:f>
        <x:v>0</x:v>
      </x:c>
      <x:c r="T2259" s="19" t="n">
        <x:f>K2259+IF(AND(S2259=1,J2259=0),1,0)</x:f>
        <x:v>5</x:v>
      </x:c>
      <x:c r="U2259" s="19" t="n">
        <x:f>L2259+IF(AND(S2259=1,J2259=1),1,0)</x:f>
        <x:v>1</x:v>
      </x:c>
      <x:c r="V2259" s="19" t="n">
        <x:f>M2259+IF(AND(S2259=1,J2259=2),1,0)</x:f>
        <x:v>1</x:v>
      </x:c>
      <x:c r="W2259" s="19" t="n">
        <x:f>SUM(T2259:V2259)</x:f>
        <x:v>7</x:v>
      </x:c>
      <x:c r="X2259" s="19" t="n">
        <x:f>W2259-G2259</x:f>
        <x:v>-1</x:v>
      </x:c>
      <x:c r="Y2259" s="19" t="n">
        <x:f>MAX(T2259,1)+MAX(U2259,1)+MAX(V2259,1)</x:f>
        <x:v>7</x:v>
      </x:c>
      <x:c r="Z2259" s="21" t="str">
        <x:f>IF(AND(MIN(D2259:F2259)&gt;=0,MAX(D2259:F2259)&lt;=7,MAX(D2259,1)+MAX(E2259,1)+MAX(F2259,1)&lt;=9,OR(H2259="-",AND(H2259=0,D2259&gt;0),AND(H2259=1,E2259&gt;0),AND(H2259=2,F2259&gt;0)),OR(I2259=0,AND(I2259=1,OR(J2259=0,J2259=1,J2259=2),R2259&lt;&gt;"000")),Y2259&lt;=9,MIN(T2259:V2259)&gt;=0),"合法","输入违约")</x:f>
        <x:v>合法</x:v>
      </x:c>
    </x:row>
    <x:row r="2260" ht="23" customHeight="1">
      <x:c r="A2260" s="3" t="str">
        <x:v>CT-2253</x:v>
      </x:c>
      <x:c r="B2260" s="3" t="str">
        <x:v>ST-156</x:v>
      </x:c>
      <x:c r="C2260" s="3" t="str">
        <x:v>R+AR同收同发</x:v>
      </x:c>
      <x:c r="D2260" s="25" t="n">
        <x:v>5</x:v>
      </x:c>
      <x:c r="E2260" s="25" t="n">
        <x:v>2</x:v>
      </x:c>
      <x:c r="F2260" s="25" t="n">
        <x:v>1</x:v>
      </x:c>
      <x:c r="G2260" s="19" t="n">
        <x:f>SUM(D2260:F2260)</x:f>
        <x:v>8</x:v>
      </x:c>
      <x:c r="H2260" s="25" t="n">
        <x:v>1</x:v>
      </x:c>
      <x:c r="I2260" s="25" t="n">
        <x:v>1</x:v>
      </x:c>
      <x:c r="J2260" s="25" t="n">
        <x:v>0</x:v>
      </x:c>
      <x:c r="K2260" s="19" t="n">
        <x:f>D2260-IF(H2260=0,1,0)</x:f>
        <x:v>5</x:v>
      </x:c>
      <x:c r="L2260" s="19" t="n">
        <x:f>E2260-IF(H2260=1,1,0)</x:f>
        <x:v>1</x:v>
      </x:c>
      <x:c r="M2260" s="19" t="n">
        <x:f>F2260-IF(H2260=2,1,0)</x:f>
        <x:v>1</x:v>
      </x:c>
      <x:c r="N2260" s="19" t="n">
        <x:f>MAX(K2260-1,0)+MAX(L2260-1,0)+MAX(M2260-1,0)</x:f>
        <x:v>4</x:v>
      </x:c>
      <x:c r="O2260" s="19" t="n">
        <x:f>IF(AND(SUM(K2260:M2260)&lt;9,OR(M2260=0,N2260&lt;6)),1,0)</x:f>
        <x:v>1</x:v>
      </x:c>
      <x:c r="P2260" s="19" t="n">
        <x:f>IF(AND(SUM(K2260:M2260)&lt;9,OR(L2260=0,N2260&lt;6)),1,0)</x:f>
        <x:v>1</x:v>
      </x:c>
      <x:c r="Q2260" s="19" t="n">
        <x:f>IF(AND(SUM(K2260:M2260)&lt;9,OR(K2260=0,N2260&lt;6)),1,0)</x:f>
        <x:v>1</x:v>
      </x:c>
      <x:c r="R2260" s="22" t="str">
        <x:f>O2260&amp;P2260&amp;Q2260</x:f>
        <x:v>111</x:v>
      </x:c>
      <x:c r="S2260" s="19" t="n">
        <x:f>IF(I2260=1,IF(J2260=0,Q2260,IF(J2260=1,P2260,IF(J2260=2,O2260,0))),0)</x:f>
        <x:v>1</x:v>
      </x:c>
      <x:c r="T2260" s="19" t="n">
        <x:f>K2260+IF(AND(S2260=1,J2260=0),1,0)</x:f>
        <x:v>6</x:v>
      </x:c>
      <x:c r="U2260" s="19" t="n">
        <x:f>L2260+IF(AND(S2260=1,J2260=1),1,0)</x:f>
        <x:v>1</x:v>
      </x:c>
      <x:c r="V2260" s="19" t="n">
        <x:f>M2260+IF(AND(S2260=1,J2260=2),1,0)</x:f>
        <x:v>1</x:v>
      </x:c>
      <x:c r="W2260" s="19" t="n">
        <x:f>SUM(T2260:V2260)</x:f>
        <x:v>8</x:v>
      </x:c>
      <x:c r="X2260" s="19" t="n">
        <x:f>W2260-G2260</x:f>
        <x:v>0</x:v>
      </x:c>
      <x:c r="Y2260" s="19" t="n">
        <x:f>MAX(T2260,1)+MAX(U2260,1)+MAX(V2260,1)</x:f>
        <x:v>8</x:v>
      </x:c>
      <x:c r="Z2260" s="21" t="str">
        <x:f>IF(AND(MIN(D2260:F2260)&gt;=0,MAX(D2260:F2260)&lt;=7,MAX(D2260,1)+MAX(E2260,1)+MAX(F2260,1)&lt;=9,OR(H2260="-",AND(H2260=0,D2260&gt;0),AND(H2260=1,E2260&gt;0),AND(H2260=2,F2260&gt;0)),OR(I2260=0,AND(I2260=1,OR(J2260=0,J2260=1,J2260=2),R2260&lt;&gt;"000")),Y2260&lt;=9,MIN(T2260:V2260)&gt;=0),"合法","输入违约")</x:f>
        <x:v>合法</x:v>
      </x:c>
    </x:row>
    <x:row r="2261" ht="23" customHeight="1">
      <x:c r="A2261" s="3" t="str">
        <x:v>CT-2254</x:v>
      </x:c>
      <x:c r="B2261" s="3" t="str">
        <x:v>ST-156</x:v>
      </x:c>
      <x:c r="C2261" s="3" t="str">
        <x:v>R+AR同收同发</x:v>
      </x:c>
      <x:c r="D2261" s="25" t="n">
        <x:v>5</x:v>
      </x:c>
      <x:c r="E2261" s="25" t="n">
        <x:v>2</x:v>
      </x:c>
      <x:c r="F2261" s="25" t="n">
        <x:v>1</x:v>
      </x:c>
      <x:c r="G2261" s="19" t="n">
        <x:f>SUM(D2261:F2261)</x:f>
        <x:v>8</x:v>
      </x:c>
      <x:c r="H2261" s="25" t="n">
        <x:v>1</x:v>
      </x:c>
      <x:c r="I2261" s="25" t="n">
        <x:v>1</x:v>
      </x:c>
      <x:c r="J2261" s="25" t="n">
        <x:v>1</x:v>
      </x:c>
      <x:c r="K2261" s="19" t="n">
        <x:f>D2261-IF(H2261=0,1,0)</x:f>
        <x:v>5</x:v>
      </x:c>
      <x:c r="L2261" s="19" t="n">
        <x:f>E2261-IF(H2261=1,1,0)</x:f>
        <x:v>1</x:v>
      </x:c>
      <x:c r="M2261" s="19" t="n">
        <x:f>F2261-IF(H2261=2,1,0)</x:f>
        <x:v>1</x:v>
      </x:c>
      <x:c r="N2261" s="19" t="n">
        <x:f>MAX(K2261-1,0)+MAX(L2261-1,0)+MAX(M2261-1,0)</x:f>
        <x:v>4</x:v>
      </x:c>
      <x:c r="O2261" s="19" t="n">
        <x:f>IF(AND(SUM(K2261:M2261)&lt;9,OR(M2261=0,N2261&lt;6)),1,0)</x:f>
        <x:v>1</x:v>
      </x:c>
      <x:c r="P2261" s="19" t="n">
        <x:f>IF(AND(SUM(K2261:M2261)&lt;9,OR(L2261=0,N2261&lt;6)),1,0)</x:f>
        <x:v>1</x:v>
      </x:c>
      <x:c r="Q2261" s="19" t="n">
        <x:f>IF(AND(SUM(K2261:M2261)&lt;9,OR(K2261=0,N2261&lt;6)),1,0)</x:f>
        <x:v>1</x:v>
      </x:c>
      <x:c r="R2261" s="22" t="str">
        <x:f>O2261&amp;P2261&amp;Q2261</x:f>
        <x:v>111</x:v>
      </x:c>
      <x:c r="S2261" s="19" t="n">
        <x:f>IF(I2261=1,IF(J2261=0,Q2261,IF(J2261=1,P2261,IF(J2261=2,O2261,0))),0)</x:f>
        <x:v>1</x:v>
      </x:c>
      <x:c r="T2261" s="19" t="n">
        <x:f>K2261+IF(AND(S2261=1,J2261=0),1,0)</x:f>
        <x:v>5</x:v>
      </x:c>
      <x:c r="U2261" s="19" t="n">
        <x:f>L2261+IF(AND(S2261=1,J2261=1),1,0)</x:f>
        <x:v>2</x:v>
      </x:c>
      <x:c r="V2261" s="19" t="n">
        <x:f>M2261+IF(AND(S2261=1,J2261=2),1,0)</x:f>
        <x:v>1</x:v>
      </x:c>
      <x:c r="W2261" s="19" t="n">
        <x:f>SUM(T2261:V2261)</x:f>
        <x:v>8</x:v>
      </x:c>
      <x:c r="X2261" s="19" t="n">
        <x:f>W2261-G2261</x:f>
        <x:v>0</x:v>
      </x:c>
      <x:c r="Y2261" s="19" t="n">
        <x:f>MAX(T2261,1)+MAX(U2261,1)+MAX(V2261,1)</x:f>
        <x:v>8</x:v>
      </x:c>
      <x:c r="Z2261" s="21" t="str">
        <x:f>IF(AND(MIN(D2261:F2261)&gt;=0,MAX(D2261:F2261)&lt;=7,MAX(D2261,1)+MAX(E2261,1)+MAX(F2261,1)&lt;=9,OR(H2261="-",AND(H2261=0,D2261&gt;0),AND(H2261=1,E2261&gt;0),AND(H2261=2,F2261&gt;0)),OR(I2261=0,AND(I2261=1,OR(J2261=0,J2261=1,J2261=2),R2261&lt;&gt;"000")),Y2261&lt;=9,MIN(T2261:V2261)&gt;=0),"合法","输入违约")</x:f>
        <x:v>合法</x:v>
      </x:c>
    </x:row>
    <x:row r="2262" ht="23" customHeight="1">
      <x:c r="A2262" s="3" t="str">
        <x:v>CT-2255</x:v>
      </x:c>
      <x:c r="B2262" s="3" t="str">
        <x:v>ST-156</x:v>
      </x:c>
      <x:c r="C2262" s="3" t="str">
        <x:v>R+AR同收同发</x:v>
      </x:c>
      <x:c r="D2262" s="25" t="n">
        <x:v>5</x:v>
      </x:c>
      <x:c r="E2262" s="25" t="n">
        <x:v>2</x:v>
      </x:c>
      <x:c r="F2262" s="25" t="n">
        <x:v>1</x:v>
      </x:c>
      <x:c r="G2262" s="19" t="n">
        <x:f>SUM(D2262:F2262)</x:f>
        <x:v>8</x:v>
      </x:c>
      <x:c r="H2262" s="25" t="n">
        <x:v>1</x:v>
      </x:c>
      <x:c r="I2262" s="25" t="n">
        <x:v>1</x:v>
      </x:c>
      <x:c r="J2262" s="25" t="n">
        <x:v>2</x:v>
      </x:c>
      <x:c r="K2262" s="19" t="n">
        <x:f>D2262-IF(H2262=0,1,0)</x:f>
        <x:v>5</x:v>
      </x:c>
      <x:c r="L2262" s="19" t="n">
        <x:f>E2262-IF(H2262=1,1,0)</x:f>
        <x:v>1</x:v>
      </x:c>
      <x:c r="M2262" s="19" t="n">
        <x:f>F2262-IF(H2262=2,1,0)</x:f>
        <x:v>1</x:v>
      </x:c>
      <x:c r="N2262" s="19" t="n">
        <x:f>MAX(K2262-1,0)+MAX(L2262-1,0)+MAX(M2262-1,0)</x:f>
        <x:v>4</x:v>
      </x:c>
      <x:c r="O2262" s="19" t="n">
        <x:f>IF(AND(SUM(K2262:M2262)&lt;9,OR(M2262=0,N2262&lt;6)),1,0)</x:f>
        <x:v>1</x:v>
      </x:c>
      <x:c r="P2262" s="19" t="n">
        <x:f>IF(AND(SUM(K2262:M2262)&lt;9,OR(L2262=0,N2262&lt;6)),1,0)</x:f>
        <x:v>1</x:v>
      </x:c>
      <x:c r="Q2262" s="19" t="n">
        <x:f>IF(AND(SUM(K2262:M2262)&lt;9,OR(K2262=0,N2262&lt;6)),1,0)</x:f>
        <x:v>1</x:v>
      </x:c>
      <x:c r="R2262" s="22" t="str">
        <x:f>O2262&amp;P2262&amp;Q2262</x:f>
        <x:v>111</x:v>
      </x:c>
      <x:c r="S2262" s="19" t="n">
        <x:f>IF(I2262=1,IF(J2262=0,Q2262,IF(J2262=1,P2262,IF(J2262=2,O2262,0))),0)</x:f>
        <x:v>1</x:v>
      </x:c>
      <x:c r="T2262" s="19" t="n">
        <x:f>K2262+IF(AND(S2262=1,J2262=0),1,0)</x:f>
        <x:v>5</x:v>
      </x:c>
      <x:c r="U2262" s="19" t="n">
        <x:f>L2262+IF(AND(S2262=1,J2262=1),1,0)</x:f>
        <x:v>1</x:v>
      </x:c>
      <x:c r="V2262" s="19" t="n">
        <x:f>M2262+IF(AND(S2262=1,J2262=2),1,0)</x:f>
        <x:v>2</x:v>
      </x:c>
      <x:c r="W2262" s="19" t="n">
        <x:f>SUM(T2262:V2262)</x:f>
        <x:v>8</x:v>
      </x:c>
      <x:c r="X2262" s="19" t="n">
        <x:f>W2262-G2262</x:f>
        <x:v>0</x:v>
      </x:c>
      <x:c r="Y2262" s="19" t="n">
        <x:f>MAX(T2262,1)+MAX(U2262,1)+MAX(V2262,1)</x:f>
        <x:v>8</x:v>
      </x:c>
      <x:c r="Z2262" s="21" t="str">
        <x:f>IF(AND(MIN(D2262:F2262)&gt;=0,MAX(D2262:F2262)&lt;=7,MAX(D2262,1)+MAX(E2262,1)+MAX(F2262,1)&lt;=9,OR(H2262="-",AND(H2262=0,D2262&gt;0),AND(H2262=1,E2262&gt;0),AND(H2262=2,F2262&gt;0)),OR(I2262=0,AND(I2262=1,OR(J2262=0,J2262=1,J2262=2),R2262&lt;&gt;"000")),Y2262&lt;=9,MIN(T2262:V2262)&gt;=0),"合法","输入违约")</x:f>
        <x:v>合法</x:v>
      </x:c>
    </x:row>
    <x:row r="2263" ht="23" customHeight="1">
      <x:c r="A2263" s="3" t="str">
        <x:v>CT-2256</x:v>
      </x:c>
      <x:c r="B2263" s="3" t="str">
        <x:v>ST-156</x:v>
      </x:c>
      <x:c r="C2263" s="3" t="str">
        <x:v>仅R回收</x:v>
      </x:c>
      <x:c r="D2263" s="25" t="n">
        <x:v>5</x:v>
      </x:c>
      <x:c r="E2263" s="25" t="n">
        <x:v>2</x:v>
      </x:c>
      <x:c r="F2263" s="25" t="n">
        <x:v>1</x:v>
      </x:c>
      <x:c r="G2263" s="19" t="n">
        <x:f>SUM(D2263:F2263)</x:f>
        <x:v>8</x:v>
      </x:c>
      <x:c r="H2263" s="25" t="n">
        <x:v>2</x:v>
      </x:c>
      <x:c r="I2263" s="25" t="n">
        <x:v>0</x:v>
      </x:c>
      <x:c r="J2263" s="25" t="str">
        <x:v>-</x:v>
      </x:c>
      <x:c r="K2263" s="19" t="n">
        <x:f>D2263-IF(H2263=0,1,0)</x:f>
        <x:v>5</x:v>
      </x:c>
      <x:c r="L2263" s="19" t="n">
        <x:f>E2263-IF(H2263=1,1,0)</x:f>
        <x:v>2</x:v>
      </x:c>
      <x:c r="M2263" s="19" t="n">
        <x:f>F2263-IF(H2263=2,1,0)</x:f>
        <x:v>0</x:v>
      </x:c>
      <x:c r="N2263" s="19" t="n">
        <x:f>MAX(K2263-1,0)+MAX(L2263-1,0)+MAX(M2263-1,0)</x:f>
        <x:v>5</x:v>
      </x:c>
      <x:c r="O2263" s="19" t="n">
        <x:f>IF(AND(SUM(K2263:M2263)&lt;9,OR(M2263=0,N2263&lt;6)),1,0)</x:f>
        <x:v>1</x:v>
      </x:c>
      <x:c r="P2263" s="19" t="n">
        <x:f>IF(AND(SUM(K2263:M2263)&lt;9,OR(L2263=0,N2263&lt;6)),1,0)</x:f>
        <x:v>1</x:v>
      </x:c>
      <x:c r="Q2263" s="19" t="n">
        <x:f>IF(AND(SUM(K2263:M2263)&lt;9,OR(K2263=0,N2263&lt;6)),1,0)</x:f>
        <x:v>1</x:v>
      </x:c>
      <x:c r="R2263" s="22" t="str">
        <x:f>O2263&amp;P2263&amp;Q2263</x:f>
        <x:v>111</x:v>
      </x:c>
      <x:c r="S2263" s="19" t="n">
        <x:f>IF(I2263=1,IF(J2263=0,Q2263,IF(J2263=1,P2263,IF(J2263=2,O2263,0))),0)</x:f>
        <x:v>0</x:v>
      </x:c>
      <x:c r="T2263" s="19" t="n">
        <x:f>K2263+IF(AND(S2263=1,J2263=0),1,0)</x:f>
        <x:v>5</x:v>
      </x:c>
      <x:c r="U2263" s="19" t="n">
        <x:f>L2263+IF(AND(S2263=1,J2263=1),1,0)</x:f>
        <x:v>2</x:v>
      </x:c>
      <x:c r="V2263" s="19" t="n">
        <x:f>M2263+IF(AND(S2263=1,J2263=2),1,0)</x:f>
        <x:v>0</x:v>
      </x:c>
      <x:c r="W2263" s="19" t="n">
        <x:f>SUM(T2263:V2263)</x:f>
        <x:v>7</x:v>
      </x:c>
      <x:c r="X2263" s="19" t="n">
        <x:f>W2263-G2263</x:f>
        <x:v>-1</x:v>
      </x:c>
      <x:c r="Y2263" s="19" t="n">
        <x:f>MAX(T2263,1)+MAX(U2263,1)+MAX(V2263,1)</x:f>
        <x:v>8</x:v>
      </x:c>
      <x:c r="Z2263" s="21" t="str">
        <x:f>IF(AND(MIN(D2263:F2263)&gt;=0,MAX(D2263:F2263)&lt;=7,MAX(D2263,1)+MAX(E2263,1)+MAX(F2263,1)&lt;=9,OR(H2263="-",AND(H2263=0,D2263&gt;0),AND(H2263=1,E2263&gt;0),AND(H2263=2,F2263&gt;0)),OR(I2263=0,AND(I2263=1,OR(J2263=0,J2263=1,J2263=2),R2263&lt;&gt;"000")),Y2263&lt;=9,MIN(T2263:V2263)&gt;=0),"合法","输入违约")</x:f>
        <x:v>合法</x:v>
      </x:c>
    </x:row>
    <x:row r="2264" ht="23" customHeight="1">
      <x:c r="A2264" s="3" t="str">
        <x:v>CT-2257</x:v>
      </x:c>
      <x:c r="B2264" s="3" t="str">
        <x:v>ST-156</x:v>
      </x:c>
      <x:c r="C2264" s="3" t="str">
        <x:v>R+AR同收同发</x:v>
      </x:c>
      <x:c r="D2264" s="25" t="n">
        <x:v>5</x:v>
      </x:c>
      <x:c r="E2264" s="25" t="n">
        <x:v>2</x:v>
      </x:c>
      <x:c r="F2264" s="25" t="n">
        <x:v>1</x:v>
      </x:c>
      <x:c r="G2264" s="19" t="n">
        <x:f>SUM(D2264:F2264)</x:f>
        <x:v>8</x:v>
      </x:c>
      <x:c r="H2264" s="25" t="n">
        <x:v>2</x:v>
      </x:c>
      <x:c r="I2264" s="25" t="n">
        <x:v>1</x:v>
      </x:c>
      <x:c r="J2264" s="25" t="n">
        <x:v>0</x:v>
      </x:c>
      <x:c r="K2264" s="19" t="n">
        <x:f>D2264-IF(H2264=0,1,0)</x:f>
        <x:v>5</x:v>
      </x:c>
      <x:c r="L2264" s="19" t="n">
        <x:f>E2264-IF(H2264=1,1,0)</x:f>
        <x:v>2</x:v>
      </x:c>
      <x:c r="M2264" s="19" t="n">
        <x:f>F2264-IF(H2264=2,1,0)</x:f>
        <x:v>0</x:v>
      </x:c>
      <x:c r="N2264" s="19" t="n">
        <x:f>MAX(K2264-1,0)+MAX(L2264-1,0)+MAX(M2264-1,0)</x:f>
        <x:v>5</x:v>
      </x:c>
      <x:c r="O2264" s="19" t="n">
        <x:f>IF(AND(SUM(K2264:M2264)&lt;9,OR(M2264=0,N2264&lt;6)),1,0)</x:f>
        <x:v>1</x:v>
      </x:c>
      <x:c r="P2264" s="19" t="n">
        <x:f>IF(AND(SUM(K2264:M2264)&lt;9,OR(L2264=0,N2264&lt;6)),1,0)</x:f>
        <x:v>1</x:v>
      </x:c>
      <x:c r="Q2264" s="19" t="n">
        <x:f>IF(AND(SUM(K2264:M2264)&lt;9,OR(K2264=0,N2264&lt;6)),1,0)</x:f>
        <x:v>1</x:v>
      </x:c>
      <x:c r="R2264" s="22" t="str">
        <x:f>O2264&amp;P2264&amp;Q2264</x:f>
        <x:v>111</x:v>
      </x:c>
      <x:c r="S2264" s="19" t="n">
        <x:f>IF(I2264=1,IF(J2264=0,Q2264,IF(J2264=1,P2264,IF(J2264=2,O2264,0))),0)</x:f>
        <x:v>1</x:v>
      </x:c>
      <x:c r="T2264" s="19" t="n">
        <x:f>K2264+IF(AND(S2264=1,J2264=0),1,0)</x:f>
        <x:v>6</x:v>
      </x:c>
      <x:c r="U2264" s="19" t="n">
        <x:f>L2264+IF(AND(S2264=1,J2264=1),1,0)</x:f>
        <x:v>2</x:v>
      </x:c>
      <x:c r="V2264" s="19" t="n">
        <x:f>M2264+IF(AND(S2264=1,J2264=2),1,0)</x:f>
        <x:v>0</x:v>
      </x:c>
      <x:c r="W2264" s="19" t="n">
        <x:f>SUM(T2264:V2264)</x:f>
        <x:v>8</x:v>
      </x:c>
      <x:c r="X2264" s="19" t="n">
        <x:f>W2264-G2264</x:f>
        <x:v>0</x:v>
      </x:c>
      <x:c r="Y2264" s="19" t="n">
        <x:f>MAX(T2264,1)+MAX(U2264,1)+MAX(V2264,1)</x:f>
        <x:v>9</x:v>
      </x:c>
      <x:c r="Z2264" s="21" t="str">
        <x:f>IF(AND(MIN(D2264:F2264)&gt;=0,MAX(D2264:F2264)&lt;=7,MAX(D2264,1)+MAX(E2264,1)+MAX(F2264,1)&lt;=9,OR(H2264="-",AND(H2264=0,D2264&gt;0),AND(H2264=1,E2264&gt;0),AND(H2264=2,F2264&gt;0)),OR(I2264=0,AND(I2264=1,OR(J2264=0,J2264=1,J2264=2),R2264&lt;&gt;"000")),Y2264&lt;=9,MIN(T2264:V2264)&gt;=0),"合法","输入违约")</x:f>
        <x:v>合法</x:v>
      </x:c>
    </x:row>
    <x:row r="2265" ht="23" customHeight="1">
      <x:c r="A2265" s="3" t="str">
        <x:v>CT-2258</x:v>
      </x:c>
      <x:c r="B2265" s="3" t="str">
        <x:v>ST-156</x:v>
      </x:c>
      <x:c r="C2265" s="3" t="str">
        <x:v>R+AR同收同发</x:v>
      </x:c>
      <x:c r="D2265" s="25" t="n">
        <x:v>5</x:v>
      </x:c>
      <x:c r="E2265" s="25" t="n">
        <x:v>2</x:v>
      </x:c>
      <x:c r="F2265" s="25" t="n">
        <x:v>1</x:v>
      </x:c>
      <x:c r="G2265" s="19" t="n">
        <x:f>SUM(D2265:F2265)</x:f>
        <x:v>8</x:v>
      </x:c>
      <x:c r="H2265" s="25" t="n">
        <x:v>2</x:v>
      </x:c>
      <x:c r="I2265" s="25" t="n">
        <x:v>1</x:v>
      </x:c>
      <x:c r="J2265" s="25" t="n">
        <x:v>1</x:v>
      </x:c>
      <x:c r="K2265" s="19" t="n">
        <x:f>D2265-IF(H2265=0,1,0)</x:f>
        <x:v>5</x:v>
      </x:c>
      <x:c r="L2265" s="19" t="n">
        <x:f>E2265-IF(H2265=1,1,0)</x:f>
        <x:v>2</x:v>
      </x:c>
      <x:c r="M2265" s="19" t="n">
        <x:f>F2265-IF(H2265=2,1,0)</x:f>
        <x:v>0</x:v>
      </x:c>
      <x:c r="N2265" s="19" t="n">
        <x:f>MAX(K2265-1,0)+MAX(L2265-1,0)+MAX(M2265-1,0)</x:f>
        <x:v>5</x:v>
      </x:c>
      <x:c r="O2265" s="19" t="n">
        <x:f>IF(AND(SUM(K2265:M2265)&lt;9,OR(M2265=0,N2265&lt;6)),1,0)</x:f>
        <x:v>1</x:v>
      </x:c>
      <x:c r="P2265" s="19" t="n">
        <x:f>IF(AND(SUM(K2265:M2265)&lt;9,OR(L2265=0,N2265&lt;6)),1,0)</x:f>
        <x:v>1</x:v>
      </x:c>
      <x:c r="Q2265" s="19" t="n">
        <x:f>IF(AND(SUM(K2265:M2265)&lt;9,OR(K2265=0,N2265&lt;6)),1,0)</x:f>
        <x:v>1</x:v>
      </x:c>
      <x:c r="R2265" s="22" t="str">
        <x:f>O2265&amp;P2265&amp;Q2265</x:f>
        <x:v>111</x:v>
      </x:c>
      <x:c r="S2265" s="19" t="n">
        <x:f>IF(I2265=1,IF(J2265=0,Q2265,IF(J2265=1,P2265,IF(J2265=2,O2265,0))),0)</x:f>
        <x:v>1</x:v>
      </x:c>
      <x:c r="T2265" s="19" t="n">
        <x:f>K2265+IF(AND(S2265=1,J2265=0),1,0)</x:f>
        <x:v>5</x:v>
      </x:c>
      <x:c r="U2265" s="19" t="n">
        <x:f>L2265+IF(AND(S2265=1,J2265=1),1,0)</x:f>
        <x:v>3</x:v>
      </x:c>
      <x:c r="V2265" s="19" t="n">
        <x:f>M2265+IF(AND(S2265=1,J2265=2),1,0)</x:f>
        <x:v>0</x:v>
      </x:c>
      <x:c r="W2265" s="19" t="n">
        <x:f>SUM(T2265:V2265)</x:f>
        <x:v>8</x:v>
      </x:c>
      <x:c r="X2265" s="19" t="n">
        <x:f>W2265-G2265</x:f>
        <x:v>0</x:v>
      </x:c>
      <x:c r="Y2265" s="19" t="n">
        <x:f>MAX(T2265,1)+MAX(U2265,1)+MAX(V2265,1)</x:f>
        <x:v>9</x:v>
      </x:c>
      <x:c r="Z2265" s="21" t="str">
        <x:f>IF(AND(MIN(D2265:F2265)&gt;=0,MAX(D2265:F2265)&lt;=7,MAX(D2265,1)+MAX(E2265,1)+MAX(F2265,1)&lt;=9,OR(H2265="-",AND(H2265=0,D2265&gt;0),AND(H2265=1,E2265&gt;0),AND(H2265=2,F2265&gt;0)),OR(I2265=0,AND(I2265=1,OR(J2265=0,J2265=1,J2265=2),R2265&lt;&gt;"000")),Y2265&lt;=9,MIN(T2265:V2265)&gt;=0),"合法","输入违约")</x:f>
        <x:v>合法</x:v>
      </x:c>
    </x:row>
    <x:row r="2266" ht="23" customHeight="1">
      <x:c r="A2266" s="3" t="str">
        <x:v>CT-2259</x:v>
      </x:c>
      <x:c r="B2266" s="3" t="str">
        <x:v>ST-156</x:v>
      </x:c>
      <x:c r="C2266" s="3" t="str">
        <x:v>R+AR同收同发</x:v>
      </x:c>
      <x:c r="D2266" s="25" t="n">
        <x:v>5</x:v>
      </x:c>
      <x:c r="E2266" s="25" t="n">
        <x:v>2</x:v>
      </x:c>
      <x:c r="F2266" s="25" t="n">
        <x:v>1</x:v>
      </x:c>
      <x:c r="G2266" s="19" t="n">
        <x:f>SUM(D2266:F2266)</x:f>
        <x:v>8</x:v>
      </x:c>
      <x:c r="H2266" s="25" t="n">
        <x:v>2</x:v>
      </x:c>
      <x:c r="I2266" s="25" t="n">
        <x:v>1</x:v>
      </x:c>
      <x:c r="J2266" s="25" t="n">
        <x:v>2</x:v>
      </x:c>
      <x:c r="K2266" s="19" t="n">
        <x:f>D2266-IF(H2266=0,1,0)</x:f>
        <x:v>5</x:v>
      </x:c>
      <x:c r="L2266" s="19" t="n">
        <x:f>E2266-IF(H2266=1,1,0)</x:f>
        <x:v>2</x:v>
      </x:c>
      <x:c r="M2266" s="19" t="n">
        <x:f>F2266-IF(H2266=2,1,0)</x:f>
        <x:v>0</x:v>
      </x:c>
      <x:c r="N2266" s="19" t="n">
        <x:f>MAX(K2266-1,0)+MAX(L2266-1,0)+MAX(M2266-1,0)</x:f>
        <x:v>5</x:v>
      </x:c>
      <x:c r="O2266" s="19" t="n">
        <x:f>IF(AND(SUM(K2266:M2266)&lt;9,OR(M2266=0,N2266&lt;6)),1,0)</x:f>
        <x:v>1</x:v>
      </x:c>
      <x:c r="P2266" s="19" t="n">
        <x:f>IF(AND(SUM(K2266:M2266)&lt;9,OR(L2266=0,N2266&lt;6)),1,0)</x:f>
        <x:v>1</x:v>
      </x:c>
      <x:c r="Q2266" s="19" t="n">
        <x:f>IF(AND(SUM(K2266:M2266)&lt;9,OR(K2266=0,N2266&lt;6)),1,0)</x:f>
        <x:v>1</x:v>
      </x:c>
      <x:c r="R2266" s="22" t="str">
        <x:f>O2266&amp;P2266&amp;Q2266</x:f>
        <x:v>111</x:v>
      </x:c>
      <x:c r="S2266" s="19" t="n">
        <x:f>IF(I2266=1,IF(J2266=0,Q2266,IF(J2266=1,P2266,IF(J2266=2,O2266,0))),0)</x:f>
        <x:v>1</x:v>
      </x:c>
      <x:c r="T2266" s="19" t="n">
        <x:f>K2266+IF(AND(S2266=1,J2266=0),1,0)</x:f>
        <x:v>5</x:v>
      </x:c>
      <x:c r="U2266" s="19" t="n">
        <x:f>L2266+IF(AND(S2266=1,J2266=1),1,0)</x:f>
        <x:v>2</x:v>
      </x:c>
      <x:c r="V2266" s="19" t="n">
        <x:f>M2266+IF(AND(S2266=1,J2266=2),1,0)</x:f>
        <x:v>1</x:v>
      </x:c>
      <x:c r="W2266" s="19" t="n">
        <x:f>SUM(T2266:V2266)</x:f>
        <x:v>8</x:v>
      </x:c>
      <x:c r="X2266" s="19" t="n">
        <x:f>W2266-G2266</x:f>
        <x:v>0</x:v>
      </x:c>
      <x:c r="Y2266" s="19" t="n">
        <x:f>MAX(T2266,1)+MAX(U2266,1)+MAX(V2266,1)</x:f>
        <x:v>8</x:v>
      </x:c>
      <x:c r="Z2266" s="21" t="str">
        <x:f>IF(AND(MIN(D2266:F2266)&gt;=0,MAX(D2266:F2266)&lt;=7,MAX(D2266,1)+MAX(E2266,1)+MAX(F2266,1)&lt;=9,OR(H2266="-",AND(H2266=0,D2266&gt;0),AND(H2266=1,E2266&gt;0),AND(H2266=2,F2266&gt;0)),OR(I2266=0,AND(I2266=1,OR(J2266=0,J2266=1,J2266=2),R2266&lt;&gt;"000")),Y2266&lt;=9,MIN(T2266:V2266)&gt;=0),"合法","输入违约")</x:f>
        <x:v>合法</x:v>
      </x:c>
    </x:row>
    <x:row r="2267" ht="23" customHeight="1">
      <x:c r="A2267" s="3" t="str">
        <x:v>CT-2260</x:v>
      </x:c>
      <x:c r="B2267" s="3" t="str">
        <x:v>ST-186</x:v>
      </x:c>
      <x:c r="C2267" s="3" t="str">
        <x:v>无AR/R</x:v>
      </x:c>
      <x:c r="D2267" s="25" t="n">
        <x:v>5</x:v>
      </x:c>
      <x:c r="E2267" s="25" t="n">
        <x:v>2</x:v>
      </x:c>
      <x:c r="F2267" s="25" t="n">
        <x:v>2</x:v>
      </x:c>
      <x:c r="G2267" s="19" t="n">
        <x:f>SUM(D2267:F2267)</x:f>
        <x:v>9</x:v>
      </x:c>
      <x:c r="H2267" s="25" t="str">
        <x:v>-</x:v>
      </x:c>
      <x:c r="I2267" s="25" t="n">
        <x:v>0</x:v>
      </x:c>
      <x:c r="J2267" s="25" t="str">
        <x:v>-</x:v>
      </x:c>
      <x:c r="K2267" s="19" t="n">
        <x:f>D2267-IF(H2267=0,1,0)</x:f>
        <x:v>5</x:v>
      </x:c>
      <x:c r="L2267" s="19" t="n">
        <x:f>E2267-IF(H2267=1,1,0)</x:f>
        <x:v>2</x:v>
      </x:c>
      <x:c r="M2267" s="19" t="n">
        <x:f>F2267-IF(H2267=2,1,0)</x:f>
        <x:v>2</x:v>
      </x:c>
      <x:c r="N2267" s="19" t="n">
        <x:f>MAX(K2267-1,0)+MAX(L2267-1,0)+MAX(M2267-1,0)</x:f>
        <x:v>6</x:v>
      </x:c>
      <x:c r="O2267" s="19" t="n">
        <x:f>IF(AND(SUM(K2267:M2267)&lt;9,OR(M2267=0,N2267&lt;6)),1,0)</x:f>
        <x:v>0</x:v>
      </x:c>
      <x:c r="P2267" s="19" t="n">
        <x:f>IF(AND(SUM(K2267:M2267)&lt;9,OR(L2267=0,N2267&lt;6)),1,0)</x:f>
        <x:v>0</x:v>
      </x:c>
      <x:c r="Q2267" s="19" t="n">
        <x:f>IF(AND(SUM(K2267:M2267)&lt;9,OR(K2267=0,N2267&lt;6)),1,0)</x:f>
        <x:v>0</x:v>
      </x:c>
      <x:c r="R2267" s="22" t="str">
        <x:f>O2267&amp;P2267&amp;Q2267</x:f>
        <x:v>000</x:v>
      </x:c>
      <x:c r="S2267" s="19" t="n">
        <x:f>IF(I2267=1,IF(J2267=0,Q2267,IF(J2267=1,P2267,IF(J2267=2,O2267,0))),0)</x:f>
        <x:v>0</x:v>
      </x:c>
      <x:c r="T2267" s="19" t="n">
        <x:f>K2267+IF(AND(S2267=1,J2267=0),1,0)</x:f>
        <x:v>5</x:v>
      </x:c>
      <x:c r="U2267" s="19" t="n">
        <x:f>L2267+IF(AND(S2267=1,J2267=1),1,0)</x:f>
        <x:v>2</x:v>
      </x:c>
      <x:c r="V2267" s="19" t="n">
        <x:f>M2267+IF(AND(S2267=1,J2267=2),1,0)</x:f>
        <x:v>2</x:v>
      </x:c>
      <x:c r="W2267" s="19" t="n">
        <x:f>SUM(T2267:V2267)</x:f>
        <x:v>9</x:v>
      </x:c>
      <x:c r="X2267" s="19" t="n">
        <x:f>W2267-G2267</x:f>
        <x:v>0</x:v>
      </x:c>
      <x:c r="Y2267" s="19" t="n">
        <x:f>MAX(T2267,1)+MAX(U2267,1)+MAX(V2267,1)</x:f>
        <x:v>9</x:v>
      </x:c>
      <x:c r="Z2267" s="21" t="str">
        <x:f>IF(AND(MIN(D2267:F2267)&gt;=0,MAX(D2267:F2267)&lt;=7,MAX(D2267,1)+MAX(E2267,1)+MAX(F2267,1)&lt;=9,OR(H2267="-",AND(H2267=0,D2267&gt;0),AND(H2267=1,E2267&gt;0),AND(H2267=2,F2267&gt;0)),OR(I2267=0,AND(I2267=1,OR(J2267=0,J2267=1,J2267=2),R2267&lt;&gt;"000")),Y2267&lt;=9,MIN(T2267:V2267)&gt;=0),"合法","输入违约")</x:f>
        <x:v>合法</x:v>
      </x:c>
    </x:row>
    <x:row r="2268" ht="23" customHeight="1">
      <x:c r="A2268" s="3" t="str">
        <x:v>CT-2261</x:v>
      </x:c>
      <x:c r="B2268" s="3" t="str">
        <x:v>ST-186</x:v>
      </x:c>
      <x:c r="C2268" s="3" t="str">
        <x:v>仅R回收</x:v>
      </x:c>
      <x:c r="D2268" s="25" t="n">
        <x:v>5</x:v>
      </x:c>
      <x:c r="E2268" s="25" t="n">
        <x:v>2</x:v>
      </x:c>
      <x:c r="F2268" s="25" t="n">
        <x:v>2</x:v>
      </x:c>
      <x:c r="G2268" s="19" t="n">
        <x:f>SUM(D2268:F2268)</x:f>
        <x:v>9</x:v>
      </x:c>
      <x:c r="H2268" s="25" t="n">
        <x:v>0</x:v>
      </x:c>
      <x:c r="I2268" s="25" t="n">
        <x:v>0</x:v>
      </x:c>
      <x:c r="J2268" s="25" t="str">
        <x:v>-</x:v>
      </x:c>
      <x:c r="K2268" s="19" t="n">
        <x:f>D2268-IF(H2268=0,1,0)</x:f>
        <x:v>4</x:v>
      </x:c>
      <x:c r="L2268" s="19" t="n">
        <x:f>E2268-IF(H2268=1,1,0)</x:f>
        <x:v>2</x:v>
      </x:c>
      <x:c r="M2268" s="19" t="n">
        <x:f>F2268-IF(H2268=2,1,0)</x:f>
        <x:v>2</x:v>
      </x:c>
      <x:c r="N2268" s="19" t="n">
        <x:f>MAX(K2268-1,0)+MAX(L2268-1,0)+MAX(M2268-1,0)</x:f>
        <x:v>5</x:v>
      </x:c>
      <x:c r="O2268" s="19" t="n">
        <x:f>IF(AND(SUM(K2268:M2268)&lt;9,OR(M2268=0,N2268&lt;6)),1,0)</x:f>
        <x:v>1</x:v>
      </x:c>
      <x:c r="P2268" s="19" t="n">
        <x:f>IF(AND(SUM(K2268:M2268)&lt;9,OR(L2268=0,N2268&lt;6)),1,0)</x:f>
        <x:v>1</x:v>
      </x:c>
      <x:c r="Q2268" s="19" t="n">
        <x:f>IF(AND(SUM(K2268:M2268)&lt;9,OR(K2268=0,N2268&lt;6)),1,0)</x:f>
        <x:v>1</x:v>
      </x:c>
      <x:c r="R2268" s="22" t="str">
        <x:f>O2268&amp;P2268&amp;Q2268</x:f>
        <x:v>111</x:v>
      </x:c>
      <x:c r="S2268" s="19" t="n">
        <x:f>IF(I2268=1,IF(J2268=0,Q2268,IF(J2268=1,P2268,IF(J2268=2,O2268,0))),0)</x:f>
        <x:v>0</x:v>
      </x:c>
      <x:c r="T2268" s="19" t="n">
        <x:f>K2268+IF(AND(S2268=1,J2268=0),1,0)</x:f>
        <x:v>4</x:v>
      </x:c>
      <x:c r="U2268" s="19" t="n">
        <x:f>L2268+IF(AND(S2268=1,J2268=1),1,0)</x:f>
        <x:v>2</x:v>
      </x:c>
      <x:c r="V2268" s="19" t="n">
        <x:f>M2268+IF(AND(S2268=1,J2268=2),1,0)</x:f>
        <x:v>2</x:v>
      </x:c>
      <x:c r="W2268" s="19" t="n">
        <x:f>SUM(T2268:V2268)</x:f>
        <x:v>8</x:v>
      </x:c>
      <x:c r="X2268" s="19" t="n">
        <x:f>W2268-G2268</x:f>
        <x:v>-1</x:v>
      </x:c>
      <x:c r="Y2268" s="19" t="n">
        <x:f>MAX(T2268,1)+MAX(U2268,1)+MAX(V2268,1)</x:f>
        <x:v>8</x:v>
      </x:c>
      <x:c r="Z2268" s="21" t="str">
        <x:f>IF(AND(MIN(D2268:F2268)&gt;=0,MAX(D2268:F2268)&lt;=7,MAX(D2268,1)+MAX(E2268,1)+MAX(F2268,1)&lt;=9,OR(H2268="-",AND(H2268=0,D2268&gt;0),AND(H2268=1,E2268&gt;0),AND(H2268=2,F2268&gt;0)),OR(I2268=0,AND(I2268=1,OR(J2268=0,J2268=1,J2268=2),R2268&lt;&gt;"000")),Y2268&lt;=9,MIN(T2268:V2268)&gt;=0),"合法","输入违约")</x:f>
        <x:v>合法</x:v>
      </x:c>
    </x:row>
    <x:row r="2269" ht="23" customHeight="1">
      <x:c r="A2269" s="3" t="str">
        <x:v>CT-2262</x:v>
      </x:c>
      <x:c r="B2269" s="3" t="str">
        <x:v>ST-186</x:v>
      </x:c>
      <x:c r="C2269" s="3" t="str">
        <x:v>R+AR同收同发</x:v>
      </x:c>
      <x:c r="D2269" s="25" t="n">
        <x:v>5</x:v>
      </x:c>
      <x:c r="E2269" s="25" t="n">
        <x:v>2</x:v>
      </x:c>
      <x:c r="F2269" s="25" t="n">
        <x:v>2</x:v>
      </x:c>
      <x:c r="G2269" s="19" t="n">
        <x:f>SUM(D2269:F2269)</x:f>
        <x:v>9</x:v>
      </x:c>
      <x:c r="H2269" s="25" t="n">
        <x:v>0</x:v>
      </x:c>
      <x:c r="I2269" s="25" t="n">
        <x:v>1</x:v>
      </x:c>
      <x:c r="J2269" s="25" t="n">
        <x:v>0</x:v>
      </x:c>
      <x:c r="K2269" s="19" t="n">
        <x:f>D2269-IF(H2269=0,1,0)</x:f>
        <x:v>4</x:v>
      </x:c>
      <x:c r="L2269" s="19" t="n">
        <x:f>E2269-IF(H2269=1,1,0)</x:f>
        <x:v>2</x:v>
      </x:c>
      <x:c r="M2269" s="19" t="n">
        <x:f>F2269-IF(H2269=2,1,0)</x:f>
        <x:v>2</x:v>
      </x:c>
      <x:c r="N2269" s="19" t="n">
        <x:f>MAX(K2269-1,0)+MAX(L2269-1,0)+MAX(M2269-1,0)</x:f>
        <x:v>5</x:v>
      </x:c>
      <x:c r="O2269" s="19" t="n">
        <x:f>IF(AND(SUM(K2269:M2269)&lt;9,OR(M2269=0,N2269&lt;6)),1,0)</x:f>
        <x:v>1</x:v>
      </x:c>
      <x:c r="P2269" s="19" t="n">
        <x:f>IF(AND(SUM(K2269:M2269)&lt;9,OR(L2269=0,N2269&lt;6)),1,0)</x:f>
        <x:v>1</x:v>
      </x:c>
      <x:c r="Q2269" s="19" t="n">
        <x:f>IF(AND(SUM(K2269:M2269)&lt;9,OR(K2269=0,N2269&lt;6)),1,0)</x:f>
        <x:v>1</x:v>
      </x:c>
      <x:c r="R2269" s="22" t="str">
        <x:f>O2269&amp;P2269&amp;Q2269</x:f>
        <x:v>111</x:v>
      </x:c>
      <x:c r="S2269" s="19" t="n">
        <x:f>IF(I2269=1,IF(J2269=0,Q2269,IF(J2269=1,P2269,IF(J2269=2,O2269,0))),0)</x:f>
        <x:v>1</x:v>
      </x:c>
      <x:c r="T2269" s="19" t="n">
        <x:f>K2269+IF(AND(S2269=1,J2269=0),1,0)</x:f>
        <x:v>5</x:v>
      </x:c>
      <x:c r="U2269" s="19" t="n">
        <x:f>L2269+IF(AND(S2269=1,J2269=1),1,0)</x:f>
        <x:v>2</x:v>
      </x:c>
      <x:c r="V2269" s="19" t="n">
        <x:f>M2269+IF(AND(S2269=1,J2269=2),1,0)</x:f>
        <x:v>2</x:v>
      </x:c>
      <x:c r="W2269" s="19" t="n">
        <x:f>SUM(T2269:V2269)</x:f>
        <x:v>9</x:v>
      </x:c>
      <x:c r="X2269" s="19" t="n">
        <x:f>W2269-G2269</x:f>
        <x:v>0</x:v>
      </x:c>
      <x:c r="Y2269" s="19" t="n">
        <x:f>MAX(T2269,1)+MAX(U2269,1)+MAX(V2269,1)</x:f>
        <x:v>9</x:v>
      </x:c>
      <x:c r="Z2269" s="21" t="str">
        <x:f>IF(AND(MIN(D2269:F2269)&gt;=0,MAX(D2269:F2269)&lt;=7,MAX(D2269,1)+MAX(E2269,1)+MAX(F2269,1)&lt;=9,OR(H2269="-",AND(H2269=0,D2269&gt;0),AND(H2269=1,E2269&gt;0),AND(H2269=2,F2269&gt;0)),OR(I2269=0,AND(I2269=1,OR(J2269=0,J2269=1,J2269=2),R2269&lt;&gt;"000")),Y2269&lt;=9,MIN(T2269:V2269)&gt;=0),"合法","输入违约")</x:f>
        <x:v>合法</x:v>
      </x:c>
    </x:row>
    <x:row r="2270" ht="23" customHeight="1">
      <x:c r="A2270" s="3" t="str">
        <x:v>CT-2263</x:v>
      </x:c>
      <x:c r="B2270" s="3" t="str">
        <x:v>ST-186</x:v>
      </x:c>
      <x:c r="C2270" s="3" t="str">
        <x:v>R+AR同收同发</x:v>
      </x:c>
      <x:c r="D2270" s="25" t="n">
        <x:v>5</x:v>
      </x:c>
      <x:c r="E2270" s="25" t="n">
        <x:v>2</x:v>
      </x:c>
      <x:c r="F2270" s="25" t="n">
        <x:v>2</x:v>
      </x:c>
      <x:c r="G2270" s="19" t="n">
        <x:f>SUM(D2270:F2270)</x:f>
        <x:v>9</x:v>
      </x:c>
      <x:c r="H2270" s="25" t="n">
        <x:v>0</x:v>
      </x:c>
      <x:c r="I2270" s="25" t="n">
        <x:v>1</x:v>
      </x:c>
      <x:c r="J2270" s="25" t="n">
        <x:v>1</x:v>
      </x:c>
      <x:c r="K2270" s="19" t="n">
        <x:f>D2270-IF(H2270=0,1,0)</x:f>
        <x:v>4</x:v>
      </x:c>
      <x:c r="L2270" s="19" t="n">
        <x:f>E2270-IF(H2270=1,1,0)</x:f>
        <x:v>2</x:v>
      </x:c>
      <x:c r="M2270" s="19" t="n">
        <x:f>F2270-IF(H2270=2,1,0)</x:f>
        <x:v>2</x:v>
      </x:c>
      <x:c r="N2270" s="19" t="n">
        <x:f>MAX(K2270-1,0)+MAX(L2270-1,0)+MAX(M2270-1,0)</x:f>
        <x:v>5</x:v>
      </x:c>
      <x:c r="O2270" s="19" t="n">
        <x:f>IF(AND(SUM(K2270:M2270)&lt;9,OR(M2270=0,N2270&lt;6)),1,0)</x:f>
        <x:v>1</x:v>
      </x:c>
      <x:c r="P2270" s="19" t="n">
        <x:f>IF(AND(SUM(K2270:M2270)&lt;9,OR(L2270=0,N2270&lt;6)),1,0)</x:f>
        <x:v>1</x:v>
      </x:c>
      <x:c r="Q2270" s="19" t="n">
        <x:f>IF(AND(SUM(K2270:M2270)&lt;9,OR(K2270=0,N2270&lt;6)),1,0)</x:f>
        <x:v>1</x:v>
      </x:c>
      <x:c r="R2270" s="22" t="str">
        <x:f>O2270&amp;P2270&amp;Q2270</x:f>
        <x:v>111</x:v>
      </x:c>
      <x:c r="S2270" s="19" t="n">
        <x:f>IF(I2270=1,IF(J2270=0,Q2270,IF(J2270=1,P2270,IF(J2270=2,O2270,0))),0)</x:f>
        <x:v>1</x:v>
      </x:c>
      <x:c r="T2270" s="19" t="n">
        <x:f>K2270+IF(AND(S2270=1,J2270=0),1,0)</x:f>
        <x:v>4</x:v>
      </x:c>
      <x:c r="U2270" s="19" t="n">
        <x:f>L2270+IF(AND(S2270=1,J2270=1),1,0)</x:f>
        <x:v>3</x:v>
      </x:c>
      <x:c r="V2270" s="19" t="n">
        <x:f>M2270+IF(AND(S2270=1,J2270=2),1,0)</x:f>
        <x:v>2</x:v>
      </x:c>
      <x:c r="W2270" s="19" t="n">
        <x:f>SUM(T2270:V2270)</x:f>
        <x:v>9</x:v>
      </x:c>
      <x:c r="X2270" s="19" t="n">
        <x:f>W2270-G2270</x:f>
        <x:v>0</x:v>
      </x:c>
      <x:c r="Y2270" s="19" t="n">
        <x:f>MAX(T2270,1)+MAX(U2270,1)+MAX(V2270,1)</x:f>
        <x:v>9</x:v>
      </x:c>
      <x:c r="Z2270" s="21" t="str">
        <x:f>IF(AND(MIN(D2270:F2270)&gt;=0,MAX(D2270:F2270)&lt;=7,MAX(D2270,1)+MAX(E2270,1)+MAX(F2270,1)&lt;=9,OR(H2270="-",AND(H2270=0,D2270&gt;0),AND(H2270=1,E2270&gt;0),AND(H2270=2,F2270&gt;0)),OR(I2270=0,AND(I2270=1,OR(J2270=0,J2270=1,J2270=2),R2270&lt;&gt;"000")),Y2270&lt;=9,MIN(T2270:V2270)&gt;=0),"合法","输入违约")</x:f>
        <x:v>合法</x:v>
      </x:c>
    </x:row>
    <x:row r="2271" ht="23" customHeight="1">
      <x:c r="A2271" s="3" t="str">
        <x:v>CT-2264</x:v>
      </x:c>
      <x:c r="B2271" s="3" t="str">
        <x:v>ST-186</x:v>
      </x:c>
      <x:c r="C2271" s="3" t="str">
        <x:v>R+AR同收同发</x:v>
      </x:c>
      <x:c r="D2271" s="25" t="n">
        <x:v>5</x:v>
      </x:c>
      <x:c r="E2271" s="25" t="n">
        <x:v>2</x:v>
      </x:c>
      <x:c r="F2271" s="25" t="n">
        <x:v>2</x:v>
      </x:c>
      <x:c r="G2271" s="19" t="n">
        <x:f>SUM(D2271:F2271)</x:f>
        <x:v>9</x:v>
      </x:c>
      <x:c r="H2271" s="25" t="n">
        <x:v>0</x:v>
      </x:c>
      <x:c r="I2271" s="25" t="n">
        <x:v>1</x:v>
      </x:c>
      <x:c r="J2271" s="25" t="n">
        <x:v>2</x:v>
      </x:c>
      <x:c r="K2271" s="19" t="n">
        <x:f>D2271-IF(H2271=0,1,0)</x:f>
        <x:v>4</x:v>
      </x:c>
      <x:c r="L2271" s="19" t="n">
        <x:f>E2271-IF(H2271=1,1,0)</x:f>
        <x:v>2</x:v>
      </x:c>
      <x:c r="M2271" s="19" t="n">
        <x:f>F2271-IF(H2271=2,1,0)</x:f>
        <x:v>2</x:v>
      </x:c>
      <x:c r="N2271" s="19" t="n">
        <x:f>MAX(K2271-1,0)+MAX(L2271-1,0)+MAX(M2271-1,0)</x:f>
        <x:v>5</x:v>
      </x:c>
      <x:c r="O2271" s="19" t="n">
        <x:f>IF(AND(SUM(K2271:M2271)&lt;9,OR(M2271=0,N2271&lt;6)),1,0)</x:f>
        <x:v>1</x:v>
      </x:c>
      <x:c r="P2271" s="19" t="n">
        <x:f>IF(AND(SUM(K2271:M2271)&lt;9,OR(L2271=0,N2271&lt;6)),1,0)</x:f>
        <x:v>1</x:v>
      </x:c>
      <x:c r="Q2271" s="19" t="n">
        <x:f>IF(AND(SUM(K2271:M2271)&lt;9,OR(K2271=0,N2271&lt;6)),1,0)</x:f>
        <x:v>1</x:v>
      </x:c>
      <x:c r="R2271" s="22" t="str">
        <x:f>O2271&amp;P2271&amp;Q2271</x:f>
        <x:v>111</x:v>
      </x:c>
      <x:c r="S2271" s="19" t="n">
        <x:f>IF(I2271=1,IF(J2271=0,Q2271,IF(J2271=1,P2271,IF(J2271=2,O2271,0))),0)</x:f>
        <x:v>1</x:v>
      </x:c>
      <x:c r="T2271" s="19" t="n">
        <x:f>K2271+IF(AND(S2271=1,J2271=0),1,0)</x:f>
        <x:v>4</x:v>
      </x:c>
      <x:c r="U2271" s="19" t="n">
        <x:f>L2271+IF(AND(S2271=1,J2271=1),1,0)</x:f>
        <x:v>2</x:v>
      </x:c>
      <x:c r="V2271" s="19" t="n">
        <x:f>M2271+IF(AND(S2271=1,J2271=2),1,0)</x:f>
        <x:v>3</x:v>
      </x:c>
      <x:c r="W2271" s="19" t="n">
        <x:f>SUM(T2271:V2271)</x:f>
        <x:v>9</x:v>
      </x:c>
      <x:c r="X2271" s="19" t="n">
        <x:f>W2271-G2271</x:f>
        <x:v>0</x:v>
      </x:c>
      <x:c r="Y2271" s="19" t="n">
        <x:f>MAX(T2271,1)+MAX(U2271,1)+MAX(V2271,1)</x:f>
        <x:v>9</x:v>
      </x:c>
      <x:c r="Z2271" s="21" t="str">
        <x:f>IF(AND(MIN(D2271:F2271)&gt;=0,MAX(D2271:F2271)&lt;=7,MAX(D2271,1)+MAX(E2271,1)+MAX(F2271,1)&lt;=9,OR(H2271="-",AND(H2271=0,D2271&gt;0),AND(H2271=1,E2271&gt;0),AND(H2271=2,F2271&gt;0)),OR(I2271=0,AND(I2271=1,OR(J2271=0,J2271=1,J2271=2),R2271&lt;&gt;"000")),Y2271&lt;=9,MIN(T2271:V2271)&gt;=0),"合法","输入违约")</x:f>
        <x:v>合法</x:v>
      </x:c>
    </x:row>
    <x:row r="2272" ht="23" customHeight="1">
      <x:c r="A2272" s="3" t="str">
        <x:v>CT-2265</x:v>
      </x:c>
      <x:c r="B2272" s="3" t="str">
        <x:v>ST-186</x:v>
      </x:c>
      <x:c r="C2272" s="3" t="str">
        <x:v>仅R回收</x:v>
      </x:c>
      <x:c r="D2272" s="25" t="n">
        <x:v>5</x:v>
      </x:c>
      <x:c r="E2272" s="25" t="n">
        <x:v>2</x:v>
      </x:c>
      <x:c r="F2272" s="25" t="n">
        <x:v>2</x:v>
      </x:c>
      <x:c r="G2272" s="19" t="n">
        <x:f>SUM(D2272:F2272)</x:f>
        <x:v>9</x:v>
      </x:c>
      <x:c r="H2272" s="25" t="n">
        <x:v>1</x:v>
      </x:c>
      <x:c r="I2272" s="25" t="n">
        <x:v>0</x:v>
      </x:c>
      <x:c r="J2272" s="25" t="str">
        <x:v>-</x:v>
      </x:c>
      <x:c r="K2272" s="19" t="n">
        <x:f>D2272-IF(H2272=0,1,0)</x:f>
        <x:v>5</x:v>
      </x:c>
      <x:c r="L2272" s="19" t="n">
        <x:f>E2272-IF(H2272=1,1,0)</x:f>
        <x:v>1</x:v>
      </x:c>
      <x:c r="M2272" s="19" t="n">
        <x:f>F2272-IF(H2272=2,1,0)</x:f>
        <x:v>2</x:v>
      </x:c>
      <x:c r="N2272" s="19" t="n">
        <x:f>MAX(K2272-1,0)+MAX(L2272-1,0)+MAX(M2272-1,0)</x:f>
        <x:v>5</x:v>
      </x:c>
      <x:c r="O2272" s="19" t="n">
        <x:f>IF(AND(SUM(K2272:M2272)&lt;9,OR(M2272=0,N2272&lt;6)),1,0)</x:f>
        <x:v>1</x:v>
      </x:c>
      <x:c r="P2272" s="19" t="n">
        <x:f>IF(AND(SUM(K2272:M2272)&lt;9,OR(L2272=0,N2272&lt;6)),1,0)</x:f>
        <x:v>1</x:v>
      </x:c>
      <x:c r="Q2272" s="19" t="n">
        <x:f>IF(AND(SUM(K2272:M2272)&lt;9,OR(K2272=0,N2272&lt;6)),1,0)</x:f>
        <x:v>1</x:v>
      </x:c>
      <x:c r="R2272" s="22" t="str">
        <x:f>O2272&amp;P2272&amp;Q2272</x:f>
        <x:v>111</x:v>
      </x:c>
      <x:c r="S2272" s="19" t="n">
        <x:f>IF(I2272=1,IF(J2272=0,Q2272,IF(J2272=1,P2272,IF(J2272=2,O2272,0))),0)</x:f>
        <x:v>0</x:v>
      </x:c>
      <x:c r="T2272" s="19" t="n">
        <x:f>K2272+IF(AND(S2272=1,J2272=0),1,0)</x:f>
        <x:v>5</x:v>
      </x:c>
      <x:c r="U2272" s="19" t="n">
        <x:f>L2272+IF(AND(S2272=1,J2272=1),1,0)</x:f>
        <x:v>1</x:v>
      </x:c>
      <x:c r="V2272" s="19" t="n">
        <x:f>M2272+IF(AND(S2272=1,J2272=2),1,0)</x:f>
        <x:v>2</x:v>
      </x:c>
      <x:c r="W2272" s="19" t="n">
        <x:f>SUM(T2272:V2272)</x:f>
        <x:v>8</x:v>
      </x:c>
      <x:c r="X2272" s="19" t="n">
        <x:f>W2272-G2272</x:f>
        <x:v>-1</x:v>
      </x:c>
      <x:c r="Y2272" s="19" t="n">
        <x:f>MAX(T2272,1)+MAX(U2272,1)+MAX(V2272,1)</x:f>
        <x:v>8</x:v>
      </x:c>
      <x:c r="Z2272" s="21" t="str">
        <x:f>IF(AND(MIN(D2272:F2272)&gt;=0,MAX(D2272:F2272)&lt;=7,MAX(D2272,1)+MAX(E2272,1)+MAX(F2272,1)&lt;=9,OR(H2272="-",AND(H2272=0,D2272&gt;0),AND(H2272=1,E2272&gt;0),AND(H2272=2,F2272&gt;0)),OR(I2272=0,AND(I2272=1,OR(J2272=0,J2272=1,J2272=2),R2272&lt;&gt;"000")),Y2272&lt;=9,MIN(T2272:V2272)&gt;=0),"合法","输入违约")</x:f>
        <x:v>合法</x:v>
      </x:c>
    </x:row>
    <x:row r="2273" ht="23" customHeight="1">
      <x:c r="A2273" s="3" t="str">
        <x:v>CT-2266</x:v>
      </x:c>
      <x:c r="B2273" s="3" t="str">
        <x:v>ST-186</x:v>
      </x:c>
      <x:c r="C2273" s="3" t="str">
        <x:v>R+AR同收同发</x:v>
      </x:c>
      <x:c r="D2273" s="25" t="n">
        <x:v>5</x:v>
      </x:c>
      <x:c r="E2273" s="25" t="n">
        <x:v>2</x:v>
      </x:c>
      <x:c r="F2273" s="25" t="n">
        <x:v>2</x:v>
      </x:c>
      <x:c r="G2273" s="19" t="n">
        <x:f>SUM(D2273:F2273)</x:f>
        <x:v>9</x:v>
      </x:c>
      <x:c r="H2273" s="25" t="n">
        <x:v>1</x:v>
      </x:c>
      <x:c r="I2273" s="25" t="n">
        <x:v>1</x:v>
      </x:c>
      <x:c r="J2273" s="25" t="n">
        <x:v>0</x:v>
      </x:c>
      <x:c r="K2273" s="19" t="n">
        <x:f>D2273-IF(H2273=0,1,0)</x:f>
        <x:v>5</x:v>
      </x:c>
      <x:c r="L2273" s="19" t="n">
        <x:f>E2273-IF(H2273=1,1,0)</x:f>
        <x:v>1</x:v>
      </x:c>
      <x:c r="M2273" s="19" t="n">
        <x:f>F2273-IF(H2273=2,1,0)</x:f>
        <x:v>2</x:v>
      </x:c>
      <x:c r="N2273" s="19" t="n">
        <x:f>MAX(K2273-1,0)+MAX(L2273-1,0)+MAX(M2273-1,0)</x:f>
        <x:v>5</x:v>
      </x:c>
      <x:c r="O2273" s="19" t="n">
        <x:f>IF(AND(SUM(K2273:M2273)&lt;9,OR(M2273=0,N2273&lt;6)),1,0)</x:f>
        <x:v>1</x:v>
      </x:c>
      <x:c r="P2273" s="19" t="n">
        <x:f>IF(AND(SUM(K2273:M2273)&lt;9,OR(L2273=0,N2273&lt;6)),1,0)</x:f>
        <x:v>1</x:v>
      </x:c>
      <x:c r="Q2273" s="19" t="n">
        <x:f>IF(AND(SUM(K2273:M2273)&lt;9,OR(K2273=0,N2273&lt;6)),1,0)</x:f>
        <x:v>1</x:v>
      </x:c>
      <x:c r="R2273" s="22" t="str">
        <x:f>O2273&amp;P2273&amp;Q2273</x:f>
        <x:v>111</x:v>
      </x:c>
      <x:c r="S2273" s="19" t="n">
        <x:f>IF(I2273=1,IF(J2273=0,Q2273,IF(J2273=1,P2273,IF(J2273=2,O2273,0))),0)</x:f>
        <x:v>1</x:v>
      </x:c>
      <x:c r="T2273" s="19" t="n">
        <x:f>K2273+IF(AND(S2273=1,J2273=0),1,0)</x:f>
        <x:v>6</x:v>
      </x:c>
      <x:c r="U2273" s="19" t="n">
        <x:f>L2273+IF(AND(S2273=1,J2273=1),1,0)</x:f>
        <x:v>1</x:v>
      </x:c>
      <x:c r="V2273" s="19" t="n">
        <x:f>M2273+IF(AND(S2273=1,J2273=2),1,0)</x:f>
        <x:v>2</x:v>
      </x:c>
      <x:c r="W2273" s="19" t="n">
        <x:f>SUM(T2273:V2273)</x:f>
        <x:v>9</x:v>
      </x:c>
      <x:c r="X2273" s="19" t="n">
        <x:f>W2273-G2273</x:f>
        <x:v>0</x:v>
      </x:c>
      <x:c r="Y2273" s="19" t="n">
        <x:f>MAX(T2273,1)+MAX(U2273,1)+MAX(V2273,1)</x:f>
        <x:v>9</x:v>
      </x:c>
      <x:c r="Z2273" s="21" t="str">
        <x:f>IF(AND(MIN(D2273:F2273)&gt;=0,MAX(D2273:F2273)&lt;=7,MAX(D2273,1)+MAX(E2273,1)+MAX(F2273,1)&lt;=9,OR(H2273="-",AND(H2273=0,D2273&gt;0),AND(H2273=1,E2273&gt;0),AND(H2273=2,F2273&gt;0)),OR(I2273=0,AND(I2273=1,OR(J2273=0,J2273=1,J2273=2),R2273&lt;&gt;"000")),Y2273&lt;=9,MIN(T2273:V2273)&gt;=0),"合法","输入违约")</x:f>
        <x:v>合法</x:v>
      </x:c>
    </x:row>
    <x:row r="2274" ht="23" customHeight="1">
      <x:c r="A2274" s="3" t="str">
        <x:v>CT-2267</x:v>
      </x:c>
      <x:c r="B2274" s="3" t="str">
        <x:v>ST-186</x:v>
      </x:c>
      <x:c r="C2274" s="3" t="str">
        <x:v>R+AR同收同发</x:v>
      </x:c>
      <x:c r="D2274" s="25" t="n">
        <x:v>5</x:v>
      </x:c>
      <x:c r="E2274" s="25" t="n">
        <x:v>2</x:v>
      </x:c>
      <x:c r="F2274" s="25" t="n">
        <x:v>2</x:v>
      </x:c>
      <x:c r="G2274" s="19" t="n">
        <x:f>SUM(D2274:F2274)</x:f>
        <x:v>9</x:v>
      </x:c>
      <x:c r="H2274" s="25" t="n">
        <x:v>1</x:v>
      </x:c>
      <x:c r="I2274" s="25" t="n">
        <x:v>1</x:v>
      </x:c>
      <x:c r="J2274" s="25" t="n">
        <x:v>1</x:v>
      </x:c>
      <x:c r="K2274" s="19" t="n">
        <x:f>D2274-IF(H2274=0,1,0)</x:f>
        <x:v>5</x:v>
      </x:c>
      <x:c r="L2274" s="19" t="n">
        <x:f>E2274-IF(H2274=1,1,0)</x:f>
        <x:v>1</x:v>
      </x:c>
      <x:c r="M2274" s="19" t="n">
        <x:f>F2274-IF(H2274=2,1,0)</x:f>
        <x:v>2</x:v>
      </x:c>
      <x:c r="N2274" s="19" t="n">
        <x:f>MAX(K2274-1,0)+MAX(L2274-1,0)+MAX(M2274-1,0)</x:f>
        <x:v>5</x:v>
      </x:c>
      <x:c r="O2274" s="19" t="n">
        <x:f>IF(AND(SUM(K2274:M2274)&lt;9,OR(M2274=0,N2274&lt;6)),1,0)</x:f>
        <x:v>1</x:v>
      </x:c>
      <x:c r="P2274" s="19" t="n">
        <x:f>IF(AND(SUM(K2274:M2274)&lt;9,OR(L2274=0,N2274&lt;6)),1,0)</x:f>
        <x:v>1</x:v>
      </x:c>
      <x:c r="Q2274" s="19" t="n">
        <x:f>IF(AND(SUM(K2274:M2274)&lt;9,OR(K2274=0,N2274&lt;6)),1,0)</x:f>
        <x:v>1</x:v>
      </x:c>
      <x:c r="R2274" s="22" t="str">
        <x:f>O2274&amp;P2274&amp;Q2274</x:f>
        <x:v>111</x:v>
      </x:c>
      <x:c r="S2274" s="19" t="n">
        <x:f>IF(I2274=1,IF(J2274=0,Q2274,IF(J2274=1,P2274,IF(J2274=2,O2274,0))),0)</x:f>
        <x:v>1</x:v>
      </x:c>
      <x:c r="T2274" s="19" t="n">
        <x:f>K2274+IF(AND(S2274=1,J2274=0),1,0)</x:f>
        <x:v>5</x:v>
      </x:c>
      <x:c r="U2274" s="19" t="n">
        <x:f>L2274+IF(AND(S2274=1,J2274=1),1,0)</x:f>
        <x:v>2</x:v>
      </x:c>
      <x:c r="V2274" s="19" t="n">
        <x:f>M2274+IF(AND(S2274=1,J2274=2),1,0)</x:f>
        <x:v>2</x:v>
      </x:c>
      <x:c r="W2274" s="19" t="n">
        <x:f>SUM(T2274:V2274)</x:f>
        <x:v>9</x:v>
      </x:c>
      <x:c r="X2274" s="19" t="n">
        <x:f>W2274-G2274</x:f>
        <x:v>0</x:v>
      </x:c>
      <x:c r="Y2274" s="19" t="n">
        <x:f>MAX(T2274,1)+MAX(U2274,1)+MAX(V2274,1)</x:f>
        <x:v>9</x:v>
      </x:c>
      <x:c r="Z2274" s="21" t="str">
        <x:f>IF(AND(MIN(D2274:F2274)&gt;=0,MAX(D2274:F2274)&lt;=7,MAX(D2274,1)+MAX(E2274,1)+MAX(F2274,1)&lt;=9,OR(H2274="-",AND(H2274=0,D2274&gt;0),AND(H2274=1,E2274&gt;0),AND(H2274=2,F2274&gt;0)),OR(I2274=0,AND(I2274=1,OR(J2274=0,J2274=1,J2274=2),R2274&lt;&gt;"000")),Y2274&lt;=9,MIN(T2274:V2274)&gt;=0),"合法","输入违约")</x:f>
        <x:v>合法</x:v>
      </x:c>
    </x:row>
    <x:row r="2275" ht="23" customHeight="1">
      <x:c r="A2275" s="3" t="str">
        <x:v>CT-2268</x:v>
      </x:c>
      <x:c r="B2275" s="3" t="str">
        <x:v>ST-186</x:v>
      </x:c>
      <x:c r="C2275" s="3" t="str">
        <x:v>R+AR同收同发</x:v>
      </x:c>
      <x:c r="D2275" s="25" t="n">
        <x:v>5</x:v>
      </x:c>
      <x:c r="E2275" s="25" t="n">
        <x:v>2</x:v>
      </x:c>
      <x:c r="F2275" s="25" t="n">
        <x:v>2</x:v>
      </x:c>
      <x:c r="G2275" s="19" t="n">
        <x:f>SUM(D2275:F2275)</x:f>
        <x:v>9</x:v>
      </x:c>
      <x:c r="H2275" s="25" t="n">
        <x:v>1</x:v>
      </x:c>
      <x:c r="I2275" s="25" t="n">
        <x:v>1</x:v>
      </x:c>
      <x:c r="J2275" s="25" t="n">
        <x:v>2</x:v>
      </x:c>
      <x:c r="K2275" s="19" t="n">
        <x:f>D2275-IF(H2275=0,1,0)</x:f>
        <x:v>5</x:v>
      </x:c>
      <x:c r="L2275" s="19" t="n">
        <x:f>E2275-IF(H2275=1,1,0)</x:f>
        <x:v>1</x:v>
      </x:c>
      <x:c r="M2275" s="19" t="n">
        <x:f>F2275-IF(H2275=2,1,0)</x:f>
        <x:v>2</x:v>
      </x:c>
      <x:c r="N2275" s="19" t="n">
        <x:f>MAX(K2275-1,0)+MAX(L2275-1,0)+MAX(M2275-1,0)</x:f>
        <x:v>5</x:v>
      </x:c>
      <x:c r="O2275" s="19" t="n">
        <x:f>IF(AND(SUM(K2275:M2275)&lt;9,OR(M2275=0,N2275&lt;6)),1,0)</x:f>
        <x:v>1</x:v>
      </x:c>
      <x:c r="P2275" s="19" t="n">
        <x:f>IF(AND(SUM(K2275:M2275)&lt;9,OR(L2275=0,N2275&lt;6)),1,0)</x:f>
        <x:v>1</x:v>
      </x:c>
      <x:c r="Q2275" s="19" t="n">
        <x:f>IF(AND(SUM(K2275:M2275)&lt;9,OR(K2275=0,N2275&lt;6)),1,0)</x:f>
        <x:v>1</x:v>
      </x:c>
      <x:c r="R2275" s="22" t="str">
        <x:f>O2275&amp;P2275&amp;Q2275</x:f>
        <x:v>111</x:v>
      </x:c>
      <x:c r="S2275" s="19" t="n">
        <x:f>IF(I2275=1,IF(J2275=0,Q2275,IF(J2275=1,P2275,IF(J2275=2,O2275,0))),0)</x:f>
        <x:v>1</x:v>
      </x:c>
      <x:c r="T2275" s="19" t="n">
        <x:f>K2275+IF(AND(S2275=1,J2275=0),1,0)</x:f>
        <x:v>5</x:v>
      </x:c>
      <x:c r="U2275" s="19" t="n">
        <x:f>L2275+IF(AND(S2275=1,J2275=1),1,0)</x:f>
        <x:v>1</x:v>
      </x:c>
      <x:c r="V2275" s="19" t="n">
        <x:f>M2275+IF(AND(S2275=1,J2275=2),1,0)</x:f>
        <x:v>3</x:v>
      </x:c>
      <x:c r="W2275" s="19" t="n">
        <x:f>SUM(T2275:V2275)</x:f>
        <x:v>9</x:v>
      </x:c>
      <x:c r="X2275" s="19" t="n">
        <x:f>W2275-G2275</x:f>
        <x:v>0</x:v>
      </x:c>
      <x:c r="Y2275" s="19" t="n">
        <x:f>MAX(T2275,1)+MAX(U2275,1)+MAX(V2275,1)</x:f>
        <x:v>9</x:v>
      </x:c>
      <x:c r="Z2275" s="21" t="str">
        <x:f>IF(AND(MIN(D2275:F2275)&gt;=0,MAX(D2275:F2275)&lt;=7,MAX(D2275,1)+MAX(E2275,1)+MAX(F2275,1)&lt;=9,OR(H2275="-",AND(H2275=0,D2275&gt;0),AND(H2275=1,E2275&gt;0),AND(H2275=2,F2275&gt;0)),OR(I2275=0,AND(I2275=1,OR(J2275=0,J2275=1,J2275=2),R2275&lt;&gt;"000")),Y2275&lt;=9,MIN(T2275:V2275)&gt;=0),"合法","输入违约")</x:f>
        <x:v>合法</x:v>
      </x:c>
    </x:row>
    <x:row r="2276" ht="23" customHeight="1">
      <x:c r="A2276" s="3" t="str">
        <x:v>CT-2269</x:v>
      </x:c>
      <x:c r="B2276" s="3" t="str">
        <x:v>ST-186</x:v>
      </x:c>
      <x:c r="C2276" s="3" t="str">
        <x:v>仅R回收</x:v>
      </x:c>
      <x:c r="D2276" s="25" t="n">
        <x:v>5</x:v>
      </x:c>
      <x:c r="E2276" s="25" t="n">
        <x:v>2</x:v>
      </x:c>
      <x:c r="F2276" s="25" t="n">
        <x:v>2</x:v>
      </x:c>
      <x:c r="G2276" s="19" t="n">
        <x:f>SUM(D2276:F2276)</x:f>
        <x:v>9</x:v>
      </x:c>
      <x:c r="H2276" s="25" t="n">
        <x:v>2</x:v>
      </x:c>
      <x:c r="I2276" s="25" t="n">
        <x:v>0</x:v>
      </x:c>
      <x:c r="J2276" s="25" t="str">
        <x:v>-</x:v>
      </x:c>
      <x:c r="K2276" s="19" t="n">
        <x:f>D2276-IF(H2276=0,1,0)</x:f>
        <x:v>5</x:v>
      </x:c>
      <x:c r="L2276" s="19" t="n">
        <x:f>E2276-IF(H2276=1,1,0)</x:f>
        <x:v>2</x:v>
      </x:c>
      <x:c r="M2276" s="19" t="n">
        <x:f>F2276-IF(H2276=2,1,0)</x:f>
        <x:v>1</x:v>
      </x:c>
      <x:c r="N2276" s="19" t="n">
        <x:f>MAX(K2276-1,0)+MAX(L2276-1,0)+MAX(M2276-1,0)</x:f>
        <x:v>5</x:v>
      </x:c>
      <x:c r="O2276" s="19" t="n">
        <x:f>IF(AND(SUM(K2276:M2276)&lt;9,OR(M2276=0,N2276&lt;6)),1,0)</x:f>
        <x:v>1</x:v>
      </x:c>
      <x:c r="P2276" s="19" t="n">
        <x:f>IF(AND(SUM(K2276:M2276)&lt;9,OR(L2276=0,N2276&lt;6)),1,0)</x:f>
        <x:v>1</x:v>
      </x:c>
      <x:c r="Q2276" s="19" t="n">
        <x:f>IF(AND(SUM(K2276:M2276)&lt;9,OR(K2276=0,N2276&lt;6)),1,0)</x:f>
        <x:v>1</x:v>
      </x:c>
      <x:c r="R2276" s="22" t="str">
        <x:f>O2276&amp;P2276&amp;Q2276</x:f>
        <x:v>111</x:v>
      </x:c>
      <x:c r="S2276" s="19" t="n">
        <x:f>IF(I2276=1,IF(J2276=0,Q2276,IF(J2276=1,P2276,IF(J2276=2,O2276,0))),0)</x:f>
        <x:v>0</x:v>
      </x:c>
      <x:c r="T2276" s="19" t="n">
        <x:f>K2276+IF(AND(S2276=1,J2276=0),1,0)</x:f>
        <x:v>5</x:v>
      </x:c>
      <x:c r="U2276" s="19" t="n">
        <x:f>L2276+IF(AND(S2276=1,J2276=1),1,0)</x:f>
        <x:v>2</x:v>
      </x:c>
      <x:c r="V2276" s="19" t="n">
        <x:f>M2276+IF(AND(S2276=1,J2276=2),1,0)</x:f>
        <x:v>1</x:v>
      </x:c>
      <x:c r="W2276" s="19" t="n">
        <x:f>SUM(T2276:V2276)</x:f>
        <x:v>8</x:v>
      </x:c>
      <x:c r="X2276" s="19" t="n">
        <x:f>W2276-G2276</x:f>
        <x:v>-1</x:v>
      </x:c>
      <x:c r="Y2276" s="19" t="n">
        <x:f>MAX(T2276,1)+MAX(U2276,1)+MAX(V2276,1)</x:f>
        <x:v>8</x:v>
      </x:c>
      <x:c r="Z2276" s="21" t="str">
        <x:f>IF(AND(MIN(D2276:F2276)&gt;=0,MAX(D2276:F2276)&lt;=7,MAX(D2276,1)+MAX(E2276,1)+MAX(F2276,1)&lt;=9,OR(H2276="-",AND(H2276=0,D2276&gt;0),AND(H2276=1,E2276&gt;0),AND(H2276=2,F2276&gt;0)),OR(I2276=0,AND(I2276=1,OR(J2276=0,J2276=1,J2276=2),R2276&lt;&gt;"000")),Y2276&lt;=9,MIN(T2276:V2276)&gt;=0),"合法","输入违约")</x:f>
        <x:v>合法</x:v>
      </x:c>
    </x:row>
    <x:row r="2277" ht="23" customHeight="1">
      <x:c r="A2277" s="3" t="str">
        <x:v>CT-2270</x:v>
      </x:c>
      <x:c r="B2277" s="3" t="str">
        <x:v>ST-186</x:v>
      </x:c>
      <x:c r="C2277" s="3" t="str">
        <x:v>R+AR同收同发</x:v>
      </x:c>
      <x:c r="D2277" s="25" t="n">
        <x:v>5</x:v>
      </x:c>
      <x:c r="E2277" s="25" t="n">
        <x:v>2</x:v>
      </x:c>
      <x:c r="F2277" s="25" t="n">
        <x:v>2</x:v>
      </x:c>
      <x:c r="G2277" s="19" t="n">
        <x:f>SUM(D2277:F2277)</x:f>
        <x:v>9</x:v>
      </x:c>
      <x:c r="H2277" s="25" t="n">
        <x:v>2</x:v>
      </x:c>
      <x:c r="I2277" s="25" t="n">
        <x:v>1</x:v>
      </x:c>
      <x:c r="J2277" s="25" t="n">
        <x:v>0</x:v>
      </x:c>
      <x:c r="K2277" s="19" t="n">
        <x:f>D2277-IF(H2277=0,1,0)</x:f>
        <x:v>5</x:v>
      </x:c>
      <x:c r="L2277" s="19" t="n">
        <x:f>E2277-IF(H2277=1,1,0)</x:f>
        <x:v>2</x:v>
      </x:c>
      <x:c r="M2277" s="19" t="n">
        <x:f>F2277-IF(H2277=2,1,0)</x:f>
        <x:v>1</x:v>
      </x:c>
      <x:c r="N2277" s="19" t="n">
        <x:f>MAX(K2277-1,0)+MAX(L2277-1,0)+MAX(M2277-1,0)</x:f>
        <x:v>5</x:v>
      </x:c>
      <x:c r="O2277" s="19" t="n">
        <x:f>IF(AND(SUM(K2277:M2277)&lt;9,OR(M2277=0,N2277&lt;6)),1,0)</x:f>
        <x:v>1</x:v>
      </x:c>
      <x:c r="P2277" s="19" t="n">
        <x:f>IF(AND(SUM(K2277:M2277)&lt;9,OR(L2277=0,N2277&lt;6)),1,0)</x:f>
        <x:v>1</x:v>
      </x:c>
      <x:c r="Q2277" s="19" t="n">
        <x:f>IF(AND(SUM(K2277:M2277)&lt;9,OR(K2277=0,N2277&lt;6)),1,0)</x:f>
        <x:v>1</x:v>
      </x:c>
      <x:c r="R2277" s="22" t="str">
        <x:f>O2277&amp;P2277&amp;Q2277</x:f>
        <x:v>111</x:v>
      </x:c>
      <x:c r="S2277" s="19" t="n">
        <x:f>IF(I2277=1,IF(J2277=0,Q2277,IF(J2277=1,P2277,IF(J2277=2,O2277,0))),0)</x:f>
        <x:v>1</x:v>
      </x:c>
      <x:c r="T2277" s="19" t="n">
        <x:f>K2277+IF(AND(S2277=1,J2277=0),1,0)</x:f>
        <x:v>6</x:v>
      </x:c>
      <x:c r="U2277" s="19" t="n">
        <x:f>L2277+IF(AND(S2277=1,J2277=1),1,0)</x:f>
        <x:v>2</x:v>
      </x:c>
      <x:c r="V2277" s="19" t="n">
        <x:f>M2277+IF(AND(S2277=1,J2277=2),1,0)</x:f>
        <x:v>1</x:v>
      </x:c>
      <x:c r="W2277" s="19" t="n">
        <x:f>SUM(T2277:V2277)</x:f>
        <x:v>9</x:v>
      </x:c>
      <x:c r="X2277" s="19" t="n">
        <x:f>W2277-G2277</x:f>
        <x:v>0</x:v>
      </x:c>
      <x:c r="Y2277" s="19" t="n">
        <x:f>MAX(T2277,1)+MAX(U2277,1)+MAX(V2277,1)</x:f>
        <x:v>9</x:v>
      </x:c>
      <x:c r="Z2277" s="21" t="str">
        <x:f>IF(AND(MIN(D2277:F2277)&gt;=0,MAX(D2277:F2277)&lt;=7,MAX(D2277,1)+MAX(E2277,1)+MAX(F2277,1)&lt;=9,OR(H2277="-",AND(H2277=0,D2277&gt;0),AND(H2277=1,E2277&gt;0),AND(H2277=2,F2277&gt;0)),OR(I2277=0,AND(I2277=1,OR(J2277=0,J2277=1,J2277=2),R2277&lt;&gt;"000")),Y2277&lt;=9,MIN(T2277:V2277)&gt;=0),"合法","输入违约")</x:f>
        <x:v>合法</x:v>
      </x:c>
    </x:row>
    <x:row r="2278" ht="23" customHeight="1">
      <x:c r="A2278" s="3" t="str">
        <x:v>CT-2271</x:v>
      </x:c>
      <x:c r="B2278" s="3" t="str">
        <x:v>ST-186</x:v>
      </x:c>
      <x:c r="C2278" s="3" t="str">
        <x:v>R+AR同收同发</x:v>
      </x:c>
      <x:c r="D2278" s="25" t="n">
        <x:v>5</x:v>
      </x:c>
      <x:c r="E2278" s="25" t="n">
        <x:v>2</x:v>
      </x:c>
      <x:c r="F2278" s="25" t="n">
        <x:v>2</x:v>
      </x:c>
      <x:c r="G2278" s="19" t="n">
        <x:f>SUM(D2278:F2278)</x:f>
        <x:v>9</x:v>
      </x:c>
      <x:c r="H2278" s="25" t="n">
        <x:v>2</x:v>
      </x:c>
      <x:c r="I2278" s="25" t="n">
        <x:v>1</x:v>
      </x:c>
      <x:c r="J2278" s="25" t="n">
        <x:v>1</x:v>
      </x:c>
      <x:c r="K2278" s="19" t="n">
        <x:f>D2278-IF(H2278=0,1,0)</x:f>
        <x:v>5</x:v>
      </x:c>
      <x:c r="L2278" s="19" t="n">
        <x:f>E2278-IF(H2278=1,1,0)</x:f>
        <x:v>2</x:v>
      </x:c>
      <x:c r="M2278" s="19" t="n">
        <x:f>F2278-IF(H2278=2,1,0)</x:f>
        <x:v>1</x:v>
      </x:c>
      <x:c r="N2278" s="19" t="n">
        <x:f>MAX(K2278-1,0)+MAX(L2278-1,0)+MAX(M2278-1,0)</x:f>
        <x:v>5</x:v>
      </x:c>
      <x:c r="O2278" s="19" t="n">
        <x:f>IF(AND(SUM(K2278:M2278)&lt;9,OR(M2278=0,N2278&lt;6)),1,0)</x:f>
        <x:v>1</x:v>
      </x:c>
      <x:c r="P2278" s="19" t="n">
        <x:f>IF(AND(SUM(K2278:M2278)&lt;9,OR(L2278=0,N2278&lt;6)),1,0)</x:f>
        <x:v>1</x:v>
      </x:c>
      <x:c r="Q2278" s="19" t="n">
        <x:f>IF(AND(SUM(K2278:M2278)&lt;9,OR(K2278=0,N2278&lt;6)),1,0)</x:f>
        <x:v>1</x:v>
      </x:c>
      <x:c r="R2278" s="22" t="str">
        <x:f>O2278&amp;P2278&amp;Q2278</x:f>
        <x:v>111</x:v>
      </x:c>
      <x:c r="S2278" s="19" t="n">
        <x:f>IF(I2278=1,IF(J2278=0,Q2278,IF(J2278=1,P2278,IF(J2278=2,O2278,0))),0)</x:f>
        <x:v>1</x:v>
      </x:c>
      <x:c r="T2278" s="19" t="n">
        <x:f>K2278+IF(AND(S2278=1,J2278=0),1,0)</x:f>
        <x:v>5</x:v>
      </x:c>
      <x:c r="U2278" s="19" t="n">
        <x:f>L2278+IF(AND(S2278=1,J2278=1),1,0)</x:f>
        <x:v>3</x:v>
      </x:c>
      <x:c r="V2278" s="19" t="n">
        <x:f>M2278+IF(AND(S2278=1,J2278=2),1,0)</x:f>
        <x:v>1</x:v>
      </x:c>
      <x:c r="W2278" s="19" t="n">
        <x:f>SUM(T2278:V2278)</x:f>
        <x:v>9</x:v>
      </x:c>
      <x:c r="X2278" s="19" t="n">
        <x:f>W2278-G2278</x:f>
        <x:v>0</x:v>
      </x:c>
      <x:c r="Y2278" s="19" t="n">
        <x:f>MAX(T2278,1)+MAX(U2278,1)+MAX(V2278,1)</x:f>
        <x:v>9</x:v>
      </x:c>
      <x:c r="Z2278" s="21" t="str">
        <x:f>IF(AND(MIN(D2278:F2278)&gt;=0,MAX(D2278:F2278)&lt;=7,MAX(D2278,1)+MAX(E2278,1)+MAX(F2278,1)&lt;=9,OR(H2278="-",AND(H2278=0,D2278&gt;0),AND(H2278=1,E2278&gt;0),AND(H2278=2,F2278&gt;0)),OR(I2278=0,AND(I2278=1,OR(J2278=0,J2278=1,J2278=2),R2278&lt;&gt;"000")),Y2278&lt;=9,MIN(T2278:V2278)&gt;=0),"合法","输入违约")</x:f>
        <x:v>合法</x:v>
      </x:c>
    </x:row>
    <x:row r="2279" ht="23" customHeight="1">
      <x:c r="A2279" s="3" t="str">
        <x:v>CT-2272</x:v>
      </x:c>
      <x:c r="B2279" s="3" t="str">
        <x:v>ST-186</x:v>
      </x:c>
      <x:c r="C2279" s="3" t="str">
        <x:v>R+AR同收同发</x:v>
      </x:c>
      <x:c r="D2279" s="25" t="n">
        <x:v>5</x:v>
      </x:c>
      <x:c r="E2279" s="25" t="n">
        <x:v>2</x:v>
      </x:c>
      <x:c r="F2279" s="25" t="n">
        <x:v>2</x:v>
      </x:c>
      <x:c r="G2279" s="19" t="n">
        <x:f>SUM(D2279:F2279)</x:f>
        <x:v>9</x:v>
      </x:c>
      <x:c r="H2279" s="25" t="n">
        <x:v>2</x:v>
      </x:c>
      <x:c r="I2279" s="25" t="n">
        <x:v>1</x:v>
      </x:c>
      <x:c r="J2279" s="25" t="n">
        <x:v>2</x:v>
      </x:c>
      <x:c r="K2279" s="19" t="n">
        <x:f>D2279-IF(H2279=0,1,0)</x:f>
        <x:v>5</x:v>
      </x:c>
      <x:c r="L2279" s="19" t="n">
        <x:f>E2279-IF(H2279=1,1,0)</x:f>
        <x:v>2</x:v>
      </x:c>
      <x:c r="M2279" s="19" t="n">
        <x:f>F2279-IF(H2279=2,1,0)</x:f>
        <x:v>1</x:v>
      </x:c>
      <x:c r="N2279" s="19" t="n">
        <x:f>MAX(K2279-1,0)+MAX(L2279-1,0)+MAX(M2279-1,0)</x:f>
        <x:v>5</x:v>
      </x:c>
      <x:c r="O2279" s="19" t="n">
        <x:f>IF(AND(SUM(K2279:M2279)&lt;9,OR(M2279=0,N2279&lt;6)),1,0)</x:f>
        <x:v>1</x:v>
      </x:c>
      <x:c r="P2279" s="19" t="n">
        <x:f>IF(AND(SUM(K2279:M2279)&lt;9,OR(L2279=0,N2279&lt;6)),1,0)</x:f>
        <x:v>1</x:v>
      </x:c>
      <x:c r="Q2279" s="19" t="n">
        <x:f>IF(AND(SUM(K2279:M2279)&lt;9,OR(K2279=0,N2279&lt;6)),1,0)</x:f>
        <x:v>1</x:v>
      </x:c>
      <x:c r="R2279" s="22" t="str">
        <x:f>O2279&amp;P2279&amp;Q2279</x:f>
        <x:v>111</x:v>
      </x:c>
      <x:c r="S2279" s="19" t="n">
        <x:f>IF(I2279=1,IF(J2279=0,Q2279,IF(J2279=1,P2279,IF(J2279=2,O2279,0))),0)</x:f>
        <x:v>1</x:v>
      </x:c>
      <x:c r="T2279" s="19" t="n">
        <x:f>K2279+IF(AND(S2279=1,J2279=0),1,0)</x:f>
        <x:v>5</x:v>
      </x:c>
      <x:c r="U2279" s="19" t="n">
        <x:f>L2279+IF(AND(S2279=1,J2279=1),1,0)</x:f>
        <x:v>2</x:v>
      </x:c>
      <x:c r="V2279" s="19" t="n">
        <x:f>M2279+IF(AND(S2279=1,J2279=2),1,0)</x:f>
        <x:v>2</x:v>
      </x:c>
      <x:c r="W2279" s="19" t="n">
        <x:f>SUM(T2279:V2279)</x:f>
        <x:v>9</x:v>
      </x:c>
      <x:c r="X2279" s="19" t="n">
        <x:f>W2279-G2279</x:f>
        <x:v>0</x:v>
      </x:c>
      <x:c r="Y2279" s="19" t="n">
        <x:f>MAX(T2279,1)+MAX(U2279,1)+MAX(V2279,1)</x:f>
        <x:v>9</x:v>
      </x:c>
      <x:c r="Z2279" s="21" t="str">
        <x:f>IF(AND(MIN(D2279:F2279)&gt;=0,MAX(D2279:F2279)&lt;=7,MAX(D2279,1)+MAX(E2279,1)+MAX(F2279,1)&lt;=9,OR(H2279="-",AND(H2279=0,D2279&gt;0),AND(H2279=1,E2279&gt;0),AND(H2279=2,F2279&gt;0)),OR(I2279=0,AND(I2279=1,OR(J2279=0,J2279=1,J2279=2),R2279&lt;&gt;"000")),Y2279&lt;=9,MIN(T2279:V2279)&gt;=0),"合法","输入违约")</x:f>
        <x:v>合法</x:v>
      </x:c>
    </x:row>
    <x:row r="2280" ht="23" customHeight="1">
      <x:c r="A2280" s="3" t="str">
        <x:v>CT-2273</x:v>
      </x:c>
      <x:c r="B2280" s="3" t="str">
        <x:v>ST-157</x:v>
      </x:c>
      <x:c r="C2280" s="3" t="str">
        <x:v>无AR/R</x:v>
      </x:c>
      <x:c r="D2280" s="25" t="n">
        <x:v>5</x:v>
      </x:c>
      <x:c r="E2280" s="25" t="n">
        <x:v>3</x:v>
      </x:c>
      <x:c r="F2280" s="25" t="n">
        <x:v>0</x:v>
      </x:c>
      <x:c r="G2280" s="19" t="n">
        <x:f>SUM(D2280:F2280)</x:f>
        <x:v>8</x:v>
      </x:c>
      <x:c r="H2280" s="25" t="str">
        <x:v>-</x:v>
      </x:c>
      <x:c r="I2280" s="25" t="n">
        <x:v>0</x:v>
      </x:c>
      <x:c r="J2280" s="25" t="str">
        <x:v>-</x:v>
      </x:c>
      <x:c r="K2280" s="19" t="n">
        <x:f>D2280-IF(H2280=0,1,0)</x:f>
        <x:v>5</x:v>
      </x:c>
      <x:c r="L2280" s="19" t="n">
        <x:f>E2280-IF(H2280=1,1,0)</x:f>
        <x:v>3</x:v>
      </x:c>
      <x:c r="M2280" s="19" t="n">
        <x:f>F2280-IF(H2280=2,1,0)</x:f>
        <x:v>0</x:v>
      </x:c>
      <x:c r="N2280" s="19" t="n">
        <x:f>MAX(K2280-1,0)+MAX(L2280-1,0)+MAX(M2280-1,0)</x:f>
        <x:v>6</x:v>
      </x:c>
      <x:c r="O2280" s="19" t="n">
        <x:f>IF(AND(SUM(K2280:M2280)&lt;9,OR(M2280=0,N2280&lt;6)),1,0)</x:f>
        <x:v>1</x:v>
      </x:c>
      <x:c r="P2280" s="19" t="n">
        <x:f>IF(AND(SUM(K2280:M2280)&lt;9,OR(L2280=0,N2280&lt;6)),1,0)</x:f>
        <x:v>0</x:v>
      </x:c>
      <x:c r="Q2280" s="19" t="n">
        <x:f>IF(AND(SUM(K2280:M2280)&lt;9,OR(K2280=0,N2280&lt;6)),1,0)</x:f>
        <x:v>0</x:v>
      </x:c>
      <x:c r="R2280" s="22" t="str">
        <x:f>O2280&amp;P2280&amp;Q2280</x:f>
        <x:v>100</x:v>
      </x:c>
      <x:c r="S2280" s="19" t="n">
        <x:f>IF(I2280=1,IF(J2280=0,Q2280,IF(J2280=1,P2280,IF(J2280=2,O2280,0))),0)</x:f>
        <x:v>0</x:v>
      </x:c>
      <x:c r="T2280" s="19" t="n">
        <x:f>K2280+IF(AND(S2280=1,J2280=0),1,0)</x:f>
        <x:v>5</x:v>
      </x:c>
      <x:c r="U2280" s="19" t="n">
        <x:f>L2280+IF(AND(S2280=1,J2280=1),1,0)</x:f>
        <x:v>3</x:v>
      </x:c>
      <x:c r="V2280" s="19" t="n">
        <x:f>M2280+IF(AND(S2280=1,J2280=2),1,0)</x:f>
        <x:v>0</x:v>
      </x:c>
      <x:c r="W2280" s="19" t="n">
        <x:f>SUM(T2280:V2280)</x:f>
        <x:v>8</x:v>
      </x:c>
      <x:c r="X2280" s="19" t="n">
        <x:f>W2280-G2280</x:f>
        <x:v>0</x:v>
      </x:c>
      <x:c r="Y2280" s="19" t="n">
        <x:f>MAX(T2280,1)+MAX(U2280,1)+MAX(V2280,1)</x:f>
        <x:v>9</x:v>
      </x:c>
      <x:c r="Z2280" s="21" t="str">
        <x:f>IF(AND(MIN(D2280:F2280)&gt;=0,MAX(D2280:F2280)&lt;=7,MAX(D2280,1)+MAX(E2280,1)+MAX(F2280,1)&lt;=9,OR(H2280="-",AND(H2280=0,D2280&gt;0),AND(H2280=1,E2280&gt;0),AND(H2280=2,F2280&gt;0)),OR(I2280=0,AND(I2280=1,OR(J2280=0,J2280=1,J2280=2),R2280&lt;&gt;"000")),Y2280&lt;=9,MIN(T2280:V2280)&gt;=0),"合法","输入违约")</x:f>
        <x:v>合法</x:v>
      </x:c>
    </x:row>
    <x:row r="2281" ht="23" customHeight="1">
      <x:c r="A2281" s="3" t="str">
        <x:v>CT-2274</x:v>
      </x:c>
      <x:c r="B2281" s="3" t="str">
        <x:v>ST-157</x:v>
      </x:c>
      <x:c r="C2281" s="3" t="str">
        <x:v>所选源被阻塞</x:v>
      </x:c>
      <x:c r="D2281" s="25" t="n">
        <x:v>5</x:v>
      </x:c>
      <x:c r="E2281" s="25" t="n">
        <x:v>3</x:v>
      </x:c>
      <x:c r="F2281" s="25" t="n">
        <x:v>0</x:v>
      </x:c>
      <x:c r="G2281" s="19" t="n">
        <x:f>SUM(D2281:F2281)</x:f>
        <x:v>8</x:v>
      </x:c>
      <x:c r="H2281" s="25" t="str">
        <x:v>-</x:v>
      </x:c>
      <x:c r="I2281" s="25" t="n">
        <x:v>1</x:v>
      </x:c>
      <x:c r="J2281" s="25" t="n">
        <x:v>0</x:v>
      </x:c>
      <x:c r="K2281" s="19" t="n">
        <x:f>D2281-IF(H2281=0,1,0)</x:f>
        <x:v>5</x:v>
      </x:c>
      <x:c r="L2281" s="19" t="n">
        <x:f>E2281-IF(H2281=1,1,0)</x:f>
        <x:v>3</x:v>
      </x:c>
      <x:c r="M2281" s="19" t="n">
        <x:f>F2281-IF(H2281=2,1,0)</x:f>
        <x:v>0</x:v>
      </x:c>
      <x:c r="N2281" s="19" t="n">
        <x:f>MAX(K2281-1,0)+MAX(L2281-1,0)+MAX(M2281-1,0)</x:f>
        <x:v>6</x:v>
      </x:c>
      <x:c r="O2281" s="19" t="n">
        <x:f>IF(AND(SUM(K2281:M2281)&lt;9,OR(M2281=0,N2281&lt;6)),1,0)</x:f>
        <x:v>1</x:v>
      </x:c>
      <x:c r="P2281" s="19" t="n">
        <x:f>IF(AND(SUM(K2281:M2281)&lt;9,OR(L2281=0,N2281&lt;6)),1,0)</x:f>
        <x:v>0</x:v>
      </x:c>
      <x:c r="Q2281" s="19" t="n">
        <x:f>IF(AND(SUM(K2281:M2281)&lt;9,OR(K2281=0,N2281&lt;6)),1,0)</x:f>
        <x:v>0</x:v>
      </x:c>
      <x:c r="R2281" s="22" t="str">
        <x:f>O2281&amp;P2281&amp;Q2281</x:f>
        <x:v>100</x:v>
      </x:c>
      <x:c r="S2281" s="19" t="n">
        <x:f>IF(I2281=1,IF(J2281=0,Q2281,IF(J2281=1,P2281,IF(J2281=2,O2281,0))),0)</x:f>
        <x:v>0</x:v>
      </x:c>
      <x:c r="T2281" s="19" t="n">
        <x:f>K2281+IF(AND(S2281=1,J2281=0),1,0)</x:f>
        <x:v>5</x:v>
      </x:c>
      <x:c r="U2281" s="19" t="n">
        <x:f>L2281+IF(AND(S2281=1,J2281=1),1,0)</x:f>
        <x:v>3</x:v>
      </x:c>
      <x:c r="V2281" s="19" t="n">
        <x:f>M2281+IF(AND(S2281=1,J2281=2),1,0)</x:f>
        <x:v>0</x:v>
      </x:c>
      <x:c r="W2281" s="19" t="n">
        <x:f>SUM(T2281:V2281)</x:f>
        <x:v>8</x:v>
      </x:c>
      <x:c r="X2281" s="19" t="n">
        <x:f>W2281-G2281</x:f>
        <x:v>0</x:v>
      </x:c>
      <x:c r="Y2281" s="19" t="n">
        <x:f>MAX(T2281,1)+MAX(U2281,1)+MAX(V2281,1)</x:f>
        <x:v>9</x:v>
      </x:c>
      <x:c r="Z2281" s="21" t="str">
        <x:f>IF(AND(MIN(D2281:F2281)&gt;=0,MAX(D2281:F2281)&lt;=7,MAX(D2281,1)+MAX(E2281,1)+MAX(F2281,1)&lt;=9,OR(H2281="-",AND(H2281=0,D2281&gt;0),AND(H2281=1,E2281&gt;0),AND(H2281=2,F2281&gt;0)),OR(I2281=0,AND(I2281=1,OR(J2281=0,J2281=1,J2281=2),R2281&lt;&gt;"000")),Y2281&lt;=9,MIN(T2281:V2281)&gt;=0),"合法","输入违约")</x:f>
        <x:v>合法</x:v>
      </x:c>
    </x:row>
    <x:row r="2282" ht="23" customHeight="1">
      <x:c r="A2282" s="3" t="str">
        <x:v>CT-2275</x:v>
      </x:c>
      <x:c r="B2282" s="3" t="str">
        <x:v>ST-157</x:v>
      </x:c>
      <x:c r="C2282" s="3" t="str">
        <x:v>所选源被阻塞</x:v>
      </x:c>
      <x:c r="D2282" s="25" t="n">
        <x:v>5</x:v>
      </x:c>
      <x:c r="E2282" s="25" t="n">
        <x:v>3</x:v>
      </x:c>
      <x:c r="F2282" s="25" t="n">
        <x:v>0</x:v>
      </x:c>
      <x:c r="G2282" s="19" t="n">
        <x:f>SUM(D2282:F2282)</x:f>
        <x:v>8</x:v>
      </x:c>
      <x:c r="H2282" s="25" t="str">
        <x:v>-</x:v>
      </x:c>
      <x:c r="I2282" s="25" t="n">
        <x:v>1</x:v>
      </x:c>
      <x:c r="J2282" s="25" t="n">
        <x:v>1</x:v>
      </x:c>
      <x:c r="K2282" s="19" t="n">
        <x:f>D2282-IF(H2282=0,1,0)</x:f>
        <x:v>5</x:v>
      </x:c>
      <x:c r="L2282" s="19" t="n">
        <x:f>E2282-IF(H2282=1,1,0)</x:f>
        <x:v>3</x:v>
      </x:c>
      <x:c r="M2282" s="19" t="n">
        <x:f>F2282-IF(H2282=2,1,0)</x:f>
        <x:v>0</x:v>
      </x:c>
      <x:c r="N2282" s="19" t="n">
        <x:f>MAX(K2282-1,0)+MAX(L2282-1,0)+MAX(M2282-1,0)</x:f>
        <x:v>6</x:v>
      </x:c>
      <x:c r="O2282" s="19" t="n">
        <x:f>IF(AND(SUM(K2282:M2282)&lt;9,OR(M2282=0,N2282&lt;6)),1,0)</x:f>
        <x:v>1</x:v>
      </x:c>
      <x:c r="P2282" s="19" t="n">
        <x:f>IF(AND(SUM(K2282:M2282)&lt;9,OR(L2282=0,N2282&lt;6)),1,0)</x:f>
        <x:v>0</x:v>
      </x:c>
      <x:c r="Q2282" s="19" t="n">
        <x:f>IF(AND(SUM(K2282:M2282)&lt;9,OR(K2282=0,N2282&lt;6)),1,0)</x:f>
        <x:v>0</x:v>
      </x:c>
      <x:c r="R2282" s="22" t="str">
        <x:f>O2282&amp;P2282&amp;Q2282</x:f>
        <x:v>100</x:v>
      </x:c>
      <x:c r="S2282" s="19" t="n">
        <x:f>IF(I2282=1,IF(J2282=0,Q2282,IF(J2282=1,P2282,IF(J2282=2,O2282,0))),0)</x:f>
        <x:v>0</x:v>
      </x:c>
      <x:c r="T2282" s="19" t="n">
        <x:f>K2282+IF(AND(S2282=1,J2282=0),1,0)</x:f>
        <x:v>5</x:v>
      </x:c>
      <x:c r="U2282" s="19" t="n">
        <x:f>L2282+IF(AND(S2282=1,J2282=1),1,0)</x:f>
        <x:v>3</x:v>
      </x:c>
      <x:c r="V2282" s="19" t="n">
        <x:f>M2282+IF(AND(S2282=1,J2282=2),1,0)</x:f>
        <x:v>0</x:v>
      </x:c>
      <x:c r="W2282" s="19" t="n">
        <x:f>SUM(T2282:V2282)</x:f>
        <x:v>8</x:v>
      </x:c>
      <x:c r="X2282" s="19" t="n">
        <x:f>W2282-G2282</x:f>
        <x:v>0</x:v>
      </x:c>
      <x:c r="Y2282" s="19" t="n">
        <x:f>MAX(T2282,1)+MAX(U2282,1)+MAX(V2282,1)</x:f>
        <x:v>9</x:v>
      </x:c>
      <x:c r="Z2282" s="21" t="str">
        <x:f>IF(AND(MIN(D2282:F2282)&gt;=0,MAX(D2282:F2282)&lt;=7,MAX(D2282,1)+MAX(E2282,1)+MAX(F2282,1)&lt;=9,OR(H2282="-",AND(H2282=0,D2282&gt;0),AND(H2282=1,E2282&gt;0),AND(H2282=2,F2282&gt;0)),OR(I2282=0,AND(I2282=1,OR(J2282=0,J2282=1,J2282=2),R2282&lt;&gt;"000")),Y2282&lt;=9,MIN(T2282:V2282)&gt;=0),"合法","输入违约")</x:f>
        <x:v>合法</x:v>
      </x:c>
    </x:row>
    <x:row r="2283" ht="23" customHeight="1">
      <x:c r="A2283" s="3" t="str">
        <x:v>CT-2276</x:v>
      </x:c>
      <x:c r="B2283" s="3" t="str">
        <x:v>ST-157</x:v>
      </x:c>
      <x:c r="C2283" s="3" t="str">
        <x:v>仅AR接收</x:v>
      </x:c>
      <x:c r="D2283" s="25" t="n">
        <x:v>5</x:v>
      </x:c>
      <x:c r="E2283" s="25" t="n">
        <x:v>3</x:v>
      </x:c>
      <x:c r="F2283" s="25" t="n">
        <x:v>0</x:v>
      </x:c>
      <x:c r="G2283" s="19" t="n">
        <x:f>SUM(D2283:F2283)</x:f>
        <x:v>8</x:v>
      </x:c>
      <x:c r="H2283" s="25" t="str">
        <x:v>-</x:v>
      </x:c>
      <x:c r="I2283" s="25" t="n">
        <x:v>1</x:v>
      </x:c>
      <x:c r="J2283" s="25" t="n">
        <x:v>2</x:v>
      </x:c>
      <x:c r="K2283" s="19" t="n">
        <x:f>D2283-IF(H2283=0,1,0)</x:f>
        <x:v>5</x:v>
      </x:c>
      <x:c r="L2283" s="19" t="n">
        <x:f>E2283-IF(H2283=1,1,0)</x:f>
        <x:v>3</x:v>
      </x:c>
      <x:c r="M2283" s="19" t="n">
        <x:f>F2283-IF(H2283=2,1,0)</x:f>
        <x:v>0</x:v>
      </x:c>
      <x:c r="N2283" s="19" t="n">
        <x:f>MAX(K2283-1,0)+MAX(L2283-1,0)+MAX(M2283-1,0)</x:f>
        <x:v>6</x:v>
      </x:c>
      <x:c r="O2283" s="19" t="n">
        <x:f>IF(AND(SUM(K2283:M2283)&lt;9,OR(M2283=0,N2283&lt;6)),1,0)</x:f>
        <x:v>1</x:v>
      </x:c>
      <x:c r="P2283" s="19" t="n">
        <x:f>IF(AND(SUM(K2283:M2283)&lt;9,OR(L2283=0,N2283&lt;6)),1,0)</x:f>
        <x:v>0</x:v>
      </x:c>
      <x:c r="Q2283" s="19" t="n">
        <x:f>IF(AND(SUM(K2283:M2283)&lt;9,OR(K2283=0,N2283&lt;6)),1,0)</x:f>
        <x:v>0</x:v>
      </x:c>
      <x:c r="R2283" s="22" t="str">
        <x:f>O2283&amp;P2283&amp;Q2283</x:f>
        <x:v>100</x:v>
      </x:c>
      <x:c r="S2283" s="19" t="n">
        <x:f>IF(I2283=1,IF(J2283=0,Q2283,IF(J2283=1,P2283,IF(J2283=2,O2283,0))),0)</x:f>
        <x:v>1</x:v>
      </x:c>
      <x:c r="T2283" s="19" t="n">
        <x:f>K2283+IF(AND(S2283=1,J2283=0),1,0)</x:f>
        <x:v>5</x:v>
      </x:c>
      <x:c r="U2283" s="19" t="n">
        <x:f>L2283+IF(AND(S2283=1,J2283=1),1,0)</x:f>
        <x:v>3</x:v>
      </x:c>
      <x:c r="V2283" s="19" t="n">
        <x:f>M2283+IF(AND(S2283=1,J2283=2),1,0)</x:f>
        <x:v>1</x:v>
      </x:c>
      <x:c r="W2283" s="19" t="n">
        <x:f>SUM(T2283:V2283)</x:f>
        <x:v>9</x:v>
      </x:c>
      <x:c r="X2283" s="19" t="n">
        <x:f>W2283-G2283</x:f>
        <x:v>1</x:v>
      </x:c>
      <x:c r="Y2283" s="19" t="n">
        <x:f>MAX(T2283,1)+MAX(U2283,1)+MAX(V2283,1)</x:f>
        <x:v>9</x:v>
      </x:c>
      <x:c r="Z2283" s="21" t="str">
        <x:f>IF(AND(MIN(D2283:F2283)&gt;=0,MAX(D2283:F2283)&lt;=7,MAX(D2283,1)+MAX(E2283,1)+MAX(F2283,1)&lt;=9,OR(H2283="-",AND(H2283=0,D2283&gt;0),AND(H2283=1,E2283&gt;0),AND(H2283=2,F2283&gt;0)),OR(I2283=0,AND(I2283=1,OR(J2283=0,J2283=1,J2283=2),R2283&lt;&gt;"000")),Y2283&lt;=9,MIN(T2283:V2283)&gt;=0),"合法","输入违约")</x:f>
        <x:v>合法</x:v>
      </x:c>
    </x:row>
    <x:row r="2284" ht="23" customHeight="1">
      <x:c r="A2284" s="3" t="str">
        <x:v>CT-2277</x:v>
      </x:c>
      <x:c r="B2284" s="3" t="str">
        <x:v>ST-157</x:v>
      </x:c>
      <x:c r="C2284" s="3" t="str">
        <x:v>仅R回收</x:v>
      </x:c>
      <x:c r="D2284" s="25" t="n">
        <x:v>5</x:v>
      </x:c>
      <x:c r="E2284" s="25" t="n">
        <x:v>3</x:v>
      </x:c>
      <x:c r="F2284" s="25" t="n">
        <x:v>0</x:v>
      </x:c>
      <x:c r="G2284" s="19" t="n">
        <x:f>SUM(D2284:F2284)</x:f>
        <x:v>8</x:v>
      </x:c>
      <x:c r="H2284" s="25" t="n">
        <x:v>0</x:v>
      </x:c>
      <x:c r="I2284" s="25" t="n">
        <x:v>0</x:v>
      </x:c>
      <x:c r="J2284" s="25" t="str">
        <x:v>-</x:v>
      </x:c>
      <x:c r="K2284" s="19" t="n">
        <x:f>D2284-IF(H2284=0,1,0)</x:f>
        <x:v>4</x:v>
      </x:c>
      <x:c r="L2284" s="19" t="n">
        <x:f>E2284-IF(H2284=1,1,0)</x:f>
        <x:v>3</x:v>
      </x:c>
      <x:c r="M2284" s="19" t="n">
        <x:f>F2284-IF(H2284=2,1,0)</x:f>
        <x:v>0</x:v>
      </x:c>
      <x:c r="N2284" s="19" t="n">
        <x:f>MAX(K2284-1,0)+MAX(L2284-1,0)+MAX(M2284-1,0)</x:f>
        <x:v>5</x:v>
      </x:c>
      <x:c r="O2284" s="19" t="n">
        <x:f>IF(AND(SUM(K2284:M2284)&lt;9,OR(M2284=0,N2284&lt;6)),1,0)</x:f>
        <x:v>1</x:v>
      </x:c>
      <x:c r="P2284" s="19" t="n">
        <x:f>IF(AND(SUM(K2284:M2284)&lt;9,OR(L2284=0,N2284&lt;6)),1,0)</x:f>
        <x:v>1</x:v>
      </x:c>
      <x:c r="Q2284" s="19" t="n">
        <x:f>IF(AND(SUM(K2284:M2284)&lt;9,OR(K2284=0,N2284&lt;6)),1,0)</x:f>
        <x:v>1</x:v>
      </x:c>
      <x:c r="R2284" s="22" t="str">
        <x:f>O2284&amp;P2284&amp;Q2284</x:f>
        <x:v>111</x:v>
      </x:c>
      <x:c r="S2284" s="19" t="n">
        <x:f>IF(I2284=1,IF(J2284=0,Q2284,IF(J2284=1,P2284,IF(J2284=2,O2284,0))),0)</x:f>
        <x:v>0</x:v>
      </x:c>
      <x:c r="T2284" s="19" t="n">
        <x:f>K2284+IF(AND(S2284=1,J2284=0),1,0)</x:f>
        <x:v>4</x:v>
      </x:c>
      <x:c r="U2284" s="19" t="n">
        <x:f>L2284+IF(AND(S2284=1,J2284=1),1,0)</x:f>
        <x:v>3</x:v>
      </x:c>
      <x:c r="V2284" s="19" t="n">
        <x:f>M2284+IF(AND(S2284=1,J2284=2),1,0)</x:f>
        <x:v>0</x:v>
      </x:c>
      <x:c r="W2284" s="19" t="n">
        <x:f>SUM(T2284:V2284)</x:f>
        <x:v>7</x:v>
      </x:c>
      <x:c r="X2284" s="19" t="n">
        <x:f>W2284-G2284</x:f>
        <x:v>-1</x:v>
      </x:c>
      <x:c r="Y2284" s="19" t="n">
        <x:f>MAX(T2284,1)+MAX(U2284,1)+MAX(V2284,1)</x:f>
        <x:v>8</x:v>
      </x:c>
      <x:c r="Z2284" s="21" t="str">
        <x:f>IF(AND(MIN(D2284:F2284)&gt;=0,MAX(D2284:F2284)&lt;=7,MAX(D2284,1)+MAX(E2284,1)+MAX(F2284,1)&lt;=9,OR(H2284="-",AND(H2284=0,D2284&gt;0),AND(H2284=1,E2284&gt;0),AND(H2284=2,F2284&gt;0)),OR(I2284=0,AND(I2284=1,OR(J2284=0,J2284=1,J2284=2),R2284&lt;&gt;"000")),Y2284&lt;=9,MIN(T2284:V2284)&gt;=0),"合法","输入违约")</x:f>
        <x:v>合法</x:v>
      </x:c>
    </x:row>
    <x:row r="2285" ht="23" customHeight="1">
      <x:c r="A2285" s="3" t="str">
        <x:v>CT-2278</x:v>
      </x:c>
      <x:c r="B2285" s="3" t="str">
        <x:v>ST-157</x:v>
      </x:c>
      <x:c r="C2285" s="3" t="str">
        <x:v>R+AR同收同发</x:v>
      </x:c>
      <x:c r="D2285" s="25" t="n">
        <x:v>5</x:v>
      </x:c>
      <x:c r="E2285" s="25" t="n">
        <x:v>3</x:v>
      </x:c>
      <x:c r="F2285" s="25" t="n">
        <x:v>0</x:v>
      </x:c>
      <x:c r="G2285" s="19" t="n">
        <x:f>SUM(D2285:F2285)</x:f>
        <x:v>8</x:v>
      </x:c>
      <x:c r="H2285" s="25" t="n">
        <x:v>0</x:v>
      </x:c>
      <x:c r="I2285" s="25" t="n">
        <x:v>1</x:v>
      </x:c>
      <x:c r="J2285" s="25" t="n">
        <x:v>0</x:v>
      </x:c>
      <x:c r="K2285" s="19" t="n">
        <x:f>D2285-IF(H2285=0,1,0)</x:f>
        <x:v>4</x:v>
      </x:c>
      <x:c r="L2285" s="19" t="n">
        <x:f>E2285-IF(H2285=1,1,0)</x:f>
        <x:v>3</x:v>
      </x:c>
      <x:c r="M2285" s="19" t="n">
        <x:f>F2285-IF(H2285=2,1,0)</x:f>
        <x:v>0</x:v>
      </x:c>
      <x:c r="N2285" s="19" t="n">
        <x:f>MAX(K2285-1,0)+MAX(L2285-1,0)+MAX(M2285-1,0)</x:f>
        <x:v>5</x:v>
      </x:c>
      <x:c r="O2285" s="19" t="n">
        <x:f>IF(AND(SUM(K2285:M2285)&lt;9,OR(M2285=0,N2285&lt;6)),1,0)</x:f>
        <x:v>1</x:v>
      </x:c>
      <x:c r="P2285" s="19" t="n">
        <x:f>IF(AND(SUM(K2285:M2285)&lt;9,OR(L2285=0,N2285&lt;6)),1,0)</x:f>
        <x:v>1</x:v>
      </x:c>
      <x:c r="Q2285" s="19" t="n">
        <x:f>IF(AND(SUM(K2285:M2285)&lt;9,OR(K2285=0,N2285&lt;6)),1,0)</x:f>
        <x:v>1</x:v>
      </x:c>
      <x:c r="R2285" s="22" t="str">
        <x:f>O2285&amp;P2285&amp;Q2285</x:f>
        <x:v>111</x:v>
      </x:c>
      <x:c r="S2285" s="19" t="n">
        <x:f>IF(I2285=1,IF(J2285=0,Q2285,IF(J2285=1,P2285,IF(J2285=2,O2285,0))),0)</x:f>
        <x:v>1</x:v>
      </x:c>
      <x:c r="T2285" s="19" t="n">
        <x:f>K2285+IF(AND(S2285=1,J2285=0),1,0)</x:f>
        <x:v>5</x:v>
      </x:c>
      <x:c r="U2285" s="19" t="n">
        <x:f>L2285+IF(AND(S2285=1,J2285=1),1,0)</x:f>
        <x:v>3</x:v>
      </x:c>
      <x:c r="V2285" s="19" t="n">
        <x:f>M2285+IF(AND(S2285=1,J2285=2),1,0)</x:f>
        <x:v>0</x:v>
      </x:c>
      <x:c r="W2285" s="19" t="n">
        <x:f>SUM(T2285:V2285)</x:f>
        <x:v>8</x:v>
      </x:c>
      <x:c r="X2285" s="19" t="n">
        <x:f>W2285-G2285</x:f>
        <x:v>0</x:v>
      </x:c>
      <x:c r="Y2285" s="19" t="n">
        <x:f>MAX(T2285,1)+MAX(U2285,1)+MAX(V2285,1)</x:f>
        <x:v>9</x:v>
      </x:c>
      <x:c r="Z2285" s="21" t="str">
        <x:f>IF(AND(MIN(D2285:F2285)&gt;=0,MAX(D2285:F2285)&lt;=7,MAX(D2285,1)+MAX(E2285,1)+MAX(F2285,1)&lt;=9,OR(H2285="-",AND(H2285=0,D2285&gt;0),AND(H2285=1,E2285&gt;0),AND(H2285=2,F2285&gt;0)),OR(I2285=0,AND(I2285=1,OR(J2285=0,J2285=1,J2285=2),R2285&lt;&gt;"000")),Y2285&lt;=9,MIN(T2285:V2285)&gt;=0),"合法","输入违约")</x:f>
        <x:v>合法</x:v>
      </x:c>
    </x:row>
    <x:row r="2286" ht="23" customHeight="1">
      <x:c r="A2286" s="3" t="str">
        <x:v>CT-2279</x:v>
      </x:c>
      <x:c r="B2286" s="3" t="str">
        <x:v>ST-157</x:v>
      </x:c>
      <x:c r="C2286" s="3" t="str">
        <x:v>R+AR同收同发</x:v>
      </x:c>
      <x:c r="D2286" s="25" t="n">
        <x:v>5</x:v>
      </x:c>
      <x:c r="E2286" s="25" t="n">
        <x:v>3</x:v>
      </x:c>
      <x:c r="F2286" s="25" t="n">
        <x:v>0</x:v>
      </x:c>
      <x:c r="G2286" s="19" t="n">
        <x:f>SUM(D2286:F2286)</x:f>
        <x:v>8</x:v>
      </x:c>
      <x:c r="H2286" s="25" t="n">
        <x:v>0</x:v>
      </x:c>
      <x:c r="I2286" s="25" t="n">
        <x:v>1</x:v>
      </x:c>
      <x:c r="J2286" s="25" t="n">
        <x:v>1</x:v>
      </x:c>
      <x:c r="K2286" s="19" t="n">
        <x:f>D2286-IF(H2286=0,1,0)</x:f>
        <x:v>4</x:v>
      </x:c>
      <x:c r="L2286" s="19" t="n">
        <x:f>E2286-IF(H2286=1,1,0)</x:f>
        <x:v>3</x:v>
      </x:c>
      <x:c r="M2286" s="19" t="n">
        <x:f>F2286-IF(H2286=2,1,0)</x:f>
        <x:v>0</x:v>
      </x:c>
      <x:c r="N2286" s="19" t="n">
        <x:f>MAX(K2286-1,0)+MAX(L2286-1,0)+MAX(M2286-1,0)</x:f>
        <x:v>5</x:v>
      </x:c>
      <x:c r="O2286" s="19" t="n">
        <x:f>IF(AND(SUM(K2286:M2286)&lt;9,OR(M2286=0,N2286&lt;6)),1,0)</x:f>
        <x:v>1</x:v>
      </x:c>
      <x:c r="P2286" s="19" t="n">
        <x:f>IF(AND(SUM(K2286:M2286)&lt;9,OR(L2286=0,N2286&lt;6)),1,0)</x:f>
        <x:v>1</x:v>
      </x:c>
      <x:c r="Q2286" s="19" t="n">
        <x:f>IF(AND(SUM(K2286:M2286)&lt;9,OR(K2286=0,N2286&lt;6)),1,0)</x:f>
        <x:v>1</x:v>
      </x:c>
      <x:c r="R2286" s="22" t="str">
        <x:f>O2286&amp;P2286&amp;Q2286</x:f>
        <x:v>111</x:v>
      </x:c>
      <x:c r="S2286" s="19" t="n">
        <x:f>IF(I2286=1,IF(J2286=0,Q2286,IF(J2286=1,P2286,IF(J2286=2,O2286,0))),0)</x:f>
        <x:v>1</x:v>
      </x:c>
      <x:c r="T2286" s="19" t="n">
        <x:f>K2286+IF(AND(S2286=1,J2286=0),1,0)</x:f>
        <x:v>4</x:v>
      </x:c>
      <x:c r="U2286" s="19" t="n">
        <x:f>L2286+IF(AND(S2286=1,J2286=1),1,0)</x:f>
        <x:v>4</x:v>
      </x:c>
      <x:c r="V2286" s="19" t="n">
        <x:f>M2286+IF(AND(S2286=1,J2286=2),1,0)</x:f>
        <x:v>0</x:v>
      </x:c>
      <x:c r="W2286" s="19" t="n">
        <x:f>SUM(T2286:V2286)</x:f>
        <x:v>8</x:v>
      </x:c>
      <x:c r="X2286" s="19" t="n">
        <x:f>W2286-G2286</x:f>
        <x:v>0</x:v>
      </x:c>
      <x:c r="Y2286" s="19" t="n">
        <x:f>MAX(T2286,1)+MAX(U2286,1)+MAX(V2286,1)</x:f>
        <x:v>9</x:v>
      </x:c>
      <x:c r="Z2286" s="21" t="str">
        <x:f>IF(AND(MIN(D2286:F2286)&gt;=0,MAX(D2286:F2286)&lt;=7,MAX(D2286,1)+MAX(E2286,1)+MAX(F2286,1)&lt;=9,OR(H2286="-",AND(H2286=0,D2286&gt;0),AND(H2286=1,E2286&gt;0),AND(H2286=2,F2286&gt;0)),OR(I2286=0,AND(I2286=1,OR(J2286=0,J2286=1,J2286=2),R2286&lt;&gt;"000")),Y2286&lt;=9,MIN(T2286:V2286)&gt;=0),"合法","输入违约")</x:f>
        <x:v>合法</x:v>
      </x:c>
    </x:row>
    <x:row r="2287" ht="23" customHeight="1">
      <x:c r="A2287" s="3" t="str">
        <x:v>CT-2280</x:v>
      </x:c>
      <x:c r="B2287" s="3" t="str">
        <x:v>ST-157</x:v>
      </x:c>
      <x:c r="C2287" s="3" t="str">
        <x:v>R+AR同收同发</x:v>
      </x:c>
      <x:c r="D2287" s="25" t="n">
        <x:v>5</x:v>
      </x:c>
      <x:c r="E2287" s="25" t="n">
        <x:v>3</x:v>
      </x:c>
      <x:c r="F2287" s="25" t="n">
        <x:v>0</x:v>
      </x:c>
      <x:c r="G2287" s="19" t="n">
        <x:f>SUM(D2287:F2287)</x:f>
        <x:v>8</x:v>
      </x:c>
      <x:c r="H2287" s="25" t="n">
        <x:v>0</x:v>
      </x:c>
      <x:c r="I2287" s="25" t="n">
        <x:v>1</x:v>
      </x:c>
      <x:c r="J2287" s="25" t="n">
        <x:v>2</x:v>
      </x:c>
      <x:c r="K2287" s="19" t="n">
        <x:f>D2287-IF(H2287=0,1,0)</x:f>
        <x:v>4</x:v>
      </x:c>
      <x:c r="L2287" s="19" t="n">
        <x:f>E2287-IF(H2287=1,1,0)</x:f>
        <x:v>3</x:v>
      </x:c>
      <x:c r="M2287" s="19" t="n">
        <x:f>F2287-IF(H2287=2,1,0)</x:f>
        <x:v>0</x:v>
      </x:c>
      <x:c r="N2287" s="19" t="n">
        <x:f>MAX(K2287-1,0)+MAX(L2287-1,0)+MAX(M2287-1,0)</x:f>
        <x:v>5</x:v>
      </x:c>
      <x:c r="O2287" s="19" t="n">
        <x:f>IF(AND(SUM(K2287:M2287)&lt;9,OR(M2287=0,N2287&lt;6)),1,0)</x:f>
        <x:v>1</x:v>
      </x:c>
      <x:c r="P2287" s="19" t="n">
        <x:f>IF(AND(SUM(K2287:M2287)&lt;9,OR(L2287=0,N2287&lt;6)),1,0)</x:f>
        <x:v>1</x:v>
      </x:c>
      <x:c r="Q2287" s="19" t="n">
        <x:f>IF(AND(SUM(K2287:M2287)&lt;9,OR(K2287=0,N2287&lt;6)),1,0)</x:f>
        <x:v>1</x:v>
      </x:c>
      <x:c r="R2287" s="22" t="str">
        <x:f>O2287&amp;P2287&amp;Q2287</x:f>
        <x:v>111</x:v>
      </x:c>
      <x:c r="S2287" s="19" t="n">
        <x:f>IF(I2287=1,IF(J2287=0,Q2287,IF(J2287=1,P2287,IF(J2287=2,O2287,0))),0)</x:f>
        <x:v>1</x:v>
      </x:c>
      <x:c r="T2287" s="19" t="n">
        <x:f>K2287+IF(AND(S2287=1,J2287=0),1,0)</x:f>
        <x:v>4</x:v>
      </x:c>
      <x:c r="U2287" s="19" t="n">
        <x:f>L2287+IF(AND(S2287=1,J2287=1),1,0)</x:f>
        <x:v>3</x:v>
      </x:c>
      <x:c r="V2287" s="19" t="n">
        <x:f>M2287+IF(AND(S2287=1,J2287=2),1,0)</x:f>
        <x:v>1</x:v>
      </x:c>
      <x:c r="W2287" s="19" t="n">
        <x:f>SUM(T2287:V2287)</x:f>
        <x:v>8</x:v>
      </x:c>
      <x:c r="X2287" s="19" t="n">
        <x:f>W2287-G2287</x:f>
        <x:v>0</x:v>
      </x:c>
      <x:c r="Y2287" s="19" t="n">
        <x:f>MAX(T2287,1)+MAX(U2287,1)+MAX(V2287,1)</x:f>
        <x:v>8</x:v>
      </x:c>
      <x:c r="Z2287" s="21" t="str">
        <x:f>IF(AND(MIN(D2287:F2287)&gt;=0,MAX(D2287:F2287)&lt;=7,MAX(D2287,1)+MAX(E2287,1)+MAX(F2287,1)&lt;=9,OR(H2287="-",AND(H2287=0,D2287&gt;0),AND(H2287=1,E2287&gt;0),AND(H2287=2,F2287&gt;0)),OR(I2287=0,AND(I2287=1,OR(J2287=0,J2287=1,J2287=2),R2287&lt;&gt;"000")),Y2287&lt;=9,MIN(T2287:V2287)&gt;=0),"合法","输入违约")</x:f>
        <x:v>合法</x:v>
      </x:c>
    </x:row>
    <x:row r="2288" ht="23" customHeight="1">
      <x:c r="A2288" s="3" t="str">
        <x:v>CT-2281</x:v>
      </x:c>
      <x:c r="B2288" s="3" t="str">
        <x:v>ST-157</x:v>
      </x:c>
      <x:c r="C2288" s="3" t="str">
        <x:v>仅R回收</x:v>
      </x:c>
      <x:c r="D2288" s="25" t="n">
        <x:v>5</x:v>
      </x:c>
      <x:c r="E2288" s="25" t="n">
        <x:v>3</x:v>
      </x:c>
      <x:c r="F2288" s="25" t="n">
        <x:v>0</x:v>
      </x:c>
      <x:c r="G2288" s="19" t="n">
        <x:f>SUM(D2288:F2288)</x:f>
        <x:v>8</x:v>
      </x:c>
      <x:c r="H2288" s="25" t="n">
        <x:v>1</x:v>
      </x:c>
      <x:c r="I2288" s="25" t="n">
        <x:v>0</x:v>
      </x:c>
      <x:c r="J2288" s="25" t="str">
        <x:v>-</x:v>
      </x:c>
      <x:c r="K2288" s="19" t="n">
        <x:f>D2288-IF(H2288=0,1,0)</x:f>
        <x:v>5</x:v>
      </x:c>
      <x:c r="L2288" s="19" t="n">
        <x:f>E2288-IF(H2288=1,1,0)</x:f>
        <x:v>2</x:v>
      </x:c>
      <x:c r="M2288" s="19" t="n">
        <x:f>F2288-IF(H2288=2,1,0)</x:f>
        <x:v>0</x:v>
      </x:c>
      <x:c r="N2288" s="19" t="n">
        <x:f>MAX(K2288-1,0)+MAX(L2288-1,0)+MAX(M2288-1,0)</x:f>
        <x:v>5</x:v>
      </x:c>
      <x:c r="O2288" s="19" t="n">
        <x:f>IF(AND(SUM(K2288:M2288)&lt;9,OR(M2288=0,N2288&lt;6)),1,0)</x:f>
        <x:v>1</x:v>
      </x:c>
      <x:c r="P2288" s="19" t="n">
        <x:f>IF(AND(SUM(K2288:M2288)&lt;9,OR(L2288=0,N2288&lt;6)),1,0)</x:f>
        <x:v>1</x:v>
      </x:c>
      <x:c r="Q2288" s="19" t="n">
        <x:f>IF(AND(SUM(K2288:M2288)&lt;9,OR(K2288=0,N2288&lt;6)),1,0)</x:f>
        <x:v>1</x:v>
      </x:c>
      <x:c r="R2288" s="22" t="str">
        <x:f>O2288&amp;P2288&amp;Q2288</x:f>
        <x:v>111</x:v>
      </x:c>
      <x:c r="S2288" s="19" t="n">
        <x:f>IF(I2288=1,IF(J2288=0,Q2288,IF(J2288=1,P2288,IF(J2288=2,O2288,0))),0)</x:f>
        <x:v>0</x:v>
      </x:c>
      <x:c r="T2288" s="19" t="n">
        <x:f>K2288+IF(AND(S2288=1,J2288=0),1,0)</x:f>
        <x:v>5</x:v>
      </x:c>
      <x:c r="U2288" s="19" t="n">
        <x:f>L2288+IF(AND(S2288=1,J2288=1),1,0)</x:f>
        <x:v>2</x:v>
      </x:c>
      <x:c r="V2288" s="19" t="n">
        <x:f>M2288+IF(AND(S2288=1,J2288=2),1,0)</x:f>
        <x:v>0</x:v>
      </x:c>
      <x:c r="W2288" s="19" t="n">
        <x:f>SUM(T2288:V2288)</x:f>
        <x:v>7</x:v>
      </x:c>
      <x:c r="X2288" s="19" t="n">
        <x:f>W2288-G2288</x:f>
        <x:v>-1</x:v>
      </x:c>
      <x:c r="Y2288" s="19" t="n">
        <x:f>MAX(T2288,1)+MAX(U2288,1)+MAX(V2288,1)</x:f>
        <x:v>8</x:v>
      </x:c>
      <x:c r="Z2288" s="21" t="str">
        <x:f>IF(AND(MIN(D2288:F2288)&gt;=0,MAX(D2288:F2288)&lt;=7,MAX(D2288,1)+MAX(E2288,1)+MAX(F2288,1)&lt;=9,OR(H2288="-",AND(H2288=0,D2288&gt;0),AND(H2288=1,E2288&gt;0),AND(H2288=2,F2288&gt;0)),OR(I2288=0,AND(I2288=1,OR(J2288=0,J2288=1,J2288=2),R2288&lt;&gt;"000")),Y2288&lt;=9,MIN(T2288:V2288)&gt;=0),"合法","输入违约")</x:f>
        <x:v>合法</x:v>
      </x:c>
    </x:row>
    <x:row r="2289" ht="23" customHeight="1">
      <x:c r="A2289" s="3" t="str">
        <x:v>CT-2282</x:v>
      </x:c>
      <x:c r="B2289" s="3" t="str">
        <x:v>ST-157</x:v>
      </x:c>
      <x:c r="C2289" s="3" t="str">
        <x:v>R+AR同收同发</x:v>
      </x:c>
      <x:c r="D2289" s="25" t="n">
        <x:v>5</x:v>
      </x:c>
      <x:c r="E2289" s="25" t="n">
        <x:v>3</x:v>
      </x:c>
      <x:c r="F2289" s="25" t="n">
        <x:v>0</x:v>
      </x:c>
      <x:c r="G2289" s="19" t="n">
        <x:f>SUM(D2289:F2289)</x:f>
        <x:v>8</x:v>
      </x:c>
      <x:c r="H2289" s="25" t="n">
        <x:v>1</x:v>
      </x:c>
      <x:c r="I2289" s="25" t="n">
        <x:v>1</x:v>
      </x:c>
      <x:c r="J2289" s="25" t="n">
        <x:v>0</x:v>
      </x:c>
      <x:c r="K2289" s="19" t="n">
        <x:f>D2289-IF(H2289=0,1,0)</x:f>
        <x:v>5</x:v>
      </x:c>
      <x:c r="L2289" s="19" t="n">
        <x:f>E2289-IF(H2289=1,1,0)</x:f>
        <x:v>2</x:v>
      </x:c>
      <x:c r="M2289" s="19" t="n">
        <x:f>F2289-IF(H2289=2,1,0)</x:f>
        <x:v>0</x:v>
      </x:c>
      <x:c r="N2289" s="19" t="n">
        <x:f>MAX(K2289-1,0)+MAX(L2289-1,0)+MAX(M2289-1,0)</x:f>
        <x:v>5</x:v>
      </x:c>
      <x:c r="O2289" s="19" t="n">
        <x:f>IF(AND(SUM(K2289:M2289)&lt;9,OR(M2289=0,N2289&lt;6)),1,0)</x:f>
        <x:v>1</x:v>
      </x:c>
      <x:c r="P2289" s="19" t="n">
        <x:f>IF(AND(SUM(K2289:M2289)&lt;9,OR(L2289=0,N2289&lt;6)),1,0)</x:f>
        <x:v>1</x:v>
      </x:c>
      <x:c r="Q2289" s="19" t="n">
        <x:f>IF(AND(SUM(K2289:M2289)&lt;9,OR(K2289=0,N2289&lt;6)),1,0)</x:f>
        <x:v>1</x:v>
      </x:c>
      <x:c r="R2289" s="22" t="str">
        <x:f>O2289&amp;P2289&amp;Q2289</x:f>
        <x:v>111</x:v>
      </x:c>
      <x:c r="S2289" s="19" t="n">
        <x:f>IF(I2289=1,IF(J2289=0,Q2289,IF(J2289=1,P2289,IF(J2289=2,O2289,0))),0)</x:f>
        <x:v>1</x:v>
      </x:c>
      <x:c r="T2289" s="19" t="n">
        <x:f>K2289+IF(AND(S2289=1,J2289=0),1,0)</x:f>
        <x:v>6</x:v>
      </x:c>
      <x:c r="U2289" s="19" t="n">
        <x:f>L2289+IF(AND(S2289=1,J2289=1),1,0)</x:f>
        <x:v>2</x:v>
      </x:c>
      <x:c r="V2289" s="19" t="n">
        <x:f>M2289+IF(AND(S2289=1,J2289=2),1,0)</x:f>
        <x:v>0</x:v>
      </x:c>
      <x:c r="W2289" s="19" t="n">
        <x:f>SUM(T2289:V2289)</x:f>
        <x:v>8</x:v>
      </x:c>
      <x:c r="X2289" s="19" t="n">
        <x:f>W2289-G2289</x:f>
        <x:v>0</x:v>
      </x:c>
      <x:c r="Y2289" s="19" t="n">
        <x:f>MAX(T2289,1)+MAX(U2289,1)+MAX(V2289,1)</x:f>
        <x:v>9</x:v>
      </x:c>
      <x:c r="Z2289" s="21" t="str">
        <x:f>IF(AND(MIN(D2289:F2289)&gt;=0,MAX(D2289:F2289)&lt;=7,MAX(D2289,1)+MAX(E2289,1)+MAX(F2289,1)&lt;=9,OR(H2289="-",AND(H2289=0,D2289&gt;0),AND(H2289=1,E2289&gt;0),AND(H2289=2,F2289&gt;0)),OR(I2289=0,AND(I2289=1,OR(J2289=0,J2289=1,J2289=2),R2289&lt;&gt;"000")),Y2289&lt;=9,MIN(T2289:V2289)&gt;=0),"合法","输入违约")</x:f>
        <x:v>合法</x:v>
      </x:c>
    </x:row>
    <x:row r="2290" ht="23" customHeight="1">
      <x:c r="A2290" s="3" t="str">
        <x:v>CT-2283</x:v>
      </x:c>
      <x:c r="B2290" s="3" t="str">
        <x:v>ST-157</x:v>
      </x:c>
      <x:c r="C2290" s="3" t="str">
        <x:v>R+AR同收同发</x:v>
      </x:c>
      <x:c r="D2290" s="25" t="n">
        <x:v>5</x:v>
      </x:c>
      <x:c r="E2290" s="25" t="n">
        <x:v>3</x:v>
      </x:c>
      <x:c r="F2290" s="25" t="n">
        <x:v>0</x:v>
      </x:c>
      <x:c r="G2290" s="19" t="n">
        <x:f>SUM(D2290:F2290)</x:f>
        <x:v>8</x:v>
      </x:c>
      <x:c r="H2290" s="25" t="n">
        <x:v>1</x:v>
      </x:c>
      <x:c r="I2290" s="25" t="n">
        <x:v>1</x:v>
      </x:c>
      <x:c r="J2290" s="25" t="n">
        <x:v>1</x:v>
      </x:c>
      <x:c r="K2290" s="19" t="n">
        <x:f>D2290-IF(H2290=0,1,0)</x:f>
        <x:v>5</x:v>
      </x:c>
      <x:c r="L2290" s="19" t="n">
        <x:f>E2290-IF(H2290=1,1,0)</x:f>
        <x:v>2</x:v>
      </x:c>
      <x:c r="M2290" s="19" t="n">
        <x:f>F2290-IF(H2290=2,1,0)</x:f>
        <x:v>0</x:v>
      </x:c>
      <x:c r="N2290" s="19" t="n">
        <x:f>MAX(K2290-1,0)+MAX(L2290-1,0)+MAX(M2290-1,0)</x:f>
        <x:v>5</x:v>
      </x:c>
      <x:c r="O2290" s="19" t="n">
        <x:f>IF(AND(SUM(K2290:M2290)&lt;9,OR(M2290=0,N2290&lt;6)),1,0)</x:f>
        <x:v>1</x:v>
      </x:c>
      <x:c r="P2290" s="19" t="n">
        <x:f>IF(AND(SUM(K2290:M2290)&lt;9,OR(L2290=0,N2290&lt;6)),1,0)</x:f>
        <x:v>1</x:v>
      </x:c>
      <x:c r="Q2290" s="19" t="n">
        <x:f>IF(AND(SUM(K2290:M2290)&lt;9,OR(K2290=0,N2290&lt;6)),1,0)</x:f>
        <x:v>1</x:v>
      </x:c>
      <x:c r="R2290" s="22" t="str">
        <x:f>O2290&amp;P2290&amp;Q2290</x:f>
        <x:v>111</x:v>
      </x:c>
      <x:c r="S2290" s="19" t="n">
        <x:f>IF(I2290=1,IF(J2290=0,Q2290,IF(J2290=1,P2290,IF(J2290=2,O2290,0))),0)</x:f>
        <x:v>1</x:v>
      </x:c>
      <x:c r="T2290" s="19" t="n">
        <x:f>K2290+IF(AND(S2290=1,J2290=0),1,0)</x:f>
        <x:v>5</x:v>
      </x:c>
      <x:c r="U2290" s="19" t="n">
        <x:f>L2290+IF(AND(S2290=1,J2290=1),1,0)</x:f>
        <x:v>3</x:v>
      </x:c>
      <x:c r="V2290" s="19" t="n">
        <x:f>M2290+IF(AND(S2290=1,J2290=2),1,0)</x:f>
        <x:v>0</x:v>
      </x:c>
      <x:c r="W2290" s="19" t="n">
        <x:f>SUM(T2290:V2290)</x:f>
        <x:v>8</x:v>
      </x:c>
      <x:c r="X2290" s="19" t="n">
        <x:f>W2290-G2290</x:f>
        <x:v>0</x:v>
      </x:c>
      <x:c r="Y2290" s="19" t="n">
        <x:f>MAX(T2290,1)+MAX(U2290,1)+MAX(V2290,1)</x:f>
        <x:v>9</x:v>
      </x:c>
      <x:c r="Z2290" s="21" t="str">
        <x:f>IF(AND(MIN(D2290:F2290)&gt;=0,MAX(D2290:F2290)&lt;=7,MAX(D2290,1)+MAX(E2290,1)+MAX(F2290,1)&lt;=9,OR(H2290="-",AND(H2290=0,D2290&gt;0),AND(H2290=1,E2290&gt;0),AND(H2290=2,F2290&gt;0)),OR(I2290=0,AND(I2290=1,OR(J2290=0,J2290=1,J2290=2),R2290&lt;&gt;"000")),Y2290&lt;=9,MIN(T2290:V2290)&gt;=0),"合法","输入违约")</x:f>
        <x:v>合法</x:v>
      </x:c>
    </x:row>
    <x:row r="2291" ht="23" customHeight="1">
      <x:c r="A2291" s="3" t="str">
        <x:v>CT-2284</x:v>
      </x:c>
      <x:c r="B2291" s="3" t="str">
        <x:v>ST-157</x:v>
      </x:c>
      <x:c r="C2291" s="3" t="str">
        <x:v>R+AR同收同发</x:v>
      </x:c>
      <x:c r="D2291" s="25" t="n">
        <x:v>5</x:v>
      </x:c>
      <x:c r="E2291" s="25" t="n">
        <x:v>3</x:v>
      </x:c>
      <x:c r="F2291" s="25" t="n">
        <x:v>0</x:v>
      </x:c>
      <x:c r="G2291" s="19" t="n">
        <x:f>SUM(D2291:F2291)</x:f>
        <x:v>8</x:v>
      </x:c>
      <x:c r="H2291" s="25" t="n">
        <x:v>1</x:v>
      </x:c>
      <x:c r="I2291" s="25" t="n">
        <x:v>1</x:v>
      </x:c>
      <x:c r="J2291" s="25" t="n">
        <x:v>2</x:v>
      </x:c>
      <x:c r="K2291" s="19" t="n">
        <x:f>D2291-IF(H2291=0,1,0)</x:f>
        <x:v>5</x:v>
      </x:c>
      <x:c r="L2291" s="19" t="n">
        <x:f>E2291-IF(H2291=1,1,0)</x:f>
        <x:v>2</x:v>
      </x:c>
      <x:c r="M2291" s="19" t="n">
        <x:f>F2291-IF(H2291=2,1,0)</x:f>
        <x:v>0</x:v>
      </x:c>
      <x:c r="N2291" s="19" t="n">
        <x:f>MAX(K2291-1,0)+MAX(L2291-1,0)+MAX(M2291-1,0)</x:f>
        <x:v>5</x:v>
      </x:c>
      <x:c r="O2291" s="19" t="n">
        <x:f>IF(AND(SUM(K2291:M2291)&lt;9,OR(M2291=0,N2291&lt;6)),1,0)</x:f>
        <x:v>1</x:v>
      </x:c>
      <x:c r="P2291" s="19" t="n">
        <x:f>IF(AND(SUM(K2291:M2291)&lt;9,OR(L2291=0,N2291&lt;6)),1,0)</x:f>
        <x:v>1</x:v>
      </x:c>
      <x:c r="Q2291" s="19" t="n">
        <x:f>IF(AND(SUM(K2291:M2291)&lt;9,OR(K2291=0,N2291&lt;6)),1,0)</x:f>
        <x:v>1</x:v>
      </x:c>
      <x:c r="R2291" s="22" t="str">
        <x:f>O2291&amp;P2291&amp;Q2291</x:f>
        <x:v>111</x:v>
      </x:c>
      <x:c r="S2291" s="19" t="n">
        <x:f>IF(I2291=1,IF(J2291=0,Q2291,IF(J2291=1,P2291,IF(J2291=2,O2291,0))),0)</x:f>
        <x:v>1</x:v>
      </x:c>
      <x:c r="T2291" s="19" t="n">
        <x:f>K2291+IF(AND(S2291=1,J2291=0),1,0)</x:f>
        <x:v>5</x:v>
      </x:c>
      <x:c r="U2291" s="19" t="n">
        <x:f>L2291+IF(AND(S2291=1,J2291=1),1,0)</x:f>
        <x:v>2</x:v>
      </x:c>
      <x:c r="V2291" s="19" t="n">
        <x:f>M2291+IF(AND(S2291=1,J2291=2),1,0)</x:f>
        <x:v>1</x:v>
      </x:c>
      <x:c r="W2291" s="19" t="n">
        <x:f>SUM(T2291:V2291)</x:f>
        <x:v>8</x:v>
      </x:c>
      <x:c r="X2291" s="19" t="n">
        <x:f>W2291-G2291</x:f>
        <x:v>0</x:v>
      </x:c>
      <x:c r="Y2291" s="19" t="n">
        <x:f>MAX(T2291,1)+MAX(U2291,1)+MAX(V2291,1)</x:f>
        <x:v>8</x:v>
      </x:c>
      <x:c r="Z2291" s="21" t="str">
        <x:f>IF(AND(MIN(D2291:F2291)&gt;=0,MAX(D2291:F2291)&lt;=7,MAX(D2291,1)+MAX(E2291,1)+MAX(F2291,1)&lt;=9,OR(H2291="-",AND(H2291=0,D2291&gt;0),AND(H2291=1,E2291&gt;0),AND(H2291=2,F2291&gt;0)),OR(I2291=0,AND(I2291=1,OR(J2291=0,J2291=1,J2291=2),R2291&lt;&gt;"000")),Y2291&lt;=9,MIN(T2291:V2291)&gt;=0),"合法","输入违约")</x:f>
        <x:v>合法</x:v>
      </x:c>
    </x:row>
    <x:row r="2292" ht="23" customHeight="1">
      <x:c r="A2292" s="3" t="str">
        <x:v>CT-2285</x:v>
      </x:c>
      <x:c r="B2292" s="3" t="str">
        <x:v>ST-187</x:v>
      </x:c>
      <x:c r="C2292" s="3" t="str">
        <x:v>无AR/R</x:v>
      </x:c>
      <x:c r="D2292" s="25" t="n">
        <x:v>5</x:v>
      </x:c>
      <x:c r="E2292" s="25" t="n">
        <x:v>3</x:v>
      </x:c>
      <x:c r="F2292" s="25" t="n">
        <x:v>1</x:v>
      </x:c>
      <x:c r="G2292" s="19" t="n">
        <x:f>SUM(D2292:F2292)</x:f>
        <x:v>9</x:v>
      </x:c>
      <x:c r="H2292" s="25" t="str">
        <x:v>-</x:v>
      </x:c>
      <x:c r="I2292" s="25" t="n">
        <x:v>0</x:v>
      </x:c>
      <x:c r="J2292" s="25" t="str">
        <x:v>-</x:v>
      </x:c>
      <x:c r="K2292" s="19" t="n">
        <x:f>D2292-IF(H2292=0,1,0)</x:f>
        <x:v>5</x:v>
      </x:c>
      <x:c r="L2292" s="19" t="n">
        <x:f>E2292-IF(H2292=1,1,0)</x:f>
        <x:v>3</x:v>
      </x:c>
      <x:c r="M2292" s="19" t="n">
        <x:f>F2292-IF(H2292=2,1,0)</x:f>
        <x:v>1</x:v>
      </x:c>
      <x:c r="N2292" s="19" t="n">
        <x:f>MAX(K2292-1,0)+MAX(L2292-1,0)+MAX(M2292-1,0)</x:f>
        <x:v>6</x:v>
      </x:c>
      <x:c r="O2292" s="19" t="n">
        <x:f>IF(AND(SUM(K2292:M2292)&lt;9,OR(M2292=0,N2292&lt;6)),1,0)</x:f>
        <x:v>0</x:v>
      </x:c>
      <x:c r="P2292" s="19" t="n">
        <x:f>IF(AND(SUM(K2292:M2292)&lt;9,OR(L2292=0,N2292&lt;6)),1,0)</x:f>
        <x:v>0</x:v>
      </x:c>
      <x:c r="Q2292" s="19" t="n">
        <x:f>IF(AND(SUM(K2292:M2292)&lt;9,OR(K2292=0,N2292&lt;6)),1,0)</x:f>
        <x:v>0</x:v>
      </x:c>
      <x:c r="R2292" s="22" t="str">
        <x:f>O2292&amp;P2292&amp;Q2292</x:f>
        <x:v>000</x:v>
      </x:c>
      <x:c r="S2292" s="19" t="n">
        <x:f>IF(I2292=1,IF(J2292=0,Q2292,IF(J2292=1,P2292,IF(J2292=2,O2292,0))),0)</x:f>
        <x:v>0</x:v>
      </x:c>
      <x:c r="T2292" s="19" t="n">
        <x:f>K2292+IF(AND(S2292=1,J2292=0),1,0)</x:f>
        <x:v>5</x:v>
      </x:c>
      <x:c r="U2292" s="19" t="n">
        <x:f>L2292+IF(AND(S2292=1,J2292=1),1,0)</x:f>
        <x:v>3</x:v>
      </x:c>
      <x:c r="V2292" s="19" t="n">
        <x:f>M2292+IF(AND(S2292=1,J2292=2),1,0)</x:f>
        <x:v>1</x:v>
      </x:c>
      <x:c r="W2292" s="19" t="n">
        <x:f>SUM(T2292:V2292)</x:f>
        <x:v>9</x:v>
      </x:c>
      <x:c r="X2292" s="19" t="n">
        <x:f>W2292-G2292</x:f>
        <x:v>0</x:v>
      </x:c>
      <x:c r="Y2292" s="19" t="n">
        <x:f>MAX(T2292,1)+MAX(U2292,1)+MAX(V2292,1)</x:f>
        <x:v>9</x:v>
      </x:c>
      <x:c r="Z2292" s="21" t="str">
        <x:f>IF(AND(MIN(D2292:F2292)&gt;=0,MAX(D2292:F2292)&lt;=7,MAX(D2292,1)+MAX(E2292,1)+MAX(F2292,1)&lt;=9,OR(H2292="-",AND(H2292=0,D2292&gt;0),AND(H2292=1,E2292&gt;0),AND(H2292=2,F2292&gt;0)),OR(I2292=0,AND(I2292=1,OR(J2292=0,J2292=1,J2292=2),R2292&lt;&gt;"000")),Y2292&lt;=9,MIN(T2292:V2292)&gt;=0),"合法","输入违约")</x:f>
        <x:v>合法</x:v>
      </x:c>
    </x:row>
    <x:row r="2293" ht="23" customHeight="1">
      <x:c r="A2293" s="3" t="str">
        <x:v>CT-2286</x:v>
      </x:c>
      <x:c r="B2293" s="3" t="str">
        <x:v>ST-187</x:v>
      </x:c>
      <x:c r="C2293" s="3" t="str">
        <x:v>仅R回收</x:v>
      </x:c>
      <x:c r="D2293" s="25" t="n">
        <x:v>5</x:v>
      </x:c>
      <x:c r="E2293" s="25" t="n">
        <x:v>3</x:v>
      </x:c>
      <x:c r="F2293" s="25" t="n">
        <x:v>1</x:v>
      </x:c>
      <x:c r="G2293" s="19" t="n">
        <x:f>SUM(D2293:F2293)</x:f>
        <x:v>9</x:v>
      </x:c>
      <x:c r="H2293" s="25" t="n">
        <x:v>0</x:v>
      </x:c>
      <x:c r="I2293" s="25" t="n">
        <x:v>0</x:v>
      </x:c>
      <x:c r="J2293" s="25" t="str">
        <x:v>-</x:v>
      </x:c>
      <x:c r="K2293" s="19" t="n">
        <x:f>D2293-IF(H2293=0,1,0)</x:f>
        <x:v>4</x:v>
      </x:c>
      <x:c r="L2293" s="19" t="n">
        <x:f>E2293-IF(H2293=1,1,0)</x:f>
        <x:v>3</x:v>
      </x:c>
      <x:c r="M2293" s="19" t="n">
        <x:f>F2293-IF(H2293=2,1,0)</x:f>
        <x:v>1</x:v>
      </x:c>
      <x:c r="N2293" s="19" t="n">
        <x:f>MAX(K2293-1,0)+MAX(L2293-1,0)+MAX(M2293-1,0)</x:f>
        <x:v>5</x:v>
      </x:c>
      <x:c r="O2293" s="19" t="n">
        <x:f>IF(AND(SUM(K2293:M2293)&lt;9,OR(M2293=0,N2293&lt;6)),1,0)</x:f>
        <x:v>1</x:v>
      </x:c>
      <x:c r="P2293" s="19" t="n">
        <x:f>IF(AND(SUM(K2293:M2293)&lt;9,OR(L2293=0,N2293&lt;6)),1,0)</x:f>
        <x:v>1</x:v>
      </x:c>
      <x:c r="Q2293" s="19" t="n">
        <x:f>IF(AND(SUM(K2293:M2293)&lt;9,OR(K2293=0,N2293&lt;6)),1,0)</x:f>
        <x:v>1</x:v>
      </x:c>
      <x:c r="R2293" s="22" t="str">
        <x:f>O2293&amp;P2293&amp;Q2293</x:f>
        <x:v>111</x:v>
      </x:c>
      <x:c r="S2293" s="19" t="n">
        <x:f>IF(I2293=1,IF(J2293=0,Q2293,IF(J2293=1,P2293,IF(J2293=2,O2293,0))),0)</x:f>
        <x:v>0</x:v>
      </x:c>
      <x:c r="T2293" s="19" t="n">
        <x:f>K2293+IF(AND(S2293=1,J2293=0),1,0)</x:f>
        <x:v>4</x:v>
      </x:c>
      <x:c r="U2293" s="19" t="n">
        <x:f>L2293+IF(AND(S2293=1,J2293=1),1,0)</x:f>
        <x:v>3</x:v>
      </x:c>
      <x:c r="V2293" s="19" t="n">
        <x:f>M2293+IF(AND(S2293=1,J2293=2),1,0)</x:f>
        <x:v>1</x:v>
      </x:c>
      <x:c r="W2293" s="19" t="n">
        <x:f>SUM(T2293:V2293)</x:f>
        <x:v>8</x:v>
      </x:c>
      <x:c r="X2293" s="19" t="n">
        <x:f>W2293-G2293</x:f>
        <x:v>-1</x:v>
      </x:c>
      <x:c r="Y2293" s="19" t="n">
        <x:f>MAX(T2293,1)+MAX(U2293,1)+MAX(V2293,1)</x:f>
        <x:v>8</x:v>
      </x:c>
      <x:c r="Z2293" s="21" t="str">
        <x:f>IF(AND(MIN(D2293:F2293)&gt;=0,MAX(D2293:F2293)&lt;=7,MAX(D2293,1)+MAX(E2293,1)+MAX(F2293,1)&lt;=9,OR(H2293="-",AND(H2293=0,D2293&gt;0),AND(H2293=1,E2293&gt;0),AND(H2293=2,F2293&gt;0)),OR(I2293=0,AND(I2293=1,OR(J2293=0,J2293=1,J2293=2),R2293&lt;&gt;"000")),Y2293&lt;=9,MIN(T2293:V2293)&gt;=0),"合法","输入违约")</x:f>
        <x:v>合法</x:v>
      </x:c>
    </x:row>
    <x:row r="2294" ht="23" customHeight="1">
      <x:c r="A2294" s="3" t="str">
        <x:v>CT-2287</x:v>
      </x:c>
      <x:c r="B2294" s="3" t="str">
        <x:v>ST-187</x:v>
      </x:c>
      <x:c r="C2294" s="3" t="str">
        <x:v>R+AR同收同发</x:v>
      </x:c>
      <x:c r="D2294" s="25" t="n">
        <x:v>5</x:v>
      </x:c>
      <x:c r="E2294" s="25" t="n">
        <x:v>3</x:v>
      </x:c>
      <x:c r="F2294" s="25" t="n">
        <x:v>1</x:v>
      </x:c>
      <x:c r="G2294" s="19" t="n">
        <x:f>SUM(D2294:F2294)</x:f>
        <x:v>9</x:v>
      </x:c>
      <x:c r="H2294" s="25" t="n">
        <x:v>0</x:v>
      </x:c>
      <x:c r="I2294" s="25" t="n">
        <x:v>1</x:v>
      </x:c>
      <x:c r="J2294" s="25" t="n">
        <x:v>0</x:v>
      </x:c>
      <x:c r="K2294" s="19" t="n">
        <x:f>D2294-IF(H2294=0,1,0)</x:f>
        <x:v>4</x:v>
      </x:c>
      <x:c r="L2294" s="19" t="n">
        <x:f>E2294-IF(H2294=1,1,0)</x:f>
        <x:v>3</x:v>
      </x:c>
      <x:c r="M2294" s="19" t="n">
        <x:f>F2294-IF(H2294=2,1,0)</x:f>
        <x:v>1</x:v>
      </x:c>
      <x:c r="N2294" s="19" t="n">
        <x:f>MAX(K2294-1,0)+MAX(L2294-1,0)+MAX(M2294-1,0)</x:f>
        <x:v>5</x:v>
      </x:c>
      <x:c r="O2294" s="19" t="n">
        <x:f>IF(AND(SUM(K2294:M2294)&lt;9,OR(M2294=0,N2294&lt;6)),1,0)</x:f>
        <x:v>1</x:v>
      </x:c>
      <x:c r="P2294" s="19" t="n">
        <x:f>IF(AND(SUM(K2294:M2294)&lt;9,OR(L2294=0,N2294&lt;6)),1,0)</x:f>
        <x:v>1</x:v>
      </x:c>
      <x:c r="Q2294" s="19" t="n">
        <x:f>IF(AND(SUM(K2294:M2294)&lt;9,OR(K2294=0,N2294&lt;6)),1,0)</x:f>
        <x:v>1</x:v>
      </x:c>
      <x:c r="R2294" s="22" t="str">
        <x:f>O2294&amp;P2294&amp;Q2294</x:f>
        <x:v>111</x:v>
      </x:c>
      <x:c r="S2294" s="19" t="n">
        <x:f>IF(I2294=1,IF(J2294=0,Q2294,IF(J2294=1,P2294,IF(J2294=2,O2294,0))),0)</x:f>
        <x:v>1</x:v>
      </x:c>
      <x:c r="T2294" s="19" t="n">
        <x:f>K2294+IF(AND(S2294=1,J2294=0),1,0)</x:f>
        <x:v>5</x:v>
      </x:c>
      <x:c r="U2294" s="19" t="n">
        <x:f>L2294+IF(AND(S2294=1,J2294=1),1,0)</x:f>
        <x:v>3</x:v>
      </x:c>
      <x:c r="V2294" s="19" t="n">
        <x:f>M2294+IF(AND(S2294=1,J2294=2),1,0)</x:f>
        <x:v>1</x:v>
      </x:c>
      <x:c r="W2294" s="19" t="n">
        <x:f>SUM(T2294:V2294)</x:f>
        <x:v>9</x:v>
      </x:c>
      <x:c r="X2294" s="19" t="n">
        <x:f>W2294-G2294</x:f>
        <x:v>0</x:v>
      </x:c>
      <x:c r="Y2294" s="19" t="n">
        <x:f>MAX(T2294,1)+MAX(U2294,1)+MAX(V2294,1)</x:f>
        <x:v>9</x:v>
      </x:c>
      <x:c r="Z2294" s="21" t="str">
        <x:f>IF(AND(MIN(D2294:F2294)&gt;=0,MAX(D2294:F2294)&lt;=7,MAX(D2294,1)+MAX(E2294,1)+MAX(F2294,1)&lt;=9,OR(H2294="-",AND(H2294=0,D2294&gt;0),AND(H2294=1,E2294&gt;0),AND(H2294=2,F2294&gt;0)),OR(I2294=0,AND(I2294=1,OR(J2294=0,J2294=1,J2294=2),R2294&lt;&gt;"000")),Y2294&lt;=9,MIN(T2294:V2294)&gt;=0),"合法","输入违约")</x:f>
        <x:v>合法</x:v>
      </x:c>
    </x:row>
    <x:row r="2295" ht="23" customHeight="1">
      <x:c r="A2295" s="3" t="str">
        <x:v>CT-2288</x:v>
      </x:c>
      <x:c r="B2295" s="3" t="str">
        <x:v>ST-187</x:v>
      </x:c>
      <x:c r="C2295" s="3" t="str">
        <x:v>R+AR同收同发</x:v>
      </x:c>
      <x:c r="D2295" s="25" t="n">
        <x:v>5</x:v>
      </x:c>
      <x:c r="E2295" s="25" t="n">
        <x:v>3</x:v>
      </x:c>
      <x:c r="F2295" s="25" t="n">
        <x:v>1</x:v>
      </x:c>
      <x:c r="G2295" s="19" t="n">
        <x:f>SUM(D2295:F2295)</x:f>
        <x:v>9</x:v>
      </x:c>
      <x:c r="H2295" s="25" t="n">
        <x:v>0</x:v>
      </x:c>
      <x:c r="I2295" s="25" t="n">
        <x:v>1</x:v>
      </x:c>
      <x:c r="J2295" s="25" t="n">
        <x:v>1</x:v>
      </x:c>
      <x:c r="K2295" s="19" t="n">
        <x:f>D2295-IF(H2295=0,1,0)</x:f>
        <x:v>4</x:v>
      </x:c>
      <x:c r="L2295" s="19" t="n">
        <x:f>E2295-IF(H2295=1,1,0)</x:f>
        <x:v>3</x:v>
      </x:c>
      <x:c r="M2295" s="19" t="n">
        <x:f>F2295-IF(H2295=2,1,0)</x:f>
        <x:v>1</x:v>
      </x:c>
      <x:c r="N2295" s="19" t="n">
        <x:f>MAX(K2295-1,0)+MAX(L2295-1,0)+MAX(M2295-1,0)</x:f>
        <x:v>5</x:v>
      </x:c>
      <x:c r="O2295" s="19" t="n">
        <x:f>IF(AND(SUM(K2295:M2295)&lt;9,OR(M2295=0,N2295&lt;6)),1,0)</x:f>
        <x:v>1</x:v>
      </x:c>
      <x:c r="P2295" s="19" t="n">
        <x:f>IF(AND(SUM(K2295:M2295)&lt;9,OR(L2295=0,N2295&lt;6)),1,0)</x:f>
        <x:v>1</x:v>
      </x:c>
      <x:c r="Q2295" s="19" t="n">
        <x:f>IF(AND(SUM(K2295:M2295)&lt;9,OR(K2295=0,N2295&lt;6)),1,0)</x:f>
        <x:v>1</x:v>
      </x:c>
      <x:c r="R2295" s="22" t="str">
        <x:f>O2295&amp;P2295&amp;Q2295</x:f>
        <x:v>111</x:v>
      </x:c>
      <x:c r="S2295" s="19" t="n">
        <x:f>IF(I2295=1,IF(J2295=0,Q2295,IF(J2295=1,P2295,IF(J2295=2,O2295,0))),0)</x:f>
        <x:v>1</x:v>
      </x:c>
      <x:c r="T2295" s="19" t="n">
        <x:f>K2295+IF(AND(S2295=1,J2295=0),1,0)</x:f>
        <x:v>4</x:v>
      </x:c>
      <x:c r="U2295" s="19" t="n">
        <x:f>L2295+IF(AND(S2295=1,J2295=1),1,0)</x:f>
        <x:v>4</x:v>
      </x:c>
      <x:c r="V2295" s="19" t="n">
        <x:f>M2295+IF(AND(S2295=1,J2295=2),1,0)</x:f>
        <x:v>1</x:v>
      </x:c>
      <x:c r="W2295" s="19" t="n">
        <x:f>SUM(T2295:V2295)</x:f>
        <x:v>9</x:v>
      </x:c>
      <x:c r="X2295" s="19" t="n">
        <x:f>W2295-G2295</x:f>
        <x:v>0</x:v>
      </x:c>
      <x:c r="Y2295" s="19" t="n">
        <x:f>MAX(T2295,1)+MAX(U2295,1)+MAX(V2295,1)</x:f>
        <x:v>9</x:v>
      </x:c>
      <x:c r="Z2295" s="21" t="str">
        <x:f>IF(AND(MIN(D2295:F2295)&gt;=0,MAX(D2295:F2295)&lt;=7,MAX(D2295,1)+MAX(E2295,1)+MAX(F2295,1)&lt;=9,OR(H2295="-",AND(H2295=0,D2295&gt;0),AND(H2295=1,E2295&gt;0),AND(H2295=2,F2295&gt;0)),OR(I2295=0,AND(I2295=1,OR(J2295=0,J2295=1,J2295=2),R2295&lt;&gt;"000")),Y2295&lt;=9,MIN(T2295:V2295)&gt;=0),"合法","输入违约")</x:f>
        <x:v>合法</x:v>
      </x:c>
    </x:row>
    <x:row r="2296" ht="23" customHeight="1">
      <x:c r="A2296" s="3" t="str">
        <x:v>CT-2289</x:v>
      </x:c>
      <x:c r="B2296" s="3" t="str">
        <x:v>ST-187</x:v>
      </x:c>
      <x:c r="C2296" s="3" t="str">
        <x:v>R+AR同收同发</x:v>
      </x:c>
      <x:c r="D2296" s="25" t="n">
        <x:v>5</x:v>
      </x:c>
      <x:c r="E2296" s="25" t="n">
        <x:v>3</x:v>
      </x:c>
      <x:c r="F2296" s="25" t="n">
        <x:v>1</x:v>
      </x:c>
      <x:c r="G2296" s="19" t="n">
        <x:f>SUM(D2296:F2296)</x:f>
        <x:v>9</x:v>
      </x:c>
      <x:c r="H2296" s="25" t="n">
        <x:v>0</x:v>
      </x:c>
      <x:c r="I2296" s="25" t="n">
        <x:v>1</x:v>
      </x:c>
      <x:c r="J2296" s="25" t="n">
        <x:v>2</x:v>
      </x:c>
      <x:c r="K2296" s="19" t="n">
        <x:f>D2296-IF(H2296=0,1,0)</x:f>
        <x:v>4</x:v>
      </x:c>
      <x:c r="L2296" s="19" t="n">
        <x:f>E2296-IF(H2296=1,1,0)</x:f>
        <x:v>3</x:v>
      </x:c>
      <x:c r="M2296" s="19" t="n">
        <x:f>F2296-IF(H2296=2,1,0)</x:f>
        <x:v>1</x:v>
      </x:c>
      <x:c r="N2296" s="19" t="n">
        <x:f>MAX(K2296-1,0)+MAX(L2296-1,0)+MAX(M2296-1,0)</x:f>
        <x:v>5</x:v>
      </x:c>
      <x:c r="O2296" s="19" t="n">
        <x:f>IF(AND(SUM(K2296:M2296)&lt;9,OR(M2296=0,N2296&lt;6)),1,0)</x:f>
        <x:v>1</x:v>
      </x:c>
      <x:c r="P2296" s="19" t="n">
        <x:f>IF(AND(SUM(K2296:M2296)&lt;9,OR(L2296=0,N2296&lt;6)),1,0)</x:f>
        <x:v>1</x:v>
      </x:c>
      <x:c r="Q2296" s="19" t="n">
        <x:f>IF(AND(SUM(K2296:M2296)&lt;9,OR(K2296=0,N2296&lt;6)),1,0)</x:f>
        <x:v>1</x:v>
      </x:c>
      <x:c r="R2296" s="22" t="str">
        <x:f>O2296&amp;P2296&amp;Q2296</x:f>
        <x:v>111</x:v>
      </x:c>
      <x:c r="S2296" s="19" t="n">
        <x:f>IF(I2296=1,IF(J2296=0,Q2296,IF(J2296=1,P2296,IF(J2296=2,O2296,0))),0)</x:f>
        <x:v>1</x:v>
      </x:c>
      <x:c r="T2296" s="19" t="n">
        <x:f>K2296+IF(AND(S2296=1,J2296=0),1,0)</x:f>
        <x:v>4</x:v>
      </x:c>
      <x:c r="U2296" s="19" t="n">
        <x:f>L2296+IF(AND(S2296=1,J2296=1),1,0)</x:f>
        <x:v>3</x:v>
      </x:c>
      <x:c r="V2296" s="19" t="n">
        <x:f>M2296+IF(AND(S2296=1,J2296=2),1,0)</x:f>
        <x:v>2</x:v>
      </x:c>
      <x:c r="W2296" s="19" t="n">
        <x:f>SUM(T2296:V2296)</x:f>
        <x:v>9</x:v>
      </x:c>
      <x:c r="X2296" s="19" t="n">
        <x:f>W2296-G2296</x:f>
        <x:v>0</x:v>
      </x:c>
      <x:c r="Y2296" s="19" t="n">
        <x:f>MAX(T2296,1)+MAX(U2296,1)+MAX(V2296,1)</x:f>
        <x:v>9</x:v>
      </x:c>
      <x:c r="Z2296" s="21" t="str">
        <x:f>IF(AND(MIN(D2296:F2296)&gt;=0,MAX(D2296:F2296)&lt;=7,MAX(D2296,1)+MAX(E2296,1)+MAX(F2296,1)&lt;=9,OR(H2296="-",AND(H2296=0,D2296&gt;0),AND(H2296=1,E2296&gt;0),AND(H2296=2,F2296&gt;0)),OR(I2296=0,AND(I2296=1,OR(J2296=0,J2296=1,J2296=2),R2296&lt;&gt;"000")),Y2296&lt;=9,MIN(T2296:V2296)&gt;=0),"合法","输入违约")</x:f>
        <x:v>合法</x:v>
      </x:c>
    </x:row>
    <x:row r="2297" ht="23" customHeight="1">
      <x:c r="A2297" s="3" t="str">
        <x:v>CT-2290</x:v>
      </x:c>
      <x:c r="B2297" s="3" t="str">
        <x:v>ST-187</x:v>
      </x:c>
      <x:c r="C2297" s="3" t="str">
        <x:v>仅R回收</x:v>
      </x:c>
      <x:c r="D2297" s="25" t="n">
        <x:v>5</x:v>
      </x:c>
      <x:c r="E2297" s="25" t="n">
        <x:v>3</x:v>
      </x:c>
      <x:c r="F2297" s="25" t="n">
        <x:v>1</x:v>
      </x:c>
      <x:c r="G2297" s="19" t="n">
        <x:f>SUM(D2297:F2297)</x:f>
        <x:v>9</x:v>
      </x:c>
      <x:c r="H2297" s="25" t="n">
        <x:v>1</x:v>
      </x:c>
      <x:c r="I2297" s="25" t="n">
        <x:v>0</x:v>
      </x:c>
      <x:c r="J2297" s="25" t="str">
        <x:v>-</x:v>
      </x:c>
      <x:c r="K2297" s="19" t="n">
        <x:f>D2297-IF(H2297=0,1,0)</x:f>
        <x:v>5</x:v>
      </x:c>
      <x:c r="L2297" s="19" t="n">
        <x:f>E2297-IF(H2297=1,1,0)</x:f>
        <x:v>2</x:v>
      </x:c>
      <x:c r="M2297" s="19" t="n">
        <x:f>F2297-IF(H2297=2,1,0)</x:f>
        <x:v>1</x:v>
      </x:c>
      <x:c r="N2297" s="19" t="n">
        <x:f>MAX(K2297-1,0)+MAX(L2297-1,0)+MAX(M2297-1,0)</x:f>
        <x:v>5</x:v>
      </x:c>
      <x:c r="O2297" s="19" t="n">
        <x:f>IF(AND(SUM(K2297:M2297)&lt;9,OR(M2297=0,N2297&lt;6)),1,0)</x:f>
        <x:v>1</x:v>
      </x:c>
      <x:c r="P2297" s="19" t="n">
        <x:f>IF(AND(SUM(K2297:M2297)&lt;9,OR(L2297=0,N2297&lt;6)),1,0)</x:f>
        <x:v>1</x:v>
      </x:c>
      <x:c r="Q2297" s="19" t="n">
        <x:f>IF(AND(SUM(K2297:M2297)&lt;9,OR(K2297=0,N2297&lt;6)),1,0)</x:f>
        <x:v>1</x:v>
      </x:c>
      <x:c r="R2297" s="22" t="str">
        <x:f>O2297&amp;P2297&amp;Q2297</x:f>
        <x:v>111</x:v>
      </x:c>
      <x:c r="S2297" s="19" t="n">
        <x:f>IF(I2297=1,IF(J2297=0,Q2297,IF(J2297=1,P2297,IF(J2297=2,O2297,0))),0)</x:f>
        <x:v>0</x:v>
      </x:c>
      <x:c r="T2297" s="19" t="n">
        <x:f>K2297+IF(AND(S2297=1,J2297=0),1,0)</x:f>
        <x:v>5</x:v>
      </x:c>
      <x:c r="U2297" s="19" t="n">
        <x:f>L2297+IF(AND(S2297=1,J2297=1),1,0)</x:f>
        <x:v>2</x:v>
      </x:c>
      <x:c r="V2297" s="19" t="n">
        <x:f>M2297+IF(AND(S2297=1,J2297=2),1,0)</x:f>
        <x:v>1</x:v>
      </x:c>
      <x:c r="W2297" s="19" t="n">
        <x:f>SUM(T2297:V2297)</x:f>
        <x:v>8</x:v>
      </x:c>
      <x:c r="X2297" s="19" t="n">
        <x:f>W2297-G2297</x:f>
        <x:v>-1</x:v>
      </x:c>
      <x:c r="Y2297" s="19" t="n">
        <x:f>MAX(T2297,1)+MAX(U2297,1)+MAX(V2297,1)</x:f>
        <x:v>8</x:v>
      </x:c>
      <x:c r="Z2297" s="21" t="str">
        <x:f>IF(AND(MIN(D2297:F2297)&gt;=0,MAX(D2297:F2297)&lt;=7,MAX(D2297,1)+MAX(E2297,1)+MAX(F2297,1)&lt;=9,OR(H2297="-",AND(H2297=0,D2297&gt;0),AND(H2297=1,E2297&gt;0),AND(H2297=2,F2297&gt;0)),OR(I2297=0,AND(I2297=1,OR(J2297=0,J2297=1,J2297=2),R2297&lt;&gt;"000")),Y2297&lt;=9,MIN(T2297:V2297)&gt;=0),"合法","输入违约")</x:f>
        <x:v>合法</x:v>
      </x:c>
    </x:row>
    <x:row r="2298" ht="23" customHeight="1">
      <x:c r="A2298" s="3" t="str">
        <x:v>CT-2291</x:v>
      </x:c>
      <x:c r="B2298" s="3" t="str">
        <x:v>ST-187</x:v>
      </x:c>
      <x:c r="C2298" s="3" t="str">
        <x:v>R+AR同收同发</x:v>
      </x:c>
      <x:c r="D2298" s="25" t="n">
        <x:v>5</x:v>
      </x:c>
      <x:c r="E2298" s="25" t="n">
        <x:v>3</x:v>
      </x:c>
      <x:c r="F2298" s="25" t="n">
        <x:v>1</x:v>
      </x:c>
      <x:c r="G2298" s="19" t="n">
        <x:f>SUM(D2298:F2298)</x:f>
        <x:v>9</x:v>
      </x:c>
      <x:c r="H2298" s="25" t="n">
        <x:v>1</x:v>
      </x:c>
      <x:c r="I2298" s="25" t="n">
        <x:v>1</x:v>
      </x:c>
      <x:c r="J2298" s="25" t="n">
        <x:v>0</x:v>
      </x:c>
      <x:c r="K2298" s="19" t="n">
        <x:f>D2298-IF(H2298=0,1,0)</x:f>
        <x:v>5</x:v>
      </x:c>
      <x:c r="L2298" s="19" t="n">
        <x:f>E2298-IF(H2298=1,1,0)</x:f>
        <x:v>2</x:v>
      </x:c>
      <x:c r="M2298" s="19" t="n">
        <x:f>F2298-IF(H2298=2,1,0)</x:f>
        <x:v>1</x:v>
      </x:c>
      <x:c r="N2298" s="19" t="n">
        <x:f>MAX(K2298-1,0)+MAX(L2298-1,0)+MAX(M2298-1,0)</x:f>
        <x:v>5</x:v>
      </x:c>
      <x:c r="O2298" s="19" t="n">
        <x:f>IF(AND(SUM(K2298:M2298)&lt;9,OR(M2298=0,N2298&lt;6)),1,0)</x:f>
        <x:v>1</x:v>
      </x:c>
      <x:c r="P2298" s="19" t="n">
        <x:f>IF(AND(SUM(K2298:M2298)&lt;9,OR(L2298=0,N2298&lt;6)),1,0)</x:f>
        <x:v>1</x:v>
      </x:c>
      <x:c r="Q2298" s="19" t="n">
        <x:f>IF(AND(SUM(K2298:M2298)&lt;9,OR(K2298=0,N2298&lt;6)),1,0)</x:f>
        <x:v>1</x:v>
      </x:c>
      <x:c r="R2298" s="22" t="str">
        <x:f>O2298&amp;P2298&amp;Q2298</x:f>
        <x:v>111</x:v>
      </x:c>
      <x:c r="S2298" s="19" t="n">
        <x:f>IF(I2298=1,IF(J2298=0,Q2298,IF(J2298=1,P2298,IF(J2298=2,O2298,0))),0)</x:f>
        <x:v>1</x:v>
      </x:c>
      <x:c r="T2298" s="19" t="n">
        <x:f>K2298+IF(AND(S2298=1,J2298=0),1,0)</x:f>
        <x:v>6</x:v>
      </x:c>
      <x:c r="U2298" s="19" t="n">
        <x:f>L2298+IF(AND(S2298=1,J2298=1),1,0)</x:f>
        <x:v>2</x:v>
      </x:c>
      <x:c r="V2298" s="19" t="n">
        <x:f>M2298+IF(AND(S2298=1,J2298=2),1,0)</x:f>
        <x:v>1</x:v>
      </x:c>
      <x:c r="W2298" s="19" t="n">
        <x:f>SUM(T2298:V2298)</x:f>
        <x:v>9</x:v>
      </x:c>
      <x:c r="X2298" s="19" t="n">
        <x:f>W2298-G2298</x:f>
        <x:v>0</x:v>
      </x:c>
      <x:c r="Y2298" s="19" t="n">
        <x:f>MAX(T2298,1)+MAX(U2298,1)+MAX(V2298,1)</x:f>
        <x:v>9</x:v>
      </x:c>
      <x:c r="Z2298" s="21" t="str">
        <x:f>IF(AND(MIN(D2298:F2298)&gt;=0,MAX(D2298:F2298)&lt;=7,MAX(D2298,1)+MAX(E2298,1)+MAX(F2298,1)&lt;=9,OR(H2298="-",AND(H2298=0,D2298&gt;0),AND(H2298=1,E2298&gt;0),AND(H2298=2,F2298&gt;0)),OR(I2298=0,AND(I2298=1,OR(J2298=0,J2298=1,J2298=2),R2298&lt;&gt;"000")),Y2298&lt;=9,MIN(T2298:V2298)&gt;=0),"合法","输入违约")</x:f>
        <x:v>合法</x:v>
      </x:c>
    </x:row>
    <x:row r="2299" ht="23" customHeight="1">
      <x:c r="A2299" s="3" t="str">
        <x:v>CT-2292</x:v>
      </x:c>
      <x:c r="B2299" s="3" t="str">
        <x:v>ST-187</x:v>
      </x:c>
      <x:c r="C2299" s="3" t="str">
        <x:v>R+AR同收同发</x:v>
      </x:c>
      <x:c r="D2299" s="25" t="n">
        <x:v>5</x:v>
      </x:c>
      <x:c r="E2299" s="25" t="n">
        <x:v>3</x:v>
      </x:c>
      <x:c r="F2299" s="25" t="n">
        <x:v>1</x:v>
      </x:c>
      <x:c r="G2299" s="19" t="n">
        <x:f>SUM(D2299:F2299)</x:f>
        <x:v>9</x:v>
      </x:c>
      <x:c r="H2299" s="25" t="n">
        <x:v>1</x:v>
      </x:c>
      <x:c r="I2299" s="25" t="n">
        <x:v>1</x:v>
      </x:c>
      <x:c r="J2299" s="25" t="n">
        <x:v>1</x:v>
      </x:c>
      <x:c r="K2299" s="19" t="n">
        <x:f>D2299-IF(H2299=0,1,0)</x:f>
        <x:v>5</x:v>
      </x:c>
      <x:c r="L2299" s="19" t="n">
        <x:f>E2299-IF(H2299=1,1,0)</x:f>
        <x:v>2</x:v>
      </x:c>
      <x:c r="M2299" s="19" t="n">
        <x:f>F2299-IF(H2299=2,1,0)</x:f>
        <x:v>1</x:v>
      </x:c>
      <x:c r="N2299" s="19" t="n">
        <x:f>MAX(K2299-1,0)+MAX(L2299-1,0)+MAX(M2299-1,0)</x:f>
        <x:v>5</x:v>
      </x:c>
      <x:c r="O2299" s="19" t="n">
        <x:f>IF(AND(SUM(K2299:M2299)&lt;9,OR(M2299=0,N2299&lt;6)),1,0)</x:f>
        <x:v>1</x:v>
      </x:c>
      <x:c r="P2299" s="19" t="n">
        <x:f>IF(AND(SUM(K2299:M2299)&lt;9,OR(L2299=0,N2299&lt;6)),1,0)</x:f>
        <x:v>1</x:v>
      </x:c>
      <x:c r="Q2299" s="19" t="n">
        <x:f>IF(AND(SUM(K2299:M2299)&lt;9,OR(K2299=0,N2299&lt;6)),1,0)</x:f>
        <x:v>1</x:v>
      </x:c>
      <x:c r="R2299" s="22" t="str">
        <x:f>O2299&amp;P2299&amp;Q2299</x:f>
        <x:v>111</x:v>
      </x:c>
      <x:c r="S2299" s="19" t="n">
        <x:f>IF(I2299=1,IF(J2299=0,Q2299,IF(J2299=1,P2299,IF(J2299=2,O2299,0))),0)</x:f>
        <x:v>1</x:v>
      </x:c>
      <x:c r="T2299" s="19" t="n">
        <x:f>K2299+IF(AND(S2299=1,J2299=0),1,0)</x:f>
        <x:v>5</x:v>
      </x:c>
      <x:c r="U2299" s="19" t="n">
        <x:f>L2299+IF(AND(S2299=1,J2299=1),1,0)</x:f>
        <x:v>3</x:v>
      </x:c>
      <x:c r="V2299" s="19" t="n">
        <x:f>M2299+IF(AND(S2299=1,J2299=2),1,0)</x:f>
        <x:v>1</x:v>
      </x:c>
      <x:c r="W2299" s="19" t="n">
        <x:f>SUM(T2299:V2299)</x:f>
        <x:v>9</x:v>
      </x:c>
      <x:c r="X2299" s="19" t="n">
        <x:f>W2299-G2299</x:f>
        <x:v>0</x:v>
      </x:c>
      <x:c r="Y2299" s="19" t="n">
        <x:f>MAX(T2299,1)+MAX(U2299,1)+MAX(V2299,1)</x:f>
        <x:v>9</x:v>
      </x:c>
      <x:c r="Z2299" s="21" t="str">
        <x:f>IF(AND(MIN(D2299:F2299)&gt;=0,MAX(D2299:F2299)&lt;=7,MAX(D2299,1)+MAX(E2299,1)+MAX(F2299,1)&lt;=9,OR(H2299="-",AND(H2299=0,D2299&gt;0),AND(H2299=1,E2299&gt;0),AND(H2299=2,F2299&gt;0)),OR(I2299=0,AND(I2299=1,OR(J2299=0,J2299=1,J2299=2),R2299&lt;&gt;"000")),Y2299&lt;=9,MIN(T2299:V2299)&gt;=0),"合法","输入违约")</x:f>
        <x:v>合法</x:v>
      </x:c>
    </x:row>
    <x:row r="2300" ht="23" customHeight="1">
      <x:c r="A2300" s="3" t="str">
        <x:v>CT-2293</x:v>
      </x:c>
      <x:c r="B2300" s="3" t="str">
        <x:v>ST-187</x:v>
      </x:c>
      <x:c r="C2300" s="3" t="str">
        <x:v>R+AR同收同发</x:v>
      </x:c>
      <x:c r="D2300" s="25" t="n">
        <x:v>5</x:v>
      </x:c>
      <x:c r="E2300" s="25" t="n">
        <x:v>3</x:v>
      </x:c>
      <x:c r="F2300" s="25" t="n">
        <x:v>1</x:v>
      </x:c>
      <x:c r="G2300" s="19" t="n">
        <x:f>SUM(D2300:F2300)</x:f>
        <x:v>9</x:v>
      </x:c>
      <x:c r="H2300" s="25" t="n">
        <x:v>1</x:v>
      </x:c>
      <x:c r="I2300" s="25" t="n">
        <x:v>1</x:v>
      </x:c>
      <x:c r="J2300" s="25" t="n">
        <x:v>2</x:v>
      </x:c>
      <x:c r="K2300" s="19" t="n">
        <x:f>D2300-IF(H2300=0,1,0)</x:f>
        <x:v>5</x:v>
      </x:c>
      <x:c r="L2300" s="19" t="n">
        <x:f>E2300-IF(H2300=1,1,0)</x:f>
        <x:v>2</x:v>
      </x:c>
      <x:c r="M2300" s="19" t="n">
        <x:f>F2300-IF(H2300=2,1,0)</x:f>
        <x:v>1</x:v>
      </x:c>
      <x:c r="N2300" s="19" t="n">
        <x:f>MAX(K2300-1,0)+MAX(L2300-1,0)+MAX(M2300-1,0)</x:f>
        <x:v>5</x:v>
      </x:c>
      <x:c r="O2300" s="19" t="n">
        <x:f>IF(AND(SUM(K2300:M2300)&lt;9,OR(M2300=0,N2300&lt;6)),1,0)</x:f>
        <x:v>1</x:v>
      </x:c>
      <x:c r="P2300" s="19" t="n">
        <x:f>IF(AND(SUM(K2300:M2300)&lt;9,OR(L2300=0,N2300&lt;6)),1,0)</x:f>
        <x:v>1</x:v>
      </x:c>
      <x:c r="Q2300" s="19" t="n">
        <x:f>IF(AND(SUM(K2300:M2300)&lt;9,OR(K2300=0,N2300&lt;6)),1,0)</x:f>
        <x:v>1</x:v>
      </x:c>
      <x:c r="R2300" s="22" t="str">
        <x:f>O2300&amp;P2300&amp;Q2300</x:f>
        <x:v>111</x:v>
      </x:c>
      <x:c r="S2300" s="19" t="n">
        <x:f>IF(I2300=1,IF(J2300=0,Q2300,IF(J2300=1,P2300,IF(J2300=2,O2300,0))),0)</x:f>
        <x:v>1</x:v>
      </x:c>
      <x:c r="T2300" s="19" t="n">
        <x:f>K2300+IF(AND(S2300=1,J2300=0),1,0)</x:f>
        <x:v>5</x:v>
      </x:c>
      <x:c r="U2300" s="19" t="n">
        <x:f>L2300+IF(AND(S2300=1,J2300=1),1,0)</x:f>
        <x:v>2</x:v>
      </x:c>
      <x:c r="V2300" s="19" t="n">
        <x:f>M2300+IF(AND(S2300=1,J2300=2),1,0)</x:f>
        <x:v>2</x:v>
      </x:c>
      <x:c r="W2300" s="19" t="n">
        <x:f>SUM(T2300:V2300)</x:f>
        <x:v>9</x:v>
      </x:c>
      <x:c r="X2300" s="19" t="n">
        <x:f>W2300-G2300</x:f>
        <x:v>0</x:v>
      </x:c>
      <x:c r="Y2300" s="19" t="n">
        <x:f>MAX(T2300,1)+MAX(U2300,1)+MAX(V2300,1)</x:f>
        <x:v>9</x:v>
      </x:c>
      <x:c r="Z2300" s="21" t="str">
        <x:f>IF(AND(MIN(D2300:F2300)&gt;=0,MAX(D2300:F2300)&lt;=7,MAX(D2300,1)+MAX(E2300,1)+MAX(F2300,1)&lt;=9,OR(H2300="-",AND(H2300=0,D2300&gt;0),AND(H2300=1,E2300&gt;0),AND(H2300=2,F2300&gt;0)),OR(I2300=0,AND(I2300=1,OR(J2300=0,J2300=1,J2300=2),R2300&lt;&gt;"000")),Y2300&lt;=9,MIN(T2300:V2300)&gt;=0),"合法","输入违约")</x:f>
        <x:v>合法</x:v>
      </x:c>
    </x:row>
    <x:row r="2301" ht="23" customHeight="1">
      <x:c r="A2301" s="3" t="str">
        <x:v>CT-2294</x:v>
      </x:c>
      <x:c r="B2301" s="3" t="str">
        <x:v>ST-187</x:v>
      </x:c>
      <x:c r="C2301" s="3" t="str">
        <x:v>仅R回收</x:v>
      </x:c>
      <x:c r="D2301" s="25" t="n">
        <x:v>5</x:v>
      </x:c>
      <x:c r="E2301" s="25" t="n">
        <x:v>3</x:v>
      </x:c>
      <x:c r="F2301" s="25" t="n">
        <x:v>1</x:v>
      </x:c>
      <x:c r="G2301" s="19" t="n">
        <x:f>SUM(D2301:F2301)</x:f>
        <x:v>9</x:v>
      </x:c>
      <x:c r="H2301" s="25" t="n">
        <x:v>2</x:v>
      </x:c>
      <x:c r="I2301" s="25" t="n">
        <x:v>0</x:v>
      </x:c>
      <x:c r="J2301" s="25" t="str">
        <x:v>-</x:v>
      </x:c>
      <x:c r="K2301" s="19" t="n">
        <x:f>D2301-IF(H2301=0,1,0)</x:f>
        <x:v>5</x:v>
      </x:c>
      <x:c r="L2301" s="19" t="n">
        <x:f>E2301-IF(H2301=1,1,0)</x:f>
        <x:v>3</x:v>
      </x:c>
      <x:c r="M2301" s="19" t="n">
        <x:f>F2301-IF(H2301=2,1,0)</x:f>
        <x:v>0</x:v>
      </x:c>
      <x:c r="N2301" s="19" t="n">
        <x:f>MAX(K2301-1,0)+MAX(L2301-1,0)+MAX(M2301-1,0)</x:f>
        <x:v>6</x:v>
      </x:c>
      <x:c r="O2301" s="19" t="n">
        <x:f>IF(AND(SUM(K2301:M2301)&lt;9,OR(M2301=0,N2301&lt;6)),1,0)</x:f>
        <x:v>1</x:v>
      </x:c>
      <x:c r="P2301" s="19" t="n">
        <x:f>IF(AND(SUM(K2301:M2301)&lt;9,OR(L2301=0,N2301&lt;6)),1,0)</x:f>
        <x:v>0</x:v>
      </x:c>
      <x:c r="Q2301" s="19" t="n">
        <x:f>IF(AND(SUM(K2301:M2301)&lt;9,OR(K2301=0,N2301&lt;6)),1,0)</x:f>
        <x:v>0</x:v>
      </x:c>
      <x:c r="R2301" s="22" t="str">
        <x:f>O2301&amp;P2301&amp;Q2301</x:f>
        <x:v>100</x:v>
      </x:c>
      <x:c r="S2301" s="19" t="n">
        <x:f>IF(I2301=1,IF(J2301=0,Q2301,IF(J2301=1,P2301,IF(J2301=2,O2301,0))),0)</x:f>
        <x:v>0</x:v>
      </x:c>
      <x:c r="T2301" s="19" t="n">
        <x:f>K2301+IF(AND(S2301=1,J2301=0),1,0)</x:f>
        <x:v>5</x:v>
      </x:c>
      <x:c r="U2301" s="19" t="n">
        <x:f>L2301+IF(AND(S2301=1,J2301=1),1,0)</x:f>
        <x:v>3</x:v>
      </x:c>
      <x:c r="V2301" s="19" t="n">
        <x:f>M2301+IF(AND(S2301=1,J2301=2),1,0)</x:f>
        <x:v>0</x:v>
      </x:c>
      <x:c r="W2301" s="19" t="n">
        <x:f>SUM(T2301:V2301)</x:f>
        <x:v>8</x:v>
      </x:c>
      <x:c r="X2301" s="19" t="n">
        <x:f>W2301-G2301</x:f>
        <x:v>-1</x:v>
      </x:c>
      <x:c r="Y2301" s="19" t="n">
        <x:f>MAX(T2301,1)+MAX(U2301,1)+MAX(V2301,1)</x:f>
        <x:v>9</x:v>
      </x:c>
      <x:c r="Z2301" s="21" t="str">
        <x:f>IF(AND(MIN(D2301:F2301)&gt;=0,MAX(D2301:F2301)&lt;=7,MAX(D2301,1)+MAX(E2301,1)+MAX(F2301,1)&lt;=9,OR(H2301="-",AND(H2301=0,D2301&gt;0),AND(H2301=1,E2301&gt;0),AND(H2301=2,F2301&gt;0)),OR(I2301=0,AND(I2301=1,OR(J2301=0,J2301=1,J2301=2),R2301&lt;&gt;"000")),Y2301&lt;=9,MIN(T2301:V2301)&gt;=0),"合法","输入违约")</x:f>
        <x:v>合法</x:v>
      </x:c>
    </x:row>
    <x:row r="2302" ht="23" customHeight="1">
      <x:c r="A2302" s="3" t="str">
        <x:v>CT-2295</x:v>
      </x:c>
      <x:c r="B2302" s="3" t="str">
        <x:v>ST-187</x:v>
      </x:c>
      <x:c r="C2302" s="3" t="str">
        <x:v>仅R回收</x:v>
      </x:c>
      <x:c r="D2302" s="25" t="n">
        <x:v>5</x:v>
      </x:c>
      <x:c r="E2302" s="25" t="n">
        <x:v>3</x:v>
      </x:c>
      <x:c r="F2302" s="25" t="n">
        <x:v>1</x:v>
      </x:c>
      <x:c r="G2302" s="19" t="n">
        <x:f>SUM(D2302:F2302)</x:f>
        <x:v>9</x:v>
      </x:c>
      <x:c r="H2302" s="25" t="n">
        <x:v>2</x:v>
      </x:c>
      <x:c r="I2302" s="25" t="n">
        <x:v>1</x:v>
      </x:c>
      <x:c r="J2302" s="25" t="n">
        <x:v>0</x:v>
      </x:c>
      <x:c r="K2302" s="19" t="n">
        <x:f>D2302-IF(H2302=0,1,0)</x:f>
        <x:v>5</x:v>
      </x:c>
      <x:c r="L2302" s="19" t="n">
        <x:f>E2302-IF(H2302=1,1,0)</x:f>
        <x:v>3</x:v>
      </x:c>
      <x:c r="M2302" s="19" t="n">
        <x:f>F2302-IF(H2302=2,1,0)</x:f>
        <x:v>0</x:v>
      </x:c>
      <x:c r="N2302" s="19" t="n">
        <x:f>MAX(K2302-1,0)+MAX(L2302-1,0)+MAX(M2302-1,0)</x:f>
        <x:v>6</x:v>
      </x:c>
      <x:c r="O2302" s="19" t="n">
        <x:f>IF(AND(SUM(K2302:M2302)&lt;9,OR(M2302=0,N2302&lt;6)),1,0)</x:f>
        <x:v>1</x:v>
      </x:c>
      <x:c r="P2302" s="19" t="n">
        <x:f>IF(AND(SUM(K2302:M2302)&lt;9,OR(L2302=0,N2302&lt;6)),1,0)</x:f>
        <x:v>0</x:v>
      </x:c>
      <x:c r="Q2302" s="19" t="n">
        <x:f>IF(AND(SUM(K2302:M2302)&lt;9,OR(K2302=0,N2302&lt;6)),1,0)</x:f>
        <x:v>0</x:v>
      </x:c>
      <x:c r="R2302" s="22" t="str">
        <x:f>O2302&amp;P2302&amp;Q2302</x:f>
        <x:v>100</x:v>
      </x:c>
      <x:c r="S2302" s="19" t="n">
        <x:f>IF(I2302=1,IF(J2302=0,Q2302,IF(J2302=1,P2302,IF(J2302=2,O2302,0))),0)</x:f>
        <x:v>0</x:v>
      </x:c>
      <x:c r="T2302" s="19" t="n">
        <x:f>K2302+IF(AND(S2302=1,J2302=0),1,0)</x:f>
        <x:v>5</x:v>
      </x:c>
      <x:c r="U2302" s="19" t="n">
        <x:f>L2302+IF(AND(S2302=1,J2302=1),1,0)</x:f>
        <x:v>3</x:v>
      </x:c>
      <x:c r="V2302" s="19" t="n">
        <x:f>M2302+IF(AND(S2302=1,J2302=2),1,0)</x:f>
        <x:v>0</x:v>
      </x:c>
      <x:c r="W2302" s="19" t="n">
        <x:f>SUM(T2302:V2302)</x:f>
        <x:v>8</x:v>
      </x:c>
      <x:c r="X2302" s="19" t="n">
        <x:f>W2302-G2302</x:f>
        <x:v>-1</x:v>
      </x:c>
      <x:c r="Y2302" s="19" t="n">
        <x:f>MAX(T2302,1)+MAX(U2302,1)+MAX(V2302,1)</x:f>
        <x:v>9</x:v>
      </x:c>
      <x:c r="Z2302" s="21" t="str">
        <x:f>IF(AND(MIN(D2302:F2302)&gt;=0,MAX(D2302:F2302)&lt;=7,MAX(D2302,1)+MAX(E2302,1)+MAX(F2302,1)&lt;=9,OR(H2302="-",AND(H2302=0,D2302&gt;0),AND(H2302=1,E2302&gt;0),AND(H2302=2,F2302&gt;0)),OR(I2302=0,AND(I2302=1,OR(J2302=0,J2302=1,J2302=2),R2302&lt;&gt;"000")),Y2302&lt;=9,MIN(T2302:V2302)&gt;=0),"合法","输入违约")</x:f>
        <x:v>合法</x:v>
      </x:c>
    </x:row>
    <x:row r="2303" ht="23" customHeight="1">
      <x:c r="A2303" s="3" t="str">
        <x:v>CT-2296</x:v>
      </x:c>
      <x:c r="B2303" s="3" t="str">
        <x:v>ST-187</x:v>
      </x:c>
      <x:c r="C2303" s="3" t="str">
        <x:v>仅R回收</x:v>
      </x:c>
      <x:c r="D2303" s="25" t="n">
        <x:v>5</x:v>
      </x:c>
      <x:c r="E2303" s="25" t="n">
        <x:v>3</x:v>
      </x:c>
      <x:c r="F2303" s="25" t="n">
        <x:v>1</x:v>
      </x:c>
      <x:c r="G2303" s="19" t="n">
        <x:f>SUM(D2303:F2303)</x:f>
        <x:v>9</x:v>
      </x:c>
      <x:c r="H2303" s="25" t="n">
        <x:v>2</x:v>
      </x:c>
      <x:c r="I2303" s="25" t="n">
        <x:v>1</x:v>
      </x:c>
      <x:c r="J2303" s="25" t="n">
        <x:v>1</x:v>
      </x:c>
      <x:c r="K2303" s="19" t="n">
        <x:f>D2303-IF(H2303=0,1,0)</x:f>
        <x:v>5</x:v>
      </x:c>
      <x:c r="L2303" s="19" t="n">
        <x:f>E2303-IF(H2303=1,1,0)</x:f>
        <x:v>3</x:v>
      </x:c>
      <x:c r="M2303" s="19" t="n">
        <x:f>F2303-IF(H2303=2,1,0)</x:f>
        <x:v>0</x:v>
      </x:c>
      <x:c r="N2303" s="19" t="n">
        <x:f>MAX(K2303-1,0)+MAX(L2303-1,0)+MAX(M2303-1,0)</x:f>
        <x:v>6</x:v>
      </x:c>
      <x:c r="O2303" s="19" t="n">
        <x:f>IF(AND(SUM(K2303:M2303)&lt;9,OR(M2303=0,N2303&lt;6)),1,0)</x:f>
        <x:v>1</x:v>
      </x:c>
      <x:c r="P2303" s="19" t="n">
        <x:f>IF(AND(SUM(K2303:M2303)&lt;9,OR(L2303=0,N2303&lt;6)),1,0)</x:f>
        <x:v>0</x:v>
      </x:c>
      <x:c r="Q2303" s="19" t="n">
        <x:f>IF(AND(SUM(K2303:M2303)&lt;9,OR(K2303=0,N2303&lt;6)),1,0)</x:f>
        <x:v>0</x:v>
      </x:c>
      <x:c r="R2303" s="22" t="str">
        <x:f>O2303&amp;P2303&amp;Q2303</x:f>
        <x:v>100</x:v>
      </x:c>
      <x:c r="S2303" s="19" t="n">
        <x:f>IF(I2303=1,IF(J2303=0,Q2303,IF(J2303=1,P2303,IF(J2303=2,O2303,0))),0)</x:f>
        <x:v>0</x:v>
      </x:c>
      <x:c r="T2303" s="19" t="n">
        <x:f>K2303+IF(AND(S2303=1,J2303=0),1,0)</x:f>
        <x:v>5</x:v>
      </x:c>
      <x:c r="U2303" s="19" t="n">
        <x:f>L2303+IF(AND(S2303=1,J2303=1),1,0)</x:f>
        <x:v>3</x:v>
      </x:c>
      <x:c r="V2303" s="19" t="n">
        <x:f>M2303+IF(AND(S2303=1,J2303=2),1,0)</x:f>
        <x:v>0</x:v>
      </x:c>
      <x:c r="W2303" s="19" t="n">
        <x:f>SUM(T2303:V2303)</x:f>
        <x:v>8</x:v>
      </x:c>
      <x:c r="X2303" s="19" t="n">
        <x:f>W2303-G2303</x:f>
        <x:v>-1</x:v>
      </x:c>
      <x:c r="Y2303" s="19" t="n">
        <x:f>MAX(T2303,1)+MAX(U2303,1)+MAX(V2303,1)</x:f>
        <x:v>9</x:v>
      </x:c>
      <x:c r="Z2303" s="21" t="str">
        <x:f>IF(AND(MIN(D2303:F2303)&gt;=0,MAX(D2303:F2303)&lt;=7,MAX(D2303,1)+MAX(E2303,1)+MAX(F2303,1)&lt;=9,OR(H2303="-",AND(H2303=0,D2303&gt;0),AND(H2303=1,E2303&gt;0),AND(H2303=2,F2303&gt;0)),OR(I2303=0,AND(I2303=1,OR(J2303=0,J2303=1,J2303=2),R2303&lt;&gt;"000")),Y2303&lt;=9,MIN(T2303:V2303)&gt;=0),"合法","输入违约")</x:f>
        <x:v>合法</x:v>
      </x:c>
    </x:row>
    <x:row r="2304" ht="23" customHeight="1">
      <x:c r="A2304" s="3" t="str">
        <x:v>CT-2297</x:v>
      </x:c>
      <x:c r="B2304" s="3" t="str">
        <x:v>ST-187</x:v>
      </x:c>
      <x:c r="C2304" s="3" t="str">
        <x:v>R+AR同收同发</x:v>
      </x:c>
      <x:c r="D2304" s="25" t="n">
        <x:v>5</x:v>
      </x:c>
      <x:c r="E2304" s="25" t="n">
        <x:v>3</x:v>
      </x:c>
      <x:c r="F2304" s="25" t="n">
        <x:v>1</x:v>
      </x:c>
      <x:c r="G2304" s="19" t="n">
        <x:f>SUM(D2304:F2304)</x:f>
        <x:v>9</x:v>
      </x:c>
      <x:c r="H2304" s="25" t="n">
        <x:v>2</x:v>
      </x:c>
      <x:c r="I2304" s="25" t="n">
        <x:v>1</x:v>
      </x:c>
      <x:c r="J2304" s="25" t="n">
        <x:v>2</x:v>
      </x:c>
      <x:c r="K2304" s="19" t="n">
        <x:f>D2304-IF(H2304=0,1,0)</x:f>
        <x:v>5</x:v>
      </x:c>
      <x:c r="L2304" s="19" t="n">
        <x:f>E2304-IF(H2304=1,1,0)</x:f>
        <x:v>3</x:v>
      </x:c>
      <x:c r="M2304" s="19" t="n">
        <x:f>F2304-IF(H2304=2,1,0)</x:f>
        <x:v>0</x:v>
      </x:c>
      <x:c r="N2304" s="19" t="n">
        <x:f>MAX(K2304-1,0)+MAX(L2304-1,0)+MAX(M2304-1,0)</x:f>
        <x:v>6</x:v>
      </x:c>
      <x:c r="O2304" s="19" t="n">
        <x:f>IF(AND(SUM(K2304:M2304)&lt;9,OR(M2304=0,N2304&lt;6)),1,0)</x:f>
        <x:v>1</x:v>
      </x:c>
      <x:c r="P2304" s="19" t="n">
        <x:f>IF(AND(SUM(K2304:M2304)&lt;9,OR(L2304=0,N2304&lt;6)),1,0)</x:f>
        <x:v>0</x:v>
      </x:c>
      <x:c r="Q2304" s="19" t="n">
        <x:f>IF(AND(SUM(K2304:M2304)&lt;9,OR(K2304=0,N2304&lt;6)),1,0)</x:f>
        <x:v>0</x:v>
      </x:c>
      <x:c r="R2304" s="22" t="str">
        <x:f>O2304&amp;P2304&amp;Q2304</x:f>
        <x:v>100</x:v>
      </x:c>
      <x:c r="S2304" s="19" t="n">
        <x:f>IF(I2304=1,IF(J2304=0,Q2304,IF(J2304=1,P2304,IF(J2304=2,O2304,0))),0)</x:f>
        <x:v>1</x:v>
      </x:c>
      <x:c r="T2304" s="19" t="n">
        <x:f>K2304+IF(AND(S2304=1,J2304=0),1,0)</x:f>
        <x:v>5</x:v>
      </x:c>
      <x:c r="U2304" s="19" t="n">
        <x:f>L2304+IF(AND(S2304=1,J2304=1),1,0)</x:f>
        <x:v>3</x:v>
      </x:c>
      <x:c r="V2304" s="19" t="n">
        <x:f>M2304+IF(AND(S2304=1,J2304=2),1,0)</x:f>
        <x:v>1</x:v>
      </x:c>
      <x:c r="W2304" s="19" t="n">
        <x:f>SUM(T2304:V2304)</x:f>
        <x:v>9</x:v>
      </x:c>
      <x:c r="X2304" s="19" t="n">
        <x:f>W2304-G2304</x:f>
        <x:v>0</x:v>
      </x:c>
      <x:c r="Y2304" s="19" t="n">
        <x:f>MAX(T2304,1)+MAX(U2304,1)+MAX(V2304,1)</x:f>
        <x:v>9</x:v>
      </x:c>
      <x:c r="Z2304" s="21" t="str">
        <x:f>IF(AND(MIN(D2304:F2304)&gt;=0,MAX(D2304:F2304)&lt;=7,MAX(D2304,1)+MAX(E2304,1)+MAX(F2304,1)&lt;=9,OR(H2304="-",AND(H2304=0,D2304&gt;0),AND(H2304=1,E2304&gt;0),AND(H2304=2,F2304&gt;0)),OR(I2304=0,AND(I2304=1,OR(J2304=0,J2304=1,J2304=2),R2304&lt;&gt;"000")),Y2304&lt;=9,MIN(T2304:V2304)&gt;=0),"合法","输入违约")</x:f>
        <x:v>合法</x:v>
      </x:c>
    </x:row>
    <x:row r="2305" ht="23" customHeight="1">
      <x:c r="A2305" s="3" t="str">
        <x:v>CT-2298</x:v>
      </x:c>
      <x:c r="B2305" s="3" t="str">
        <x:v>ST-084</x:v>
      </x:c>
      <x:c r="C2305" s="3" t="str">
        <x:v>无AR/R</x:v>
      </x:c>
      <x:c r="D2305" s="25" t="n">
        <x:v>6</x:v>
      </x:c>
      <x:c r="E2305" s="25" t="n">
        <x:v>0</x:v>
      </x:c>
      <x:c r="F2305" s="25" t="n">
        <x:v>0</x:v>
      </x:c>
      <x:c r="G2305" s="19" t="n">
        <x:f>SUM(D2305:F2305)</x:f>
        <x:v>6</x:v>
      </x:c>
      <x:c r="H2305" s="25" t="str">
        <x:v>-</x:v>
      </x:c>
      <x:c r="I2305" s="25" t="n">
        <x:v>0</x:v>
      </x:c>
      <x:c r="J2305" s="25" t="str">
        <x:v>-</x:v>
      </x:c>
      <x:c r="K2305" s="19" t="n">
        <x:f>D2305-IF(H2305=0,1,0)</x:f>
        <x:v>6</x:v>
      </x:c>
      <x:c r="L2305" s="19" t="n">
        <x:f>E2305-IF(H2305=1,1,0)</x:f>
        <x:v>0</x:v>
      </x:c>
      <x:c r="M2305" s="19" t="n">
        <x:f>F2305-IF(H2305=2,1,0)</x:f>
        <x:v>0</x:v>
      </x:c>
      <x:c r="N2305" s="19" t="n">
        <x:f>MAX(K2305-1,0)+MAX(L2305-1,0)+MAX(M2305-1,0)</x:f>
        <x:v>5</x:v>
      </x:c>
      <x:c r="O2305" s="19" t="n">
        <x:f>IF(AND(SUM(K2305:M2305)&lt;9,OR(M2305=0,N2305&lt;6)),1,0)</x:f>
        <x:v>1</x:v>
      </x:c>
      <x:c r="P2305" s="19" t="n">
        <x:f>IF(AND(SUM(K2305:M2305)&lt;9,OR(L2305=0,N2305&lt;6)),1,0)</x:f>
        <x:v>1</x:v>
      </x:c>
      <x:c r="Q2305" s="19" t="n">
        <x:f>IF(AND(SUM(K2305:M2305)&lt;9,OR(K2305=0,N2305&lt;6)),1,0)</x:f>
        <x:v>1</x:v>
      </x:c>
      <x:c r="R2305" s="22" t="str">
        <x:f>O2305&amp;P2305&amp;Q2305</x:f>
        <x:v>111</x:v>
      </x:c>
      <x:c r="S2305" s="19" t="n">
        <x:f>IF(I2305=1,IF(J2305=0,Q2305,IF(J2305=1,P2305,IF(J2305=2,O2305,0))),0)</x:f>
        <x:v>0</x:v>
      </x:c>
      <x:c r="T2305" s="19" t="n">
        <x:f>K2305+IF(AND(S2305=1,J2305=0),1,0)</x:f>
        <x:v>6</x:v>
      </x:c>
      <x:c r="U2305" s="19" t="n">
        <x:f>L2305+IF(AND(S2305=1,J2305=1),1,0)</x:f>
        <x:v>0</x:v>
      </x:c>
      <x:c r="V2305" s="19" t="n">
        <x:f>M2305+IF(AND(S2305=1,J2305=2),1,0)</x:f>
        <x:v>0</x:v>
      </x:c>
      <x:c r="W2305" s="19" t="n">
        <x:f>SUM(T2305:V2305)</x:f>
        <x:v>6</x:v>
      </x:c>
      <x:c r="X2305" s="19" t="n">
        <x:f>W2305-G2305</x:f>
        <x:v>0</x:v>
      </x:c>
      <x:c r="Y2305" s="19" t="n">
        <x:f>MAX(T2305,1)+MAX(U2305,1)+MAX(V2305,1)</x:f>
        <x:v>8</x:v>
      </x:c>
      <x:c r="Z2305" s="21" t="str">
        <x:f>IF(AND(MIN(D2305:F2305)&gt;=0,MAX(D2305:F2305)&lt;=7,MAX(D2305,1)+MAX(E2305,1)+MAX(F2305,1)&lt;=9,OR(H2305="-",AND(H2305=0,D2305&gt;0),AND(H2305=1,E2305&gt;0),AND(H2305=2,F2305&gt;0)),OR(I2305=0,AND(I2305=1,OR(J2305=0,J2305=1,J2305=2),R2305&lt;&gt;"000")),Y2305&lt;=9,MIN(T2305:V2305)&gt;=0),"合法","输入违约")</x:f>
        <x:v>合法</x:v>
      </x:c>
    </x:row>
    <x:row r="2306" ht="23" customHeight="1">
      <x:c r="A2306" s="3" t="str">
        <x:v>CT-2299</x:v>
      </x:c>
      <x:c r="B2306" s="3" t="str">
        <x:v>ST-084</x:v>
      </x:c>
      <x:c r="C2306" s="3" t="str">
        <x:v>仅AR接收</x:v>
      </x:c>
      <x:c r="D2306" s="25" t="n">
        <x:v>6</x:v>
      </x:c>
      <x:c r="E2306" s="25" t="n">
        <x:v>0</x:v>
      </x:c>
      <x:c r="F2306" s="25" t="n">
        <x:v>0</x:v>
      </x:c>
      <x:c r="G2306" s="19" t="n">
        <x:f>SUM(D2306:F2306)</x:f>
        <x:v>6</x:v>
      </x:c>
      <x:c r="H2306" s="25" t="str">
        <x:v>-</x:v>
      </x:c>
      <x:c r="I2306" s="25" t="n">
        <x:v>1</x:v>
      </x:c>
      <x:c r="J2306" s="25" t="n">
        <x:v>0</x:v>
      </x:c>
      <x:c r="K2306" s="19" t="n">
        <x:f>D2306-IF(H2306=0,1,0)</x:f>
        <x:v>6</x:v>
      </x:c>
      <x:c r="L2306" s="19" t="n">
        <x:f>E2306-IF(H2306=1,1,0)</x:f>
        <x:v>0</x:v>
      </x:c>
      <x:c r="M2306" s="19" t="n">
        <x:f>F2306-IF(H2306=2,1,0)</x:f>
        <x:v>0</x:v>
      </x:c>
      <x:c r="N2306" s="19" t="n">
        <x:f>MAX(K2306-1,0)+MAX(L2306-1,0)+MAX(M2306-1,0)</x:f>
        <x:v>5</x:v>
      </x:c>
      <x:c r="O2306" s="19" t="n">
        <x:f>IF(AND(SUM(K2306:M2306)&lt;9,OR(M2306=0,N2306&lt;6)),1,0)</x:f>
        <x:v>1</x:v>
      </x:c>
      <x:c r="P2306" s="19" t="n">
        <x:f>IF(AND(SUM(K2306:M2306)&lt;9,OR(L2306=0,N2306&lt;6)),1,0)</x:f>
        <x:v>1</x:v>
      </x:c>
      <x:c r="Q2306" s="19" t="n">
        <x:f>IF(AND(SUM(K2306:M2306)&lt;9,OR(K2306=0,N2306&lt;6)),1,0)</x:f>
        <x:v>1</x:v>
      </x:c>
      <x:c r="R2306" s="22" t="str">
        <x:f>O2306&amp;P2306&amp;Q2306</x:f>
        <x:v>111</x:v>
      </x:c>
      <x:c r="S2306" s="19" t="n">
        <x:f>IF(I2306=1,IF(J2306=0,Q2306,IF(J2306=1,P2306,IF(J2306=2,O2306,0))),0)</x:f>
        <x:v>1</x:v>
      </x:c>
      <x:c r="T2306" s="19" t="n">
        <x:f>K2306+IF(AND(S2306=1,J2306=0),1,0)</x:f>
        <x:v>7</x:v>
      </x:c>
      <x:c r="U2306" s="19" t="n">
        <x:f>L2306+IF(AND(S2306=1,J2306=1),1,0)</x:f>
        <x:v>0</x:v>
      </x:c>
      <x:c r="V2306" s="19" t="n">
        <x:f>M2306+IF(AND(S2306=1,J2306=2),1,0)</x:f>
        <x:v>0</x:v>
      </x:c>
      <x:c r="W2306" s="19" t="n">
        <x:f>SUM(T2306:V2306)</x:f>
        <x:v>7</x:v>
      </x:c>
      <x:c r="X2306" s="19" t="n">
        <x:f>W2306-G2306</x:f>
        <x:v>1</x:v>
      </x:c>
      <x:c r="Y2306" s="19" t="n">
        <x:f>MAX(T2306,1)+MAX(U2306,1)+MAX(V2306,1)</x:f>
        <x:v>9</x:v>
      </x:c>
      <x:c r="Z2306" s="21" t="str">
        <x:f>IF(AND(MIN(D2306:F2306)&gt;=0,MAX(D2306:F2306)&lt;=7,MAX(D2306,1)+MAX(E2306,1)+MAX(F2306,1)&lt;=9,OR(H2306="-",AND(H2306=0,D2306&gt;0),AND(H2306=1,E2306&gt;0),AND(H2306=2,F2306&gt;0)),OR(I2306=0,AND(I2306=1,OR(J2306=0,J2306=1,J2306=2),R2306&lt;&gt;"000")),Y2306&lt;=9,MIN(T2306:V2306)&gt;=0),"合法","输入违约")</x:f>
        <x:v>合法</x:v>
      </x:c>
    </x:row>
    <x:row r="2307" ht="23" customHeight="1">
      <x:c r="A2307" s="3" t="str">
        <x:v>CT-2300</x:v>
      </x:c>
      <x:c r="B2307" s="3" t="str">
        <x:v>ST-084</x:v>
      </x:c>
      <x:c r="C2307" s="3" t="str">
        <x:v>仅AR接收</x:v>
      </x:c>
      <x:c r="D2307" s="25" t="n">
        <x:v>6</x:v>
      </x:c>
      <x:c r="E2307" s="25" t="n">
        <x:v>0</x:v>
      </x:c>
      <x:c r="F2307" s="25" t="n">
        <x:v>0</x:v>
      </x:c>
      <x:c r="G2307" s="19" t="n">
        <x:f>SUM(D2307:F2307)</x:f>
        <x:v>6</x:v>
      </x:c>
      <x:c r="H2307" s="25" t="str">
        <x:v>-</x:v>
      </x:c>
      <x:c r="I2307" s="25" t="n">
        <x:v>1</x:v>
      </x:c>
      <x:c r="J2307" s="25" t="n">
        <x:v>1</x:v>
      </x:c>
      <x:c r="K2307" s="19" t="n">
        <x:f>D2307-IF(H2307=0,1,0)</x:f>
        <x:v>6</x:v>
      </x:c>
      <x:c r="L2307" s="19" t="n">
        <x:f>E2307-IF(H2307=1,1,0)</x:f>
        <x:v>0</x:v>
      </x:c>
      <x:c r="M2307" s="19" t="n">
        <x:f>F2307-IF(H2307=2,1,0)</x:f>
        <x:v>0</x:v>
      </x:c>
      <x:c r="N2307" s="19" t="n">
        <x:f>MAX(K2307-1,0)+MAX(L2307-1,0)+MAX(M2307-1,0)</x:f>
        <x:v>5</x:v>
      </x:c>
      <x:c r="O2307" s="19" t="n">
        <x:f>IF(AND(SUM(K2307:M2307)&lt;9,OR(M2307=0,N2307&lt;6)),1,0)</x:f>
        <x:v>1</x:v>
      </x:c>
      <x:c r="P2307" s="19" t="n">
        <x:f>IF(AND(SUM(K2307:M2307)&lt;9,OR(L2307=0,N2307&lt;6)),1,0)</x:f>
        <x:v>1</x:v>
      </x:c>
      <x:c r="Q2307" s="19" t="n">
        <x:f>IF(AND(SUM(K2307:M2307)&lt;9,OR(K2307=0,N2307&lt;6)),1,0)</x:f>
        <x:v>1</x:v>
      </x:c>
      <x:c r="R2307" s="22" t="str">
        <x:f>O2307&amp;P2307&amp;Q2307</x:f>
        <x:v>111</x:v>
      </x:c>
      <x:c r="S2307" s="19" t="n">
        <x:f>IF(I2307=1,IF(J2307=0,Q2307,IF(J2307=1,P2307,IF(J2307=2,O2307,0))),0)</x:f>
        <x:v>1</x:v>
      </x:c>
      <x:c r="T2307" s="19" t="n">
        <x:f>K2307+IF(AND(S2307=1,J2307=0),1,0)</x:f>
        <x:v>6</x:v>
      </x:c>
      <x:c r="U2307" s="19" t="n">
        <x:f>L2307+IF(AND(S2307=1,J2307=1),1,0)</x:f>
        <x:v>1</x:v>
      </x:c>
      <x:c r="V2307" s="19" t="n">
        <x:f>M2307+IF(AND(S2307=1,J2307=2),1,0)</x:f>
        <x:v>0</x:v>
      </x:c>
      <x:c r="W2307" s="19" t="n">
        <x:f>SUM(T2307:V2307)</x:f>
        <x:v>7</x:v>
      </x:c>
      <x:c r="X2307" s="19" t="n">
        <x:f>W2307-G2307</x:f>
        <x:v>1</x:v>
      </x:c>
      <x:c r="Y2307" s="19" t="n">
        <x:f>MAX(T2307,1)+MAX(U2307,1)+MAX(V2307,1)</x:f>
        <x:v>8</x:v>
      </x:c>
      <x:c r="Z2307" s="21" t="str">
        <x:f>IF(AND(MIN(D2307:F2307)&gt;=0,MAX(D2307:F2307)&lt;=7,MAX(D2307,1)+MAX(E2307,1)+MAX(F2307,1)&lt;=9,OR(H2307="-",AND(H2307=0,D2307&gt;0),AND(H2307=1,E2307&gt;0),AND(H2307=2,F2307&gt;0)),OR(I2307=0,AND(I2307=1,OR(J2307=0,J2307=1,J2307=2),R2307&lt;&gt;"000")),Y2307&lt;=9,MIN(T2307:V2307)&gt;=0),"合法","输入违约")</x:f>
        <x:v>合法</x:v>
      </x:c>
    </x:row>
    <x:row r="2308" ht="23" customHeight="1">
      <x:c r="A2308" s="3" t="str">
        <x:v>CT-2301</x:v>
      </x:c>
      <x:c r="B2308" s="3" t="str">
        <x:v>ST-084</x:v>
      </x:c>
      <x:c r="C2308" s="3" t="str">
        <x:v>仅AR接收</x:v>
      </x:c>
      <x:c r="D2308" s="25" t="n">
        <x:v>6</x:v>
      </x:c>
      <x:c r="E2308" s="25" t="n">
        <x:v>0</x:v>
      </x:c>
      <x:c r="F2308" s="25" t="n">
        <x:v>0</x:v>
      </x:c>
      <x:c r="G2308" s="19" t="n">
        <x:f>SUM(D2308:F2308)</x:f>
        <x:v>6</x:v>
      </x:c>
      <x:c r="H2308" s="25" t="str">
        <x:v>-</x:v>
      </x:c>
      <x:c r="I2308" s="25" t="n">
        <x:v>1</x:v>
      </x:c>
      <x:c r="J2308" s="25" t="n">
        <x:v>2</x:v>
      </x:c>
      <x:c r="K2308" s="19" t="n">
        <x:f>D2308-IF(H2308=0,1,0)</x:f>
        <x:v>6</x:v>
      </x:c>
      <x:c r="L2308" s="19" t="n">
        <x:f>E2308-IF(H2308=1,1,0)</x:f>
        <x:v>0</x:v>
      </x:c>
      <x:c r="M2308" s="19" t="n">
        <x:f>F2308-IF(H2308=2,1,0)</x:f>
        <x:v>0</x:v>
      </x:c>
      <x:c r="N2308" s="19" t="n">
        <x:f>MAX(K2308-1,0)+MAX(L2308-1,0)+MAX(M2308-1,0)</x:f>
        <x:v>5</x:v>
      </x:c>
      <x:c r="O2308" s="19" t="n">
        <x:f>IF(AND(SUM(K2308:M2308)&lt;9,OR(M2308=0,N2308&lt;6)),1,0)</x:f>
        <x:v>1</x:v>
      </x:c>
      <x:c r="P2308" s="19" t="n">
        <x:f>IF(AND(SUM(K2308:M2308)&lt;9,OR(L2308=0,N2308&lt;6)),1,0)</x:f>
        <x:v>1</x:v>
      </x:c>
      <x:c r="Q2308" s="19" t="n">
        <x:f>IF(AND(SUM(K2308:M2308)&lt;9,OR(K2308=0,N2308&lt;6)),1,0)</x:f>
        <x:v>1</x:v>
      </x:c>
      <x:c r="R2308" s="22" t="str">
        <x:f>O2308&amp;P2308&amp;Q2308</x:f>
        <x:v>111</x:v>
      </x:c>
      <x:c r="S2308" s="19" t="n">
        <x:f>IF(I2308=1,IF(J2308=0,Q2308,IF(J2308=1,P2308,IF(J2308=2,O2308,0))),0)</x:f>
        <x:v>1</x:v>
      </x:c>
      <x:c r="T2308" s="19" t="n">
        <x:f>K2308+IF(AND(S2308=1,J2308=0),1,0)</x:f>
        <x:v>6</x:v>
      </x:c>
      <x:c r="U2308" s="19" t="n">
        <x:f>L2308+IF(AND(S2308=1,J2308=1),1,0)</x:f>
        <x:v>0</x:v>
      </x:c>
      <x:c r="V2308" s="19" t="n">
        <x:f>M2308+IF(AND(S2308=1,J2308=2),1,0)</x:f>
        <x:v>1</x:v>
      </x:c>
      <x:c r="W2308" s="19" t="n">
        <x:f>SUM(T2308:V2308)</x:f>
        <x:v>7</x:v>
      </x:c>
      <x:c r="X2308" s="19" t="n">
        <x:f>W2308-G2308</x:f>
        <x:v>1</x:v>
      </x:c>
      <x:c r="Y2308" s="19" t="n">
        <x:f>MAX(T2308,1)+MAX(U2308,1)+MAX(V2308,1)</x:f>
        <x:v>8</x:v>
      </x:c>
      <x:c r="Z2308" s="21" t="str">
        <x:f>IF(AND(MIN(D2308:F2308)&gt;=0,MAX(D2308:F2308)&lt;=7,MAX(D2308,1)+MAX(E2308,1)+MAX(F2308,1)&lt;=9,OR(H2308="-",AND(H2308=0,D2308&gt;0),AND(H2308=1,E2308&gt;0),AND(H2308=2,F2308&gt;0)),OR(I2308=0,AND(I2308=1,OR(J2308=0,J2308=1,J2308=2),R2308&lt;&gt;"000")),Y2308&lt;=9,MIN(T2308:V2308)&gt;=0),"合法","输入违约")</x:f>
        <x:v>合法</x:v>
      </x:c>
    </x:row>
    <x:row r="2309" ht="23" customHeight="1">
      <x:c r="A2309" s="3" t="str">
        <x:v>CT-2302</x:v>
      </x:c>
      <x:c r="B2309" s="3" t="str">
        <x:v>ST-084</x:v>
      </x:c>
      <x:c r="C2309" s="3" t="str">
        <x:v>仅R回收</x:v>
      </x:c>
      <x:c r="D2309" s="25" t="n">
        <x:v>6</x:v>
      </x:c>
      <x:c r="E2309" s="25" t="n">
        <x:v>0</x:v>
      </x:c>
      <x:c r="F2309" s="25" t="n">
        <x:v>0</x:v>
      </x:c>
      <x:c r="G2309" s="19" t="n">
        <x:f>SUM(D2309:F2309)</x:f>
        <x:v>6</x:v>
      </x:c>
      <x:c r="H2309" s="25" t="n">
        <x:v>0</x:v>
      </x:c>
      <x:c r="I2309" s="25" t="n">
        <x:v>0</x:v>
      </x:c>
      <x:c r="J2309" s="25" t="str">
        <x:v>-</x:v>
      </x:c>
      <x:c r="K2309" s="19" t="n">
        <x:f>D2309-IF(H2309=0,1,0)</x:f>
        <x:v>5</x:v>
      </x:c>
      <x:c r="L2309" s="19" t="n">
        <x:f>E2309-IF(H2309=1,1,0)</x:f>
        <x:v>0</x:v>
      </x:c>
      <x:c r="M2309" s="19" t="n">
        <x:f>F2309-IF(H2309=2,1,0)</x:f>
        <x:v>0</x:v>
      </x:c>
      <x:c r="N2309" s="19" t="n">
        <x:f>MAX(K2309-1,0)+MAX(L2309-1,0)+MAX(M2309-1,0)</x:f>
        <x:v>4</x:v>
      </x:c>
      <x:c r="O2309" s="19" t="n">
        <x:f>IF(AND(SUM(K2309:M2309)&lt;9,OR(M2309=0,N2309&lt;6)),1,0)</x:f>
        <x:v>1</x:v>
      </x:c>
      <x:c r="P2309" s="19" t="n">
        <x:f>IF(AND(SUM(K2309:M2309)&lt;9,OR(L2309=0,N2309&lt;6)),1,0)</x:f>
        <x:v>1</x:v>
      </x:c>
      <x:c r="Q2309" s="19" t="n">
        <x:f>IF(AND(SUM(K2309:M2309)&lt;9,OR(K2309=0,N2309&lt;6)),1,0)</x:f>
        <x:v>1</x:v>
      </x:c>
      <x:c r="R2309" s="22" t="str">
        <x:f>O2309&amp;P2309&amp;Q2309</x:f>
        <x:v>111</x:v>
      </x:c>
      <x:c r="S2309" s="19" t="n">
        <x:f>IF(I2309=1,IF(J2309=0,Q2309,IF(J2309=1,P2309,IF(J2309=2,O2309,0))),0)</x:f>
        <x:v>0</x:v>
      </x:c>
      <x:c r="T2309" s="19" t="n">
        <x:f>K2309+IF(AND(S2309=1,J2309=0),1,0)</x:f>
        <x:v>5</x:v>
      </x:c>
      <x:c r="U2309" s="19" t="n">
        <x:f>L2309+IF(AND(S2309=1,J2309=1),1,0)</x:f>
        <x:v>0</x:v>
      </x:c>
      <x:c r="V2309" s="19" t="n">
        <x:f>M2309+IF(AND(S2309=1,J2309=2),1,0)</x:f>
        <x:v>0</x:v>
      </x:c>
      <x:c r="W2309" s="19" t="n">
        <x:f>SUM(T2309:V2309)</x:f>
        <x:v>5</x:v>
      </x:c>
      <x:c r="X2309" s="19" t="n">
        <x:f>W2309-G2309</x:f>
        <x:v>-1</x:v>
      </x:c>
      <x:c r="Y2309" s="19" t="n">
        <x:f>MAX(T2309,1)+MAX(U2309,1)+MAX(V2309,1)</x:f>
        <x:v>7</x:v>
      </x:c>
      <x:c r="Z2309" s="21" t="str">
        <x:f>IF(AND(MIN(D2309:F2309)&gt;=0,MAX(D2309:F2309)&lt;=7,MAX(D2309,1)+MAX(E2309,1)+MAX(F2309,1)&lt;=9,OR(H2309="-",AND(H2309=0,D2309&gt;0),AND(H2309=1,E2309&gt;0),AND(H2309=2,F2309&gt;0)),OR(I2309=0,AND(I2309=1,OR(J2309=0,J2309=1,J2309=2),R2309&lt;&gt;"000")),Y2309&lt;=9,MIN(T2309:V2309)&gt;=0),"合法","输入违约")</x:f>
        <x:v>合法</x:v>
      </x:c>
    </x:row>
    <x:row r="2310" ht="23" customHeight="1">
      <x:c r="A2310" s="3" t="str">
        <x:v>CT-2303</x:v>
      </x:c>
      <x:c r="B2310" s="3" t="str">
        <x:v>ST-084</x:v>
      </x:c>
      <x:c r="C2310" s="3" t="str">
        <x:v>R+AR同收同发</x:v>
      </x:c>
      <x:c r="D2310" s="25" t="n">
        <x:v>6</x:v>
      </x:c>
      <x:c r="E2310" s="25" t="n">
        <x:v>0</x:v>
      </x:c>
      <x:c r="F2310" s="25" t="n">
        <x:v>0</x:v>
      </x:c>
      <x:c r="G2310" s="19" t="n">
        <x:f>SUM(D2310:F2310)</x:f>
        <x:v>6</x:v>
      </x:c>
      <x:c r="H2310" s="25" t="n">
        <x:v>0</x:v>
      </x:c>
      <x:c r="I2310" s="25" t="n">
        <x:v>1</x:v>
      </x:c>
      <x:c r="J2310" s="25" t="n">
        <x:v>0</x:v>
      </x:c>
      <x:c r="K2310" s="19" t="n">
        <x:f>D2310-IF(H2310=0,1,0)</x:f>
        <x:v>5</x:v>
      </x:c>
      <x:c r="L2310" s="19" t="n">
        <x:f>E2310-IF(H2310=1,1,0)</x:f>
        <x:v>0</x:v>
      </x:c>
      <x:c r="M2310" s="19" t="n">
        <x:f>F2310-IF(H2310=2,1,0)</x:f>
        <x:v>0</x:v>
      </x:c>
      <x:c r="N2310" s="19" t="n">
        <x:f>MAX(K2310-1,0)+MAX(L2310-1,0)+MAX(M2310-1,0)</x:f>
        <x:v>4</x:v>
      </x:c>
      <x:c r="O2310" s="19" t="n">
        <x:f>IF(AND(SUM(K2310:M2310)&lt;9,OR(M2310=0,N2310&lt;6)),1,0)</x:f>
        <x:v>1</x:v>
      </x:c>
      <x:c r="P2310" s="19" t="n">
        <x:f>IF(AND(SUM(K2310:M2310)&lt;9,OR(L2310=0,N2310&lt;6)),1,0)</x:f>
        <x:v>1</x:v>
      </x:c>
      <x:c r="Q2310" s="19" t="n">
        <x:f>IF(AND(SUM(K2310:M2310)&lt;9,OR(K2310=0,N2310&lt;6)),1,0)</x:f>
        <x:v>1</x:v>
      </x:c>
      <x:c r="R2310" s="22" t="str">
        <x:f>O2310&amp;P2310&amp;Q2310</x:f>
        <x:v>111</x:v>
      </x:c>
      <x:c r="S2310" s="19" t="n">
        <x:f>IF(I2310=1,IF(J2310=0,Q2310,IF(J2310=1,P2310,IF(J2310=2,O2310,0))),0)</x:f>
        <x:v>1</x:v>
      </x:c>
      <x:c r="T2310" s="19" t="n">
        <x:f>K2310+IF(AND(S2310=1,J2310=0),1,0)</x:f>
        <x:v>6</x:v>
      </x:c>
      <x:c r="U2310" s="19" t="n">
        <x:f>L2310+IF(AND(S2310=1,J2310=1),1,0)</x:f>
        <x:v>0</x:v>
      </x:c>
      <x:c r="V2310" s="19" t="n">
        <x:f>M2310+IF(AND(S2310=1,J2310=2),1,0)</x:f>
        <x:v>0</x:v>
      </x:c>
      <x:c r="W2310" s="19" t="n">
        <x:f>SUM(T2310:V2310)</x:f>
        <x:v>6</x:v>
      </x:c>
      <x:c r="X2310" s="19" t="n">
        <x:f>W2310-G2310</x:f>
        <x:v>0</x:v>
      </x:c>
      <x:c r="Y2310" s="19" t="n">
        <x:f>MAX(T2310,1)+MAX(U2310,1)+MAX(V2310,1)</x:f>
        <x:v>8</x:v>
      </x:c>
      <x:c r="Z2310" s="21" t="str">
        <x:f>IF(AND(MIN(D2310:F2310)&gt;=0,MAX(D2310:F2310)&lt;=7,MAX(D2310,1)+MAX(E2310,1)+MAX(F2310,1)&lt;=9,OR(H2310="-",AND(H2310=0,D2310&gt;0),AND(H2310=1,E2310&gt;0),AND(H2310=2,F2310&gt;0)),OR(I2310=0,AND(I2310=1,OR(J2310=0,J2310=1,J2310=2),R2310&lt;&gt;"000")),Y2310&lt;=9,MIN(T2310:V2310)&gt;=0),"合法","输入违约")</x:f>
        <x:v>合法</x:v>
      </x:c>
    </x:row>
    <x:row r="2311" ht="23" customHeight="1">
      <x:c r="A2311" s="3" t="str">
        <x:v>CT-2304</x:v>
      </x:c>
      <x:c r="B2311" s="3" t="str">
        <x:v>ST-084</x:v>
      </x:c>
      <x:c r="C2311" s="3" t="str">
        <x:v>R+AR同收同发</x:v>
      </x:c>
      <x:c r="D2311" s="25" t="n">
        <x:v>6</x:v>
      </x:c>
      <x:c r="E2311" s="25" t="n">
        <x:v>0</x:v>
      </x:c>
      <x:c r="F2311" s="25" t="n">
        <x:v>0</x:v>
      </x:c>
      <x:c r="G2311" s="19" t="n">
        <x:f>SUM(D2311:F2311)</x:f>
        <x:v>6</x:v>
      </x:c>
      <x:c r="H2311" s="25" t="n">
        <x:v>0</x:v>
      </x:c>
      <x:c r="I2311" s="25" t="n">
        <x:v>1</x:v>
      </x:c>
      <x:c r="J2311" s="25" t="n">
        <x:v>1</x:v>
      </x:c>
      <x:c r="K2311" s="19" t="n">
        <x:f>D2311-IF(H2311=0,1,0)</x:f>
        <x:v>5</x:v>
      </x:c>
      <x:c r="L2311" s="19" t="n">
        <x:f>E2311-IF(H2311=1,1,0)</x:f>
        <x:v>0</x:v>
      </x:c>
      <x:c r="M2311" s="19" t="n">
        <x:f>F2311-IF(H2311=2,1,0)</x:f>
        <x:v>0</x:v>
      </x:c>
      <x:c r="N2311" s="19" t="n">
        <x:f>MAX(K2311-1,0)+MAX(L2311-1,0)+MAX(M2311-1,0)</x:f>
        <x:v>4</x:v>
      </x:c>
      <x:c r="O2311" s="19" t="n">
        <x:f>IF(AND(SUM(K2311:M2311)&lt;9,OR(M2311=0,N2311&lt;6)),1,0)</x:f>
        <x:v>1</x:v>
      </x:c>
      <x:c r="P2311" s="19" t="n">
        <x:f>IF(AND(SUM(K2311:M2311)&lt;9,OR(L2311=0,N2311&lt;6)),1,0)</x:f>
        <x:v>1</x:v>
      </x:c>
      <x:c r="Q2311" s="19" t="n">
        <x:f>IF(AND(SUM(K2311:M2311)&lt;9,OR(K2311=0,N2311&lt;6)),1,0)</x:f>
        <x:v>1</x:v>
      </x:c>
      <x:c r="R2311" s="22" t="str">
        <x:f>O2311&amp;P2311&amp;Q2311</x:f>
        <x:v>111</x:v>
      </x:c>
      <x:c r="S2311" s="19" t="n">
        <x:f>IF(I2311=1,IF(J2311=0,Q2311,IF(J2311=1,P2311,IF(J2311=2,O2311,0))),0)</x:f>
        <x:v>1</x:v>
      </x:c>
      <x:c r="T2311" s="19" t="n">
        <x:f>K2311+IF(AND(S2311=1,J2311=0),1,0)</x:f>
        <x:v>5</x:v>
      </x:c>
      <x:c r="U2311" s="19" t="n">
        <x:f>L2311+IF(AND(S2311=1,J2311=1),1,0)</x:f>
        <x:v>1</x:v>
      </x:c>
      <x:c r="V2311" s="19" t="n">
        <x:f>M2311+IF(AND(S2311=1,J2311=2),1,0)</x:f>
        <x:v>0</x:v>
      </x:c>
      <x:c r="W2311" s="19" t="n">
        <x:f>SUM(T2311:V2311)</x:f>
        <x:v>6</x:v>
      </x:c>
      <x:c r="X2311" s="19" t="n">
        <x:f>W2311-G2311</x:f>
        <x:v>0</x:v>
      </x:c>
      <x:c r="Y2311" s="19" t="n">
        <x:f>MAX(T2311,1)+MAX(U2311,1)+MAX(V2311,1)</x:f>
        <x:v>7</x:v>
      </x:c>
      <x:c r="Z2311" s="21" t="str">
        <x:f>IF(AND(MIN(D2311:F2311)&gt;=0,MAX(D2311:F2311)&lt;=7,MAX(D2311,1)+MAX(E2311,1)+MAX(F2311,1)&lt;=9,OR(H2311="-",AND(H2311=0,D2311&gt;0),AND(H2311=1,E2311&gt;0),AND(H2311=2,F2311&gt;0)),OR(I2311=0,AND(I2311=1,OR(J2311=0,J2311=1,J2311=2),R2311&lt;&gt;"000")),Y2311&lt;=9,MIN(T2311:V2311)&gt;=0),"合法","输入违约")</x:f>
        <x:v>合法</x:v>
      </x:c>
    </x:row>
    <x:row r="2312" ht="23" customHeight="1">
      <x:c r="A2312" s="3" t="str">
        <x:v>CT-2305</x:v>
      </x:c>
      <x:c r="B2312" s="3" t="str">
        <x:v>ST-084</x:v>
      </x:c>
      <x:c r="C2312" s="3" t="str">
        <x:v>R+AR同收同发</x:v>
      </x:c>
      <x:c r="D2312" s="25" t="n">
        <x:v>6</x:v>
      </x:c>
      <x:c r="E2312" s="25" t="n">
        <x:v>0</x:v>
      </x:c>
      <x:c r="F2312" s="25" t="n">
        <x:v>0</x:v>
      </x:c>
      <x:c r="G2312" s="19" t="n">
        <x:f>SUM(D2312:F2312)</x:f>
        <x:v>6</x:v>
      </x:c>
      <x:c r="H2312" s="25" t="n">
        <x:v>0</x:v>
      </x:c>
      <x:c r="I2312" s="25" t="n">
        <x:v>1</x:v>
      </x:c>
      <x:c r="J2312" s="25" t="n">
        <x:v>2</x:v>
      </x:c>
      <x:c r="K2312" s="19" t="n">
        <x:f>D2312-IF(H2312=0,1,0)</x:f>
        <x:v>5</x:v>
      </x:c>
      <x:c r="L2312" s="19" t="n">
        <x:f>E2312-IF(H2312=1,1,0)</x:f>
        <x:v>0</x:v>
      </x:c>
      <x:c r="M2312" s="19" t="n">
        <x:f>F2312-IF(H2312=2,1,0)</x:f>
        <x:v>0</x:v>
      </x:c>
      <x:c r="N2312" s="19" t="n">
        <x:f>MAX(K2312-1,0)+MAX(L2312-1,0)+MAX(M2312-1,0)</x:f>
        <x:v>4</x:v>
      </x:c>
      <x:c r="O2312" s="19" t="n">
        <x:f>IF(AND(SUM(K2312:M2312)&lt;9,OR(M2312=0,N2312&lt;6)),1,0)</x:f>
        <x:v>1</x:v>
      </x:c>
      <x:c r="P2312" s="19" t="n">
        <x:f>IF(AND(SUM(K2312:M2312)&lt;9,OR(L2312=0,N2312&lt;6)),1,0)</x:f>
        <x:v>1</x:v>
      </x:c>
      <x:c r="Q2312" s="19" t="n">
        <x:f>IF(AND(SUM(K2312:M2312)&lt;9,OR(K2312=0,N2312&lt;6)),1,0)</x:f>
        <x:v>1</x:v>
      </x:c>
      <x:c r="R2312" s="22" t="str">
        <x:f>O2312&amp;P2312&amp;Q2312</x:f>
        <x:v>111</x:v>
      </x:c>
      <x:c r="S2312" s="19" t="n">
        <x:f>IF(I2312=1,IF(J2312=0,Q2312,IF(J2312=1,P2312,IF(J2312=2,O2312,0))),0)</x:f>
        <x:v>1</x:v>
      </x:c>
      <x:c r="T2312" s="19" t="n">
        <x:f>K2312+IF(AND(S2312=1,J2312=0),1,0)</x:f>
        <x:v>5</x:v>
      </x:c>
      <x:c r="U2312" s="19" t="n">
        <x:f>L2312+IF(AND(S2312=1,J2312=1),1,0)</x:f>
        <x:v>0</x:v>
      </x:c>
      <x:c r="V2312" s="19" t="n">
        <x:f>M2312+IF(AND(S2312=1,J2312=2),1,0)</x:f>
        <x:v>1</x:v>
      </x:c>
      <x:c r="W2312" s="19" t="n">
        <x:f>SUM(T2312:V2312)</x:f>
        <x:v>6</x:v>
      </x:c>
      <x:c r="X2312" s="19" t="n">
        <x:f>W2312-G2312</x:f>
        <x:v>0</x:v>
      </x:c>
      <x:c r="Y2312" s="19" t="n">
        <x:f>MAX(T2312,1)+MAX(U2312,1)+MAX(V2312,1)</x:f>
        <x:v>7</x:v>
      </x:c>
      <x:c r="Z2312" s="21" t="str">
        <x:f>IF(AND(MIN(D2312:F2312)&gt;=0,MAX(D2312:F2312)&lt;=7,MAX(D2312,1)+MAX(E2312,1)+MAX(F2312,1)&lt;=9,OR(H2312="-",AND(H2312=0,D2312&gt;0),AND(H2312=1,E2312&gt;0),AND(H2312=2,F2312&gt;0)),OR(I2312=0,AND(I2312=1,OR(J2312=0,J2312=1,J2312=2),R2312&lt;&gt;"000")),Y2312&lt;=9,MIN(T2312:V2312)&gt;=0),"合法","输入违约")</x:f>
        <x:v>合法</x:v>
      </x:c>
    </x:row>
    <x:row r="2313" ht="23" customHeight="1">
      <x:c r="A2313" s="3" t="str">
        <x:v>CT-2306</x:v>
      </x:c>
      <x:c r="B2313" s="3" t="str">
        <x:v>ST-118</x:v>
      </x:c>
      <x:c r="C2313" s="3" t="str">
        <x:v>无AR/R</x:v>
      </x:c>
      <x:c r="D2313" s="25" t="n">
        <x:v>6</x:v>
      </x:c>
      <x:c r="E2313" s="25" t="n">
        <x:v>0</x:v>
      </x:c>
      <x:c r="F2313" s="25" t="n">
        <x:v>1</x:v>
      </x:c>
      <x:c r="G2313" s="19" t="n">
        <x:f>SUM(D2313:F2313)</x:f>
        <x:v>7</x:v>
      </x:c>
      <x:c r="H2313" s="25" t="str">
        <x:v>-</x:v>
      </x:c>
      <x:c r="I2313" s="25" t="n">
        <x:v>0</x:v>
      </x:c>
      <x:c r="J2313" s="25" t="str">
        <x:v>-</x:v>
      </x:c>
      <x:c r="K2313" s="19" t="n">
        <x:f>D2313-IF(H2313=0,1,0)</x:f>
        <x:v>6</x:v>
      </x:c>
      <x:c r="L2313" s="19" t="n">
        <x:f>E2313-IF(H2313=1,1,0)</x:f>
        <x:v>0</x:v>
      </x:c>
      <x:c r="M2313" s="19" t="n">
        <x:f>F2313-IF(H2313=2,1,0)</x:f>
        <x:v>1</x:v>
      </x:c>
      <x:c r="N2313" s="19" t="n">
        <x:f>MAX(K2313-1,0)+MAX(L2313-1,0)+MAX(M2313-1,0)</x:f>
        <x:v>5</x:v>
      </x:c>
      <x:c r="O2313" s="19" t="n">
        <x:f>IF(AND(SUM(K2313:M2313)&lt;9,OR(M2313=0,N2313&lt;6)),1,0)</x:f>
        <x:v>1</x:v>
      </x:c>
      <x:c r="P2313" s="19" t="n">
        <x:f>IF(AND(SUM(K2313:M2313)&lt;9,OR(L2313=0,N2313&lt;6)),1,0)</x:f>
        <x:v>1</x:v>
      </x:c>
      <x:c r="Q2313" s="19" t="n">
        <x:f>IF(AND(SUM(K2313:M2313)&lt;9,OR(K2313=0,N2313&lt;6)),1,0)</x:f>
        <x:v>1</x:v>
      </x:c>
      <x:c r="R2313" s="22" t="str">
        <x:f>O2313&amp;P2313&amp;Q2313</x:f>
        <x:v>111</x:v>
      </x:c>
      <x:c r="S2313" s="19" t="n">
        <x:f>IF(I2313=1,IF(J2313=0,Q2313,IF(J2313=1,P2313,IF(J2313=2,O2313,0))),0)</x:f>
        <x:v>0</x:v>
      </x:c>
      <x:c r="T2313" s="19" t="n">
        <x:f>K2313+IF(AND(S2313=1,J2313=0),1,0)</x:f>
        <x:v>6</x:v>
      </x:c>
      <x:c r="U2313" s="19" t="n">
        <x:f>L2313+IF(AND(S2313=1,J2313=1),1,0)</x:f>
        <x:v>0</x:v>
      </x:c>
      <x:c r="V2313" s="19" t="n">
        <x:f>M2313+IF(AND(S2313=1,J2313=2),1,0)</x:f>
        <x:v>1</x:v>
      </x:c>
      <x:c r="W2313" s="19" t="n">
        <x:f>SUM(T2313:V2313)</x:f>
        <x:v>7</x:v>
      </x:c>
      <x:c r="X2313" s="19" t="n">
        <x:f>W2313-G2313</x:f>
        <x:v>0</x:v>
      </x:c>
      <x:c r="Y2313" s="19" t="n">
        <x:f>MAX(T2313,1)+MAX(U2313,1)+MAX(V2313,1)</x:f>
        <x:v>8</x:v>
      </x:c>
      <x:c r="Z2313" s="21" t="str">
        <x:f>IF(AND(MIN(D2313:F2313)&gt;=0,MAX(D2313:F2313)&lt;=7,MAX(D2313,1)+MAX(E2313,1)+MAX(F2313,1)&lt;=9,OR(H2313="-",AND(H2313=0,D2313&gt;0),AND(H2313=1,E2313&gt;0),AND(H2313=2,F2313&gt;0)),OR(I2313=0,AND(I2313=1,OR(J2313=0,J2313=1,J2313=2),R2313&lt;&gt;"000")),Y2313&lt;=9,MIN(T2313:V2313)&gt;=0),"合法","输入违约")</x:f>
        <x:v>合法</x:v>
      </x:c>
    </x:row>
    <x:row r="2314" ht="23" customHeight="1">
      <x:c r="A2314" s="3" t="str">
        <x:v>CT-2307</x:v>
      </x:c>
      <x:c r="B2314" s="3" t="str">
        <x:v>ST-118</x:v>
      </x:c>
      <x:c r="C2314" s="3" t="str">
        <x:v>仅AR接收</x:v>
      </x:c>
      <x:c r="D2314" s="25" t="n">
        <x:v>6</x:v>
      </x:c>
      <x:c r="E2314" s="25" t="n">
        <x:v>0</x:v>
      </x:c>
      <x:c r="F2314" s="25" t="n">
        <x:v>1</x:v>
      </x:c>
      <x:c r="G2314" s="19" t="n">
        <x:f>SUM(D2314:F2314)</x:f>
        <x:v>7</x:v>
      </x:c>
      <x:c r="H2314" s="25" t="str">
        <x:v>-</x:v>
      </x:c>
      <x:c r="I2314" s="25" t="n">
        <x:v>1</x:v>
      </x:c>
      <x:c r="J2314" s="25" t="n">
        <x:v>0</x:v>
      </x:c>
      <x:c r="K2314" s="19" t="n">
        <x:f>D2314-IF(H2314=0,1,0)</x:f>
        <x:v>6</x:v>
      </x:c>
      <x:c r="L2314" s="19" t="n">
        <x:f>E2314-IF(H2314=1,1,0)</x:f>
        <x:v>0</x:v>
      </x:c>
      <x:c r="M2314" s="19" t="n">
        <x:f>F2314-IF(H2314=2,1,0)</x:f>
        <x:v>1</x:v>
      </x:c>
      <x:c r="N2314" s="19" t="n">
        <x:f>MAX(K2314-1,0)+MAX(L2314-1,0)+MAX(M2314-1,0)</x:f>
        <x:v>5</x:v>
      </x:c>
      <x:c r="O2314" s="19" t="n">
        <x:f>IF(AND(SUM(K2314:M2314)&lt;9,OR(M2314=0,N2314&lt;6)),1,0)</x:f>
        <x:v>1</x:v>
      </x:c>
      <x:c r="P2314" s="19" t="n">
        <x:f>IF(AND(SUM(K2314:M2314)&lt;9,OR(L2314=0,N2314&lt;6)),1,0)</x:f>
        <x:v>1</x:v>
      </x:c>
      <x:c r="Q2314" s="19" t="n">
        <x:f>IF(AND(SUM(K2314:M2314)&lt;9,OR(K2314=0,N2314&lt;6)),1,0)</x:f>
        <x:v>1</x:v>
      </x:c>
      <x:c r="R2314" s="22" t="str">
        <x:f>O2314&amp;P2314&amp;Q2314</x:f>
        <x:v>111</x:v>
      </x:c>
      <x:c r="S2314" s="19" t="n">
        <x:f>IF(I2314=1,IF(J2314=0,Q2314,IF(J2314=1,P2314,IF(J2314=2,O2314,0))),0)</x:f>
        <x:v>1</x:v>
      </x:c>
      <x:c r="T2314" s="19" t="n">
        <x:f>K2314+IF(AND(S2314=1,J2314=0),1,0)</x:f>
        <x:v>7</x:v>
      </x:c>
      <x:c r="U2314" s="19" t="n">
        <x:f>L2314+IF(AND(S2314=1,J2314=1),1,0)</x:f>
        <x:v>0</x:v>
      </x:c>
      <x:c r="V2314" s="19" t="n">
        <x:f>M2314+IF(AND(S2314=1,J2314=2),1,0)</x:f>
        <x:v>1</x:v>
      </x:c>
      <x:c r="W2314" s="19" t="n">
        <x:f>SUM(T2314:V2314)</x:f>
        <x:v>8</x:v>
      </x:c>
      <x:c r="X2314" s="19" t="n">
        <x:f>W2314-G2314</x:f>
        <x:v>1</x:v>
      </x:c>
      <x:c r="Y2314" s="19" t="n">
        <x:f>MAX(T2314,1)+MAX(U2314,1)+MAX(V2314,1)</x:f>
        <x:v>9</x:v>
      </x:c>
      <x:c r="Z2314" s="21" t="str">
        <x:f>IF(AND(MIN(D2314:F2314)&gt;=0,MAX(D2314:F2314)&lt;=7,MAX(D2314,1)+MAX(E2314,1)+MAX(F2314,1)&lt;=9,OR(H2314="-",AND(H2314=0,D2314&gt;0),AND(H2314=1,E2314&gt;0),AND(H2314=2,F2314&gt;0)),OR(I2314=0,AND(I2314=1,OR(J2314=0,J2314=1,J2314=2),R2314&lt;&gt;"000")),Y2314&lt;=9,MIN(T2314:V2314)&gt;=0),"合法","输入违约")</x:f>
        <x:v>合法</x:v>
      </x:c>
    </x:row>
    <x:row r="2315" ht="23" customHeight="1">
      <x:c r="A2315" s="3" t="str">
        <x:v>CT-2308</x:v>
      </x:c>
      <x:c r="B2315" s="3" t="str">
        <x:v>ST-118</x:v>
      </x:c>
      <x:c r="C2315" s="3" t="str">
        <x:v>仅AR接收</x:v>
      </x:c>
      <x:c r="D2315" s="25" t="n">
        <x:v>6</x:v>
      </x:c>
      <x:c r="E2315" s="25" t="n">
        <x:v>0</x:v>
      </x:c>
      <x:c r="F2315" s="25" t="n">
        <x:v>1</x:v>
      </x:c>
      <x:c r="G2315" s="19" t="n">
        <x:f>SUM(D2315:F2315)</x:f>
        <x:v>7</x:v>
      </x:c>
      <x:c r="H2315" s="25" t="str">
        <x:v>-</x:v>
      </x:c>
      <x:c r="I2315" s="25" t="n">
        <x:v>1</x:v>
      </x:c>
      <x:c r="J2315" s="25" t="n">
        <x:v>1</x:v>
      </x:c>
      <x:c r="K2315" s="19" t="n">
        <x:f>D2315-IF(H2315=0,1,0)</x:f>
        <x:v>6</x:v>
      </x:c>
      <x:c r="L2315" s="19" t="n">
        <x:f>E2315-IF(H2315=1,1,0)</x:f>
        <x:v>0</x:v>
      </x:c>
      <x:c r="M2315" s="19" t="n">
        <x:f>F2315-IF(H2315=2,1,0)</x:f>
        <x:v>1</x:v>
      </x:c>
      <x:c r="N2315" s="19" t="n">
        <x:f>MAX(K2315-1,0)+MAX(L2315-1,0)+MAX(M2315-1,0)</x:f>
        <x:v>5</x:v>
      </x:c>
      <x:c r="O2315" s="19" t="n">
        <x:f>IF(AND(SUM(K2315:M2315)&lt;9,OR(M2315=0,N2315&lt;6)),1,0)</x:f>
        <x:v>1</x:v>
      </x:c>
      <x:c r="P2315" s="19" t="n">
        <x:f>IF(AND(SUM(K2315:M2315)&lt;9,OR(L2315=0,N2315&lt;6)),1,0)</x:f>
        <x:v>1</x:v>
      </x:c>
      <x:c r="Q2315" s="19" t="n">
        <x:f>IF(AND(SUM(K2315:M2315)&lt;9,OR(K2315=0,N2315&lt;6)),1,0)</x:f>
        <x:v>1</x:v>
      </x:c>
      <x:c r="R2315" s="22" t="str">
        <x:f>O2315&amp;P2315&amp;Q2315</x:f>
        <x:v>111</x:v>
      </x:c>
      <x:c r="S2315" s="19" t="n">
        <x:f>IF(I2315=1,IF(J2315=0,Q2315,IF(J2315=1,P2315,IF(J2315=2,O2315,0))),0)</x:f>
        <x:v>1</x:v>
      </x:c>
      <x:c r="T2315" s="19" t="n">
        <x:f>K2315+IF(AND(S2315=1,J2315=0),1,0)</x:f>
        <x:v>6</x:v>
      </x:c>
      <x:c r="U2315" s="19" t="n">
        <x:f>L2315+IF(AND(S2315=1,J2315=1),1,0)</x:f>
        <x:v>1</x:v>
      </x:c>
      <x:c r="V2315" s="19" t="n">
        <x:f>M2315+IF(AND(S2315=1,J2315=2),1,0)</x:f>
        <x:v>1</x:v>
      </x:c>
      <x:c r="W2315" s="19" t="n">
        <x:f>SUM(T2315:V2315)</x:f>
        <x:v>8</x:v>
      </x:c>
      <x:c r="X2315" s="19" t="n">
        <x:f>W2315-G2315</x:f>
        <x:v>1</x:v>
      </x:c>
      <x:c r="Y2315" s="19" t="n">
        <x:f>MAX(T2315,1)+MAX(U2315,1)+MAX(V2315,1)</x:f>
        <x:v>8</x:v>
      </x:c>
      <x:c r="Z2315" s="21" t="str">
        <x:f>IF(AND(MIN(D2315:F2315)&gt;=0,MAX(D2315:F2315)&lt;=7,MAX(D2315,1)+MAX(E2315,1)+MAX(F2315,1)&lt;=9,OR(H2315="-",AND(H2315=0,D2315&gt;0),AND(H2315=1,E2315&gt;0),AND(H2315=2,F2315&gt;0)),OR(I2315=0,AND(I2315=1,OR(J2315=0,J2315=1,J2315=2),R2315&lt;&gt;"000")),Y2315&lt;=9,MIN(T2315:V2315)&gt;=0),"合法","输入违约")</x:f>
        <x:v>合法</x:v>
      </x:c>
    </x:row>
    <x:row r="2316" ht="23" customHeight="1">
      <x:c r="A2316" s="3" t="str">
        <x:v>CT-2309</x:v>
      </x:c>
      <x:c r="B2316" s="3" t="str">
        <x:v>ST-118</x:v>
      </x:c>
      <x:c r="C2316" s="3" t="str">
        <x:v>仅AR接收</x:v>
      </x:c>
      <x:c r="D2316" s="25" t="n">
        <x:v>6</x:v>
      </x:c>
      <x:c r="E2316" s="25" t="n">
        <x:v>0</x:v>
      </x:c>
      <x:c r="F2316" s="25" t="n">
        <x:v>1</x:v>
      </x:c>
      <x:c r="G2316" s="19" t="n">
        <x:f>SUM(D2316:F2316)</x:f>
        <x:v>7</x:v>
      </x:c>
      <x:c r="H2316" s="25" t="str">
        <x:v>-</x:v>
      </x:c>
      <x:c r="I2316" s="25" t="n">
        <x:v>1</x:v>
      </x:c>
      <x:c r="J2316" s="25" t="n">
        <x:v>2</x:v>
      </x:c>
      <x:c r="K2316" s="19" t="n">
        <x:f>D2316-IF(H2316=0,1,0)</x:f>
        <x:v>6</x:v>
      </x:c>
      <x:c r="L2316" s="19" t="n">
        <x:f>E2316-IF(H2316=1,1,0)</x:f>
        <x:v>0</x:v>
      </x:c>
      <x:c r="M2316" s="19" t="n">
        <x:f>F2316-IF(H2316=2,1,0)</x:f>
        <x:v>1</x:v>
      </x:c>
      <x:c r="N2316" s="19" t="n">
        <x:f>MAX(K2316-1,0)+MAX(L2316-1,0)+MAX(M2316-1,0)</x:f>
        <x:v>5</x:v>
      </x:c>
      <x:c r="O2316" s="19" t="n">
        <x:f>IF(AND(SUM(K2316:M2316)&lt;9,OR(M2316=0,N2316&lt;6)),1,0)</x:f>
        <x:v>1</x:v>
      </x:c>
      <x:c r="P2316" s="19" t="n">
        <x:f>IF(AND(SUM(K2316:M2316)&lt;9,OR(L2316=0,N2316&lt;6)),1,0)</x:f>
        <x:v>1</x:v>
      </x:c>
      <x:c r="Q2316" s="19" t="n">
        <x:f>IF(AND(SUM(K2316:M2316)&lt;9,OR(K2316=0,N2316&lt;6)),1,0)</x:f>
        <x:v>1</x:v>
      </x:c>
      <x:c r="R2316" s="22" t="str">
        <x:f>O2316&amp;P2316&amp;Q2316</x:f>
        <x:v>111</x:v>
      </x:c>
      <x:c r="S2316" s="19" t="n">
        <x:f>IF(I2316=1,IF(J2316=0,Q2316,IF(J2316=1,P2316,IF(J2316=2,O2316,0))),0)</x:f>
        <x:v>1</x:v>
      </x:c>
      <x:c r="T2316" s="19" t="n">
        <x:f>K2316+IF(AND(S2316=1,J2316=0),1,0)</x:f>
        <x:v>6</x:v>
      </x:c>
      <x:c r="U2316" s="19" t="n">
        <x:f>L2316+IF(AND(S2316=1,J2316=1),1,0)</x:f>
        <x:v>0</x:v>
      </x:c>
      <x:c r="V2316" s="19" t="n">
        <x:f>M2316+IF(AND(S2316=1,J2316=2),1,0)</x:f>
        <x:v>2</x:v>
      </x:c>
      <x:c r="W2316" s="19" t="n">
        <x:f>SUM(T2316:V2316)</x:f>
        <x:v>8</x:v>
      </x:c>
      <x:c r="X2316" s="19" t="n">
        <x:f>W2316-G2316</x:f>
        <x:v>1</x:v>
      </x:c>
      <x:c r="Y2316" s="19" t="n">
        <x:f>MAX(T2316,1)+MAX(U2316,1)+MAX(V2316,1)</x:f>
        <x:v>9</x:v>
      </x:c>
      <x:c r="Z2316" s="21" t="str">
        <x:f>IF(AND(MIN(D2316:F2316)&gt;=0,MAX(D2316:F2316)&lt;=7,MAX(D2316,1)+MAX(E2316,1)+MAX(F2316,1)&lt;=9,OR(H2316="-",AND(H2316=0,D2316&gt;0),AND(H2316=1,E2316&gt;0),AND(H2316=2,F2316&gt;0)),OR(I2316=0,AND(I2316=1,OR(J2316=0,J2316=1,J2316=2),R2316&lt;&gt;"000")),Y2316&lt;=9,MIN(T2316:V2316)&gt;=0),"合法","输入违约")</x:f>
        <x:v>合法</x:v>
      </x:c>
    </x:row>
    <x:row r="2317" ht="23" customHeight="1">
      <x:c r="A2317" s="3" t="str">
        <x:v>CT-2310</x:v>
      </x:c>
      <x:c r="B2317" s="3" t="str">
        <x:v>ST-118</x:v>
      </x:c>
      <x:c r="C2317" s="3" t="str">
        <x:v>仅R回收</x:v>
      </x:c>
      <x:c r="D2317" s="25" t="n">
        <x:v>6</x:v>
      </x:c>
      <x:c r="E2317" s="25" t="n">
        <x:v>0</x:v>
      </x:c>
      <x:c r="F2317" s="25" t="n">
        <x:v>1</x:v>
      </x:c>
      <x:c r="G2317" s="19" t="n">
        <x:f>SUM(D2317:F2317)</x:f>
        <x:v>7</x:v>
      </x:c>
      <x:c r="H2317" s="25" t="n">
        <x:v>0</x:v>
      </x:c>
      <x:c r="I2317" s="25" t="n">
        <x:v>0</x:v>
      </x:c>
      <x:c r="J2317" s="25" t="str">
        <x:v>-</x:v>
      </x:c>
      <x:c r="K2317" s="19" t="n">
        <x:f>D2317-IF(H2317=0,1,0)</x:f>
        <x:v>5</x:v>
      </x:c>
      <x:c r="L2317" s="19" t="n">
        <x:f>E2317-IF(H2317=1,1,0)</x:f>
        <x:v>0</x:v>
      </x:c>
      <x:c r="M2317" s="19" t="n">
        <x:f>F2317-IF(H2317=2,1,0)</x:f>
        <x:v>1</x:v>
      </x:c>
      <x:c r="N2317" s="19" t="n">
        <x:f>MAX(K2317-1,0)+MAX(L2317-1,0)+MAX(M2317-1,0)</x:f>
        <x:v>4</x:v>
      </x:c>
      <x:c r="O2317" s="19" t="n">
        <x:f>IF(AND(SUM(K2317:M2317)&lt;9,OR(M2317=0,N2317&lt;6)),1,0)</x:f>
        <x:v>1</x:v>
      </x:c>
      <x:c r="P2317" s="19" t="n">
        <x:f>IF(AND(SUM(K2317:M2317)&lt;9,OR(L2317=0,N2317&lt;6)),1,0)</x:f>
        <x:v>1</x:v>
      </x:c>
      <x:c r="Q2317" s="19" t="n">
        <x:f>IF(AND(SUM(K2317:M2317)&lt;9,OR(K2317=0,N2317&lt;6)),1,0)</x:f>
        <x:v>1</x:v>
      </x:c>
      <x:c r="R2317" s="22" t="str">
        <x:f>O2317&amp;P2317&amp;Q2317</x:f>
        <x:v>111</x:v>
      </x:c>
      <x:c r="S2317" s="19" t="n">
        <x:f>IF(I2317=1,IF(J2317=0,Q2317,IF(J2317=1,P2317,IF(J2317=2,O2317,0))),0)</x:f>
        <x:v>0</x:v>
      </x:c>
      <x:c r="T2317" s="19" t="n">
        <x:f>K2317+IF(AND(S2317=1,J2317=0),1,0)</x:f>
        <x:v>5</x:v>
      </x:c>
      <x:c r="U2317" s="19" t="n">
        <x:f>L2317+IF(AND(S2317=1,J2317=1),1,0)</x:f>
        <x:v>0</x:v>
      </x:c>
      <x:c r="V2317" s="19" t="n">
        <x:f>M2317+IF(AND(S2317=1,J2317=2),1,0)</x:f>
        <x:v>1</x:v>
      </x:c>
      <x:c r="W2317" s="19" t="n">
        <x:f>SUM(T2317:V2317)</x:f>
        <x:v>6</x:v>
      </x:c>
      <x:c r="X2317" s="19" t="n">
        <x:f>W2317-G2317</x:f>
        <x:v>-1</x:v>
      </x:c>
      <x:c r="Y2317" s="19" t="n">
        <x:f>MAX(T2317,1)+MAX(U2317,1)+MAX(V2317,1)</x:f>
        <x:v>7</x:v>
      </x:c>
      <x:c r="Z2317" s="21" t="str">
        <x:f>IF(AND(MIN(D2317:F2317)&gt;=0,MAX(D2317:F2317)&lt;=7,MAX(D2317,1)+MAX(E2317,1)+MAX(F2317,1)&lt;=9,OR(H2317="-",AND(H2317=0,D2317&gt;0),AND(H2317=1,E2317&gt;0),AND(H2317=2,F2317&gt;0)),OR(I2317=0,AND(I2317=1,OR(J2317=0,J2317=1,J2317=2),R2317&lt;&gt;"000")),Y2317&lt;=9,MIN(T2317:V2317)&gt;=0),"合法","输入违约")</x:f>
        <x:v>合法</x:v>
      </x:c>
    </x:row>
    <x:row r="2318" ht="23" customHeight="1">
      <x:c r="A2318" s="3" t="str">
        <x:v>CT-2311</x:v>
      </x:c>
      <x:c r="B2318" s="3" t="str">
        <x:v>ST-118</x:v>
      </x:c>
      <x:c r="C2318" s="3" t="str">
        <x:v>R+AR同收同发</x:v>
      </x:c>
      <x:c r="D2318" s="25" t="n">
        <x:v>6</x:v>
      </x:c>
      <x:c r="E2318" s="25" t="n">
        <x:v>0</x:v>
      </x:c>
      <x:c r="F2318" s="25" t="n">
        <x:v>1</x:v>
      </x:c>
      <x:c r="G2318" s="19" t="n">
        <x:f>SUM(D2318:F2318)</x:f>
        <x:v>7</x:v>
      </x:c>
      <x:c r="H2318" s="25" t="n">
        <x:v>0</x:v>
      </x:c>
      <x:c r="I2318" s="25" t="n">
        <x:v>1</x:v>
      </x:c>
      <x:c r="J2318" s="25" t="n">
        <x:v>0</x:v>
      </x:c>
      <x:c r="K2318" s="19" t="n">
        <x:f>D2318-IF(H2318=0,1,0)</x:f>
        <x:v>5</x:v>
      </x:c>
      <x:c r="L2318" s="19" t="n">
        <x:f>E2318-IF(H2318=1,1,0)</x:f>
        <x:v>0</x:v>
      </x:c>
      <x:c r="M2318" s="19" t="n">
        <x:f>F2318-IF(H2318=2,1,0)</x:f>
        <x:v>1</x:v>
      </x:c>
      <x:c r="N2318" s="19" t="n">
        <x:f>MAX(K2318-1,0)+MAX(L2318-1,0)+MAX(M2318-1,0)</x:f>
        <x:v>4</x:v>
      </x:c>
      <x:c r="O2318" s="19" t="n">
        <x:f>IF(AND(SUM(K2318:M2318)&lt;9,OR(M2318=0,N2318&lt;6)),1,0)</x:f>
        <x:v>1</x:v>
      </x:c>
      <x:c r="P2318" s="19" t="n">
        <x:f>IF(AND(SUM(K2318:M2318)&lt;9,OR(L2318=0,N2318&lt;6)),1,0)</x:f>
        <x:v>1</x:v>
      </x:c>
      <x:c r="Q2318" s="19" t="n">
        <x:f>IF(AND(SUM(K2318:M2318)&lt;9,OR(K2318=0,N2318&lt;6)),1,0)</x:f>
        <x:v>1</x:v>
      </x:c>
      <x:c r="R2318" s="22" t="str">
        <x:f>O2318&amp;P2318&amp;Q2318</x:f>
        <x:v>111</x:v>
      </x:c>
      <x:c r="S2318" s="19" t="n">
        <x:f>IF(I2318=1,IF(J2318=0,Q2318,IF(J2318=1,P2318,IF(J2318=2,O2318,0))),0)</x:f>
        <x:v>1</x:v>
      </x:c>
      <x:c r="T2318" s="19" t="n">
        <x:f>K2318+IF(AND(S2318=1,J2318=0),1,0)</x:f>
        <x:v>6</x:v>
      </x:c>
      <x:c r="U2318" s="19" t="n">
        <x:f>L2318+IF(AND(S2318=1,J2318=1),1,0)</x:f>
        <x:v>0</x:v>
      </x:c>
      <x:c r="V2318" s="19" t="n">
        <x:f>M2318+IF(AND(S2318=1,J2318=2),1,0)</x:f>
        <x:v>1</x:v>
      </x:c>
      <x:c r="W2318" s="19" t="n">
        <x:f>SUM(T2318:V2318)</x:f>
        <x:v>7</x:v>
      </x:c>
      <x:c r="X2318" s="19" t="n">
        <x:f>W2318-G2318</x:f>
        <x:v>0</x:v>
      </x:c>
      <x:c r="Y2318" s="19" t="n">
        <x:f>MAX(T2318,1)+MAX(U2318,1)+MAX(V2318,1)</x:f>
        <x:v>8</x:v>
      </x:c>
      <x:c r="Z2318" s="21" t="str">
        <x:f>IF(AND(MIN(D2318:F2318)&gt;=0,MAX(D2318:F2318)&lt;=7,MAX(D2318,1)+MAX(E2318,1)+MAX(F2318,1)&lt;=9,OR(H2318="-",AND(H2318=0,D2318&gt;0),AND(H2318=1,E2318&gt;0),AND(H2318=2,F2318&gt;0)),OR(I2318=0,AND(I2318=1,OR(J2318=0,J2318=1,J2318=2),R2318&lt;&gt;"000")),Y2318&lt;=9,MIN(T2318:V2318)&gt;=0),"合法","输入违约")</x:f>
        <x:v>合法</x:v>
      </x:c>
    </x:row>
    <x:row r="2319" ht="23" customHeight="1">
      <x:c r="A2319" s="3" t="str">
        <x:v>CT-2312</x:v>
      </x:c>
      <x:c r="B2319" s="3" t="str">
        <x:v>ST-118</x:v>
      </x:c>
      <x:c r="C2319" s="3" t="str">
        <x:v>R+AR同收同发</x:v>
      </x:c>
      <x:c r="D2319" s="25" t="n">
        <x:v>6</x:v>
      </x:c>
      <x:c r="E2319" s="25" t="n">
        <x:v>0</x:v>
      </x:c>
      <x:c r="F2319" s="25" t="n">
        <x:v>1</x:v>
      </x:c>
      <x:c r="G2319" s="19" t="n">
        <x:f>SUM(D2319:F2319)</x:f>
        <x:v>7</x:v>
      </x:c>
      <x:c r="H2319" s="25" t="n">
        <x:v>0</x:v>
      </x:c>
      <x:c r="I2319" s="25" t="n">
        <x:v>1</x:v>
      </x:c>
      <x:c r="J2319" s="25" t="n">
        <x:v>1</x:v>
      </x:c>
      <x:c r="K2319" s="19" t="n">
        <x:f>D2319-IF(H2319=0,1,0)</x:f>
        <x:v>5</x:v>
      </x:c>
      <x:c r="L2319" s="19" t="n">
        <x:f>E2319-IF(H2319=1,1,0)</x:f>
        <x:v>0</x:v>
      </x:c>
      <x:c r="M2319" s="19" t="n">
        <x:f>F2319-IF(H2319=2,1,0)</x:f>
        <x:v>1</x:v>
      </x:c>
      <x:c r="N2319" s="19" t="n">
        <x:f>MAX(K2319-1,0)+MAX(L2319-1,0)+MAX(M2319-1,0)</x:f>
        <x:v>4</x:v>
      </x:c>
      <x:c r="O2319" s="19" t="n">
        <x:f>IF(AND(SUM(K2319:M2319)&lt;9,OR(M2319=0,N2319&lt;6)),1,0)</x:f>
        <x:v>1</x:v>
      </x:c>
      <x:c r="P2319" s="19" t="n">
        <x:f>IF(AND(SUM(K2319:M2319)&lt;9,OR(L2319=0,N2319&lt;6)),1,0)</x:f>
        <x:v>1</x:v>
      </x:c>
      <x:c r="Q2319" s="19" t="n">
        <x:f>IF(AND(SUM(K2319:M2319)&lt;9,OR(K2319=0,N2319&lt;6)),1,0)</x:f>
        <x:v>1</x:v>
      </x:c>
      <x:c r="R2319" s="22" t="str">
        <x:f>O2319&amp;P2319&amp;Q2319</x:f>
        <x:v>111</x:v>
      </x:c>
      <x:c r="S2319" s="19" t="n">
        <x:f>IF(I2319=1,IF(J2319=0,Q2319,IF(J2319=1,P2319,IF(J2319=2,O2319,0))),0)</x:f>
        <x:v>1</x:v>
      </x:c>
      <x:c r="T2319" s="19" t="n">
        <x:f>K2319+IF(AND(S2319=1,J2319=0),1,0)</x:f>
        <x:v>5</x:v>
      </x:c>
      <x:c r="U2319" s="19" t="n">
        <x:f>L2319+IF(AND(S2319=1,J2319=1),1,0)</x:f>
        <x:v>1</x:v>
      </x:c>
      <x:c r="V2319" s="19" t="n">
        <x:f>M2319+IF(AND(S2319=1,J2319=2),1,0)</x:f>
        <x:v>1</x:v>
      </x:c>
      <x:c r="W2319" s="19" t="n">
        <x:f>SUM(T2319:V2319)</x:f>
        <x:v>7</x:v>
      </x:c>
      <x:c r="X2319" s="19" t="n">
        <x:f>W2319-G2319</x:f>
        <x:v>0</x:v>
      </x:c>
      <x:c r="Y2319" s="19" t="n">
        <x:f>MAX(T2319,1)+MAX(U2319,1)+MAX(V2319,1)</x:f>
        <x:v>7</x:v>
      </x:c>
      <x:c r="Z2319" s="21" t="str">
        <x:f>IF(AND(MIN(D2319:F2319)&gt;=0,MAX(D2319:F2319)&lt;=7,MAX(D2319,1)+MAX(E2319,1)+MAX(F2319,1)&lt;=9,OR(H2319="-",AND(H2319=0,D2319&gt;0),AND(H2319=1,E2319&gt;0),AND(H2319=2,F2319&gt;0)),OR(I2319=0,AND(I2319=1,OR(J2319=0,J2319=1,J2319=2),R2319&lt;&gt;"000")),Y2319&lt;=9,MIN(T2319:V2319)&gt;=0),"合法","输入违约")</x:f>
        <x:v>合法</x:v>
      </x:c>
    </x:row>
    <x:row r="2320" ht="23" customHeight="1">
      <x:c r="A2320" s="3" t="str">
        <x:v>CT-2313</x:v>
      </x:c>
      <x:c r="B2320" s="3" t="str">
        <x:v>ST-118</x:v>
      </x:c>
      <x:c r="C2320" s="3" t="str">
        <x:v>R+AR同收同发</x:v>
      </x:c>
      <x:c r="D2320" s="25" t="n">
        <x:v>6</x:v>
      </x:c>
      <x:c r="E2320" s="25" t="n">
        <x:v>0</x:v>
      </x:c>
      <x:c r="F2320" s="25" t="n">
        <x:v>1</x:v>
      </x:c>
      <x:c r="G2320" s="19" t="n">
        <x:f>SUM(D2320:F2320)</x:f>
        <x:v>7</x:v>
      </x:c>
      <x:c r="H2320" s="25" t="n">
        <x:v>0</x:v>
      </x:c>
      <x:c r="I2320" s="25" t="n">
        <x:v>1</x:v>
      </x:c>
      <x:c r="J2320" s="25" t="n">
        <x:v>2</x:v>
      </x:c>
      <x:c r="K2320" s="19" t="n">
        <x:f>D2320-IF(H2320=0,1,0)</x:f>
        <x:v>5</x:v>
      </x:c>
      <x:c r="L2320" s="19" t="n">
        <x:f>E2320-IF(H2320=1,1,0)</x:f>
        <x:v>0</x:v>
      </x:c>
      <x:c r="M2320" s="19" t="n">
        <x:f>F2320-IF(H2320=2,1,0)</x:f>
        <x:v>1</x:v>
      </x:c>
      <x:c r="N2320" s="19" t="n">
        <x:f>MAX(K2320-1,0)+MAX(L2320-1,0)+MAX(M2320-1,0)</x:f>
        <x:v>4</x:v>
      </x:c>
      <x:c r="O2320" s="19" t="n">
        <x:f>IF(AND(SUM(K2320:M2320)&lt;9,OR(M2320=0,N2320&lt;6)),1,0)</x:f>
        <x:v>1</x:v>
      </x:c>
      <x:c r="P2320" s="19" t="n">
        <x:f>IF(AND(SUM(K2320:M2320)&lt;9,OR(L2320=0,N2320&lt;6)),1,0)</x:f>
        <x:v>1</x:v>
      </x:c>
      <x:c r="Q2320" s="19" t="n">
        <x:f>IF(AND(SUM(K2320:M2320)&lt;9,OR(K2320=0,N2320&lt;6)),1,0)</x:f>
        <x:v>1</x:v>
      </x:c>
      <x:c r="R2320" s="22" t="str">
        <x:f>O2320&amp;P2320&amp;Q2320</x:f>
        <x:v>111</x:v>
      </x:c>
      <x:c r="S2320" s="19" t="n">
        <x:f>IF(I2320=1,IF(J2320=0,Q2320,IF(J2320=1,P2320,IF(J2320=2,O2320,0))),0)</x:f>
        <x:v>1</x:v>
      </x:c>
      <x:c r="T2320" s="19" t="n">
        <x:f>K2320+IF(AND(S2320=1,J2320=0),1,0)</x:f>
        <x:v>5</x:v>
      </x:c>
      <x:c r="U2320" s="19" t="n">
        <x:f>L2320+IF(AND(S2320=1,J2320=1),1,0)</x:f>
        <x:v>0</x:v>
      </x:c>
      <x:c r="V2320" s="19" t="n">
        <x:f>M2320+IF(AND(S2320=1,J2320=2),1,0)</x:f>
        <x:v>2</x:v>
      </x:c>
      <x:c r="W2320" s="19" t="n">
        <x:f>SUM(T2320:V2320)</x:f>
        <x:v>7</x:v>
      </x:c>
      <x:c r="X2320" s="19" t="n">
        <x:f>W2320-G2320</x:f>
        <x:v>0</x:v>
      </x:c>
      <x:c r="Y2320" s="19" t="n">
        <x:f>MAX(T2320,1)+MAX(U2320,1)+MAX(V2320,1)</x:f>
        <x:v>8</x:v>
      </x:c>
      <x:c r="Z2320" s="21" t="str">
        <x:f>IF(AND(MIN(D2320:F2320)&gt;=0,MAX(D2320:F2320)&lt;=7,MAX(D2320,1)+MAX(E2320,1)+MAX(F2320,1)&lt;=9,OR(H2320="-",AND(H2320=0,D2320&gt;0),AND(H2320=1,E2320&gt;0),AND(H2320=2,F2320&gt;0)),OR(I2320=0,AND(I2320=1,OR(J2320=0,J2320=1,J2320=2),R2320&lt;&gt;"000")),Y2320&lt;=9,MIN(T2320:V2320)&gt;=0),"合法","输入违约")</x:f>
        <x:v>合法</x:v>
      </x:c>
    </x:row>
    <x:row r="2321" ht="23" customHeight="1">
      <x:c r="A2321" s="3" t="str">
        <x:v>CT-2314</x:v>
      </x:c>
      <x:c r="B2321" s="3" t="str">
        <x:v>ST-118</x:v>
      </x:c>
      <x:c r="C2321" s="3" t="str">
        <x:v>仅R回收</x:v>
      </x:c>
      <x:c r="D2321" s="25" t="n">
        <x:v>6</x:v>
      </x:c>
      <x:c r="E2321" s="25" t="n">
        <x:v>0</x:v>
      </x:c>
      <x:c r="F2321" s="25" t="n">
        <x:v>1</x:v>
      </x:c>
      <x:c r="G2321" s="19" t="n">
        <x:f>SUM(D2321:F2321)</x:f>
        <x:v>7</x:v>
      </x:c>
      <x:c r="H2321" s="25" t="n">
        <x:v>2</x:v>
      </x:c>
      <x:c r="I2321" s="25" t="n">
        <x:v>0</x:v>
      </x:c>
      <x:c r="J2321" s="25" t="str">
        <x:v>-</x:v>
      </x:c>
      <x:c r="K2321" s="19" t="n">
        <x:f>D2321-IF(H2321=0,1,0)</x:f>
        <x:v>6</x:v>
      </x:c>
      <x:c r="L2321" s="19" t="n">
        <x:f>E2321-IF(H2321=1,1,0)</x:f>
        <x:v>0</x:v>
      </x:c>
      <x:c r="M2321" s="19" t="n">
        <x:f>F2321-IF(H2321=2,1,0)</x:f>
        <x:v>0</x:v>
      </x:c>
      <x:c r="N2321" s="19" t="n">
        <x:f>MAX(K2321-1,0)+MAX(L2321-1,0)+MAX(M2321-1,0)</x:f>
        <x:v>5</x:v>
      </x:c>
      <x:c r="O2321" s="19" t="n">
        <x:f>IF(AND(SUM(K2321:M2321)&lt;9,OR(M2321=0,N2321&lt;6)),1,0)</x:f>
        <x:v>1</x:v>
      </x:c>
      <x:c r="P2321" s="19" t="n">
        <x:f>IF(AND(SUM(K2321:M2321)&lt;9,OR(L2321=0,N2321&lt;6)),1,0)</x:f>
        <x:v>1</x:v>
      </x:c>
      <x:c r="Q2321" s="19" t="n">
        <x:f>IF(AND(SUM(K2321:M2321)&lt;9,OR(K2321=0,N2321&lt;6)),1,0)</x:f>
        <x:v>1</x:v>
      </x:c>
      <x:c r="R2321" s="22" t="str">
        <x:f>O2321&amp;P2321&amp;Q2321</x:f>
        <x:v>111</x:v>
      </x:c>
      <x:c r="S2321" s="19" t="n">
        <x:f>IF(I2321=1,IF(J2321=0,Q2321,IF(J2321=1,P2321,IF(J2321=2,O2321,0))),0)</x:f>
        <x:v>0</x:v>
      </x:c>
      <x:c r="T2321" s="19" t="n">
        <x:f>K2321+IF(AND(S2321=1,J2321=0),1,0)</x:f>
        <x:v>6</x:v>
      </x:c>
      <x:c r="U2321" s="19" t="n">
        <x:f>L2321+IF(AND(S2321=1,J2321=1),1,0)</x:f>
        <x:v>0</x:v>
      </x:c>
      <x:c r="V2321" s="19" t="n">
        <x:f>M2321+IF(AND(S2321=1,J2321=2),1,0)</x:f>
        <x:v>0</x:v>
      </x:c>
      <x:c r="W2321" s="19" t="n">
        <x:f>SUM(T2321:V2321)</x:f>
        <x:v>6</x:v>
      </x:c>
      <x:c r="X2321" s="19" t="n">
        <x:f>W2321-G2321</x:f>
        <x:v>-1</x:v>
      </x:c>
      <x:c r="Y2321" s="19" t="n">
        <x:f>MAX(T2321,1)+MAX(U2321,1)+MAX(V2321,1)</x:f>
        <x:v>8</x:v>
      </x:c>
      <x:c r="Z2321" s="21" t="str">
        <x:f>IF(AND(MIN(D2321:F2321)&gt;=0,MAX(D2321:F2321)&lt;=7,MAX(D2321,1)+MAX(E2321,1)+MAX(F2321,1)&lt;=9,OR(H2321="-",AND(H2321=0,D2321&gt;0),AND(H2321=1,E2321&gt;0),AND(H2321=2,F2321&gt;0)),OR(I2321=0,AND(I2321=1,OR(J2321=0,J2321=1,J2321=2),R2321&lt;&gt;"000")),Y2321&lt;=9,MIN(T2321:V2321)&gt;=0),"合法","输入违约")</x:f>
        <x:v>合法</x:v>
      </x:c>
    </x:row>
    <x:row r="2322" ht="23" customHeight="1">
      <x:c r="A2322" s="3" t="str">
        <x:v>CT-2315</x:v>
      </x:c>
      <x:c r="B2322" s="3" t="str">
        <x:v>ST-118</x:v>
      </x:c>
      <x:c r="C2322" s="3" t="str">
        <x:v>R+AR同收同发</x:v>
      </x:c>
      <x:c r="D2322" s="25" t="n">
        <x:v>6</x:v>
      </x:c>
      <x:c r="E2322" s="25" t="n">
        <x:v>0</x:v>
      </x:c>
      <x:c r="F2322" s="25" t="n">
        <x:v>1</x:v>
      </x:c>
      <x:c r="G2322" s="19" t="n">
        <x:f>SUM(D2322:F2322)</x:f>
        <x:v>7</x:v>
      </x:c>
      <x:c r="H2322" s="25" t="n">
        <x:v>2</x:v>
      </x:c>
      <x:c r="I2322" s="25" t="n">
        <x:v>1</x:v>
      </x:c>
      <x:c r="J2322" s="25" t="n">
        <x:v>0</x:v>
      </x:c>
      <x:c r="K2322" s="19" t="n">
        <x:f>D2322-IF(H2322=0,1,0)</x:f>
        <x:v>6</x:v>
      </x:c>
      <x:c r="L2322" s="19" t="n">
        <x:f>E2322-IF(H2322=1,1,0)</x:f>
        <x:v>0</x:v>
      </x:c>
      <x:c r="M2322" s="19" t="n">
        <x:f>F2322-IF(H2322=2,1,0)</x:f>
        <x:v>0</x:v>
      </x:c>
      <x:c r="N2322" s="19" t="n">
        <x:f>MAX(K2322-1,0)+MAX(L2322-1,0)+MAX(M2322-1,0)</x:f>
        <x:v>5</x:v>
      </x:c>
      <x:c r="O2322" s="19" t="n">
        <x:f>IF(AND(SUM(K2322:M2322)&lt;9,OR(M2322=0,N2322&lt;6)),1,0)</x:f>
        <x:v>1</x:v>
      </x:c>
      <x:c r="P2322" s="19" t="n">
        <x:f>IF(AND(SUM(K2322:M2322)&lt;9,OR(L2322=0,N2322&lt;6)),1,0)</x:f>
        <x:v>1</x:v>
      </x:c>
      <x:c r="Q2322" s="19" t="n">
        <x:f>IF(AND(SUM(K2322:M2322)&lt;9,OR(K2322=0,N2322&lt;6)),1,0)</x:f>
        <x:v>1</x:v>
      </x:c>
      <x:c r="R2322" s="22" t="str">
        <x:f>O2322&amp;P2322&amp;Q2322</x:f>
        <x:v>111</x:v>
      </x:c>
      <x:c r="S2322" s="19" t="n">
        <x:f>IF(I2322=1,IF(J2322=0,Q2322,IF(J2322=1,P2322,IF(J2322=2,O2322,0))),0)</x:f>
        <x:v>1</x:v>
      </x:c>
      <x:c r="T2322" s="19" t="n">
        <x:f>K2322+IF(AND(S2322=1,J2322=0),1,0)</x:f>
        <x:v>7</x:v>
      </x:c>
      <x:c r="U2322" s="19" t="n">
        <x:f>L2322+IF(AND(S2322=1,J2322=1),1,0)</x:f>
        <x:v>0</x:v>
      </x:c>
      <x:c r="V2322" s="19" t="n">
        <x:f>M2322+IF(AND(S2322=1,J2322=2),1,0)</x:f>
        <x:v>0</x:v>
      </x:c>
      <x:c r="W2322" s="19" t="n">
        <x:f>SUM(T2322:V2322)</x:f>
        <x:v>7</x:v>
      </x:c>
      <x:c r="X2322" s="19" t="n">
        <x:f>W2322-G2322</x:f>
        <x:v>0</x:v>
      </x:c>
      <x:c r="Y2322" s="19" t="n">
        <x:f>MAX(T2322,1)+MAX(U2322,1)+MAX(V2322,1)</x:f>
        <x:v>9</x:v>
      </x:c>
      <x:c r="Z2322" s="21" t="str">
        <x:f>IF(AND(MIN(D2322:F2322)&gt;=0,MAX(D2322:F2322)&lt;=7,MAX(D2322,1)+MAX(E2322,1)+MAX(F2322,1)&lt;=9,OR(H2322="-",AND(H2322=0,D2322&gt;0),AND(H2322=1,E2322&gt;0),AND(H2322=2,F2322&gt;0)),OR(I2322=0,AND(I2322=1,OR(J2322=0,J2322=1,J2322=2),R2322&lt;&gt;"000")),Y2322&lt;=9,MIN(T2322:V2322)&gt;=0),"合法","输入违约")</x:f>
        <x:v>合法</x:v>
      </x:c>
    </x:row>
    <x:row r="2323" ht="23" customHeight="1">
      <x:c r="A2323" s="3" t="str">
        <x:v>CT-2316</x:v>
      </x:c>
      <x:c r="B2323" s="3" t="str">
        <x:v>ST-118</x:v>
      </x:c>
      <x:c r="C2323" s="3" t="str">
        <x:v>R+AR同收同发</x:v>
      </x:c>
      <x:c r="D2323" s="25" t="n">
        <x:v>6</x:v>
      </x:c>
      <x:c r="E2323" s="25" t="n">
        <x:v>0</x:v>
      </x:c>
      <x:c r="F2323" s="25" t="n">
        <x:v>1</x:v>
      </x:c>
      <x:c r="G2323" s="19" t="n">
        <x:f>SUM(D2323:F2323)</x:f>
        <x:v>7</x:v>
      </x:c>
      <x:c r="H2323" s="25" t="n">
        <x:v>2</x:v>
      </x:c>
      <x:c r="I2323" s="25" t="n">
        <x:v>1</x:v>
      </x:c>
      <x:c r="J2323" s="25" t="n">
        <x:v>1</x:v>
      </x:c>
      <x:c r="K2323" s="19" t="n">
        <x:f>D2323-IF(H2323=0,1,0)</x:f>
        <x:v>6</x:v>
      </x:c>
      <x:c r="L2323" s="19" t="n">
        <x:f>E2323-IF(H2323=1,1,0)</x:f>
        <x:v>0</x:v>
      </x:c>
      <x:c r="M2323" s="19" t="n">
        <x:f>F2323-IF(H2323=2,1,0)</x:f>
        <x:v>0</x:v>
      </x:c>
      <x:c r="N2323" s="19" t="n">
        <x:f>MAX(K2323-1,0)+MAX(L2323-1,0)+MAX(M2323-1,0)</x:f>
        <x:v>5</x:v>
      </x:c>
      <x:c r="O2323" s="19" t="n">
        <x:f>IF(AND(SUM(K2323:M2323)&lt;9,OR(M2323=0,N2323&lt;6)),1,0)</x:f>
        <x:v>1</x:v>
      </x:c>
      <x:c r="P2323" s="19" t="n">
        <x:f>IF(AND(SUM(K2323:M2323)&lt;9,OR(L2323=0,N2323&lt;6)),1,0)</x:f>
        <x:v>1</x:v>
      </x:c>
      <x:c r="Q2323" s="19" t="n">
        <x:f>IF(AND(SUM(K2323:M2323)&lt;9,OR(K2323=0,N2323&lt;6)),1,0)</x:f>
        <x:v>1</x:v>
      </x:c>
      <x:c r="R2323" s="22" t="str">
        <x:f>O2323&amp;P2323&amp;Q2323</x:f>
        <x:v>111</x:v>
      </x:c>
      <x:c r="S2323" s="19" t="n">
        <x:f>IF(I2323=1,IF(J2323=0,Q2323,IF(J2323=1,P2323,IF(J2323=2,O2323,0))),0)</x:f>
        <x:v>1</x:v>
      </x:c>
      <x:c r="T2323" s="19" t="n">
        <x:f>K2323+IF(AND(S2323=1,J2323=0),1,0)</x:f>
        <x:v>6</x:v>
      </x:c>
      <x:c r="U2323" s="19" t="n">
        <x:f>L2323+IF(AND(S2323=1,J2323=1),1,0)</x:f>
        <x:v>1</x:v>
      </x:c>
      <x:c r="V2323" s="19" t="n">
        <x:f>M2323+IF(AND(S2323=1,J2323=2),1,0)</x:f>
        <x:v>0</x:v>
      </x:c>
      <x:c r="W2323" s="19" t="n">
        <x:f>SUM(T2323:V2323)</x:f>
        <x:v>7</x:v>
      </x:c>
      <x:c r="X2323" s="19" t="n">
        <x:f>W2323-G2323</x:f>
        <x:v>0</x:v>
      </x:c>
      <x:c r="Y2323" s="19" t="n">
        <x:f>MAX(T2323,1)+MAX(U2323,1)+MAX(V2323,1)</x:f>
        <x:v>8</x:v>
      </x:c>
      <x:c r="Z2323" s="21" t="str">
        <x:f>IF(AND(MIN(D2323:F2323)&gt;=0,MAX(D2323:F2323)&lt;=7,MAX(D2323,1)+MAX(E2323,1)+MAX(F2323,1)&lt;=9,OR(H2323="-",AND(H2323=0,D2323&gt;0),AND(H2323=1,E2323&gt;0),AND(H2323=2,F2323&gt;0)),OR(I2323=0,AND(I2323=1,OR(J2323=0,J2323=1,J2323=2),R2323&lt;&gt;"000")),Y2323&lt;=9,MIN(T2323:V2323)&gt;=0),"合法","输入违约")</x:f>
        <x:v>合法</x:v>
      </x:c>
    </x:row>
    <x:row r="2324" ht="23" customHeight="1">
      <x:c r="A2324" s="3" t="str">
        <x:v>CT-2317</x:v>
      </x:c>
      <x:c r="B2324" s="3" t="str">
        <x:v>ST-118</x:v>
      </x:c>
      <x:c r="C2324" s="3" t="str">
        <x:v>R+AR同收同发</x:v>
      </x:c>
      <x:c r="D2324" s="25" t="n">
        <x:v>6</x:v>
      </x:c>
      <x:c r="E2324" s="25" t="n">
        <x:v>0</x:v>
      </x:c>
      <x:c r="F2324" s="25" t="n">
        <x:v>1</x:v>
      </x:c>
      <x:c r="G2324" s="19" t="n">
        <x:f>SUM(D2324:F2324)</x:f>
        <x:v>7</x:v>
      </x:c>
      <x:c r="H2324" s="25" t="n">
        <x:v>2</x:v>
      </x:c>
      <x:c r="I2324" s="25" t="n">
        <x:v>1</x:v>
      </x:c>
      <x:c r="J2324" s="25" t="n">
        <x:v>2</x:v>
      </x:c>
      <x:c r="K2324" s="19" t="n">
        <x:f>D2324-IF(H2324=0,1,0)</x:f>
        <x:v>6</x:v>
      </x:c>
      <x:c r="L2324" s="19" t="n">
        <x:f>E2324-IF(H2324=1,1,0)</x:f>
        <x:v>0</x:v>
      </x:c>
      <x:c r="M2324" s="19" t="n">
        <x:f>F2324-IF(H2324=2,1,0)</x:f>
        <x:v>0</x:v>
      </x:c>
      <x:c r="N2324" s="19" t="n">
        <x:f>MAX(K2324-1,0)+MAX(L2324-1,0)+MAX(M2324-1,0)</x:f>
        <x:v>5</x:v>
      </x:c>
      <x:c r="O2324" s="19" t="n">
        <x:f>IF(AND(SUM(K2324:M2324)&lt;9,OR(M2324=0,N2324&lt;6)),1,0)</x:f>
        <x:v>1</x:v>
      </x:c>
      <x:c r="P2324" s="19" t="n">
        <x:f>IF(AND(SUM(K2324:M2324)&lt;9,OR(L2324=0,N2324&lt;6)),1,0)</x:f>
        <x:v>1</x:v>
      </x:c>
      <x:c r="Q2324" s="19" t="n">
        <x:f>IF(AND(SUM(K2324:M2324)&lt;9,OR(K2324=0,N2324&lt;6)),1,0)</x:f>
        <x:v>1</x:v>
      </x:c>
      <x:c r="R2324" s="22" t="str">
        <x:f>O2324&amp;P2324&amp;Q2324</x:f>
        <x:v>111</x:v>
      </x:c>
      <x:c r="S2324" s="19" t="n">
        <x:f>IF(I2324=1,IF(J2324=0,Q2324,IF(J2324=1,P2324,IF(J2324=2,O2324,0))),0)</x:f>
        <x:v>1</x:v>
      </x:c>
      <x:c r="T2324" s="19" t="n">
        <x:f>K2324+IF(AND(S2324=1,J2324=0),1,0)</x:f>
        <x:v>6</x:v>
      </x:c>
      <x:c r="U2324" s="19" t="n">
        <x:f>L2324+IF(AND(S2324=1,J2324=1),1,0)</x:f>
        <x:v>0</x:v>
      </x:c>
      <x:c r="V2324" s="19" t="n">
        <x:f>M2324+IF(AND(S2324=1,J2324=2),1,0)</x:f>
        <x:v>1</x:v>
      </x:c>
      <x:c r="W2324" s="19" t="n">
        <x:f>SUM(T2324:V2324)</x:f>
        <x:v>7</x:v>
      </x:c>
      <x:c r="X2324" s="19" t="n">
        <x:f>W2324-G2324</x:f>
        <x:v>0</x:v>
      </x:c>
      <x:c r="Y2324" s="19" t="n">
        <x:f>MAX(T2324,1)+MAX(U2324,1)+MAX(V2324,1)</x:f>
        <x:v>8</x:v>
      </x:c>
      <x:c r="Z2324" s="21" t="str">
        <x:f>IF(AND(MIN(D2324:F2324)&gt;=0,MAX(D2324:F2324)&lt;=7,MAX(D2324,1)+MAX(E2324,1)+MAX(F2324,1)&lt;=9,OR(H2324="-",AND(H2324=0,D2324&gt;0),AND(H2324=1,E2324&gt;0),AND(H2324=2,F2324&gt;0)),OR(I2324=0,AND(I2324=1,OR(J2324=0,J2324=1,J2324=2),R2324&lt;&gt;"000")),Y2324&lt;=9,MIN(T2324:V2324)&gt;=0),"合法","输入违约")</x:f>
        <x:v>合法</x:v>
      </x:c>
    </x:row>
    <x:row r="2325" ht="23" customHeight="1">
      <x:c r="A2325" s="3" t="str">
        <x:v>CT-2318</x:v>
      </x:c>
      <x:c r="B2325" s="3" t="str">
        <x:v>ST-158</x:v>
      </x:c>
      <x:c r="C2325" s="3" t="str">
        <x:v>无AR/R</x:v>
      </x:c>
      <x:c r="D2325" s="25" t="n">
        <x:v>6</x:v>
      </x:c>
      <x:c r="E2325" s="25" t="n">
        <x:v>0</x:v>
      </x:c>
      <x:c r="F2325" s="25" t="n">
        <x:v>2</x:v>
      </x:c>
      <x:c r="G2325" s="19" t="n">
        <x:f>SUM(D2325:F2325)</x:f>
        <x:v>8</x:v>
      </x:c>
      <x:c r="H2325" s="25" t="str">
        <x:v>-</x:v>
      </x:c>
      <x:c r="I2325" s="25" t="n">
        <x:v>0</x:v>
      </x:c>
      <x:c r="J2325" s="25" t="str">
        <x:v>-</x:v>
      </x:c>
      <x:c r="K2325" s="19" t="n">
        <x:f>D2325-IF(H2325=0,1,0)</x:f>
        <x:v>6</x:v>
      </x:c>
      <x:c r="L2325" s="19" t="n">
        <x:f>E2325-IF(H2325=1,1,0)</x:f>
        <x:v>0</x:v>
      </x:c>
      <x:c r="M2325" s="19" t="n">
        <x:f>F2325-IF(H2325=2,1,0)</x:f>
        <x:v>2</x:v>
      </x:c>
      <x:c r="N2325" s="19" t="n">
        <x:f>MAX(K2325-1,0)+MAX(L2325-1,0)+MAX(M2325-1,0)</x:f>
        <x:v>6</x:v>
      </x:c>
      <x:c r="O2325" s="19" t="n">
        <x:f>IF(AND(SUM(K2325:M2325)&lt;9,OR(M2325=0,N2325&lt;6)),1,0)</x:f>
        <x:v>0</x:v>
      </x:c>
      <x:c r="P2325" s="19" t="n">
        <x:f>IF(AND(SUM(K2325:M2325)&lt;9,OR(L2325=0,N2325&lt;6)),1,0)</x:f>
        <x:v>1</x:v>
      </x:c>
      <x:c r="Q2325" s="19" t="n">
        <x:f>IF(AND(SUM(K2325:M2325)&lt;9,OR(K2325=0,N2325&lt;6)),1,0)</x:f>
        <x:v>0</x:v>
      </x:c>
      <x:c r="R2325" s="22" t="str">
        <x:f>O2325&amp;P2325&amp;Q2325</x:f>
        <x:v>010</x:v>
      </x:c>
      <x:c r="S2325" s="19" t="n">
        <x:f>IF(I2325=1,IF(J2325=0,Q2325,IF(J2325=1,P2325,IF(J2325=2,O2325,0))),0)</x:f>
        <x:v>0</x:v>
      </x:c>
      <x:c r="T2325" s="19" t="n">
        <x:f>K2325+IF(AND(S2325=1,J2325=0),1,0)</x:f>
        <x:v>6</x:v>
      </x:c>
      <x:c r="U2325" s="19" t="n">
        <x:f>L2325+IF(AND(S2325=1,J2325=1),1,0)</x:f>
        <x:v>0</x:v>
      </x:c>
      <x:c r="V2325" s="19" t="n">
        <x:f>M2325+IF(AND(S2325=1,J2325=2),1,0)</x:f>
        <x:v>2</x:v>
      </x:c>
      <x:c r="W2325" s="19" t="n">
        <x:f>SUM(T2325:V2325)</x:f>
        <x:v>8</x:v>
      </x:c>
      <x:c r="X2325" s="19" t="n">
        <x:f>W2325-G2325</x:f>
        <x:v>0</x:v>
      </x:c>
      <x:c r="Y2325" s="19" t="n">
        <x:f>MAX(T2325,1)+MAX(U2325,1)+MAX(V2325,1)</x:f>
        <x:v>9</x:v>
      </x:c>
      <x:c r="Z2325" s="21" t="str">
        <x:f>IF(AND(MIN(D2325:F2325)&gt;=0,MAX(D2325:F2325)&lt;=7,MAX(D2325,1)+MAX(E2325,1)+MAX(F2325,1)&lt;=9,OR(H2325="-",AND(H2325=0,D2325&gt;0),AND(H2325=1,E2325&gt;0),AND(H2325=2,F2325&gt;0)),OR(I2325=0,AND(I2325=1,OR(J2325=0,J2325=1,J2325=2),R2325&lt;&gt;"000")),Y2325&lt;=9,MIN(T2325:V2325)&gt;=0),"合法","输入违约")</x:f>
        <x:v>合法</x:v>
      </x:c>
    </x:row>
    <x:row r="2326" ht="23" customHeight="1">
      <x:c r="A2326" s="3" t="str">
        <x:v>CT-2319</x:v>
      </x:c>
      <x:c r="B2326" s="3" t="str">
        <x:v>ST-158</x:v>
      </x:c>
      <x:c r="C2326" s="3" t="str">
        <x:v>所选源被阻塞</x:v>
      </x:c>
      <x:c r="D2326" s="25" t="n">
        <x:v>6</x:v>
      </x:c>
      <x:c r="E2326" s="25" t="n">
        <x:v>0</x:v>
      </x:c>
      <x:c r="F2326" s="25" t="n">
        <x:v>2</x:v>
      </x:c>
      <x:c r="G2326" s="19" t="n">
        <x:f>SUM(D2326:F2326)</x:f>
        <x:v>8</x:v>
      </x:c>
      <x:c r="H2326" s="25" t="str">
        <x:v>-</x:v>
      </x:c>
      <x:c r="I2326" s="25" t="n">
        <x:v>1</x:v>
      </x:c>
      <x:c r="J2326" s="25" t="n">
        <x:v>0</x:v>
      </x:c>
      <x:c r="K2326" s="19" t="n">
        <x:f>D2326-IF(H2326=0,1,0)</x:f>
        <x:v>6</x:v>
      </x:c>
      <x:c r="L2326" s="19" t="n">
        <x:f>E2326-IF(H2326=1,1,0)</x:f>
        <x:v>0</x:v>
      </x:c>
      <x:c r="M2326" s="19" t="n">
        <x:f>F2326-IF(H2326=2,1,0)</x:f>
        <x:v>2</x:v>
      </x:c>
      <x:c r="N2326" s="19" t="n">
        <x:f>MAX(K2326-1,0)+MAX(L2326-1,0)+MAX(M2326-1,0)</x:f>
        <x:v>6</x:v>
      </x:c>
      <x:c r="O2326" s="19" t="n">
        <x:f>IF(AND(SUM(K2326:M2326)&lt;9,OR(M2326=0,N2326&lt;6)),1,0)</x:f>
        <x:v>0</x:v>
      </x:c>
      <x:c r="P2326" s="19" t="n">
        <x:f>IF(AND(SUM(K2326:M2326)&lt;9,OR(L2326=0,N2326&lt;6)),1,0)</x:f>
        <x:v>1</x:v>
      </x:c>
      <x:c r="Q2326" s="19" t="n">
        <x:f>IF(AND(SUM(K2326:M2326)&lt;9,OR(K2326=0,N2326&lt;6)),1,0)</x:f>
        <x:v>0</x:v>
      </x:c>
      <x:c r="R2326" s="22" t="str">
        <x:f>O2326&amp;P2326&amp;Q2326</x:f>
        <x:v>010</x:v>
      </x:c>
      <x:c r="S2326" s="19" t="n">
        <x:f>IF(I2326=1,IF(J2326=0,Q2326,IF(J2326=1,P2326,IF(J2326=2,O2326,0))),0)</x:f>
        <x:v>0</x:v>
      </x:c>
      <x:c r="T2326" s="19" t="n">
        <x:f>K2326+IF(AND(S2326=1,J2326=0),1,0)</x:f>
        <x:v>6</x:v>
      </x:c>
      <x:c r="U2326" s="19" t="n">
        <x:f>L2326+IF(AND(S2326=1,J2326=1),1,0)</x:f>
        <x:v>0</x:v>
      </x:c>
      <x:c r="V2326" s="19" t="n">
        <x:f>M2326+IF(AND(S2326=1,J2326=2),1,0)</x:f>
        <x:v>2</x:v>
      </x:c>
      <x:c r="W2326" s="19" t="n">
        <x:f>SUM(T2326:V2326)</x:f>
        <x:v>8</x:v>
      </x:c>
      <x:c r="X2326" s="19" t="n">
        <x:f>W2326-G2326</x:f>
        <x:v>0</x:v>
      </x:c>
      <x:c r="Y2326" s="19" t="n">
        <x:f>MAX(T2326,1)+MAX(U2326,1)+MAX(V2326,1)</x:f>
        <x:v>9</x:v>
      </x:c>
      <x:c r="Z2326" s="21" t="str">
        <x:f>IF(AND(MIN(D2326:F2326)&gt;=0,MAX(D2326:F2326)&lt;=7,MAX(D2326,1)+MAX(E2326,1)+MAX(F2326,1)&lt;=9,OR(H2326="-",AND(H2326=0,D2326&gt;0),AND(H2326=1,E2326&gt;0),AND(H2326=2,F2326&gt;0)),OR(I2326=0,AND(I2326=1,OR(J2326=0,J2326=1,J2326=2),R2326&lt;&gt;"000")),Y2326&lt;=9,MIN(T2326:V2326)&gt;=0),"合法","输入违约")</x:f>
        <x:v>合法</x:v>
      </x:c>
    </x:row>
    <x:row r="2327" ht="23" customHeight="1">
      <x:c r="A2327" s="3" t="str">
        <x:v>CT-2320</x:v>
      </x:c>
      <x:c r="B2327" s="3" t="str">
        <x:v>ST-158</x:v>
      </x:c>
      <x:c r="C2327" s="3" t="str">
        <x:v>仅AR接收</x:v>
      </x:c>
      <x:c r="D2327" s="25" t="n">
        <x:v>6</x:v>
      </x:c>
      <x:c r="E2327" s="25" t="n">
        <x:v>0</x:v>
      </x:c>
      <x:c r="F2327" s="25" t="n">
        <x:v>2</x:v>
      </x:c>
      <x:c r="G2327" s="19" t="n">
        <x:f>SUM(D2327:F2327)</x:f>
        <x:v>8</x:v>
      </x:c>
      <x:c r="H2327" s="25" t="str">
        <x:v>-</x:v>
      </x:c>
      <x:c r="I2327" s="25" t="n">
        <x:v>1</x:v>
      </x:c>
      <x:c r="J2327" s="25" t="n">
        <x:v>1</x:v>
      </x:c>
      <x:c r="K2327" s="19" t="n">
        <x:f>D2327-IF(H2327=0,1,0)</x:f>
        <x:v>6</x:v>
      </x:c>
      <x:c r="L2327" s="19" t="n">
        <x:f>E2327-IF(H2327=1,1,0)</x:f>
        <x:v>0</x:v>
      </x:c>
      <x:c r="M2327" s="19" t="n">
        <x:f>F2327-IF(H2327=2,1,0)</x:f>
        <x:v>2</x:v>
      </x:c>
      <x:c r="N2327" s="19" t="n">
        <x:f>MAX(K2327-1,0)+MAX(L2327-1,0)+MAX(M2327-1,0)</x:f>
        <x:v>6</x:v>
      </x:c>
      <x:c r="O2327" s="19" t="n">
        <x:f>IF(AND(SUM(K2327:M2327)&lt;9,OR(M2327=0,N2327&lt;6)),1,0)</x:f>
        <x:v>0</x:v>
      </x:c>
      <x:c r="P2327" s="19" t="n">
        <x:f>IF(AND(SUM(K2327:M2327)&lt;9,OR(L2327=0,N2327&lt;6)),1,0)</x:f>
        <x:v>1</x:v>
      </x:c>
      <x:c r="Q2327" s="19" t="n">
        <x:f>IF(AND(SUM(K2327:M2327)&lt;9,OR(K2327=0,N2327&lt;6)),1,0)</x:f>
        <x:v>0</x:v>
      </x:c>
      <x:c r="R2327" s="22" t="str">
        <x:f>O2327&amp;P2327&amp;Q2327</x:f>
        <x:v>010</x:v>
      </x:c>
      <x:c r="S2327" s="19" t="n">
        <x:f>IF(I2327=1,IF(J2327=0,Q2327,IF(J2327=1,P2327,IF(J2327=2,O2327,0))),0)</x:f>
        <x:v>1</x:v>
      </x:c>
      <x:c r="T2327" s="19" t="n">
        <x:f>K2327+IF(AND(S2327=1,J2327=0),1,0)</x:f>
        <x:v>6</x:v>
      </x:c>
      <x:c r="U2327" s="19" t="n">
        <x:f>L2327+IF(AND(S2327=1,J2327=1),1,0)</x:f>
        <x:v>1</x:v>
      </x:c>
      <x:c r="V2327" s="19" t="n">
        <x:f>M2327+IF(AND(S2327=1,J2327=2),1,0)</x:f>
        <x:v>2</x:v>
      </x:c>
      <x:c r="W2327" s="19" t="n">
        <x:f>SUM(T2327:V2327)</x:f>
        <x:v>9</x:v>
      </x:c>
      <x:c r="X2327" s="19" t="n">
        <x:f>W2327-G2327</x:f>
        <x:v>1</x:v>
      </x:c>
      <x:c r="Y2327" s="19" t="n">
        <x:f>MAX(T2327,1)+MAX(U2327,1)+MAX(V2327,1)</x:f>
        <x:v>9</x:v>
      </x:c>
      <x:c r="Z2327" s="21" t="str">
        <x:f>IF(AND(MIN(D2327:F2327)&gt;=0,MAX(D2327:F2327)&lt;=7,MAX(D2327,1)+MAX(E2327,1)+MAX(F2327,1)&lt;=9,OR(H2327="-",AND(H2327=0,D2327&gt;0),AND(H2327=1,E2327&gt;0),AND(H2327=2,F2327&gt;0)),OR(I2327=0,AND(I2327=1,OR(J2327=0,J2327=1,J2327=2),R2327&lt;&gt;"000")),Y2327&lt;=9,MIN(T2327:V2327)&gt;=0),"合法","输入违约")</x:f>
        <x:v>合法</x:v>
      </x:c>
    </x:row>
    <x:row r="2328" ht="23" customHeight="1">
      <x:c r="A2328" s="3" t="str">
        <x:v>CT-2321</x:v>
      </x:c>
      <x:c r="B2328" s="3" t="str">
        <x:v>ST-158</x:v>
      </x:c>
      <x:c r="C2328" s="3" t="str">
        <x:v>所选源被阻塞</x:v>
      </x:c>
      <x:c r="D2328" s="25" t="n">
        <x:v>6</x:v>
      </x:c>
      <x:c r="E2328" s="25" t="n">
        <x:v>0</x:v>
      </x:c>
      <x:c r="F2328" s="25" t="n">
        <x:v>2</x:v>
      </x:c>
      <x:c r="G2328" s="19" t="n">
        <x:f>SUM(D2328:F2328)</x:f>
        <x:v>8</x:v>
      </x:c>
      <x:c r="H2328" s="25" t="str">
        <x:v>-</x:v>
      </x:c>
      <x:c r="I2328" s="25" t="n">
        <x:v>1</x:v>
      </x:c>
      <x:c r="J2328" s="25" t="n">
        <x:v>2</x:v>
      </x:c>
      <x:c r="K2328" s="19" t="n">
        <x:f>D2328-IF(H2328=0,1,0)</x:f>
        <x:v>6</x:v>
      </x:c>
      <x:c r="L2328" s="19" t="n">
        <x:f>E2328-IF(H2328=1,1,0)</x:f>
        <x:v>0</x:v>
      </x:c>
      <x:c r="M2328" s="19" t="n">
        <x:f>F2328-IF(H2328=2,1,0)</x:f>
        <x:v>2</x:v>
      </x:c>
      <x:c r="N2328" s="19" t="n">
        <x:f>MAX(K2328-1,0)+MAX(L2328-1,0)+MAX(M2328-1,0)</x:f>
        <x:v>6</x:v>
      </x:c>
      <x:c r="O2328" s="19" t="n">
        <x:f>IF(AND(SUM(K2328:M2328)&lt;9,OR(M2328=0,N2328&lt;6)),1,0)</x:f>
        <x:v>0</x:v>
      </x:c>
      <x:c r="P2328" s="19" t="n">
        <x:f>IF(AND(SUM(K2328:M2328)&lt;9,OR(L2328=0,N2328&lt;6)),1,0)</x:f>
        <x:v>1</x:v>
      </x:c>
      <x:c r="Q2328" s="19" t="n">
        <x:f>IF(AND(SUM(K2328:M2328)&lt;9,OR(K2328=0,N2328&lt;6)),1,0)</x:f>
        <x:v>0</x:v>
      </x:c>
      <x:c r="R2328" s="22" t="str">
        <x:f>O2328&amp;P2328&amp;Q2328</x:f>
        <x:v>010</x:v>
      </x:c>
      <x:c r="S2328" s="19" t="n">
        <x:f>IF(I2328=1,IF(J2328=0,Q2328,IF(J2328=1,P2328,IF(J2328=2,O2328,0))),0)</x:f>
        <x:v>0</x:v>
      </x:c>
      <x:c r="T2328" s="19" t="n">
        <x:f>K2328+IF(AND(S2328=1,J2328=0),1,0)</x:f>
        <x:v>6</x:v>
      </x:c>
      <x:c r="U2328" s="19" t="n">
        <x:f>L2328+IF(AND(S2328=1,J2328=1),1,0)</x:f>
        <x:v>0</x:v>
      </x:c>
      <x:c r="V2328" s="19" t="n">
        <x:f>M2328+IF(AND(S2328=1,J2328=2),1,0)</x:f>
        <x:v>2</x:v>
      </x:c>
      <x:c r="W2328" s="19" t="n">
        <x:f>SUM(T2328:V2328)</x:f>
        <x:v>8</x:v>
      </x:c>
      <x:c r="X2328" s="19" t="n">
        <x:f>W2328-G2328</x:f>
        <x:v>0</x:v>
      </x:c>
      <x:c r="Y2328" s="19" t="n">
        <x:f>MAX(T2328,1)+MAX(U2328,1)+MAX(V2328,1)</x:f>
        <x:v>9</x:v>
      </x:c>
      <x:c r="Z2328" s="21" t="str">
        <x:f>IF(AND(MIN(D2328:F2328)&gt;=0,MAX(D2328:F2328)&lt;=7,MAX(D2328,1)+MAX(E2328,1)+MAX(F2328,1)&lt;=9,OR(H2328="-",AND(H2328=0,D2328&gt;0),AND(H2328=1,E2328&gt;0),AND(H2328=2,F2328&gt;0)),OR(I2328=0,AND(I2328=1,OR(J2328=0,J2328=1,J2328=2),R2328&lt;&gt;"000")),Y2328&lt;=9,MIN(T2328:V2328)&gt;=0),"合法","输入违约")</x:f>
        <x:v>合法</x:v>
      </x:c>
    </x:row>
    <x:row r="2329" ht="23" customHeight="1">
      <x:c r="A2329" s="3" t="str">
        <x:v>CT-2322</x:v>
      </x:c>
      <x:c r="B2329" s="3" t="str">
        <x:v>ST-158</x:v>
      </x:c>
      <x:c r="C2329" s="3" t="str">
        <x:v>仅R回收</x:v>
      </x:c>
      <x:c r="D2329" s="25" t="n">
        <x:v>6</x:v>
      </x:c>
      <x:c r="E2329" s="25" t="n">
        <x:v>0</x:v>
      </x:c>
      <x:c r="F2329" s="25" t="n">
        <x:v>2</x:v>
      </x:c>
      <x:c r="G2329" s="19" t="n">
        <x:f>SUM(D2329:F2329)</x:f>
        <x:v>8</x:v>
      </x:c>
      <x:c r="H2329" s="25" t="n">
        <x:v>0</x:v>
      </x:c>
      <x:c r="I2329" s="25" t="n">
        <x:v>0</x:v>
      </x:c>
      <x:c r="J2329" s="25" t="str">
        <x:v>-</x:v>
      </x:c>
      <x:c r="K2329" s="19" t="n">
        <x:f>D2329-IF(H2329=0,1,0)</x:f>
        <x:v>5</x:v>
      </x:c>
      <x:c r="L2329" s="19" t="n">
        <x:f>E2329-IF(H2329=1,1,0)</x:f>
        <x:v>0</x:v>
      </x:c>
      <x:c r="M2329" s="19" t="n">
        <x:f>F2329-IF(H2329=2,1,0)</x:f>
        <x:v>2</x:v>
      </x:c>
      <x:c r="N2329" s="19" t="n">
        <x:f>MAX(K2329-1,0)+MAX(L2329-1,0)+MAX(M2329-1,0)</x:f>
        <x:v>5</x:v>
      </x:c>
      <x:c r="O2329" s="19" t="n">
        <x:f>IF(AND(SUM(K2329:M2329)&lt;9,OR(M2329=0,N2329&lt;6)),1,0)</x:f>
        <x:v>1</x:v>
      </x:c>
      <x:c r="P2329" s="19" t="n">
        <x:f>IF(AND(SUM(K2329:M2329)&lt;9,OR(L2329=0,N2329&lt;6)),1,0)</x:f>
        <x:v>1</x:v>
      </x:c>
      <x:c r="Q2329" s="19" t="n">
        <x:f>IF(AND(SUM(K2329:M2329)&lt;9,OR(K2329=0,N2329&lt;6)),1,0)</x:f>
        <x:v>1</x:v>
      </x:c>
      <x:c r="R2329" s="22" t="str">
        <x:f>O2329&amp;P2329&amp;Q2329</x:f>
        <x:v>111</x:v>
      </x:c>
      <x:c r="S2329" s="19" t="n">
        <x:f>IF(I2329=1,IF(J2329=0,Q2329,IF(J2329=1,P2329,IF(J2329=2,O2329,0))),0)</x:f>
        <x:v>0</x:v>
      </x:c>
      <x:c r="T2329" s="19" t="n">
        <x:f>K2329+IF(AND(S2329=1,J2329=0),1,0)</x:f>
        <x:v>5</x:v>
      </x:c>
      <x:c r="U2329" s="19" t="n">
        <x:f>L2329+IF(AND(S2329=1,J2329=1),1,0)</x:f>
        <x:v>0</x:v>
      </x:c>
      <x:c r="V2329" s="19" t="n">
        <x:f>M2329+IF(AND(S2329=1,J2329=2),1,0)</x:f>
        <x:v>2</x:v>
      </x:c>
      <x:c r="W2329" s="19" t="n">
        <x:f>SUM(T2329:V2329)</x:f>
        <x:v>7</x:v>
      </x:c>
      <x:c r="X2329" s="19" t="n">
        <x:f>W2329-G2329</x:f>
        <x:v>-1</x:v>
      </x:c>
      <x:c r="Y2329" s="19" t="n">
        <x:f>MAX(T2329,1)+MAX(U2329,1)+MAX(V2329,1)</x:f>
        <x:v>8</x:v>
      </x:c>
      <x:c r="Z2329" s="21" t="str">
        <x:f>IF(AND(MIN(D2329:F2329)&gt;=0,MAX(D2329:F2329)&lt;=7,MAX(D2329,1)+MAX(E2329,1)+MAX(F2329,1)&lt;=9,OR(H2329="-",AND(H2329=0,D2329&gt;0),AND(H2329=1,E2329&gt;0),AND(H2329=2,F2329&gt;0)),OR(I2329=0,AND(I2329=1,OR(J2329=0,J2329=1,J2329=2),R2329&lt;&gt;"000")),Y2329&lt;=9,MIN(T2329:V2329)&gt;=0),"合法","输入违约")</x:f>
        <x:v>合法</x:v>
      </x:c>
    </x:row>
    <x:row r="2330" ht="23" customHeight="1">
      <x:c r="A2330" s="3" t="str">
        <x:v>CT-2323</x:v>
      </x:c>
      <x:c r="B2330" s="3" t="str">
        <x:v>ST-158</x:v>
      </x:c>
      <x:c r="C2330" s="3" t="str">
        <x:v>R+AR同收同发</x:v>
      </x:c>
      <x:c r="D2330" s="25" t="n">
        <x:v>6</x:v>
      </x:c>
      <x:c r="E2330" s="25" t="n">
        <x:v>0</x:v>
      </x:c>
      <x:c r="F2330" s="25" t="n">
        <x:v>2</x:v>
      </x:c>
      <x:c r="G2330" s="19" t="n">
        <x:f>SUM(D2330:F2330)</x:f>
        <x:v>8</x:v>
      </x:c>
      <x:c r="H2330" s="25" t="n">
        <x:v>0</x:v>
      </x:c>
      <x:c r="I2330" s="25" t="n">
        <x:v>1</x:v>
      </x:c>
      <x:c r="J2330" s="25" t="n">
        <x:v>0</x:v>
      </x:c>
      <x:c r="K2330" s="19" t="n">
        <x:f>D2330-IF(H2330=0,1,0)</x:f>
        <x:v>5</x:v>
      </x:c>
      <x:c r="L2330" s="19" t="n">
        <x:f>E2330-IF(H2330=1,1,0)</x:f>
        <x:v>0</x:v>
      </x:c>
      <x:c r="M2330" s="19" t="n">
        <x:f>F2330-IF(H2330=2,1,0)</x:f>
        <x:v>2</x:v>
      </x:c>
      <x:c r="N2330" s="19" t="n">
        <x:f>MAX(K2330-1,0)+MAX(L2330-1,0)+MAX(M2330-1,0)</x:f>
        <x:v>5</x:v>
      </x:c>
      <x:c r="O2330" s="19" t="n">
        <x:f>IF(AND(SUM(K2330:M2330)&lt;9,OR(M2330=0,N2330&lt;6)),1,0)</x:f>
        <x:v>1</x:v>
      </x:c>
      <x:c r="P2330" s="19" t="n">
        <x:f>IF(AND(SUM(K2330:M2330)&lt;9,OR(L2330=0,N2330&lt;6)),1,0)</x:f>
        <x:v>1</x:v>
      </x:c>
      <x:c r="Q2330" s="19" t="n">
        <x:f>IF(AND(SUM(K2330:M2330)&lt;9,OR(K2330=0,N2330&lt;6)),1,0)</x:f>
        <x:v>1</x:v>
      </x:c>
      <x:c r="R2330" s="22" t="str">
        <x:f>O2330&amp;P2330&amp;Q2330</x:f>
        <x:v>111</x:v>
      </x:c>
      <x:c r="S2330" s="19" t="n">
        <x:f>IF(I2330=1,IF(J2330=0,Q2330,IF(J2330=1,P2330,IF(J2330=2,O2330,0))),0)</x:f>
        <x:v>1</x:v>
      </x:c>
      <x:c r="T2330" s="19" t="n">
        <x:f>K2330+IF(AND(S2330=1,J2330=0),1,0)</x:f>
        <x:v>6</x:v>
      </x:c>
      <x:c r="U2330" s="19" t="n">
        <x:f>L2330+IF(AND(S2330=1,J2330=1),1,0)</x:f>
        <x:v>0</x:v>
      </x:c>
      <x:c r="V2330" s="19" t="n">
        <x:f>M2330+IF(AND(S2330=1,J2330=2),1,0)</x:f>
        <x:v>2</x:v>
      </x:c>
      <x:c r="W2330" s="19" t="n">
        <x:f>SUM(T2330:V2330)</x:f>
        <x:v>8</x:v>
      </x:c>
      <x:c r="X2330" s="19" t="n">
        <x:f>W2330-G2330</x:f>
        <x:v>0</x:v>
      </x:c>
      <x:c r="Y2330" s="19" t="n">
        <x:f>MAX(T2330,1)+MAX(U2330,1)+MAX(V2330,1)</x:f>
        <x:v>9</x:v>
      </x:c>
      <x:c r="Z2330" s="21" t="str">
        <x:f>IF(AND(MIN(D2330:F2330)&gt;=0,MAX(D2330:F2330)&lt;=7,MAX(D2330,1)+MAX(E2330,1)+MAX(F2330,1)&lt;=9,OR(H2330="-",AND(H2330=0,D2330&gt;0),AND(H2330=1,E2330&gt;0),AND(H2330=2,F2330&gt;0)),OR(I2330=0,AND(I2330=1,OR(J2330=0,J2330=1,J2330=2),R2330&lt;&gt;"000")),Y2330&lt;=9,MIN(T2330:V2330)&gt;=0),"合法","输入违约")</x:f>
        <x:v>合法</x:v>
      </x:c>
    </x:row>
    <x:row r="2331" ht="23" customHeight="1">
      <x:c r="A2331" s="3" t="str">
        <x:v>CT-2324</x:v>
      </x:c>
      <x:c r="B2331" s="3" t="str">
        <x:v>ST-158</x:v>
      </x:c>
      <x:c r="C2331" s="3" t="str">
        <x:v>R+AR同收同发</x:v>
      </x:c>
      <x:c r="D2331" s="25" t="n">
        <x:v>6</x:v>
      </x:c>
      <x:c r="E2331" s="25" t="n">
        <x:v>0</x:v>
      </x:c>
      <x:c r="F2331" s="25" t="n">
        <x:v>2</x:v>
      </x:c>
      <x:c r="G2331" s="19" t="n">
        <x:f>SUM(D2331:F2331)</x:f>
        <x:v>8</x:v>
      </x:c>
      <x:c r="H2331" s="25" t="n">
        <x:v>0</x:v>
      </x:c>
      <x:c r="I2331" s="25" t="n">
        <x:v>1</x:v>
      </x:c>
      <x:c r="J2331" s="25" t="n">
        <x:v>1</x:v>
      </x:c>
      <x:c r="K2331" s="19" t="n">
        <x:f>D2331-IF(H2331=0,1,0)</x:f>
        <x:v>5</x:v>
      </x:c>
      <x:c r="L2331" s="19" t="n">
        <x:f>E2331-IF(H2331=1,1,0)</x:f>
        <x:v>0</x:v>
      </x:c>
      <x:c r="M2331" s="19" t="n">
        <x:f>F2331-IF(H2331=2,1,0)</x:f>
        <x:v>2</x:v>
      </x:c>
      <x:c r="N2331" s="19" t="n">
        <x:f>MAX(K2331-1,0)+MAX(L2331-1,0)+MAX(M2331-1,0)</x:f>
        <x:v>5</x:v>
      </x:c>
      <x:c r="O2331" s="19" t="n">
        <x:f>IF(AND(SUM(K2331:M2331)&lt;9,OR(M2331=0,N2331&lt;6)),1,0)</x:f>
        <x:v>1</x:v>
      </x:c>
      <x:c r="P2331" s="19" t="n">
        <x:f>IF(AND(SUM(K2331:M2331)&lt;9,OR(L2331=0,N2331&lt;6)),1,0)</x:f>
        <x:v>1</x:v>
      </x:c>
      <x:c r="Q2331" s="19" t="n">
        <x:f>IF(AND(SUM(K2331:M2331)&lt;9,OR(K2331=0,N2331&lt;6)),1,0)</x:f>
        <x:v>1</x:v>
      </x:c>
      <x:c r="R2331" s="22" t="str">
        <x:f>O2331&amp;P2331&amp;Q2331</x:f>
        <x:v>111</x:v>
      </x:c>
      <x:c r="S2331" s="19" t="n">
        <x:f>IF(I2331=1,IF(J2331=0,Q2331,IF(J2331=1,P2331,IF(J2331=2,O2331,0))),0)</x:f>
        <x:v>1</x:v>
      </x:c>
      <x:c r="T2331" s="19" t="n">
        <x:f>K2331+IF(AND(S2331=1,J2331=0),1,0)</x:f>
        <x:v>5</x:v>
      </x:c>
      <x:c r="U2331" s="19" t="n">
        <x:f>L2331+IF(AND(S2331=1,J2331=1),1,0)</x:f>
        <x:v>1</x:v>
      </x:c>
      <x:c r="V2331" s="19" t="n">
        <x:f>M2331+IF(AND(S2331=1,J2331=2),1,0)</x:f>
        <x:v>2</x:v>
      </x:c>
      <x:c r="W2331" s="19" t="n">
        <x:f>SUM(T2331:V2331)</x:f>
        <x:v>8</x:v>
      </x:c>
      <x:c r="X2331" s="19" t="n">
        <x:f>W2331-G2331</x:f>
        <x:v>0</x:v>
      </x:c>
      <x:c r="Y2331" s="19" t="n">
        <x:f>MAX(T2331,1)+MAX(U2331,1)+MAX(V2331,1)</x:f>
        <x:v>8</x:v>
      </x:c>
      <x:c r="Z2331" s="21" t="str">
        <x:f>IF(AND(MIN(D2331:F2331)&gt;=0,MAX(D2331:F2331)&lt;=7,MAX(D2331,1)+MAX(E2331,1)+MAX(F2331,1)&lt;=9,OR(H2331="-",AND(H2331=0,D2331&gt;0),AND(H2331=1,E2331&gt;0),AND(H2331=2,F2331&gt;0)),OR(I2331=0,AND(I2331=1,OR(J2331=0,J2331=1,J2331=2),R2331&lt;&gt;"000")),Y2331&lt;=9,MIN(T2331:V2331)&gt;=0),"合法","输入违约")</x:f>
        <x:v>合法</x:v>
      </x:c>
    </x:row>
    <x:row r="2332" ht="23" customHeight="1">
      <x:c r="A2332" s="3" t="str">
        <x:v>CT-2325</x:v>
      </x:c>
      <x:c r="B2332" s="3" t="str">
        <x:v>ST-158</x:v>
      </x:c>
      <x:c r="C2332" s="3" t="str">
        <x:v>R+AR同收同发</x:v>
      </x:c>
      <x:c r="D2332" s="25" t="n">
        <x:v>6</x:v>
      </x:c>
      <x:c r="E2332" s="25" t="n">
        <x:v>0</x:v>
      </x:c>
      <x:c r="F2332" s="25" t="n">
        <x:v>2</x:v>
      </x:c>
      <x:c r="G2332" s="19" t="n">
        <x:f>SUM(D2332:F2332)</x:f>
        <x:v>8</x:v>
      </x:c>
      <x:c r="H2332" s="25" t="n">
        <x:v>0</x:v>
      </x:c>
      <x:c r="I2332" s="25" t="n">
        <x:v>1</x:v>
      </x:c>
      <x:c r="J2332" s="25" t="n">
        <x:v>2</x:v>
      </x:c>
      <x:c r="K2332" s="19" t="n">
        <x:f>D2332-IF(H2332=0,1,0)</x:f>
        <x:v>5</x:v>
      </x:c>
      <x:c r="L2332" s="19" t="n">
        <x:f>E2332-IF(H2332=1,1,0)</x:f>
        <x:v>0</x:v>
      </x:c>
      <x:c r="M2332" s="19" t="n">
        <x:f>F2332-IF(H2332=2,1,0)</x:f>
        <x:v>2</x:v>
      </x:c>
      <x:c r="N2332" s="19" t="n">
        <x:f>MAX(K2332-1,0)+MAX(L2332-1,0)+MAX(M2332-1,0)</x:f>
        <x:v>5</x:v>
      </x:c>
      <x:c r="O2332" s="19" t="n">
        <x:f>IF(AND(SUM(K2332:M2332)&lt;9,OR(M2332=0,N2332&lt;6)),1,0)</x:f>
        <x:v>1</x:v>
      </x:c>
      <x:c r="P2332" s="19" t="n">
        <x:f>IF(AND(SUM(K2332:M2332)&lt;9,OR(L2332=0,N2332&lt;6)),1,0)</x:f>
        <x:v>1</x:v>
      </x:c>
      <x:c r="Q2332" s="19" t="n">
        <x:f>IF(AND(SUM(K2332:M2332)&lt;9,OR(K2332=0,N2332&lt;6)),1,0)</x:f>
        <x:v>1</x:v>
      </x:c>
      <x:c r="R2332" s="22" t="str">
        <x:f>O2332&amp;P2332&amp;Q2332</x:f>
        <x:v>111</x:v>
      </x:c>
      <x:c r="S2332" s="19" t="n">
        <x:f>IF(I2332=1,IF(J2332=0,Q2332,IF(J2332=1,P2332,IF(J2332=2,O2332,0))),0)</x:f>
        <x:v>1</x:v>
      </x:c>
      <x:c r="T2332" s="19" t="n">
        <x:f>K2332+IF(AND(S2332=1,J2332=0),1,0)</x:f>
        <x:v>5</x:v>
      </x:c>
      <x:c r="U2332" s="19" t="n">
        <x:f>L2332+IF(AND(S2332=1,J2332=1),1,0)</x:f>
        <x:v>0</x:v>
      </x:c>
      <x:c r="V2332" s="19" t="n">
        <x:f>M2332+IF(AND(S2332=1,J2332=2),1,0)</x:f>
        <x:v>3</x:v>
      </x:c>
      <x:c r="W2332" s="19" t="n">
        <x:f>SUM(T2332:V2332)</x:f>
        <x:v>8</x:v>
      </x:c>
      <x:c r="X2332" s="19" t="n">
        <x:f>W2332-G2332</x:f>
        <x:v>0</x:v>
      </x:c>
      <x:c r="Y2332" s="19" t="n">
        <x:f>MAX(T2332,1)+MAX(U2332,1)+MAX(V2332,1)</x:f>
        <x:v>9</x:v>
      </x:c>
      <x:c r="Z2332" s="21" t="str">
        <x:f>IF(AND(MIN(D2332:F2332)&gt;=0,MAX(D2332:F2332)&lt;=7,MAX(D2332,1)+MAX(E2332,1)+MAX(F2332,1)&lt;=9,OR(H2332="-",AND(H2332=0,D2332&gt;0),AND(H2332=1,E2332&gt;0),AND(H2332=2,F2332&gt;0)),OR(I2332=0,AND(I2332=1,OR(J2332=0,J2332=1,J2332=2),R2332&lt;&gt;"000")),Y2332&lt;=9,MIN(T2332:V2332)&gt;=0),"合法","输入违约")</x:f>
        <x:v>合法</x:v>
      </x:c>
    </x:row>
    <x:row r="2333" ht="23" customHeight="1">
      <x:c r="A2333" s="3" t="str">
        <x:v>CT-2326</x:v>
      </x:c>
      <x:c r="B2333" s="3" t="str">
        <x:v>ST-158</x:v>
      </x:c>
      <x:c r="C2333" s="3" t="str">
        <x:v>仅R回收</x:v>
      </x:c>
      <x:c r="D2333" s="25" t="n">
        <x:v>6</x:v>
      </x:c>
      <x:c r="E2333" s="25" t="n">
        <x:v>0</x:v>
      </x:c>
      <x:c r="F2333" s="25" t="n">
        <x:v>2</x:v>
      </x:c>
      <x:c r="G2333" s="19" t="n">
        <x:f>SUM(D2333:F2333)</x:f>
        <x:v>8</x:v>
      </x:c>
      <x:c r="H2333" s="25" t="n">
        <x:v>2</x:v>
      </x:c>
      <x:c r="I2333" s="25" t="n">
        <x:v>0</x:v>
      </x:c>
      <x:c r="J2333" s="25" t="str">
        <x:v>-</x:v>
      </x:c>
      <x:c r="K2333" s="19" t="n">
        <x:f>D2333-IF(H2333=0,1,0)</x:f>
        <x:v>6</x:v>
      </x:c>
      <x:c r="L2333" s="19" t="n">
        <x:f>E2333-IF(H2333=1,1,0)</x:f>
        <x:v>0</x:v>
      </x:c>
      <x:c r="M2333" s="19" t="n">
        <x:f>F2333-IF(H2333=2,1,0)</x:f>
        <x:v>1</x:v>
      </x:c>
      <x:c r="N2333" s="19" t="n">
        <x:f>MAX(K2333-1,0)+MAX(L2333-1,0)+MAX(M2333-1,0)</x:f>
        <x:v>5</x:v>
      </x:c>
      <x:c r="O2333" s="19" t="n">
        <x:f>IF(AND(SUM(K2333:M2333)&lt;9,OR(M2333=0,N2333&lt;6)),1,0)</x:f>
        <x:v>1</x:v>
      </x:c>
      <x:c r="P2333" s="19" t="n">
        <x:f>IF(AND(SUM(K2333:M2333)&lt;9,OR(L2333=0,N2333&lt;6)),1,0)</x:f>
        <x:v>1</x:v>
      </x:c>
      <x:c r="Q2333" s="19" t="n">
        <x:f>IF(AND(SUM(K2333:M2333)&lt;9,OR(K2333=0,N2333&lt;6)),1,0)</x:f>
        <x:v>1</x:v>
      </x:c>
      <x:c r="R2333" s="22" t="str">
        <x:f>O2333&amp;P2333&amp;Q2333</x:f>
        <x:v>111</x:v>
      </x:c>
      <x:c r="S2333" s="19" t="n">
        <x:f>IF(I2333=1,IF(J2333=0,Q2333,IF(J2333=1,P2333,IF(J2333=2,O2333,0))),0)</x:f>
        <x:v>0</x:v>
      </x:c>
      <x:c r="T2333" s="19" t="n">
        <x:f>K2333+IF(AND(S2333=1,J2333=0),1,0)</x:f>
        <x:v>6</x:v>
      </x:c>
      <x:c r="U2333" s="19" t="n">
        <x:f>L2333+IF(AND(S2333=1,J2333=1),1,0)</x:f>
        <x:v>0</x:v>
      </x:c>
      <x:c r="V2333" s="19" t="n">
        <x:f>M2333+IF(AND(S2333=1,J2333=2),1,0)</x:f>
        <x:v>1</x:v>
      </x:c>
      <x:c r="W2333" s="19" t="n">
        <x:f>SUM(T2333:V2333)</x:f>
        <x:v>7</x:v>
      </x:c>
      <x:c r="X2333" s="19" t="n">
        <x:f>W2333-G2333</x:f>
        <x:v>-1</x:v>
      </x:c>
      <x:c r="Y2333" s="19" t="n">
        <x:f>MAX(T2333,1)+MAX(U2333,1)+MAX(V2333,1)</x:f>
        <x:v>8</x:v>
      </x:c>
      <x:c r="Z2333" s="21" t="str">
        <x:f>IF(AND(MIN(D2333:F2333)&gt;=0,MAX(D2333:F2333)&lt;=7,MAX(D2333,1)+MAX(E2333,1)+MAX(F2333,1)&lt;=9,OR(H2333="-",AND(H2333=0,D2333&gt;0),AND(H2333=1,E2333&gt;0),AND(H2333=2,F2333&gt;0)),OR(I2333=0,AND(I2333=1,OR(J2333=0,J2333=1,J2333=2),R2333&lt;&gt;"000")),Y2333&lt;=9,MIN(T2333:V2333)&gt;=0),"合法","输入违约")</x:f>
        <x:v>合法</x:v>
      </x:c>
    </x:row>
    <x:row r="2334" ht="23" customHeight="1">
      <x:c r="A2334" s="3" t="str">
        <x:v>CT-2327</x:v>
      </x:c>
      <x:c r="B2334" s="3" t="str">
        <x:v>ST-158</x:v>
      </x:c>
      <x:c r="C2334" s="3" t="str">
        <x:v>R+AR同收同发</x:v>
      </x:c>
      <x:c r="D2334" s="25" t="n">
        <x:v>6</x:v>
      </x:c>
      <x:c r="E2334" s="25" t="n">
        <x:v>0</x:v>
      </x:c>
      <x:c r="F2334" s="25" t="n">
        <x:v>2</x:v>
      </x:c>
      <x:c r="G2334" s="19" t="n">
        <x:f>SUM(D2334:F2334)</x:f>
        <x:v>8</x:v>
      </x:c>
      <x:c r="H2334" s="25" t="n">
        <x:v>2</x:v>
      </x:c>
      <x:c r="I2334" s="25" t="n">
        <x:v>1</x:v>
      </x:c>
      <x:c r="J2334" s="25" t="n">
        <x:v>0</x:v>
      </x:c>
      <x:c r="K2334" s="19" t="n">
        <x:f>D2334-IF(H2334=0,1,0)</x:f>
        <x:v>6</x:v>
      </x:c>
      <x:c r="L2334" s="19" t="n">
        <x:f>E2334-IF(H2334=1,1,0)</x:f>
        <x:v>0</x:v>
      </x:c>
      <x:c r="M2334" s="19" t="n">
        <x:f>F2334-IF(H2334=2,1,0)</x:f>
        <x:v>1</x:v>
      </x:c>
      <x:c r="N2334" s="19" t="n">
        <x:f>MAX(K2334-1,0)+MAX(L2334-1,0)+MAX(M2334-1,0)</x:f>
        <x:v>5</x:v>
      </x:c>
      <x:c r="O2334" s="19" t="n">
        <x:f>IF(AND(SUM(K2334:M2334)&lt;9,OR(M2334=0,N2334&lt;6)),1,0)</x:f>
        <x:v>1</x:v>
      </x:c>
      <x:c r="P2334" s="19" t="n">
        <x:f>IF(AND(SUM(K2334:M2334)&lt;9,OR(L2334=0,N2334&lt;6)),1,0)</x:f>
        <x:v>1</x:v>
      </x:c>
      <x:c r="Q2334" s="19" t="n">
        <x:f>IF(AND(SUM(K2334:M2334)&lt;9,OR(K2334=0,N2334&lt;6)),1,0)</x:f>
        <x:v>1</x:v>
      </x:c>
      <x:c r="R2334" s="22" t="str">
        <x:f>O2334&amp;P2334&amp;Q2334</x:f>
        <x:v>111</x:v>
      </x:c>
      <x:c r="S2334" s="19" t="n">
        <x:f>IF(I2334=1,IF(J2334=0,Q2334,IF(J2334=1,P2334,IF(J2334=2,O2334,0))),0)</x:f>
        <x:v>1</x:v>
      </x:c>
      <x:c r="T2334" s="19" t="n">
        <x:f>K2334+IF(AND(S2334=1,J2334=0),1,0)</x:f>
        <x:v>7</x:v>
      </x:c>
      <x:c r="U2334" s="19" t="n">
        <x:f>L2334+IF(AND(S2334=1,J2334=1),1,0)</x:f>
        <x:v>0</x:v>
      </x:c>
      <x:c r="V2334" s="19" t="n">
        <x:f>M2334+IF(AND(S2334=1,J2334=2),1,0)</x:f>
        <x:v>1</x:v>
      </x:c>
      <x:c r="W2334" s="19" t="n">
        <x:f>SUM(T2334:V2334)</x:f>
        <x:v>8</x:v>
      </x:c>
      <x:c r="X2334" s="19" t="n">
        <x:f>W2334-G2334</x:f>
        <x:v>0</x:v>
      </x:c>
      <x:c r="Y2334" s="19" t="n">
        <x:f>MAX(T2334,1)+MAX(U2334,1)+MAX(V2334,1)</x:f>
        <x:v>9</x:v>
      </x:c>
      <x:c r="Z2334" s="21" t="str">
        <x:f>IF(AND(MIN(D2334:F2334)&gt;=0,MAX(D2334:F2334)&lt;=7,MAX(D2334,1)+MAX(E2334,1)+MAX(F2334,1)&lt;=9,OR(H2334="-",AND(H2334=0,D2334&gt;0),AND(H2334=1,E2334&gt;0),AND(H2334=2,F2334&gt;0)),OR(I2334=0,AND(I2334=1,OR(J2334=0,J2334=1,J2334=2),R2334&lt;&gt;"000")),Y2334&lt;=9,MIN(T2334:V2334)&gt;=0),"合法","输入违约")</x:f>
        <x:v>合法</x:v>
      </x:c>
    </x:row>
    <x:row r="2335" ht="23" customHeight="1">
      <x:c r="A2335" s="3" t="str">
        <x:v>CT-2328</x:v>
      </x:c>
      <x:c r="B2335" s="3" t="str">
        <x:v>ST-158</x:v>
      </x:c>
      <x:c r="C2335" s="3" t="str">
        <x:v>R+AR同收同发</x:v>
      </x:c>
      <x:c r="D2335" s="25" t="n">
        <x:v>6</x:v>
      </x:c>
      <x:c r="E2335" s="25" t="n">
        <x:v>0</x:v>
      </x:c>
      <x:c r="F2335" s="25" t="n">
        <x:v>2</x:v>
      </x:c>
      <x:c r="G2335" s="19" t="n">
        <x:f>SUM(D2335:F2335)</x:f>
        <x:v>8</x:v>
      </x:c>
      <x:c r="H2335" s="25" t="n">
        <x:v>2</x:v>
      </x:c>
      <x:c r="I2335" s="25" t="n">
        <x:v>1</x:v>
      </x:c>
      <x:c r="J2335" s="25" t="n">
        <x:v>1</x:v>
      </x:c>
      <x:c r="K2335" s="19" t="n">
        <x:f>D2335-IF(H2335=0,1,0)</x:f>
        <x:v>6</x:v>
      </x:c>
      <x:c r="L2335" s="19" t="n">
        <x:f>E2335-IF(H2335=1,1,0)</x:f>
        <x:v>0</x:v>
      </x:c>
      <x:c r="M2335" s="19" t="n">
        <x:f>F2335-IF(H2335=2,1,0)</x:f>
        <x:v>1</x:v>
      </x:c>
      <x:c r="N2335" s="19" t="n">
        <x:f>MAX(K2335-1,0)+MAX(L2335-1,0)+MAX(M2335-1,0)</x:f>
        <x:v>5</x:v>
      </x:c>
      <x:c r="O2335" s="19" t="n">
        <x:f>IF(AND(SUM(K2335:M2335)&lt;9,OR(M2335=0,N2335&lt;6)),1,0)</x:f>
        <x:v>1</x:v>
      </x:c>
      <x:c r="P2335" s="19" t="n">
        <x:f>IF(AND(SUM(K2335:M2335)&lt;9,OR(L2335=0,N2335&lt;6)),1,0)</x:f>
        <x:v>1</x:v>
      </x:c>
      <x:c r="Q2335" s="19" t="n">
        <x:f>IF(AND(SUM(K2335:M2335)&lt;9,OR(K2335=0,N2335&lt;6)),1,0)</x:f>
        <x:v>1</x:v>
      </x:c>
      <x:c r="R2335" s="22" t="str">
        <x:f>O2335&amp;P2335&amp;Q2335</x:f>
        <x:v>111</x:v>
      </x:c>
      <x:c r="S2335" s="19" t="n">
        <x:f>IF(I2335=1,IF(J2335=0,Q2335,IF(J2335=1,P2335,IF(J2335=2,O2335,0))),0)</x:f>
        <x:v>1</x:v>
      </x:c>
      <x:c r="T2335" s="19" t="n">
        <x:f>K2335+IF(AND(S2335=1,J2335=0),1,0)</x:f>
        <x:v>6</x:v>
      </x:c>
      <x:c r="U2335" s="19" t="n">
        <x:f>L2335+IF(AND(S2335=1,J2335=1),1,0)</x:f>
        <x:v>1</x:v>
      </x:c>
      <x:c r="V2335" s="19" t="n">
        <x:f>M2335+IF(AND(S2335=1,J2335=2),1,0)</x:f>
        <x:v>1</x:v>
      </x:c>
      <x:c r="W2335" s="19" t="n">
        <x:f>SUM(T2335:V2335)</x:f>
        <x:v>8</x:v>
      </x:c>
      <x:c r="X2335" s="19" t="n">
        <x:f>W2335-G2335</x:f>
        <x:v>0</x:v>
      </x:c>
      <x:c r="Y2335" s="19" t="n">
        <x:f>MAX(T2335,1)+MAX(U2335,1)+MAX(V2335,1)</x:f>
        <x:v>8</x:v>
      </x:c>
      <x:c r="Z2335" s="21" t="str">
        <x:f>IF(AND(MIN(D2335:F2335)&gt;=0,MAX(D2335:F2335)&lt;=7,MAX(D2335,1)+MAX(E2335,1)+MAX(F2335,1)&lt;=9,OR(H2335="-",AND(H2335=0,D2335&gt;0),AND(H2335=1,E2335&gt;0),AND(H2335=2,F2335&gt;0)),OR(I2335=0,AND(I2335=1,OR(J2335=0,J2335=1,J2335=2),R2335&lt;&gt;"000")),Y2335&lt;=9,MIN(T2335:V2335)&gt;=0),"合法","输入违约")</x:f>
        <x:v>合法</x:v>
      </x:c>
    </x:row>
    <x:row r="2336" ht="23" customHeight="1">
      <x:c r="A2336" s="3" t="str">
        <x:v>CT-2329</x:v>
      </x:c>
      <x:c r="B2336" s="3" t="str">
        <x:v>ST-158</x:v>
      </x:c>
      <x:c r="C2336" s="3" t="str">
        <x:v>R+AR同收同发</x:v>
      </x:c>
      <x:c r="D2336" s="25" t="n">
        <x:v>6</x:v>
      </x:c>
      <x:c r="E2336" s="25" t="n">
        <x:v>0</x:v>
      </x:c>
      <x:c r="F2336" s="25" t="n">
        <x:v>2</x:v>
      </x:c>
      <x:c r="G2336" s="19" t="n">
        <x:f>SUM(D2336:F2336)</x:f>
        <x:v>8</x:v>
      </x:c>
      <x:c r="H2336" s="25" t="n">
        <x:v>2</x:v>
      </x:c>
      <x:c r="I2336" s="25" t="n">
        <x:v>1</x:v>
      </x:c>
      <x:c r="J2336" s="25" t="n">
        <x:v>2</x:v>
      </x:c>
      <x:c r="K2336" s="19" t="n">
        <x:f>D2336-IF(H2336=0,1,0)</x:f>
        <x:v>6</x:v>
      </x:c>
      <x:c r="L2336" s="19" t="n">
        <x:f>E2336-IF(H2336=1,1,0)</x:f>
        <x:v>0</x:v>
      </x:c>
      <x:c r="M2336" s="19" t="n">
        <x:f>F2336-IF(H2336=2,1,0)</x:f>
        <x:v>1</x:v>
      </x:c>
      <x:c r="N2336" s="19" t="n">
        <x:f>MAX(K2336-1,0)+MAX(L2336-1,0)+MAX(M2336-1,0)</x:f>
        <x:v>5</x:v>
      </x:c>
      <x:c r="O2336" s="19" t="n">
        <x:f>IF(AND(SUM(K2336:M2336)&lt;9,OR(M2336=0,N2336&lt;6)),1,0)</x:f>
        <x:v>1</x:v>
      </x:c>
      <x:c r="P2336" s="19" t="n">
        <x:f>IF(AND(SUM(K2336:M2336)&lt;9,OR(L2336=0,N2336&lt;6)),1,0)</x:f>
        <x:v>1</x:v>
      </x:c>
      <x:c r="Q2336" s="19" t="n">
        <x:f>IF(AND(SUM(K2336:M2336)&lt;9,OR(K2336=0,N2336&lt;6)),1,0)</x:f>
        <x:v>1</x:v>
      </x:c>
      <x:c r="R2336" s="22" t="str">
        <x:f>O2336&amp;P2336&amp;Q2336</x:f>
        <x:v>111</x:v>
      </x:c>
      <x:c r="S2336" s="19" t="n">
        <x:f>IF(I2336=1,IF(J2336=0,Q2336,IF(J2336=1,P2336,IF(J2336=2,O2336,0))),0)</x:f>
        <x:v>1</x:v>
      </x:c>
      <x:c r="T2336" s="19" t="n">
        <x:f>K2336+IF(AND(S2336=1,J2336=0),1,0)</x:f>
        <x:v>6</x:v>
      </x:c>
      <x:c r="U2336" s="19" t="n">
        <x:f>L2336+IF(AND(S2336=1,J2336=1),1,0)</x:f>
        <x:v>0</x:v>
      </x:c>
      <x:c r="V2336" s="19" t="n">
        <x:f>M2336+IF(AND(S2336=1,J2336=2),1,0)</x:f>
        <x:v>2</x:v>
      </x:c>
      <x:c r="W2336" s="19" t="n">
        <x:f>SUM(T2336:V2336)</x:f>
        <x:v>8</x:v>
      </x:c>
      <x:c r="X2336" s="19" t="n">
        <x:f>W2336-G2336</x:f>
        <x:v>0</x:v>
      </x:c>
      <x:c r="Y2336" s="19" t="n">
        <x:f>MAX(T2336,1)+MAX(U2336,1)+MAX(V2336,1)</x:f>
        <x:v>9</x:v>
      </x:c>
      <x:c r="Z2336" s="21" t="str">
        <x:f>IF(AND(MIN(D2336:F2336)&gt;=0,MAX(D2336:F2336)&lt;=7,MAX(D2336,1)+MAX(E2336,1)+MAX(F2336,1)&lt;=9,OR(H2336="-",AND(H2336=0,D2336&gt;0),AND(H2336=1,E2336&gt;0),AND(H2336=2,F2336&gt;0)),OR(I2336=0,AND(I2336=1,OR(J2336=0,J2336=1,J2336=2),R2336&lt;&gt;"000")),Y2336&lt;=9,MIN(T2336:V2336)&gt;=0),"合法","输入违约")</x:f>
        <x:v>合法</x:v>
      </x:c>
    </x:row>
    <x:row r="2337" ht="23" customHeight="1">
      <x:c r="A2337" s="3" t="str">
        <x:v>CT-2330</x:v>
      </x:c>
      <x:c r="B2337" s="3" t="str">
        <x:v>ST-119</x:v>
      </x:c>
      <x:c r="C2337" s="3" t="str">
        <x:v>无AR/R</x:v>
      </x:c>
      <x:c r="D2337" s="25" t="n">
        <x:v>6</x:v>
      </x:c>
      <x:c r="E2337" s="25" t="n">
        <x:v>1</x:v>
      </x:c>
      <x:c r="F2337" s="25" t="n">
        <x:v>0</x:v>
      </x:c>
      <x:c r="G2337" s="19" t="n">
        <x:f>SUM(D2337:F2337)</x:f>
        <x:v>7</x:v>
      </x:c>
      <x:c r="H2337" s="25" t="str">
        <x:v>-</x:v>
      </x:c>
      <x:c r="I2337" s="25" t="n">
        <x:v>0</x:v>
      </x:c>
      <x:c r="J2337" s="25" t="str">
        <x:v>-</x:v>
      </x:c>
      <x:c r="K2337" s="19" t="n">
        <x:f>D2337-IF(H2337=0,1,0)</x:f>
        <x:v>6</x:v>
      </x:c>
      <x:c r="L2337" s="19" t="n">
        <x:f>E2337-IF(H2337=1,1,0)</x:f>
        <x:v>1</x:v>
      </x:c>
      <x:c r="M2337" s="19" t="n">
        <x:f>F2337-IF(H2337=2,1,0)</x:f>
        <x:v>0</x:v>
      </x:c>
      <x:c r="N2337" s="19" t="n">
        <x:f>MAX(K2337-1,0)+MAX(L2337-1,0)+MAX(M2337-1,0)</x:f>
        <x:v>5</x:v>
      </x:c>
      <x:c r="O2337" s="19" t="n">
        <x:f>IF(AND(SUM(K2337:M2337)&lt;9,OR(M2337=0,N2337&lt;6)),1,0)</x:f>
        <x:v>1</x:v>
      </x:c>
      <x:c r="P2337" s="19" t="n">
        <x:f>IF(AND(SUM(K2337:M2337)&lt;9,OR(L2337=0,N2337&lt;6)),1,0)</x:f>
        <x:v>1</x:v>
      </x:c>
      <x:c r="Q2337" s="19" t="n">
        <x:f>IF(AND(SUM(K2337:M2337)&lt;9,OR(K2337=0,N2337&lt;6)),1,0)</x:f>
        <x:v>1</x:v>
      </x:c>
      <x:c r="R2337" s="22" t="str">
        <x:f>O2337&amp;P2337&amp;Q2337</x:f>
        <x:v>111</x:v>
      </x:c>
      <x:c r="S2337" s="19" t="n">
        <x:f>IF(I2337=1,IF(J2337=0,Q2337,IF(J2337=1,P2337,IF(J2337=2,O2337,0))),0)</x:f>
        <x:v>0</x:v>
      </x:c>
      <x:c r="T2337" s="19" t="n">
        <x:f>K2337+IF(AND(S2337=1,J2337=0),1,0)</x:f>
        <x:v>6</x:v>
      </x:c>
      <x:c r="U2337" s="19" t="n">
        <x:f>L2337+IF(AND(S2337=1,J2337=1),1,0)</x:f>
        <x:v>1</x:v>
      </x:c>
      <x:c r="V2337" s="19" t="n">
        <x:f>M2337+IF(AND(S2337=1,J2337=2),1,0)</x:f>
        <x:v>0</x:v>
      </x:c>
      <x:c r="W2337" s="19" t="n">
        <x:f>SUM(T2337:V2337)</x:f>
        <x:v>7</x:v>
      </x:c>
      <x:c r="X2337" s="19" t="n">
        <x:f>W2337-G2337</x:f>
        <x:v>0</x:v>
      </x:c>
      <x:c r="Y2337" s="19" t="n">
        <x:f>MAX(T2337,1)+MAX(U2337,1)+MAX(V2337,1)</x:f>
        <x:v>8</x:v>
      </x:c>
      <x:c r="Z2337" s="21" t="str">
        <x:f>IF(AND(MIN(D2337:F2337)&gt;=0,MAX(D2337:F2337)&lt;=7,MAX(D2337,1)+MAX(E2337,1)+MAX(F2337,1)&lt;=9,OR(H2337="-",AND(H2337=0,D2337&gt;0),AND(H2337=1,E2337&gt;0),AND(H2337=2,F2337&gt;0)),OR(I2337=0,AND(I2337=1,OR(J2337=0,J2337=1,J2337=2),R2337&lt;&gt;"000")),Y2337&lt;=9,MIN(T2337:V2337)&gt;=0),"合法","输入违约")</x:f>
        <x:v>合法</x:v>
      </x:c>
    </x:row>
    <x:row r="2338" ht="23" customHeight="1">
      <x:c r="A2338" s="3" t="str">
        <x:v>CT-2331</x:v>
      </x:c>
      <x:c r="B2338" s="3" t="str">
        <x:v>ST-119</x:v>
      </x:c>
      <x:c r="C2338" s="3" t="str">
        <x:v>仅AR接收</x:v>
      </x:c>
      <x:c r="D2338" s="25" t="n">
        <x:v>6</x:v>
      </x:c>
      <x:c r="E2338" s="25" t="n">
        <x:v>1</x:v>
      </x:c>
      <x:c r="F2338" s="25" t="n">
        <x:v>0</x:v>
      </x:c>
      <x:c r="G2338" s="19" t="n">
        <x:f>SUM(D2338:F2338)</x:f>
        <x:v>7</x:v>
      </x:c>
      <x:c r="H2338" s="25" t="str">
        <x:v>-</x:v>
      </x:c>
      <x:c r="I2338" s="25" t="n">
        <x:v>1</x:v>
      </x:c>
      <x:c r="J2338" s="25" t="n">
        <x:v>0</x:v>
      </x:c>
      <x:c r="K2338" s="19" t="n">
        <x:f>D2338-IF(H2338=0,1,0)</x:f>
        <x:v>6</x:v>
      </x:c>
      <x:c r="L2338" s="19" t="n">
        <x:f>E2338-IF(H2338=1,1,0)</x:f>
        <x:v>1</x:v>
      </x:c>
      <x:c r="M2338" s="19" t="n">
        <x:f>F2338-IF(H2338=2,1,0)</x:f>
        <x:v>0</x:v>
      </x:c>
      <x:c r="N2338" s="19" t="n">
        <x:f>MAX(K2338-1,0)+MAX(L2338-1,0)+MAX(M2338-1,0)</x:f>
        <x:v>5</x:v>
      </x:c>
      <x:c r="O2338" s="19" t="n">
        <x:f>IF(AND(SUM(K2338:M2338)&lt;9,OR(M2338=0,N2338&lt;6)),1,0)</x:f>
        <x:v>1</x:v>
      </x:c>
      <x:c r="P2338" s="19" t="n">
        <x:f>IF(AND(SUM(K2338:M2338)&lt;9,OR(L2338=0,N2338&lt;6)),1,0)</x:f>
        <x:v>1</x:v>
      </x:c>
      <x:c r="Q2338" s="19" t="n">
        <x:f>IF(AND(SUM(K2338:M2338)&lt;9,OR(K2338=0,N2338&lt;6)),1,0)</x:f>
        <x:v>1</x:v>
      </x:c>
      <x:c r="R2338" s="22" t="str">
        <x:f>O2338&amp;P2338&amp;Q2338</x:f>
        <x:v>111</x:v>
      </x:c>
      <x:c r="S2338" s="19" t="n">
        <x:f>IF(I2338=1,IF(J2338=0,Q2338,IF(J2338=1,P2338,IF(J2338=2,O2338,0))),0)</x:f>
        <x:v>1</x:v>
      </x:c>
      <x:c r="T2338" s="19" t="n">
        <x:f>K2338+IF(AND(S2338=1,J2338=0),1,0)</x:f>
        <x:v>7</x:v>
      </x:c>
      <x:c r="U2338" s="19" t="n">
        <x:f>L2338+IF(AND(S2338=1,J2338=1),1,0)</x:f>
        <x:v>1</x:v>
      </x:c>
      <x:c r="V2338" s="19" t="n">
        <x:f>M2338+IF(AND(S2338=1,J2338=2),1,0)</x:f>
        <x:v>0</x:v>
      </x:c>
      <x:c r="W2338" s="19" t="n">
        <x:f>SUM(T2338:V2338)</x:f>
        <x:v>8</x:v>
      </x:c>
      <x:c r="X2338" s="19" t="n">
        <x:f>W2338-G2338</x:f>
        <x:v>1</x:v>
      </x:c>
      <x:c r="Y2338" s="19" t="n">
        <x:f>MAX(T2338,1)+MAX(U2338,1)+MAX(V2338,1)</x:f>
        <x:v>9</x:v>
      </x:c>
      <x:c r="Z2338" s="21" t="str">
        <x:f>IF(AND(MIN(D2338:F2338)&gt;=0,MAX(D2338:F2338)&lt;=7,MAX(D2338,1)+MAX(E2338,1)+MAX(F2338,1)&lt;=9,OR(H2338="-",AND(H2338=0,D2338&gt;0),AND(H2338=1,E2338&gt;0),AND(H2338=2,F2338&gt;0)),OR(I2338=0,AND(I2338=1,OR(J2338=0,J2338=1,J2338=2),R2338&lt;&gt;"000")),Y2338&lt;=9,MIN(T2338:V2338)&gt;=0),"合法","输入违约")</x:f>
        <x:v>合法</x:v>
      </x:c>
    </x:row>
    <x:row r="2339" ht="23" customHeight="1">
      <x:c r="A2339" s="3" t="str">
        <x:v>CT-2332</x:v>
      </x:c>
      <x:c r="B2339" s="3" t="str">
        <x:v>ST-119</x:v>
      </x:c>
      <x:c r="C2339" s="3" t="str">
        <x:v>仅AR接收</x:v>
      </x:c>
      <x:c r="D2339" s="25" t="n">
        <x:v>6</x:v>
      </x:c>
      <x:c r="E2339" s="25" t="n">
        <x:v>1</x:v>
      </x:c>
      <x:c r="F2339" s="25" t="n">
        <x:v>0</x:v>
      </x:c>
      <x:c r="G2339" s="19" t="n">
        <x:f>SUM(D2339:F2339)</x:f>
        <x:v>7</x:v>
      </x:c>
      <x:c r="H2339" s="25" t="str">
        <x:v>-</x:v>
      </x:c>
      <x:c r="I2339" s="25" t="n">
        <x:v>1</x:v>
      </x:c>
      <x:c r="J2339" s="25" t="n">
        <x:v>1</x:v>
      </x:c>
      <x:c r="K2339" s="19" t="n">
        <x:f>D2339-IF(H2339=0,1,0)</x:f>
        <x:v>6</x:v>
      </x:c>
      <x:c r="L2339" s="19" t="n">
        <x:f>E2339-IF(H2339=1,1,0)</x:f>
        <x:v>1</x:v>
      </x:c>
      <x:c r="M2339" s="19" t="n">
        <x:f>F2339-IF(H2339=2,1,0)</x:f>
        <x:v>0</x:v>
      </x:c>
      <x:c r="N2339" s="19" t="n">
        <x:f>MAX(K2339-1,0)+MAX(L2339-1,0)+MAX(M2339-1,0)</x:f>
        <x:v>5</x:v>
      </x:c>
      <x:c r="O2339" s="19" t="n">
        <x:f>IF(AND(SUM(K2339:M2339)&lt;9,OR(M2339=0,N2339&lt;6)),1,0)</x:f>
        <x:v>1</x:v>
      </x:c>
      <x:c r="P2339" s="19" t="n">
        <x:f>IF(AND(SUM(K2339:M2339)&lt;9,OR(L2339=0,N2339&lt;6)),1,0)</x:f>
        <x:v>1</x:v>
      </x:c>
      <x:c r="Q2339" s="19" t="n">
        <x:f>IF(AND(SUM(K2339:M2339)&lt;9,OR(K2339=0,N2339&lt;6)),1,0)</x:f>
        <x:v>1</x:v>
      </x:c>
      <x:c r="R2339" s="22" t="str">
        <x:f>O2339&amp;P2339&amp;Q2339</x:f>
        <x:v>111</x:v>
      </x:c>
      <x:c r="S2339" s="19" t="n">
        <x:f>IF(I2339=1,IF(J2339=0,Q2339,IF(J2339=1,P2339,IF(J2339=2,O2339,0))),0)</x:f>
        <x:v>1</x:v>
      </x:c>
      <x:c r="T2339" s="19" t="n">
        <x:f>K2339+IF(AND(S2339=1,J2339=0),1,0)</x:f>
        <x:v>6</x:v>
      </x:c>
      <x:c r="U2339" s="19" t="n">
        <x:f>L2339+IF(AND(S2339=1,J2339=1),1,0)</x:f>
        <x:v>2</x:v>
      </x:c>
      <x:c r="V2339" s="19" t="n">
        <x:f>M2339+IF(AND(S2339=1,J2339=2),1,0)</x:f>
        <x:v>0</x:v>
      </x:c>
      <x:c r="W2339" s="19" t="n">
        <x:f>SUM(T2339:V2339)</x:f>
        <x:v>8</x:v>
      </x:c>
      <x:c r="X2339" s="19" t="n">
        <x:f>W2339-G2339</x:f>
        <x:v>1</x:v>
      </x:c>
      <x:c r="Y2339" s="19" t="n">
        <x:f>MAX(T2339,1)+MAX(U2339,1)+MAX(V2339,1)</x:f>
        <x:v>9</x:v>
      </x:c>
      <x:c r="Z2339" s="21" t="str">
        <x:f>IF(AND(MIN(D2339:F2339)&gt;=0,MAX(D2339:F2339)&lt;=7,MAX(D2339,1)+MAX(E2339,1)+MAX(F2339,1)&lt;=9,OR(H2339="-",AND(H2339=0,D2339&gt;0),AND(H2339=1,E2339&gt;0),AND(H2339=2,F2339&gt;0)),OR(I2339=0,AND(I2339=1,OR(J2339=0,J2339=1,J2339=2),R2339&lt;&gt;"000")),Y2339&lt;=9,MIN(T2339:V2339)&gt;=0),"合法","输入违约")</x:f>
        <x:v>合法</x:v>
      </x:c>
    </x:row>
    <x:row r="2340" ht="23" customHeight="1">
      <x:c r="A2340" s="3" t="str">
        <x:v>CT-2333</x:v>
      </x:c>
      <x:c r="B2340" s="3" t="str">
        <x:v>ST-119</x:v>
      </x:c>
      <x:c r="C2340" s="3" t="str">
        <x:v>仅AR接收</x:v>
      </x:c>
      <x:c r="D2340" s="25" t="n">
        <x:v>6</x:v>
      </x:c>
      <x:c r="E2340" s="25" t="n">
        <x:v>1</x:v>
      </x:c>
      <x:c r="F2340" s="25" t="n">
        <x:v>0</x:v>
      </x:c>
      <x:c r="G2340" s="19" t="n">
        <x:f>SUM(D2340:F2340)</x:f>
        <x:v>7</x:v>
      </x:c>
      <x:c r="H2340" s="25" t="str">
        <x:v>-</x:v>
      </x:c>
      <x:c r="I2340" s="25" t="n">
        <x:v>1</x:v>
      </x:c>
      <x:c r="J2340" s="25" t="n">
        <x:v>2</x:v>
      </x:c>
      <x:c r="K2340" s="19" t="n">
        <x:f>D2340-IF(H2340=0,1,0)</x:f>
        <x:v>6</x:v>
      </x:c>
      <x:c r="L2340" s="19" t="n">
        <x:f>E2340-IF(H2340=1,1,0)</x:f>
        <x:v>1</x:v>
      </x:c>
      <x:c r="M2340" s="19" t="n">
        <x:f>F2340-IF(H2340=2,1,0)</x:f>
        <x:v>0</x:v>
      </x:c>
      <x:c r="N2340" s="19" t="n">
        <x:f>MAX(K2340-1,0)+MAX(L2340-1,0)+MAX(M2340-1,0)</x:f>
        <x:v>5</x:v>
      </x:c>
      <x:c r="O2340" s="19" t="n">
        <x:f>IF(AND(SUM(K2340:M2340)&lt;9,OR(M2340=0,N2340&lt;6)),1,0)</x:f>
        <x:v>1</x:v>
      </x:c>
      <x:c r="P2340" s="19" t="n">
        <x:f>IF(AND(SUM(K2340:M2340)&lt;9,OR(L2340=0,N2340&lt;6)),1,0)</x:f>
        <x:v>1</x:v>
      </x:c>
      <x:c r="Q2340" s="19" t="n">
        <x:f>IF(AND(SUM(K2340:M2340)&lt;9,OR(K2340=0,N2340&lt;6)),1,0)</x:f>
        <x:v>1</x:v>
      </x:c>
      <x:c r="R2340" s="22" t="str">
        <x:f>O2340&amp;P2340&amp;Q2340</x:f>
        <x:v>111</x:v>
      </x:c>
      <x:c r="S2340" s="19" t="n">
        <x:f>IF(I2340=1,IF(J2340=0,Q2340,IF(J2340=1,P2340,IF(J2340=2,O2340,0))),0)</x:f>
        <x:v>1</x:v>
      </x:c>
      <x:c r="T2340" s="19" t="n">
        <x:f>K2340+IF(AND(S2340=1,J2340=0),1,0)</x:f>
        <x:v>6</x:v>
      </x:c>
      <x:c r="U2340" s="19" t="n">
        <x:f>L2340+IF(AND(S2340=1,J2340=1),1,0)</x:f>
        <x:v>1</x:v>
      </x:c>
      <x:c r="V2340" s="19" t="n">
        <x:f>M2340+IF(AND(S2340=1,J2340=2),1,0)</x:f>
        <x:v>1</x:v>
      </x:c>
      <x:c r="W2340" s="19" t="n">
        <x:f>SUM(T2340:V2340)</x:f>
        <x:v>8</x:v>
      </x:c>
      <x:c r="X2340" s="19" t="n">
        <x:f>W2340-G2340</x:f>
        <x:v>1</x:v>
      </x:c>
      <x:c r="Y2340" s="19" t="n">
        <x:f>MAX(T2340,1)+MAX(U2340,1)+MAX(V2340,1)</x:f>
        <x:v>8</x:v>
      </x:c>
      <x:c r="Z2340" s="21" t="str">
        <x:f>IF(AND(MIN(D2340:F2340)&gt;=0,MAX(D2340:F2340)&lt;=7,MAX(D2340,1)+MAX(E2340,1)+MAX(F2340,1)&lt;=9,OR(H2340="-",AND(H2340=0,D2340&gt;0),AND(H2340=1,E2340&gt;0),AND(H2340=2,F2340&gt;0)),OR(I2340=0,AND(I2340=1,OR(J2340=0,J2340=1,J2340=2),R2340&lt;&gt;"000")),Y2340&lt;=9,MIN(T2340:V2340)&gt;=0),"合法","输入违约")</x:f>
        <x:v>合法</x:v>
      </x:c>
    </x:row>
    <x:row r="2341" ht="23" customHeight="1">
      <x:c r="A2341" s="3" t="str">
        <x:v>CT-2334</x:v>
      </x:c>
      <x:c r="B2341" s="3" t="str">
        <x:v>ST-119</x:v>
      </x:c>
      <x:c r="C2341" s="3" t="str">
        <x:v>仅R回收</x:v>
      </x:c>
      <x:c r="D2341" s="25" t="n">
        <x:v>6</x:v>
      </x:c>
      <x:c r="E2341" s="25" t="n">
        <x:v>1</x:v>
      </x:c>
      <x:c r="F2341" s="25" t="n">
        <x:v>0</x:v>
      </x:c>
      <x:c r="G2341" s="19" t="n">
        <x:f>SUM(D2341:F2341)</x:f>
        <x:v>7</x:v>
      </x:c>
      <x:c r="H2341" s="25" t="n">
        <x:v>0</x:v>
      </x:c>
      <x:c r="I2341" s="25" t="n">
        <x:v>0</x:v>
      </x:c>
      <x:c r="J2341" s="25" t="str">
        <x:v>-</x:v>
      </x:c>
      <x:c r="K2341" s="19" t="n">
        <x:f>D2341-IF(H2341=0,1,0)</x:f>
        <x:v>5</x:v>
      </x:c>
      <x:c r="L2341" s="19" t="n">
        <x:f>E2341-IF(H2341=1,1,0)</x:f>
        <x:v>1</x:v>
      </x:c>
      <x:c r="M2341" s="19" t="n">
        <x:f>F2341-IF(H2341=2,1,0)</x:f>
        <x:v>0</x:v>
      </x:c>
      <x:c r="N2341" s="19" t="n">
        <x:f>MAX(K2341-1,0)+MAX(L2341-1,0)+MAX(M2341-1,0)</x:f>
        <x:v>4</x:v>
      </x:c>
      <x:c r="O2341" s="19" t="n">
        <x:f>IF(AND(SUM(K2341:M2341)&lt;9,OR(M2341=0,N2341&lt;6)),1,0)</x:f>
        <x:v>1</x:v>
      </x:c>
      <x:c r="P2341" s="19" t="n">
        <x:f>IF(AND(SUM(K2341:M2341)&lt;9,OR(L2341=0,N2341&lt;6)),1,0)</x:f>
        <x:v>1</x:v>
      </x:c>
      <x:c r="Q2341" s="19" t="n">
        <x:f>IF(AND(SUM(K2341:M2341)&lt;9,OR(K2341=0,N2341&lt;6)),1,0)</x:f>
        <x:v>1</x:v>
      </x:c>
      <x:c r="R2341" s="22" t="str">
        <x:f>O2341&amp;P2341&amp;Q2341</x:f>
        <x:v>111</x:v>
      </x:c>
      <x:c r="S2341" s="19" t="n">
        <x:f>IF(I2341=1,IF(J2341=0,Q2341,IF(J2341=1,P2341,IF(J2341=2,O2341,0))),0)</x:f>
        <x:v>0</x:v>
      </x:c>
      <x:c r="T2341" s="19" t="n">
        <x:f>K2341+IF(AND(S2341=1,J2341=0),1,0)</x:f>
        <x:v>5</x:v>
      </x:c>
      <x:c r="U2341" s="19" t="n">
        <x:f>L2341+IF(AND(S2341=1,J2341=1),1,0)</x:f>
        <x:v>1</x:v>
      </x:c>
      <x:c r="V2341" s="19" t="n">
        <x:f>M2341+IF(AND(S2341=1,J2341=2),1,0)</x:f>
        <x:v>0</x:v>
      </x:c>
      <x:c r="W2341" s="19" t="n">
        <x:f>SUM(T2341:V2341)</x:f>
        <x:v>6</x:v>
      </x:c>
      <x:c r="X2341" s="19" t="n">
        <x:f>W2341-G2341</x:f>
        <x:v>-1</x:v>
      </x:c>
      <x:c r="Y2341" s="19" t="n">
        <x:f>MAX(T2341,1)+MAX(U2341,1)+MAX(V2341,1)</x:f>
        <x:v>7</x:v>
      </x:c>
      <x:c r="Z2341" s="21" t="str">
        <x:f>IF(AND(MIN(D2341:F2341)&gt;=0,MAX(D2341:F2341)&lt;=7,MAX(D2341,1)+MAX(E2341,1)+MAX(F2341,1)&lt;=9,OR(H2341="-",AND(H2341=0,D2341&gt;0),AND(H2341=1,E2341&gt;0),AND(H2341=2,F2341&gt;0)),OR(I2341=0,AND(I2341=1,OR(J2341=0,J2341=1,J2341=2),R2341&lt;&gt;"000")),Y2341&lt;=9,MIN(T2341:V2341)&gt;=0),"合法","输入违约")</x:f>
        <x:v>合法</x:v>
      </x:c>
    </x:row>
    <x:row r="2342" ht="23" customHeight="1">
      <x:c r="A2342" s="3" t="str">
        <x:v>CT-2335</x:v>
      </x:c>
      <x:c r="B2342" s="3" t="str">
        <x:v>ST-119</x:v>
      </x:c>
      <x:c r="C2342" s="3" t="str">
        <x:v>R+AR同收同发</x:v>
      </x:c>
      <x:c r="D2342" s="25" t="n">
        <x:v>6</x:v>
      </x:c>
      <x:c r="E2342" s="25" t="n">
        <x:v>1</x:v>
      </x:c>
      <x:c r="F2342" s="25" t="n">
        <x:v>0</x:v>
      </x:c>
      <x:c r="G2342" s="19" t="n">
        <x:f>SUM(D2342:F2342)</x:f>
        <x:v>7</x:v>
      </x:c>
      <x:c r="H2342" s="25" t="n">
        <x:v>0</x:v>
      </x:c>
      <x:c r="I2342" s="25" t="n">
        <x:v>1</x:v>
      </x:c>
      <x:c r="J2342" s="25" t="n">
        <x:v>0</x:v>
      </x:c>
      <x:c r="K2342" s="19" t="n">
        <x:f>D2342-IF(H2342=0,1,0)</x:f>
        <x:v>5</x:v>
      </x:c>
      <x:c r="L2342" s="19" t="n">
        <x:f>E2342-IF(H2342=1,1,0)</x:f>
        <x:v>1</x:v>
      </x:c>
      <x:c r="M2342" s="19" t="n">
        <x:f>F2342-IF(H2342=2,1,0)</x:f>
        <x:v>0</x:v>
      </x:c>
      <x:c r="N2342" s="19" t="n">
        <x:f>MAX(K2342-1,0)+MAX(L2342-1,0)+MAX(M2342-1,0)</x:f>
        <x:v>4</x:v>
      </x:c>
      <x:c r="O2342" s="19" t="n">
        <x:f>IF(AND(SUM(K2342:M2342)&lt;9,OR(M2342=0,N2342&lt;6)),1,0)</x:f>
        <x:v>1</x:v>
      </x:c>
      <x:c r="P2342" s="19" t="n">
        <x:f>IF(AND(SUM(K2342:M2342)&lt;9,OR(L2342=0,N2342&lt;6)),1,0)</x:f>
        <x:v>1</x:v>
      </x:c>
      <x:c r="Q2342" s="19" t="n">
        <x:f>IF(AND(SUM(K2342:M2342)&lt;9,OR(K2342=0,N2342&lt;6)),1,0)</x:f>
        <x:v>1</x:v>
      </x:c>
      <x:c r="R2342" s="22" t="str">
        <x:f>O2342&amp;P2342&amp;Q2342</x:f>
        <x:v>111</x:v>
      </x:c>
      <x:c r="S2342" s="19" t="n">
        <x:f>IF(I2342=1,IF(J2342=0,Q2342,IF(J2342=1,P2342,IF(J2342=2,O2342,0))),0)</x:f>
        <x:v>1</x:v>
      </x:c>
      <x:c r="T2342" s="19" t="n">
        <x:f>K2342+IF(AND(S2342=1,J2342=0),1,0)</x:f>
        <x:v>6</x:v>
      </x:c>
      <x:c r="U2342" s="19" t="n">
        <x:f>L2342+IF(AND(S2342=1,J2342=1),1,0)</x:f>
        <x:v>1</x:v>
      </x:c>
      <x:c r="V2342" s="19" t="n">
        <x:f>M2342+IF(AND(S2342=1,J2342=2),1,0)</x:f>
        <x:v>0</x:v>
      </x:c>
      <x:c r="W2342" s="19" t="n">
        <x:f>SUM(T2342:V2342)</x:f>
        <x:v>7</x:v>
      </x:c>
      <x:c r="X2342" s="19" t="n">
        <x:f>W2342-G2342</x:f>
        <x:v>0</x:v>
      </x:c>
      <x:c r="Y2342" s="19" t="n">
        <x:f>MAX(T2342,1)+MAX(U2342,1)+MAX(V2342,1)</x:f>
        <x:v>8</x:v>
      </x:c>
      <x:c r="Z2342" s="21" t="str">
        <x:f>IF(AND(MIN(D2342:F2342)&gt;=0,MAX(D2342:F2342)&lt;=7,MAX(D2342,1)+MAX(E2342,1)+MAX(F2342,1)&lt;=9,OR(H2342="-",AND(H2342=0,D2342&gt;0),AND(H2342=1,E2342&gt;0),AND(H2342=2,F2342&gt;0)),OR(I2342=0,AND(I2342=1,OR(J2342=0,J2342=1,J2342=2),R2342&lt;&gt;"000")),Y2342&lt;=9,MIN(T2342:V2342)&gt;=0),"合法","输入违约")</x:f>
        <x:v>合法</x:v>
      </x:c>
    </x:row>
    <x:row r="2343" ht="23" customHeight="1">
      <x:c r="A2343" s="3" t="str">
        <x:v>CT-2336</x:v>
      </x:c>
      <x:c r="B2343" s="3" t="str">
        <x:v>ST-119</x:v>
      </x:c>
      <x:c r="C2343" s="3" t="str">
        <x:v>R+AR同收同发</x:v>
      </x:c>
      <x:c r="D2343" s="25" t="n">
        <x:v>6</x:v>
      </x:c>
      <x:c r="E2343" s="25" t="n">
        <x:v>1</x:v>
      </x:c>
      <x:c r="F2343" s="25" t="n">
        <x:v>0</x:v>
      </x:c>
      <x:c r="G2343" s="19" t="n">
        <x:f>SUM(D2343:F2343)</x:f>
        <x:v>7</x:v>
      </x:c>
      <x:c r="H2343" s="25" t="n">
        <x:v>0</x:v>
      </x:c>
      <x:c r="I2343" s="25" t="n">
        <x:v>1</x:v>
      </x:c>
      <x:c r="J2343" s="25" t="n">
        <x:v>1</x:v>
      </x:c>
      <x:c r="K2343" s="19" t="n">
        <x:f>D2343-IF(H2343=0,1,0)</x:f>
        <x:v>5</x:v>
      </x:c>
      <x:c r="L2343" s="19" t="n">
        <x:f>E2343-IF(H2343=1,1,0)</x:f>
        <x:v>1</x:v>
      </x:c>
      <x:c r="M2343" s="19" t="n">
        <x:f>F2343-IF(H2343=2,1,0)</x:f>
        <x:v>0</x:v>
      </x:c>
      <x:c r="N2343" s="19" t="n">
        <x:f>MAX(K2343-1,0)+MAX(L2343-1,0)+MAX(M2343-1,0)</x:f>
        <x:v>4</x:v>
      </x:c>
      <x:c r="O2343" s="19" t="n">
        <x:f>IF(AND(SUM(K2343:M2343)&lt;9,OR(M2343=0,N2343&lt;6)),1,0)</x:f>
        <x:v>1</x:v>
      </x:c>
      <x:c r="P2343" s="19" t="n">
        <x:f>IF(AND(SUM(K2343:M2343)&lt;9,OR(L2343=0,N2343&lt;6)),1,0)</x:f>
        <x:v>1</x:v>
      </x:c>
      <x:c r="Q2343" s="19" t="n">
        <x:f>IF(AND(SUM(K2343:M2343)&lt;9,OR(K2343=0,N2343&lt;6)),1,0)</x:f>
        <x:v>1</x:v>
      </x:c>
      <x:c r="R2343" s="22" t="str">
        <x:f>O2343&amp;P2343&amp;Q2343</x:f>
        <x:v>111</x:v>
      </x:c>
      <x:c r="S2343" s="19" t="n">
        <x:f>IF(I2343=1,IF(J2343=0,Q2343,IF(J2343=1,P2343,IF(J2343=2,O2343,0))),0)</x:f>
        <x:v>1</x:v>
      </x:c>
      <x:c r="T2343" s="19" t="n">
        <x:f>K2343+IF(AND(S2343=1,J2343=0),1,0)</x:f>
        <x:v>5</x:v>
      </x:c>
      <x:c r="U2343" s="19" t="n">
        <x:f>L2343+IF(AND(S2343=1,J2343=1),1,0)</x:f>
        <x:v>2</x:v>
      </x:c>
      <x:c r="V2343" s="19" t="n">
        <x:f>M2343+IF(AND(S2343=1,J2343=2),1,0)</x:f>
        <x:v>0</x:v>
      </x:c>
      <x:c r="W2343" s="19" t="n">
        <x:f>SUM(T2343:V2343)</x:f>
        <x:v>7</x:v>
      </x:c>
      <x:c r="X2343" s="19" t="n">
        <x:f>W2343-G2343</x:f>
        <x:v>0</x:v>
      </x:c>
      <x:c r="Y2343" s="19" t="n">
        <x:f>MAX(T2343,1)+MAX(U2343,1)+MAX(V2343,1)</x:f>
        <x:v>8</x:v>
      </x:c>
      <x:c r="Z2343" s="21" t="str">
        <x:f>IF(AND(MIN(D2343:F2343)&gt;=0,MAX(D2343:F2343)&lt;=7,MAX(D2343,1)+MAX(E2343,1)+MAX(F2343,1)&lt;=9,OR(H2343="-",AND(H2343=0,D2343&gt;0),AND(H2343=1,E2343&gt;0),AND(H2343=2,F2343&gt;0)),OR(I2343=0,AND(I2343=1,OR(J2343=0,J2343=1,J2343=2),R2343&lt;&gt;"000")),Y2343&lt;=9,MIN(T2343:V2343)&gt;=0),"合法","输入违约")</x:f>
        <x:v>合法</x:v>
      </x:c>
    </x:row>
    <x:row r="2344" ht="23" customHeight="1">
      <x:c r="A2344" s="3" t="str">
        <x:v>CT-2337</x:v>
      </x:c>
      <x:c r="B2344" s="3" t="str">
        <x:v>ST-119</x:v>
      </x:c>
      <x:c r="C2344" s="3" t="str">
        <x:v>R+AR同收同发</x:v>
      </x:c>
      <x:c r="D2344" s="25" t="n">
        <x:v>6</x:v>
      </x:c>
      <x:c r="E2344" s="25" t="n">
        <x:v>1</x:v>
      </x:c>
      <x:c r="F2344" s="25" t="n">
        <x:v>0</x:v>
      </x:c>
      <x:c r="G2344" s="19" t="n">
        <x:f>SUM(D2344:F2344)</x:f>
        <x:v>7</x:v>
      </x:c>
      <x:c r="H2344" s="25" t="n">
        <x:v>0</x:v>
      </x:c>
      <x:c r="I2344" s="25" t="n">
        <x:v>1</x:v>
      </x:c>
      <x:c r="J2344" s="25" t="n">
        <x:v>2</x:v>
      </x:c>
      <x:c r="K2344" s="19" t="n">
        <x:f>D2344-IF(H2344=0,1,0)</x:f>
        <x:v>5</x:v>
      </x:c>
      <x:c r="L2344" s="19" t="n">
        <x:f>E2344-IF(H2344=1,1,0)</x:f>
        <x:v>1</x:v>
      </x:c>
      <x:c r="M2344" s="19" t="n">
        <x:f>F2344-IF(H2344=2,1,0)</x:f>
        <x:v>0</x:v>
      </x:c>
      <x:c r="N2344" s="19" t="n">
        <x:f>MAX(K2344-1,0)+MAX(L2344-1,0)+MAX(M2344-1,0)</x:f>
        <x:v>4</x:v>
      </x:c>
      <x:c r="O2344" s="19" t="n">
        <x:f>IF(AND(SUM(K2344:M2344)&lt;9,OR(M2344=0,N2344&lt;6)),1,0)</x:f>
        <x:v>1</x:v>
      </x:c>
      <x:c r="P2344" s="19" t="n">
        <x:f>IF(AND(SUM(K2344:M2344)&lt;9,OR(L2344=0,N2344&lt;6)),1,0)</x:f>
        <x:v>1</x:v>
      </x:c>
      <x:c r="Q2344" s="19" t="n">
        <x:f>IF(AND(SUM(K2344:M2344)&lt;9,OR(K2344=0,N2344&lt;6)),1,0)</x:f>
        <x:v>1</x:v>
      </x:c>
      <x:c r="R2344" s="22" t="str">
        <x:f>O2344&amp;P2344&amp;Q2344</x:f>
        <x:v>111</x:v>
      </x:c>
      <x:c r="S2344" s="19" t="n">
        <x:f>IF(I2344=1,IF(J2344=0,Q2344,IF(J2344=1,P2344,IF(J2344=2,O2344,0))),0)</x:f>
        <x:v>1</x:v>
      </x:c>
      <x:c r="T2344" s="19" t="n">
        <x:f>K2344+IF(AND(S2344=1,J2344=0),1,0)</x:f>
        <x:v>5</x:v>
      </x:c>
      <x:c r="U2344" s="19" t="n">
        <x:f>L2344+IF(AND(S2344=1,J2344=1),1,0)</x:f>
        <x:v>1</x:v>
      </x:c>
      <x:c r="V2344" s="19" t="n">
        <x:f>M2344+IF(AND(S2344=1,J2344=2),1,0)</x:f>
        <x:v>1</x:v>
      </x:c>
      <x:c r="W2344" s="19" t="n">
        <x:f>SUM(T2344:V2344)</x:f>
        <x:v>7</x:v>
      </x:c>
      <x:c r="X2344" s="19" t="n">
        <x:f>W2344-G2344</x:f>
        <x:v>0</x:v>
      </x:c>
      <x:c r="Y2344" s="19" t="n">
        <x:f>MAX(T2344,1)+MAX(U2344,1)+MAX(V2344,1)</x:f>
        <x:v>7</x:v>
      </x:c>
      <x:c r="Z2344" s="21" t="str">
        <x:f>IF(AND(MIN(D2344:F2344)&gt;=0,MAX(D2344:F2344)&lt;=7,MAX(D2344,1)+MAX(E2344,1)+MAX(F2344,1)&lt;=9,OR(H2344="-",AND(H2344=0,D2344&gt;0),AND(H2344=1,E2344&gt;0),AND(H2344=2,F2344&gt;0)),OR(I2344=0,AND(I2344=1,OR(J2344=0,J2344=1,J2344=2),R2344&lt;&gt;"000")),Y2344&lt;=9,MIN(T2344:V2344)&gt;=0),"合法","输入违约")</x:f>
        <x:v>合法</x:v>
      </x:c>
    </x:row>
    <x:row r="2345" ht="23" customHeight="1">
      <x:c r="A2345" s="3" t="str">
        <x:v>CT-2338</x:v>
      </x:c>
      <x:c r="B2345" s="3" t="str">
        <x:v>ST-119</x:v>
      </x:c>
      <x:c r="C2345" s="3" t="str">
        <x:v>仅R回收</x:v>
      </x:c>
      <x:c r="D2345" s="25" t="n">
        <x:v>6</x:v>
      </x:c>
      <x:c r="E2345" s="25" t="n">
        <x:v>1</x:v>
      </x:c>
      <x:c r="F2345" s="25" t="n">
        <x:v>0</x:v>
      </x:c>
      <x:c r="G2345" s="19" t="n">
        <x:f>SUM(D2345:F2345)</x:f>
        <x:v>7</x:v>
      </x:c>
      <x:c r="H2345" s="25" t="n">
        <x:v>1</x:v>
      </x:c>
      <x:c r="I2345" s="25" t="n">
        <x:v>0</x:v>
      </x:c>
      <x:c r="J2345" s="25" t="str">
        <x:v>-</x:v>
      </x:c>
      <x:c r="K2345" s="19" t="n">
        <x:f>D2345-IF(H2345=0,1,0)</x:f>
        <x:v>6</x:v>
      </x:c>
      <x:c r="L2345" s="19" t="n">
        <x:f>E2345-IF(H2345=1,1,0)</x:f>
        <x:v>0</x:v>
      </x:c>
      <x:c r="M2345" s="19" t="n">
        <x:f>F2345-IF(H2345=2,1,0)</x:f>
        <x:v>0</x:v>
      </x:c>
      <x:c r="N2345" s="19" t="n">
        <x:f>MAX(K2345-1,0)+MAX(L2345-1,0)+MAX(M2345-1,0)</x:f>
        <x:v>5</x:v>
      </x:c>
      <x:c r="O2345" s="19" t="n">
        <x:f>IF(AND(SUM(K2345:M2345)&lt;9,OR(M2345=0,N2345&lt;6)),1,0)</x:f>
        <x:v>1</x:v>
      </x:c>
      <x:c r="P2345" s="19" t="n">
        <x:f>IF(AND(SUM(K2345:M2345)&lt;9,OR(L2345=0,N2345&lt;6)),1,0)</x:f>
        <x:v>1</x:v>
      </x:c>
      <x:c r="Q2345" s="19" t="n">
        <x:f>IF(AND(SUM(K2345:M2345)&lt;9,OR(K2345=0,N2345&lt;6)),1,0)</x:f>
        <x:v>1</x:v>
      </x:c>
      <x:c r="R2345" s="22" t="str">
        <x:f>O2345&amp;P2345&amp;Q2345</x:f>
        <x:v>111</x:v>
      </x:c>
      <x:c r="S2345" s="19" t="n">
        <x:f>IF(I2345=1,IF(J2345=0,Q2345,IF(J2345=1,P2345,IF(J2345=2,O2345,0))),0)</x:f>
        <x:v>0</x:v>
      </x:c>
      <x:c r="T2345" s="19" t="n">
        <x:f>K2345+IF(AND(S2345=1,J2345=0),1,0)</x:f>
        <x:v>6</x:v>
      </x:c>
      <x:c r="U2345" s="19" t="n">
        <x:f>L2345+IF(AND(S2345=1,J2345=1),1,0)</x:f>
        <x:v>0</x:v>
      </x:c>
      <x:c r="V2345" s="19" t="n">
        <x:f>M2345+IF(AND(S2345=1,J2345=2),1,0)</x:f>
        <x:v>0</x:v>
      </x:c>
      <x:c r="W2345" s="19" t="n">
        <x:f>SUM(T2345:V2345)</x:f>
        <x:v>6</x:v>
      </x:c>
      <x:c r="X2345" s="19" t="n">
        <x:f>W2345-G2345</x:f>
        <x:v>-1</x:v>
      </x:c>
      <x:c r="Y2345" s="19" t="n">
        <x:f>MAX(T2345,1)+MAX(U2345,1)+MAX(V2345,1)</x:f>
        <x:v>8</x:v>
      </x:c>
      <x:c r="Z2345" s="21" t="str">
        <x:f>IF(AND(MIN(D2345:F2345)&gt;=0,MAX(D2345:F2345)&lt;=7,MAX(D2345,1)+MAX(E2345,1)+MAX(F2345,1)&lt;=9,OR(H2345="-",AND(H2345=0,D2345&gt;0),AND(H2345=1,E2345&gt;0),AND(H2345=2,F2345&gt;0)),OR(I2345=0,AND(I2345=1,OR(J2345=0,J2345=1,J2345=2),R2345&lt;&gt;"000")),Y2345&lt;=9,MIN(T2345:V2345)&gt;=0),"合法","输入违约")</x:f>
        <x:v>合法</x:v>
      </x:c>
    </x:row>
    <x:row r="2346" ht="23" customHeight="1">
      <x:c r="A2346" s="3" t="str">
        <x:v>CT-2339</x:v>
      </x:c>
      <x:c r="B2346" s="3" t="str">
        <x:v>ST-119</x:v>
      </x:c>
      <x:c r="C2346" s="3" t="str">
        <x:v>R+AR同收同发</x:v>
      </x:c>
      <x:c r="D2346" s="25" t="n">
        <x:v>6</x:v>
      </x:c>
      <x:c r="E2346" s="25" t="n">
        <x:v>1</x:v>
      </x:c>
      <x:c r="F2346" s="25" t="n">
        <x:v>0</x:v>
      </x:c>
      <x:c r="G2346" s="19" t="n">
        <x:f>SUM(D2346:F2346)</x:f>
        <x:v>7</x:v>
      </x:c>
      <x:c r="H2346" s="25" t="n">
        <x:v>1</x:v>
      </x:c>
      <x:c r="I2346" s="25" t="n">
        <x:v>1</x:v>
      </x:c>
      <x:c r="J2346" s="25" t="n">
        <x:v>0</x:v>
      </x:c>
      <x:c r="K2346" s="19" t="n">
        <x:f>D2346-IF(H2346=0,1,0)</x:f>
        <x:v>6</x:v>
      </x:c>
      <x:c r="L2346" s="19" t="n">
        <x:f>E2346-IF(H2346=1,1,0)</x:f>
        <x:v>0</x:v>
      </x:c>
      <x:c r="M2346" s="19" t="n">
        <x:f>F2346-IF(H2346=2,1,0)</x:f>
        <x:v>0</x:v>
      </x:c>
      <x:c r="N2346" s="19" t="n">
        <x:f>MAX(K2346-1,0)+MAX(L2346-1,0)+MAX(M2346-1,0)</x:f>
        <x:v>5</x:v>
      </x:c>
      <x:c r="O2346" s="19" t="n">
        <x:f>IF(AND(SUM(K2346:M2346)&lt;9,OR(M2346=0,N2346&lt;6)),1,0)</x:f>
        <x:v>1</x:v>
      </x:c>
      <x:c r="P2346" s="19" t="n">
        <x:f>IF(AND(SUM(K2346:M2346)&lt;9,OR(L2346=0,N2346&lt;6)),1,0)</x:f>
        <x:v>1</x:v>
      </x:c>
      <x:c r="Q2346" s="19" t="n">
        <x:f>IF(AND(SUM(K2346:M2346)&lt;9,OR(K2346=0,N2346&lt;6)),1,0)</x:f>
        <x:v>1</x:v>
      </x:c>
      <x:c r="R2346" s="22" t="str">
        <x:f>O2346&amp;P2346&amp;Q2346</x:f>
        <x:v>111</x:v>
      </x:c>
      <x:c r="S2346" s="19" t="n">
        <x:f>IF(I2346=1,IF(J2346=0,Q2346,IF(J2346=1,P2346,IF(J2346=2,O2346,0))),0)</x:f>
        <x:v>1</x:v>
      </x:c>
      <x:c r="T2346" s="19" t="n">
        <x:f>K2346+IF(AND(S2346=1,J2346=0),1,0)</x:f>
        <x:v>7</x:v>
      </x:c>
      <x:c r="U2346" s="19" t="n">
        <x:f>L2346+IF(AND(S2346=1,J2346=1),1,0)</x:f>
        <x:v>0</x:v>
      </x:c>
      <x:c r="V2346" s="19" t="n">
        <x:f>M2346+IF(AND(S2346=1,J2346=2),1,0)</x:f>
        <x:v>0</x:v>
      </x:c>
      <x:c r="W2346" s="19" t="n">
        <x:f>SUM(T2346:V2346)</x:f>
        <x:v>7</x:v>
      </x:c>
      <x:c r="X2346" s="19" t="n">
        <x:f>W2346-G2346</x:f>
        <x:v>0</x:v>
      </x:c>
      <x:c r="Y2346" s="19" t="n">
        <x:f>MAX(T2346,1)+MAX(U2346,1)+MAX(V2346,1)</x:f>
        <x:v>9</x:v>
      </x:c>
      <x:c r="Z2346" s="21" t="str">
        <x:f>IF(AND(MIN(D2346:F2346)&gt;=0,MAX(D2346:F2346)&lt;=7,MAX(D2346,1)+MAX(E2346,1)+MAX(F2346,1)&lt;=9,OR(H2346="-",AND(H2346=0,D2346&gt;0),AND(H2346=1,E2346&gt;0),AND(H2346=2,F2346&gt;0)),OR(I2346=0,AND(I2346=1,OR(J2346=0,J2346=1,J2346=2),R2346&lt;&gt;"000")),Y2346&lt;=9,MIN(T2346:V2346)&gt;=0),"合法","输入违约")</x:f>
        <x:v>合法</x:v>
      </x:c>
    </x:row>
    <x:row r="2347" ht="23" customHeight="1">
      <x:c r="A2347" s="3" t="str">
        <x:v>CT-2340</x:v>
      </x:c>
      <x:c r="B2347" s="3" t="str">
        <x:v>ST-119</x:v>
      </x:c>
      <x:c r="C2347" s="3" t="str">
        <x:v>R+AR同收同发</x:v>
      </x:c>
      <x:c r="D2347" s="25" t="n">
        <x:v>6</x:v>
      </x:c>
      <x:c r="E2347" s="25" t="n">
        <x:v>1</x:v>
      </x:c>
      <x:c r="F2347" s="25" t="n">
        <x:v>0</x:v>
      </x:c>
      <x:c r="G2347" s="19" t="n">
        <x:f>SUM(D2347:F2347)</x:f>
        <x:v>7</x:v>
      </x:c>
      <x:c r="H2347" s="25" t="n">
        <x:v>1</x:v>
      </x:c>
      <x:c r="I2347" s="25" t="n">
        <x:v>1</x:v>
      </x:c>
      <x:c r="J2347" s="25" t="n">
        <x:v>1</x:v>
      </x:c>
      <x:c r="K2347" s="19" t="n">
        <x:f>D2347-IF(H2347=0,1,0)</x:f>
        <x:v>6</x:v>
      </x:c>
      <x:c r="L2347" s="19" t="n">
        <x:f>E2347-IF(H2347=1,1,0)</x:f>
        <x:v>0</x:v>
      </x:c>
      <x:c r="M2347" s="19" t="n">
        <x:f>F2347-IF(H2347=2,1,0)</x:f>
        <x:v>0</x:v>
      </x:c>
      <x:c r="N2347" s="19" t="n">
        <x:f>MAX(K2347-1,0)+MAX(L2347-1,0)+MAX(M2347-1,0)</x:f>
        <x:v>5</x:v>
      </x:c>
      <x:c r="O2347" s="19" t="n">
        <x:f>IF(AND(SUM(K2347:M2347)&lt;9,OR(M2347=0,N2347&lt;6)),1,0)</x:f>
        <x:v>1</x:v>
      </x:c>
      <x:c r="P2347" s="19" t="n">
        <x:f>IF(AND(SUM(K2347:M2347)&lt;9,OR(L2347=0,N2347&lt;6)),1,0)</x:f>
        <x:v>1</x:v>
      </x:c>
      <x:c r="Q2347" s="19" t="n">
        <x:f>IF(AND(SUM(K2347:M2347)&lt;9,OR(K2347=0,N2347&lt;6)),1,0)</x:f>
        <x:v>1</x:v>
      </x:c>
      <x:c r="R2347" s="22" t="str">
        <x:f>O2347&amp;P2347&amp;Q2347</x:f>
        <x:v>111</x:v>
      </x:c>
      <x:c r="S2347" s="19" t="n">
        <x:f>IF(I2347=1,IF(J2347=0,Q2347,IF(J2347=1,P2347,IF(J2347=2,O2347,0))),0)</x:f>
        <x:v>1</x:v>
      </x:c>
      <x:c r="T2347" s="19" t="n">
        <x:f>K2347+IF(AND(S2347=1,J2347=0),1,0)</x:f>
        <x:v>6</x:v>
      </x:c>
      <x:c r="U2347" s="19" t="n">
        <x:f>L2347+IF(AND(S2347=1,J2347=1),1,0)</x:f>
        <x:v>1</x:v>
      </x:c>
      <x:c r="V2347" s="19" t="n">
        <x:f>M2347+IF(AND(S2347=1,J2347=2),1,0)</x:f>
        <x:v>0</x:v>
      </x:c>
      <x:c r="W2347" s="19" t="n">
        <x:f>SUM(T2347:V2347)</x:f>
        <x:v>7</x:v>
      </x:c>
      <x:c r="X2347" s="19" t="n">
        <x:f>W2347-G2347</x:f>
        <x:v>0</x:v>
      </x:c>
      <x:c r="Y2347" s="19" t="n">
        <x:f>MAX(T2347,1)+MAX(U2347,1)+MAX(V2347,1)</x:f>
        <x:v>8</x:v>
      </x:c>
      <x:c r="Z2347" s="21" t="str">
        <x:f>IF(AND(MIN(D2347:F2347)&gt;=0,MAX(D2347:F2347)&lt;=7,MAX(D2347,1)+MAX(E2347,1)+MAX(F2347,1)&lt;=9,OR(H2347="-",AND(H2347=0,D2347&gt;0),AND(H2347=1,E2347&gt;0),AND(H2347=2,F2347&gt;0)),OR(I2347=0,AND(I2347=1,OR(J2347=0,J2347=1,J2347=2),R2347&lt;&gt;"000")),Y2347&lt;=9,MIN(T2347:V2347)&gt;=0),"合法","输入违约")</x:f>
        <x:v>合法</x:v>
      </x:c>
    </x:row>
    <x:row r="2348" ht="23" customHeight="1">
      <x:c r="A2348" s="3" t="str">
        <x:v>CT-2341</x:v>
      </x:c>
      <x:c r="B2348" s="3" t="str">
        <x:v>ST-119</x:v>
      </x:c>
      <x:c r="C2348" s="3" t="str">
        <x:v>R+AR同收同发</x:v>
      </x:c>
      <x:c r="D2348" s="25" t="n">
        <x:v>6</x:v>
      </x:c>
      <x:c r="E2348" s="25" t="n">
        <x:v>1</x:v>
      </x:c>
      <x:c r="F2348" s="25" t="n">
        <x:v>0</x:v>
      </x:c>
      <x:c r="G2348" s="19" t="n">
        <x:f>SUM(D2348:F2348)</x:f>
        <x:v>7</x:v>
      </x:c>
      <x:c r="H2348" s="25" t="n">
        <x:v>1</x:v>
      </x:c>
      <x:c r="I2348" s="25" t="n">
        <x:v>1</x:v>
      </x:c>
      <x:c r="J2348" s="25" t="n">
        <x:v>2</x:v>
      </x:c>
      <x:c r="K2348" s="19" t="n">
        <x:f>D2348-IF(H2348=0,1,0)</x:f>
        <x:v>6</x:v>
      </x:c>
      <x:c r="L2348" s="19" t="n">
        <x:f>E2348-IF(H2348=1,1,0)</x:f>
        <x:v>0</x:v>
      </x:c>
      <x:c r="M2348" s="19" t="n">
        <x:f>F2348-IF(H2348=2,1,0)</x:f>
        <x:v>0</x:v>
      </x:c>
      <x:c r="N2348" s="19" t="n">
        <x:f>MAX(K2348-1,0)+MAX(L2348-1,0)+MAX(M2348-1,0)</x:f>
        <x:v>5</x:v>
      </x:c>
      <x:c r="O2348" s="19" t="n">
        <x:f>IF(AND(SUM(K2348:M2348)&lt;9,OR(M2348=0,N2348&lt;6)),1,0)</x:f>
        <x:v>1</x:v>
      </x:c>
      <x:c r="P2348" s="19" t="n">
        <x:f>IF(AND(SUM(K2348:M2348)&lt;9,OR(L2348=0,N2348&lt;6)),1,0)</x:f>
        <x:v>1</x:v>
      </x:c>
      <x:c r="Q2348" s="19" t="n">
        <x:f>IF(AND(SUM(K2348:M2348)&lt;9,OR(K2348=0,N2348&lt;6)),1,0)</x:f>
        <x:v>1</x:v>
      </x:c>
      <x:c r="R2348" s="22" t="str">
        <x:f>O2348&amp;P2348&amp;Q2348</x:f>
        <x:v>111</x:v>
      </x:c>
      <x:c r="S2348" s="19" t="n">
        <x:f>IF(I2348=1,IF(J2348=0,Q2348,IF(J2348=1,P2348,IF(J2348=2,O2348,0))),0)</x:f>
        <x:v>1</x:v>
      </x:c>
      <x:c r="T2348" s="19" t="n">
        <x:f>K2348+IF(AND(S2348=1,J2348=0),1,0)</x:f>
        <x:v>6</x:v>
      </x:c>
      <x:c r="U2348" s="19" t="n">
        <x:f>L2348+IF(AND(S2348=1,J2348=1),1,0)</x:f>
        <x:v>0</x:v>
      </x:c>
      <x:c r="V2348" s="19" t="n">
        <x:f>M2348+IF(AND(S2348=1,J2348=2),1,0)</x:f>
        <x:v>1</x:v>
      </x:c>
      <x:c r="W2348" s="19" t="n">
        <x:f>SUM(T2348:V2348)</x:f>
        <x:v>7</x:v>
      </x:c>
      <x:c r="X2348" s="19" t="n">
        <x:f>W2348-G2348</x:f>
        <x:v>0</x:v>
      </x:c>
      <x:c r="Y2348" s="19" t="n">
        <x:f>MAX(T2348,1)+MAX(U2348,1)+MAX(V2348,1)</x:f>
        <x:v>8</x:v>
      </x:c>
      <x:c r="Z2348" s="21" t="str">
        <x:f>IF(AND(MIN(D2348:F2348)&gt;=0,MAX(D2348:F2348)&lt;=7,MAX(D2348,1)+MAX(E2348,1)+MAX(F2348,1)&lt;=9,OR(H2348="-",AND(H2348=0,D2348&gt;0),AND(H2348=1,E2348&gt;0),AND(H2348=2,F2348&gt;0)),OR(I2348=0,AND(I2348=1,OR(J2348=0,J2348=1,J2348=2),R2348&lt;&gt;"000")),Y2348&lt;=9,MIN(T2348:V2348)&gt;=0),"合法","输入违约")</x:f>
        <x:v>合法</x:v>
      </x:c>
    </x:row>
    <x:row r="2349" ht="23" customHeight="1">
      <x:c r="A2349" s="3" t="str">
        <x:v>CT-2342</x:v>
      </x:c>
      <x:c r="B2349" s="3" t="str">
        <x:v>ST-159</x:v>
      </x:c>
      <x:c r="C2349" s="3" t="str">
        <x:v>无AR/R</x:v>
      </x:c>
      <x:c r="D2349" s="25" t="n">
        <x:v>6</x:v>
      </x:c>
      <x:c r="E2349" s="25" t="n">
        <x:v>1</x:v>
      </x:c>
      <x:c r="F2349" s="25" t="n">
        <x:v>1</x:v>
      </x:c>
      <x:c r="G2349" s="19" t="n">
        <x:f>SUM(D2349:F2349)</x:f>
        <x:v>8</x:v>
      </x:c>
      <x:c r="H2349" s="25" t="str">
        <x:v>-</x:v>
      </x:c>
      <x:c r="I2349" s="25" t="n">
        <x:v>0</x:v>
      </x:c>
      <x:c r="J2349" s="25" t="str">
        <x:v>-</x:v>
      </x:c>
      <x:c r="K2349" s="19" t="n">
        <x:f>D2349-IF(H2349=0,1,0)</x:f>
        <x:v>6</x:v>
      </x:c>
      <x:c r="L2349" s="19" t="n">
        <x:f>E2349-IF(H2349=1,1,0)</x:f>
        <x:v>1</x:v>
      </x:c>
      <x:c r="M2349" s="19" t="n">
        <x:f>F2349-IF(H2349=2,1,0)</x:f>
        <x:v>1</x:v>
      </x:c>
      <x:c r="N2349" s="19" t="n">
        <x:f>MAX(K2349-1,0)+MAX(L2349-1,0)+MAX(M2349-1,0)</x:f>
        <x:v>5</x:v>
      </x:c>
      <x:c r="O2349" s="19" t="n">
        <x:f>IF(AND(SUM(K2349:M2349)&lt;9,OR(M2349=0,N2349&lt;6)),1,0)</x:f>
        <x:v>1</x:v>
      </x:c>
      <x:c r="P2349" s="19" t="n">
        <x:f>IF(AND(SUM(K2349:M2349)&lt;9,OR(L2349=0,N2349&lt;6)),1,0)</x:f>
        <x:v>1</x:v>
      </x:c>
      <x:c r="Q2349" s="19" t="n">
        <x:f>IF(AND(SUM(K2349:M2349)&lt;9,OR(K2349=0,N2349&lt;6)),1,0)</x:f>
        <x:v>1</x:v>
      </x:c>
      <x:c r="R2349" s="22" t="str">
        <x:f>O2349&amp;P2349&amp;Q2349</x:f>
        <x:v>111</x:v>
      </x:c>
      <x:c r="S2349" s="19" t="n">
        <x:f>IF(I2349=1,IF(J2349=0,Q2349,IF(J2349=1,P2349,IF(J2349=2,O2349,0))),0)</x:f>
        <x:v>0</x:v>
      </x:c>
      <x:c r="T2349" s="19" t="n">
        <x:f>K2349+IF(AND(S2349=1,J2349=0),1,0)</x:f>
        <x:v>6</x:v>
      </x:c>
      <x:c r="U2349" s="19" t="n">
        <x:f>L2349+IF(AND(S2349=1,J2349=1),1,0)</x:f>
        <x:v>1</x:v>
      </x:c>
      <x:c r="V2349" s="19" t="n">
        <x:f>M2349+IF(AND(S2349=1,J2349=2),1,0)</x:f>
        <x:v>1</x:v>
      </x:c>
      <x:c r="W2349" s="19" t="n">
        <x:f>SUM(T2349:V2349)</x:f>
        <x:v>8</x:v>
      </x:c>
      <x:c r="X2349" s="19" t="n">
        <x:f>W2349-G2349</x:f>
        <x:v>0</x:v>
      </x:c>
      <x:c r="Y2349" s="19" t="n">
        <x:f>MAX(T2349,1)+MAX(U2349,1)+MAX(V2349,1)</x:f>
        <x:v>8</x:v>
      </x:c>
      <x:c r="Z2349" s="21" t="str">
        <x:f>IF(AND(MIN(D2349:F2349)&gt;=0,MAX(D2349:F2349)&lt;=7,MAX(D2349,1)+MAX(E2349,1)+MAX(F2349,1)&lt;=9,OR(H2349="-",AND(H2349=0,D2349&gt;0),AND(H2349=1,E2349&gt;0),AND(H2349=2,F2349&gt;0)),OR(I2349=0,AND(I2349=1,OR(J2349=0,J2349=1,J2349=2),R2349&lt;&gt;"000")),Y2349&lt;=9,MIN(T2349:V2349)&gt;=0),"合法","输入违约")</x:f>
        <x:v>合法</x:v>
      </x:c>
    </x:row>
    <x:row r="2350" ht="23" customHeight="1">
      <x:c r="A2350" s="3" t="str">
        <x:v>CT-2343</x:v>
      </x:c>
      <x:c r="B2350" s="3" t="str">
        <x:v>ST-159</x:v>
      </x:c>
      <x:c r="C2350" s="3" t="str">
        <x:v>仅AR接收</x:v>
      </x:c>
      <x:c r="D2350" s="25" t="n">
        <x:v>6</x:v>
      </x:c>
      <x:c r="E2350" s="25" t="n">
        <x:v>1</x:v>
      </x:c>
      <x:c r="F2350" s="25" t="n">
        <x:v>1</x:v>
      </x:c>
      <x:c r="G2350" s="19" t="n">
        <x:f>SUM(D2350:F2350)</x:f>
        <x:v>8</x:v>
      </x:c>
      <x:c r="H2350" s="25" t="str">
        <x:v>-</x:v>
      </x:c>
      <x:c r="I2350" s="25" t="n">
        <x:v>1</x:v>
      </x:c>
      <x:c r="J2350" s="25" t="n">
        <x:v>0</x:v>
      </x:c>
      <x:c r="K2350" s="19" t="n">
        <x:f>D2350-IF(H2350=0,1,0)</x:f>
        <x:v>6</x:v>
      </x:c>
      <x:c r="L2350" s="19" t="n">
        <x:f>E2350-IF(H2350=1,1,0)</x:f>
        <x:v>1</x:v>
      </x:c>
      <x:c r="M2350" s="19" t="n">
        <x:f>F2350-IF(H2350=2,1,0)</x:f>
        <x:v>1</x:v>
      </x:c>
      <x:c r="N2350" s="19" t="n">
        <x:f>MAX(K2350-1,0)+MAX(L2350-1,0)+MAX(M2350-1,0)</x:f>
        <x:v>5</x:v>
      </x:c>
      <x:c r="O2350" s="19" t="n">
        <x:f>IF(AND(SUM(K2350:M2350)&lt;9,OR(M2350=0,N2350&lt;6)),1,0)</x:f>
        <x:v>1</x:v>
      </x:c>
      <x:c r="P2350" s="19" t="n">
        <x:f>IF(AND(SUM(K2350:M2350)&lt;9,OR(L2350=0,N2350&lt;6)),1,0)</x:f>
        <x:v>1</x:v>
      </x:c>
      <x:c r="Q2350" s="19" t="n">
        <x:f>IF(AND(SUM(K2350:M2350)&lt;9,OR(K2350=0,N2350&lt;6)),1,0)</x:f>
        <x:v>1</x:v>
      </x:c>
      <x:c r="R2350" s="22" t="str">
        <x:f>O2350&amp;P2350&amp;Q2350</x:f>
        <x:v>111</x:v>
      </x:c>
      <x:c r="S2350" s="19" t="n">
        <x:f>IF(I2350=1,IF(J2350=0,Q2350,IF(J2350=1,P2350,IF(J2350=2,O2350,0))),0)</x:f>
        <x:v>1</x:v>
      </x:c>
      <x:c r="T2350" s="19" t="n">
        <x:f>K2350+IF(AND(S2350=1,J2350=0),1,0)</x:f>
        <x:v>7</x:v>
      </x:c>
      <x:c r="U2350" s="19" t="n">
        <x:f>L2350+IF(AND(S2350=1,J2350=1),1,0)</x:f>
        <x:v>1</x:v>
      </x:c>
      <x:c r="V2350" s="19" t="n">
        <x:f>M2350+IF(AND(S2350=1,J2350=2),1,0)</x:f>
        <x:v>1</x:v>
      </x:c>
      <x:c r="W2350" s="19" t="n">
        <x:f>SUM(T2350:V2350)</x:f>
        <x:v>9</x:v>
      </x:c>
      <x:c r="X2350" s="19" t="n">
        <x:f>W2350-G2350</x:f>
        <x:v>1</x:v>
      </x:c>
      <x:c r="Y2350" s="19" t="n">
        <x:f>MAX(T2350,1)+MAX(U2350,1)+MAX(V2350,1)</x:f>
        <x:v>9</x:v>
      </x:c>
      <x:c r="Z2350" s="21" t="str">
        <x:f>IF(AND(MIN(D2350:F2350)&gt;=0,MAX(D2350:F2350)&lt;=7,MAX(D2350,1)+MAX(E2350,1)+MAX(F2350,1)&lt;=9,OR(H2350="-",AND(H2350=0,D2350&gt;0),AND(H2350=1,E2350&gt;0),AND(H2350=2,F2350&gt;0)),OR(I2350=0,AND(I2350=1,OR(J2350=0,J2350=1,J2350=2),R2350&lt;&gt;"000")),Y2350&lt;=9,MIN(T2350:V2350)&gt;=0),"合法","输入违约")</x:f>
        <x:v>合法</x:v>
      </x:c>
    </x:row>
    <x:row r="2351" ht="23" customHeight="1">
      <x:c r="A2351" s="3" t="str">
        <x:v>CT-2344</x:v>
      </x:c>
      <x:c r="B2351" s="3" t="str">
        <x:v>ST-159</x:v>
      </x:c>
      <x:c r="C2351" s="3" t="str">
        <x:v>仅AR接收</x:v>
      </x:c>
      <x:c r="D2351" s="25" t="n">
        <x:v>6</x:v>
      </x:c>
      <x:c r="E2351" s="25" t="n">
        <x:v>1</x:v>
      </x:c>
      <x:c r="F2351" s="25" t="n">
        <x:v>1</x:v>
      </x:c>
      <x:c r="G2351" s="19" t="n">
        <x:f>SUM(D2351:F2351)</x:f>
        <x:v>8</x:v>
      </x:c>
      <x:c r="H2351" s="25" t="str">
        <x:v>-</x:v>
      </x:c>
      <x:c r="I2351" s="25" t="n">
        <x:v>1</x:v>
      </x:c>
      <x:c r="J2351" s="25" t="n">
        <x:v>1</x:v>
      </x:c>
      <x:c r="K2351" s="19" t="n">
        <x:f>D2351-IF(H2351=0,1,0)</x:f>
        <x:v>6</x:v>
      </x:c>
      <x:c r="L2351" s="19" t="n">
        <x:f>E2351-IF(H2351=1,1,0)</x:f>
        <x:v>1</x:v>
      </x:c>
      <x:c r="M2351" s="19" t="n">
        <x:f>F2351-IF(H2351=2,1,0)</x:f>
        <x:v>1</x:v>
      </x:c>
      <x:c r="N2351" s="19" t="n">
        <x:f>MAX(K2351-1,0)+MAX(L2351-1,0)+MAX(M2351-1,0)</x:f>
        <x:v>5</x:v>
      </x:c>
      <x:c r="O2351" s="19" t="n">
        <x:f>IF(AND(SUM(K2351:M2351)&lt;9,OR(M2351=0,N2351&lt;6)),1,0)</x:f>
        <x:v>1</x:v>
      </x:c>
      <x:c r="P2351" s="19" t="n">
        <x:f>IF(AND(SUM(K2351:M2351)&lt;9,OR(L2351=0,N2351&lt;6)),1,0)</x:f>
        <x:v>1</x:v>
      </x:c>
      <x:c r="Q2351" s="19" t="n">
        <x:f>IF(AND(SUM(K2351:M2351)&lt;9,OR(K2351=0,N2351&lt;6)),1,0)</x:f>
        <x:v>1</x:v>
      </x:c>
      <x:c r="R2351" s="22" t="str">
        <x:f>O2351&amp;P2351&amp;Q2351</x:f>
        <x:v>111</x:v>
      </x:c>
      <x:c r="S2351" s="19" t="n">
        <x:f>IF(I2351=1,IF(J2351=0,Q2351,IF(J2351=1,P2351,IF(J2351=2,O2351,0))),0)</x:f>
        <x:v>1</x:v>
      </x:c>
      <x:c r="T2351" s="19" t="n">
        <x:f>K2351+IF(AND(S2351=1,J2351=0),1,0)</x:f>
        <x:v>6</x:v>
      </x:c>
      <x:c r="U2351" s="19" t="n">
        <x:f>L2351+IF(AND(S2351=1,J2351=1),1,0)</x:f>
        <x:v>2</x:v>
      </x:c>
      <x:c r="V2351" s="19" t="n">
        <x:f>M2351+IF(AND(S2351=1,J2351=2),1,0)</x:f>
        <x:v>1</x:v>
      </x:c>
      <x:c r="W2351" s="19" t="n">
        <x:f>SUM(T2351:V2351)</x:f>
        <x:v>9</x:v>
      </x:c>
      <x:c r="X2351" s="19" t="n">
        <x:f>W2351-G2351</x:f>
        <x:v>1</x:v>
      </x:c>
      <x:c r="Y2351" s="19" t="n">
        <x:f>MAX(T2351,1)+MAX(U2351,1)+MAX(V2351,1)</x:f>
        <x:v>9</x:v>
      </x:c>
      <x:c r="Z2351" s="21" t="str">
        <x:f>IF(AND(MIN(D2351:F2351)&gt;=0,MAX(D2351:F2351)&lt;=7,MAX(D2351,1)+MAX(E2351,1)+MAX(F2351,1)&lt;=9,OR(H2351="-",AND(H2351=0,D2351&gt;0),AND(H2351=1,E2351&gt;0),AND(H2351=2,F2351&gt;0)),OR(I2351=0,AND(I2351=1,OR(J2351=0,J2351=1,J2351=2),R2351&lt;&gt;"000")),Y2351&lt;=9,MIN(T2351:V2351)&gt;=0),"合法","输入违约")</x:f>
        <x:v>合法</x:v>
      </x:c>
    </x:row>
    <x:row r="2352" ht="23" customHeight="1">
      <x:c r="A2352" s="3" t="str">
        <x:v>CT-2345</x:v>
      </x:c>
      <x:c r="B2352" s="3" t="str">
        <x:v>ST-159</x:v>
      </x:c>
      <x:c r="C2352" s="3" t="str">
        <x:v>仅AR接收</x:v>
      </x:c>
      <x:c r="D2352" s="25" t="n">
        <x:v>6</x:v>
      </x:c>
      <x:c r="E2352" s="25" t="n">
        <x:v>1</x:v>
      </x:c>
      <x:c r="F2352" s="25" t="n">
        <x:v>1</x:v>
      </x:c>
      <x:c r="G2352" s="19" t="n">
        <x:f>SUM(D2352:F2352)</x:f>
        <x:v>8</x:v>
      </x:c>
      <x:c r="H2352" s="25" t="str">
        <x:v>-</x:v>
      </x:c>
      <x:c r="I2352" s="25" t="n">
        <x:v>1</x:v>
      </x:c>
      <x:c r="J2352" s="25" t="n">
        <x:v>2</x:v>
      </x:c>
      <x:c r="K2352" s="19" t="n">
        <x:f>D2352-IF(H2352=0,1,0)</x:f>
        <x:v>6</x:v>
      </x:c>
      <x:c r="L2352" s="19" t="n">
        <x:f>E2352-IF(H2352=1,1,0)</x:f>
        <x:v>1</x:v>
      </x:c>
      <x:c r="M2352" s="19" t="n">
        <x:f>F2352-IF(H2352=2,1,0)</x:f>
        <x:v>1</x:v>
      </x:c>
      <x:c r="N2352" s="19" t="n">
        <x:f>MAX(K2352-1,0)+MAX(L2352-1,0)+MAX(M2352-1,0)</x:f>
        <x:v>5</x:v>
      </x:c>
      <x:c r="O2352" s="19" t="n">
        <x:f>IF(AND(SUM(K2352:M2352)&lt;9,OR(M2352=0,N2352&lt;6)),1,0)</x:f>
        <x:v>1</x:v>
      </x:c>
      <x:c r="P2352" s="19" t="n">
        <x:f>IF(AND(SUM(K2352:M2352)&lt;9,OR(L2352=0,N2352&lt;6)),1,0)</x:f>
        <x:v>1</x:v>
      </x:c>
      <x:c r="Q2352" s="19" t="n">
        <x:f>IF(AND(SUM(K2352:M2352)&lt;9,OR(K2352=0,N2352&lt;6)),1,0)</x:f>
        <x:v>1</x:v>
      </x:c>
      <x:c r="R2352" s="22" t="str">
        <x:f>O2352&amp;P2352&amp;Q2352</x:f>
        <x:v>111</x:v>
      </x:c>
      <x:c r="S2352" s="19" t="n">
        <x:f>IF(I2352=1,IF(J2352=0,Q2352,IF(J2352=1,P2352,IF(J2352=2,O2352,0))),0)</x:f>
        <x:v>1</x:v>
      </x:c>
      <x:c r="T2352" s="19" t="n">
        <x:f>K2352+IF(AND(S2352=1,J2352=0),1,0)</x:f>
        <x:v>6</x:v>
      </x:c>
      <x:c r="U2352" s="19" t="n">
        <x:f>L2352+IF(AND(S2352=1,J2352=1),1,0)</x:f>
        <x:v>1</x:v>
      </x:c>
      <x:c r="V2352" s="19" t="n">
        <x:f>M2352+IF(AND(S2352=1,J2352=2),1,0)</x:f>
        <x:v>2</x:v>
      </x:c>
      <x:c r="W2352" s="19" t="n">
        <x:f>SUM(T2352:V2352)</x:f>
        <x:v>9</x:v>
      </x:c>
      <x:c r="X2352" s="19" t="n">
        <x:f>W2352-G2352</x:f>
        <x:v>1</x:v>
      </x:c>
      <x:c r="Y2352" s="19" t="n">
        <x:f>MAX(T2352,1)+MAX(U2352,1)+MAX(V2352,1)</x:f>
        <x:v>9</x:v>
      </x:c>
      <x:c r="Z2352" s="21" t="str">
        <x:f>IF(AND(MIN(D2352:F2352)&gt;=0,MAX(D2352:F2352)&lt;=7,MAX(D2352,1)+MAX(E2352,1)+MAX(F2352,1)&lt;=9,OR(H2352="-",AND(H2352=0,D2352&gt;0),AND(H2352=1,E2352&gt;0),AND(H2352=2,F2352&gt;0)),OR(I2352=0,AND(I2352=1,OR(J2352=0,J2352=1,J2352=2),R2352&lt;&gt;"000")),Y2352&lt;=9,MIN(T2352:V2352)&gt;=0),"合法","输入违约")</x:f>
        <x:v>合法</x:v>
      </x:c>
    </x:row>
    <x:row r="2353" ht="23" customHeight="1">
      <x:c r="A2353" s="3" t="str">
        <x:v>CT-2346</x:v>
      </x:c>
      <x:c r="B2353" s="3" t="str">
        <x:v>ST-159</x:v>
      </x:c>
      <x:c r="C2353" s="3" t="str">
        <x:v>仅R回收</x:v>
      </x:c>
      <x:c r="D2353" s="25" t="n">
        <x:v>6</x:v>
      </x:c>
      <x:c r="E2353" s="25" t="n">
        <x:v>1</x:v>
      </x:c>
      <x:c r="F2353" s="25" t="n">
        <x:v>1</x:v>
      </x:c>
      <x:c r="G2353" s="19" t="n">
        <x:f>SUM(D2353:F2353)</x:f>
        <x:v>8</x:v>
      </x:c>
      <x:c r="H2353" s="25" t="n">
        <x:v>0</x:v>
      </x:c>
      <x:c r="I2353" s="25" t="n">
        <x:v>0</x:v>
      </x:c>
      <x:c r="J2353" s="25" t="str">
        <x:v>-</x:v>
      </x:c>
      <x:c r="K2353" s="19" t="n">
        <x:f>D2353-IF(H2353=0,1,0)</x:f>
        <x:v>5</x:v>
      </x:c>
      <x:c r="L2353" s="19" t="n">
        <x:f>E2353-IF(H2353=1,1,0)</x:f>
        <x:v>1</x:v>
      </x:c>
      <x:c r="M2353" s="19" t="n">
        <x:f>F2353-IF(H2353=2,1,0)</x:f>
        <x:v>1</x:v>
      </x:c>
      <x:c r="N2353" s="19" t="n">
        <x:f>MAX(K2353-1,0)+MAX(L2353-1,0)+MAX(M2353-1,0)</x:f>
        <x:v>4</x:v>
      </x:c>
      <x:c r="O2353" s="19" t="n">
        <x:f>IF(AND(SUM(K2353:M2353)&lt;9,OR(M2353=0,N2353&lt;6)),1,0)</x:f>
        <x:v>1</x:v>
      </x:c>
      <x:c r="P2353" s="19" t="n">
        <x:f>IF(AND(SUM(K2353:M2353)&lt;9,OR(L2353=0,N2353&lt;6)),1,0)</x:f>
        <x:v>1</x:v>
      </x:c>
      <x:c r="Q2353" s="19" t="n">
        <x:f>IF(AND(SUM(K2353:M2353)&lt;9,OR(K2353=0,N2353&lt;6)),1,0)</x:f>
        <x:v>1</x:v>
      </x:c>
      <x:c r="R2353" s="22" t="str">
        <x:f>O2353&amp;P2353&amp;Q2353</x:f>
        <x:v>111</x:v>
      </x:c>
      <x:c r="S2353" s="19" t="n">
        <x:f>IF(I2353=1,IF(J2353=0,Q2353,IF(J2353=1,P2353,IF(J2353=2,O2353,0))),0)</x:f>
        <x:v>0</x:v>
      </x:c>
      <x:c r="T2353" s="19" t="n">
        <x:f>K2353+IF(AND(S2353=1,J2353=0),1,0)</x:f>
        <x:v>5</x:v>
      </x:c>
      <x:c r="U2353" s="19" t="n">
        <x:f>L2353+IF(AND(S2353=1,J2353=1),1,0)</x:f>
        <x:v>1</x:v>
      </x:c>
      <x:c r="V2353" s="19" t="n">
        <x:f>M2353+IF(AND(S2353=1,J2353=2),1,0)</x:f>
        <x:v>1</x:v>
      </x:c>
      <x:c r="W2353" s="19" t="n">
        <x:f>SUM(T2353:V2353)</x:f>
        <x:v>7</x:v>
      </x:c>
      <x:c r="X2353" s="19" t="n">
        <x:f>W2353-G2353</x:f>
        <x:v>-1</x:v>
      </x:c>
      <x:c r="Y2353" s="19" t="n">
        <x:f>MAX(T2353,1)+MAX(U2353,1)+MAX(V2353,1)</x:f>
        <x:v>7</x:v>
      </x:c>
      <x:c r="Z2353" s="21" t="str">
        <x:f>IF(AND(MIN(D2353:F2353)&gt;=0,MAX(D2353:F2353)&lt;=7,MAX(D2353,1)+MAX(E2353,1)+MAX(F2353,1)&lt;=9,OR(H2353="-",AND(H2353=0,D2353&gt;0),AND(H2353=1,E2353&gt;0),AND(H2353=2,F2353&gt;0)),OR(I2353=0,AND(I2353=1,OR(J2353=0,J2353=1,J2353=2),R2353&lt;&gt;"000")),Y2353&lt;=9,MIN(T2353:V2353)&gt;=0),"合法","输入违约")</x:f>
        <x:v>合法</x:v>
      </x:c>
    </x:row>
    <x:row r="2354" ht="23" customHeight="1">
      <x:c r="A2354" s="3" t="str">
        <x:v>CT-2347</x:v>
      </x:c>
      <x:c r="B2354" s="3" t="str">
        <x:v>ST-159</x:v>
      </x:c>
      <x:c r="C2354" s="3" t="str">
        <x:v>R+AR同收同发</x:v>
      </x:c>
      <x:c r="D2354" s="25" t="n">
        <x:v>6</x:v>
      </x:c>
      <x:c r="E2354" s="25" t="n">
        <x:v>1</x:v>
      </x:c>
      <x:c r="F2354" s="25" t="n">
        <x:v>1</x:v>
      </x:c>
      <x:c r="G2354" s="19" t="n">
        <x:f>SUM(D2354:F2354)</x:f>
        <x:v>8</x:v>
      </x:c>
      <x:c r="H2354" s="25" t="n">
        <x:v>0</x:v>
      </x:c>
      <x:c r="I2354" s="25" t="n">
        <x:v>1</x:v>
      </x:c>
      <x:c r="J2354" s="25" t="n">
        <x:v>0</x:v>
      </x:c>
      <x:c r="K2354" s="19" t="n">
        <x:f>D2354-IF(H2354=0,1,0)</x:f>
        <x:v>5</x:v>
      </x:c>
      <x:c r="L2354" s="19" t="n">
        <x:f>E2354-IF(H2354=1,1,0)</x:f>
        <x:v>1</x:v>
      </x:c>
      <x:c r="M2354" s="19" t="n">
        <x:f>F2354-IF(H2354=2,1,0)</x:f>
        <x:v>1</x:v>
      </x:c>
      <x:c r="N2354" s="19" t="n">
        <x:f>MAX(K2354-1,0)+MAX(L2354-1,0)+MAX(M2354-1,0)</x:f>
        <x:v>4</x:v>
      </x:c>
      <x:c r="O2354" s="19" t="n">
        <x:f>IF(AND(SUM(K2354:M2354)&lt;9,OR(M2354=0,N2354&lt;6)),1,0)</x:f>
        <x:v>1</x:v>
      </x:c>
      <x:c r="P2354" s="19" t="n">
        <x:f>IF(AND(SUM(K2354:M2354)&lt;9,OR(L2354=0,N2354&lt;6)),1,0)</x:f>
        <x:v>1</x:v>
      </x:c>
      <x:c r="Q2354" s="19" t="n">
        <x:f>IF(AND(SUM(K2354:M2354)&lt;9,OR(K2354=0,N2354&lt;6)),1,0)</x:f>
        <x:v>1</x:v>
      </x:c>
      <x:c r="R2354" s="22" t="str">
        <x:f>O2354&amp;P2354&amp;Q2354</x:f>
        <x:v>111</x:v>
      </x:c>
      <x:c r="S2354" s="19" t="n">
        <x:f>IF(I2354=1,IF(J2354=0,Q2354,IF(J2354=1,P2354,IF(J2354=2,O2354,0))),0)</x:f>
        <x:v>1</x:v>
      </x:c>
      <x:c r="T2354" s="19" t="n">
        <x:f>K2354+IF(AND(S2354=1,J2354=0),1,0)</x:f>
        <x:v>6</x:v>
      </x:c>
      <x:c r="U2354" s="19" t="n">
        <x:f>L2354+IF(AND(S2354=1,J2354=1),1,0)</x:f>
        <x:v>1</x:v>
      </x:c>
      <x:c r="V2354" s="19" t="n">
        <x:f>M2354+IF(AND(S2354=1,J2354=2),1,0)</x:f>
        <x:v>1</x:v>
      </x:c>
      <x:c r="W2354" s="19" t="n">
        <x:f>SUM(T2354:V2354)</x:f>
        <x:v>8</x:v>
      </x:c>
      <x:c r="X2354" s="19" t="n">
        <x:f>W2354-G2354</x:f>
        <x:v>0</x:v>
      </x:c>
      <x:c r="Y2354" s="19" t="n">
        <x:f>MAX(T2354,1)+MAX(U2354,1)+MAX(V2354,1)</x:f>
        <x:v>8</x:v>
      </x:c>
      <x:c r="Z2354" s="21" t="str">
        <x:f>IF(AND(MIN(D2354:F2354)&gt;=0,MAX(D2354:F2354)&lt;=7,MAX(D2354,1)+MAX(E2354,1)+MAX(F2354,1)&lt;=9,OR(H2354="-",AND(H2354=0,D2354&gt;0),AND(H2354=1,E2354&gt;0),AND(H2354=2,F2354&gt;0)),OR(I2354=0,AND(I2354=1,OR(J2354=0,J2354=1,J2354=2),R2354&lt;&gt;"000")),Y2354&lt;=9,MIN(T2354:V2354)&gt;=0),"合法","输入违约")</x:f>
        <x:v>合法</x:v>
      </x:c>
    </x:row>
    <x:row r="2355" ht="23" customHeight="1">
      <x:c r="A2355" s="3" t="str">
        <x:v>CT-2348</x:v>
      </x:c>
      <x:c r="B2355" s="3" t="str">
        <x:v>ST-159</x:v>
      </x:c>
      <x:c r="C2355" s="3" t="str">
        <x:v>R+AR同收同发</x:v>
      </x:c>
      <x:c r="D2355" s="25" t="n">
        <x:v>6</x:v>
      </x:c>
      <x:c r="E2355" s="25" t="n">
        <x:v>1</x:v>
      </x:c>
      <x:c r="F2355" s="25" t="n">
        <x:v>1</x:v>
      </x:c>
      <x:c r="G2355" s="19" t="n">
        <x:f>SUM(D2355:F2355)</x:f>
        <x:v>8</x:v>
      </x:c>
      <x:c r="H2355" s="25" t="n">
        <x:v>0</x:v>
      </x:c>
      <x:c r="I2355" s="25" t="n">
        <x:v>1</x:v>
      </x:c>
      <x:c r="J2355" s="25" t="n">
        <x:v>1</x:v>
      </x:c>
      <x:c r="K2355" s="19" t="n">
        <x:f>D2355-IF(H2355=0,1,0)</x:f>
        <x:v>5</x:v>
      </x:c>
      <x:c r="L2355" s="19" t="n">
        <x:f>E2355-IF(H2355=1,1,0)</x:f>
        <x:v>1</x:v>
      </x:c>
      <x:c r="M2355" s="19" t="n">
        <x:f>F2355-IF(H2355=2,1,0)</x:f>
        <x:v>1</x:v>
      </x:c>
      <x:c r="N2355" s="19" t="n">
        <x:f>MAX(K2355-1,0)+MAX(L2355-1,0)+MAX(M2355-1,0)</x:f>
        <x:v>4</x:v>
      </x:c>
      <x:c r="O2355" s="19" t="n">
        <x:f>IF(AND(SUM(K2355:M2355)&lt;9,OR(M2355=0,N2355&lt;6)),1,0)</x:f>
        <x:v>1</x:v>
      </x:c>
      <x:c r="P2355" s="19" t="n">
        <x:f>IF(AND(SUM(K2355:M2355)&lt;9,OR(L2355=0,N2355&lt;6)),1,0)</x:f>
        <x:v>1</x:v>
      </x:c>
      <x:c r="Q2355" s="19" t="n">
        <x:f>IF(AND(SUM(K2355:M2355)&lt;9,OR(K2355=0,N2355&lt;6)),1,0)</x:f>
        <x:v>1</x:v>
      </x:c>
      <x:c r="R2355" s="22" t="str">
        <x:f>O2355&amp;P2355&amp;Q2355</x:f>
        <x:v>111</x:v>
      </x:c>
      <x:c r="S2355" s="19" t="n">
        <x:f>IF(I2355=1,IF(J2355=0,Q2355,IF(J2355=1,P2355,IF(J2355=2,O2355,0))),0)</x:f>
        <x:v>1</x:v>
      </x:c>
      <x:c r="T2355" s="19" t="n">
        <x:f>K2355+IF(AND(S2355=1,J2355=0),1,0)</x:f>
        <x:v>5</x:v>
      </x:c>
      <x:c r="U2355" s="19" t="n">
        <x:f>L2355+IF(AND(S2355=1,J2355=1),1,0)</x:f>
        <x:v>2</x:v>
      </x:c>
      <x:c r="V2355" s="19" t="n">
        <x:f>M2355+IF(AND(S2355=1,J2355=2),1,0)</x:f>
        <x:v>1</x:v>
      </x:c>
      <x:c r="W2355" s="19" t="n">
        <x:f>SUM(T2355:V2355)</x:f>
        <x:v>8</x:v>
      </x:c>
      <x:c r="X2355" s="19" t="n">
        <x:f>W2355-G2355</x:f>
        <x:v>0</x:v>
      </x:c>
      <x:c r="Y2355" s="19" t="n">
        <x:f>MAX(T2355,1)+MAX(U2355,1)+MAX(V2355,1)</x:f>
        <x:v>8</x:v>
      </x:c>
      <x:c r="Z2355" s="21" t="str">
        <x:f>IF(AND(MIN(D2355:F2355)&gt;=0,MAX(D2355:F2355)&lt;=7,MAX(D2355,1)+MAX(E2355,1)+MAX(F2355,1)&lt;=9,OR(H2355="-",AND(H2355=0,D2355&gt;0),AND(H2355=1,E2355&gt;0),AND(H2355=2,F2355&gt;0)),OR(I2355=0,AND(I2355=1,OR(J2355=0,J2355=1,J2355=2),R2355&lt;&gt;"000")),Y2355&lt;=9,MIN(T2355:V2355)&gt;=0),"合法","输入违约")</x:f>
        <x:v>合法</x:v>
      </x:c>
    </x:row>
    <x:row r="2356" ht="23" customHeight="1">
      <x:c r="A2356" s="3" t="str">
        <x:v>CT-2349</x:v>
      </x:c>
      <x:c r="B2356" s="3" t="str">
        <x:v>ST-159</x:v>
      </x:c>
      <x:c r="C2356" s="3" t="str">
        <x:v>R+AR同收同发</x:v>
      </x:c>
      <x:c r="D2356" s="25" t="n">
        <x:v>6</x:v>
      </x:c>
      <x:c r="E2356" s="25" t="n">
        <x:v>1</x:v>
      </x:c>
      <x:c r="F2356" s="25" t="n">
        <x:v>1</x:v>
      </x:c>
      <x:c r="G2356" s="19" t="n">
        <x:f>SUM(D2356:F2356)</x:f>
        <x:v>8</x:v>
      </x:c>
      <x:c r="H2356" s="25" t="n">
        <x:v>0</x:v>
      </x:c>
      <x:c r="I2356" s="25" t="n">
        <x:v>1</x:v>
      </x:c>
      <x:c r="J2356" s="25" t="n">
        <x:v>2</x:v>
      </x:c>
      <x:c r="K2356" s="19" t="n">
        <x:f>D2356-IF(H2356=0,1,0)</x:f>
        <x:v>5</x:v>
      </x:c>
      <x:c r="L2356" s="19" t="n">
        <x:f>E2356-IF(H2356=1,1,0)</x:f>
        <x:v>1</x:v>
      </x:c>
      <x:c r="M2356" s="19" t="n">
        <x:f>F2356-IF(H2356=2,1,0)</x:f>
        <x:v>1</x:v>
      </x:c>
      <x:c r="N2356" s="19" t="n">
        <x:f>MAX(K2356-1,0)+MAX(L2356-1,0)+MAX(M2356-1,0)</x:f>
        <x:v>4</x:v>
      </x:c>
      <x:c r="O2356" s="19" t="n">
        <x:f>IF(AND(SUM(K2356:M2356)&lt;9,OR(M2356=0,N2356&lt;6)),1,0)</x:f>
        <x:v>1</x:v>
      </x:c>
      <x:c r="P2356" s="19" t="n">
        <x:f>IF(AND(SUM(K2356:M2356)&lt;9,OR(L2356=0,N2356&lt;6)),1,0)</x:f>
        <x:v>1</x:v>
      </x:c>
      <x:c r="Q2356" s="19" t="n">
        <x:f>IF(AND(SUM(K2356:M2356)&lt;9,OR(K2356=0,N2356&lt;6)),1,0)</x:f>
        <x:v>1</x:v>
      </x:c>
      <x:c r="R2356" s="22" t="str">
        <x:f>O2356&amp;P2356&amp;Q2356</x:f>
        <x:v>111</x:v>
      </x:c>
      <x:c r="S2356" s="19" t="n">
        <x:f>IF(I2356=1,IF(J2356=0,Q2356,IF(J2356=1,P2356,IF(J2356=2,O2356,0))),0)</x:f>
        <x:v>1</x:v>
      </x:c>
      <x:c r="T2356" s="19" t="n">
        <x:f>K2356+IF(AND(S2356=1,J2356=0),1,0)</x:f>
        <x:v>5</x:v>
      </x:c>
      <x:c r="U2356" s="19" t="n">
        <x:f>L2356+IF(AND(S2356=1,J2356=1),1,0)</x:f>
        <x:v>1</x:v>
      </x:c>
      <x:c r="V2356" s="19" t="n">
        <x:f>M2356+IF(AND(S2356=1,J2356=2),1,0)</x:f>
        <x:v>2</x:v>
      </x:c>
      <x:c r="W2356" s="19" t="n">
        <x:f>SUM(T2356:V2356)</x:f>
        <x:v>8</x:v>
      </x:c>
      <x:c r="X2356" s="19" t="n">
        <x:f>W2356-G2356</x:f>
        <x:v>0</x:v>
      </x:c>
      <x:c r="Y2356" s="19" t="n">
        <x:f>MAX(T2356,1)+MAX(U2356,1)+MAX(V2356,1)</x:f>
        <x:v>8</x:v>
      </x:c>
      <x:c r="Z2356" s="21" t="str">
        <x:f>IF(AND(MIN(D2356:F2356)&gt;=0,MAX(D2356:F2356)&lt;=7,MAX(D2356,1)+MAX(E2356,1)+MAX(F2356,1)&lt;=9,OR(H2356="-",AND(H2356=0,D2356&gt;0),AND(H2356=1,E2356&gt;0),AND(H2356=2,F2356&gt;0)),OR(I2356=0,AND(I2356=1,OR(J2356=0,J2356=1,J2356=2),R2356&lt;&gt;"000")),Y2356&lt;=9,MIN(T2356:V2356)&gt;=0),"合法","输入违约")</x:f>
        <x:v>合法</x:v>
      </x:c>
    </x:row>
    <x:row r="2357" ht="23" customHeight="1">
      <x:c r="A2357" s="3" t="str">
        <x:v>CT-2350</x:v>
      </x:c>
      <x:c r="B2357" s="3" t="str">
        <x:v>ST-159</x:v>
      </x:c>
      <x:c r="C2357" s="3" t="str">
        <x:v>仅R回收</x:v>
      </x:c>
      <x:c r="D2357" s="25" t="n">
        <x:v>6</x:v>
      </x:c>
      <x:c r="E2357" s="25" t="n">
        <x:v>1</x:v>
      </x:c>
      <x:c r="F2357" s="25" t="n">
        <x:v>1</x:v>
      </x:c>
      <x:c r="G2357" s="19" t="n">
        <x:f>SUM(D2357:F2357)</x:f>
        <x:v>8</x:v>
      </x:c>
      <x:c r="H2357" s="25" t="n">
        <x:v>1</x:v>
      </x:c>
      <x:c r="I2357" s="25" t="n">
        <x:v>0</x:v>
      </x:c>
      <x:c r="J2357" s="25" t="str">
        <x:v>-</x:v>
      </x:c>
      <x:c r="K2357" s="19" t="n">
        <x:f>D2357-IF(H2357=0,1,0)</x:f>
        <x:v>6</x:v>
      </x:c>
      <x:c r="L2357" s="19" t="n">
        <x:f>E2357-IF(H2357=1,1,0)</x:f>
        <x:v>0</x:v>
      </x:c>
      <x:c r="M2357" s="19" t="n">
        <x:f>F2357-IF(H2357=2,1,0)</x:f>
        <x:v>1</x:v>
      </x:c>
      <x:c r="N2357" s="19" t="n">
        <x:f>MAX(K2357-1,0)+MAX(L2357-1,0)+MAX(M2357-1,0)</x:f>
        <x:v>5</x:v>
      </x:c>
      <x:c r="O2357" s="19" t="n">
        <x:f>IF(AND(SUM(K2357:M2357)&lt;9,OR(M2357=0,N2357&lt;6)),1,0)</x:f>
        <x:v>1</x:v>
      </x:c>
      <x:c r="P2357" s="19" t="n">
        <x:f>IF(AND(SUM(K2357:M2357)&lt;9,OR(L2357=0,N2357&lt;6)),1,0)</x:f>
        <x:v>1</x:v>
      </x:c>
      <x:c r="Q2357" s="19" t="n">
        <x:f>IF(AND(SUM(K2357:M2357)&lt;9,OR(K2357=0,N2357&lt;6)),1,0)</x:f>
        <x:v>1</x:v>
      </x:c>
      <x:c r="R2357" s="22" t="str">
        <x:f>O2357&amp;P2357&amp;Q2357</x:f>
        <x:v>111</x:v>
      </x:c>
      <x:c r="S2357" s="19" t="n">
        <x:f>IF(I2357=1,IF(J2357=0,Q2357,IF(J2357=1,P2357,IF(J2357=2,O2357,0))),0)</x:f>
        <x:v>0</x:v>
      </x:c>
      <x:c r="T2357" s="19" t="n">
        <x:f>K2357+IF(AND(S2357=1,J2357=0),1,0)</x:f>
        <x:v>6</x:v>
      </x:c>
      <x:c r="U2357" s="19" t="n">
        <x:f>L2357+IF(AND(S2357=1,J2357=1),1,0)</x:f>
        <x:v>0</x:v>
      </x:c>
      <x:c r="V2357" s="19" t="n">
        <x:f>M2357+IF(AND(S2357=1,J2357=2),1,0)</x:f>
        <x:v>1</x:v>
      </x:c>
      <x:c r="W2357" s="19" t="n">
        <x:f>SUM(T2357:V2357)</x:f>
        <x:v>7</x:v>
      </x:c>
      <x:c r="X2357" s="19" t="n">
        <x:f>W2357-G2357</x:f>
        <x:v>-1</x:v>
      </x:c>
      <x:c r="Y2357" s="19" t="n">
        <x:f>MAX(T2357,1)+MAX(U2357,1)+MAX(V2357,1)</x:f>
        <x:v>8</x:v>
      </x:c>
      <x:c r="Z2357" s="21" t="str">
        <x:f>IF(AND(MIN(D2357:F2357)&gt;=0,MAX(D2357:F2357)&lt;=7,MAX(D2357,1)+MAX(E2357,1)+MAX(F2357,1)&lt;=9,OR(H2357="-",AND(H2357=0,D2357&gt;0),AND(H2357=1,E2357&gt;0),AND(H2357=2,F2357&gt;0)),OR(I2357=0,AND(I2357=1,OR(J2357=0,J2357=1,J2357=2),R2357&lt;&gt;"000")),Y2357&lt;=9,MIN(T2357:V2357)&gt;=0),"合法","输入违约")</x:f>
        <x:v>合法</x:v>
      </x:c>
    </x:row>
    <x:row r="2358" ht="23" customHeight="1">
      <x:c r="A2358" s="3" t="str">
        <x:v>CT-2351</x:v>
      </x:c>
      <x:c r="B2358" s="3" t="str">
        <x:v>ST-159</x:v>
      </x:c>
      <x:c r="C2358" s="3" t="str">
        <x:v>R+AR同收同发</x:v>
      </x:c>
      <x:c r="D2358" s="25" t="n">
        <x:v>6</x:v>
      </x:c>
      <x:c r="E2358" s="25" t="n">
        <x:v>1</x:v>
      </x:c>
      <x:c r="F2358" s="25" t="n">
        <x:v>1</x:v>
      </x:c>
      <x:c r="G2358" s="19" t="n">
        <x:f>SUM(D2358:F2358)</x:f>
        <x:v>8</x:v>
      </x:c>
      <x:c r="H2358" s="25" t="n">
        <x:v>1</x:v>
      </x:c>
      <x:c r="I2358" s="25" t="n">
        <x:v>1</x:v>
      </x:c>
      <x:c r="J2358" s="25" t="n">
        <x:v>0</x:v>
      </x:c>
      <x:c r="K2358" s="19" t="n">
        <x:f>D2358-IF(H2358=0,1,0)</x:f>
        <x:v>6</x:v>
      </x:c>
      <x:c r="L2358" s="19" t="n">
        <x:f>E2358-IF(H2358=1,1,0)</x:f>
        <x:v>0</x:v>
      </x:c>
      <x:c r="M2358" s="19" t="n">
        <x:f>F2358-IF(H2358=2,1,0)</x:f>
        <x:v>1</x:v>
      </x:c>
      <x:c r="N2358" s="19" t="n">
        <x:f>MAX(K2358-1,0)+MAX(L2358-1,0)+MAX(M2358-1,0)</x:f>
        <x:v>5</x:v>
      </x:c>
      <x:c r="O2358" s="19" t="n">
        <x:f>IF(AND(SUM(K2358:M2358)&lt;9,OR(M2358=0,N2358&lt;6)),1,0)</x:f>
        <x:v>1</x:v>
      </x:c>
      <x:c r="P2358" s="19" t="n">
        <x:f>IF(AND(SUM(K2358:M2358)&lt;9,OR(L2358=0,N2358&lt;6)),1,0)</x:f>
        <x:v>1</x:v>
      </x:c>
      <x:c r="Q2358" s="19" t="n">
        <x:f>IF(AND(SUM(K2358:M2358)&lt;9,OR(K2358=0,N2358&lt;6)),1,0)</x:f>
        <x:v>1</x:v>
      </x:c>
      <x:c r="R2358" s="22" t="str">
        <x:f>O2358&amp;P2358&amp;Q2358</x:f>
        <x:v>111</x:v>
      </x:c>
      <x:c r="S2358" s="19" t="n">
        <x:f>IF(I2358=1,IF(J2358=0,Q2358,IF(J2358=1,P2358,IF(J2358=2,O2358,0))),0)</x:f>
        <x:v>1</x:v>
      </x:c>
      <x:c r="T2358" s="19" t="n">
        <x:f>K2358+IF(AND(S2358=1,J2358=0),1,0)</x:f>
        <x:v>7</x:v>
      </x:c>
      <x:c r="U2358" s="19" t="n">
        <x:f>L2358+IF(AND(S2358=1,J2358=1),1,0)</x:f>
        <x:v>0</x:v>
      </x:c>
      <x:c r="V2358" s="19" t="n">
        <x:f>M2358+IF(AND(S2358=1,J2358=2),1,0)</x:f>
        <x:v>1</x:v>
      </x:c>
      <x:c r="W2358" s="19" t="n">
        <x:f>SUM(T2358:V2358)</x:f>
        <x:v>8</x:v>
      </x:c>
      <x:c r="X2358" s="19" t="n">
        <x:f>W2358-G2358</x:f>
        <x:v>0</x:v>
      </x:c>
      <x:c r="Y2358" s="19" t="n">
        <x:f>MAX(T2358,1)+MAX(U2358,1)+MAX(V2358,1)</x:f>
        <x:v>9</x:v>
      </x:c>
      <x:c r="Z2358" s="21" t="str">
        <x:f>IF(AND(MIN(D2358:F2358)&gt;=0,MAX(D2358:F2358)&lt;=7,MAX(D2358,1)+MAX(E2358,1)+MAX(F2358,1)&lt;=9,OR(H2358="-",AND(H2358=0,D2358&gt;0),AND(H2358=1,E2358&gt;0),AND(H2358=2,F2358&gt;0)),OR(I2358=0,AND(I2358=1,OR(J2358=0,J2358=1,J2358=2),R2358&lt;&gt;"000")),Y2358&lt;=9,MIN(T2358:V2358)&gt;=0),"合法","输入违约")</x:f>
        <x:v>合法</x:v>
      </x:c>
    </x:row>
    <x:row r="2359" ht="23" customHeight="1">
      <x:c r="A2359" s="3" t="str">
        <x:v>CT-2352</x:v>
      </x:c>
      <x:c r="B2359" s="3" t="str">
        <x:v>ST-159</x:v>
      </x:c>
      <x:c r="C2359" s="3" t="str">
        <x:v>R+AR同收同发</x:v>
      </x:c>
      <x:c r="D2359" s="25" t="n">
        <x:v>6</x:v>
      </x:c>
      <x:c r="E2359" s="25" t="n">
        <x:v>1</x:v>
      </x:c>
      <x:c r="F2359" s="25" t="n">
        <x:v>1</x:v>
      </x:c>
      <x:c r="G2359" s="19" t="n">
        <x:f>SUM(D2359:F2359)</x:f>
        <x:v>8</x:v>
      </x:c>
      <x:c r="H2359" s="25" t="n">
        <x:v>1</x:v>
      </x:c>
      <x:c r="I2359" s="25" t="n">
        <x:v>1</x:v>
      </x:c>
      <x:c r="J2359" s="25" t="n">
        <x:v>1</x:v>
      </x:c>
      <x:c r="K2359" s="19" t="n">
        <x:f>D2359-IF(H2359=0,1,0)</x:f>
        <x:v>6</x:v>
      </x:c>
      <x:c r="L2359" s="19" t="n">
        <x:f>E2359-IF(H2359=1,1,0)</x:f>
        <x:v>0</x:v>
      </x:c>
      <x:c r="M2359" s="19" t="n">
        <x:f>F2359-IF(H2359=2,1,0)</x:f>
        <x:v>1</x:v>
      </x:c>
      <x:c r="N2359" s="19" t="n">
        <x:f>MAX(K2359-1,0)+MAX(L2359-1,0)+MAX(M2359-1,0)</x:f>
        <x:v>5</x:v>
      </x:c>
      <x:c r="O2359" s="19" t="n">
        <x:f>IF(AND(SUM(K2359:M2359)&lt;9,OR(M2359=0,N2359&lt;6)),1,0)</x:f>
        <x:v>1</x:v>
      </x:c>
      <x:c r="P2359" s="19" t="n">
        <x:f>IF(AND(SUM(K2359:M2359)&lt;9,OR(L2359=0,N2359&lt;6)),1,0)</x:f>
        <x:v>1</x:v>
      </x:c>
      <x:c r="Q2359" s="19" t="n">
        <x:f>IF(AND(SUM(K2359:M2359)&lt;9,OR(K2359=0,N2359&lt;6)),1,0)</x:f>
        <x:v>1</x:v>
      </x:c>
      <x:c r="R2359" s="22" t="str">
        <x:f>O2359&amp;P2359&amp;Q2359</x:f>
        <x:v>111</x:v>
      </x:c>
      <x:c r="S2359" s="19" t="n">
        <x:f>IF(I2359=1,IF(J2359=0,Q2359,IF(J2359=1,P2359,IF(J2359=2,O2359,0))),0)</x:f>
        <x:v>1</x:v>
      </x:c>
      <x:c r="T2359" s="19" t="n">
        <x:f>K2359+IF(AND(S2359=1,J2359=0),1,0)</x:f>
        <x:v>6</x:v>
      </x:c>
      <x:c r="U2359" s="19" t="n">
        <x:f>L2359+IF(AND(S2359=1,J2359=1),1,0)</x:f>
        <x:v>1</x:v>
      </x:c>
      <x:c r="V2359" s="19" t="n">
        <x:f>M2359+IF(AND(S2359=1,J2359=2),1,0)</x:f>
        <x:v>1</x:v>
      </x:c>
      <x:c r="W2359" s="19" t="n">
        <x:f>SUM(T2359:V2359)</x:f>
        <x:v>8</x:v>
      </x:c>
      <x:c r="X2359" s="19" t="n">
        <x:f>W2359-G2359</x:f>
        <x:v>0</x:v>
      </x:c>
      <x:c r="Y2359" s="19" t="n">
        <x:f>MAX(T2359,1)+MAX(U2359,1)+MAX(V2359,1)</x:f>
        <x:v>8</x:v>
      </x:c>
      <x:c r="Z2359" s="21" t="str">
        <x:f>IF(AND(MIN(D2359:F2359)&gt;=0,MAX(D2359:F2359)&lt;=7,MAX(D2359,1)+MAX(E2359,1)+MAX(F2359,1)&lt;=9,OR(H2359="-",AND(H2359=0,D2359&gt;0),AND(H2359=1,E2359&gt;0),AND(H2359=2,F2359&gt;0)),OR(I2359=0,AND(I2359=1,OR(J2359=0,J2359=1,J2359=2),R2359&lt;&gt;"000")),Y2359&lt;=9,MIN(T2359:V2359)&gt;=0),"合法","输入违约")</x:f>
        <x:v>合法</x:v>
      </x:c>
    </x:row>
    <x:row r="2360" ht="23" customHeight="1">
      <x:c r="A2360" s="3" t="str">
        <x:v>CT-2353</x:v>
      </x:c>
      <x:c r="B2360" s="3" t="str">
        <x:v>ST-159</x:v>
      </x:c>
      <x:c r="C2360" s="3" t="str">
        <x:v>R+AR同收同发</x:v>
      </x:c>
      <x:c r="D2360" s="25" t="n">
        <x:v>6</x:v>
      </x:c>
      <x:c r="E2360" s="25" t="n">
        <x:v>1</x:v>
      </x:c>
      <x:c r="F2360" s="25" t="n">
        <x:v>1</x:v>
      </x:c>
      <x:c r="G2360" s="19" t="n">
        <x:f>SUM(D2360:F2360)</x:f>
        <x:v>8</x:v>
      </x:c>
      <x:c r="H2360" s="25" t="n">
        <x:v>1</x:v>
      </x:c>
      <x:c r="I2360" s="25" t="n">
        <x:v>1</x:v>
      </x:c>
      <x:c r="J2360" s="25" t="n">
        <x:v>2</x:v>
      </x:c>
      <x:c r="K2360" s="19" t="n">
        <x:f>D2360-IF(H2360=0,1,0)</x:f>
        <x:v>6</x:v>
      </x:c>
      <x:c r="L2360" s="19" t="n">
        <x:f>E2360-IF(H2360=1,1,0)</x:f>
        <x:v>0</x:v>
      </x:c>
      <x:c r="M2360" s="19" t="n">
        <x:f>F2360-IF(H2360=2,1,0)</x:f>
        <x:v>1</x:v>
      </x:c>
      <x:c r="N2360" s="19" t="n">
        <x:f>MAX(K2360-1,0)+MAX(L2360-1,0)+MAX(M2360-1,0)</x:f>
        <x:v>5</x:v>
      </x:c>
      <x:c r="O2360" s="19" t="n">
        <x:f>IF(AND(SUM(K2360:M2360)&lt;9,OR(M2360=0,N2360&lt;6)),1,0)</x:f>
        <x:v>1</x:v>
      </x:c>
      <x:c r="P2360" s="19" t="n">
        <x:f>IF(AND(SUM(K2360:M2360)&lt;9,OR(L2360=0,N2360&lt;6)),1,0)</x:f>
        <x:v>1</x:v>
      </x:c>
      <x:c r="Q2360" s="19" t="n">
        <x:f>IF(AND(SUM(K2360:M2360)&lt;9,OR(K2360=0,N2360&lt;6)),1,0)</x:f>
        <x:v>1</x:v>
      </x:c>
      <x:c r="R2360" s="22" t="str">
        <x:f>O2360&amp;P2360&amp;Q2360</x:f>
        <x:v>111</x:v>
      </x:c>
      <x:c r="S2360" s="19" t="n">
        <x:f>IF(I2360=1,IF(J2360=0,Q2360,IF(J2360=1,P2360,IF(J2360=2,O2360,0))),0)</x:f>
        <x:v>1</x:v>
      </x:c>
      <x:c r="T2360" s="19" t="n">
        <x:f>K2360+IF(AND(S2360=1,J2360=0),1,0)</x:f>
        <x:v>6</x:v>
      </x:c>
      <x:c r="U2360" s="19" t="n">
        <x:f>L2360+IF(AND(S2360=1,J2360=1),1,0)</x:f>
        <x:v>0</x:v>
      </x:c>
      <x:c r="V2360" s="19" t="n">
        <x:f>M2360+IF(AND(S2360=1,J2360=2),1,0)</x:f>
        <x:v>2</x:v>
      </x:c>
      <x:c r="W2360" s="19" t="n">
        <x:f>SUM(T2360:V2360)</x:f>
        <x:v>8</x:v>
      </x:c>
      <x:c r="X2360" s="19" t="n">
        <x:f>W2360-G2360</x:f>
        <x:v>0</x:v>
      </x:c>
      <x:c r="Y2360" s="19" t="n">
        <x:f>MAX(T2360,1)+MAX(U2360,1)+MAX(V2360,1)</x:f>
        <x:v>9</x:v>
      </x:c>
      <x:c r="Z2360" s="21" t="str">
        <x:f>IF(AND(MIN(D2360:F2360)&gt;=0,MAX(D2360:F2360)&lt;=7,MAX(D2360,1)+MAX(E2360,1)+MAX(F2360,1)&lt;=9,OR(H2360="-",AND(H2360=0,D2360&gt;0),AND(H2360=1,E2360&gt;0),AND(H2360=2,F2360&gt;0)),OR(I2360=0,AND(I2360=1,OR(J2360=0,J2360=1,J2360=2),R2360&lt;&gt;"000")),Y2360&lt;=9,MIN(T2360:V2360)&gt;=0),"合法","输入违约")</x:f>
        <x:v>合法</x:v>
      </x:c>
    </x:row>
    <x:row r="2361" ht="23" customHeight="1">
      <x:c r="A2361" s="3" t="str">
        <x:v>CT-2354</x:v>
      </x:c>
      <x:c r="B2361" s="3" t="str">
        <x:v>ST-159</x:v>
      </x:c>
      <x:c r="C2361" s="3" t="str">
        <x:v>仅R回收</x:v>
      </x:c>
      <x:c r="D2361" s="25" t="n">
        <x:v>6</x:v>
      </x:c>
      <x:c r="E2361" s="25" t="n">
        <x:v>1</x:v>
      </x:c>
      <x:c r="F2361" s="25" t="n">
        <x:v>1</x:v>
      </x:c>
      <x:c r="G2361" s="19" t="n">
        <x:f>SUM(D2361:F2361)</x:f>
        <x:v>8</x:v>
      </x:c>
      <x:c r="H2361" s="25" t="n">
        <x:v>2</x:v>
      </x:c>
      <x:c r="I2361" s="25" t="n">
        <x:v>0</x:v>
      </x:c>
      <x:c r="J2361" s="25" t="str">
        <x:v>-</x:v>
      </x:c>
      <x:c r="K2361" s="19" t="n">
        <x:f>D2361-IF(H2361=0,1,0)</x:f>
        <x:v>6</x:v>
      </x:c>
      <x:c r="L2361" s="19" t="n">
        <x:f>E2361-IF(H2361=1,1,0)</x:f>
        <x:v>1</x:v>
      </x:c>
      <x:c r="M2361" s="19" t="n">
        <x:f>F2361-IF(H2361=2,1,0)</x:f>
        <x:v>0</x:v>
      </x:c>
      <x:c r="N2361" s="19" t="n">
        <x:f>MAX(K2361-1,0)+MAX(L2361-1,0)+MAX(M2361-1,0)</x:f>
        <x:v>5</x:v>
      </x:c>
      <x:c r="O2361" s="19" t="n">
        <x:f>IF(AND(SUM(K2361:M2361)&lt;9,OR(M2361=0,N2361&lt;6)),1,0)</x:f>
        <x:v>1</x:v>
      </x:c>
      <x:c r="P2361" s="19" t="n">
        <x:f>IF(AND(SUM(K2361:M2361)&lt;9,OR(L2361=0,N2361&lt;6)),1,0)</x:f>
        <x:v>1</x:v>
      </x:c>
      <x:c r="Q2361" s="19" t="n">
        <x:f>IF(AND(SUM(K2361:M2361)&lt;9,OR(K2361=0,N2361&lt;6)),1,0)</x:f>
        <x:v>1</x:v>
      </x:c>
      <x:c r="R2361" s="22" t="str">
        <x:f>O2361&amp;P2361&amp;Q2361</x:f>
        <x:v>111</x:v>
      </x:c>
      <x:c r="S2361" s="19" t="n">
        <x:f>IF(I2361=1,IF(J2361=0,Q2361,IF(J2361=1,P2361,IF(J2361=2,O2361,0))),0)</x:f>
        <x:v>0</x:v>
      </x:c>
      <x:c r="T2361" s="19" t="n">
        <x:f>K2361+IF(AND(S2361=1,J2361=0),1,0)</x:f>
        <x:v>6</x:v>
      </x:c>
      <x:c r="U2361" s="19" t="n">
        <x:f>L2361+IF(AND(S2361=1,J2361=1),1,0)</x:f>
        <x:v>1</x:v>
      </x:c>
      <x:c r="V2361" s="19" t="n">
        <x:f>M2361+IF(AND(S2361=1,J2361=2),1,0)</x:f>
        <x:v>0</x:v>
      </x:c>
      <x:c r="W2361" s="19" t="n">
        <x:f>SUM(T2361:V2361)</x:f>
        <x:v>7</x:v>
      </x:c>
      <x:c r="X2361" s="19" t="n">
        <x:f>W2361-G2361</x:f>
        <x:v>-1</x:v>
      </x:c>
      <x:c r="Y2361" s="19" t="n">
        <x:f>MAX(T2361,1)+MAX(U2361,1)+MAX(V2361,1)</x:f>
        <x:v>8</x:v>
      </x:c>
      <x:c r="Z2361" s="21" t="str">
        <x:f>IF(AND(MIN(D2361:F2361)&gt;=0,MAX(D2361:F2361)&lt;=7,MAX(D2361,1)+MAX(E2361,1)+MAX(F2361,1)&lt;=9,OR(H2361="-",AND(H2361=0,D2361&gt;0),AND(H2361=1,E2361&gt;0),AND(H2361=2,F2361&gt;0)),OR(I2361=0,AND(I2361=1,OR(J2361=0,J2361=1,J2361=2),R2361&lt;&gt;"000")),Y2361&lt;=9,MIN(T2361:V2361)&gt;=0),"合法","输入违约")</x:f>
        <x:v>合法</x:v>
      </x:c>
    </x:row>
    <x:row r="2362" ht="23" customHeight="1">
      <x:c r="A2362" s="3" t="str">
        <x:v>CT-2355</x:v>
      </x:c>
      <x:c r="B2362" s="3" t="str">
        <x:v>ST-159</x:v>
      </x:c>
      <x:c r="C2362" s="3" t="str">
        <x:v>R+AR同收同发</x:v>
      </x:c>
      <x:c r="D2362" s="25" t="n">
        <x:v>6</x:v>
      </x:c>
      <x:c r="E2362" s="25" t="n">
        <x:v>1</x:v>
      </x:c>
      <x:c r="F2362" s="25" t="n">
        <x:v>1</x:v>
      </x:c>
      <x:c r="G2362" s="19" t="n">
        <x:f>SUM(D2362:F2362)</x:f>
        <x:v>8</x:v>
      </x:c>
      <x:c r="H2362" s="25" t="n">
        <x:v>2</x:v>
      </x:c>
      <x:c r="I2362" s="25" t="n">
        <x:v>1</x:v>
      </x:c>
      <x:c r="J2362" s="25" t="n">
        <x:v>0</x:v>
      </x:c>
      <x:c r="K2362" s="19" t="n">
        <x:f>D2362-IF(H2362=0,1,0)</x:f>
        <x:v>6</x:v>
      </x:c>
      <x:c r="L2362" s="19" t="n">
        <x:f>E2362-IF(H2362=1,1,0)</x:f>
        <x:v>1</x:v>
      </x:c>
      <x:c r="M2362" s="19" t="n">
        <x:f>F2362-IF(H2362=2,1,0)</x:f>
        <x:v>0</x:v>
      </x:c>
      <x:c r="N2362" s="19" t="n">
        <x:f>MAX(K2362-1,0)+MAX(L2362-1,0)+MAX(M2362-1,0)</x:f>
        <x:v>5</x:v>
      </x:c>
      <x:c r="O2362" s="19" t="n">
        <x:f>IF(AND(SUM(K2362:M2362)&lt;9,OR(M2362=0,N2362&lt;6)),1,0)</x:f>
        <x:v>1</x:v>
      </x:c>
      <x:c r="P2362" s="19" t="n">
        <x:f>IF(AND(SUM(K2362:M2362)&lt;9,OR(L2362=0,N2362&lt;6)),1,0)</x:f>
        <x:v>1</x:v>
      </x:c>
      <x:c r="Q2362" s="19" t="n">
        <x:f>IF(AND(SUM(K2362:M2362)&lt;9,OR(K2362=0,N2362&lt;6)),1,0)</x:f>
        <x:v>1</x:v>
      </x:c>
      <x:c r="R2362" s="22" t="str">
        <x:f>O2362&amp;P2362&amp;Q2362</x:f>
        <x:v>111</x:v>
      </x:c>
      <x:c r="S2362" s="19" t="n">
        <x:f>IF(I2362=1,IF(J2362=0,Q2362,IF(J2362=1,P2362,IF(J2362=2,O2362,0))),0)</x:f>
        <x:v>1</x:v>
      </x:c>
      <x:c r="T2362" s="19" t="n">
        <x:f>K2362+IF(AND(S2362=1,J2362=0),1,0)</x:f>
        <x:v>7</x:v>
      </x:c>
      <x:c r="U2362" s="19" t="n">
        <x:f>L2362+IF(AND(S2362=1,J2362=1),1,0)</x:f>
        <x:v>1</x:v>
      </x:c>
      <x:c r="V2362" s="19" t="n">
        <x:f>M2362+IF(AND(S2362=1,J2362=2),1,0)</x:f>
        <x:v>0</x:v>
      </x:c>
      <x:c r="W2362" s="19" t="n">
        <x:f>SUM(T2362:V2362)</x:f>
        <x:v>8</x:v>
      </x:c>
      <x:c r="X2362" s="19" t="n">
        <x:f>W2362-G2362</x:f>
        <x:v>0</x:v>
      </x:c>
      <x:c r="Y2362" s="19" t="n">
        <x:f>MAX(T2362,1)+MAX(U2362,1)+MAX(V2362,1)</x:f>
        <x:v>9</x:v>
      </x:c>
      <x:c r="Z2362" s="21" t="str">
        <x:f>IF(AND(MIN(D2362:F2362)&gt;=0,MAX(D2362:F2362)&lt;=7,MAX(D2362,1)+MAX(E2362,1)+MAX(F2362,1)&lt;=9,OR(H2362="-",AND(H2362=0,D2362&gt;0),AND(H2362=1,E2362&gt;0),AND(H2362=2,F2362&gt;0)),OR(I2362=0,AND(I2362=1,OR(J2362=0,J2362=1,J2362=2),R2362&lt;&gt;"000")),Y2362&lt;=9,MIN(T2362:V2362)&gt;=0),"合法","输入违约")</x:f>
        <x:v>合法</x:v>
      </x:c>
    </x:row>
    <x:row r="2363" ht="23" customHeight="1">
      <x:c r="A2363" s="3" t="str">
        <x:v>CT-2356</x:v>
      </x:c>
      <x:c r="B2363" s="3" t="str">
        <x:v>ST-159</x:v>
      </x:c>
      <x:c r="C2363" s="3" t="str">
        <x:v>R+AR同收同发</x:v>
      </x:c>
      <x:c r="D2363" s="25" t="n">
        <x:v>6</x:v>
      </x:c>
      <x:c r="E2363" s="25" t="n">
        <x:v>1</x:v>
      </x:c>
      <x:c r="F2363" s="25" t="n">
        <x:v>1</x:v>
      </x:c>
      <x:c r="G2363" s="19" t="n">
        <x:f>SUM(D2363:F2363)</x:f>
        <x:v>8</x:v>
      </x:c>
      <x:c r="H2363" s="25" t="n">
        <x:v>2</x:v>
      </x:c>
      <x:c r="I2363" s="25" t="n">
        <x:v>1</x:v>
      </x:c>
      <x:c r="J2363" s="25" t="n">
        <x:v>1</x:v>
      </x:c>
      <x:c r="K2363" s="19" t="n">
        <x:f>D2363-IF(H2363=0,1,0)</x:f>
        <x:v>6</x:v>
      </x:c>
      <x:c r="L2363" s="19" t="n">
        <x:f>E2363-IF(H2363=1,1,0)</x:f>
        <x:v>1</x:v>
      </x:c>
      <x:c r="M2363" s="19" t="n">
        <x:f>F2363-IF(H2363=2,1,0)</x:f>
        <x:v>0</x:v>
      </x:c>
      <x:c r="N2363" s="19" t="n">
        <x:f>MAX(K2363-1,0)+MAX(L2363-1,0)+MAX(M2363-1,0)</x:f>
        <x:v>5</x:v>
      </x:c>
      <x:c r="O2363" s="19" t="n">
        <x:f>IF(AND(SUM(K2363:M2363)&lt;9,OR(M2363=0,N2363&lt;6)),1,0)</x:f>
        <x:v>1</x:v>
      </x:c>
      <x:c r="P2363" s="19" t="n">
        <x:f>IF(AND(SUM(K2363:M2363)&lt;9,OR(L2363=0,N2363&lt;6)),1,0)</x:f>
        <x:v>1</x:v>
      </x:c>
      <x:c r="Q2363" s="19" t="n">
        <x:f>IF(AND(SUM(K2363:M2363)&lt;9,OR(K2363=0,N2363&lt;6)),1,0)</x:f>
        <x:v>1</x:v>
      </x:c>
      <x:c r="R2363" s="22" t="str">
        <x:f>O2363&amp;P2363&amp;Q2363</x:f>
        <x:v>111</x:v>
      </x:c>
      <x:c r="S2363" s="19" t="n">
        <x:f>IF(I2363=1,IF(J2363=0,Q2363,IF(J2363=1,P2363,IF(J2363=2,O2363,0))),0)</x:f>
        <x:v>1</x:v>
      </x:c>
      <x:c r="T2363" s="19" t="n">
        <x:f>K2363+IF(AND(S2363=1,J2363=0),1,0)</x:f>
        <x:v>6</x:v>
      </x:c>
      <x:c r="U2363" s="19" t="n">
        <x:f>L2363+IF(AND(S2363=1,J2363=1),1,0)</x:f>
        <x:v>2</x:v>
      </x:c>
      <x:c r="V2363" s="19" t="n">
        <x:f>M2363+IF(AND(S2363=1,J2363=2),1,0)</x:f>
        <x:v>0</x:v>
      </x:c>
      <x:c r="W2363" s="19" t="n">
        <x:f>SUM(T2363:V2363)</x:f>
        <x:v>8</x:v>
      </x:c>
      <x:c r="X2363" s="19" t="n">
        <x:f>W2363-G2363</x:f>
        <x:v>0</x:v>
      </x:c>
      <x:c r="Y2363" s="19" t="n">
        <x:f>MAX(T2363,1)+MAX(U2363,1)+MAX(V2363,1)</x:f>
        <x:v>9</x:v>
      </x:c>
      <x:c r="Z2363" s="21" t="str">
        <x:f>IF(AND(MIN(D2363:F2363)&gt;=0,MAX(D2363:F2363)&lt;=7,MAX(D2363,1)+MAX(E2363,1)+MAX(F2363,1)&lt;=9,OR(H2363="-",AND(H2363=0,D2363&gt;0),AND(H2363=1,E2363&gt;0),AND(H2363=2,F2363&gt;0)),OR(I2363=0,AND(I2363=1,OR(J2363=0,J2363=1,J2363=2),R2363&lt;&gt;"000")),Y2363&lt;=9,MIN(T2363:V2363)&gt;=0),"合法","输入违约")</x:f>
        <x:v>合法</x:v>
      </x:c>
    </x:row>
    <x:row r="2364" ht="23" customHeight="1">
      <x:c r="A2364" s="3" t="str">
        <x:v>CT-2357</x:v>
      </x:c>
      <x:c r="B2364" s="3" t="str">
        <x:v>ST-159</x:v>
      </x:c>
      <x:c r="C2364" s="3" t="str">
        <x:v>R+AR同收同发</x:v>
      </x:c>
      <x:c r="D2364" s="25" t="n">
        <x:v>6</x:v>
      </x:c>
      <x:c r="E2364" s="25" t="n">
        <x:v>1</x:v>
      </x:c>
      <x:c r="F2364" s="25" t="n">
        <x:v>1</x:v>
      </x:c>
      <x:c r="G2364" s="19" t="n">
        <x:f>SUM(D2364:F2364)</x:f>
        <x:v>8</x:v>
      </x:c>
      <x:c r="H2364" s="25" t="n">
        <x:v>2</x:v>
      </x:c>
      <x:c r="I2364" s="25" t="n">
        <x:v>1</x:v>
      </x:c>
      <x:c r="J2364" s="25" t="n">
        <x:v>2</x:v>
      </x:c>
      <x:c r="K2364" s="19" t="n">
        <x:f>D2364-IF(H2364=0,1,0)</x:f>
        <x:v>6</x:v>
      </x:c>
      <x:c r="L2364" s="19" t="n">
        <x:f>E2364-IF(H2364=1,1,0)</x:f>
        <x:v>1</x:v>
      </x:c>
      <x:c r="M2364" s="19" t="n">
        <x:f>F2364-IF(H2364=2,1,0)</x:f>
        <x:v>0</x:v>
      </x:c>
      <x:c r="N2364" s="19" t="n">
        <x:f>MAX(K2364-1,0)+MAX(L2364-1,0)+MAX(M2364-1,0)</x:f>
        <x:v>5</x:v>
      </x:c>
      <x:c r="O2364" s="19" t="n">
        <x:f>IF(AND(SUM(K2364:M2364)&lt;9,OR(M2364=0,N2364&lt;6)),1,0)</x:f>
        <x:v>1</x:v>
      </x:c>
      <x:c r="P2364" s="19" t="n">
        <x:f>IF(AND(SUM(K2364:M2364)&lt;9,OR(L2364=0,N2364&lt;6)),1,0)</x:f>
        <x:v>1</x:v>
      </x:c>
      <x:c r="Q2364" s="19" t="n">
        <x:f>IF(AND(SUM(K2364:M2364)&lt;9,OR(K2364=0,N2364&lt;6)),1,0)</x:f>
        <x:v>1</x:v>
      </x:c>
      <x:c r="R2364" s="22" t="str">
        <x:f>O2364&amp;P2364&amp;Q2364</x:f>
        <x:v>111</x:v>
      </x:c>
      <x:c r="S2364" s="19" t="n">
        <x:f>IF(I2364=1,IF(J2364=0,Q2364,IF(J2364=1,P2364,IF(J2364=2,O2364,0))),0)</x:f>
        <x:v>1</x:v>
      </x:c>
      <x:c r="T2364" s="19" t="n">
        <x:f>K2364+IF(AND(S2364=1,J2364=0),1,0)</x:f>
        <x:v>6</x:v>
      </x:c>
      <x:c r="U2364" s="19" t="n">
        <x:f>L2364+IF(AND(S2364=1,J2364=1),1,0)</x:f>
        <x:v>1</x:v>
      </x:c>
      <x:c r="V2364" s="19" t="n">
        <x:f>M2364+IF(AND(S2364=1,J2364=2),1,0)</x:f>
        <x:v>1</x:v>
      </x:c>
      <x:c r="W2364" s="19" t="n">
        <x:f>SUM(T2364:V2364)</x:f>
        <x:v>8</x:v>
      </x:c>
      <x:c r="X2364" s="19" t="n">
        <x:f>W2364-G2364</x:f>
        <x:v>0</x:v>
      </x:c>
      <x:c r="Y2364" s="19" t="n">
        <x:f>MAX(T2364,1)+MAX(U2364,1)+MAX(V2364,1)</x:f>
        <x:v>8</x:v>
      </x:c>
      <x:c r="Z2364" s="21" t="str">
        <x:f>IF(AND(MIN(D2364:F2364)&gt;=0,MAX(D2364:F2364)&lt;=7,MAX(D2364,1)+MAX(E2364,1)+MAX(F2364,1)&lt;=9,OR(H2364="-",AND(H2364=0,D2364&gt;0),AND(H2364=1,E2364&gt;0),AND(H2364=2,F2364&gt;0)),OR(I2364=0,AND(I2364=1,OR(J2364=0,J2364=1,J2364=2),R2364&lt;&gt;"000")),Y2364&lt;=9,MIN(T2364:V2364)&gt;=0),"合法","输入违约")</x:f>
        <x:v>合法</x:v>
      </x:c>
    </x:row>
    <x:row r="2365" ht="23" customHeight="1">
      <x:c r="A2365" s="3" t="str">
        <x:v>CT-2358</x:v>
      </x:c>
      <x:c r="B2365" s="3" t="str">
        <x:v>ST-188</x:v>
      </x:c>
      <x:c r="C2365" s="3" t="str">
        <x:v>无AR/R</x:v>
      </x:c>
      <x:c r="D2365" s="25" t="n">
        <x:v>6</x:v>
      </x:c>
      <x:c r="E2365" s="25" t="n">
        <x:v>1</x:v>
      </x:c>
      <x:c r="F2365" s="25" t="n">
        <x:v>2</x:v>
      </x:c>
      <x:c r="G2365" s="19" t="n">
        <x:f>SUM(D2365:F2365)</x:f>
        <x:v>9</x:v>
      </x:c>
      <x:c r="H2365" s="25" t="str">
        <x:v>-</x:v>
      </x:c>
      <x:c r="I2365" s="25" t="n">
        <x:v>0</x:v>
      </x:c>
      <x:c r="J2365" s="25" t="str">
        <x:v>-</x:v>
      </x:c>
      <x:c r="K2365" s="19" t="n">
        <x:f>D2365-IF(H2365=0,1,0)</x:f>
        <x:v>6</x:v>
      </x:c>
      <x:c r="L2365" s="19" t="n">
        <x:f>E2365-IF(H2365=1,1,0)</x:f>
        <x:v>1</x:v>
      </x:c>
      <x:c r="M2365" s="19" t="n">
        <x:f>F2365-IF(H2365=2,1,0)</x:f>
        <x:v>2</x:v>
      </x:c>
      <x:c r="N2365" s="19" t="n">
        <x:f>MAX(K2365-1,0)+MAX(L2365-1,0)+MAX(M2365-1,0)</x:f>
        <x:v>6</x:v>
      </x:c>
      <x:c r="O2365" s="19" t="n">
        <x:f>IF(AND(SUM(K2365:M2365)&lt;9,OR(M2365=0,N2365&lt;6)),1,0)</x:f>
        <x:v>0</x:v>
      </x:c>
      <x:c r="P2365" s="19" t="n">
        <x:f>IF(AND(SUM(K2365:M2365)&lt;9,OR(L2365=0,N2365&lt;6)),1,0)</x:f>
        <x:v>0</x:v>
      </x:c>
      <x:c r="Q2365" s="19" t="n">
        <x:f>IF(AND(SUM(K2365:M2365)&lt;9,OR(K2365=0,N2365&lt;6)),1,0)</x:f>
        <x:v>0</x:v>
      </x:c>
      <x:c r="R2365" s="22" t="str">
        <x:f>O2365&amp;P2365&amp;Q2365</x:f>
        <x:v>000</x:v>
      </x:c>
      <x:c r="S2365" s="19" t="n">
        <x:f>IF(I2365=1,IF(J2365=0,Q2365,IF(J2365=1,P2365,IF(J2365=2,O2365,0))),0)</x:f>
        <x:v>0</x:v>
      </x:c>
      <x:c r="T2365" s="19" t="n">
        <x:f>K2365+IF(AND(S2365=1,J2365=0),1,0)</x:f>
        <x:v>6</x:v>
      </x:c>
      <x:c r="U2365" s="19" t="n">
        <x:f>L2365+IF(AND(S2365=1,J2365=1),1,0)</x:f>
        <x:v>1</x:v>
      </x:c>
      <x:c r="V2365" s="19" t="n">
        <x:f>M2365+IF(AND(S2365=1,J2365=2),1,0)</x:f>
        <x:v>2</x:v>
      </x:c>
      <x:c r="W2365" s="19" t="n">
        <x:f>SUM(T2365:V2365)</x:f>
        <x:v>9</x:v>
      </x:c>
      <x:c r="X2365" s="19" t="n">
        <x:f>W2365-G2365</x:f>
        <x:v>0</x:v>
      </x:c>
      <x:c r="Y2365" s="19" t="n">
        <x:f>MAX(T2365,1)+MAX(U2365,1)+MAX(V2365,1)</x:f>
        <x:v>9</x:v>
      </x:c>
      <x:c r="Z2365" s="21" t="str">
        <x:f>IF(AND(MIN(D2365:F2365)&gt;=0,MAX(D2365:F2365)&lt;=7,MAX(D2365,1)+MAX(E2365,1)+MAX(F2365,1)&lt;=9,OR(H2365="-",AND(H2365=0,D2365&gt;0),AND(H2365=1,E2365&gt;0),AND(H2365=2,F2365&gt;0)),OR(I2365=0,AND(I2365=1,OR(J2365=0,J2365=1,J2365=2),R2365&lt;&gt;"000")),Y2365&lt;=9,MIN(T2365:V2365)&gt;=0),"合法","输入违约")</x:f>
        <x:v>合法</x:v>
      </x:c>
    </x:row>
    <x:row r="2366" ht="23" customHeight="1">
      <x:c r="A2366" s="3" t="str">
        <x:v>CT-2359</x:v>
      </x:c>
      <x:c r="B2366" s="3" t="str">
        <x:v>ST-188</x:v>
      </x:c>
      <x:c r="C2366" s="3" t="str">
        <x:v>仅R回收</x:v>
      </x:c>
      <x:c r="D2366" s="25" t="n">
        <x:v>6</x:v>
      </x:c>
      <x:c r="E2366" s="25" t="n">
        <x:v>1</x:v>
      </x:c>
      <x:c r="F2366" s="25" t="n">
        <x:v>2</x:v>
      </x:c>
      <x:c r="G2366" s="19" t="n">
        <x:f>SUM(D2366:F2366)</x:f>
        <x:v>9</x:v>
      </x:c>
      <x:c r="H2366" s="25" t="n">
        <x:v>0</x:v>
      </x:c>
      <x:c r="I2366" s="25" t="n">
        <x:v>0</x:v>
      </x:c>
      <x:c r="J2366" s="25" t="str">
        <x:v>-</x:v>
      </x:c>
      <x:c r="K2366" s="19" t="n">
        <x:f>D2366-IF(H2366=0,1,0)</x:f>
        <x:v>5</x:v>
      </x:c>
      <x:c r="L2366" s="19" t="n">
        <x:f>E2366-IF(H2366=1,1,0)</x:f>
        <x:v>1</x:v>
      </x:c>
      <x:c r="M2366" s="19" t="n">
        <x:f>F2366-IF(H2366=2,1,0)</x:f>
        <x:v>2</x:v>
      </x:c>
      <x:c r="N2366" s="19" t="n">
        <x:f>MAX(K2366-1,0)+MAX(L2366-1,0)+MAX(M2366-1,0)</x:f>
        <x:v>5</x:v>
      </x:c>
      <x:c r="O2366" s="19" t="n">
        <x:f>IF(AND(SUM(K2366:M2366)&lt;9,OR(M2366=0,N2366&lt;6)),1,0)</x:f>
        <x:v>1</x:v>
      </x:c>
      <x:c r="P2366" s="19" t="n">
        <x:f>IF(AND(SUM(K2366:M2366)&lt;9,OR(L2366=0,N2366&lt;6)),1,0)</x:f>
        <x:v>1</x:v>
      </x:c>
      <x:c r="Q2366" s="19" t="n">
        <x:f>IF(AND(SUM(K2366:M2366)&lt;9,OR(K2366=0,N2366&lt;6)),1,0)</x:f>
        <x:v>1</x:v>
      </x:c>
      <x:c r="R2366" s="22" t="str">
        <x:f>O2366&amp;P2366&amp;Q2366</x:f>
        <x:v>111</x:v>
      </x:c>
      <x:c r="S2366" s="19" t="n">
        <x:f>IF(I2366=1,IF(J2366=0,Q2366,IF(J2366=1,P2366,IF(J2366=2,O2366,0))),0)</x:f>
        <x:v>0</x:v>
      </x:c>
      <x:c r="T2366" s="19" t="n">
        <x:f>K2366+IF(AND(S2366=1,J2366=0),1,0)</x:f>
        <x:v>5</x:v>
      </x:c>
      <x:c r="U2366" s="19" t="n">
        <x:f>L2366+IF(AND(S2366=1,J2366=1),1,0)</x:f>
        <x:v>1</x:v>
      </x:c>
      <x:c r="V2366" s="19" t="n">
        <x:f>M2366+IF(AND(S2366=1,J2366=2),1,0)</x:f>
        <x:v>2</x:v>
      </x:c>
      <x:c r="W2366" s="19" t="n">
        <x:f>SUM(T2366:V2366)</x:f>
        <x:v>8</x:v>
      </x:c>
      <x:c r="X2366" s="19" t="n">
        <x:f>W2366-G2366</x:f>
        <x:v>-1</x:v>
      </x:c>
      <x:c r="Y2366" s="19" t="n">
        <x:f>MAX(T2366,1)+MAX(U2366,1)+MAX(V2366,1)</x:f>
        <x:v>8</x:v>
      </x:c>
      <x:c r="Z2366" s="21" t="str">
        <x:f>IF(AND(MIN(D2366:F2366)&gt;=0,MAX(D2366:F2366)&lt;=7,MAX(D2366,1)+MAX(E2366,1)+MAX(F2366,1)&lt;=9,OR(H2366="-",AND(H2366=0,D2366&gt;0),AND(H2366=1,E2366&gt;0),AND(H2366=2,F2366&gt;0)),OR(I2366=0,AND(I2366=1,OR(J2366=0,J2366=1,J2366=2),R2366&lt;&gt;"000")),Y2366&lt;=9,MIN(T2366:V2366)&gt;=0),"合法","输入违约")</x:f>
        <x:v>合法</x:v>
      </x:c>
    </x:row>
    <x:row r="2367" ht="23" customHeight="1">
      <x:c r="A2367" s="3" t="str">
        <x:v>CT-2360</x:v>
      </x:c>
      <x:c r="B2367" s="3" t="str">
        <x:v>ST-188</x:v>
      </x:c>
      <x:c r="C2367" s="3" t="str">
        <x:v>R+AR同收同发</x:v>
      </x:c>
      <x:c r="D2367" s="25" t="n">
        <x:v>6</x:v>
      </x:c>
      <x:c r="E2367" s="25" t="n">
        <x:v>1</x:v>
      </x:c>
      <x:c r="F2367" s="25" t="n">
        <x:v>2</x:v>
      </x:c>
      <x:c r="G2367" s="19" t="n">
        <x:f>SUM(D2367:F2367)</x:f>
        <x:v>9</x:v>
      </x:c>
      <x:c r="H2367" s="25" t="n">
        <x:v>0</x:v>
      </x:c>
      <x:c r="I2367" s="25" t="n">
        <x:v>1</x:v>
      </x:c>
      <x:c r="J2367" s="25" t="n">
        <x:v>0</x:v>
      </x:c>
      <x:c r="K2367" s="19" t="n">
        <x:f>D2367-IF(H2367=0,1,0)</x:f>
        <x:v>5</x:v>
      </x:c>
      <x:c r="L2367" s="19" t="n">
        <x:f>E2367-IF(H2367=1,1,0)</x:f>
        <x:v>1</x:v>
      </x:c>
      <x:c r="M2367" s="19" t="n">
        <x:f>F2367-IF(H2367=2,1,0)</x:f>
        <x:v>2</x:v>
      </x:c>
      <x:c r="N2367" s="19" t="n">
        <x:f>MAX(K2367-1,0)+MAX(L2367-1,0)+MAX(M2367-1,0)</x:f>
        <x:v>5</x:v>
      </x:c>
      <x:c r="O2367" s="19" t="n">
        <x:f>IF(AND(SUM(K2367:M2367)&lt;9,OR(M2367=0,N2367&lt;6)),1,0)</x:f>
        <x:v>1</x:v>
      </x:c>
      <x:c r="P2367" s="19" t="n">
        <x:f>IF(AND(SUM(K2367:M2367)&lt;9,OR(L2367=0,N2367&lt;6)),1,0)</x:f>
        <x:v>1</x:v>
      </x:c>
      <x:c r="Q2367" s="19" t="n">
        <x:f>IF(AND(SUM(K2367:M2367)&lt;9,OR(K2367=0,N2367&lt;6)),1,0)</x:f>
        <x:v>1</x:v>
      </x:c>
      <x:c r="R2367" s="22" t="str">
        <x:f>O2367&amp;P2367&amp;Q2367</x:f>
        <x:v>111</x:v>
      </x:c>
      <x:c r="S2367" s="19" t="n">
        <x:f>IF(I2367=1,IF(J2367=0,Q2367,IF(J2367=1,P2367,IF(J2367=2,O2367,0))),0)</x:f>
        <x:v>1</x:v>
      </x:c>
      <x:c r="T2367" s="19" t="n">
        <x:f>K2367+IF(AND(S2367=1,J2367=0),1,0)</x:f>
        <x:v>6</x:v>
      </x:c>
      <x:c r="U2367" s="19" t="n">
        <x:f>L2367+IF(AND(S2367=1,J2367=1),1,0)</x:f>
        <x:v>1</x:v>
      </x:c>
      <x:c r="V2367" s="19" t="n">
        <x:f>M2367+IF(AND(S2367=1,J2367=2),1,0)</x:f>
        <x:v>2</x:v>
      </x:c>
      <x:c r="W2367" s="19" t="n">
        <x:f>SUM(T2367:V2367)</x:f>
        <x:v>9</x:v>
      </x:c>
      <x:c r="X2367" s="19" t="n">
        <x:f>W2367-G2367</x:f>
        <x:v>0</x:v>
      </x:c>
      <x:c r="Y2367" s="19" t="n">
        <x:f>MAX(T2367,1)+MAX(U2367,1)+MAX(V2367,1)</x:f>
        <x:v>9</x:v>
      </x:c>
      <x:c r="Z2367" s="21" t="str">
        <x:f>IF(AND(MIN(D2367:F2367)&gt;=0,MAX(D2367:F2367)&lt;=7,MAX(D2367,1)+MAX(E2367,1)+MAX(F2367,1)&lt;=9,OR(H2367="-",AND(H2367=0,D2367&gt;0),AND(H2367=1,E2367&gt;0),AND(H2367=2,F2367&gt;0)),OR(I2367=0,AND(I2367=1,OR(J2367=0,J2367=1,J2367=2),R2367&lt;&gt;"000")),Y2367&lt;=9,MIN(T2367:V2367)&gt;=0),"合法","输入违约")</x:f>
        <x:v>合法</x:v>
      </x:c>
    </x:row>
    <x:row r="2368" ht="23" customHeight="1">
      <x:c r="A2368" s="3" t="str">
        <x:v>CT-2361</x:v>
      </x:c>
      <x:c r="B2368" s="3" t="str">
        <x:v>ST-188</x:v>
      </x:c>
      <x:c r="C2368" s="3" t="str">
        <x:v>R+AR同收同发</x:v>
      </x:c>
      <x:c r="D2368" s="25" t="n">
        <x:v>6</x:v>
      </x:c>
      <x:c r="E2368" s="25" t="n">
        <x:v>1</x:v>
      </x:c>
      <x:c r="F2368" s="25" t="n">
        <x:v>2</x:v>
      </x:c>
      <x:c r="G2368" s="19" t="n">
        <x:f>SUM(D2368:F2368)</x:f>
        <x:v>9</x:v>
      </x:c>
      <x:c r="H2368" s="25" t="n">
        <x:v>0</x:v>
      </x:c>
      <x:c r="I2368" s="25" t="n">
        <x:v>1</x:v>
      </x:c>
      <x:c r="J2368" s="25" t="n">
        <x:v>1</x:v>
      </x:c>
      <x:c r="K2368" s="19" t="n">
        <x:f>D2368-IF(H2368=0,1,0)</x:f>
        <x:v>5</x:v>
      </x:c>
      <x:c r="L2368" s="19" t="n">
        <x:f>E2368-IF(H2368=1,1,0)</x:f>
        <x:v>1</x:v>
      </x:c>
      <x:c r="M2368" s="19" t="n">
        <x:f>F2368-IF(H2368=2,1,0)</x:f>
        <x:v>2</x:v>
      </x:c>
      <x:c r="N2368" s="19" t="n">
        <x:f>MAX(K2368-1,0)+MAX(L2368-1,0)+MAX(M2368-1,0)</x:f>
        <x:v>5</x:v>
      </x:c>
      <x:c r="O2368" s="19" t="n">
        <x:f>IF(AND(SUM(K2368:M2368)&lt;9,OR(M2368=0,N2368&lt;6)),1,0)</x:f>
        <x:v>1</x:v>
      </x:c>
      <x:c r="P2368" s="19" t="n">
        <x:f>IF(AND(SUM(K2368:M2368)&lt;9,OR(L2368=0,N2368&lt;6)),1,0)</x:f>
        <x:v>1</x:v>
      </x:c>
      <x:c r="Q2368" s="19" t="n">
        <x:f>IF(AND(SUM(K2368:M2368)&lt;9,OR(K2368=0,N2368&lt;6)),1,0)</x:f>
        <x:v>1</x:v>
      </x:c>
      <x:c r="R2368" s="22" t="str">
        <x:f>O2368&amp;P2368&amp;Q2368</x:f>
        <x:v>111</x:v>
      </x:c>
      <x:c r="S2368" s="19" t="n">
        <x:f>IF(I2368=1,IF(J2368=0,Q2368,IF(J2368=1,P2368,IF(J2368=2,O2368,0))),0)</x:f>
        <x:v>1</x:v>
      </x:c>
      <x:c r="T2368" s="19" t="n">
        <x:f>K2368+IF(AND(S2368=1,J2368=0),1,0)</x:f>
        <x:v>5</x:v>
      </x:c>
      <x:c r="U2368" s="19" t="n">
        <x:f>L2368+IF(AND(S2368=1,J2368=1),1,0)</x:f>
        <x:v>2</x:v>
      </x:c>
      <x:c r="V2368" s="19" t="n">
        <x:f>M2368+IF(AND(S2368=1,J2368=2),1,0)</x:f>
        <x:v>2</x:v>
      </x:c>
      <x:c r="W2368" s="19" t="n">
        <x:f>SUM(T2368:V2368)</x:f>
        <x:v>9</x:v>
      </x:c>
      <x:c r="X2368" s="19" t="n">
        <x:f>W2368-G2368</x:f>
        <x:v>0</x:v>
      </x:c>
      <x:c r="Y2368" s="19" t="n">
        <x:f>MAX(T2368,1)+MAX(U2368,1)+MAX(V2368,1)</x:f>
        <x:v>9</x:v>
      </x:c>
      <x:c r="Z2368" s="21" t="str">
        <x:f>IF(AND(MIN(D2368:F2368)&gt;=0,MAX(D2368:F2368)&lt;=7,MAX(D2368,1)+MAX(E2368,1)+MAX(F2368,1)&lt;=9,OR(H2368="-",AND(H2368=0,D2368&gt;0),AND(H2368=1,E2368&gt;0),AND(H2368=2,F2368&gt;0)),OR(I2368=0,AND(I2368=1,OR(J2368=0,J2368=1,J2368=2),R2368&lt;&gt;"000")),Y2368&lt;=9,MIN(T2368:V2368)&gt;=0),"合法","输入违约")</x:f>
        <x:v>合法</x:v>
      </x:c>
    </x:row>
    <x:row r="2369" ht="23" customHeight="1">
      <x:c r="A2369" s="3" t="str">
        <x:v>CT-2362</x:v>
      </x:c>
      <x:c r="B2369" s="3" t="str">
        <x:v>ST-188</x:v>
      </x:c>
      <x:c r="C2369" s="3" t="str">
        <x:v>R+AR同收同发</x:v>
      </x:c>
      <x:c r="D2369" s="25" t="n">
        <x:v>6</x:v>
      </x:c>
      <x:c r="E2369" s="25" t="n">
        <x:v>1</x:v>
      </x:c>
      <x:c r="F2369" s="25" t="n">
        <x:v>2</x:v>
      </x:c>
      <x:c r="G2369" s="19" t="n">
        <x:f>SUM(D2369:F2369)</x:f>
        <x:v>9</x:v>
      </x:c>
      <x:c r="H2369" s="25" t="n">
        <x:v>0</x:v>
      </x:c>
      <x:c r="I2369" s="25" t="n">
        <x:v>1</x:v>
      </x:c>
      <x:c r="J2369" s="25" t="n">
        <x:v>2</x:v>
      </x:c>
      <x:c r="K2369" s="19" t="n">
        <x:f>D2369-IF(H2369=0,1,0)</x:f>
        <x:v>5</x:v>
      </x:c>
      <x:c r="L2369" s="19" t="n">
        <x:f>E2369-IF(H2369=1,1,0)</x:f>
        <x:v>1</x:v>
      </x:c>
      <x:c r="M2369" s="19" t="n">
        <x:f>F2369-IF(H2369=2,1,0)</x:f>
        <x:v>2</x:v>
      </x:c>
      <x:c r="N2369" s="19" t="n">
        <x:f>MAX(K2369-1,0)+MAX(L2369-1,0)+MAX(M2369-1,0)</x:f>
        <x:v>5</x:v>
      </x:c>
      <x:c r="O2369" s="19" t="n">
        <x:f>IF(AND(SUM(K2369:M2369)&lt;9,OR(M2369=0,N2369&lt;6)),1,0)</x:f>
        <x:v>1</x:v>
      </x:c>
      <x:c r="P2369" s="19" t="n">
        <x:f>IF(AND(SUM(K2369:M2369)&lt;9,OR(L2369=0,N2369&lt;6)),1,0)</x:f>
        <x:v>1</x:v>
      </x:c>
      <x:c r="Q2369" s="19" t="n">
        <x:f>IF(AND(SUM(K2369:M2369)&lt;9,OR(K2369=0,N2369&lt;6)),1,0)</x:f>
        <x:v>1</x:v>
      </x:c>
      <x:c r="R2369" s="22" t="str">
        <x:f>O2369&amp;P2369&amp;Q2369</x:f>
        <x:v>111</x:v>
      </x:c>
      <x:c r="S2369" s="19" t="n">
        <x:f>IF(I2369=1,IF(J2369=0,Q2369,IF(J2369=1,P2369,IF(J2369=2,O2369,0))),0)</x:f>
        <x:v>1</x:v>
      </x:c>
      <x:c r="T2369" s="19" t="n">
        <x:f>K2369+IF(AND(S2369=1,J2369=0),1,0)</x:f>
        <x:v>5</x:v>
      </x:c>
      <x:c r="U2369" s="19" t="n">
        <x:f>L2369+IF(AND(S2369=1,J2369=1),1,0)</x:f>
        <x:v>1</x:v>
      </x:c>
      <x:c r="V2369" s="19" t="n">
        <x:f>M2369+IF(AND(S2369=1,J2369=2),1,0)</x:f>
        <x:v>3</x:v>
      </x:c>
      <x:c r="W2369" s="19" t="n">
        <x:f>SUM(T2369:V2369)</x:f>
        <x:v>9</x:v>
      </x:c>
      <x:c r="X2369" s="19" t="n">
        <x:f>W2369-G2369</x:f>
        <x:v>0</x:v>
      </x:c>
      <x:c r="Y2369" s="19" t="n">
        <x:f>MAX(T2369,1)+MAX(U2369,1)+MAX(V2369,1)</x:f>
        <x:v>9</x:v>
      </x:c>
      <x:c r="Z2369" s="21" t="str">
        <x:f>IF(AND(MIN(D2369:F2369)&gt;=0,MAX(D2369:F2369)&lt;=7,MAX(D2369,1)+MAX(E2369,1)+MAX(F2369,1)&lt;=9,OR(H2369="-",AND(H2369=0,D2369&gt;0),AND(H2369=1,E2369&gt;0),AND(H2369=2,F2369&gt;0)),OR(I2369=0,AND(I2369=1,OR(J2369=0,J2369=1,J2369=2),R2369&lt;&gt;"000")),Y2369&lt;=9,MIN(T2369:V2369)&gt;=0),"合法","输入违约")</x:f>
        <x:v>合法</x:v>
      </x:c>
    </x:row>
    <x:row r="2370" ht="23" customHeight="1">
      <x:c r="A2370" s="3" t="str">
        <x:v>CT-2363</x:v>
      </x:c>
      <x:c r="B2370" s="3" t="str">
        <x:v>ST-188</x:v>
      </x:c>
      <x:c r="C2370" s="3" t="str">
        <x:v>仅R回收</x:v>
      </x:c>
      <x:c r="D2370" s="25" t="n">
        <x:v>6</x:v>
      </x:c>
      <x:c r="E2370" s="25" t="n">
        <x:v>1</x:v>
      </x:c>
      <x:c r="F2370" s="25" t="n">
        <x:v>2</x:v>
      </x:c>
      <x:c r="G2370" s="19" t="n">
        <x:f>SUM(D2370:F2370)</x:f>
        <x:v>9</x:v>
      </x:c>
      <x:c r="H2370" s="25" t="n">
        <x:v>1</x:v>
      </x:c>
      <x:c r="I2370" s="25" t="n">
        <x:v>0</x:v>
      </x:c>
      <x:c r="J2370" s="25" t="str">
        <x:v>-</x:v>
      </x:c>
      <x:c r="K2370" s="19" t="n">
        <x:f>D2370-IF(H2370=0,1,0)</x:f>
        <x:v>6</x:v>
      </x:c>
      <x:c r="L2370" s="19" t="n">
        <x:f>E2370-IF(H2370=1,1,0)</x:f>
        <x:v>0</x:v>
      </x:c>
      <x:c r="M2370" s="19" t="n">
        <x:f>F2370-IF(H2370=2,1,0)</x:f>
        <x:v>2</x:v>
      </x:c>
      <x:c r="N2370" s="19" t="n">
        <x:f>MAX(K2370-1,0)+MAX(L2370-1,0)+MAX(M2370-1,0)</x:f>
        <x:v>6</x:v>
      </x:c>
      <x:c r="O2370" s="19" t="n">
        <x:f>IF(AND(SUM(K2370:M2370)&lt;9,OR(M2370=0,N2370&lt;6)),1,0)</x:f>
        <x:v>0</x:v>
      </x:c>
      <x:c r="P2370" s="19" t="n">
        <x:f>IF(AND(SUM(K2370:M2370)&lt;9,OR(L2370=0,N2370&lt;6)),1,0)</x:f>
        <x:v>1</x:v>
      </x:c>
      <x:c r="Q2370" s="19" t="n">
        <x:f>IF(AND(SUM(K2370:M2370)&lt;9,OR(K2370=0,N2370&lt;6)),1,0)</x:f>
        <x:v>0</x:v>
      </x:c>
      <x:c r="R2370" s="22" t="str">
        <x:f>O2370&amp;P2370&amp;Q2370</x:f>
        <x:v>010</x:v>
      </x:c>
      <x:c r="S2370" s="19" t="n">
        <x:f>IF(I2370=1,IF(J2370=0,Q2370,IF(J2370=1,P2370,IF(J2370=2,O2370,0))),0)</x:f>
        <x:v>0</x:v>
      </x:c>
      <x:c r="T2370" s="19" t="n">
        <x:f>K2370+IF(AND(S2370=1,J2370=0),1,0)</x:f>
        <x:v>6</x:v>
      </x:c>
      <x:c r="U2370" s="19" t="n">
        <x:f>L2370+IF(AND(S2370=1,J2370=1),1,0)</x:f>
        <x:v>0</x:v>
      </x:c>
      <x:c r="V2370" s="19" t="n">
        <x:f>M2370+IF(AND(S2370=1,J2370=2),1,0)</x:f>
        <x:v>2</x:v>
      </x:c>
      <x:c r="W2370" s="19" t="n">
        <x:f>SUM(T2370:V2370)</x:f>
        <x:v>8</x:v>
      </x:c>
      <x:c r="X2370" s="19" t="n">
        <x:f>W2370-G2370</x:f>
        <x:v>-1</x:v>
      </x:c>
      <x:c r="Y2370" s="19" t="n">
        <x:f>MAX(T2370,1)+MAX(U2370,1)+MAX(V2370,1)</x:f>
        <x:v>9</x:v>
      </x:c>
      <x:c r="Z2370" s="21" t="str">
        <x:f>IF(AND(MIN(D2370:F2370)&gt;=0,MAX(D2370:F2370)&lt;=7,MAX(D2370,1)+MAX(E2370,1)+MAX(F2370,1)&lt;=9,OR(H2370="-",AND(H2370=0,D2370&gt;0),AND(H2370=1,E2370&gt;0),AND(H2370=2,F2370&gt;0)),OR(I2370=0,AND(I2370=1,OR(J2370=0,J2370=1,J2370=2),R2370&lt;&gt;"000")),Y2370&lt;=9,MIN(T2370:V2370)&gt;=0),"合法","输入违约")</x:f>
        <x:v>合法</x:v>
      </x:c>
    </x:row>
    <x:row r="2371" ht="23" customHeight="1">
      <x:c r="A2371" s="3" t="str">
        <x:v>CT-2364</x:v>
      </x:c>
      <x:c r="B2371" s="3" t="str">
        <x:v>ST-188</x:v>
      </x:c>
      <x:c r="C2371" s="3" t="str">
        <x:v>仅R回收</x:v>
      </x:c>
      <x:c r="D2371" s="25" t="n">
        <x:v>6</x:v>
      </x:c>
      <x:c r="E2371" s="25" t="n">
        <x:v>1</x:v>
      </x:c>
      <x:c r="F2371" s="25" t="n">
        <x:v>2</x:v>
      </x:c>
      <x:c r="G2371" s="19" t="n">
        <x:f>SUM(D2371:F2371)</x:f>
        <x:v>9</x:v>
      </x:c>
      <x:c r="H2371" s="25" t="n">
        <x:v>1</x:v>
      </x:c>
      <x:c r="I2371" s="25" t="n">
        <x:v>1</x:v>
      </x:c>
      <x:c r="J2371" s="25" t="n">
        <x:v>0</x:v>
      </x:c>
      <x:c r="K2371" s="19" t="n">
        <x:f>D2371-IF(H2371=0,1,0)</x:f>
        <x:v>6</x:v>
      </x:c>
      <x:c r="L2371" s="19" t="n">
        <x:f>E2371-IF(H2371=1,1,0)</x:f>
        <x:v>0</x:v>
      </x:c>
      <x:c r="M2371" s="19" t="n">
        <x:f>F2371-IF(H2371=2,1,0)</x:f>
        <x:v>2</x:v>
      </x:c>
      <x:c r="N2371" s="19" t="n">
        <x:f>MAX(K2371-1,0)+MAX(L2371-1,0)+MAX(M2371-1,0)</x:f>
        <x:v>6</x:v>
      </x:c>
      <x:c r="O2371" s="19" t="n">
        <x:f>IF(AND(SUM(K2371:M2371)&lt;9,OR(M2371=0,N2371&lt;6)),1,0)</x:f>
        <x:v>0</x:v>
      </x:c>
      <x:c r="P2371" s="19" t="n">
        <x:f>IF(AND(SUM(K2371:M2371)&lt;9,OR(L2371=0,N2371&lt;6)),1,0)</x:f>
        <x:v>1</x:v>
      </x:c>
      <x:c r="Q2371" s="19" t="n">
        <x:f>IF(AND(SUM(K2371:M2371)&lt;9,OR(K2371=0,N2371&lt;6)),1,0)</x:f>
        <x:v>0</x:v>
      </x:c>
      <x:c r="R2371" s="22" t="str">
        <x:f>O2371&amp;P2371&amp;Q2371</x:f>
        <x:v>010</x:v>
      </x:c>
      <x:c r="S2371" s="19" t="n">
        <x:f>IF(I2371=1,IF(J2371=0,Q2371,IF(J2371=1,P2371,IF(J2371=2,O2371,0))),0)</x:f>
        <x:v>0</x:v>
      </x:c>
      <x:c r="T2371" s="19" t="n">
        <x:f>K2371+IF(AND(S2371=1,J2371=0),1,0)</x:f>
        <x:v>6</x:v>
      </x:c>
      <x:c r="U2371" s="19" t="n">
        <x:f>L2371+IF(AND(S2371=1,J2371=1),1,0)</x:f>
        <x:v>0</x:v>
      </x:c>
      <x:c r="V2371" s="19" t="n">
        <x:f>M2371+IF(AND(S2371=1,J2371=2),1,0)</x:f>
        <x:v>2</x:v>
      </x:c>
      <x:c r="W2371" s="19" t="n">
        <x:f>SUM(T2371:V2371)</x:f>
        <x:v>8</x:v>
      </x:c>
      <x:c r="X2371" s="19" t="n">
        <x:f>W2371-G2371</x:f>
        <x:v>-1</x:v>
      </x:c>
      <x:c r="Y2371" s="19" t="n">
        <x:f>MAX(T2371,1)+MAX(U2371,1)+MAX(V2371,1)</x:f>
        <x:v>9</x:v>
      </x:c>
      <x:c r="Z2371" s="21" t="str">
        <x:f>IF(AND(MIN(D2371:F2371)&gt;=0,MAX(D2371:F2371)&lt;=7,MAX(D2371,1)+MAX(E2371,1)+MAX(F2371,1)&lt;=9,OR(H2371="-",AND(H2371=0,D2371&gt;0),AND(H2371=1,E2371&gt;0),AND(H2371=2,F2371&gt;0)),OR(I2371=0,AND(I2371=1,OR(J2371=0,J2371=1,J2371=2),R2371&lt;&gt;"000")),Y2371&lt;=9,MIN(T2371:V2371)&gt;=0),"合法","输入违约")</x:f>
        <x:v>合法</x:v>
      </x:c>
    </x:row>
    <x:row r="2372" ht="23" customHeight="1">
      <x:c r="A2372" s="3" t="str">
        <x:v>CT-2365</x:v>
      </x:c>
      <x:c r="B2372" s="3" t="str">
        <x:v>ST-188</x:v>
      </x:c>
      <x:c r="C2372" s="3" t="str">
        <x:v>R+AR同收同发</x:v>
      </x:c>
      <x:c r="D2372" s="25" t="n">
        <x:v>6</x:v>
      </x:c>
      <x:c r="E2372" s="25" t="n">
        <x:v>1</x:v>
      </x:c>
      <x:c r="F2372" s="25" t="n">
        <x:v>2</x:v>
      </x:c>
      <x:c r="G2372" s="19" t="n">
        <x:f>SUM(D2372:F2372)</x:f>
        <x:v>9</x:v>
      </x:c>
      <x:c r="H2372" s="25" t="n">
        <x:v>1</x:v>
      </x:c>
      <x:c r="I2372" s="25" t="n">
        <x:v>1</x:v>
      </x:c>
      <x:c r="J2372" s="25" t="n">
        <x:v>1</x:v>
      </x:c>
      <x:c r="K2372" s="19" t="n">
        <x:f>D2372-IF(H2372=0,1,0)</x:f>
        <x:v>6</x:v>
      </x:c>
      <x:c r="L2372" s="19" t="n">
        <x:f>E2372-IF(H2372=1,1,0)</x:f>
        <x:v>0</x:v>
      </x:c>
      <x:c r="M2372" s="19" t="n">
        <x:f>F2372-IF(H2372=2,1,0)</x:f>
        <x:v>2</x:v>
      </x:c>
      <x:c r="N2372" s="19" t="n">
        <x:f>MAX(K2372-1,0)+MAX(L2372-1,0)+MAX(M2372-1,0)</x:f>
        <x:v>6</x:v>
      </x:c>
      <x:c r="O2372" s="19" t="n">
        <x:f>IF(AND(SUM(K2372:M2372)&lt;9,OR(M2372=0,N2372&lt;6)),1,0)</x:f>
        <x:v>0</x:v>
      </x:c>
      <x:c r="P2372" s="19" t="n">
        <x:f>IF(AND(SUM(K2372:M2372)&lt;9,OR(L2372=0,N2372&lt;6)),1,0)</x:f>
        <x:v>1</x:v>
      </x:c>
      <x:c r="Q2372" s="19" t="n">
        <x:f>IF(AND(SUM(K2372:M2372)&lt;9,OR(K2372=0,N2372&lt;6)),1,0)</x:f>
        <x:v>0</x:v>
      </x:c>
      <x:c r="R2372" s="22" t="str">
        <x:f>O2372&amp;P2372&amp;Q2372</x:f>
        <x:v>010</x:v>
      </x:c>
      <x:c r="S2372" s="19" t="n">
        <x:f>IF(I2372=1,IF(J2372=0,Q2372,IF(J2372=1,P2372,IF(J2372=2,O2372,0))),0)</x:f>
        <x:v>1</x:v>
      </x:c>
      <x:c r="T2372" s="19" t="n">
        <x:f>K2372+IF(AND(S2372=1,J2372=0),1,0)</x:f>
        <x:v>6</x:v>
      </x:c>
      <x:c r="U2372" s="19" t="n">
        <x:f>L2372+IF(AND(S2372=1,J2372=1),1,0)</x:f>
        <x:v>1</x:v>
      </x:c>
      <x:c r="V2372" s="19" t="n">
        <x:f>M2372+IF(AND(S2372=1,J2372=2),1,0)</x:f>
        <x:v>2</x:v>
      </x:c>
      <x:c r="W2372" s="19" t="n">
        <x:f>SUM(T2372:V2372)</x:f>
        <x:v>9</x:v>
      </x:c>
      <x:c r="X2372" s="19" t="n">
        <x:f>W2372-G2372</x:f>
        <x:v>0</x:v>
      </x:c>
      <x:c r="Y2372" s="19" t="n">
        <x:f>MAX(T2372,1)+MAX(U2372,1)+MAX(V2372,1)</x:f>
        <x:v>9</x:v>
      </x:c>
      <x:c r="Z2372" s="21" t="str">
        <x:f>IF(AND(MIN(D2372:F2372)&gt;=0,MAX(D2372:F2372)&lt;=7,MAX(D2372,1)+MAX(E2372,1)+MAX(F2372,1)&lt;=9,OR(H2372="-",AND(H2372=0,D2372&gt;0),AND(H2372=1,E2372&gt;0),AND(H2372=2,F2372&gt;0)),OR(I2372=0,AND(I2372=1,OR(J2372=0,J2372=1,J2372=2),R2372&lt;&gt;"000")),Y2372&lt;=9,MIN(T2372:V2372)&gt;=0),"合法","输入违约")</x:f>
        <x:v>合法</x:v>
      </x:c>
    </x:row>
    <x:row r="2373" ht="23" customHeight="1">
      <x:c r="A2373" s="3" t="str">
        <x:v>CT-2366</x:v>
      </x:c>
      <x:c r="B2373" s="3" t="str">
        <x:v>ST-188</x:v>
      </x:c>
      <x:c r="C2373" s="3" t="str">
        <x:v>仅R回收</x:v>
      </x:c>
      <x:c r="D2373" s="25" t="n">
        <x:v>6</x:v>
      </x:c>
      <x:c r="E2373" s="25" t="n">
        <x:v>1</x:v>
      </x:c>
      <x:c r="F2373" s="25" t="n">
        <x:v>2</x:v>
      </x:c>
      <x:c r="G2373" s="19" t="n">
        <x:f>SUM(D2373:F2373)</x:f>
        <x:v>9</x:v>
      </x:c>
      <x:c r="H2373" s="25" t="n">
        <x:v>1</x:v>
      </x:c>
      <x:c r="I2373" s="25" t="n">
        <x:v>1</x:v>
      </x:c>
      <x:c r="J2373" s="25" t="n">
        <x:v>2</x:v>
      </x:c>
      <x:c r="K2373" s="19" t="n">
        <x:f>D2373-IF(H2373=0,1,0)</x:f>
        <x:v>6</x:v>
      </x:c>
      <x:c r="L2373" s="19" t="n">
        <x:f>E2373-IF(H2373=1,1,0)</x:f>
        <x:v>0</x:v>
      </x:c>
      <x:c r="M2373" s="19" t="n">
        <x:f>F2373-IF(H2373=2,1,0)</x:f>
        <x:v>2</x:v>
      </x:c>
      <x:c r="N2373" s="19" t="n">
        <x:f>MAX(K2373-1,0)+MAX(L2373-1,0)+MAX(M2373-1,0)</x:f>
        <x:v>6</x:v>
      </x:c>
      <x:c r="O2373" s="19" t="n">
        <x:f>IF(AND(SUM(K2373:M2373)&lt;9,OR(M2373=0,N2373&lt;6)),1,0)</x:f>
        <x:v>0</x:v>
      </x:c>
      <x:c r="P2373" s="19" t="n">
        <x:f>IF(AND(SUM(K2373:M2373)&lt;9,OR(L2373=0,N2373&lt;6)),1,0)</x:f>
        <x:v>1</x:v>
      </x:c>
      <x:c r="Q2373" s="19" t="n">
        <x:f>IF(AND(SUM(K2373:M2373)&lt;9,OR(K2373=0,N2373&lt;6)),1,0)</x:f>
        <x:v>0</x:v>
      </x:c>
      <x:c r="R2373" s="22" t="str">
        <x:f>O2373&amp;P2373&amp;Q2373</x:f>
        <x:v>010</x:v>
      </x:c>
      <x:c r="S2373" s="19" t="n">
        <x:f>IF(I2373=1,IF(J2373=0,Q2373,IF(J2373=1,P2373,IF(J2373=2,O2373,0))),0)</x:f>
        <x:v>0</x:v>
      </x:c>
      <x:c r="T2373" s="19" t="n">
        <x:f>K2373+IF(AND(S2373=1,J2373=0),1,0)</x:f>
        <x:v>6</x:v>
      </x:c>
      <x:c r="U2373" s="19" t="n">
        <x:f>L2373+IF(AND(S2373=1,J2373=1),1,0)</x:f>
        <x:v>0</x:v>
      </x:c>
      <x:c r="V2373" s="19" t="n">
        <x:f>M2373+IF(AND(S2373=1,J2373=2),1,0)</x:f>
        <x:v>2</x:v>
      </x:c>
      <x:c r="W2373" s="19" t="n">
        <x:f>SUM(T2373:V2373)</x:f>
        <x:v>8</x:v>
      </x:c>
      <x:c r="X2373" s="19" t="n">
        <x:f>W2373-G2373</x:f>
        <x:v>-1</x:v>
      </x:c>
      <x:c r="Y2373" s="19" t="n">
        <x:f>MAX(T2373,1)+MAX(U2373,1)+MAX(V2373,1)</x:f>
        <x:v>9</x:v>
      </x:c>
      <x:c r="Z2373" s="21" t="str">
        <x:f>IF(AND(MIN(D2373:F2373)&gt;=0,MAX(D2373:F2373)&lt;=7,MAX(D2373,1)+MAX(E2373,1)+MAX(F2373,1)&lt;=9,OR(H2373="-",AND(H2373=0,D2373&gt;0),AND(H2373=1,E2373&gt;0),AND(H2373=2,F2373&gt;0)),OR(I2373=0,AND(I2373=1,OR(J2373=0,J2373=1,J2373=2),R2373&lt;&gt;"000")),Y2373&lt;=9,MIN(T2373:V2373)&gt;=0),"合法","输入违约")</x:f>
        <x:v>合法</x:v>
      </x:c>
    </x:row>
    <x:row r="2374" ht="23" customHeight="1">
      <x:c r="A2374" s="3" t="str">
        <x:v>CT-2367</x:v>
      </x:c>
      <x:c r="B2374" s="3" t="str">
        <x:v>ST-188</x:v>
      </x:c>
      <x:c r="C2374" s="3" t="str">
        <x:v>仅R回收</x:v>
      </x:c>
      <x:c r="D2374" s="25" t="n">
        <x:v>6</x:v>
      </x:c>
      <x:c r="E2374" s="25" t="n">
        <x:v>1</x:v>
      </x:c>
      <x:c r="F2374" s="25" t="n">
        <x:v>2</x:v>
      </x:c>
      <x:c r="G2374" s="19" t="n">
        <x:f>SUM(D2374:F2374)</x:f>
        <x:v>9</x:v>
      </x:c>
      <x:c r="H2374" s="25" t="n">
        <x:v>2</x:v>
      </x:c>
      <x:c r="I2374" s="25" t="n">
        <x:v>0</x:v>
      </x:c>
      <x:c r="J2374" s="25" t="str">
        <x:v>-</x:v>
      </x:c>
      <x:c r="K2374" s="19" t="n">
        <x:f>D2374-IF(H2374=0,1,0)</x:f>
        <x:v>6</x:v>
      </x:c>
      <x:c r="L2374" s="19" t="n">
        <x:f>E2374-IF(H2374=1,1,0)</x:f>
        <x:v>1</x:v>
      </x:c>
      <x:c r="M2374" s="19" t="n">
        <x:f>F2374-IF(H2374=2,1,0)</x:f>
        <x:v>1</x:v>
      </x:c>
      <x:c r="N2374" s="19" t="n">
        <x:f>MAX(K2374-1,0)+MAX(L2374-1,0)+MAX(M2374-1,0)</x:f>
        <x:v>5</x:v>
      </x:c>
      <x:c r="O2374" s="19" t="n">
        <x:f>IF(AND(SUM(K2374:M2374)&lt;9,OR(M2374=0,N2374&lt;6)),1,0)</x:f>
        <x:v>1</x:v>
      </x:c>
      <x:c r="P2374" s="19" t="n">
        <x:f>IF(AND(SUM(K2374:M2374)&lt;9,OR(L2374=0,N2374&lt;6)),1,0)</x:f>
        <x:v>1</x:v>
      </x:c>
      <x:c r="Q2374" s="19" t="n">
        <x:f>IF(AND(SUM(K2374:M2374)&lt;9,OR(K2374=0,N2374&lt;6)),1,0)</x:f>
        <x:v>1</x:v>
      </x:c>
      <x:c r="R2374" s="22" t="str">
        <x:f>O2374&amp;P2374&amp;Q2374</x:f>
        <x:v>111</x:v>
      </x:c>
      <x:c r="S2374" s="19" t="n">
        <x:f>IF(I2374=1,IF(J2374=0,Q2374,IF(J2374=1,P2374,IF(J2374=2,O2374,0))),0)</x:f>
        <x:v>0</x:v>
      </x:c>
      <x:c r="T2374" s="19" t="n">
        <x:f>K2374+IF(AND(S2374=1,J2374=0),1,0)</x:f>
        <x:v>6</x:v>
      </x:c>
      <x:c r="U2374" s="19" t="n">
        <x:f>L2374+IF(AND(S2374=1,J2374=1),1,0)</x:f>
        <x:v>1</x:v>
      </x:c>
      <x:c r="V2374" s="19" t="n">
        <x:f>M2374+IF(AND(S2374=1,J2374=2),1,0)</x:f>
        <x:v>1</x:v>
      </x:c>
      <x:c r="W2374" s="19" t="n">
        <x:f>SUM(T2374:V2374)</x:f>
        <x:v>8</x:v>
      </x:c>
      <x:c r="X2374" s="19" t="n">
        <x:f>W2374-G2374</x:f>
        <x:v>-1</x:v>
      </x:c>
      <x:c r="Y2374" s="19" t="n">
        <x:f>MAX(T2374,1)+MAX(U2374,1)+MAX(V2374,1)</x:f>
        <x:v>8</x:v>
      </x:c>
      <x:c r="Z2374" s="21" t="str">
        <x:f>IF(AND(MIN(D2374:F2374)&gt;=0,MAX(D2374:F2374)&lt;=7,MAX(D2374,1)+MAX(E2374,1)+MAX(F2374,1)&lt;=9,OR(H2374="-",AND(H2374=0,D2374&gt;0),AND(H2374=1,E2374&gt;0),AND(H2374=2,F2374&gt;0)),OR(I2374=0,AND(I2374=1,OR(J2374=0,J2374=1,J2374=2),R2374&lt;&gt;"000")),Y2374&lt;=9,MIN(T2374:V2374)&gt;=0),"合法","输入违约")</x:f>
        <x:v>合法</x:v>
      </x:c>
    </x:row>
    <x:row r="2375" ht="23" customHeight="1">
      <x:c r="A2375" s="3" t="str">
        <x:v>CT-2368</x:v>
      </x:c>
      <x:c r="B2375" s="3" t="str">
        <x:v>ST-188</x:v>
      </x:c>
      <x:c r="C2375" s="3" t="str">
        <x:v>R+AR同收同发</x:v>
      </x:c>
      <x:c r="D2375" s="25" t="n">
        <x:v>6</x:v>
      </x:c>
      <x:c r="E2375" s="25" t="n">
        <x:v>1</x:v>
      </x:c>
      <x:c r="F2375" s="25" t="n">
        <x:v>2</x:v>
      </x:c>
      <x:c r="G2375" s="19" t="n">
        <x:f>SUM(D2375:F2375)</x:f>
        <x:v>9</x:v>
      </x:c>
      <x:c r="H2375" s="25" t="n">
        <x:v>2</x:v>
      </x:c>
      <x:c r="I2375" s="25" t="n">
        <x:v>1</x:v>
      </x:c>
      <x:c r="J2375" s="25" t="n">
        <x:v>0</x:v>
      </x:c>
      <x:c r="K2375" s="19" t="n">
        <x:f>D2375-IF(H2375=0,1,0)</x:f>
        <x:v>6</x:v>
      </x:c>
      <x:c r="L2375" s="19" t="n">
        <x:f>E2375-IF(H2375=1,1,0)</x:f>
        <x:v>1</x:v>
      </x:c>
      <x:c r="M2375" s="19" t="n">
        <x:f>F2375-IF(H2375=2,1,0)</x:f>
        <x:v>1</x:v>
      </x:c>
      <x:c r="N2375" s="19" t="n">
        <x:f>MAX(K2375-1,0)+MAX(L2375-1,0)+MAX(M2375-1,0)</x:f>
        <x:v>5</x:v>
      </x:c>
      <x:c r="O2375" s="19" t="n">
        <x:f>IF(AND(SUM(K2375:M2375)&lt;9,OR(M2375=0,N2375&lt;6)),1,0)</x:f>
        <x:v>1</x:v>
      </x:c>
      <x:c r="P2375" s="19" t="n">
        <x:f>IF(AND(SUM(K2375:M2375)&lt;9,OR(L2375=0,N2375&lt;6)),1,0)</x:f>
        <x:v>1</x:v>
      </x:c>
      <x:c r="Q2375" s="19" t="n">
        <x:f>IF(AND(SUM(K2375:M2375)&lt;9,OR(K2375=0,N2375&lt;6)),1,0)</x:f>
        <x:v>1</x:v>
      </x:c>
      <x:c r="R2375" s="22" t="str">
        <x:f>O2375&amp;P2375&amp;Q2375</x:f>
        <x:v>111</x:v>
      </x:c>
      <x:c r="S2375" s="19" t="n">
        <x:f>IF(I2375=1,IF(J2375=0,Q2375,IF(J2375=1,P2375,IF(J2375=2,O2375,0))),0)</x:f>
        <x:v>1</x:v>
      </x:c>
      <x:c r="T2375" s="19" t="n">
        <x:f>K2375+IF(AND(S2375=1,J2375=0),1,0)</x:f>
        <x:v>7</x:v>
      </x:c>
      <x:c r="U2375" s="19" t="n">
        <x:f>L2375+IF(AND(S2375=1,J2375=1),1,0)</x:f>
        <x:v>1</x:v>
      </x:c>
      <x:c r="V2375" s="19" t="n">
        <x:f>M2375+IF(AND(S2375=1,J2375=2),1,0)</x:f>
        <x:v>1</x:v>
      </x:c>
      <x:c r="W2375" s="19" t="n">
        <x:f>SUM(T2375:V2375)</x:f>
        <x:v>9</x:v>
      </x:c>
      <x:c r="X2375" s="19" t="n">
        <x:f>W2375-G2375</x:f>
        <x:v>0</x:v>
      </x:c>
      <x:c r="Y2375" s="19" t="n">
        <x:f>MAX(T2375,1)+MAX(U2375,1)+MAX(V2375,1)</x:f>
        <x:v>9</x:v>
      </x:c>
      <x:c r="Z2375" s="21" t="str">
        <x:f>IF(AND(MIN(D2375:F2375)&gt;=0,MAX(D2375:F2375)&lt;=7,MAX(D2375,1)+MAX(E2375,1)+MAX(F2375,1)&lt;=9,OR(H2375="-",AND(H2375=0,D2375&gt;0),AND(H2375=1,E2375&gt;0),AND(H2375=2,F2375&gt;0)),OR(I2375=0,AND(I2375=1,OR(J2375=0,J2375=1,J2375=2),R2375&lt;&gt;"000")),Y2375&lt;=9,MIN(T2375:V2375)&gt;=0),"合法","输入违约")</x:f>
        <x:v>合法</x:v>
      </x:c>
    </x:row>
    <x:row r="2376" ht="23" customHeight="1">
      <x:c r="A2376" s="3" t="str">
        <x:v>CT-2369</x:v>
      </x:c>
      <x:c r="B2376" s="3" t="str">
        <x:v>ST-188</x:v>
      </x:c>
      <x:c r="C2376" s="3" t="str">
        <x:v>R+AR同收同发</x:v>
      </x:c>
      <x:c r="D2376" s="25" t="n">
        <x:v>6</x:v>
      </x:c>
      <x:c r="E2376" s="25" t="n">
        <x:v>1</x:v>
      </x:c>
      <x:c r="F2376" s="25" t="n">
        <x:v>2</x:v>
      </x:c>
      <x:c r="G2376" s="19" t="n">
        <x:f>SUM(D2376:F2376)</x:f>
        <x:v>9</x:v>
      </x:c>
      <x:c r="H2376" s="25" t="n">
        <x:v>2</x:v>
      </x:c>
      <x:c r="I2376" s="25" t="n">
        <x:v>1</x:v>
      </x:c>
      <x:c r="J2376" s="25" t="n">
        <x:v>1</x:v>
      </x:c>
      <x:c r="K2376" s="19" t="n">
        <x:f>D2376-IF(H2376=0,1,0)</x:f>
        <x:v>6</x:v>
      </x:c>
      <x:c r="L2376" s="19" t="n">
        <x:f>E2376-IF(H2376=1,1,0)</x:f>
        <x:v>1</x:v>
      </x:c>
      <x:c r="M2376" s="19" t="n">
        <x:f>F2376-IF(H2376=2,1,0)</x:f>
        <x:v>1</x:v>
      </x:c>
      <x:c r="N2376" s="19" t="n">
        <x:f>MAX(K2376-1,0)+MAX(L2376-1,0)+MAX(M2376-1,0)</x:f>
        <x:v>5</x:v>
      </x:c>
      <x:c r="O2376" s="19" t="n">
        <x:f>IF(AND(SUM(K2376:M2376)&lt;9,OR(M2376=0,N2376&lt;6)),1,0)</x:f>
        <x:v>1</x:v>
      </x:c>
      <x:c r="P2376" s="19" t="n">
        <x:f>IF(AND(SUM(K2376:M2376)&lt;9,OR(L2376=0,N2376&lt;6)),1,0)</x:f>
        <x:v>1</x:v>
      </x:c>
      <x:c r="Q2376" s="19" t="n">
        <x:f>IF(AND(SUM(K2376:M2376)&lt;9,OR(K2376=0,N2376&lt;6)),1,0)</x:f>
        <x:v>1</x:v>
      </x:c>
      <x:c r="R2376" s="22" t="str">
        <x:f>O2376&amp;P2376&amp;Q2376</x:f>
        <x:v>111</x:v>
      </x:c>
      <x:c r="S2376" s="19" t="n">
        <x:f>IF(I2376=1,IF(J2376=0,Q2376,IF(J2376=1,P2376,IF(J2376=2,O2376,0))),0)</x:f>
        <x:v>1</x:v>
      </x:c>
      <x:c r="T2376" s="19" t="n">
        <x:f>K2376+IF(AND(S2376=1,J2376=0),1,0)</x:f>
        <x:v>6</x:v>
      </x:c>
      <x:c r="U2376" s="19" t="n">
        <x:f>L2376+IF(AND(S2376=1,J2376=1),1,0)</x:f>
        <x:v>2</x:v>
      </x:c>
      <x:c r="V2376" s="19" t="n">
        <x:f>M2376+IF(AND(S2376=1,J2376=2),1,0)</x:f>
        <x:v>1</x:v>
      </x:c>
      <x:c r="W2376" s="19" t="n">
        <x:f>SUM(T2376:V2376)</x:f>
        <x:v>9</x:v>
      </x:c>
      <x:c r="X2376" s="19" t="n">
        <x:f>W2376-G2376</x:f>
        <x:v>0</x:v>
      </x:c>
      <x:c r="Y2376" s="19" t="n">
        <x:f>MAX(T2376,1)+MAX(U2376,1)+MAX(V2376,1)</x:f>
        <x:v>9</x:v>
      </x:c>
      <x:c r="Z2376" s="21" t="str">
        <x:f>IF(AND(MIN(D2376:F2376)&gt;=0,MAX(D2376:F2376)&lt;=7,MAX(D2376,1)+MAX(E2376,1)+MAX(F2376,1)&lt;=9,OR(H2376="-",AND(H2376=0,D2376&gt;0),AND(H2376=1,E2376&gt;0),AND(H2376=2,F2376&gt;0)),OR(I2376=0,AND(I2376=1,OR(J2376=0,J2376=1,J2376=2),R2376&lt;&gt;"000")),Y2376&lt;=9,MIN(T2376:V2376)&gt;=0),"合法","输入违约")</x:f>
        <x:v>合法</x:v>
      </x:c>
    </x:row>
    <x:row r="2377" ht="23" customHeight="1">
      <x:c r="A2377" s="3" t="str">
        <x:v>CT-2370</x:v>
      </x:c>
      <x:c r="B2377" s="3" t="str">
        <x:v>ST-188</x:v>
      </x:c>
      <x:c r="C2377" s="3" t="str">
        <x:v>R+AR同收同发</x:v>
      </x:c>
      <x:c r="D2377" s="25" t="n">
        <x:v>6</x:v>
      </x:c>
      <x:c r="E2377" s="25" t="n">
        <x:v>1</x:v>
      </x:c>
      <x:c r="F2377" s="25" t="n">
        <x:v>2</x:v>
      </x:c>
      <x:c r="G2377" s="19" t="n">
        <x:f>SUM(D2377:F2377)</x:f>
        <x:v>9</x:v>
      </x:c>
      <x:c r="H2377" s="25" t="n">
        <x:v>2</x:v>
      </x:c>
      <x:c r="I2377" s="25" t="n">
        <x:v>1</x:v>
      </x:c>
      <x:c r="J2377" s="25" t="n">
        <x:v>2</x:v>
      </x:c>
      <x:c r="K2377" s="19" t="n">
        <x:f>D2377-IF(H2377=0,1,0)</x:f>
        <x:v>6</x:v>
      </x:c>
      <x:c r="L2377" s="19" t="n">
        <x:f>E2377-IF(H2377=1,1,0)</x:f>
        <x:v>1</x:v>
      </x:c>
      <x:c r="M2377" s="19" t="n">
        <x:f>F2377-IF(H2377=2,1,0)</x:f>
        <x:v>1</x:v>
      </x:c>
      <x:c r="N2377" s="19" t="n">
        <x:f>MAX(K2377-1,0)+MAX(L2377-1,0)+MAX(M2377-1,0)</x:f>
        <x:v>5</x:v>
      </x:c>
      <x:c r="O2377" s="19" t="n">
        <x:f>IF(AND(SUM(K2377:M2377)&lt;9,OR(M2377=0,N2377&lt;6)),1,0)</x:f>
        <x:v>1</x:v>
      </x:c>
      <x:c r="P2377" s="19" t="n">
        <x:f>IF(AND(SUM(K2377:M2377)&lt;9,OR(L2377=0,N2377&lt;6)),1,0)</x:f>
        <x:v>1</x:v>
      </x:c>
      <x:c r="Q2377" s="19" t="n">
        <x:f>IF(AND(SUM(K2377:M2377)&lt;9,OR(K2377=0,N2377&lt;6)),1,0)</x:f>
        <x:v>1</x:v>
      </x:c>
      <x:c r="R2377" s="22" t="str">
        <x:f>O2377&amp;P2377&amp;Q2377</x:f>
        <x:v>111</x:v>
      </x:c>
      <x:c r="S2377" s="19" t="n">
        <x:f>IF(I2377=1,IF(J2377=0,Q2377,IF(J2377=1,P2377,IF(J2377=2,O2377,0))),0)</x:f>
        <x:v>1</x:v>
      </x:c>
      <x:c r="T2377" s="19" t="n">
        <x:f>K2377+IF(AND(S2377=1,J2377=0),1,0)</x:f>
        <x:v>6</x:v>
      </x:c>
      <x:c r="U2377" s="19" t="n">
        <x:f>L2377+IF(AND(S2377=1,J2377=1),1,0)</x:f>
        <x:v>1</x:v>
      </x:c>
      <x:c r="V2377" s="19" t="n">
        <x:f>M2377+IF(AND(S2377=1,J2377=2),1,0)</x:f>
        <x:v>2</x:v>
      </x:c>
      <x:c r="W2377" s="19" t="n">
        <x:f>SUM(T2377:V2377)</x:f>
        <x:v>9</x:v>
      </x:c>
      <x:c r="X2377" s="19" t="n">
        <x:f>W2377-G2377</x:f>
        <x:v>0</x:v>
      </x:c>
      <x:c r="Y2377" s="19" t="n">
        <x:f>MAX(T2377,1)+MAX(U2377,1)+MAX(V2377,1)</x:f>
        <x:v>9</x:v>
      </x:c>
      <x:c r="Z2377" s="21" t="str">
        <x:f>IF(AND(MIN(D2377:F2377)&gt;=0,MAX(D2377:F2377)&lt;=7,MAX(D2377,1)+MAX(E2377,1)+MAX(F2377,1)&lt;=9,OR(H2377="-",AND(H2377=0,D2377&gt;0),AND(H2377=1,E2377&gt;0),AND(H2377=2,F2377&gt;0)),OR(I2377=0,AND(I2377=1,OR(J2377=0,J2377=1,J2377=2),R2377&lt;&gt;"000")),Y2377&lt;=9,MIN(T2377:V2377)&gt;=0),"合法","输入违约")</x:f>
        <x:v>合法</x:v>
      </x:c>
    </x:row>
    <x:row r="2378" ht="23" customHeight="1">
      <x:c r="A2378" s="3" t="str">
        <x:v>CT-2371</x:v>
      </x:c>
      <x:c r="B2378" s="3" t="str">
        <x:v>ST-160</x:v>
      </x:c>
      <x:c r="C2378" s="3" t="str">
        <x:v>无AR/R</x:v>
      </x:c>
      <x:c r="D2378" s="25" t="n">
        <x:v>6</x:v>
      </x:c>
      <x:c r="E2378" s="25" t="n">
        <x:v>2</x:v>
      </x:c>
      <x:c r="F2378" s="25" t="n">
        <x:v>0</x:v>
      </x:c>
      <x:c r="G2378" s="19" t="n">
        <x:f>SUM(D2378:F2378)</x:f>
        <x:v>8</x:v>
      </x:c>
      <x:c r="H2378" s="25" t="str">
        <x:v>-</x:v>
      </x:c>
      <x:c r="I2378" s="25" t="n">
        <x:v>0</x:v>
      </x:c>
      <x:c r="J2378" s="25" t="str">
        <x:v>-</x:v>
      </x:c>
      <x:c r="K2378" s="19" t="n">
        <x:f>D2378-IF(H2378=0,1,0)</x:f>
        <x:v>6</x:v>
      </x:c>
      <x:c r="L2378" s="19" t="n">
        <x:f>E2378-IF(H2378=1,1,0)</x:f>
        <x:v>2</x:v>
      </x:c>
      <x:c r="M2378" s="19" t="n">
        <x:f>F2378-IF(H2378=2,1,0)</x:f>
        <x:v>0</x:v>
      </x:c>
      <x:c r="N2378" s="19" t="n">
        <x:f>MAX(K2378-1,0)+MAX(L2378-1,0)+MAX(M2378-1,0)</x:f>
        <x:v>6</x:v>
      </x:c>
      <x:c r="O2378" s="19" t="n">
        <x:f>IF(AND(SUM(K2378:M2378)&lt;9,OR(M2378=0,N2378&lt;6)),1,0)</x:f>
        <x:v>1</x:v>
      </x:c>
      <x:c r="P2378" s="19" t="n">
        <x:f>IF(AND(SUM(K2378:M2378)&lt;9,OR(L2378=0,N2378&lt;6)),1,0)</x:f>
        <x:v>0</x:v>
      </x:c>
      <x:c r="Q2378" s="19" t="n">
        <x:f>IF(AND(SUM(K2378:M2378)&lt;9,OR(K2378=0,N2378&lt;6)),1,0)</x:f>
        <x:v>0</x:v>
      </x:c>
      <x:c r="R2378" s="22" t="str">
        <x:f>O2378&amp;P2378&amp;Q2378</x:f>
        <x:v>100</x:v>
      </x:c>
      <x:c r="S2378" s="19" t="n">
        <x:f>IF(I2378=1,IF(J2378=0,Q2378,IF(J2378=1,P2378,IF(J2378=2,O2378,0))),0)</x:f>
        <x:v>0</x:v>
      </x:c>
      <x:c r="T2378" s="19" t="n">
        <x:f>K2378+IF(AND(S2378=1,J2378=0),1,0)</x:f>
        <x:v>6</x:v>
      </x:c>
      <x:c r="U2378" s="19" t="n">
        <x:f>L2378+IF(AND(S2378=1,J2378=1),1,0)</x:f>
        <x:v>2</x:v>
      </x:c>
      <x:c r="V2378" s="19" t="n">
        <x:f>M2378+IF(AND(S2378=1,J2378=2),1,0)</x:f>
        <x:v>0</x:v>
      </x:c>
      <x:c r="W2378" s="19" t="n">
        <x:f>SUM(T2378:V2378)</x:f>
        <x:v>8</x:v>
      </x:c>
      <x:c r="X2378" s="19" t="n">
        <x:f>W2378-G2378</x:f>
        <x:v>0</x:v>
      </x:c>
      <x:c r="Y2378" s="19" t="n">
        <x:f>MAX(T2378,1)+MAX(U2378,1)+MAX(V2378,1)</x:f>
        <x:v>9</x:v>
      </x:c>
      <x:c r="Z2378" s="21" t="str">
        <x:f>IF(AND(MIN(D2378:F2378)&gt;=0,MAX(D2378:F2378)&lt;=7,MAX(D2378,1)+MAX(E2378,1)+MAX(F2378,1)&lt;=9,OR(H2378="-",AND(H2378=0,D2378&gt;0),AND(H2378=1,E2378&gt;0),AND(H2378=2,F2378&gt;0)),OR(I2378=0,AND(I2378=1,OR(J2378=0,J2378=1,J2378=2),R2378&lt;&gt;"000")),Y2378&lt;=9,MIN(T2378:V2378)&gt;=0),"合法","输入违约")</x:f>
        <x:v>合法</x:v>
      </x:c>
    </x:row>
    <x:row r="2379" ht="23" customHeight="1">
      <x:c r="A2379" s="3" t="str">
        <x:v>CT-2372</x:v>
      </x:c>
      <x:c r="B2379" s="3" t="str">
        <x:v>ST-160</x:v>
      </x:c>
      <x:c r="C2379" s="3" t="str">
        <x:v>所选源被阻塞</x:v>
      </x:c>
      <x:c r="D2379" s="25" t="n">
        <x:v>6</x:v>
      </x:c>
      <x:c r="E2379" s="25" t="n">
        <x:v>2</x:v>
      </x:c>
      <x:c r="F2379" s="25" t="n">
        <x:v>0</x:v>
      </x:c>
      <x:c r="G2379" s="19" t="n">
        <x:f>SUM(D2379:F2379)</x:f>
        <x:v>8</x:v>
      </x:c>
      <x:c r="H2379" s="25" t="str">
        <x:v>-</x:v>
      </x:c>
      <x:c r="I2379" s="25" t="n">
        <x:v>1</x:v>
      </x:c>
      <x:c r="J2379" s="25" t="n">
        <x:v>0</x:v>
      </x:c>
      <x:c r="K2379" s="19" t="n">
        <x:f>D2379-IF(H2379=0,1,0)</x:f>
        <x:v>6</x:v>
      </x:c>
      <x:c r="L2379" s="19" t="n">
        <x:f>E2379-IF(H2379=1,1,0)</x:f>
        <x:v>2</x:v>
      </x:c>
      <x:c r="M2379" s="19" t="n">
        <x:f>F2379-IF(H2379=2,1,0)</x:f>
        <x:v>0</x:v>
      </x:c>
      <x:c r="N2379" s="19" t="n">
        <x:f>MAX(K2379-1,0)+MAX(L2379-1,0)+MAX(M2379-1,0)</x:f>
        <x:v>6</x:v>
      </x:c>
      <x:c r="O2379" s="19" t="n">
        <x:f>IF(AND(SUM(K2379:M2379)&lt;9,OR(M2379=0,N2379&lt;6)),1,0)</x:f>
        <x:v>1</x:v>
      </x:c>
      <x:c r="P2379" s="19" t="n">
        <x:f>IF(AND(SUM(K2379:M2379)&lt;9,OR(L2379=0,N2379&lt;6)),1,0)</x:f>
        <x:v>0</x:v>
      </x:c>
      <x:c r="Q2379" s="19" t="n">
        <x:f>IF(AND(SUM(K2379:M2379)&lt;9,OR(K2379=0,N2379&lt;6)),1,0)</x:f>
        <x:v>0</x:v>
      </x:c>
      <x:c r="R2379" s="22" t="str">
        <x:f>O2379&amp;P2379&amp;Q2379</x:f>
        <x:v>100</x:v>
      </x:c>
      <x:c r="S2379" s="19" t="n">
        <x:f>IF(I2379=1,IF(J2379=0,Q2379,IF(J2379=1,P2379,IF(J2379=2,O2379,0))),0)</x:f>
        <x:v>0</x:v>
      </x:c>
      <x:c r="T2379" s="19" t="n">
        <x:f>K2379+IF(AND(S2379=1,J2379=0),1,0)</x:f>
        <x:v>6</x:v>
      </x:c>
      <x:c r="U2379" s="19" t="n">
        <x:f>L2379+IF(AND(S2379=1,J2379=1),1,0)</x:f>
        <x:v>2</x:v>
      </x:c>
      <x:c r="V2379" s="19" t="n">
        <x:f>M2379+IF(AND(S2379=1,J2379=2),1,0)</x:f>
        <x:v>0</x:v>
      </x:c>
      <x:c r="W2379" s="19" t="n">
        <x:f>SUM(T2379:V2379)</x:f>
        <x:v>8</x:v>
      </x:c>
      <x:c r="X2379" s="19" t="n">
        <x:f>W2379-G2379</x:f>
        <x:v>0</x:v>
      </x:c>
      <x:c r="Y2379" s="19" t="n">
        <x:f>MAX(T2379,1)+MAX(U2379,1)+MAX(V2379,1)</x:f>
        <x:v>9</x:v>
      </x:c>
      <x:c r="Z2379" s="21" t="str">
        <x:f>IF(AND(MIN(D2379:F2379)&gt;=0,MAX(D2379:F2379)&lt;=7,MAX(D2379,1)+MAX(E2379,1)+MAX(F2379,1)&lt;=9,OR(H2379="-",AND(H2379=0,D2379&gt;0),AND(H2379=1,E2379&gt;0),AND(H2379=2,F2379&gt;0)),OR(I2379=0,AND(I2379=1,OR(J2379=0,J2379=1,J2379=2),R2379&lt;&gt;"000")),Y2379&lt;=9,MIN(T2379:V2379)&gt;=0),"合法","输入违约")</x:f>
        <x:v>合法</x:v>
      </x:c>
    </x:row>
    <x:row r="2380" ht="23" customHeight="1">
      <x:c r="A2380" s="3" t="str">
        <x:v>CT-2373</x:v>
      </x:c>
      <x:c r="B2380" s="3" t="str">
        <x:v>ST-160</x:v>
      </x:c>
      <x:c r="C2380" s="3" t="str">
        <x:v>所选源被阻塞</x:v>
      </x:c>
      <x:c r="D2380" s="25" t="n">
        <x:v>6</x:v>
      </x:c>
      <x:c r="E2380" s="25" t="n">
        <x:v>2</x:v>
      </x:c>
      <x:c r="F2380" s="25" t="n">
        <x:v>0</x:v>
      </x:c>
      <x:c r="G2380" s="19" t="n">
        <x:f>SUM(D2380:F2380)</x:f>
        <x:v>8</x:v>
      </x:c>
      <x:c r="H2380" s="25" t="str">
        <x:v>-</x:v>
      </x:c>
      <x:c r="I2380" s="25" t="n">
        <x:v>1</x:v>
      </x:c>
      <x:c r="J2380" s="25" t="n">
        <x:v>1</x:v>
      </x:c>
      <x:c r="K2380" s="19" t="n">
        <x:f>D2380-IF(H2380=0,1,0)</x:f>
        <x:v>6</x:v>
      </x:c>
      <x:c r="L2380" s="19" t="n">
        <x:f>E2380-IF(H2380=1,1,0)</x:f>
        <x:v>2</x:v>
      </x:c>
      <x:c r="M2380" s="19" t="n">
        <x:f>F2380-IF(H2380=2,1,0)</x:f>
        <x:v>0</x:v>
      </x:c>
      <x:c r="N2380" s="19" t="n">
        <x:f>MAX(K2380-1,0)+MAX(L2380-1,0)+MAX(M2380-1,0)</x:f>
        <x:v>6</x:v>
      </x:c>
      <x:c r="O2380" s="19" t="n">
        <x:f>IF(AND(SUM(K2380:M2380)&lt;9,OR(M2380=0,N2380&lt;6)),1,0)</x:f>
        <x:v>1</x:v>
      </x:c>
      <x:c r="P2380" s="19" t="n">
        <x:f>IF(AND(SUM(K2380:M2380)&lt;9,OR(L2380=0,N2380&lt;6)),1,0)</x:f>
        <x:v>0</x:v>
      </x:c>
      <x:c r="Q2380" s="19" t="n">
        <x:f>IF(AND(SUM(K2380:M2380)&lt;9,OR(K2380=0,N2380&lt;6)),1,0)</x:f>
        <x:v>0</x:v>
      </x:c>
      <x:c r="R2380" s="22" t="str">
        <x:f>O2380&amp;P2380&amp;Q2380</x:f>
        <x:v>100</x:v>
      </x:c>
      <x:c r="S2380" s="19" t="n">
        <x:f>IF(I2380=1,IF(J2380=0,Q2380,IF(J2380=1,P2380,IF(J2380=2,O2380,0))),0)</x:f>
        <x:v>0</x:v>
      </x:c>
      <x:c r="T2380" s="19" t="n">
        <x:f>K2380+IF(AND(S2380=1,J2380=0),1,0)</x:f>
        <x:v>6</x:v>
      </x:c>
      <x:c r="U2380" s="19" t="n">
        <x:f>L2380+IF(AND(S2380=1,J2380=1),1,0)</x:f>
        <x:v>2</x:v>
      </x:c>
      <x:c r="V2380" s="19" t="n">
        <x:f>M2380+IF(AND(S2380=1,J2380=2),1,0)</x:f>
        <x:v>0</x:v>
      </x:c>
      <x:c r="W2380" s="19" t="n">
        <x:f>SUM(T2380:V2380)</x:f>
        <x:v>8</x:v>
      </x:c>
      <x:c r="X2380" s="19" t="n">
        <x:f>W2380-G2380</x:f>
        <x:v>0</x:v>
      </x:c>
      <x:c r="Y2380" s="19" t="n">
        <x:f>MAX(T2380,1)+MAX(U2380,1)+MAX(V2380,1)</x:f>
        <x:v>9</x:v>
      </x:c>
      <x:c r="Z2380" s="21" t="str">
        <x:f>IF(AND(MIN(D2380:F2380)&gt;=0,MAX(D2380:F2380)&lt;=7,MAX(D2380,1)+MAX(E2380,1)+MAX(F2380,1)&lt;=9,OR(H2380="-",AND(H2380=0,D2380&gt;0),AND(H2380=1,E2380&gt;0),AND(H2380=2,F2380&gt;0)),OR(I2380=0,AND(I2380=1,OR(J2380=0,J2380=1,J2380=2),R2380&lt;&gt;"000")),Y2380&lt;=9,MIN(T2380:V2380)&gt;=0),"合法","输入违约")</x:f>
        <x:v>合法</x:v>
      </x:c>
    </x:row>
    <x:row r="2381" ht="23" customHeight="1">
      <x:c r="A2381" s="3" t="str">
        <x:v>CT-2374</x:v>
      </x:c>
      <x:c r="B2381" s="3" t="str">
        <x:v>ST-160</x:v>
      </x:c>
      <x:c r="C2381" s="3" t="str">
        <x:v>仅AR接收</x:v>
      </x:c>
      <x:c r="D2381" s="25" t="n">
        <x:v>6</x:v>
      </x:c>
      <x:c r="E2381" s="25" t="n">
        <x:v>2</x:v>
      </x:c>
      <x:c r="F2381" s="25" t="n">
        <x:v>0</x:v>
      </x:c>
      <x:c r="G2381" s="19" t="n">
        <x:f>SUM(D2381:F2381)</x:f>
        <x:v>8</x:v>
      </x:c>
      <x:c r="H2381" s="25" t="str">
        <x:v>-</x:v>
      </x:c>
      <x:c r="I2381" s="25" t="n">
        <x:v>1</x:v>
      </x:c>
      <x:c r="J2381" s="25" t="n">
        <x:v>2</x:v>
      </x:c>
      <x:c r="K2381" s="19" t="n">
        <x:f>D2381-IF(H2381=0,1,0)</x:f>
        <x:v>6</x:v>
      </x:c>
      <x:c r="L2381" s="19" t="n">
        <x:f>E2381-IF(H2381=1,1,0)</x:f>
        <x:v>2</x:v>
      </x:c>
      <x:c r="M2381" s="19" t="n">
        <x:f>F2381-IF(H2381=2,1,0)</x:f>
        <x:v>0</x:v>
      </x:c>
      <x:c r="N2381" s="19" t="n">
        <x:f>MAX(K2381-1,0)+MAX(L2381-1,0)+MAX(M2381-1,0)</x:f>
        <x:v>6</x:v>
      </x:c>
      <x:c r="O2381" s="19" t="n">
        <x:f>IF(AND(SUM(K2381:M2381)&lt;9,OR(M2381=0,N2381&lt;6)),1,0)</x:f>
        <x:v>1</x:v>
      </x:c>
      <x:c r="P2381" s="19" t="n">
        <x:f>IF(AND(SUM(K2381:M2381)&lt;9,OR(L2381=0,N2381&lt;6)),1,0)</x:f>
        <x:v>0</x:v>
      </x:c>
      <x:c r="Q2381" s="19" t="n">
        <x:f>IF(AND(SUM(K2381:M2381)&lt;9,OR(K2381=0,N2381&lt;6)),1,0)</x:f>
        <x:v>0</x:v>
      </x:c>
      <x:c r="R2381" s="22" t="str">
        <x:f>O2381&amp;P2381&amp;Q2381</x:f>
        <x:v>100</x:v>
      </x:c>
      <x:c r="S2381" s="19" t="n">
        <x:f>IF(I2381=1,IF(J2381=0,Q2381,IF(J2381=1,P2381,IF(J2381=2,O2381,0))),0)</x:f>
        <x:v>1</x:v>
      </x:c>
      <x:c r="T2381" s="19" t="n">
        <x:f>K2381+IF(AND(S2381=1,J2381=0),1,0)</x:f>
        <x:v>6</x:v>
      </x:c>
      <x:c r="U2381" s="19" t="n">
        <x:f>L2381+IF(AND(S2381=1,J2381=1),1,0)</x:f>
        <x:v>2</x:v>
      </x:c>
      <x:c r="V2381" s="19" t="n">
        <x:f>M2381+IF(AND(S2381=1,J2381=2),1,0)</x:f>
        <x:v>1</x:v>
      </x:c>
      <x:c r="W2381" s="19" t="n">
        <x:f>SUM(T2381:V2381)</x:f>
        <x:v>9</x:v>
      </x:c>
      <x:c r="X2381" s="19" t="n">
        <x:f>W2381-G2381</x:f>
        <x:v>1</x:v>
      </x:c>
      <x:c r="Y2381" s="19" t="n">
        <x:f>MAX(T2381,1)+MAX(U2381,1)+MAX(V2381,1)</x:f>
        <x:v>9</x:v>
      </x:c>
      <x:c r="Z2381" s="21" t="str">
        <x:f>IF(AND(MIN(D2381:F2381)&gt;=0,MAX(D2381:F2381)&lt;=7,MAX(D2381,1)+MAX(E2381,1)+MAX(F2381,1)&lt;=9,OR(H2381="-",AND(H2381=0,D2381&gt;0),AND(H2381=1,E2381&gt;0),AND(H2381=2,F2381&gt;0)),OR(I2381=0,AND(I2381=1,OR(J2381=0,J2381=1,J2381=2),R2381&lt;&gt;"000")),Y2381&lt;=9,MIN(T2381:V2381)&gt;=0),"合法","输入违约")</x:f>
        <x:v>合法</x:v>
      </x:c>
    </x:row>
    <x:row r="2382" ht="23" customHeight="1">
      <x:c r="A2382" s="3" t="str">
        <x:v>CT-2375</x:v>
      </x:c>
      <x:c r="B2382" s="3" t="str">
        <x:v>ST-160</x:v>
      </x:c>
      <x:c r="C2382" s="3" t="str">
        <x:v>仅R回收</x:v>
      </x:c>
      <x:c r="D2382" s="25" t="n">
        <x:v>6</x:v>
      </x:c>
      <x:c r="E2382" s="25" t="n">
        <x:v>2</x:v>
      </x:c>
      <x:c r="F2382" s="25" t="n">
        <x:v>0</x:v>
      </x:c>
      <x:c r="G2382" s="19" t="n">
        <x:f>SUM(D2382:F2382)</x:f>
        <x:v>8</x:v>
      </x:c>
      <x:c r="H2382" s="25" t="n">
        <x:v>0</x:v>
      </x:c>
      <x:c r="I2382" s="25" t="n">
        <x:v>0</x:v>
      </x:c>
      <x:c r="J2382" s="25" t="str">
        <x:v>-</x:v>
      </x:c>
      <x:c r="K2382" s="19" t="n">
        <x:f>D2382-IF(H2382=0,1,0)</x:f>
        <x:v>5</x:v>
      </x:c>
      <x:c r="L2382" s="19" t="n">
        <x:f>E2382-IF(H2382=1,1,0)</x:f>
        <x:v>2</x:v>
      </x:c>
      <x:c r="M2382" s="19" t="n">
        <x:f>F2382-IF(H2382=2,1,0)</x:f>
        <x:v>0</x:v>
      </x:c>
      <x:c r="N2382" s="19" t="n">
        <x:f>MAX(K2382-1,0)+MAX(L2382-1,0)+MAX(M2382-1,0)</x:f>
        <x:v>5</x:v>
      </x:c>
      <x:c r="O2382" s="19" t="n">
        <x:f>IF(AND(SUM(K2382:M2382)&lt;9,OR(M2382=0,N2382&lt;6)),1,0)</x:f>
        <x:v>1</x:v>
      </x:c>
      <x:c r="P2382" s="19" t="n">
        <x:f>IF(AND(SUM(K2382:M2382)&lt;9,OR(L2382=0,N2382&lt;6)),1,0)</x:f>
        <x:v>1</x:v>
      </x:c>
      <x:c r="Q2382" s="19" t="n">
        <x:f>IF(AND(SUM(K2382:M2382)&lt;9,OR(K2382=0,N2382&lt;6)),1,0)</x:f>
        <x:v>1</x:v>
      </x:c>
      <x:c r="R2382" s="22" t="str">
        <x:f>O2382&amp;P2382&amp;Q2382</x:f>
        <x:v>111</x:v>
      </x:c>
      <x:c r="S2382" s="19" t="n">
        <x:f>IF(I2382=1,IF(J2382=0,Q2382,IF(J2382=1,P2382,IF(J2382=2,O2382,0))),0)</x:f>
        <x:v>0</x:v>
      </x:c>
      <x:c r="T2382" s="19" t="n">
        <x:f>K2382+IF(AND(S2382=1,J2382=0),1,0)</x:f>
        <x:v>5</x:v>
      </x:c>
      <x:c r="U2382" s="19" t="n">
        <x:f>L2382+IF(AND(S2382=1,J2382=1),1,0)</x:f>
        <x:v>2</x:v>
      </x:c>
      <x:c r="V2382" s="19" t="n">
        <x:f>M2382+IF(AND(S2382=1,J2382=2),1,0)</x:f>
        <x:v>0</x:v>
      </x:c>
      <x:c r="W2382" s="19" t="n">
        <x:f>SUM(T2382:V2382)</x:f>
        <x:v>7</x:v>
      </x:c>
      <x:c r="X2382" s="19" t="n">
        <x:f>W2382-G2382</x:f>
        <x:v>-1</x:v>
      </x:c>
      <x:c r="Y2382" s="19" t="n">
        <x:f>MAX(T2382,1)+MAX(U2382,1)+MAX(V2382,1)</x:f>
        <x:v>8</x:v>
      </x:c>
      <x:c r="Z2382" s="21" t="str">
        <x:f>IF(AND(MIN(D2382:F2382)&gt;=0,MAX(D2382:F2382)&lt;=7,MAX(D2382,1)+MAX(E2382,1)+MAX(F2382,1)&lt;=9,OR(H2382="-",AND(H2382=0,D2382&gt;0),AND(H2382=1,E2382&gt;0),AND(H2382=2,F2382&gt;0)),OR(I2382=0,AND(I2382=1,OR(J2382=0,J2382=1,J2382=2),R2382&lt;&gt;"000")),Y2382&lt;=9,MIN(T2382:V2382)&gt;=0),"合法","输入违约")</x:f>
        <x:v>合法</x:v>
      </x:c>
    </x:row>
    <x:row r="2383" ht="23" customHeight="1">
      <x:c r="A2383" s="3" t="str">
        <x:v>CT-2376</x:v>
      </x:c>
      <x:c r="B2383" s="3" t="str">
        <x:v>ST-160</x:v>
      </x:c>
      <x:c r="C2383" s="3" t="str">
        <x:v>R+AR同收同发</x:v>
      </x:c>
      <x:c r="D2383" s="25" t="n">
        <x:v>6</x:v>
      </x:c>
      <x:c r="E2383" s="25" t="n">
        <x:v>2</x:v>
      </x:c>
      <x:c r="F2383" s="25" t="n">
        <x:v>0</x:v>
      </x:c>
      <x:c r="G2383" s="19" t="n">
        <x:f>SUM(D2383:F2383)</x:f>
        <x:v>8</x:v>
      </x:c>
      <x:c r="H2383" s="25" t="n">
        <x:v>0</x:v>
      </x:c>
      <x:c r="I2383" s="25" t="n">
        <x:v>1</x:v>
      </x:c>
      <x:c r="J2383" s="25" t="n">
        <x:v>0</x:v>
      </x:c>
      <x:c r="K2383" s="19" t="n">
        <x:f>D2383-IF(H2383=0,1,0)</x:f>
        <x:v>5</x:v>
      </x:c>
      <x:c r="L2383" s="19" t="n">
        <x:f>E2383-IF(H2383=1,1,0)</x:f>
        <x:v>2</x:v>
      </x:c>
      <x:c r="M2383" s="19" t="n">
        <x:f>F2383-IF(H2383=2,1,0)</x:f>
        <x:v>0</x:v>
      </x:c>
      <x:c r="N2383" s="19" t="n">
        <x:f>MAX(K2383-1,0)+MAX(L2383-1,0)+MAX(M2383-1,0)</x:f>
        <x:v>5</x:v>
      </x:c>
      <x:c r="O2383" s="19" t="n">
        <x:f>IF(AND(SUM(K2383:M2383)&lt;9,OR(M2383=0,N2383&lt;6)),1,0)</x:f>
        <x:v>1</x:v>
      </x:c>
      <x:c r="P2383" s="19" t="n">
        <x:f>IF(AND(SUM(K2383:M2383)&lt;9,OR(L2383=0,N2383&lt;6)),1,0)</x:f>
        <x:v>1</x:v>
      </x:c>
      <x:c r="Q2383" s="19" t="n">
        <x:f>IF(AND(SUM(K2383:M2383)&lt;9,OR(K2383=0,N2383&lt;6)),1,0)</x:f>
        <x:v>1</x:v>
      </x:c>
      <x:c r="R2383" s="22" t="str">
        <x:f>O2383&amp;P2383&amp;Q2383</x:f>
        <x:v>111</x:v>
      </x:c>
      <x:c r="S2383" s="19" t="n">
        <x:f>IF(I2383=1,IF(J2383=0,Q2383,IF(J2383=1,P2383,IF(J2383=2,O2383,0))),0)</x:f>
        <x:v>1</x:v>
      </x:c>
      <x:c r="T2383" s="19" t="n">
        <x:f>K2383+IF(AND(S2383=1,J2383=0),1,0)</x:f>
        <x:v>6</x:v>
      </x:c>
      <x:c r="U2383" s="19" t="n">
        <x:f>L2383+IF(AND(S2383=1,J2383=1),1,0)</x:f>
        <x:v>2</x:v>
      </x:c>
      <x:c r="V2383" s="19" t="n">
        <x:f>M2383+IF(AND(S2383=1,J2383=2),1,0)</x:f>
        <x:v>0</x:v>
      </x:c>
      <x:c r="W2383" s="19" t="n">
        <x:f>SUM(T2383:V2383)</x:f>
        <x:v>8</x:v>
      </x:c>
      <x:c r="X2383" s="19" t="n">
        <x:f>W2383-G2383</x:f>
        <x:v>0</x:v>
      </x:c>
      <x:c r="Y2383" s="19" t="n">
        <x:f>MAX(T2383,1)+MAX(U2383,1)+MAX(V2383,1)</x:f>
        <x:v>9</x:v>
      </x:c>
      <x:c r="Z2383" s="21" t="str">
        <x:f>IF(AND(MIN(D2383:F2383)&gt;=0,MAX(D2383:F2383)&lt;=7,MAX(D2383,1)+MAX(E2383,1)+MAX(F2383,1)&lt;=9,OR(H2383="-",AND(H2383=0,D2383&gt;0),AND(H2383=1,E2383&gt;0),AND(H2383=2,F2383&gt;0)),OR(I2383=0,AND(I2383=1,OR(J2383=0,J2383=1,J2383=2),R2383&lt;&gt;"000")),Y2383&lt;=9,MIN(T2383:V2383)&gt;=0),"合法","输入违约")</x:f>
        <x:v>合法</x:v>
      </x:c>
    </x:row>
    <x:row r="2384" ht="23" customHeight="1">
      <x:c r="A2384" s="3" t="str">
        <x:v>CT-2377</x:v>
      </x:c>
      <x:c r="B2384" s="3" t="str">
        <x:v>ST-160</x:v>
      </x:c>
      <x:c r="C2384" s="3" t="str">
        <x:v>R+AR同收同发</x:v>
      </x:c>
      <x:c r="D2384" s="25" t="n">
        <x:v>6</x:v>
      </x:c>
      <x:c r="E2384" s="25" t="n">
        <x:v>2</x:v>
      </x:c>
      <x:c r="F2384" s="25" t="n">
        <x:v>0</x:v>
      </x:c>
      <x:c r="G2384" s="19" t="n">
        <x:f>SUM(D2384:F2384)</x:f>
        <x:v>8</x:v>
      </x:c>
      <x:c r="H2384" s="25" t="n">
        <x:v>0</x:v>
      </x:c>
      <x:c r="I2384" s="25" t="n">
        <x:v>1</x:v>
      </x:c>
      <x:c r="J2384" s="25" t="n">
        <x:v>1</x:v>
      </x:c>
      <x:c r="K2384" s="19" t="n">
        <x:f>D2384-IF(H2384=0,1,0)</x:f>
        <x:v>5</x:v>
      </x:c>
      <x:c r="L2384" s="19" t="n">
        <x:f>E2384-IF(H2384=1,1,0)</x:f>
        <x:v>2</x:v>
      </x:c>
      <x:c r="M2384" s="19" t="n">
        <x:f>F2384-IF(H2384=2,1,0)</x:f>
        <x:v>0</x:v>
      </x:c>
      <x:c r="N2384" s="19" t="n">
        <x:f>MAX(K2384-1,0)+MAX(L2384-1,0)+MAX(M2384-1,0)</x:f>
        <x:v>5</x:v>
      </x:c>
      <x:c r="O2384" s="19" t="n">
        <x:f>IF(AND(SUM(K2384:M2384)&lt;9,OR(M2384=0,N2384&lt;6)),1,0)</x:f>
        <x:v>1</x:v>
      </x:c>
      <x:c r="P2384" s="19" t="n">
        <x:f>IF(AND(SUM(K2384:M2384)&lt;9,OR(L2384=0,N2384&lt;6)),1,0)</x:f>
        <x:v>1</x:v>
      </x:c>
      <x:c r="Q2384" s="19" t="n">
        <x:f>IF(AND(SUM(K2384:M2384)&lt;9,OR(K2384=0,N2384&lt;6)),1,0)</x:f>
        <x:v>1</x:v>
      </x:c>
      <x:c r="R2384" s="22" t="str">
        <x:f>O2384&amp;P2384&amp;Q2384</x:f>
        <x:v>111</x:v>
      </x:c>
      <x:c r="S2384" s="19" t="n">
        <x:f>IF(I2384=1,IF(J2384=0,Q2384,IF(J2384=1,P2384,IF(J2384=2,O2384,0))),0)</x:f>
        <x:v>1</x:v>
      </x:c>
      <x:c r="T2384" s="19" t="n">
        <x:f>K2384+IF(AND(S2384=1,J2384=0),1,0)</x:f>
        <x:v>5</x:v>
      </x:c>
      <x:c r="U2384" s="19" t="n">
        <x:f>L2384+IF(AND(S2384=1,J2384=1),1,0)</x:f>
        <x:v>3</x:v>
      </x:c>
      <x:c r="V2384" s="19" t="n">
        <x:f>M2384+IF(AND(S2384=1,J2384=2),1,0)</x:f>
        <x:v>0</x:v>
      </x:c>
      <x:c r="W2384" s="19" t="n">
        <x:f>SUM(T2384:V2384)</x:f>
        <x:v>8</x:v>
      </x:c>
      <x:c r="X2384" s="19" t="n">
        <x:f>W2384-G2384</x:f>
        <x:v>0</x:v>
      </x:c>
      <x:c r="Y2384" s="19" t="n">
        <x:f>MAX(T2384,1)+MAX(U2384,1)+MAX(V2384,1)</x:f>
        <x:v>9</x:v>
      </x:c>
      <x:c r="Z2384" s="21" t="str">
        <x:f>IF(AND(MIN(D2384:F2384)&gt;=0,MAX(D2384:F2384)&lt;=7,MAX(D2384,1)+MAX(E2384,1)+MAX(F2384,1)&lt;=9,OR(H2384="-",AND(H2384=0,D2384&gt;0),AND(H2384=1,E2384&gt;0),AND(H2384=2,F2384&gt;0)),OR(I2384=0,AND(I2384=1,OR(J2384=0,J2384=1,J2384=2),R2384&lt;&gt;"000")),Y2384&lt;=9,MIN(T2384:V2384)&gt;=0),"合法","输入违约")</x:f>
        <x:v>合法</x:v>
      </x:c>
    </x:row>
    <x:row r="2385" ht="23" customHeight="1">
      <x:c r="A2385" s="3" t="str">
        <x:v>CT-2378</x:v>
      </x:c>
      <x:c r="B2385" s="3" t="str">
        <x:v>ST-160</x:v>
      </x:c>
      <x:c r="C2385" s="3" t="str">
        <x:v>R+AR同收同发</x:v>
      </x:c>
      <x:c r="D2385" s="25" t="n">
        <x:v>6</x:v>
      </x:c>
      <x:c r="E2385" s="25" t="n">
        <x:v>2</x:v>
      </x:c>
      <x:c r="F2385" s="25" t="n">
        <x:v>0</x:v>
      </x:c>
      <x:c r="G2385" s="19" t="n">
        <x:f>SUM(D2385:F2385)</x:f>
        <x:v>8</x:v>
      </x:c>
      <x:c r="H2385" s="25" t="n">
        <x:v>0</x:v>
      </x:c>
      <x:c r="I2385" s="25" t="n">
        <x:v>1</x:v>
      </x:c>
      <x:c r="J2385" s="25" t="n">
        <x:v>2</x:v>
      </x:c>
      <x:c r="K2385" s="19" t="n">
        <x:f>D2385-IF(H2385=0,1,0)</x:f>
        <x:v>5</x:v>
      </x:c>
      <x:c r="L2385" s="19" t="n">
        <x:f>E2385-IF(H2385=1,1,0)</x:f>
        <x:v>2</x:v>
      </x:c>
      <x:c r="M2385" s="19" t="n">
        <x:f>F2385-IF(H2385=2,1,0)</x:f>
        <x:v>0</x:v>
      </x:c>
      <x:c r="N2385" s="19" t="n">
        <x:f>MAX(K2385-1,0)+MAX(L2385-1,0)+MAX(M2385-1,0)</x:f>
        <x:v>5</x:v>
      </x:c>
      <x:c r="O2385" s="19" t="n">
        <x:f>IF(AND(SUM(K2385:M2385)&lt;9,OR(M2385=0,N2385&lt;6)),1,0)</x:f>
        <x:v>1</x:v>
      </x:c>
      <x:c r="P2385" s="19" t="n">
        <x:f>IF(AND(SUM(K2385:M2385)&lt;9,OR(L2385=0,N2385&lt;6)),1,0)</x:f>
        <x:v>1</x:v>
      </x:c>
      <x:c r="Q2385" s="19" t="n">
        <x:f>IF(AND(SUM(K2385:M2385)&lt;9,OR(K2385=0,N2385&lt;6)),1,0)</x:f>
        <x:v>1</x:v>
      </x:c>
      <x:c r="R2385" s="22" t="str">
        <x:f>O2385&amp;P2385&amp;Q2385</x:f>
        <x:v>111</x:v>
      </x:c>
      <x:c r="S2385" s="19" t="n">
        <x:f>IF(I2385=1,IF(J2385=0,Q2385,IF(J2385=1,P2385,IF(J2385=2,O2385,0))),0)</x:f>
        <x:v>1</x:v>
      </x:c>
      <x:c r="T2385" s="19" t="n">
        <x:f>K2385+IF(AND(S2385=1,J2385=0),1,0)</x:f>
        <x:v>5</x:v>
      </x:c>
      <x:c r="U2385" s="19" t="n">
        <x:f>L2385+IF(AND(S2385=1,J2385=1),1,0)</x:f>
        <x:v>2</x:v>
      </x:c>
      <x:c r="V2385" s="19" t="n">
        <x:f>M2385+IF(AND(S2385=1,J2385=2),1,0)</x:f>
        <x:v>1</x:v>
      </x:c>
      <x:c r="W2385" s="19" t="n">
        <x:f>SUM(T2385:V2385)</x:f>
        <x:v>8</x:v>
      </x:c>
      <x:c r="X2385" s="19" t="n">
        <x:f>W2385-G2385</x:f>
        <x:v>0</x:v>
      </x:c>
      <x:c r="Y2385" s="19" t="n">
        <x:f>MAX(T2385,1)+MAX(U2385,1)+MAX(V2385,1)</x:f>
        <x:v>8</x:v>
      </x:c>
      <x:c r="Z2385" s="21" t="str">
        <x:f>IF(AND(MIN(D2385:F2385)&gt;=0,MAX(D2385:F2385)&lt;=7,MAX(D2385,1)+MAX(E2385,1)+MAX(F2385,1)&lt;=9,OR(H2385="-",AND(H2385=0,D2385&gt;0),AND(H2385=1,E2385&gt;0),AND(H2385=2,F2385&gt;0)),OR(I2385=0,AND(I2385=1,OR(J2385=0,J2385=1,J2385=2),R2385&lt;&gt;"000")),Y2385&lt;=9,MIN(T2385:V2385)&gt;=0),"合法","输入违约")</x:f>
        <x:v>合法</x:v>
      </x:c>
    </x:row>
    <x:row r="2386" ht="23" customHeight="1">
      <x:c r="A2386" s="3" t="str">
        <x:v>CT-2379</x:v>
      </x:c>
      <x:c r="B2386" s="3" t="str">
        <x:v>ST-160</x:v>
      </x:c>
      <x:c r="C2386" s="3" t="str">
        <x:v>仅R回收</x:v>
      </x:c>
      <x:c r="D2386" s="25" t="n">
        <x:v>6</x:v>
      </x:c>
      <x:c r="E2386" s="25" t="n">
        <x:v>2</x:v>
      </x:c>
      <x:c r="F2386" s="25" t="n">
        <x:v>0</x:v>
      </x:c>
      <x:c r="G2386" s="19" t="n">
        <x:f>SUM(D2386:F2386)</x:f>
        <x:v>8</x:v>
      </x:c>
      <x:c r="H2386" s="25" t="n">
        <x:v>1</x:v>
      </x:c>
      <x:c r="I2386" s="25" t="n">
        <x:v>0</x:v>
      </x:c>
      <x:c r="J2386" s="25" t="str">
        <x:v>-</x:v>
      </x:c>
      <x:c r="K2386" s="19" t="n">
        <x:f>D2386-IF(H2386=0,1,0)</x:f>
        <x:v>6</x:v>
      </x:c>
      <x:c r="L2386" s="19" t="n">
        <x:f>E2386-IF(H2386=1,1,0)</x:f>
        <x:v>1</x:v>
      </x:c>
      <x:c r="M2386" s="19" t="n">
        <x:f>F2386-IF(H2386=2,1,0)</x:f>
        <x:v>0</x:v>
      </x:c>
      <x:c r="N2386" s="19" t="n">
        <x:f>MAX(K2386-1,0)+MAX(L2386-1,0)+MAX(M2386-1,0)</x:f>
        <x:v>5</x:v>
      </x:c>
      <x:c r="O2386" s="19" t="n">
        <x:f>IF(AND(SUM(K2386:M2386)&lt;9,OR(M2386=0,N2386&lt;6)),1,0)</x:f>
        <x:v>1</x:v>
      </x:c>
      <x:c r="P2386" s="19" t="n">
        <x:f>IF(AND(SUM(K2386:M2386)&lt;9,OR(L2386=0,N2386&lt;6)),1,0)</x:f>
        <x:v>1</x:v>
      </x:c>
      <x:c r="Q2386" s="19" t="n">
        <x:f>IF(AND(SUM(K2386:M2386)&lt;9,OR(K2386=0,N2386&lt;6)),1,0)</x:f>
        <x:v>1</x:v>
      </x:c>
      <x:c r="R2386" s="22" t="str">
        <x:f>O2386&amp;P2386&amp;Q2386</x:f>
        <x:v>111</x:v>
      </x:c>
      <x:c r="S2386" s="19" t="n">
        <x:f>IF(I2386=1,IF(J2386=0,Q2386,IF(J2386=1,P2386,IF(J2386=2,O2386,0))),0)</x:f>
        <x:v>0</x:v>
      </x:c>
      <x:c r="T2386" s="19" t="n">
        <x:f>K2386+IF(AND(S2386=1,J2386=0),1,0)</x:f>
        <x:v>6</x:v>
      </x:c>
      <x:c r="U2386" s="19" t="n">
        <x:f>L2386+IF(AND(S2386=1,J2386=1),1,0)</x:f>
        <x:v>1</x:v>
      </x:c>
      <x:c r="V2386" s="19" t="n">
        <x:f>M2386+IF(AND(S2386=1,J2386=2),1,0)</x:f>
        <x:v>0</x:v>
      </x:c>
      <x:c r="W2386" s="19" t="n">
        <x:f>SUM(T2386:V2386)</x:f>
        <x:v>7</x:v>
      </x:c>
      <x:c r="X2386" s="19" t="n">
        <x:f>W2386-G2386</x:f>
        <x:v>-1</x:v>
      </x:c>
      <x:c r="Y2386" s="19" t="n">
        <x:f>MAX(T2386,1)+MAX(U2386,1)+MAX(V2386,1)</x:f>
        <x:v>8</x:v>
      </x:c>
      <x:c r="Z2386" s="21" t="str">
        <x:f>IF(AND(MIN(D2386:F2386)&gt;=0,MAX(D2386:F2386)&lt;=7,MAX(D2386,1)+MAX(E2386,1)+MAX(F2386,1)&lt;=9,OR(H2386="-",AND(H2386=0,D2386&gt;0),AND(H2386=1,E2386&gt;0),AND(H2386=2,F2386&gt;0)),OR(I2386=0,AND(I2386=1,OR(J2386=0,J2386=1,J2386=2),R2386&lt;&gt;"000")),Y2386&lt;=9,MIN(T2386:V2386)&gt;=0),"合法","输入违约")</x:f>
        <x:v>合法</x:v>
      </x:c>
    </x:row>
    <x:row r="2387" ht="23" customHeight="1">
      <x:c r="A2387" s="3" t="str">
        <x:v>CT-2380</x:v>
      </x:c>
      <x:c r="B2387" s="3" t="str">
        <x:v>ST-160</x:v>
      </x:c>
      <x:c r="C2387" s="3" t="str">
        <x:v>R+AR同收同发</x:v>
      </x:c>
      <x:c r="D2387" s="25" t="n">
        <x:v>6</x:v>
      </x:c>
      <x:c r="E2387" s="25" t="n">
        <x:v>2</x:v>
      </x:c>
      <x:c r="F2387" s="25" t="n">
        <x:v>0</x:v>
      </x:c>
      <x:c r="G2387" s="19" t="n">
        <x:f>SUM(D2387:F2387)</x:f>
        <x:v>8</x:v>
      </x:c>
      <x:c r="H2387" s="25" t="n">
        <x:v>1</x:v>
      </x:c>
      <x:c r="I2387" s="25" t="n">
        <x:v>1</x:v>
      </x:c>
      <x:c r="J2387" s="25" t="n">
        <x:v>0</x:v>
      </x:c>
      <x:c r="K2387" s="19" t="n">
        <x:f>D2387-IF(H2387=0,1,0)</x:f>
        <x:v>6</x:v>
      </x:c>
      <x:c r="L2387" s="19" t="n">
        <x:f>E2387-IF(H2387=1,1,0)</x:f>
        <x:v>1</x:v>
      </x:c>
      <x:c r="M2387" s="19" t="n">
        <x:f>F2387-IF(H2387=2,1,0)</x:f>
        <x:v>0</x:v>
      </x:c>
      <x:c r="N2387" s="19" t="n">
        <x:f>MAX(K2387-1,0)+MAX(L2387-1,0)+MAX(M2387-1,0)</x:f>
        <x:v>5</x:v>
      </x:c>
      <x:c r="O2387" s="19" t="n">
        <x:f>IF(AND(SUM(K2387:M2387)&lt;9,OR(M2387=0,N2387&lt;6)),1,0)</x:f>
        <x:v>1</x:v>
      </x:c>
      <x:c r="P2387" s="19" t="n">
        <x:f>IF(AND(SUM(K2387:M2387)&lt;9,OR(L2387=0,N2387&lt;6)),1,0)</x:f>
        <x:v>1</x:v>
      </x:c>
      <x:c r="Q2387" s="19" t="n">
        <x:f>IF(AND(SUM(K2387:M2387)&lt;9,OR(K2387=0,N2387&lt;6)),1,0)</x:f>
        <x:v>1</x:v>
      </x:c>
      <x:c r="R2387" s="22" t="str">
        <x:f>O2387&amp;P2387&amp;Q2387</x:f>
        <x:v>111</x:v>
      </x:c>
      <x:c r="S2387" s="19" t="n">
        <x:f>IF(I2387=1,IF(J2387=0,Q2387,IF(J2387=1,P2387,IF(J2387=2,O2387,0))),0)</x:f>
        <x:v>1</x:v>
      </x:c>
      <x:c r="T2387" s="19" t="n">
        <x:f>K2387+IF(AND(S2387=1,J2387=0),1,0)</x:f>
        <x:v>7</x:v>
      </x:c>
      <x:c r="U2387" s="19" t="n">
        <x:f>L2387+IF(AND(S2387=1,J2387=1),1,0)</x:f>
        <x:v>1</x:v>
      </x:c>
      <x:c r="V2387" s="19" t="n">
        <x:f>M2387+IF(AND(S2387=1,J2387=2),1,0)</x:f>
        <x:v>0</x:v>
      </x:c>
      <x:c r="W2387" s="19" t="n">
        <x:f>SUM(T2387:V2387)</x:f>
        <x:v>8</x:v>
      </x:c>
      <x:c r="X2387" s="19" t="n">
        <x:f>W2387-G2387</x:f>
        <x:v>0</x:v>
      </x:c>
      <x:c r="Y2387" s="19" t="n">
        <x:f>MAX(T2387,1)+MAX(U2387,1)+MAX(V2387,1)</x:f>
        <x:v>9</x:v>
      </x:c>
      <x:c r="Z2387" s="21" t="str">
        <x:f>IF(AND(MIN(D2387:F2387)&gt;=0,MAX(D2387:F2387)&lt;=7,MAX(D2387,1)+MAX(E2387,1)+MAX(F2387,1)&lt;=9,OR(H2387="-",AND(H2387=0,D2387&gt;0),AND(H2387=1,E2387&gt;0),AND(H2387=2,F2387&gt;0)),OR(I2387=0,AND(I2387=1,OR(J2387=0,J2387=1,J2387=2),R2387&lt;&gt;"000")),Y2387&lt;=9,MIN(T2387:V2387)&gt;=0),"合法","输入违约")</x:f>
        <x:v>合法</x:v>
      </x:c>
    </x:row>
    <x:row r="2388" ht="23" customHeight="1">
      <x:c r="A2388" s="3" t="str">
        <x:v>CT-2381</x:v>
      </x:c>
      <x:c r="B2388" s="3" t="str">
        <x:v>ST-160</x:v>
      </x:c>
      <x:c r="C2388" s="3" t="str">
        <x:v>R+AR同收同发</x:v>
      </x:c>
      <x:c r="D2388" s="25" t="n">
        <x:v>6</x:v>
      </x:c>
      <x:c r="E2388" s="25" t="n">
        <x:v>2</x:v>
      </x:c>
      <x:c r="F2388" s="25" t="n">
        <x:v>0</x:v>
      </x:c>
      <x:c r="G2388" s="19" t="n">
        <x:f>SUM(D2388:F2388)</x:f>
        <x:v>8</x:v>
      </x:c>
      <x:c r="H2388" s="25" t="n">
        <x:v>1</x:v>
      </x:c>
      <x:c r="I2388" s="25" t="n">
        <x:v>1</x:v>
      </x:c>
      <x:c r="J2388" s="25" t="n">
        <x:v>1</x:v>
      </x:c>
      <x:c r="K2388" s="19" t="n">
        <x:f>D2388-IF(H2388=0,1,0)</x:f>
        <x:v>6</x:v>
      </x:c>
      <x:c r="L2388" s="19" t="n">
        <x:f>E2388-IF(H2388=1,1,0)</x:f>
        <x:v>1</x:v>
      </x:c>
      <x:c r="M2388" s="19" t="n">
        <x:f>F2388-IF(H2388=2,1,0)</x:f>
        <x:v>0</x:v>
      </x:c>
      <x:c r="N2388" s="19" t="n">
        <x:f>MAX(K2388-1,0)+MAX(L2388-1,0)+MAX(M2388-1,0)</x:f>
        <x:v>5</x:v>
      </x:c>
      <x:c r="O2388" s="19" t="n">
        <x:f>IF(AND(SUM(K2388:M2388)&lt;9,OR(M2388=0,N2388&lt;6)),1,0)</x:f>
        <x:v>1</x:v>
      </x:c>
      <x:c r="P2388" s="19" t="n">
        <x:f>IF(AND(SUM(K2388:M2388)&lt;9,OR(L2388=0,N2388&lt;6)),1,0)</x:f>
        <x:v>1</x:v>
      </x:c>
      <x:c r="Q2388" s="19" t="n">
        <x:f>IF(AND(SUM(K2388:M2388)&lt;9,OR(K2388=0,N2388&lt;6)),1,0)</x:f>
        <x:v>1</x:v>
      </x:c>
      <x:c r="R2388" s="22" t="str">
        <x:f>O2388&amp;P2388&amp;Q2388</x:f>
        <x:v>111</x:v>
      </x:c>
      <x:c r="S2388" s="19" t="n">
        <x:f>IF(I2388=1,IF(J2388=0,Q2388,IF(J2388=1,P2388,IF(J2388=2,O2388,0))),0)</x:f>
        <x:v>1</x:v>
      </x:c>
      <x:c r="T2388" s="19" t="n">
        <x:f>K2388+IF(AND(S2388=1,J2388=0),1,0)</x:f>
        <x:v>6</x:v>
      </x:c>
      <x:c r="U2388" s="19" t="n">
        <x:f>L2388+IF(AND(S2388=1,J2388=1),1,0)</x:f>
        <x:v>2</x:v>
      </x:c>
      <x:c r="V2388" s="19" t="n">
        <x:f>M2388+IF(AND(S2388=1,J2388=2),1,0)</x:f>
        <x:v>0</x:v>
      </x:c>
      <x:c r="W2388" s="19" t="n">
        <x:f>SUM(T2388:V2388)</x:f>
        <x:v>8</x:v>
      </x:c>
      <x:c r="X2388" s="19" t="n">
        <x:f>W2388-G2388</x:f>
        <x:v>0</x:v>
      </x:c>
      <x:c r="Y2388" s="19" t="n">
        <x:f>MAX(T2388,1)+MAX(U2388,1)+MAX(V2388,1)</x:f>
        <x:v>9</x:v>
      </x:c>
      <x:c r="Z2388" s="21" t="str">
        <x:f>IF(AND(MIN(D2388:F2388)&gt;=0,MAX(D2388:F2388)&lt;=7,MAX(D2388,1)+MAX(E2388,1)+MAX(F2388,1)&lt;=9,OR(H2388="-",AND(H2388=0,D2388&gt;0),AND(H2388=1,E2388&gt;0),AND(H2388=2,F2388&gt;0)),OR(I2388=0,AND(I2388=1,OR(J2388=0,J2388=1,J2388=2),R2388&lt;&gt;"000")),Y2388&lt;=9,MIN(T2388:V2388)&gt;=0),"合法","输入违约")</x:f>
        <x:v>合法</x:v>
      </x:c>
    </x:row>
    <x:row r="2389" ht="23" customHeight="1">
      <x:c r="A2389" s="3" t="str">
        <x:v>CT-2382</x:v>
      </x:c>
      <x:c r="B2389" s="3" t="str">
        <x:v>ST-160</x:v>
      </x:c>
      <x:c r="C2389" s="3" t="str">
        <x:v>R+AR同收同发</x:v>
      </x:c>
      <x:c r="D2389" s="25" t="n">
        <x:v>6</x:v>
      </x:c>
      <x:c r="E2389" s="25" t="n">
        <x:v>2</x:v>
      </x:c>
      <x:c r="F2389" s="25" t="n">
        <x:v>0</x:v>
      </x:c>
      <x:c r="G2389" s="19" t="n">
        <x:f>SUM(D2389:F2389)</x:f>
        <x:v>8</x:v>
      </x:c>
      <x:c r="H2389" s="25" t="n">
        <x:v>1</x:v>
      </x:c>
      <x:c r="I2389" s="25" t="n">
        <x:v>1</x:v>
      </x:c>
      <x:c r="J2389" s="25" t="n">
        <x:v>2</x:v>
      </x:c>
      <x:c r="K2389" s="19" t="n">
        <x:f>D2389-IF(H2389=0,1,0)</x:f>
        <x:v>6</x:v>
      </x:c>
      <x:c r="L2389" s="19" t="n">
        <x:f>E2389-IF(H2389=1,1,0)</x:f>
        <x:v>1</x:v>
      </x:c>
      <x:c r="M2389" s="19" t="n">
        <x:f>F2389-IF(H2389=2,1,0)</x:f>
        <x:v>0</x:v>
      </x:c>
      <x:c r="N2389" s="19" t="n">
        <x:f>MAX(K2389-1,0)+MAX(L2389-1,0)+MAX(M2389-1,0)</x:f>
        <x:v>5</x:v>
      </x:c>
      <x:c r="O2389" s="19" t="n">
        <x:f>IF(AND(SUM(K2389:M2389)&lt;9,OR(M2389=0,N2389&lt;6)),1,0)</x:f>
        <x:v>1</x:v>
      </x:c>
      <x:c r="P2389" s="19" t="n">
        <x:f>IF(AND(SUM(K2389:M2389)&lt;9,OR(L2389=0,N2389&lt;6)),1,0)</x:f>
        <x:v>1</x:v>
      </x:c>
      <x:c r="Q2389" s="19" t="n">
        <x:f>IF(AND(SUM(K2389:M2389)&lt;9,OR(K2389=0,N2389&lt;6)),1,0)</x:f>
        <x:v>1</x:v>
      </x:c>
      <x:c r="R2389" s="22" t="str">
        <x:f>O2389&amp;P2389&amp;Q2389</x:f>
        <x:v>111</x:v>
      </x:c>
      <x:c r="S2389" s="19" t="n">
        <x:f>IF(I2389=1,IF(J2389=0,Q2389,IF(J2389=1,P2389,IF(J2389=2,O2389,0))),0)</x:f>
        <x:v>1</x:v>
      </x:c>
      <x:c r="T2389" s="19" t="n">
        <x:f>K2389+IF(AND(S2389=1,J2389=0),1,0)</x:f>
        <x:v>6</x:v>
      </x:c>
      <x:c r="U2389" s="19" t="n">
        <x:f>L2389+IF(AND(S2389=1,J2389=1),1,0)</x:f>
        <x:v>1</x:v>
      </x:c>
      <x:c r="V2389" s="19" t="n">
        <x:f>M2389+IF(AND(S2389=1,J2389=2),1,0)</x:f>
        <x:v>1</x:v>
      </x:c>
      <x:c r="W2389" s="19" t="n">
        <x:f>SUM(T2389:V2389)</x:f>
        <x:v>8</x:v>
      </x:c>
      <x:c r="X2389" s="19" t="n">
        <x:f>W2389-G2389</x:f>
        <x:v>0</x:v>
      </x:c>
      <x:c r="Y2389" s="19" t="n">
        <x:f>MAX(T2389,1)+MAX(U2389,1)+MAX(V2389,1)</x:f>
        <x:v>8</x:v>
      </x:c>
      <x:c r="Z2389" s="21" t="str">
        <x:f>IF(AND(MIN(D2389:F2389)&gt;=0,MAX(D2389:F2389)&lt;=7,MAX(D2389,1)+MAX(E2389,1)+MAX(F2389,1)&lt;=9,OR(H2389="-",AND(H2389=0,D2389&gt;0),AND(H2389=1,E2389&gt;0),AND(H2389=2,F2389&gt;0)),OR(I2389=0,AND(I2389=1,OR(J2389=0,J2389=1,J2389=2),R2389&lt;&gt;"000")),Y2389&lt;=9,MIN(T2389:V2389)&gt;=0),"合法","输入违约")</x:f>
        <x:v>合法</x:v>
      </x:c>
    </x:row>
    <x:row r="2390" ht="23" customHeight="1">
      <x:c r="A2390" s="3" t="str">
        <x:v>CT-2383</x:v>
      </x:c>
      <x:c r="B2390" s="3" t="str">
        <x:v>ST-189</x:v>
      </x:c>
      <x:c r="C2390" s="3" t="str">
        <x:v>无AR/R</x:v>
      </x:c>
      <x:c r="D2390" s="25" t="n">
        <x:v>6</x:v>
      </x:c>
      <x:c r="E2390" s="25" t="n">
        <x:v>2</x:v>
      </x:c>
      <x:c r="F2390" s="25" t="n">
        <x:v>1</x:v>
      </x:c>
      <x:c r="G2390" s="19" t="n">
        <x:f>SUM(D2390:F2390)</x:f>
        <x:v>9</x:v>
      </x:c>
      <x:c r="H2390" s="25" t="str">
        <x:v>-</x:v>
      </x:c>
      <x:c r="I2390" s="25" t="n">
        <x:v>0</x:v>
      </x:c>
      <x:c r="J2390" s="25" t="str">
        <x:v>-</x:v>
      </x:c>
      <x:c r="K2390" s="19" t="n">
        <x:f>D2390-IF(H2390=0,1,0)</x:f>
        <x:v>6</x:v>
      </x:c>
      <x:c r="L2390" s="19" t="n">
        <x:f>E2390-IF(H2390=1,1,0)</x:f>
        <x:v>2</x:v>
      </x:c>
      <x:c r="M2390" s="19" t="n">
        <x:f>F2390-IF(H2390=2,1,0)</x:f>
        <x:v>1</x:v>
      </x:c>
      <x:c r="N2390" s="19" t="n">
        <x:f>MAX(K2390-1,0)+MAX(L2390-1,0)+MAX(M2390-1,0)</x:f>
        <x:v>6</x:v>
      </x:c>
      <x:c r="O2390" s="19" t="n">
        <x:f>IF(AND(SUM(K2390:M2390)&lt;9,OR(M2390=0,N2390&lt;6)),1,0)</x:f>
        <x:v>0</x:v>
      </x:c>
      <x:c r="P2390" s="19" t="n">
        <x:f>IF(AND(SUM(K2390:M2390)&lt;9,OR(L2390=0,N2390&lt;6)),1,0)</x:f>
        <x:v>0</x:v>
      </x:c>
      <x:c r="Q2390" s="19" t="n">
        <x:f>IF(AND(SUM(K2390:M2390)&lt;9,OR(K2390=0,N2390&lt;6)),1,0)</x:f>
        <x:v>0</x:v>
      </x:c>
      <x:c r="R2390" s="22" t="str">
        <x:f>O2390&amp;P2390&amp;Q2390</x:f>
        <x:v>000</x:v>
      </x:c>
      <x:c r="S2390" s="19" t="n">
        <x:f>IF(I2390=1,IF(J2390=0,Q2390,IF(J2390=1,P2390,IF(J2390=2,O2390,0))),0)</x:f>
        <x:v>0</x:v>
      </x:c>
      <x:c r="T2390" s="19" t="n">
        <x:f>K2390+IF(AND(S2390=1,J2390=0),1,0)</x:f>
        <x:v>6</x:v>
      </x:c>
      <x:c r="U2390" s="19" t="n">
        <x:f>L2390+IF(AND(S2390=1,J2390=1),1,0)</x:f>
        <x:v>2</x:v>
      </x:c>
      <x:c r="V2390" s="19" t="n">
        <x:f>M2390+IF(AND(S2390=1,J2390=2),1,0)</x:f>
        <x:v>1</x:v>
      </x:c>
      <x:c r="W2390" s="19" t="n">
        <x:f>SUM(T2390:V2390)</x:f>
        <x:v>9</x:v>
      </x:c>
      <x:c r="X2390" s="19" t="n">
        <x:f>W2390-G2390</x:f>
        <x:v>0</x:v>
      </x:c>
      <x:c r="Y2390" s="19" t="n">
        <x:f>MAX(T2390,1)+MAX(U2390,1)+MAX(V2390,1)</x:f>
        <x:v>9</x:v>
      </x:c>
      <x:c r="Z2390" s="21" t="str">
        <x:f>IF(AND(MIN(D2390:F2390)&gt;=0,MAX(D2390:F2390)&lt;=7,MAX(D2390,1)+MAX(E2390,1)+MAX(F2390,1)&lt;=9,OR(H2390="-",AND(H2390=0,D2390&gt;0),AND(H2390=1,E2390&gt;0),AND(H2390=2,F2390&gt;0)),OR(I2390=0,AND(I2390=1,OR(J2390=0,J2390=1,J2390=2),R2390&lt;&gt;"000")),Y2390&lt;=9,MIN(T2390:V2390)&gt;=0),"合法","输入违约")</x:f>
        <x:v>合法</x:v>
      </x:c>
    </x:row>
    <x:row r="2391" ht="23" customHeight="1">
      <x:c r="A2391" s="3" t="str">
        <x:v>CT-2384</x:v>
      </x:c>
      <x:c r="B2391" s="3" t="str">
        <x:v>ST-189</x:v>
      </x:c>
      <x:c r="C2391" s="3" t="str">
        <x:v>仅R回收</x:v>
      </x:c>
      <x:c r="D2391" s="25" t="n">
        <x:v>6</x:v>
      </x:c>
      <x:c r="E2391" s="25" t="n">
        <x:v>2</x:v>
      </x:c>
      <x:c r="F2391" s="25" t="n">
        <x:v>1</x:v>
      </x:c>
      <x:c r="G2391" s="19" t="n">
        <x:f>SUM(D2391:F2391)</x:f>
        <x:v>9</x:v>
      </x:c>
      <x:c r="H2391" s="25" t="n">
        <x:v>0</x:v>
      </x:c>
      <x:c r="I2391" s="25" t="n">
        <x:v>0</x:v>
      </x:c>
      <x:c r="J2391" s="25" t="str">
        <x:v>-</x:v>
      </x:c>
      <x:c r="K2391" s="19" t="n">
        <x:f>D2391-IF(H2391=0,1,0)</x:f>
        <x:v>5</x:v>
      </x:c>
      <x:c r="L2391" s="19" t="n">
        <x:f>E2391-IF(H2391=1,1,0)</x:f>
        <x:v>2</x:v>
      </x:c>
      <x:c r="M2391" s="19" t="n">
        <x:f>F2391-IF(H2391=2,1,0)</x:f>
        <x:v>1</x:v>
      </x:c>
      <x:c r="N2391" s="19" t="n">
        <x:f>MAX(K2391-1,0)+MAX(L2391-1,0)+MAX(M2391-1,0)</x:f>
        <x:v>5</x:v>
      </x:c>
      <x:c r="O2391" s="19" t="n">
        <x:f>IF(AND(SUM(K2391:M2391)&lt;9,OR(M2391=0,N2391&lt;6)),1,0)</x:f>
        <x:v>1</x:v>
      </x:c>
      <x:c r="P2391" s="19" t="n">
        <x:f>IF(AND(SUM(K2391:M2391)&lt;9,OR(L2391=0,N2391&lt;6)),1,0)</x:f>
        <x:v>1</x:v>
      </x:c>
      <x:c r="Q2391" s="19" t="n">
        <x:f>IF(AND(SUM(K2391:M2391)&lt;9,OR(K2391=0,N2391&lt;6)),1,0)</x:f>
        <x:v>1</x:v>
      </x:c>
      <x:c r="R2391" s="22" t="str">
        <x:f>O2391&amp;P2391&amp;Q2391</x:f>
        <x:v>111</x:v>
      </x:c>
      <x:c r="S2391" s="19" t="n">
        <x:f>IF(I2391=1,IF(J2391=0,Q2391,IF(J2391=1,P2391,IF(J2391=2,O2391,0))),0)</x:f>
        <x:v>0</x:v>
      </x:c>
      <x:c r="T2391" s="19" t="n">
        <x:f>K2391+IF(AND(S2391=1,J2391=0),1,0)</x:f>
        <x:v>5</x:v>
      </x:c>
      <x:c r="U2391" s="19" t="n">
        <x:f>L2391+IF(AND(S2391=1,J2391=1),1,0)</x:f>
        <x:v>2</x:v>
      </x:c>
      <x:c r="V2391" s="19" t="n">
        <x:f>M2391+IF(AND(S2391=1,J2391=2),1,0)</x:f>
        <x:v>1</x:v>
      </x:c>
      <x:c r="W2391" s="19" t="n">
        <x:f>SUM(T2391:V2391)</x:f>
        <x:v>8</x:v>
      </x:c>
      <x:c r="X2391" s="19" t="n">
        <x:f>W2391-G2391</x:f>
        <x:v>-1</x:v>
      </x:c>
      <x:c r="Y2391" s="19" t="n">
        <x:f>MAX(T2391,1)+MAX(U2391,1)+MAX(V2391,1)</x:f>
        <x:v>8</x:v>
      </x:c>
      <x:c r="Z2391" s="21" t="str">
        <x:f>IF(AND(MIN(D2391:F2391)&gt;=0,MAX(D2391:F2391)&lt;=7,MAX(D2391,1)+MAX(E2391,1)+MAX(F2391,1)&lt;=9,OR(H2391="-",AND(H2391=0,D2391&gt;0),AND(H2391=1,E2391&gt;0),AND(H2391=2,F2391&gt;0)),OR(I2391=0,AND(I2391=1,OR(J2391=0,J2391=1,J2391=2),R2391&lt;&gt;"000")),Y2391&lt;=9,MIN(T2391:V2391)&gt;=0),"合法","输入违约")</x:f>
        <x:v>合法</x:v>
      </x:c>
    </x:row>
    <x:row r="2392" ht="23" customHeight="1">
      <x:c r="A2392" s="3" t="str">
        <x:v>CT-2385</x:v>
      </x:c>
      <x:c r="B2392" s="3" t="str">
        <x:v>ST-189</x:v>
      </x:c>
      <x:c r="C2392" s="3" t="str">
        <x:v>R+AR同收同发</x:v>
      </x:c>
      <x:c r="D2392" s="25" t="n">
        <x:v>6</x:v>
      </x:c>
      <x:c r="E2392" s="25" t="n">
        <x:v>2</x:v>
      </x:c>
      <x:c r="F2392" s="25" t="n">
        <x:v>1</x:v>
      </x:c>
      <x:c r="G2392" s="19" t="n">
        <x:f>SUM(D2392:F2392)</x:f>
        <x:v>9</x:v>
      </x:c>
      <x:c r="H2392" s="25" t="n">
        <x:v>0</x:v>
      </x:c>
      <x:c r="I2392" s="25" t="n">
        <x:v>1</x:v>
      </x:c>
      <x:c r="J2392" s="25" t="n">
        <x:v>0</x:v>
      </x:c>
      <x:c r="K2392" s="19" t="n">
        <x:f>D2392-IF(H2392=0,1,0)</x:f>
        <x:v>5</x:v>
      </x:c>
      <x:c r="L2392" s="19" t="n">
        <x:f>E2392-IF(H2392=1,1,0)</x:f>
        <x:v>2</x:v>
      </x:c>
      <x:c r="M2392" s="19" t="n">
        <x:f>F2392-IF(H2392=2,1,0)</x:f>
        <x:v>1</x:v>
      </x:c>
      <x:c r="N2392" s="19" t="n">
        <x:f>MAX(K2392-1,0)+MAX(L2392-1,0)+MAX(M2392-1,0)</x:f>
        <x:v>5</x:v>
      </x:c>
      <x:c r="O2392" s="19" t="n">
        <x:f>IF(AND(SUM(K2392:M2392)&lt;9,OR(M2392=0,N2392&lt;6)),1,0)</x:f>
        <x:v>1</x:v>
      </x:c>
      <x:c r="P2392" s="19" t="n">
        <x:f>IF(AND(SUM(K2392:M2392)&lt;9,OR(L2392=0,N2392&lt;6)),1,0)</x:f>
        <x:v>1</x:v>
      </x:c>
      <x:c r="Q2392" s="19" t="n">
        <x:f>IF(AND(SUM(K2392:M2392)&lt;9,OR(K2392=0,N2392&lt;6)),1,0)</x:f>
        <x:v>1</x:v>
      </x:c>
      <x:c r="R2392" s="22" t="str">
        <x:f>O2392&amp;P2392&amp;Q2392</x:f>
        <x:v>111</x:v>
      </x:c>
      <x:c r="S2392" s="19" t="n">
        <x:f>IF(I2392=1,IF(J2392=0,Q2392,IF(J2392=1,P2392,IF(J2392=2,O2392,0))),0)</x:f>
        <x:v>1</x:v>
      </x:c>
      <x:c r="T2392" s="19" t="n">
        <x:f>K2392+IF(AND(S2392=1,J2392=0),1,0)</x:f>
        <x:v>6</x:v>
      </x:c>
      <x:c r="U2392" s="19" t="n">
        <x:f>L2392+IF(AND(S2392=1,J2392=1),1,0)</x:f>
        <x:v>2</x:v>
      </x:c>
      <x:c r="V2392" s="19" t="n">
        <x:f>M2392+IF(AND(S2392=1,J2392=2),1,0)</x:f>
        <x:v>1</x:v>
      </x:c>
      <x:c r="W2392" s="19" t="n">
        <x:f>SUM(T2392:V2392)</x:f>
        <x:v>9</x:v>
      </x:c>
      <x:c r="X2392" s="19" t="n">
        <x:f>W2392-G2392</x:f>
        <x:v>0</x:v>
      </x:c>
      <x:c r="Y2392" s="19" t="n">
        <x:f>MAX(T2392,1)+MAX(U2392,1)+MAX(V2392,1)</x:f>
        <x:v>9</x:v>
      </x:c>
      <x:c r="Z2392" s="21" t="str">
        <x:f>IF(AND(MIN(D2392:F2392)&gt;=0,MAX(D2392:F2392)&lt;=7,MAX(D2392,1)+MAX(E2392,1)+MAX(F2392,1)&lt;=9,OR(H2392="-",AND(H2392=0,D2392&gt;0),AND(H2392=1,E2392&gt;0),AND(H2392=2,F2392&gt;0)),OR(I2392=0,AND(I2392=1,OR(J2392=0,J2392=1,J2392=2),R2392&lt;&gt;"000")),Y2392&lt;=9,MIN(T2392:V2392)&gt;=0),"合法","输入违约")</x:f>
        <x:v>合法</x:v>
      </x:c>
    </x:row>
    <x:row r="2393" ht="23" customHeight="1">
      <x:c r="A2393" s="3" t="str">
        <x:v>CT-2386</x:v>
      </x:c>
      <x:c r="B2393" s="3" t="str">
        <x:v>ST-189</x:v>
      </x:c>
      <x:c r="C2393" s="3" t="str">
        <x:v>R+AR同收同发</x:v>
      </x:c>
      <x:c r="D2393" s="25" t="n">
        <x:v>6</x:v>
      </x:c>
      <x:c r="E2393" s="25" t="n">
        <x:v>2</x:v>
      </x:c>
      <x:c r="F2393" s="25" t="n">
        <x:v>1</x:v>
      </x:c>
      <x:c r="G2393" s="19" t="n">
        <x:f>SUM(D2393:F2393)</x:f>
        <x:v>9</x:v>
      </x:c>
      <x:c r="H2393" s="25" t="n">
        <x:v>0</x:v>
      </x:c>
      <x:c r="I2393" s="25" t="n">
        <x:v>1</x:v>
      </x:c>
      <x:c r="J2393" s="25" t="n">
        <x:v>1</x:v>
      </x:c>
      <x:c r="K2393" s="19" t="n">
        <x:f>D2393-IF(H2393=0,1,0)</x:f>
        <x:v>5</x:v>
      </x:c>
      <x:c r="L2393" s="19" t="n">
        <x:f>E2393-IF(H2393=1,1,0)</x:f>
        <x:v>2</x:v>
      </x:c>
      <x:c r="M2393" s="19" t="n">
        <x:f>F2393-IF(H2393=2,1,0)</x:f>
        <x:v>1</x:v>
      </x:c>
      <x:c r="N2393" s="19" t="n">
        <x:f>MAX(K2393-1,0)+MAX(L2393-1,0)+MAX(M2393-1,0)</x:f>
        <x:v>5</x:v>
      </x:c>
      <x:c r="O2393" s="19" t="n">
        <x:f>IF(AND(SUM(K2393:M2393)&lt;9,OR(M2393=0,N2393&lt;6)),1,0)</x:f>
        <x:v>1</x:v>
      </x:c>
      <x:c r="P2393" s="19" t="n">
        <x:f>IF(AND(SUM(K2393:M2393)&lt;9,OR(L2393=0,N2393&lt;6)),1,0)</x:f>
        <x:v>1</x:v>
      </x:c>
      <x:c r="Q2393" s="19" t="n">
        <x:f>IF(AND(SUM(K2393:M2393)&lt;9,OR(K2393=0,N2393&lt;6)),1,0)</x:f>
        <x:v>1</x:v>
      </x:c>
      <x:c r="R2393" s="22" t="str">
        <x:f>O2393&amp;P2393&amp;Q2393</x:f>
        <x:v>111</x:v>
      </x:c>
      <x:c r="S2393" s="19" t="n">
        <x:f>IF(I2393=1,IF(J2393=0,Q2393,IF(J2393=1,P2393,IF(J2393=2,O2393,0))),0)</x:f>
        <x:v>1</x:v>
      </x:c>
      <x:c r="T2393" s="19" t="n">
        <x:f>K2393+IF(AND(S2393=1,J2393=0),1,0)</x:f>
        <x:v>5</x:v>
      </x:c>
      <x:c r="U2393" s="19" t="n">
        <x:f>L2393+IF(AND(S2393=1,J2393=1),1,0)</x:f>
        <x:v>3</x:v>
      </x:c>
      <x:c r="V2393" s="19" t="n">
        <x:f>M2393+IF(AND(S2393=1,J2393=2),1,0)</x:f>
        <x:v>1</x:v>
      </x:c>
      <x:c r="W2393" s="19" t="n">
        <x:f>SUM(T2393:V2393)</x:f>
        <x:v>9</x:v>
      </x:c>
      <x:c r="X2393" s="19" t="n">
        <x:f>W2393-G2393</x:f>
        <x:v>0</x:v>
      </x:c>
      <x:c r="Y2393" s="19" t="n">
        <x:f>MAX(T2393,1)+MAX(U2393,1)+MAX(V2393,1)</x:f>
        <x:v>9</x:v>
      </x:c>
      <x:c r="Z2393" s="21" t="str">
        <x:f>IF(AND(MIN(D2393:F2393)&gt;=0,MAX(D2393:F2393)&lt;=7,MAX(D2393,1)+MAX(E2393,1)+MAX(F2393,1)&lt;=9,OR(H2393="-",AND(H2393=0,D2393&gt;0),AND(H2393=1,E2393&gt;0),AND(H2393=2,F2393&gt;0)),OR(I2393=0,AND(I2393=1,OR(J2393=0,J2393=1,J2393=2),R2393&lt;&gt;"000")),Y2393&lt;=9,MIN(T2393:V2393)&gt;=0),"合法","输入违约")</x:f>
        <x:v>合法</x:v>
      </x:c>
    </x:row>
    <x:row r="2394" ht="23" customHeight="1">
      <x:c r="A2394" s="3" t="str">
        <x:v>CT-2387</x:v>
      </x:c>
      <x:c r="B2394" s="3" t="str">
        <x:v>ST-189</x:v>
      </x:c>
      <x:c r="C2394" s="3" t="str">
        <x:v>R+AR同收同发</x:v>
      </x:c>
      <x:c r="D2394" s="25" t="n">
        <x:v>6</x:v>
      </x:c>
      <x:c r="E2394" s="25" t="n">
        <x:v>2</x:v>
      </x:c>
      <x:c r="F2394" s="25" t="n">
        <x:v>1</x:v>
      </x:c>
      <x:c r="G2394" s="19" t="n">
        <x:f>SUM(D2394:F2394)</x:f>
        <x:v>9</x:v>
      </x:c>
      <x:c r="H2394" s="25" t="n">
        <x:v>0</x:v>
      </x:c>
      <x:c r="I2394" s="25" t="n">
        <x:v>1</x:v>
      </x:c>
      <x:c r="J2394" s="25" t="n">
        <x:v>2</x:v>
      </x:c>
      <x:c r="K2394" s="19" t="n">
        <x:f>D2394-IF(H2394=0,1,0)</x:f>
        <x:v>5</x:v>
      </x:c>
      <x:c r="L2394" s="19" t="n">
        <x:f>E2394-IF(H2394=1,1,0)</x:f>
        <x:v>2</x:v>
      </x:c>
      <x:c r="M2394" s="19" t="n">
        <x:f>F2394-IF(H2394=2,1,0)</x:f>
        <x:v>1</x:v>
      </x:c>
      <x:c r="N2394" s="19" t="n">
        <x:f>MAX(K2394-1,0)+MAX(L2394-1,0)+MAX(M2394-1,0)</x:f>
        <x:v>5</x:v>
      </x:c>
      <x:c r="O2394" s="19" t="n">
        <x:f>IF(AND(SUM(K2394:M2394)&lt;9,OR(M2394=0,N2394&lt;6)),1,0)</x:f>
        <x:v>1</x:v>
      </x:c>
      <x:c r="P2394" s="19" t="n">
        <x:f>IF(AND(SUM(K2394:M2394)&lt;9,OR(L2394=0,N2394&lt;6)),1,0)</x:f>
        <x:v>1</x:v>
      </x:c>
      <x:c r="Q2394" s="19" t="n">
        <x:f>IF(AND(SUM(K2394:M2394)&lt;9,OR(K2394=0,N2394&lt;6)),1,0)</x:f>
        <x:v>1</x:v>
      </x:c>
      <x:c r="R2394" s="22" t="str">
        <x:f>O2394&amp;P2394&amp;Q2394</x:f>
        <x:v>111</x:v>
      </x:c>
      <x:c r="S2394" s="19" t="n">
        <x:f>IF(I2394=1,IF(J2394=0,Q2394,IF(J2394=1,P2394,IF(J2394=2,O2394,0))),0)</x:f>
        <x:v>1</x:v>
      </x:c>
      <x:c r="T2394" s="19" t="n">
        <x:f>K2394+IF(AND(S2394=1,J2394=0),1,0)</x:f>
        <x:v>5</x:v>
      </x:c>
      <x:c r="U2394" s="19" t="n">
        <x:f>L2394+IF(AND(S2394=1,J2394=1),1,0)</x:f>
        <x:v>2</x:v>
      </x:c>
      <x:c r="V2394" s="19" t="n">
        <x:f>M2394+IF(AND(S2394=1,J2394=2),1,0)</x:f>
        <x:v>2</x:v>
      </x:c>
      <x:c r="W2394" s="19" t="n">
        <x:f>SUM(T2394:V2394)</x:f>
        <x:v>9</x:v>
      </x:c>
      <x:c r="X2394" s="19" t="n">
        <x:f>W2394-G2394</x:f>
        <x:v>0</x:v>
      </x:c>
      <x:c r="Y2394" s="19" t="n">
        <x:f>MAX(T2394,1)+MAX(U2394,1)+MAX(V2394,1)</x:f>
        <x:v>9</x:v>
      </x:c>
      <x:c r="Z2394" s="21" t="str">
        <x:f>IF(AND(MIN(D2394:F2394)&gt;=0,MAX(D2394:F2394)&lt;=7,MAX(D2394,1)+MAX(E2394,1)+MAX(F2394,1)&lt;=9,OR(H2394="-",AND(H2394=0,D2394&gt;0),AND(H2394=1,E2394&gt;0),AND(H2394=2,F2394&gt;0)),OR(I2394=0,AND(I2394=1,OR(J2394=0,J2394=1,J2394=2),R2394&lt;&gt;"000")),Y2394&lt;=9,MIN(T2394:V2394)&gt;=0),"合法","输入违约")</x:f>
        <x:v>合法</x:v>
      </x:c>
    </x:row>
    <x:row r="2395" ht="23" customHeight="1">
      <x:c r="A2395" s="3" t="str">
        <x:v>CT-2388</x:v>
      </x:c>
      <x:c r="B2395" s="3" t="str">
        <x:v>ST-189</x:v>
      </x:c>
      <x:c r="C2395" s="3" t="str">
        <x:v>仅R回收</x:v>
      </x:c>
      <x:c r="D2395" s="25" t="n">
        <x:v>6</x:v>
      </x:c>
      <x:c r="E2395" s="25" t="n">
        <x:v>2</x:v>
      </x:c>
      <x:c r="F2395" s="25" t="n">
        <x:v>1</x:v>
      </x:c>
      <x:c r="G2395" s="19" t="n">
        <x:f>SUM(D2395:F2395)</x:f>
        <x:v>9</x:v>
      </x:c>
      <x:c r="H2395" s="25" t="n">
        <x:v>1</x:v>
      </x:c>
      <x:c r="I2395" s="25" t="n">
        <x:v>0</x:v>
      </x:c>
      <x:c r="J2395" s="25" t="str">
        <x:v>-</x:v>
      </x:c>
      <x:c r="K2395" s="19" t="n">
        <x:f>D2395-IF(H2395=0,1,0)</x:f>
        <x:v>6</x:v>
      </x:c>
      <x:c r="L2395" s="19" t="n">
        <x:f>E2395-IF(H2395=1,1,0)</x:f>
        <x:v>1</x:v>
      </x:c>
      <x:c r="M2395" s="19" t="n">
        <x:f>F2395-IF(H2395=2,1,0)</x:f>
        <x:v>1</x:v>
      </x:c>
      <x:c r="N2395" s="19" t="n">
        <x:f>MAX(K2395-1,0)+MAX(L2395-1,0)+MAX(M2395-1,0)</x:f>
        <x:v>5</x:v>
      </x:c>
      <x:c r="O2395" s="19" t="n">
        <x:f>IF(AND(SUM(K2395:M2395)&lt;9,OR(M2395=0,N2395&lt;6)),1,0)</x:f>
        <x:v>1</x:v>
      </x:c>
      <x:c r="P2395" s="19" t="n">
        <x:f>IF(AND(SUM(K2395:M2395)&lt;9,OR(L2395=0,N2395&lt;6)),1,0)</x:f>
        <x:v>1</x:v>
      </x:c>
      <x:c r="Q2395" s="19" t="n">
        <x:f>IF(AND(SUM(K2395:M2395)&lt;9,OR(K2395=0,N2395&lt;6)),1,0)</x:f>
        <x:v>1</x:v>
      </x:c>
      <x:c r="R2395" s="22" t="str">
        <x:f>O2395&amp;P2395&amp;Q2395</x:f>
        <x:v>111</x:v>
      </x:c>
      <x:c r="S2395" s="19" t="n">
        <x:f>IF(I2395=1,IF(J2395=0,Q2395,IF(J2395=1,P2395,IF(J2395=2,O2395,0))),0)</x:f>
        <x:v>0</x:v>
      </x:c>
      <x:c r="T2395" s="19" t="n">
        <x:f>K2395+IF(AND(S2395=1,J2395=0),1,0)</x:f>
        <x:v>6</x:v>
      </x:c>
      <x:c r="U2395" s="19" t="n">
        <x:f>L2395+IF(AND(S2395=1,J2395=1),1,0)</x:f>
        <x:v>1</x:v>
      </x:c>
      <x:c r="V2395" s="19" t="n">
        <x:f>M2395+IF(AND(S2395=1,J2395=2),1,0)</x:f>
        <x:v>1</x:v>
      </x:c>
      <x:c r="W2395" s="19" t="n">
        <x:f>SUM(T2395:V2395)</x:f>
        <x:v>8</x:v>
      </x:c>
      <x:c r="X2395" s="19" t="n">
        <x:f>W2395-G2395</x:f>
        <x:v>-1</x:v>
      </x:c>
      <x:c r="Y2395" s="19" t="n">
        <x:f>MAX(T2395,1)+MAX(U2395,1)+MAX(V2395,1)</x:f>
        <x:v>8</x:v>
      </x:c>
      <x:c r="Z2395" s="21" t="str">
        <x:f>IF(AND(MIN(D2395:F2395)&gt;=0,MAX(D2395:F2395)&lt;=7,MAX(D2395,1)+MAX(E2395,1)+MAX(F2395,1)&lt;=9,OR(H2395="-",AND(H2395=0,D2395&gt;0),AND(H2395=1,E2395&gt;0),AND(H2395=2,F2395&gt;0)),OR(I2395=0,AND(I2395=1,OR(J2395=0,J2395=1,J2395=2),R2395&lt;&gt;"000")),Y2395&lt;=9,MIN(T2395:V2395)&gt;=0),"合法","输入违约")</x:f>
        <x:v>合法</x:v>
      </x:c>
    </x:row>
    <x:row r="2396" ht="23" customHeight="1">
      <x:c r="A2396" s="3" t="str">
        <x:v>CT-2389</x:v>
      </x:c>
      <x:c r="B2396" s="3" t="str">
        <x:v>ST-189</x:v>
      </x:c>
      <x:c r="C2396" s="3" t="str">
        <x:v>R+AR同收同发</x:v>
      </x:c>
      <x:c r="D2396" s="25" t="n">
        <x:v>6</x:v>
      </x:c>
      <x:c r="E2396" s="25" t="n">
        <x:v>2</x:v>
      </x:c>
      <x:c r="F2396" s="25" t="n">
        <x:v>1</x:v>
      </x:c>
      <x:c r="G2396" s="19" t="n">
        <x:f>SUM(D2396:F2396)</x:f>
        <x:v>9</x:v>
      </x:c>
      <x:c r="H2396" s="25" t="n">
        <x:v>1</x:v>
      </x:c>
      <x:c r="I2396" s="25" t="n">
        <x:v>1</x:v>
      </x:c>
      <x:c r="J2396" s="25" t="n">
        <x:v>0</x:v>
      </x:c>
      <x:c r="K2396" s="19" t="n">
        <x:f>D2396-IF(H2396=0,1,0)</x:f>
        <x:v>6</x:v>
      </x:c>
      <x:c r="L2396" s="19" t="n">
        <x:f>E2396-IF(H2396=1,1,0)</x:f>
        <x:v>1</x:v>
      </x:c>
      <x:c r="M2396" s="19" t="n">
        <x:f>F2396-IF(H2396=2,1,0)</x:f>
        <x:v>1</x:v>
      </x:c>
      <x:c r="N2396" s="19" t="n">
        <x:f>MAX(K2396-1,0)+MAX(L2396-1,0)+MAX(M2396-1,0)</x:f>
        <x:v>5</x:v>
      </x:c>
      <x:c r="O2396" s="19" t="n">
        <x:f>IF(AND(SUM(K2396:M2396)&lt;9,OR(M2396=0,N2396&lt;6)),1,0)</x:f>
        <x:v>1</x:v>
      </x:c>
      <x:c r="P2396" s="19" t="n">
        <x:f>IF(AND(SUM(K2396:M2396)&lt;9,OR(L2396=0,N2396&lt;6)),1,0)</x:f>
        <x:v>1</x:v>
      </x:c>
      <x:c r="Q2396" s="19" t="n">
        <x:f>IF(AND(SUM(K2396:M2396)&lt;9,OR(K2396=0,N2396&lt;6)),1,0)</x:f>
        <x:v>1</x:v>
      </x:c>
      <x:c r="R2396" s="22" t="str">
        <x:f>O2396&amp;P2396&amp;Q2396</x:f>
        <x:v>111</x:v>
      </x:c>
      <x:c r="S2396" s="19" t="n">
        <x:f>IF(I2396=1,IF(J2396=0,Q2396,IF(J2396=1,P2396,IF(J2396=2,O2396,0))),0)</x:f>
        <x:v>1</x:v>
      </x:c>
      <x:c r="T2396" s="19" t="n">
        <x:f>K2396+IF(AND(S2396=1,J2396=0),1,0)</x:f>
        <x:v>7</x:v>
      </x:c>
      <x:c r="U2396" s="19" t="n">
        <x:f>L2396+IF(AND(S2396=1,J2396=1),1,0)</x:f>
        <x:v>1</x:v>
      </x:c>
      <x:c r="V2396" s="19" t="n">
        <x:f>M2396+IF(AND(S2396=1,J2396=2),1,0)</x:f>
        <x:v>1</x:v>
      </x:c>
      <x:c r="W2396" s="19" t="n">
        <x:f>SUM(T2396:V2396)</x:f>
        <x:v>9</x:v>
      </x:c>
      <x:c r="X2396" s="19" t="n">
        <x:f>W2396-G2396</x:f>
        <x:v>0</x:v>
      </x:c>
      <x:c r="Y2396" s="19" t="n">
        <x:f>MAX(T2396,1)+MAX(U2396,1)+MAX(V2396,1)</x:f>
        <x:v>9</x:v>
      </x:c>
      <x:c r="Z2396" s="21" t="str">
        <x:f>IF(AND(MIN(D2396:F2396)&gt;=0,MAX(D2396:F2396)&lt;=7,MAX(D2396,1)+MAX(E2396,1)+MAX(F2396,1)&lt;=9,OR(H2396="-",AND(H2396=0,D2396&gt;0),AND(H2396=1,E2396&gt;0),AND(H2396=2,F2396&gt;0)),OR(I2396=0,AND(I2396=1,OR(J2396=0,J2396=1,J2396=2),R2396&lt;&gt;"000")),Y2396&lt;=9,MIN(T2396:V2396)&gt;=0),"合法","输入违约")</x:f>
        <x:v>合法</x:v>
      </x:c>
    </x:row>
    <x:row r="2397" ht="23" customHeight="1">
      <x:c r="A2397" s="3" t="str">
        <x:v>CT-2390</x:v>
      </x:c>
      <x:c r="B2397" s="3" t="str">
        <x:v>ST-189</x:v>
      </x:c>
      <x:c r="C2397" s="3" t="str">
        <x:v>R+AR同收同发</x:v>
      </x:c>
      <x:c r="D2397" s="25" t="n">
        <x:v>6</x:v>
      </x:c>
      <x:c r="E2397" s="25" t="n">
        <x:v>2</x:v>
      </x:c>
      <x:c r="F2397" s="25" t="n">
        <x:v>1</x:v>
      </x:c>
      <x:c r="G2397" s="19" t="n">
        <x:f>SUM(D2397:F2397)</x:f>
        <x:v>9</x:v>
      </x:c>
      <x:c r="H2397" s="25" t="n">
        <x:v>1</x:v>
      </x:c>
      <x:c r="I2397" s="25" t="n">
        <x:v>1</x:v>
      </x:c>
      <x:c r="J2397" s="25" t="n">
        <x:v>1</x:v>
      </x:c>
      <x:c r="K2397" s="19" t="n">
        <x:f>D2397-IF(H2397=0,1,0)</x:f>
        <x:v>6</x:v>
      </x:c>
      <x:c r="L2397" s="19" t="n">
        <x:f>E2397-IF(H2397=1,1,0)</x:f>
        <x:v>1</x:v>
      </x:c>
      <x:c r="M2397" s="19" t="n">
        <x:f>F2397-IF(H2397=2,1,0)</x:f>
        <x:v>1</x:v>
      </x:c>
      <x:c r="N2397" s="19" t="n">
        <x:f>MAX(K2397-1,0)+MAX(L2397-1,0)+MAX(M2397-1,0)</x:f>
        <x:v>5</x:v>
      </x:c>
      <x:c r="O2397" s="19" t="n">
        <x:f>IF(AND(SUM(K2397:M2397)&lt;9,OR(M2397=0,N2397&lt;6)),1,0)</x:f>
        <x:v>1</x:v>
      </x:c>
      <x:c r="P2397" s="19" t="n">
        <x:f>IF(AND(SUM(K2397:M2397)&lt;9,OR(L2397=0,N2397&lt;6)),1,0)</x:f>
        <x:v>1</x:v>
      </x:c>
      <x:c r="Q2397" s="19" t="n">
        <x:f>IF(AND(SUM(K2397:M2397)&lt;9,OR(K2397=0,N2397&lt;6)),1,0)</x:f>
        <x:v>1</x:v>
      </x:c>
      <x:c r="R2397" s="22" t="str">
        <x:f>O2397&amp;P2397&amp;Q2397</x:f>
        <x:v>111</x:v>
      </x:c>
      <x:c r="S2397" s="19" t="n">
        <x:f>IF(I2397=1,IF(J2397=0,Q2397,IF(J2397=1,P2397,IF(J2397=2,O2397,0))),0)</x:f>
        <x:v>1</x:v>
      </x:c>
      <x:c r="T2397" s="19" t="n">
        <x:f>K2397+IF(AND(S2397=1,J2397=0),1,0)</x:f>
        <x:v>6</x:v>
      </x:c>
      <x:c r="U2397" s="19" t="n">
        <x:f>L2397+IF(AND(S2397=1,J2397=1),1,0)</x:f>
        <x:v>2</x:v>
      </x:c>
      <x:c r="V2397" s="19" t="n">
        <x:f>M2397+IF(AND(S2397=1,J2397=2),1,0)</x:f>
        <x:v>1</x:v>
      </x:c>
      <x:c r="W2397" s="19" t="n">
        <x:f>SUM(T2397:V2397)</x:f>
        <x:v>9</x:v>
      </x:c>
      <x:c r="X2397" s="19" t="n">
        <x:f>W2397-G2397</x:f>
        <x:v>0</x:v>
      </x:c>
      <x:c r="Y2397" s="19" t="n">
        <x:f>MAX(T2397,1)+MAX(U2397,1)+MAX(V2397,1)</x:f>
        <x:v>9</x:v>
      </x:c>
      <x:c r="Z2397" s="21" t="str">
        <x:f>IF(AND(MIN(D2397:F2397)&gt;=0,MAX(D2397:F2397)&lt;=7,MAX(D2397,1)+MAX(E2397,1)+MAX(F2397,1)&lt;=9,OR(H2397="-",AND(H2397=0,D2397&gt;0),AND(H2397=1,E2397&gt;0),AND(H2397=2,F2397&gt;0)),OR(I2397=0,AND(I2397=1,OR(J2397=0,J2397=1,J2397=2),R2397&lt;&gt;"000")),Y2397&lt;=9,MIN(T2397:V2397)&gt;=0),"合法","输入违约")</x:f>
        <x:v>合法</x:v>
      </x:c>
    </x:row>
    <x:row r="2398" ht="23" customHeight="1">
      <x:c r="A2398" s="3" t="str">
        <x:v>CT-2391</x:v>
      </x:c>
      <x:c r="B2398" s="3" t="str">
        <x:v>ST-189</x:v>
      </x:c>
      <x:c r="C2398" s="3" t="str">
        <x:v>R+AR同收同发</x:v>
      </x:c>
      <x:c r="D2398" s="25" t="n">
        <x:v>6</x:v>
      </x:c>
      <x:c r="E2398" s="25" t="n">
        <x:v>2</x:v>
      </x:c>
      <x:c r="F2398" s="25" t="n">
        <x:v>1</x:v>
      </x:c>
      <x:c r="G2398" s="19" t="n">
        <x:f>SUM(D2398:F2398)</x:f>
        <x:v>9</x:v>
      </x:c>
      <x:c r="H2398" s="25" t="n">
        <x:v>1</x:v>
      </x:c>
      <x:c r="I2398" s="25" t="n">
        <x:v>1</x:v>
      </x:c>
      <x:c r="J2398" s="25" t="n">
        <x:v>2</x:v>
      </x:c>
      <x:c r="K2398" s="19" t="n">
        <x:f>D2398-IF(H2398=0,1,0)</x:f>
        <x:v>6</x:v>
      </x:c>
      <x:c r="L2398" s="19" t="n">
        <x:f>E2398-IF(H2398=1,1,0)</x:f>
        <x:v>1</x:v>
      </x:c>
      <x:c r="M2398" s="19" t="n">
        <x:f>F2398-IF(H2398=2,1,0)</x:f>
        <x:v>1</x:v>
      </x:c>
      <x:c r="N2398" s="19" t="n">
        <x:f>MAX(K2398-1,0)+MAX(L2398-1,0)+MAX(M2398-1,0)</x:f>
        <x:v>5</x:v>
      </x:c>
      <x:c r="O2398" s="19" t="n">
        <x:f>IF(AND(SUM(K2398:M2398)&lt;9,OR(M2398=0,N2398&lt;6)),1,0)</x:f>
        <x:v>1</x:v>
      </x:c>
      <x:c r="P2398" s="19" t="n">
        <x:f>IF(AND(SUM(K2398:M2398)&lt;9,OR(L2398=0,N2398&lt;6)),1,0)</x:f>
        <x:v>1</x:v>
      </x:c>
      <x:c r="Q2398" s="19" t="n">
        <x:f>IF(AND(SUM(K2398:M2398)&lt;9,OR(K2398=0,N2398&lt;6)),1,0)</x:f>
        <x:v>1</x:v>
      </x:c>
      <x:c r="R2398" s="22" t="str">
        <x:f>O2398&amp;P2398&amp;Q2398</x:f>
        <x:v>111</x:v>
      </x:c>
      <x:c r="S2398" s="19" t="n">
        <x:f>IF(I2398=1,IF(J2398=0,Q2398,IF(J2398=1,P2398,IF(J2398=2,O2398,0))),0)</x:f>
        <x:v>1</x:v>
      </x:c>
      <x:c r="T2398" s="19" t="n">
        <x:f>K2398+IF(AND(S2398=1,J2398=0),1,0)</x:f>
        <x:v>6</x:v>
      </x:c>
      <x:c r="U2398" s="19" t="n">
        <x:f>L2398+IF(AND(S2398=1,J2398=1),1,0)</x:f>
        <x:v>1</x:v>
      </x:c>
      <x:c r="V2398" s="19" t="n">
        <x:f>M2398+IF(AND(S2398=1,J2398=2),1,0)</x:f>
        <x:v>2</x:v>
      </x:c>
      <x:c r="W2398" s="19" t="n">
        <x:f>SUM(T2398:V2398)</x:f>
        <x:v>9</x:v>
      </x:c>
      <x:c r="X2398" s="19" t="n">
        <x:f>W2398-G2398</x:f>
        <x:v>0</x:v>
      </x:c>
      <x:c r="Y2398" s="19" t="n">
        <x:f>MAX(T2398,1)+MAX(U2398,1)+MAX(V2398,1)</x:f>
        <x:v>9</x:v>
      </x:c>
      <x:c r="Z2398" s="21" t="str">
        <x:f>IF(AND(MIN(D2398:F2398)&gt;=0,MAX(D2398:F2398)&lt;=7,MAX(D2398,1)+MAX(E2398,1)+MAX(F2398,1)&lt;=9,OR(H2398="-",AND(H2398=0,D2398&gt;0),AND(H2398=1,E2398&gt;0),AND(H2398=2,F2398&gt;0)),OR(I2398=0,AND(I2398=1,OR(J2398=0,J2398=1,J2398=2),R2398&lt;&gt;"000")),Y2398&lt;=9,MIN(T2398:V2398)&gt;=0),"合法","输入违约")</x:f>
        <x:v>合法</x:v>
      </x:c>
    </x:row>
    <x:row r="2399" ht="23" customHeight="1">
      <x:c r="A2399" s="3" t="str">
        <x:v>CT-2392</x:v>
      </x:c>
      <x:c r="B2399" s="3" t="str">
        <x:v>ST-189</x:v>
      </x:c>
      <x:c r="C2399" s="3" t="str">
        <x:v>仅R回收</x:v>
      </x:c>
      <x:c r="D2399" s="25" t="n">
        <x:v>6</x:v>
      </x:c>
      <x:c r="E2399" s="25" t="n">
        <x:v>2</x:v>
      </x:c>
      <x:c r="F2399" s="25" t="n">
        <x:v>1</x:v>
      </x:c>
      <x:c r="G2399" s="19" t="n">
        <x:f>SUM(D2399:F2399)</x:f>
        <x:v>9</x:v>
      </x:c>
      <x:c r="H2399" s="25" t="n">
        <x:v>2</x:v>
      </x:c>
      <x:c r="I2399" s="25" t="n">
        <x:v>0</x:v>
      </x:c>
      <x:c r="J2399" s="25" t="str">
        <x:v>-</x:v>
      </x:c>
      <x:c r="K2399" s="19" t="n">
        <x:f>D2399-IF(H2399=0,1,0)</x:f>
        <x:v>6</x:v>
      </x:c>
      <x:c r="L2399" s="19" t="n">
        <x:f>E2399-IF(H2399=1,1,0)</x:f>
        <x:v>2</x:v>
      </x:c>
      <x:c r="M2399" s="19" t="n">
        <x:f>F2399-IF(H2399=2,1,0)</x:f>
        <x:v>0</x:v>
      </x:c>
      <x:c r="N2399" s="19" t="n">
        <x:f>MAX(K2399-1,0)+MAX(L2399-1,0)+MAX(M2399-1,0)</x:f>
        <x:v>6</x:v>
      </x:c>
      <x:c r="O2399" s="19" t="n">
        <x:f>IF(AND(SUM(K2399:M2399)&lt;9,OR(M2399=0,N2399&lt;6)),1,0)</x:f>
        <x:v>1</x:v>
      </x:c>
      <x:c r="P2399" s="19" t="n">
        <x:f>IF(AND(SUM(K2399:M2399)&lt;9,OR(L2399=0,N2399&lt;6)),1,0)</x:f>
        <x:v>0</x:v>
      </x:c>
      <x:c r="Q2399" s="19" t="n">
        <x:f>IF(AND(SUM(K2399:M2399)&lt;9,OR(K2399=0,N2399&lt;6)),1,0)</x:f>
        <x:v>0</x:v>
      </x:c>
      <x:c r="R2399" s="22" t="str">
        <x:f>O2399&amp;P2399&amp;Q2399</x:f>
        <x:v>100</x:v>
      </x:c>
      <x:c r="S2399" s="19" t="n">
        <x:f>IF(I2399=1,IF(J2399=0,Q2399,IF(J2399=1,P2399,IF(J2399=2,O2399,0))),0)</x:f>
        <x:v>0</x:v>
      </x:c>
      <x:c r="T2399" s="19" t="n">
        <x:f>K2399+IF(AND(S2399=1,J2399=0),1,0)</x:f>
        <x:v>6</x:v>
      </x:c>
      <x:c r="U2399" s="19" t="n">
        <x:f>L2399+IF(AND(S2399=1,J2399=1),1,0)</x:f>
        <x:v>2</x:v>
      </x:c>
      <x:c r="V2399" s="19" t="n">
        <x:f>M2399+IF(AND(S2399=1,J2399=2),1,0)</x:f>
        <x:v>0</x:v>
      </x:c>
      <x:c r="W2399" s="19" t="n">
        <x:f>SUM(T2399:V2399)</x:f>
        <x:v>8</x:v>
      </x:c>
      <x:c r="X2399" s="19" t="n">
        <x:f>W2399-G2399</x:f>
        <x:v>-1</x:v>
      </x:c>
      <x:c r="Y2399" s="19" t="n">
        <x:f>MAX(T2399,1)+MAX(U2399,1)+MAX(V2399,1)</x:f>
        <x:v>9</x:v>
      </x:c>
      <x:c r="Z2399" s="21" t="str">
        <x:f>IF(AND(MIN(D2399:F2399)&gt;=0,MAX(D2399:F2399)&lt;=7,MAX(D2399,1)+MAX(E2399,1)+MAX(F2399,1)&lt;=9,OR(H2399="-",AND(H2399=0,D2399&gt;0),AND(H2399=1,E2399&gt;0),AND(H2399=2,F2399&gt;0)),OR(I2399=0,AND(I2399=1,OR(J2399=0,J2399=1,J2399=2),R2399&lt;&gt;"000")),Y2399&lt;=9,MIN(T2399:V2399)&gt;=0),"合法","输入违约")</x:f>
        <x:v>合法</x:v>
      </x:c>
    </x:row>
    <x:row r="2400" ht="23" customHeight="1">
      <x:c r="A2400" s="3" t="str">
        <x:v>CT-2393</x:v>
      </x:c>
      <x:c r="B2400" s="3" t="str">
        <x:v>ST-189</x:v>
      </x:c>
      <x:c r="C2400" s="3" t="str">
        <x:v>仅R回收</x:v>
      </x:c>
      <x:c r="D2400" s="25" t="n">
        <x:v>6</x:v>
      </x:c>
      <x:c r="E2400" s="25" t="n">
        <x:v>2</x:v>
      </x:c>
      <x:c r="F2400" s="25" t="n">
        <x:v>1</x:v>
      </x:c>
      <x:c r="G2400" s="19" t="n">
        <x:f>SUM(D2400:F2400)</x:f>
        <x:v>9</x:v>
      </x:c>
      <x:c r="H2400" s="25" t="n">
        <x:v>2</x:v>
      </x:c>
      <x:c r="I2400" s="25" t="n">
        <x:v>1</x:v>
      </x:c>
      <x:c r="J2400" s="25" t="n">
        <x:v>0</x:v>
      </x:c>
      <x:c r="K2400" s="19" t="n">
        <x:f>D2400-IF(H2400=0,1,0)</x:f>
        <x:v>6</x:v>
      </x:c>
      <x:c r="L2400" s="19" t="n">
        <x:f>E2400-IF(H2400=1,1,0)</x:f>
        <x:v>2</x:v>
      </x:c>
      <x:c r="M2400" s="19" t="n">
        <x:f>F2400-IF(H2400=2,1,0)</x:f>
        <x:v>0</x:v>
      </x:c>
      <x:c r="N2400" s="19" t="n">
        <x:f>MAX(K2400-1,0)+MAX(L2400-1,0)+MAX(M2400-1,0)</x:f>
        <x:v>6</x:v>
      </x:c>
      <x:c r="O2400" s="19" t="n">
        <x:f>IF(AND(SUM(K2400:M2400)&lt;9,OR(M2400=0,N2400&lt;6)),1,0)</x:f>
        <x:v>1</x:v>
      </x:c>
      <x:c r="P2400" s="19" t="n">
        <x:f>IF(AND(SUM(K2400:M2400)&lt;9,OR(L2400=0,N2400&lt;6)),1,0)</x:f>
        <x:v>0</x:v>
      </x:c>
      <x:c r="Q2400" s="19" t="n">
        <x:f>IF(AND(SUM(K2400:M2400)&lt;9,OR(K2400=0,N2400&lt;6)),1,0)</x:f>
        <x:v>0</x:v>
      </x:c>
      <x:c r="R2400" s="22" t="str">
        <x:f>O2400&amp;P2400&amp;Q2400</x:f>
        <x:v>100</x:v>
      </x:c>
      <x:c r="S2400" s="19" t="n">
        <x:f>IF(I2400=1,IF(J2400=0,Q2400,IF(J2400=1,P2400,IF(J2400=2,O2400,0))),0)</x:f>
        <x:v>0</x:v>
      </x:c>
      <x:c r="T2400" s="19" t="n">
        <x:f>K2400+IF(AND(S2400=1,J2400=0),1,0)</x:f>
        <x:v>6</x:v>
      </x:c>
      <x:c r="U2400" s="19" t="n">
        <x:f>L2400+IF(AND(S2400=1,J2400=1),1,0)</x:f>
        <x:v>2</x:v>
      </x:c>
      <x:c r="V2400" s="19" t="n">
        <x:f>M2400+IF(AND(S2400=1,J2400=2),1,0)</x:f>
        <x:v>0</x:v>
      </x:c>
      <x:c r="W2400" s="19" t="n">
        <x:f>SUM(T2400:V2400)</x:f>
        <x:v>8</x:v>
      </x:c>
      <x:c r="X2400" s="19" t="n">
        <x:f>W2400-G2400</x:f>
        <x:v>-1</x:v>
      </x:c>
      <x:c r="Y2400" s="19" t="n">
        <x:f>MAX(T2400,1)+MAX(U2400,1)+MAX(V2400,1)</x:f>
        <x:v>9</x:v>
      </x:c>
      <x:c r="Z2400" s="21" t="str">
        <x:f>IF(AND(MIN(D2400:F2400)&gt;=0,MAX(D2400:F2400)&lt;=7,MAX(D2400,1)+MAX(E2400,1)+MAX(F2400,1)&lt;=9,OR(H2400="-",AND(H2400=0,D2400&gt;0),AND(H2400=1,E2400&gt;0),AND(H2400=2,F2400&gt;0)),OR(I2400=0,AND(I2400=1,OR(J2400=0,J2400=1,J2400=2),R2400&lt;&gt;"000")),Y2400&lt;=9,MIN(T2400:V2400)&gt;=0),"合法","输入违约")</x:f>
        <x:v>合法</x:v>
      </x:c>
    </x:row>
    <x:row r="2401" ht="23" customHeight="1">
      <x:c r="A2401" s="3" t="str">
        <x:v>CT-2394</x:v>
      </x:c>
      <x:c r="B2401" s="3" t="str">
        <x:v>ST-189</x:v>
      </x:c>
      <x:c r="C2401" s="3" t="str">
        <x:v>仅R回收</x:v>
      </x:c>
      <x:c r="D2401" s="25" t="n">
        <x:v>6</x:v>
      </x:c>
      <x:c r="E2401" s="25" t="n">
        <x:v>2</x:v>
      </x:c>
      <x:c r="F2401" s="25" t="n">
        <x:v>1</x:v>
      </x:c>
      <x:c r="G2401" s="19" t="n">
        <x:f>SUM(D2401:F2401)</x:f>
        <x:v>9</x:v>
      </x:c>
      <x:c r="H2401" s="25" t="n">
        <x:v>2</x:v>
      </x:c>
      <x:c r="I2401" s="25" t="n">
        <x:v>1</x:v>
      </x:c>
      <x:c r="J2401" s="25" t="n">
        <x:v>1</x:v>
      </x:c>
      <x:c r="K2401" s="19" t="n">
        <x:f>D2401-IF(H2401=0,1,0)</x:f>
        <x:v>6</x:v>
      </x:c>
      <x:c r="L2401" s="19" t="n">
        <x:f>E2401-IF(H2401=1,1,0)</x:f>
        <x:v>2</x:v>
      </x:c>
      <x:c r="M2401" s="19" t="n">
        <x:f>F2401-IF(H2401=2,1,0)</x:f>
        <x:v>0</x:v>
      </x:c>
      <x:c r="N2401" s="19" t="n">
        <x:f>MAX(K2401-1,0)+MAX(L2401-1,0)+MAX(M2401-1,0)</x:f>
        <x:v>6</x:v>
      </x:c>
      <x:c r="O2401" s="19" t="n">
        <x:f>IF(AND(SUM(K2401:M2401)&lt;9,OR(M2401=0,N2401&lt;6)),1,0)</x:f>
        <x:v>1</x:v>
      </x:c>
      <x:c r="P2401" s="19" t="n">
        <x:f>IF(AND(SUM(K2401:M2401)&lt;9,OR(L2401=0,N2401&lt;6)),1,0)</x:f>
        <x:v>0</x:v>
      </x:c>
      <x:c r="Q2401" s="19" t="n">
        <x:f>IF(AND(SUM(K2401:M2401)&lt;9,OR(K2401=0,N2401&lt;6)),1,0)</x:f>
        <x:v>0</x:v>
      </x:c>
      <x:c r="R2401" s="22" t="str">
        <x:f>O2401&amp;P2401&amp;Q2401</x:f>
        <x:v>100</x:v>
      </x:c>
      <x:c r="S2401" s="19" t="n">
        <x:f>IF(I2401=1,IF(J2401=0,Q2401,IF(J2401=1,P2401,IF(J2401=2,O2401,0))),0)</x:f>
        <x:v>0</x:v>
      </x:c>
      <x:c r="T2401" s="19" t="n">
        <x:f>K2401+IF(AND(S2401=1,J2401=0),1,0)</x:f>
        <x:v>6</x:v>
      </x:c>
      <x:c r="U2401" s="19" t="n">
        <x:f>L2401+IF(AND(S2401=1,J2401=1),1,0)</x:f>
        <x:v>2</x:v>
      </x:c>
      <x:c r="V2401" s="19" t="n">
        <x:f>M2401+IF(AND(S2401=1,J2401=2),1,0)</x:f>
        <x:v>0</x:v>
      </x:c>
      <x:c r="W2401" s="19" t="n">
        <x:f>SUM(T2401:V2401)</x:f>
        <x:v>8</x:v>
      </x:c>
      <x:c r="X2401" s="19" t="n">
        <x:f>W2401-G2401</x:f>
        <x:v>-1</x:v>
      </x:c>
      <x:c r="Y2401" s="19" t="n">
        <x:f>MAX(T2401,1)+MAX(U2401,1)+MAX(V2401,1)</x:f>
        <x:v>9</x:v>
      </x:c>
      <x:c r="Z2401" s="21" t="str">
        <x:f>IF(AND(MIN(D2401:F2401)&gt;=0,MAX(D2401:F2401)&lt;=7,MAX(D2401,1)+MAX(E2401,1)+MAX(F2401,1)&lt;=9,OR(H2401="-",AND(H2401=0,D2401&gt;0),AND(H2401=1,E2401&gt;0),AND(H2401=2,F2401&gt;0)),OR(I2401=0,AND(I2401=1,OR(J2401=0,J2401=1,J2401=2),R2401&lt;&gt;"000")),Y2401&lt;=9,MIN(T2401:V2401)&gt;=0),"合法","输入违约")</x:f>
        <x:v>合法</x:v>
      </x:c>
    </x:row>
    <x:row r="2402" ht="23" customHeight="1">
      <x:c r="A2402" s="3" t="str">
        <x:v>CT-2395</x:v>
      </x:c>
      <x:c r="B2402" s="3" t="str">
        <x:v>ST-189</x:v>
      </x:c>
      <x:c r="C2402" s="3" t="str">
        <x:v>R+AR同收同发</x:v>
      </x:c>
      <x:c r="D2402" s="25" t="n">
        <x:v>6</x:v>
      </x:c>
      <x:c r="E2402" s="25" t="n">
        <x:v>2</x:v>
      </x:c>
      <x:c r="F2402" s="25" t="n">
        <x:v>1</x:v>
      </x:c>
      <x:c r="G2402" s="19" t="n">
        <x:f>SUM(D2402:F2402)</x:f>
        <x:v>9</x:v>
      </x:c>
      <x:c r="H2402" s="25" t="n">
        <x:v>2</x:v>
      </x:c>
      <x:c r="I2402" s="25" t="n">
        <x:v>1</x:v>
      </x:c>
      <x:c r="J2402" s="25" t="n">
        <x:v>2</x:v>
      </x:c>
      <x:c r="K2402" s="19" t="n">
        <x:f>D2402-IF(H2402=0,1,0)</x:f>
        <x:v>6</x:v>
      </x:c>
      <x:c r="L2402" s="19" t="n">
        <x:f>E2402-IF(H2402=1,1,0)</x:f>
        <x:v>2</x:v>
      </x:c>
      <x:c r="M2402" s="19" t="n">
        <x:f>F2402-IF(H2402=2,1,0)</x:f>
        <x:v>0</x:v>
      </x:c>
      <x:c r="N2402" s="19" t="n">
        <x:f>MAX(K2402-1,0)+MAX(L2402-1,0)+MAX(M2402-1,0)</x:f>
        <x:v>6</x:v>
      </x:c>
      <x:c r="O2402" s="19" t="n">
        <x:f>IF(AND(SUM(K2402:M2402)&lt;9,OR(M2402=0,N2402&lt;6)),1,0)</x:f>
        <x:v>1</x:v>
      </x:c>
      <x:c r="P2402" s="19" t="n">
        <x:f>IF(AND(SUM(K2402:M2402)&lt;9,OR(L2402=0,N2402&lt;6)),1,0)</x:f>
        <x:v>0</x:v>
      </x:c>
      <x:c r="Q2402" s="19" t="n">
        <x:f>IF(AND(SUM(K2402:M2402)&lt;9,OR(K2402=0,N2402&lt;6)),1,0)</x:f>
        <x:v>0</x:v>
      </x:c>
      <x:c r="R2402" s="22" t="str">
        <x:f>O2402&amp;P2402&amp;Q2402</x:f>
        <x:v>100</x:v>
      </x:c>
      <x:c r="S2402" s="19" t="n">
        <x:f>IF(I2402=1,IF(J2402=0,Q2402,IF(J2402=1,P2402,IF(J2402=2,O2402,0))),0)</x:f>
        <x:v>1</x:v>
      </x:c>
      <x:c r="T2402" s="19" t="n">
        <x:f>K2402+IF(AND(S2402=1,J2402=0),1,0)</x:f>
        <x:v>6</x:v>
      </x:c>
      <x:c r="U2402" s="19" t="n">
        <x:f>L2402+IF(AND(S2402=1,J2402=1),1,0)</x:f>
        <x:v>2</x:v>
      </x:c>
      <x:c r="V2402" s="19" t="n">
        <x:f>M2402+IF(AND(S2402=1,J2402=2),1,0)</x:f>
        <x:v>1</x:v>
      </x:c>
      <x:c r="W2402" s="19" t="n">
        <x:f>SUM(T2402:V2402)</x:f>
        <x:v>9</x:v>
      </x:c>
      <x:c r="X2402" s="19" t="n">
        <x:f>W2402-G2402</x:f>
        <x:v>0</x:v>
      </x:c>
      <x:c r="Y2402" s="19" t="n">
        <x:f>MAX(T2402,1)+MAX(U2402,1)+MAX(V2402,1)</x:f>
        <x:v>9</x:v>
      </x:c>
      <x:c r="Z2402" s="21" t="str">
        <x:f>IF(AND(MIN(D2402:F2402)&gt;=0,MAX(D2402:F2402)&lt;=7,MAX(D2402,1)+MAX(E2402,1)+MAX(F2402,1)&lt;=9,OR(H2402="-",AND(H2402=0,D2402&gt;0),AND(H2402=1,E2402&gt;0),AND(H2402=2,F2402&gt;0)),OR(I2402=0,AND(I2402=1,OR(J2402=0,J2402=1,J2402=2),R2402&lt;&gt;"000")),Y2402&lt;=9,MIN(T2402:V2402)&gt;=0),"合法","输入违约")</x:f>
        <x:v>合法</x:v>
      </x:c>
    </x:row>
    <x:row r="2403" ht="23" customHeight="1">
      <x:c r="A2403" s="3" t="str">
        <x:v>CT-2396</x:v>
      </x:c>
      <x:c r="B2403" s="3" t="str">
        <x:v>ST-120</x:v>
      </x:c>
      <x:c r="C2403" s="3" t="str">
        <x:v>无AR/R</x:v>
      </x:c>
      <x:c r="D2403" s="25" t="n">
        <x:v>7</x:v>
      </x:c>
      <x:c r="E2403" s="25" t="n">
        <x:v>0</x:v>
      </x:c>
      <x:c r="F2403" s="25" t="n">
        <x:v>0</x:v>
      </x:c>
      <x:c r="G2403" s="19" t="n">
        <x:f>SUM(D2403:F2403)</x:f>
        <x:v>7</x:v>
      </x:c>
      <x:c r="H2403" s="25" t="str">
        <x:v>-</x:v>
      </x:c>
      <x:c r="I2403" s="25" t="n">
        <x:v>0</x:v>
      </x:c>
      <x:c r="J2403" s="25" t="str">
        <x:v>-</x:v>
      </x:c>
      <x:c r="K2403" s="19" t="n">
        <x:f>D2403-IF(H2403=0,1,0)</x:f>
        <x:v>7</x:v>
      </x:c>
      <x:c r="L2403" s="19" t="n">
        <x:f>E2403-IF(H2403=1,1,0)</x:f>
        <x:v>0</x:v>
      </x:c>
      <x:c r="M2403" s="19" t="n">
        <x:f>F2403-IF(H2403=2,1,0)</x:f>
        <x:v>0</x:v>
      </x:c>
      <x:c r="N2403" s="19" t="n">
        <x:f>MAX(K2403-1,0)+MAX(L2403-1,0)+MAX(M2403-1,0)</x:f>
        <x:v>6</x:v>
      </x:c>
      <x:c r="O2403" s="19" t="n">
        <x:f>IF(AND(SUM(K2403:M2403)&lt;9,OR(M2403=0,N2403&lt;6)),1,0)</x:f>
        <x:v>1</x:v>
      </x:c>
      <x:c r="P2403" s="19" t="n">
        <x:f>IF(AND(SUM(K2403:M2403)&lt;9,OR(L2403=0,N2403&lt;6)),1,0)</x:f>
        <x:v>1</x:v>
      </x:c>
      <x:c r="Q2403" s="19" t="n">
        <x:f>IF(AND(SUM(K2403:M2403)&lt;9,OR(K2403=0,N2403&lt;6)),1,0)</x:f>
        <x:v>0</x:v>
      </x:c>
      <x:c r="R2403" s="22" t="str">
        <x:f>O2403&amp;P2403&amp;Q2403</x:f>
        <x:v>110</x:v>
      </x:c>
      <x:c r="S2403" s="19" t="n">
        <x:f>IF(I2403=1,IF(J2403=0,Q2403,IF(J2403=1,P2403,IF(J2403=2,O2403,0))),0)</x:f>
        <x:v>0</x:v>
      </x:c>
      <x:c r="T2403" s="19" t="n">
        <x:f>K2403+IF(AND(S2403=1,J2403=0),1,0)</x:f>
        <x:v>7</x:v>
      </x:c>
      <x:c r="U2403" s="19" t="n">
        <x:f>L2403+IF(AND(S2403=1,J2403=1),1,0)</x:f>
        <x:v>0</x:v>
      </x:c>
      <x:c r="V2403" s="19" t="n">
        <x:f>M2403+IF(AND(S2403=1,J2403=2),1,0)</x:f>
        <x:v>0</x:v>
      </x:c>
      <x:c r="W2403" s="19" t="n">
        <x:f>SUM(T2403:V2403)</x:f>
        <x:v>7</x:v>
      </x:c>
      <x:c r="X2403" s="19" t="n">
        <x:f>W2403-G2403</x:f>
        <x:v>0</x:v>
      </x:c>
      <x:c r="Y2403" s="19" t="n">
        <x:f>MAX(T2403,1)+MAX(U2403,1)+MAX(V2403,1)</x:f>
        <x:v>9</x:v>
      </x:c>
      <x:c r="Z2403" s="21" t="str">
        <x:f>IF(AND(MIN(D2403:F2403)&gt;=0,MAX(D2403:F2403)&lt;=7,MAX(D2403,1)+MAX(E2403,1)+MAX(F2403,1)&lt;=9,OR(H2403="-",AND(H2403=0,D2403&gt;0),AND(H2403=1,E2403&gt;0),AND(H2403=2,F2403&gt;0)),OR(I2403=0,AND(I2403=1,OR(J2403=0,J2403=1,J2403=2),R2403&lt;&gt;"000")),Y2403&lt;=9,MIN(T2403:V2403)&gt;=0),"合法","输入违约")</x:f>
        <x:v>合法</x:v>
      </x:c>
    </x:row>
    <x:row r="2404" ht="23" customHeight="1">
      <x:c r="A2404" s="3" t="str">
        <x:v>CT-2397</x:v>
      </x:c>
      <x:c r="B2404" s="3" t="str">
        <x:v>ST-120</x:v>
      </x:c>
      <x:c r="C2404" s="3" t="str">
        <x:v>所选源被阻塞</x:v>
      </x:c>
      <x:c r="D2404" s="25" t="n">
        <x:v>7</x:v>
      </x:c>
      <x:c r="E2404" s="25" t="n">
        <x:v>0</x:v>
      </x:c>
      <x:c r="F2404" s="25" t="n">
        <x:v>0</x:v>
      </x:c>
      <x:c r="G2404" s="19" t="n">
        <x:f>SUM(D2404:F2404)</x:f>
        <x:v>7</x:v>
      </x:c>
      <x:c r="H2404" s="25" t="str">
        <x:v>-</x:v>
      </x:c>
      <x:c r="I2404" s="25" t="n">
        <x:v>1</x:v>
      </x:c>
      <x:c r="J2404" s="25" t="n">
        <x:v>0</x:v>
      </x:c>
      <x:c r="K2404" s="19" t="n">
        <x:f>D2404-IF(H2404=0,1,0)</x:f>
        <x:v>7</x:v>
      </x:c>
      <x:c r="L2404" s="19" t="n">
        <x:f>E2404-IF(H2404=1,1,0)</x:f>
        <x:v>0</x:v>
      </x:c>
      <x:c r="M2404" s="19" t="n">
        <x:f>F2404-IF(H2404=2,1,0)</x:f>
        <x:v>0</x:v>
      </x:c>
      <x:c r="N2404" s="19" t="n">
        <x:f>MAX(K2404-1,0)+MAX(L2404-1,0)+MAX(M2404-1,0)</x:f>
        <x:v>6</x:v>
      </x:c>
      <x:c r="O2404" s="19" t="n">
        <x:f>IF(AND(SUM(K2404:M2404)&lt;9,OR(M2404=0,N2404&lt;6)),1,0)</x:f>
        <x:v>1</x:v>
      </x:c>
      <x:c r="P2404" s="19" t="n">
        <x:f>IF(AND(SUM(K2404:M2404)&lt;9,OR(L2404=0,N2404&lt;6)),1,0)</x:f>
        <x:v>1</x:v>
      </x:c>
      <x:c r="Q2404" s="19" t="n">
        <x:f>IF(AND(SUM(K2404:M2404)&lt;9,OR(K2404=0,N2404&lt;6)),1,0)</x:f>
        <x:v>0</x:v>
      </x:c>
      <x:c r="R2404" s="22" t="str">
        <x:f>O2404&amp;P2404&amp;Q2404</x:f>
        <x:v>110</x:v>
      </x:c>
      <x:c r="S2404" s="19" t="n">
        <x:f>IF(I2404=1,IF(J2404=0,Q2404,IF(J2404=1,P2404,IF(J2404=2,O2404,0))),0)</x:f>
        <x:v>0</x:v>
      </x:c>
      <x:c r="T2404" s="19" t="n">
        <x:f>K2404+IF(AND(S2404=1,J2404=0),1,0)</x:f>
        <x:v>7</x:v>
      </x:c>
      <x:c r="U2404" s="19" t="n">
        <x:f>L2404+IF(AND(S2404=1,J2404=1),1,0)</x:f>
        <x:v>0</x:v>
      </x:c>
      <x:c r="V2404" s="19" t="n">
        <x:f>M2404+IF(AND(S2404=1,J2404=2),1,0)</x:f>
        <x:v>0</x:v>
      </x:c>
      <x:c r="W2404" s="19" t="n">
        <x:f>SUM(T2404:V2404)</x:f>
        <x:v>7</x:v>
      </x:c>
      <x:c r="X2404" s="19" t="n">
        <x:f>W2404-G2404</x:f>
        <x:v>0</x:v>
      </x:c>
      <x:c r="Y2404" s="19" t="n">
        <x:f>MAX(T2404,1)+MAX(U2404,1)+MAX(V2404,1)</x:f>
        <x:v>9</x:v>
      </x:c>
      <x:c r="Z2404" s="21" t="str">
        <x:f>IF(AND(MIN(D2404:F2404)&gt;=0,MAX(D2404:F2404)&lt;=7,MAX(D2404,1)+MAX(E2404,1)+MAX(F2404,1)&lt;=9,OR(H2404="-",AND(H2404=0,D2404&gt;0),AND(H2404=1,E2404&gt;0),AND(H2404=2,F2404&gt;0)),OR(I2404=0,AND(I2404=1,OR(J2404=0,J2404=1,J2404=2),R2404&lt;&gt;"000")),Y2404&lt;=9,MIN(T2404:V2404)&gt;=0),"合法","输入违约")</x:f>
        <x:v>合法</x:v>
      </x:c>
    </x:row>
    <x:row r="2405" ht="23" customHeight="1">
      <x:c r="A2405" s="3" t="str">
        <x:v>CT-2398</x:v>
      </x:c>
      <x:c r="B2405" s="3" t="str">
        <x:v>ST-120</x:v>
      </x:c>
      <x:c r="C2405" s="3" t="str">
        <x:v>仅AR接收</x:v>
      </x:c>
      <x:c r="D2405" s="25" t="n">
        <x:v>7</x:v>
      </x:c>
      <x:c r="E2405" s="25" t="n">
        <x:v>0</x:v>
      </x:c>
      <x:c r="F2405" s="25" t="n">
        <x:v>0</x:v>
      </x:c>
      <x:c r="G2405" s="19" t="n">
        <x:f>SUM(D2405:F2405)</x:f>
        <x:v>7</x:v>
      </x:c>
      <x:c r="H2405" s="25" t="str">
        <x:v>-</x:v>
      </x:c>
      <x:c r="I2405" s="25" t="n">
        <x:v>1</x:v>
      </x:c>
      <x:c r="J2405" s="25" t="n">
        <x:v>1</x:v>
      </x:c>
      <x:c r="K2405" s="19" t="n">
        <x:f>D2405-IF(H2405=0,1,0)</x:f>
        <x:v>7</x:v>
      </x:c>
      <x:c r="L2405" s="19" t="n">
        <x:f>E2405-IF(H2405=1,1,0)</x:f>
        <x:v>0</x:v>
      </x:c>
      <x:c r="M2405" s="19" t="n">
        <x:f>F2405-IF(H2405=2,1,0)</x:f>
        <x:v>0</x:v>
      </x:c>
      <x:c r="N2405" s="19" t="n">
        <x:f>MAX(K2405-1,0)+MAX(L2405-1,0)+MAX(M2405-1,0)</x:f>
        <x:v>6</x:v>
      </x:c>
      <x:c r="O2405" s="19" t="n">
        <x:f>IF(AND(SUM(K2405:M2405)&lt;9,OR(M2405=0,N2405&lt;6)),1,0)</x:f>
        <x:v>1</x:v>
      </x:c>
      <x:c r="P2405" s="19" t="n">
        <x:f>IF(AND(SUM(K2405:M2405)&lt;9,OR(L2405=0,N2405&lt;6)),1,0)</x:f>
        <x:v>1</x:v>
      </x:c>
      <x:c r="Q2405" s="19" t="n">
        <x:f>IF(AND(SUM(K2405:M2405)&lt;9,OR(K2405=0,N2405&lt;6)),1,0)</x:f>
        <x:v>0</x:v>
      </x:c>
      <x:c r="R2405" s="22" t="str">
        <x:f>O2405&amp;P2405&amp;Q2405</x:f>
        <x:v>110</x:v>
      </x:c>
      <x:c r="S2405" s="19" t="n">
        <x:f>IF(I2405=1,IF(J2405=0,Q2405,IF(J2405=1,P2405,IF(J2405=2,O2405,0))),0)</x:f>
        <x:v>1</x:v>
      </x:c>
      <x:c r="T2405" s="19" t="n">
        <x:f>K2405+IF(AND(S2405=1,J2405=0),1,0)</x:f>
        <x:v>7</x:v>
      </x:c>
      <x:c r="U2405" s="19" t="n">
        <x:f>L2405+IF(AND(S2405=1,J2405=1),1,0)</x:f>
        <x:v>1</x:v>
      </x:c>
      <x:c r="V2405" s="19" t="n">
        <x:f>M2405+IF(AND(S2405=1,J2405=2),1,0)</x:f>
        <x:v>0</x:v>
      </x:c>
      <x:c r="W2405" s="19" t="n">
        <x:f>SUM(T2405:V2405)</x:f>
        <x:v>8</x:v>
      </x:c>
      <x:c r="X2405" s="19" t="n">
        <x:f>W2405-G2405</x:f>
        <x:v>1</x:v>
      </x:c>
      <x:c r="Y2405" s="19" t="n">
        <x:f>MAX(T2405,1)+MAX(U2405,1)+MAX(V2405,1)</x:f>
        <x:v>9</x:v>
      </x:c>
      <x:c r="Z2405" s="21" t="str">
        <x:f>IF(AND(MIN(D2405:F2405)&gt;=0,MAX(D2405:F2405)&lt;=7,MAX(D2405,1)+MAX(E2405,1)+MAX(F2405,1)&lt;=9,OR(H2405="-",AND(H2405=0,D2405&gt;0),AND(H2405=1,E2405&gt;0),AND(H2405=2,F2405&gt;0)),OR(I2405=0,AND(I2405=1,OR(J2405=0,J2405=1,J2405=2),R2405&lt;&gt;"000")),Y2405&lt;=9,MIN(T2405:V2405)&gt;=0),"合法","输入违约")</x:f>
        <x:v>合法</x:v>
      </x:c>
    </x:row>
    <x:row r="2406" ht="23" customHeight="1">
      <x:c r="A2406" s="3" t="str">
        <x:v>CT-2399</x:v>
      </x:c>
      <x:c r="B2406" s="3" t="str">
        <x:v>ST-120</x:v>
      </x:c>
      <x:c r="C2406" s="3" t="str">
        <x:v>仅AR接收</x:v>
      </x:c>
      <x:c r="D2406" s="25" t="n">
        <x:v>7</x:v>
      </x:c>
      <x:c r="E2406" s="25" t="n">
        <x:v>0</x:v>
      </x:c>
      <x:c r="F2406" s="25" t="n">
        <x:v>0</x:v>
      </x:c>
      <x:c r="G2406" s="19" t="n">
        <x:f>SUM(D2406:F2406)</x:f>
        <x:v>7</x:v>
      </x:c>
      <x:c r="H2406" s="25" t="str">
        <x:v>-</x:v>
      </x:c>
      <x:c r="I2406" s="25" t="n">
        <x:v>1</x:v>
      </x:c>
      <x:c r="J2406" s="25" t="n">
        <x:v>2</x:v>
      </x:c>
      <x:c r="K2406" s="19" t="n">
        <x:f>D2406-IF(H2406=0,1,0)</x:f>
        <x:v>7</x:v>
      </x:c>
      <x:c r="L2406" s="19" t="n">
        <x:f>E2406-IF(H2406=1,1,0)</x:f>
        <x:v>0</x:v>
      </x:c>
      <x:c r="M2406" s="19" t="n">
        <x:f>F2406-IF(H2406=2,1,0)</x:f>
        <x:v>0</x:v>
      </x:c>
      <x:c r="N2406" s="19" t="n">
        <x:f>MAX(K2406-1,0)+MAX(L2406-1,0)+MAX(M2406-1,0)</x:f>
        <x:v>6</x:v>
      </x:c>
      <x:c r="O2406" s="19" t="n">
        <x:f>IF(AND(SUM(K2406:M2406)&lt;9,OR(M2406=0,N2406&lt;6)),1,0)</x:f>
        <x:v>1</x:v>
      </x:c>
      <x:c r="P2406" s="19" t="n">
        <x:f>IF(AND(SUM(K2406:M2406)&lt;9,OR(L2406=0,N2406&lt;6)),1,0)</x:f>
        <x:v>1</x:v>
      </x:c>
      <x:c r="Q2406" s="19" t="n">
        <x:f>IF(AND(SUM(K2406:M2406)&lt;9,OR(K2406=0,N2406&lt;6)),1,0)</x:f>
        <x:v>0</x:v>
      </x:c>
      <x:c r="R2406" s="22" t="str">
        <x:f>O2406&amp;P2406&amp;Q2406</x:f>
        <x:v>110</x:v>
      </x:c>
      <x:c r="S2406" s="19" t="n">
        <x:f>IF(I2406=1,IF(J2406=0,Q2406,IF(J2406=1,P2406,IF(J2406=2,O2406,0))),0)</x:f>
        <x:v>1</x:v>
      </x:c>
      <x:c r="T2406" s="19" t="n">
        <x:f>K2406+IF(AND(S2406=1,J2406=0),1,0)</x:f>
        <x:v>7</x:v>
      </x:c>
      <x:c r="U2406" s="19" t="n">
        <x:f>L2406+IF(AND(S2406=1,J2406=1),1,0)</x:f>
        <x:v>0</x:v>
      </x:c>
      <x:c r="V2406" s="19" t="n">
        <x:f>M2406+IF(AND(S2406=1,J2406=2),1,0)</x:f>
        <x:v>1</x:v>
      </x:c>
      <x:c r="W2406" s="19" t="n">
        <x:f>SUM(T2406:V2406)</x:f>
        <x:v>8</x:v>
      </x:c>
      <x:c r="X2406" s="19" t="n">
        <x:f>W2406-G2406</x:f>
        <x:v>1</x:v>
      </x:c>
      <x:c r="Y2406" s="19" t="n">
        <x:f>MAX(T2406,1)+MAX(U2406,1)+MAX(V2406,1)</x:f>
        <x:v>9</x:v>
      </x:c>
      <x:c r="Z2406" s="21" t="str">
        <x:f>IF(AND(MIN(D2406:F2406)&gt;=0,MAX(D2406:F2406)&lt;=7,MAX(D2406,1)+MAX(E2406,1)+MAX(F2406,1)&lt;=9,OR(H2406="-",AND(H2406=0,D2406&gt;0),AND(H2406=1,E2406&gt;0),AND(H2406=2,F2406&gt;0)),OR(I2406=0,AND(I2406=1,OR(J2406=0,J2406=1,J2406=2),R2406&lt;&gt;"000")),Y2406&lt;=9,MIN(T2406:V2406)&gt;=0),"合法","输入违约")</x:f>
        <x:v>合法</x:v>
      </x:c>
    </x:row>
    <x:row r="2407" ht="23" customHeight="1">
      <x:c r="A2407" s="3" t="str">
        <x:v>CT-2400</x:v>
      </x:c>
      <x:c r="B2407" s="3" t="str">
        <x:v>ST-120</x:v>
      </x:c>
      <x:c r="C2407" s="3" t="str">
        <x:v>仅R回收</x:v>
      </x:c>
      <x:c r="D2407" s="25" t="n">
        <x:v>7</x:v>
      </x:c>
      <x:c r="E2407" s="25" t="n">
        <x:v>0</x:v>
      </x:c>
      <x:c r="F2407" s="25" t="n">
        <x:v>0</x:v>
      </x:c>
      <x:c r="G2407" s="19" t="n">
        <x:f>SUM(D2407:F2407)</x:f>
        <x:v>7</x:v>
      </x:c>
      <x:c r="H2407" s="25" t="n">
        <x:v>0</x:v>
      </x:c>
      <x:c r="I2407" s="25" t="n">
        <x:v>0</x:v>
      </x:c>
      <x:c r="J2407" s="25" t="str">
        <x:v>-</x:v>
      </x:c>
      <x:c r="K2407" s="19" t="n">
        <x:f>D2407-IF(H2407=0,1,0)</x:f>
        <x:v>6</x:v>
      </x:c>
      <x:c r="L2407" s="19" t="n">
        <x:f>E2407-IF(H2407=1,1,0)</x:f>
        <x:v>0</x:v>
      </x:c>
      <x:c r="M2407" s="19" t="n">
        <x:f>F2407-IF(H2407=2,1,0)</x:f>
        <x:v>0</x:v>
      </x:c>
      <x:c r="N2407" s="19" t="n">
        <x:f>MAX(K2407-1,0)+MAX(L2407-1,0)+MAX(M2407-1,0)</x:f>
        <x:v>5</x:v>
      </x:c>
      <x:c r="O2407" s="19" t="n">
        <x:f>IF(AND(SUM(K2407:M2407)&lt;9,OR(M2407=0,N2407&lt;6)),1,0)</x:f>
        <x:v>1</x:v>
      </x:c>
      <x:c r="P2407" s="19" t="n">
        <x:f>IF(AND(SUM(K2407:M2407)&lt;9,OR(L2407=0,N2407&lt;6)),1,0)</x:f>
        <x:v>1</x:v>
      </x:c>
      <x:c r="Q2407" s="19" t="n">
        <x:f>IF(AND(SUM(K2407:M2407)&lt;9,OR(K2407=0,N2407&lt;6)),1,0)</x:f>
        <x:v>1</x:v>
      </x:c>
      <x:c r="R2407" s="22" t="str">
        <x:f>O2407&amp;P2407&amp;Q2407</x:f>
        <x:v>111</x:v>
      </x:c>
      <x:c r="S2407" s="19" t="n">
        <x:f>IF(I2407=1,IF(J2407=0,Q2407,IF(J2407=1,P2407,IF(J2407=2,O2407,0))),0)</x:f>
        <x:v>0</x:v>
      </x:c>
      <x:c r="T2407" s="19" t="n">
        <x:f>K2407+IF(AND(S2407=1,J2407=0),1,0)</x:f>
        <x:v>6</x:v>
      </x:c>
      <x:c r="U2407" s="19" t="n">
        <x:f>L2407+IF(AND(S2407=1,J2407=1),1,0)</x:f>
        <x:v>0</x:v>
      </x:c>
      <x:c r="V2407" s="19" t="n">
        <x:f>M2407+IF(AND(S2407=1,J2407=2),1,0)</x:f>
        <x:v>0</x:v>
      </x:c>
      <x:c r="W2407" s="19" t="n">
        <x:f>SUM(T2407:V2407)</x:f>
        <x:v>6</x:v>
      </x:c>
      <x:c r="X2407" s="19" t="n">
        <x:f>W2407-G2407</x:f>
        <x:v>-1</x:v>
      </x:c>
      <x:c r="Y2407" s="19" t="n">
        <x:f>MAX(T2407,1)+MAX(U2407,1)+MAX(V2407,1)</x:f>
        <x:v>8</x:v>
      </x:c>
      <x:c r="Z2407" s="21" t="str">
        <x:f>IF(AND(MIN(D2407:F2407)&gt;=0,MAX(D2407:F2407)&lt;=7,MAX(D2407,1)+MAX(E2407,1)+MAX(F2407,1)&lt;=9,OR(H2407="-",AND(H2407=0,D2407&gt;0),AND(H2407=1,E2407&gt;0),AND(H2407=2,F2407&gt;0)),OR(I2407=0,AND(I2407=1,OR(J2407=0,J2407=1,J2407=2),R2407&lt;&gt;"000")),Y2407&lt;=9,MIN(T2407:V2407)&gt;=0),"合法","输入违约")</x:f>
        <x:v>合法</x:v>
      </x:c>
    </x:row>
    <x:row r="2408" ht="23" customHeight="1">
      <x:c r="A2408" s="3" t="str">
        <x:v>CT-2401</x:v>
      </x:c>
      <x:c r="B2408" s="3" t="str">
        <x:v>ST-120</x:v>
      </x:c>
      <x:c r="C2408" s="3" t="str">
        <x:v>R+AR同收同发</x:v>
      </x:c>
      <x:c r="D2408" s="25" t="n">
        <x:v>7</x:v>
      </x:c>
      <x:c r="E2408" s="25" t="n">
        <x:v>0</x:v>
      </x:c>
      <x:c r="F2408" s="25" t="n">
        <x:v>0</x:v>
      </x:c>
      <x:c r="G2408" s="19" t="n">
        <x:f>SUM(D2408:F2408)</x:f>
        <x:v>7</x:v>
      </x:c>
      <x:c r="H2408" s="25" t="n">
        <x:v>0</x:v>
      </x:c>
      <x:c r="I2408" s="25" t="n">
        <x:v>1</x:v>
      </x:c>
      <x:c r="J2408" s="25" t="n">
        <x:v>0</x:v>
      </x:c>
      <x:c r="K2408" s="19" t="n">
        <x:f>D2408-IF(H2408=0,1,0)</x:f>
        <x:v>6</x:v>
      </x:c>
      <x:c r="L2408" s="19" t="n">
        <x:f>E2408-IF(H2408=1,1,0)</x:f>
        <x:v>0</x:v>
      </x:c>
      <x:c r="M2408" s="19" t="n">
        <x:f>F2408-IF(H2408=2,1,0)</x:f>
        <x:v>0</x:v>
      </x:c>
      <x:c r="N2408" s="19" t="n">
        <x:f>MAX(K2408-1,0)+MAX(L2408-1,0)+MAX(M2408-1,0)</x:f>
        <x:v>5</x:v>
      </x:c>
      <x:c r="O2408" s="19" t="n">
        <x:f>IF(AND(SUM(K2408:M2408)&lt;9,OR(M2408=0,N2408&lt;6)),1,0)</x:f>
        <x:v>1</x:v>
      </x:c>
      <x:c r="P2408" s="19" t="n">
        <x:f>IF(AND(SUM(K2408:M2408)&lt;9,OR(L2408=0,N2408&lt;6)),1,0)</x:f>
        <x:v>1</x:v>
      </x:c>
      <x:c r="Q2408" s="19" t="n">
        <x:f>IF(AND(SUM(K2408:M2408)&lt;9,OR(K2408=0,N2408&lt;6)),1,0)</x:f>
        <x:v>1</x:v>
      </x:c>
      <x:c r="R2408" s="22" t="str">
        <x:f>O2408&amp;P2408&amp;Q2408</x:f>
        <x:v>111</x:v>
      </x:c>
      <x:c r="S2408" s="19" t="n">
        <x:f>IF(I2408=1,IF(J2408=0,Q2408,IF(J2408=1,P2408,IF(J2408=2,O2408,0))),0)</x:f>
        <x:v>1</x:v>
      </x:c>
      <x:c r="T2408" s="19" t="n">
        <x:f>K2408+IF(AND(S2408=1,J2408=0),1,0)</x:f>
        <x:v>7</x:v>
      </x:c>
      <x:c r="U2408" s="19" t="n">
        <x:f>L2408+IF(AND(S2408=1,J2408=1),1,0)</x:f>
        <x:v>0</x:v>
      </x:c>
      <x:c r="V2408" s="19" t="n">
        <x:f>M2408+IF(AND(S2408=1,J2408=2),1,0)</x:f>
        <x:v>0</x:v>
      </x:c>
      <x:c r="W2408" s="19" t="n">
        <x:f>SUM(T2408:V2408)</x:f>
        <x:v>7</x:v>
      </x:c>
      <x:c r="X2408" s="19" t="n">
        <x:f>W2408-G2408</x:f>
        <x:v>0</x:v>
      </x:c>
      <x:c r="Y2408" s="19" t="n">
        <x:f>MAX(T2408,1)+MAX(U2408,1)+MAX(V2408,1)</x:f>
        <x:v>9</x:v>
      </x:c>
      <x:c r="Z2408" s="21" t="str">
        <x:f>IF(AND(MIN(D2408:F2408)&gt;=0,MAX(D2408:F2408)&lt;=7,MAX(D2408,1)+MAX(E2408,1)+MAX(F2408,1)&lt;=9,OR(H2408="-",AND(H2408=0,D2408&gt;0),AND(H2408=1,E2408&gt;0),AND(H2408=2,F2408&gt;0)),OR(I2408=0,AND(I2408=1,OR(J2408=0,J2408=1,J2408=2),R2408&lt;&gt;"000")),Y2408&lt;=9,MIN(T2408:V2408)&gt;=0),"合法","输入违约")</x:f>
        <x:v>合法</x:v>
      </x:c>
    </x:row>
    <x:row r="2409" ht="23" customHeight="1">
      <x:c r="A2409" s="3" t="str">
        <x:v>CT-2402</x:v>
      </x:c>
      <x:c r="B2409" s="3" t="str">
        <x:v>ST-120</x:v>
      </x:c>
      <x:c r="C2409" s="3" t="str">
        <x:v>R+AR同收同发</x:v>
      </x:c>
      <x:c r="D2409" s="25" t="n">
        <x:v>7</x:v>
      </x:c>
      <x:c r="E2409" s="25" t="n">
        <x:v>0</x:v>
      </x:c>
      <x:c r="F2409" s="25" t="n">
        <x:v>0</x:v>
      </x:c>
      <x:c r="G2409" s="19" t="n">
        <x:f>SUM(D2409:F2409)</x:f>
        <x:v>7</x:v>
      </x:c>
      <x:c r="H2409" s="25" t="n">
        <x:v>0</x:v>
      </x:c>
      <x:c r="I2409" s="25" t="n">
        <x:v>1</x:v>
      </x:c>
      <x:c r="J2409" s="25" t="n">
        <x:v>1</x:v>
      </x:c>
      <x:c r="K2409" s="19" t="n">
        <x:f>D2409-IF(H2409=0,1,0)</x:f>
        <x:v>6</x:v>
      </x:c>
      <x:c r="L2409" s="19" t="n">
        <x:f>E2409-IF(H2409=1,1,0)</x:f>
        <x:v>0</x:v>
      </x:c>
      <x:c r="M2409" s="19" t="n">
        <x:f>F2409-IF(H2409=2,1,0)</x:f>
        <x:v>0</x:v>
      </x:c>
      <x:c r="N2409" s="19" t="n">
        <x:f>MAX(K2409-1,0)+MAX(L2409-1,0)+MAX(M2409-1,0)</x:f>
        <x:v>5</x:v>
      </x:c>
      <x:c r="O2409" s="19" t="n">
        <x:f>IF(AND(SUM(K2409:M2409)&lt;9,OR(M2409=0,N2409&lt;6)),1,0)</x:f>
        <x:v>1</x:v>
      </x:c>
      <x:c r="P2409" s="19" t="n">
        <x:f>IF(AND(SUM(K2409:M2409)&lt;9,OR(L2409=0,N2409&lt;6)),1,0)</x:f>
        <x:v>1</x:v>
      </x:c>
      <x:c r="Q2409" s="19" t="n">
        <x:f>IF(AND(SUM(K2409:M2409)&lt;9,OR(K2409=0,N2409&lt;6)),1,0)</x:f>
        <x:v>1</x:v>
      </x:c>
      <x:c r="R2409" s="22" t="str">
        <x:f>O2409&amp;P2409&amp;Q2409</x:f>
        <x:v>111</x:v>
      </x:c>
      <x:c r="S2409" s="19" t="n">
        <x:f>IF(I2409=1,IF(J2409=0,Q2409,IF(J2409=1,P2409,IF(J2409=2,O2409,0))),0)</x:f>
        <x:v>1</x:v>
      </x:c>
      <x:c r="T2409" s="19" t="n">
        <x:f>K2409+IF(AND(S2409=1,J2409=0),1,0)</x:f>
        <x:v>6</x:v>
      </x:c>
      <x:c r="U2409" s="19" t="n">
        <x:f>L2409+IF(AND(S2409=1,J2409=1),1,0)</x:f>
        <x:v>1</x:v>
      </x:c>
      <x:c r="V2409" s="19" t="n">
        <x:f>M2409+IF(AND(S2409=1,J2409=2),1,0)</x:f>
        <x:v>0</x:v>
      </x:c>
      <x:c r="W2409" s="19" t="n">
        <x:f>SUM(T2409:V2409)</x:f>
        <x:v>7</x:v>
      </x:c>
      <x:c r="X2409" s="19" t="n">
        <x:f>W2409-G2409</x:f>
        <x:v>0</x:v>
      </x:c>
      <x:c r="Y2409" s="19" t="n">
        <x:f>MAX(T2409,1)+MAX(U2409,1)+MAX(V2409,1)</x:f>
        <x:v>8</x:v>
      </x:c>
      <x:c r="Z2409" s="21" t="str">
        <x:f>IF(AND(MIN(D2409:F2409)&gt;=0,MAX(D2409:F2409)&lt;=7,MAX(D2409,1)+MAX(E2409,1)+MAX(F2409,1)&lt;=9,OR(H2409="-",AND(H2409=0,D2409&gt;0),AND(H2409=1,E2409&gt;0),AND(H2409=2,F2409&gt;0)),OR(I2409=0,AND(I2409=1,OR(J2409=0,J2409=1,J2409=2),R2409&lt;&gt;"000")),Y2409&lt;=9,MIN(T2409:V2409)&gt;=0),"合法","输入违约")</x:f>
        <x:v>合法</x:v>
      </x:c>
    </x:row>
    <x:row r="2410" ht="23" customHeight="1">
      <x:c r="A2410" s="3" t="str">
        <x:v>CT-2403</x:v>
      </x:c>
      <x:c r="B2410" s="3" t="str">
        <x:v>ST-120</x:v>
      </x:c>
      <x:c r="C2410" s="3" t="str">
        <x:v>R+AR同收同发</x:v>
      </x:c>
      <x:c r="D2410" s="25" t="n">
        <x:v>7</x:v>
      </x:c>
      <x:c r="E2410" s="25" t="n">
        <x:v>0</x:v>
      </x:c>
      <x:c r="F2410" s="25" t="n">
        <x:v>0</x:v>
      </x:c>
      <x:c r="G2410" s="19" t="n">
        <x:f>SUM(D2410:F2410)</x:f>
        <x:v>7</x:v>
      </x:c>
      <x:c r="H2410" s="25" t="n">
        <x:v>0</x:v>
      </x:c>
      <x:c r="I2410" s="25" t="n">
        <x:v>1</x:v>
      </x:c>
      <x:c r="J2410" s="25" t="n">
        <x:v>2</x:v>
      </x:c>
      <x:c r="K2410" s="19" t="n">
        <x:f>D2410-IF(H2410=0,1,0)</x:f>
        <x:v>6</x:v>
      </x:c>
      <x:c r="L2410" s="19" t="n">
        <x:f>E2410-IF(H2410=1,1,0)</x:f>
        <x:v>0</x:v>
      </x:c>
      <x:c r="M2410" s="19" t="n">
        <x:f>F2410-IF(H2410=2,1,0)</x:f>
        <x:v>0</x:v>
      </x:c>
      <x:c r="N2410" s="19" t="n">
        <x:f>MAX(K2410-1,0)+MAX(L2410-1,0)+MAX(M2410-1,0)</x:f>
        <x:v>5</x:v>
      </x:c>
      <x:c r="O2410" s="19" t="n">
        <x:f>IF(AND(SUM(K2410:M2410)&lt;9,OR(M2410=0,N2410&lt;6)),1,0)</x:f>
        <x:v>1</x:v>
      </x:c>
      <x:c r="P2410" s="19" t="n">
        <x:f>IF(AND(SUM(K2410:M2410)&lt;9,OR(L2410=0,N2410&lt;6)),1,0)</x:f>
        <x:v>1</x:v>
      </x:c>
      <x:c r="Q2410" s="19" t="n">
        <x:f>IF(AND(SUM(K2410:M2410)&lt;9,OR(K2410=0,N2410&lt;6)),1,0)</x:f>
        <x:v>1</x:v>
      </x:c>
      <x:c r="R2410" s="22" t="str">
        <x:f>O2410&amp;P2410&amp;Q2410</x:f>
        <x:v>111</x:v>
      </x:c>
      <x:c r="S2410" s="19" t="n">
        <x:f>IF(I2410=1,IF(J2410=0,Q2410,IF(J2410=1,P2410,IF(J2410=2,O2410,0))),0)</x:f>
        <x:v>1</x:v>
      </x:c>
      <x:c r="T2410" s="19" t="n">
        <x:f>K2410+IF(AND(S2410=1,J2410=0),1,0)</x:f>
        <x:v>6</x:v>
      </x:c>
      <x:c r="U2410" s="19" t="n">
        <x:f>L2410+IF(AND(S2410=1,J2410=1),1,0)</x:f>
        <x:v>0</x:v>
      </x:c>
      <x:c r="V2410" s="19" t="n">
        <x:f>M2410+IF(AND(S2410=1,J2410=2),1,0)</x:f>
        <x:v>1</x:v>
      </x:c>
      <x:c r="W2410" s="19" t="n">
        <x:f>SUM(T2410:V2410)</x:f>
        <x:v>7</x:v>
      </x:c>
      <x:c r="X2410" s="19" t="n">
        <x:f>W2410-G2410</x:f>
        <x:v>0</x:v>
      </x:c>
      <x:c r="Y2410" s="19" t="n">
        <x:f>MAX(T2410,1)+MAX(U2410,1)+MAX(V2410,1)</x:f>
        <x:v>8</x:v>
      </x:c>
      <x:c r="Z2410" s="21" t="str">
        <x:f>IF(AND(MIN(D2410:F2410)&gt;=0,MAX(D2410:F2410)&lt;=7,MAX(D2410,1)+MAX(E2410,1)+MAX(F2410,1)&lt;=9,OR(H2410="-",AND(H2410=0,D2410&gt;0),AND(H2410=1,E2410&gt;0),AND(H2410=2,F2410&gt;0)),OR(I2410=0,AND(I2410=1,OR(J2410=0,J2410=1,J2410=2),R2410&lt;&gt;"000")),Y2410&lt;=9,MIN(T2410:V2410)&gt;=0),"合法","输入违约")</x:f>
        <x:v>合法</x:v>
      </x:c>
    </x:row>
    <x:row r="2411" ht="23" customHeight="1">
      <x:c r="A2411" s="3" t="str">
        <x:v>CT-2404</x:v>
      </x:c>
      <x:c r="B2411" s="3" t="str">
        <x:v>ST-161</x:v>
      </x:c>
      <x:c r="C2411" s="3" t="str">
        <x:v>无AR/R</x:v>
      </x:c>
      <x:c r="D2411" s="25" t="n">
        <x:v>7</x:v>
      </x:c>
      <x:c r="E2411" s="25" t="n">
        <x:v>0</x:v>
      </x:c>
      <x:c r="F2411" s="25" t="n">
        <x:v>1</x:v>
      </x:c>
      <x:c r="G2411" s="19" t="n">
        <x:f>SUM(D2411:F2411)</x:f>
        <x:v>8</x:v>
      </x:c>
      <x:c r="H2411" s="25" t="str">
        <x:v>-</x:v>
      </x:c>
      <x:c r="I2411" s="25" t="n">
        <x:v>0</x:v>
      </x:c>
      <x:c r="J2411" s="25" t="str">
        <x:v>-</x:v>
      </x:c>
      <x:c r="K2411" s="19" t="n">
        <x:f>D2411-IF(H2411=0,1,0)</x:f>
        <x:v>7</x:v>
      </x:c>
      <x:c r="L2411" s="19" t="n">
        <x:f>E2411-IF(H2411=1,1,0)</x:f>
        <x:v>0</x:v>
      </x:c>
      <x:c r="M2411" s="19" t="n">
        <x:f>F2411-IF(H2411=2,1,0)</x:f>
        <x:v>1</x:v>
      </x:c>
      <x:c r="N2411" s="19" t="n">
        <x:f>MAX(K2411-1,0)+MAX(L2411-1,0)+MAX(M2411-1,0)</x:f>
        <x:v>6</x:v>
      </x:c>
      <x:c r="O2411" s="19" t="n">
        <x:f>IF(AND(SUM(K2411:M2411)&lt;9,OR(M2411=0,N2411&lt;6)),1,0)</x:f>
        <x:v>0</x:v>
      </x:c>
      <x:c r="P2411" s="19" t="n">
        <x:f>IF(AND(SUM(K2411:M2411)&lt;9,OR(L2411=0,N2411&lt;6)),1,0)</x:f>
        <x:v>1</x:v>
      </x:c>
      <x:c r="Q2411" s="19" t="n">
        <x:f>IF(AND(SUM(K2411:M2411)&lt;9,OR(K2411=0,N2411&lt;6)),1,0)</x:f>
        <x:v>0</x:v>
      </x:c>
      <x:c r="R2411" s="22" t="str">
        <x:f>O2411&amp;P2411&amp;Q2411</x:f>
        <x:v>010</x:v>
      </x:c>
      <x:c r="S2411" s="19" t="n">
        <x:f>IF(I2411=1,IF(J2411=0,Q2411,IF(J2411=1,P2411,IF(J2411=2,O2411,0))),0)</x:f>
        <x:v>0</x:v>
      </x:c>
      <x:c r="T2411" s="19" t="n">
        <x:f>K2411+IF(AND(S2411=1,J2411=0),1,0)</x:f>
        <x:v>7</x:v>
      </x:c>
      <x:c r="U2411" s="19" t="n">
        <x:f>L2411+IF(AND(S2411=1,J2411=1),1,0)</x:f>
        <x:v>0</x:v>
      </x:c>
      <x:c r="V2411" s="19" t="n">
        <x:f>M2411+IF(AND(S2411=1,J2411=2),1,0)</x:f>
        <x:v>1</x:v>
      </x:c>
      <x:c r="W2411" s="19" t="n">
        <x:f>SUM(T2411:V2411)</x:f>
        <x:v>8</x:v>
      </x:c>
      <x:c r="X2411" s="19" t="n">
        <x:f>W2411-G2411</x:f>
        <x:v>0</x:v>
      </x:c>
      <x:c r="Y2411" s="19" t="n">
        <x:f>MAX(T2411,1)+MAX(U2411,1)+MAX(V2411,1)</x:f>
        <x:v>9</x:v>
      </x:c>
      <x:c r="Z2411" s="21" t="str">
        <x:f>IF(AND(MIN(D2411:F2411)&gt;=0,MAX(D2411:F2411)&lt;=7,MAX(D2411,1)+MAX(E2411,1)+MAX(F2411,1)&lt;=9,OR(H2411="-",AND(H2411=0,D2411&gt;0),AND(H2411=1,E2411&gt;0),AND(H2411=2,F2411&gt;0)),OR(I2411=0,AND(I2411=1,OR(J2411=0,J2411=1,J2411=2),R2411&lt;&gt;"000")),Y2411&lt;=9,MIN(T2411:V2411)&gt;=0),"合法","输入违约")</x:f>
        <x:v>合法</x:v>
      </x:c>
    </x:row>
    <x:row r="2412" ht="23" customHeight="1">
      <x:c r="A2412" s="3" t="str">
        <x:v>CT-2405</x:v>
      </x:c>
      <x:c r="B2412" s="3" t="str">
        <x:v>ST-161</x:v>
      </x:c>
      <x:c r="C2412" s="3" t="str">
        <x:v>所选源被阻塞</x:v>
      </x:c>
      <x:c r="D2412" s="25" t="n">
        <x:v>7</x:v>
      </x:c>
      <x:c r="E2412" s="25" t="n">
        <x:v>0</x:v>
      </x:c>
      <x:c r="F2412" s="25" t="n">
        <x:v>1</x:v>
      </x:c>
      <x:c r="G2412" s="19" t="n">
        <x:f>SUM(D2412:F2412)</x:f>
        <x:v>8</x:v>
      </x:c>
      <x:c r="H2412" s="25" t="str">
        <x:v>-</x:v>
      </x:c>
      <x:c r="I2412" s="25" t="n">
        <x:v>1</x:v>
      </x:c>
      <x:c r="J2412" s="25" t="n">
        <x:v>0</x:v>
      </x:c>
      <x:c r="K2412" s="19" t="n">
        <x:f>D2412-IF(H2412=0,1,0)</x:f>
        <x:v>7</x:v>
      </x:c>
      <x:c r="L2412" s="19" t="n">
        <x:f>E2412-IF(H2412=1,1,0)</x:f>
        <x:v>0</x:v>
      </x:c>
      <x:c r="M2412" s="19" t="n">
        <x:f>F2412-IF(H2412=2,1,0)</x:f>
        <x:v>1</x:v>
      </x:c>
      <x:c r="N2412" s="19" t="n">
        <x:f>MAX(K2412-1,0)+MAX(L2412-1,0)+MAX(M2412-1,0)</x:f>
        <x:v>6</x:v>
      </x:c>
      <x:c r="O2412" s="19" t="n">
        <x:f>IF(AND(SUM(K2412:M2412)&lt;9,OR(M2412=0,N2412&lt;6)),1,0)</x:f>
        <x:v>0</x:v>
      </x:c>
      <x:c r="P2412" s="19" t="n">
        <x:f>IF(AND(SUM(K2412:M2412)&lt;9,OR(L2412=0,N2412&lt;6)),1,0)</x:f>
        <x:v>1</x:v>
      </x:c>
      <x:c r="Q2412" s="19" t="n">
        <x:f>IF(AND(SUM(K2412:M2412)&lt;9,OR(K2412=0,N2412&lt;6)),1,0)</x:f>
        <x:v>0</x:v>
      </x:c>
      <x:c r="R2412" s="22" t="str">
        <x:f>O2412&amp;P2412&amp;Q2412</x:f>
        <x:v>010</x:v>
      </x:c>
      <x:c r="S2412" s="19" t="n">
        <x:f>IF(I2412=1,IF(J2412=0,Q2412,IF(J2412=1,P2412,IF(J2412=2,O2412,0))),0)</x:f>
        <x:v>0</x:v>
      </x:c>
      <x:c r="T2412" s="19" t="n">
        <x:f>K2412+IF(AND(S2412=1,J2412=0),1,0)</x:f>
        <x:v>7</x:v>
      </x:c>
      <x:c r="U2412" s="19" t="n">
        <x:f>L2412+IF(AND(S2412=1,J2412=1),1,0)</x:f>
        <x:v>0</x:v>
      </x:c>
      <x:c r="V2412" s="19" t="n">
        <x:f>M2412+IF(AND(S2412=1,J2412=2),1,0)</x:f>
        <x:v>1</x:v>
      </x:c>
      <x:c r="W2412" s="19" t="n">
        <x:f>SUM(T2412:V2412)</x:f>
        <x:v>8</x:v>
      </x:c>
      <x:c r="X2412" s="19" t="n">
        <x:f>W2412-G2412</x:f>
        <x:v>0</x:v>
      </x:c>
      <x:c r="Y2412" s="19" t="n">
        <x:f>MAX(T2412,1)+MAX(U2412,1)+MAX(V2412,1)</x:f>
        <x:v>9</x:v>
      </x:c>
      <x:c r="Z2412" s="21" t="str">
        <x:f>IF(AND(MIN(D2412:F2412)&gt;=0,MAX(D2412:F2412)&lt;=7,MAX(D2412,1)+MAX(E2412,1)+MAX(F2412,1)&lt;=9,OR(H2412="-",AND(H2412=0,D2412&gt;0),AND(H2412=1,E2412&gt;0),AND(H2412=2,F2412&gt;0)),OR(I2412=0,AND(I2412=1,OR(J2412=0,J2412=1,J2412=2),R2412&lt;&gt;"000")),Y2412&lt;=9,MIN(T2412:V2412)&gt;=0),"合法","输入违约")</x:f>
        <x:v>合法</x:v>
      </x:c>
    </x:row>
    <x:row r="2413" ht="23" customHeight="1">
      <x:c r="A2413" s="3" t="str">
        <x:v>CT-2406</x:v>
      </x:c>
      <x:c r="B2413" s="3" t="str">
        <x:v>ST-161</x:v>
      </x:c>
      <x:c r="C2413" s="3" t="str">
        <x:v>仅AR接收</x:v>
      </x:c>
      <x:c r="D2413" s="25" t="n">
        <x:v>7</x:v>
      </x:c>
      <x:c r="E2413" s="25" t="n">
        <x:v>0</x:v>
      </x:c>
      <x:c r="F2413" s="25" t="n">
        <x:v>1</x:v>
      </x:c>
      <x:c r="G2413" s="19" t="n">
        <x:f>SUM(D2413:F2413)</x:f>
        <x:v>8</x:v>
      </x:c>
      <x:c r="H2413" s="25" t="str">
        <x:v>-</x:v>
      </x:c>
      <x:c r="I2413" s="25" t="n">
        <x:v>1</x:v>
      </x:c>
      <x:c r="J2413" s="25" t="n">
        <x:v>1</x:v>
      </x:c>
      <x:c r="K2413" s="19" t="n">
        <x:f>D2413-IF(H2413=0,1,0)</x:f>
        <x:v>7</x:v>
      </x:c>
      <x:c r="L2413" s="19" t="n">
        <x:f>E2413-IF(H2413=1,1,0)</x:f>
        <x:v>0</x:v>
      </x:c>
      <x:c r="M2413" s="19" t="n">
        <x:f>F2413-IF(H2413=2,1,0)</x:f>
        <x:v>1</x:v>
      </x:c>
      <x:c r="N2413" s="19" t="n">
        <x:f>MAX(K2413-1,0)+MAX(L2413-1,0)+MAX(M2413-1,0)</x:f>
        <x:v>6</x:v>
      </x:c>
      <x:c r="O2413" s="19" t="n">
        <x:f>IF(AND(SUM(K2413:M2413)&lt;9,OR(M2413=0,N2413&lt;6)),1,0)</x:f>
        <x:v>0</x:v>
      </x:c>
      <x:c r="P2413" s="19" t="n">
        <x:f>IF(AND(SUM(K2413:M2413)&lt;9,OR(L2413=0,N2413&lt;6)),1,0)</x:f>
        <x:v>1</x:v>
      </x:c>
      <x:c r="Q2413" s="19" t="n">
        <x:f>IF(AND(SUM(K2413:M2413)&lt;9,OR(K2413=0,N2413&lt;6)),1,0)</x:f>
        <x:v>0</x:v>
      </x:c>
      <x:c r="R2413" s="22" t="str">
        <x:f>O2413&amp;P2413&amp;Q2413</x:f>
        <x:v>010</x:v>
      </x:c>
      <x:c r="S2413" s="19" t="n">
        <x:f>IF(I2413=1,IF(J2413=0,Q2413,IF(J2413=1,P2413,IF(J2413=2,O2413,0))),0)</x:f>
        <x:v>1</x:v>
      </x:c>
      <x:c r="T2413" s="19" t="n">
        <x:f>K2413+IF(AND(S2413=1,J2413=0),1,0)</x:f>
        <x:v>7</x:v>
      </x:c>
      <x:c r="U2413" s="19" t="n">
        <x:f>L2413+IF(AND(S2413=1,J2413=1),1,0)</x:f>
        <x:v>1</x:v>
      </x:c>
      <x:c r="V2413" s="19" t="n">
        <x:f>M2413+IF(AND(S2413=1,J2413=2),1,0)</x:f>
        <x:v>1</x:v>
      </x:c>
      <x:c r="W2413" s="19" t="n">
        <x:f>SUM(T2413:V2413)</x:f>
        <x:v>9</x:v>
      </x:c>
      <x:c r="X2413" s="19" t="n">
        <x:f>W2413-G2413</x:f>
        <x:v>1</x:v>
      </x:c>
      <x:c r="Y2413" s="19" t="n">
        <x:f>MAX(T2413,1)+MAX(U2413,1)+MAX(V2413,1)</x:f>
        <x:v>9</x:v>
      </x:c>
      <x:c r="Z2413" s="21" t="str">
        <x:f>IF(AND(MIN(D2413:F2413)&gt;=0,MAX(D2413:F2413)&lt;=7,MAX(D2413,1)+MAX(E2413,1)+MAX(F2413,1)&lt;=9,OR(H2413="-",AND(H2413=0,D2413&gt;0),AND(H2413=1,E2413&gt;0),AND(H2413=2,F2413&gt;0)),OR(I2413=0,AND(I2413=1,OR(J2413=0,J2413=1,J2413=2),R2413&lt;&gt;"000")),Y2413&lt;=9,MIN(T2413:V2413)&gt;=0),"合法","输入违约")</x:f>
        <x:v>合法</x:v>
      </x:c>
    </x:row>
    <x:row r="2414" ht="23" customHeight="1">
      <x:c r="A2414" s="3" t="str">
        <x:v>CT-2407</x:v>
      </x:c>
      <x:c r="B2414" s="3" t="str">
        <x:v>ST-161</x:v>
      </x:c>
      <x:c r="C2414" s="3" t="str">
        <x:v>所选源被阻塞</x:v>
      </x:c>
      <x:c r="D2414" s="25" t="n">
        <x:v>7</x:v>
      </x:c>
      <x:c r="E2414" s="25" t="n">
        <x:v>0</x:v>
      </x:c>
      <x:c r="F2414" s="25" t="n">
        <x:v>1</x:v>
      </x:c>
      <x:c r="G2414" s="19" t="n">
        <x:f>SUM(D2414:F2414)</x:f>
        <x:v>8</x:v>
      </x:c>
      <x:c r="H2414" s="25" t="str">
        <x:v>-</x:v>
      </x:c>
      <x:c r="I2414" s="25" t="n">
        <x:v>1</x:v>
      </x:c>
      <x:c r="J2414" s="25" t="n">
        <x:v>2</x:v>
      </x:c>
      <x:c r="K2414" s="19" t="n">
        <x:f>D2414-IF(H2414=0,1,0)</x:f>
        <x:v>7</x:v>
      </x:c>
      <x:c r="L2414" s="19" t="n">
        <x:f>E2414-IF(H2414=1,1,0)</x:f>
        <x:v>0</x:v>
      </x:c>
      <x:c r="M2414" s="19" t="n">
        <x:f>F2414-IF(H2414=2,1,0)</x:f>
        <x:v>1</x:v>
      </x:c>
      <x:c r="N2414" s="19" t="n">
        <x:f>MAX(K2414-1,0)+MAX(L2414-1,0)+MAX(M2414-1,0)</x:f>
        <x:v>6</x:v>
      </x:c>
      <x:c r="O2414" s="19" t="n">
        <x:f>IF(AND(SUM(K2414:M2414)&lt;9,OR(M2414=0,N2414&lt;6)),1,0)</x:f>
        <x:v>0</x:v>
      </x:c>
      <x:c r="P2414" s="19" t="n">
        <x:f>IF(AND(SUM(K2414:M2414)&lt;9,OR(L2414=0,N2414&lt;6)),1,0)</x:f>
        <x:v>1</x:v>
      </x:c>
      <x:c r="Q2414" s="19" t="n">
        <x:f>IF(AND(SUM(K2414:M2414)&lt;9,OR(K2414=0,N2414&lt;6)),1,0)</x:f>
        <x:v>0</x:v>
      </x:c>
      <x:c r="R2414" s="22" t="str">
        <x:f>O2414&amp;P2414&amp;Q2414</x:f>
        <x:v>010</x:v>
      </x:c>
      <x:c r="S2414" s="19" t="n">
        <x:f>IF(I2414=1,IF(J2414=0,Q2414,IF(J2414=1,P2414,IF(J2414=2,O2414,0))),0)</x:f>
        <x:v>0</x:v>
      </x:c>
      <x:c r="T2414" s="19" t="n">
        <x:f>K2414+IF(AND(S2414=1,J2414=0),1,0)</x:f>
        <x:v>7</x:v>
      </x:c>
      <x:c r="U2414" s="19" t="n">
        <x:f>L2414+IF(AND(S2414=1,J2414=1),1,0)</x:f>
        <x:v>0</x:v>
      </x:c>
      <x:c r="V2414" s="19" t="n">
        <x:f>M2414+IF(AND(S2414=1,J2414=2),1,0)</x:f>
        <x:v>1</x:v>
      </x:c>
      <x:c r="W2414" s="19" t="n">
        <x:f>SUM(T2414:V2414)</x:f>
        <x:v>8</x:v>
      </x:c>
      <x:c r="X2414" s="19" t="n">
        <x:f>W2414-G2414</x:f>
        <x:v>0</x:v>
      </x:c>
      <x:c r="Y2414" s="19" t="n">
        <x:f>MAX(T2414,1)+MAX(U2414,1)+MAX(V2414,1)</x:f>
        <x:v>9</x:v>
      </x:c>
      <x:c r="Z2414" s="21" t="str">
        <x:f>IF(AND(MIN(D2414:F2414)&gt;=0,MAX(D2414:F2414)&lt;=7,MAX(D2414,1)+MAX(E2414,1)+MAX(F2414,1)&lt;=9,OR(H2414="-",AND(H2414=0,D2414&gt;0),AND(H2414=1,E2414&gt;0),AND(H2414=2,F2414&gt;0)),OR(I2414=0,AND(I2414=1,OR(J2414=0,J2414=1,J2414=2),R2414&lt;&gt;"000")),Y2414&lt;=9,MIN(T2414:V2414)&gt;=0),"合法","输入违约")</x:f>
        <x:v>合法</x:v>
      </x:c>
    </x:row>
    <x:row r="2415" ht="23" customHeight="1">
      <x:c r="A2415" s="3" t="str">
        <x:v>CT-2408</x:v>
      </x:c>
      <x:c r="B2415" s="3" t="str">
        <x:v>ST-161</x:v>
      </x:c>
      <x:c r="C2415" s="3" t="str">
        <x:v>仅R回收</x:v>
      </x:c>
      <x:c r="D2415" s="25" t="n">
        <x:v>7</x:v>
      </x:c>
      <x:c r="E2415" s="25" t="n">
        <x:v>0</x:v>
      </x:c>
      <x:c r="F2415" s="25" t="n">
        <x:v>1</x:v>
      </x:c>
      <x:c r="G2415" s="19" t="n">
        <x:f>SUM(D2415:F2415)</x:f>
        <x:v>8</x:v>
      </x:c>
      <x:c r="H2415" s="25" t="n">
        <x:v>0</x:v>
      </x:c>
      <x:c r="I2415" s="25" t="n">
        <x:v>0</x:v>
      </x:c>
      <x:c r="J2415" s="25" t="str">
        <x:v>-</x:v>
      </x:c>
      <x:c r="K2415" s="19" t="n">
        <x:f>D2415-IF(H2415=0,1,0)</x:f>
        <x:v>6</x:v>
      </x:c>
      <x:c r="L2415" s="19" t="n">
        <x:f>E2415-IF(H2415=1,1,0)</x:f>
        <x:v>0</x:v>
      </x:c>
      <x:c r="M2415" s="19" t="n">
        <x:f>F2415-IF(H2415=2,1,0)</x:f>
        <x:v>1</x:v>
      </x:c>
      <x:c r="N2415" s="19" t="n">
        <x:f>MAX(K2415-1,0)+MAX(L2415-1,0)+MAX(M2415-1,0)</x:f>
        <x:v>5</x:v>
      </x:c>
      <x:c r="O2415" s="19" t="n">
        <x:f>IF(AND(SUM(K2415:M2415)&lt;9,OR(M2415=0,N2415&lt;6)),1,0)</x:f>
        <x:v>1</x:v>
      </x:c>
      <x:c r="P2415" s="19" t="n">
        <x:f>IF(AND(SUM(K2415:M2415)&lt;9,OR(L2415=0,N2415&lt;6)),1,0)</x:f>
        <x:v>1</x:v>
      </x:c>
      <x:c r="Q2415" s="19" t="n">
        <x:f>IF(AND(SUM(K2415:M2415)&lt;9,OR(K2415=0,N2415&lt;6)),1,0)</x:f>
        <x:v>1</x:v>
      </x:c>
      <x:c r="R2415" s="22" t="str">
        <x:f>O2415&amp;P2415&amp;Q2415</x:f>
        <x:v>111</x:v>
      </x:c>
      <x:c r="S2415" s="19" t="n">
        <x:f>IF(I2415=1,IF(J2415=0,Q2415,IF(J2415=1,P2415,IF(J2415=2,O2415,0))),0)</x:f>
        <x:v>0</x:v>
      </x:c>
      <x:c r="T2415" s="19" t="n">
        <x:f>K2415+IF(AND(S2415=1,J2415=0),1,0)</x:f>
        <x:v>6</x:v>
      </x:c>
      <x:c r="U2415" s="19" t="n">
        <x:f>L2415+IF(AND(S2415=1,J2415=1),1,0)</x:f>
        <x:v>0</x:v>
      </x:c>
      <x:c r="V2415" s="19" t="n">
        <x:f>M2415+IF(AND(S2415=1,J2415=2),1,0)</x:f>
        <x:v>1</x:v>
      </x:c>
      <x:c r="W2415" s="19" t="n">
        <x:f>SUM(T2415:V2415)</x:f>
        <x:v>7</x:v>
      </x:c>
      <x:c r="X2415" s="19" t="n">
        <x:f>W2415-G2415</x:f>
        <x:v>-1</x:v>
      </x:c>
      <x:c r="Y2415" s="19" t="n">
        <x:f>MAX(T2415,1)+MAX(U2415,1)+MAX(V2415,1)</x:f>
        <x:v>8</x:v>
      </x:c>
      <x:c r="Z2415" s="21" t="str">
        <x:f>IF(AND(MIN(D2415:F2415)&gt;=0,MAX(D2415:F2415)&lt;=7,MAX(D2415,1)+MAX(E2415,1)+MAX(F2415,1)&lt;=9,OR(H2415="-",AND(H2415=0,D2415&gt;0),AND(H2415=1,E2415&gt;0),AND(H2415=2,F2415&gt;0)),OR(I2415=0,AND(I2415=1,OR(J2415=0,J2415=1,J2415=2),R2415&lt;&gt;"000")),Y2415&lt;=9,MIN(T2415:V2415)&gt;=0),"合法","输入违约")</x:f>
        <x:v>合法</x:v>
      </x:c>
    </x:row>
    <x:row r="2416" ht="23" customHeight="1">
      <x:c r="A2416" s="3" t="str">
        <x:v>CT-2409</x:v>
      </x:c>
      <x:c r="B2416" s="3" t="str">
        <x:v>ST-161</x:v>
      </x:c>
      <x:c r="C2416" s="3" t="str">
        <x:v>R+AR同收同发</x:v>
      </x:c>
      <x:c r="D2416" s="25" t="n">
        <x:v>7</x:v>
      </x:c>
      <x:c r="E2416" s="25" t="n">
        <x:v>0</x:v>
      </x:c>
      <x:c r="F2416" s="25" t="n">
        <x:v>1</x:v>
      </x:c>
      <x:c r="G2416" s="19" t="n">
        <x:f>SUM(D2416:F2416)</x:f>
        <x:v>8</x:v>
      </x:c>
      <x:c r="H2416" s="25" t="n">
        <x:v>0</x:v>
      </x:c>
      <x:c r="I2416" s="25" t="n">
        <x:v>1</x:v>
      </x:c>
      <x:c r="J2416" s="25" t="n">
        <x:v>0</x:v>
      </x:c>
      <x:c r="K2416" s="19" t="n">
        <x:f>D2416-IF(H2416=0,1,0)</x:f>
        <x:v>6</x:v>
      </x:c>
      <x:c r="L2416" s="19" t="n">
        <x:f>E2416-IF(H2416=1,1,0)</x:f>
        <x:v>0</x:v>
      </x:c>
      <x:c r="M2416" s="19" t="n">
        <x:f>F2416-IF(H2416=2,1,0)</x:f>
        <x:v>1</x:v>
      </x:c>
      <x:c r="N2416" s="19" t="n">
        <x:f>MAX(K2416-1,0)+MAX(L2416-1,0)+MAX(M2416-1,0)</x:f>
        <x:v>5</x:v>
      </x:c>
      <x:c r="O2416" s="19" t="n">
        <x:f>IF(AND(SUM(K2416:M2416)&lt;9,OR(M2416=0,N2416&lt;6)),1,0)</x:f>
        <x:v>1</x:v>
      </x:c>
      <x:c r="P2416" s="19" t="n">
        <x:f>IF(AND(SUM(K2416:M2416)&lt;9,OR(L2416=0,N2416&lt;6)),1,0)</x:f>
        <x:v>1</x:v>
      </x:c>
      <x:c r="Q2416" s="19" t="n">
        <x:f>IF(AND(SUM(K2416:M2416)&lt;9,OR(K2416=0,N2416&lt;6)),1,0)</x:f>
        <x:v>1</x:v>
      </x:c>
      <x:c r="R2416" s="22" t="str">
        <x:f>O2416&amp;P2416&amp;Q2416</x:f>
        <x:v>111</x:v>
      </x:c>
      <x:c r="S2416" s="19" t="n">
        <x:f>IF(I2416=1,IF(J2416=0,Q2416,IF(J2416=1,P2416,IF(J2416=2,O2416,0))),0)</x:f>
        <x:v>1</x:v>
      </x:c>
      <x:c r="T2416" s="19" t="n">
        <x:f>K2416+IF(AND(S2416=1,J2416=0),1,0)</x:f>
        <x:v>7</x:v>
      </x:c>
      <x:c r="U2416" s="19" t="n">
        <x:f>L2416+IF(AND(S2416=1,J2416=1),1,0)</x:f>
        <x:v>0</x:v>
      </x:c>
      <x:c r="V2416" s="19" t="n">
        <x:f>M2416+IF(AND(S2416=1,J2416=2),1,0)</x:f>
        <x:v>1</x:v>
      </x:c>
      <x:c r="W2416" s="19" t="n">
        <x:f>SUM(T2416:V2416)</x:f>
        <x:v>8</x:v>
      </x:c>
      <x:c r="X2416" s="19" t="n">
        <x:f>W2416-G2416</x:f>
        <x:v>0</x:v>
      </x:c>
      <x:c r="Y2416" s="19" t="n">
        <x:f>MAX(T2416,1)+MAX(U2416,1)+MAX(V2416,1)</x:f>
        <x:v>9</x:v>
      </x:c>
      <x:c r="Z2416" s="21" t="str">
        <x:f>IF(AND(MIN(D2416:F2416)&gt;=0,MAX(D2416:F2416)&lt;=7,MAX(D2416,1)+MAX(E2416,1)+MAX(F2416,1)&lt;=9,OR(H2416="-",AND(H2416=0,D2416&gt;0),AND(H2416=1,E2416&gt;0),AND(H2416=2,F2416&gt;0)),OR(I2416=0,AND(I2416=1,OR(J2416=0,J2416=1,J2416=2),R2416&lt;&gt;"000")),Y2416&lt;=9,MIN(T2416:V2416)&gt;=0),"合法","输入违约")</x:f>
        <x:v>合法</x:v>
      </x:c>
    </x:row>
    <x:row r="2417" ht="23" customHeight="1">
      <x:c r="A2417" s="3" t="str">
        <x:v>CT-2410</x:v>
      </x:c>
      <x:c r="B2417" s="3" t="str">
        <x:v>ST-161</x:v>
      </x:c>
      <x:c r="C2417" s="3" t="str">
        <x:v>R+AR同收同发</x:v>
      </x:c>
      <x:c r="D2417" s="25" t="n">
        <x:v>7</x:v>
      </x:c>
      <x:c r="E2417" s="25" t="n">
        <x:v>0</x:v>
      </x:c>
      <x:c r="F2417" s="25" t="n">
        <x:v>1</x:v>
      </x:c>
      <x:c r="G2417" s="19" t="n">
        <x:f>SUM(D2417:F2417)</x:f>
        <x:v>8</x:v>
      </x:c>
      <x:c r="H2417" s="25" t="n">
        <x:v>0</x:v>
      </x:c>
      <x:c r="I2417" s="25" t="n">
        <x:v>1</x:v>
      </x:c>
      <x:c r="J2417" s="25" t="n">
        <x:v>1</x:v>
      </x:c>
      <x:c r="K2417" s="19" t="n">
        <x:f>D2417-IF(H2417=0,1,0)</x:f>
        <x:v>6</x:v>
      </x:c>
      <x:c r="L2417" s="19" t="n">
        <x:f>E2417-IF(H2417=1,1,0)</x:f>
        <x:v>0</x:v>
      </x:c>
      <x:c r="M2417" s="19" t="n">
        <x:f>F2417-IF(H2417=2,1,0)</x:f>
        <x:v>1</x:v>
      </x:c>
      <x:c r="N2417" s="19" t="n">
        <x:f>MAX(K2417-1,0)+MAX(L2417-1,0)+MAX(M2417-1,0)</x:f>
        <x:v>5</x:v>
      </x:c>
      <x:c r="O2417" s="19" t="n">
        <x:f>IF(AND(SUM(K2417:M2417)&lt;9,OR(M2417=0,N2417&lt;6)),1,0)</x:f>
        <x:v>1</x:v>
      </x:c>
      <x:c r="P2417" s="19" t="n">
        <x:f>IF(AND(SUM(K2417:M2417)&lt;9,OR(L2417=0,N2417&lt;6)),1,0)</x:f>
        <x:v>1</x:v>
      </x:c>
      <x:c r="Q2417" s="19" t="n">
        <x:f>IF(AND(SUM(K2417:M2417)&lt;9,OR(K2417=0,N2417&lt;6)),1,0)</x:f>
        <x:v>1</x:v>
      </x:c>
      <x:c r="R2417" s="22" t="str">
        <x:f>O2417&amp;P2417&amp;Q2417</x:f>
        <x:v>111</x:v>
      </x:c>
      <x:c r="S2417" s="19" t="n">
        <x:f>IF(I2417=1,IF(J2417=0,Q2417,IF(J2417=1,P2417,IF(J2417=2,O2417,0))),0)</x:f>
        <x:v>1</x:v>
      </x:c>
      <x:c r="T2417" s="19" t="n">
        <x:f>K2417+IF(AND(S2417=1,J2417=0),1,0)</x:f>
        <x:v>6</x:v>
      </x:c>
      <x:c r="U2417" s="19" t="n">
        <x:f>L2417+IF(AND(S2417=1,J2417=1),1,0)</x:f>
        <x:v>1</x:v>
      </x:c>
      <x:c r="V2417" s="19" t="n">
        <x:f>M2417+IF(AND(S2417=1,J2417=2),1,0)</x:f>
        <x:v>1</x:v>
      </x:c>
      <x:c r="W2417" s="19" t="n">
        <x:f>SUM(T2417:V2417)</x:f>
        <x:v>8</x:v>
      </x:c>
      <x:c r="X2417" s="19" t="n">
        <x:f>W2417-G2417</x:f>
        <x:v>0</x:v>
      </x:c>
      <x:c r="Y2417" s="19" t="n">
        <x:f>MAX(T2417,1)+MAX(U2417,1)+MAX(V2417,1)</x:f>
        <x:v>8</x:v>
      </x:c>
      <x:c r="Z2417" s="21" t="str">
        <x:f>IF(AND(MIN(D2417:F2417)&gt;=0,MAX(D2417:F2417)&lt;=7,MAX(D2417,1)+MAX(E2417,1)+MAX(F2417,1)&lt;=9,OR(H2417="-",AND(H2417=0,D2417&gt;0),AND(H2417=1,E2417&gt;0),AND(H2417=2,F2417&gt;0)),OR(I2417=0,AND(I2417=1,OR(J2417=0,J2417=1,J2417=2),R2417&lt;&gt;"000")),Y2417&lt;=9,MIN(T2417:V2417)&gt;=0),"合法","输入违约")</x:f>
        <x:v>合法</x:v>
      </x:c>
    </x:row>
    <x:row r="2418" ht="23" customHeight="1">
      <x:c r="A2418" s="3" t="str">
        <x:v>CT-2411</x:v>
      </x:c>
      <x:c r="B2418" s="3" t="str">
        <x:v>ST-161</x:v>
      </x:c>
      <x:c r="C2418" s="3" t="str">
        <x:v>R+AR同收同发</x:v>
      </x:c>
      <x:c r="D2418" s="25" t="n">
        <x:v>7</x:v>
      </x:c>
      <x:c r="E2418" s="25" t="n">
        <x:v>0</x:v>
      </x:c>
      <x:c r="F2418" s="25" t="n">
        <x:v>1</x:v>
      </x:c>
      <x:c r="G2418" s="19" t="n">
        <x:f>SUM(D2418:F2418)</x:f>
        <x:v>8</x:v>
      </x:c>
      <x:c r="H2418" s="25" t="n">
        <x:v>0</x:v>
      </x:c>
      <x:c r="I2418" s="25" t="n">
        <x:v>1</x:v>
      </x:c>
      <x:c r="J2418" s="25" t="n">
        <x:v>2</x:v>
      </x:c>
      <x:c r="K2418" s="19" t="n">
        <x:f>D2418-IF(H2418=0,1,0)</x:f>
        <x:v>6</x:v>
      </x:c>
      <x:c r="L2418" s="19" t="n">
        <x:f>E2418-IF(H2418=1,1,0)</x:f>
        <x:v>0</x:v>
      </x:c>
      <x:c r="M2418" s="19" t="n">
        <x:f>F2418-IF(H2418=2,1,0)</x:f>
        <x:v>1</x:v>
      </x:c>
      <x:c r="N2418" s="19" t="n">
        <x:f>MAX(K2418-1,0)+MAX(L2418-1,0)+MAX(M2418-1,0)</x:f>
        <x:v>5</x:v>
      </x:c>
      <x:c r="O2418" s="19" t="n">
        <x:f>IF(AND(SUM(K2418:M2418)&lt;9,OR(M2418=0,N2418&lt;6)),1,0)</x:f>
        <x:v>1</x:v>
      </x:c>
      <x:c r="P2418" s="19" t="n">
        <x:f>IF(AND(SUM(K2418:M2418)&lt;9,OR(L2418=0,N2418&lt;6)),1,0)</x:f>
        <x:v>1</x:v>
      </x:c>
      <x:c r="Q2418" s="19" t="n">
        <x:f>IF(AND(SUM(K2418:M2418)&lt;9,OR(K2418=0,N2418&lt;6)),1,0)</x:f>
        <x:v>1</x:v>
      </x:c>
      <x:c r="R2418" s="22" t="str">
        <x:f>O2418&amp;P2418&amp;Q2418</x:f>
        <x:v>111</x:v>
      </x:c>
      <x:c r="S2418" s="19" t="n">
        <x:f>IF(I2418=1,IF(J2418=0,Q2418,IF(J2418=1,P2418,IF(J2418=2,O2418,0))),0)</x:f>
        <x:v>1</x:v>
      </x:c>
      <x:c r="T2418" s="19" t="n">
        <x:f>K2418+IF(AND(S2418=1,J2418=0),1,0)</x:f>
        <x:v>6</x:v>
      </x:c>
      <x:c r="U2418" s="19" t="n">
        <x:f>L2418+IF(AND(S2418=1,J2418=1),1,0)</x:f>
        <x:v>0</x:v>
      </x:c>
      <x:c r="V2418" s="19" t="n">
        <x:f>M2418+IF(AND(S2418=1,J2418=2),1,0)</x:f>
        <x:v>2</x:v>
      </x:c>
      <x:c r="W2418" s="19" t="n">
        <x:f>SUM(T2418:V2418)</x:f>
        <x:v>8</x:v>
      </x:c>
      <x:c r="X2418" s="19" t="n">
        <x:f>W2418-G2418</x:f>
        <x:v>0</x:v>
      </x:c>
      <x:c r="Y2418" s="19" t="n">
        <x:f>MAX(T2418,1)+MAX(U2418,1)+MAX(V2418,1)</x:f>
        <x:v>9</x:v>
      </x:c>
      <x:c r="Z2418" s="21" t="str">
        <x:f>IF(AND(MIN(D2418:F2418)&gt;=0,MAX(D2418:F2418)&lt;=7,MAX(D2418,1)+MAX(E2418,1)+MAX(F2418,1)&lt;=9,OR(H2418="-",AND(H2418=0,D2418&gt;0),AND(H2418=1,E2418&gt;0),AND(H2418=2,F2418&gt;0)),OR(I2418=0,AND(I2418=1,OR(J2418=0,J2418=1,J2418=2),R2418&lt;&gt;"000")),Y2418&lt;=9,MIN(T2418:V2418)&gt;=0),"合法","输入违约")</x:f>
        <x:v>合法</x:v>
      </x:c>
    </x:row>
    <x:row r="2419" ht="23" customHeight="1">
      <x:c r="A2419" s="3" t="str">
        <x:v>CT-2412</x:v>
      </x:c>
      <x:c r="B2419" s="3" t="str">
        <x:v>ST-161</x:v>
      </x:c>
      <x:c r="C2419" s="3" t="str">
        <x:v>仅R回收</x:v>
      </x:c>
      <x:c r="D2419" s="25" t="n">
        <x:v>7</x:v>
      </x:c>
      <x:c r="E2419" s="25" t="n">
        <x:v>0</x:v>
      </x:c>
      <x:c r="F2419" s="25" t="n">
        <x:v>1</x:v>
      </x:c>
      <x:c r="G2419" s="19" t="n">
        <x:f>SUM(D2419:F2419)</x:f>
        <x:v>8</x:v>
      </x:c>
      <x:c r="H2419" s="25" t="n">
        <x:v>2</x:v>
      </x:c>
      <x:c r="I2419" s="25" t="n">
        <x:v>0</x:v>
      </x:c>
      <x:c r="J2419" s="25" t="str">
        <x:v>-</x:v>
      </x:c>
      <x:c r="K2419" s="19" t="n">
        <x:f>D2419-IF(H2419=0,1,0)</x:f>
        <x:v>7</x:v>
      </x:c>
      <x:c r="L2419" s="19" t="n">
        <x:f>E2419-IF(H2419=1,1,0)</x:f>
        <x:v>0</x:v>
      </x:c>
      <x:c r="M2419" s="19" t="n">
        <x:f>F2419-IF(H2419=2,1,0)</x:f>
        <x:v>0</x:v>
      </x:c>
      <x:c r="N2419" s="19" t="n">
        <x:f>MAX(K2419-1,0)+MAX(L2419-1,0)+MAX(M2419-1,0)</x:f>
        <x:v>6</x:v>
      </x:c>
      <x:c r="O2419" s="19" t="n">
        <x:f>IF(AND(SUM(K2419:M2419)&lt;9,OR(M2419=0,N2419&lt;6)),1,0)</x:f>
        <x:v>1</x:v>
      </x:c>
      <x:c r="P2419" s="19" t="n">
        <x:f>IF(AND(SUM(K2419:M2419)&lt;9,OR(L2419=0,N2419&lt;6)),1,0)</x:f>
        <x:v>1</x:v>
      </x:c>
      <x:c r="Q2419" s="19" t="n">
        <x:f>IF(AND(SUM(K2419:M2419)&lt;9,OR(K2419=0,N2419&lt;6)),1,0)</x:f>
        <x:v>0</x:v>
      </x:c>
      <x:c r="R2419" s="22" t="str">
        <x:f>O2419&amp;P2419&amp;Q2419</x:f>
        <x:v>110</x:v>
      </x:c>
      <x:c r="S2419" s="19" t="n">
        <x:f>IF(I2419=1,IF(J2419=0,Q2419,IF(J2419=1,P2419,IF(J2419=2,O2419,0))),0)</x:f>
        <x:v>0</x:v>
      </x:c>
      <x:c r="T2419" s="19" t="n">
        <x:f>K2419+IF(AND(S2419=1,J2419=0),1,0)</x:f>
        <x:v>7</x:v>
      </x:c>
      <x:c r="U2419" s="19" t="n">
        <x:f>L2419+IF(AND(S2419=1,J2419=1),1,0)</x:f>
        <x:v>0</x:v>
      </x:c>
      <x:c r="V2419" s="19" t="n">
        <x:f>M2419+IF(AND(S2419=1,J2419=2),1,0)</x:f>
        <x:v>0</x:v>
      </x:c>
      <x:c r="W2419" s="19" t="n">
        <x:f>SUM(T2419:V2419)</x:f>
        <x:v>7</x:v>
      </x:c>
      <x:c r="X2419" s="19" t="n">
        <x:f>W2419-G2419</x:f>
        <x:v>-1</x:v>
      </x:c>
      <x:c r="Y2419" s="19" t="n">
        <x:f>MAX(T2419,1)+MAX(U2419,1)+MAX(V2419,1)</x:f>
        <x:v>9</x:v>
      </x:c>
      <x:c r="Z2419" s="21" t="str">
        <x:f>IF(AND(MIN(D2419:F2419)&gt;=0,MAX(D2419:F2419)&lt;=7,MAX(D2419,1)+MAX(E2419,1)+MAX(F2419,1)&lt;=9,OR(H2419="-",AND(H2419=0,D2419&gt;0),AND(H2419=1,E2419&gt;0),AND(H2419=2,F2419&gt;0)),OR(I2419=0,AND(I2419=1,OR(J2419=0,J2419=1,J2419=2),R2419&lt;&gt;"000")),Y2419&lt;=9,MIN(T2419:V2419)&gt;=0),"合法","输入违约")</x:f>
        <x:v>合法</x:v>
      </x:c>
    </x:row>
    <x:row r="2420" ht="23" customHeight="1">
      <x:c r="A2420" s="3" t="str">
        <x:v>CT-2413</x:v>
      </x:c>
      <x:c r="B2420" s="3" t="str">
        <x:v>ST-161</x:v>
      </x:c>
      <x:c r="C2420" s="3" t="str">
        <x:v>仅R回收</x:v>
      </x:c>
      <x:c r="D2420" s="25" t="n">
        <x:v>7</x:v>
      </x:c>
      <x:c r="E2420" s="25" t="n">
        <x:v>0</x:v>
      </x:c>
      <x:c r="F2420" s="25" t="n">
        <x:v>1</x:v>
      </x:c>
      <x:c r="G2420" s="19" t="n">
        <x:f>SUM(D2420:F2420)</x:f>
        <x:v>8</x:v>
      </x:c>
      <x:c r="H2420" s="25" t="n">
        <x:v>2</x:v>
      </x:c>
      <x:c r="I2420" s="25" t="n">
        <x:v>1</x:v>
      </x:c>
      <x:c r="J2420" s="25" t="n">
        <x:v>0</x:v>
      </x:c>
      <x:c r="K2420" s="19" t="n">
        <x:f>D2420-IF(H2420=0,1,0)</x:f>
        <x:v>7</x:v>
      </x:c>
      <x:c r="L2420" s="19" t="n">
        <x:f>E2420-IF(H2420=1,1,0)</x:f>
        <x:v>0</x:v>
      </x:c>
      <x:c r="M2420" s="19" t="n">
        <x:f>F2420-IF(H2420=2,1,0)</x:f>
        <x:v>0</x:v>
      </x:c>
      <x:c r="N2420" s="19" t="n">
        <x:f>MAX(K2420-1,0)+MAX(L2420-1,0)+MAX(M2420-1,0)</x:f>
        <x:v>6</x:v>
      </x:c>
      <x:c r="O2420" s="19" t="n">
        <x:f>IF(AND(SUM(K2420:M2420)&lt;9,OR(M2420=0,N2420&lt;6)),1,0)</x:f>
        <x:v>1</x:v>
      </x:c>
      <x:c r="P2420" s="19" t="n">
        <x:f>IF(AND(SUM(K2420:M2420)&lt;9,OR(L2420=0,N2420&lt;6)),1,0)</x:f>
        <x:v>1</x:v>
      </x:c>
      <x:c r="Q2420" s="19" t="n">
        <x:f>IF(AND(SUM(K2420:M2420)&lt;9,OR(K2420=0,N2420&lt;6)),1,0)</x:f>
        <x:v>0</x:v>
      </x:c>
      <x:c r="R2420" s="22" t="str">
        <x:f>O2420&amp;P2420&amp;Q2420</x:f>
        <x:v>110</x:v>
      </x:c>
      <x:c r="S2420" s="19" t="n">
        <x:f>IF(I2420=1,IF(J2420=0,Q2420,IF(J2420=1,P2420,IF(J2420=2,O2420,0))),0)</x:f>
        <x:v>0</x:v>
      </x:c>
      <x:c r="T2420" s="19" t="n">
        <x:f>K2420+IF(AND(S2420=1,J2420=0),1,0)</x:f>
        <x:v>7</x:v>
      </x:c>
      <x:c r="U2420" s="19" t="n">
        <x:f>L2420+IF(AND(S2420=1,J2420=1),1,0)</x:f>
        <x:v>0</x:v>
      </x:c>
      <x:c r="V2420" s="19" t="n">
        <x:f>M2420+IF(AND(S2420=1,J2420=2),1,0)</x:f>
        <x:v>0</x:v>
      </x:c>
      <x:c r="W2420" s="19" t="n">
        <x:f>SUM(T2420:V2420)</x:f>
        <x:v>7</x:v>
      </x:c>
      <x:c r="X2420" s="19" t="n">
        <x:f>W2420-G2420</x:f>
        <x:v>-1</x:v>
      </x:c>
      <x:c r="Y2420" s="19" t="n">
        <x:f>MAX(T2420,1)+MAX(U2420,1)+MAX(V2420,1)</x:f>
        <x:v>9</x:v>
      </x:c>
      <x:c r="Z2420" s="21" t="str">
        <x:f>IF(AND(MIN(D2420:F2420)&gt;=0,MAX(D2420:F2420)&lt;=7,MAX(D2420,1)+MAX(E2420,1)+MAX(F2420,1)&lt;=9,OR(H2420="-",AND(H2420=0,D2420&gt;0),AND(H2420=1,E2420&gt;0),AND(H2420=2,F2420&gt;0)),OR(I2420=0,AND(I2420=1,OR(J2420=0,J2420=1,J2420=2),R2420&lt;&gt;"000")),Y2420&lt;=9,MIN(T2420:V2420)&gt;=0),"合法","输入违约")</x:f>
        <x:v>合法</x:v>
      </x:c>
    </x:row>
    <x:row r="2421" ht="23" customHeight="1">
      <x:c r="A2421" s="3" t="str">
        <x:v>CT-2414</x:v>
      </x:c>
      <x:c r="B2421" s="3" t="str">
        <x:v>ST-161</x:v>
      </x:c>
      <x:c r="C2421" s="3" t="str">
        <x:v>R+AR同收同发</x:v>
      </x:c>
      <x:c r="D2421" s="25" t="n">
        <x:v>7</x:v>
      </x:c>
      <x:c r="E2421" s="25" t="n">
        <x:v>0</x:v>
      </x:c>
      <x:c r="F2421" s="25" t="n">
        <x:v>1</x:v>
      </x:c>
      <x:c r="G2421" s="19" t="n">
        <x:f>SUM(D2421:F2421)</x:f>
        <x:v>8</x:v>
      </x:c>
      <x:c r="H2421" s="25" t="n">
        <x:v>2</x:v>
      </x:c>
      <x:c r="I2421" s="25" t="n">
        <x:v>1</x:v>
      </x:c>
      <x:c r="J2421" s="25" t="n">
        <x:v>1</x:v>
      </x:c>
      <x:c r="K2421" s="19" t="n">
        <x:f>D2421-IF(H2421=0,1,0)</x:f>
        <x:v>7</x:v>
      </x:c>
      <x:c r="L2421" s="19" t="n">
        <x:f>E2421-IF(H2421=1,1,0)</x:f>
        <x:v>0</x:v>
      </x:c>
      <x:c r="M2421" s="19" t="n">
        <x:f>F2421-IF(H2421=2,1,0)</x:f>
        <x:v>0</x:v>
      </x:c>
      <x:c r="N2421" s="19" t="n">
        <x:f>MAX(K2421-1,0)+MAX(L2421-1,0)+MAX(M2421-1,0)</x:f>
        <x:v>6</x:v>
      </x:c>
      <x:c r="O2421" s="19" t="n">
        <x:f>IF(AND(SUM(K2421:M2421)&lt;9,OR(M2421=0,N2421&lt;6)),1,0)</x:f>
        <x:v>1</x:v>
      </x:c>
      <x:c r="P2421" s="19" t="n">
        <x:f>IF(AND(SUM(K2421:M2421)&lt;9,OR(L2421=0,N2421&lt;6)),1,0)</x:f>
        <x:v>1</x:v>
      </x:c>
      <x:c r="Q2421" s="19" t="n">
        <x:f>IF(AND(SUM(K2421:M2421)&lt;9,OR(K2421=0,N2421&lt;6)),1,0)</x:f>
        <x:v>0</x:v>
      </x:c>
      <x:c r="R2421" s="22" t="str">
        <x:f>O2421&amp;P2421&amp;Q2421</x:f>
        <x:v>110</x:v>
      </x:c>
      <x:c r="S2421" s="19" t="n">
        <x:f>IF(I2421=1,IF(J2421=0,Q2421,IF(J2421=1,P2421,IF(J2421=2,O2421,0))),0)</x:f>
        <x:v>1</x:v>
      </x:c>
      <x:c r="T2421" s="19" t="n">
        <x:f>K2421+IF(AND(S2421=1,J2421=0),1,0)</x:f>
        <x:v>7</x:v>
      </x:c>
      <x:c r="U2421" s="19" t="n">
        <x:f>L2421+IF(AND(S2421=1,J2421=1),1,0)</x:f>
        <x:v>1</x:v>
      </x:c>
      <x:c r="V2421" s="19" t="n">
        <x:f>M2421+IF(AND(S2421=1,J2421=2),1,0)</x:f>
        <x:v>0</x:v>
      </x:c>
      <x:c r="W2421" s="19" t="n">
        <x:f>SUM(T2421:V2421)</x:f>
        <x:v>8</x:v>
      </x:c>
      <x:c r="X2421" s="19" t="n">
        <x:f>W2421-G2421</x:f>
        <x:v>0</x:v>
      </x:c>
      <x:c r="Y2421" s="19" t="n">
        <x:f>MAX(T2421,1)+MAX(U2421,1)+MAX(V2421,1)</x:f>
        <x:v>9</x:v>
      </x:c>
      <x:c r="Z2421" s="21" t="str">
        <x:f>IF(AND(MIN(D2421:F2421)&gt;=0,MAX(D2421:F2421)&lt;=7,MAX(D2421,1)+MAX(E2421,1)+MAX(F2421,1)&lt;=9,OR(H2421="-",AND(H2421=0,D2421&gt;0),AND(H2421=1,E2421&gt;0),AND(H2421=2,F2421&gt;0)),OR(I2421=0,AND(I2421=1,OR(J2421=0,J2421=1,J2421=2),R2421&lt;&gt;"000")),Y2421&lt;=9,MIN(T2421:V2421)&gt;=0),"合法","输入违约")</x:f>
        <x:v>合法</x:v>
      </x:c>
    </x:row>
    <x:row r="2422" ht="23" customHeight="1">
      <x:c r="A2422" s="3" t="str">
        <x:v>CT-2415</x:v>
      </x:c>
      <x:c r="B2422" s="3" t="str">
        <x:v>ST-161</x:v>
      </x:c>
      <x:c r="C2422" s="3" t="str">
        <x:v>R+AR同收同发</x:v>
      </x:c>
      <x:c r="D2422" s="25" t="n">
        <x:v>7</x:v>
      </x:c>
      <x:c r="E2422" s="25" t="n">
        <x:v>0</x:v>
      </x:c>
      <x:c r="F2422" s="25" t="n">
        <x:v>1</x:v>
      </x:c>
      <x:c r="G2422" s="19" t="n">
        <x:f>SUM(D2422:F2422)</x:f>
        <x:v>8</x:v>
      </x:c>
      <x:c r="H2422" s="25" t="n">
        <x:v>2</x:v>
      </x:c>
      <x:c r="I2422" s="25" t="n">
        <x:v>1</x:v>
      </x:c>
      <x:c r="J2422" s="25" t="n">
        <x:v>2</x:v>
      </x:c>
      <x:c r="K2422" s="19" t="n">
        <x:f>D2422-IF(H2422=0,1,0)</x:f>
        <x:v>7</x:v>
      </x:c>
      <x:c r="L2422" s="19" t="n">
        <x:f>E2422-IF(H2422=1,1,0)</x:f>
        <x:v>0</x:v>
      </x:c>
      <x:c r="M2422" s="19" t="n">
        <x:f>F2422-IF(H2422=2,1,0)</x:f>
        <x:v>0</x:v>
      </x:c>
      <x:c r="N2422" s="19" t="n">
        <x:f>MAX(K2422-1,0)+MAX(L2422-1,0)+MAX(M2422-1,0)</x:f>
        <x:v>6</x:v>
      </x:c>
      <x:c r="O2422" s="19" t="n">
        <x:f>IF(AND(SUM(K2422:M2422)&lt;9,OR(M2422=0,N2422&lt;6)),1,0)</x:f>
        <x:v>1</x:v>
      </x:c>
      <x:c r="P2422" s="19" t="n">
        <x:f>IF(AND(SUM(K2422:M2422)&lt;9,OR(L2422=0,N2422&lt;6)),1,0)</x:f>
        <x:v>1</x:v>
      </x:c>
      <x:c r="Q2422" s="19" t="n">
        <x:f>IF(AND(SUM(K2422:M2422)&lt;9,OR(K2422=0,N2422&lt;6)),1,0)</x:f>
        <x:v>0</x:v>
      </x:c>
      <x:c r="R2422" s="22" t="str">
        <x:f>O2422&amp;P2422&amp;Q2422</x:f>
        <x:v>110</x:v>
      </x:c>
      <x:c r="S2422" s="19" t="n">
        <x:f>IF(I2422=1,IF(J2422=0,Q2422,IF(J2422=1,P2422,IF(J2422=2,O2422,0))),0)</x:f>
        <x:v>1</x:v>
      </x:c>
      <x:c r="T2422" s="19" t="n">
        <x:f>K2422+IF(AND(S2422=1,J2422=0),1,0)</x:f>
        <x:v>7</x:v>
      </x:c>
      <x:c r="U2422" s="19" t="n">
        <x:f>L2422+IF(AND(S2422=1,J2422=1),1,0)</x:f>
        <x:v>0</x:v>
      </x:c>
      <x:c r="V2422" s="19" t="n">
        <x:f>M2422+IF(AND(S2422=1,J2422=2),1,0)</x:f>
        <x:v>1</x:v>
      </x:c>
      <x:c r="W2422" s="19" t="n">
        <x:f>SUM(T2422:V2422)</x:f>
        <x:v>8</x:v>
      </x:c>
      <x:c r="X2422" s="19" t="n">
        <x:f>W2422-G2422</x:f>
        <x:v>0</x:v>
      </x:c>
      <x:c r="Y2422" s="19" t="n">
        <x:f>MAX(T2422,1)+MAX(U2422,1)+MAX(V2422,1)</x:f>
        <x:v>9</x:v>
      </x:c>
      <x:c r="Z2422" s="21" t="str">
        <x:f>IF(AND(MIN(D2422:F2422)&gt;=0,MAX(D2422:F2422)&lt;=7,MAX(D2422,1)+MAX(E2422,1)+MAX(F2422,1)&lt;=9,OR(H2422="-",AND(H2422=0,D2422&gt;0),AND(H2422=1,E2422&gt;0),AND(H2422=2,F2422&gt;0)),OR(I2422=0,AND(I2422=1,OR(J2422=0,J2422=1,J2422=2),R2422&lt;&gt;"000")),Y2422&lt;=9,MIN(T2422:V2422)&gt;=0),"合法","输入违约")</x:f>
        <x:v>合法</x:v>
      </x:c>
    </x:row>
    <x:row r="2423" ht="23" customHeight="1">
      <x:c r="A2423" s="3" t="str">
        <x:v>CT-2416</x:v>
      </x:c>
      <x:c r="B2423" s="3" t="str">
        <x:v>ST-162</x:v>
      </x:c>
      <x:c r="C2423" s="3" t="str">
        <x:v>无AR/R</x:v>
      </x:c>
      <x:c r="D2423" s="25" t="n">
        <x:v>7</x:v>
      </x:c>
      <x:c r="E2423" s="25" t="n">
        <x:v>1</x:v>
      </x:c>
      <x:c r="F2423" s="25" t="n">
        <x:v>0</x:v>
      </x:c>
      <x:c r="G2423" s="19" t="n">
        <x:f>SUM(D2423:F2423)</x:f>
        <x:v>8</x:v>
      </x:c>
      <x:c r="H2423" s="25" t="str">
        <x:v>-</x:v>
      </x:c>
      <x:c r="I2423" s="25" t="n">
        <x:v>0</x:v>
      </x:c>
      <x:c r="J2423" s="25" t="str">
        <x:v>-</x:v>
      </x:c>
      <x:c r="K2423" s="19" t="n">
        <x:f>D2423-IF(H2423=0,1,0)</x:f>
        <x:v>7</x:v>
      </x:c>
      <x:c r="L2423" s="19" t="n">
        <x:f>E2423-IF(H2423=1,1,0)</x:f>
        <x:v>1</x:v>
      </x:c>
      <x:c r="M2423" s="19" t="n">
        <x:f>F2423-IF(H2423=2,1,0)</x:f>
        <x:v>0</x:v>
      </x:c>
      <x:c r="N2423" s="19" t="n">
        <x:f>MAX(K2423-1,0)+MAX(L2423-1,0)+MAX(M2423-1,0)</x:f>
        <x:v>6</x:v>
      </x:c>
      <x:c r="O2423" s="19" t="n">
        <x:f>IF(AND(SUM(K2423:M2423)&lt;9,OR(M2423=0,N2423&lt;6)),1,0)</x:f>
        <x:v>1</x:v>
      </x:c>
      <x:c r="P2423" s="19" t="n">
        <x:f>IF(AND(SUM(K2423:M2423)&lt;9,OR(L2423=0,N2423&lt;6)),1,0)</x:f>
        <x:v>0</x:v>
      </x:c>
      <x:c r="Q2423" s="19" t="n">
        <x:f>IF(AND(SUM(K2423:M2423)&lt;9,OR(K2423=0,N2423&lt;6)),1,0)</x:f>
        <x:v>0</x:v>
      </x:c>
      <x:c r="R2423" s="22" t="str">
        <x:f>O2423&amp;P2423&amp;Q2423</x:f>
        <x:v>100</x:v>
      </x:c>
      <x:c r="S2423" s="19" t="n">
        <x:f>IF(I2423=1,IF(J2423=0,Q2423,IF(J2423=1,P2423,IF(J2423=2,O2423,0))),0)</x:f>
        <x:v>0</x:v>
      </x:c>
      <x:c r="T2423" s="19" t="n">
        <x:f>K2423+IF(AND(S2423=1,J2423=0),1,0)</x:f>
        <x:v>7</x:v>
      </x:c>
      <x:c r="U2423" s="19" t="n">
        <x:f>L2423+IF(AND(S2423=1,J2423=1),1,0)</x:f>
        <x:v>1</x:v>
      </x:c>
      <x:c r="V2423" s="19" t="n">
        <x:f>M2423+IF(AND(S2423=1,J2423=2),1,0)</x:f>
        <x:v>0</x:v>
      </x:c>
      <x:c r="W2423" s="19" t="n">
        <x:f>SUM(T2423:V2423)</x:f>
        <x:v>8</x:v>
      </x:c>
      <x:c r="X2423" s="19" t="n">
        <x:f>W2423-G2423</x:f>
        <x:v>0</x:v>
      </x:c>
      <x:c r="Y2423" s="19" t="n">
        <x:f>MAX(T2423,1)+MAX(U2423,1)+MAX(V2423,1)</x:f>
        <x:v>9</x:v>
      </x:c>
      <x:c r="Z2423" s="21" t="str">
        <x:f>IF(AND(MIN(D2423:F2423)&gt;=0,MAX(D2423:F2423)&lt;=7,MAX(D2423,1)+MAX(E2423,1)+MAX(F2423,1)&lt;=9,OR(H2423="-",AND(H2423=0,D2423&gt;0),AND(H2423=1,E2423&gt;0),AND(H2423=2,F2423&gt;0)),OR(I2423=0,AND(I2423=1,OR(J2423=0,J2423=1,J2423=2),R2423&lt;&gt;"000")),Y2423&lt;=9,MIN(T2423:V2423)&gt;=0),"合法","输入违约")</x:f>
        <x:v>合法</x:v>
      </x:c>
    </x:row>
    <x:row r="2424" ht="23" customHeight="1">
      <x:c r="A2424" s="3" t="str">
        <x:v>CT-2417</x:v>
      </x:c>
      <x:c r="B2424" s="3" t="str">
        <x:v>ST-162</x:v>
      </x:c>
      <x:c r="C2424" s="3" t="str">
        <x:v>所选源被阻塞</x:v>
      </x:c>
      <x:c r="D2424" s="25" t="n">
        <x:v>7</x:v>
      </x:c>
      <x:c r="E2424" s="25" t="n">
        <x:v>1</x:v>
      </x:c>
      <x:c r="F2424" s="25" t="n">
        <x:v>0</x:v>
      </x:c>
      <x:c r="G2424" s="19" t="n">
        <x:f>SUM(D2424:F2424)</x:f>
        <x:v>8</x:v>
      </x:c>
      <x:c r="H2424" s="25" t="str">
        <x:v>-</x:v>
      </x:c>
      <x:c r="I2424" s="25" t="n">
        <x:v>1</x:v>
      </x:c>
      <x:c r="J2424" s="25" t="n">
        <x:v>0</x:v>
      </x:c>
      <x:c r="K2424" s="19" t="n">
        <x:f>D2424-IF(H2424=0,1,0)</x:f>
        <x:v>7</x:v>
      </x:c>
      <x:c r="L2424" s="19" t="n">
        <x:f>E2424-IF(H2424=1,1,0)</x:f>
        <x:v>1</x:v>
      </x:c>
      <x:c r="M2424" s="19" t="n">
        <x:f>F2424-IF(H2424=2,1,0)</x:f>
        <x:v>0</x:v>
      </x:c>
      <x:c r="N2424" s="19" t="n">
        <x:f>MAX(K2424-1,0)+MAX(L2424-1,0)+MAX(M2424-1,0)</x:f>
        <x:v>6</x:v>
      </x:c>
      <x:c r="O2424" s="19" t="n">
        <x:f>IF(AND(SUM(K2424:M2424)&lt;9,OR(M2424=0,N2424&lt;6)),1,0)</x:f>
        <x:v>1</x:v>
      </x:c>
      <x:c r="P2424" s="19" t="n">
        <x:f>IF(AND(SUM(K2424:M2424)&lt;9,OR(L2424=0,N2424&lt;6)),1,0)</x:f>
        <x:v>0</x:v>
      </x:c>
      <x:c r="Q2424" s="19" t="n">
        <x:f>IF(AND(SUM(K2424:M2424)&lt;9,OR(K2424=0,N2424&lt;6)),1,0)</x:f>
        <x:v>0</x:v>
      </x:c>
      <x:c r="R2424" s="22" t="str">
        <x:f>O2424&amp;P2424&amp;Q2424</x:f>
        <x:v>100</x:v>
      </x:c>
      <x:c r="S2424" s="19" t="n">
        <x:f>IF(I2424=1,IF(J2424=0,Q2424,IF(J2424=1,P2424,IF(J2424=2,O2424,0))),0)</x:f>
        <x:v>0</x:v>
      </x:c>
      <x:c r="T2424" s="19" t="n">
        <x:f>K2424+IF(AND(S2424=1,J2424=0),1,0)</x:f>
        <x:v>7</x:v>
      </x:c>
      <x:c r="U2424" s="19" t="n">
        <x:f>L2424+IF(AND(S2424=1,J2424=1),1,0)</x:f>
        <x:v>1</x:v>
      </x:c>
      <x:c r="V2424" s="19" t="n">
        <x:f>M2424+IF(AND(S2424=1,J2424=2),1,0)</x:f>
        <x:v>0</x:v>
      </x:c>
      <x:c r="W2424" s="19" t="n">
        <x:f>SUM(T2424:V2424)</x:f>
        <x:v>8</x:v>
      </x:c>
      <x:c r="X2424" s="19" t="n">
        <x:f>W2424-G2424</x:f>
        <x:v>0</x:v>
      </x:c>
      <x:c r="Y2424" s="19" t="n">
        <x:f>MAX(T2424,1)+MAX(U2424,1)+MAX(V2424,1)</x:f>
        <x:v>9</x:v>
      </x:c>
      <x:c r="Z2424" s="21" t="str">
        <x:f>IF(AND(MIN(D2424:F2424)&gt;=0,MAX(D2424:F2424)&lt;=7,MAX(D2424,1)+MAX(E2424,1)+MAX(F2424,1)&lt;=9,OR(H2424="-",AND(H2424=0,D2424&gt;0),AND(H2424=1,E2424&gt;0),AND(H2424=2,F2424&gt;0)),OR(I2424=0,AND(I2424=1,OR(J2424=0,J2424=1,J2424=2),R2424&lt;&gt;"000")),Y2424&lt;=9,MIN(T2424:V2424)&gt;=0),"合法","输入违约")</x:f>
        <x:v>合法</x:v>
      </x:c>
    </x:row>
    <x:row r="2425" ht="23" customHeight="1">
      <x:c r="A2425" s="3" t="str">
        <x:v>CT-2418</x:v>
      </x:c>
      <x:c r="B2425" s="3" t="str">
        <x:v>ST-162</x:v>
      </x:c>
      <x:c r="C2425" s="3" t="str">
        <x:v>所选源被阻塞</x:v>
      </x:c>
      <x:c r="D2425" s="25" t="n">
        <x:v>7</x:v>
      </x:c>
      <x:c r="E2425" s="25" t="n">
        <x:v>1</x:v>
      </x:c>
      <x:c r="F2425" s="25" t="n">
        <x:v>0</x:v>
      </x:c>
      <x:c r="G2425" s="19" t="n">
        <x:f>SUM(D2425:F2425)</x:f>
        <x:v>8</x:v>
      </x:c>
      <x:c r="H2425" s="25" t="str">
        <x:v>-</x:v>
      </x:c>
      <x:c r="I2425" s="25" t="n">
        <x:v>1</x:v>
      </x:c>
      <x:c r="J2425" s="25" t="n">
        <x:v>1</x:v>
      </x:c>
      <x:c r="K2425" s="19" t="n">
        <x:f>D2425-IF(H2425=0,1,0)</x:f>
        <x:v>7</x:v>
      </x:c>
      <x:c r="L2425" s="19" t="n">
        <x:f>E2425-IF(H2425=1,1,0)</x:f>
        <x:v>1</x:v>
      </x:c>
      <x:c r="M2425" s="19" t="n">
        <x:f>F2425-IF(H2425=2,1,0)</x:f>
        <x:v>0</x:v>
      </x:c>
      <x:c r="N2425" s="19" t="n">
        <x:f>MAX(K2425-1,0)+MAX(L2425-1,0)+MAX(M2425-1,0)</x:f>
        <x:v>6</x:v>
      </x:c>
      <x:c r="O2425" s="19" t="n">
        <x:f>IF(AND(SUM(K2425:M2425)&lt;9,OR(M2425=0,N2425&lt;6)),1,0)</x:f>
        <x:v>1</x:v>
      </x:c>
      <x:c r="P2425" s="19" t="n">
        <x:f>IF(AND(SUM(K2425:M2425)&lt;9,OR(L2425=0,N2425&lt;6)),1,0)</x:f>
        <x:v>0</x:v>
      </x:c>
      <x:c r="Q2425" s="19" t="n">
        <x:f>IF(AND(SUM(K2425:M2425)&lt;9,OR(K2425=0,N2425&lt;6)),1,0)</x:f>
        <x:v>0</x:v>
      </x:c>
      <x:c r="R2425" s="22" t="str">
        <x:f>O2425&amp;P2425&amp;Q2425</x:f>
        <x:v>100</x:v>
      </x:c>
      <x:c r="S2425" s="19" t="n">
        <x:f>IF(I2425=1,IF(J2425=0,Q2425,IF(J2425=1,P2425,IF(J2425=2,O2425,0))),0)</x:f>
        <x:v>0</x:v>
      </x:c>
      <x:c r="T2425" s="19" t="n">
        <x:f>K2425+IF(AND(S2425=1,J2425=0),1,0)</x:f>
        <x:v>7</x:v>
      </x:c>
      <x:c r="U2425" s="19" t="n">
        <x:f>L2425+IF(AND(S2425=1,J2425=1),1,0)</x:f>
        <x:v>1</x:v>
      </x:c>
      <x:c r="V2425" s="19" t="n">
        <x:f>M2425+IF(AND(S2425=1,J2425=2),1,0)</x:f>
        <x:v>0</x:v>
      </x:c>
      <x:c r="W2425" s="19" t="n">
        <x:f>SUM(T2425:V2425)</x:f>
        <x:v>8</x:v>
      </x:c>
      <x:c r="X2425" s="19" t="n">
        <x:f>W2425-G2425</x:f>
        <x:v>0</x:v>
      </x:c>
      <x:c r="Y2425" s="19" t="n">
        <x:f>MAX(T2425,1)+MAX(U2425,1)+MAX(V2425,1)</x:f>
        <x:v>9</x:v>
      </x:c>
      <x:c r="Z2425" s="21" t="str">
        <x:f>IF(AND(MIN(D2425:F2425)&gt;=0,MAX(D2425:F2425)&lt;=7,MAX(D2425,1)+MAX(E2425,1)+MAX(F2425,1)&lt;=9,OR(H2425="-",AND(H2425=0,D2425&gt;0),AND(H2425=1,E2425&gt;0),AND(H2425=2,F2425&gt;0)),OR(I2425=0,AND(I2425=1,OR(J2425=0,J2425=1,J2425=2),R2425&lt;&gt;"000")),Y2425&lt;=9,MIN(T2425:V2425)&gt;=0),"合法","输入违约")</x:f>
        <x:v>合法</x:v>
      </x:c>
    </x:row>
    <x:row r="2426" ht="23" customHeight="1">
      <x:c r="A2426" s="3" t="str">
        <x:v>CT-2419</x:v>
      </x:c>
      <x:c r="B2426" s="3" t="str">
        <x:v>ST-162</x:v>
      </x:c>
      <x:c r="C2426" s="3" t="str">
        <x:v>仅AR接收</x:v>
      </x:c>
      <x:c r="D2426" s="25" t="n">
        <x:v>7</x:v>
      </x:c>
      <x:c r="E2426" s="25" t="n">
        <x:v>1</x:v>
      </x:c>
      <x:c r="F2426" s="25" t="n">
        <x:v>0</x:v>
      </x:c>
      <x:c r="G2426" s="19" t="n">
        <x:f>SUM(D2426:F2426)</x:f>
        <x:v>8</x:v>
      </x:c>
      <x:c r="H2426" s="25" t="str">
        <x:v>-</x:v>
      </x:c>
      <x:c r="I2426" s="25" t="n">
        <x:v>1</x:v>
      </x:c>
      <x:c r="J2426" s="25" t="n">
        <x:v>2</x:v>
      </x:c>
      <x:c r="K2426" s="19" t="n">
        <x:f>D2426-IF(H2426=0,1,0)</x:f>
        <x:v>7</x:v>
      </x:c>
      <x:c r="L2426" s="19" t="n">
        <x:f>E2426-IF(H2426=1,1,0)</x:f>
        <x:v>1</x:v>
      </x:c>
      <x:c r="M2426" s="19" t="n">
        <x:f>F2426-IF(H2426=2,1,0)</x:f>
        <x:v>0</x:v>
      </x:c>
      <x:c r="N2426" s="19" t="n">
        <x:f>MAX(K2426-1,0)+MAX(L2426-1,0)+MAX(M2426-1,0)</x:f>
        <x:v>6</x:v>
      </x:c>
      <x:c r="O2426" s="19" t="n">
        <x:f>IF(AND(SUM(K2426:M2426)&lt;9,OR(M2426=0,N2426&lt;6)),1,0)</x:f>
        <x:v>1</x:v>
      </x:c>
      <x:c r="P2426" s="19" t="n">
        <x:f>IF(AND(SUM(K2426:M2426)&lt;9,OR(L2426=0,N2426&lt;6)),1,0)</x:f>
        <x:v>0</x:v>
      </x:c>
      <x:c r="Q2426" s="19" t="n">
        <x:f>IF(AND(SUM(K2426:M2426)&lt;9,OR(K2426=0,N2426&lt;6)),1,0)</x:f>
        <x:v>0</x:v>
      </x:c>
      <x:c r="R2426" s="22" t="str">
        <x:f>O2426&amp;P2426&amp;Q2426</x:f>
        <x:v>100</x:v>
      </x:c>
      <x:c r="S2426" s="19" t="n">
        <x:f>IF(I2426=1,IF(J2426=0,Q2426,IF(J2426=1,P2426,IF(J2426=2,O2426,0))),0)</x:f>
        <x:v>1</x:v>
      </x:c>
      <x:c r="T2426" s="19" t="n">
        <x:f>K2426+IF(AND(S2426=1,J2426=0),1,0)</x:f>
        <x:v>7</x:v>
      </x:c>
      <x:c r="U2426" s="19" t="n">
        <x:f>L2426+IF(AND(S2426=1,J2426=1),1,0)</x:f>
        <x:v>1</x:v>
      </x:c>
      <x:c r="V2426" s="19" t="n">
        <x:f>M2426+IF(AND(S2426=1,J2426=2),1,0)</x:f>
        <x:v>1</x:v>
      </x:c>
      <x:c r="W2426" s="19" t="n">
        <x:f>SUM(T2426:V2426)</x:f>
        <x:v>9</x:v>
      </x:c>
      <x:c r="X2426" s="19" t="n">
        <x:f>W2426-G2426</x:f>
        <x:v>1</x:v>
      </x:c>
      <x:c r="Y2426" s="19" t="n">
        <x:f>MAX(T2426,1)+MAX(U2426,1)+MAX(V2426,1)</x:f>
        <x:v>9</x:v>
      </x:c>
      <x:c r="Z2426" s="21" t="str">
        <x:f>IF(AND(MIN(D2426:F2426)&gt;=0,MAX(D2426:F2426)&lt;=7,MAX(D2426,1)+MAX(E2426,1)+MAX(F2426,1)&lt;=9,OR(H2426="-",AND(H2426=0,D2426&gt;0),AND(H2426=1,E2426&gt;0),AND(H2426=2,F2426&gt;0)),OR(I2426=0,AND(I2426=1,OR(J2426=0,J2426=1,J2426=2),R2426&lt;&gt;"000")),Y2426&lt;=9,MIN(T2426:V2426)&gt;=0),"合法","输入违约")</x:f>
        <x:v>合法</x:v>
      </x:c>
    </x:row>
    <x:row r="2427" ht="23" customHeight="1">
      <x:c r="A2427" s="3" t="str">
        <x:v>CT-2420</x:v>
      </x:c>
      <x:c r="B2427" s="3" t="str">
        <x:v>ST-162</x:v>
      </x:c>
      <x:c r="C2427" s="3" t="str">
        <x:v>仅R回收</x:v>
      </x:c>
      <x:c r="D2427" s="25" t="n">
        <x:v>7</x:v>
      </x:c>
      <x:c r="E2427" s="25" t="n">
        <x:v>1</x:v>
      </x:c>
      <x:c r="F2427" s="25" t="n">
        <x:v>0</x:v>
      </x:c>
      <x:c r="G2427" s="19" t="n">
        <x:f>SUM(D2427:F2427)</x:f>
        <x:v>8</x:v>
      </x:c>
      <x:c r="H2427" s="25" t="n">
        <x:v>0</x:v>
      </x:c>
      <x:c r="I2427" s="25" t="n">
        <x:v>0</x:v>
      </x:c>
      <x:c r="J2427" s="25" t="str">
        <x:v>-</x:v>
      </x:c>
      <x:c r="K2427" s="19" t="n">
        <x:f>D2427-IF(H2427=0,1,0)</x:f>
        <x:v>6</x:v>
      </x:c>
      <x:c r="L2427" s="19" t="n">
        <x:f>E2427-IF(H2427=1,1,0)</x:f>
        <x:v>1</x:v>
      </x:c>
      <x:c r="M2427" s="19" t="n">
        <x:f>F2427-IF(H2427=2,1,0)</x:f>
        <x:v>0</x:v>
      </x:c>
      <x:c r="N2427" s="19" t="n">
        <x:f>MAX(K2427-1,0)+MAX(L2427-1,0)+MAX(M2427-1,0)</x:f>
        <x:v>5</x:v>
      </x:c>
      <x:c r="O2427" s="19" t="n">
        <x:f>IF(AND(SUM(K2427:M2427)&lt;9,OR(M2427=0,N2427&lt;6)),1,0)</x:f>
        <x:v>1</x:v>
      </x:c>
      <x:c r="P2427" s="19" t="n">
        <x:f>IF(AND(SUM(K2427:M2427)&lt;9,OR(L2427=0,N2427&lt;6)),1,0)</x:f>
        <x:v>1</x:v>
      </x:c>
      <x:c r="Q2427" s="19" t="n">
        <x:f>IF(AND(SUM(K2427:M2427)&lt;9,OR(K2427=0,N2427&lt;6)),1,0)</x:f>
        <x:v>1</x:v>
      </x:c>
      <x:c r="R2427" s="22" t="str">
        <x:f>O2427&amp;P2427&amp;Q2427</x:f>
        <x:v>111</x:v>
      </x:c>
      <x:c r="S2427" s="19" t="n">
        <x:f>IF(I2427=1,IF(J2427=0,Q2427,IF(J2427=1,P2427,IF(J2427=2,O2427,0))),0)</x:f>
        <x:v>0</x:v>
      </x:c>
      <x:c r="T2427" s="19" t="n">
        <x:f>K2427+IF(AND(S2427=1,J2427=0),1,0)</x:f>
        <x:v>6</x:v>
      </x:c>
      <x:c r="U2427" s="19" t="n">
        <x:f>L2427+IF(AND(S2427=1,J2427=1),1,0)</x:f>
        <x:v>1</x:v>
      </x:c>
      <x:c r="V2427" s="19" t="n">
        <x:f>M2427+IF(AND(S2427=1,J2427=2),1,0)</x:f>
        <x:v>0</x:v>
      </x:c>
      <x:c r="W2427" s="19" t="n">
        <x:f>SUM(T2427:V2427)</x:f>
        <x:v>7</x:v>
      </x:c>
      <x:c r="X2427" s="19" t="n">
        <x:f>W2427-G2427</x:f>
        <x:v>-1</x:v>
      </x:c>
      <x:c r="Y2427" s="19" t="n">
        <x:f>MAX(T2427,1)+MAX(U2427,1)+MAX(V2427,1)</x:f>
        <x:v>8</x:v>
      </x:c>
      <x:c r="Z2427" s="21" t="str">
        <x:f>IF(AND(MIN(D2427:F2427)&gt;=0,MAX(D2427:F2427)&lt;=7,MAX(D2427,1)+MAX(E2427,1)+MAX(F2427,1)&lt;=9,OR(H2427="-",AND(H2427=0,D2427&gt;0),AND(H2427=1,E2427&gt;0),AND(H2427=2,F2427&gt;0)),OR(I2427=0,AND(I2427=1,OR(J2427=0,J2427=1,J2427=2),R2427&lt;&gt;"000")),Y2427&lt;=9,MIN(T2427:V2427)&gt;=0),"合法","输入违约")</x:f>
        <x:v>合法</x:v>
      </x:c>
    </x:row>
    <x:row r="2428" ht="23" customHeight="1">
      <x:c r="A2428" s="3" t="str">
        <x:v>CT-2421</x:v>
      </x:c>
      <x:c r="B2428" s="3" t="str">
        <x:v>ST-162</x:v>
      </x:c>
      <x:c r="C2428" s="3" t="str">
        <x:v>R+AR同收同发</x:v>
      </x:c>
      <x:c r="D2428" s="25" t="n">
        <x:v>7</x:v>
      </x:c>
      <x:c r="E2428" s="25" t="n">
        <x:v>1</x:v>
      </x:c>
      <x:c r="F2428" s="25" t="n">
        <x:v>0</x:v>
      </x:c>
      <x:c r="G2428" s="19" t="n">
        <x:f>SUM(D2428:F2428)</x:f>
        <x:v>8</x:v>
      </x:c>
      <x:c r="H2428" s="25" t="n">
        <x:v>0</x:v>
      </x:c>
      <x:c r="I2428" s="25" t="n">
        <x:v>1</x:v>
      </x:c>
      <x:c r="J2428" s="25" t="n">
        <x:v>0</x:v>
      </x:c>
      <x:c r="K2428" s="19" t="n">
        <x:f>D2428-IF(H2428=0,1,0)</x:f>
        <x:v>6</x:v>
      </x:c>
      <x:c r="L2428" s="19" t="n">
        <x:f>E2428-IF(H2428=1,1,0)</x:f>
        <x:v>1</x:v>
      </x:c>
      <x:c r="M2428" s="19" t="n">
        <x:f>F2428-IF(H2428=2,1,0)</x:f>
        <x:v>0</x:v>
      </x:c>
      <x:c r="N2428" s="19" t="n">
        <x:f>MAX(K2428-1,0)+MAX(L2428-1,0)+MAX(M2428-1,0)</x:f>
        <x:v>5</x:v>
      </x:c>
      <x:c r="O2428" s="19" t="n">
        <x:f>IF(AND(SUM(K2428:M2428)&lt;9,OR(M2428=0,N2428&lt;6)),1,0)</x:f>
        <x:v>1</x:v>
      </x:c>
      <x:c r="P2428" s="19" t="n">
        <x:f>IF(AND(SUM(K2428:M2428)&lt;9,OR(L2428=0,N2428&lt;6)),1,0)</x:f>
        <x:v>1</x:v>
      </x:c>
      <x:c r="Q2428" s="19" t="n">
        <x:f>IF(AND(SUM(K2428:M2428)&lt;9,OR(K2428=0,N2428&lt;6)),1,0)</x:f>
        <x:v>1</x:v>
      </x:c>
      <x:c r="R2428" s="22" t="str">
        <x:f>O2428&amp;P2428&amp;Q2428</x:f>
        <x:v>111</x:v>
      </x:c>
      <x:c r="S2428" s="19" t="n">
        <x:f>IF(I2428=1,IF(J2428=0,Q2428,IF(J2428=1,P2428,IF(J2428=2,O2428,0))),0)</x:f>
        <x:v>1</x:v>
      </x:c>
      <x:c r="T2428" s="19" t="n">
        <x:f>K2428+IF(AND(S2428=1,J2428=0),1,0)</x:f>
        <x:v>7</x:v>
      </x:c>
      <x:c r="U2428" s="19" t="n">
        <x:f>L2428+IF(AND(S2428=1,J2428=1),1,0)</x:f>
        <x:v>1</x:v>
      </x:c>
      <x:c r="V2428" s="19" t="n">
        <x:f>M2428+IF(AND(S2428=1,J2428=2),1,0)</x:f>
        <x:v>0</x:v>
      </x:c>
      <x:c r="W2428" s="19" t="n">
        <x:f>SUM(T2428:V2428)</x:f>
        <x:v>8</x:v>
      </x:c>
      <x:c r="X2428" s="19" t="n">
        <x:f>W2428-G2428</x:f>
        <x:v>0</x:v>
      </x:c>
      <x:c r="Y2428" s="19" t="n">
        <x:f>MAX(T2428,1)+MAX(U2428,1)+MAX(V2428,1)</x:f>
        <x:v>9</x:v>
      </x:c>
      <x:c r="Z2428" s="21" t="str">
        <x:f>IF(AND(MIN(D2428:F2428)&gt;=0,MAX(D2428:F2428)&lt;=7,MAX(D2428,1)+MAX(E2428,1)+MAX(F2428,1)&lt;=9,OR(H2428="-",AND(H2428=0,D2428&gt;0),AND(H2428=1,E2428&gt;0),AND(H2428=2,F2428&gt;0)),OR(I2428=0,AND(I2428=1,OR(J2428=0,J2428=1,J2428=2),R2428&lt;&gt;"000")),Y2428&lt;=9,MIN(T2428:V2428)&gt;=0),"合法","输入违约")</x:f>
        <x:v>合法</x:v>
      </x:c>
    </x:row>
    <x:row r="2429" ht="23" customHeight="1">
      <x:c r="A2429" s="3" t="str">
        <x:v>CT-2422</x:v>
      </x:c>
      <x:c r="B2429" s="3" t="str">
        <x:v>ST-162</x:v>
      </x:c>
      <x:c r="C2429" s="3" t="str">
        <x:v>R+AR同收同发</x:v>
      </x:c>
      <x:c r="D2429" s="25" t="n">
        <x:v>7</x:v>
      </x:c>
      <x:c r="E2429" s="25" t="n">
        <x:v>1</x:v>
      </x:c>
      <x:c r="F2429" s="25" t="n">
        <x:v>0</x:v>
      </x:c>
      <x:c r="G2429" s="19" t="n">
        <x:f>SUM(D2429:F2429)</x:f>
        <x:v>8</x:v>
      </x:c>
      <x:c r="H2429" s="25" t="n">
        <x:v>0</x:v>
      </x:c>
      <x:c r="I2429" s="25" t="n">
        <x:v>1</x:v>
      </x:c>
      <x:c r="J2429" s="25" t="n">
        <x:v>1</x:v>
      </x:c>
      <x:c r="K2429" s="19" t="n">
        <x:f>D2429-IF(H2429=0,1,0)</x:f>
        <x:v>6</x:v>
      </x:c>
      <x:c r="L2429" s="19" t="n">
        <x:f>E2429-IF(H2429=1,1,0)</x:f>
        <x:v>1</x:v>
      </x:c>
      <x:c r="M2429" s="19" t="n">
        <x:f>F2429-IF(H2429=2,1,0)</x:f>
        <x:v>0</x:v>
      </x:c>
      <x:c r="N2429" s="19" t="n">
        <x:f>MAX(K2429-1,0)+MAX(L2429-1,0)+MAX(M2429-1,0)</x:f>
        <x:v>5</x:v>
      </x:c>
      <x:c r="O2429" s="19" t="n">
        <x:f>IF(AND(SUM(K2429:M2429)&lt;9,OR(M2429=0,N2429&lt;6)),1,0)</x:f>
        <x:v>1</x:v>
      </x:c>
      <x:c r="P2429" s="19" t="n">
        <x:f>IF(AND(SUM(K2429:M2429)&lt;9,OR(L2429=0,N2429&lt;6)),1,0)</x:f>
        <x:v>1</x:v>
      </x:c>
      <x:c r="Q2429" s="19" t="n">
        <x:f>IF(AND(SUM(K2429:M2429)&lt;9,OR(K2429=0,N2429&lt;6)),1,0)</x:f>
        <x:v>1</x:v>
      </x:c>
      <x:c r="R2429" s="22" t="str">
        <x:f>O2429&amp;P2429&amp;Q2429</x:f>
        <x:v>111</x:v>
      </x:c>
      <x:c r="S2429" s="19" t="n">
        <x:f>IF(I2429=1,IF(J2429=0,Q2429,IF(J2429=1,P2429,IF(J2429=2,O2429,0))),0)</x:f>
        <x:v>1</x:v>
      </x:c>
      <x:c r="T2429" s="19" t="n">
        <x:f>K2429+IF(AND(S2429=1,J2429=0),1,0)</x:f>
        <x:v>6</x:v>
      </x:c>
      <x:c r="U2429" s="19" t="n">
        <x:f>L2429+IF(AND(S2429=1,J2429=1),1,0)</x:f>
        <x:v>2</x:v>
      </x:c>
      <x:c r="V2429" s="19" t="n">
        <x:f>M2429+IF(AND(S2429=1,J2429=2),1,0)</x:f>
        <x:v>0</x:v>
      </x:c>
      <x:c r="W2429" s="19" t="n">
        <x:f>SUM(T2429:V2429)</x:f>
        <x:v>8</x:v>
      </x:c>
      <x:c r="X2429" s="19" t="n">
        <x:f>W2429-G2429</x:f>
        <x:v>0</x:v>
      </x:c>
      <x:c r="Y2429" s="19" t="n">
        <x:f>MAX(T2429,1)+MAX(U2429,1)+MAX(V2429,1)</x:f>
        <x:v>9</x:v>
      </x:c>
      <x:c r="Z2429" s="21" t="str">
        <x:f>IF(AND(MIN(D2429:F2429)&gt;=0,MAX(D2429:F2429)&lt;=7,MAX(D2429,1)+MAX(E2429,1)+MAX(F2429,1)&lt;=9,OR(H2429="-",AND(H2429=0,D2429&gt;0),AND(H2429=1,E2429&gt;0),AND(H2429=2,F2429&gt;0)),OR(I2429=0,AND(I2429=1,OR(J2429=0,J2429=1,J2429=2),R2429&lt;&gt;"000")),Y2429&lt;=9,MIN(T2429:V2429)&gt;=0),"合法","输入违约")</x:f>
        <x:v>合法</x:v>
      </x:c>
    </x:row>
    <x:row r="2430" ht="23" customHeight="1">
      <x:c r="A2430" s="3" t="str">
        <x:v>CT-2423</x:v>
      </x:c>
      <x:c r="B2430" s="3" t="str">
        <x:v>ST-162</x:v>
      </x:c>
      <x:c r="C2430" s="3" t="str">
        <x:v>R+AR同收同发</x:v>
      </x:c>
      <x:c r="D2430" s="25" t="n">
        <x:v>7</x:v>
      </x:c>
      <x:c r="E2430" s="25" t="n">
        <x:v>1</x:v>
      </x:c>
      <x:c r="F2430" s="25" t="n">
        <x:v>0</x:v>
      </x:c>
      <x:c r="G2430" s="19" t="n">
        <x:f>SUM(D2430:F2430)</x:f>
        <x:v>8</x:v>
      </x:c>
      <x:c r="H2430" s="25" t="n">
        <x:v>0</x:v>
      </x:c>
      <x:c r="I2430" s="25" t="n">
        <x:v>1</x:v>
      </x:c>
      <x:c r="J2430" s="25" t="n">
        <x:v>2</x:v>
      </x:c>
      <x:c r="K2430" s="19" t="n">
        <x:f>D2430-IF(H2430=0,1,0)</x:f>
        <x:v>6</x:v>
      </x:c>
      <x:c r="L2430" s="19" t="n">
        <x:f>E2430-IF(H2430=1,1,0)</x:f>
        <x:v>1</x:v>
      </x:c>
      <x:c r="M2430" s="19" t="n">
        <x:f>F2430-IF(H2430=2,1,0)</x:f>
        <x:v>0</x:v>
      </x:c>
      <x:c r="N2430" s="19" t="n">
        <x:f>MAX(K2430-1,0)+MAX(L2430-1,0)+MAX(M2430-1,0)</x:f>
        <x:v>5</x:v>
      </x:c>
      <x:c r="O2430" s="19" t="n">
        <x:f>IF(AND(SUM(K2430:M2430)&lt;9,OR(M2430=0,N2430&lt;6)),1,0)</x:f>
        <x:v>1</x:v>
      </x:c>
      <x:c r="P2430" s="19" t="n">
        <x:f>IF(AND(SUM(K2430:M2430)&lt;9,OR(L2430=0,N2430&lt;6)),1,0)</x:f>
        <x:v>1</x:v>
      </x:c>
      <x:c r="Q2430" s="19" t="n">
        <x:f>IF(AND(SUM(K2430:M2430)&lt;9,OR(K2430=0,N2430&lt;6)),1,0)</x:f>
        <x:v>1</x:v>
      </x:c>
      <x:c r="R2430" s="22" t="str">
        <x:f>O2430&amp;P2430&amp;Q2430</x:f>
        <x:v>111</x:v>
      </x:c>
      <x:c r="S2430" s="19" t="n">
        <x:f>IF(I2430=1,IF(J2430=0,Q2430,IF(J2430=1,P2430,IF(J2430=2,O2430,0))),0)</x:f>
        <x:v>1</x:v>
      </x:c>
      <x:c r="T2430" s="19" t="n">
        <x:f>K2430+IF(AND(S2430=1,J2430=0),1,0)</x:f>
        <x:v>6</x:v>
      </x:c>
      <x:c r="U2430" s="19" t="n">
        <x:f>L2430+IF(AND(S2430=1,J2430=1),1,0)</x:f>
        <x:v>1</x:v>
      </x:c>
      <x:c r="V2430" s="19" t="n">
        <x:f>M2430+IF(AND(S2430=1,J2430=2),1,0)</x:f>
        <x:v>1</x:v>
      </x:c>
      <x:c r="W2430" s="19" t="n">
        <x:f>SUM(T2430:V2430)</x:f>
        <x:v>8</x:v>
      </x:c>
      <x:c r="X2430" s="19" t="n">
        <x:f>W2430-G2430</x:f>
        <x:v>0</x:v>
      </x:c>
      <x:c r="Y2430" s="19" t="n">
        <x:f>MAX(T2430,1)+MAX(U2430,1)+MAX(V2430,1)</x:f>
        <x:v>8</x:v>
      </x:c>
      <x:c r="Z2430" s="21" t="str">
        <x:f>IF(AND(MIN(D2430:F2430)&gt;=0,MAX(D2430:F2430)&lt;=7,MAX(D2430,1)+MAX(E2430,1)+MAX(F2430,1)&lt;=9,OR(H2430="-",AND(H2430=0,D2430&gt;0),AND(H2430=1,E2430&gt;0),AND(H2430=2,F2430&gt;0)),OR(I2430=0,AND(I2430=1,OR(J2430=0,J2430=1,J2430=2),R2430&lt;&gt;"000")),Y2430&lt;=9,MIN(T2430:V2430)&gt;=0),"合法","输入违约")</x:f>
        <x:v>合法</x:v>
      </x:c>
    </x:row>
    <x:row r="2431" ht="23" customHeight="1">
      <x:c r="A2431" s="3" t="str">
        <x:v>CT-2424</x:v>
      </x:c>
      <x:c r="B2431" s="3" t="str">
        <x:v>ST-162</x:v>
      </x:c>
      <x:c r="C2431" s="3" t="str">
        <x:v>仅R回收</x:v>
      </x:c>
      <x:c r="D2431" s="25" t="n">
        <x:v>7</x:v>
      </x:c>
      <x:c r="E2431" s="25" t="n">
        <x:v>1</x:v>
      </x:c>
      <x:c r="F2431" s="25" t="n">
        <x:v>0</x:v>
      </x:c>
      <x:c r="G2431" s="19" t="n">
        <x:f>SUM(D2431:F2431)</x:f>
        <x:v>8</x:v>
      </x:c>
      <x:c r="H2431" s="25" t="n">
        <x:v>1</x:v>
      </x:c>
      <x:c r="I2431" s="25" t="n">
        <x:v>0</x:v>
      </x:c>
      <x:c r="J2431" s="25" t="str">
        <x:v>-</x:v>
      </x:c>
      <x:c r="K2431" s="19" t="n">
        <x:f>D2431-IF(H2431=0,1,0)</x:f>
        <x:v>7</x:v>
      </x:c>
      <x:c r="L2431" s="19" t="n">
        <x:f>E2431-IF(H2431=1,1,0)</x:f>
        <x:v>0</x:v>
      </x:c>
      <x:c r="M2431" s="19" t="n">
        <x:f>F2431-IF(H2431=2,1,0)</x:f>
        <x:v>0</x:v>
      </x:c>
      <x:c r="N2431" s="19" t="n">
        <x:f>MAX(K2431-1,0)+MAX(L2431-1,0)+MAX(M2431-1,0)</x:f>
        <x:v>6</x:v>
      </x:c>
      <x:c r="O2431" s="19" t="n">
        <x:f>IF(AND(SUM(K2431:M2431)&lt;9,OR(M2431=0,N2431&lt;6)),1,0)</x:f>
        <x:v>1</x:v>
      </x:c>
      <x:c r="P2431" s="19" t="n">
        <x:f>IF(AND(SUM(K2431:M2431)&lt;9,OR(L2431=0,N2431&lt;6)),1,0)</x:f>
        <x:v>1</x:v>
      </x:c>
      <x:c r="Q2431" s="19" t="n">
        <x:f>IF(AND(SUM(K2431:M2431)&lt;9,OR(K2431=0,N2431&lt;6)),1,0)</x:f>
        <x:v>0</x:v>
      </x:c>
      <x:c r="R2431" s="22" t="str">
        <x:f>O2431&amp;P2431&amp;Q2431</x:f>
        <x:v>110</x:v>
      </x:c>
      <x:c r="S2431" s="19" t="n">
        <x:f>IF(I2431=1,IF(J2431=0,Q2431,IF(J2431=1,P2431,IF(J2431=2,O2431,0))),0)</x:f>
        <x:v>0</x:v>
      </x:c>
      <x:c r="T2431" s="19" t="n">
        <x:f>K2431+IF(AND(S2431=1,J2431=0),1,0)</x:f>
        <x:v>7</x:v>
      </x:c>
      <x:c r="U2431" s="19" t="n">
        <x:f>L2431+IF(AND(S2431=1,J2431=1),1,0)</x:f>
        <x:v>0</x:v>
      </x:c>
      <x:c r="V2431" s="19" t="n">
        <x:f>M2431+IF(AND(S2431=1,J2431=2),1,0)</x:f>
        <x:v>0</x:v>
      </x:c>
      <x:c r="W2431" s="19" t="n">
        <x:f>SUM(T2431:V2431)</x:f>
        <x:v>7</x:v>
      </x:c>
      <x:c r="X2431" s="19" t="n">
        <x:f>W2431-G2431</x:f>
        <x:v>-1</x:v>
      </x:c>
      <x:c r="Y2431" s="19" t="n">
        <x:f>MAX(T2431,1)+MAX(U2431,1)+MAX(V2431,1)</x:f>
        <x:v>9</x:v>
      </x:c>
      <x:c r="Z2431" s="21" t="str">
        <x:f>IF(AND(MIN(D2431:F2431)&gt;=0,MAX(D2431:F2431)&lt;=7,MAX(D2431,1)+MAX(E2431,1)+MAX(F2431,1)&lt;=9,OR(H2431="-",AND(H2431=0,D2431&gt;0),AND(H2431=1,E2431&gt;0),AND(H2431=2,F2431&gt;0)),OR(I2431=0,AND(I2431=1,OR(J2431=0,J2431=1,J2431=2),R2431&lt;&gt;"000")),Y2431&lt;=9,MIN(T2431:V2431)&gt;=0),"合法","输入违约")</x:f>
        <x:v>合法</x:v>
      </x:c>
    </x:row>
    <x:row r="2432" ht="23" customHeight="1">
      <x:c r="A2432" s="3" t="str">
        <x:v>CT-2425</x:v>
      </x:c>
      <x:c r="B2432" s="3" t="str">
        <x:v>ST-162</x:v>
      </x:c>
      <x:c r="C2432" s="3" t="str">
        <x:v>仅R回收</x:v>
      </x:c>
      <x:c r="D2432" s="25" t="n">
        <x:v>7</x:v>
      </x:c>
      <x:c r="E2432" s="25" t="n">
        <x:v>1</x:v>
      </x:c>
      <x:c r="F2432" s="25" t="n">
        <x:v>0</x:v>
      </x:c>
      <x:c r="G2432" s="19" t="n">
        <x:f>SUM(D2432:F2432)</x:f>
        <x:v>8</x:v>
      </x:c>
      <x:c r="H2432" s="25" t="n">
        <x:v>1</x:v>
      </x:c>
      <x:c r="I2432" s="25" t="n">
        <x:v>1</x:v>
      </x:c>
      <x:c r="J2432" s="25" t="n">
        <x:v>0</x:v>
      </x:c>
      <x:c r="K2432" s="19" t="n">
        <x:f>D2432-IF(H2432=0,1,0)</x:f>
        <x:v>7</x:v>
      </x:c>
      <x:c r="L2432" s="19" t="n">
        <x:f>E2432-IF(H2432=1,1,0)</x:f>
        <x:v>0</x:v>
      </x:c>
      <x:c r="M2432" s="19" t="n">
        <x:f>F2432-IF(H2432=2,1,0)</x:f>
        <x:v>0</x:v>
      </x:c>
      <x:c r="N2432" s="19" t="n">
        <x:f>MAX(K2432-1,0)+MAX(L2432-1,0)+MAX(M2432-1,0)</x:f>
        <x:v>6</x:v>
      </x:c>
      <x:c r="O2432" s="19" t="n">
        <x:f>IF(AND(SUM(K2432:M2432)&lt;9,OR(M2432=0,N2432&lt;6)),1,0)</x:f>
        <x:v>1</x:v>
      </x:c>
      <x:c r="P2432" s="19" t="n">
        <x:f>IF(AND(SUM(K2432:M2432)&lt;9,OR(L2432=0,N2432&lt;6)),1,0)</x:f>
        <x:v>1</x:v>
      </x:c>
      <x:c r="Q2432" s="19" t="n">
        <x:f>IF(AND(SUM(K2432:M2432)&lt;9,OR(K2432=0,N2432&lt;6)),1,0)</x:f>
        <x:v>0</x:v>
      </x:c>
      <x:c r="R2432" s="22" t="str">
        <x:f>O2432&amp;P2432&amp;Q2432</x:f>
        <x:v>110</x:v>
      </x:c>
      <x:c r="S2432" s="19" t="n">
        <x:f>IF(I2432=1,IF(J2432=0,Q2432,IF(J2432=1,P2432,IF(J2432=2,O2432,0))),0)</x:f>
        <x:v>0</x:v>
      </x:c>
      <x:c r="T2432" s="19" t="n">
        <x:f>K2432+IF(AND(S2432=1,J2432=0),1,0)</x:f>
        <x:v>7</x:v>
      </x:c>
      <x:c r="U2432" s="19" t="n">
        <x:f>L2432+IF(AND(S2432=1,J2432=1),1,0)</x:f>
        <x:v>0</x:v>
      </x:c>
      <x:c r="V2432" s="19" t="n">
        <x:f>M2432+IF(AND(S2432=1,J2432=2),1,0)</x:f>
        <x:v>0</x:v>
      </x:c>
      <x:c r="W2432" s="19" t="n">
        <x:f>SUM(T2432:V2432)</x:f>
        <x:v>7</x:v>
      </x:c>
      <x:c r="X2432" s="19" t="n">
        <x:f>W2432-G2432</x:f>
        <x:v>-1</x:v>
      </x:c>
      <x:c r="Y2432" s="19" t="n">
        <x:f>MAX(T2432,1)+MAX(U2432,1)+MAX(V2432,1)</x:f>
        <x:v>9</x:v>
      </x:c>
      <x:c r="Z2432" s="21" t="str">
        <x:f>IF(AND(MIN(D2432:F2432)&gt;=0,MAX(D2432:F2432)&lt;=7,MAX(D2432,1)+MAX(E2432,1)+MAX(F2432,1)&lt;=9,OR(H2432="-",AND(H2432=0,D2432&gt;0),AND(H2432=1,E2432&gt;0),AND(H2432=2,F2432&gt;0)),OR(I2432=0,AND(I2432=1,OR(J2432=0,J2432=1,J2432=2),R2432&lt;&gt;"000")),Y2432&lt;=9,MIN(T2432:V2432)&gt;=0),"合法","输入违约")</x:f>
        <x:v>合法</x:v>
      </x:c>
    </x:row>
    <x:row r="2433" ht="23" customHeight="1">
      <x:c r="A2433" s="3" t="str">
        <x:v>CT-2426</x:v>
      </x:c>
      <x:c r="B2433" s="3" t="str">
        <x:v>ST-162</x:v>
      </x:c>
      <x:c r="C2433" s="3" t="str">
        <x:v>R+AR同收同发</x:v>
      </x:c>
      <x:c r="D2433" s="25" t="n">
        <x:v>7</x:v>
      </x:c>
      <x:c r="E2433" s="25" t="n">
        <x:v>1</x:v>
      </x:c>
      <x:c r="F2433" s="25" t="n">
        <x:v>0</x:v>
      </x:c>
      <x:c r="G2433" s="19" t="n">
        <x:f>SUM(D2433:F2433)</x:f>
        <x:v>8</x:v>
      </x:c>
      <x:c r="H2433" s="25" t="n">
        <x:v>1</x:v>
      </x:c>
      <x:c r="I2433" s="25" t="n">
        <x:v>1</x:v>
      </x:c>
      <x:c r="J2433" s="25" t="n">
        <x:v>1</x:v>
      </x:c>
      <x:c r="K2433" s="19" t="n">
        <x:f>D2433-IF(H2433=0,1,0)</x:f>
        <x:v>7</x:v>
      </x:c>
      <x:c r="L2433" s="19" t="n">
        <x:f>E2433-IF(H2433=1,1,0)</x:f>
        <x:v>0</x:v>
      </x:c>
      <x:c r="M2433" s="19" t="n">
        <x:f>F2433-IF(H2433=2,1,0)</x:f>
        <x:v>0</x:v>
      </x:c>
      <x:c r="N2433" s="19" t="n">
        <x:f>MAX(K2433-1,0)+MAX(L2433-1,0)+MAX(M2433-1,0)</x:f>
        <x:v>6</x:v>
      </x:c>
      <x:c r="O2433" s="19" t="n">
        <x:f>IF(AND(SUM(K2433:M2433)&lt;9,OR(M2433=0,N2433&lt;6)),1,0)</x:f>
        <x:v>1</x:v>
      </x:c>
      <x:c r="P2433" s="19" t="n">
        <x:f>IF(AND(SUM(K2433:M2433)&lt;9,OR(L2433=0,N2433&lt;6)),1,0)</x:f>
        <x:v>1</x:v>
      </x:c>
      <x:c r="Q2433" s="19" t="n">
        <x:f>IF(AND(SUM(K2433:M2433)&lt;9,OR(K2433=0,N2433&lt;6)),1,0)</x:f>
        <x:v>0</x:v>
      </x:c>
      <x:c r="R2433" s="22" t="str">
        <x:f>O2433&amp;P2433&amp;Q2433</x:f>
        <x:v>110</x:v>
      </x:c>
      <x:c r="S2433" s="19" t="n">
        <x:f>IF(I2433=1,IF(J2433=0,Q2433,IF(J2433=1,P2433,IF(J2433=2,O2433,0))),0)</x:f>
        <x:v>1</x:v>
      </x:c>
      <x:c r="T2433" s="19" t="n">
        <x:f>K2433+IF(AND(S2433=1,J2433=0),1,0)</x:f>
        <x:v>7</x:v>
      </x:c>
      <x:c r="U2433" s="19" t="n">
        <x:f>L2433+IF(AND(S2433=1,J2433=1),1,0)</x:f>
        <x:v>1</x:v>
      </x:c>
      <x:c r="V2433" s="19" t="n">
        <x:f>M2433+IF(AND(S2433=1,J2433=2),1,0)</x:f>
        <x:v>0</x:v>
      </x:c>
      <x:c r="W2433" s="19" t="n">
        <x:f>SUM(T2433:V2433)</x:f>
        <x:v>8</x:v>
      </x:c>
      <x:c r="X2433" s="19" t="n">
        <x:f>W2433-G2433</x:f>
        <x:v>0</x:v>
      </x:c>
      <x:c r="Y2433" s="19" t="n">
        <x:f>MAX(T2433,1)+MAX(U2433,1)+MAX(V2433,1)</x:f>
        <x:v>9</x:v>
      </x:c>
      <x:c r="Z2433" s="21" t="str">
        <x:f>IF(AND(MIN(D2433:F2433)&gt;=0,MAX(D2433:F2433)&lt;=7,MAX(D2433,1)+MAX(E2433,1)+MAX(F2433,1)&lt;=9,OR(H2433="-",AND(H2433=0,D2433&gt;0),AND(H2433=1,E2433&gt;0),AND(H2433=2,F2433&gt;0)),OR(I2433=0,AND(I2433=1,OR(J2433=0,J2433=1,J2433=2),R2433&lt;&gt;"000")),Y2433&lt;=9,MIN(T2433:V2433)&gt;=0),"合法","输入违约")</x:f>
        <x:v>合法</x:v>
      </x:c>
    </x:row>
    <x:row r="2434" ht="23" customHeight="1">
      <x:c r="A2434" s="3" t="str">
        <x:v>CT-2427</x:v>
      </x:c>
      <x:c r="B2434" s="3" t="str">
        <x:v>ST-162</x:v>
      </x:c>
      <x:c r="C2434" s="3" t="str">
        <x:v>R+AR同收同发</x:v>
      </x:c>
      <x:c r="D2434" s="25" t="n">
        <x:v>7</x:v>
      </x:c>
      <x:c r="E2434" s="25" t="n">
        <x:v>1</x:v>
      </x:c>
      <x:c r="F2434" s="25" t="n">
        <x:v>0</x:v>
      </x:c>
      <x:c r="G2434" s="19" t="n">
        <x:f>SUM(D2434:F2434)</x:f>
        <x:v>8</x:v>
      </x:c>
      <x:c r="H2434" s="25" t="n">
        <x:v>1</x:v>
      </x:c>
      <x:c r="I2434" s="25" t="n">
        <x:v>1</x:v>
      </x:c>
      <x:c r="J2434" s="25" t="n">
        <x:v>2</x:v>
      </x:c>
      <x:c r="K2434" s="19" t="n">
        <x:f>D2434-IF(H2434=0,1,0)</x:f>
        <x:v>7</x:v>
      </x:c>
      <x:c r="L2434" s="19" t="n">
        <x:f>E2434-IF(H2434=1,1,0)</x:f>
        <x:v>0</x:v>
      </x:c>
      <x:c r="M2434" s="19" t="n">
        <x:f>F2434-IF(H2434=2,1,0)</x:f>
        <x:v>0</x:v>
      </x:c>
      <x:c r="N2434" s="19" t="n">
        <x:f>MAX(K2434-1,0)+MAX(L2434-1,0)+MAX(M2434-1,0)</x:f>
        <x:v>6</x:v>
      </x:c>
      <x:c r="O2434" s="19" t="n">
        <x:f>IF(AND(SUM(K2434:M2434)&lt;9,OR(M2434=0,N2434&lt;6)),1,0)</x:f>
        <x:v>1</x:v>
      </x:c>
      <x:c r="P2434" s="19" t="n">
        <x:f>IF(AND(SUM(K2434:M2434)&lt;9,OR(L2434=0,N2434&lt;6)),1,0)</x:f>
        <x:v>1</x:v>
      </x:c>
      <x:c r="Q2434" s="19" t="n">
        <x:f>IF(AND(SUM(K2434:M2434)&lt;9,OR(K2434=0,N2434&lt;6)),1,0)</x:f>
        <x:v>0</x:v>
      </x:c>
      <x:c r="R2434" s="22" t="str">
        <x:f>O2434&amp;P2434&amp;Q2434</x:f>
        <x:v>110</x:v>
      </x:c>
      <x:c r="S2434" s="19" t="n">
        <x:f>IF(I2434=1,IF(J2434=0,Q2434,IF(J2434=1,P2434,IF(J2434=2,O2434,0))),0)</x:f>
        <x:v>1</x:v>
      </x:c>
      <x:c r="T2434" s="19" t="n">
        <x:f>K2434+IF(AND(S2434=1,J2434=0),1,0)</x:f>
        <x:v>7</x:v>
      </x:c>
      <x:c r="U2434" s="19" t="n">
        <x:f>L2434+IF(AND(S2434=1,J2434=1),1,0)</x:f>
        <x:v>0</x:v>
      </x:c>
      <x:c r="V2434" s="19" t="n">
        <x:f>M2434+IF(AND(S2434=1,J2434=2),1,0)</x:f>
        <x:v>1</x:v>
      </x:c>
      <x:c r="W2434" s="19" t="n">
        <x:f>SUM(T2434:V2434)</x:f>
        <x:v>8</x:v>
      </x:c>
      <x:c r="X2434" s="19" t="n">
        <x:f>W2434-G2434</x:f>
        <x:v>0</x:v>
      </x:c>
      <x:c r="Y2434" s="19" t="n">
        <x:f>MAX(T2434,1)+MAX(U2434,1)+MAX(V2434,1)</x:f>
        <x:v>9</x:v>
      </x:c>
      <x:c r="Z2434" s="21" t="str">
        <x:f>IF(AND(MIN(D2434:F2434)&gt;=0,MAX(D2434:F2434)&lt;=7,MAX(D2434,1)+MAX(E2434,1)+MAX(F2434,1)&lt;=9,OR(H2434="-",AND(H2434=0,D2434&gt;0),AND(H2434=1,E2434&gt;0),AND(H2434=2,F2434&gt;0)),OR(I2434=0,AND(I2434=1,OR(J2434=0,J2434=1,J2434=2),R2434&lt;&gt;"000")),Y2434&lt;=9,MIN(T2434:V2434)&gt;=0),"合法","输入违约")</x:f>
        <x:v>合法</x:v>
      </x:c>
    </x:row>
    <x:row r="2435" ht="23" customHeight="1">
      <x:c r="A2435" s="3" t="str">
        <x:v>CT-2428</x:v>
      </x:c>
      <x:c r="B2435" s="3" t="str">
        <x:v>ST-190</x:v>
      </x:c>
      <x:c r="C2435" s="3" t="str">
        <x:v>无AR/R</x:v>
      </x:c>
      <x:c r="D2435" s="25" t="n">
        <x:v>7</x:v>
      </x:c>
      <x:c r="E2435" s="25" t="n">
        <x:v>1</x:v>
      </x:c>
      <x:c r="F2435" s="25" t="n">
        <x:v>1</x:v>
      </x:c>
      <x:c r="G2435" s="19" t="n">
        <x:f>SUM(D2435:F2435)</x:f>
        <x:v>9</x:v>
      </x:c>
      <x:c r="H2435" s="25" t="str">
        <x:v>-</x:v>
      </x:c>
      <x:c r="I2435" s="25" t="n">
        <x:v>0</x:v>
      </x:c>
      <x:c r="J2435" s="25" t="str">
        <x:v>-</x:v>
      </x:c>
      <x:c r="K2435" s="19" t="n">
        <x:f>D2435-IF(H2435=0,1,0)</x:f>
        <x:v>7</x:v>
      </x:c>
      <x:c r="L2435" s="19" t="n">
        <x:f>E2435-IF(H2435=1,1,0)</x:f>
        <x:v>1</x:v>
      </x:c>
      <x:c r="M2435" s="19" t="n">
        <x:f>F2435-IF(H2435=2,1,0)</x:f>
        <x:v>1</x:v>
      </x:c>
      <x:c r="N2435" s="19" t="n">
        <x:f>MAX(K2435-1,0)+MAX(L2435-1,0)+MAX(M2435-1,0)</x:f>
        <x:v>6</x:v>
      </x:c>
      <x:c r="O2435" s="19" t="n">
        <x:f>IF(AND(SUM(K2435:M2435)&lt;9,OR(M2435=0,N2435&lt;6)),1,0)</x:f>
        <x:v>0</x:v>
      </x:c>
      <x:c r="P2435" s="19" t="n">
        <x:f>IF(AND(SUM(K2435:M2435)&lt;9,OR(L2435=0,N2435&lt;6)),1,0)</x:f>
        <x:v>0</x:v>
      </x:c>
      <x:c r="Q2435" s="19" t="n">
        <x:f>IF(AND(SUM(K2435:M2435)&lt;9,OR(K2435=0,N2435&lt;6)),1,0)</x:f>
        <x:v>0</x:v>
      </x:c>
      <x:c r="R2435" s="22" t="str">
        <x:f>O2435&amp;P2435&amp;Q2435</x:f>
        <x:v>000</x:v>
      </x:c>
      <x:c r="S2435" s="19" t="n">
        <x:f>IF(I2435=1,IF(J2435=0,Q2435,IF(J2435=1,P2435,IF(J2435=2,O2435,0))),0)</x:f>
        <x:v>0</x:v>
      </x:c>
      <x:c r="T2435" s="19" t="n">
        <x:f>K2435+IF(AND(S2435=1,J2435=0),1,0)</x:f>
        <x:v>7</x:v>
      </x:c>
      <x:c r="U2435" s="19" t="n">
        <x:f>L2435+IF(AND(S2435=1,J2435=1),1,0)</x:f>
        <x:v>1</x:v>
      </x:c>
      <x:c r="V2435" s="19" t="n">
        <x:f>M2435+IF(AND(S2435=1,J2435=2),1,0)</x:f>
        <x:v>1</x:v>
      </x:c>
      <x:c r="W2435" s="19" t="n">
        <x:f>SUM(T2435:V2435)</x:f>
        <x:v>9</x:v>
      </x:c>
      <x:c r="X2435" s="19" t="n">
        <x:f>W2435-G2435</x:f>
        <x:v>0</x:v>
      </x:c>
      <x:c r="Y2435" s="19" t="n">
        <x:f>MAX(T2435,1)+MAX(U2435,1)+MAX(V2435,1)</x:f>
        <x:v>9</x:v>
      </x:c>
      <x:c r="Z2435" s="21" t="str">
        <x:f>IF(AND(MIN(D2435:F2435)&gt;=0,MAX(D2435:F2435)&lt;=7,MAX(D2435,1)+MAX(E2435,1)+MAX(F2435,1)&lt;=9,OR(H2435="-",AND(H2435=0,D2435&gt;0),AND(H2435=1,E2435&gt;0),AND(H2435=2,F2435&gt;0)),OR(I2435=0,AND(I2435=1,OR(J2435=0,J2435=1,J2435=2),R2435&lt;&gt;"000")),Y2435&lt;=9,MIN(T2435:V2435)&gt;=0),"合法","输入违约")</x:f>
        <x:v>合法</x:v>
      </x:c>
    </x:row>
    <x:row r="2436" ht="23" customHeight="1">
      <x:c r="A2436" s="3" t="str">
        <x:v>CT-2429</x:v>
      </x:c>
      <x:c r="B2436" s="3" t="str">
        <x:v>ST-190</x:v>
      </x:c>
      <x:c r="C2436" s="3" t="str">
        <x:v>仅R回收</x:v>
      </x:c>
      <x:c r="D2436" s="25" t="n">
        <x:v>7</x:v>
      </x:c>
      <x:c r="E2436" s="25" t="n">
        <x:v>1</x:v>
      </x:c>
      <x:c r="F2436" s="25" t="n">
        <x:v>1</x:v>
      </x:c>
      <x:c r="G2436" s="19" t="n">
        <x:f>SUM(D2436:F2436)</x:f>
        <x:v>9</x:v>
      </x:c>
      <x:c r="H2436" s="25" t="n">
        <x:v>0</x:v>
      </x:c>
      <x:c r="I2436" s="25" t="n">
        <x:v>0</x:v>
      </x:c>
      <x:c r="J2436" s="25" t="str">
        <x:v>-</x:v>
      </x:c>
      <x:c r="K2436" s="19" t="n">
        <x:f>D2436-IF(H2436=0,1,0)</x:f>
        <x:v>6</x:v>
      </x:c>
      <x:c r="L2436" s="19" t="n">
        <x:f>E2436-IF(H2436=1,1,0)</x:f>
        <x:v>1</x:v>
      </x:c>
      <x:c r="M2436" s="19" t="n">
        <x:f>F2436-IF(H2436=2,1,0)</x:f>
        <x:v>1</x:v>
      </x:c>
      <x:c r="N2436" s="19" t="n">
        <x:f>MAX(K2436-1,0)+MAX(L2436-1,0)+MAX(M2436-1,0)</x:f>
        <x:v>5</x:v>
      </x:c>
      <x:c r="O2436" s="19" t="n">
        <x:f>IF(AND(SUM(K2436:M2436)&lt;9,OR(M2436=0,N2436&lt;6)),1,0)</x:f>
        <x:v>1</x:v>
      </x:c>
      <x:c r="P2436" s="19" t="n">
        <x:f>IF(AND(SUM(K2436:M2436)&lt;9,OR(L2436=0,N2436&lt;6)),1,0)</x:f>
        <x:v>1</x:v>
      </x:c>
      <x:c r="Q2436" s="19" t="n">
        <x:f>IF(AND(SUM(K2436:M2436)&lt;9,OR(K2436=0,N2436&lt;6)),1,0)</x:f>
        <x:v>1</x:v>
      </x:c>
      <x:c r="R2436" s="22" t="str">
        <x:f>O2436&amp;P2436&amp;Q2436</x:f>
        <x:v>111</x:v>
      </x:c>
      <x:c r="S2436" s="19" t="n">
        <x:f>IF(I2436=1,IF(J2436=0,Q2436,IF(J2436=1,P2436,IF(J2436=2,O2436,0))),0)</x:f>
        <x:v>0</x:v>
      </x:c>
      <x:c r="T2436" s="19" t="n">
        <x:f>K2436+IF(AND(S2436=1,J2436=0),1,0)</x:f>
        <x:v>6</x:v>
      </x:c>
      <x:c r="U2436" s="19" t="n">
        <x:f>L2436+IF(AND(S2436=1,J2436=1),1,0)</x:f>
        <x:v>1</x:v>
      </x:c>
      <x:c r="V2436" s="19" t="n">
        <x:f>M2436+IF(AND(S2436=1,J2436=2),1,0)</x:f>
        <x:v>1</x:v>
      </x:c>
      <x:c r="W2436" s="19" t="n">
        <x:f>SUM(T2436:V2436)</x:f>
        <x:v>8</x:v>
      </x:c>
      <x:c r="X2436" s="19" t="n">
        <x:f>W2436-G2436</x:f>
        <x:v>-1</x:v>
      </x:c>
      <x:c r="Y2436" s="19" t="n">
        <x:f>MAX(T2436,1)+MAX(U2436,1)+MAX(V2436,1)</x:f>
        <x:v>8</x:v>
      </x:c>
      <x:c r="Z2436" s="21" t="str">
        <x:f>IF(AND(MIN(D2436:F2436)&gt;=0,MAX(D2436:F2436)&lt;=7,MAX(D2436,1)+MAX(E2436,1)+MAX(F2436,1)&lt;=9,OR(H2436="-",AND(H2436=0,D2436&gt;0),AND(H2436=1,E2436&gt;0),AND(H2436=2,F2436&gt;0)),OR(I2436=0,AND(I2436=1,OR(J2436=0,J2436=1,J2436=2),R2436&lt;&gt;"000")),Y2436&lt;=9,MIN(T2436:V2436)&gt;=0),"合法","输入违约")</x:f>
        <x:v>合法</x:v>
      </x:c>
    </x:row>
    <x:row r="2437" ht="23" customHeight="1">
      <x:c r="A2437" s="3" t="str">
        <x:v>CT-2430</x:v>
      </x:c>
      <x:c r="B2437" s="3" t="str">
        <x:v>ST-190</x:v>
      </x:c>
      <x:c r="C2437" s="3" t="str">
        <x:v>R+AR同收同发</x:v>
      </x:c>
      <x:c r="D2437" s="25" t="n">
        <x:v>7</x:v>
      </x:c>
      <x:c r="E2437" s="25" t="n">
        <x:v>1</x:v>
      </x:c>
      <x:c r="F2437" s="25" t="n">
        <x:v>1</x:v>
      </x:c>
      <x:c r="G2437" s="19" t="n">
        <x:f>SUM(D2437:F2437)</x:f>
        <x:v>9</x:v>
      </x:c>
      <x:c r="H2437" s="25" t="n">
        <x:v>0</x:v>
      </x:c>
      <x:c r="I2437" s="25" t="n">
        <x:v>1</x:v>
      </x:c>
      <x:c r="J2437" s="25" t="n">
        <x:v>0</x:v>
      </x:c>
      <x:c r="K2437" s="19" t="n">
        <x:f>D2437-IF(H2437=0,1,0)</x:f>
        <x:v>6</x:v>
      </x:c>
      <x:c r="L2437" s="19" t="n">
        <x:f>E2437-IF(H2437=1,1,0)</x:f>
        <x:v>1</x:v>
      </x:c>
      <x:c r="M2437" s="19" t="n">
        <x:f>F2437-IF(H2437=2,1,0)</x:f>
        <x:v>1</x:v>
      </x:c>
      <x:c r="N2437" s="19" t="n">
        <x:f>MAX(K2437-1,0)+MAX(L2437-1,0)+MAX(M2437-1,0)</x:f>
        <x:v>5</x:v>
      </x:c>
      <x:c r="O2437" s="19" t="n">
        <x:f>IF(AND(SUM(K2437:M2437)&lt;9,OR(M2437=0,N2437&lt;6)),1,0)</x:f>
        <x:v>1</x:v>
      </x:c>
      <x:c r="P2437" s="19" t="n">
        <x:f>IF(AND(SUM(K2437:M2437)&lt;9,OR(L2437=0,N2437&lt;6)),1,0)</x:f>
        <x:v>1</x:v>
      </x:c>
      <x:c r="Q2437" s="19" t="n">
        <x:f>IF(AND(SUM(K2437:M2437)&lt;9,OR(K2437=0,N2437&lt;6)),1,0)</x:f>
        <x:v>1</x:v>
      </x:c>
      <x:c r="R2437" s="22" t="str">
        <x:f>O2437&amp;P2437&amp;Q2437</x:f>
        <x:v>111</x:v>
      </x:c>
      <x:c r="S2437" s="19" t="n">
        <x:f>IF(I2437=1,IF(J2437=0,Q2437,IF(J2437=1,P2437,IF(J2437=2,O2437,0))),0)</x:f>
        <x:v>1</x:v>
      </x:c>
      <x:c r="T2437" s="19" t="n">
        <x:f>K2437+IF(AND(S2437=1,J2437=0),1,0)</x:f>
        <x:v>7</x:v>
      </x:c>
      <x:c r="U2437" s="19" t="n">
        <x:f>L2437+IF(AND(S2437=1,J2437=1),1,0)</x:f>
        <x:v>1</x:v>
      </x:c>
      <x:c r="V2437" s="19" t="n">
        <x:f>M2437+IF(AND(S2437=1,J2437=2),1,0)</x:f>
        <x:v>1</x:v>
      </x:c>
      <x:c r="W2437" s="19" t="n">
        <x:f>SUM(T2437:V2437)</x:f>
        <x:v>9</x:v>
      </x:c>
      <x:c r="X2437" s="19" t="n">
        <x:f>W2437-G2437</x:f>
        <x:v>0</x:v>
      </x:c>
      <x:c r="Y2437" s="19" t="n">
        <x:f>MAX(T2437,1)+MAX(U2437,1)+MAX(V2437,1)</x:f>
        <x:v>9</x:v>
      </x:c>
      <x:c r="Z2437" s="21" t="str">
        <x:f>IF(AND(MIN(D2437:F2437)&gt;=0,MAX(D2437:F2437)&lt;=7,MAX(D2437,1)+MAX(E2437,1)+MAX(F2437,1)&lt;=9,OR(H2437="-",AND(H2437=0,D2437&gt;0),AND(H2437=1,E2437&gt;0),AND(H2437=2,F2437&gt;0)),OR(I2437=0,AND(I2437=1,OR(J2437=0,J2437=1,J2437=2),R2437&lt;&gt;"000")),Y2437&lt;=9,MIN(T2437:V2437)&gt;=0),"合法","输入违约")</x:f>
        <x:v>合法</x:v>
      </x:c>
    </x:row>
    <x:row r="2438" ht="23" customHeight="1">
      <x:c r="A2438" s="3" t="str">
        <x:v>CT-2431</x:v>
      </x:c>
      <x:c r="B2438" s="3" t="str">
        <x:v>ST-190</x:v>
      </x:c>
      <x:c r="C2438" s="3" t="str">
        <x:v>R+AR同收同发</x:v>
      </x:c>
      <x:c r="D2438" s="25" t="n">
        <x:v>7</x:v>
      </x:c>
      <x:c r="E2438" s="25" t="n">
        <x:v>1</x:v>
      </x:c>
      <x:c r="F2438" s="25" t="n">
        <x:v>1</x:v>
      </x:c>
      <x:c r="G2438" s="19" t="n">
        <x:f>SUM(D2438:F2438)</x:f>
        <x:v>9</x:v>
      </x:c>
      <x:c r="H2438" s="25" t="n">
        <x:v>0</x:v>
      </x:c>
      <x:c r="I2438" s="25" t="n">
        <x:v>1</x:v>
      </x:c>
      <x:c r="J2438" s="25" t="n">
        <x:v>1</x:v>
      </x:c>
      <x:c r="K2438" s="19" t="n">
        <x:f>D2438-IF(H2438=0,1,0)</x:f>
        <x:v>6</x:v>
      </x:c>
      <x:c r="L2438" s="19" t="n">
        <x:f>E2438-IF(H2438=1,1,0)</x:f>
        <x:v>1</x:v>
      </x:c>
      <x:c r="M2438" s="19" t="n">
        <x:f>F2438-IF(H2438=2,1,0)</x:f>
        <x:v>1</x:v>
      </x:c>
      <x:c r="N2438" s="19" t="n">
        <x:f>MAX(K2438-1,0)+MAX(L2438-1,0)+MAX(M2438-1,0)</x:f>
        <x:v>5</x:v>
      </x:c>
      <x:c r="O2438" s="19" t="n">
        <x:f>IF(AND(SUM(K2438:M2438)&lt;9,OR(M2438=0,N2438&lt;6)),1,0)</x:f>
        <x:v>1</x:v>
      </x:c>
      <x:c r="P2438" s="19" t="n">
        <x:f>IF(AND(SUM(K2438:M2438)&lt;9,OR(L2438=0,N2438&lt;6)),1,0)</x:f>
        <x:v>1</x:v>
      </x:c>
      <x:c r="Q2438" s="19" t="n">
        <x:f>IF(AND(SUM(K2438:M2438)&lt;9,OR(K2438=0,N2438&lt;6)),1,0)</x:f>
        <x:v>1</x:v>
      </x:c>
      <x:c r="R2438" s="22" t="str">
        <x:f>O2438&amp;P2438&amp;Q2438</x:f>
        <x:v>111</x:v>
      </x:c>
      <x:c r="S2438" s="19" t="n">
        <x:f>IF(I2438=1,IF(J2438=0,Q2438,IF(J2438=1,P2438,IF(J2438=2,O2438,0))),0)</x:f>
        <x:v>1</x:v>
      </x:c>
      <x:c r="T2438" s="19" t="n">
        <x:f>K2438+IF(AND(S2438=1,J2438=0),1,0)</x:f>
        <x:v>6</x:v>
      </x:c>
      <x:c r="U2438" s="19" t="n">
        <x:f>L2438+IF(AND(S2438=1,J2438=1),1,0)</x:f>
        <x:v>2</x:v>
      </x:c>
      <x:c r="V2438" s="19" t="n">
        <x:f>M2438+IF(AND(S2438=1,J2438=2),1,0)</x:f>
        <x:v>1</x:v>
      </x:c>
      <x:c r="W2438" s="19" t="n">
        <x:f>SUM(T2438:V2438)</x:f>
        <x:v>9</x:v>
      </x:c>
      <x:c r="X2438" s="19" t="n">
        <x:f>W2438-G2438</x:f>
        <x:v>0</x:v>
      </x:c>
      <x:c r="Y2438" s="19" t="n">
        <x:f>MAX(T2438,1)+MAX(U2438,1)+MAX(V2438,1)</x:f>
        <x:v>9</x:v>
      </x:c>
      <x:c r="Z2438" s="21" t="str">
        <x:f>IF(AND(MIN(D2438:F2438)&gt;=0,MAX(D2438:F2438)&lt;=7,MAX(D2438,1)+MAX(E2438,1)+MAX(F2438,1)&lt;=9,OR(H2438="-",AND(H2438=0,D2438&gt;0),AND(H2438=1,E2438&gt;0),AND(H2438=2,F2438&gt;0)),OR(I2438=0,AND(I2438=1,OR(J2438=0,J2438=1,J2438=2),R2438&lt;&gt;"000")),Y2438&lt;=9,MIN(T2438:V2438)&gt;=0),"合法","输入违约")</x:f>
        <x:v>合法</x:v>
      </x:c>
    </x:row>
    <x:row r="2439" ht="23" customHeight="1">
      <x:c r="A2439" s="3" t="str">
        <x:v>CT-2432</x:v>
      </x:c>
      <x:c r="B2439" s="3" t="str">
        <x:v>ST-190</x:v>
      </x:c>
      <x:c r="C2439" s="3" t="str">
        <x:v>R+AR同收同发</x:v>
      </x:c>
      <x:c r="D2439" s="25" t="n">
        <x:v>7</x:v>
      </x:c>
      <x:c r="E2439" s="25" t="n">
        <x:v>1</x:v>
      </x:c>
      <x:c r="F2439" s="25" t="n">
        <x:v>1</x:v>
      </x:c>
      <x:c r="G2439" s="19" t="n">
        <x:f>SUM(D2439:F2439)</x:f>
        <x:v>9</x:v>
      </x:c>
      <x:c r="H2439" s="25" t="n">
        <x:v>0</x:v>
      </x:c>
      <x:c r="I2439" s="25" t="n">
        <x:v>1</x:v>
      </x:c>
      <x:c r="J2439" s="25" t="n">
        <x:v>2</x:v>
      </x:c>
      <x:c r="K2439" s="19" t="n">
        <x:f>D2439-IF(H2439=0,1,0)</x:f>
        <x:v>6</x:v>
      </x:c>
      <x:c r="L2439" s="19" t="n">
        <x:f>E2439-IF(H2439=1,1,0)</x:f>
        <x:v>1</x:v>
      </x:c>
      <x:c r="M2439" s="19" t="n">
        <x:f>F2439-IF(H2439=2,1,0)</x:f>
        <x:v>1</x:v>
      </x:c>
      <x:c r="N2439" s="19" t="n">
        <x:f>MAX(K2439-1,0)+MAX(L2439-1,0)+MAX(M2439-1,0)</x:f>
        <x:v>5</x:v>
      </x:c>
      <x:c r="O2439" s="19" t="n">
        <x:f>IF(AND(SUM(K2439:M2439)&lt;9,OR(M2439=0,N2439&lt;6)),1,0)</x:f>
        <x:v>1</x:v>
      </x:c>
      <x:c r="P2439" s="19" t="n">
        <x:f>IF(AND(SUM(K2439:M2439)&lt;9,OR(L2439=0,N2439&lt;6)),1,0)</x:f>
        <x:v>1</x:v>
      </x:c>
      <x:c r="Q2439" s="19" t="n">
        <x:f>IF(AND(SUM(K2439:M2439)&lt;9,OR(K2439=0,N2439&lt;6)),1,0)</x:f>
        <x:v>1</x:v>
      </x:c>
      <x:c r="R2439" s="22" t="str">
        <x:f>O2439&amp;P2439&amp;Q2439</x:f>
        <x:v>111</x:v>
      </x:c>
      <x:c r="S2439" s="19" t="n">
        <x:f>IF(I2439=1,IF(J2439=0,Q2439,IF(J2439=1,P2439,IF(J2439=2,O2439,0))),0)</x:f>
        <x:v>1</x:v>
      </x:c>
      <x:c r="T2439" s="19" t="n">
        <x:f>K2439+IF(AND(S2439=1,J2439=0),1,0)</x:f>
        <x:v>6</x:v>
      </x:c>
      <x:c r="U2439" s="19" t="n">
        <x:f>L2439+IF(AND(S2439=1,J2439=1),1,0)</x:f>
        <x:v>1</x:v>
      </x:c>
      <x:c r="V2439" s="19" t="n">
        <x:f>M2439+IF(AND(S2439=1,J2439=2),1,0)</x:f>
        <x:v>2</x:v>
      </x:c>
      <x:c r="W2439" s="19" t="n">
        <x:f>SUM(T2439:V2439)</x:f>
        <x:v>9</x:v>
      </x:c>
      <x:c r="X2439" s="19" t="n">
        <x:f>W2439-G2439</x:f>
        <x:v>0</x:v>
      </x:c>
      <x:c r="Y2439" s="19" t="n">
        <x:f>MAX(T2439,1)+MAX(U2439,1)+MAX(V2439,1)</x:f>
        <x:v>9</x:v>
      </x:c>
      <x:c r="Z2439" s="21" t="str">
        <x:f>IF(AND(MIN(D2439:F2439)&gt;=0,MAX(D2439:F2439)&lt;=7,MAX(D2439,1)+MAX(E2439,1)+MAX(F2439,1)&lt;=9,OR(H2439="-",AND(H2439=0,D2439&gt;0),AND(H2439=1,E2439&gt;0),AND(H2439=2,F2439&gt;0)),OR(I2439=0,AND(I2439=1,OR(J2439=0,J2439=1,J2439=2),R2439&lt;&gt;"000")),Y2439&lt;=9,MIN(T2439:V2439)&gt;=0),"合法","输入违约")</x:f>
        <x:v>合法</x:v>
      </x:c>
    </x:row>
    <x:row r="2440" ht="23" customHeight="1">
      <x:c r="A2440" s="3" t="str">
        <x:v>CT-2433</x:v>
      </x:c>
      <x:c r="B2440" s="3" t="str">
        <x:v>ST-190</x:v>
      </x:c>
      <x:c r="C2440" s="3" t="str">
        <x:v>仅R回收</x:v>
      </x:c>
      <x:c r="D2440" s="25" t="n">
        <x:v>7</x:v>
      </x:c>
      <x:c r="E2440" s="25" t="n">
        <x:v>1</x:v>
      </x:c>
      <x:c r="F2440" s="25" t="n">
        <x:v>1</x:v>
      </x:c>
      <x:c r="G2440" s="19" t="n">
        <x:f>SUM(D2440:F2440)</x:f>
        <x:v>9</x:v>
      </x:c>
      <x:c r="H2440" s="25" t="n">
        <x:v>1</x:v>
      </x:c>
      <x:c r="I2440" s="25" t="n">
        <x:v>0</x:v>
      </x:c>
      <x:c r="J2440" s="25" t="str">
        <x:v>-</x:v>
      </x:c>
      <x:c r="K2440" s="19" t="n">
        <x:f>D2440-IF(H2440=0,1,0)</x:f>
        <x:v>7</x:v>
      </x:c>
      <x:c r="L2440" s="19" t="n">
        <x:f>E2440-IF(H2440=1,1,0)</x:f>
        <x:v>0</x:v>
      </x:c>
      <x:c r="M2440" s="19" t="n">
        <x:f>F2440-IF(H2440=2,1,0)</x:f>
        <x:v>1</x:v>
      </x:c>
      <x:c r="N2440" s="19" t="n">
        <x:f>MAX(K2440-1,0)+MAX(L2440-1,0)+MAX(M2440-1,0)</x:f>
        <x:v>6</x:v>
      </x:c>
      <x:c r="O2440" s="19" t="n">
        <x:f>IF(AND(SUM(K2440:M2440)&lt;9,OR(M2440=0,N2440&lt;6)),1,0)</x:f>
        <x:v>0</x:v>
      </x:c>
      <x:c r="P2440" s="19" t="n">
        <x:f>IF(AND(SUM(K2440:M2440)&lt;9,OR(L2440=0,N2440&lt;6)),1,0)</x:f>
        <x:v>1</x:v>
      </x:c>
      <x:c r="Q2440" s="19" t="n">
        <x:f>IF(AND(SUM(K2440:M2440)&lt;9,OR(K2440=0,N2440&lt;6)),1,0)</x:f>
        <x:v>0</x:v>
      </x:c>
      <x:c r="R2440" s="22" t="str">
        <x:f>O2440&amp;P2440&amp;Q2440</x:f>
        <x:v>010</x:v>
      </x:c>
      <x:c r="S2440" s="19" t="n">
        <x:f>IF(I2440=1,IF(J2440=0,Q2440,IF(J2440=1,P2440,IF(J2440=2,O2440,0))),0)</x:f>
        <x:v>0</x:v>
      </x:c>
      <x:c r="T2440" s="19" t="n">
        <x:f>K2440+IF(AND(S2440=1,J2440=0),1,0)</x:f>
        <x:v>7</x:v>
      </x:c>
      <x:c r="U2440" s="19" t="n">
        <x:f>L2440+IF(AND(S2440=1,J2440=1),1,0)</x:f>
        <x:v>0</x:v>
      </x:c>
      <x:c r="V2440" s="19" t="n">
        <x:f>M2440+IF(AND(S2440=1,J2440=2),1,0)</x:f>
        <x:v>1</x:v>
      </x:c>
      <x:c r="W2440" s="19" t="n">
        <x:f>SUM(T2440:V2440)</x:f>
        <x:v>8</x:v>
      </x:c>
      <x:c r="X2440" s="19" t="n">
        <x:f>W2440-G2440</x:f>
        <x:v>-1</x:v>
      </x:c>
      <x:c r="Y2440" s="19" t="n">
        <x:f>MAX(T2440,1)+MAX(U2440,1)+MAX(V2440,1)</x:f>
        <x:v>9</x:v>
      </x:c>
      <x:c r="Z2440" s="21" t="str">
        <x:f>IF(AND(MIN(D2440:F2440)&gt;=0,MAX(D2440:F2440)&lt;=7,MAX(D2440,1)+MAX(E2440,1)+MAX(F2440,1)&lt;=9,OR(H2440="-",AND(H2440=0,D2440&gt;0),AND(H2440=1,E2440&gt;0),AND(H2440=2,F2440&gt;0)),OR(I2440=0,AND(I2440=1,OR(J2440=0,J2440=1,J2440=2),R2440&lt;&gt;"000")),Y2440&lt;=9,MIN(T2440:V2440)&gt;=0),"合法","输入违约")</x:f>
        <x:v>合法</x:v>
      </x:c>
    </x:row>
    <x:row r="2441" ht="23" customHeight="1">
      <x:c r="A2441" s="3" t="str">
        <x:v>CT-2434</x:v>
      </x:c>
      <x:c r="B2441" s="3" t="str">
        <x:v>ST-190</x:v>
      </x:c>
      <x:c r="C2441" s="3" t="str">
        <x:v>仅R回收</x:v>
      </x:c>
      <x:c r="D2441" s="25" t="n">
        <x:v>7</x:v>
      </x:c>
      <x:c r="E2441" s="25" t="n">
        <x:v>1</x:v>
      </x:c>
      <x:c r="F2441" s="25" t="n">
        <x:v>1</x:v>
      </x:c>
      <x:c r="G2441" s="19" t="n">
        <x:f>SUM(D2441:F2441)</x:f>
        <x:v>9</x:v>
      </x:c>
      <x:c r="H2441" s="25" t="n">
        <x:v>1</x:v>
      </x:c>
      <x:c r="I2441" s="25" t="n">
        <x:v>1</x:v>
      </x:c>
      <x:c r="J2441" s="25" t="n">
        <x:v>0</x:v>
      </x:c>
      <x:c r="K2441" s="19" t="n">
        <x:f>D2441-IF(H2441=0,1,0)</x:f>
        <x:v>7</x:v>
      </x:c>
      <x:c r="L2441" s="19" t="n">
        <x:f>E2441-IF(H2441=1,1,0)</x:f>
        <x:v>0</x:v>
      </x:c>
      <x:c r="M2441" s="19" t="n">
        <x:f>F2441-IF(H2441=2,1,0)</x:f>
        <x:v>1</x:v>
      </x:c>
      <x:c r="N2441" s="19" t="n">
        <x:f>MAX(K2441-1,0)+MAX(L2441-1,0)+MAX(M2441-1,0)</x:f>
        <x:v>6</x:v>
      </x:c>
      <x:c r="O2441" s="19" t="n">
        <x:f>IF(AND(SUM(K2441:M2441)&lt;9,OR(M2441=0,N2441&lt;6)),1,0)</x:f>
        <x:v>0</x:v>
      </x:c>
      <x:c r="P2441" s="19" t="n">
        <x:f>IF(AND(SUM(K2441:M2441)&lt;9,OR(L2441=0,N2441&lt;6)),1,0)</x:f>
        <x:v>1</x:v>
      </x:c>
      <x:c r="Q2441" s="19" t="n">
        <x:f>IF(AND(SUM(K2441:M2441)&lt;9,OR(K2441=0,N2441&lt;6)),1,0)</x:f>
        <x:v>0</x:v>
      </x:c>
      <x:c r="R2441" s="22" t="str">
        <x:f>O2441&amp;P2441&amp;Q2441</x:f>
        <x:v>010</x:v>
      </x:c>
      <x:c r="S2441" s="19" t="n">
        <x:f>IF(I2441=1,IF(J2441=0,Q2441,IF(J2441=1,P2441,IF(J2441=2,O2441,0))),0)</x:f>
        <x:v>0</x:v>
      </x:c>
      <x:c r="T2441" s="19" t="n">
        <x:f>K2441+IF(AND(S2441=1,J2441=0),1,0)</x:f>
        <x:v>7</x:v>
      </x:c>
      <x:c r="U2441" s="19" t="n">
        <x:f>L2441+IF(AND(S2441=1,J2441=1),1,0)</x:f>
        <x:v>0</x:v>
      </x:c>
      <x:c r="V2441" s="19" t="n">
        <x:f>M2441+IF(AND(S2441=1,J2441=2),1,0)</x:f>
        <x:v>1</x:v>
      </x:c>
      <x:c r="W2441" s="19" t="n">
        <x:f>SUM(T2441:V2441)</x:f>
        <x:v>8</x:v>
      </x:c>
      <x:c r="X2441" s="19" t="n">
        <x:f>W2441-G2441</x:f>
        <x:v>-1</x:v>
      </x:c>
      <x:c r="Y2441" s="19" t="n">
        <x:f>MAX(T2441,1)+MAX(U2441,1)+MAX(V2441,1)</x:f>
        <x:v>9</x:v>
      </x:c>
      <x:c r="Z2441" s="21" t="str">
        <x:f>IF(AND(MIN(D2441:F2441)&gt;=0,MAX(D2441:F2441)&lt;=7,MAX(D2441,1)+MAX(E2441,1)+MAX(F2441,1)&lt;=9,OR(H2441="-",AND(H2441=0,D2441&gt;0),AND(H2441=1,E2441&gt;0),AND(H2441=2,F2441&gt;0)),OR(I2441=0,AND(I2441=1,OR(J2441=0,J2441=1,J2441=2),R2441&lt;&gt;"000")),Y2441&lt;=9,MIN(T2441:V2441)&gt;=0),"合法","输入违约")</x:f>
        <x:v>合法</x:v>
      </x:c>
    </x:row>
    <x:row r="2442" ht="23" customHeight="1">
      <x:c r="A2442" s="3" t="str">
        <x:v>CT-2435</x:v>
      </x:c>
      <x:c r="B2442" s="3" t="str">
        <x:v>ST-190</x:v>
      </x:c>
      <x:c r="C2442" s="3" t="str">
        <x:v>R+AR同收同发</x:v>
      </x:c>
      <x:c r="D2442" s="25" t="n">
        <x:v>7</x:v>
      </x:c>
      <x:c r="E2442" s="25" t="n">
        <x:v>1</x:v>
      </x:c>
      <x:c r="F2442" s="25" t="n">
        <x:v>1</x:v>
      </x:c>
      <x:c r="G2442" s="19" t="n">
        <x:f>SUM(D2442:F2442)</x:f>
        <x:v>9</x:v>
      </x:c>
      <x:c r="H2442" s="25" t="n">
        <x:v>1</x:v>
      </x:c>
      <x:c r="I2442" s="25" t="n">
        <x:v>1</x:v>
      </x:c>
      <x:c r="J2442" s="25" t="n">
        <x:v>1</x:v>
      </x:c>
      <x:c r="K2442" s="19" t="n">
        <x:f>D2442-IF(H2442=0,1,0)</x:f>
        <x:v>7</x:v>
      </x:c>
      <x:c r="L2442" s="19" t="n">
        <x:f>E2442-IF(H2442=1,1,0)</x:f>
        <x:v>0</x:v>
      </x:c>
      <x:c r="M2442" s="19" t="n">
        <x:f>F2442-IF(H2442=2,1,0)</x:f>
        <x:v>1</x:v>
      </x:c>
      <x:c r="N2442" s="19" t="n">
        <x:f>MAX(K2442-1,0)+MAX(L2442-1,0)+MAX(M2442-1,0)</x:f>
        <x:v>6</x:v>
      </x:c>
      <x:c r="O2442" s="19" t="n">
        <x:f>IF(AND(SUM(K2442:M2442)&lt;9,OR(M2442=0,N2442&lt;6)),1,0)</x:f>
        <x:v>0</x:v>
      </x:c>
      <x:c r="P2442" s="19" t="n">
        <x:f>IF(AND(SUM(K2442:M2442)&lt;9,OR(L2442=0,N2442&lt;6)),1,0)</x:f>
        <x:v>1</x:v>
      </x:c>
      <x:c r="Q2442" s="19" t="n">
        <x:f>IF(AND(SUM(K2442:M2442)&lt;9,OR(K2442=0,N2442&lt;6)),1,0)</x:f>
        <x:v>0</x:v>
      </x:c>
      <x:c r="R2442" s="22" t="str">
        <x:f>O2442&amp;P2442&amp;Q2442</x:f>
        <x:v>010</x:v>
      </x:c>
      <x:c r="S2442" s="19" t="n">
        <x:f>IF(I2442=1,IF(J2442=0,Q2442,IF(J2442=1,P2442,IF(J2442=2,O2442,0))),0)</x:f>
        <x:v>1</x:v>
      </x:c>
      <x:c r="T2442" s="19" t="n">
        <x:f>K2442+IF(AND(S2442=1,J2442=0),1,0)</x:f>
        <x:v>7</x:v>
      </x:c>
      <x:c r="U2442" s="19" t="n">
        <x:f>L2442+IF(AND(S2442=1,J2442=1),1,0)</x:f>
        <x:v>1</x:v>
      </x:c>
      <x:c r="V2442" s="19" t="n">
        <x:f>M2442+IF(AND(S2442=1,J2442=2),1,0)</x:f>
        <x:v>1</x:v>
      </x:c>
      <x:c r="W2442" s="19" t="n">
        <x:f>SUM(T2442:V2442)</x:f>
        <x:v>9</x:v>
      </x:c>
      <x:c r="X2442" s="19" t="n">
        <x:f>W2442-G2442</x:f>
        <x:v>0</x:v>
      </x:c>
      <x:c r="Y2442" s="19" t="n">
        <x:f>MAX(T2442,1)+MAX(U2442,1)+MAX(V2442,1)</x:f>
        <x:v>9</x:v>
      </x:c>
      <x:c r="Z2442" s="21" t="str">
        <x:f>IF(AND(MIN(D2442:F2442)&gt;=0,MAX(D2442:F2442)&lt;=7,MAX(D2442,1)+MAX(E2442,1)+MAX(F2442,1)&lt;=9,OR(H2442="-",AND(H2442=0,D2442&gt;0),AND(H2442=1,E2442&gt;0),AND(H2442=2,F2442&gt;0)),OR(I2442=0,AND(I2442=1,OR(J2442=0,J2442=1,J2442=2),R2442&lt;&gt;"000")),Y2442&lt;=9,MIN(T2442:V2442)&gt;=0),"合法","输入违约")</x:f>
        <x:v>合法</x:v>
      </x:c>
    </x:row>
    <x:row r="2443" ht="23" customHeight="1">
      <x:c r="A2443" s="3" t="str">
        <x:v>CT-2436</x:v>
      </x:c>
      <x:c r="B2443" s="3" t="str">
        <x:v>ST-190</x:v>
      </x:c>
      <x:c r="C2443" s="3" t="str">
        <x:v>仅R回收</x:v>
      </x:c>
      <x:c r="D2443" s="25" t="n">
        <x:v>7</x:v>
      </x:c>
      <x:c r="E2443" s="25" t="n">
        <x:v>1</x:v>
      </x:c>
      <x:c r="F2443" s="25" t="n">
        <x:v>1</x:v>
      </x:c>
      <x:c r="G2443" s="19" t="n">
        <x:f>SUM(D2443:F2443)</x:f>
        <x:v>9</x:v>
      </x:c>
      <x:c r="H2443" s="25" t="n">
        <x:v>1</x:v>
      </x:c>
      <x:c r="I2443" s="25" t="n">
        <x:v>1</x:v>
      </x:c>
      <x:c r="J2443" s="25" t="n">
        <x:v>2</x:v>
      </x:c>
      <x:c r="K2443" s="19" t="n">
        <x:f>D2443-IF(H2443=0,1,0)</x:f>
        <x:v>7</x:v>
      </x:c>
      <x:c r="L2443" s="19" t="n">
        <x:f>E2443-IF(H2443=1,1,0)</x:f>
        <x:v>0</x:v>
      </x:c>
      <x:c r="M2443" s="19" t="n">
        <x:f>F2443-IF(H2443=2,1,0)</x:f>
        <x:v>1</x:v>
      </x:c>
      <x:c r="N2443" s="19" t="n">
        <x:f>MAX(K2443-1,0)+MAX(L2443-1,0)+MAX(M2443-1,0)</x:f>
        <x:v>6</x:v>
      </x:c>
      <x:c r="O2443" s="19" t="n">
        <x:f>IF(AND(SUM(K2443:M2443)&lt;9,OR(M2443=0,N2443&lt;6)),1,0)</x:f>
        <x:v>0</x:v>
      </x:c>
      <x:c r="P2443" s="19" t="n">
        <x:f>IF(AND(SUM(K2443:M2443)&lt;9,OR(L2443=0,N2443&lt;6)),1,0)</x:f>
        <x:v>1</x:v>
      </x:c>
      <x:c r="Q2443" s="19" t="n">
        <x:f>IF(AND(SUM(K2443:M2443)&lt;9,OR(K2443=0,N2443&lt;6)),1,0)</x:f>
        <x:v>0</x:v>
      </x:c>
      <x:c r="R2443" s="22" t="str">
        <x:f>O2443&amp;P2443&amp;Q2443</x:f>
        <x:v>010</x:v>
      </x:c>
      <x:c r="S2443" s="19" t="n">
        <x:f>IF(I2443=1,IF(J2443=0,Q2443,IF(J2443=1,P2443,IF(J2443=2,O2443,0))),0)</x:f>
        <x:v>0</x:v>
      </x:c>
      <x:c r="T2443" s="19" t="n">
        <x:f>K2443+IF(AND(S2443=1,J2443=0),1,0)</x:f>
        <x:v>7</x:v>
      </x:c>
      <x:c r="U2443" s="19" t="n">
        <x:f>L2443+IF(AND(S2443=1,J2443=1),1,0)</x:f>
        <x:v>0</x:v>
      </x:c>
      <x:c r="V2443" s="19" t="n">
        <x:f>M2443+IF(AND(S2443=1,J2443=2),1,0)</x:f>
        <x:v>1</x:v>
      </x:c>
      <x:c r="W2443" s="19" t="n">
        <x:f>SUM(T2443:V2443)</x:f>
        <x:v>8</x:v>
      </x:c>
      <x:c r="X2443" s="19" t="n">
        <x:f>W2443-G2443</x:f>
        <x:v>-1</x:v>
      </x:c>
      <x:c r="Y2443" s="19" t="n">
        <x:f>MAX(T2443,1)+MAX(U2443,1)+MAX(V2443,1)</x:f>
        <x:v>9</x:v>
      </x:c>
      <x:c r="Z2443" s="21" t="str">
        <x:f>IF(AND(MIN(D2443:F2443)&gt;=0,MAX(D2443:F2443)&lt;=7,MAX(D2443,1)+MAX(E2443,1)+MAX(F2443,1)&lt;=9,OR(H2443="-",AND(H2443=0,D2443&gt;0),AND(H2443=1,E2443&gt;0),AND(H2443=2,F2443&gt;0)),OR(I2443=0,AND(I2443=1,OR(J2443=0,J2443=1,J2443=2),R2443&lt;&gt;"000")),Y2443&lt;=9,MIN(T2443:V2443)&gt;=0),"合法","输入违约")</x:f>
        <x:v>合法</x:v>
      </x:c>
    </x:row>
    <x:row r="2444" ht="23" customHeight="1">
      <x:c r="A2444" s="3" t="str">
        <x:v>CT-2437</x:v>
      </x:c>
      <x:c r="B2444" s="3" t="str">
        <x:v>ST-190</x:v>
      </x:c>
      <x:c r="C2444" s="3" t="str">
        <x:v>仅R回收</x:v>
      </x:c>
      <x:c r="D2444" s="25" t="n">
        <x:v>7</x:v>
      </x:c>
      <x:c r="E2444" s="25" t="n">
        <x:v>1</x:v>
      </x:c>
      <x:c r="F2444" s="25" t="n">
        <x:v>1</x:v>
      </x:c>
      <x:c r="G2444" s="19" t="n">
        <x:f>SUM(D2444:F2444)</x:f>
        <x:v>9</x:v>
      </x:c>
      <x:c r="H2444" s="25" t="n">
        <x:v>2</x:v>
      </x:c>
      <x:c r="I2444" s="25" t="n">
        <x:v>0</x:v>
      </x:c>
      <x:c r="J2444" s="25" t="str">
        <x:v>-</x:v>
      </x:c>
      <x:c r="K2444" s="19" t="n">
        <x:f>D2444-IF(H2444=0,1,0)</x:f>
        <x:v>7</x:v>
      </x:c>
      <x:c r="L2444" s="19" t="n">
        <x:f>E2444-IF(H2444=1,1,0)</x:f>
        <x:v>1</x:v>
      </x:c>
      <x:c r="M2444" s="19" t="n">
        <x:f>F2444-IF(H2444=2,1,0)</x:f>
        <x:v>0</x:v>
      </x:c>
      <x:c r="N2444" s="19" t="n">
        <x:f>MAX(K2444-1,0)+MAX(L2444-1,0)+MAX(M2444-1,0)</x:f>
        <x:v>6</x:v>
      </x:c>
      <x:c r="O2444" s="19" t="n">
        <x:f>IF(AND(SUM(K2444:M2444)&lt;9,OR(M2444=0,N2444&lt;6)),1,0)</x:f>
        <x:v>1</x:v>
      </x:c>
      <x:c r="P2444" s="19" t="n">
        <x:f>IF(AND(SUM(K2444:M2444)&lt;9,OR(L2444=0,N2444&lt;6)),1,0)</x:f>
        <x:v>0</x:v>
      </x:c>
      <x:c r="Q2444" s="19" t="n">
        <x:f>IF(AND(SUM(K2444:M2444)&lt;9,OR(K2444=0,N2444&lt;6)),1,0)</x:f>
        <x:v>0</x:v>
      </x:c>
      <x:c r="R2444" s="22" t="str">
        <x:f>O2444&amp;P2444&amp;Q2444</x:f>
        <x:v>100</x:v>
      </x:c>
      <x:c r="S2444" s="19" t="n">
        <x:f>IF(I2444=1,IF(J2444=0,Q2444,IF(J2444=1,P2444,IF(J2444=2,O2444,0))),0)</x:f>
        <x:v>0</x:v>
      </x:c>
      <x:c r="T2444" s="19" t="n">
        <x:f>K2444+IF(AND(S2444=1,J2444=0),1,0)</x:f>
        <x:v>7</x:v>
      </x:c>
      <x:c r="U2444" s="19" t="n">
        <x:f>L2444+IF(AND(S2444=1,J2444=1),1,0)</x:f>
        <x:v>1</x:v>
      </x:c>
      <x:c r="V2444" s="19" t="n">
        <x:f>M2444+IF(AND(S2444=1,J2444=2),1,0)</x:f>
        <x:v>0</x:v>
      </x:c>
      <x:c r="W2444" s="19" t="n">
        <x:f>SUM(T2444:V2444)</x:f>
        <x:v>8</x:v>
      </x:c>
      <x:c r="X2444" s="19" t="n">
        <x:f>W2444-G2444</x:f>
        <x:v>-1</x:v>
      </x:c>
      <x:c r="Y2444" s="19" t="n">
        <x:f>MAX(T2444,1)+MAX(U2444,1)+MAX(V2444,1)</x:f>
        <x:v>9</x:v>
      </x:c>
      <x:c r="Z2444" s="21" t="str">
        <x:f>IF(AND(MIN(D2444:F2444)&gt;=0,MAX(D2444:F2444)&lt;=7,MAX(D2444,1)+MAX(E2444,1)+MAX(F2444,1)&lt;=9,OR(H2444="-",AND(H2444=0,D2444&gt;0),AND(H2444=1,E2444&gt;0),AND(H2444=2,F2444&gt;0)),OR(I2444=0,AND(I2444=1,OR(J2444=0,J2444=1,J2444=2),R2444&lt;&gt;"000")),Y2444&lt;=9,MIN(T2444:V2444)&gt;=0),"合法","输入违约")</x:f>
        <x:v>合法</x:v>
      </x:c>
    </x:row>
    <x:row r="2445" ht="23" customHeight="1">
      <x:c r="A2445" s="3" t="str">
        <x:v>CT-2438</x:v>
      </x:c>
      <x:c r="B2445" s="3" t="str">
        <x:v>ST-190</x:v>
      </x:c>
      <x:c r="C2445" s="3" t="str">
        <x:v>仅R回收</x:v>
      </x:c>
      <x:c r="D2445" s="25" t="n">
        <x:v>7</x:v>
      </x:c>
      <x:c r="E2445" s="25" t="n">
        <x:v>1</x:v>
      </x:c>
      <x:c r="F2445" s="25" t="n">
        <x:v>1</x:v>
      </x:c>
      <x:c r="G2445" s="19" t="n">
        <x:f>SUM(D2445:F2445)</x:f>
        <x:v>9</x:v>
      </x:c>
      <x:c r="H2445" s="25" t="n">
        <x:v>2</x:v>
      </x:c>
      <x:c r="I2445" s="25" t="n">
        <x:v>1</x:v>
      </x:c>
      <x:c r="J2445" s="25" t="n">
        <x:v>0</x:v>
      </x:c>
      <x:c r="K2445" s="19" t="n">
        <x:f>D2445-IF(H2445=0,1,0)</x:f>
        <x:v>7</x:v>
      </x:c>
      <x:c r="L2445" s="19" t="n">
        <x:f>E2445-IF(H2445=1,1,0)</x:f>
        <x:v>1</x:v>
      </x:c>
      <x:c r="M2445" s="19" t="n">
        <x:f>F2445-IF(H2445=2,1,0)</x:f>
        <x:v>0</x:v>
      </x:c>
      <x:c r="N2445" s="19" t="n">
        <x:f>MAX(K2445-1,0)+MAX(L2445-1,0)+MAX(M2445-1,0)</x:f>
        <x:v>6</x:v>
      </x:c>
      <x:c r="O2445" s="19" t="n">
        <x:f>IF(AND(SUM(K2445:M2445)&lt;9,OR(M2445=0,N2445&lt;6)),1,0)</x:f>
        <x:v>1</x:v>
      </x:c>
      <x:c r="P2445" s="19" t="n">
        <x:f>IF(AND(SUM(K2445:M2445)&lt;9,OR(L2445=0,N2445&lt;6)),1,0)</x:f>
        <x:v>0</x:v>
      </x:c>
      <x:c r="Q2445" s="19" t="n">
        <x:f>IF(AND(SUM(K2445:M2445)&lt;9,OR(K2445=0,N2445&lt;6)),1,0)</x:f>
        <x:v>0</x:v>
      </x:c>
      <x:c r="R2445" s="22" t="str">
        <x:f>O2445&amp;P2445&amp;Q2445</x:f>
        <x:v>100</x:v>
      </x:c>
      <x:c r="S2445" s="19" t="n">
        <x:f>IF(I2445=1,IF(J2445=0,Q2445,IF(J2445=1,P2445,IF(J2445=2,O2445,0))),0)</x:f>
        <x:v>0</x:v>
      </x:c>
      <x:c r="T2445" s="19" t="n">
        <x:f>K2445+IF(AND(S2445=1,J2445=0),1,0)</x:f>
        <x:v>7</x:v>
      </x:c>
      <x:c r="U2445" s="19" t="n">
        <x:f>L2445+IF(AND(S2445=1,J2445=1),1,0)</x:f>
        <x:v>1</x:v>
      </x:c>
      <x:c r="V2445" s="19" t="n">
        <x:f>M2445+IF(AND(S2445=1,J2445=2),1,0)</x:f>
        <x:v>0</x:v>
      </x:c>
      <x:c r="W2445" s="19" t="n">
        <x:f>SUM(T2445:V2445)</x:f>
        <x:v>8</x:v>
      </x:c>
      <x:c r="X2445" s="19" t="n">
        <x:f>W2445-G2445</x:f>
        <x:v>-1</x:v>
      </x:c>
      <x:c r="Y2445" s="19" t="n">
        <x:f>MAX(T2445,1)+MAX(U2445,1)+MAX(V2445,1)</x:f>
        <x:v>9</x:v>
      </x:c>
      <x:c r="Z2445" s="21" t="str">
        <x:f>IF(AND(MIN(D2445:F2445)&gt;=0,MAX(D2445:F2445)&lt;=7,MAX(D2445,1)+MAX(E2445,1)+MAX(F2445,1)&lt;=9,OR(H2445="-",AND(H2445=0,D2445&gt;0),AND(H2445=1,E2445&gt;0),AND(H2445=2,F2445&gt;0)),OR(I2445=0,AND(I2445=1,OR(J2445=0,J2445=1,J2445=2),R2445&lt;&gt;"000")),Y2445&lt;=9,MIN(T2445:V2445)&gt;=0),"合法","输入违约")</x:f>
        <x:v>合法</x:v>
      </x:c>
    </x:row>
    <x:row r="2446" ht="23" customHeight="1">
      <x:c r="A2446" s="3" t="str">
        <x:v>CT-2439</x:v>
      </x:c>
      <x:c r="B2446" s="3" t="str">
        <x:v>ST-190</x:v>
      </x:c>
      <x:c r="C2446" s="3" t="str">
        <x:v>仅R回收</x:v>
      </x:c>
      <x:c r="D2446" s="25" t="n">
        <x:v>7</x:v>
      </x:c>
      <x:c r="E2446" s="25" t="n">
        <x:v>1</x:v>
      </x:c>
      <x:c r="F2446" s="25" t="n">
        <x:v>1</x:v>
      </x:c>
      <x:c r="G2446" s="19" t="n">
        <x:f>SUM(D2446:F2446)</x:f>
        <x:v>9</x:v>
      </x:c>
      <x:c r="H2446" s="25" t="n">
        <x:v>2</x:v>
      </x:c>
      <x:c r="I2446" s="25" t="n">
        <x:v>1</x:v>
      </x:c>
      <x:c r="J2446" s="25" t="n">
        <x:v>1</x:v>
      </x:c>
      <x:c r="K2446" s="19" t="n">
        <x:f>D2446-IF(H2446=0,1,0)</x:f>
        <x:v>7</x:v>
      </x:c>
      <x:c r="L2446" s="19" t="n">
        <x:f>E2446-IF(H2446=1,1,0)</x:f>
        <x:v>1</x:v>
      </x:c>
      <x:c r="M2446" s="19" t="n">
        <x:f>F2446-IF(H2446=2,1,0)</x:f>
        <x:v>0</x:v>
      </x:c>
      <x:c r="N2446" s="19" t="n">
        <x:f>MAX(K2446-1,0)+MAX(L2446-1,0)+MAX(M2446-1,0)</x:f>
        <x:v>6</x:v>
      </x:c>
      <x:c r="O2446" s="19" t="n">
        <x:f>IF(AND(SUM(K2446:M2446)&lt;9,OR(M2446=0,N2446&lt;6)),1,0)</x:f>
        <x:v>1</x:v>
      </x:c>
      <x:c r="P2446" s="19" t="n">
        <x:f>IF(AND(SUM(K2446:M2446)&lt;9,OR(L2446=0,N2446&lt;6)),1,0)</x:f>
        <x:v>0</x:v>
      </x:c>
      <x:c r="Q2446" s="19" t="n">
        <x:f>IF(AND(SUM(K2446:M2446)&lt;9,OR(K2446=0,N2446&lt;6)),1,0)</x:f>
        <x:v>0</x:v>
      </x:c>
      <x:c r="R2446" s="22" t="str">
        <x:f>O2446&amp;P2446&amp;Q2446</x:f>
        <x:v>100</x:v>
      </x:c>
      <x:c r="S2446" s="19" t="n">
        <x:f>IF(I2446=1,IF(J2446=0,Q2446,IF(J2446=1,P2446,IF(J2446=2,O2446,0))),0)</x:f>
        <x:v>0</x:v>
      </x:c>
      <x:c r="T2446" s="19" t="n">
        <x:f>K2446+IF(AND(S2446=1,J2446=0),1,0)</x:f>
        <x:v>7</x:v>
      </x:c>
      <x:c r="U2446" s="19" t="n">
        <x:f>L2446+IF(AND(S2446=1,J2446=1),1,0)</x:f>
        <x:v>1</x:v>
      </x:c>
      <x:c r="V2446" s="19" t="n">
        <x:f>M2446+IF(AND(S2446=1,J2446=2),1,0)</x:f>
        <x:v>0</x:v>
      </x:c>
      <x:c r="W2446" s="19" t="n">
        <x:f>SUM(T2446:V2446)</x:f>
        <x:v>8</x:v>
      </x:c>
      <x:c r="X2446" s="19" t="n">
        <x:f>W2446-G2446</x:f>
        <x:v>-1</x:v>
      </x:c>
      <x:c r="Y2446" s="19" t="n">
        <x:f>MAX(T2446,1)+MAX(U2446,1)+MAX(V2446,1)</x:f>
        <x:v>9</x:v>
      </x:c>
      <x:c r="Z2446" s="21" t="str">
        <x:f>IF(AND(MIN(D2446:F2446)&gt;=0,MAX(D2446:F2446)&lt;=7,MAX(D2446,1)+MAX(E2446,1)+MAX(F2446,1)&lt;=9,OR(H2446="-",AND(H2446=0,D2446&gt;0),AND(H2446=1,E2446&gt;0),AND(H2446=2,F2446&gt;0)),OR(I2446=0,AND(I2446=1,OR(J2446=0,J2446=1,J2446=2),R2446&lt;&gt;"000")),Y2446&lt;=9,MIN(T2446:V2446)&gt;=0),"合法","输入违约")</x:f>
        <x:v>合法</x:v>
      </x:c>
    </x:row>
    <x:row r="2447" ht="23" customHeight="1">
      <x:c r="A2447" s="3" t="str">
        <x:v>CT-2440</x:v>
      </x:c>
      <x:c r="B2447" s="3" t="str">
        <x:v>ST-190</x:v>
      </x:c>
      <x:c r="C2447" s="3" t="str">
        <x:v>R+AR同收同发</x:v>
      </x:c>
      <x:c r="D2447" s="25" t="n">
        <x:v>7</x:v>
      </x:c>
      <x:c r="E2447" s="25" t="n">
        <x:v>1</x:v>
      </x:c>
      <x:c r="F2447" s="25" t="n">
        <x:v>1</x:v>
      </x:c>
      <x:c r="G2447" s="19" t="n">
        <x:f>SUM(D2447:F2447)</x:f>
        <x:v>9</x:v>
      </x:c>
      <x:c r="H2447" s="25" t="n">
        <x:v>2</x:v>
      </x:c>
      <x:c r="I2447" s="25" t="n">
        <x:v>1</x:v>
      </x:c>
      <x:c r="J2447" s="25" t="n">
        <x:v>2</x:v>
      </x:c>
      <x:c r="K2447" s="19" t="n">
        <x:f>D2447-IF(H2447=0,1,0)</x:f>
        <x:v>7</x:v>
      </x:c>
      <x:c r="L2447" s="19" t="n">
        <x:f>E2447-IF(H2447=1,1,0)</x:f>
        <x:v>1</x:v>
      </x:c>
      <x:c r="M2447" s="19" t="n">
        <x:f>F2447-IF(H2447=2,1,0)</x:f>
        <x:v>0</x:v>
      </x:c>
      <x:c r="N2447" s="19" t="n">
        <x:f>MAX(K2447-1,0)+MAX(L2447-1,0)+MAX(M2447-1,0)</x:f>
        <x:v>6</x:v>
      </x:c>
      <x:c r="O2447" s="19" t="n">
        <x:f>IF(AND(SUM(K2447:M2447)&lt;9,OR(M2447=0,N2447&lt;6)),1,0)</x:f>
        <x:v>1</x:v>
      </x:c>
      <x:c r="P2447" s="19" t="n">
        <x:f>IF(AND(SUM(K2447:M2447)&lt;9,OR(L2447=0,N2447&lt;6)),1,0)</x:f>
        <x:v>0</x:v>
      </x:c>
      <x:c r="Q2447" s="19" t="n">
        <x:f>IF(AND(SUM(K2447:M2447)&lt;9,OR(K2447=0,N2447&lt;6)),1,0)</x:f>
        <x:v>0</x:v>
      </x:c>
      <x:c r="R2447" s="22" t="str">
        <x:f>O2447&amp;P2447&amp;Q2447</x:f>
        <x:v>100</x:v>
      </x:c>
      <x:c r="S2447" s="19" t="n">
        <x:f>IF(I2447=1,IF(J2447=0,Q2447,IF(J2447=1,P2447,IF(J2447=2,O2447,0))),0)</x:f>
        <x:v>1</x:v>
      </x:c>
      <x:c r="T2447" s="19" t="n">
        <x:f>K2447+IF(AND(S2447=1,J2447=0),1,0)</x:f>
        <x:v>7</x:v>
      </x:c>
      <x:c r="U2447" s="19" t="n">
        <x:f>L2447+IF(AND(S2447=1,J2447=1),1,0)</x:f>
        <x:v>1</x:v>
      </x:c>
      <x:c r="V2447" s="19" t="n">
        <x:f>M2447+IF(AND(S2447=1,J2447=2),1,0)</x:f>
        <x:v>1</x:v>
      </x:c>
      <x:c r="W2447" s="19" t="n">
        <x:f>SUM(T2447:V2447)</x:f>
        <x:v>9</x:v>
      </x:c>
      <x:c r="X2447" s="19" t="n">
        <x:f>W2447-G2447</x:f>
        <x:v>0</x:v>
      </x:c>
      <x:c r="Y2447" s="19" t="n">
        <x:f>MAX(T2447,1)+MAX(U2447,1)+MAX(V2447,1)</x:f>
        <x:v>9</x:v>
      </x:c>
      <x:c r="Z2447" s="21" t="str">
        <x:f>IF(AND(MIN(D2447:F2447)&gt;=0,MAX(D2447:F2447)&lt;=7,MAX(D2447,1)+MAX(E2447,1)+MAX(F2447,1)&lt;=9,OR(H2447="-",AND(H2447=0,D2447&gt;0),AND(H2447=1,E2447&gt;0),AND(H2447=2,F2447&gt;0)),OR(I2447=0,AND(I2447=1,OR(J2447=0,J2447=1,J2447=2),R2447&lt;&gt;"000")),Y2447&lt;=9,MIN(T2447:V2447)&gt;=0),"合法","输入违约")</x:f>
        <x:v>合法</x:v>
      </x:c>
    </x:row>
  </x:sheetData>
  <x:conditionalFormatting sqref="Z8:Z2447">
    <x:cfRule type="containsText" dxfId="4" priority="1" operator="containsText" text="输入违约"/>
  </x:conditionalFormatting>
  <x:dataValidations count="4">
    <x:dataValidation type="whole" operator="between" sqref="D8:F2447">
      <x:formula1>0</x:formula1>
      <x:formula2>7</x:formula2>
    </x:dataValidation>
    <x:dataValidation type="list" sqref="H8:H2447">
      <x:formula1>"-,0,1,2"</x:formula1>
    </x:dataValidation>
    <x:dataValidation type="whole" operator="between" sqref="I8:I2447">
      <x:formula1>0</x:formula1>
      <x:formula2>1</x:formula2>
    </x:dataValidation>
    <x:dataValidation type="list" sqref="J8:J2447">
      <x:formula1>"-,0,1,2,3"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e78e9725f41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.380000114440918" hidden="0" customWidth="1"/>
    <x:col min="2" max="2" width="28.75" hidden="0" customWidth="1"/>
    <x:col min="3" max="3" width="8.75" hidden="0" customWidth="1"/>
    <x:col min="4" max="4" width="7.5" hidden="0" customWidth="1"/>
    <x:col min="5" max="5" width="7.5" hidden="0" customWidth="1"/>
    <x:col min="6" max="6" width="7.5" hidden="0" customWidth="1"/>
    <x:col min="7" max="7" width="10.630000114440918" hidden="0" customWidth="1"/>
    <x:col min="8" max="8" width="11.25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1.25" hidden="0" customWidth="1"/>
    <x:col min="13" max="13" width="9.380000114440918" hidden="0" customWidth="1"/>
    <x:col min="14" max="14" width="9.380000114440918" hidden="0" customWidth="1"/>
    <x:col min="15" max="15" width="9.380000114440918" hidden="0" customWidth="1"/>
    <x:col min="16" max="16" width="11.25" hidden="0" customWidth="1"/>
    <x:col min="17" max="17" width="10" hidden="0" customWidth="1"/>
    <x:col min="18" max="18" width="10" hidden="0" customWidth="1"/>
    <x:col min="19" max="19" width="52.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逐拍场景：先看本拍 R，再判断 AR</x:v>
      </x:c>
      <x:c r="B2" s="8"/>
      <x:c r="C2" s="8"/>
      <x:c r="D2" s="8"/>
      <x:c r="E2" s="8"/>
      <x:c r="F2" s="8"/>
      <x:c r="G2" s="8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3" customHeight="1">
      <x:c r="A3" s="9" t="str">
        <x:v>共 6 组、37 拍。每行描述同一采样边沿：拍初 N → 本拍 R/ready/AR → 边沿更新后的 N。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</x:row>
    <x:row r="4" ht="23" customHeight="1">
      <x:c r="A4" s="9" t="str">
        <x:v>这些是按当前规则推导的时序，不是新 RTL 波形。I/M 的“-”表示本例未指定；W06 指定 C3 成功、C7 捕获、C8 最早 R。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23" customHeight="1">
      <x:c r="A5" s="9" t="str">
        <x:v>本页保持组内 C1、C2… 顺序；可按场景筛选。后续拍 N 引用上一拍结果，勿按单列重新排序。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42" customHeight="1">
      <x:c r="A7" s="13" t="str">
        <x:v>时序编号</x:v>
      </x:c>
      <x:c r="B7" s="14" t="str">
        <x:v>场景</x:v>
      </x:c>
      <x:c r="C7" s="14" t="str">
        <x:v>周期</x:v>
      </x:c>
      <x:c r="D7" s="14" t="str">
        <x:v>拍初 N0</x:v>
      </x:c>
      <x:c r="E7" s="14" t="str">
        <x:v>拍初 N1</x:v>
      </x:c>
      <x:c r="F7" s="14" t="str">
        <x:v>拍初 N2</x:v>
      </x:c>
      <x:c r="G7" s="14" t="str">
        <x:v>拍初总量</x:v>
      </x:c>
      <x:c r="H7" s="14" t="str">
        <x:v>R 来源</x:v>
      </x:c>
      <x:c r="I7" s="14" t="str">
        <x:v>arvalid</x:v>
      </x:c>
      <x:c r="J7" s="14" t="str">
        <x:v>src</x:v>
      </x:c>
      <x:c r="K7" s="14" t="str">
        <x:v>arready[2:0]</x:v>
      </x:c>
      <x:c r="L7" s="14" t="str">
        <x:v>AR 接收 A</x:v>
      </x:c>
      <x:c r="M7" s="14" t="str">
        <x:v>边沿后 N0</x:v>
      </x:c>
      <x:c r="N7" s="14" t="str">
        <x:v>边沿后 N1</x:v>
      </x:c>
      <x:c r="O7" s="14" t="str">
        <x:v>边沿后 N2</x:v>
      </x:c>
      <x:c r="P7" s="14" t="str">
        <x:v>边沿后总量</x:v>
      </x:c>
      <x:c r="Q7" s="14" t="str">
        <x:v>I 成功</x:v>
      </x:c>
      <x:c r="R7" s="14" t="str">
        <x:v>M 捕获</x:v>
      </x:c>
      <x:c r="S7" s="15" t="str">
        <x:v>本拍说明</x:v>
      </x:c>
    </x:row>
    <x:row r="8" ht="48" customHeight="1">
      <x:c r="A8" s="26" t="str">
        <x:v>W01</x:v>
      </x:c>
      <x:c r="B8" s="26" t="str">
        <x:v>单源到达七项后切换来源</x:v>
      </x:c>
      <x:c r="C8" s="26" t="str">
        <x:v>C1</x:v>
      </x:c>
      <x:c r="D8" s="28" t="n">
        <x:v>6</x:v>
      </x:c>
      <x:c r="E8" s="28" t="n">
        <x:v>0</x:v>
      </x:c>
      <x:c r="F8" s="28" t="n">
        <x:v>0</x:v>
      </x:c>
      <x:c r="G8" s="29" t="n">
        <x:f>SUM(D8:F8)</x:f>
        <x:v>6</x:v>
      </x:c>
      <x:c r="H8" s="28" t="str">
        <x:v>-</x:v>
      </x:c>
      <x:c r="I8" s="28" t="n">
        <x:v>1</x:v>
      </x:c>
      <x:c r="J8" s="28" t="n">
        <x:v>0</x:v>
      </x:c>
      <x:c r="K8" s="30" t="str">
        <x:f>IF(AND((D8-IF(H8=0,1,0)+E8-IF(H8=1,1,0)+F8-IF(H8=2,1,0))&lt;9,OR((F8-IF(H8=2,1,0))=0,(MAX((D8-IF(H8=0,1,0))-1,0)+MAX((E8-IF(H8=1,1,0))-1,0)+MAX((F8-IF(H8=2,1,0))-1,0))&lt;6)),1,0)&amp;IF(AND((D8-IF(H8=0,1,0)+E8-IF(H8=1,1,0)+F8-IF(H8=2,1,0))&lt;9,OR((E8-IF(H8=1,1,0))=0,(MAX((D8-IF(H8=0,1,0))-1,0)+MAX((E8-IF(H8=1,1,0))-1,0)+MAX((F8-IF(H8=2,1,0))-1,0))&lt;6)),1,0)&amp;IF(AND((D8-IF(H8=0,1,0)+E8-IF(H8=1,1,0)+F8-IF(H8=2,1,0))&lt;9,OR((D8-IF(H8=0,1,0))=0,(MAX((D8-IF(H8=0,1,0))-1,0)+MAX((E8-IF(H8=1,1,0))-1,0)+MAX((F8-IF(H8=2,1,0))-1,0))&lt;6)),1,0)</x:f>
        <x:v>111</x:v>
      </x:c>
      <x:c r="L8" s="29" t="n">
        <x:f>IF(I8=1,IF(J8=0,IF(RIGHT(K8,1)="1",1,0),IF(J8=1,IF(MID(K8,2,1)="1",1,0),IF(J8=2,IF(LEFT(K8,1)="1",1,0),0))),0)</x:f>
        <x:v>1</x:v>
      </x:c>
      <x:c r="M8" s="29" t="n">
        <x:f>D8-IF(H8=0,1,0)+IF(AND(L8=1,J8=0),1,0)</x:f>
        <x:v>7</x:v>
      </x:c>
      <x:c r="N8" s="29" t="n">
        <x:f>E8-IF(H8=1,1,0)+IF(AND(L8=1,J8=1),1,0)</x:f>
        <x:v>0</x:v>
      </x:c>
      <x:c r="O8" s="29" t="n">
        <x:f>F8-IF(H8=2,1,0)+IF(AND(L8=1,J8=2),1,0)</x:f>
        <x:v>0</x:v>
      </x:c>
      <x:c r="P8" s="29" t="n">
        <x:f>SUM(M8:O8)</x:f>
        <x:v>7</x:v>
      </x:c>
      <x:c r="Q8" s="29" t="str">
        <x:v>-</x:v>
      </x:c>
      <x:c r="R8" s="29" t="str">
        <x:v>-</x:v>
      </x:c>
      <x:c r="S8" s="26" t="str">
        <x:v>无 R；ready 按拍初各源占用计算</x:v>
      </x:c>
    </x:row>
    <x:row r="9" ht="48" customHeight="1">
      <x:c r="A9" s="3" t="str">
        <x:v>W01</x:v>
      </x:c>
      <x:c r="B9" s="3" t="str">
        <x:v>单源到达七项后切换来源</x:v>
      </x:c>
      <x:c r="C9" s="3" t="str">
        <x:v>C2</x:v>
      </x:c>
      <x:c r="D9" s="21" t="n">
        <x:f>M8</x:f>
        <x:v>7</x:v>
      </x:c>
      <x:c r="E9" s="21" t="n">
        <x:f>N8</x:f>
        <x:v>0</x:v>
      </x:c>
      <x:c r="F9" s="21" t="n">
        <x:f>O8</x:f>
        <x:v>0</x:v>
      </x:c>
      <x:c r="G9" s="21" t="n">
        <x:f>SUM(D9:F9)</x:f>
        <x:v>7</x:v>
      </x:c>
      <x:c r="H9" s="31" t="str">
        <x:v>-</x:v>
      </x:c>
      <x:c r="I9" s="31" t="n">
        <x:v>1</x:v>
      </x:c>
      <x:c r="J9" s="31" t="n">
        <x:v>0</x:v>
      </x:c>
      <x:c r="K9" s="22" t="str">
        <x:f>IF(AND((D9-IF(H9=0,1,0)+E9-IF(H9=1,1,0)+F9-IF(H9=2,1,0))&lt;9,OR((F9-IF(H9=2,1,0))=0,(MAX((D9-IF(H9=0,1,0))-1,0)+MAX((E9-IF(H9=1,1,0))-1,0)+MAX((F9-IF(H9=2,1,0))-1,0))&lt;6)),1,0)&amp;IF(AND((D9-IF(H9=0,1,0)+E9-IF(H9=1,1,0)+F9-IF(H9=2,1,0))&lt;9,OR((E9-IF(H9=1,1,0))=0,(MAX((D9-IF(H9=0,1,0))-1,0)+MAX((E9-IF(H9=1,1,0))-1,0)+MAX((F9-IF(H9=2,1,0))-1,0))&lt;6)),1,0)&amp;IF(AND((D9-IF(H9=0,1,0)+E9-IF(H9=1,1,0)+F9-IF(H9=2,1,0))&lt;9,OR((D9-IF(H9=0,1,0))=0,(MAX((D9-IF(H9=0,1,0))-1,0)+MAX((E9-IF(H9=1,1,0))-1,0)+MAX((F9-IF(H9=2,1,0))-1,0))&lt;6)),1,0)</x:f>
        <x:v>110</x:v>
      </x:c>
      <x:c r="L9" s="21" t="n">
        <x:f>IF(I9=1,IF(J9=0,IF(RIGHT(K9,1)="1",1,0),IF(J9=1,IF(MID(K9,2,1)="1",1,0),IF(J9=2,IF(LEFT(K9,1)="1",1,0),0))),0)</x:f>
        <x:v>0</x:v>
      </x:c>
      <x:c r="M9" s="21" t="n">
        <x:f>D9-IF(H9=0,1,0)+IF(AND(L9=1,J9=0),1,0)</x:f>
        <x:v>7</x:v>
      </x:c>
      <x:c r="N9" s="21" t="n">
        <x:f>E9-IF(H9=1,1,0)+IF(AND(L9=1,J9=1),1,0)</x:f>
        <x:v>0</x:v>
      </x:c>
      <x:c r="O9" s="21" t="n">
        <x:f>F9-IF(H9=2,1,0)+IF(AND(L9=1,J9=2),1,0)</x:f>
        <x:v>0</x:v>
      </x:c>
      <x:c r="P9" s="21" t="n">
        <x:f>SUM(M9:O9)</x:f>
        <x:v>7</x:v>
      </x:c>
      <x:c r="Q9" s="21" t="str">
        <x:v>-</x:v>
      </x:c>
      <x:c r="R9" s="21" t="str">
        <x:v>-</x:v>
      </x:c>
      <x:c r="S9" s="3" t="str">
        <x:v>无 R；ready 按拍初各源占用计算；所选源 ready=0，AR 未接收</x:v>
      </x:c>
    </x:row>
    <x:row r="10" ht="48" customHeight="1">
      <x:c r="A10" s="3" t="str">
        <x:v>W01</x:v>
      </x:c>
      <x:c r="B10" s="3" t="str">
        <x:v>单源到达七项后切换来源</x:v>
      </x:c>
      <x:c r="C10" s="3" t="str">
        <x:v>C3</x:v>
      </x:c>
      <x:c r="D10" s="21" t="n">
        <x:f>M9</x:f>
        <x:v>7</x:v>
      </x:c>
      <x:c r="E10" s="21" t="n">
        <x:f>N9</x:f>
        <x:v>0</x:v>
      </x:c>
      <x:c r="F10" s="21" t="n">
        <x:f>O9</x:f>
        <x:v>0</x:v>
      </x:c>
      <x:c r="G10" s="21" t="n">
        <x:f>SUM(D10:F10)</x:f>
        <x:v>7</x:v>
      </x:c>
      <x:c r="H10" s="31" t="str">
        <x:v>-</x:v>
      </x:c>
      <x:c r="I10" s="31" t="n">
        <x:v>1</x:v>
      </x:c>
      <x:c r="J10" s="31" t="n">
        <x:v>1</x:v>
      </x:c>
      <x:c r="K10" s="22" t="str">
        <x:f>IF(AND((D10-IF(H10=0,1,0)+E10-IF(H10=1,1,0)+F10-IF(H10=2,1,0))&lt;9,OR((F10-IF(H10=2,1,0))=0,(MAX((D10-IF(H10=0,1,0))-1,0)+MAX((E10-IF(H10=1,1,0))-1,0)+MAX((F10-IF(H10=2,1,0))-1,0))&lt;6)),1,0)&amp;IF(AND((D10-IF(H10=0,1,0)+E10-IF(H10=1,1,0)+F10-IF(H10=2,1,0))&lt;9,OR((E10-IF(H10=1,1,0))=0,(MAX((D10-IF(H10=0,1,0))-1,0)+MAX((E10-IF(H10=1,1,0))-1,0)+MAX((F10-IF(H10=2,1,0))-1,0))&lt;6)),1,0)&amp;IF(AND((D10-IF(H10=0,1,0)+E10-IF(H10=1,1,0)+F10-IF(H10=2,1,0))&lt;9,OR((D10-IF(H10=0,1,0))=0,(MAX((D10-IF(H10=0,1,0))-1,0)+MAX((E10-IF(H10=1,1,0))-1,0)+MAX((F10-IF(H10=2,1,0))-1,0))&lt;6)),1,0)</x:f>
        <x:v>110</x:v>
      </x:c>
      <x:c r="L10" s="21" t="n">
        <x:f>IF(I10=1,IF(J10=0,IF(RIGHT(K10,1)="1",1,0),IF(J10=1,IF(MID(K10,2,1)="1",1,0),IF(J10=2,IF(LEFT(K10,1)="1",1,0),0))),0)</x:f>
        <x:v>1</x:v>
      </x:c>
      <x:c r="M10" s="21" t="n">
        <x:f>D10-IF(H10=0,1,0)+IF(AND(L10=1,J10=0),1,0)</x:f>
        <x:v>7</x:v>
      </x:c>
      <x:c r="N10" s="21" t="n">
        <x:f>E10-IF(H10=1,1,0)+IF(AND(L10=1,J10=1),1,0)</x:f>
        <x:v>1</x:v>
      </x:c>
      <x:c r="O10" s="21" t="n">
        <x:f>F10-IF(H10=2,1,0)+IF(AND(L10=1,J10=2),1,0)</x:f>
        <x:v>0</x:v>
      </x:c>
      <x:c r="P10" s="21" t="n">
        <x:f>SUM(M10:O10)</x:f>
        <x:v>8</x:v>
      </x:c>
      <x:c r="Q10" s="21" t="str">
        <x:v>-</x:v>
      </x:c>
      <x:c r="R10" s="21" t="str">
        <x:v>-</x:v>
      </x:c>
      <x:c r="S10" s="3" t="str">
        <x:v>无 R；ready 按拍初各源占用计算</x:v>
      </x:c>
    </x:row>
    <x:row r="11" ht="48" customHeight="1">
      <x:c r="A11" s="3" t="str">
        <x:v>W01</x:v>
      </x:c>
      <x:c r="B11" s="3" t="str">
        <x:v>单源到达七项后切换来源</x:v>
      </x:c>
      <x:c r="C11" s="3" t="str">
        <x:v>C4</x:v>
      </x:c>
      <x:c r="D11" s="21" t="n">
        <x:f>M10</x:f>
        <x:v>7</x:v>
      </x:c>
      <x:c r="E11" s="21" t="n">
        <x:f>N10</x:f>
        <x:v>1</x:v>
      </x:c>
      <x:c r="F11" s="21" t="n">
        <x:f>O10</x:f>
        <x:v>0</x:v>
      </x:c>
      <x:c r="G11" s="21" t="n">
        <x:f>SUM(D11:F11)</x:f>
        <x:v>8</x:v>
      </x:c>
      <x:c r="H11" s="31" t="str">
        <x:v>-</x:v>
      </x:c>
      <x:c r="I11" s="31" t="n">
        <x:v>1</x:v>
      </x:c>
      <x:c r="J11" s="31" t="n">
        <x:v>1</x:v>
      </x:c>
      <x:c r="K11" s="22" t="str">
        <x:f>IF(AND((D11-IF(H11=0,1,0)+E11-IF(H11=1,1,0)+F11-IF(H11=2,1,0))&lt;9,OR((F11-IF(H11=2,1,0))=0,(MAX((D11-IF(H11=0,1,0))-1,0)+MAX((E11-IF(H11=1,1,0))-1,0)+MAX((F11-IF(H11=2,1,0))-1,0))&lt;6)),1,0)&amp;IF(AND((D11-IF(H11=0,1,0)+E11-IF(H11=1,1,0)+F11-IF(H11=2,1,0))&lt;9,OR((E11-IF(H11=1,1,0))=0,(MAX((D11-IF(H11=0,1,0))-1,0)+MAX((E11-IF(H11=1,1,0))-1,0)+MAX((F11-IF(H11=2,1,0))-1,0))&lt;6)),1,0)&amp;IF(AND((D11-IF(H11=0,1,0)+E11-IF(H11=1,1,0)+F11-IF(H11=2,1,0))&lt;9,OR((D11-IF(H11=0,1,0))=0,(MAX((D11-IF(H11=0,1,0))-1,0)+MAX((E11-IF(H11=1,1,0))-1,0)+MAX((F11-IF(H11=2,1,0))-1,0))&lt;6)),1,0)</x:f>
        <x:v>100</x:v>
      </x:c>
      <x:c r="L11" s="21" t="n">
        <x:f>IF(I11=1,IF(J11=0,IF(RIGHT(K11,1)="1",1,0),IF(J11=1,IF(MID(K11,2,1)="1",1,0),IF(J11=2,IF(LEFT(K11,1)="1",1,0),0))),0)</x:f>
        <x:v>0</x:v>
      </x:c>
      <x:c r="M11" s="21" t="n">
        <x:f>D11-IF(H11=0,1,0)+IF(AND(L11=1,J11=0),1,0)</x:f>
        <x:v>7</x:v>
      </x:c>
      <x:c r="N11" s="21" t="n">
        <x:f>E11-IF(H11=1,1,0)+IF(AND(L11=1,J11=1),1,0)</x:f>
        <x:v>1</x:v>
      </x:c>
      <x:c r="O11" s="21" t="n">
        <x:f>F11-IF(H11=2,1,0)+IF(AND(L11=1,J11=2),1,0)</x:f>
        <x:v>0</x:v>
      </x:c>
      <x:c r="P11" s="21" t="n">
        <x:f>SUM(M11:O11)</x:f>
        <x:v>8</x:v>
      </x:c>
      <x:c r="Q11" s="21" t="str">
        <x:v>-</x:v>
      </x:c>
      <x:c r="R11" s="21" t="str">
        <x:v>-</x:v>
      </x:c>
      <x:c r="S11" s="3" t="str">
        <x:v>无 R；ready 按拍初各源占用计算；所选源 ready=0，AR 未接收</x:v>
      </x:c>
    </x:row>
    <x:row r="12" ht="48" customHeight="1">
      <x:c r="A12" s="3" t="str">
        <x:v>W01</x:v>
      </x:c>
      <x:c r="B12" s="3" t="str">
        <x:v>单源到达七项后切换来源</x:v>
      </x:c>
      <x:c r="C12" s="3" t="str">
        <x:v>C5</x:v>
      </x:c>
      <x:c r="D12" s="21" t="n">
        <x:f>M11</x:f>
        <x:v>7</x:v>
      </x:c>
      <x:c r="E12" s="21" t="n">
        <x:f>N11</x:f>
        <x:v>1</x:v>
      </x:c>
      <x:c r="F12" s="21" t="n">
        <x:f>O11</x:f>
        <x:v>0</x:v>
      </x:c>
      <x:c r="G12" s="21" t="n">
        <x:f>SUM(D12:F12)</x:f>
        <x:v>8</x:v>
      </x:c>
      <x:c r="H12" s="31" t="str">
        <x:v>-</x:v>
      </x:c>
      <x:c r="I12" s="31" t="n">
        <x:v>1</x:v>
      </x:c>
      <x:c r="J12" s="31" t="n">
        <x:v>2</x:v>
      </x:c>
      <x:c r="K12" s="22" t="str">
        <x:f>IF(AND((D12-IF(H12=0,1,0)+E12-IF(H12=1,1,0)+F12-IF(H12=2,1,0))&lt;9,OR((F12-IF(H12=2,1,0))=0,(MAX((D12-IF(H12=0,1,0))-1,0)+MAX((E12-IF(H12=1,1,0))-1,0)+MAX((F12-IF(H12=2,1,0))-1,0))&lt;6)),1,0)&amp;IF(AND((D12-IF(H12=0,1,0)+E12-IF(H12=1,1,0)+F12-IF(H12=2,1,0))&lt;9,OR((E12-IF(H12=1,1,0))=0,(MAX((D12-IF(H12=0,1,0))-1,0)+MAX((E12-IF(H12=1,1,0))-1,0)+MAX((F12-IF(H12=2,1,0))-1,0))&lt;6)),1,0)&amp;IF(AND((D12-IF(H12=0,1,0)+E12-IF(H12=1,1,0)+F12-IF(H12=2,1,0))&lt;9,OR((D12-IF(H12=0,1,0))=0,(MAX((D12-IF(H12=0,1,0))-1,0)+MAX((E12-IF(H12=1,1,0))-1,0)+MAX((F12-IF(H12=2,1,0))-1,0))&lt;6)),1,0)</x:f>
        <x:v>100</x:v>
      </x:c>
      <x:c r="L12" s="21" t="n">
        <x:f>IF(I12=1,IF(J12=0,IF(RIGHT(K12,1)="1",1,0),IF(J12=1,IF(MID(K12,2,1)="1",1,0),IF(J12=2,IF(LEFT(K12,1)="1",1,0),0))),0)</x:f>
        <x:v>1</x:v>
      </x:c>
      <x:c r="M12" s="21" t="n">
        <x:f>D12-IF(H12=0,1,0)+IF(AND(L12=1,J12=0),1,0)</x:f>
        <x:v>7</x:v>
      </x:c>
      <x:c r="N12" s="21" t="n">
        <x:f>E12-IF(H12=1,1,0)+IF(AND(L12=1,J12=1),1,0)</x:f>
        <x:v>1</x:v>
      </x:c>
      <x:c r="O12" s="21" t="n">
        <x:f>F12-IF(H12=2,1,0)+IF(AND(L12=1,J12=2),1,0)</x:f>
        <x:v>1</x:v>
      </x:c>
      <x:c r="P12" s="21" t="n">
        <x:f>SUM(M12:O12)</x:f>
        <x:v>9</x:v>
      </x:c>
      <x:c r="Q12" s="21" t="str">
        <x:v>-</x:v>
      </x:c>
      <x:c r="R12" s="21" t="str">
        <x:v>-</x:v>
      </x:c>
      <x:c r="S12" s="3" t="str">
        <x:v>无 R；ready 按拍初各源占用计算</x:v>
      </x:c>
    </x:row>
    <x:row r="13" ht="48" customHeight="1">
      <x:c r="A13" s="3" t="str">
        <x:v>W01</x:v>
      </x:c>
      <x:c r="B13" s="3" t="str">
        <x:v>单源到达七项后切换来源</x:v>
      </x:c>
      <x:c r="C13" s="3" t="str">
        <x:v>C6</x:v>
      </x:c>
      <x:c r="D13" s="21" t="n">
        <x:f>M12</x:f>
        <x:v>7</x:v>
      </x:c>
      <x:c r="E13" s="21" t="n">
        <x:f>N12</x:f>
        <x:v>1</x:v>
      </x:c>
      <x:c r="F13" s="21" t="n">
        <x:f>O12</x:f>
        <x:v>1</x:v>
      </x:c>
      <x:c r="G13" s="21" t="n">
        <x:f>SUM(D13:F13)</x:f>
        <x:v>9</x:v>
      </x:c>
      <x:c r="H13" s="31" t="str">
        <x:v>-</x:v>
      </x:c>
      <x:c r="I13" s="31" t="n">
        <x:v>0</x:v>
      </x:c>
      <x:c r="J13" s="31" t="str">
        <x:v>-</x:v>
      </x:c>
      <x:c r="K13" s="22" t="str">
        <x:f>IF(AND((D13-IF(H13=0,1,0)+E13-IF(H13=1,1,0)+F13-IF(H13=2,1,0))&lt;9,OR((F13-IF(H13=2,1,0))=0,(MAX((D13-IF(H13=0,1,0))-1,0)+MAX((E13-IF(H13=1,1,0))-1,0)+MAX((F13-IF(H13=2,1,0))-1,0))&lt;6)),1,0)&amp;IF(AND((D13-IF(H13=0,1,0)+E13-IF(H13=1,1,0)+F13-IF(H13=2,1,0))&lt;9,OR((E13-IF(H13=1,1,0))=0,(MAX((D13-IF(H13=0,1,0))-1,0)+MAX((E13-IF(H13=1,1,0))-1,0)+MAX((F13-IF(H13=2,1,0))-1,0))&lt;6)),1,0)&amp;IF(AND((D13-IF(H13=0,1,0)+E13-IF(H13=1,1,0)+F13-IF(H13=2,1,0))&lt;9,OR((D13-IF(H13=0,1,0))=0,(MAX((D13-IF(H13=0,1,0))-1,0)+MAX((E13-IF(H13=1,1,0))-1,0)+MAX((F13-IF(H13=2,1,0))-1,0))&lt;6)),1,0)</x:f>
        <x:v>000</x:v>
      </x:c>
      <x:c r="L13" s="21" t="n">
        <x:f>IF(I13=1,IF(J13=0,IF(RIGHT(K13,1)="1",1,0),IF(J13=1,IF(MID(K13,2,1)="1",1,0),IF(J13=2,IF(LEFT(K13,1)="1",1,0),0))),0)</x:f>
        <x:v>0</x:v>
      </x:c>
      <x:c r="M13" s="21" t="n">
        <x:f>D13-IF(H13=0,1,0)+IF(AND(L13=1,J13=0),1,0)</x:f>
        <x:v>7</x:v>
      </x:c>
      <x:c r="N13" s="21" t="n">
        <x:f>E13-IF(H13=1,1,0)+IF(AND(L13=1,J13=1),1,0)</x:f>
        <x:v>1</x:v>
      </x:c>
      <x:c r="O13" s="21" t="n">
        <x:f>F13-IF(H13=2,1,0)+IF(AND(L13=1,J13=2),1,0)</x:f>
        <x:v>1</x:v>
      </x:c>
      <x:c r="P13" s="21" t="n">
        <x:f>SUM(M13:O13)</x:f>
        <x:v>9</x:v>
      </x:c>
      <x:c r="Q13" s="21" t="str">
        <x:v>-</x:v>
      </x:c>
      <x:c r="R13" s="21" t="str">
        <x:v>-</x:v>
      </x:c>
      <x:c r="S13" s="3" t="str">
        <x:v>无 R；ready 按拍初各源占用计算</x:v>
      </x:c>
    </x:row>
    <x:row r="14" ht="48" customHeight="1">
      <x:c r="A14" s="26" t="str">
        <x:v>W02</x:v>
      </x:c>
      <x:c r="B14" s="26" t="str">
        <x:v>满九项时回收多项来源</x:v>
      </x:c>
      <x:c r="C14" s="26" t="str">
        <x:v>C1</x:v>
      </x:c>
      <x:c r="D14" s="28" t="n">
        <x:v>7</x:v>
      </x:c>
      <x:c r="E14" s="28" t="n">
        <x:v>1</x:v>
      </x:c>
      <x:c r="F14" s="28" t="n">
        <x:v>1</x:v>
      </x:c>
      <x:c r="G14" s="29" t="n">
        <x:f>SUM(D14:F14)</x:f>
        <x:v>9</x:v>
      </x:c>
      <x:c r="H14" s="28" t="str">
        <x:v>-</x:v>
      </x:c>
      <x:c r="I14" s="28" t="n">
        <x:v>0</x:v>
      </x:c>
      <x:c r="J14" s="28" t="str">
        <x:v>-</x:v>
      </x:c>
      <x:c r="K14" s="30" t="str">
        <x:f>IF(AND((D14-IF(H14=0,1,0)+E14-IF(H14=1,1,0)+F14-IF(H14=2,1,0))&lt;9,OR((F14-IF(H14=2,1,0))=0,(MAX((D14-IF(H14=0,1,0))-1,0)+MAX((E14-IF(H14=1,1,0))-1,0)+MAX((F14-IF(H14=2,1,0))-1,0))&lt;6)),1,0)&amp;IF(AND((D14-IF(H14=0,1,0)+E14-IF(H14=1,1,0)+F14-IF(H14=2,1,0))&lt;9,OR((E14-IF(H14=1,1,0))=0,(MAX((D14-IF(H14=0,1,0))-1,0)+MAX((E14-IF(H14=1,1,0))-1,0)+MAX((F14-IF(H14=2,1,0))-1,0))&lt;6)),1,0)&amp;IF(AND((D14-IF(H14=0,1,0)+E14-IF(H14=1,1,0)+F14-IF(H14=2,1,0))&lt;9,OR((D14-IF(H14=0,1,0))=0,(MAX((D14-IF(H14=0,1,0))-1,0)+MAX((E14-IF(H14=1,1,0))-1,0)+MAX((F14-IF(H14=2,1,0))-1,0))&lt;6)),1,0)</x:f>
        <x:v>000</x:v>
      </x:c>
      <x:c r="L14" s="29" t="n">
        <x:f>IF(I14=1,IF(J14=0,IF(RIGHT(K14,1)="1",1,0),IF(J14=1,IF(MID(K14,2,1)="1",1,0),IF(J14=2,IF(LEFT(K14,1)="1",1,0),0))),0)</x:f>
        <x:v>0</x:v>
      </x:c>
      <x:c r="M14" s="29" t="n">
        <x:f>D14-IF(H14=0,1,0)+IF(AND(L14=1,J14=0),1,0)</x:f>
        <x:v>7</x:v>
      </x:c>
      <x:c r="N14" s="29" t="n">
        <x:f>E14-IF(H14=1,1,0)+IF(AND(L14=1,J14=1),1,0)</x:f>
        <x:v>1</x:v>
      </x:c>
      <x:c r="O14" s="29" t="n">
        <x:f>F14-IF(H14=2,1,0)+IF(AND(L14=1,J14=2),1,0)</x:f>
        <x:v>1</x:v>
      </x:c>
      <x:c r="P14" s="29" t="n">
        <x:f>SUM(M14:O14)</x:f>
        <x:v>9</x:v>
      </x:c>
      <x:c r="Q14" s="29" t="str">
        <x:v>-</x:v>
      </x:c>
      <x:c r="R14" s="29" t="str">
        <x:v>-</x:v>
      </x:c>
      <x:c r="S14" s="26" t="str">
        <x:v>无 R；ready 按拍初各源占用计算</x:v>
      </x:c>
    </x:row>
    <x:row r="15" ht="48" customHeight="1">
      <x:c r="A15" s="3" t="str">
        <x:v>W02</x:v>
      </x:c>
      <x:c r="B15" s="3" t="str">
        <x:v>满九项时回收多项来源</x:v>
      </x:c>
      <x:c r="C15" s="3" t="str">
        <x:v>C2</x:v>
      </x:c>
      <x:c r="D15" s="21" t="n">
        <x:f>M14</x:f>
        <x:v>7</x:v>
      </x:c>
      <x:c r="E15" s="21" t="n">
        <x:f>N14</x:f>
        <x:v>1</x:v>
      </x:c>
      <x:c r="F15" s="21" t="n">
        <x:f>O14</x:f>
        <x:v>1</x:v>
      </x:c>
      <x:c r="G15" s="21" t="n">
        <x:f>SUM(D15:F15)</x:f>
        <x:v>9</x:v>
      </x:c>
      <x:c r="H15" s="31" t="n">
        <x:v>0</x:v>
      </x:c>
      <x:c r="I15" s="31" t="n">
        <x:v>1</x:v>
      </x:c>
      <x:c r="J15" s="31" t="n">
        <x:v>2</x:v>
      </x:c>
      <x:c r="K15" s="22" t="str">
        <x:f>IF(AND((D15-IF(H15=0,1,0)+E15-IF(H15=1,1,0)+F15-IF(H15=2,1,0))&lt;9,OR((F15-IF(H15=2,1,0))=0,(MAX((D15-IF(H15=0,1,0))-1,0)+MAX((E15-IF(H15=1,1,0))-1,0)+MAX((F15-IF(H15=2,1,0))-1,0))&lt;6)),1,0)&amp;IF(AND((D15-IF(H15=0,1,0)+E15-IF(H15=1,1,0)+F15-IF(H15=2,1,0))&lt;9,OR((E15-IF(H15=1,1,0))=0,(MAX((D15-IF(H15=0,1,0))-1,0)+MAX((E15-IF(H15=1,1,0))-1,0)+MAX((F15-IF(H15=2,1,0))-1,0))&lt;6)),1,0)&amp;IF(AND((D15-IF(H15=0,1,0)+E15-IF(H15=1,1,0)+F15-IF(H15=2,1,0))&lt;9,OR((D15-IF(H15=0,1,0))=0,(MAX((D15-IF(H15=0,1,0))-1,0)+MAX((E15-IF(H15=1,1,0))-1,0)+MAX((F15-IF(H15=2,1,0))-1,0))&lt;6)),1,0)</x:f>
        <x:v>111</x:v>
      </x:c>
      <x:c r="L15" s="21" t="n">
        <x:f>IF(I15=1,IF(J15=0,IF(RIGHT(K15,1)="1",1,0),IF(J15=1,IF(MID(K15,2,1)="1",1,0),IF(J15=2,IF(LEFT(K15,1)="1",1,0),0))),0)</x:f>
        <x:v>1</x:v>
      </x:c>
      <x:c r="M15" s="21" t="n">
        <x:f>D15-IF(H15=0,1,0)+IF(AND(L15=1,J15=0),1,0)</x:f>
        <x:v>6</x:v>
      </x:c>
      <x:c r="N15" s="21" t="n">
        <x:f>E15-IF(H15=1,1,0)+IF(AND(L15=1,J15=1),1,0)</x:f>
        <x:v>1</x:v>
      </x:c>
      <x:c r="O15" s="21" t="n">
        <x:f>F15-IF(H15=2,1,0)+IF(AND(L15=1,J15=2),1,0)</x:f>
        <x:v>2</x:v>
      </x:c>
      <x:c r="P15" s="21" t="n">
        <x:f>SUM(M15:O15)</x:f>
        <x:v>9</x:v>
      </x:c>
      <x:c r="Q15" s="21" t="str">
        <x:v>-</x:v>
      </x:c>
      <x:c r="R15" s="21" t="str">
        <x:v>-</x:v>
      </x:c>
      <x:c r="S15" s="3" t="str">
        <x:v>R0 回收前该源有 7 项；先减这次 R，再算 ready</x:v>
      </x:c>
    </x:row>
    <x:row r="16" ht="48" customHeight="1">
      <x:c r="A16" s="3" t="str">
        <x:v>W02</x:v>
      </x:c>
      <x:c r="B16" s="3" t="str">
        <x:v>满九项时回收多项来源</x:v>
      </x:c>
      <x:c r="C16" s="3" t="str">
        <x:v>C3</x:v>
      </x:c>
      <x:c r="D16" s="21" t="n">
        <x:f>M15</x:f>
        <x:v>6</x:v>
      </x:c>
      <x:c r="E16" s="21" t="n">
        <x:f>N15</x:f>
        <x:v>1</x:v>
      </x:c>
      <x:c r="F16" s="21" t="n">
        <x:f>O15</x:f>
        <x:v>2</x:v>
      </x:c>
      <x:c r="G16" s="21" t="n">
        <x:f>SUM(D16:F16)</x:f>
        <x:v>9</x:v>
      </x:c>
      <x:c r="H16" s="31" t="n">
        <x:v>2</x:v>
      </x:c>
      <x:c r="I16" s="31" t="n">
        <x:v>1</x:v>
      </x:c>
      <x:c r="J16" s="31" t="n">
        <x:v>1</x:v>
      </x:c>
      <x:c r="K16" s="22" t="str">
        <x:f>IF(AND((D16-IF(H16=0,1,0)+E16-IF(H16=1,1,0)+F16-IF(H16=2,1,0))&lt;9,OR((F16-IF(H16=2,1,0))=0,(MAX((D16-IF(H16=0,1,0))-1,0)+MAX((E16-IF(H16=1,1,0))-1,0)+MAX((F16-IF(H16=2,1,0))-1,0))&lt;6)),1,0)&amp;IF(AND((D16-IF(H16=0,1,0)+E16-IF(H16=1,1,0)+F16-IF(H16=2,1,0))&lt;9,OR((E16-IF(H16=1,1,0))=0,(MAX((D16-IF(H16=0,1,0))-1,0)+MAX((E16-IF(H16=1,1,0))-1,0)+MAX((F16-IF(H16=2,1,0))-1,0))&lt;6)),1,0)&amp;IF(AND((D16-IF(H16=0,1,0)+E16-IF(H16=1,1,0)+F16-IF(H16=2,1,0))&lt;9,OR((D16-IF(H16=0,1,0))=0,(MAX((D16-IF(H16=0,1,0))-1,0)+MAX((E16-IF(H16=1,1,0))-1,0)+MAX((F16-IF(H16=2,1,0))-1,0))&lt;6)),1,0)</x:f>
        <x:v>111</x:v>
      </x:c>
      <x:c r="L16" s="21" t="n">
        <x:f>IF(I16=1,IF(J16=0,IF(RIGHT(K16,1)="1",1,0),IF(J16=1,IF(MID(K16,2,1)="1",1,0),IF(J16=2,IF(LEFT(K16,1)="1",1,0),0))),0)</x:f>
        <x:v>1</x:v>
      </x:c>
      <x:c r="M16" s="21" t="n">
        <x:f>D16-IF(H16=0,1,0)+IF(AND(L16=1,J16=0),1,0)</x:f>
        <x:v>6</x:v>
      </x:c>
      <x:c r="N16" s="21" t="n">
        <x:f>E16-IF(H16=1,1,0)+IF(AND(L16=1,J16=1),1,0)</x:f>
        <x:v>2</x:v>
      </x:c>
      <x:c r="O16" s="21" t="n">
        <x:f>F16-IF(H16=2,1,0)+IF(AND(L16=1,J16=2),1,0)</x:f>
        <x:v>1</x:v>
      </x:c>
      <x:c r="P16" s="21" t="n">
        <x:f>SUM(M16:O16)</x:f>
        <x:v>9</x:v>
      </x:c>
      <x:c r="Q16" s="21" t="str">
        <x:v>-</x:v>
      </x:c>
      <x:c r="R16" s="21" t="str">
        <x:v>-</x:v>
      </x:c>
      <x:c r="S16" s="3" t="str">
        <x:v>R2 回收前该源有 2 项；先减这次 R，再算 ready</x:v>
      </x:c>
    </x:row>
    <x:row r="17" ht="48" customHeight="1">
      <x:c r="A17" s="3" t="str">
        <x:v>W02</x:v>
      </x:c>
      <x:c r="B17" s="3" t="str">
        <x:v>满九项时回收多项来源</x:v>
      </x:c>
      <x:c r="C17" s="3" t="str">
        <x:v>C4</x:v>
      </x:c>
      <x:c r="D17" s="21" t="n">
        <x:f>M16</x:f>
        <x:v>6</x:v>
      </x:c>
      <x:c r="E17" s="21" t="n">
        <x:f>N16</x:f>
        <x:v>2</x:v>
      </x:c>
      <x:c r="F17" s="21" t="n">
        <x:f>O16</x:f>
        <x:v>1</x:v>
      </x:c>
      <x:c r="G17" s="21" t="n">
        <x:f>SUM(D17:F17)</x:f>
        <x:v>9</x:v>
      </x:c>
      <x:c r="H17" s="31" t="n">
        <x:v>0</x:v>
      </x:c>
      <x:c r="I17" s="31" t="n">
        <x:v>0</x:v>
      </x:c>
      <x:c r="J17" s="31" t="str">
        <x:v>-</x:v>
      </x:c>
      <x:c r="K17" s="22" t="str">
        <x:f>IF(AND((D17-IF(H17=0,1,0)+E17-IF(H17=1,1,0)+F17-IF(H17=2,1,0))&lt;9,OR((F17-IF(H17=2,1,0))=0,(MAX((D17-IF(H17=0,1,0))-1,0)+MAX((E17-IF(H17=1,1,0))-1,0)+MAX((F17-IF(H17=2,1,0))-1,0))&lt;6)),1,0)&amp;IF(AND((D17-IF(H17=0,1,0)+E17-IF(H17=1,1,0)+F17-IF(H17=2,1,0))&lt;9,OR((E17-IF(H17=1,1,0))=0,(MAX((D17-IF(H17=0,1,0))-1,0)+MAX((E17-IF(H17=1,1,0))-1,0)+MAX((F17-IF(H17=2,1,0))-1,0))&lt;6)),1,0)&amp;IF(AND((D17-IF(H17=0,1,0)+E17-IF(H17=1,1,0)+F17-IF(H17=2,1,0))&lt;9,OR((D17-IF(H17=0,1,0))=0,(MAX((D17-IF(H17=0,1,0))-1,0)+MAX((E17-IF(H17=1,1,0))-1,0)+MAX((F17-IF(H17=2,1,0))-1,0))&lt;6)),1,0)</x:f>
        <x:v>111</x:v>
      </x:c>
      <x:c r="L17" s="21" t="n">
        <x:f>IF(I17=1,IF(J17=0,IF(RIGHT(K17,1)="1",1,0),IF(J17=1,IF(MID(K17,2,1)="1",1,0),IF(J17=2,IF(LEFT(K17,1)="1",1,0),0))),0)</x:f>
        <x:v>0</x:v>
      </x:c>
      <x:c r="M17" s="21" t="n">
        <x:f>D17-IF(H17=0,1,0)+IF(AND(L17=1,J17=0),1,0)</x:f>
        <x:v>5</x:v>
      </x:c>
      <x:c r="N17" s="21" t="n">
        <x:f>E17-IF(H17=1,1,0)+IF(AND(L17=1,J17=1),1,0)</x:f>
        <x:v>2</x:v>
      </x:c>
      <x:c r="O17" s="21" t="n">
        <x:f>F17-IF(H17=2,1,0)+IF(AND(L17=1,J17=2),1,0)</x:f>
        <x:v>1</x:v>
      </x:c>
      <x:c r="P17" s="21" t="n">
        <x:f>SUM(M17:O17)</x:f>
        <x:v>8</x:v>
      </x:c>
      <x:c r="Q17" s="21" t="str">
        <x:v>-</x:v>
      </x:c>
      <x:c r="R17" s="21" t="str">
        <x:v>-</x:v>
      </x:c>
      <x:c r="S17" s="3" t="str">
        <x:v>R0 回收前该源有 6 项；先减这次 R，再算 ready</x:v>
      </x:c>
    </x:row>
    <x:row r="18" ht="48" customHeight="1">
      <x:c r="A18" s="3" t="str">
        <x:v>W02</x:v>
      </x:c>
      <x:c r="B18" s="3" t="str">
        <x:v>满九项时回收多项来源</x:v>
      </x:c>
      <x:c r="C18" s="3" t="str">
        <x:v>C5</x:v>
      </x:c>
      <x:c r="D18" s="21" t="n">
        <x:f>M17</x:f>
        <x:v>5</x:v>
      </x:c>
      <x:c r="E18" s="21" t="n">
        <x:f>N17</x:f>
        <x:v>2</x:v>
      </x:c>
      <x:c r="F18" s="21" t="n">
        <x:f>O17</x:f>
        <x:v>1</x:v>
      </x:c>
      <x:c r="G18" s="21" t="n">
        <x:f>SUM(D18:F18)</x:f>
        <x:v>8</x:v>
      </x:c>
      <x:c r="H18" s="31" t="str">
        <x:v>-</x:v>
      </x:c>
      <x:c r="I18" s="31" t="n">
        <x:v>1</x:v>
      </x:c>
      <x:c r="J18" s="31" t="n">
        <x:v>0</x:v>
      </x:c>
      <x:c r="K18" s="22" t="str">
        <x:f>IF(AND((D18-IF(H18=0,1,0)+E18-IF(H18=1,1,0)+F18-IF(H18=2,1,0))&lt;9,OR((F18-IF(H18=2,1,0))=0,(MAX((D18-IF(H18=0,1,0))-1,0)+MAX((E18-IF(H18=1,1,0))-1,0)+MAX((F18-IF(H18=2,1,0))-1,0))&lt;6)),1,0)&amp;IF(AND((D18-IF(H18=0,1,0)+E18-IF(H18=1,1,0)+F18-IF(H18=2,1,0))&lt;9,OR((E18-IF(H18=1,1,0))=0,(MAX((D18-IF(H18=0,1,0))-1,0)+MAX((E18-IF(H18=1,1,0))-1,0)+MAX((F18-IF(H18=2,1,0))-1,0))&lt;6)),1,0)&amp;IF(AND((D18-IF(H18=0,1,0)+E18-IF(H18=1,1,0)+F18-IF(H18=2,1,0))&lt;9,OR((D18-IF(H18=0,1,0))=0,(MAX((D18-IF(H18=0,1,0))-1,0)+MAX((E18-IF(H18=1,1,0))-1,0)+MAX((F18-IF(H18=2,1,0))-1,0))&lt;6)),1,0)</x:f>
        <x:v>111</x:v>
      </x:c>
      <x:c r="L18" s="21" t="n">
        <x:f>IF(I18=1,IF(J18=0,IF(RIGHT(K18,1)="1",1,0),IF(J18=1,IF(MID(K18,2,1)="1",1,0),IF(J18=2,IF(LEFT(K18,1)="1",1,0),0))),0)</x:f>
        <x:v>1</x:v>
      </x:c>
      <x:c r="M18" s="21" t="n">
        <x:f>D18-IF(H18=0,1,0)+IF(AND(L18=1,J18=0),1,0)</x:f>
        <x:v>6</x:v>
      </x:c>
      <x:c r="N18" s="21" t="n">
        <x:f>E18-IF(H18=1,1,0)+IF(AND(L18=1,J18=1),1,0)</x:f>
        <x:v>2</x:v>
      </x:c>
      <x:c r="O18" s="21" t="n">
        <x:f>F18-IF(H18=2,1,0)+IF(AND(L18=1,J18=2),1,0)</x:f>
        <x:v>1</x:v>
      </x:c>
      <x:c r="P18" s="21" t="n">
        <x:f>SUM(M18:O18)</x:f>
        <x:v>9</x:v>
      </x:c>
      <x:c r="Q18" s="21" t="str">
        <x:v>-</x:v>
      </x:c>
      <x:c r="R18" s="21" t="str">
        <x:v>-</x:v>
      </x:c>
      <x:c r="S18" s="3" t="str">
        <x:v>无 R；ready 按拍初各源占用计算</x:v>
      </x:c>
    </x:row>
    <x:row r="19" ht="48" customHeight="1">
      <x:c r="A19" s="3" t="str">
        <x:v>W02</x:v>
      </x:c>
      <x:c r="B19" s="3" t="str">
        <x:v>满九项时回收多项来源</x:v>
      </x:c>
      <x:c r="C19" s="3" t="str">
        <x:v>C6</x:v>
      </x:c>
      <x:c r="D19" s="21" t="n">
        <x:f>M18</x:f>
        <x:v>6</x:v>
      </x:c>
      <x:c r="E19" s="21" t="n">
        <x:f>N18</x:f>
        <x:v>2</x:v>
      </x:c>
      <x:c r="F19" s="21" t="n">
        <x:f>O18</x:f>
        <x:v>1</x:v>
      </x:c>
      <x:c r="G19" s="21" t="n">
        <x:f>SUM(D19:F19)</x:f>
        <x:v>9</x:v>
      </x:c>
      <x:c r="H19" s="31" t="str">
        <x:v>-</x:v>
      </x:c>
      <x:c r="I19" s="31" t="n">
        <x:v>0</x:v>
      </x:c>
      <x:c r="J19" s="31" t="str">
        <x:v>-</x:v>
      </x:c>
      <x:c r="K19" s="22" t="str">
        <x:f>IF(AND((D19-IF(H19=0,1,0)+E19-IF(H19=1,1,0)+F19-IF(H19=2,1,0))&lt;9,OR((F19-IF(H19=2,1,0))=0,(MAX((D19-IF(H19=0,1,0))-1,0)+MAX((E19-IF(H19=1,1,0))-1,0)+MAX((F19-IF(H19=2,1,0))-1,0))&lt;6)),1,0)&amp;IF(AND((D19-IF(H19=0,1,0)+E19-IF(H19=1,1,0)+F19-IF(H19=2,1,0))&lt;9,OR((E19-IF(H19=1,1,0))=0,(MAX((D19-IF(H19=0,1,0))-1,0)+MAX((E19-IF(H19=1,1,0))-1,0)+MAX((F19-IF(H19=2,1,0))-1,0))&lt;6)),1,0)&amp;IF(AND((D19-IF(H19=0,1,0)+E19-IF(H19=1,1,0)+F19-IF(H19=2,1,0))&lt;9,OR((D19-IF(H19=0,1,0))=0,(MAX((D19-IF(H19=0,1,0))-1,0)+MAX((E19-IF(H19=1,1,0))-1,0)+MAX((F19-IF(H19=2,1,0))-1,0))&lt;6)),1,0)</x:f>
        <x:v>000</x:v>
      </x:c>
      <x:c r="L19" s="21" t="n">
        <x:f>IF(I19=1,IF(J19=0,IF(RIGHT(K19,1)="1",1,0),IF(J19=1,IF(MID(K19,2,1)="1",1,0),IF(J19=2,IF(LEFT(K19,1)="1",1,0),0))),0)</x:f>
        <x:v>0</x:v>
      </x:c>
      <x:c r="M19" s="21" t="n">
        <x:f>D19-IF(H19=0,1,0)+IF(AND(L19=1,J19=0),1,0)</x:f>
        <x:v>6</x:v>
      </x:c>
      <x:c r="N19" s="21" t="n">
        <x:f>E19-IF(H19=1,1,0)+IF(AND(L19=1,J19=1),1,0)</x:f>
        <x:v>2</x:v>
      </x:c>
      <x:c r="O19" s="21" t="n">
        <x:f>F19-IF(H19=2,1,0)+IF(AND(L19=1,J19=2),1,0)</x:f>
        <x:v>1</x:v>
      </x:c>
      <x:c r="P19" s="21" t="n">
        <x:f>SUM(M19:O19)</x:f>
        <x:v>9</x:v>
      </x:c>
      <x:c r="Q19" s="21" t="str">
        <x:v>-</x:v>
      </x:c>
      <x:c r="R19" s="21" t="str">
        <x:v>-</x:v>
      </x:c>
      <x:c r="S19" s="3" t="str">
        <x:v>无 R；ready 按拍初各源占用计算</x:v>
      </x:c>
    </x:row>
    <x:row r="20" ht="48" customHeight="1">
      <x:c r="A20" s="26" t="str">
        <x:v>W03</x:v>
      </x:c>
      <x:c r="B20" s="26" t="str">
        <x:v>满九项时回收唯一一项</x:v>
      </x:c>
      <x:c r="C20" s="26" t="str">
        <x:v>C1</x:v>
      </x:c>
      <x:c r="D20" s="28" t="n">
        <x:v>4</x:v>
      </x:c>
      <x:c r="E20" s="28" t="n">
        <x:v>4</x:v>
      </x:c>
      <x:c r="F20" s="28" t="n">
        <x:v>1</x:v>
      </x:c>
      <x:c r="G20" s="29" t="n">
        <x:f>SUM(D20:F20)</x:f>
        <x:v>9</x:v>
      </x:c>
      <x:c r="H20" s="28" t="str">
        <x:v>-</x:v>
      </x:c>
      <x:c r="I20" s="28" t="n">
        <x:v>0</x:v>
      </x:c>
      <x:c r="J20" s="28" t="str">
        <x:v>-</x:v>
      </x:c>
      <x:c r="K20" s="30" t="str">
        <x:f>IF(AND((D20-IF(H20=0,1,0)+E20-IF(H20=1,1,0)+F20-IF(H20=2,1,0))&lt;9,OR((F20-IF(H20=2,1,0))=0,(MAX((D20-IF(H20=0,1,0))-1,0)+MAX((E20-IF(H20=1,1,0))-1,0)+MAX((F20-IF(H20=2,1,0))-1,0))&lt;6)),1,0)&amp;IF(AND((D20-IF(H20=0,1,0)+E20-IF(H20=1,1,0)+F20-IF(H20=2,1,0))&lt;9,OR((E20-IF(H20=1,1,0))=0,(MAX((D20-IF(H20=0,1,0))-1,0)+MAX((E20-IF(H20=1,1,0))-1,0)+MAX((F20-IF(H20=2,1,0))-1,0))&lt;6)),1,0)&amp;IF(AND((D20-IF(H20=0,1,0)+E20-IF(H20=1,1,0)+F20-IF(H20=2,1,0))&lt;9,OR((D20-IF(H20=0,1,0))=0,(MAX((D20-IF(H20=0,1,0))-1,0)+MAX((E20-IF(H20=1,1,0))-1,0)+MAX((F20-IF(H20=2,1,0))-1,0))&lt;6)),1,0)</x:f>
        <x:v>000</x:v>
      </x:c>
      <x:c r="L20" s="29" t="n">
        <x:f>IF(I20=1,IF(J20=0,IF(RIGHT(K20,1)="1",1,0),IF(J20=1,IF(MID(K20,2,1)="1",1,0),IF(J20=2,IF(LEFT(K20,1)="1",1,0),0))),0)</x:f>
        <x:v>0</x:v>
      </x:c>
      <x:c r="M20" s="29" t="n">
        <x:f>D20-IF(H20=0,1,0)+IF(AND(L20=1,J20=0),1,0)</x:f>
        <x:v>4</x:v>
      </x:c>
      <x:c r="N20" s="29" t="n">
        <x:f>E20-IF(H20=1,1,0)+IF(AND(L20=1,J20=1),1,0)</x:f>
        <x:v>4</x:v>
      </x:c>
      <x:c r="O20" s="29" t="n">
        <x:f>F20-IF(H20=2,1,0)+IF(AND(L20=1,J20=2),1,0)</x:f>
        <x:v>1</x:v>
      </x:c>
      <x:c r="P20" s="29" t="n">
        <x:f>SUM(M20:O20)</x:f>
        <x:v>9</x:v>
      </x:c>
      <x:c r="Q20" s="29" t="str">
        <x:v>-</x:v>
      </x:c>
      <x:c r="R20" s="29" t="str">
        <x:v>-</x:v>
      </x:c>
      <x:c r="S20" s="26" t="str">
        <x:v>无 R；ready 按拍初各源占用计算</x:v>
      </x:c>
    </x:row>
    <x:row r="21" ht="48" customHeight="1">
      <x:c r="A21" s="3" t="str">
        <x:v>W03</x:v>
      </x:c>
      <x:c r="B21" s="3" t="str">
        <x:v>满九项时回收唯一一项</x:v>
      </x:c>
      <x:c r="C21" s="3" t="str">
        <x:v>C2</x:v>
      </x:c>
      <x:c r="D21" s="21" t="n">
        <x:f>M20</x:f>
        <x:v>4</x:v>
      </x:c>
      <x:c r="E21" s="21" t="n">
        <x:f>N20</x:f>
        <x:v>4</x:v>
      </x:c>
      <x:c r="F21" s="21" t="n">
        <x:f>O20</x:f>
        <x:v>1</x:v>
      </x:c>
      <x:c r="G21" s="21" t="n">
        <x:f>SUM(D21:F21)</x:f>
        <x:v>9</x:v>
      </x:c>
      <x:c r="H21" s="31" t="n">
        <x:v>2</x:v>
      </x:c>
      <x:c r="I21" s="31" t="n">
        <x:v>1</x:v>
      </x:c>
      <x:c r="J21" s="31" t="n">
        <x:v>0</x:v>
      </x:c>
      <x:c r="K21" s="22" t="str">
        <x:f>IF(AND((D21-IF(H21=0,1,0)+E21-IF(H21=1,1,0)+F21-IF(H21=2,1,0))&lt;9,OR((F21-IF(H21=2,1,0))=0,(MAX((D21-IF(H21=0,1,0))-1,0)+MAX((E21-IF(H21=1,1,0))-1,0)+MAX((F21-IF(H21=2,1,0))-1,0))&lt;6)),1,0)&amp;IF(AND((D21-IF(H21=0,1,0)+E21-IF(H21=1,1,0)+F21-IF(H21=2,1,0))&lt;9,OR((E21-IF(H21=1,1,0))=0,(MAX((D21-IF(H21=0,1,0))-1,0)+MAX((E21-IF(H21=1,1,0))-1,0)+MAX((F21-IF(H21=2,1,0))-1,0))&lt;6)),1,0)&amp;IF(AND((D21-IF(H21=0,1,0)+E21-IF(H21=1,1,0)+F21-IF(H21=2,1,0))&lt;9,OR((D21-IF(H21=0,1,0))=0,(MAX((D21-IF(H21=0,1,0))-1,0)+MAX((E21-IF(H21=1,1,0))-1,0)+MAX((F21-IF(H21=2,1,0))-1,0))&lt;6)),1,0)</x:f>
        <x:v>100</x:v>
      </x:c>
      <x:c r="L21" s="21" t="n">
        <x:f>IF(I21=1,IF(J21=0,IF(RIGHT(K21,1)="1",1,0),IF(J21=1,IF(MID(K21,2,1)="1",1,0),IF(J21=2,IF(LEFT(K21,1)="1",1,0),0))),0)</x:f>
        <x:v>0</x:v>
      </x:c>
      <x:c r="M21" s="21" t="n">
        <x:f>D21-IF(H21=0,1,0)+IF(AND(L21=1,J21=0),1,0)</x:f>
        <x:v>4</x:v>
      </x:c>
      <x:c r="N21" s="21" t="n">
        <x:f>E21-IF(H21=1,1,0)+IF(AND(L21=1,J21=1),1,0)</x:f>
        <x:v>4</x:v>
      </x:c>
      <x:c r="O21" s="21" t="n">
        <x:f>F21-IF(H21=2,1,0)+IF(AND(L21=1,J21=2),1,0)</x:f>
        <x:v>0</x:v>
      </x:c>
      <x:c r="P21" s="21" t="n">
        <x:f>SUM(M21:O21)</x:f>
        <x:v>8</x:v>
      </x:c>
      <x:c r="Q21" s="21" t="str">
        <x:v>-</x:v>
      </x:c>
      <x:c r="R21" s="21" t="str">
        <x:v>-</x:v>
      </x:c>
      <x:c r="S21" s="3" t="str">
        <x:v>R2 回收前该源有 1 项；先减这次 R，再算 ready；所选源 ready=0，AR 未接收</x:v>
      </x:c>
    </x:row>
    <x:row r="22" ht="48" customHeight="1">
      <x:c r="A22" s="3" t="str">
        <x:v>W03</x:v>
      </x:c>
      <x:c r="B22" s="3" t="str">
        <x:v>满九项时回收唯一一项</x:v>
      </x:c>
      <x:c r="C22" s="3" t="str">
        <x:v>C3</x:v>
      </x:c>
      <x:c r="D22" s="21" t="n">
        <x:f>M21</x:f>
        <x:v>4</x:v>
      </x:c>
      <x:c r="E22" s="21" t="n">
        <x:f>N21</x:f>
        <x:v>4</x:v>
      </x:c>
      <x:c r="F22" s="21" t="n">
        <x:f>O21</x:f>
        <x:v>0</x:v>
      </x:c>
      <x:c r="G22" s="21" t="n">
        <x:f>SUM(D22:F22)</x:f>
        <x:v>8</x:v>
      </x:c>
      <x:c r="H22" s="31" t="str">
        <x:v>-</x:v>
      </x:c>
      <x:c r="I22" s="31" t="n">
        <x:v>1</x:v>
      </x:c>
      <x:c r="J22" s="31" t="n">
        <x:v>1</x:v>
      </x:c>
      <x:c r="K22" s="22" t="str">
        <x:f>IF(AND((D22-IF(H22=0,1,0)+E22-IF(H22=1,1,0)+F22-IF(H22=2,1,0))&lt;9,OR((F22-IF(H22=2,1,0))=0,(MAX((D22-IF(H22=0,1,0))-1,0)+MAX((E22-IF(H22=1,1,0))-1,0)+MAX((F22-IF(H22=2,1,0))-1,0))&lt;6)),1,0)&amp;IF(AND((D22-IF(H22=0,1,0)+E22-IF(H22=1,1,0)+F22-IF(H22=2,1,0))&lt;9,OR((E22-IF(H22=1,1,0))=0,(MAX((D22-IF(H22=0,1,0))-1,0)+MAX((E22-IF(H22=1,1,0))-1,0)+MAX((F22-IF(H22=2,1,0))-1,0))&lt;6)),1,0)&amp;IF(AND((D22-IF(H22=0,1,0)+E22-IF(H22=1,1,0)+F22-IF(H22=2,1,0))&lt;9,OR((D22-IF(H22=0,1,0))=0,(MAX((D22-IF(H22=0,1,0))-1,0)+MAX((E22-IF(H22=1,1,0))-1,0)+MAX((F22-IF(H22=2,1,0))-1,0))&lt;6)),1,0)</x:f>
        <x:v>100</x:v>
      </x:c>
      <x:c r="L22" s="21" t="n">
        <x:f>IF(I22=1,IF(J22=0,IF(RIGHT(K22,1)="1",1,0),IF(J22=1,IF(MID(K22,2,1)="1",1,0),IF(J22=2,IF(LEFT(K22,1)="1",1,0),0))),0)</x:f>
        <x:v>0</x:v>
      </x:c>
      <x:c r="M22" s="21" t="n">
        <x:f>D22-IF(H22=0,1,0)+IF(AND(L22=1,J22=0),1,0)</x:f>
        <x:v>4</x:v>
      </x:c>
      <x:c r="N22" s="21" t="n">
        <x:f>E22-IF(H22=1,1,0)+IF(AND(L22=1,J22=1),1,0)</x:f>
        <x:v>4</x:v>
      </x:c>
      <x:c r="O22" s="21" t="n">
        <x:f>F22-IF(H22=2,1,0)+IF(AND(L22=1,J22=2),1,0)</x:f>
        <x:v>0</x:v>
      </x:c>
      <x:c r="P22" s="21" t="n">
        <x:f>SUM(M22:O22)</x:f>
        <x:v>8</x:v>
      </x:c>
      <x:c r="Q22" s="21" t="str">
        <x:v>-</x:v>
      </x:c>
      <x:c r="R22" s="21" t="str">
        <x:v>-</x:v>
      </x:c>
      <x:c r="S22" s="3" t="str">
        <x:v>无 R；ready 按拍初各源占用计算；所选源 ready=0，AR 未接收</x:v>
      </x:c>
    </x:row>
    <x:row r="23" ht="48" customHeight="1">
      <x:c r="A23" s="3" t="str">
        <x:v>W03</x:v>
      </x:c>
      <x:c r="B23" s="3" t="str">
        <x:v>满九项时回收唯一一项</x:v>
      </x:c>
      <x:c r="C23" s="3" t="str">
        <x:v>C4</x:v>
      </x:c>
      <x:c r="D23" s="21" t="n">
        <x:f>M22</x:f>
        <x:v>4</x:v>
      </x:c>
      <x:c r="E23" s="21" t="n">
        <x:f>N22</x:f>
        <x:v>4</x:v>
      </x:c>
      <x:c r="F23" s="21" t="n">
        <x:f>O22</x:f>
        <x:v>0</x:v>
      </x:c>
      <x:c r="G23" s="21" t="n">
        <x:f>SUM(D23:F23)</x:f>
        <x:v>8</x:v>
      </x:c>
      <x:c r="H23" s="31" t="str">
        <x:v>-</x:v>
      </x:c>
      <x:c r="I23" s="31" t="n">
        <x:v>1</x:v>
      </x:c>
      <x:c r="J23" s="31" t="n">
        <x:v>2</x:v>
      </x:c>
      <x:c r="K23" s="22" t="str">
        <x:f>IF(AND((D23-IF(H23=0,1,0)+E23-IF(H23=1,1,0)+F23-IF(H23=2,1,0))&lt;9,OR((F23-IF(H23=2,1,0))=0,(MAX((D23-IF(H23=0,1,0))-1,0)+MAX((E23-IF(H23=1,1,0))-1,0)+MAX((F23-IF(H23=2,1,0))-1,0))&lt;6)),1,0)&amp;IF(AND((D23-IF(H23=0,1,0)+E23-IF(H23=1,1,0)+F23-IF(H23=2,1,0))&lt;9,OR((E23-IF(H23=1,1,0))=0,(MAX((D23-IF(H23=0,1,0))-1,0)+MAX((E23-IF(H23=1,1,0))-1,0)+MAX((F23-IF(H23=2,1,0))-1,0))&lt;6)),1,0)&amp;IF(AND((D23-IF(H23=0,1,0)+E23-IF(H23=1,1,0)+F23-IF(H23=2,1,0))&lt;9,OR((D23-IF(H23=0,1,0))=0,(MAX((D23-IF(H23=0,1,0))-1,0)+MAX((E23-IF(H23=1,1,0))-1,0)+MAX((F23-IF(H23=2,1,0))-1,0))&lt;6)),1,0)</x:f>
        <x:v>100</x:v>
      </x:c>
      <x:c r="L23" s="21" t="n">
        <x:f>IF(I23=1,IF(J23=0,IF(RIGHT(K23,1)="1",1,0),IF(J23=1,IF(MID(K23,2,1)="1",1,0),IF(J23=2,IF(LEFT(K23,1)="1",1,0),0))),0)</x:f>
        <x:v>1</x:v>
      </x:c>
      <x:c r="M23" s="21" t="n">
        <x:f>D23-IF(H23=0,1,0)+IF(AND(L23=1,J23=0),1,0)</x:f>
        <x:v>4</x:v>
      </x:c>
      <x:c r="N23" s="21" t="n">
        <x:f>E23-IF(H23=1,1,0)+IF(AND(L23=1,J23=1),1,0)</x:f>
        <x:v>4</x:v>
      </x:c>
      <x:c r="O23" s="21" t="n">
        <x:f>F23-IF(H23=2,1,0)+IF(AND(L23=1,J23=2),1,0)</x:f>
        <x:v>1</x:v>
      </x:c>
      <x:c r="P23" s="21" t="n">
        <x:f>SUM(M23:O23)</x:f>
        <x:v>9</x:v>
      </x:c>
      <x:c r="Q23" s="21" t="str">
        <x:v>-</x:v>
      </x:c>
      <x:c r="R23" s="21" t="str">
        <x:v>-</x:v>
      </x:c>
      <x:c r="S23" s="3" t="str">
        <x:v>无 R；ready 按拍初各源占用计算</x:v>
      </x:c>
    </x:row>
    <x:row r="24" ht="48" customHeight="1">
      <x:c r="A24" s="3" t="str">
        <x:v>W03</x:v>
      </x:c>
      <x:c r="B24" s="3" t="str">
        <x:v>满九项时回收唯一一项</x:v>
      </x:c>
      <x:c r="C24" s="3" t="str">
        <x:v>C5</x:v>
      </x:c>
      <x:c r="D24" s="21" t="n">
        <x:f>M23</x:f>
        <x:v>4</x:v>
      </x:c>
      <x:c r="E24" s="21" t="n">
        <x:f>N23</x:f>
        <x:v>4</x:v>
      </x:c>
      <x:c r="F24" s="21" t="n">
        <x:f>O23</x:f>
        <x:v>1</x:v>
      </x:c>
      <x:c r="G24" s="21" t="n">
        <x:f>SUM(D24:F24)</x:f>
        <x:v>9</x:v>
      </x:c>
      <x:c r="H24" s="31" t="str">
        <x:v>-</x:v>
      </x:c>
      <x:c r="I24" s="31" t="n">
        <x:v>0</x:v>
      </x:c>
      <x:c r="J24" s="31" t="str">
        <x:v>-</x:v>
      </x:c>
      <x:c r="K24" s="22" t="str">
        <x:f>IF(AND((D24-IF(H24=0,1,0)+E24-IF(H24=1,1,0)+F24-IF(H24=2,1,0))&lt;9,OR((F24-IF(H24=2,1,0))=0,(MAX((D24-IF(H24=0,1,0))-1,0)+MAX((E24-IF(H24=1,1,0))-1,0)+MAX((F24-IF(H24=2,1,0))-1,0))&lt;6)),1,0)&amp;IF(AND((D24-IF(H24=0,1,0)+E24-IF(H24=1,1,0)+F24-IF(H24=2,1,0))&lt;9,OR((E24-IF(H24=1,1,0))=0,(MAX((D24-IF(H24=0,1,0))-1,0)+MAX((E24-IF(H24=1,1,0))-1,0)+MAX((F24-IF(H24=2,1,0))-1,0))&lt;6)),1,0)&amp;IF(AND((D24-IF(H24=0,1,0)+E24-IF(H24=1,1,0)+F24-IF(H24=2,1,0))&lt;9,OR((D24-IF(H24=0,1,0))=0,(MAX((D24-IF(H24=0,1,0))-1,0)+MAX((E24-IF(H24=1,1,0))-1,0)+MAX((F24-IF(H24=2,1,0))-1,0))&lt;6)),1,0)</x:f>
        <x:v>000</x:v>
      </x:c>
      <x:c r="L24" s="21" t="n">
        <x:f>IF(I24=1,IF(J24=0,IF(RIGHT(K24,1)="1",1,0),IF(J24=1,IF(MID(K24,2,1)="1",1,0),IF(J24=2,IF(LEFT(K24,1)="1",1,0),0))),0)</x:f>
        <x:v>0</x:v>
      </x:c>
      <x:c r="M24" s="21" t="n">
        <x:f>D24-IF(H24=0,1,0)+IF(AND(L24=1,J24=0),1,0)</x:f>
        <x:v>4</x:v>
      </x:c>
      <x:c r="N24" s="21" t="n">
        <x:f>E24-IF(H24=1,1,0)+IF(AND(L24=1,J24=1),1,0)</x:f>
        <x:v>4</x:v>
      </x:c>
      <x:c r="O24" s="21" t="n">
        <x:f>F24-IF(H24=2,1,0)+IF(AND(L24=1,J24=2),1,0)</x:f>
        <x:v>1</x:v>
      </x:c>
      <x:c r="P24" s="21" t="n">
        <x:f>SUM(M24:O24)</x:f>
        <x:v>9</x:v>
      </x:c>
      <x:c r="Q24" s="21" t="str">
        <x:v>-</x:v>
      </x:c>
      <x:c r="R24" s="21" t="str">
        <x:v>-</x:v>
      </x:c>
      <x:c r="S24" s="3" t="str">
        <x:v>无 R；ready 按拍初各源占用计算</x:v>
      </x:c>
    </x:row>
    <x:row r="25" ht="48" customHeight="1">
      <x:c r="A25" s="26" t="str">
        <x:v>W04</x:v>
      </x:c>
      <x:c r="B25" s="26" t="str">
        <x:v>总数保持八项而接收资格变化</x:v>
      </x:c>
      <x:c r="C25" s="26" t="str">
        <x:v>C1</x:v>
      </x:c>
      <x:c r="D25" s="28" t="n">
        <x:v>6</x:v>
      </x:c>
      <x:c r="E25" s="28" t="n">
        <x:v>1</x:v>
      </x:c>
      <x:c r="F25" s="28" t="n">
        <x:v>1</x:v>
      </x:c>
      <x:c r="G25" s="29" t="n">
        <x:f>SUM(D25:F25)</x:f>
        <x:v>8</x:v>
      </x:c>
      <x:c r="H25" s="28" t="n">
        <x:v>1</x:v>
      </x:c>
      <x:c r="I25" s="28" t="n">
        <x:v>1</x:v>
      </x:c>
      <x:c r="J25" s="28" t="n">
        <x:v>0</x:v>
      </x:c>
      <x:c r="K25" s="30" t="str">
        <x:f>IF(AND((D25-IF(H25=0,1,0)+E25-IF(H25=1,1,0)+F25-IF(H25=2,1,0))&lt;9,OR((F25-IF(H25=2,1,0))=0,(MAX((D25-IF(H25=0,1,0))-1,0)+MAX((E25-IF(H25=1,1,0))-1,0)+MAX((F25-IF(H25=2,1,0))-1,0))&lt;6)),1,0)&amp;IF(AND((D25-IF(H25=0,1,0)+E25-IF(H25=1,1,0)+F25-IF(H25=2,1,0))&lt;9,OR((E25-IF(H25=1,1,0))=0,(MAX((D25-IF(H25=0,1,0))-1,0)+MAX((E25-IF(H25=1,1,0))-1,0)+MAX((F25-IF(H25=2,1,0))-1,0))&lt;6)),1,0)&amp;IF(AND((D25-IF(H25=0,1,0)+E25-IF(H25=1,1,0)+F25-IF(H25=2,1,0))&lt;9,OR((D25-IF(H25=0,1,0))=0,(MAX((D25-IF(H25=0,1,0))-1,0)+MAX((E25-IF(H25=1,1,0))-1,0)+MAX((F25-IF(H25=2,1,0))-1,0))&lt;6)),1,0)</x:f>
        <x:v>111</x:v>
      </x:c>
      <x:c r="L25" s="29" t="n">
        <x:f>IF(I25=1,IF(J25=0,IF(RIGHT(K25,1)="1",1,0),IF(J25=1,IF(MID(K25,2,1)="1",1,0),IF(J25=2,IF(LEFT(K25,1)="1",1,0),0))),0)</x:f>
        <x:v>1</x:v>
      </x:c>
      <x:c r="M25" s="29" t="n">
        <x:f>D25-IF(H25=0,1,0)+IF(AND(L25=1,J25=0),1,0)</x:f>
        <x:v>7</x:v>
      </x:c>
      <x:c r="N25" s="29" t="n">
        <x:f>E25-IF(H25=1,1,0)+IF(AND(L25=1,J25=1),1,0)</x:f>
        <x:v>0</x:v>
      </x:c>
      <x:c r="O25" s="29" t="n">
        <x:f>F25-IF(H25=2,1,0)+IF(AND(L25=1,J25=2),1,0)</x:f>
        <x:v>1</x:v>
      </x:c>
      <x:c r="P25" s="29" t="n">
        <x:f>SUM(M25:O25)</x:f>
        <x:v>8</x:v>
      </x:c>
      <x:c r="Q25" s="29" t="str">
        <x:v>-</x:v>
      </x:c>
      <x:c r="R25" s="29" t="str">
        <x:v>-</x:v>
      </x:c>
      <x:c r="S25" s="26" t="str">
        <x:v>R1 回收前该源有 1 项；先减这次 R，再算 ready</x:v>
      </x:c>
    </x:row>
    <x:row r="26" ht="48" customHeight="1">
      <x:c r="A26" s="3" t="str">
        <x:v>W04</x:v>
      </x:c>
      <x:c r="B26" s="3" t="str">
        <x:v>总数保持八项而接收资格变化</x:v>
      </x:c>
      <x:c r="C26" s="3" t="str">
        <x:v>C2</x:v>
      </x:c>
      <x:c r="D26" s="21" t="n">
        <x:f>M25</x:f>
        <x:v>7</x:v>
      </x:c>
      <x:c r="E26" s="21" t="n">
        <x:f>N25</x:f>
        <x:v>0</x:v>
      </x:c>
      <x:c r="F26" s="21" t="n">
        <x:f>O25</x:f>
        <x:v>1</x:v>
      </x:c>
      <x:c r="G26" s="21" t="n">
        <x:f>SUM(D26:F26)</x:f>
        <x:v>8</x:v>
      </x:c>
      <x:c r="H26" s="31" t="str">
        <x:v>-</x:v>
      </x:c>
      <x:c r="I26" s="31" t="n">
        <x:v>1</x:v>
      </x:c>
      <x:c r="J26" s="31" t="n">
        <x:v>0</x:v>
      </x:c>
      <x:c r="K26" s="22" t="str">
        <x:f>IF(AND((D26-IF(H26=0,1,0)+E26-IF(H26=1,1,0)+F26-IF(H26=2,1,0))&lt;9,OR((F26-IF(H26=2,1,0))=0,(MAX((D26-IF(H26=0,1,0))-1,0)+MAX((E26-IF(H26=1,1,0))-1,0)+MAX((F26-IF(H26=2,1,0))-1,0))&lt;6)),1,0)&amp;IF(AND((D26-IF(H26=0,1,0)+E26-IF(H26=1,1,0)+F26-IF(H26=2,1,0))&lt;9,OR((E26-IF(H26=1,1,0))=0,(MAX((D26-IF(H26=0,1,0))-1,0)+MAX((E26-IF(H26=1,1,0))-1,0)+MAX((F26-IF(H26=2,1,0))-1,0))&lt;6)),1,0)&amp;IF(AND((D26-IF(H26=0,1,0)+E26-IF(H26=1,1,0)+F26-IF(H26=2,1,0))&lt;9,OR((D26-IF(H26=0,1,0))=0,(MAX((D26-IF(H26=0,1,0))-1,0)+MAX((E26-IF(H26=1,1,0))-1,0)+MAX((F26-IF(H26=2,1,0))-1,0))&lt;6)),1,0)</x:f>
        <x:v>010</x:v>
      </x:c>
      <x:c r="L26" s="21" t="n">
        <x:f>IF(I26=1,IF(J26=0,IF(RIGHT(K26,1)="1",1,0),IF(J26=1,IF(MID(K26,2,1)="1",1,0),IF(J26=2,IF(LEFT(K26,1)="1",1,0),0))),0)</x:f>
        <x:v>0</x:v>
      </x:c>
      <x:c r="M26" s="21" t="n">
        <x:f>D26-IF(H26=0,1,0)+IF(AND(L26=1,J26=0),1,0)</x:f>
        <x:v>7</x:v>
      </x:c>
      <x:c r="N26" s="21" t="n">
        <x:f>E26-IF(H26=1,1,0)+IF(AND(L26=1,J26=1),1,0)</x:f>
        <x:v>0</x:v>
      </x:c>
      <x:c r="O26" s="21" t="n">
        <x:f>F26-IF(H26=2,1,0)+IF(AND(L26=1,J26=2),1,0)</x:f>
        <x:v>1</x:v>
      </x:c>
      <x:c r="P26" s="21" t="n">
        <x:f>SUM(M26:O26)</x:f>
        <x:v>8</x:v>
      </x:c>
      <x:c r="Q26" s="21" t="str">
        <x:v>-</x:v>
      </x:c>
      <x:c r="R26" s="21" t="str">
        <x:v>-</x:v>
      </x:c>
      <x:c r="S26" s="3" t="str">
        <x:v>无 R；ready 按拍初各源占用计算；所选源 ready=0，AR 未接收</x:v>
      </x:c>
    </x:row>
    <x:row r="27" ht="48" customHeight="1">
      <x:c r="A27" s="3" t="str">
        <x:v>W04</x:v>
      </x:c>
      <x:c r="B27" s="3" t="str">
        <x:v>总数保持八项而接收资格变化</x:v>
      </x:c>
      <x:c r="C27" s="3" t="str">
        <x:v>C3</x:v>
      </x:c>
      <x:c r="D27" s="21" t="n">
        <x:f>M26</x:f>
        <x:v>7</x:v>
      </x:c>
      <x:c r="E27" s="21" t="n">
        <x:f>N26</x:f>
        <x:v>0</x:v>
      </x:c>
      <x:c r="F27" s="21" t="n">
        <x:f>O26</x:f>
        <x:v>1</x:v>
      </x:c>
      <x:c r="G27" s="21" t="n">
        <x:f>SUM(D27:F27)</x:f>
        <x:v>8</x:v>
      </x:c>
      <x:c r="H27" s="31" t="n">
        <x:v>0</x:v>
      </x:c>
      <x:c r="I27" s="31" t="n">
        <x:v>1</x:v>
      </x:c>
      <x:c r="J27" s="31" t="n">
        <x:v>1</x:v>
      </x:c>
      <x:c r="K27" s="22" t="str">
        <x:f>IF(AND((D27-IF(H27=0,1,0)+E27-IF(H27=1,1,0)+F27-IF(H27=2,1,0))&lt;9,OR((F27-IF(H27=2,1,0))=0,(MAX((D27-IF(H27=0,1,0))-1,0)+MAX((E27-IF(H27=1,1,0))-1,0)+MAX((F27-IF(H27=2,1,0))-1,0))&lt;6)),1,0)&amp;IF(AND((D27-IF(H27=0,1,0)+E27-IF(H27=1,1,0)+F27-IF(H27=2,1,0))&lt;9,OR((E27-IF(H27=1,1,0))=0,(MAX((D27-IF(H27=0,1,0))-1,0)+MAX((E27-IF(H27=1,1,0))-1,0)+MAX((F27-IF(H27=2,1,0))-1,0))&lt;6)),1,0)&amp;IF(AND((D27-IF(H27=0,1,0)+E27-IF(H27=1,1,0)+F27-IF(H27=2,1,0))&lt;9,OR((D27-IF(H27=0,1,0))=0,(MAX((D27-IF(H27=0,1,0))-1,0)+MAX((E27-IF(H27=1,1,0))-1,0)+MAX((F27-IF(H27=2,1,0))-1,0))&lt;6)),1,0)</x:f>
        <x:v>111</x:v>
      </x:c>
      <x:c r="L27" s="21" t="n">
        <x:f>IF(I27=1,IF(J27=0,IF(RIGHT(K27,1)="1",1,0),IF(J27=1,IF(MID(K27,2,1)="1",1,0),IF(J27=2,IF(LEFT(K27,1)="1",1,0),0))),0)</x:f>
        <x:v>1</x:v>
      </x:c>
      <x:c r="M27" s="21" t="n">
        <x:f>D27-IF(H27=0,1,0)+IF(AND(L27=1,J27=0),1,0)</x:f>
        <x:v>6</x:v>
      </x:c>
      <x:c r="N27" s="21" t="n">
        <x:f>E27-IF(H27=1,1,0)+IF(AND(L27=1,J27=1),1,0)</x:f>
        <x:v>1</x:v>
      </x:c>
      <x:c r="O27" s="21" t="n">
        <x:f>F27-IF(H27=2,1,0)+IF(AND(L27=1,J27=2),1,0)</x:f>
        <x:v>1</x:v>
      </x:c>
      <x:c r="P27" s="21" t="n">
        <x:f>SUM(M27:O27)</x:f>
        <x:v>8</x:v>
      </x:c>
      <x:c r="Q27" s="21" t="str">
        <x:v>-</x:v>
      </x:c>
      <x:c r="R27" s="21" t="str">
        <x:v>-</x:v>
      </x:c>
      <x:c r="S27" s="3" t="str">
        <x:v>R0 回收前该源有 7 项；先减这次 R，再算 ready</x:v>
      </x:c>
    </x:row>
    <x:row r="28" ht="48" customHeight="1">
      <x:c r="A28" s="3" t="str">
        <x:v>W04</x:v>
      </x:c>
      <x:c r="B28" s="3" t="str">
        <x:v>总数保持八项而接收资格变化</x:v>
      </x:c>
      <x:c r="C28" s="3" t="str">
        <x:v>C4</x:v>
      </x:c>
      <x:c r="D28" s="21" t="n">
        <x:f>M27</x:f>
        <x:v>6</x:v>
      </x:c>
      <x:c r="E28" s="21" t="n">
        <x:f>N27</x:f>
        <x:v>1</x:v>
      </x:c>
      <x:c r="F28" s="21" t="n">
        <x:f>O27</x:f>
        <x:v>1</x:v>
      </x:c>
      <x:c r="G28" s="21" t="n">
        <x:f>SUM(D28:F28)</x:f>
        <x:v>8</x:v>
      </x:c>
      <x:c r="H28" s="31" t="str">
        <x:v>-</x:v>
      </x:c>
      <x:c r="I28" s="31" t="n">
        <x:v>0</x:v>
      </x:c>
      <x:c r="J28" s="31" t="str">
        <x:v>-</x:v>
      </x:c>
      <x:c r="K28" s="22" t="str">
        <x:f>IF(AND((D28-IF(H28=0,1,0)+E28-IF(H28=1,1,0)+F28-IF(H28=2,1,0))&lt;9,OR((F28-IF(H28=2,1,0))=0,(MAX((D28-IF(H28=0,1,0))-1,0)+MAX((E28-IF(H28=1,1,0))-1,0)+MAX((F28-IF(H28=2,1,0))-1,0))&lt;6)),1,0)&amp;IF(AND((D28-IF(H28=0,1,0)+E28-IF(H28=1,1,0)+F28-IF(H28=2,1,0))&lt;9,OR((E28-IF(H28=1,1,0))=0,(MAX((D28-IF(H28=0,1,0))-1,0)+MAX((E28-IF(H28=1,1,0))-1,0)+MAX((F28-IF(H28=2,1,0))-1,0))&lt;6)),1,0)&amp;IF(AND((D28-IF(H28=0,1,0)+E28-IF(H28=1,1,0)+F28-IF(H28=2,1,0))&lt;9,OR((D28-IF(H28=0,1,0))=0,(MAX((D28-IF(H28=0,1,0))-1,0)+MAX((E28-IF(H28=1,1,0))-1,0)+MAX((F28-IF(H28=2,1,0))-1,0))&lt;6)),1,0)</x:f>
        <x:v>111</x:v>
      </x:c>
      <x:c r="L28" s="21" t="n">
        <x:f>IF(I28=1,IF(J28=0,IF(RIGHT(K28,1)="1",1,0),IF(J28=1,IF(MID(K28,2,1)="1",1,0),IF(J28=2,IF(LEFT(K28,1)="1",1,0),0))),0)</x:f>
        <x:v>0</x:v>
      </x:c>
      <x:c r="M28" s="21" t="n">
        <x:f>D28-IF(H28=0,1,0)+IF(AND(L28=1,J28=0),1,0)</x:f>
        <x:v>6</x:v>
      </x:c>
      <x:c r="N28" s="21" t="n">
        <x:f>E28-IF(H28=1,1,0)+IF(AND(L28=1,J28=1),1,0)</x:f>
        <x:v>1</x:v>
      </x:c>
      <x:c r="O28" s="21" t="n">
        <x:f>F28-IF(H28=2,1,0)+IF(AND(L28=1,J28=2),1,0)</x:f>
        <x:v>1</x:v>
      </x:c>
      <x:c r="P28" s="21" t="n">
        <x:f>SUM(M28:O28)</x:f>
        <x:v>8</x:v>
      </x:c>
      <x:c r="Q28" s="21" t="str">
        <x:v>-</x:v>
      </x:c>
      <x:c r="R28" s="21" t="str">
        <x:v>-</x:v>
      </x:c>
      <x:c r="S28" s="3" t="str">
        <x:v>无 R；ready 按拍初各源占用计算</x:v>
      </x:c>
    </x:row>
    <x:row r="29" ht="48" customHeight="1">
      <x:c r="A29" s="3" t="str">
        <x:v>W04</x:v>
      </x:c>
      <x:c r="B29" s="3" t="str">
        <x:v>总数保持八项而接收资格变化</x:v>
      </x:c>
      <x:c r="C29" s="3" t="str">
        <x:v>C5</x:v>
      </x:c>
      <x:c r="D29" s="21" t="n">
        <x:f>M28</x:f>
        <x:v>6</x:v>
      </x:c>
      <x:c r="E29" s="21" t="n">
        <x:f>N28</x:f>
        <x:v>1</x:v>
      </x:c>
      <x:c r="F29" s="21" t="n">
        <x:f>O28</x:f>
        <x:v>1</x:v>
      </x:c>
      <x:c r="G29" s="21" t="n">
        <x:f>SUM(D29:F29)</x:f>
        <x:v>8</x:v>
      </x:c>
      <x:c r="H29" s="31" t="n">
        <x:v>2</x:v>
      </x:c>
      <x:c r="I29" s="31" t="n">
        <x:v>1</x:v>
      </x:c>
      <x:c r="J29" s="31" t="n">
        <x:v>2</x:v>
      </x:c>
      <x:c r="K29" s="22" t="str">
        <x:f>IF(AND((D29-IF(H29=0,1,0)+E29-IF(H29=1,1,0)+F29-IF(H29=2,1,0))&lt;9,OR((F29-IF(H29=2,1,0))=0,(MAX((D29-IF(H29=0,1,0))-1,0)+MAX((E29-IF(H29=1,1,0))-1,0)+MAX((F29-IF(H29=2,1,0))-1,0))&lt;6)),1,0)&amp;IF(AND((D29-IF(H29=0,1,0)+E29-IF(H29=1,1,0)+F29-IF(H29=2,1,0))&lt;9,OR((E29-IF(H29=1,1,0))=0,(MAX((D29-IF(H29=0,1,0))-1,0)+MAX((E29-IF(H29=1,1,0))-1,0)+MAX((F29-IF(H29=2,1,0))-1,0))&lt;6)),1,0)&amp;IF(AND((D29-IF(H29=0,1,0)+E29-IF(H29=1,1,0)+F29-IF(H29=2,1,0))&lt;9,OR((D29-IF(H29=0,1,0))=0,(MAX((D29-IF(H29=0,1,0))-1,0)+MAX((E29-IF(H29=1,1,0))-1,0)+MAX((F29-IF(H29=2,1,0))-1,0))&lt;6)),1,0)</x:f>
        <x:v>111</x:v>
      </x:c>
      <x:c r="L29" s="21" t="n">
        <x:f>IF(I29=1,IF(J29=0,IF(RIGHT(K29,1)="1",1,0),IF(J29=1,IF(MID(K29,2,1)="1",1,0),IF(J29=2,IF(LEFT(K29,1)="1",1,0),0))),0)</x:f>
        <x:v>1</x:v>
      </x:c>
      <x:c r="M29" s="21" t="n">
        <x:f>D29-IF(H29=0,1,0)+IF(AND(L29=1,J29=0),1,0)</x:f>
        <x:v>6</x:v>
      </x:c>
      <x:c r="N29" s="21" t="n">
        <x:f>E29-IF(H29=1,1,0)+IF(AND(L29=1,J29=1),1,0)</x:f>
        <x:v>1</x:v>
      </x:c>
      <x:c r="O29" s="21" t="n">
        <x:f>F29-IF(H29=2,1,0)+IF(AND(L29=1,J29=2),1,0)</x:f>
        <x:v>1</x:v>
      </x:c>
      <x:c r="P29" s="21" t="n">
        <x:f>SUM(M29:O29)</x:f>
        <x:v>8</x:v>
      </x:c>
      <x:c r="Q29" s="21" t="str">
        <x:v>-</x:v>
      </x:c>
      <x:c r="R29" s="21" t="str">
        <x:v>-</x:v>
      </x:c>
      <x:c r="S29" s="3" t="str">
        <x:v>R2 回收前该源有 1 项；先减这次 R，再算 ready</x:v>
      </x:c>
    </x:row>
    <x:row r="30" ht="48" customHeight="1">
      <x:c r="A30" s="3" t="str">
        <x:v>W04</x:v>
      </x:c>
      <x:c r="B30" s="3" t="str">
        <x:v>总数保持八项而接收资格变化</x:v>
      </x:c>
      <x:c r="C30" s="3" t="str">
        <x:v>C6</x:v>
      </x:c>
      <x:c r="D30" s="21" t="n">
        <x:f>M29</x:f>
        <x:v>6</x:v>
      </x:c>
      <x:c r="E30" s="21" t="n">
        <x:f>N29</x:f>
        <x:v>1</x:v>
      </x:c>
      <x:c r="F30" s="21" t="n">
        <x:f>O29</x:f>
        <x:v>1</x:v>
      </x:c>
      <x:c r="G30" s="21" t="n">
        <x:f>SUM(D30:F30)</x:f>
        <x:v>8</x:v>
      </x:c>
      <x:c r="H30" s="31" t="str">
        <x:v>-</x:v>
      </x:c>
      <x:c r="I30" s="31" t="n">
        <x:v>1</x:v>
      </x:c>
      <x:c r="J30" s="31" t="n">
        <x:v>0</x:v>
      </x:c>
      <x:c r="K30" s="22" t="str">
        <x:f>IF(AND((D30-IF(H30=0,1,0)+E30-IF(H30=1,1,0)+F30-IF(H30=2,1,0))&lt;9,OR((F30-IF(H30=2,1,0))=0,(MAX((D30-IF(H30=0,1,0))-1,0)+MAX((E30-IF(H30=1,1,0))-1,0)+MAX((F30-IF(H30=2,1,0))-1,0))&lt;6)),1,0)&amp;IF(AND((D30-IF(H30=0,1,0)+E30-IF(H30=1,1,0)+F30-IF(H30=2,1,0))&lt;9,OR((E30-IF(H30=1,1,0))=0,(MAX((D30-IF(H30=0,1,0))-1,0)+MAX((E30-IF(H30=1,1,0))-1,0)+MAX((F30-IF(H30=2,1,0))-1,0))&lt;6)),1,0)&amp;IF(AND((D30-IF(H30=0,1,0)+E30-IF(H30=1,1,0)+F30-IF(H30=2,1,0))&lt;9,OR((D30-IF(H30=0,1,0))=0,(MAX((D30-IF(H30=0,1,0))-1,0)+MAX((E30-IF(H30=1,1,0))-1,0)+MAX((F30-IF(H30=2,1,0))-1,0))&lt;6)),1,0)</x:f>
        <x:v>111</x:v>
      </x:c>
      <x:c r="L30" s="21" t="n">
        <x:f>IF(I30=1,IF(J30=0,IF(RIGHT(K30,1)="1",1,0),IF(J30=1,IF(MID(K30,2,1)="1",1,0),IF(J30=2,IF(LEFT(K30,1)="1",1,0),0))),0)</x:f>
        <x:v>1</x:v>
      </x:c>
      <x:c r="M30" s="21" t="n">
        <x:f>D30-IF(H30=0,1,0)+IF(AND(L30=1,J30=0),1,0)</x:f>
        <x:v>7</x:v>
      </x:c>
      <x:c r="N30" s="21" t="n">
        <x:f>E30-IF(H30=1,1,0)+IF(AND(L30=1,J30=1),1,0)</x:f>
        <x:v>1</x:v>
      </x:c>
      <x:c r="O30" s="21" t="n">
        <x:f>F30-IF(H30=2,1,0)+IF(AND(L30=1,J30=2),1,0)</x:f>
        <x:v>1</x:v>
      </x:c>
      <x:c r="P30" s="21" t="n">
        <x:f>SUM(M30:O30)</x:f>
        <x:v>9</x:v>
      </x:c>
      <x:c r="Q30" s="21" t="str">
        <x:v>-</x:v>
      </x:c>
      <x:c r="R30" s="21" t="str">
        <x:v>-</x:v>
      </x:c>
      <x:c r="S30" s="3" t="str">
        <x:v>无 R；ready 按拍初各源占用计算</x:v>
      </x:c>
    </x:row>
    <x:row r="31" ht="48" customHeight="1">
      <x:c r="A31" s="3" t="str">
        <x:v>W04</x:v>
      </x:c>
      <x:c r="B31" s="3" t="str">
        <x:v>总数保持八项而接收资格变化</x:v>
      </x:c>
      <x:c r="C31" s="3" t="str">
        <x:v>C7</x:v>
      </x:c>
      <x:c r="D31" s="21" t="n">
        <x:f>M30</x:f>
        <x:v>7</x:v>
      </x:c>
      <x:c r="E31" s="21" t="n">
        <x:f>N30</x:f>
        <x:v>1</x:v>
      </x:c>
      <x:c r="F31" s="21" t="n">
        <x:f>O30</x:f>
        <x:v>1</x:v>
      </x:c>
      <x:c r="G31" s="21" t="n">
        <x:f>SUM(D31:F31)</x:f>
        <x:v>9</x:v>
      </x:c>
      <x:c r="H31" s="31" t="str">
        <x:v>-</x:v>
      </x:c>
      <x:c r="I31" s="31" t="n">
        <x:v>0</x:v>
      </x:c>
      <x:c r="J31" s="31" t="str">
        <x:v>-</x:v>
      </x:c>
      <x:c r="K31" s="22" t="str">
        <x:f>IF(AND((D31-IF(H31=0,1,0)+E31-IF(H31=1,1,0)+F31-IF(H31=2,1,0))&lt;9,OR((F31-IF(H31=2,1,0))=0,(MAX((D31-IF(H31=0,1,0))-1,0)+MAX((E31-IF(H31=1,1,0))-1,0)+MAX((F31-IF(H31=2,1,0))-1,0))&lt;6)),1,0)&amp;IF(AND((D31-IF(H31=0,1,0)+E31-IF(H31=1,1,0)+F31-IF(H31=2,1,0))&lt;9,OR((E31-IF(H31=1,1,0))=0,(MAX((D31-IF(H31=0,1,0))-1,0)+MAX((E31-IF(H31=1,1,0))-1,0)+MAX((F31-IF(H31=2,1,0))-1,0))&lt;6)),1,0)&amp;IF(AND((D31-IF(H31=0,1,0)+E31-IF(H31=1,1,0)+F31-IF(H31=2,1,0))&lt;9,OR((D31-IF(H31=0,1,0))=0,(MAX((D31-IF(H31=0,1,0))-1,0)+MAX((E31-IF(H31=1,1,0))-1,0)+MAX((F31-IF(H31=2,1,0))-1,0))&lt;6)),1,0)</x:f>
        <x:v>000</x:v>
      </x:c>
      <x:c r="L31" s="21" t="n">
        <x:f>IF(I31=1,IF(J31=0,IF(RIGHT(K31,1)="1",1,0),IF(J31=1,IF(MID(K31,2,1)="1",1,0),IF(J31=2,IF(LEFT(K31,1)="1",1,0),0))),0)</x:f>
        <x:v>0</x:v>
      </x:c>
      <x:c r="M31" s="21" t="n">
        <x:f>D31-IF(H31=0,1,0)+IF(AND(L31=1,J31=0),1,0)</x:f>
        <x:v>7</x:v>
      </x:c>
      <x:c r="N31" s="21" t="n">
        <x:f>E31-IF(H31=1,1,0)+IF(AND(L31=1,J31=1),1,0)</x:f>
        <x:v>1</x:v>
      </x:c>
      <x:c r="O31" s="21" t="n">
        <x:f>F31-IF(H31=2,1,0)+IF(AND(L31=1,J31=2),1,0)</x:f>
        <x:v>1</x:v>
      </x:c>
      <x:c r="P31" s="21" t="n">
        <x:f>SUM(M31:O31)</x:f>
        <x:v>9</x:v>
      </x:c>
      <x:c r="Q31" s="21" t="str">
        <x:v>-</x:v>
      </x:c>
      <x:c r="R31" s="21" t="str">
        <x:v>-</x:v>
      </x:c>
      <x:c r="S31" s="3" t="str">
        <x:v>无 R；ready 按拍初各源占用计算</x:v>
      </x:c>
    </x:row>
    <x:row r="32" ht="48" customHeight="1">
      <x:c r="A32" s="26" t="str">
        <x:v>W05</x:v>
      </x:c>
      <x:c r="B32" s="26" t="str">
        <x:v>回收最后一项和回收额外项的区别</x:v>
      </x:c>
      <x:c r="C32" s="26" t="str">
        <x:v>C1</x:v>
      </x:c>
      <x:c r="D32" s="28" t="n">
        <x:v>7</x:v>
      </x:c>
      <x:c r="E32" s="28" t="n">
        <x:v>1</x:v>
      </x:c>
      <x:c r="F32" s="28" t="n">
        <x:v>0</x:v>
      </x:c>
      <x:c r="G32" s="29" t="n">
        <x:f>SUM(D32:F32)</x:f>
        <x:v>8</x:v>
      </x:c>
      <x:c r="H32" s="28" t="n">
        <x:v>1</x:v>
      </x:c>
      <x:c r="I32" s="28" t="n">
        <x:v>1</x:v>
      </x:c>
      <x:c r="J32" s="28" t="n">
        <x:v>0</x:v>
      </x:c>
      <x:c r="K32" s="30" t="str">
        <x:f>IF(AND((D32-IF(H32=0,1,0)+E32-IF(H32=1,1,0)+F32-IF(H32=2,1,0))&lt;9,OR((F32-IF(H32=2,1,0))=0,(MAX((D32-IF(H32=0,1,0))-1,0)+MAX((E32-IF(H32=1,1,0))-1,0)+MAX((F32-IF(H32=2,1,0))-1,0))&lt;6)),1,0)&amp;IF(AND((D32-IF(H32=0,1,0)+E32-IF(H32=1,1,0)+F32-IF(H32=2,1,0))&lt;9,OR((E32-IF(H32=1,1,0))=0,(MAX((D32-IF(H32=0,1,0))-1,0)+MAX((E32-IF(H32=1,1,0))-1,0)+MAX((F32-IF(H32=2,1,0))-1,0))&lt;6)),1,0)&amp;IF(AND((D32-IF(H32=0,1,0)+E32-IF(H32=1,1,0)+F32-IF(H32=2,1,0))&lt;9,OR((D32-IF(H32=0,1,0))=0,(MAX((D32-IF(H32=0,1,0))-1,0)+MAX((E32-IF(H32=1,1,0))-1,0)+MAX((F32-IF(H32=2,1,0))-1,0))&lt;6)),1,0)</x:f>
        <x:v>110</x:v>
      </x:c>
      <x:c r="L32" s="29" t="n">
        <x:f>IF(I32=1,IF(J32=0,IF(RIGHT(K32,1)="1",1,0),IF(J32=1,IF(MID(K32,2,1)="1",1,0),IF(J32=2,IF(LEFT(K32,1)="1",1,0),0))),0)</x:f>
        <x:v>0</x:v>
      </x:c>
      <x:c r="M32" s="29" t="n">
        <x:f>D32-IF(H32=0,1,0)+IF(AND(L32=1,J32=0),1,0)</x:f>
        <x:v>7</x:v>
      </x:c>
      <x:c r="N32" s="29" t="n">
        <x:f>E32-IF(H32=1,1,0)+IF(AND(L32=1,J32=1),1,0)</x:f>
        <x:v>0</x:v>
      </x:c>
      <x:c r="O32" s="29" t="n">
        <x:f>F32-IF(H32=2,1,0)+IF(AND(L32=1,J32=2),1,0)</x:f>
        <x:v>0</x:v>
      </x:c>
      <x:c r="P32" s="29" t="n">
        <x:f>SUM(M32:O32)</x:f>
        <x:v>7</x:v>
      </x:c>
      <x:c r="Q32" s="29" t="str">
        <x:v>-</x:v>
      </x:c>
      <x:c r="R32" s="29" t="str">
        <x:v>-</x:v>
      </x:c>
      <x:c r="S32" s="26" t="str">
        <x:v>R1 回收前该源有 1 项；先减这次 R，再算 ready；所选源 ready=0，AR 未接收</x:v>
      </x:c>
    </x:row>
    <x:row r="33" ht="48" customHeight="1">
      <x:c r="A33" s="3" t="str">
        <x:v>W05</x:v>
      </x:c>
      <x:c r="B33" s="3" t="str">
        <x:v>回收最后一项和回收额外项的区别</x:v>
      </x:c>
      <x:c r="C33" s="3" t="str">
        <x:v>C2</x:v>
      </x:c>
      <x:c r="D33" s="21" t="n">
        <x:f>M32</x:f>
        <x:v>7</x:v>
      </x:c>
      <x:c r="E33" s="21" t="n">
        <x:f>N32</x:f>
        <x:v>0</x:v>
      </x:c>
      <x:c r="F33" s="21" t="n">
        <x:f>O32</x:f>
        <x:v>0</x:v>
      </x:c>
      <x:c r="G33" s="21" t="n">
        <x:f>SUM(D33:F33)</x:f>
        <x:v>7</x:v>
      </x:c>
      <x:c r="H33" s="31" t="str">
        <x:v>-</x:v>
      </x:c>
      <x:c r="I33" s="31" t="n">
        <x:v>1</x:v>
      </x:c>
      <x:c r="J33" s="31" t="n">
        <x:v>1</x:v>
      </x:c>
      <x:c r="K33" s="22" t="str">
        <x:f>IF(AND((D33-IF(H33=0,1,0)+E33-IF(H33=1,1,0)+F33-IF(H33=2,1,0))&lt;9,OR((F33-IF(H33=2,1,0))=0,(MAX((D33-IF(H33=0,1,0))-1,0)+MAX((E33-IF(H33=1,1,0))-1,0)+MAX((F33-IF(H33=2,1,0))-1,0))&lt;6)),1,0)&amp;IF(AND((D33-IF(H33=0,1,0)+E33-IF(H33=1,1,0)+F33-IF(H33=2,1,0))&lt;9,OR((E33-IF(H33=1,1,0))=0,(MAX((D33-IF(H33=0,1,0))-1,0)+MAX((E33-IF(H33=1,1,0))-1,0)+MAX((F33-IF(H33=2,1,0))-1,0))&lt;6)),1,0)&amp;IF(AND((D33-IF(H33=0,1,0)+E33-IF(H33=1,1,0)+F33-IF(H33=2,1,0))&lt;9,OR((D33-IF(H33=0,1,0))=0,(MAX((D33-IF(H33=0,1,0))-1,0)+MAX((E33-IF(H33=1,1,0))-1,0)+MAX((F33-IF(H33=2,1,0))-1,0))&lt;6)),1,0)</x:f>
        <x:v>110</x:v>
      </x:c>
      <x:c r="L33" s="21" t="n">
        <x:f>IF(I33=1,IF(J33=0,IF(RIGHT(K33,1)="1",1,0),IF(J33=1,IF(MID(K33,2,1)="1",1,0),IF(J33=2,IF(LEFT(K33,1)="1",1,0),0))),0)</x:f>
        <x:v>1</x:v>
      </x:c>
      <x:c r="M33" s="21" t="n">
        <x:f>D33-IF(H33=0,1,0)+IF(AND(L33=1,J33=0),1,0)</x:f>
        <x:v>7</x:v>
      </x:c>
      <x:c r="N33" s="21" t="n">
        <x:f>E33-IF(H33=1,1,0)+IF(AND(L33=1,J33=1),1,0)</x:f>
        <x:v>1</x:v>
      </x:c>
      <x:c r="O33" s="21" t="n">
        <x:f>F33-IF(H33=2,1,0)+IF(AND(L33=1,J33=2),1,0)</x:f>
        <x:v>0</x:v>
      </x:c>
      <x:c r="P33" s="21" t="n">
        <x:f>SUM(M33:O33)</x:f>
        <x:v>8</x:v>
      </x:c>
      <x:c r="Q33" s="21" t="str">
        <x:v>-</x:v>
      </x:c>
      <x:c r="R33" s="21" t="str">
        <x:v>-</x:v>
      </x:c>
      <x:c r="S33" s="3" t="str">
        <x:v>无 R；ready 按拍初各源占用计算</x:v>
      </x:c>
    </x:row>
    <x:row r="34" ht="48" customHeight="1">
      <x:c r="A34" s="3" t="str">
        <x:v>W05</x:v>
      </x:c>
      <x:c r="B34" s="3" t="str">
        <x:v>回收最后一项和回收额外项的区别</x:v>
      </x:c>
      <x:c r="C34" s="3" t="str">
        <x:v>C3</x:v>
      </x:c>
      <x:c r="D34" s="21" t="n">
        <x:f>M33</x:f>
        <x:v>7</x:v>
      </x:c>
      <x:c r="E34" s="21" t="n">
        <x:f>N33</x:f>
        <x:v>1</x:v>
      </x:c>
      <x:c r="F34" s="21" t="n">
        <x:f>O33</x:f>
        <x:v>0</x:v>
      </x:c>
      <x:c r="G34" s="21" t="n">
        <x:f>SUM(D34:F34)</x:f>
        <x:v>8</x:v>
      </x:c>
      <x:c r="H34" s="31" t="n">
        <x:v>0</x:v>
      </x:c>
      <x:c r="I34" s="31" t="n">
        <x:v>1</x:v>
      </x:c>
      <x:c r="J34" s="31" t="n">
        <x:v>0</x:v>
      </x:c>
      <x:c r="K34" s="22" t="str">
        <x:f>IF(AND((D34-IF(H34=0,1,0)+E34-IF(H34=1,1,0)+F34-IF(H34=2,1,0))&lt;9,OR((F34-IF(H34=2,1,0))=0,(MAX((D34-IF(H34=0,1,0))-1,0)+MAX((E34-IF(H34=1,1,0))-1,0)+MAX((F34-IF(H34=2,1,0))-1,0))&lt;6)),1,0)&amp;IF(AND((D34-IF(H34=0,1,0)+E34-IF(H34=1,1,0)+F34-IF(H34=2,1,0))&lt;9,OR((E34-IF(H34=1,1,0))=0,(MAX((D34-IF(H34=0,1,0))-1,0)+MAX((E34-IF(H34=1,1,0))-1,0)+MAX((F34-IF(H34=2,1,0))-1,0))&lt;6)),1,0)&amp;IF(AND((D34-IF(H34=0,1,0)+E34-IF(H34=1,1,0)+F34-IF(H34=2,1,0))&lt;9,OR((D34-IF(H34=0,1,0))=0,(MAX((D34-IF(H34=0,1,0))-1,0)+MAX((E34-IF(H34=1,1,0))-1,0)+MAX((F34-IF(H34=2,1,0))-1,0))&lt;6)),1,0)</x:f>
        <x:v>111</x:v>
      </x:c>
      <x:c r="L34" s="21" t="n">
        <x:f>IF(I34=1,IF(J34=0,IF(RIGHT(K34,1)="1",1,0),IF(J34=1,IF(MID(K34,2,1)="1",1,0),IF(J34=2,IF(LEFT(K34,1)="1",1,0),0))),0)</x:f>
        <x:v>1</x:v>
      </x:c>
      <x:c r="M34" s="21" t="n">
        <x:f>D34-IF(H34=0,1,0)+IF(AND(L34=1,J34=0),1,0)</x:f>
        <x:v>7</x:v>
      </x:c>
      <x:c r="N34" s="21" t="n">
        <x:f>E34-IF(H34=1,1,0)+IF(AND(L34=1,J34=1),1,0)</x:f>
        <x:v>1</x:v>
      </x:c>
      <x:c r="O34" s="21" t="n">
        <x:f>F34-IF(H34=2,1,0)+IF(AND(L34=1,J34=2),1,0)</x:f>
        <x:v>0</x:v>
      </x:c>
      <x:c r="P34" s="21" t="n">
        <x:f>SUM(M34:O34)</x:f>
        <x:v>8</x:v>
      </x:c>
      <x:c r="Q34" s="21" t="str">
        <x:v>-</x:v>
      </x:c>
      <x:c r="R34" s="21" t="str">
        <x:v>-</x:v>
      </x:c>
      <x:c r="S34" s="3" t="str">
        <x:v>R0 回收前该源有 7 项；先减这次 R，再算 ready</x:v>
      </x:c>
    </x:row>
    <x:row r="35" ht="48" customHeight="1">
      <x:c r="A35" s="3" t="str">
        <x:v>W05</x:v>
      </x:c>
      <x:c r="B35" s="3" t="str">
        <x:v>回收最后一项和回收额外项的区别</x:v>
      </x:c>
      <x:c r="C35" s="3" t="str">
        <x:v>C4</x:v>
      </x:c>
      <x:c r="D35" s="21" t="n">
        <x:f>M34</x:f>
        <x:v>7</x:v>
      </x:c>
      <x:c r="E35" s="21" t="n">
        <x:f>N34</x:f>
        <x:v>1</x:v>
      </x:c>
      <x:c r="F35" s="21" t="n">
        <x:f>O34</x:f>
        <x:v>0</x:v>
      </x:c>
      <x:c r="G35" s="21" t="n">
        <x:f>SUM(D35:F35)</x:f>
        <x:v>8</x:v>
      </x:c>
      <x:c r="H35" s="31" t="str">
        <x:v>-</x:v>
      </x:c>
      <x:c r="I35" s="31" t="n">
        <x:v>1</x:v>
      </x:c>
      <x:c r="J35" s="31" t="n">
        <x:v>0</x:v>
      </x:c>
      <x:c r="K35" s="22" t="str">
        <x:f>IF(AND((D35-IF(H35=0,1,0)+E35-IF(H35=1,1,0)+F35-IF(H35=2,1,0))&lt;9,OR((F35-IF(H35=2,1,0))=0,(MAX((D35-IF(H35=0,1,0))-1,0)+MAX((E35-IF(H35=1,1,0))-1,0)+MAX((F35-IF(H35=2,1,0))-1,0))&lt;6)),1,0)&amp;IF(AND((D35-IF(H35=0,1,0)+E35-IF(H35=1,1,0)+F35-IF(H35=2,1,0))&lt;9,OR((E35-IF(H35=1,1,0))=0,(MAX((D35-IF(H35=0,1,0))-1,0)+MAX((E35-IF(H35=1,1,0))-1,0)+MAX((F35-IF(H35=2,1,0))-1,0))&lt;6)),1,0)&amp;IF(AND((D35-IF(H35=0,1,0)+E35-IF(H35=1,1,0)+F35-IF(H35=2,1,0))&lt;9,OR((D35-IF(H35=0,1,0))=0,(MAX((D35-IF(H35=0,1,0))-1,0)+MAX((E35-IF(H35=1,1,0))-1,0)+MAX((F35-IF(H35=2,1,0))-1,0))&lt;6)),1,0)</x:f>
        <x:v>100</x:v>
      </x:c>
      <x:c r="L35" s="21" t="n">
        <x:f>IF(I35=1,IF(J35=0,IF(RIGHT(K35,1)="1",1,0),IF(J35=1,IF(MID(K35,2,1)="1",1,0),IF(J35=2,IF(LEFT(K35,1)="1",1,0),0))),0)</x:f>
        <x:v>0</x:v>
      </x:c>
      <x:c r="M35" s="21" t="n">
        <x:f>D35-IF(H35=0,1,0)+IF(AND(L35=1,J35=0),1,0)</x:f>
        <x:v>7</x:v>
      </x:c>
      <x:c r="N35" s="21" t="n">
        <x:f>E35-IF(H35=1,1,0)+IF(AND(L35=1,J35=1),1,0)</x:f>
        <x:v>1</x:v>
      </x:c>
      <x:c r="O35" s="21" t="n">
        <x:f>F35-IF(H35=2,1,0)+IF(AND(L35=1,J35=2),1,0)</x:f>
        <x:v>0</x:v>
      </x:c>
      <x:c r="P35" s="21" t="n">
        <x:f>SUM(M35:O35)</x:f>
        <x:v>8</x:v>
      </x:c>
      <x:c r="Q35" s="21" t="str">
        <x:v>-</x:v>
      </x:c>
      <x:c r="R35" s="21" t="str">
        <x:v>-</x:v>
      </x:c>
      <x:c r="S35" s="3" t="str">
        <x:v>无 R；ready 按拍初各源占用计算；所选源 ready=0，AR 未接收</x:v>
      </x:c>
    </x:row>
    <x:row r="36" ht="48" customHeight="1">
      <x:c r="A36" s="3" t="str">
        <x:v>W05</x:v>
      </x:c>
      <x:c r="B36" s="3" t="str">
        <x:v>回收最后一项和回收额外项的区别</x:v>
      </x:c>
      <x:c r="C36" s="3" t="str">
        <x:v>C5</x:v>
      </x:c>
      <x:c r="D36" s="21" t="n">
        <x:f>M35</x:f>
        <x:v>7</x:v>
      </x:c>
      <x:c r="E36" s="21" t="n">
        <x:f>N35</x:f>
        <x:v>1</x:v>
      </x:c>
      <x:c r="F36" s="21" t="n">
        <x:f>O35</x:f>
        <x:v>0</x:v>
      </x:c>
      <x:c r="G36" s="21" t="n">
        <x:f>SUM(D36:F36)</x:f>
        <x:v>8</x:v>
      </x:c>
      <x:c r="H36" s="31" t="str">
        <x:v>-</x:v>
      </x:c>
      <x:c r="I36" s="31" t="n">
        <x:v>1</x:v>
      </x:c>
      <x:c r="J36" s="31" t="n">
        <x:v>2</x:v>
      </x:c>
      <x:c r="K36" s="22" t="str">
        <x:f>IF(AND((D36-IF(H36=0,1,0)+E36-IF(H36=1,1,0)+F36-IF(H36=2,1,0))&lt;9,OR((F36-IF(H36=2,1,0))=0,(MAX((D36-IF(H36=0,1,0))-1,0)+MAX((E36-IF(H36=1,1,0))-1,0)+MAX((F36-IF(H36=2,1,0))-1,0))&lt;6)),1,0)&amp;IF(AND((D36-IF(H36=0,1,0)+E36-IF(H36=1,1,0)+F36-IF(H36=2,1,0))&lt;9,OR((E36-IF(H36=1,1,0))=0,(MAX((D36-IF(H36=0,1,0))-1,0)+MAX((E36-IF(H36=1,1,0))-1,0)+MAX((F36-IF(H36=2,1,0))-1,0))&lt;6)),1,0)&amp;IF(AND((D36-IF(H36=0,1,0)+E36-IF(H36=1,1,0)+F36-IF(H36=2,1,0))&lt;9,OR((D36-IF(H36=0,1,0))=0,(MAX((D36-IF(H36=0,1,0))-1,0)+MAX((E36-IF(H36=1,1,0))-1,0)+MAX((F36-IF(H36=2,1,0))-1,0))&lt;6)),1,0)</x:f>
        <x:v>100</x:v>
      </x:c>
      <x:c r="L36" s="21" t="n">
        <x:f>IF(I36=1,IF(J36=0,IF(RIGHT(K36,1)="1",1,0),IF(J36=1,IF(MID(K36,2,1)="1",1,0),IF(J36=2,IF(LEFT(K36,1)="1",1,0),0))),0)</x:f>
        <x:v>1</x:v>
      </x:c>
      <x:c r="M36" s="21" t="n">
        <x:f>D36-IF(H36=0,1,0)+IF(AND(L36=1,J36=0),1,0)</x:f>
        <x:v>7</x:v>
      </x:c>
      <x:c r="N36" s="21" t="n">
        <x:f>E36-IF(H36=1,1,0)+IF(AND(L36=1,J36=1),1,0)</x:f>
        <x:v>1</x:v>
      </x:c>
      <x:c r="O36" s="21" t="n">
        <x:f>F36-IF(H36=2,1,0)+IF(AND(L36=1,J36=2),1,0)</x:f>
        <x:v>1</x:v>
      </x:c>
      <x:c r="P36" s="21" t="n">
        <x:f>SUM(M36:O36)</x:f>
        <x:v>9</x:v>
      </x:c>
      <x:c r="Q36" s="21" t="str">
        <x:v>-</x:v>
      </x:c>
      <x:c r="R36" s="21" t="str">
        <x:v>-</x:v>
      </x:c>
      <x:c r="S36" s="3" t="str">
        <x:v>无 R；ready 按拍初各源占用计算</x:v>
      </x:c>
    </x:row>
    <x:row r="37" ht="48" customHeight="1">
      <x:c r="A37" s="26" t="str">
        <x:v>W06</x:v>
      </x:c>
      <x:c r="B37" s="26" t="str">
        <x:v>同源替换后等待新数据完成</x:v>
      </x:c>
      <x:c r="C37" s="26" t="str">
        <x:v>C1</x:v>
      </x:c>
      <x:c r="D37" s="28" t="n">
        <x:v>4</x:v>
      </x:c>
      <x:c r="E37" s="28" t="n">
        <x:v>4</x:v>
      </x:c>
      <x:c r="F37" s="28" t="n">
        <x:v>1</x:v>
      </x:c>
      <x:c r="G37" s="29" t="n">
        <x:f>SUM(D37:F37)</x:f>
        <x:v>9</x:v>
      </x:c>
      <x:c r="H37" s="28" t="n">
        <x:v>2</x:v>
      </x:c>
      <x:c r="I37" s="28" t="n">
        <x:v>1</x:v>
      </x:c>
      <x:c r="J37" s="28" t="n">
        <x:v>2</x:v>
      </x:c>
      <x:c r="K37" s="30" t="str">
        <x:f>IF(AND((D37-IF(H37=0,1,0)+E37-IF(H37=1,1,0)+F37-IF(H37=2,1,0))&lt;9,OR((F37-IF(H37=2,1,0))=0,(MAX((D37-IF(H37=0,1,0))-1,0)+MAX((E37-IF(H37=1,1,0))-1,0)+MAX((F37-IF(H37=2,1,0))-1,0))&lt;6)),1,0)&amp;IF(AND((D37-IF(H37=0,1,0)+E37-IF(H37=1,1,0)+F37-IF(H37=2,1,0))&lt;9,OR((E37-IF(H37=1,1,0))=0,(MAX((D37-IF(H37=0,1,0))-1,0)+MAX((E37-IF(H37=1,1,0))-1,0)+MAX((F37-IF(H37=2,1,0))-1,0))&lt;6)),1,0)&amp;IF(AND((D37-IF(H37=0,1,0)+E37-IF(H37=1,1,0)+F37-IF(H37=2,1,0))&lt;9,OR((D37-IF(H37=0,1,0))=0,(MAX((D37-IF(H37=0,1,0))-1,0)+MAX((E37-IF(H37=1,1,0))-1,0)+MAX((F37-IF(H37=2,1,0))-1,0))&lt;6)),1,0)</x:f>
        <x:v>100</x:v>
      </x:c>
      <x:c r="L37" s="29" t="n">
        <x:f>IF(I37=1,IF(J37=0,IF(RIGHT(K37,1)="1",1,0),IF(J37=1,IF(MID(K37,2,1)="1",1,0),IF(J37=2,IF(LEFT(K37,1)="1",1,0),0))),0)</x:f>
        <x:v>1</x:v>
      </x:c>
      <x:c r="M37" s="29" t="n">
        <x:f>D37-IF(H37=0,1,0)+IF(AND(L37=1,J37=0),1,0)</x:f>
        <x:v>4</x:v>
      </x:c>
      <x:c r="N37" s="29" t="n">
        <x:f>E37-IF(H37=1,1,0)+IF(AND(L37=1,J37=1),1,0)</x:f>
        <x:v>4</x:v>
      </x:c>
      <x:c r="O37" s="29" t="n">
        <x:f>F37-IF(H37=2,1,0)+IF(AND(L37=1,J37=2),1,0)</x:f>
        <x:v>1</x:v>
      </x:c>
      <x:c r="P37" s="29" t="n">
        <x:f>SUM(M37:O37)</x:f>
        <x:v>9</x:v>
      </x:c>
      <x:c r="Q37" s="29" t="n">
        <x:v>0</x:v>
      </x:c>
      <x:c r="R37" s="29" t="n">
        <x:v>0</x:v>
      </x:c>
      <x:c r="S37" s="26" t="str">
        <x:v>R2 回收前该源有 1 项；先减这次 R，再算 ready</x:v>
      </x:c>
    </x:row>
    <x:row r="38" ht="48" customHeight="1">
      <x:c r="A38" s="3" t="str">
        <x:v>W06</x:v>
      </x:c>
      <x:c r="B38" s="3" t="str">
        <x:v>同源替换后等待新数据完成</x:v>
      </x:c>
      <x:c r="C38" s="3" t="str">
        <x:v>C2</x:v>
      </x:c>
      <x:c r="D38" s="21" t="n">
        <x:f>M37</x:f>
        <x:v>4</x:v>
      </x:c>
      <x:c r="E38" s="21" t="n">
        <x:f>N37</x:f>
        <x:v>4</x:v>
      </x:c>
      <x:c r="F38" s="21" t="n">
        <x:f>O37</x:f>
        <x:v>1</x:v>
      </x:c>
      <x:c r="G38" s="21" t="n">
        <x:f>SUM(D38:F38)</x:f>
        <x:v>9</x:v>
      </x:c>
      <x:c r="H38" s="31" t="str">
        <x:v>-</x:v>
      </x:c>
      <x:c r="I38" s="31" t="n">
        <x:v>0</x:v>
      </x:c>
      <x:c r="J38" s="31" t="str">
        <x:v>-</x:v>
      </x:c>
      <x:c r="K38" s="22" t="str">
        <x:f>IF(AND((D38-IF(H38=0,1,0)+E38-IF(H38=1,1,0)+F38-IF(H38=2,1,0))&lt;9,OR((F38-IF(H38=2,1,0))=0,(MAX((D38-IF(H38=0,1,0))-1,0)+MAX((E38-IF(H38=1,1,0))-1,0)+MAX((F38-IF(H38=2,1,0))-1,0))&lt;6)),1,0)&amp;IF(AND((D38-IF(H38=0,1,0)+E38-IF(H38=1,1,0)+F38-IF(H38=2,1,0))&lt;9,OR((E38-IF(H38=1,1,0))=0,(MAX((D38-IF(H38=0,1,0))-1,0)+MAX((E38-IF(H38=1,1,0))-1,0)+MAX((F38-IF(H38=2,1,0))-1,0))&lt;6)),1,0)&amp;IF(AND((D38-IF(H38=0,1,0)+E38-IF(H38=1,1,0)+F38-IF(H38=2,1,0))&lt;9,OR((D38-IF(H38=0,1,0))=0,(MAX((D38-IF(H38=0,1,0))-1,0)+MAX((E38-IF(H38=1,1,0))-1,0)+MAX((F38-IF(H38=2,1,0))-1,0))&lt;6)),1,0)</x:f>
        <x:v>000</x:v>
      </x:c>
      <x:c r="L38" s="21" t="n">
        <x:f>IF(I38=1,IF(J38=0,IF(RIGHT(K38,1)="1",1,0),IF(J38=1,IF(MID(K38,2,1)="1",1,0),IF(J38=2,IF(LEFT(K38,1)="1",1,0),0))),0)</x:f>
        <x:v>0</x:v>
      </x:c>
      <x:c r="M38" s="21" t="n">
        <x:f>D38-IF(H38=0,1,0)+IF(AND(L38=1,J38=0),1,0)</x:f>
        <x:v>4</x:v>
      </x:c>
      <x:c r="N38" s="21" t="n">
        <x:f>E38-IF(H38=1,1,0)+IF(AND(L38=1,J38=1),1,0)</x:f>
        <x:v>4</x:v>
      </x:c>
      <x:c r="O38" s="21" t="n">
        <x:f>F38-IF(H38=2,1,0)+IF(AND(L38=1,J38=2),1,0)</x:f>
        <x:v>1</x:v>
      </x:c>
      <x:c r="P38" s="21" t="n">
        <x:f>SUM(M38:O38)</x:f>
        <x:v>9</x:v>
      </x:c>
      <x:c r="Q38" s="21" t="n">
        <x:v>0</x:v>
      </x:c>
      <x:c r="R38" s="21" t="n">
        <x:v>0</x:v>
      </x:c>
      <x:c r="S38" s="3" t="str">
        <x:v>无 R；ready 按拍初各源占用计算</x:v>
      </x:c>
    </x:row>
    <x:row r="39" ht="48" customHeight="1">
      <x:c r="A39" s="3" t="str">
        <x:v>W06</x:v>
      </x:c>
      <x:c r="B39" s="3" t="str">
        <x:v>同源替换后等待新数据完成</x:v>
      </x:c>
      <x:c r="C39" s="3" t="str">
        <x:v>C3</x:v>
      </x:c>
      <x:c r="D39" s="21" t="n">
        <x:f>M38</x:f>
        <x:v>4</x:v>
      </x:c>
      <x:c r="E39" s="21" t="n">
        <x:f>N38</x:f>
        <x:v>4</x:v>
      </x:c>
      <x:c r="F39" s="21" t="n">
        <x:f>O38</x:f>
        <x:v>1</x:v>
      </x:c>
      <x:c r="G39" s="21" t="n">
        <x:f>SUM(D39:F39)</x:f>
        <x:v>9</x:v>
      </x:c>
      <x:c r="H39" s="31" t="str">
        <x:v>-</x:v>
      </x:c>
      <x:c r="I39" s="31" t="n">
        <x:v>0</x:v>
      </x:c>
      <x:c r="J39" s="31" t="str">
        <x:v>-</x:v>
      </x:c>
      <x:c r="K39" s="22" t="str">
        <x:f>IF(AND((D39-IF(H39=0,1,0)+E39-IF(H39=1,1,0)+F39-IF(H39=2,1,0))&lt;9,OR((F39-IF(H39=2,1,0))=0,(MAX((D39-IF(H39=0,1,0))-1,0)+MAX((E39-IF(H39=1,1,0))-1,0)+MAX((F39-IF(H39=2,1,0))-1,0))&lt;6)),1,0)&amp;IF(AND((D39-IF(H39=0,1,0)+E39-IF(H39=1,1,0)+F39-IF(H39=2,1,0))&lt;9,OR((E39-IF(H39=1,1,0))=0,(MAX((D39-IF(H39=0,1,0))-1,0)+MAX((E39-IF(H39=1,1,0))-1,0)+MAX((F39-IF(H39=2,1,0))-1,0))&lt;6)),1,0)&amp;IF(AND((D39-IF(H39=0,1,0)+E39-IF(H39=1,1,0)+F39-IF(H39=2,1,0))&lt;9,OR((D39-IF(H39=0,1,0))=0,(MAX((D39-IF(H39=0,1,0))-1,0)+MAX((E39-IF(H39=1,1,0))-1,0)+MAX((F39-IF(H39=2,1,0))-1,0))&lt;6)),1,0)</x:f>
        <x:v>000</x:v>
      </x:c>
      <x:c r="L39" s="21" t="n">
        <x:f>IF(I39=1,IF(J39=0,IF(RIGHT(K39,1)="1",1,0),IF(J39=1,IF(MID(K39,2,1)="1",1,0),IF(J39=2,IF(LEFT(K39,1)="1",1,0),0))),0)</x:f>
        <x:v>0</x:v>
      </x:c>
      <x:c r="M39" s="21" t="n">
        <x:f>D39-IF(H39=0,1,0)+IF(AND(L39=1,J39=0),1,0)</x:f>
        <x:v>4</x:v>
      </x:c>
      <x:c r="N39" s="21" t="n">
        <x:f>E39-IF(H39=1,1,0)+IF(AND(L39=1,J39=1),1,0)</x:f>
        <x:v>4</x:v>
      </x:c>
      <x:c r="O39" s="21" t="n">
        <x:f>F39-IF(H39=2,1,0)+IF(AND(L39=1,J39=2),1,0)</x:f>
        <x:v>1</x:v>
      </x:c>
      <x:c r="P39" s="21" t="n">
        <x:f>SUM(M39:O39)</x:f>
        <x:v>9</x:v>
      </x:c>
      <x:c r="Q39" s="21" t="n">
        <x:v>1</x:v>
      </x:c>
      <x:c r="R39" s="21" t="n">
        <x:v>0</x:v>
      </x:c>
      <x:c r="S39" s="3" t="str">
        <x:v>无 R；ready 按拍初各源占用计算</x:v>
      </x:c>
    </x:row>
    <x:row r="40" ht="48" customHeight="1">
      <x:c r="A40" s="3" t="str">
        <x:v>W06</x:v>
      </x:c>
      <x:c r="B40" s="3" t="str">
        <x:v>同源替换后等待新数据完成</x:v>
      </x:c>
      <x:c r="C40" s="3" t="str">
        <x:v>C4</x:v>
      </x:c>
      <x:c r="D40" s="21" t="n">
        <x:f>M39</x:f>
        <x:v>4</x:v>
      </x:c>
      <x:c r="E40" s="21" t="n">
        <x:f>N39</x:f>
        <x:v>4</x:v>
      </x:c>
      <x:c r="F40" s="21" t="n">
        <x:f>O39</x:f>
        <x:v>1</x:v>
      </x:c>
      <x:c r="G40" s="21" t="n">
        <x:f>SUM(D40:F40)</x:f>
        <x:v>9</x:v>
      </x:c>
      <x:c r="H40" s="31" t="str">
        <x:v>-</x:v>
      </x:c>
      <x:c r="I40" s="31" t="n">
        <x:v>0</x:v>
      </x:c>
      <x:c r="J40" s="31" t="str">
        <x:v>-</x:v>
      </x:c>
      <x:c r="K40" s="22" t="str">
        <x:f>IF(AND((D40-IF(H40=0,1,0)+E40-IF(H40=1,1,0)+F40-IF(H40=2,1,0))&lt;9,OR((F40-IF(H40=2,1,0))=0,(MAX((D40-IF(H40=0,1,0))-1,0)+MAX((E40-IF(H40=1,1,0))-1,0)+MAX((F40-IF(H40=2,1,0))-1,0))&lt;6)),1,0)&amp;IF(AND((D40-IF(H40=0,1,0)+E40-IF(H40=1,1,0)+F40-IF(H40=2,1,0))&lt;9,OR((E40-IF(H40=1,1,0))=0,(MAX((D40-IF(H40=0,1,0))-1,0)+MAX((E40-IF(H40=1,1,0))-1,0)+MAX((F40-IF(H40=2,1,0))-1,0))&lt;6)),1,0)&amp;IF(AND((D40-IF(H40=0,1,0)+E40-IF(H40=1,1,0)+F40-IF(H40=2,1,0))&lt;9,OR((D40-IF(H40=0,1,0))=0,(MAX((D40-IF(H40=0,1,0))-1,0)+MAX((E40-IF(H40=1,1,0))-1,0)+MAX((F40-IF(H40=2,1,0))-1,0))&lt;6)),1,0)</x:f>
        <x:v>000</x:v>
      </x:c>
      <x:c r="L40" s="21" t="n">
        <x:f>IF(I40=1,IF(J40=0,IF(RIGHT(K40,1)="1",1,0),IF(J40=1,IF(MID(K40,2,1)="1",1,0),IF(J40=2,IF(LEFT(K40,1)="1",1,0),0))),0)</x:f>
        <x:v>0</x:v>
      </x:c>
      <x:c r="M40" s="21" t="n">
        <x:f>D40-IF(H40=0,1,0)+IF(AND(L40=1,J40=0),1,0)</x:f>
        <x:v>4</x:v>
      </x:c>
      <x:c r="N40" s="21" t="n">
        <x:f>E40-IF(H40=1,1,0)+IF(AND(L40=1,J40=1),1,0)</x:f>
        <x:v>4</x:v>
      </x:c>
      <x:c r="O40" s="21" t="n">
        <x:f>F40-IF(H40=2,1,0)+IF(AND(L40=1,J40=2),1,0)</x:f>
        <x:v>1</x:v>
      </x:c>
      <x:c r="P40" s="21" t="n">
        <x:f>SUM(M40:O40)</x:f>
        <x:v>9</x:v>
      </x:c>
      <x:c r="Q40" s="21" t="n">
        <x:v>0</x:v>
      </x:c>
      <x:c r="R40" s="21" t="n">
        <x:v>0</x:v>
      </x:c>
      <x:c r="S40" s="3" t="str">
        <x:v>无 R；ready 按拍初各源占用计算</x:v>
      </x:c>
    </x:row>
    <x:row r="41" ht="48" customHeight="1">
      <x:c r="A41" s="3" t="str">
        <x:v>W06</x:v>
      </x:c>
      <x:c r="B41" s="3" t="str">
        <x:v>同源替换后等待新数据完成</x:v>
      </x:c>
      <x:c r="C41" s="3" t="str">
        <x:v>C5</x:v>
      </x:c>
      <x:c r="D41" s="21" t="n">
        <x:f>M40</x:f>
        <x:v>4</x:v>
      </x:c>
      <x:c r="E41" s="21" t="n">
        <x:f>N40</x:f>
        <x:v>4</x:v>
      </x:c>
      <x:c r="F41" s="21" t="n">
        <x:f>O40</x:f>
        <x:v>1</x:v>
      </x:c>
      <x:c r="G41" s="21" t="n">
        <x:f>SUM(D41:F41)</x:f>
        <x:v>9</x:v>
      </x:c>
      <x:c r="H41" s="31" t="str">
        <x:v>-</x:v>
      </x:c>
      <x:c r="I41" s="31" t="n">
        <x:v>0</x:v>
      </x:c>
      <x:c r="J41" s="31" t="str">
        <x:v>-</x:v>
      </x:c>
      <x:c r="K41" s="22" t="str">
        <x:f>IF(AND((D41-IF(H41=0,1,0)+E41-IF(H41=1,1,0)+F41-IF(H41=2,1,0))&lt;9,OR((F41-IF(H41=2,1,0))=0,(MAX((D41-IF(H41=0,1,0))-1,0)+MAX((E41-IF(H41=1,1,0))-1,0)+MAX((F41-IF(H41=2,1,0))-1,0))&lt;6)),1,0)&amp;IF(AND((D41-IF(H41=0,1,0)+E41-IF(H41=1,1,0)+F41-IF(H41=2,1,0))&lt;9,OR((E41-IF(H41=1,1,0))=0,(MAX((D41-IF(H41=0,1,0))-1,0)+MAX((E41-IF(H41=1,1,0))-1,0)+MAX((F41-IF(H41=2,1,0))-1,0))&lt;6)),1,0)&amp;IF(AND((D41-IF(H41=0,1,0)+E41-IF(H41=1,1,0)+F41-IF(H41=2,1,0))&lt;9,OR((D41-IF(H41=0,1,0))=0,(MAX((D41-IF(H41=0,1,0))-1,0)+MAX((E41-IF(H41=1,1,0))-1,0)+MAX((F41-IF(H41=2,1,0))-1,0))&lt;6)),1,0)</x:f>
        <x:v>000</x:v>
      </x:c>
      <x:c r="L41" s="21" t="n">
        <x:f>IF(I41=1,IF(J41=0,IF(RIGHT(K41,1)="1",1,0),IF(J41=1,IF(MID(K41,2,1)="1",1,0),IF(J41=2,IF(LEFT(K41,1)="1",1,0),0))),0)</x:f>
        <x:v>0</x:v>
      </x:c>
      <x:c r="M41" s="21" t="n">
        <x:f>D41-IF(H41=0,1,0)+IF(AND(L41=1,J41=0),1,0)</x:f>
        <x:v>4</x:v>
      </x:c>
      <x:c r="N41" s="21" t="n">
        <x:f>E41-IF(H41=1,1,0)+IF(AND(L41=1,J41=1),1,0)</x:f>
        <x:v>4</x:v>
      </x:c>
      <x:c r="O41" s="21" t="n">
        <x:f>F41-IF(H41=2,1,0)+IF(AND(L41=1,J41=2),1,0)</x:f>
        <x:v>1</x:v>
      </x:c>
      <x:c r="P41" s="21" t="n">
        <x:f>SUM(M41:O41)</x:f>
        <x:v>9</x:v>
      </x:c>
      <x:c r="Q41" s="21" t="n">
        <x:v>0</x:v>
      </x:c>
      <x:c r="R41" s="21" t="n">
        <x:v>0</x:v>
      </x:c>
      <x:c r="S41" s="3" t="str">
        <x:v>无 R；ready 按拍初各源占用计算</x:v>
      </x:c>
    </x:row>
    <x:row r="42" ht="48" customHeight="1">
      <x:c r="A42" s="3" t="str">
        <x:v>W06</x:v>
      </x:c>
      <x:c r="B42" s="3" t="str">
        <x:v>同源替换后等待新数据完成</x:v>
      </x:c>
      <x:c r="C42" s="3" t="str">
        <x:v>C6</x:v>
      </x:c>
      <x:c r="D42" s="21" t="n">
        <x:f>M41</x:f>
        <x:v>4</x:v>
      </x:c>
      <x:c r="E42" s="21" t="n">
        <x:f>N41</x:f>
        <x:v>4</x:v>
      </x:c>
      <x:c r="F42" s="21" t="n">
        <x:f>O41</x:f>
        <x:v>1</x:v>
      </x:c>
      <x:c r="G42" s="21" t="n">
        <x:f>SUM(D42:F42)</x:f>
        <x:v>9</x:v>
      </x:c>
      <x:c r="H42" s="31" t="str">
        <x:v>-</x:v>
      </x:c>
      <x:c r="I42" s="31" t="n">
        <x:v>0</x:v>
      </x:c>
      <x:c r="J42" s="31" t="str">
        <x:v>-</x:v>
      </x:c>
      <x:c r="K42" s="22" t="str">
        <x:f>IF(AND((D42-IF(H42=0,1,0)+E42-IF(H42=1,1,0)+F42-IF(H42=2,1,0))&lt;9,OR((F42-IF(H42=2,1,0))=0,(MAX((D42-IF(H42=0,1,0))-1,0)+MAX((E42-IF(H42=1,1,0))-1,0)+MAX((F42-IF(H42=2,1,0))-1,0))&lt;6)),1,0)&amp;IF(AND((D42-IF(H42=0,1,0)+E42-IF(H42=1,1,0)+F42-IF(H42=2,1,0))&lt;9,OR((E42-IF(H42=1,1,0))=0,(MAX((D42-IF(H42=0,1,0))-1,0)+MAX((E42-IF(H42=1,1,0))-1,0)+MAX((F42-IF(H42=2,1,0))-1,0))&lt;6)),1,0)&amp;IF(AND((D42-IF(H42=0,1,0)+E42-IF(H42=1,1,0)+F42-IF(H42=2,1,0))&lt;9,OR((D42-IF(H42=0,1,0))=0,(MAX((D42-IF(H42=0,1,0))-1,0)+MAX((E42-IF(H42=1,1,0))-1,0)+MAX((F42-IF(H42=2,1,0))-1,0))&lt;6)),1,0)</x:f>
        <x:v>000</x:v>
      </x:c>
      <x:c r="L42" s="21" t="n">
        <x:f>IF(I42=1,IF(J42=0,IF(RIGHT(K42,1)="1",1,0),IF(J42=1,IF(MID(K42,2,1)="1",1,0),IF(J42=2,IF(LEFT(K42,1)="1",1,0),0))),0)</x:f>
        <x:v>0</x:v>
      </x:c>
      <x:c r="M42" s="21" t="n">
        <x:f>D42-IF(H42=0,1,0)+IF(AND(L42=1,J42=0),1,0)</x:f>
        <x:v>4</x:v>
      </x:c>
      <x:c r="N42" s="21" t="n">
        <x:f>E42-IF(H42=1,1,0)+IF(AND(L42=1,J42=1),1,0)</x:f>
        <x:v>4</x:v>
      </x:c>
      <x:c r="O42" s="21" t="n">
        <x:f>F42-IF(H42=2,1,0)+IF(AND(L42=1,J42=2),1,0)</x:f>
        <x:v>1</x:v>
      </x:c>
      <x:c r="P42" s="21" t="n">
        <x:f>SUM(M42:O42)</x:f>
        <x:v>9</x:v>
      </x:c>
      <x:c r="Q42" s="21" t="n">
        <x:v>0</x:v>
      </x:c>
      <x:c r="R42" s="21" t="n">
        <x:v>0</x:v>
      </x:c>
      <x:c r="S42" s="3" t="str">
        <x:v>无 R；ready 按拍初各源占用计算</x:v>
      </x:c>
    </x:row>
    <x:row r="43" ht="48" customHeight="1">
      <x:c r="A43" s="3" t="str">
        <x:v>W06</x:v>
      </x:c>
      <x:c r="B43" s="3" t="str">
        <x:v>同源替换后等待新数据完成</x:v>
      </x:c>
      <x:c r="C43" s="3" t="str">
        <x:v>C7</x:v>
      </x:c>
      <x:c r="D43" s="21" t="n">
        <x:f>M42</x:f>
        <x:v>4</x:v>
      </x:c>
      <x:c r="E43" s="21" t="n">
        <x:f>N42</x:f>
        <x:v>4</x:v>
      </x:c>
      <x:c r="F43" s="21" t="n">
        <x:f>O42</x:f>
        <x:v>1</x:v>
      </x:c>
      <x:c r="G43" s="21" t="n">
        <x:f>SUM(D43:F43)</x:f>
        <x:v>9</x:v>
      </x:c>
      <x:c r="H43" s="31" t="str">
        <x:v>-</x:v>
      </x:c>
      <x:c r="I43" s="31" t="n">
        <x:v>0</x:v>
      </x:c>
      <x:c r="J43" s="31" t="str">
        <x:v>-</x:v>
      </x:c>
      <x:c r="K43" s="22" t="str">
        <x:f>IF(AND((D43-IF(H43=0,1,0)+E43-IF(H43=1,1,0)+F43-IF(H43=2,1,0))&lt;9,OR((F43-IF(H43=2,1,0))=0,(MAX((D43-IF(H43=0,1,0))-1,0)+MAX((E43-IF(H43=1,1,0))-1,0)+MAX((F43-IF(H43=2,1,0))-1,0))&lt;6)),1,0)&amp;IF(AND((D43-IF(H43=0,1,0)+E43-IF(H43=1,1,0)+F43-IF(H43=2,1,0))&lt;9,OR((E43-IF(H43=1,1,0))=0,(MAX((D43-IF(H43=0,1,0))-1,0)+MAX((E43-IF(H43=1,1,0))-1,0)+MAX((F43-IF(H43=2,1,0))-1,0))&lt;6)),1,0)&amp;IF(AND((D43-IF(H43=0,1,0)+E43-IF(H43=1,1,0)+F43-IF(H43=2,1,0))&lt;9,OR((D43-IF(H43=0,1,0))=0,(MAX((D43-IF(H43=0,1,0))-1,0)+MAX((E43-IF(H43=1,1,0))-1,0)+MAX((F43-IF(H43=2,1,0))-1,0))&lt;6)),1,0)</x:f>
        <x:v>000</x:v>
      </x:c>
      <x:c r="L43" s="21" t="n">
        <x:f>IF(I43=1,IF(J43=0,IF(RIGHT(K43,1)="1",1,0),IF(J43=1,IF(MID(K43,2,1)="1",1,0),IF(J43=2,IF(LEFT(K43,1)="1",1,0),0))),0)</x:f>
        <x:v>0</x:v>
      </x:c>
      <x:c r="M43" s="21" t="n">
        <x:f>D43-IF(H43=0,1,0)+IF(AND(L43=1,J43=0),1,0)</x:f>
        <x:v>4</x:v>
      </x:c>
      <x:c r="N43" s="21" t="n">
        <x:f>E43-IF(H43=1,1,0)+IF(AND(L43=1,J43=1),1,0)</x:f>
        <x:v>4</x:v>
      </x:c>
      <x:c r="O43" s="21" t="n">
        <x:f>F43-IF(H43=2,1,0)+IF(AND(L43=1,J43=2),1,0)</x:f>
        <x:v>1</x:v>
      </x:c>
      <x:c r="P43" s="21" t="n">
        <x:f>SUM(M43:O43)</x:f>
        <x:v>9</x:v>
      </x:c>
      <x:c r="Q43" s="21" t="n">
        <x:v>0</x:v>
      </x:c>
      <x:c r="R43" s="21" t="n">
        <x:v>1</x:v>
      </x:c>
      <x:c r="S43" s="3" t="str">
        <x:v>无 R；ready 按拍初各源占用计算</x:v>
      </x:c>
    </x:row>
    <x:row r="44" ht="48" customHeight="1">
      <x:c r="A44" s="3" t="str">
        <x:v>W06</x:v>
      </x:c>
      <x:c r="B44" s="3" t="str">
        <x:v>同源替换后等待新数据完成</x:v>
      </x:c>
      <x:c r="C44" s="3" t="str">
        <x:v>C8</x:v>
      </x:c>
      <x:c r="D44" s="21" t="n">
        <x:f>M43</x:f>
        <x:v>4</x:v>
      </x:c>
      <x:c r="E44" s="21" t="n">
        <x:f>N43</x:f>
        <x:v>4</x:v>
      </x:c>
      <x:c r="F44" s="21" t="n">
        <x:f>O43</x:f>
        <x:v>1</x:v>
      </x:c>
      <x:c r="G44" s="21" t="n">
        <x:f>SUM(D44:F44)</x:f>
        <x:v>9</x:v>
      </x:c>
      <x:c r="H44" s="31" t="n">
        <x:v>2</x:v>
      </x:c>
      <x:c r="I44" s="31" t="n">
        <x:v>1</x:v>
      </x:c>
      <x:c r="J44" s="31" t="n">
        <x:v>2</x:v>
      </x:c>
      <x:c r="K44" s="22" t="str">
        <x:f>IF(AND((D44-IF(H44=0,1,0)+E44-IF(H44=1,1,0)+F44-IF(H44=2,1,0))&lt;9,OR((F44-IF(H44=2,1,0))=0,(MAX((D44-IF(H44=0,1,0))-1,0)+MAX((E44-IF(H44=1,1,0))-1,0)+MAX((F44-IF(H44=2,1,0))-1,0))&lt;6)),1,0)&amp;IF(AND((D44-IF(H44=0,1,0)+E44-IF(H44=1,1,0)+F44-IF(H44=2,1,0))&lt;9,OR((E44-IF(H44=1,1,0))=0,(MAX((D44-IF(H44=0,1,0))-1,0)+MAX((E44-IF(H44=1,1,0))-1,0)+MAX((F44-IF(H44=2,1,0))-1,0))&lt;6)),1,0)&amp;IF(AND((D44-IF(H44=0,1,0)+E44-IF(H44=1,1,0)+F44-IF(H44=2,1,0))&lt;9,OR((D44-IF(H44=0,1,0))=0,(MAX((D44-IF(H44=0,1,0))-1,0)+MAX((E44-IF(H44=1,1,0))-1,0)+MAX((F44-IF(H44=2,1,0))-1,0))&lt;6)),1,0)</x:f>
        <x:v>100</x:v>
      </x:c>
      <x:c r="L44" s="21" t="n">
        <x:f>IF(I44=1,IF(J44=0,IF(RIGHT(K44,1)="1",1,0),IF(J44=1,IF(MID(K44,2,1)="1",1,0),IF(J44=2,IF(LEFT(K44,1)="1",1,0),0))),0)</x:f>
        <x:v>1</x:v>
      </x:c>
      <x:c r="M44" s="21" t="n">
        <x:f>D44-IF(H44=0,1,0)+IF(AND(L44=1,J44=0),1,0)</x:f>
        <x:v>4</x:v>
      </x:c>
      <x:c r="N44" s="21" t="n">
        <x:f>E44-IF(H44=1,1,0)+IF(AND(L44=1,J44=1),1,0)</x:f>
        <x:v>4</x:v>
      </x:c>
      <x:c r="O44" s="21" t="n">
        <x:f>F44-IF(H44=2,1,0)+IF(AND(L44=1,J44=2),1,0)</x:f>
        <x:v>1</x:v>
      </x:c>
      <x:c r="P44" s="21" t="n">
        <x:f>SUM(M44:O44)</x:f>
        <x:v>9</x:v>
      </x:c>
      <x:c r="Q44" s="21" t="n">
        <x:v>0</x:v>
      </x:c>
      <x:c r="R44" s="21" t="n">
        <x:v>0</x:v>
      </x:c>
      <x:c r="S44" s="3" t="str">
        <x:v>R2 回收前该源有 1 项；先减这次 R，再算 ready</x:v>
      </x:c>
    </x:row>
  </x:sheetData>
  <x:pageMargins left="0.7" right="0.7" top="0.75" bottom="0.75" header="0.3" footer="0.3"/>
  <x:tableParts count="1">
    <x:tablePart xmlns:r="http://schemas.openxmlformats.org/officeDocument/2006/relationships" r:id="R79ea9b2f55de4d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5" hidden="0" customWidth="1"/>
    <x:col min="2" max="2" width="8.130000114440918" hidden="0" customWidth="1"/>
    <x:col min="3" max="3" width="8.130000114440918" hidden="0" customWidth="1"/>
    <x:col min="4" max="4" width="8.130000114440918" hidden="0" customWidth="1"/>
    <x:col min="5" max="5" width="8.130000114440918" hidden="0" customWidth="1"/>
    <x:col min="6" max="6" width="10.630000114440918" hidden="0" customWidth="1"/>
    <x:col min="7" max="7" width="11.880000114440918" hidden="0" customWidth="1"/>
    <x:col min="8" max="8" width="13.130000114440918" hidden="0" customWidth="1"/>
    <x:col min="9" max="9" width="52.5" hidden="0" customWidth="1"/>
    <x:col min="10" max="10" width="51.25" hidden="0" customWidth="1"/>
    <x:col min="11" max="11" width="37.5" hidden="0" customWidth="1"/>
    <x:col min="12" max="12" width="32.5" hidden="0" customWidth="1"/>
    <x:col min="13" max="13" width="15.630000114440918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并发事件：A / I / M / R 的 16 种组合</x:v>
      </x:c>
      <x:c r="B2" s="8"/>
      <x:c r="C2" s="8"/>
      <x:c r="D2" s="8"/>
      <x:c r="E2" s="8"/>
      <x:c r="F2" s="8"/>
      <x:c r="G2" s="8"/>
      <x:c r="H2" s="6"/>
      <x:c r="I2" s="6"/>
      <x:c r="J2" s="6"/>
      <x:c r="K2" s="6"/>
      <x:c r="L2" s="6"/>
      <x:c r="M2" s="6"/>
    </x:row>
    <x:row r="3" ht="23" customHeight="1">
      <x:c r="A3" s="9" t="str">
        <x:v>A=AR 实际接收；I=双 grant 成功发射；M=四拍到期捕获；R=实际响应回收。1 是事件发生，不是仅有 valid/req。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23" customHeight="1">
      <x:c r="A4" s="9" t="str">
        <x:v>ΔN=A−R；ΔP=A−I；ΔD=M−R。D 只表示已完成且未退役项数。每行成立还须满足右侧历史与容量前提。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23" customHeight="1">
      <x:c r="A5" s="9" t="str">
        <x:v>只有 A 与 R 可以同拍复用一个物理 entry；同拍的 I/M/R 分属不同旧事务。16 个事件码不能替代事务身份检查。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2" customHeight="1">
      <x:c r="A7" s="13" t="str">
        <x:v>事件编号</x:v>
      </x:c>
      <x:c r="B7" s="14" t="str">
        <x:v>A</x:v>
      </x:c>
      <x:c r="C7" s="14" t="str">
        <x:v>I</x:v>
      </x:c>
      <x:c r="D7" s="14" t="str">
        <x:v>M</x:v>
      </x:c>
      <x:c r="E7" s="14" t="str">
        <x:v>R</x:v>
      </x:c>
      <x:c r="F7" s="14" t="str">
        <x:v>Δ总占用 N</x:v>
      </x:c>
      <x:c r="G7" s="14" t="str">
        <x:v>Δ待发 P</x:v>
      </x:c>
      <x:c r="H7" s="14" t="str">
        <x:v>Δ已完成 D</x:v>
      </x:c>
      <x:c r="I7" s="14" t="str">
        <x:v>前置条件</x:v>
      </x:c>
      <x:c r="J7" s="14" t="str">
        <x:v>同拍处理与预期</x:v>
      </x:c>
      <x:c r="K7" s="14" t="str">
        <x:v>事务 / 槽位关系</x:v>
      </x:c>
      <x:c r="L7" s="14" t="str">
        <x:v>可达性说明</x:v>
      </x:c>
      <x:c r="M7" s="15" t="str">
        <x:v>本清单执行结果</x:v>
      </x:c>
    </x:row>
    <x:row r="8" ht="82" customHeight="1">
      <x:c r="A8" s="3" t="str">
        <x:v>EVT-00</x:v>
      </x:c>
      <x:c r="B8" s="32" t="n">
        <x:v>0</x:v>
      </x:c>
      <x:c r="C8" s="32" t="n">
        <x:v>0</x:v>
      </x:c>
      <x:c r="D8" s="32" t="n">
        <x:v>0</x:v>
      </x:c>
      <x:c r="E8" s="32" t="n">
        <x:v>0</x:v>
      </x:c>
      <x:c r="F8" s="32" t="n">
        <x:f>B8-E8</x:f>
        <x:v>0</x:v>
      </x:c>
      <x:c r="G8" s="32" t="n">
        <x:f>B8-C8</x:f>
        <x:v>0</x:v>
      </x:c>
      <x:c r="H8" s="32" t="n">
        <x:f>D8-E8</x:f>
        <x:v>0</x:v>
      </x:c>
      <x:c r="I8" s="3" t="str">
        <x:v>无实际四事件；仍可存在失败 req 或阻塞事务</x:v>
      </x:c>
      <x:c r="J8" s="3" t="str">
        <x:v>占用/完成数保持，日历仍逐拍前移</x:v>
      </x:c>
      <x:c r="K8" s="3" t="str">
        <x:v>只有 A/R 可同槽交接；其余事件对应不同旧/新事务</x:v>
      </x:c>
      <x:c r="L8" s="3" t="str">
        <x:v>存在合适历史时可构造；不是所有当前状态都能出现</x:v>
      </x:c>
      <x:c r="M8" s="23" t="str">
        <x:v>未逐项执行</x:v>
      </x:c>
    </x:row>
    <x:row r="9" ht="82" customHeight="1">
      <x:c r="A9" s="3" t="str">
        <x:v>EVT-01</x:v>
      </x:c>
      <x:c r="B9" s="32" t="n">
        <x:v>0</x:v>
      </x:c>
      <x:c r="C9" s="32" t="n">
        <x:v>0</x:v>
      </x:c>
      <x:c r="D9" s="32" t="n">
        <x:v>0</x:v>
      </x:c>
      <x:c r="E9" s="32" t="n">
        <x:v>1</x:v>
      </x:c>
      <x:c r="F9" s="32" t="n">
        <x:f>B9-E9</x:f>
        <x:v>-1</x:v>
      </x:c>
      <x:c r="G9" s="32" t="n">
        <x:f>B9-C9</x:f>
        <x:v>0</x:v>
      </x:c>
      <x:c r="H9" s="32" t="n">
        <x:f>D9-E9</x:f>
        <x:v>-1</x:v>
      </x:c>
      <x:c r="I9" s="3" t="str">
        <x:v>已有完成源队头且 ready，被 RR 选中</x:v>
      </x:c>
      <x:c r="J9" s="3" t="str">
        <x:v>输出旧队头、退役、推进 RR</x:v>
      </x:c>
      <x:c r="K9" s="3" t="str">
        <x:v>只有 A/R 可同槽交接；其余事件对应不同旧/新事务</x:v>
      </x:c>
      <x:c r="L9" s="3" t="str">
        <x:v>存在合适历史时可构造；不是所有当前状态都能出现</x:v>
      </x:c>
      <x:c r="M9" s="23" t="str">
        <x:v>未逐项执行</x:v>
      </x:c>
    </x:row>
    <x:row r="10" ht="82" customHeight="1">
      <x:c r="A10" s="3" t="str">
        <x:v>EVT-02</x:v>
      </x:c>
      <x:c r="B10" s="32" t="n">
        <x:v>0</x:v>
      </x:c>
      <x:c r="C10" s="32" t="n">
        <x:v>0</x:v>
      </x:c>
      <x:c r="D10" s="32" t="n">
        <x:v>1</x:v>
      </x:c>
      <x:c r="E10" s="32" t="n">
        <x:v>0</x:v>
      </x:c>
      <x:c r="F10" s="32" t="n">
        <x:f>B10-E10</x:f>
        <x:v>0</x:v>
      </x:c>
      <x:c r="G10" s="32" t="n">
        <x:f>B10-C10</x:f>
        <x:v>0</x:v>
      </x:c>
      <x:c r="H10" s="32" t="n">
        <x:f>D10-E10</x:f>
        <x:v>1</x:v>
      </x:c>
      <x:c r="I10" s="3" t="str">
        <x:v>四拍前曾成功发射且该事务尚未退役</x:v>
      </x:c>
      <x:c r="J10" s="3" t="str">
        <x:v>捕获旧事务数据/pc_err，完成标记下一拍可见</x:v>
      </x:c>
      <x:c r="K10" s="3" t="str">
        <x:v>只有 A/R 可同槽交接；其余事件对应不同旧/新事务</x:v>
      </x:c>
      <x:c r="L10" s="3" t="str">
        <x:v>存在合适历史时可构造；不是所有当前状态都能出现</x:v>
      </x:c>
      <x:c r="M10" s="23" t="str">
        <x:v>未逐项执行</x:v>
      </x:c>
    </x:row>
    <x:row r="11" ht="82" customHeight="1">
      <x:c r="A11" s="3" t="str">
        <x:v>EVT-03</x:v>
      </x:c>
      <x:c r="B11" s="32" t="n">
        <x:v>0</x:v>
      </x:c>
      <x:c r="C11" s="32" t="n">
        <x:v>0</x:v>
      </x:c>
      <x:c r="D11" s="32" t="n">
        <x:v>1</x:v>
      </x:c>
      <x:c r="E11" s="32" t="n">
        <x:v>1</x:v>
      </x:c>
      <x:c r="F11" s="32" t="n">
        <x:f>B11-E11</x:f>
        <x:v>-1</x:v>
      </x:c>
      <x:c r="G11" s="32" t="n">
        <x:f>B11-C11</x:f>
        <x:v>0</x:v>
      </x:c>
      <x:c r="H11" s="32" t="n">
        <x:f>D11-E11</x:f>
        <x:v>0</x:v>
      </x:c>
      <x:c r="I11" s="3" t="str">
        <x:v>四拍前曾成功发射且该事务尚未退役；已有完成源队头且 ready，被 RR 选中</x:v>
      </x:c>
      <x:c r="J11" s="3" t="str">
        <x:v>捕获旧事务数据/pc_err，完成标记下一拍可见；输出旧队头、退役、推进 RR</x:v>
      </x:c>
      <x:c r="K11" s="3" t="str">
        <x:v>只有 A/R 可同槽交接；其余事件对应不同旧/新事务</x:v>
      </x:c>
      <x:c r="L11" s="3" t="str">
        <x:v>存在合适历史时可构造；不是所有当前状态都能出现</x:v>
      </x:c>
      <x:c r="M11" s="23" t="str">
        <x:v>未逐项执行</x:v>
      </x:c>
    </x:row>
    <x:row r="12" ht="82" customHeight="1">
      <x:c r="A12" s="3" t="str">
        <x:v>EVT-04</x:v>
      </x:c>
      <x:c r="B12" s="32" t="n">
        <x:v>0</x:v>
      </x:c>
      <x:c r="C12" s="32" t="n">
        <x:v>1</x:v>
      </x:c>
      <x:c r="D12" s="32" t="n">
        <x:v>0</x:v>
      </x:c>
      <x:c r="E12" s="32" t="n">
        <x:v>0</x:v>
      </x:c>
      <x:c r="F12" s="32" t="n">
        <x:f>B12-E12</x:f>
        <x:v>0</x:v>
      </x:c>
      <x:c r="G12" s="32" t="n">
        <x:f>B12-C12</x:f>
        <x:v>-1</x:v>
      </x:c>
      <x:c r="H12" s="32" t="n">
        <x:f>D12-E12</x:f>
        <x:v>0</x:v>
      </x:c>
      <x:c r="I12" s="3" t="str">
        <x:v>此前预选事务本拍 req 位双 grant=1，目标 half busy</x:v>
      </x:c>
      <x:c r="J12" s="3" t="str">
        <x:v>成功项退出待发窗口并进入返回日历</x:v>
      </x:c>
      <x:c r="K12" s="3" t="str">
        <x:v>只有 A/R 可同槽交接；其余事件对应不同旧/新事务</x:v>
      </x:c>
      <x:c r="L12" s="3" t="str">
        <x:v>存在合适历史时可构造；不是所有当前状态都能出现</x:v>
      </x:c>
      <x:c r="M12" s="23" t="str">
        <x:v>未逐项执行</x:v>
      </x:c>
    </x:row>
    <x:row r="13" ht="82" customHeight="1">
      <x:c r="A13" s="3" t="str">
        <x:v>EVT-05</x:v>
      </x:c>
      <x:c r="B13" s="32" t="n">
        <x:v>0</x:v>
      </x:c>
      <x:c r="C13" s="32" t="n">
        <x:v>1</x:v>
      </x:c>
      <x:c r="D13" s="32" t="n">
        <x:v>0</x:v>
      </x:c>
      <x:c r="E13" s="32" t="n">
        <x:v>1</x:v>
      </x:c>
      <x:c r="F13" s="32" t="n">
        <x:f>B13-E13</x:f>
        <x:v>-1</x:v>
      </x:c>
      <x:c r="G13" s="32" t="n">
        <x:f>B13-C13</x:f>
        <x:v>-1</x:v>
      </x:c>
      <x:c r="H13" s="32" t="n">
        <x:f>D13-E13</x:f>
        <x:v>-1</x:v>
      </x:c>
      <x:c r="I13" s="3" t="str">
        <x:v>此前预选事务本拍 req 位双 grant=1，目标 half busy；已有完成源队头且 ready，被 RR 选中</x:v>
      </x:c>
      <x:c r="J13" s="3" t="str">
        <x:v>成功项退出待发窗口并进入返回日历；输出旧队头、退役、推进 RR</x:v>
      </x:c>
      <x:c r="K13" s="3" t="str">
        <x:v>只有 A/R 可同槽交接；其余事件对应不同旧/新事务</x:v>
      </x:c>
      <x:c r="L13" s="3" t="str">
        <x:v>存在合适历史时可构造；不是所有当前状态都能出现</x:v>
      </x:c>
      <x:c r="M13" s="23" t="str">
        <x:v>未逐项执行</x:v>
      </x:c>
    </x:row>
    <x:row r="14" ht="82" customHeight="1">
      <x:c r="A14" s="3" t="str">
        <x:v>EVT-06</x:v>
      </x:c>
      <x:c r="B14" s="32" t="n">
        <x:v>0</x:v>
      </x:c>
      <x:c r="C14" s="32" t="n">
        <x:v>1</x:v>
      </x:c>
      <x:c r="D14" s="32" t="n">
        <x:v>1</x:v>
      </x:c>
      <x:c r="E14" s="32" t="n">
        <x:v>0</x:v>
      </x:c>
      <x:c r="F14" s="32" t="n">
        <x:f>B14-E14</x:f>
        <x:v>0</x:v>
      </x:c>
      <x:c r="G14" s="32" t="n">
        <x:f>B14-C14</x:f>
        <x:v>-1</x:v>
      </x:c>
      <x:c r="H14" s="32" t="n">
        <x:f>D14-E14</x:f>
        <x:v>1</x:v>
      </x:c>
      <x:c r="I14" s="3" t="str">
        <x:v>此前预选事务本拍 req 位双 grant=1，目标 half busy；四拍前曾成功发射且该事务尚未退役</x:v>
      </x:c>
      <x:c r="J14" s="3" t="str">
        <x:v>成功项退出待发窗口并进入返回日历；捕获旧事务数据/pc_err，完成标记下一拍可见</x:v>
      </x:c>
      <x:c r="K14" s="3" t="str">
        <x:v>只有 A/R 可同槽交接；其余事件对应不同旧/新事务</x:v>
      </x:c>
      <x:c r="L14" s="3" t="str">
        <x:v>存在合适历史时可构造；不是所有当前状态都能出现</x:v>
      </x:c>
      <x:c r="M14" s="23" t="str">
        <x:v>未逐项执行</x:v>
      </x:c>
    </x:row>
    <x:row r="15" ht="82" customHeight="1">
      <x:c r="A15" s="3" t="str">
        <x:v>EVT-07</x:v>
      </x:c>
      <x:c r="B15" s="32" t="n">
        <x:v>0</x:v>
      </x:c>
      <x:c r="C15" s="32" t="n">
        <x:v>1</x:v>
      </x:c>
      <x:c r="D15" s="32" t="n">
        <x:v>1</x:v>
      </x:c>
      <x:c r="E15" s="32" t="n">
        <x:v>1</x:v>
      </x:c>
      <x:c r="F15" s="32" t="n">
        <x:f>B15-E15</x:f>
        <x:v>-1</x:v>
      </x:c>
      <x:c r="G15" s="32" t="n">
        <x:f>B15-C15</x:f>
        <x:v>-1</x:v>
      </x:c>
      <x:c r="H15" s="32" t="n">
        <x:f>D15-E15</x:f>
        <x:v>0</x:v>
      </x:c>
      <x:c r="I15" s="3" t="str">
        <x:v>此前预选事务本拍 req 位双 grant=1，目标 half busy；四拍前曾成功发射且该事务尚未退役；已有完成源队头且 ready，被 RR 选中</x:v>
      </x:c>
      <x:c r="J15" s="3" t="str">
        <x:v>成功项退出待发窗口并进入返回日历；捕获旧事务数据/pc_err，完成标记下一拍可见；输出旧队头、退役、推进 RR</x:v>
      </x:c>
      <x:c r="K15" s="3" t="str">
        <x:v>只有 A/R 可同槽交接；其余事件对应不同旧/新事务</x:v>
      </x:c>
      <x:c r="L15" s="3" t="str">
        <x:v>存在合适历史时可构造；不是所有当前状态都能出现</x:v>
      </x:c>
      <x:c r="M15" s="23" t="str">
        <x:v>未逐项执行</x:v>
      </x:c>
    </x:row>
    <x:row r="16" ht="82" customHeight="1">
      <x:c r="A16" s="3" t="str">
        <x:v>EVT-08</x:v>
      </x:c>
      <x:c r="B16" s="32" t="n">
        <x:v>1</x:v>
      </x:c>
      <x:c r="C16" s="32" t="n">
        <x:v>0</x:v>
      </x:c>
      <x:c r="D16" s="32" t="n">
        <x:v>0</x:v>
      </x:c>
      <x:c r="E16" s="32" t="n">
        <x:v>0</x:v>
      </x:c>
      <x:c r="F16" s="32" t="n">
        <x:f>B16-E16</x:f>
        <x:v>1</x:v>
      </x:c>
      <x:c r="G16" s="32" t="n">
        <x:f>B16-C16</x:f>
        <x:v>1</x:v>
      </x:c>
      <x:c r="H16" s="32" t="n">
        <x:f>D16-E16</x:f>
        <x:v>0</x:v>
      </x:c>
      <x:c r="I16" s="3" t="str">
        <x:v>AR 所选源 ready=1</x:v>
      </x:c>
      <x:c r="J16" s="3" t="str">
        <x:v>分配新项</x:v>
      </x:c>
      <x:c r="K16" s="3" t="str">
        <x:v>只有 A/R 可同槽交接；其余事件对应不同旧/新事务</x:v>
      </x:c>
      <x:c r="L16" s="3" t="str">
        <x:v>存在合适历史时可构造；不是所有当前状态都能出现</x:v>
      </x:c>
      <x:c r="M16" s="23" t="str">
        <x:v>未逐项执行</x:v>
      </x:c>
    </x:row>
    <x:row r="17" ht="82" customHeight="1">
      <x:c r="A17" s="3" t="str">
        <x:v>EVT-09</x:v>
      </x:c>
      <x:c r="B17" s="32" t="n">
        <x:v>1</x:v>
      </x:c>
      <x:c r="C17" s="32" t="n">
        <x:v>0</x:v>
      </x:c>
      <x:c r="D17" s="32" t="n">
        <x:v>0</x:v>
      </x:c>
      <x:c r="E17" s="32" t="n">
        <x:v>1</x:v>
      </x:c>
      <x:c r="F17" s="32" t="n">
        <x:f>B17-E17</x:f>
        <x:v>0</x:v>
      </x:c>
      <x:c r="G17" s="32" t="n">
        <x:f>B17-C17</x:f>
        <x:v>1</x:v>
      </x:c>
      <x:c r="H17" s="32" t="n">
        <x:f>D17-E17</x:f>
        <x:v>-1</x:v>
      </x:c>
      <x:c r="I17" s="3" t="str">
        <x:v>AR 所选源 ready=1；已有完成源队头且 ready，被 RR 选中</x:v>
      </x:c>
      <x:c r="J17" s="3" t="str">
        <x:v>分配新项；输出旧队头、退役、推进 RR</x:v>
      </x:c>
      <x:c r="K17" s="3" t="str">
        <x:v>只有 A/R 可同槽交接；其余事件对应不同旧/新事务</x:v>
      </x:c>
      <x:c r="L17" s="3" t="str">
        <x:v>存在合适历史时可构造；不是所有当前状态都能出现</x:v>
      </x:c>
      <x:c r="M17" s="23" t="str">
        <x:v>未逐项执行</x:v>
      </x:c>
    </x:row>
    <x:row r="18" ht="82" customHeight="1">
      <x:c r="A18" s="3" t="str">
        <x:v>EVT-10</x:v>
      </x:c>
      <x:c r="B18" s="32" t="n">
        <x:v>1</x:v>
      </x:c>
      <x:c r="C18" s="32" t="n">
        <x:v>0</x:v>
      </x:c>
      <x:c r="D18" s="32" t="n">
        <x:v>1</x:v>
      </x:c>
      <x:c r="E18" s="32" t="n">
        <x:v>0</x:v>
      </x:c>
      <x:c r="F18" s="32" t="n">
        <x:f>B18-E18</x:f>
        <x:v>1</x:v>
      </x:c>
      <x:c r="G18" s="32" t="n">
        <x:f>B18-C18</x:f>
        <x:v>1</x:v>
      </x:c>
      <x:c r="H18" s="32" t="n">
        <x:f>D18-E18</x:f>
        <x:v>1</x:v>
      </x:c>
      <x:c r="I18" s="3" t="str">
        <x:v>AR 所选源 ready=1；四拍前曾成功发射且该事务尚未退役</x:v>
      </x:c>
      <x:c r="J18" s="3" t="str">
        <x:v>分配新项；捕获旧事务数据/pc_err，完成标记下一拍可见</x:v>
      </x:c>
      <x:c r="K18" s="3" t="str">
        <x:v>只有 A/R 可同槽交接；其余事件对应不同旧/新事务</x:v>
      </x:c>
      <x:c r="L18" s="3" t="str">
        <x:v>存在合适历史时可构造；不是所有当前状态都能出现</x:v>
      </x:c>
      <x:c r="M18" s="23" t="str">
        <x:v>未逐项执行</x:v>
      </x:c>
    </x:row>
    <x:row r="19" ht="82" customHeight="1">
      <x:c r="A19" s="3" t="str">
        <x:v>EVT-11</x:v>
      </x:c>
      <x:c r="B19" s="32" t="n">
        <x:v>1</x:v>
      </x:c>
      <x:c r="C19" s="32" t="n">
        <x:v>0</x:v>
      </x:c>
      <x:c r="D19" s="32" t="n">
        <x:v>1</x:v>
      </x:c>
      <x:c r="E19" s="32" t="n">
        <x:v>1</x:v>
      </x:c>
      <x:c r="F19" s="32" t="n">
        <x:f>B19-E19</x:f>
        <x:v>0</x:v>
      </x:c>
      <x:c r="G19" s="32" t="n">
        <x:f>B19-C19</x:f>
        <x:v>1</x:v>
      </x:c>
      <x:c r="H19" s="32" t="n">
        <x:f>D19-E19</x:f>
        <x:v>0</x:v>
      </x:c>
      <x:c r="I19" s="3" t="str">
        <x:v>AR 所选源 ready=1；四拍前曾成功发射且该事务尚未退役；已有完成源队头且 ready，被 RR 选中</x:v>
      </x:c>
      <x:c r="J19" s="3" t="str">
        <x:v>分配新项；捕获旧事务数据/pc_err，完成标记下一拍可见；输出旧队头、退役、推进 RR</x:v>
      </x:c>
      <x:c r="K19" s="3" t="str">
        <x:v>只有 A/R 可同槽交接；其余事件对应不同旧/新事务</x:v>
      </x:c>
      <x:c r="L19" s="3" t="str">
        <x:v>存在合适历史时可构造；不是所有当前状态都能出现</x:v>
      </x:c>
      <x:c r="M19" s="23" t="str">
        <x:v>未逐项执行</x:v>
      </x:c>
    </x:row>
    <x:row r="20" ht="82" customHeight="1">
      <x:c r="A20" s="3" t="str">
        <x:v>EVT-12</x:v>
      </x:c>
      <x:c r="B20" s="32" t="n">
        <x:v>1</x:v>
      </x:c>
      <x:c r="C20" s="32" t="n">
        <x:v>1</x:v>
      </x:c>
      <x:c r="D20" s="32" t="n">
        <x:v>0</x:v>
      </x:c>
      <x:c r="E20" s="32" t="n">
        <x:v>0</x:v>
      </x:c>
      <x:c r="F20" s="32" t="n">
        <x:f>B20-E20</x:f>
        <x:v>1</x:v>
      </x:c>
      <x:c r="G20" s="32" t="n">
        <x:f>B20-C20</x:f>
        <x:v>0</x:v>
      </x:c>
      <x:c r="H20" s="32" t="n">
        <x:f>D20-E20</x:f>
        <x:v>0</x:v>
      </x:c>
      <x:c r="I20" s="3" t="str">
        <x:v>AR 所选源 ready=1；此前预选事务本拍 req 位双 grant=1，目标 half busy</x:v>
      </x:c>
      <x:c r="J20" s="3" t="str">
        <x:v>分配新项；成功项退出待发窗口并进入返回日历</x:v>
      </x:c>
      <x:c r="K20" s="3" t="str">
        <x:v>只有 A/R 可同槽交接；其余事件对应不同旧/新事务</x:v>
      </x:c>
      <x:c r="L20" s="3" t="str">
        <x:v>存在合适历史时可构造；不是所有当前状态都能出现</x:v>
      </x:c>
      <x:c r="M20" s="23" t="str">
        <x:v>未逐项执行</x:v>
      </x:c>
    </x:row>
    <x:row r="21" ht="82" customHeight="1">
      <x:c r="A21" s="3" t="str">
        <x:v>EVT-13</x:v>
      </x:c>
      <x:c r="B21" s="32" t="n">
        <x:v>1</x:v>
      </x:c>
      <x:c r="C21" s="32" t="n">
        <x:v>1</x:v>
      </x:c>
      <x:c r="D21" s="32" t="n">
        <x:v>0</x:v>
      </x:c>
      <x:c r="E21" s="32" t="n">
        <x:v>1</x:v>
      </x:c>
      <x:c r="F21" s="32" t="n">
        <x:f>B21-E21</x:f>
        <x:v>0</x:v>
      </x:c>
      <x:c r="G21" s="32" t="n">
        <x:f>B21-C21</x:f>
        <x:v>0</x:v>
      </x:c>
      <x:c r="H21" s="32" t="n">
        <x:f>D21-E21</x:f>
        <x:v>-1</x:v>
      </x:c>
      <x:c r="I21" s="3" t="str">
        <x:v>AR 所选源 ready=1；此前预选事务本拍 req 位双 grant=1，目标 half busy；已有完成源队头且 ready，被 RR 选中</x:v>
      </x:c>
      <x:c r="J21" s="3" t="str">
        <x:v>分配新项；成功项退出待发窗口并进入返回日历；输出旧队头、退役、推进 RR</x:v>
      </x:c>
      <x:c r="K21" s="3" t="str">
        <x:v>只有 A/R 可同槽交接；其余事件对应不同旧/新事务</x:v>
      </x:c>
      <x:c r="L21" s="3" t="str">
        <x:v>存在合适历史时可构造；不是所有当前状态都能出现</x:v>
      </x:c>
      <x:c r="M21" s="23" t="str">
        <x:v>未逐项执行</x:v>
      </x:c>
    </x:row>
    <x:row r="22" ht="82" customHeight="1">
      <x:c r="A22" s="3" t="str">
        <x:v>EVT-14</x:v>
      </x:c>
      <x:c r="B22" s="32" t="n">
        <x:v>1</x:v>
      </x:c>
      <x:c r="C22" s="32" t="n">
        <x:v>1</x:v>
      </x:c>
      <x:c r="D22" s="32" t="n">
        <x:v>1</x:v>
      </x:c>
      <x:c r="E22" s="32" t="n">
        <x:v>0</x:v>
      </x:c>
      <x:c r="F22" s="32" t="n">
        <x:f>B22-E22</x:f>
        <x:v>1</x:v>
      </x:c>
      <x:c r="G22" s="32" t="n">
        <x:f>B22-C22</x:f>
        <x:v>0</x:v>
      </x:c>
      <x:c r="H22" s="32" t="n">
        <x:f>D22-E22</x:f>
        <x:v>1</x:v>
      </x:c>
      <x:c r="I22" s="3" t="str">
        <x:v>AR 所选源 ready=1；此前预选事务本拍 req 位双 grant=1，目标 half busy；四拍前曾成功发射且该事务尚未退役</x:v>
      </x:c>
      <x:c r="J22" s="3" t="str">
        <x:v>分配新项；成功项退出待发窗口并进入返回日历；捕获旧事务数据/pc_err，完成标记下一拍可见</x:v>
      </x:c>
      <x:c r="K22" s="3" t="str">
        <x:v>只有 A/R 可同槽交接；其余事件对应不同旧/新事务</x:v>
      </x:c>
      <x:c r="L22" s="3" t="str">
        <x:v>存在合适历史时可构造；不是所有当前状态都能出现</x:v>
      </x:c>
      <x:c r="M22" s="23" t="str">
        <x:v>未逐项执行</x:v>
      </x:c>
    </x:row>
    <x:row r="23" ht="82" customHeight="1">
      <x:c r="A23" s="3" t="str">
        <x:v>EVT-15</x:v>
      </x:c>
      <x:c r="B23" s="32" t="n">
        <x:v>1</x:v>
      </x:c>
      <x:c r="C23" s="32" t="n">
        <x:v>1</x:v>
      </x:c>
      <x:c r="D23" s="32" t="n">
        <x:v>1</x:v>
      </x:c>
      <x:c r="E23" s="32" t="n">
        <x:v>1</x:v>
      </x:c>
      <x:c r="F23" s="32" t="n">
        <x:f>B23-E23</x:f>
        <x:v>0</x:v>
      </x:c>
      <x:c r="G23" s="32" t="n">
        <x:f>B23-C23</x:f>
        <x:v>0</x:v>
      </x:c>
      <x:c r="H23" s="32" t="n">
        <x:f>D23-E23</x:f>
        <x:v>0</x:v>
      </x:c>
      <x:c r="I23" s="3" t="str">
        <x:v>AR 所选源 ready=1；此前预选事务本拍 req 位双 grant=1，目标 half busy；四拍前曾成功发射且该事务尚未退役；已有完成源队头且 ready，被 RR 选中</x:v>
      </x:c>
      <x:c r="J23" s="3" t="str">
        <x:v>分配新项；成功项退出待发窗口并进入返回日历；捕获旧事务数据/pc_err，完成标记下一拍可见；输出旧队头、退役、推进 RR</x:v>
      </x:c>
      <x:c r="K23" s="3" t="str">
        <x:v>只有 A/R 可同槽交接；其余事件对应不同旧/新事务</x:v>
      </x:c>
      <x:c r="L23" s="3" t="str">
        <x:v>存在合适历史时可构造；不是所有当前状态都能出现</x:v>
      </x:c>
      <x:c r="M23" s="23" t="str">
        <x:v>未逐项执行</x:v>
      </x:c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3" customHeight="1">
      <x:c r="A26" s="34" t="str">
        <x:v>同一物理 entry 的交接边界</x:v>
      </x:c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12" t="str">
        <x:v>事件对</x:v>
      </x:c>
      <x:c r="J27" s="12" t="str">
        <x:v>同槽是否允许</x:v>
      </x:c>
      <x:c r="K27" s="12" t="str">
        <x:v>原因</x:v>
      </x:c>
      <x:c r="L27" s="12" t="str">
        <x:v>必须检查</x:v>
      </x:c>
      <x:c r="M27" s="3"/>
    </x:row>
    <x:row r="28" ht="60" customHeight="1">
      <x:c r="A28" s="6" t="str">
        <x:v>右侧列出 6 种事件对。</x:v>
      </x:c>
      <x:c r="B28" s="6"/>
      <x:c r="C28" s="6"/>
      <x:c r="D28" s="6"/>
      <x:c r="E28" s="6"/>
      <x:c r="F28" s="6"/>
      <x:c r="G28" s="6"/>
      <x:c r="H28" s="6"/>
      <x:c r="I28" s="3" t="str">
        <x:v>A / R</x:v>
      </x:c>
      <x:c r="J28" s="3" t="str">
        <x:v>允许</x:v>
      </x:c>
      <x:c r="K28" s="3" t="str">
        <x:v>旧命令本拍 R，新命令在边沿占用同槽</x:v>
      </x:c>
      <x:c r="L28" s="3" t="str">
        <x:v>R 输出旧字段；新分配在存储更新中优先于清空；满表同进同出必须这样交接</x:v>
      </x:c>
      <x:c r="M28" s="3"/>
    </x:row>
    <x:row r="29" ht="60" customHeight="1">
      <x:c r="A29" s="3"/>
      <x:c r="B29" s="3"/>
      <x:c r="C29" s="3"/>
      <x:c r="D29" s="3"/>
      <x:c r="E29" s="3"/>
      <x:c r="F29" s="3"/>
      <x:c r="G29" s="3"/>
      <x:c r="H29" s="3"/>
      <x:c r="I29" s="3" t="str">
        <x:v>A / I</x:v>
      </x:c>
      <x:c r="J29" s="3" t="str">
        <x:v>不允许</x:v>
      </x:c>
      <x:c r="K29" s="3" t="str">
        <x:v>新 AR 不能当拍发射；已待发项仍有效</x:v>
      </x:c>
      <x:c r="L29" s="3" t="str">
        <x:v>A 用空闲/退役槽；I 来自至少已完成预选的旧事务</x:v>
      </x:c>
      <x:c r="M29" s="3"/>
    </x:row>
    <x:row r="30" ht="60" customHeight="1">
      <x:c r="A30" s="3"/>
      <x:c r="B30" s="3"/>
      <x:c r="C30" s="3"/>
      <x:c r="D30" s="3"/>
      <x:c r="E30" s="3"/>
      <x:c r="F30" s="3"/>
      <x:c r="G30" s="3"/>
      <x:c r="H30" s="3"/>
      <x:c r="I30" s="3" t="str">
        <x:v>A / M</x:v>
      </x:c>
      <x:c r="J30" s="3" t="str">
        <x:v>不允许</x:v>
      </x:c>
      <x:c r="K30" s="3" t="str">
        <x:v>M 所属旧命令尚未退役</x:v>
      </x:c>
      <x:c r="L30" s="3" t="str">
        <x:v>本拍刚完成的 M 不能本拍 R，因此槽位不可交给 A</x:v>
      </x:c>
      <x:c r="M30" s="3"/>
    </x:row>
    <x:row r="31" ht="60" customHeight="1">
      <x:c r="A31" s="3"/>
      <x:c r="B31" s="3"/>
      <x:c r="C31" s="3"/>
      <x:c r="D31" s="3"/>
      <x:c r="E31" s="3"/>
      <x:c r="F31" s="3"/>
      <x:c r="G31" s="3"/>
      <x:c r="H31" s="3"/>
      <x:c r="I31" s="3" t="str">
        <x:v>I / M</x:v>
      </x:c>
      <x:c r="J31" s="3" t="str">
        <x:v>不允许</x:v>
      </x:c>
      <x:c r="K31" s="3" t="str">
        <x:v>同命令成功后固定四拍才返回</x:v>
      </x:c>
      <x:c r="L31" s="3" t="str">
        <x:v>若同槽同时 I/M，说明重复发射或返回标签错误</x:v>
      </x:c>
      <x:c r="M31" s="3"/>
    </x:row>
    <x:row r="32" ht="60" customHeight="1">
      <x:c r="A32" s="3"/>
      <x:c r="B32" s="3"/>
      <x:c r="C32" s="3"/>
      <x:c r="D32" s="3"/>
      <x:c r="E32" s="3"/>
      <x:c r="F32" s="3"/>
      <x:c r="G32" s="3"/>
      <x:c r="H32" s="3"/>
      <x:c r="I32" s="3" t="str">
        <x:v>I / R</x:v>
      </x:c>
      <x:c r="J32" s="3" t="str">
        <x:v>不允许</x:v>
      </x:c>
      <x:c r="K32" s="3" t="str">
        <x:v>R 对应早已发射并完成的命令</x:v>
      </x:c>
      <x:c r="L32" s="3" t="str">
        <x:v>R 事务不能再次参与待发选择</x:v>
      </x:c>
      <x:c r="M32" s="3"/>
    </x:row>
    <x:row r="33" ht="60" customHeight="1">
      <x:c r="A33" s="3"/>
      <x:c r="B33" s="3"/>
      <x:c r="C33" s="3"/>
      <x:c r="D33" s="3"/>
      <x:c r="E33" s="3"/>
      <x:c r="F33" s="3"/>
      <x:c r="G33" s="3"/>
      <x:c r="H33" s="3"/>
      <x:c r="I33" s="3" t="str">
        <x:v>M / R</x:v>
      </x:c>
      <x:c r="J33" s="3" t="str">
        <x:v>不允许</x:v>
      </x:c>
      <x:c r="K33" s="3" t="str">
        <x:v>该命令 M 之后最早下一拍才有 R</x:v>
      </x:c>
      <x:c r="L33" s="3" t="str">
        <x:v>本拍 M 和 R 可并行，但属于不同事务与不同槽</x:v>
      </x:c>
      <x:c r="M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</x:sheetData>
  <x:conditionalFormatting sqref="M8:M23">
    <x:cfRule type="containsText" dxfId="5" priority="1" operator="containsText" text="失败"/>
    <x:cfRule type="containsText" dxfId="6" priority="2" operator="containsText" text="阻塞"/>
  </x:conditionalFormatting>
  <x:dataValidations count="1">
    <x:dataValidation type="list" sqref="M8:M23">
      <x:formula1>"未逐项执行,通过,失败,阻塞,不适用"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8355a8e902e4986"/>
    <x:tablePart xmlns:r="http://schemas.openxmlformats.org/officeDocument/2006/relationships" r:id="R35b3deae8b7b4a42"/>
  </x:tableParts>
</x:worksheet>
</file>

<file path=xl/worksheets/sheet6.xml><?xml version="1.0" encoding="utf-8"?>
<x:worksheet xmlns:x="http://schemas.openxmlformats.org/spreadsheetml/2006/main">
  <x:sheetPr>
    <x:tabColor rgb="FF7991A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30000114440918" hidden="0" customWidth="1"/>
    <x:col min="2" max="2" width="20.6299991607666" hidden="0" customWidth="1"/>
    <x:col min="3" max="3" width="66.25" hidden="0" customWidth="1"/>
    <x:col min="4" max="4" width="55" hidden="0" customWidth="1"/>
    <x:col min="5" max="5" width="45" hidden="0" customWidth="1"/>
    <x:col min="6" max="6" width="3.130000114440918" hidden="0" customWidth="1"/>
    <x:col min="7" max="7" width="22.5" hidden="0" customWidth="1"/>
    <x:col min="8" max="8" width="11.25" hidden="0" customWidth="1"/>
    <x:col min="9" max="9" width="12.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规则、使用范围与证据</x:v>
      </x:c>
      <x:c r="B2" s="8"/>
      <x:c r="C2" s="8"/>
      <x:c r="D2" s="8"/>
      <x:c r="E2" s="8"/>
      <x:c r="F2" s="8"/>
      <x:c r="G2" s="8"/>
      <x:c r="H2" s="6"/>
      <x:c r="I2" s="6"/>
    </x:row>
    <x:row r="3" ht="23" customHeight="1">
      <x:c r="A3" s="9" t="str">
        <x:v>基线日期：2026-10-21；工作树包含已对齐 .sv 修正。下面 SHA256 指向实际读取的文件，不把旧 .v 证据混入当前结论。</x:v>
      </x:c>
      <x:c r="B3" s="9"/>
      <x:c r="C3" s="9"/>
      <x:c r="D3" s="9"/>
      <x:c r="E3" s="9"/>
      <x:c r="F3" s="9"/>
      <x:c r="G3" s="9"/>
      <x:c r="H3" s="9"/>
      <x:c r="I3" s="9"/>
    </x:row>
    <x:row r="4" ht="23" customHeight="1">
      <x:c r="A4" s="9" t="str">
        <x:v>仓库基线提交：432ec88818237638f6d3b14da1f3a95357080e66；执行结果默认未逐项执行，使用者应附日志/见证后再更新。</x:v>
      </x:c>
      <x:c r="B4" s="9"/>
      <x:c r="C4" s="9"/>
      <x:c r="D4" s="9"/>
      <x:c r="E4" s="9"/>
      <x:c r="F4" s="9"/>
      <x:c r="G4" s="9"/>
      <x:c r="H4" s="9"/>
      <x:c r="I4" s="9"/>
    </x:row>
    <x:row r="5" ht="23" customHeight="1">
      <x:c r="A5" s="9" t="str">
        <x:v>本页为各表共用定义；没有逐行测试证据的场景，不能仅凭关联到某条断言就判为覆盖完成。</x:v>
      </x:c>
      <x:c r="B5" s="9"/>
      <x:c r="C5" s="9"/>
      <x:c r="D5" s="9"/>
      <x:c r="E5" s="9"/>
      <x:c r="F5" s="9"/>
      <x:c r="G5" s="9"/>
      <x:c r="H5" s="9"/>
      <x:c r="I5" s="9"/>
    </x:row>
    <x:row r="6" ht="10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34" customHeight="1">
      <x:c r="A7" s="13" t="str">
        <x:v>规则编号</x:v>
      </x:c>
      <x:c r="B7" s="14" t="str">
        <x:v>主题</x:v>
      </x:c>
      <x:c r="C7" s="14" t="str">
        <x:v>定义 / 已知事实</x:v>
      </x:c>
      <x:c r="D7" s="14" t="str">
        <x:v>适用边界 / 注意事项</x:v>
      </x:c>
      <x:c r="E7" s="15" t="str">
        <x:v>依据</x:v>
      </x:c>
      <x:c r="F7" s="3"/>
      <x:c r="G7" s="11" t="str">
        <x:v>场景分类</x:v>
      </x:c>
      <x:c r="H7" s="11" t="str">
        <x:v>条目数</x:v>
      </x:c>
      <x:c r="I7" s="11" t="str">
        <x:v>已通过</x:v>
      </x:c>
    </x:row>
    <x:row r="8" ht="68" customHeight="1">
      <x:c r="A8" s="3" t="str">
        <x:v>SCOPE</x:v>
      </x:c>
      <x:c r="B8" s="3" t="str">
        <x:v>本表范围</x:v>
      </x:c>
      <x:c r="C8" s="3" t="str">
        <x:v>仅分析 rst_n=1、信号各位取 0/1 的正常运行阶段，不考虑复位及四态 X/Z 问题。</x:v>
      </x:c>
      <x:c r="D8" s="3" t="str">
        <x:v>ENV-01 至 ENV-05 已移除，其余编号保留。“所有”指已列维度的边界与有限状态全集。</x:v>
      </x:c>
      <x:c r="E8" s="3" t="str">
        <x:v>当前用户已对齐规格</x:v>
      </x:c>
      <x:c r="F8" s="3"/>
      <x:c r="G8" s="3" t="str">
        <x:v>AR 接收与 src</x:v>
      </x:c>
      <x:c r="H8" s="18" t="n">
        <x:f>COUNTIF('Corner清单'!$B$8:$B$163,G8)</x:f>
        <x:v>20</x:v>
      </x:c>
      <x:c r="I8" s="18" t="n">
        <x:f>COUNTIFS('Corner清单'!$B$8:$B$163,G8,'Corner清单'!$L$8:$L$163,"通过")</x:f>
        <x:v>0</x:v>
      </x:c>
    </x:row>
    <x:row r="9" ht="68" customHeight="1">
      <x:c r="A9" s="3" t="str">
        <x:v>READ</x:v>
      </x:c>
      <x:c r="B9" s="3" t="str">
        <x:v>阅读顺序</x:v>
      </x:c>
      <x:c r="C9" s="3" t="str">
        <x:v>先看 Corner清单；按类别/性质筛选，再看容量状态、容量转换或逐拍场景。</x:v>
      </x:c>
      <x:c r="D9" s="3" t="str">
        <x:v>主清单状态列是后续执行登记；相关 SVA 不代表该行已经取得 cover 见证。</x:v>
      </x:c>
      <x:c r="E9" s="3" t="str">
        <x:v>Corner清单 L 列</x:v>
      </x:c>
      <x:c r="F9" s="3"/>
      <x:c r="G9" s="3" t="str">
        <x:v>容量与来源保护</x:v>
      </x:c>
      <x:c r="H9" s="18" t="n">
        <x:f>COUNTIF('Corner清单'!$B$8:$B$163,G9)</x:f>
        <x:v>24</x:v>
      </x:c>
      <x:c r="I9" s="18" t="n">
        <x:f>COUNTIFS('Corner清单'!$B$8:$B$163,G9,'Corner清单'!$L$8:$L$163,"通过")</x:f>
        <x:v>0</x:v>
      </x:c>
    </x:row>
    <x:row r="10" ht="68" customHeight="1">
      <x:c r="A10" s="3" t="str">
        <x:v>TIME</x:v>
      </x:c>
      <x:c r="B10" s="3" t="str">
        <x:v>采样与计拍</x:v>
      </x:c>
      <x:c r="C10" s="3" t="str">
        <x:v>每行 Cn 表示同一采样边沿的本拍信号。N 为该边沿更新前占用；next N 为更新后。</x:v>
      </x:c>
      <x:c r="D10" s="3" t="str">
        <x:v>C1 AR、C2 预选、C3 I、C7 M、C8 最早 R；成功到捕获相隔 4 拍。</x:v>
      </x:c>
      <x:c r="E10" s="3" t="str">
        <x:v>rtl/cmdbuf_rd_cmd.sv；rtl/cmdbuf_rd_otb.sv</x:v>
      </x:c>
      <x:c r="F10" s="3"/>
      <x:c r="G10" s="3" t="str">
        <x:v>Entry 生命周期</x:v>
      </x:c>
      <x:c r="H10" s="18" t="n">
        <x:f>COUNTIF('Corner清单'!$B$8:$B$163,G10)</x:f>
        <x:v>12</x:v>
      </x:c>
      <x:c r="I10" s="18" t="n">
        <x:f>COUNTIFS('Corner清单'!$B$8:$B$163,G10,'Corner清单'!$L$8:$L$163,"通过")</x:f>
        <x:v>0</x:v>
      </x:c>
    </x:row>
    <x:row r="11" ht="68" customHeight="1">
      <x:c r="A11" s="3" t="str">
        <x:v>COUNT</x:v>
      </x:c>
      <x:c r="B11" s="3" t="str">
        <x:v>占用定义</x:v>
      </x:c>
      <x:c r="C11" s="3" t="str">
        <x:v>Ni=本源累计实际 AR 接收−本源累计实际 R 回收；N=N0+N1+N2。</x:v>
      </x:c>
      <x:c r="D11" s="3" t="str">
        <x:v>已发未回、已回未 R 都占 entry；arvalid 但未握手不算命令。</x:v>
      </x:c>
      <x:c r="E11" s="3" t="str">
        <x:v>rtl/cmdbuf_rd_cmd.sv p_4</x:v>
      </x:c>
      <x:c r="F11" s="3"/>
      <x:c r="G11" s="3" t="str">
        <x:v>流水与乱序窗口</x:v>
      </x:c>
      <x:c r="H11" s="18" t="n">
        <x:f>COUNTIF('Corner清单'!$B$8:$B$163,G11)</x:f>
        <x:v>19</x:v>
      </x:c>
      <x:c r="I11" s="18" t="n">
        <x:f>COUNTIFS('Corner清单'!$B$8:$B$163,G11,'Corner清单'!$L$8:$L$163,"通过")</x:f>
        <x:v>0</x:v>
      </x:c>
    </x:row>
    <x:row r="12" ht="68" customHeight="1">
      <x:c r="A12" s="3" t="str">
        <x:v>AR</x:v>
      </x:c>
      <x:c r="B12" s="3" t="str">
        <x:v>接收条件</x:v>
      </x:c>
      <x:c r="C12" s="3" t="str">
        <x:v>A=arvalid &amp;&amp; src&lt;3 &amp;&amp; arready[src]；每拍最多一单。</x:v>
      </x:c>
      <x:c r="D12" s="3" t="str">
        <x:v>ready=000 要求 arvalid=0；某 bit=0 而其他 bit=1 时，允许选中被阻塞源但不接收。</x:v>
      </x:c>
      <x:c r="E12" s="3" t="str">
        <x:v>E03_SRC；E05_ZERO_READY</x:v>
      </x:c>
      <x:c r="F12" s="3"/>
      <x:c r="G12" s="3" t="str">
        <x:v>Bank 与仲裁判断</x:v>
      </x:c>
      <x:c r="H12" s="18" t="n">
        <x:f>COUNTIF('Corner清单'!$B$8:$B$163,G12)</x:f>
        <x:v>14</x:v>
      </x:c>
      <x:c r="I12" s="18" t="n">
        <x:f>COUNTIFS('Corner清单'!$B$8:$B$163,G12,'Corner清单'!$L$8:$L$163,"通过")</x:f>
        <x:v>0</x:v>
      </x:c>
    </x:row>
    <x:row r="13" ht="68" customHeight="1">
      <x:c r="A13" s="3" t="str">
        <x:v>R</x:v>
      </x:c>
      <x:c r="B13" s="3" t="str">
        <x:v>回收条件</x:v>
      </x:c>
      <x:c r="C13" s="3" t="str">
        <x:v>R=任一 rvalid[i] &amp;&amp; rready[i]；rvalid 至多一位。</x:v>
      </x:c>
      <x:c r="D13" s="3" t="str">
        <x:v>只有完成的源队头且 rready=1 才候选；没有等待 ready 的 valid 锁定。</x:v>
      </x:c>
      <x:c r="E13" s="3" t="str">
        <x:v>A_R_ONEHOT；A_R_READY；A_RR_CHOICE</x:v>
      </x:c>
      <x:c r="F13" s="3"/>
      <x:c r="G13" s="3" t="str">
        <x:v>pending 与占用计数</x:v>
      </x:c>
      <x:c r="H13" s="18" t="n">
        <x:f>COUNTIF('Corner清单'!$B$8:$B$163,G13)</x:f>
        <x:v>8</x:v>
      </x:c>
      <x:c r="I13" s="18" t="n">
        <x:f>COUNTIFS('Corner清单'!$B$8:$B$163,G13,'Corner清单'!$L$8:$L$163,"通过")</x:f>
        <x:v>0</x:v>
      </x:c>
    </x:row>
    <x:row r="14" ht="68" customHeight="1">
      <x:c r="A14" s="3" t="str">
        <x:v>QUOTA</x:v>
      </x:c>
      <x:c r="B14" s="3" t="str">
        <x:v>容量不变量</x:v>
      </x:c>
      <x:c r="C14" s="3" t="str">
        <x:v>sum(max(Ni,1))≤9；可推出每源最多 7 项，并保留其余源首项。</x:v>
      </x:c>
      <x:c r="D14" s="3" t="str">
        <x:v>(5,4,0) 不合法；只检查总量≤9 和每源≤7 不够。</x:v>
      </x:c>
      <x:c r="E14" s="3" t="str">
        <x:v>M_QUOTA；rtl/cmdbuf_rd_cmd.sv p_4</x:v>
      </x:c>
      <x:c r="F14" s="3"/>
      <x:c r="G14" s="3" t="str">
        <x:v>MEM 返回与 OTB</x:v>
      </x:c>
      <x:c r="H14" s="18" t="n">
        <x:f>COUNTIF('Corner清单'!$B$8:$B$163,G14)</x:f>
        <x:v>14</x:v>
      </x:c>
      <x:c r="I14" s="18" t="n">
        <x:f>COUNTIFS('Corner清单'!$B$8:$B$163,G14,'Corner清单'!$L$8:$L$163,"通过")</x:f>
        <x:v>0</x:v>
      </x:c>
    </x:row>
    <x:row r="15" ht="68" customHeight="1">
      <x:c r="A15" s="3" t="str">
        <x:v>READY</x:v>
      </x:c>
      <x:c r="B15" s="3" t="str">
        <x:v>本拍 ready 公式</x:v>
      </x:c>
      <x:c r="C15" s="3" t="str">
        <x:v>Mi=Ni−本拍该源 R；U=sum(Mi)；S=sum(max(Mi−1,0))；ready[i]=(U&lt;9)&amp;&amp;(Mi=0||S&lt;6)。</x:v>
      </x:c>
      <x:c r="D15" s="3" t="str">
        <x:v>正常运行还需 rst_n=1。ready 先减 R，不加本拍 A；不直接依赖 src 或 arvalid。</x:v>
      </x:c>
      <x:c r="E15" s="3" t="str">
        <x:v>A_READY</x:v>
      </x:c>
      <x:c r="F15" s="3"/>
      <x:c r="G15" s="3" t="str">
        <x:v>R 保序与 RR</x:v>
      </x:c>
      <x:c r="H15" s="18" t="n">
        <x:f>COUNTIF('Corner清单'!$B$8:$B$163,G15)</x:f>
        <x:v>18</x:v>
      </x:c>
      <x:c r="I15" s="18" t="n">
        <x:f>COUNTIFS('Corner清单'!$B$8:$B$163,G15,'Corner清单'!$L$8:$L$163,"通过")</x:f>
        <x:v>0</x:v>
      </x:c>
    </x:row>
    <x:row r="16" ht="68" customHeight="1">
      <x:c r="A16" s="3" t="str">
        <x:v>ENUM</x:v>
      </x:c>
      <x:c r="B16" s="3" t="str">
        <x:v>枚举边界</x:v>
      </x:c>
      <x:c r="C16" s="3" t="str">
        <x:v>190 个合法 Ni；631 个状态/R 来源组合；2440 个 AR 动作转换。</x:v>
      </x:c>
      <x:c r="D16" s="3" t="str">
        <x:v>抽象 R 只要求该源非空；实际头完成时刻与 RR 选择的可达性未由容量枚举证明。</x:v>
      </x:c>
      <x:c r="E16" s="3" t="str">
        <x:v>docs/timing/admission_20261021/analysis_audit.json</x:v>
      </x:c>
      <x:c r="F16" s="3"/>
      <x:c r="G16" s="3" t="str">
        <x:v>字段与错误组合</x:v>
      </x:c>
      <x:c r="H16" s="18" t="n">
        <x:f>COUNTIF('Corner清单'!$B$8:$B$163,G16)</x:f>
        <x:v>8</x:v>
      </x:c>
      <x:c r="I16" s="18" t="n">
        <x:f>COUNTIFS('Corner清单'!$B$8:$B$163,G16,'Corner清单'!$L$8:$L$163,"通过")</x:f>
        <x:v>0</x:v>
      </x:c>
    </x:row>
    <x:row r="17" ht="68" customHeight="1">
      <x:c r="A17" s="3" t="str">
        <x:v>EQUIV</x:v>
      </x:c>
      <x:c r="B17" s="3" t="str">
        <x:v>枚举合并项</x:v>
      </x:c>
      <x:c r="C17" s="3" t="str">
        <x:v>arvalid=0 时 src=0/1/2/3 对占用等价，合并为一个“-”；ready=000 的 av=1 被排除。</x:v>
      </x:c>
      <x:c r="D17" s="3" t="str">
        <x:v>地址、ID、port 等字段不影响容量，未在 2440 行逐值展开；字段边界列在主清单。</x:v>
      </x:c>
      <x:c r="E17" s="3" t="str">
        <x:v>容量转换；AR-02/AR-16</x:v>
      </x:c>
      <x:c r="F17" s="3"/>
      <x:c r="G17" s="3" t="str">
        <x:v>同拍事件与冲突</x:v>
      </x:c>
      <x:c r="H17" s="18" t="n">
        <x:f>COUNTIF('Corner清单'!$B$8:$B$163,G17)</x:f>
        <x:v>6</x:v>
      </x:c>
      <x:c r="I17" s="18" t="n">
        <x:f>COUNTIFS('Corner清单'!$B$8:$B$163,G17,'Corner清单'!$L$8:$L$163,"通过")</x:f>
        <x:v>0</x:v>
      </x:c>
    </x:row>
    <x:row r="18" ht="68" customHeight="1">
      <x:c r="A18" s="3" t="str">
        <x:v>EDIT</x:v>
      </x:c>
      <x:c r="B18" s="3" t="str">
        <x:v>试算说明</x:v>
      </x:c>
      <x:c r="C18" s="3" t="str">
        <x:v>容量转换黄色输入列可以用于逐行试算；派生结果随公式变化。</x:v>
      </x:c>
      <x:c r="D18" s="3" t="str">
        <x:v>改动后 CT/ST 编号仍是原枚举索引，不再代表完整基线；需要完整枚举时保留原副本。</x:v>
      </x:c>
      <x:c r="E18" s="3" t="str">
        <x:v>容量转换 D:F、H:J</x:v>
      </x:c>
      <x:c r="F18" s="3"/>
      <x:c r="G18" s="3" t="str">
        <x:v>持续业务与边界</x:v>
      </x:c>
      <x:c r="H18" s="18" t="n">
        <x:f>COUNTIF('Corner清单'!$B$8:$B$163,G18)</x:f>
        <x:v>10</x:v>
      </x:c>
      <x:c r="I18" s="18" t="n">
        <x:f>COUNTIFS('Corner清单'!$B$8:$B$163,G18,'Corner清单'!$L$8:$L$163,"通过")</x:f>
        <x:v>0</x:v>
      </x:c>
    </x:row>
    <x:row r="19" ht="68" customHeight="1">
      <x:c r="A19" s="3" t="str">
        <x:v>WINDOW</x:v>
      </x:c>
      <x:c r="B19" s="3" t="str">
        <x:v>窗口与选择</x:v>
      </x:c>
      <x:c r="C19" s="3" t="str">
        <x:v>最老五条未成功发射命令；先按目标 half 空闲筛候选，再选最老。</x:v>
      </x:c>
      <x:c r="D19" s="3" t="str">
        <x:v>成功同拍出窗并补入第六项；失败不改年龄/窗口且可同拍重选；新 AR 不旁路预选。</x:v>
      </x:c>
      <x:c r="E19" s="3" t="str">
        <x:v>A_REQ；6B 用户确认</x:v>
      </x:c>
      <x:c r="F19" s="3"/>
      <x:c r="G19" s="3" t="str">
        <x:v>接入与验证边界</x:v>
      </x:c>
      <x:c r="H19" s="18" t="n">
        <x:f>COUNTIF('Corner清单'!$B$8:$B$163,G19)</x:f>
        <x:v>3</x:v>
      </x:c>
      <x:c r="I19" s="18" t="n">
        <x:f>COUNTIFS('Corner清单'!$B$8:$B$163,G19,'Corner清单'!$L$8:$L$163,"通过")</x:f>
        <x:v>0</x:v>
      </x:c>
    </x:row>
    <x:row r="20" ht="68" customHeight="1">
      <x:c r="A20" s="3" t="str">
        <x:v>BANK</x:v>
      </x:c>
      <x:c r="B20" s="3" t="str">
        <x:v>Bank 状态</x:v>
      </x:c>
      <x:c r="C20" s="3" t="str">
        <x:v>wire [1:0] rd_mem_status [7:0]；status[bank][half]=0 空闲、1 占用。</x:v>
      </x:c>
      <x:c r="D20" s="3" t="str">
        <x:v>bank=araddr[5:3]；half=araddr[6]；arb_addr=araddr[17:6]。</x:v>
      </x:c>
      <x:c r="E20" s="3" t="str">
        <x:v>rtl/cmdbuf_rd.sv；A_ARB_ADDR</x:v>
      </x:c>
      <x:c r="F20" s="3"/>
      <x:c r="G20" s="3"/>
      <x:c r="H20" s="3"/>
      <x:c r="I20" s="3"/>
    </x:row>
    <x:row r="21" ht="68" customHeight="1">
      <x:c r="A21" s="3" t="str">
        <x:v>ISSUE</x:v>
      </x:c>
      <x:c r="B21" s="3" t="str">
        <x:v>成功判断</x:v>
      </x:c>
      <x:c r="C21" s="3" t="str">
        <x:v>I=任一 req[i]&amp;&amp;ar_rd_gnt[i]&amp;&amp;rw_rd_gnt[i]；成功拍对应 half 必须 busy。</x:v>
      </x:c>
      <x:c r="D21" s="3" t="str">
        <x:v>C3 不用当前 status 撤销已登记 req；无关 grant bit 不计成功。</x:v>
      </x:c>
      <x:c r="E21" s="3" t="str">
        <x:v>E06_SUCCESS_BUSY；A_REQ</x:v>
      </x:c>
      <x:c r="F21" s="3"/>
      <x:c r="G21" s="3"/>
      <x:c r="H21" s="3"/>
      <x:c r="I21" s="3"/>
    </x:row>
    <x:row r="22" ht="68" customHeight="1">
      <x:c r="A22" s="3" t="str">
        <x:v>PENDING</x:v>
      </x:c>
      <x:c r="B22" s="3" t="str">
        <x:v>待发计数</x:v>
      </x:c>
      <x:c r="C22" s="3" t="str">
        <x:v>本拍 pending_cnt=P+A−I；物理占用 next N=N+A−R。</x:v>
      </x:c>
      <x:c r="D22" s="3" t="str">
        <x:v>R/M 不直接减少待发数；P 可为 0 而 N=9。</x:v>
      </x:c>
      <x:c r="E22" s="3" t="str">
        <x:v>A_PENDING；A_PENDING_RECURRENCE</x:v>
      </x:c>
      <x:c r="F22" s="3"/>
      <x:c r="G22" s="3"/>
      <x:c r="H22" s="3"/>
      <x:c r="I22" s="3"/>
    </x:row>
    <x:row r="23" ht="68" customHeight="1">
      <x:c r="A23" s="3" t="str">
        <x:v>MEM</x:v>
      </x:c>
      <x:c r="B23" s="3" t="str">
        <x:v>返回存储</x:v>
      </x:c>
      <x:c r="C23" s="3" t="str">
        <x:v>I 后四拍捕获一组 128 bit 数据与 1 bit pc_err；没有 MEM valid/tag。</x:v>
      </x:c>
      <x:c r="D23" s="3" t="str">
        <x:v>本拍 M 最早下拍 R；无到期事务的数据总线变化忽略；无 MEM 反压。</x:v>
      </x:c>
      <x:c r="E23" s="3" t="str">
        <x:v>rtl/cmdbuf_rd_otb.sv；A_R_DATA</x:v>
      </x:c>
      <x:c r="F23" s="3"/>
      <x:c r="G23" s="3"/>
      <x:c r="H23" s="3"/>
      <x:c r="I23" s="3"/>
    </x:row>
    <x:row r="24" ht="68" customHeight="1">
      <x:c r="A24" s="3" t="str">
        <x:v>ORDER</x:v>
      </x:c>
      <x:c r="B24" s="3" t="str">
        <x:v>保序与 RR</x:v>
      </x:c>
      <x:c r="C24" s="3" t="str">
        <x:v>每源按 AR 实际接收顺序响应，不论 ID 是否相同；跨源按 RR。</x:v>
      </x:c>
      <x:c r="D24" s="3" t="str">
        <x:v>RR 从 0 开始，扫描 0→1→2；仅实际 R 后移到胜者下一源，无 R 保持。</x:v>
      </x:c>
      <x:c r="E24" s="3" t="str">
        <x:v>A_XAU_R_*；A_RR_CHOICE</x:v>
      </x:c>
      <x:c r="F24" s="3"/>
      <x:c r="G24" s="3"/>
      <x:c r="H24" s="3"/>
      <x:c r="I24" s="3"/>
    </x:row>
    <x:row r="25" ht="68" customHeight="1">
      <x:c r="A25" s="3" t="str">
        <x:v>ERROR</x:v>
      </x:c>
      <x:c r="B25" s="3" t="str">
        <x:v>错误优先级</x:v>
      </x:c>
      <x:c r="C25" s="3" t="str">
        <x:v>rresp=11 地址越界优先；否则 pc_err=1 时 01；否则 00。</x:v>
      </x:c>
      <x:c r="D25" s="3" t="str">
        <x:v>arresp 只允许 00/11；地址越界仍发 MEM；raddr 透传 araddr[2:0]。</x:v>
      </x:c>
      <x:c r="E25" s="3" t="str">
        <x:v>E04_ARRESP；A_R_RESP</x:v>
      </x:c>
      <x:c r="F25" s="3"/>
      <x:c r="G25" s="3"/>
      <x:c r="H25" s="3"/>
      <x:c r="I25" s="3"/>
    </x:row>
    <x:row r="26" ht="68" customHeight="1">
      <x:c r="A26" s="3" t="str">
        <x:v>VALID</x:v>
      </x:c>
      <x:c r="B26" s="3" t="str">
        <x:v>有效负载门控</x:v>
      </x:c>
      <x:c r="C26" s="3" t="str">
        <x:v>仅 req 有效时检查 arb_addr；仅 R 有效时检查 R 共享负载。</x:v>
      </x:c>
      <x:c r="D26" s="3" t="str">
        <x:v>空闲负载可为 0 或保持旧值，不能强制清零。</x:v>
      </x:c>
      <x:c r="E26" s="3" t="str">
        <x:v>A_ARB_ADDR；A_R_METADATA；A_R_DATA</x:v>
      </x:c>
      <x:c r="F26" s="3"/>
      <x:c r="G26" s="3"/>
      <x:c r="H26" s="3"/>
      <x:c r="I26" s="3"/>
    </x:row>
    <x:row r="27" ht="68" customHeight="1">
      <x:c r="A27" s="3" t="str">
        <x:v>ENV</x:v>
      </x:c>
      <x:c r="B27" s="3" t="str">
        <x:v>assume 范围</x:v>
      </x:c>
      <x:c r="C27" s="3" t="str">
        <x:v>当前为 E03_SRC、E04_ARRESP、E05_ZERO_READY、8 个 E06_SUCCESS_BUSY，共 11 实例。</x:v>
      </x:c>
      <x:c r="D27" s="3" t="str">
        <x:v>每条属性 @(posedge clk) disable iff (!rst_n)；不含 started/active；本表只分析 rst_n=1 的运行阶段。</x:v>
      </x:c>
      <x:c r="E27" s="3" t="str">
        <x:v>formal/protocol_20261021/cmdbuf_rd_port_sva.sv</x:v>
      </x:c>
      <x:c r="F27" s="3"/>
      <x:c r="G27" s="3"/>
      <x:c r="H27" s="3"/>
      <x:c r="I27" s="3"/>
    </x:row>
    <x:row r="28" ht="68" customHeight="1">
      <x:c r="A28" s="3" t="str">
        <x:v>LIVE</x:v>
      </x:c>
      <x:c r="B28" s="3" t="str">
        <x:v>活性条件</x:v>
      </x:c>
      <x:c r="C28" s="3" t="str">
        <x:v>上游仅保证可以换 src，未承诺公平；下游也没有无条件服务上界。</x:v>
      </x:c>
      <x:c r="D28" s="3" t="str">
        <x:v>不能保证任意请求最终接收/发射/响应；持续 R 候选的 RR 有自身服务上界。</x:v>
      </x:c>
      <x:c r="E28" s="3" t="str">
        <x:v>用户约定；A_RR_BOUND</x:v>
      </x:c>
      <x:c r="F28" s="3"/>
      <x:c r="G28" s="3"/>
      <x:c r="H28" s="3"/>
      <x:c r="I28" s="3"/>
    </x:row>
    <x:row r="29" ht="68" customHeight="1">
      <x:c r="A29" s="3" t="str">
        <x:v>PROOF</x:v>
      </x:c>
      <x:c r="B29" s="3" t="str">
        <x:v>端口证明边界</x:v>
      </x:c>
      <x:c r="C29" s="3" t="str">
        <x:v>A_* 检查 DUT 可观察行为；M_* 检查参考模型自身一致性；C_* 是特定前提见证。</x:v>
      </x:c>
      <x:c r="D29" s="3" t="str">
        <x:v>M_* 不能证明 DUT 物理槽清零或真实一一映射；需要白盒结构检查。</x:v>
      </x:c>
      <x:c r="E29" s="3" t="str">
        <x:v>formal/protocol_20261021/cmdbuf_rd_port_sva.sv</x:v>
      </x:c>
      <x:c r="F29" s="3"/>
      <x:c r="G29" s="3"/>
      <x:c r="H29" s="3"/>
      <x:c r="I29" s="3"/>
    </x:row>
    <x:row r="30" ht="68" customHeight="1">
      <x:c r="A30" s="3" t="str">
        <x:v>HIST</x:v>
      </x:c>
      <x:c r="B30" s="3" t="str">
        <x:v>已有验证摘要</x:v>
      </x:c>
      <x:c r="C30" s="3" t="str">
        <x:v>已有正常业务记录：33 个原生 SVA 用例、121522 次检查、7178 周期；145 断言实例通过 10 步 BMC；46 cover 实例命中。</x:v>
      </x:c>
      <x:c r="D30" s="3" t="str">
        <x:v>这些是已保存运行范围；本表 156 个场景尚未逐条回放和映射到见证，不据此标为通过。</x:v>
      </x:c>
      <x:c r="E30" s="3" t="str">
        <x:v>verification/four_state_20261021/summary.json</x:v>
      </x:c>
      <x:c r="F30" s="3"/>
      <x:c r="G30" s="3"/>
      <x:c r="H30" s="3"/>
      <x:c r="I30" s="3"/>
    </x:row>
    <x:row r="31" ht="68" customHeight="1">
      <x:c r="A31" s="3" t="str">
        <x:v>UNBOUND</x:v>
      </x:c>
      <x:c r="B31" s="3" t="str">
        <x:v>已有无界证明</x:v>
      </x:c>
      <x:c r="C31" s="3" t="str">
        <x:v>只有 A_REQ_ONEHOT、A_R_ONEHOT、A_R_READY 三项记录了本轮无界证明。</x:v>
      </x:c>
      <x:c r="D31" s="3" t="str">
        <x:v>10 步 BMC 无反例不是整体无界证明；不能写成所有性质已证明。</x:v>
      </x:c>
      <x:c r="E31" s="3" t="str">
        <x:v>verification/four_state_20261021/summary.json</x:v>
      </x:c>
      <x:c r="F31" s="3"/>
      <x:c r="G31" s="3"/>
      <x:c r="H31" s="3"/>
      <x:c r="I31" s="3"/>
    </x:row>
    <x:row r="32" ht="68" customHeight="1">
      <x:c r="A32" s="3" t="str">
        <x:v>NEW</x:v>
      </x:c>
      <x:c r="B32" s="3" t="str">
        <x:v>本轮完成内容</x:v>
      </x:c>
      <x:c r="C32" s="3" t="str">
        <x:v>容量规则与接受后不变量交叉核验；2440 行公式对照既有 CSV；场景分类、标签存在性、Excel 排版与文件检查。</x:v>
      </x:c>
      <x:c r="D32" s="3" t="str">
        <x:v>本轮未新增 RTL 仿真、FormalMC 2024、加密 RTL 等价检查或逐场景 formal 求解。</x:v>
      </x:c>
      <x:c r="E32" s="3" t="str">
        <x:v>本工作簿生成与校验记录</x:v>
      </x:c>
      <x:c r="F32" s="3"/>
      <x:c r="G32" s="3"/>
      <x:c r="H32" s="3"/>
      <x:c r="I32" s="3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23" customHeight="1">
      <x:c r="A36" s="34" t="str">
        <x:v>读取来源与 SHA256</x:v>
      </x:c>
      <x:c r="B36" s="6"/>
      <x:c r="C36" s="6"/>
      <x:c r="D36" s="6"/>
      <x:c r="E36" s="6"/>
      <x:c r="F36" s="3"/>
      <x:c r="G36" s="3"/>
      <x:c r="H36" s="3"/>
      <x:c r="I36" s="3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4" customHeight="1">
      <x:c r="A38" s="13" t="str">
        <x:v>来源编号</x:v>
      </x:c>
      <x:c r="B38" s="14" t="str">
        <x:v>类型</x:v>
      </x:c>
      <x:c r="C38" s="14" t="str">
        <x:v>文件（相对仓库根目录）</x:v>
      </x:c>
      <x:c r="D38" s="14" t="str">
        <x:v>SHA256</x:v>
      </x:c>
      <x:c r="E38" s="15" t="str">
        <x:v>字节数</x:v>
      </x:c>
      <x:c r="F38" s="3"/>
      <x:c r="G38" s="3"/>
      <x:c r="H38" s="3"/>
      <x:c r="I38" s="3"/>
    </x:row>
    <x:row r="39" ht="45" customHeight="1">
      <x:c r="A39" s="3" t="str">
        <x:v>SRC-1</x:v>
      </x:c>
      <x:c r="B39" s="3" t="str">
        <x:v>当前工作树</x:v>
      </x:c>
      <x:c r="C39" s="3" t="str">
        <x:v>rtl/files.f</x:v>
      </x:c>
      <x:c r="D39" s="3" t="str">
        <x:v>f8f3f50bce55a8a0301d7c3cba42e7b70139eaafd5a1f57515b8c893f327b4ec</x:v>
      </x:c>
      <x:c r="E39" s="35" t="n">
        <x:v>62</x:v>
      </x:c>
      <x:c r="F39" s="3"/>
      <x:c r="G39" s="3"/>
      <x:c r="H39" s="3"/>
      <x:c r="I39" s="3"/>
    </x:row>
    <x:row r="40" ht="45" customHeight="1">
      <x:c r="A40" s="3" t="str">
        <x:v>SRC-2</x:v>
      </x:c>
      <x:c r="B40" s="3" t="str">
        <x:v>当前工作树</x:v>
      </x:c>
      <x:c r="C40" s="3" t="str">
        <x:v>rtl/cmdbuf_rd.sv</x:v>
      </x:c>
      <x:c r="D40" s="3" t="str">
        <x:v>5c7046da70be65f69be1c27002da921166ae35f069b2e55c578903f3774269d4</x:v>
      </x:c>
      <x:c r="E40" s="35" t="n">
        <x:v>2429</x:v>
      </x:c>
      <x:c r="F40" s="3"/>
      <x:c r="G40" s="3"/>
      <x:c r="H40" s="3"/>
      <x:c r="I40" s="3"/>
    </x:row>
    <x:row r="41" ht="45" customHeight="1">
      <x:c r="A41" s="3" t="str">
        <x:v>SRC-3</x:v>
      </x:c>
      <x:c r="B41" s="3" t="str">
        <x:v>当前工作树</x:v>
      </x:c>
      <x:c r="C41" s="3" t="str">
        <x:v>rtl/cmdbuf_rd_cmd.sv</x:v>
      </x:c>
      <x:c r="D41" s="3" t="str">
        <x:v>70cbe3101bbce7bbd8d68bd032b01a5e7e6af79663b049121187cb545c5f3d6f</x:v>
      </x:c>
      <x:c r="E41" s="35" t="n">
        <x:v>15105</x:v>
      </x:c>
      <x:c r="F41" s="3"/>
      <x:c r="G41" s="3"/>
      <x:c r="H41" s="3"/>
      <x:c r="I41" s="3"/>
    </x:row>
    <x:row r="42" ht="45" customHeight="1">
      <x:c r="A42" s="3" t="str">
        <x:v>SRC-4</x:v>
      </x:c>
      <x:c r="B42" s="3" t="str">
        <x:v>当前工作树</x:v>
      </x:c>
      <x:c r="C42" s="3" t="str">
        <x:v>rtl/cmdbuf_rd_otb.sv</x:v>
      </x:c>
      <x:c r="D42" s="3" t="str">
        <x:v>ec3ba652df117f804ee74c0f25f6a5aedded7e9c86be6c827146bf7c3b0021d2</x:v>
      </x:c>
      <x:c r="E42" s="35" t="n">
        <x:v>3975</x:v>
      </x:c>
      <x:c r="F42" s="3"/>
      <x:c r="G42" s="3"/>
      <x:c r="H42" s="3"/>
      <x:c r="I42" s="3"/>
    </x:row>
    <x:row r="43" ht="45" customHeight="1">
      <x:c r="A43" s="3" t="str">
        <x:v>SRC-5</x:v>
      </x:c>
      <x:c r="B43" s="3" t="str">
        <x:v>当前工作树</x:v>
      </x:c>
      <x:c r="C43" s="3" t="str">
        <x:v>formal/protocol_20261021/cmdbuf_rd_port_sva.sv</x:v>
      </x:c>
      <x:c r="D43" s="3" t="str">
        <x:v>f27b0ab0513f9b3835509b8cb19d83d8ea8034246d34c72e07bf2f2bfd02e7e1</x:v>
      </x:c>
      <x:c r="E43" s="35" t="n">
        <x:v>47198</x:v>
      </x:c>
      <x:c r="F43" s="3"/>
      <x:c r="G43" s="3"/>
      <x:c r="H43" s="3"/>
      <x:c r="I43" s="3"/>
    </x:row>
    <x:row r="44" ht="45" customHeight="1">
      <x:c r="A44" s="3" t="str">
        <x:v>SRC-6</x:v>
      </x:c>
      <x:c r="B44" s="3" t="str">
        <x:v>当前工作树</x:v>
      </x:c>
      <x:c r="C44" s="3" t="str">
        <x:v>docs/timing/protocol_corrections_20261021.json</x:v>
      </x:c>
      <x:c r="D44" s="3" t="str">
        <x:v>96eda718989eca6c7d3035cc2819280634f6cfff384f8483bd857524672cf13f</x:v>
      </x:c>
      <x:c r="E44" s="35" t="n">
        <x:v>8365</x:v>
      </x:c>
      <x:c r="F44" s="3"/>
      <x:c r="G44" s="3"/>
      <x:c r="H44" s="3"/>
      <x:c r="I44" s="3"/>
    </x:row>
    <x:row r="45" ht="45" customHeight="1">
      <x:c r="A45" s="3" t="str">
        <x:v>SRC-7</x:v>
      </x:c>
      <x:c r="B45" s="3" t="str">
        <x:v>当前工作树</x:v>
      </x:c>
      <x:c r="C45" s="3" t="str">
        <x:v>docs/timing/admission_20261021/all_capacity_transitions.csv</x:v>
      </x:c>
      <x:c r="D45" s="3" t="str">
        <x:v>04a91738638fd44752f4c960697d539c78b58d486142ff1d71222002e001b9a6</x:v>
      </x:c>
      <x:c r="E45" s="35" t="n">
        <x:v>70834</x:v>
      </x:c>
      <x:c r="F45" s="3"/>
      <x:c r="G45" s="3"/>
      <x:c r="H45" s="3"/>
      <x:c r="I45" s="3"/>
    </x:row>
    <x:row r="46" ht="45" customHeight="1">
      <x:c r="A46" s="3" t="str">
        <x:v>SRC-8</x:v>
      </x:c>
      <x:c r="B46" s="3" t="str">
        <x:v>当前工作树</x:v>
      </x:c>
      <x:c r="C46" s="3" t="str">
        <x:v>docs/timing/admission_20261021/traces.json</x:v>
      </x:c>
      <x:c r="D46" s="3" t="str">
        <x:v>918dc2a9f2ce50a1535a42bc29bd6e49c1b50bbd7613ac3e658c2a7939a89290</x:v>
      </x:c>
      <x:c r="E46" s="35" t="n">
        <x:v>12076</x:v>
      </x:c>
      <x:c r="F46" s="3"/>
      <x:c r="G46" s="3"/>
      <x:c r="H46" s="3"/>
      <x:c r="I46" s="3"/>
    </x:row>
    <x:row r="47" ht="45" customHeight="1">
      <x:c r="A47" s="3" t="str">
        <x:v>SRC-9</x:v>
      </x:c>
      <x:c r="B47" s="3" t="str">
        <x:v>当前工作树</x:v>
      </x:c>
      <x:c r="C47" s="3" t="str">
        <x:v>verification/four_state_20261021/summary.json</x:v>
      </x:c>
      <x:c r="D47" s="3" t="str">
        <x:v>9c2eed85a3967a70b3c63801b7c095728a32df8e43c8f528f0697445dfa6f2b0</x:v>
      </x:c>
      <x:c r="E47" s="35" t="n">
        <x:v>3889</x:v>
      </x:c>
      <x:c r="F47" s="3"/>
      <x:c r="G47" s="3"/>
      <x:c r="H47" s="3"/>
      <x:c r="I47" s="3"/>
    </x:row>
  </x:sheetData>
  <x:pageMargins left="0.7" right="0.7" top="0.75" bottom="0.75" header="0.3" footer="0.3"/>
  <x:tableParts count="3">
    <x:tablePart xmlns:r="http://schemas.openxmlformats.org/officeDocument/2006/relationships" r:id="Reb9bc4b9c60e4674"/>
    <x:tablePart xmlns:r="http://schemas.openxmlformats.org/officeDocument/2006/relationships" r:id="R1ff236ee98464c5e"/>
    <x:tablePart xmlns:r="http://schemas.openxmlformats.org/officeDocument/2006/relationships" r:id="R3ec28b246e9541e4"/>
  </x:tableParts>
</x:worksheet>
</file>